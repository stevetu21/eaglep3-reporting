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28800" windowHeight="12435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  <sheet name="Slice Disagreement Check" sheetId="9" r:id="rId8"/>
  </sheets>
  <externalReferences>
    <externalReference r:id="rId9"/>
    <externalReference r:id="rId10"/>
  </externalReferences>
  <definedNames>
    <definedName name="_xlnm._FilterDatabase" localSheetId="1" hidden="1">Enforcements!$A$6:$AC$46</definedName>
    <definedName name="_xlnm._FilterDatabase" localSheetId="2" hidden="1">'Missing Trips'!$B$2:$I$2</definedName>
    <definedName name="_xlnm._FilterDatabase" localSheetId="0" hidden="1">'Train Runs'!$A$12:$AG$228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Runs'!$A$12:$J$74</definedName>
    <definedName name="enforcements_txt">Variables!$M$27</definedName>
    <definedName name="outputrefinedruntimes">Variables!$M$25</definedName>
    <definedName name="redm_api_key">[1]Constants!$B$4</definedName>
    <definedName name="redm_url">[1]Constants!$B$5</definedName>
    <definedName name="redmine_api">'Redmine List Values'!$I$1</definedName>
    <definedName name="redmine_assignee">'Redmine List Values'!$I$5</definedName>
    <definedName name="redmine_op_impact">'Redmine List Values'!$I$6</definedName>
    <definedName name="redmine_priority">'Redmine List Values'!$I$4</definedName>
    <definedName name="redmine_status">'Redmine List Values'!$I$3</definedName>
    <definedName name="redmine_url">'Redmine List Values'!$I$2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27" i="1" l="1"/>
  <c r="L27" i="1"/>
  <c r="M27" i="1"/>
  <c r="T27" i="1"/>
  <c r="V27" i="1"/>
  <c r="X27" i="1"/>
  <c r="Y27" i="1"/>
  <c r="Z27" i="1"/>
  <c r="AA27" i="1" s="1"/>
  <c r="W27" i="1" s="1"/>
  <c r="AB27" i="1"/>
  <c r="AC27" i="1"/>
  <c r="AD27" i="1"/>
  <c r="AE27" i="1"/>
  <c r="AF27" i="1"/>
  <c r="AG27" i="1"/>
  <c r="AH27" i="1"/>
  <c r="P26" i="1"/>
  <c r="S27" i="1" l="1"/>
  <c r="U27" i="1"/>
  <c r="AI27" i="1"/>
  <c r="K29" i="1"/>
  <c r="L29" i="1"/>
  <c r="M29" i="1"/>
  <c r="V29" i="1"/>
  <c r="Z29" i="1"/>
  <c r="AA29" i="1" s="1"/>
  <c r="AB29" i="1"/>
  <c r="AC29" i="1"/>
  <c r="AD29" i="1"/>
  <c r="T29" i="1" s="1"/>
  <c r="AE29" i="1"/>
  <c r="AF29" i="1"/>
  <c r="AH29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S17" i="3" s="1"/>
  <c r="V28" i="1"/>
  <c r="S7" i="3" s="1"/>
  <c r="V30" i="1"/>
  <c r="S11" i="3" s="1"/>
  <c r="V31" i="1"/>
  <c r="V32" i="1"/>
  <c r="V33" i="1"/>
  <c r="V34" i="1"/>
  <c r="S18" i="3" s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S23" i="3" s="1"/>
  <c r="V53" i="1"/>
  <c r="V54" i="1"/>
  <c r="V55" i="1"/>
  <c r="S21" i="3" s="1"/>
  <c r="V56" i="1"/>
  <c r="V57" i="1"/>
  <c r="V58" i="1"/>
  <c r="S12" i="3" s="1"/>
  <c r="V59" i="1"/>
  <c r="V60" i="1"/>
  <c r="V61" i="1"/>
  <c r="V62" i="1"/>
  <c r="V63" i="1"/>
  <c r="V64" i="1"/>
  <c r="V65" i="1"/>
  <c r="V66" i="1"/>
  <c r="S30" i="3" s="1"/>
  <c r="V67" i="1"/>
  <c r="V68" i="1"/>
  <c r="V69" i="1"/>
  <c r="V70" i="1"/>
  <c r="V71" i="1"/>
  <c r="V72" i="1"/>
  <c r="V73" i="1"/>
  <c r="V74" i="1"/>
  <c r="V75" i="1"/>
  <c r="V76" i="1"/>
  <c r="S24" i="3" s="1"/>
  <c r="V77" i="1"/>
  <c r="V78" i="1"/>
  <c r="V79" i="1"/>
  <c r="V80" i="1"/>
  <c r="V81" i="1"/>
  <c r="V82" i="1"/>
  <c r="V83" i="1"/>
  <c r="S32" i="3" s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S9" i="3" s="1"/>
  <c r="V100" i="1"/>
  <c r="V101" i="1"/>
  <c r="V102" i="1"/>
  <c r="S31" i="3" s="1"/>
  <c r="V103" i="1"/>
  <c r="V104" i="1"/>
  <c r="V105" i="1"/>
  <c r="S20" i="3" s="1"/>
  <c r="V106" i="1"/>
  <c r="V107" i="1"/>
  <c r="V108" i="1"/>
  <c r="V109" i="1"/>
  <c r="V110" i="1"/>
  <c r="V111" i="1"/>
  <c r="V112" i="1"/>
  <c r="V113" i="1"/>
  <c r="V114" i="1"/>
  <c r="V115" i="1"/>
  <c r="S13" i="3" s="1"/>
  <c r="V116" i="1"/>
  <c r="V117" i="1"/>
  <c r="V118" i="1"/>
  <c r="V119" i="1"/>
  <c r="S15" i="3" s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S27" i="3" s="1"/>
  <c r="V133" i="1"/>
  <c r="V134" i="1"/>
  <c r="S28" i="3" s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S8" i="3" s="1"/>
  <c r="V150" i="1"/>
  <c r="V151" i="1"/>
  <c r="V152" i="1"/>
  <c r="V153" i="1"/>
  <c r="V154" i="1"/>
  <c r="V155" i="1"/>
  <c r="S19" i="3" s="1"/>
  <c r="V156" i="1"/>
  <c r="V157" i="1"/>
  <c r="S10" i="3" s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S36" i="3" s="1"/>
  <c r="V182" i="1"/>
  <c r="V183" i="1"/>
  <c r="V184" i="1"/>
  <c r="V185" i="1"/>
  <c r="V186" i="1"/>
  <c r="V187" i="1"/>
  <c r="S34" i="3" s="1"/>
  <c r="V188" i="1"/>
  <c r="V189" i="1"/>
  <c r="V190" i="1"/>
  <c r="V191" i="1"/>
  <c r="V192" i="1"/>
  <c r="V193" i="1"/>
  <c r="V194" i="1"/>
  <c r="S33" i="3" s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S38" i="3" s="1"/>
  <c r="V213" i="1"/>
  <c r="V214" i="1"/>
  <c r="V215" i="1"/>
  <c r="V13" i="1"/>
  <c r="K14" i="1"/>
  <c r="L14" i="1"/>
  <c r="M14" i="1"/>
  <c r="N14" i="1" s="1"/>
  <c r="Y14" i="1"/>
  <c r="Z14" i="1"/>
  <c r="AB14" i="1"/>
  <c r="AC14" i="1"/>
  <c r="AD14" i="1"/>
  <c r="AE14" i="1"/>
  <c r="AF14" i="1"/>
  <c r="AH14" i="1"/>
  <c r="K15" i="1"/>
  <c r="L15" i="1"/>
  <c r="M15" i="1"/>
  <c r="N15" i="1" s="1"/>
  <c r="Y15" i="1"/>
  <c r="Z15" i="1"/>
  <c r="AB15" i="1"/>
  <c r="AC15" i="1"/>
  <c r="AD15" i="1"/>
  <c r="T15" i="1" s="1"/>
  <c r="AE15" i="1"/>
  <c r="AF15" i="1"/>
  <c r="AH15" i="1"/>
  <c r="K16" i="1"/>
  <c r="L16" i="1"/>
  <c r="M16" i="1"/>
  <c r="N16" i="1" s="1"/>
  <c r="Y16" i="1"/>
  <c r="Z16" i="1"/>
  <c r="AB16" i="1"/>
  <c r="AC16" i="1"/>
  <c r="AD16" i="1"/>
  <c r="AG16" i="1" s="1"/>
  <c r="AE16" i="1"/>
  <c r="AF16" i="1"/>
  <c r="AH16" i="1"/>
  <c r="K17" i="1"/>
  <c r="L17" i="1"/>
  <c r="M17" i="1"/>
  <c r="N17" i="1" s="1"/>
  <c r="Y17" i="1"/>
  <c r="Z17" i="1"/>
  <c r="AB17" i="1"/>
  <c r="AC17" i="1"/>
  <c r="AD17" i="1"/>
  <c r="T17" i="1" s="1"/>
  <c r="AE17" i="1"/>
  <c r="AF17" i="1"/>
  <c r="AH17" i="1"/>
  <c r="K18" i="1"/>
  <c r="L18" i="1"/>
  <c r="M18" i="1"/>
  <c r="N18" i="1" s="1"/>
  <c r="Y18" i="1"/>
  <c r="Z18" i="1"/>
  <c r="AA18" i="1" s="1"/>
  <c r="AB18" i="1"/>
  <c r="AC18" i="1"/>
  <c r="AD18" i="1"/>
  <c r="AG18" i="1" s="1"/>
  <c r="AE18" i="1"/>
  <c r="AF18" i="1"/>
  <c r="AH18" i="1"/>
  <c r="K19" i="1"/>
  <c r="L19" i="1"/>
  <c r="M19" i="1"/>
  <c r="N19" i="1" s="1"/>
  <c r="Y19" i="1"/>
  <c r="Z19" i="1"/>
  <c r="AB19" i="1"/>
  <c r="AC19" i="1"/>
  <c r="AD19" i="1"/>
  <c r="T19" i="1" s="1"/>
  <c r="AE19" i="1"/>
  <c r="AF19" i="1"/>
  <c r="AH19" i="1"/>
  <c r="K20" i="1"/>
  <c r="L20" i="1"/>
  <c r="M20" i="1"/>
  <c r="N20" i="1" s="1"/>
  <c r="Y20" i="1"/>
  <c r="Z20" i="1"/>
  <c r="AB20" i="1"/>
  <c r="AC20" i="1"/>
  <c r="AD20" i="1"/>
  <c r="AE20" i="1"/>
  <c r="AF20" i="1"/>
  <c r="AH20" i="1"/>
  <c r="K21" i="1"/>
  <c r="L21" i="1"/>
  <c r="M21" i="1"/>
  <c r="N21" i="1" s="1"/>
  <c r="Y21" i="1"/>
  <c r="Z21" i="1"/>
  <c r="AA21" i="1" s="1"/>
  <c r="AB21" i="1"/>
  <c r="AC21" i="1"/>
  <c r="AD21" i="1"/>
  <c r="T21" i="1" s="1"/>
  <c r="AE21" i="1"/>
  <c r="AF21" i="1"/>
  <c r="AH21" i="1"/>
  <c r="K22" i="1"/>
  <c r="L22" i="1"/>
  <c r="M22" i="1"/>
  <c r="N22" i="1" s="1"/>
  <c r="Y22" i="1"/>
  <c r="Z22" i="1"/>
  <c r="AB22" i="1"/>
  <c r="AC22" i="1"/>
  <c r="AD22" i="1"/>
  <c r="AE22" i="1"/>
  <c r="AF22" i="1"/>
  <c r="AH22" i="1"/>
  <c r="K23" i="1"/>
  <c r="L23" i="1"/>
  <c r="M23" i="1"/>
  <c r="N23" i="1" s="1"/>
  <c r="Y23" i="1"/>
  <c r="Z23" i="1"/>
  <c r="AB23" i="1"/>
  <c r="AC23" i="1"/>
  <c r="AD23" i="1"/>
  <c r="T23" i="1" s="1"/>
  <c r="AE23" i="1"/>
  <c r="AF23" i="1"/>
  <c r="AH23" i="1"/>
  <c r="K24" i="1"/>
  <c r="L24" i="1"/>
  <c r="M24" i="1"/>
  <c r="N24" i="1" s="1"/>
  <c r="Y24" i="1"/>
  <c r="Z24" i="1"/>
  <c r="AB24" i="1"/>
  <c r="AC24" i="1"/>
  <c r="AD24" i="1"/>
  <c r="AG24" i="1" s="1"/>
  <c r="AE24" i="1"/>
  <c r="AF24" i="1"/>
  <c r="AH24" i="1"/>
  <c r="K25" i="1"/>
  <c r="L25" i="1"/>
  <c r="M25" i="1"/>
  <c r="N25" i="1" s="1"/>
  <c r="Y25" i="1"/>
  <c r="Z25" i="1"/>
  <c r="AB25" i="1"/>
  <c r="AC25" i="1"/>
  <c r="AD25" i="1"/>
  <c r="T25" i="1" s="1"/>
  <c r="AE25" i="1"/>
  <c r="AF25" i="1"/>
  <c r="AH25" i="1"/>
  <c r="K26" i="1"/>
  <c r="L26" i="1"/>
  <c r="M26" i="1"/>
  <c r="Y26" i="1"/>
  <c r="Z26" i="1"/>
  <c r="AB26" i="1"/>
  <c r="AC26" i="1"/>
  <c r="AD26" i="1"/>
  <c r="T26" i="1" s="1"/>
  <c r="AE26" i="1"/>
  <c r="AF26" i="1"/>
  <c r="AH26" i="1"/>
  <c r="K28" i="1"/>
  <c r="L28" i="1"/>
  <c r="M28" i="1"/>
  <c r="Y28" i="1"/>
  <c r="AA28" i="1" s="1"/>
  <c r="AB28" i="1"/>
  <c r="AC28" i="1"/>
  <c r="AD28" i="1"/>
  <c r="T28" i="1" s="1"/>
  <c r="AE28" i="1"/>
  <c r="R7" i="3" s="1"/>
  <c r="AF28" i="1"/>
  <c r="AH28" i="1"/>
  <c r="K30" i="1"/>
  <c r="L30" i="1"/>
  <c r="M30" i="1"/>
  <c r="N30" i="1" s="1"/>
  <c r="Y30" i="1"/>
  <c r="Z30" i="1"/>
  <c r="AB30" i="1"/>
  <c r="AC30" i="1"/>
  <c r="AD30" i="1"/>
  <c r="AG30" i="1" s="1"/>
  <c r="AE30" i="1"/>
  <c r="R11" i="3" s="1"/>
  <c r="AF30" i="1"/>
  <c r="AH30" i="1"/>
  <c r="K31" i="1"/>
  <c r="L31" i="1"/>
  <c r="M31" i="1"/>
  <c r="N31" i="1" s="1"/>
  <c r="Y31" i="1"/>
  <c r="Z31" i="1"/>
  <c r="AB31" i="1"/>
  <c r="AC31" i="1"/>
  <c r="AD31" i="1"/>
  <c r="T31" i="1" s="1"/>
  <c r="AE31" i="1"/>
  <c r="AF31" i="1"/>
  <c r="AH31" i="1"/>
  <c r="K32" i="1"/>
  <c r="L32" i="1"/>
  <c r="M32" i="1"/>
  <c r="N32" i="1" s="1"/>
  <c r="Y32" i="1"/>
  <c r="Z32" i="1"/>
  <c r="AB32" i="1"/>
  <c r="AC32" i="1"/>
  <c r="AD32" i="1"/>
  <c r="AE32" i="1"/>
  <c r="AF32" i="1"/>
  <c r="AH32" i="1"/>
  <c r="K33" i="1"/>
  <c r="L33" i="1"/>
  <c r="M33" i="1"/>
  <c r="N33" i="1" s="1"/>
  <c r="Y33" i="1"/>
  <c r="Z33" i="1"/>
  <c r="AB33" i="1"/>
  <c r="AC33" i="1"/>
  <c r="AD33" i="1"/>
  <c r="T33" i="1" s="1"/>
  <c r="AE33" i="1"/>
  <c r="AF33" i="1"/>
  <c r="AH33" i="1"/>
  <c r="K34" i="1"/>
  <c r="L34" i="1"/>
  <c r="M34" i="1"/>
  <c r="P34" i="1" s="1"/>
  <c r="Y34" i="1"/>
  <c r="Z34" i="1"/>
  <c r="AB34" i="1"/>
  <c r="AC34" i="1"/>
  <c r="AD34" i="1"/>
  <c r="AE34" i="1"/>
  <c r="R18" i="3" s="1"/>
  <c r="AF34" i="1"/>
  <c r="AH34" i="1"/>
  <c r="K35" i="1"/>
  <c r="L35" i="1"/>
  <c r="M35" i="1"/>
  <c r="N35" i="1" s="1"/>
  <c r="Y35" i="1"/>
  <c r="Z35" i="1"/>
  <c r="AB35" i="1"/>
  <c r="AC35" i="1"/>
  <c r="AD35" i="1"/>
  <c r="T35" i="1" s="1"/>
  <c r="AE35" i="1"/>
  <c r="AF35" i="1"/>
  <c r="AH35" i="1"/>
  <c r="K36" i="1"/>
  <c r="L36" i="1"/>
  <c r="M36" i="1"/>
  <c r="N36" i="1" s="1"/>
  <c r="Y36" i="1"/>
  <c r="Z36" i="1"/>
  <c r="AB36" i="1"/>
  <c r="AC36" i="1"/>
  <c r="AD36" i="1"/>
  <c r="T36" i="1" s="1"/>
  <c r="AE36" i="1"/>
  <c r="AF36" i="1"/>
  <c r="AH36" i="1"/>
  <c r="K37" i="1"/>
  <c r="L37" i="1"/>
  <c r="M37" i="1"/>
  <c r="N37" i="1" s="1"/>
  <c r="Y37" i="1"/>
  <c r="Z37" i="1"/>
  <c r="AB37" i="1"/>
  <c r="AC37" i="1"/>
  <c r="AD37" i="1"/>
  <c r="AG37" i="1" s="1"/>
  <c r="AE37" i="1"/>
  <c r="AF37" i="1"/>
  <c r="AH37" i="1"/>
  <c r="K38" i="1"/>
  <c r="L38" i="1"/>
  <c r="M38" i="1"/>
  <c r="N38" i="1" s="1"/>
  <c r="Y38" i="1"/>
  <c r="Z38" i="1"/>
  <c r="AB38" i="1"/>
  <c r="AC38" i="1"/>
  <c r="AD38" i="1"/>
  <c r="T38" i="1" s="1"/>
  <c r="AE38" i="1"/>
  <c r="R29" i="3" s="1"/>
  <c r="AF38" i="1"/>
  <c r="AH38" i="1"/>
  <c r="K39" i="1"/>
  <c r="L39" i="1"/>
  <c r="M39" i="1"/>
  <c r="N39" i="1" s="1"/>
  <c r="Y39" i="1"/>
  <c r="Z39" i="1"/>
  <c r="AB39" i="1"/>
  <c r="AC39" i="1"/>
  <c r="AD39" i="1"/>
  <c r="T39" i="1" s="1"/>
  <c r="AE39" i="1"/>
  <c r="AF39" i="1"/>
  <c r="AH39" i="1"/>
  <c r="K40" i="1"/>
  <c r="L40" i="1"/>
  <c r="M40" i="1"/>
  <c r="N40" i="1" s="1"/>
  <c r="Y40" i="1"/>
  <c r="Z40" i="1"/>
  <c r="AB40" i="1"/>
  <c r="AC40" i="1"/>
  <c r="AD40" i="1"/>
  <c r="AE40" i="1"/>
  <c r="AF40" i="1"/>
  <c r="AH40" i="1"/>
  <c r="K41" i="1"/>
  <c r="L41" i="1"/>
  <c r="M41" i="1"/>
  <c r="N41" i="1" s="1"/>
  <c r="Y41" i="1"/>
  <c r="Z41" i="1"/>
  <c r="AB41" i="1"/>
  <c r="AC41" i="1"/>
  <c r="AD41" i="1"/>
  <c r="AG41" i="1" s="1"/>
  <c r="AE41" i="1"/>
  <c r="AF41" i="1"/>
  <c r="AH41" i="1"/>
  <c r="K42" i="1"/>
  <c r="L42" i="1"/>
  <c r="M42" i="1"/>
  <c r="N42" i="1" s="1"/>
  <c r="Y42" i="1"/>
  <c r="Z42" i="1"/>
  <c r="AB42" i="1"/>
  <c r="AC42" i="1"/>
  <c r="AD42" i="1"/>
  <c r="AG42" i="1" s="1"/>
  <c r="AE42" i="1"/>
  <c r="AF42" i="1"/>
  <c r="AH42" i="1"/>
  <c r="K43" i="1"/>
  <c r="L43" i="1"/>
  <c r="M43" i="1"/>
  <c r="N43" i="1" s="1"/>
  <c r="Y43" i="1"/>
  <c r="Z43" i="1"/>
  <c r="AB43" i="1"/>
  <c r="AC43" i="1"/>
  <c r="AD43" i="1"/>
  <c r="AE43" i="1"/>
  <c r="AF43" i="1"/>
  <c r="AH43" i="1"/>
  <c r="K44" i="1"/>
  <c r="L44" i="1"/>
  <c r="M44" i="1"/>
  <c r="N44" i="1" s="1"/>
  <c r="Y44" i="1"/>
  <c r="Z44" i="1"/>
  <c r="AB44" i="1"/>
  <c r="AC44" i="1"/>
  <c r="AD44" i="1"/>
  <c r="T44" i="1" s="1"/>
  <c r="AE44" i="1"/>
  <c r="AF44" i="1"/>
  <c r="AH44" i="1"/>
  <c r="K45" i="1"/>
  <c r="L45" i="1"/>
  <c r="M45" i="1"/>
  <c r="N45" i="1" s="1"/>
  <c r="Y45" i="1"/>
  <c r="Z45" i="1"/>
  <c r="AB45" i="1"/>
  <c r="AC45" i="1"/>
  <c r="AD45" i="1"/>
  <c r="T45" i="1" s="1"/>
  <c r="AE45" i="1"/>
  <c r="AF45" i="1"/>
  <c r="AH45" i="1"/>
  <c r="K46" i="1"/>
  <c r="L46" i="1"/>
  <c r="M46" i="1"/>
  <c r="N46" i="1" s="1"/>
  <c r="Y46" i="1"/>
  <c r="Z46" i="1"/>
  <c r="AB46" i="1"/>
  <c r="AC46" i="1"/>
  <c r="AD46" i="1"/>
  <c r="AG46" i="1" s="1"/>
  <c r="AE46" i="1"/>
  <c r="AF46" i="1"/>
  <c r="AH46" i="1"/>
  <c r="K47" i="1"/>
  <c r="L47" i="1"/>
  <c r="M47" i="1"/>
  <c r="N47" i="1" s="1"/>
  <c r="Y47" i="1"/>
  <c r="Z47" i="1"/>
  <c r="AB47" i="1"/>
  <c r="AC47" i="1"/>
  <c r="AD47" i="1"/>
  <c r="AE47" i="1"/>
  <c r="AF47" i="1"/>
  <c r="AH47" i="1"/>
  <c r="K48" i="1"/>
  <c r="L48" i="1"/>
  <c r="M48" i="1"/>
  <c r="N48" i="1" s="1"/>
  <c r="Y48" i="1"/>
  <c r="Z48" i="1"/>
  <c r="AB48" i="1"/>
  <c r="AC48" i="1"/>
  <c r="AD48" i="1"/>
  <c r="T48" i="1" s="1"/>
  <c r="AE48" i="1"/>
  <c r="AF48" i="1"/>
  <c r="AH48" i="1"/>
  <c r="K49" i="1"/>
  <c r="L49" i="1"/>
  <c r="M49" i="1"/>
  <c r="N49" i="1" s="1"/>
  <c r="Y49" i="1"/>
  <c r="Z49" i="1"/>
  <c r="AB49" i="1"/>
  <c r="AC49" i="1"/>
  <c r="AD49" i="1"/>
  <c r="T49" i="1" s="1"/>
  <c r="AE49" i="1"/>
  <c r="AF49" i="1"/>
  <c r="AH49" i="1"/>
  <c r="K50" i="1"/>
  <c r="L50" i="1"/>
  <c r="M50" i="1"/>
  <c r="N50" i="1" s="1"/>
  <c r="Y50" i="1"/>
  <c r="Z50" i="1"/>
  <c r="AB50" i="1"/>
  <c r="AC50" i="1"/>
  <c r="AD50" i="1"/>
  <c r="AE50" i="1"/>
  <c r="AF50" i="1"/>
  <c r="AH50" i="1"/>
  <c r="K51" i="1"/>
  <c r="L51" i="1"/>
  <c r="M51" i="1"/>
  <c r="N51" i="1" s="1"/>
  <c r="Y51" i="1"/>
  <c r="Z51" i="1"/>
  <c r="AB51" i="1"/>
  <c r="AC51" i="1"/>
  <c r="AD51" i="1"/>
  <c r="AG51" i="1" s="1"/>
  <c r="AE51" i="1"/>
  <c r="AF51" i="1"/>
  <c r="AH51" i="1"/>
  <c r="K52" i="1"/>
  <c r="L52" i="1"/>
  <c r="M52" i="1"/>
  <c r="N52" i="1" s="1"/>
  <c r="Y52" i="1"/>
  <c r="Z52" i="1"/>
  <c r="AB52" i="1"/>
  <c r="AC52" i="1"/>
  <c r="AD52" i="1"/>
  <c r="AE52" i="1"/>
  <c r="R23" i="3" s="1"/>
  <c r="AF52" i="1"/>
  <c r="AH52" i="1"/>
  <c r="K53" i="1"/>
  <c r="L53" i="1"/>
  <c r="M53" i="1"/>
  <c r="N53" i="1" s="1"/>
  <c r="Y53" i="1"/>
  <c r="Z53" i="1"/>
  <c r="AB53" i="1"/>
  <c r="AC53" i="1"/>
  <c r="AD53" i="1"/>
  <c r="AE53" i="1"/>
  <c r="AF53" i="1"/>
  <c r="AH53" i="1"/>
  <c r="K54" i="1"/>
  <c r="L54" i="1"/>
  <c r="M54" i="1"/>
  <c r="N54" i="1" s="1"/>
  <c r="Y54" i="1"/>
  <c r="Z54" i="1"/>
  <c r="AB54" i="1"/>
  <c r="AC54" i="1"/>
  <c r="AD54" i="1"/>
  <c r="T54" i="1" s="1"/>
  <c r="AE54" i="1"/>
  <c r="AF54" i="1"/>
  <c r="AH54" i="1"/>
  <c r="K55" i="1"/>
  <c r="L55" i="1"/>
  <c r="M55" i="1"/>
  <c r="P55" i="1" s="1"/>
  <c r="Y55" i="1"/>
  <c r="Z55" i="1"/>
  <c r="AB55" i="1"/>
  <c r="AC55" i="1"/>
  <c r="AD55" i="1"/>
  <c r="T55" i="1" s="1"/>
  <c r="AE55" i="1"/>
  <c r="AF55" i="1"/>
  <c r="AH55" i="1"/>
  <c r="K56" i="1"/>
  <c r="L56" i="1"/>
  <c r="M56" i="1"/>
  <c r="N56" i="1" s="1"/>
  <c r="Y56" i="1"/>
  <c r="Z56" i="1"/>
  <c r="AB56" i="1"/>
  <c r="AC56" i="1"/>
  <c r="AD56" i="1"/>
  <c r="AE56" i="1"/>
  <c r="AF56" i="1"/>
  <c r="AH56" i="1"/>
  <c r="K57" i="1"/>
  <c r="L57" i="1"/>
  <c r="M57" i="1"/>
  <c r="N57" i="1" s="1"/>
  <c r="Y57" i="1"/>
  <c r="Z57" i="1"/>
  <c r="AB57" i="1"/>
  <c r="AC57" i="1"/>
  <c r="AD57" i="1"/>
  <c r="AG57" i="1" s="1"/>
  <c r="AE57" i="1"/>
  <c r="AF57" i="1"/>
  <c r="AH57" i="1"/>
  <c r="K58" i="1"/>
  <c r="L58" i="1"/>
  <c r="M58" i="1"/>
  <c r="N58" i="1" s="1"/>
  <c r="Y58" i="1"/>
  <c r="Z58" i="1"/>
  <c r="AB58" i="1"/>
  <c r="AC58" i="1"/>
  <c r="AD58" i="1"/>
  <c r="T58" i="1" s="1"/>
  <c r="AE58" i="1"/>
  <c r="R12" i="3" s="1"/>
  <c r="AF58" i="1"/>
  <c r="AH58" i="1"/>
  <c r="K59" i="1"/>
  <c r="L59" i="1"/>
  <c r="M59" i="1"/>
  <c r="N59" i="1" s="1"/>
  <c r="Y59" i="1"/>
  <c r="Z59" i="1"/>
  <c r="AB59" i="1"/>
  <c r="AC59" i="1"/>
  <c r="AD59" i="1"/>
  <c r="T59" i="1" s="1"/>
  <c r="AE59" i="1"/>
  <c r="AF59" i="1"/>
  <c r="AH59" i="1"/>
  <c r="K60" i="1"/>
  <c r="L60" i="1"/>
  <c r="M60" i="1"/>
  <c r="N60" i="1" s="1"/>
  <c r="Y60" i="1"/>
  <c r="Z60" i="1"/>
  <c r="AB60" i="1"/>
  <c r="AC60" i="1"/>
  <c r="AD60" i="1"/>
  <c r="AG60" i="1" s="1"/>
  <c r="AE60" i="1"/>
  <c r="AF60" i="1"/>
  <c r="AH60" i="1"/>
  <c r="K61" i="1"/>
  <c r="L61" i="1"/>
  <c r="M61" i="1"/>
  <c r="N61" i="1" s="1"/>
  <c r="Y61" i="1"/>
  <c r="Z61" i="1"/>
  <c r="AB61" i="1"/>
  <c r="AC61" i="1"/>
  <c r="AD61" i="1"/>
  <c r="AG61" i="1" s="1"/>
  <c r="AE61" i="1"/>
  <c r="AF61" i="1"/>
  <c r="AH61" i="1"/>
  <c r="K62" i="1"/>
  <c r="L62" i="1"/>
  <c r="M62" i="1"/>
  <c r="N62" i="1" s="1"/>
  <c r="Y62" i="1"/>
  <c r="Z62" i="1"/>
  <c r="AB62" i="1"/>
  <c r="AC62" i="1"/>
  <c r="AD62" i="1"/>
  <c r="AE62" i="1"/>
  <c r="AF62" i="1"/>
  <c r="AH62" i="1"/>
  <c r="K63" i="1"/>
  <c r="L63" i="1"/>
  <c r="M63" i="1"/>
  <c r="N63" i="1" s="1"/>
  <c r="Y63" i="1"/>
  <c r="Z63" i="1"/>
  <c r="AB63" i="1"/>
  <c r="AC63" i="1"/>
  <c r="AD63" i="1"/>
  <c r="AE63" i="1"/>
  <c r="AF63" i="1"/>
  <c r="AH63" i="1"/>
  <c r="K64" i="1"/>
  <c r="L64" i="1"/>
  <c r="M64" i="1"/>
  <c r="N64" i="1" s="1"/>
  <c r="Y64" i="1"/>
  <c r="Z64" i="1"/>
  <c r="AB64" i="1"/>
  <c r="AC64" i="1"/>
  <c r="AD64" i="1"/>
  <c r="AG64" i="1" s="1"/>
  <c r="AE64" i="1"/>
  <c r="AF64" i="1"/>
  <c r="AH64" i="1"/>
  <c r="K65" i="1"/>
  <c r="L65" i="1"/>
  <c r="M65" i="1"/>
  <c r="N65" i="1" s="1"/>
  <c r="Y65" i="1"/>
  <c r="Z65" i="1"/>
  <c r="AB65" i="1"/>
  <c r="AC65" i="1"/>
  <c r="AD65" i="1"/>
  <c r="AE65" i="1"/>
  <c r="AF65" i="1"/>
  <c r="AH65" i="1"/>
  <c r="K66" i="1"/>
  <c r="L66" i="1"/>
  <c r="M66" i="1"/>
  <c r="N66" i="1" s="1"/>
  <c r="Y66" i="1"/>
  <c r="Z66" i="1"/>
  <c r="AB66" i="1"/>
  <c r="AC66" i="1"/>
  <c r="AD66" i="1"/>
  <c r="T66" i="1" s="1"/>
  <c r="AE66" i="1"/>
  <c r="R30" i="3" s="1"/>
  <c r="AF66" i="1"/>
  <c r="AH66" i="1"/>
  <c r="K67" i="1"/>
  <c r="L67" i="1"/>
  <c r="M67" i="1"/>
  <c r="N67" i="1" s="1"/>
  <c r="Y67" i="1"/>
  <c r="Z67" i="1"/>
  <c r="AB67" i="1"/>
  <c r="AC67" i="1"/>
  <c r="AD67" i="1"/>
  <c r="T67" i="1" s="1"/>
  <c r="AE67" i="1"/>
  <c r="AF67" i="1"/>
  <c r="AH67" i="1"/>
  <c r="K68" i="1"/>
  <c r="L68" i="1"/>
  <c r="M68" i="1"/>
  <c r="N68" i="1" s="1"/>
  <c r="Y68" i="1"/>
  <c r="Z68" i="1"/>
  <c r="AB68" i="1"/>
  <c r="AC68" i="1"/>
  <c r="AD68" i="1"/>
  <c r="AG68" i="1" s="1"/>
  <c r="AE68" i="1"/>
  <c r="AF68" i="1"/>
  <c r="AH68" i="1"/>
  <c r="K69" i="1"/>
  <c r="L69" i="1"/>
  <c r="M69" i="1"/>
  <c r="N69" i="1" s="1"/>
  <c r="Y69" i="1"/>
  <c r="Z69" i="1"/>
  <c r="AB69" i="1"/>
  <c r="AC69" i="1"/>
  <c r="AD69" i="1"/>
  <c r="AE69" i="1"/>
  <c r="AF69" i="1"/>
  <c r="AH69" i="1"/>
  <c r="K70" i="1"/>
  <c r="L70" i="1"/>
  <c r="M70" i="1"/>
  <c r="N70" i="1" s="1"/>
  <c r="Y70" i="1"/>
  <c r="Z70" i="1"/>
  <c r="AB70" i="1"/>
  <c r="AC70" i="1"/>
  <c r="AD70" i="1"/>
  <c r="T70" i="1" s="1"/>
  <c r="AE70" i="1"/>
  <c r="AF70" i="1"/>
  <c r="AH70" i="1"/>
  <c r="K71" i="1"/>
  <c r="L71" i="1"/>
  <c r="M71" i="1"/>
  <c r="N71" i="1" s="1"/>
  <c r="Y71" i="1"/>
  <c r="Z71" i="1"/>
  <c r="AB71" i="1"/>
  <c r="AC71" i="1"/>
  <c r="AD71" i="1"/>
  <c r="AE71" i="1"/>
  <c r="AF71" i="1"/>
  <c r="AH71" i="1"/>
  <c r="K72" i="1"/>
  <c r="L72" i="1"/>
  <c r="M72" i="1"/>
  <c r="N72" i="1" s="1"/>
  <c r="Y72" i="1"/>
  <c r="Z72" i="1"/>
  <c r="AB72" i="1"/>
  <c r="AC72" i="1"/>
  <c r="AD72" i="1"/>
  <c r="T72" i="1" s="1"/>
  <c r="AE72" i="1"/>
  <c r="AF72" i="1"/>
  <c r="AH72" i="1"/>
  <c r="K73" i="1"/>
  <c r="L73" i="1"/>
  <c r="M73" i="1"/>
  <c r="N73" i="1" s="1"/>
  <c r="Y73" i="1"/>
  <c r="Z73" i="1"/>
  <c r="AB73" i="1"/>
  <c r="AC73" i="1"/>
  <c r="AD73" i="1"/>
  <c r="T73" i="1" s="1"/>
  <c r="AE73" i="1"/>
  <c r="AF73" i="1"/>
  <c r="AH73" i="1"/>
  <c r="K74" i="1"/>
  <c r="L74" i="1"/>
  <c r="M74" i="1"/>
  <c r="N74" i="1" s="1"/>
  <c r="Y74" i="1"/>
  <c r="Z74" i="1"/>
  <c r="AB74" i="1"/>
  <c r="AC74" i="1"/>
  <c r="AD74" i="1"/>
  <c r="T74" i="1" s="1"/>
  <c r="AE74" i="1"/>
  <c r="AF74" i="1"/>
  <c r="AH74" i="1"/>
  <c r="K75" i="1"/>
  <c r="L75" i="1"/>
  <c r="M75" i="1"/>
  <c r="N75" i="1" s="1"/>
  <c r="Y75" i="1"/>
  <c r="Z75" i="1"/>
  <c r="AB75" i="1"/>
  <c r="AC75" i="1"/>
  <c r="AD75" i="1"/>
  <c r="AE75" i="1"/>
  <c r="AF75" i="1"/>
  <c r="AH75" i="1"/>
  <c r="K76" i="1"/>
  <c r="L76" i="1"/>
  <c r="M76" i="1"/>
  <c r="N76" i="1" s="1"/>
  <c r="Y76" i="1"/>
  <c r="Z76" i="1"/>
  <c r="AB76" i="1"/>
  <c r="AC76" i="1"/>
  <c r="AD76" i="1"/>
  <c r="AG76" i="1" s="1"/>
  <c r="AE76" i="1"/>
  <c r="AF76" i="1"/>
  <c r="AH76" i="1"/>
  <c r="K77" i="1"/>
  <c r="L77" i="1"/>
  <c r="M77" i="1"/>
  <c r="N77" i="1" s="1"/>
  <c r="Y77" i="1"/>
  <c r="Z77" i="1"/>
  <c r="AB77" i="1"/>
  <c r="AC77" i="1"/>
  <c r="AD77" i="1"/>
  <c r="AG77" i="1" s="1"/>
  <c r="AE77" i="1"/>
  <c r="AF77" i="1"/>
  <c r="AH77" i="1"/>
  <c r="K78" i="1"/>
  <c r="L78" i="1"/>
  <c r="M78" i="1"/>
  <c r="N78" i="1" s="1"/>
  <c r="Y78" i="1"/>
  <c r="Z78" i="1"/>
  <c r="AB78" i="1"/>
  <c r="AC78" i="1"/>
  <c r="AD78" i="1"/>
  <c r="T78" i="1" s="1"/>
  <c r="AE78" i="1"/>
  <c r="R25" i="3" s="1"/>
  <c r="AF78" i="1"/>
  <c r="AH78" i="1"/>
  <c r="K79" i="1"/>
  <c r="L79" i="1"/>
  <c r="M79" i="1"/>
  <c r="N79" i="1" s="1"/>
  <c r="Y79" i="1"/>
  <c r="Z79" i="1"/>
  <c r="AB79" i="1"/>
  <c r="AC79" i="1"/>
  <c r="AD79" i="1"/>
  <c r="AE79" i="1"/>
  <c r="AF79" i="1"/>
  <c r="AH79" i="1"/>
  <c r="K80" i="1"/>
  <c r="L80" i="1"/>
  <c r="M80" i="1"/>
  <c r="N80" i="1" s="1"/>
  <c r="Y80" i="1"/>
  <c r="Z80" i="1"/>
  <c r="AB80" i="1"/>
  <c r="AC80" i="1"/>
  <c r="AD80" i="1"/>
  <c r="AG80" i="1" s="1"/>
  <c r="AE80" i="1"/>
  <c r="R26" i="3" s="1"/>
  <c r="AF80" i="1"/>
  <c r="AH80" i="1"/>
  <c r="K81" i="1"/>
  <c r="L81" i="1"/>
  <c r="M81" i="1"/>
  <c r="N81" i="1" s="1"/>
  <c r="Y81" i="1"/>
  <c r="Z81" i="1"/>
  <c r="AB81" i="1"/>
  <c r="AC81" i="1"/>
  <c r="AD81" i="1"/>
  <c r="T81" i="1" s="1"/>
  <c r="AE81" i="1"/>
  <c r="AF81" i="1"/>
  <c r="AH81" i="1"/>
  <c r="K82" i="1"/>
  <c r="L82" i="1"/>
  <c r="M82" i="1"/>
  <c r="N82" i="1" s="1"/>
  <c r="Y82" i="1"/>
  <c r="Z82" i="1"/>
  <c r="AB82" i="1"/>
  <c r="AC82" i="1"/>
  <c r="AD82" i="1"/>
  <c r="T82" i="1" s="1"/>
  <c r="AE82" i="1"/>
  <c r="AF82" i="1"/>
  <c r="AH82" i="1"/>
  <c r="K83" i="1"/>
  <c r="L83" i="1"/>
  <c r="M83" i="1"/>
  <c r="N83" i="1" s="1"/>
  <c r="Y83" i="1"/>
  <c r="Z83" i="1"/>
  <c r="AB83" i="1"/>
  <c r="AC83" i="1"/>
  <c r="AD83" i="1"/>
  <c r="AE83" i="1"/>
  <c r="R32" i="3" s="1"/>
  <c r="AF83" i="1"/>
  <c r="AH83" i="1"/>
  <c r="K84" i="1"/>
  <c r="L84" i="1"/>
  <c r="M84" i="1"/>
  <c r="N84" i="1" s="1"/>
  <c r="Y84" i="1"/>
  <c r="Z84" i="1"/>
  <c r="AB84" i="1"/>
  <c r="AC84" i="1"/>
  <c r="AD84" i="1"/>
  <c r="T84" i="1" s="1"/>
  <c r="AE84" i="1"/>
  <c r="AF84" i="1"/>
  <c r="AH84" i="1"/>
  <c r="K85" i="1"/>
  <c r="L85" i="1"/>
  <c r="M85" i="1"/>
  <c r="N85" i="1" s="1"/>
  <c r="Y85" i="1"/>
  <c r="Z85" i="1"/>
  <c r="AB85" i="1"/>
  <c r="AC85" i="1"/>
  <c r="AD85" i="1"/>
  <c r="AE85" i="1"/>
  <c r="AF85" i="1"/>
  <c r="AH85" i="1"/>
  <c r="K86" i="1"/>
  <c r="L86" i="1"/>
  <c r="M86" i="1"/>
  <c r="N86" i="1" s="1"/>
  <c r="Y86" i="1"/>
  <c r="Z86" i="1"/>
  <c r="AB86" i="1"/>
  <c r="AC86" i="1"/>
  <c r="AD86" i="1"/>
  <c r="T86" i="1" s="1"/>
  <c r="AE86" i="1"/>
  <c r="AF86" i="1"/>
  <c r="AH86" i="1"/>
  <c r="K87" i="1"/>
  <c r="L87" i="1"/>
  <c r="M87" i="1"/>
  <c r="N87" i="1" s="1"/>
  <c r="Y87" i="1"/>
  <c r="Z87" i="1"/>
  <c r="AB87" i="1"/>
  <c r="AC87" i="1"/>
  <c r="AD87" i="1"/>
  <c r="AE87" i="1"/>
  <c r="AF87" i="1"/>
  <c r="AH87" i="1"/>
  <c r="K88" i="1"/>
  <c r="L88" i="1"/>
  <c r="M88" i="1"/>
  <c r="N88" i="1" s="1"/>
  <c r="Y88" i="1"/>
  <c r="Z88" i="1"/>
  <c r="AB88" i="1"/>
  <c r="AC88" i="1"/>
  <c r="AD88" i="1"/>
  <c r="T88" i="1" s="1"/>
  <c r="AE88" i="1"/>
  <c r="AF88" i="1"/>
  <c r="AH88" i="1"/>
  <c r="K89" i="1"/>
  <c r="L89" i="1"/>
  <c r="M89" i="1"/>
  <c r="N89" i="1" s="1"/>
  <c r="Y89" i="1"/>
  <c r="Z89" i="1"/>
  <c r="AB89" i="1"/>
  <c r="AC89" i="1"/>
  <c r="AD89" i="1"/>
  <c r="AE89" i="1"/>
  <c r="AF89" i="1"/>
  <c r="AH89" i="1"/>
  <c r="K90" i="1"/>
  <c r="L90" i="1"/>
  <c r="M90" i="1"/>
  <c r="N90" i="1" s="1"/>
  <c r="Y90" i="1"/>
  <c r="Z90" i="1"/>
  <c r="AB90" i="1"/>
  <c r="AC90" i="1"/>
  <c r="AD90" i="1"/>
  <c r="AE90" i="1"/>
  <c r="AF90" i="1"/>
  <c r="AH90" i="1"/>
  <c r="K91" i="1"/>
  <c r="L91" i="1"/>
  <c r="M91" i="1"/>
  <c r="N91" i="1" s="1"/>
  <c r="Y91" i="1"/>
  <c r="Z91" i="1"/>
  <c r="AB91" i="1"/>
  <c r="AC91" i="1"/>
  <c r="AD91" i="1"/>
  <c r="AG91" i="1" s="1"/>
  <c r="AE91" i="1"/>
  <c r="AF91" i="1"/>
  <c r="AH91" i="1"/>
  <c r="K92" i="1"/>
  <c r="L92" i="1"/>
  <c r="M92" i="1"/>
  <c r="N92" i="1" s="1"/>
  <c r="Y92" i="1"/>
  <c r="Z92" i="1"/>
  <c r="AB92" i="1"/>
  <c r="AC92" i="1"/>
  <c r="AD92" i="1"/>
  <c r="T92" i="1" s="1"/>
  <c r="AE92" i="1"/>
  <c r="AF92" i="1"/>
  <c r="AH92" i="1"/>
  <c r="K93" i="1"/>
  <c r="L93" i="1"/>
  <c r="M93" i="1"/>
  <c r="N93" i="1" s="1"/>
  <c r="Y93" i="1"/>
  <c r="Z93" i="1"/>
  <c r="AB93" i="1"/>
  <c r="AC93" i="1"/>
  <c r="AD93" i="1"/>
  <c r="AG93" i="1" s="1"/>
  <c r="AE93" i="1"/>
  <c r="AF93" i="1"/>
  <c r="AH93" i="1"/>
  <c r="K94" i="1"/>
  <c r="L94" i="1"/>
  <c r="M94" i="1"/>
  <c r="N94" i="1" s="1"/>
  <c r="Y94" i="1"/>
  <c r="Z94" i="1"/>
  <c r="AA94" i="1" s="1"/>
  <c r="W94" i="1" s="1"/>
  <c r="AB94" i="1"/>
  <c r="AC94" i="1"/>
  <c r="AD94" i="1"/>
  <c r="AG94" i="1" s="1"/>
  <c r="AE94" i="1"/>
  <c r="AF94" i="1"/>
  <c r="AH94" i="1"/>
  <c r="K161" i="1"/>
  <c r="L161" i="1"/>
  <c r="M161" i="1"/>
  <c r="N161" i="1" s="1"/>
  <c r="Y161" i="1"/>
  <c r="Z161" i="1"/>
  <c r="AB161" i="1"/>
  <c r="AC161" i="1"/>
  <c r="AD161" i="1"/>
  <c r="AG161" i="1" s="1"/>
  <c r="AE161" i="1"/>
  <c r="AF161" i="1"/>
  <c r="AH95" i="1"/>
  <c r="K162" i="1"/>
  <c r="L162" i="1"/>
  <c r="M162" i="1"/>
  <c r="N162" i="1" s="1"/>
  <c r="Y162" i="1"/>
  <c r="Z162" i="1"/>
  <c r="AB162" i="1"/>
  <c r="AC162" i="1"/>
  <c r="AD162" i="1"/>
  <c r="X162" i="1" s="1"/>
  <c r="AE162" i="1"/>
  <c r="AF162" i="1"/>
  <c r="AH96" i="1"/>
  <c r="K163" i="1"/>
  <c r="L163" i="1"/>
  <c r="M163" i="1"/>
  <c r="N163" i="1" s="1"/>
  <c r="Y163" i="1"/>
  <c r="Z163" i="1"/>
  <c r="AB163" i="1"/>
  <c r="AC163" i="1"/>
  <c r="AD163" i="1"/>
  <c r="T163" i="1" s="1"/>
  <c r="AE163" i="1"/>
  <c r="AF163" i="1"/>
  <c r="AH97" i="1"/>
  <c r="K164" i="1"/>
  <c r="L164" i="1"/>
  <c r="M164" i="1"/>
  <c r="N164" i="1" s="1"/>
  <c r="Y164" i="1"/>
  <c r="Z164" i="1"/>
  <c r="AA164" i="1" s="1"/>
  <c r="W164" i="1" s="1"/>
  <c r="AB164" i="1"/>
  <c r="AC164" i="1"/>
  <c r="AD164" i="1"/>
  <c r="AG164" i="1" s="1"/>
  <c r="AE164" i="1"/>
  <c r="AF164" i="1"/>
  <c r="AH98" i="1"/>
  <c r="K165" i="1"/>
  <c r="L165" i="1"/>
  <c r="M165" i="1"/>
  <c r="N165" i="1" s="1"/>
  <c r="Y165" i="1"/>
  <c r="Z165" i="1"/>
  <c r="AB165" i="1"/>
  <c r="AC165" i="1"/>
  <c r="AD165" i="1"/>
  <c r="AE165" i="1"/>
  <c r="AF165" i="1"/>
  <c r="AH99" i="1"/>
  <c r="K166" i="1"/>
  <c r="L166" i="1"/>
  <c r="M166" i="1"/>
  <c r="N166" i="1" s="1"/>
  <c r="Y166" i="1"/>
  <c r="Z166" i="1"/>
  <c r="AB166" i="1"/>
  <c r="AC166" i="1"/>
  <c r="AD166" i="1"/>
  <c r="T166" i="1" s="1"/>
  <c r="AE166" i="1"/>
  <c r="AF166" i="1"/>
  <c r="AH100" i="1"/>
  <c r="K167" i="1"/>
  <c r="L167" i="1"/>
  <c r="M167" i="1"/>
  <c r="N167" i="1" s="1"/>
  <c r="Y167" i="1"/>
  <c r="Z167" i="1"/>
  <c r="AB167" i="1"/>
  <c r="AC167" i="1"/>
  <c r="AD167" i="1"/>
  <c r="X167" i="1" s="1"/>
  <c r="AE167" i="1"/>
  <c r="AF167" i="1"/>
  <c r="AH101" i="1"/>
  <c r="K168" i="1"/>
  <c r="L168" i="1"/>
  <c r="M168" i="1"/>
  <c r="N168" i="1" s="1"/>
  <c r="Y168" i="1"/>
  <c r="Z168" i="1"/>
  <c r="AB168" i="1"/>
  <c r="AC168" i="1"/>
  <c r="AD168" i="1"/>
  <c r="AG168" i="1" s="1"/>
  <c r="AE168" i="1"/>
  <c r="AF168" i="1"/>
  <c r="AH102" i="1"/>
  <c r="K169" i="1"/>
  <c r="L169" i="1"/>
  <c r="M169" i="1"/>
  <c r="N169" i="1" s="1"/>
  <c r="Y169" i="1"/>
  <c r="Z169" i="1"/>
  <c r="AA169" i="1" s="1"/>
  <c r="AB169" i="1"/>
  <c r="AC169" i="1"/>
  <c r="AD169" i="1"/>
  <c r="AE169" i="1"/>
  <c r="AF169" i="1"/>
  <c r="AH103" i="1"/>
  <c r="K170" i="1"/>
  <c r="L170" i="1"/>
  <c r="M170" i="1"/>
  <c r="N170" i="1" s="1"/>
  <c r="Y170" i="1"/>
  <c r="Z170" i="1"/>
  <c r="AB170" i="1"/>
  <c r="AC170" i="1"/>
  <c r="AD170" i="1"/>
  <c r="T170" i="1" s="1"/>
  <c r="AE170" i="1"/>
  <c r="AF170" i="1"/>
  <c r="AH104" i="1"/>
  <c r="K95" i="1"/>
  <c r="L95" i="1"/>
  <c r="M95" i="1"/>
  <c r="N95" i="1" s="1"/>
  <c r="Y95" i="1"/>
  <c r="Z95" i="1"/>
  <c r="AB95" i="1"/>
  <c r="AC95" i="1"/>
  <c r="AD95" i="1"/>
  <c r="AG95" i="1" s="1"/>
  <c r="AE95" i="1"/>
  <c r="AF95" i="1"/>
  <c r="AH105" i="1"/>
  <c r="K171" i="1"/>
  <c r="L171" i="1"/>
  <c r="M171" i="1"/>
  <c r="N171" i="1" s="1"/>
  <c r="Y171" i="1"/>
  <c r="Z171" i="1"/>
  <c r="AB171" i="1"/>
  <c r="AC171" i="1"/>
  <c r="AD171" i="1"/>
  <c r="AE171" i="1"/>
  <c r="AF171" i="1"/>
  <c r="AH106" i="1"/>
  <c r="K172" i="1"/>
  <c r="L172" i="1"/>
  <c r="M172" i="1"/>
  <c r="N172" i="1" s="1"/>
  <c r="Y172" i="1"/>
  <c r="Z172" i="1"/>
  <c r="AB172" i="1"/>
  <c r="AC172" i="1"/>
  <c r="AD172" i="1"/>
  <c r="AG172" i="1" s="1"/>
  <c r="AE172" i="1"/>
  <c r="AF172" i="1"/>
  <c r="AH107" i="1"/>
  <c r="K173" i="1"/>
  <c r="L173" i="1"/>
  <c r="M173" i="1"/>
  <c r="N173" i="1" s="1"/>
  <c r="Y173" i="1"/>
  <c r="Z173" i="1"/>
  <c r="AB173" i="1"/>
  <c r="AC173" i="1"/>
  <c r="AD173" i="1"/>
  <c r="T173" i="1" s="1"/>
  <c r="AE173" i="1"/>
  <c r="AF173" i="1"/>
  <c r="AH108" i="1"/>
  <c r="K174" i="1"/>
  <c r="L174" i="1"/>
  <c r="M174" i="1"/>
  <c r="N174" i="1" s="1"/>
  <c r="Y174" i="1"/>
  <c r="Z174" i="1"/>
  <c r="AB174" i="1"/>
  <c r="AC174" i="1"/>
  <c r="AD174" i="1"/>
  <c r="T174" i="1" s="1"/>
  <c r="AE174" i="1"/>
  <c r="AF174" i="1"/>
  <c r="AH109" i="1"/>
  <c r="K175" i="1"/>
  <c r="L175" i="1"/>
  <c r="M175" i="1"/>
  <c r="N175" i="1" s="1"/>
  <c r="Y175" i="1"/>
  <c r="Z175" i="1"/>
  <c r="AB175" i="1"/>
  <c r="AC175" i="1"/>
  <c r="AD175" i="1"/>
  <c r="AG175" i="1" s="1"/>
  <c r="AE175" i="1"/>
  <c r="AF175" i="1"/>
  <c r="AH110" i="1"/>
  <c r="AH111" i="1"/>
  <c r="K176" i="1"/>
  <c r="L176" i="1"/>
  <c r="M176" i="1"/>
  <c r="N176" i="1" s="1"/>
  <c r="Y176" i="1"/>
  <c r="Z176" i="1"/>
  <c r="AB176" i="1"/>
  <c r="AC176" i="1"/>
  <c r="AD176" i="1"/>
  <c r="X176" i="1" s="1"/>
  <c r="AE176" i="1"/>
  <c r="AF176" i="1"/>
  <c r="AH112" i="1"/>
  <c r="K177" i="1"/>
  <c r="L177" i="1"/>
  <c r="M177" i="1"/>
  <c r="N177" i="1" s="1"/>
  <c r="Y177" i="1"/>
  <c r="Z177" i="1"/>
  <c r="AB177" i="1"/>
  <c r="AC177" i="1"/>
  <c r="AD177" i="1"/>
  <c r="T177" i="1" s="1"/>
  <c r="AE177" i="1"/>
  <c r="AF177" i="1"/>
  <c r="AH113" i="1"/>
  <c r="K178" i="1"/>
  <c r="L178" i="1"/>
  <c r="M178" i="1"/>
  <c r="N178" i="1" s="1"/>
  <c r="Y178" i="1"/>
  <c r="Z178" i="1"/>
  <c r="AB178" i="1"/>
  <c r="AC178" i="1"/>
  <c r="AD178" i="1"/>
  <c r="AG178" i="1" s="1"/>
  <c r="AE178" i="1"/>
  <c r="AF178" i="1"/>
  <c r="AH114" i="1"/>
  <c r="K179" i="1"/>
  <c r="L179" i="1"/>
  <c r="M179" i="1"/>
  <c r="N179" i="1" s="1"/>
  <c r="Y179" i="1"/>
  <c r="Z179" i="1"/>
  <c r="AB179" i="1"/>
  <c r="AC179" i="1"/>
  <c r="AD179" i="1"/>
  <c r="X179" i="1" s="1"/>
  <c r="AE179" i="1"/>
  <c r="AF179" i="1"/>
  <c r="AH115" i="1"/>
  <c r="K180" i="1"/>
  <c r="L180" i="1"/>
  <c r="M180" i="1"/>
  <c r="N180" i="1" s="1"/>
  <c r="Y180" i="1"/>
  <c r="Z180" i="1"/>
  <c r="AB180" i="1"/>
  <c r="AC180" i="1"/>
  <c r="AD180" i="1"/>
  <c r="T180" i="1" s="1"/>
  <c r="AE180" i="1"/>
  <c r="AF180" i="1"/>
  <c r="AH116" i="1"/>
  <c r="K96" i="1"/>
  <c r="L96" i="1"/>
  <c r="M96" i="1"/>
  <c r="N96" i="1" s="1"/>
  <c r="Y96" i="1"/>
  <c r="Z96" i="1"/>
  <c r="AB96" i="1"/>
  <c r="AC96" i="1"/>
  <c r="AD96" i="1"/>
  <c r="AE96" i="1"/>
  <c r="AF96" i="1"/>
  <c r="AH117" i="1"/>
  <c r="K181" i="1"/>
  <c r="L181" i="1"/>
  <c r="M181" i="1"/>
  <c r="N181" i="1" s="1"/>
  <c r="Y181" i="1"/>
  <c r="Z181" i="1"/>
  <c r="AB181" i="1"/>
  <c r="AC181" i="1"/>
  <c r="AD181" i="1"/>
  <c r="AG181" i="1" s="1"/>
  <c r="AE181" i="1"/>
  <c r="R36" i="3" s="1"/>
  <c r="AF181" i="1"/>
  <c r="AH118" i="1"/>
  <c r="K182" i="1"/>
  <c r="L182" i="1"/>
  <c r="M182" i="1"/>
  <c r="N182" i="1" s="1"/>
  <c r="Y182" i="1"/>
  <c r="Z182" i="1"/>
  <c r="AB182" i="1"/>
  <c r="AC182" i="1"/>
  <c r="AD182" i="1"/>
  <c r="X182" i="1" s="1"/>
  <c r="AE182" i="1"/>
  <c r="R37" i="3" s="1"/>
  <c r="AF182" i="1"/>
  <c r="AH119" i="1"/>
  <c r="K183" i="1"/>
  <c r="L183" i="1"/>
  <c r="M183" i="1"/>
  <c r="N183" i="1" s="1"/>
  <c r="Y183" i="1"/>
  <c r="Z183" i="1"/>
  <c r="AB183" i="1"/>
  <c r="AC183" i="1"/>
  <c r="AD183" i="1"/>
  <c r="T183" i="1" s="1"/>
  <c r="AE183" i="1"/>
  <c r="AF183" i="1"/>
  <c r="AH120" i="1"/>
  <c r="K184" i="1"/>
  <c r="L184" i="1"/>
  <c r="M184" i="1"/>
  <c r="N184" i="1" s="1"/>
  <c r="Y184" i="1"/>
  <c r="Z184" i="1"/>
  <c r="AB184" i="1"/>
  <c r="AC184" i="1"/>
  <c r="AD184" i="1"/>
  <c r="T184" i="1" s="1"/>
  <c r="AE184" i="1"/>
  <c r="AF184" i="1"/>
  <c r="AH121" i="1"/>
  <c r="K185" i="1"/>
  <c r="L185" i="1"/>
  <c r="M185" i="1"/>
  <c r="N185" i="1" s="1"/>
  <c r="Y185" i="1"/>
  <c r="Z185" i="1"/>
  <c r="AB185" i="1"/>
  <c r="AC185" i="1"/>
  <c r="AD185" i="1"/>
  <c r="AE185" i="1"/>
  <c r="AF185" i="1"/>
  <c r="AH122" i="1"/>
  <c r="K186" i="1"/>
  <c r="L186" i="1"/>
  <c r="M186" i="1"/>
  <c r="N186" i="1" s="1"/>
  <c r="Y186" i="1"/>
  <c r="Z186" i="1"/>
  <c r="AB186" i="1"/>
  <c r="AC186" i="1"/>
  <c r="AD186" i="1"/>
  <c r="AG186" i="1" s="1"/>
  <c r="AE186" i="1"/>
  <c r="AF186" i="1"/>
  <c r="AH123" i="1"/>
  <c r="K187" i="1"/>
  <c r="L187" i="1"/>
  <c r="M187" i="1"/>
  <c r="N187" i="1" s="1"/>
  <c r="Y187" i="1"/>
  <c r="Z187" i="1"/>
  <c r="AB187" i="1"/>
  <c r="AC187" i="1"/>
  <c r="AD187" i="1"/>
  <c r="AE187" i="1"/>
  <c r="R34" i="3" s="1"/>
  <c r="AF187" i="1"/>
  <c r="AH124" i="1"/>
  <c r="K188" i="1"/>
  <c r="L188" i="1"/>
  <c r="M188" i="1"/>
  <c r="N188" i="1" s="1"/>
  <c r="Y188" i="1"/>
  <c r="Z188" i="1"/>
  <c r="AB188" i="1"/>
  <c r="AC188" i="1"/>
  <c r="AD188" i="1"/>
  <c r="AG188" i="1" s="1"/>
  <c r="AE188" i="1"/>
  <c r="AF188" i="1"/>
  <c r="AH125" i="1"/>
  <c r="K189" i="1"/>
  <c r="L189" i="1"/>
  <c r="M189" i="1"/>
  <c r="N189" i="1" s="1"/>
  <c r="Y189" i="1"/>
  <c r="Z189" i="1"/>
  <c r="AB189" i="1"/>
  <c r="AC189" i="1"/>
  <c r="AD189" i="1"/>
  <c r="AG189" i="1" s="1"/>
  <c r="AE189" i="1"/>
  <c r="AF189" i="1"/>
  <c r="AH126" i="1"/>
  <c r="K190" i="1"/>
  <c r="L190" i="1"/>
  <c r="M190" i="1"/>
  <c r="N190" i="1" s="1"/>
  <c r="Y190" i="1"/>
  <c r="Z190" i="1"/>
  <c r="AB190" i="1"/>
  <c r="AC190" i="1"/>
  <c r="AD190" i="1"/>
  <c r="AG190" i="1" s="1"/>
  <c r="AE190" i="1"/>
  <c r="AF190" i="1"/>
  <c r="AH127" i="1"/>
  <c r="K97" i="1"/>
  <c r="L97" i="1"/>
  <c r="M97" i="1"/>
  <c r="N97" i="1" s="1"/>
  <c r="Y97" i="1"/>
  <c r="Z97" i="1"/>
  <c r="AB97" i="1"/>
  <c r="AC97" i="1"/>
  <c r="AD97" i="1"/>
  <c r="AG97" i="1" s="1"/>
  <c r="AE97" i="1"/>
  <c r="AF97" i="1"/>
  <c r="AH128" i="1"/>
  <c r="K191" i="1"/>
  <c r="L191" i="1"/>
  <c r="M191" i="1"/>
  <c r="N191" i="1" s="1"/>
  <c r="Y191" i="1"/>
  <c r="Z191" i="1"/>
  <c r="AB191" i="1"/>
  <c r="AC191" i="1"/>
  <c r="AD191" i="1"/>
  <c r="T191" i="1" s="1"/>
  <c r="AE191" i="1"/>
  <c r="AF191" i="1"/>
  <c r="AH129" i="1"/>
  <c r="K192" i="1"/>
  <c r="L192" i="1"/>
  <c r="M192" i="1"/>
  <c r="N192" i="1" s="1"/>
  <c r="Y192" i="1"/>
  <c r="Z192" i="1"/>
  <c r="AB192" i="1"/>
  <c r="AC192" i="1"/>
  <c r="AD192" i="1"/>
  <c r="AE192" i="1"/>
  <c r="AF192" i="1"/>
  <c r="AH130" i="1"/>
  <c r="K193" i="1"/>
  <c r="L193" i="1"/>
  <c r="M193" i="1"/>
  <c r="N193" i="1" s="1"/>
  <c r="Y193" i="1"/>
  <c r="Z193" i="1"/>
  <c r="AB193" i="1"/>
  <c r="AC193" i="1"/>
  <c r="AD193" i="1"/>
  <c r="T193" i="1" s="1"/>
  <c r="AE193" i="1"/>
  <c r="AF193" i="1"/>
  <c r="AH131" i="1"/>
  <c r="K194" i="1"/>
  <c r="L194" i="1"/>
  <c r="M194" i="1"/>
  <c r="N194" i="1" s="1"/>
  <c r="Y194" i="1"/>
  <c r="Z194" i="1"/>
  <c r="AB194" i="1"/>
  <c r="AC194" i="1"/>
  <c r="AD194" i="1"/>
  <c r="T194" i="1" s="1"/>
  <c r="AE194" i="1"/>
  <c r="R33" i="3" s="1"/>
  <c r="AF194" i="1"/>
  <c r="AH132" i="1"/>
  <c r="K98" i="1"/>
  <c r="L98" i="1"/>
  <c r="M98" i="1"/>
  <c r="N98" i="1" s="1"/>
  <c r="Y98" i="1"/>
  <c r="Z98" i="1"/>
  <c r="AA98" i="1" s="1"/>
  <c r="AB98" i="1"/>
  <c r="AC98" i="1"/>
  <c r="AD98" i="1"/>
  <c r="T98" i="1" s="1"/>
  <c r="AE98" i="1"/>
  <c r="AF98" i="1"/>
  <c r="AH133" i="1"/>
  <c r="K99" i="1"/>
  <c r="L99" i="1"/>
  <c r="M99" i="1"/>
  <c r="N99" i="1" s="1"/>
  <c r="Y99" i="1"/>
  <c r="Z99" i="1"/>
  <c r="AB99" i="1"/>
  <c r="AC99" i="1"/>
  <c r="AD99" i="1"/>
  <c r="AE99" i="1"/>
  <c r="R9" i="3" s="1"/>
  <c r="AF99" i="1"/>
  <c r="AH134" i="1"/>
  <c r="K100" i="1"/>
  <c r="L100" i="1"/>
  <c r="M100" i="1"/>
  <c r="N100" i="1" s="1"/>
  <c r="Y100" i="1"/>
  <c r="Z100" i="1"/>
  <c r="AB100" i="1"/>
  <c r="AC100" i="1"/>
  <c r="AD100" i="1"/>
  <c r="T100" i="1" s="1"/>
  <c r="AE100" i="1"/>
  <c r="AF100" i="1"/>
  <c r="AH135" i="1"/>
  <c r="K101" i="1"/>
  <c r="L101" i="1"/>
  <c r="M101" i="1"/>
  <c r="N101" i="1" s="1"/>
  <c r="Y101" i="1"/>
  <c r="Z101" i="1"/>
  <c r="AB101" i="1"/>
  <c r="AC101" i="1"/>
  <c r="AD101" i="1"/>
  <c r="T101" i="1" s="1"/>
  <c r="AE101" i="1"/>
  <c r="AF101" i="1"/>
  <c r="AH136" i="1"/>
  <c r="K102" i="1"/>
  <c r="L102" i="1"/>
  <c r="M102" i="1"/>
  <c r="N102" i="1" s="1"/>
  <c r="Y102" i="1"/>
  <c r="Z102" i="1"/>
  <c r="AA102" i="1" s="1"/>
  <c r="AB102" i="1"/>
  <c r="AC102" i="1"/>
  <c r="AD102" i="1"/>
  <c r="T102" i="1" s="1"/>
  <c r="AE102" i="1"/>
  <c r="R31" i="3" s="1"/>
  <c r="AF102" i="1"/>
  <c r="AH137" i="1"/>
  <c r="K103" i="1"/>
  <c r="L103" i="1"/>
  <c r="M103" i="1"/>
  <c r="N103" i="1" s="1"/>
  <c r="Y103" i="1"/>
  <c r="Z103" i="1"/>
  <c r="AB103" i="1"/>
  <c r="AC103" i="1"/>
  <c r="AD103" i="1"/>
  <c r="AE103" i="1"/>
  <c r="AF103" i="1"/>
  <c r="AH138" i="1"/>
  <c r="K104" i="1"/>
  <c r="L104" i="1"/>
  <c r="M104" i="1"/>
  <c r="N104" i="1" s="1"/>
  <c r="Y104" i="1"/>
  <c r="Z104" i="1"/>
  <c r="AB104" i="1"/>
  <c r="AC104" i="1"/>
  <c r="AD104" i="1"/>
  <c r="AG104" i="1" s="1"/>
  <c r="AE104" i="1"/>
  <c r="AF104" i="1"/>
  <c r="AH139" i="1"/>
  <c r="K209" i="1"/>
  <c r="L209" i="1"/>
  <c r="M209" i="1"/>
  <c r="N209" i="1" s="1"/>
  <c r="Y209" i="1"/>
  <c r="Z209" i="1"/>
  <c r="AB209" i="1"/>
  <c r="AC209" i="1"/>
  <c r="AD209" i="1"/>
  <c r="AG209" i="1" s="1"/>
  <c r="AE209" i="1"/>
  <c r="AF209" i="1"/>
  <c r="AH140" i="1"/>
  <c r="K210" i="1"/>
  <c r="L210" i="1"/>
  <c r="M210" i="1"/>
  <c r="N210" i="1" s="1"/>
  <c r="Y210" i="1"/>
  <c r="Z210" i="1"/>
  <c r="AB210" i="1"/>
  <c r="AC210" i="1"/>
  <c r="AD210" i="1"/>
  <c r="T210" i="1" s="1"/>
  <c r="AE210" i="1"/>
  <c r="AF210" i="1"/>
  <c r="AH141" i="1"/>
  <c r="K105" i="1"/>
  <c r="L105" i="1"/>
  <c r="M105" i="1"/>
  <c r="N105" i="1" s="1"/>
  <c r="Y105" i="1"/>
  <c r="Z105" i="1"/>
  <c r="AB105" i="1"/>
  <c r="AC105" i="1"/>
  <c r="AD105" i="1"/>
  <c r="AE105" i="1"/>
  <c r="R20" i="3" s="1"/>
  <c r="AF105" i="1"/>
  <c r="AH142" i="1"/>
  <c r="K106" i="1"/>
  <c r="L106" i="1"/>
  <c r="M106" i="1"/>
  <c r="N106" i="1" s="1"/>
  <c r="Y106" i="1"/>
  <c r="Z106" i="1"/>
  <c r="AB106" i="1"/>
  <c r="AC106" i="1"/>
  <c r="AD106" i="1"/>
  <c r="T106" i="1" s="1"/>
  <c r="AE106" i="1"/>
  <c r="AF106" i="1"/>
  <c r="AH143" i="1"/>
  <c r="K107" i="1"/>
  <c r="L107" i="1"/>
  <c r="M107" i="1"/>
  <c r="N107" i="1" s="1"/>
  <c r="Y107" i="1"/>
  <c r="Z107" i="1"/>
  <c r="AB107" i="1"/>
  <c r="AC107" i="1"/>
  <c r="AD107" i="1"/>
  <c r="AE107" i="1"/>
  <c r="AF107" i="1"/>
  <c r="AH144" i="1"/>
  <c r="K108" i="1"/>
  <c r="L108" i="1"/>
  <c r="M108" i="1"/>
  <c r="N108" i="1" s="1"/>
  <c r="Y108" i="1"/>
  <c r="Z108" i="1"/>
  <c r="AB108" i="1"/>
  <c r="AC108" i="1"/>
  <c r="AD108" i="1"/>
  <c r="T108" i="1" s="1"/>
  <c r="AE108" i="1"/>
  <c r="AF108" i="1"/>
  <c r="AH145" i="1"/>
  <c r="K109" i="1"/>
  <c r="L109" i="1"/>
  <c r="M109" i="1"/>
  <c r="P109" i="1" s="1"/>
  <c r="Y109" i="1"/>
  <c r="Z109" i="1"/>
  <c r="AB109" i="1"/>
  <c r="AC109" i="1"/>
  <c r="AD109" i="1"/>
  <c r="AE109" i="1"/>
  <c r="AF109" i="1"/>
  <c r="AH146" i="1"/>
  <c r="K110" i="1"/>
  <c r="L110" i="1"/>
  <c r="M110" i="1"/>
  <c r="N110" i="1" s="1"/>
  <c r="Y110" i="1"/>
  <c r="Z110" i="1"/>
  <c r="AB110" i="1"/>
  <c r="AC110" i="1"/>
  <c r="AD110" i="1"/>
  <c r="T110" i="1" s="1"/>
  <c r="AE110" i="1"/>
  <c r="AF110" i="1"/>
  <c r="AH147" i="1"/>
  <c r="K111" i="1"/>
  <c r="L111" i="1"/>
  <c r="M111" i="1"/>
  <c r="N111" i="1" s="1"/>
  <c r="Y111" i="1"/>
  <c r="Z111" i="1"/>
  <c r="AB111" i="1"/>
  <c r="AC111" i="1"/>
  <c r="AD111" i="1"/>
  <c r="T111" i="1" s="1"/>
  <c r="AE111" i="1"/>
  <c r="AF111" i="1"/>
  <c r="AH148" i="1"/>
  <c r="K112" i="1"/>
  <c r="L112" i="1"/>
  <c r="M112" i="1"/>
  <c r="N112" i="1" s="1"/>
  <c r="Y112" i="1"/>
  <c r="Z112" i="1"/>
  <c r="AB112" i="1"/>
  <c r="AC112" i="1"/>
  <c r="AD112" i="1"/>
  <c r="T112" i="1" s="1"/>
  <c r="AE112" i="1"/>
  <c r="AF112" i="1"/>
  <c r="AH149" i="1"/>
  <c r="K113" i="1"/>
  <c r="L113" i="1"/>
  <c r="M113" i="1"/>
  <c r="N113" i="1" s="1"/>
  <c r="Y113" i="1"/>
  <c r="Z113" i="1"/>
  <c r="AB113" i="1"/>
  <c r="AC113" i="1"/>
  <c r="AD113" i="1"/>
  <c r="AE113" i="1"/>
  <c r="AF113" i="1"/>
  <c r="AH150" i="1"/>
  <c r="K114" i="1"/>
  <c r="L114" i="1"/>
  <c r="M114" i="1"/>
  <c r="N114" i="1" s="1"/>
  <c r="Y114" i="1"/>
  <c r="Z114" i="1"/>
  <c r="AB114" i="1"/>
  <c r="AC114" i="1"/>
  <c r="AD114" i="1"/>
  <c r="T114" i="1" s="1"/>
  <c r="AE114" i="1"/>
  <c r="AF114" i="1"/>
  <c r="AH151" i="1"/>
  <c r="K115" i="1"/>
  <c r="L115" i="1"/>
  <c r="M115" i="1"/>
  <c r="N115" i="1" s="1"/>
  <c r="Y115" i="1"/>
  <c r="Z115" i="1"/>
  <c r="AB115" i="1"/>
  <c r="AC115" i="1"/>
  <c r="AD115" i="1"/>
  <c r="T115" i="1" s="1"/>
  <c r="AE115" i="1"/>
  <c r="R13" i="3" s="1"/>
  <c r="AF115" i="1"/>
  <c r="AH152" i="1"/>
  <c r="K116" i="1"/>
  <c r="L116" i="1"/>
  <c r="M116" i="1"/>
  <c r="N116" i="1" s="1"/>
  <c r="Y116" i="1"/>
  <c r="Z116" i="1"/>
  <c r="AB116" i="1"/>
  <c r="AC116" i="1"/>
  <c r="AD116" i="1"/>
  <c r="T116" i="1" s="1"/>
  <c r="AE116" i="1"/>
  <c r="AF116" i="1"/>
  <c r="AH153" i="1"/>
  <c r="K117" i="1"/>
  <c r="L117" i="1"/>
  <c r="M117" i="1"/>
  <c r="N117" i="1" s="1"/>
  <c r="Y117" i="1"/>
  <c r="Z117" i="1"/>
  <c r="AB117" i="1"/>
  <c r="AC117" i="1"/>
  <c r="AD117" i="1"/>
  <c r="AE117" i="1"/>
  <c r="AF117" i="1"/>
  <c r="AH154" i="1"/>
  <c r="K118" i="1"/>
  <c r="L118" i="1"/>
  <c r="M118" i="1"/>
  <c r="N118" i="1" s="1"/>
  <c r="Y118" i="1"/>
  <c r="Z118" i="1"/>
  <c r="AB118" i="1"/>
  <c r="AC118" i="1"/>
  <c r="AD118" i="1"/>
  <c r="T118" i="1" s="1"/>
  <c r="AE118" i="1"/>
  <c r="AF118" i="1"/>
  <c r="AH155" i="1"/>
  <c r="K119" i="1"/>
  <c r="L119" i="1"/>
  <c r="M119" i="1"/>
  <c r="N119" i="1" s="1"/>
  <c r="Y119" i="1"/>
  <c r="Z119" i="1"/>
  <c r="AB119" i="1"/>
  <c r="AC119" i="1"/>
  <c r="AD119" i="1"/>
  <c r="T119" i="1" s="1"/>
  <c r="AE119" i="1"/>
  <c r="R15" i="3" s="1"/>
  <c r="AF119" i="1"/>
  <c r="AH156" i="1"/>
  <c r="K120" i="1"/>
  <c r="L120" i="1"/>
  <c r="M120" i="1"/>
  <c r="N120" i="1" s="1"/>
  <c r="Y120" i="1"/>
  <c r="Z120" i="1"/>
  <c r="AB120" i="1"/>
  <c r="AC120" i="1"/>
  <c r="AD120" i="1"/>
  <c r="T120" i="1" s="1"/>
  <c r="AE120" i="1"/>
  <c r="AF120" i="1"/>
  <c r="AH157" i="1"/>
  <c r="K121" i="1"/>
  <c r="L121" i="1"/>
  <c r="M121" i="1"/>
  <c r="N121" i="1" s="1"/>
  <c r="Y121" i="1"/>
  <c r="Z121" i="1"/>
  <c r="AB121" i="1"/>
  <c r="AC121" i="1"/>
  <c r="AD121" i="1"/>
  <c r="AE121" i="1"/>
  <c r="AF121" i="1"/>
  <c r="AH158" i="1"/>
  <c r="K122" i="1"/>
  <c r="L122" i="1"/>
  <c r="M122" i="1"/>
  <c r="N122" i="1" s="1"/>
  <c r="Y122" i="1"/>
  <c r="Z122" i="1"/>
  <c r="AB122" i="1"/>
  <c r="AC122" i="1"/>
  <c r="AD122" i="1"/>
  <c r="T122" i="1" s="1"/>
  <c r="AE122" i="1"/>
  <c r="AF122" i="1"/>
  <c r="AH159" i="1"/>
  <c r="K123" i="1"/>
  <c r="L123" i="1"/>
  <c r="M123" i="1"/>
  <c r="N123" i="1" s="1"/>
  <c r="Y123" i="1"/>
  <c r="Z123" i="1"/>
  <c r="AB123" i="1"/>
  <c r="AC123" i="1"/>
  <c r="AD123" i="1"/>
  <c r="T123" i="1" s="1"/>
  <c r="AE123" i="1"/>
  <c r="AF123" i="1"/>
  <c r="K124" i="1"/>
  <c r="L124" i="1"/>
  <c r="M124" i="1"/>
  <c r="N124" i="1" s="1"/>
  <c r="Y124" i="1"/>
  <c r="Z124" i="1"/>
  <c r="AB124" i="1"/>
  <c r="AC124" i="1"/>
  <c r="AD124" i="1"/>
  <c r="AG124" i="1" s="1"/>
  <c r="AE124" i="1"/>
  <c r="AF124" i="1"/>
  <c r="K125" i="1"/>
  <c r="L125" i="1"/>
  <c r="M125" i="1"/>
  <c r="N125" i="1" s="1"/>
  <c r="Y125" i="1"/>
  <c r="Z125" i="1"/>
  <c r="AB125" i="1"/>
  <c r="AC125" i="1"/>
  <c r="AD125" i="1"/>
  <c r="AE125" i="1"/>
  <c r="AF125" i="1"/>
  <c r="AH160" i="1"/>
  <c r="K126" i="1"/>
  <c r="L126" i="1"/>
  <c r="M126" i="1"/>
  <c r="N126" i="1" s="1"/>
  <c r="Y126" i="1"/>
  <c r="Z126" i="1"/>
  <c r="AB126" i="1"/>
  <c r="AC126" i="1"/>
  <c r="AD126" i="1"/>
  <c r="T126" i="1" s="1"/>
  <c r="AE126" i="1"/>
  <c r="AF126" i="1"/>
  <c r="AH161" i="1"/>
  <c r="K127" i="1"/>
  <c r="L127" i="1"/>
  <c r="M127" i="1"/>
  <c r="N127" i="1" s="1"/>
  <c r="Y127" i="1"/>
  <c r="Z127" i="1"/>
  <c r="AB127" i="1"/>
  <c r="AC127" i="1"/>
  <c r="AD127" i="1"/>
  <c r="AE127" i="1"/>
  <c r="AF127" i="1"/>
  <c r="AH162" i="1"/>
  <c r="K128" i="1"/>
  <c r="L128" i="1"/>
  <c r="M128" i="1"/>
  <c r="N128" i="1" s="1"/>
  <c r="Y128" i="1"/>
  <c r="Z128" i="1"/>
  <c r="AB128" i="1"/>
  <c r="AC128" i="1"/>
  <c r="AD128" i="1"/>
  <c r="AG128" i="1" s="1"/>
  <c r="AE128" i="1"/>
  <c r="AF128" i="1"/>
  <c r="AH163" i="1"/>
  <c r="K129" i="1"/>
  <c r="L129" i="1"/>
  <c r="M129" i="1"/>
  <c r="N129" i="1" s="1"/>
  <c r="Y129" i="1"/>
  <c r="Z129" i="1"/>
  <c r="AB129" i="1"/>
  <c r="AC129" i="1"/>
  <c r="AD129" i="1"/>
  <c r="AE129" i="1"/>
  <c r="AF129" i="1"/>
  <c r="AH164" i="1"/>
  <c r="K130" i="1"/>
  <c r="L130" i="1"/>
  <c r="M130" i="1"/>
  <c r="N130" i="1" s="1"/>
  <c r="Y130" i="1"/>
  <c r="Z130" i="1"/>
  <c r="AB130" i="1"/>
  <c r="AC130" i="1"/>
  <c r="AD130" i="1"/>
  <c r="AE130" i="1"/>
  <c r="AF130" i="1"/>
  <c r="AH165" i="1"/>
  <c r="K131" i="1"/>
  <c r="L131" i="1"/>
  <c r="M131" i="1"/>
  <c r="N131" i="1" s="1"/>
  <c r="Y131" i="1"/>
  <c r="Z131" i="1"/>
  <c r="AB131" i="1"/>
  <c r="AC131" i="1"/>
  <c r="AD131" i="1"/>
  <c r="T131" i="1" s="1"/>
  <c r="AE131" i="1"/>
  <c r="AF131" i="1"/>
  <c r="AH166" i="1"/>
  <c r="K132" i="1"/>
  <c r="L132" i="1"/>
  <c r="M132" i="1"/>
  <c r="N132" i="1" s="1"/>
  <c r="Y132" i="1"/>
  <c r="Z132" i="1"/>
  <c r="AB132" i="1"/>
  <c r="AC132" i="1"/>
  <c r="AD132" i="1"/>
  <c r="AG132" i="1" s="1"/>
  <c r="AE132" i="1"/>
  <c r="AF132" i="1"/>
  <c r="AH167" i="1"/>
  <c r="K133" i="1"/>
  <c r="L133" i="1"/>
  <c r="M133" i="1"/>
  <c r="N133" i="1" s="1"/>
  <c r="Y133" i="1"/>
  <c r="Z133" i="1"/>
  <c r="AB133" i="1"/>
  <c r="AC133" i="1"/>
  <c r="AD133" i="1"/>
  <c r="AE133" i="1"/>
  <c r="AF133" i="1"/>
  <c r="AH168" i="1"/>
  <c r="K134" i="1"/>
  <c r="L134" i="1"/>
  <c r="M134" i="1"/>
  <c r="N134" i="1" s="1"/>
  <c r="Y134" i="1"/>
  <c r="Z134" i="1"/>
  <c r="AB134" i="1"/>
  <c r="AC134" i="1"/>
  <c r="AD134" i="1"/>
  <c r="AE134" i="1"/>
  <c r="AF134" i="1"/>
  <c r="AH169" i="1"/>
  <c r="K135" i="1"/>
  <c r="L135" i="1"/>
  <c r="M135" i="1"/>
  <c r="N135" i="1" s="1"/>
  <c r="Y135" i="1"/>
  <c r="Z135" i="1"/>
  <c r="AB135" i="1"/>
  <c r="AC135" i="1"/>
  <c r="AD135" i="1"/>
  <c r="AG135" i="1" s="1"/>
  <c r="AE135" i="1"/>
  <c r="AF135" i="1"/>
  <c r="AH170" i="1"/>
  <c r="K136" i="1"/>
  <c r="L136" i="1"/>
  <c r="M136" i="1"/>
  <c r="N136" i="1" s="1"/>
  <c r="Y136" i="1"/>
  <c r="Z136" i="1"/>
  <c r="AB136" i="1"/>
  <c r="AC136" i="1"/>
  <c r="AD136" i="1"/>
  <c r="AG136" i="1" s="1"/>
  <c r="AE136" i="1"/>
  <c r="AF136" i="1"/>
  <c r="AH171" i="1"/>
  <c r="K137" i="1"/>
  <c r="L137" i="1"/>
  <c r="M137" i="1"/>
  <c r="N137" i="1" s="1"/>
  <c r="Y137" i="1"/>
  <c r="Z137" i="1"/>
  <c r="AB137" i="1"/>
  <c r="AC137" i="1"/>
  <c r="AD137" i="1"/>
  <c r="AE137" i="1"/>
  <c r="AF137" i="1"/>
  <c r="AH172" i="1"/>
  <c r="K138" i="1"/>
  <c r="L138" i="1"/>
  <c r="M138" i="1"/>
  <c r="N138" i="1" s="1"/>
  <c r="Y138" i="1"/>
  <c r="Z138" i="1"/>
  <c r="AB138" i="1"/>
  <c r="AC138" i="1"/>
  <c r="AD138" i="1"/>
  <c r="AE138" i="1"/>
  <c r="AF138" i="1"/>
  <c r="AH173" i="1"/>
  <c r="K139" i="1"/>
  <c r="L139" i="1"/>
  <c r="M139" i="1"/>
  <c r="N139" i="1" s="1"/>
  <c r="Y139" i="1"/>
  <c r="Z139" i="1"/>
  <c r="AB139" i="1"/>
  <c r="AC139" i="1"/>
  <c r="AD139" i="1"/>
  <c r="T139" i="1" s="1"/>
  <c r="AE139" i="1"/>
  <c r="AF139" i="1"/>
  <c r="AH174" i="1"/>
  <c r="K140" i="1"/>
  <c r="L140" i="1"/>
  <c r="M140" i="1"/>
  <c r="N140" i="1" s="1"/>
  <c r="Y140" i="1"/>
  <c r="Z140" i="1"/>
  <c r="AB140" i="1"/>
  <c r="AC140" i="1"/>
  <c r="AD140" i="1"/>
  <c r="AG140" i="1" s="1"/>
  <c r="AE140" i="1"/>
  <c r="AF140" i="1"/>
  <c r="AH175" i="1"/>
  <c r="K141" i="1"/>
  <c r="L141" i="1"/>
  <c r="M141" i="1"/>
  <c r="N141" i="1" s="1"/>
  <c r="Y141" i="1"/>
  <c r="Z141" i="1"/>
  <c r="AA141" i="1" s="1"/>
  <c r="AB141" i="1"/>
  <c r="AC141" i="1"/>
  <c r="AD141" i="1"/>
  <c r="AE141" i="1"/>
  <c r="AF141" i="1"/>
  <c r="K142" i="1"/>
  <c r="L142" i="1"/>
  <c r="M142" i="1"/>
  <c r="N142" i="1" s="1"/>
  <c r="Y142" i="1"/>
  <c r="Z142" i="1"/>
  <c r="AB142" i="1"/>
  <c r="AC142" i="1"/>
  <c r="AD142" i="1"/>
  <c r="AG142" i="1" s="1"/>
  <c r="AE142" i="1"/>
  <c r="AF142" i="1"/>
  <c r="AH176" i="1"/>
  <c r="K143" i="1"/>
  <c r="L143" i="1"/>
  <c r="M143" i="1"/>
  <c r="N143" i="1" s="1"/>
  <c r="Y143" i="1"/>
  <c r="AA143" i="1" s="1"/>
  <c r="Z143" i="1"/>
  <c r="AB143" i="1"/>
  <c r="AC143" i="1"/>
  <c r="AD143" i="1"/>
  <c r="X143" i="1" s="1"/>
  <c r="AE143" i="1"/>
  <c r="AF143" i="1"/>
  <c r="AH177" i="1"/>
  <c r="K144" i="1"/>
  <c r="L144" i="1"/>
  <c r="M144" i="1"/>
  <c r="N144" i="1" s="1"/>
  <c r="Y144" i="1"/>
  <c r="Z144" i="1"/>
  <c r="AB144" i="1"/>
  <c r="AC144" i="1"/>
  <c r="AD144" i="1"/>
  <c r="AG144" i="1" s="1"/>
  <c r="AE144" i="1"/>
  <c r="AF144" i="1"/>
  <c r="AH178" i="1"/>
  <c r="K145" i="1"/>
  <c r="L145" i="1"/>
  <c r="M145" i="1"/>
  <c r="N145" i="1" s="1"/>
  <c r="Y145" i="1"/>
  <c r="Z145" i="1"/>
  <c r="AB145" i="1"/>
  <c r="AC145" i="1"/>
  <c r="AD145" i="1"/>
  <c r="AE145" i="1"/>
  <c r="AF145" i="1"/>
  <c r="AH179" i="1"/>
  <c r="K146" i="1"/>
  <c r="L146" i="1"/>
  <c r="M146" i="1"/>
  <c r="N146" i="1" s="1"/>
  <c r="Y146" i="1"/>
  <c r="Z146" i="1"/>
  <c r="AB146" i="1"/>
  <c r="AC146" i="1"/>
  <c r="AD146" i="1"/>
  <c r="AE146" i="1"/>
  <c r="AF146" i="1"/>
  <c r="AH180" i="1"/>
  <c r="K147" i="1"/>
  <c r="L147" i="1"/>
  <c r="M147" i="1"/>
  <c r="N147" i="1" s="1"/>
  <c r="Y147" i="1"/>
  <c r="AA147" i="1" s="1"/>
  <c r="Z147" i="1"/>
  <c r="AB147" i="1"/>
  <c r="AC147" i="1"/>
  <c r="AD147" i="1"/>
  <c r="T147" i="1" s="1"/>
  <c r="AE147" i="1"/>
  <c r="AF147" i="1"/>
  <c r="AH181" i="1"/>
  <c r="K148" i="1"/>
  <c r="L148" i="1"/>
  <c r="M148" i="1"/>
  <c r="N148" i="1" s="1"/>
  <c r="Y148" i="1"/>
  <c r="Z148" i="1"/>
  <c r="AB148" i="1"/>
  <c r="AC148" i="1"/>
  <c r="AD148" i="1"/>
  <c r="AG148" i="1" s="1"/>
  <c r="AE148" i="1"/>
  <c r="AF148" i="1"/>
  <c r="AH182" i="1"/>
  <c r="K149" i="1"/>
  <c r="L149" i="1"/>
  <c r="M149" i="1"/>
  <c r="N149" i="1" s="1"/>
  <c r="Y149" i="1"/>
  <c r="Z149" i="1"/>
  <c r="AB149" i="1"/>
  <c r="AC149" i="1"/>
  <c r="AD149" i="1"/>
  <c r="AG149" i="1" s="1"/>
  <c r="AE149" i="1"/>
  <c r="R8" i="3" s="1"/>
  <c r="AF149" i="1"/>
  <c r="AH183" i="1"/>
  <c r="K150" i="1"/>
  <c r="L150" i="1"/>
  <c r="M150" i="1"/>
  <c r="N150" i="1" s="1"/>
  <c r="Y150" i="1"/>
  <c r="Z150" i="1"/>
  <c r="AB150" i="1"/>
  <c r="AC150" i="1"/>
  <c r="AD150" i="1"/>
  <c r="AE150" i="1"/>
  <c r="AF150" i="1"/>
  <c r="AH184" i="1"/>
  <c r="K151" i="1"/>
  <c r="L151" i="1"/>
  <c r="M151" i="1"/>
  <c r="N151" i="1" s="1"/>
  <c r="Y151" i="1"/>
  <c r="Z151" i="1"/>
  <c r="AB151" i="1"/>
  <c r="AC151" i="1"/>
  <c r="AD151" i="1"/>
  <c r="T151" i="1" s="1"/>
  <c r="AE151" i="1"/>
  <c r="AF151" i="1"/>
  <c r="AH185" i="1"/>
  <c r="K152" i="1"/>
  <c r="L152" i="1"/>
  <c r="M152" i="1"/>
  <c r="N152" i="1" s="1"/>
  <c r="S16" i="3"/>
  <c r="Y152" i="1"/>
  <c r="Z152" i="1"/>
  <c r="AB152" i="1"/>
  <c r="AC152" i="1"/>
  <c r="AD152" i="1"/>
  <c r="AG152" i="1" s="1"/>
  <c r="AE152" i="1"/>
  <c r="R16" i="3" s="1"/>
  <c r="AF152" i="1"/>
  <c r="AH186" i="1"/>
  <c r="K153" i="1"/>
  <c r="L153" i="1"/>
  <c r="M153" i="1"/>
  <c r="N153" i="1" s="1"/>
  <c r="Y153" i="1"/>
  <c r="Z153" i="1"/>
  <c r="AB153" i="1"/>
  <c r="AC153" i="1"/>
  <c r="AD153" i="1"/>
  <c r="AG153" i="1" s="1"/>
  <c r="AE153" i="1"/>
  <c r="AF153" i="1"/>
  <c r="AH187" i="1"/>
  <c r="K154" i="1"/>
  <c r="L154" i="1"/>
  <c r="M154" i="1"/>
  <c r="N154" i="1" s="1"/>
  <c r="Y154" i="1"/>
  <c r="Z154" i="1"/>
  <c r="AB154" i="1"/>
  <c r="AC154" i="1"/>
  <c r="AD154" i="1"/>
  <c r="AE154" i="1"/>
  <c r="AF154" i="1"/>
  <c r="AH188" i="1"/>
  <c r="K155" i="1"/>
  <c r="L155" i="1"/>
  <c r="M155" i="1"/>
  <c r="P155" i="1" s="1"/>
  <c r="Y155" i="1"/>
  <c r="Z155" i="1"/>
  <c r="AB155" i="1"/>
  <c r="AC155" i="1"/>
  <c r="AD155" i="1"/>
  <c r="T155" i="1" s="1"/>
  <c r="AE155" i="1"/>
  <c r="R19" i="3" s="1"/>
  <c r="AF155" i="1"/>
  <c r="AH189" i="1"/>
  <c r="K156" i="1"/>
  <c r="L156" i="1"/>
  <c r="M156" i="1"/>
  <c r="N156" i="1" s="1"/>
  <c r="Y156" i="1"/>
  <c r="Z156" i="1"/>
  <c r="AB156" i="1"/>
  <c r="AC156" i="1"/>
  <c r="AD156" i="1"/>
  <c r="AG156" i="1" s="1"/>
  <c r="AE156" i="1"/>
  <c r="AF156" i="1"/>
  <c r="AH190" i="1"/>
  <c r="K157" i="1"/>
  <c r="L157" i="1"/>
  <c r="M157" i="1"/>
  <c r="N157" i="1" s="1"/>
  <c r="Y157" i="1"/>
  <c r="Z157" i="1"/>
  <c r="AB157" i="1"/>
  <c r="AC157" i="1"/>
  <c r="AD157" i="1"/>
  <c r="AE157" i="1"/>
  <c r="R10" i="3" s="1"/>
  <c r="AF157" i="1"/>
  <c r="AH191" i="1"/>
  <c r="K158" i="1"/>
  <c r="L158" i="1"/>
  <c r="M158" i="1"/>
  <c r="N158" i="1" s="1"/>
  <c r="Y158" i="1"/>
  <c r="Z158" i="1"/>
  <c r="AB158" i="1"/>
  <c r="AC158" i="1"/>
  <c r="AD158" i="1"/>
  <c r="T158" i="1" s="1"/>
  <c r="AE158" i="1"/>
  <c r="AF158" i="1"/>
  <c r="AH192" i="1"/>
  <c r="K159" i="1"/>
  <c r="L159" i="1"/>
  <c r="M159" i="1"/>
  <c r="N159" i="1" s="1"/>
  <c r="Y159" i="1"/>
  <c r="Z159" i="1"/>
  <c r="AB159" i="1"/>
  <c r="AC159" i="1"/>
  <c r="AD159" i="1"/>
  <c r="X159" i="1" s="1"/>
  <c r="AE159" i="1"/>
  <c r="AF159" i="1"/>
  <c r="AH193" i="1"/>
  <c r="AH194" i="1"/>
  <c r="AH195" i="1"/>
  <c r="K160" i="1"/>
  <c r="L160" i="1"/>
  <c r="M160" i="1"/>
  <c r="N160" i="1"/>
  <c r="Y160" i="1"/>
  <c r="Z160" i="1"/>
  <c r="AB160" i="1"/>
  <c r="AC160" i="1"/>
  <c r="AD160" i="1"/>
  <c r="T160" i="1" s="1"/>
  <c r="AE160" i="1"/>
  <c r="AF160" i="1"/>
  <c r="AH196" i="1"/>
  <c r="K195" i="1"/>
  <c r="L195" i="1"/>
  <c r="M195" i="1"/>
  <c r="N195" i="1" s="1"/>
  <c r="Y195" i="1"/>
  <c r="Z195" i="1"/>
  <c r="AB195" i="1"/>
  <c r="AC195" i="1"/>
  <c r="AD195" i="1"/>
  <c r="T195" i="1" s="1"/>
  <c r="AE195" i="1"/>
  <c r="AF195" i="1"/>
  <c r="AH197" i="1"/>
  <c r="K196" i="1"/>
  <c r="L196" i="1"/>
  <c r="M196" i="1"/>
  <c r="N196" i="1" s="1"/>
  <c r="Y196" i="1"/>
  <c r="Z196" i="1"/>
  <c r="AB196" i="1"/>
  <c r="AC196" i="1"/>
  <c r="AD196" i="1"/>
  <c r="AG196" i="1" s="1"/>
  <c r="AE196" i="1"/>
  <c r="AF196" i="1"/>
  <c r="AH198" i="1"/>
  <c r="K197" i="1"/>
  <c r="L197" i="1"/>
  <c r="M197" i="1"/>
  <c r="N197" i="1" s="1"/>
  <c r="Y197" i="1"/>
  <c r="Z197" i="1"/>
  <c r="AB197" i="1"/>
  <c r="AC197" i="1"/>
  <c r="AD197" i="1"/>
  <c r="AG197" i="1" s="1"/>
  <c r="AE197" i="1"/>
  <c r="AF197" i="1"/>
  <c r="AH199" i="1"/>
  <c r="K198" i="1"/>
  <c r="L198" i="1"/>
  <c r="M198" i="1"/>
  <c r="N198" i="1" s="1"/>
  <c r="Y198" i="1"/>
  <c r="Z198" i="1"/>
  <c r="AB198" i="1"/>
  <c r="AC198" i="1"/>
  <c r="AD198" i="1"/>
  <c r="AE198" i="1"/>
  <c r="AF198" i="1"/>
  <c r="AH200" i="1"/>
  <c r="K199" i="1"/>
  <c r="L199" i="1"/>
  <c r="M199" i="1"/>
  <c r="N199" i="1" s="1"/>
  <c r="Y199" i="1"/>
  <c r="Z199" i="1"/>
  <c r="AB199" i="1"/>
  <c r="AC199" i="1"/>
  <c r="AD199" i="1"/>
  <c r="T199" i="1" s="1"/>
  <c r="AE199" i="1"/>
  <c r="AF199" i="1"/>
  <c r="AH201" i="1"/>
  <c r="K200" i="1"/>
  <c r="L200" i="1"/>
  <c r="M200" i="1"/>
  <c r="N200" i="1" s="1"/>
  <c r="Y200" i="1"/>
  <c r="Z200" i="1"/>
  <c r="AB200" i="1"/>
  <c r="AC200" i="1"/>
  <c r="AD200" i="1"/>
  <c r="AG200" i="1" s="1"/>
  <c r="AE200" i="1"/>
  <c r="AF200" i="1"/>
  <c r="AH202" i="1"/>
  <c r="K201" i="1"/>
  <c r="L201" i="1"/>
  <c r="M201" i="1"/>
  <c r="N201" i="1" s="1"/>
  <c r="Y201" i="1"/>
  <c r="Z201" i="1"/>
  <c r="AB201" i="1"/>
  <c r="AC201" i="1"/>
  <c r="AD201" i="1"/>
  <c r="AG201" i="1" s="1"/>
  <c r="AE201" i="1"/>
  <c r="AF201" i="1"/>
  <c r="AH203" i="1"/>
  <c r="K202" i="1"/>
  <c r="L202" i="1"/>
  <c r="M202" i="1"/>
  <c r="N202" i="1" s="1"/>
  <c r="Y202" i="1"/>
  <c r="Z202" i="1"/>
  <c r="AB202" i="1"/>
  <c r="AC202" i="1"/>
  <c r="AD202" i="1"/>
  <c r="AE202" i="1"/>
  <c r="AF202" i="1"/>
  <c r="AH204" i="1"/>
  <c r="K203" i="1"/>
  <c r="L203" i="1"/>
  <c r="M203" i="1"/>
  <c r="N203" i="1" s="1"/>
  <c r="Y203" i="1"/>
  <c r="Z203" i="1"/>
  <c r="AB203" i="1"/>
  <c r="AC203" i="1"/>
  <c r="AD203" i="1"/>
  <c r="T203" i="1" s="1"/>
  <c r="AE203" i="1"/>
  <c r="AF203" i="1"/>
  <c r="AH205" i="1"/>
  <c r="K204" i="1"/>
  <c r="L204" i="1"/>
  <c r="M204" i="1"/>
  <c r="N204" i="1" s="1"/>
  <c r="Y204" i="1"/>
  <c r="Z204" i="1"/>
  <c r="AB204" i="1"/>
  <c r="AC204" i="1"/>
  <c r="AD204" i="1"/>
  <c r="AG204" i="1" s="1"/>
  <c r="AE204" i="1"/>
  <c r="AF204" i="1"/>
  <c r="AH206" i="1"/>
  <c r="K205" i="1"/>
  <c r="L205" i="1"/>
  <c r="M205" i="1"/>
  <c r="N205" i="1" s="1"/>
  <c r="Y205" i="1"/>
  <c r="Z205" i="1"/>
  <c r="AB205" i="1"/>
  <c r="AC205" i="1"/>
  <c r="AD205" i="1"/>
  <c r="AE205" i="1"/>
  <c r="AF205" i="1"/>
  <c r="AH207" i="1"/>
  <c r="K206" i="1"/>
  <c r="L206" i="1"/>
  <c r="M206" i="1"/>
  <c r="N206" i="1" s="1"/>
  <c r="Y206" i="1"/>
  <c r="Z206" i="1"/>
  <c r="AB206" i="1"/>
  <c r="AC206" i="1"/>
  <c r="AD206" i="1"/>
  <c r="T206" i="1" s="1"/>
  <c r="AE206" i="1"/>
  <c r="AF206" i="1"/>
  <c r="AH208" i="1"/>
  <c r="K207" i="1"/>
  <c r="L207" i="1"/>
  <c r="M207" i="1"/>
  <c r="N207" i="1" s="1"/>
  <c r="Y207" i="1"/>
  <c r="Z207" i="1"/>
  <c r="AB207" i="1"/>
  <c r="AC207" i="1"/>
  <c r="AD207" i="1"/>
  <c r="T207" i="1" s="1"/>
  <c r="AE207" i="1"/>
  <c r="AF207" i="1"/>
  <c r="AH209" i="1"/>
  <c r="K208" i="1"/>
  <c r="L208" i="1"/>
  <c r="M208" i="1"/>
  <c r="N208" i="1" s="1"/>
  <c r="Y208" i="1"/>
  <c r="Z208" i="1"/>
  <c r="AA208" i="1" s="1"/>
  <c r="W208" i="1" s="1"/>
  <c r="AB208" i="1"/>
  <c r="AC208" i="1"/>
  <c r="AD208" i="1"/>
  <c r="AG208" i="1" s="1"/>
  <c r="AE208" i="1"/>
  <c r="AF208" i="1"/>
  <c r="AH210" i="1"/>
  <c r="K211" i="1"/>
  <c r="L211" i="1"/>
  <c r="M211" i="1"/>
  <c r="N211" i="1" s="1"/>
  <c r="Y211" i="1"/>
  <c r="Z211" i="1"/>
  <c r="AB211" i="1"/>
  <c r="AC211" i="1"/>
  <c r="AD211" i="1"/>
  <c r="AE211" i="1"/>
  <c r="AF211" i="1"/>
  <c r="AH211" i="1"/>
  <c r="K212" i="1"/>
  <c r="L212" i="1"/>
  <c r="M212" i="1"/>
  <c r="N212" i="1" s="1"/>
  <c r="Y212" i="1"/>
  <c r="Z212" i="1"/>
  <c r="AB212" i="1"/>
  <c r="AC212" i="1"/>
  <c r="AD212" i="1"/>
  <c r="T212" i="1" s="1"/>
  <c r="AE212" i="1"/>
  <c r="AF212" i="1"/>
  <c r="AH212" i="1"/>
  <c r="K213" i="1"/>
  <c r="L213" i="1"/>
  <c r="M213" i="1"/>
  <c r="N213" i="1" s="1"/>
  <c r="Y213" i="1"/>
  <c r="Z213" i="1"/>
  <c r="AB213" i="1"/>
  <c r="AC213" i="1"/>
  <c r="AD213" i="1"/>
  <c r="T213" i="1" s="1"/>
  <c r="AE213" i="1"/>
  <c r="AF213" i="1"/>
  <c r="AH213" i="1"/>
  <c r="K214" i="1"/>
  <c r="L214" i="1"/>
  <c r="M214" i="1"/>
  <c r="N214" i="1" s="1"/>
  <c r="Y214" i="1"/>
  <c r="Z214" i="1"/>
  <c r="AI214" i="1" s="1"/>
  <c r="AB214" i="1"/>
  <c r="AC214" i="1"/>
  <c r="AD214" i="1"/>
  <c r="AG214" i="1" s="1"/>
  <c r="AE214" i="1"/>
  <c r="AF214" i="1"/>
  <c r="AH214" i="1"/>
  <c r="K215" i="1"/>
  <c r="L215" i="1"/>
  <c r="M215" i="1"/>
  <c r="N215" i="1" s="1"/>
  <c r="Y215" i="1"/>
  <c r="Z215" i="1"/>
  <c r="AB215" i="1"/>
  <c r="AC215" i="1"/>
  <c r="AD215" i="1"/>
  <c r="AG215" i="1" s="1"/>
  <c r="AE215" i="1"/>
  <c r="AF215" i="1"/>
  <c r="AH215" i="1"/>
  <c r="M7" i="3"/>
  <c r="U7" i="3"/>
  <c r="T7" i="3" s="1"/>
  <c r="V7" i="3"/>
  <c r="W7" i="3"/>
  <c r="X7" i="3"/>
  <c r="AC7" i="3"/>
  <c r="M17" i="3"/>
  <c r="R17" i="3"/>
  <c r="U17" i="3"/>
  <c r="T17" i="3" s="1"/>
  <c r="V17" i="3"/>
  <c r="W17" i="3"/>
  <c r="X17" i="3"/>
  <c r="AC17" i="3"/>
  <c r="M11" i="3"/>
  <c r="U11" i="3"/>
  <c r="T11" i="3" s="1"/>
  <c r="V11" i="3"/>
  <c r="W11" i="3"/>
  <c r="X11" i="3"/>
  <c r="AC11" i="3"/>
  <c r="M18" i="3"/>
  <c r="U18" i="3"/>
  <c r="T18" i="3" s="1"/>
  <c r="V18" i="3"/>
  <c r="W18" i="3"/>
  <c r="X18" i="3"/>
  <c r="AC18" i="3"/>
  <c r="M29" i="3"/>
  <c r="S29" i="3"/>
  <c r="U29" i="3"/>
  <c r="T29" i="3" s="1"/>
  <c r="V29" i="3"/>
  <c r="W29" i="3"/>
  <c r="X29" i="3"/>
  <c r="AC29" i="3"/>
  <c r="M22" i="3"/>
  <c r="R22" i="3"/>
  <c r="S22" i="3"/>
  <c r="U22" i="3"/>
  <c r="T22" i="3" s="1"/>
  <c r="V22" i="3"/>
  <c r="W22" i="3"/>
  <c r="X22" i="3"/>
  <c r="AC22" i="3"/>
  <c r="M21" i="3"/>
  <c r="R21" i="3"/>
  <c r="U21" i="3"/>
  <c r="T21" i="3" s="1"/>
  <c r="V21" i="3"/>
  <c r="W21" i="3"/>
  <c r="X21" i="3"/>
  <c r="M23" i="3"/>
  <c r="U23" i="3"/>
  <c r="T23" i="3" s="1"/>
  <c r="V23" i="3"/>
  <c r="W23" i="3"/>
  <c r="X23" i="3"/>
  <c r="AC23" i="3"/>
  <c r="M12" i="3"/>
  <c r="U12" i="3"/>
  <c r="T12" i="3" s="1"/>
  <c r="V12" i="3"/>
  <c r="W12" i="3"/>
  <c r="X12" i="3"/>
  <c r="AC12" i="3"/>
  <c r="M30" i="3"/>
  <c r="U30" i="3"/>
  <c r="T30" i="3" s="1"/>
  <c r="V30" i="3"/>
  <c r="W30" i="3"/>
  <c r="X30" i="3"/>
  <c r="AC30" i="3"/>
  <c r="M24" i="3"/>
  <c r="R24" i="3"/>
  <c r="U24" i="3"/>
  <c r="T24" i="3" s="1"/>
  <c r="V24" i="3"/>
  <c r="W24" i="3"/>
  <c r="X24" i="3"/>
  <c r="AC24" i="3"/>
  <c r="M25" i="3"/>
  <c r="S25" i="3"/>
  <c r="U25" i="3"/>
  <c r="T25" i="3" s="1"/>
  <c r="V25" i="3"/>
  <c r="W25" i="3"/>
  <c r="X25" i="3"/>
  <c r="M32" i="3"/>
  <c r="U32" i="3"/>
  <c r="T32" i="3" s="1"/>
  <c r="V32" i="3"/>
  <c r="W32" i="3"/>
  <c r="X32" i="3"/>
  <c r="AC32" i="3"/>
  <c r="M26" i="3"/>
  <c r="S26" i="3"/>
  <c r="U26" i="3"/>
  <c r="T26" i="3" s="1"/>
  <c r="V26" i="3"/>
  <c r="W26" i="3"/>
  <c r="X26" i="3"/>
  <c r="AC26" i="3"/>
  <c r="M9" i="3"/>
  <c r="U9" i="3"/>
  <c r="T9" i="3" s="1"/>
  <c r="V9" i="3"/>
  <c r="W9" i="3"/>
  <c r="X9" i="3"/>
  <c r="AC9" i="3"/>
  <c r="M20" i="3"/>
  <c r="U20" i="3"/>
  <c r="T20" i="3" s="1"/>
  <c r="V20" i="3"/>
  <c r="W20" i="3"/>
  <c r="X20" i="3"/>
  <c r="AC20" i="3"/>
  <c r="M36" i="3"/>
  <c r="U36" i="3"/>
  <c r="T36" i="3" s="1"/>
  <c r="V36" i="3"/>
  <c r="W36" i="3"/>
  <c r="X36" i="3"/>
  <c r="AC36" i="3"/>
  <c r="M31" i="3"/>
  <c r="U31" i="3"/>
  <c r="T31" i="3" s="1"/>
  <c r="V31" i="3"/>
  <c r="W31" i="3"/>
  <c r="X31" i="3"/>
  <c r="M37" i="3"/>
  <c r="S37" i="3"/>
  <c r="U37" i="3"/>
  <c r="T37" i="3" s="1"/>
  <c r="V37" i="3"/>
  <c r="W37" i="3"/>
  <c r="X37" i="3"/>
  <c r="AC37" i="3"/>
  <c r="M13" i="3"/>
  <c r="U13" i="3"/>
  <c r="T13" i="3" s="1"/>
  <c r="V13" i="3"/>
  <c r="W13" i="3"/>
  <c r="X13" i="3"/>
  <c r="AC13" i="3"/>
  <c r="M15" i="3"/>
  <c r="U15" i="3"/>
  <c r="T15" i="3" s="1"/>
  <c r="V15" i="3"/>
  <c r="W15" i="3"/>
  <c r="X15" i="3"/>
  <c r="AC15" i="3"/>
  <c r="M38" i="3"/>
  <c r="R38" i="3"/>
  <c r="U38" i="3"/>
  <c r="T38" i="3" s="1"/>
  <c r="V38" i="3"/>
  <c r="W38" i="3"/>
  <c r="X38" i="3"/>
  <c r="AC38" i="3"/>
  <c r="M35" i="3"/>
  <c r="U35" i="3"/>
  <c r="T35" i="3" s="1"/>
  <c r="V35" i="3"/>
  <c r="W35" i="3"/>
  <c r="X35" i="3"/>
  <c r="AC35" i="3"/>
  <c r="M34" i="3"/>
  <c r="U34" i="3"/>
  <c r="T34" i="3" s="1"/>
  <c r="V34" i="3"/>
  <c r="W34" i="3"/>
  <c r="X34" i="3"/>
  <c r="AC34" i="3"/>
  <c r="M27" i="3"/>
  <c r="R27" i="3"/>
  <c r="U27" i="3"/>
  <c r="T27" i="3" s="1"/>
  <c r="V27" i="3"/>
  <c r="W27" i="3"/>
  <c r="X27" i="3"/>
  <c r="AC27" i="3"/>
  <c r="M28" i="3"/>
  <c r="R28" i="3"/>
  <c r="U28" i="3"/>
  <c r="T28" i="3" s="1"/>
  <c r="V28" i="3"/>
  <c r="W28" i="3"/>
  <c r="X28" i="3"/>
  <c r="M33" i="3"/>
  <c r="U33" i="3"/>
  <c r="T33" i="3" s="1"/>
  <c r="V33" i="3"/>
  <c r="W33" i="3"/>
  <c r="X33" i="3"/>
  <c r="AC33" i="3"/>
  <c r="M8" i="3"/>
  <c r="U8" i="3"/>
  <c r="T8" i="3" s="1"/>
  <c r="V8" i="3"/>
  <c r="W8" i="3"/>
  <c r="X8" i="3"/>
  <c r="AC8" i="3"/>
  <c r="M16" i="3"/>
  <c r="U16" i="3"/>
  <c r="T16" i="3" s="1"/>
  <c r="V16" i="3"/>
  <c r="W16" i="3"/>
  <c r="X16" i="3"/>
  <c r="AC16" i="3"/>
  <c r="M19" i="3"/>
  <c r="U19" i="3"/>
  <c r="T19" i="3" s="1"/>
  <c r="V19" i="3"/>
  <c r="W19" i="3"/>
  <c r="X19" i="3"/>
  <c r="AC19" i="3"/>
  <c r="M10" i="3"/>
  <c r="U10" i="3"/>
  <c r="T10" i="3" s="1"/>
  <c r="V10" i="3"/>
  <c r="W10" i="3"/>
  <c r="X10" i="3"/>
  <c r="AC10" i="3"/>
  <c r="M28" i="5"/>
  <c r="T24" i="1" l="1"/>
  <c r="W18" i="1"/>
  <c r="AA193" i="1"/>
  <c r="AA186" i="1"/>
  <c r="AA68" i="1"/>
  <c r="W68" i="1" s="1"/>
  <c r="AI64" i="1"/>
  <c r="AI60" i="1"/>
  <c r="AA56" i="1"/>
  <c r="AI57" i="1"/>
  <c r="AI197" i="1"/>
  <c r="AG158" i="1"/>
  <c r="AA178" i="1"/>
  <c r="W178" i="1" s="1"/>
  <c r="X165" i="1"/>
  <c r="AI91" i="1"/>
  <c r="AA74" i="1"/>
  <c r="AA70" i="1"/>
  <c r="X177" i="1"/>
  <c r="AA112" i="1"/>
  <c r="AA108" i="1"/>
  <c r="AA210" i="1"/>
  <c r="AA166" i="1"/>
  <c r="AA87" i="1"/>
  <c r="AA82" i="1"/>
  <c r="AA40" i="1"/>
  <c r="AA36" i="1"/>
  <c r="X178" i="1"/>
  <c r="X181" i="1"/>
  <c r="AA175" i="1"/>
  <c r="W175" i="1" s="1"/>
  <c r="AG166" i="1"/>
  <c r="T41" i="1"/>
  <c r="U41" i="1" s="1"/>
  <c r="S41" i="1" s="1"/>
  <c r="X180" i="1"/>
  <c r="X127" i="1"/>
  <c r="AI175" i="1"/>
  <c r="X36" i="1"/>
  <c r="X32" i="1"/>
  <c r="AA214" i="1"/>
  <c r="W214" i="1" s="1"/>
  <c r="AI136" i="1"/>
  <c r="AA136" i="1"/>
  <c r="W136" i="1" s="1"/>
  <c r="AG193" i="1"/>
  <c r="AA97" i="1"/>
  <c r="W97" i="1" s="1"/>
  <c r="AI190" i="1"/>
  <c r="AA77" i="1"/>
  <c r="W77" i="1" s="1"/>
  <c r="AA34" i="1"/>
  <c r="AA24" i="1"/>
  <c r="W24" i="1" s="1"/>
  <c r="X22" i="1"/>
  <c r="X175" i="1"/>
  <c r="AC31" i="3"/>
  <c r="Y15" i="3"/>
  <c r="AG203" i="1"/>
  <c r="Y16" i="3"/>
  <c r="AA149" i="1"/>
  <c r="T127" i="1"/>
  <c r="AA124" i="1"/>
  <c r="W124" i="1" s="1"/>
  <c r="AG111" i="1"/>
  <c r="U111" i="1" s="1"/>
  <c r="S111" i="1" s="1"/>
  <c r="X85" i="1"/>
  <c r="T80" i="1"/>
  <c r="U80" i="1" s="1"/>
  <c r="S80" i="1" s="1"/>
  <c r="P28" i="1"/>
  <c r="X203" i="1"/>
  <c r="Y36" i="3"/>
  <c r="AG207" i="1"/>
  <c r="U207" i="1" s="1"/>
  <c r="S207" i="1" s="1"/>
  <c r="AA202" i="1"/>
  <c r="X200" i="1"/>
  <c r="AG155" i="1"/>
  <c r="AA152" i="1"/>
  <c r="W152" i="1" s="1"/>
  <c r="AA151" i="1"/>
  <c r="AG139" i="1"/>
  <c r="U139" i="1" s="1"/>
  <c r="S139" i="1" s="1"/>
  <c r="AA125" i="1"/>
  <c r="AG119" i="1"/>
  <c r="U119" i="1" s="1"/>
  <c r="S119" i="1" s="1"/>
  <c r="AA184" i="1"/>
  <c r="AI181" i="1"/>
  <c r="AA95" i="1"/>
  <c r="W95" i="1" s="1"/>
  <c r="AA73" i="1"/>
  <c r="AA47" i="1"/>
  <c r="AG45" i="1"/>
  <c r="U45" i="1" s="1"/>
  <c r="S45" i="1" s="1"/>
  <c r="X45" i="1"/>
  <c r="AG21" i="1"/>
  <c r="W21" i="1" s="1"/>
  <c r="AG15" i="1"/>
  <c r="AI15" i="1" s="1"/>
  <c r="X163" i="1"/>
  <c r="X161" i="1"/>
  <c r="AG213" i="1"/>
  <c r="AI213" i="1" s="1"/>
  <c r="AI148" i="1"/>
  <c r="AG127" i="1"/>
  <c r="U127" i="1" s="1"/>
  <c r="S127" i="1" s="1"/>
  <c r="AG122" i="1"/>
  <c r="AA111" i="1"/>
  <c r="X107" i="1"/>
  <c r="AI178" i="1"/>
  <c r="X89" i="1"/>
  <c r="AA89" i="1"/>
  <c r="AA64" i="1"/>
  <c r="W64" i="1" s="1"/>
  <c r="AA49" i="1"/>
  <c r="AG31" i="1"/>
  <c r="X168" i="1"/>
  <c r="X166" i="1"/>
  <c r="X164" i="1"/>
  <c r="X160" i="1"/>
  <c r="W186" i="1"/>
  <c r="AA211" i="1"/>
  <c r="X156" i="1"/>
  <c r="X154" i="1"/>
  <c r="AG147" i="1"/>
  <c r="U147" i="1" s="1"/>
  <c r="S147" i="1" s="1"/>
  <c r="AI140" i="1"/>
  <c r="AA132" i="1"/>
  <c r="W132" i="1" s="1"/>
  <c r="X131" i="1"/>
  <c r="X128" i="1"/>
  <c r="AA121" i="1"/>
  <c r="AG115" i="1"/>
  <c r="U115" i="1" s="1"/>
  <c r="S115" i="1" s="1"/>
  <c r="AA109" i="1"/>
  <c r="AA105" i="1"/>
  <c r="AA101" i="1"/>
  <c r="AA194" i="1"/>
  <c r="AG184" i="1"/>
  <c r="X96" i="1"/>
  <c r="AA165" i="1"/>
  <c r="AA93" i="1"/>
  <c r="W93" i="1" s="1"/>
  <c r="AA91" i="1"/>
  <c r="AG88" i="1"/>
  <c r="U88" i="1" s="1"/>
  <c r="S88" i="1" s="1"/>
  <c r="AA81" i="1"/>
  <c r="AA71" i="1"/>
  <c r="AA69" i="1"/>
  <c r="X63" i="1"/>
  <c r="AA55" i="1"/>
  <c r="AG44" i="1"/>
  <c r="U44" i="1" s="1"/>
  <c r="AA41" i="1"/>
  <c r="AA37" i="1"/>
  <c r="W37" i="1" s="1"/>
  <c r="AA30" i="1"/>
  <c r="W30" i="1" s="1"/>
  <c r="AG25" i="1"/>
  <c r="AI25" i="1" s="1"/>
  <c r="AG19" i="1"/>
  <c r="AI19" i="1" s="1"/>
  <c r="AG17" i="1"/>
  <c r="AI17" i="1" s="1"/>
  <c r="Y29" i="3"/>
  <c r="Y7" i="3"/>
  <c r="X147" i="1"/>
  <c r="Y27" i="3"/>
  <c r="AA213" i="1"/>
  <c r="AG199" i="1"/>
  <c r="U199" i="1" s="1"/>
  <c r="S199" i="1" s="1"/>
  <c r="AG131" i="1"/>
  <c r="AA128" i="1"/>
  <c r="W128" i="1" s="1"/>
  <c r="AA123" i="1"/>
  <c r="AA107" i="1"/>
  <c r="AA209" i="1"/>
  <c r="W209" i="1" s="1"/>
  <c r="AG100" i="1"/>
  <c r="U100" i="1" s="1"/>
  <c r="S100" i="1" s="1"/>
  <c r="AA191" i="1"/>
  <c r="AI97" i="1"/>
  <c r="AA177" i="1"/>
  <c r="AA172" i="1"/>
  <c r="W172" i="1" s="1"/>
  <c r="T95" i="1"/>
  <c r="U95" i="1" s="1"/>
  <c r="S95" i="1" s="1"/>
  <c r="AA167" i="1"/>
  <c r="AA163" i="1"/>
  <c r="AA78" i="1"/>
  <c r="AI77" i="1"/>
  <c r="AG66" i="1"/>
  <c r="U66" i="1" s="1"/>
  <c r="S66" i="1" s="1"/>
  <c r="AA60" i="1"/>
  <c r="W60" i="1" s="1"/>
  <c r="AA57" i="1"/>
  <c r="W57" i="1" s="1"/>
  <c r="X55" i="1"/>
  <c r="AA51" i="1"/>
  <c r="W51" i="1" s="1"/>
  <c r="AA44" i="1"/>
  <c r="AA39" i="1"/>
  <c r="AA19" i="1"/>
  <c r="W19" i="1" s="1"/>
  <c r="X30" i="1"/>
  <c r="AG29" i="1"/>
  <c r="W29" i="1" s="1"/>
  <c r="X29" i="1"/>
  <c r="AC25" i="3"/>
  <c r="AC21" i="3"/>
  <c r="R35" i="3"/>
  <c r="Y12" i="3"/>
  <c r="Y32" i="3"/>
  <c r="S35" i="3"/>
  <c r="AI144" i="1"/>
  <c r="AA144" i="1"/>
  <c r="W144" i="1" s="1"/>
  <c r="AA140" i="1"/>
  <c r="W140" i="1" s="1"/>
  <c r="T135" i="1"/>
  <c r="AI128" i="1"/>
  <c r="AG123" i="1"/>
  <c r="X123" i="1"/>
  <c r="AA120" i="1"/>
  <c r="AA116" i="1"/>
  <c r="AG114" i="1"/>
  <c r="AI114" i="1" s="1"/>
  <c r="AG110" i="1"/>
  <c r="U110" i="1" s="1"/>
  <c r="S110" i="1" s="1"/>
  <c r="W91" i="1"/>
  <c r="AG73" i="1"/>
  <c r="U73" i="1" s="1"/>
  <c r="S73" i="1" s="1"/>
  <c r="X73" i="1"/>
  <c r="AA72" i="1"/>
  <c r="AI51" i="1"/>
  <c r="AA46" i="1"/>
  <c r="W46" i="1" s="1"/>
  <c r="T46" i="1"/>
  <c r="AA205" i="1"/>
  <c r="AA204" i="1"/>
  <c r="W204" i="1" s="1"/>
  <c r="AI201" i="1"/>
  <c r="AA200" i="1"/>
  <c r="W200" i="1" s="1"/>
  <c r="AA199" i="1"/>
  <c r="AG160" i="1"/>
  <c r="U160" i="1" s="1"/>
  <c r="S160" i="1" s="1"/>
  <c r="AA159" i="1"/>
  <c r="AA158" i="1"/>
  <c r="AA157" i="1"/>
  <c r="AI152" i="1"/>
  <c r="AG101" i="1"/>
  <c r="AG194" i="1"/>
  <c r="AI194" i="1" s="1"/>
  <c r="AA192" i="1"/>
  <c r="AA96" i="1"/>
  <c r="AG177" i="1"/>
  <c r="AA174" i="1"/>
  <c r="AA162" i="1"/>
  <c r="AI94" i="1"/>
  <c r="AA33" i="1"/>
  <c r="AA32" i="1"/>
  <c r="T32" i="1"/>
  <c r="AA26" i="1"/>
  <c r="AA25" i="1"/>
  <c r="T18" i="1"/>
  <c r="U18" i="1" s="1"/>
  <c r="S18" i="1" s="1"/>
  <c r="AA196" i="1"/>
  <c r="W196" i="1" s="1"/>
  <c r="AA195" i="1"/>
  <c r="AA156" i="1"/>
  <c r="W156" i="1" s="1"/>
  <c r="U155" i="1"/>
  <c r="S155" i="1" s="1"/>
  <c r="X155" i="1"/>
  <c r="AA154" i="1"/>
  <c r="AA145" i="1"/>
  <c r="AA138" i="1"/>
  <c r="AA135" i="1"/>
  <c r="AA115" i="1"/>
  <c r="W115" i="1" s="1"/>
  <c r="X111" i="1"/>
  <c r="AA110" i="1"/>
  <c r="X101" i="1"/>
  <c r="U193" i="1"/>
  <c r="S193" i="1" s="1"/>
  <c r="X97" i="1"/>
  <c r="AA188" i="1"/>
  <c r="W188" i="1" s="1"/>
  <c r="AA86" i="1"/>
  <c r="AA85" i="1"/>
  <c r="AA83" i="1"/>
  <c r="AA80" i="1"/>
  <c r="W80" i="1" s="1"/>
  <c r="AG72" i="1"/>
  <c r="U72" i="1" s="1"/>
  <c r="S72" i="1" s="1"/>
  <c r="T68" i="1"/>
  <c r="U68" i="1" s="1"/>
  <c r="S68" i="1" s="1"/>
  <c r="X67" i="1"/>
  <c r="AA63" i="1"/>
  <c r="AA62" i="1"/>
  <c r="AA59" i="1"/>
  <c r="X46" i="1"/>
  <c r="AA35" i="1"/>
  <c r="AA182" i="1"/>
  <c r="AA90" i="1"/>
  <c r="X81" i="1"/>
  <c r="AA66" i="1"/>
  <c r="AA65" i="1"/>
  <c r="X64" i="1"/>
  <c r="AA23" i="1"/>
  <c r="AA20" i="1"/>
  <c r="W149" i="1"/>
  <c r="T143" i="1"/>
  <c r="T140" i="1"/>
  <c r="U140" i="1" s="1"/>
  <c r="S140" i="1" s="1"/>
  <c r="T132" i="1"/>
  <c r="U132" i="1" s="1"/>
  <c r="S132" i="1" s="1"/>
  <c r="T107" i="1"/>
  <c r="X209" i="1"/>
  <c r="U194" i="1"/>
  <c r="S194" i="1" s="1"/>
  <c r="AI37" i="1"/>
  <c r="T204" i="1"/>
  <c r="AA207" i="1"/>
  <c r="AG206" i="1"/>
  <c r="AI206" i="1" s="1"/>
  <c r="X206" i="1"/>
  <c r="AA203" i="1"/>
  <c r="W203" i="1" s="1"/>
  <c r="X199" i="1"/>
  <c r="AG195" i="1"/>
  <c r="U195" i="1" s="1"/>
  <c r="S195" i="1" s="1"/>
  <c r="T159" i="1"/>
  <c r="AA153" i="1"/>
  <c r="W153" i="1" s="1"/>
  <c r="X152" i="1"/>
  <c r="AG151" i="1"/>
  <c r="U151" i="1" s="1"/>
  <c r="S151" i="1" s="1"/>
  <c r="AA148" i="1"/>
  <c r="W148" i="1" s="1"/>
  <c r="AG146" i="1"/>
  <c r="X144" i="1"/>
  <c r="AG143" i="1"/>
  <c r="AA139" i="1"/>
  <c r="T136" i="1"/>
  <c r="U136" i="1" s="1"/>
  <c r="S136" i="1" s="1"/>
  <c r="AA131" i="1"/>
  <c r="W131" i="1" s="1"/>
  <c r="AG130" i="1"/>
  <c r="AA126" i="1"/>
  <c r="T124" i="1"/>
  <c r="U124" i="1" s="1"/>
  <c r="S124" i="1" s="1"/>
  <c r="AA119" i="1"/>
  <c r="AG118" i="1"/>
  <c r="AA117" i="1"/>
  <c r="X115" i="1"/>
  <c r="AG107" i="1"/>
  <c r="AI107" i="1" s="1"/>
  <c r="AG106" i="1"/>
  <c r="U106" i="1" s="1"/>
  <c r="S106" i="1" s="1"/>
  <c r="AA104" i="1"/>
  <c r="W104" i="1" s="1"/>
  <c r="T104" i="1"/>
  <c r="U104" i="1" s="1"/>
  <c r="S104" i="1" s="1"/>
  <c r="AA99" i="1"/>
  <c r="X194" i="1"/>
  <c r="AI93" i="1"/>
  <c r="U213" i="1"/>
  <c r="S213" i="1" s="1"/>
  <c r="X207" i="1"/>
  <c r="X204" i="1"/>
  <c r="U203" i="1"/>
  <c r="T156" i="1"/>
  <c r="U156" i="1" s="1"/>
  <c r="S156" i="1" s="1"/>
  <c r="X151" i="1"/>
  <c r="X140" i="1"/>
  <c r="W135" i="1"/>
  <c r="AA133" i="1"/>
  <c r="X132" i="1"/>
  <c r="T128" i="1"/>
  <c r="U128" i="1" s="1"/>
  <c r="S128" i="1" s="1"/>
  <c r="X119" i="1"/>
  <c r="AI110" i="1"/>
  <c r="T209" i="1"/>
  <c r="U209" i="1" s="1"/>
  <c r="S209" i="1" s="1"/>
  <c r="AI132" i="1"/>
  <c r="W193" i="1"/>
  <c r="AA189" i="1"/>
  <c r="W189" i="1" s="1"/>
  <c r="AA215" i="1"/>
  <c r="W215" i="1" s="1"/>
  <c r="AA206" i="1"/>
  <c r="X202" i="1"/>
  <c r="AA201" i="1"/>
  <c r="W201" i="1" s="1"/>
  <c r="AA197" i="1"/>
  <c r="W197" i="1" s="1"/>
  <c r="AG159" i="1"/>
  <c r="AA155" i="1"/>
  <c r="T144" i="1"/>
  <c r="U144" i="1" s="1"/>
  <c r="S144" i="1" s="1"/>
  <c r="AA142" i="1"/>
  <c r="W142" i="1" s="1"/>
  <c r="AA137" i="1"/>
  <c r="X136" i="1"/>
  <c r="AA129" i="1"/>
  <c r="AA127" i="1"/>
  <c r="AG126" i="1"/>
  <c r="X124" i="1"/>
  <c r="U123" i="1"/>
  <c r="S123" i="1" s="1"/>
  <c r="AA118" i="1"/>
  <c r="AA113" i="1"/>
  <c r="AA103" i="1"/>
  <c r="T188" i="1"/>
  <c r="U188" i="1" s="1"/>
  <c r="S188" i="1" s="1"/>
  <c r="AA185" i="1"/>
  <c r="AA181" i="1"/>
  <c r="W181" i="1" s="1"/>
  <c r="T181" i="1"/>
  <c r="U181" i="1" s="1"/>
  <c r="S181" i="1" s="1"/>
  <c r="AA180" i="1"/>
  <c r="AA179" i="1"/>
  <c r="AG174" i="1"/>
  <c r="U174" i="1" s="1"/>
  <c r="S174" i="1" s="1"/>
  <c r="AA171" i="1"/>
  <c r="AA168" i="1"/>
  <c r="W168" i="1" s="1"/>
  <c r="T168" i="1"/>
  <c r="T167" i="1"/>
  <c r="U166" i="1"/>
  <c r="S166" i="1" s="1"/>
  <c r="AG163" i="1"/>
  <c r="AI163" i="1" s="1"/>
  <c r="T89" i="1"/>
  <c r="AG81" i="1"/>
  <c r="AA79" i="1"/>
  <c r="W79" i="1" s="1"/>
  <c r="X77" i="1"/>
  <c r="T76" i="1"/>
  <c r="X68" i="1"/>
  <c r="AG67" i="1"/>
  <c r="AI67" i="1" s="1"/>
  <c r="X62" i="1"/>
  <c r="AA61" i="1"/>
  <c r="AG59" i="1"/>
  <c r="AG55" i="1"/>
  <c r="AI55" i="1" s="1"/>
  <c r="AG54" i="1"/>
  <c r="U54" i="1" s="1"/>
  <c r="S54" i="1" s="1"/>
  <c r="AA53" i="1"/>
  <c r="AG48" i="1"/>
  <c r="U48" i="1" s="1"/>
  <c r="S48" i="1" s="1"/>
  <c r="X48" i="1"/>
  <c r="X42" i="1"/>
  <c r="AG39" i="1"/>
  <c r="AA38" i="1"/>
  <c r="AG35" i="1"/>
  <c r="AG33" i="1"/>
  <c r="W33" i="1" s="1"/>
  <c r="AG23" i="1"/>
  <c r="U23" i="1" s="1"/>
  <c r="S23" i="1" s="1"/>
  <c r="X18" i="1"/>
  <c r="X16" i="1"/>
  <c r="T96" i="1"/>
  <c r="U177" i="1"/>
  <c r="S177" i="1" s="1"/>
  <c r="T164" i="1"/>
  <c r="U164" i="1" s="1"/>
  <c r="S164" i="1" s="1"/>
  <c r="T93" i="1"/>
  <c r="U93" i="1" s="1"/>
  <c r="S93" i="1" s="1"/>
  <c r="T85" i="1"/>
  <c r="T63" i="1"/>
  <c r="T37" i="1"/>
  <c r="U37" i="1" s="1"/>
  <c r="S37" i="1" s="1"/>
  <c r="AA14" i="1"/>
  <c r="T97" i="1"/>
  <c r="U97" i="1" s="1"/>
  <c r="S97" i="1" s="1"/>
  <c r="AG183" i="1"/>
  <c r="AI183" i="1" s="1"/>
  <c r="X183" i="1"/>
  <c r="AG96" i="1"/>
  <c r="AG180" i="1"/>
  <c r="U180" i="1" s="1"/>
  <c r="S180" i="1" s="1"/>
  <c r="T178" i="1"/>
  <c r="U178" i="1" s="1"/>
  <c r="S178" i="1" s="1"/>
  <c r="AA176" i="1"/>
  <c r="AG170" i="1"/>
  <c r="AI170" i="1" s="1"/>
  <c r="X170" i="1"/>
  <c r="AG167" i="1"/>
  <c r="AI167" i="1" s="1"/>
  <c r="AA161" i="1"/>
  <c r="W161" i="1" s="1"/>
  <c r="AG89" i="1"/>
  <c r="AG85" i="1"/>
  <c r="AI85" i="1" s="1"/>
  <c r="AG84" i="1"/>
  <c r="U84" i="1" s="1"/>
  <c r="S84" i="1" s="1"/>
  <c r="T77" i="1"/>
  <c r="U77" i="1" s="1"/>
  <c r="S77" i="1" s="1"/>
  <c r="AA75" i="1"/>
  <c r="AG63" i="1"/>
  <c r="AI63" i="1" s="1"/>
  <c r="AA54" i="1"/>
  <c r="W54" i="1" s="1"/>
  <c r="AA50" i="1"/>
  <c r="AG49" i="1"/>
  <c r="AI46" i="1"/>
  <c r="AA45" i="1"/>
  <c r="W45" i="1" s="1"/>
  <c r="T42" i="1"/>
  <c r="U42" i="1" s="1"/>
  <c r="S42" i="1" s="1"/>
  <c r="AA31" i="1"/>
  <c r="AG28" i="1"/>
  <c r="W28" i="1" s="1"/>
  <c r="AA16" i="1"/>
  <c r="W16" i="1" s="1"/>
  <c r="AA15" i="1"/>
  <c r="W184" i="1"/>
  <c r="AI68" i="1"/>
  <c r="AA67" i="1"/>
  <c r="W67" i="1" s="1"/>
  <c r="T64" i="1"/>
  <c r="AA22" i="1"/>
  <c r="AI21" i="1"/>
  <c r="AA17" i="1"/>
  <c r="U158" i="1"/>
  <c r="S158" i="1" s="1"/>
  <c r="AG212" i="1"/>
  <c r="X212" i="1"/>
  <c r="T208" i="1"/>
  <c r="U208" i="1" s="1"/>
  <c r="S208" i="1" s="1"/>
  <c r="AI180" i="1"/>
  <c r="T137" i="1"/>
  <c r="X137" i="1"/>
  <c r="AG137" i="1"/>
  <c r="W137" i="1" s="1"/>
  <c r="T134" i="1"/>
  <c r="X134" i="1"/>
  <c r="AI166" i="1"/>
  <c r="AI159" i="1"/>
  <c r="T117" i="1"/>
  <c r="X117" i="1"/>
  <c r="AG117" i="1"/>
  <c r="X118" i="1"/>
  <c r="T109" i="1"/>
  <c r="X109" i="1"/>
  <c r="AG109" i="1"/>
  <c r="AI109" i="1" s="1"/>
  <c r="X110" i="1"/>
  <c r="T103" i="1"/>
  <c r="X103" i="1"/>
  <c r="AG103" i="1"/>
  <c r="X104" i="1"/>
  <c r="X188" i="1"/>
  <c r="X187" i="1"/>
  <c r="AG187" i="1"/>
  <c r="AG185" i="1"/>
  <c r="AI185" i="1" s="1"/>
  <c r="X185" i="1"/>
  <c r="T185" i="1"/>
  <c r="AI104" i="1"/>
  <c r="U170" i="1"/>
  <c r="S170" i="1" s="1"/>
  <c r="AI215" i="1"/>
  <c r="T211" i="1"/>
  <c r="X211" i="1"/>
  <c r="W158" i="1"/>
  <c r="T148" i="1"/>
  <c r="T141" i="1"/>
  <c r="X141" i="1"/>
  <c r="AG141" i="1"/>
  <c r="W141" i="1" s="1"/>
  <c r="X135" i="1"/>
  <c r="AG134" i="1"/>
  <c r="AI143" i="1"/>
  <c r="U101" i="1"/>
  <c r="S101" i="1" s="1"/>
  <c r="AI135" i="1"/>
  <c r="AI127" i="1"/>
  <c r="T179" i="1"/>
  <c r="AG179" i="1"/>
  <c r="AI101" i="1"/>
  <c r="AI89" i="1"/>
  <c r="U89" i="1"/>
  <c r="S89" i="1" s="1"/>
  <c r="T205" i="1"/>
  <c r="X205" i="1"/>
  <c r="T198" i="1"/>
  <c r="AI196" i="1"/>
  <c r="U159" i="1"/>
  <c r="S159" i="1" s="1"/>
  <c r="T157" i="1"/>
  <c r="X157" i="1"/>
  <c r="T150" i="1"/>
  <c r="U148" i="1"/>
  <c r="S148" i="1" s="1"/>
  <c r="T121" i="1"/>
  <c r="X121" i="1"/>
  <c r="AG121" i="1"/>
  <c r="T192" i="1"/>
  <c r="X192" i="1"/>
  <c r="AG192" i="1"/>
  <c r="X193" i="1"/>
  <c r="T165" i="1"/>
  <c r="AG165" i="1"/>
  <c r="AI165" i="1" s="1"/>
  <c r="T65" i="1"/>
  <c r="X65" i="1"/>
  <c r="X66" i="1"/>
  <c r="AG65" i="1"/>
  <c r="T214" i="1"/>
  <c r="U214" i="1" s="1"/>
  <c r="S214" i="1" s="1"/>
  <c r="X208" i="1"/>
  <c r="W206" i="1"/>
  <c r="AG205" i="1"/>
  <c r="AI205" i="1" s="1"/>
  <c r="S203" i="1"/>
  <c r="T202" i="1"/>
  <c r="AG198" i="1"/>
  <c r="AI198" i="1" s="1"/>
  <c r="X198" i="1"/>
  <c r="T196" i="1"/>
  <c r="U196" i="1" s="1"/>
  <c r="S196" i="1" s="1"/>
  <c r="AG157" i="1"/>
  <c r="AI189" i="1"/>
  <c r="T154" i="1"/>
  <c r="AI186" i="1"/>
  <c r="AG150" i="1"/>
  <c r="X150" i="1"/>
  <c r="T138" i="1"/>
  <c r="X138" i="1"/>
  <c r="U122" i="1"/>
  <c r="S122" i="1" s="1"/>
  <c r="T215" i="1"/>
  <c r="U215" i="1" s="1"/>
  <c r="S215" i="1" s="1"/>
  <c r="X215" i="1"/>
  <c r="X214" i="1"/>
  <c r="X213" i="1"/>
  <c r="AA212" i="1"/>
  <c r="W212" i="1" s="1"/>
  <c r="AG211" i="1"/>
  <c r="AI209" i="1"/>
  <c r="U204" i="1"/>
  <c r="S204" i="1" s="1"/>
  <c r="AG202" i="1"/>
  <c r="AI202" i="1" s="1"/>
  <c r="AI203" i="1"/>
  <c r="T200" i="1"/>
  <c r="U200" i="1" s="1"/>
  <c r="S200" i="1" s="1"/>
  <c r="T197" i="1"/>
  <c r="U197" i="1" s="1"/>
  <c r="S197" i="1" s="1"/>
  <c r="X197" i="1"/>
  <c r="X196" i="1"/>
  <c r="X195" i="1"/>
  <c r="AA160" i="1"/>
  <c r="AI193" i="1"/>
  <c r="AG154" i="1"/>
  <c r="AI187" i="1"/>
  <c r="T152" i="1"/>
  <c r="U152" i="1" s="1"/>
  <c r="S152" i="1" s="1"/>
  <c r="T149" i="1"/>
  <c r="U149" i="1" s="1"/>
  <c r="S149" i="1" s="1"/>
  <c r="X149" i="1"/>
  <c r="X148" i="1"/>
  <c r="AA146" i="1"/>
  <c r="T145" i="1"/>
  <c r="X145" i="1"/>
  <c r="AG145" i="1"/>
  <c r="W143" i="1"/>
  <c r="T142" i="1"/>
  <c r="U142" i="1" s="1"/>
  <c r="S142" i="1" s="1"/>
  <c r="X142" i="1"/>
  <c r="X139" i="1"/>
  <c r="AG138" i="1"/>
  <c r="U131" i="1"/>
  <c r="S131" i="1" s="1"/>
  <c r="AA130" i="1"/>
  <c r="T129" i="1"/>
  <c r="X129" i="1"/>
  <c r="AG129" i="1"/>
  <c r="AA122" i="1"/>
  <c r="W122" i="1" s="1"/>
  <c r="T113" i="1"/>
  <c r="X113" i="1"/>
  <c r="AG113" i="1"/>
  <c r="AI113" i="1" s="1"/>
  <c r="X114" i="1"/>
  <c r="T105" i="1"/>
  <c r="X105" i="1"/>
  <c r="AG105" i="1"/>
  <c r="AI105" i="1" s="1"/>
  <c r="X106" i="1"/>
  <c r="T99" i="1"/>
  <c r="X99" i="1"/>
  <c r="AG99" i="1"/>
  <c r="X100" i="1"/>
  <c r="T187" i="1"/>
  <c r="AI117" i="1"/>
  <c r="X93" i="1"/>
  <c r="X92" i="1"/>
  <c r="AG92" i="1"/>
  <c r="AG90" i="1"/>
  <c r="X90" i="1"/>
  <c r="T90" i="1"/>
  <c r="AI208" i="1"/>
  <c r="T201" i="1"/>
  <c r="U201" i="1" s="1"/>
  <c r="S201" i="1" s="1"/>
  <c r="X201" i="1"/>
  <c r="AA198" i="1"/>
  <c r="AI192" i="1"/>
  <c r="X158" i="1"/>
  <c r="T153" i="1"/>
  <c r="U153" i="1" s="1"/>
  <c r="S153" i="1" s="1"/>
  <c r="X153" i="1"/>
  <c r="AA150" i="1"/>
  <c r="T146" i="1"/>
  <c r="X146" i="1"/>
  <c r="AI177" i="1"/>
  <c r="U135" i="1"/>
  <c r="S135" i="1" s="1"/>
  <c r="AA134" i="1"/>
  <c r="T133" i="1"/>
  <c r="X133" i="1"/>
  <c r="AG133" i="1"/>
  <c r="T130" i="1"/>
  <c r="X130" i="1"/>
  <c r="AI161" i="1"/>
  <c r="T125" i="1"/>
  <c r="X125" i="1"/>
  <c r="AG125" i="1"/>
  <c r="AI125" i="1" s="1"/>
  <c r="AI155" i="1"/>
  <c r="W117" i="1"/>
  <c r="AA114" i="1"/>
  <c r="W114" i="1" s="1"/>
  <c r="W109" i="1"/>
  <c r="AA106" i="1"/>
  <c r="W106" i="1" s="1"/>
  <c r="AI139" i="1"/>
  <c r="AA100" i="1"/>
  <c r="AI131" i="1"/>
  <c r="AA190" i="1"/>
  <c r="W190" i="1" s="1"/>
  <c r="X174" i="1"/>
  <c r="X173" i="1"/>
  <c r="AG173" i="1"/>
  <c r="AG171" i="1"/>
  <c r="AI171" i="1" s="1"/>
  <c r="X171" i="1"/>
  <c r="T171" i="1"/>
  <c r="AI95" i="1"/>
  <c r="T87" i="1"/>
  <c r="X87" i="1"/>
  <c r="AG87" i="1"/>
  <c r="T79" i="1"/>
  <c r="X79" i="1"/>
  <c r="AG79" i="1"/>
  <c r="X80" i="1"/>
  <c r="T71" i="1"/>
  <c r="X71" i="1"/>
  <c r="AG71" i="1"/>
  <c r="W71" i="1" s="1"/>
  <c r="X72" i="1"/>
  <c r="T43" i="1"/>
  <c r="X43" i="1"/>
  <c r="X44" i="1"/>
  <c r="AG43" i="1"/>
  <c r="U184" i="1"/>
  <c r="S184" i="1" s="1"/>
  <c r="T182" i="1"/>
  <c r="T176" i="1"/>
  <c r="T169" i="1"/>
  <c r="X169" i="1"/>
  <c r="T162" i="1"/>
  <c r="AI84" i="1"/>
  <c r="AI76" i="1"/>
  <c r="W61" i="1"/>
  <c r="U55" i="1"/>
  <c r="S55" i="1" s="1"/>
  <c r="AI48" i="1"/>
  <c r="U31" i="1"/>
  <c r="S31" i="1" s="1"/>
  <c r="AI31" i="1"/>
  <c r="W31" i="1"/>
  <c r="X126" i="1"/>
  <c r="X122" i="1"/>
  <c r="AI156" i="1"/>
  <c r="AG120" i="1"/>
  <c r="AI120" i="1" s="1"/>
  <c r="AG116" i="1"/>
  <c r="AI116" i="1" s="1"/>
  <c r="AG112" i="1"/>
  <c r="AG108" i="1"/>
  <c r="AG210" i="1"/>
  <c r="AG102" i="1"/>
  <c r="AI102" i="1" s="1"/>
  <c r="AG98" i="1"/>
  <c r="AI98" i="1" s="1"/>
  <c r="AG191" i="1"/>
  <c r="T189" i="1"/>
  <c r="U189" i="1" s="1"/>
  <c r="S189" i="1" s="1"/>
  <c r="T186" i="1"/>
  <c r="U186" i="1" s="1"/>
  <c r="S186" i="1" s="1"/>
  <c r="X186" i="1"/>
  <c r="X184" i="1"/>
  <c r="AA183" i="1"/>
  <c r="AG182" i="1"/>
  <c r="AI182" i="1" s="1"/>
  <c r="AG176" i="1"/>
  <c r="W176" i="1" s="1"/>
  <c r="T175" i="1"/>
  <c r="U175" i="1" s="1"/>
  <c r="S175" i="1" s="1"/>
  <c r="T172" i="1"/>
  <c r="U172" i="1" s="1"/>
  <c r="S172" i="1" s="1"/>
  <c r="X172" i="1"/>
  <c r="X95" i="1"/>
  <c r="AA170" i="1"/>
  <c r="AG169" i="1"/>
  <c r="W169" i="1" s="1"/>
  <c r="AG162" i="1"/>
  <c r="T94" i="1"/>
  <c r="U94" i="1" s="1"/>
  <c r="S94" i="1" s="1"/>
  <c r="T91" i="1"/>
  <c r="U91" i="1" s="1"/>
  <c r="S91" i="1" s="1"/>
  <c r="X91" i="1"/>
  <c r="AA88" i="1"/>
  <c r="W88" i="1" s="1"/>
  <c r="T83" i="1"/>
  <c r="X83" i="1"/>
  <c r="AG83" i="1"/>
  <c r="X84" i="1"/>
  <c r="U76" i="1"/>
  <c r="S76" i="1" s="1"/>
  <c r="T75" i="1"/>
  <c r="X75" i="1"/>
  <c r="AG75" i="1"/>
  <c r="X76" i="1"/>
  <c r="X59" i="1"/>
  <c r="X58" i="1"/>
  <c r="AG58" i="1"/>
  <c r="AG34" i="1"/>
  <c r="W34" i="1" s="1"/>
  <c r="T34" i="1"/>
  <c r="X34" i="1"/>
  <c r="AG20" i="1"/>
  <c r="X20" i="1"/>
  <c r="T20" i="1"/>
  <c r="X120" i="1"/>
  <c r="X116" i="1"/>
  <c r="X112" i="1"/>
  <c r="X108" i="1"/>
  <c r="X210" i="1"/>
  <c r="X102" i="1"/>
  <c r="X98" i="1"/>
  <c r="X191" i="1"/>
  <c r="T190" i="1"/>
  <c r="U190" i="1" s="1"/>
  <c r="S190" i="1" s="1"/>
  <c r="X190" i="1"/>
  <c r="X189" i="1"/>
  <c r="AA187" i="1"/>
  <c r="W187" i="1" s="1"/>
  <c r="AI121" i="1"/>
  <c r="AA173" i="1"/>
  <c r="W173" i="1" s="1"/>
  <c r="U168" i="1"/>
  <c r="S168" i="1" s="1"/>
  <c r="T161" i="1"/>
  <c r="U161" i="1" s="1"/>
  <c r="S161" i="1" s="1"/>
  <c r="X94" i="1"/>
  <c r="AA92" i="1"/>
  <c r="W89" i="1"/>
  <c r="AA84" i="1"/>
  <c r="AI80" i="1"/>
  <c r="AA76" i="1"/>
  <c r="W76" i="1" s="1"/>
  <c r="U67" i="1"/>
  <c r="S67" i="1" s="1"/>
  <c r="W65" i="1"/>
  <c r="AI61" i="1"/>
  <c r="T52" i="1"/>
  <c r="X52" i="1"/>
  <c r="AG52" i="1"/>
  <c r="W23" i="1"/>
  <c r="X88" i="1"/>
  <c r="T69" i="1"/>
  <c r="X69" i="1"/>
  <c r="T62" i="1"/>
  <c r="T56" i="1"/>
  <c r="X56" i="1"/>
  <c r="AG56" i="1"/>
  <c r="W56" i="1" s="1"/>
  <c r="T53" i="1"/>
  <c r="X53" i="1"/>
  <c r="AG50" i="1"/>
  <c r="X50" i="1"/>
  <c r="AI49" i="1"/>
  <c r="AA42" i="1"/>
  <c r="W42" i="1" s="1"/>
  <c r="AI42" i="1"/>
  <c r="AG40" i="1"/>
  <c r="X41" i="1"/>
  <c r="T40" i="1"/>
  <c r="AG14" i="1"/>
  <c r="W14" i="1" s="1"/>
  <c r="T14" i="1"/>
  <c r="AG86" i="1"/>
  <c r="AG82" i="1"/>
  <c r="W82" i="1" s="1"/>
  <c r="AG78" i="1"/>
  <c r="AG74" i="1"/>
  <c r="AG70" i="1"/>
  <c r="AG69" i="1"/>
  <c r="U64" i="1"/>
  <c r="S64" i="1" s="1"/>
  <c r="AG62" i="1"/>
  <c r="T60" i="1"/>
  <c r="U60" i="1" s="1"/>
  <c r="S60" i="1" s="1"/>
  <c r="T57" i="1"/>
  <c r="U57" i="1" s="1"/>
  <c r="X57" i="1"/>
  <c r="X54" i="1"/>
  <c r="AG53" i="1"/>
  <c r="W53" i="1" s="1"/>
  <c r="U49" i="1"/>
  <c r="S49" i="1" s="1"/>
  <c r="T47" i="1"/>
  <c r="X47" i="1"/>
  <c r="AG47" i="1"/>
  <c r="X40" i="1"/>
  <c r="W35" i="1"/>
  <c r="AG26" i="1"/>
  <c r="X28" i="1"/>
  <c r="X26" i="1"/>
  <c r="AG22" i="1"/>
  <c r="W22" i="1" s="1"/>
  <c r="X23" i="1"/>
  <c r="T22" i="1"/>
  <c r="X86" i="1"/>
  <c r="X82" i="1"/>
  <c r="X78" i="1"/>
  <c r="X74" i="1"/>
  <c r="X70" i="1"/>
  <c r="T61" i="1"/>
  <c r="U61" i="1" s="1"/>
  <c r="S61" i="1" s="1"/>
  <c r="X61" i="1"/>
  <c r="X60" i="1"/>
  <c r="AA58" i="1"/>
  <c r="S57" i="1"/>
  <c r="T50" i="1"/>
  <c r="AA43" i="1"/>
  <c r="AI41" i="1"/>
  <c r="W41" i="1"/>
  <c r="AG38" i="1"/>
  <c r="X38" i="1"/>
  <c r="U17" i="1"/>
  <c r="S17" i="1" s="1"/>
  <c r="T51" i="1"/>
  <c r="U51" i="1" s="1"/>
  <c r="S51" i="1" s="1"/>
  <c r="X51" i="1"/>
  <c r="X49" i="1"/>
  <c r="AA48" i="1"/>
  <c r="AG32" i="1"/>
  <c r="X33" i="1"/>
  <c r="T30" i="1"/>
  <c r="U30" i="1" s="1"/>
  <c r="S30" i="1" s="1"/>
  <c r="U25" i="1"/>
  <c r="S25" i="1" s="1"/>
  <c r="U24" i="1"/>
  <c r="S24" i="1" s="1"/>
  <c r="AI24" i="1"/>
  <c r="U19" i="1"/>
  <c r="S19" i="1" s="1"/>
  <c r="AI18" i="1"/>
  <c r="T16" i="1"/>
  <c r="U16" i="1" s="1"/>
  <c r="S16" i="1" s="1"/>
  <c r="AA52" i="1"/>
  <c r="U46" i="1"/>
  <c r="S46" i="1" s="1"/>
  <c r="S44" i="1"/>
  <c r="AG36" i="1"/>
  <c r="X37" i="1"/>
  <c r="AI30" i="1"/>
  <c r="X24" i="1"/>
  <c r="AI16" i="1"/>
  <c r="X19" i="1"/>
  <c r="X15" i="1"/>
  <c r="X39" i="1"/>
  <c r="X35" i="1"/>
  <c r="X31" i="1"/>
  <c r="X25" i="1"/>
  <c r="X21" i="1"/>
  <c r="X17" i="1"/>
  <c r="Y10" i="3"/>
  <c r="Y33" i="3"/>
  <c r="Y35" i="3"/>
  <c r="Y37" i="3"/>
  <c r="Y9" i="3"/>
  <c r="Y24" i="3"/>
  <c r="Y21" i="3"/>
  <c r="Y11" i="3"/>
  <c r="Y8" i="3"/>
  <c r="Y28" i="3"/>
  <c r="Y13" i="3"/>
  <c r="Y31" i="3"/>
  <c r="AD19" i="3"/>
  <c r="AD8" i="3"/>
  <c r="AD28" i="3"/>
  <c r="AD34" i="3"/>
  <c r="AD38" i="3"/>
  <c r="AD13" i="3"/>
  <c r="AD31" i="3"/>
  <c r="AD20" i="3"/>
  <c r="AD26" i="3"/>
  <c r="AD25" i="3"/>
  <c r="AD30" i="3"/>
  <c r="AD23" i="3"/>
  <c r="AD22" i="3"/>
  <c r="AD18" i="3"/>
  <c r="AD17" i="3"/>
  <c r="AC28" i="3"/>
  <c r="AD10" i="3"/>
  <c r="AD16" i="3"/>
  <c r="AD33" i="3"/>
  <c r="AD27" i="3"/>
  <c r="AD35" i="3"/>
  <c r="AD15" i="3"/>
  <c r="AD37" i="3"/>
  <c r="AD36" i="3"/>
  <c r="AD9" i="3"/>
  <c r="AD32" i="3"/>
  <c r="AD24" i="3"/>
  <c r="AD12" i="3"/>
  <c r="AD29" i="3"/>
  <c r="AD11" i="3"/>
  <c r="AD7" i="3"/>
  <c r="Y19" i="3"/>
  <c r="Y34" i="3"/>
  <c r="Y38" i="3"/>
  <c r="Y20" i="3"/>
  <c r="Y26" i="3"/>
  <c r="Y25" i="3"/>
  <c r="Y30" i="3"/>
  <c r="Y23" i="3"/>
  <c r="Y22" i="3"/>
  <c r="Y18" i="3"/>
  <c r="Y17" i="3"/>
  <c r="M14" i="3"/>
  <c r="U14" i="3"/>
  <c r="T14" i="3" s="1"/>
  <c r="V14" i="3"/>
  <c r="W14" i="3"/>
  <c r="X14" i="3"/>
  <c r="AC14" i="3"/>
  <c r="AI23" i="1" l="1"/>
  <c r="U15" i="1"/>
  <c r="S15" i="1" s="1"/>
  <c r="AI44" i="1"/>
  <c r="W15" i="1"/>
  <c r="W25" i="1"/>
  <c r="W44" i="1"/>
  <c r="AI111" i="1"/>
  <c r="U167" i="1"/>
  <c r="S167" i="1" s="1"/>
  <c r="W111" i="1"/>
  <c r="AI45" i="1"/>
  <c r="AI100" i="1"/>
  <c r="W39" i="1"/>
  <c r="W139" i="1"/>
  <c r="W147" i="1"/>
  <c r="W84" i="1"/>
  <c r="W87" i="1"/>
  <c r="W100" i="1"/>
  <c r="W160" i="1"/>
  <c r="W177" i="1"/>
  <c r="W213" i="1"/>
  <c r="AI28" i="1"/>
  <c r="W130" i="1"/>
  <c r="AI174" i="1"/>
  <c r="U21" i="1"/>
  <c r="S21" i="1" s="1"/>
  <c r="U63" i="1"/>
  <c r="S63" i="1" s="1"/>
  <c r="W166" i="1"/>
  <c r="U28" i="1"/>
  <c r="W20" i="1"/>
  <c r="AI151" i="1"/>
  <c r="U206" i="1"/>
  <c r="S206" i="1" s="1"/>
  <c r="W49" i="1"/>
  <c r="W119" i="1"/>
  <c r="W207" i="1"/>
  <c r="W101" i="1"/>
  <c r="U85" i="1"/>
  <c r="S85" i="1" s="1"/>
  <c r="U130" i="1"/>
  <c r="S130" i="1" s="1"/>
  <c r="W127" i="1"/>
  <c r="W73" i="1"/>
  <c r="U146" i="1"/>
  <c r="S146" i="1" s="1"/>
  <c r="AI88" i="1"/>
  <c r="W159" i="1"/>
  <c r="W123" i="1"/>
  <c r="W167" i="1"/>
  <c r="W165" i="1"/>
  <c r="W50" i="1"/>
  <c r="AI147" i="1"/>
  <c r="W146" i="1"/>
  <c r="AI73" i="1"/>
  <c r="W103" i="1"/>
  <c r="W155" i="1"/>
  <c r="W162" i="1"/>
  <c r="W192" i="1"/>
  <c r="W48" i="1"/>
  <c r="W43" i="1"/>
  <c r="W138" i="1"/>
  <c r="W17" i="1"/>
  <c r="W185" i="1"/>
  <c r="W163" i="1"/>
  <c r="W92" i="1"/>
  <c r="U163" i="1"/>
  <c r="S163" i="1" s="1"/>
  <c r="W154" i="1"/>
  <c r="W179" i="1"/>
  <c r="U183" i="1"/>
  <c r="S183" i="1" s="1"/>
  <c r="AI123" i="1"/>
  <c r="U143" i="1"/>
  <c r="S143" i="1" s="1"/>
  <c r="W66" i="1"/>
  <c r="W58" i="1"/>
  <c r="AI66" i="1"/>
  <c r="AI54" i="1"/>
  <c r="W170" i="1"/>
  <c r="W183" i="1"/>
  <c r="W134" i="1"/>
  <c r="W99" i="1"/>
  <c r="U107" i="1"/>
  <c r="S107" i="1" s="1"/>
  <c r="W72" i="1"/>
  <c r="U96" i="1"/>
  <c r="S96" i="1" s="1"/>
  <c r="AI72" i="1"/>
  <c r="U114" i="1"/>
  <c r="S114" i="1" s="1"/>
  <c r="AI199" i="1"/>
  <c r="W118" i="1"/>
  <c r="W199" i="1"/>
  <c r="AI29" i="1"/>
  <c r="U29" i="1"/>
  <c r="S28" i="1" s="1"/>
  <c r="W110" i="1"/>
  <c r="AI176" i="1"/>
  <c r="AI162" i="1"/>
  <c r="W194" i="1"/>
  <c r="W171" i="1"/>
  <c r="U59" i="1"/>
  <c r="S59" i="1" s="1"/>
  <c r="AI59" i="1"/>
  <c r="U81" i="1"/>
  <c r="S81" i="1" s="1"/>
  <c r="AI81" i="1"/>
  <c r="W174" i="1"/>
  <c r="W195" i="1"/>
  <c r="W52" i="1"/>
  <c r="W210" i="1"/>
  <c r="AI210" i="1"/>
  <c r="W202" i="1"/>
  <c r="W81" i="1"/>
  <c r="U39" i="1"/>
  <c r="S39" i="1" s="1"/>
  <c r="AI39" i="1"/>
  <c r="W59" i="1"/>
  <c r="W55" i="1"/>
  <c r="AI118" i="1"/>
  <c r="U118" i="1"/>
  <c r="S118" i="1" s="1"/>
  <c r="W126" i="1"/>
  <c r="W96" i="1"/>
  <c r="U33" i="1"/>
  <c r="S33" i="1" s="1"/>
  <c r="AI33" i="1"/>
  <c r="W63" i="1"/>
  <c r="AI35" i="1"/>
  <c r="U35" i="1"/>
  <c r="S35" i="1" s="1"/>
  <c r="W180" i="1"/>
  <c r="AI126" i="1"/>
  <c r="U126" i="1"/>
  <c r="S126" i="1" s="1"/>
  <c r="W85" i="1"/>
  <c r="W107" i="1"/>
  <c r="W151" i="1"/>
  <c r="AI83" i="1"/>
  <c r="U83" i="1"/>
  <c r="S83" i="1" s="1"/>
  <c r="U182" i="1"/>
  <c r="S182" i="1" s="1"/>
  <c r="AI119" i="1"/>
  <c r="U98" i="1"/>
  <c r="S98" i="1" s="1"/>
  <c r="AI133" i="1"/>
  <c r="U112" i="1"/>
  <c r="S112" i="1" s="1"/>
  <c r="AI149" i="1"/>
  <c r="AI43" i="1"/>
  <c r="U43" i="1"/>
  <c r="S43" i="1" s="1"/>
  <c r="AI142" i="1"/>
  <c r="U105" i="1"/>
  <c r="S105" i="1" s="1"/>
  <c r="AI191" i="1"/>
  <c r="U157" i="1"/>
  <c r="S157" i="1" s="1"/>
  <c r="AI32" i="1"/>
  <c r="U32" i="1"/>
  <c r="S32" i="1" s="1"/>
  <c r="AI22" i="1"/>
  <c r="U22" i="1"/>
  <c r="S22" i="1" s="1"/>
  <c r="AI96" i="1"/>
  <c r="U162" i="1"/>
  <c r="S162" i="1" s="1"/>
  <c r="U102" i="1"/>
  <c r="S102" i="1" s="1"/>
  <c r="AI137" i="1"/>
  <c r="W102" i="1"/>
  <c r="U116" i="1"/>
  <c r="S116" i="1" s="1"/>
  <c r="AI153" i="1"/>
  <c r="W116" i="1"/>
  <c r="AI71" i="1"/>
  <c r="U71" i="1"/>
  <c r="S71" i="1" s="1"/>
  <c r="U171" i="1"/>
  <c r="S171" i="1" s="1"/>
  <c r="AI106" i="1"/>
  <c r="AI160" i="1"/>
  <c r="U125" i="1"/>
  <c r="S125" i="1" s="1"/>
  <c r="U133" i="1"/>
  <c r="S133" i="1" s="1"/>
  <c r="AI168" i="1"/>
  <c r="W198" i="1"/>
  <c r="U90" i="1"/>
  <c r="S90" i="1" s="1"/>
  <c r="AI90" i="1"/>
  <c r="AI150" i="1"/>
  <c r="U113" i="1"/>
  <c r="S113" i="1" s="1"/>
  <c r="AI188" i="1"/>
  <c r="U154" i="1"/>
  <c r="S154" i="1" s="1"/>
  <c r="AI130" i="1"/>
  <c r="U192" i="1"/>
  <c r="S192" i="1" s="1"/>
  <c r="W90" i="1"/>
  <c r="W133" i="1"/>
  <c r="W98" i="1"/>
  <c r="W112" i="1"/>
  <c r="U38" i="1"/>
  <c r="S38" i="1" s="1"/>
  <c r="AI38" i="1"/>
  <c r="AI26" i="1"/>
  <c r="U26" i="1"/>
  <c r="S26" i="1" s="1"/>
  <c r="W38" i="1"/>
  <c r="AI47" i="1"/>
  <c r="U47" i="1"/>
  <c r="S47" i="1" s="1"/>
  <c r="AI62" i="1"/>
  <c r="U62" i="1"/>
  <c r="S62" i="1" s="1"/>
  <c r="U74" i="1"/>
  <c r="S74" i="1" s="1"/>
  <c r="AI74" i="1"/>
  <c r="AI40" i="1"/>
  <c r="U40" i="1"/>
  <c r="S40" i="1" s="1"/>
  <c r="W62" i="1"/>
  <c r="W74" i="1"/>
  <c r="U129" i="1"/>
  <c r="S129" i="1" s="1"/>
  <c r="AI164" i="1"/>
  <c r="AI195" i="1"/>
  <c r="AI184" i="1"/>
  <c r="U150" i="1"/>
  <c r="S150" i="1" s="1"/>
  <c r="AI158" i="1"/>
  <c r="U121" i="1"/>
  <c r="S121" i="1" s="1"/>
  <c r="AI124" i="1"/>
  <c r="U187" i="1"/>
  <c r="S187" i="1" s="1"/>
  <c r="AI138" i="1"/>
  <c r="U103" i="1"/>
  <c r="S103" i="1" s="1"/>
  <c r="AI146" i="1"/>
  <c r="U109" i="1"/>
  <c r="S109" i="1" s="1"/>
  <c r="AI154" i="1"/>
  <c r="U117" i="1"/>
  <c r="S117" i="1" s="1"/>
  <c r="AI53" i="1"/>
  <c r="U53" i="1"/>
  <c r="S53" i="1" s="1"/>
  <c r="U78" i="1"/>
  <c r="S78" i="1" s="1"/>
  <c r="AI78" i="1"/>
  <c r="W78" i="1"/>
  <c r="AI14" i="1"/>
  <c r="U14" i="1"/>
  <c r="S14" i="1" s="1"/>
  <c r="U34" i="1"/>
  <c r="S34" i="1" s="1"/>
  <c r="AI34" i="1"/>
  <c r="AI36" i="1"/>
  <c r="U36" i="1"/>
  <c r="S36" i="1" s="1"/>
  <c r="W36" i="1"/>
  <c r="W32" i="1"/>
  <c r="U69" i="1"/>
  <c r="S69" i="1" s="1"/>
  <c r="AI69" i="1"/>
  <c r="U82" i="1"/>
  <c r="S82" i="1" s="1"/>
  <c r="AI82" i="1"/>
  <c r="U56" i="1"/>
  <c r="S56" i="1" s="1"/>
  <c r="AI56" i="1"/>
  <c r="AI52" i="1"/>
  <c r="U52" i="1"/>
  <c r="S52" i="1" s="1"/>
  <c r="U20" i="1"/>
  <c r="S20" i="1" s="1"/>
  <c r="AI20" i="1"/>
  <c r="AI58" i="1"/>
  <c r="U58" i="1"/>
  <c r="S58" i="1" s="1"/>
  <c r="AI112" i="1"/>
  <c r="U176" i="1"/>
  <c r="S176" i="1" s="1"/>
  <c r="U210" i="1"/>
  <c r="S210" i="1" s="1"/>
  <c r="AI141" i="1"/>
  <c r="U120" i="1"/>
  <c r="S120" i="1" s="1"/>
  <c r="AI157" i="1"/>
  <c r="W120" i="1"/>
  <c r="W69" i="1"/>
  <c r="AI79" i="1"/>
  <c r="U79" i="1"/>
  <c r="S79" i="1" s="1"/>
  <c r="AI87" i="1"/>
  <c r="U87" i="1"/>
  <c r="S87" i="1" s="1"/>
  <c r="AI108" i="1"/>
  <c r="U173" i="1"/>
  <c r="S173" i="1" s="1"/>
  <c r="W150" i="1"/>
  <c r="AI92" i="1"/>
  <c r="U92" i="1"/>
  <c r="S92" i="1" s="1"/>
  <c r="W125" i="1"/>
  <c r="AI173" i="1"/>
  <c r="U138" i="1"/>
  <c r="S138" i="1" s="1"/>
  <c r="U145" i="1"/>
  <c r="S145" i="1" s="1"/>
  <c r="AI179" i="1"/>
  <c r="W145" i="1"/>
  <c r="W211" i="1"/>
  <c r="U211" i="1"/>
  <c r="S211" i="1" s="1"/>
  <c r="AI211" i="1"/>
  <c r="W129" i="1"/>
  <c r="AI99" i="1"/>
  <c r="U165" i="1"/>
  <c r="S165" i="1" s="1"/>
  <c r="W105" i="1"/>
  <c r="W113" i="1"/>
  <c r="AI169" i="1"/>
  <c r="U134" i="1"/>
  <c r="S134" i="1" s="1"/>
  <c r="W157" i="1"/>
  <c r="W40" i="1"/>
  <c r="U70" i="1"/>
  <c r="S70" i="1" s="1"/>
  <c r="AI70" i="1"/>
  <c r="W70" i="1"/>
  <c r="U86" i="1"/>
  <c r="S86" i="1" s="1"/>
  <c r="AI86" i="1"/>
  <c r="W86" i="1"/>
  <c r="W26" i="1"/>
  <c r="W47" i="1"/>
  <c r="U50" i="1"/>
  <c r="S50" i="1" s="1"/>
  <c r="AI50" i="1"/>
  <c r="AI75" i="1"/>
  <c r="U75" i="1"/>
  <c r="S75" i="1" s="1"/>
  <c r="U169" i="1"/>
  <c r="S169" i="1" s="1"/>
  <c r="AI103" i="1"/>
  <c r="U191" i="1"/>
  <c r="S191" i="1" s="1"/>
  <c r="AI129" i="1"/>
  <c r="W191" i="1"/>
  <c r="U108" i="1"/>
  <c r="S108" i="1" s="1"/>
  <c r="AI145" i="1"/>
  <c r="W108" i="1"/>
  <c r="W75" i="1"/>
  <c r="W83" i="1"/>
  <c r="W121" i="1"/>
  <c r="W182" i="1"/>
  <c r="AI134" i="1"/>
  <c r="U99" i="1"/>
  <c r="S99" i="1" s="1"/>
  <c r="AI204" i="1"/>
  <c r="U202" i="1"/>
  <c r="S202" i="1" s="1"/>
  <c r="AI200" i="1"/>
  <c r="U198" i="1"/>
  <c r="S198" i="1" s="1"/>
  <c r="AI207" i="1"/>
  <c r="U205" i="1"/>
  <c r="S205" i="1" s="1"/>
  <c r="AI65" i="1"/>
  <c r="U65" i="1"/>
  <c r="S65" i="1" s="1"/>
  <c r="AI115" i="1"/>
  <c r="U179" i="1"/>
  <c r="S179" i="1" s="1"/>
  <c r="U141" i="1"/>
  <c r="S141" i="1" s="1"/>
  <c r="U185" i="1"/>
  <c r="S185" i="1" s="1"/>
  <c r="AI122" i="1"/>
  <c r="U137" i="1"/>
  <c r="S137" i="1" s="1"/>
  <c r="AI172" i="1"/>
  <c r="AI212" i="1"/>
  <c r="U212" i="1"/>
  <c r="S212" i="1" s="1"/>
  <c r="W205" i="1"/>
  <c r="AD21" i="3"/>
  <c r="Y14" i="3"/>
  <c r="B7" i="6"/>
  <c r="F7" i="6" s="1"/>
  <c r="G7" i="6"/>
  <c r="I7" i="6"/>
  <c r="K7" i="6"/>
  <c r="B8" i="6"/>
  <c r="F8" i="6" s="1"/>
  <c r="K8" i="6"/>
  <c r="B9" i="6"/>
  <c r="G9" i="6" s="1"/>
  <c r="F9" i="6"/>
  <c r="K9" i="6"/>
  <c r="B10" i="6"/>
  <c r="H10" i="6" s="1"/>
  <c r="J10" i="6"/>
  <c r="K10" i="6"/>
  <c r="B11" i="6"/>
  <c r="H11" i="6" s="1"/>
  <c r="F11" i="6"/>
  <c r="G11" i="6"/>
  <c r="I11" i="6"/>
  <c r="J11" i="6"/>
  <c r="K11" i="6"/>
  <c r="B12" i="6"/>
  <c r="F12" i="6" s="1"/>
  <c r="I12" i="6"/>
  <c r="K12" i="6"/>
  <c r="B13" i="6"/>
  <c r="G13" i="6" s="1"/>
  <c r="K13" i="6"/>
  <c r="B14" i="6"/>
  <c r="H14" i="6" s="1"/>
  <c r="J14" i="6"/>
  <c r="K14" i="6"/>
  <c r="B15" i="6"/>
  <c r="G15" i="6" s="1"/>
  <c r="I15" i="6"/>
  <c r="K15" i="6"/>
  <c r="J15" i="6" l="1"/>
  <c r="F14" i="6"/>
  <c r="H7" i="6"/>
  <c r="F15" i="6"/>
  <c r="I14" i="6"/>
  <c r="J7" i="6"/>
  <c r="G14" i="6"/>
  <c r="J13" i="6"/>
  <c r="I10" i="6"/>
  <c r="H15" i="6"/>
  <c r="I13" i="6"/>
  <c r="G10" i="6"/>
  <c r="J9" i="6"/>
  <c r="F13" i="6"/>
  <c r="F10" i="6"/>
  <c r="I9" i="6"/>
  <c r="I8" i="6"/>
  <c r="H12" i="6"/>
  <c r="H8" i="6"/>
  <c r="H13" i="6"/>
  <c r="G12" i="6"/>
  <c r="H9" i="6"/>
  <c r="G8" i="6"/>
  <c r="J12" i="6"/>
  <c r="J8" i="6"/>
  <c r="AD14" i="3" l="1"/>
  <c r="B53" i="9" l="1"/>
  <c r="B54" i="9"/>
  <c r="B55" i="9"/>
  <c r="C55" i="9" s="1"/>
  <c r="B56" i="9"/>
  <c r="C56" i="9" s="1"/>
  <c r="B57" i="9"/>
  <c r="B58" i="9"/>
  <c r="B59" i="9"/>
  <c r="C59" i="9" s="1"/>
  <c r="B60" i="9"/>
  <c r="C60" i="9" s="1"/>
  <c r="B61" i="9"/>
  <c r="B62" i="9"/>
  <c r="B63" i="9"/>
  <c r="C63" i="9" s="1"/>
  <c r="B64" i="9"/>
  <c r="C64" i="9" s="1"/>
  <c r="B65" i="9"/>
  <c r="B66" i="9"/>
  <c r="B67" i="9"/>
  <c r="C67" i="9" s="1"/>
  <c r="B68" i="9"/>
  <c r="C68" i="9" s="1"/>
  <c r="B69" i="9"/>
  <c r="B70" i="9"/>
  <c r="B71" i="9"/>
  <c r="C71" i="9" s="1"/>
  <c r="B72" i="9"/>
  <c r="C72" i="9" s="1"/>
  <c r="B73" i="9"/>
  <c r="B74" i="9"/>
  <c r="B75" i="9"/>
  <c r="C75" i="9" s="1"/>
  <c r="C74" i="9" l="1"/>
  <c r="C70" i="9"/>
  <c r="C66" i="9"/>
  <c r="C62" i="9"/>
  <c r="C58" i="9"/>
  <c r="C54" i="9"/>
  <c r="C73" i="9"/>
  <c r="C69" i="9"/>
  <c r="C65" i="9"/>
  <c r="C61" i="9"/>
  <c r="C57" i="9"/>
  <c r="G3" i="4" l="1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G33" i="4"/>
  <c r="G34" i="4"/>
  <c r="G35" i="4"/>
  <c r="G36" i="4"/>
  <c r="G37" i="4"/>
  <c r="G38" i="4"/>
  <c r="G39" i="4"/>
  <c r="G40" i="4"/>
  <c r="G41" i="4"/>
  <c r="G42" i="4"/>
  <c r="G43" i="4"/>
  <c r="G44" i="4"/>
  <c r="G45" i="4"/>
  <c r="G46" i="4"/>
  <c r="G47" i="4"/>
  <c r="G48" i="4"/>
  <c r="G49" i="4"/>
  <c r="G50" i="4"/>
  <c r="G51" i="4"/>
  <c r="G52" i="4"/>
  <c r="G53" i="4"/>
  <c r="G54" i="4"/>
  <c r="G55" i="4"/>
  <c r="G56" i="4"/>
  <c r="G57" i="4"/>
  <c r="G58" i="4"/>
  <c r="G59" i="4"/>
  <c r="G60" i="4"/>
  <c r="G61" i="4"/>
  <c r="G62" i="4"/>
  <c r="G63" i="4"/>
  <c r="G64" i="4"/>
  <c r="G65" i="4"/>
  <c r="G66" i="4"/>
  <c r="G67" i="4"/>
  <c r="G68" i="4"/>
  <c r="G69" i="4"/>
  <c r="G70" i="4"/>
  <c r="G71" i="4"/>
  <c r="G72" i="4"/>
  <c r="G73" i="4"/>
  <c r="G74" i="4"/>
  <c r="G75" i="4"/>
  <c r="G76" i="4"/>
  <c r="G77" i="4"/>
  <c r="G78" i="4"/>
  <c r="G79" i="4"/>
  <c r="G80" i="4"/>
  <c r="G81" i="4"/>
  <c r="G82" i="4"/>
  <c r="G83" i="4"/>
  <c r="G84" i="4"/>
  <c r="G85" i="4"/>
  <c r="G86" i="4"/>
  <c r="G87" i="4"/>
  <c r="G88" i="4"/>
  <c r="G89" i="4"/>
  <c r="G90" i="4"/>
  <c r="G91" i="4"/>
  <c r="G92" i="4"/>
  <c r="G93" i="4"/>
  <c r="G94" i="4"/>
  <c r="G95" i="4"/>
  <c r="G96" i="4"/>
  <c r="G97" i="4"/>
  <c r="G98" i="4"/>
  <c r="G99" i="4"/>
  <c r="G100" i="4"/>
  <c r="G101" i="4"/>
  <c r="G102" i="4"/>
  <c r="G103" i="4"/>
  <c r="G104" i="4"/>
  <c r="G105" i="4"/>
  <c r="G106" i="4"/>
  <c r="G107" i="4"/>
  <c r="G108" i="4"/>
  <c r="G109" i="4"/>
  <c r="G110" i="4"/>
  <c r="G111" i="4"/>
  <c r="G112" i="4"/>
  <c r="G113" i="4"/>
  <c r="G114" i="4"/>
  <c r="G115" i="4"/>
  <c r="G116" i="4"/>
  <c r="G117" i="4"/>
  <c r="G118" i="4"/>
  <c r="G119" i="4"/>
  <c r="G120" i="4"/>
  <c r="G121" i="4"/>
  <c r="G122" i="4"/>
  <c r="G123" i="4"/>
  <c r="G124" i="4"/>
  <c r="G125" i="4"/>
  <c r="G126" i="4"/>
  <c r="G127" i="4"/>
  <c r="G128" i="4"/>
  <c r="G129" i="4"/>
  <c r="G130" i="4"/>
  <c r="G131" i="4"/>
  <c r="G132" i="4"/>
  <c r="G133" i="4"/>
  <c r="G134" i="4"/>
  <c r="G135" i="4"/>
  <c r="G136" i="4"/>
  <c r="G137" i="4"/>
  <c r="G138" i="4"/>
  <c r="G139" i="4"/>
  <c r="G140" i="4"/>
  <c r="G141" i="4"/>
  <c r="G142" i="4"/>
  <c r="G143" i="4"/>
  <c r="G144" i="4"/>
  <c r="G145" i="4"/>
  <c r="G146" i="4"/>
  <c r="G147" i="4"/>
  <c r="G148" i="4"/>
  <c r="G149" i="4"/>
  <c r="G150" i="4"/>
  <c r="G151" i="4"/>
  <c r="G152" i="4"/>
  <c r="G153" i="4"/>
  <c r="G154" i="4"/>
  <c r="G155" i="4"/>
  <c r="G156" i="4"/>
  <c r="G157" i="4"/>
  <c r="G158" i="4"/>
  <c r="G159" i="4"/>
  <c r="G160" i="4"/>
  <c r="G161" i="4"/>
  <c r="G162" i="4"/>
  <c r="G163" i="4"/>
  <c r="G164" i="4"/>
  <c r="G165" i="4"/>
  <c r="G166" i="4"/>
  <c r="G167" i="4"/>
  <c r="G168" i="4"/>
  <c r="G169" i="4"/>
  <c r="G170" i="4"/>
  <c r="G171" i="4"/>
  <c r="G172" i="4"/>
  <c r="G173" i="4"/>
  <c r="G174" i="4"/>
  <c r="G175" i="4"/>
  <c r="G176" i="4"/>
  <c r="G177" i="4"/>
  <c r="G178" i="4"/>
  <c r="G179" i="4"/>
  <c r="G180" i="4"/>
  <c r="G181" i="4"/>
  <c r="G182" i="4"/>
  <c r="G183" i="4"/>
  <c r="G184" i="4"/>
  <c r="G185" i="4"/>
  <c r="G186" i="4"/>
  <c r="G187" i="4"/>
  <c r="G188" i="4"/>
  <c r="G189" i="4"/>
  <c r="G190" i="4"/>
  <c r="G191" i="4"/>
  <c r="G192" i="4"/>
  <c r="G193" i="4"/>
  <c r="G194" i="4"/>
  <c r="G195" i="4"/>
  <c r="G196" i="4"/>
  <c r="G197" i="4"/>
  <c r="G198" i="4"/>
  <c r="G199" i="4"/>
  <c r="G200" i="4"/>
  <c r="G201" i="4"/>
  <c r="G202" i="4"/>
  <c r="G203" i="4"/>
  <c r="G204" i="4"/>
  <c r="G205" i="4"/>
  <c r="G206" i="4"/>
  <c r="G207" i="4"/>
  <c r="G208" i="4"/>
  <c r="G209" i="4"/>
  <c r="G210" i="4"/>
  <c r="G211" i="4"/>
  <c r="G212" i="4"/>
  <c r="G213" i="4"/>
  <c r="G214" i="4"/>
  <c r="G215" i="4"/>
  <c r="G216" i="4"/>
  <c r="G217" i="4"/>
  <c r="G218" i="4"/>
  <c r="G219" i="4"/>
  <c r="G220" i="4"/>
  <c r="G221" i="4"/>
  <c r="G222" i="4"/>
  <c r="G223" i="4"/>
  <c r="G224" i="4"/>
  <c r="G225" i="4"/>
  <c r="G226" i="4"/>
  <c r="G227" i="4"/>
  <c r="G228" i="4"/>
  <c r="G229" i="4"/>
  <c r="G230" i="4"/>
  <c r="G231" i="4"/>
  <c r="G232" i="4"/>
  <c r="G233" i="4"/>
  <c r="G234" i="4"/>
  <c r="G235" i="4"/>
  <c r="G236" i="4"/>
  <c r="G237" i="4"/>
  <c r="G238" i="4"/>
  <c r="G239" i="4"/>
  <c r="G240" i="4"/>
  <c r="G241" i="4"/>
  <c r="G242" i="4"/>
  <c r="G243" i="4"/>
  <c r="G244" i="4"/>
  <c r="G245" i="4"/>
  <c r="G246" i="4"/>
  <c r="G247" i="4"/>
  <c r="G248" i="4"/>
  <c r="G249" i="4"/>
  <c r="G250" i="4"/>
  <c r="G251" i="4"/>
  <c r="G252" i="4"/>
  <c r="G253" i="4"/>
  <c r="G254" i="4"/>
  <c r="G255" i="4"/>
  <c r="G256" i="4"/>
  <c r="G257" i="4"/>
  <c r="G258" i="4"/>
  <c r="G259" i="4"/>
  <c r="G260" i="4"/>
  <c r="G261" i="4"/>
  <c r="G262" i="4"/>
  <c r="G263" i="4"/>
  <c r="G264" i="4"/>
  <c r="G265" i="4"/>
  <c r="G266" i="4"/>
  <c r="G267" i="4"/>
  <c r="G268" i="4"/>
  <c r="G269" i="4"/>
  <c r="G270" i="4"/>
  <c r="G271" i="4"/>
  <c r="G272" i="4"/>
  <c r="G273" i="4"/>
  <c r="G274" i="4"/>
  <c r="G275" i="4"/>
  <c r="G276" i="4"/>
  <c r="G277" i="4"/>
  <c r="G278" i="4"/>
  <c r="G279" i="4"/>
  <c r="G280" i="4"/>
  <c r="G281" i="4"/>
  <c r="G282" i="4"/>
  <c r="G283" i="4"/>
  <c r="G284" i="4"/>
  <c r="G285" i="4"/>
  <c r="G286" i="4"/>
  <c r="G287" i="4"/>
  <c r="G288" i="4"/>
  <c r="G289" i="4"/>
  <c r="G290" i="4"/>
  <c r="G291" i="4"/>
  <c r="G292" i="4"/>
  <c r="G293" i="4"/>
  <c r="G294" i="4"/>
  <c r="G295" i="4"/>
  <c r="G296" i="4"/>
  <c r="G297" i="4"/>
  <c r="G298" i="4"/>
  <c r="G299" i="4"/>
  <c r="G300" i="4"/>
  <c r="G301" i="4"/>
  <c r="G302" i="4"/>
  <c r="G303" i="4"/>
  <c r="G304" i="4"/>
  <c r="G305" i="4"/>
  <c r="G306" i="4"/>
  <c r="G307" i="4"/>
  <c r="G308" i="4"/>
  <c r="G309" i="4"/>
  <c r="G310" i="4"/>
  <c r="G311" i="4"/>
  <c r="G312" i="4"/>
  <c r="G313" i="4"/>
  <c r="G314" i="4"/>
  <c r="G315" i="4"/>
  <c r="G316" i="4"/>
  <c r="G317" i="4"/>
  <c r="G318" i="4"/>
  <c r="G319" i="4"/>
  <c r="G320" i="4"/>
  <c r="G321" i="4"/>
  <c r="G322" i="4"/>
  <c r="G323" i="4"/>
  <c r="G324" i="4"/>
  <c r="G325" i="4"/>
  <c r="G326" i="4"/>
  <c r="G327" i="4"/>
  <c r="G328" i="4"/>
  <c r="G329" i="4"/>
  <c r="G330" i="4"/>
  <c r="G331" i="4"/>
  <c r="G332" i="4"/>
  <c r="G333" i="4"/>
  <c r="G334" i="4"/>
  <c r="G335" i="4"/>
  <c r="G336" i="4"/>
  <c r="G337" i="4"/>
  <c r="G338" i="4"/>
  <c r="G339" i="4"/>
  <c r="G340" i="4"/>
  <c r="G341" i="4"/>
  <c r="G342" i="4"/>
  <c r="G343" i="4"/>
  <c r="G344" i="4"/>
  <c r="G345" i="4"/>
  <c r="G346" i="4"/>
  <c r="G347" i="4"/>
  <c r="G348" i="4"/>
  <c r="G349" i="4"/>
  <c r="G350" i="4"/>
  <c r="G351" i="4"/>
  <c r="G352" i="4"/>
  <c r="G353" i="4"/>
  <c r="G354" i="4"/>
  <c r="G355" i="4"/>
  <c r="G356" i="4"/>
  <c r="G357" i="4"/>
  <c r="G358" i="4"/>
  <c r="G359" i="4"/>
  <c r="G360" i="4"/>
  <c r="G361" i="4"/>
  <c r="G362" i="4"/>
  <c r="G363" i="4"/>
  <c r="G364" i="4"/>
  <c r="G365" i="4"/>
  <c r="G366" i="4"/>
  <c r="G367" i="4"/>
  <c r="G368" i="4"/>
  <c r="G369" i="4"/>
  <c r="G370" i="4"/>
  <c r="G371" i="4"/>
  <c r="G372" i="4"/>
  <c r="G373" i="4"/>
  <c r="G374" i="4"/>
  <c r="G375" i="4"/>
  <c r="G376" i="4"/>
  <c r="G377" i="4"/>
  <c r="G378" i="4"/>
  <c r="G379" i="4"/>
  <c r="G380" i="4"/>
  <c r="G381" i="4"/>
  <c r="G382" i="4"/>
  <c r="G383" i="4"/>
  <c r="G384" i="4"/>
  <c r="G385" i="4"/>
  <c r="G386" i="4"/>
  <c r="G387" i="4"/>
  <c r="G388" i="4"/>
  <c r="G389" i="4"/>
  <c r="G390" i="4"/>
  <c r="G391" i="4"/>
  <c r="G392" i="4"/>
  <c r="G393" i="4"/>
  <c r="G394" i="4"/>
  <c r="G395" i="4"/>
  <c r="G396" i="4"/>
  <c r="G397" i="4"/>
  <c r="G398" i="4"/>
  <c r="G399" i="4"/>
  <c r="G400" i="4"/>
  <c r="G401" i="4"/>
  <c r="G402" i="4"/>
  <c r="G403" i="4"/>
  <c r="G404" i="4"/>
  <c r="G405" i="4"/>
  <c r="G406" i="4"/>
  <c r="G407" i="4"/>
  <c r="G408" i="4"/>
  <c r="G409" i="4"/>
  <c r="G410" i="4"/>
  <c r="G411" i="4"/>
  <c r="G412" i="4"/>
  <c r="G413" i="4"/>
  <c r="G414" i="4"/>
  <c r="G415" i="4"/>
  <c r="G416" i="4"/>
  <c r="G417" i="4"/>
  <c r="G418" i="4"/>
  <c r="G419" i="4"/>
  <c r="G420" i="4"/>
  <c r="G421" i="4"/>
  <c r="G422" i="4"/>
  <c r="G423" i="4"/>
  <c r="G424" i="4"/>
  <c r="G425" i="4"/>
  <c r="G426" i="4"/>
  <c r="G427" i="4"/>
  <c r="G428" i="4"/>
  <c r="G429" i="4"/>
  <c r="G430" i="4"/>
  <c r="G431" i="4"/>
  <c r="G432" i="4"/>
  <c r="G433" i="4"/>
  <c r="G434" i="4"/>
  <c r="G435" i="4"/>
  <c r="G436" i="4"/>
  <c r="G437" i="4"/>
  <c r="G438" i="4"/>
  <c r="G439" i="4"/>
  <c r="G440" i="4"/>
  <c r="G441" i="4"/>
  <c r="G442" i="4"/>
  <c r="G443" i="4"/>
  <c r="G444" i="4"/>
  <c r="G445" i="4"/>
  <c r="G446" i="4"/>
  <c r="G447" i="4"/>
  <c r="G448" i="4"/>
  <c r="G449" i="4"/>
  <c r="G450" i="4"/>
  <c r="G451" i="4"/>
  <c r="G452" i="4"/>
  <c r="G453" i="4"/>
  <c r="G454" i="4"/>
  <c r="G455" i="4"/>
  <c r="G456" i="4"/>
  <c r="G457" i="4"/>
  <c r="G458" i="4"/>
  <c r="G459" i="4"/>
  <c r="G460" i="4"/>
  <c r="G461" i="4"/>
  <c r="G462" i="4"/>
  <c r="G463" i="4"/>
  <c r="G464" i="4"/>
  <c r="G465" i="4"/>
  <c r="G466" i="4"/>
  <c r="G467" i="4"/>
  <c r="G468" i="4"/>
  <c r="G469" i="4"/>
  <c r="G470" i="4"/>
  <c r="G471" i="4"/>
  <c r="G472" i="4"/>
  <c r="G473" i="4"/>
  <c r="G474" i="4"/>
  <c r="G475" i="4"/>
  <c r="G476" i="4"/>
  <c r="G477" i="4"/>
  <c r="G478" i="4"/>
  <c r="G479" i="4"/>
  <c r="G480" i="4"/>
  <c r="G481" i="4"/>
  <c r="G482" i="4"/>
  <c r="G483" i="4"/>
  <c r="G484" i="4"/>
  <c r="G485" i="4"/>
  <c r="G486" i="4"/>
  <c r="G487" i="4"/>
  <c r="G488" i="4"/>
  <c r="G489" i="4"/>
  <c r="G490" i="4"/>
  <c r="G491" i="4"/>
  <c r="G492" i="4"/>
  <c r="G493" i="4"/>
  <c r="G494" i="4"/>
  <c r="G495" i="4"/>
  <c r="G496" i="4"/>
  <c r="G497" i="4"/>
  <c r="G498" i="4"/>
  <c r="G499" i="4"/>
  <c r="G500" i="4"/>
  <c r="G501" i="4"/>
  <c r="G502" i="4"/>
  <c r="G503" i="4"/>
  <c r="G504" i="4"/>
  <c r="G505" i="4"/>
  <c r="G506" i="4"/>
  <c r="G507" i="4"/>
  <c r="G508" i="4"/>
  <c r="G509" i="4"/>
  <c r="G510" i="4"/>
  <c r="G511" i="4"/>
  <c r="G512" i="4"/>
  <c r="G513" i="4"/>
  <c r="G514" i="4"/>
  <c r="G515" i="4"/>
  <c r="G516" i="4"/>
  <c r="G517" i="4"/>
  <c r="G518" i="4"/>
  <c r="G519" i="4"/>
  <c r="G520" i="4"/>
  <c r="G521" i="4"/>
  <c r="G522" i="4"/>
  <c r="G523" i="4"/>
  <c r="G524" i="4"/>
  <c r="G525" i="4"/>
  <c r="G526" i="4"/>
  <c r="G527" i="4"/>
  <c r="G528" i="4"/>
  <c r="G529" i="4"/>
  <c r="G530" i="4"/>
  <c r="G531" i="4"/>
  <c r="G532" i="4"/>
  <c r="G533" i="4"/>
  <c r="G534" i="4"/>
  <c r="G535" i="4"/>
  <c r="G536" i="4"/>
  <c r="G537" i="4"/>
  <c r="G538" i="4"/>
  <c r="G539" i="4"/>
  <c r="G540" i="4"/>
  <c r="G541" i="4"/>
  <c r="G542" i="4"/>
  <c r="G543" i="4"/>
  <c r="G2" i="4"/>
  <c r="N33" i="3" l="1"/>
  <c r="N19" i="3"/>
  <c r="N28" i="3"/>
  <c r="N20" i="3"/>
  <c r="N32" i="3"/>
  <c r="N12" i="3"/>
  <c r="N7" i="3"/>
  <c r="N30" i="3"/>
  <c r="N18" i="3"/>
  <c r="N16" i="3"/>
  <c r="N14" i="3"/>
  <c r="N8" i="3"/>
  <c r="N15" i="3"/>
  <c r="N36" i="3"/>
  <c r="N26" i="3"/>
  <c r="N29" i="3"/>
  <c r="N17" i="3"/>
  <c r="N27" i="3"/>
  <c r="N38" i="3"/>
  <c r="N37" i="3"/>
  <c r="N10" i="3"/>
  <c r="N34" i="3"/>
  <c r="N35" i="3"/>
  <c r="N13" i="3"/>
  <c r="N31" i="3"/>
  <c r="N9" i="3"/>
  <c r="N25" i="3"/>
  <c r="N24" i="3"/>
  <c r="N23" i="3"/>
  <c r="N21" i="3"/>
  <c r="N22" i="3"/>
  <c r="N11" i="3"/>
  <c r="L13" i="1"/>
  <c r="B3" i="6" l="1"/>
  <c r="H3" i="6" s="1"/>
  <c r="K3" i="6"/>
  <c r="B4" i="6"/>
  <c r="G4" i="6" s="1"/>
  <c r="K4" i="6"/>
  <c r="B5" i="6"/>
  <c r="H5" i="6" s="1"/>
  <c r="K5" i="6"/>
  <c r="B6" i="6"/>
  <c r="H6" i="6" s="1"/>
  <c r="K6" i="6"/>
  <c r="F4" i="6" l="1"/>
  <c r="J5" i="6"/>
  <c r="I3" i="6"/>
  <c r="G6" i="6"/>
  <c r="J6" i="6"/>
  <c r="F6" i="6"/>
  <c r="I5" i="6"/>
  <c r="G3" i="6"/>
  <c r="G5" i="6"/>
  <c r="J4" i="6"/>
  <c r="J3" i="6"/>
  <c r="F3" i="6"/>
  <c r="I6" i="6"/>
  <c r="F5" i="6"/>
  <c r="I4" i="6"/>
  <c r="H4" i="6"/>
  <c r="B2" i="9" l="1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B31" i="9"/>
  <c r="B32" i="9"/>
  <c r="B33" i="9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B50" i="9"/>
  <c r="B51" i="9"/>
  <c r="B52" i="9"/>
  <c r="C53" i="9" s="1"/>
  <c r="K13" i="1" l="1"/>
  <c r="M13" i="1"/>
  <c r="N13" i="1" s="1"/>
  <c r="S14" i="3"/>
  <c r="Y13" i="1"/>
  <c r="Z13" i="1"/>
  <c r="AB13" i="1"/>
  <c r="AC13" i="1"/>
  <c r="AD13" i="1"/>
  <c r="X14" i="1" s="1"/>
  <c r="AE13" i="1"/>
  <c r="R14" i="3" s="1"/>
  <c r="AF13" i="1"/>
  <c r="T13" i="1" l="1"/>
  <c r="X13" i="1"/>
  <c r="AA13" i="1"/>
  <c r="AG13" i="1"/>
  <c r="C26" i="9"/>
  <c r="C50" i="9"/>
  <c r="C48" i="9"/>
  <c r="B1" i="9"/>
  <c r="C1" i="9" s="1"/>
  <c r="C4" i="9"/>
  <c r="C7" i="9"/>
  <c r="C24" i="9"/>
  <c r="C33" i="9"/>
  <c r="C45" i="9"/>
  <c r="C44" i="9"/>
  <c r="C42" i="9"/>
  <c r="C51" i="9"/>
  <c r="C10" i="9"/>
  <c r="C46" i="9"/>
  <c r="C15" i="9"/>
  <c r="C30" i="9"/>
  <c r="C16" i="9"/>
  <c r="C29" i="9"/>
  <c r="C12" i="9"/>
  <c r="C37" i="9"/>
  <c r="C36" i="9"/>
  <c r="C39" i="9"/>
  <c r="C13" i="9"/>
  <c r="C25" i="9" l="1"/>
  <c r="C19" i="9"/>
  <c r="C22" i="9"/>
  <c r="C17" i="9"/>
  <c r="C18" i="9"/>
  <c r="C20" i="9"/>
  <c r="C34" i="9"/>
  <c r="C52" i="9"/>
  <c r="C8" i="9"/>
  <c r="C9" i="9"/>
  <c r="C38" i="9"/>
  <c r="C47" i="9"/>
  <c r="C31" i="9"/>
  <c r="C32" i="9"/>
  <c r="C5" i="9"/>
  <c r="C6" i="9"/>
  <c r="C27" i="9"/>
  <c r="C35" i="9"/>
  <c r="C14" i="9"/>
  <c r="C28" i="9"/>
  <c r="C11" i="9"/>
  <c r="C40" i="9"/>
  <c r="C41" i="9"/>
  <c r="C43" i="9"/>
  <c r="C2" i="9"/>
  <c r="C3" i="9"/>
  <c r="C49" i="9"/>
  <c r="C21" i="9"/>
  <c r="C23" i="9"/>
  <c r="W13" i="1"/>
  <c r="AI13" i="1"/>
  <c r="U13" i="1"/>
  <c r="S13" i="1" s="1"/>
  <c r="M30" i="5" l="1"/>
  <c r="M29" i="5"/>
  <c r="M27" i="5"/>
  <c r="M26" i="5" l="1"/>
  <c r="AH13" i="1" l="1"/>
  <c r="J7" i="1"/>
  <c r="X6" i="1" l="1"/>
  <c r="W6" i="1"/>
  <c r="V6" i="1"/>
  <c r="S6" i="1"/>
  <c r="R2" i="1"/>
  <c r="I2" i="1"/>
  <c r="O6" i="1"/>
  <c r="N6" i="1"/>
  <c r="M6" i="1"/>
  <c r="J6" i="1"/>
  <c r="P3" i="5" l="1"/>
  <c r="M18" i="5" l="1"/>
  <c r="F282" i="4" l="1"/>
  <c r="F283" i="4"/>
  <c r="F284" i="4"/>
  <c r="F285" i="4"/>
  <c r="F286" i="4"/>
  <c r="F287" i="4"/>
  <c r="F288" i="4"/>
  <c r="F289" i="4"/>
  <c r="F290" i="4"/>
  <c r="F291" i="4"/>
  <c r="F292" i="4"/>
  <c r="F293" i="4"/>
  <c r="F294" i="4"/>
  <c r="F295" i="4"/>
  <c r="F296" i="4"/>
  <c r="F297" i="4"/>
  <c r="F298" i="4"/>
  <c r="F299" i="4"/>
  <c r="F300" i="4"/>
  <c r="F301" i="4"/>
  <c r="F302" i="4"/>
  <c r="F303" i="4"/>
  <c r="F304" i="4"/>
  <c r="F305" i="4"/>
  <c r="F306" i="4"/>
  <c r="F307" i="4"/>
  <c r="F308" i="4"/>
  <c r="F309" i="4"/>
  <c r="F310" i="4"/>
  <c r="F311" i="4"/>
  <c r="F312" i="4"/>
  <c r="F313" i="4"/>
  <c r="F314" i="4"/>
  <c r="F315" i="4"/>
  <c r="F316" i="4"/>
  <c r="F317" i="4"/>
  <c r="F318" i="4"/>
  <c r="F319" i="4"/>
  <c r="F320" i="4"/>
  <c r="F321" i="4"/>
  <c r="F322" i="4"/>
  <c r="F323" i="4"/>
  <c r="F324" i="4"/>
  <c r="F325" i="4"/>
  <c r="F326" i="4"/>
  <c r="F327" i="4"/>
  <c r="F328" i="4"/>
  <c r="F329" i="4"/>
  <c r="F330" i="4"/>
  <c r="F331" i="4"/>
  <c r="F332" i="4"/>
  <c r="F333" i="4"/>
  <c r="F334" i="4"/>
  <c r="F335" i="4"/>
  <c r="F336" i="4"/>
  <c r="F337" i="4"/>
  <c r="F338" i="4"/>
  <c r="F339" i="4"/>
  <c r="F340" i="4"/>
  <c r="F341" i="4"/>
  <c r="F342" i="4"/>
  <c r="F343" i="4"/>
  <c r="F344" i="4"/>
  <c r="F345" i="4"/>
  <c r="F346" i="4"/>
  <c r="F347" i="4"/>
  <c r="F348" i="4"/>
  <c r="F349" i="4"/>
  <c r="F350" i="4"/>
  <c r="F351" i="4"/>
  <c r="F352" i="4"/>
  <c r="F353" i="4"/>
  <c r="F354" i="4"/>
  <c r="F355" i="4"/>
  <c r="F356" i="4"/>
  <c r="F357" i="4"/>
  <c r="F358" i="4"/>
  <c r="F359" i="4"/>
  <c r="F360" i="4"/>
  <c r="F361" i="4"/>
  <c r="F362" i="4"/>
  <c r="F363" i="4"/>
  <c r="F364" i="4"/>
  <c r="F365" i="4"/>
  <c r="F366" i="4"/>
  <c r="F367" i="4"/>
  <c r="F368" i="4"/>
  <c r="F369" i="4"/>
  <c r="F370" i="4"/>
  <c r="F371" i="4"/>
  <c r="F372" i="4"/>
  <c r="F373" i="4"/>
  <c r="F374" i="4"/>
  <c r="F375" i="4"/>
  <c r="F376" i="4"/>
  <c r="F377" i="4"/>
  <c r="F378" i="4"/>
  <c r="F379" i="4"/>
  <c r="F380" i="4"/>
  <c r="F381" i="4"/>
  <c r="F382" i="4"/>
  <c r="F383" i="4"/>
  <c r="F384" i="4"/>
  <c r="F385" i="4"/>
  <c r="F386" i="4"/>
  <c r="F387" i="4"/>
  <c r="F388" i="4"/>
  <c r="F389" i="4"/>
  <c r="F390" i="4"/>
  <c r="F391" i="4"/>
  <c r="F392" i="4"/>
  <c r="F393" i="4"/>
  <c r="F394" i="4"/>
  <c r="F395" i="4"/>
  <c r="F396" i="4"/>
  <c r="F397" i="4"/>
  <c r="F398" i="4"/>
  <c r="F399" i="4"/>
  <c r="F400" i="4"/>
  <c r="F401" i="4"/>
  <c r="F402" i="4"/>
  <c r="F403" i="4"/>
  <c r="F404" i="4"/>
  <c r="F405" i="4"/>
  <c r="F406" i="4"/>
  <c r="F407" i="4"/>
  <c r="F408" i="4"/>
  <c r="F409" i="4"/>
  <c r="F410" i="4"/>
  <c r="F411" i="4"/>
  <c r="F412" i="4"/>
  <c r="F413" i="4"/>
  <c r="F414" i="4"/>
  <c r="F415" i="4"/>
  <c r="F416" i="4"/>
  <c r="F417" i="4"/>
  <c r="F418" i="4"/>
  <c r="F419" i="4"/>
  <c r="F420" i="4"/>
  <c r="F421" i="4"/>
  <c r="F422" i="4"/>
  <c r="F423" i="4"/>
  <c r="F424" i="4"/>
  <c r="F425" i="4"/>
  <c r="F426" i="4"/>
  <c r="F427" i="4"/>
  <c r="F428" i="4"/>
  <c r="F429" i="4"/>
  <c r="F430" i="4"/>
  <c r="F431" i="4"/>
  <c r="F432" i="4"/>
  <c r="F433" i="4"/>
  <c r="F434" i="4"/>
  <c r="F435" i="4"/>
  <c r="F436" i="4"/>
  <c r="F437" i="4"/>
  <c r="F438" i="4"/>
  <c r="F439" i="4"/>
  <c r="F440" i="4"/>
  <c r="F441" i="4"/>
  <c r="F442" i="4"/>
  <c r="F443" i="4"/>
  <c r="F444" i="4"/>
  <c r="F445" i="4"/>
  <c r="F446" i="4"/>
  <c r="F447" i="4"/>
  <c r="F448" i="4"/>
  <c r="F449" i="4"/>
  <c r="F450" i="4"/>
  <c r="F451" i="4"/>
  <c r="F452" i="4"/>
  <c r="F453" i="4"/>
  <c r="F454" i="4"/>
  <c r="F455" i="4"/>
  <c r="F456" i="4"/>
  <c r="F457" i="4"/>
  <c r="F458" i="4"/>
  <c r="F459" i="4"/>
  <c r="F460" i="4"/>
  <c r="F461" i="4"/>
  <c r="F462" i="4"/>
  <c r="F463" i="4"/>
  <c r="F464" i="4"/>
  <c r="F465" i="4"/>
  <c r="F466" i="4"/>
  <c r="F467" i="4"/>
  <c r="F468" i="4"/>
  <c r="F469" i="4"/>
  <c r="F470" i="4"/>
  <c r="F471" i="4"/>
  <c r="F472" i="4"/>
  <c r="F473" i="4"/>
  <c r="F474" i="4"/>
  <c r="F475" i="4"/>
  <c r="F476" i="4"/>
  <c r="F477" i="4"/>
  <c r="F478" i="4"/>
  <c r="F479" i="4"/>
  <c r="F480" i="4"/>
  <c r="F481" i="4"/>
  <c r="F482" i="4"/>
  <c r="F483" i="4"/>
  <c r="F484" i="4"/>
  <c r="F485" i="4"/>
  <c r="F486" i="4"/>
  <c r="F487" i="4"/>
  <c r="F488" i="4"/>
  <c r="F489" i="4"/>
  <c r="F490" i="4"/>
  <c r="F491" i="4"/>
  <c r="F492" i="4"/>
  <c r="F493" i="4"/>
  <c r="F494" i="4"/>
  <c r="F495" i="4"/>
  <c r="F496" i="4"/>
  <c r="F497" i="4"/>
  <c r="F498" i="4"/>
  <c r="F499" i="4"/>
  <c r="F500" i="4"/>
  <c r="F501" i="4"/>
  <c r="F502" i="4"/>
  <c r="F503" i="4"/>
  <c r="F504" i="4"/>
  <c r="F505" i="4"/>
  <c r="F506" i="4"/>
  <c r="F507" i="4"/>
  <c r="F508" i="4"/>
  <c r="F509" i="4"/>
  <c r="F510" i="4"/>
  <c r="F511" i="4"/>
  <c r="F512" i="4"/>
  <c r="F513" i="4"/>
  <c r="F514" i="4"/>
  <c r="F515" i="4"/>
  <c r="F516" i="4"/>
  <c r="F517" i="4"/>
  <c r="F518" i="4"/>
  <c r="F519" i="4"/>
  <c r="F520" i="4"/>
  <c r="F521" i="4"/>
  <c r="F522" i="4"/>
  <c r="F523" i="4"/>
  <c r="F524" i="4"/>
  <c r="F525" i="4"/>
  <c r="F526" i="4"/>
  <c r="F527" i="4"/>
  <c r="F528" i="4"/>
  <c r="F529" i="4"/>
  <c r="F530" i="4"/>
  <c r="F531" i="4"/>
  <c r="F532" i="4"/>
  <c r="F533" i="4"/>
  <c r="F534" i="4"/>
  <c r="F535" i="4"/>
  <c r="F536" i="4"/>
  <c r="F537" i="4"/>
  <c r="F538" i="4"/>
  <c r="F539" i="4"/>
  <c r="F540" i="4"/>
  <c r="F541" i="4"/>
  <c r="F542" i="4"/>
  <c r="F543" i="4"/>
  <c r="V5" i="1" l="1"/>
  <c r="V8" i="1" s="1"/>
  <c r="F266" i="4"/>
  <c r="F267" i="4"/>
  <c r="F268" i="4"/>
  <c r="F269" i="4"/>
  <c r="F270" i="4"/>
  <c r="F271" i="4"/>
  <c r="F272" i="4"/>
  <c r="F273" i="4"/>
  <c r="F274" i="4"/>
  <c r="F275" i="4"/>
  <c r="F276" i="4"/>
  <c r="F277" i="4"/>
  <c r="F278" i="4"/>
  <c r="F279" i="4"/>
  <c r="F280" i="4"/>
  <c r="F281" i="4"/>
  <c r="F254" i="4" l="1"/>
  <c r="F255" i="4"/>
  <c r="F256" i="4"/>
  <c r="F257" i="4"/>
  <c r="F258" i="4"/>
  <c r="F259" i="4"/>
  <c r="F260" i="4"/>
  <c r="F261" i="4"/>
  <c r="F262" i="4"/>
  <c r="F263" i="4"/>
  <c r="F264" i="4"/>
  <c r="F265" i="4"/>
  <c r="M14" i="5" l="1"/>
  <c r="M13" i="5"/>
  <c r="M12" i="5"/>
  <c r="M11" i="5"/>
  <c r="M10" i="5"/>
  <c r="M9" i="5"/>
  <c r="M8" i="5"/>
  <c r="M7" i="5"/>
  <c r="M6" i="5"/>
  <c r="M5" i="5"/>
  <c r="M4" i="5"/>
  <c r="M3" i="5"/>
  <c r="O2" i="3" l="1"/>
  <c r="O3" i="3" s="1"/>
  <c r="S7" i="1" l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J8" i="1" l="1"/>
  <c r="J4" i="1"/>
  <c r="S8" i="1"/>
  <c r="S4" i="1"/>
  <c r="S9" i="1" l="1"/>
  <c r="J9" i="1"/>
  <c r="S11" i="1" l="1"/>
  <c r="A11" i="1"/>
  <c r="B1" i="6" l="1"/>
  <c r="A5" i="3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<sst xmlns="http://schemas.openxmlformats.org/spreadsheetml/2006/main" count="2521" uniqueCount="888">
  <si>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</si>
  <si>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</si>
  <si>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</si>
  <si>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</si>
  <si>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</si>
  <si>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</si>
  <si>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</si>
  <si>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</si>
  <si>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</si>
  <si>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</si>
  <si>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</si>
  <si>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</si>
  <si>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</si>
  <si>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</si>
  <si>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</si>
  <si>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</si>
  <si>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</si>
  <si>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</si>
  <si>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</si>
  <si>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</si>
  <si>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</si>
  <si>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</si>
  <si>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</si>
  <si>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</si>
  <si>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</si>
  <si>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</si>
  <si>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</si>
  <si>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</si>
  <si>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</si>
  <si>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</si>
  <si>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</si>
  <si>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</si>
  <si>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</si>
  <si>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</si>
  <si>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</si>
  <si>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</si>
  <si>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</si>
  <si>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</si>
  <si>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</si>
  <si>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</si>
  <si>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</si>
  <si>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</si>
  <si>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</si>
  <si>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</si>
  <si>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</si>
  <si>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</si>
  <si>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</si>
  <si>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</si>
  <si>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</si>
  <si>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</si>
  <si>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</si>
  <si>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</si>
  <si>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</si>
  <si>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</si>
  <si>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</si>
  <si>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</si>
  <si>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</si>
  <si>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</si>
  <si>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</si>
  <si>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</si>
  <si>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</si>
  <si>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</si>
  <si>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</si>
  <si>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</si>
  <si>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</si>
  <si>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</si>
  <si>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</si>
  <si>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</si>
  <si>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</si>
  <si>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</si>
  <si>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</si>
  <si>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</si>
  <si>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</si>
  <si>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</si>
  <si>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</si>
  <si>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</si>
  <si>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</si>
  <si>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</si>
  <si>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</si>
  <si>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</si>
  <si>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</si>
  <si>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</si>
  <si>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</si>
  <si>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</si>
  <si>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</si>
  <si>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</si>
  <si>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</si>
  <si>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</si>
  <si>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</si>
  <si>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</si>
  <si>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</si>
  <si>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</si>
  <si>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</si>
  <si>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</si>
  <si>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</si>
  <si>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</si>
  <si>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EC or NWGL</t>
  </si>
  <si>
    <t>Omit due to TWC &lt; 1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</si>
  <si>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</si>
  <si>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</si>
  <si>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</si>
  <si>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</si>
  <si>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</si>
  <si>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</si>
  <si>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</si>
  <si>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</si>
  <si>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</si>
  <si>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</si>
  <si>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</si>
  <si>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</si>
  <si>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</si>
  <si>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</si>
  <si>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</si>
  <si>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>LEVIN</t>
  </si>
  <si>
    <t xml:space="preserve">baselines for EC: </t>
  </si>
  <si>
    <t>baselines for NWES:</t>
  </si>
  <si>
    <t>M - F = 47 trips</t>
  </si>
  <si>
    <t>Sat - Sun = 33 Trips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</si>
  <si>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</si>
  <si>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</si>
  <si>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</si>
  <si>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</si>
  <si>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</si>
  <si>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</si>
  <si>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</si>
  <si>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</si>
  <si>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</si>
  <si>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</si>
  <si>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</si>
  <si>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</si>
  <si>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</si>
  <si>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</si>
  <si>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</si>
  <si>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</si>
  <si>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</si>
  <si>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</si>
  <si>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</si>
  <si>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</si>
  <si>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</si>
  <si>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</si>
  <si>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</si>
  <si>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</si>
  <si>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</si>
  <si>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</si>
  <si>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</si>
  <si>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</si>
  <si>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</si>
  <si>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</si>
  <si>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</si>
  <si>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</si>
  <si>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</si>
  <si>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</si>
  <si>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</si>
  <si>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Trip Number</t>
  </si>
  <si>
    <t>rtdc.l.rtdc.4051:itc</t>
  </si>
  <si>
    <t>rtdc.l.rtdc.4052:itc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</si>
  <si>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</si>
  <si>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</si>
  <si>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</si>
  <si>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</si>
  <si>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</si>
  <si>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</si>
  <si>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</si>
  <si>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</si>
  <si>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</si>
  <si>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</si>
  <si>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</si>
  <si>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</si>
  <si>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</si>
  <si>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</si>
  <si>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</si>
  <si>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</si>
  <si>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</si>
  <si>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</si>
  <si>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</si>
  <si>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</si>
  <si>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</si>
  <si>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</si>
  <si>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</si>
  <si>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</si>
  <si>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</si>
  <si>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STURGEON</t>
  </si>
  <si>
    <t>s3://rtdc.mdm.uploadarchive.raw</t>
  </si>
  <si>
    <t>rtdc.l.rtdc.4009:itc</t>
  </si>
  <si>
    <t>rtdc.l.rtdc.4044:itc</t>
  </si>
  <si>
    <t>56-06</t>
  </si>
  <si>
    <t>315-06</t>
  </si>
  <si>
    <t>Powered by darksky [darksky.net]</t>
  </si>
  <si>
    <t>Enforcements Text</t>
  </si>
  <si>
    <t>Runs-Refined Text</t>
  </si>
  <si>
    <t>Trips Text</t>
  </si>
  <si>
    <t>Weather Text</t>
  </si>
  <si>
    <t>204:149</t>
  </si>
  <si>
    <t>204:143</t>
  </si>
  <si>
    <t>204:447</t>
  </si>
  <si>
    <t>204:451</t>
  </si>
  <si>
    <t>N</t>
  </si>
  <si>
    <t>PERMANENT SPEED RESTRICTION</t>
  </si>
  <si>
    <t>Speed (6)</t>
  </si>
  <si>
    <t>SIGNAL</t>
  </si>
  <si>
    <t>Signal based authority (5)</t>
  </si>
  <si>
    <t>TRACK WARRANT AUTHORITY</t>
  </si>
  <si>
    <t>Form based authority (4)</t>
  </si>
  <si>
    <t>Summary for DUS 2016-10-12: Partly cloudy until night.</t>
  </si>
  <si>
    <t>AWS CP Commands</t>
  </si>
  <si>
    <t>204:156</t>
  </si>
  <si>
    <t>rtdc.l.rtdc.4011:itc</t>
  </si>
  <si>
    <t>DE.1.0.8.0</t>
  </si>
  <si>
    <t>rtdc.l.rtdc.4040:itc</t>
  </si>
  <si>
    <t>rtdc.l.rtdc.4039:itc</t>
  </si>
  <si>
    <t>Human Factors</t>
  </si>
  <si>
    <t>STAMBAUGH</t>
  </si>
  <si>
    <t>rtdc.l.rtdc.4012:itc</t>
  </si>
  <si>
    <t>204:150</t>
  </si>
  <si>
    <t>rtdc.l.rtdc.4002:itc</t>
  </si>
  <si>
    <t>BADERTSCHER</t>
  </si>
  <si>
    <t>rtdc.l.rtdc.4022:itc</t>
  </si>
  <si>
    <t>HOLCOMB</t>
  </si>
  <si>
    <t>rtdc.l.rtdc.4038:itc</t>
  </si>
  <si>
    <t>rtdc.l.rtdc.4037:itc</t>
  </si>
  <si>
    <t>243-10</t>
  </si>
  <si>
    <t>309-10</t>
  </si>
  <si>
    <t>242-10</t>
  </si>
  <si>
    <t>311-10</t>
  </si>
  <si>
    <t>244-10</t>
  </si>
  <si>
    <t>313-10</t>
  </si>
  <si>
    <t>204:154</t>
  </si>
  <si>
    <t>204:466</t>
  </si>
  <si>
    <t>204:141</t>
  </si>
  <si>
    <t>rtdc.l.rtdc.4014:itc</t>
  </si>
  <si>
    <t>rtdc.l.rtdc.4013:itc</t>
  </si>
  <si>
    <t>CLI Grep2 (for slice disagreement)</t>
  </si>
  <si>
    <t>Y</t>
  </si>
  <si>
    <t>204:165</t>
  </si>
  <si>
    <t>204:455</t>
  </si>
  <si>
    <t>rtdc.l.rtdc.4031:itc</t>
  </si>
  <si>
    <t>204:442</t>
  </si>
  <si>
    <t>rtdc.l.rtdc.4046:itc</t>
  </si>
  <si>
    <t>204:460</t>
  </si>
  <si>
    <t>204:457</t>
  </si>
  <si>
    <t>204:471</t>
  </si>
  <si>
    <t>rtdc.l.rtdc.4042:itc</t>
  </si>
  <si>
    <t>rtdc.l.rtdc.4041:itc</t>
  </si>
  <si>
    <t>DAVIDSON</t>
  </si>
  <si>
    <t>SAFIEF</t>
  </si>
  <si>
    <t>rtdc.l.rtdc.4010:itc</t>
  </si>
  <si>
    <t>204:145</t>
  </si>
  <si>
    <t>204:233298</t>
  </si>
  <si>
    <t>rtdc.l.rtdc.4032:itc</t>
  </si>
  <si>
    <t>CHANDLER</t>
  </si>
  <si>
    <t>LALONDE</t>
  </si>
  <si>
    <t>81-25</t>
  </si>
  <si>
    <t>80-25</t>
  </si>
  <si>
    <t>309-25</t>
  </si>
  <si>
    <t>244-25</t>
  </si>
  <si>
    <t>311-25</t>
  </si>
  <si>
    <t>246-25</t>
  </si>
  <si>
    <t>313-25</t>
  </si>
  <si>
    <t>315-25</t>
  </si>
  <si>
    <t>partly-cloudy-night</t>
  </si>
  <si>
    <t>partly-cloudy-day</t>
  </si>
  <si>
    <t>204:458</t>
  </si>
  <si>
    <t>rtdc.l.rtdc.4016:itc</t>
  </si>
  <si>
    <t>LEVERE</t>
  </si>
  <si>
    <t>COOLAHAN</t>
  </si>
  <si>
    <t>204:163</t>
  </si>
  <si>
    <t>204:233297</t>
  </si>
  <si>
    <t>:.+((SYSTEM_STATE.+slice.+state.+changed )|(ment ac)|(multiple cpu faults)|(system.+state.+changed )|(\[timeout)|(PRM\|1\|D)|(kpr)|(kdp)|(\|lc)|(penalty))</t>
  </si>
  <si>
    <t>YANAI</t>
  </si>
  <si>
    <t>Partly Cloudy</t>
  </si>
  <si>
    <t>204:438</t>
  </si>
  <si>
    <t>rtdc.l.rtdc.4030:itc</t>
  </si>
  <si>
    <t>GRADE CROSSING</t>
  </si>
  <si>
    <t>Bulletin (2)</t>
  </si>
  <si>
    <t>rtdc.l.rtdc.4029:itc</t>
  </si>
  <si>
    <t>rtdc.l.rtdc.4043:itc</t>
  </si>
  <si>
    <t>204:446</t>
  </si>
  <si>
    <t>JOHN</t>
  </si>
  <si>
    <t>IAN</t>
  </si>
  <si>
    <t>DAVID</t>
  </si>
  <si>
    <t>CRAIG</t>
  </si>
  <si>
    <t>SCOTT</t>
  </si>
  <si>
    <t>JAMES</t>
  </si>
  <si>
    <t>Last + First</t>
  </si>
  <si>
    <t>Employee First Name</t>
  </si>
  <si>
    <t>rtdc.l.rtdc.4017:itc</t>
  </si>
  <si>
    <t>rtdc.l.rtdc.4019:itc</t>
  </si>
  <si>
    <t>rtdc.l.rtdc.4020:itc</t>
  </si>
  <si>
    <t>rtdc.l.rtdc.4018:itc</t>
  </si>
  <si>
    <t>204:469</t>
  </si>
  <si>
    <t>204:232978</t>
  </si>
  <si>
    <t>KELVIN</t>
  </si>
  <si>
    <t>204:453</t>
  </si>
  <si>
    <t>204:444</t>
  </si>
  <si>
    <t>204:233315</t>
  </si>
  <si>
    <t>204:233291</t>
  </si>
  <si>
    <t>204:152</t>
  </si>
  <si>
    <t>204:464</t>
  </si>
  <si>
    <t>204:233321</t>
  </si>
  <si>
    <t>300:58943</t>
  </si>
  <si>
    <t>204:232994</t>
  </si>
  <si>
    <t>rtdc.l.rtdc.4015:itc</t>
  </si>
  <si>
    <t>SWITCH UNKNOWN</t>
  </si>
  <si>
    <t>Track device (7)</t>
  </si>
  <si>
    <t>204:232974</t>
  </si>
  <si>
    <t>204:233309</t>
  </si>
  <si>
    <t>TEMPORARY SPEED RESTRICTION</t>
  </si>
  <si>
    <t>rtdc.l.rtdc.4045:itc</t>
  </si>
  <si>
    <t>844-06</t>
  </si>
  <si>
    <t>241-06</t>
  </si>
  <si>
    <t>240-06</t>
  </si>
  <si>
    <t>242-06</t>
  </si>
  <si>
    <t>STORY</t>
  </si>
  <si>
    <t>SAMANTHA</t>
  </si>
  <si>
    <t>230-06</t>
  </si>
  <si>
    <t>847-06</t>
  </si>
  <si>
    <t>232-06</t>
  </si>
  <si>
    <t>235-06</t>
  </si>
  <si>
    <t>908-06</t>
  </si>
  <si>
    <t>234-06</t>
  </si>
  <si>
    <t>237-06</t>
  </si>
  <si>
    <t>236-06</t>
  </si>
  <si>
    <t>239-06</t>
  </si>
  <si>
    <t>238-06</t>
  </si>
  <si>
    <t>243-06</t>
  </si>
  <si>
    <t>309-06</t>
  </si>
  <si>
    <t>311-06</t>
  </si>
  <si>
    <t>244-06</t>
  </si>
  <si>
    <t>313-06</t>
  </si>
  <si>
    <t>precipAccumulation</t>
  </si>
  <si>
    <t>precipType</t>
  </si>
  <si>
    <t>snow</t>
  </si>
  <si>
    <t>204:233305</t>
  </si>
  <si>
    <t>204:232979</t>
  </si>
  <si>
    <t>204:232998</t>
  </si>
  <si>
    <t>204:429</t>
  </si>
  <si>
    <t>204:482</t>
  </si>
  <si>
    <t>204:233272</t>
  </si>
  <si>
    <t>204:233274</t>
  </si>
  <si>
    <t>204:132</t>
  </si>
  <si>
    <t>300:23302</t>
  </si>
  <si>
    <t>300:58630</t>
  </si>
  <si>
    <t>239-07</t>
  </si>
  <si>
    <t>MAELZER</t>
  </si>
  <si>
    <t>KURT</t>
  </si>
  <si>
    <t>BROWN</t>
  </si>
  <si>
    <t>JACOB</t>
  </si>
  <si>
    <t>MOSES</t>
  </si>
  <si>
    <t>BRADLEY</t>
  </si>
  <si>
    <t>237-07</t>
  </si>
  <si>
    <t>236-07</t>
  </si>
  <si>
    <t>238-07</t>
  </si>
  <si>
    <t>241-07</t>
  </si>
  <si>
    <t>240-07</t>
  </si>
  <si>
    <t>243-07</t>
  </si>
  <si>
    <t>309-07</t>
  </si>
  <si>
    <t>242-07</t>
  </si>
  <si>
    <t>311-07</t>
  </si>
  <si>
    <t>244-07</t>
  </si>
  <si>
    <t>313-07</t>
  </si>
  <si>
    <t>315-07</t>
  </si>
  <si>
    <t>204:147</t>
  </si>
  <si>
    <t>204:232985</t>
  </si>
  <si>
    <t>204:232971</t>
  </si>
  <si>
    <t>204:130</t>
  </si>
  <si>
    <t>204:139</t>
  </si>
  <si>
    <t>204:232981</t>
  </si>
  <si>
    <t>204:232973</t>
  </si>
  <si>
    <t>204:232975</t>
  </si>
  <si>
    <t>300:23299</t>
  </si>
  <si>
    <t>300:58937</t>
  </si>
  <si>
    <t>300:58621</t>
  </si>
  <si>
    <t>300:58948</t>
  </si>
  <si>
    <t>MICHAEL</t>
  </si>
  <si>
    <t>ROBINSON</t>
  </si>
  <si>
    <t>KADDIBA</t>
  </si>
  <si>
    <t>ISHMAEL</t>
  </si>
  <si>
    <t>JOSEPH</t>
  </si>
  <si>
    <t>SANTIZO</t>
  </si>
  <si>
    <t>D. EDY</t>
  </si>
  <si>
    <t>SMITH</t>
  </si>
  <si>
    <t>SHOOK</t>
  </si>
  <si>
    <t>HILLS</t>
  </si>
  <si>
    <t>DUSTIN</t>
  </si>
  <si>
    <t>NEWELL</t>
  </si>
  <si>
    <t>DAVIS</t>
  </si>
  <si>
    <t>WHITED</t>
  </si>
  <si>
    <t>204:233289</t>
  </si>
  <si>
    <t>204:233011</t>
  </si>
  <si>
    <t>204:233311</t>
  </si>
  <si>
    <t>204:233323</t>
  </si>
  <si>
    <t>204:232986</t>
  </si>
  <si>
    <t>204:233359</t>
  </si>
  <si>
    <t>204:431</t>
  </si>
  <si>
    <t>204:233317</t>
  </si>
  <si>
    <t>204:233308</t>
  </si>
  <si>
    <t>204:233282</t>
  </si>
  <si>
    <t>300:23306</t>
  </si>
  <si>
    <t>300:58623</t>
  </si>
  <si>
    <t>300:58632</t>
  </si>
  <si>
    <t>204:699</t>
  </si>
  <si>
    <t>300:58933</t>
  </si>
  <si>
    <t>300:58939</t>
  </si>
  <si>
    <t>300:58617</t>
  </si>
  <si>
    <t>300:58944</t>
  </si>
  <si>
    <t>Cancelled?</t>
  </si>
  <si>
    <t>101-10</t>
  </si>
  <si>
    <t>115-10</t>
  </si>
  <si>
    <t>rtdc.l.rtdc.4004:itc</t>
  </si>
  <si>
    <t>114-10</t>
  </si>
  <si>
    <t>116-10</t>
  </si>
  <si>
    <t>120-10</t>
  </si>
  <si>
    <t>rtdc.l.rtdc.4026:itc</t>
  </si>
  <si>
    <t>124-10</t>
  </si>
  <si>
    <t>132-10</t>
  </si>
  <si>
    <t>rtdc.l.rtdc.4003:itc</t>
  </si>
  <si>
    <t>141-10</t>
  </si>
  <si>
    <t>138-10</t>
  </si>
  <si>
    <t>144-10</t>
  </si>
  <si>
    <t>152-10</t>
  </si>
  <si>
    <t>162-10</t>
  </si>
  <si>
    <t>164-10</t>
  </si>
  <si>
    <t>169-10</t>
  </si>
  <si>
    <t>166-10</t>
  </si>
  <si>
    <t>185-10</t>
  </si>
  <si>
    <t>191-10</t>
  </si>
  <si>
    <t>1820-10</t>
  </si>
  <si>
    <t>188-10</t>
  </si>
  <si>
    <t>1821-10</t>
  </si>
  <si>
    <t>201-10</t>
  </si>
  <si>
    <t>205-10</t>
  </si>
  <si>
    <t>72-10</t>
  </si>
  <si>
    <t>1826-10</t>
  </si>
  <si>
    <t>218-10</t>
  </si>
  <si>
    <t>220-10</t>
  </si>
  <si>
    <t>1833-10</t>
  </si>
  <si>
    <t>235-10</t>
  </si>
  <si>
    <t>238-10</t>
  </si>
  <si>
    <t>241-10</t>
  </si>
  <si>
    <t>rtdc.l.rtdc.4021:itc</t>
  </si>
  <si>
    <t>242-09</t>
  </si>
  <si>
    <t>245-09</t>
  </si>
  <si>
    <t>309-09</t>
  </si>
  <si>
    <t>rtdc.l.rtdc.4001:itc</t>
  </si>
  <si>
    <t>244-09</t>
  </si>
  <si>
    <t>311-09</t>
  </si>
  <si>
    <t>246-09</t>
  </si>
  <si>
    <t>313-09</t>
  </si>
  <si>
    <t>315-09</t>
  </si>
  <si>
    <t>302-10</t>
  </si>
  <si>
    <t>304-10</t>
  </si>
  <si>
    <t>103-10</t>
  </si>
  <si>
    <t>306-10</t>
  </si>
  <si>
    <t>DE LA ROSA</t>
  </si>
  <si>
    <t>ALEX</t>
  </si>
  <si>
    <t>105-10</t>
  </si>
  <si>
    <t>102-10</t>
  </si>
  <si>
    <t>308-10</t>
  </si>
  <si>
    <t>WENDY</t>
  </si>
  <si>
    <t>310-10</t>
  </si>
  <si>
    <t>KILLION</t>
  </si>
  <si>
    <t>107-10</t>
  </si>
  <si>
    <t>104-10</t>
  </si>
  <si>
    <t>rtdc.l.rtdc.4025:itc</t>
  </si>
  <si>
    <t>109-10</t>
  </si>
  <si>
    <t>111-10</t>
  </si>
  <si>
    <t>GEBRETEKLE</t>
  </si>
  <si>
    <t>DAGNEW</t>
  </si>
  <si>
    <t>113-10</t>
  </si>
  <si>
    <t>106-10</t>
  </si>
  <si>
    <t>1901-10</t>
  </si>
  <si>
    <t>YORK</t>
  </si>
  <si>
    <t>EDGAR</t>
  </si>
  <si>
    <t>108-10</t>
  </si>
  <si>
    <t>117-10</t>
  </si>
  <si>
    <t>1800-10</t>
  </si>
  <si>
    <t>110-10</t>
  </si>
  <si>
    <t>112-10</t>
  </si>
  <si>
    <t>119-10</t>
  </si>
  <si>
    <t>1801-10</t>
  </si>
  <si>
    <t>121-10</t>
  </si>
  <si>
    <t>123-10</t>
  </si>
  <si>
    <t>118-10</t>
  </si>
  <si>
    <t>1802-10</t>
  </si>
  <si>
    <t>125-10</t>
  </si>
  <si>
    <t>1803-10</t>
  </si>
  <si>
    <t>127-10</t>
  </si>
  <si>
    <t>122-10</t>
  </si>
  <si>
    <t>129-10</t>
  </si>
  <si>
    <t>131-10</t>
  </si>
  <si>
    <t>126-10</t>
  </si>
  <si>
    <t>1804-10</t>
  </si>
  <si>
    <t>133-10</t>
  </si>
  <si>
    <t>128-10</t>
  </si>
  <si>
    <t>1805-10</t>
  </si>
  <si>
    <t>135-10</t>
  </si>
  <si>
    <t>130-10</t>
  </si>
  <si>
    <t>137-10</t>
  </si>
  <si>
    <t>139-10</t>
  </si>
  <si>
    <t>134-10</t>
  </si>
  <si>
    <t>1806-10</t>
  </si>
  <si>
    <t>136-10</t>
  </si>
  <si>
    <t>143-10</t>
  </si>
  <si>
    <t>1807-10</t>
  </si>
  <si>
    <t>145-10</t>
  </si>
  <si>
    <t>140-10</t>
  </si>
  <si>
    <t>147-10</t>
  </si>
  <si>
    <t>1808-10</t>
  </si>
  <si>
    <t>149-10</t>
  </si>
  <si>
    <t>142-10</t>
  </si>
  <si>
    <t>151-10</t>
  </si>
  <si>
    <t>1809-10</t>
  </si>
  <si>
    <t>146-10</t>
  </si>
  <si>
    <t>153-10</t>
  </si>
  <si>
    <t>148-10</t>
  </si>
  <si>
    <t>155-10</t>
  </si>
  <si>
    <t>CLARK</t>
  </si>
  <si>
    <t>KATHLEEN</t>
  </si>
  <si>
    <t>150-10</t>
  </si>
  <si>
    <t>1810-10</t>
  </si>
  <si>
    <t>157-10</t>
  </si>
  <si>
    <t>159-10</t>
  </si>
  <si>
    <t>STEWART</t>
  </si>
  <si>
    <t>1811-10</t>
  </si>
  <si>
    <t>154-10</t>
  </si>
  <si>
    <t>161-10</t>
  </si>
  <si>
    <t>BARTLETT</t>
  </si>
  <si>
    <t>KIANDRA</t>
  </si>
  <si>
    <t>156-10</t>
  </si>
  <si>
    <t>163-10</t>
  </si>
  <si>
    <t>158-10</t>
  </si>
  <si>
    <t>1812-10</t>
  </si>
  <si>
    <t>165-10</t>
  </si>
  <si>
    <t>160-10</t>
  </si>
  <si>
    <t>167-10</t>
  </si>
  <si>
    <t>BRUDER</t>
  </si>
  <si>
    <t>RICHARD</t>
  </si>
  <si>
    <t>1813-10</t>
  </si>
  <si>
    <t>171-10</t>
  </si>
  <si>
    <t>1814-10</t>
  </si>
  <si>
    <t>173-10</t>
  </si>
  <si>
    <t>168-10</t>
  </si>
  <si>
    <t>175-10</t>
  </si>
  <si>
    <t>170-10</t>
  </si>
  <si>
    <t>177-10</t>
  </si>
  <si>
    <t>172-10</t>
  </si>
  <si>
    <t>1815-10</t>
  </si>
  <si>
    <t>179-10</t>
  </si>
  <si>
    <t>1816-10</t>
  </si>
  <si>
    <t>174-10</t>
  </si>
  <si>
    <t>181-10</t>
  </si>
  <si>
    <t>176-10</t>
  </si>
  <si>
    <t>183-10</t>
  </si>
  <si>
    <t>1817-10</t>
  </si>
  <si>
    <t>LOPES</t>
  </si>
  <si>
    <t>KIMBERLY</t>
  </si>
  <si>
    <t>178-10</t>
  </si>
  <si>
    <t>180-10</t>
  </si>
  <si>
    <t>187-10</t>
  </si>
  <si>
    <t>182-10</t>
  </si>
  <si>
    <t>1818-10</t>
  </si>
  <si>
    <t>189-10</t>
  </si>
  <si>
    <t>184-10</t>
  </si>
  <si>
    <t>1819-10</t>
  </si>
  <si>
    <t>186-10</t>
  </si>
  <si>
    <t>193-10</t>
  </si>
  <si>
    <t>195-10</t>
  </si>
  <si>
    <t>190-10</t>
  </si>
  <si>
    <t>197-10</t>
  </si>
  <si>
    <t>192-10</t>
  </si>
  <si>
    <t>199-10</t>
  </si>
  <si>
    <t>194-10</t>
  </si>
  <si>
    <t>196-10</t>
  </si>
  <si>
    <t>203-10</t>
  </si>
  <si>
    <t>198-10</t>
  </si>
  <si>
    <t>1822-10</t>
  </si>
  <si>
    <t>200-10</t>
  </si>
  <si>
    <t>207-10</t>
  </si>
  <si>
    <t>202-10</t>
  </si>
  <si>
    <t>1823-10</t>
  </si>
  <si>
    <t>209-10</t>
  </si>
  <si>
    <t>75-10</t>
  </si>
  <si>
    <t>204-10</t>
  </si>
  <si>
    <t>211-10</t>
  </si>
  <si>
    <t>69-10</t>
  </si>
  <si>
    <t>1824-10</t>
  </si>
  <si>
    <t>206-10</t>
  </si>
  <si>
    <t>213-10</t>
  </si>
  <si>
    <t>208-10</t>
  </si>
  <si>
    <t>215-10</t>
  </si>
  <si>
    <t>74-10</t>
  </si>
  <si>
    <t>MACDONALD</t>
  </si>
  <si>
    <t>THOMAS</t>
  </si>
  <si>
    <t>1825-10</t>
  </si>
  <si>
    <t>210-10</t>
  </si>
  <si>
    <t>217-10</t>
  </si>
  <si>
    <t>212-10</t>
  </si>
  <si>
    <t>219-10</t>
  </si>
  <si>
    <t>73-10</t>
  </si>
  <si>
    <t>214-10</t>
  </si>
  <si>
    <t>303-10</t>
  </si>
  <si>
    <t>216-10</t>
  </si>
  <si>
    <t>221-10</t>
  </si>
  <si>
    <t>DIANE</t>
  </si>
  <si>
    <t>1827-10</t>
  </si>
  <si>
    <t>305-10</t>
  </si>
  <si>
    <t>223-10</t>
  </si>
  <si>
    <t>1828-10</t>
  </si>
  <si>
    <t>222-10</t>
  </si>
  <si>
    <t>307-10</t>
  </si>
  <si>
    <t>225-10</t>
  </si>
  <si>
    <t>1829-10</t>
  </si>
  <si>
    <t>227-10</t>
  </si>
  <si>
    <t>224-10</t>
  </si>
  <si>
    <t>1830-10</t>
  </si>
  <si>
    <t>229-10</t>
  </si>
  <si>
    <t>226-10</t>
  </si>
  <si>
    <t>1831-10</t>
  </si>
  <si>
    <t>228-10</t>
  </si>
  <si>
    <t>231-10</t>
  </si>
  <si>
    <t>1832-10</t>
  </si>
  <si>
    <t>230-10</t>
  </si>
  <si>
    <t>233-10</t>
  </si>
  <si>
    <t>232-10</t>
  </si>
  <si>
    <t>1902-10</t>
  </si>
  <si>
    <t>234-10</t>
  </si>
  <si>
    <t>237-10</t>
  </si>
  <si>
    <t>239-10</t>
  </si>
  <si>
    <t>236-10</t>
  </si>
  <si>
    <t>240-10</t>
  </si>
  <si>
    <t>245-10</t>
  </si>
  <si>
    <t>246-10</t>
  </si>
  <si>
    <t>315-10</t>
  </si>
  <si>
    <t>Mostly Cloudy</t>
  </si>
  <si>
    <t>rain</t>
  </si>
  <si>
    <t>Flurries</t>
  </si>
  <si>
    <t>204:752</t>
  </si>
  <si>
    <t>204:232687</t>
  </si>
  <si>
    <t>204:717</t>
  </si>
  <si>
    <t>204:233385</t>
  </si>
  <si>
    <t>204:232756</t>
  </si>
  <si>
    <t>204:116</t>
  </si>
  <si>
    <t>204:741</t>
  </si>
  <si>
    <t>204:233306</t>
  </si>
  <si>
    <t>204:232658</t>
  </si>
  <si>
    <t>204:134</t>
  </si>
  <si>
    <t>204:136</t>
  </si>
  <si>
    <t>204:750</t>
  </si>
  <si>
    <t>204:233307</t>
  </si>
  <si>
    <t>204:233310</t>
  </si>
  <si>
    <t>204:232013</t>
  </si>
  <si>
    <t>204:735</t>
  </si>
  <si>
    <t>204:407</t>
  </si>
  <si>
    <t>204:233006</t>
  </si>
  <si>
    <t>204:232992</t>
  </si>
  <si>
    <t>204:167</t>
  </si>
  <si>
    <t>204:233325</t>
  </si>
  <si>
    <t>204:233000</t>
  </si>
  <si>
    <t>204:411</t>
  </si>
  <si>
    <t>204:233326</t>
  </si>
  <si>
    <t>204:233001</t>
  </si>
  <si>
    <t>204:233002</t>
  </si>
  <si>
    <t>204:233004</t>
  </si>
  <si>
    <t>204:232980</t>
  </si>
  <si>
    <t>204:138</t>
  </si>
  <si>
    <t>204:233304</t>
  </si>
  <si>
    <t>204:232989</t>
  </si>
  <si>
    <t>204:473</t>
  </si>
  <si>
    <t>204:232961</t>
  </si>
  <si>
    <t>204:155746</t>
  </si>
  <si>
    <t>204:233017</t>
  </si>
  <si>
    <t>204:232996</t>
  </si>
  <si>
    <t>204:232983</t>
  </si>
  <si>
    <t>204:127</t>
  </si>
  <si>
    <t>204:233303</t>
  </si>
  <si>
    <t>204:123</t>
  </si>
  <si>
    <t>204:440</t>
  </si>
  <si>
    <t>204:467</t>
  </si>
  <si>
    <t>204:232977</t>
  </si>
  <si>
    <t>204:161</t>
  </si>
  <si>
    <t>204:488</t>
  </si>
  <si>
    <t>204:233295</t>
  </si>
  <si>
    <t>204:232990</t>
  </si>
  <si>
    <t>204:426</t>
  </si>
  <si>
    <t>204:233288</t>
  </si>
  <si>
    <t>204:160</t>
  </si>
  <si>
    <t>204:233318</t>
  </si>
  <si>
    <t>204:233302</t>
  </si>
  <si>
    <t>204:233021</t>
  </si>
  <si>
    <t>204:90</t>
  </si>
  <si>
    <t>204:233048</t>
  </si>
  <si>
    <t>204:169</t>
  </si>
  <si>
    <t>204:233264</t>
  </si>
  <si>
    <t>204:232982</t>
  </si>
  <si>
    <t>204:233343</t>
  </si>
  <si>
    <t>204:733</t>
  </si>
  <si>
    <t>204:1021</t>
  </si>
  <si>
    <t>300:58613</t>
  </si>
  <si>
    <t>204:738</t>
  </si>
  <si>
    <t>204:1028</t>
  </si>
  <si>
    <t>204:736</t>
  </si>
  <si>
    <t>204:1023</t>
  </si>
  <si>
    <t>300:58952</t>
  </si>
  <si>
    <t>300:58634</t>
  </si>
  <si>
    <t>204:720</t>
  </si>
  <si>
    <t>204:1030</t>
  </si>
  <si>
    <t>300:58615</t>
  </si>
  <si>
    <t>204:776</t>
  </si>
  <si>
    <t>204:1079</t>
  </si>
  <si>
    <t>300:58935</t>
  </si>
  <si>
    <t>204:1035</t>
  </si>
  <si>
    <t>300:58624</t>
  </si>
  <si>
    <t>204:747</t>
  </si>
  <si>
    <t>300:58596</t>
  </si>
  <si>
    <t>204:722</t>
  </si>
  <si>
    <t>204:1018</t>
  </si>
  <si>
    <t>204:743</t>
  </si>
  <si>
    <t>300:58611</t>
  </si>
  <si>
    <t>204:983</t>
  </si>
  <si>
    <t>204:1014</t>
  </si>
  <si>
    <t>204:762</t>
  </si>
  <si>
    <t>204:1044</t>
  </si>
  <si>
    <t>300:58956</t>
  </si>
  <si>
    <t>204:1037</t>
  </si>
  <si>
    <t>204:418</t>
  </si>
  <si>
    <t>204:712</t>
  </si>
  <si>
    <t>204:992</t>
  </si>
  <si>
    <t>204:740</t>
  </si>
  <si>
    <t>204:1027</t>
  </si>
  <si>
    <t>300:58958</t>
  </si>
  <si>
    <t>204:233077</t>
  </si>
  <si>
    <t>204:480</t>
  </si>
  <si>
    <t>204:880</t>
  </si>
  <si>
    <t>204:478</t>
  </si>
  <si>
    <t>300:30146</t>
  </si>
  <si>
    <t>300:58642</t>
  </si>
  <si>
    <t>300:21543</t>
  </si>
  <si>
    <t>204:233334</t>
  </si>
  <si>
    <t>204:233032</t>
  </si>
  <si>
    <t>204:34181</t>
  </si>
  <si>
    <t>204:233015</t>
  </si>
  <si>
    <t>204:233301</t>
  </si>
  <si>
    <t>204:233376</t>
  </si>
  <si>
    <t>204:119</t>
  </si>
  <si>
    <t>204:233355</t>
  </si>
  <si>
    <t>204:233061</t>
  </si>
  <si>
    <t>204:233005</t>
  </si>
  <si>
    <t>204:475</t>
  </si>
  <si>
    <t>204:232953</t>
  </si>
  <si>
    <t>204:178</t>
  </si>
  <si>
    <t>204:232987</t>
  </si>
  <si>
    <t>204:233285</t>
  </si>
  <si>
    <t>204:233280</t>
  </si>
  <si>
    <t>204:232984</t>
  </si>
  <si>
    <t>204:233329</t>
  </si>
  <si>
    <t>204:170</t>
  </si>
  <si>
    <t>204:233287</t>
  </si>
  <si>
    <t>204:233324</t>
  </si>
  <si>
    <t>204:199466</t>
  </si>
  <si>
    <t>204:233300</t>
  </si>
  <si>
    <t>300:19951</t>
  </si>
  <si>
    <t>300:23292</t>
  </si>
  <si>
    <t>204:94</t>
  </si>
  <si>
    <t>300:23160</t>
  </si>
  <si>
    <t>300:23318</t>
  </si>
  <si>
    <t>300:23233</t>
  </si>
  <si>
    <t>300:23108</t>
  </si>
  <si>
    <t>300:23199</t>
  </si>
  <si>
    <t>300:22824</t>
  </si>
  <si>
    <t>204:566</t>
  </si>
  <si>
    <t>300:23138</t>
  </si>
  <si>
    <t>300:23314</t>
  </si>
  <si>
    <t>204:1196</t>
  </si>
  <si>
    <t>204:69374</t>
  </si>
  <si>
    <t>300:23283</t>
  </si>
  <si>
    <t>204:93</t>
  </si>
  <si>
    <t>204:386</t>
  </si>
  <si>
    <t>300:21511</t>
  </si>
  <si>
    <t>204:2004</t>
  </si>
  <si>
    <t>204:1162</t>
  </si>
  <si>
    <t>300:23087</t>
  </si>
  <si>
    <t>aws s3 cp s3://rtdc.mdm.uploadarchive.raw/RTDC4003/ "%USERPROFILE%\AppData\Local\Temp\OnboardLogs"\RTDC4003\2016-12-10 --exclude "*" --recursive --include "*20161210*" &amp; "%USERPROFILE%\Documents\GitHub\mrs-test-scripts\Headless Mode &amp; Sideloading\WalkAndUnGZ.bat" "%USERPROFILE%\AppData\Local\Temp\OnboardLogs"\RTDC4003\2016-12-10 &amp; aws s3 cp s3://rtdc.mdm.uploadarchive.raw/RTDC4003/ "%USERPROFILE%\AppData\Local\Temp\OnboardLogs"\RTDC4003\2016-12-11 --exclude "*" --recursive --include "*20161211*" &amp; "%USERPROFILE%\Documents\GitHub\mrs-test-scripts\Headless Mode &amp; Sideloading\WalkAndUnGZ.bat" "%USERPROFILE%\AppData\Local\Temp\OnboardLogs"\RTDC4003\2016-12-11</t>
  </si>
  <si>
    <t>aws s3 cp s3://rtdc.mdm.uploadarchive.raw/RTDC4020/ "%USERPROFILE%\AppData\Local\Temp\OnboardLogs"\RTDC4020\2016-12-10 --exclude "*" --recursive --include "*20161210*" &amp; "%USERPROFILE%\Documents\GitHub\mrs-test-scripts\Headless Mode &amp; Sideloading\WalkAndUnGZ.bat" "%USERPROFILE%\AppData\Local\Temp\OnboardLogs"\RTDC4020\2016-12-10 &amp; aws s3 cp s3://rtdc.mdm.uploadarchive.raw/RTDC4020/ "%USERPROFILE%\AppData\Local\Temp\OnboardLogs"\RTDC4020\2016-12-11 --exclude "*" --recursive --include "*20161211*" &amp; "%USERPROFILE%\Documents\GitHub\mrs-test-scripts\Headless Mode &amp; Sideloading\WalkAndUnGZ.bat" "%USERPROFILE%\AppData\Local\Temp\OnboardLogs"\RTDC4020\2016-12-11</t>
  </si>
  <si>
    <t>aws s3 cp s3://rtdc.mdm.uploadarchive.raw/RTDC4012/ "%USERPROFILE%\AppData\Local\Temp\OnboardLogs"\RTDC4012\2016-12-10 --exclude "*" --recursive --include "*20161210*" &amp; "%USERPROFILE%\Documents\GitHub\mrs-test-scripts\Headless Mode &amp; Sideloading\WalkAndUnGZ.bat" "%USERPROFILE%\AppData\Local\Temp\OnboardLogs"\RTDC4012\2016-12-10 &amp; aws s3 cp s3://rtdc.mdm.uploadarchive.raw/RTDC4012/ "%USERPROFILE%\AppData\Local\Temp\OnboardLogs"\RTDC4012\2016-12-11 --exclude "*" --recursive --include "*20161211*" &amp; "%USERPROFILE%\Documents\GitHub\mrs-test-scripts\Headless Mode &amp; Sideloading\WalkAndUnGZ.bat" "%USERPROFILE%\AppData\Local\Temp\OnboardLogs"\RTDC4012\2016-12-11</t>
  </si>
  <si>
    <t>aws s3 cp s3://rtdc.mdm.uploadarchive.raw/RTDC4040/ "%USERPROFILE%\AppData\Local\Temp\OnboardLogs"\RTDC4040\2016-12-10 --exclude "*" --recursive --include "*20161210*" &amp; "%USERPROFILE%\Documents\GitHub\mrs-test-scripts\Headless Mode &amp; Sideloading\WalkAndUnGZ.bat" "%USERPROFILE%\AppData\Local\Temp\OnboardLogs"\RTDC4040\2016-12-10 &amp; aws s3 cp s3://rtdc.mdm.uploadarchive.raw/RTDC4040/ "%USERPROFILE%\AppData\Local\Temp\OnboardLogs"\RTDC4040\2016-12-11 --exclude "*" --recursive --include "*20161211*" &amp; "%USERPROFILE%\Documents\GitHub\mrs-test-scripts\Headless Mode &amp; Sideloading\WalkAndUnGZ.bat" "%USERPROFILE%\AppData\Local\Temp\OnboardLogs"\RTDC4040\2016-12-11</t>
  </si>
  <si>
    <t>aws s3 cp s3://rtdc.mdm.uploadarchive.raw/RTDC4014/ "%USERPROFILE%\AppData\Local\Temp\OnboardLogs"\RTDC4014\2016-12-10 --exclude "*" --recursive --include "*20161210*" &amp; "%USERPROFILE%\Documents\GitHub\mrs-test-scripts\Headless Mode &amp; Sideloading\WalkAndUnGZ.bat" "%USERPROFILE%\AppData\Local\Temp\OnboardLogs"\RTDC4014\2016-12-10 &amp; aws s3 cp s3://rtdc.mdm.uploadarchive.raw/RTDC4014/ "%USERPROFILE%\AppData\Local\Temp\OnboardLogs"\RTDC4014\2016-12-11 --exclude "*" --recursive --include "*20161211*" &amp; "%USERPROFILE%\Documents\GitHub\mrs-test-scripts\Headless Mode &amp; Sideloading\WalkAndUnGZ.bat" "%USERPROFILE%\AppData\Local\Temp\OnboardLogs"\RTDC4014\2016-12-11</t>
  </si>
  <si>
    <t>aws s3 cp s3://rtdc.mdm.uploadarchive.raw/RTDC4040/ "%USERPROFILE%\AppData\Local\Temp\OnboardLogs"\RTDC4040\2016-12-11 --exclude "*" --recursive --include "*20161211*" &amp; "%USERPROFILE%\Documents\GitHub\mrs-test-scripts\Headless Mode &amp; Sideloading\WalkAndUnGZ.bat" "%USERPROFILE%\AppData\Local\Temp\OnboardLogs"\RTDC4040\2016-12-11 &amp; aws s3 cp s3://rtdc.mdm.uploadarchive.raw/RTDC4040/ "%USERPROFILE%\AppData\Local\Temp\OnboardLogs"\RTDC4040\2016-12-12 --exclude "*" --recursive --include "*20161212*" &amp; "%USERPROFILE%\Documents\GitHub\mrs-test-scripts\Headless Mode &amp; Sideloading\WalkAndUnGZ.bat" "%USERPROFILE%\AppData\Local\Temp\OnboardLogs"\RTDC4040\2016-12-12</t>
  </si>
  <si>
    <t>aws s3 cp s3://rtdc.mdm.uploadarchive.raw/RTDC4013/ "%USERPROFILE%\AppData\Local\Temp\OnboardLogs"\RTDC4013\2016-12-10 --exclude "*" --recursive --include "*20161210*" &amp; "%USERPROFILE%\Documents\GitHub\mrs-test-scripts\Headless Mode &amp; Sideloading\WalkAndUnGZ.bat" "%USERPROFILE%\AppData\Local\Temp\OnboardLogs"\RTDC4013\2016-12-10 &amp; aws s3 cp s3://rtdc.mdm.uploadarchive.raw/RTDC4013/ "%USERPROFILE%\AppData\Local\Temp\OnboardLogs"\RTDC4013\2016-12-11 --exclude "*" --recursive --include "*20161211*" &amp; "%USERPROFILE%\Documents\GitHub\mrs-test-scripts\Headless Mode &amp; Sideloading\WalkAndUnGZ.bat" "%USERPROFILE%\AppData\Local\Temp\OnboardLogs"\RTDC4013\2016-12-11</t>
  </si>
  <si>
    <t>aws s3 cp s3://rtdc.mdm.uploadarchive.raw/RTDC4046/ "%USERPROFILE%\AppData\Local\Temp\OnboardLogs"\RTDC4046\2016-12-10 --exclude "*" --recursive --include "*20161210*" &amp; "%USERPROFILE%\Documents\GitHub\mrs-test-scripts\Headless Mode &amp; Sideloading\WalkAndUnGZ.bat" "%USERPROFILE%\AppData\Local\Temp\OnboardLogs"\RTDC4046\2016-12-10 &amp; aws s3 cp s3://rtdc.mdm.uploadarchive.raw/RTDC4046/ "%USERPROFILE%\AppData\Local\Temp\OnboardLogs"\RTDC4046\2016-12-11 --exclude "*" --recursive --include "*20161211*" &amp; "%USERPROFILE%\Documents\GitHub\mrs-test-scripts\Headless Mode &amp; Sideloading\WalkAndUnGZ.bat" "%USERPROFILE%\AppData\Local\Temp\OnboardLogs"\RTDC4046\2016-12-11</t>
  </si>
  <si>
    <t>aws s3 cp s3://rtdc.mdm.uploadarchive.raw/RTDC4015/ "%USERPROFILE%\AppData\Local\Temp\OnboardLogs"\RTDC4015\2016-12-10 --exclude "*" --recursive --include "*20161210*" &amp; "%USERPROFILE%\Documents\GitHub\mrs-test-scripts\Headless Mode &amp; Sideloading\WalkAndUnGZ.bat" "%USERPROFILE%\AppData\Local\Temp\OnboardLogs"\RTDC4015\2016-12-10 &amp; aws s3 cp s3://rtdc.mdm.uploadarchive.raw/RTDC4015/ "%USERPROFILE%\AppData\Local\Temp\OnboardLogs"\RTDC4015\2016-12-11 --exclude "*" --recursive --include "*20161211*" &amp; "%USERPROFILE%\Documents\GitHub\mrs-test-scripts\Headless Mode &amp; Sideloading\WalkAndUnGZ.bat" "%USERPROFILE%\AppData\Local\Temp\OnboardLogs"\RTDC4015\2016-12-11</t>
  </si>
  <si>
    <t>aws s3 cp s3://rtdc.mdm.uploadarchive.raw/RTDC4004/ "%USERPROFILE%\AppData\Local\Temp\OnboardLogs"\RTDC4004\2016-12-10 --exclude "*" --recursive --include "*20161210*" &amp; "%USERPROFILE%\Documents\GitHub\mrs-test-scripts\Headless Mode &amp; Sideloading\WalkAndUnGZ.bat" "%USERPROFILE%\AppData\Local\Temp\OnboardLogs"\RTDC4004\2016-12-10 &amp; aws s3 cp s3://rtdc.mdm.uploadarchive.raw/RTDC4004/ "%USERPROFILE%\AppData\Local\Temp\OnboardLogs"\RTDC4004\2016-12-11 --exclude "*" --recursive --include "*20161211*" &amp; "%USERPROFILE%\Documents\GitHub\mrs-test-scripts\Headless Mode &amp; Sideloading\WalkAndUnGZ.bat" "%USERPROFILE%\AppData\Local\Temp\OnboardLogs"\RTDC4004\2016-12-11</t>
  </si>
  <si>
    <t>aws s3 cp s3://rtdc.mdm.uploadarchive.raw/RTDC4010/ "%USERPROFILE%\AppData\Local\Temp\OnboardLogs"\RTDC4010\2016-12-10 --exclude "*" --recursive --include "*20161210*" &amp; "%USERPROFILE%\Documents\GitHub\mrs-test-scripts\Headless Mode &amp; Sideloading\WalkAndUnGZ.bat" "%USERPROFILE%\AppData\Local\Temp\OnboardLogs"\RTDC4010\2016-12-10 &amp; aws s3 cp s3://rtdc.mdm.uploadarchive.raw/RTDC4010/ "%USERPROFILE%\AppData\Local\Temp\OnboardLogs"\RTDC4010\2016-12-11 --exclude "*" --recursive --include "*20161211*" &amp; "%USERPROFILE%\Documents\GitHub\mrs-test-scripts\Headless Mode &amp; Sideloading\WalkAndUnGZ.bat" "%USERPROFILE%\AppData\Local\Temp\OnboardLogs"\RTDC4010\2016-12-11</t>
  </si>
  <si>
    <t>aws s3 cp s3://rtdc.mdm.uploadarchive.raw/RTDC4026/ "%USERPROFILE%\AppData\Local\Temp\OnboardLogs"\RTDC4026\2016-12-10 --exclude "*" --recursive --include "*20161210*" &amp; "%USERPROFILE%\Documents\GitHub\mrs-test-scripts\Headless Mode &amp; Sideloading\WalkAndUnGZ.bat" "%USERPROFILE%\AppData\Local\Temp\OnboardLogs"\RTDC4026\2016-12-10 &amp; aws s3 cp s3://rtdc.mdm.uploadarchive.raw/RTDC4026/ "%USERPROFILE%\AppData\Local\Temp\OnboardLogs"\RTDC4026\2016-12-11 --exclude "*" --recursive --include "*20161211*" &amp; "%USERPROFILE%\Documents\GitHub\mrs-test-scripts\Headless Mode &amp; Sideloading\WalkAndUnGZ.bat" "%USERPROFILE%\AppData\Local\Temp\OnboardLogs"\RTDC4026\2016-12-11</t>
  </si>
  <si>
    <t>aws s3 cp s3://rtdc.mdm.uploadarchive.raw/RTDC4039/ "%USERPROFILE%\AppData\Local\Temp\OnboardLogs"\RTDC4039\2016-12-10 --exclude "*" --recursive --include "*20161210*" &amp; "%USERPROFILE%\Documents\GitHub\mrs-test-scripts\Headless Mode &amp; Sideloading\WalkAndUnGZ.bat" "%USERPROFILE%\AppData\Local\Temp\OnboardLogs"\RTDC4039\2016-12-10 &amp; aws s3 cp s3://rtdc.mdm.uploadarchive.raw/RTDC4039/ "%USERPROFILE%\AppData\Local\Temp\OnboardLogs"\RTDC4039\2016-12-11 --exclude "*" --recursive --include "*20161211*" &amp; "%USERPROFILE%\Documents\GitHub\mrs-test-scripts\Headless Mode &amp; Sideloading\WalkAndUnGZ.bat" "%USERPROFILE%\AppData\Local\Temp\OnboardLogs"\RTDC4039\2016-12-11</t>
  </si>
  <si>
    <t>aws s3 cp s3://rtdc.mdm.uploadarchive.raw/RTDC4031/ "%USERPROFILE%\AppData\Local\Temp\OnboardLogs"\RTDC4031\2016-12-10 --exclude "*" --recursive --include "*20161210*" &amp; "%USERPROFILE%\Documents\GitHub\mrs-test-scripts\Headless Mode &amp; Sideloading\WalkAndUnGZ.bat" "%USERPROFILE%\AppData\Local\Temp\OnboardLogs"\RTDC4031\2016-12-10 &amp; aws s3 cp s3://rtdc.mdm.uploadarchive.raw/RTDC4031/ "%USERPROFILE%\AppData\Local\Temp\OnboardLogs"\RTDC4031\2016-12-11 --exclude "*" --recursive --include "*20161211*" &amp; "%USERPROFILE%\Documents\GitHub\mrs-test-scripts\Headless Mode &amp; Sideloading\WalkAndUnGZ.bat" "%USERPROFILE%\AppData\Local\Temp\OnboardLogs"\RTDC4031\2016-12-11</t>
  </si>
  <si>
    <t>aws s3 cp s3://rtdc.mdm.uploadarchive.raw/RTDC4032/ "%USERPROFILE%\AppData\Local\Temp\OnboardLogs"\RTDC4032\2016-12-10 --exclude "*" --recursive --include "*20161210*" &amp; "%USERPROFILE%\Documents\GitHub\mrs-test-scripts\Headless Mode &amp; Sideloading\WalkAndUnGZ.bat" "%USERPROFILE%\AppData\Local\Temp\OnboardLogs"\RTDC4032\2016-12-10 &amp; aws s3 cp s3://rtdc.mdm.uploadarchive.raw/RTDC4032/ "%USERPROFILE%\AppData\Local\Temp\OnboardLogs"\RTDC4032\2016-12-11 --exclude "*" --recursive --include "*20161211*" &amp; "%USERPROFILE%\Documents\GitHub\mrs-test-scripts\Headless Mode &amp; Sideloading\WalkAndUnGZ.bat" "%USERPROFILE%\AppData\Local\Temp\OnboardLogs"\RTDC4032\2016-12-11</t>
  </si>
  <si>
    <t>aws s3 cp s3://rtdc.mdm.uploadarchive.raw/RTDC4016/ "%USERPROFILE%\AppData\Local\Temp\OnboardLogs"\RTDC4016\2016-12-11 --exclude "*" --recursive --include "*20161211*" &amp; "%USERPROFILE%\Documents\GitHub\mrs-test-scripts\Headless Mode &amp; Sideloading\WalkAndUnGZ.bat" "%USERPROFILE%\AppData\Local\Temp\OnboardLogs"\RTDC4016\2016-12-11 &amp; aws s3 cp s3://rtdc.mdm.uploadarchive.raw/RTDC4016/ "%USERPROFILE%\AppData\Local\Temp\OnboardLogs"\RTDC4016\2016-12-12 --exclude "*" --recursive --include "*20161212*" &amp; "%USERPROFILE%\Documents\GitHub\mrs-test-scripts\Headless Mode &amp; Sideloading\WalkAndUnGZ.bat" "%USERPROFILE%\AppData\Local\Temp\OnboardLogs"\RTDC4016\2016-12-12</t>
  </si>
  <si>
    <t>aws s3 cp s3://rtdc.mdm.uploadarchive.raw/RTDC4019/ "%USERPROFILE%\AppData\Local\Temp\OnboardLogs"\RTDC4019\2016-12-11 --exclude "*" --recursive --include "*20161211*" &amp; "%USERPROFILE%\Documents\GitHub\mrs-test-scripts\Headless Mode &amp; Sideloading\WalkAndUnGZ.bat" "%USERPROFILE%\AppData\Local\Temp\OnboardLogs"\RTDC4019\2016-12-11 &amp; aws s3 cp s3://rtdc.mdm.uploadarchive.raw/RTDC4019/ "%USERPROFILE%\AppData\Local\Temp\OnboardLogs"\RTDC4019\2016-12-12 --exclude "*" --recursive --include "*20161212*" &amp; "%USERPROFILE%\Documents\GitHub\mrs-test-scripts\Headless Mode &amp; Sideloading\WalkAndUnGZ.bat" "%USERPROFILE%\AppData\Local\Temp\OnboardLogs"\RTDC4019\2016-12-12</t>
  </si>
  <si>
    <t>Wheel tach slip</t>
  </si>
  <si>
    <t>Onboard in-route failure</t>
  </si>
  <si>
    <t>CP Pena ELXS failure</t>
  </si>
  <si>
    <t>Around 09:11, CP Pena experienced a failure that took it offline. Do logs tell us anything?</t>
  </si>
  <si>
    <t>Windows update locked virtual machine responsible for passing WSM's</t>
  </si>
  <si>
    <t>At 2016-12-11 00:30, a process related to Windows Update fired and caused WIU-FEP-03B CPU consumption to increase in such a way that prevented proper passing of wayside messages. Need to disable Windows update or adjust scheduled runtime to between service hours.</t>
  </si>
  <si>
    <t>Early arrival</t>
  </si>
  <si>
    <t>RESTRICTED aspect</t>
  </si>
  <si>
    <t>Wi-MAX data drop</t>
  </si>
  <si>
    <t>Overspeed</t>
  </si>
  <si>
    <t>Premature downgrade at EC0286RH 38-2T 2S</t>
  </si>
  <si>
    <t>At 07:28:44, EC0286RH 38-2T 2S seems to have dropped from 270 to STOP &amp; PROCEED. Do logs show anything unusual at this time?</t>
  </si>
  <si>
    <t>SYS :2016/12/10 10:49:52.682:ENFORCEMENT:Predictive Enforcement Action:  Target Number: 00010029  Target Speed:  15.0  Current Speed:  20.7</t>
  </si>
  <si>
    <t>SYS :2016/12/10 10:49:52.827:ENFORCEMENT:Predictive Enforcement Action:  Target Number: 00010029  Target Speed:  15.0  Current Speed:  20.7</t>
  </si>
  <si>
    <t>SYS :2016/12/10 12:38:37.717:ENFORCEMENT:Reactive Enforcement Action:  Target Number: 00017016  Target Speed:  31.0  Current Speed:  36.0</t>
  </si>
  <si>
    <t>SYS :2016/12/10 12:38:38.666:ENFORCEMENT:Reactive Enforcement Action:  Target Number: 00017016  Target Speed:  31.0  Current Speed:  36.0</t>
  </si>
  <si>
    <t>SYS :2016/12/10 13:44:09.023:ENFORCEMENT:Reactive Enforcement Action:  Target Number: 000060AF  Target Speed:  20.0  Current Speed:  27.4</t>
  </si>
  <si>
    <t>SYS :2016/12/10 13:44:09.410:ENFORCEMENT:Reactive Enforcement Action:  Target Number: 000060A2  Target Speed:  20.0  Current Speed:  26.9</t>
  </si>
  <si>
    <t>SYS :2016/12/10 13:44:09.500:ENFORCEMENT:Reactive Enforcement Action:  Target Number: 00006058  Target Speed:  20.0  Current Speed:  27.4</t>
  </si>
  <si>
    <t>SYS :2016/12/10 14:03:42.046:ENFORCEMENT:Predictive Enforcement Action:  Target Number: 00010029  Target Speed:  20.0  Current Speed:  27.3</t>
  </si>
  <si>
    <t>SYS :2016/12/10 14:03:42.060:ENFORCEMENT:Predictive Enforcement Action:  Target Number: 00010029  Target Speed:  20.0  Current Speed:  27.2</t>
  </si>
  <si>
    <t>SYS :2016/12/10 14:03:42.321:ENFORCEMENT:Predictive Enforcement Action:  Target Number: 00010029  Target Speed:  20.0  Current Speed:  27.3</t>
  </si>
  <si>
    <t>SYS :2016/12/10 14:19:18.578:ENFORCEMENT:Predictive Enforcement Action:  Target Number: 0000A001  Target Speed:  10.0  Current Speed:  38.6</t>
  </si>
  <si>
    <t>SYS :2016/12/10 14:28:45.764:ENFORCEMENT:Reactive Enforcement Action:  Target Number: 00006048  Target Speed:   0.0  Current Speed:  13.9</t>
  </si>
  <si>
    <t>SYS :2016/12/10 15:06:34.431:ENFORCEMENT:Predictive Enforcement Action:  Target Number: 00001009  Target Speed:   0.0  Current Speed:   4.9</t>
  </si>
  <si>
    <t>SYS :2016/12/10 15:06:34.934:ENFORCEMENT:Predictive Enforcement Action:  Target Number: 00001009  Target Speed:   0.0  Current Speed:   4.9</t>
  </si>
  <si>
    <t>SYS :2016/12/10 15:06:35.226:ENFORCEMENT:Predictive Enforcement Action:  Target Number: 00001009  Target Speed:   0.0  Current Speed:   4.9</t>
  </si>
  <si>
    <t>SYS :2016/12/10 15:48:46.548:ENFORCEMENT:Predictive Enforcement Action:  Target Number: 0000A001  Target Speed:  10.0  Current Speed:  25.4</t>
  </si>
  <si>
    <t>SYS :2016/12/10 15:48:46.823:ENFORCEMENT:Predictive Enforcement Action:  Target Number: 0000A007  Target Speed:  10.0  Current Speed:  25.4</t>
  </si>
  <si>
    <t>SYS :2016/12/10 15:48:47.581:ENFORCEMENT:Predictive Enforcement Action:  Target Number: 0000A007  Target Speed:  10.0  Current Speed:  24.8</t>
  </si>
  <si>
    <t>SYS :2016/12/10 16:11:44.904:ENFORCEMENT:Reactive Enforcement Action:  Target Number: 00004037  Target Speed:   0.0  Current Speed:   0.4</t>
  </si>
  <si>
    <t>SYS :2016/12/10 16:37:25.461:ENFORCEMENT:Reactive Enforcement Action:  Target Number: 0000A006  Target Speed:  10.0  Current Speed:  15.8</t>
  </si>
  <si>
    <t>SYS :2016/12/10 16:37:25.964:ENFORCEMENT:Reactive Enforcement Action:  Target Number: 0000A006  Target Speed:  10.0  Current Speed:  15.8</t>
  </si>
  <si>
    <t>SYS :2016/12/10 16:37:26.239:ENFORCEMENT:Reactive Enforcement Action:  Target Number: 0000A006  Target Speed:  10.0  Current Speed:  15.8</t>
  </si>
  <si>
    <t>SYS :2016/12/10 17:28:49.053:ENFORCEMENT:Predictive Enforcement Action:  Target Number: 00010060  Target Speed:  30.0  Current Speed:  35.7</t>
  </si>
  <si>
    <t>SYS :2016/12/10 17:28:49.065:ENFORCEMENT:Predictive Enforcement Action:  Target Number: 00010060  Target Speed:  30.0  Current Speed:  35.8</t>
  </si>
  <si>
    <t>SYS :2016/12/10 17:28:49.321:ENFORCEMENT:Predictive Enforcement Action:  Target Number: 00010060  Target Speed:  30.0  Current Speed:  35.7</t>
  </si>
  <si>
    <t>SYS :2016/12/10 18:36:45.439:ENFORCEMENT:Predictive Enforcement Action:  Target Number: 0000100E  Target Speed:   0.0  Current Speed:  10.4</t>
  </si>
  <si>
    <t>SYS :2016/12/10 18:36:45.941:ENFORCEMENT:Predictive Enforcement Action:  Target Number: 0000100E  Target Speed:   0.0  Current Speed:  10.4</t>
  </si>
  <si>
    <t>SYS :2016/12/10 18:36:46.230:ENFORCEMENT:Predictive Enforcement Action:  Target Number: 0000100E  Target Speed:   0.0  Current Speed:  10.4</t>
  </si>
  <si>
    <t>SYS :2016/12/10 19:07:35.411:ENFORCEMENT:Predictive Enforcement Action:  Target Number: 00001010  Target Speed:   0.0  Current Speed:   9.7</t>
  </si>
  <si>
    <t>SYS :2016/12/10 19:33:34.752:ENFORCEMENT:Predictive Enforcement Action:  Target Number: 0000A003  Target Speed:  10.0  Current Speed:  36.0</t>
  </si>
  <si>
    <t>SYS :2016/12/10 19:33:35.438:ENFORCEMENT:Predictive Enforcement Action:  Target Number: 0000A005  Target Speed:  10.0  Current Speed:  36.0</t>
  </si>
  <si>
    <t>SYS :2016/12/10 19:48:30.997:ENFORCEMENT:Predictive Enforcement Action:  Target Number: 0000A00A  Target Speed:  10.0  Current Speed:  34.1</t>
  </si>
  <si>
    <t>SYS :2016/12/10 19:48:31.458:ENFORCEMENT:Predictive Enforcement Action:  Target Number: 0000A008  Target Speed:  10.0  Current Speed:  33.7</t>
  </si>
  <si>
    <t>SYS :2016/12/10 19:48:31.793:ENFORCEMENT:Predictive Enforcement Action:  Target Number: 0000A00A  Target Speed:  10.0  Current Speed:  33.7</t>
  </si>
  <si>
    <t>SYS :2016/12/10 19:53:14.886:ENFORCEMENT:Predictive Enforcement Action:  Target Number: 0000100A  Target Speed:   0.0  Current Speed:  16.4</t>
  </si>
  <si>
    <t>SYS :2016/12/10 20:02:55.456:ENFORCEMENT:Predictive Enforcement Action:  Target Number: 0000A00A  Target Speed:  10.0  Current Speed:  47.9</t>
  </si>
  <si>
    <t>SYS :2016/12/10 20:02:57.252:ENFORCEMENT:Predictive Enforcement Action:  Target Number: 0000A00A  Target Speed:  10.0  Current Speed:  46.8</t>
  </si>
  <si>
    <t>SYS :2016/12/10 21:17:44.676:ENFORCEMENT:Reactive Enforcement Action:  Target Number: 000100DD  Target Speed:  20.0  Current Speed:  25.2</t>
  </si>
  <si>
    <t>SYS :2016/12/10 22:15:26.384:ENFORCEMENT:Reactive Enforcement Action:  Target Number: 00004080  Target Speed:   0.0  Current Speed:  60.9</t>
  </si>
  <si>
    <t>SYS :2016/12/10 22:15:26.452:ENFORCEMENT:Reactive Enforcement Action:  Target Number: 0000405F  Target Speed:   0.0  Current Speed:  60.3</t>
  </si>
  <si>
    <t>SYS :2016/12/10 22:15:26.523:ENFORCEMENT:Reactive Enforcement Action:  Target Number: 0000408B  Target Speed:   0.0  Current Speed:  60.3</t>
  </si>
  <si>
    <t>SYS :2016/12/10 22:54:54.545:ENFORCEMENT:Predictive Enforcement Action:  Target Number: 0000100B  Target Speed:   0.0  Current Speed:   3.8</t>
  </si>
  <si>
    <t>SYS :2016/12/10 22:54:54.885:ENFORCEMENT:Predictive Enforcement Action:  Target Number: 0000101F  Target Speed:   0.0  Current Speed:   3.8</t>
  </si>
  <si>
    <t>SYS :2016/12/10 22:54:54.998:ENFORCEMENT:Predictive Enforcement Action:  Target Number: 0000101F  Target Speed:   0.0  Current Speed:   3.8</t>
  </si>
  <si>
    <t>SYS :2016/12/10 23:11:33.572:ENFORCEMENT:Predictive Enforcement Action:  Target Number: 0000101C  Target Speed:   0.0  Current Speed:   2.3</t>
  </si>
  <si>
    <t>SYS :2016/12/10 23:34:37.810:ENFORCEMENT:Predictive Enforcement Action:  Target Number: 00001024  Target Speed:   0.0  Current Speed:   4.5</t>
  </si>
  <si>
    <t>SYS :2016/12/10 23:34:37.920:ENFORCEMENT:Predictive Enforcement Action:  Target Number: 00001024  Target Speed:   0.0  Current Speed:   4.2</t>
  </si>
  <si>
    <t>SYS :2016/12/10 23:34:37.928:ENFORCEMENT:Predictive Enforcement Action:  Target Number: 00001024  Target Speed:   0.0  Current Speed:   4.2</t>
  </si>
  <si>
    <t>SYS :2016/12/10 23:36:03.332:ENFORCEMENT:Predictive Enforcement Action:  Target Number: 0001000E  Target Speed:  40.0  Current Speed:  53.6</t>
  </si>
  <si>
    <t>SYS :2016/12/10 23:36:03.622:ENFORCEMENT:Predictive Enforcement Action:  Target Number: 00010020  Target Speed:  40.0  Current Speed:  53.6</t>
  </si>
  <si>
    <t>SYS :2016/12/11 00:19:43.357:ENFORCEMENT:Predictive Enforcement Action:  Target Number: 00010115  Target Speed:  15.0  Current Speed:  20.8</t>
  </si>
  <si>
    <t>SYS :2016/12/11 00:19:43.426:ENFORCEMENT:Predictive Enforcement Action:  Target Number: 000100EA  Target Speed:  15.0  Current Speed:  20.8</t>
  </si>
  <si>
    <t>SYS :2016/12/11 00:19:43.500:ENFORCEMENT:Predictive Enforcement Action:  Target Number: 0001011A  Target Speed:  15.0  Current Speed:  21.1</t>
  </si>
  <si>
    <t>SYS :2016/12/11 01:49:20.553:ENFORCEMENT:Predictive Enforcement Action:  Target Number: 000060F2  Target Speed:   0.0  Current Speed:  25.0</t>
  </si>
  <si>
    <t>SYS :2016/12/11 01:49:21.001:ENFORCEMENT:Predictive Enforcement Action:  Target Number: 000061F7  Target Speed:   0.0  Current Speed:  25.0</t>
  </si>
  <si>
    <t>SYS :2016/12/11 01:52:20.556:ENFORCEMENT:Predictive Enforcement Action:  Target Number: 000100A6  Target Speed:  15.0  Current Speed:  20.2</t>
  </si>
  <si>
    <t>SYS :2016/12/11 01:52:20.908:ENFORCEMENT:Predictive Enforcement Action:  Target Number: 00010143  Target Speed:  15.0  Current Speed:  20.2</t>
  </si>
  <si>
    <t>SYS :2016/12/11 01:52:21.009:ENFORCEMENT:Predictive Enforcement Action:  Target Number: 00010143  Target Speed:  15.0  Current Speed:  20.2</t>
  </si>
  <si>
    <t>SYS :2016/12/11 02:33:36.444:ENFORCEMENT:Predictive Enforcement Action:  Target Number: 0000A00D  Target Speed:  10.0  Current Speed:  32.3</t>
  </si>
  <si>
    <t>SYS :2016/12/11 02:33:37.168:ENFORCEMENT:Predictive Enforcement Action:  Target Number: 0000A002  Target Speed:  10.0  Current Speed:  31.7</t>
  </si>
  <si>
    <t>SYS :2016/12/11 02:33:37.436:ENFORCEMENT:Predictive Enforcement Action:  Target Number: 0000A00D  Target Speed:  10.0  Current Speed:  31.7</t>
  </si>
  <si>
    <t>SYS :2016/12/11 02:48:03.476:ENFORCEMENT:Predictive Enforcement Action:  Target Number: 0000A010  Target Speed:  10.0  Current Speed:  61.7</t>
  </si>
  <si>
    <t>SYS :2016/12/11 02:48:04.003:ENFORCEMENT:Predictive Enforcement Action:  Target Number: 0000A012  Target Speed:  10.0  Current Speed:  60.6</t>
  </si>
  <si>
    <t>SYS :2016/12/11 05:24:13.831:ENFORCEMENT:Predictive Enforcement Action:  Target Number: 00017011  Target Speed:   9.0  Current Speed:  14.6</t>
  </si>
  <si>
    <t>SYS :2016/12/11 05:24:13.948:ENFORCEMENT:Predictive Enforcement Action:  Target Number: 00017011  Target Speed:   9.0  Current Speed:  14.7</t>
  </si>
  <si>
    <t>SYS :2016/12/11 05:24:13.949:ENFORCEMENT:Predictive Enforcement Action:  Target Number: 00017011  Target Speed:   9.0  Current Speed:  14.7</t>
  </si>
  <si>
    <t>SYS :2016/12/11 05:39:14.363:ENFORCEMENT:Reactive Enforcement Action:  Target Number: 000170CA  Target Speed:   8.0  Current Speed:  13.9</t>
  </si>
  <si>
    <t>SYS :2016/12/11 05:39:15.514:ENFORCEMENT:Reactive Enforcement Action:  Target Number: 000170CA  Target Speed:   8.0  Current Speed:  13.9</t>
  </si>
  <si>
    <t>SYS :2016/12/11 07:30:53.184:ENFORCEMENT:Predictive Enforcement Action:  Target Number: 0000633B  Target Speed:   0.0  Current Speed:  69.8</t>
  </si>
  <si>
    <t>SYS :2016/12/11 07:30:53.347:ENFORCEMENT:Predictive Enforcement Action:  Target Number: 00006331  Target Speed:   0.0  Current Speed:  68.9</t>
  </si>
  <si>
    <t>SYS :2016/12/11 07:30:53.975:ENFORCEMENT:Predictive Enforcement Action:  Target Number: 0000631B  Target Speed:   0.0  Current Speed:  69.8</t>
  </si>
  <si>
    <t>SYS :2016/12/11 07:30:56.504:ENFORCEMENT:Predictive Enforcement Action:  Target Number: 00006157  Target Speed:   0.0  Current Speed:  31.1</t>
  </si>
  <si>
    <t>SYS :2016/12/11 07:32:36.382:ENFORCEMENT:Reactive Enforcement Action:  Target Number: 00010195  Target Speed:  20.0  Current Speed:  25.3</t>
  </si>
  <si>
    <t>SYS :2016/12/11 07:32:37.544:ENFORCEMENT:Reactive Enforcement Action:  Target Number: 0001019C  Target Speed:  20.0  Current Speed:  25.3</t>
  </si>
  <si>
    <t>SYS :2016/12/11 07:32:37.549:ENFORCEMENT:Reactive Enforcement Action:  Target Number: 0001000B  Target Speed:  20.0  Current Speed:  25.3</t>
  </si>
  <si>
    <t>Banner without braking</t>
  </si>
  <si>
    <t>FILL IN AMENDMENT</t>
  </si>
  <si>
    <t>Wi-MAX data drop, but no enforcement or cut out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</si>
</sst>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  <numFmt numFmtId="171" formatCode="0.0000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</cellStyleXfs>
  <cellXfs count="185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5" fillId="0" borderId="0" xfId="0" applyFont="1"/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169" fontId="8" fillId="4" borderId="9" xfId="1" applyFont="1" applyFill="1" applyBorder="1" applyAlignment="1">
      <alignment horizontal="center"/>
    </xf>
    <xf numFmtId="169" fontId="8" fillId="0" borderId="10" xfId="1" applyFont="1" applyFill="1" applyBorder="1" applyAlignment="1">
      <alignment wrapText="1"/>
    </xf>
    <xf numFmtId="169" fontId="8" fillId="0" borderId="10" xfId="1" applyFont="1" applyFill="1" applyBorder="1" applyAlignment="1">
      <alignment horizontal="right" wrapText="1"/>
    </xf>
    <xf numFmtId="9" fontId="0" fillId="0" borderId="5" xfId="0" applyNumberFormat="1" applyFill="1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 applyBorder="1"/>
    <xf numFmtId="169" fontId="9" fillId="0" borderId="0" xfId="0" applyFont="1" applyFill="1"/>
    <xf numFmtId="169" fontId="0" fillId="0" borderId="5" xfId="0" applyBorder="1" applyAlignment="1">
      <alignment horizontal="center" vertical="center" wrapText="1"/>
    </xf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0" fillId="0" borderId="0" xfId="0" applyNumberFormat="1"/>
    <xf numFmtId="170" fontId="9" fillId="0" borderId="0" xfId="0" applyNumberFormat="1" applyFont="1" applyBorder="1" applyAlignment="1">
      <alignment horizontal="center" vertical="center" wrapText="1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70" fontId="9" fillId="0" borderId="0" xfId="0" applyNumberFormat="1" applyFont="1" applyFill="1"/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71" fontId="5" fillId="0" borderId="0" xfId="0" applyNumberFormat="1" applyFont="1"/>
    <xf numFmtId="171" fontId="9" fillId="0" borderId="0" xfId="0" applyNumberFormat="1" applyFont="1" applyBorder="1" applyAlignment="1">
      <alignment horizontal="center" vertical="center" wrapText="1"/>
    </xf>
    <xf numFmtId="171" fontId="9" fillId="0" borderId="0" xfId="0" applyNumberFormat="1" applyFont="1" applyFill="1" applyBorder="1"/>
    <xf numFmtId="169" fontId="0" fillId="0" borderId="0" xfId="0" applyNumberFormat="1"/>
    <xf numFmtId="2" fontId="0" fillId="0" borderId="0" xfId="0" applyNumberFormat="1"/>
    <xf numFmtId="169" fontId="8" fillId="4" borderId="0" xfId="1" applyFont="1" applyFill="1" applyBorder="1" applyAlignment="1">
      <alignment horizontal="center"/>
    </xf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1" fillId="0" borderId="1" xfId="0" applyFont="1" applyFill="1" applyBorder="1" applyAlignment="1"/>
    <xf numFmtId="169" fontId="5" fillId="0" borderId="0" xfId="0" applyFont="1" applyFill="1"/>
    <xf numFmtId="169" fontId="5" fillId="8" borderId="0" xfId="0" applyFont="1" applyFill="1"/>
    <xf numFmtId="169" fontId="9" fillId="8" borderId="0" xfId="0" applyFont="1" applyFill="1" applyBorder="1" applyAlignment="1">
      <alignment horizontal="center" vertical="center" wrapText="1"/>
    </xf>
    <xf numFmtId="169" fontId="9" fillId="8" borderId="0" xfId="0" applyFont="1" applyFill="1" applyBorder="1"/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0" fillId="0" borderId="0" xfId="0" applyNumberFormat="1"/>
    <xf numFmtId="169" fontId="1" fillId="0" borderId="0" xfId="0" applyNumberFormat="1" applyFont="1" applyBorder="1" applyAlignment="1">
      <alignment horizontal="center" wrapText="1"/>
    </xf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12" fillId="0" borderId="0" xfId="0" applyNumberFormat="1" applyFont="1"/>
    <xf numFmtId="169" fontId="10" fillId="0" borderId="0" xfId="3" applyNumberFormat="1"/>
    <xf numFmtId="169" fontId="0" fillId="0" borderId="0" xfId="3" applyFont="1"/>
    <xf numFmtId="169" fontId="0" fillId="0" borderId="0" xfId="3" applyNumberFormat="1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3" fillId="0" borderId="5" xfId="0" applyNumberFormat="1" applyFont="1" applyFill="1" applyBorder="1" applyAlignment="1">
      <alignment horizontal="center" vertical="center" wrapText="1"/>
    </xf>
    <xf numFmtId="169" fontId="17" fillId="6" borderId="0" xfId="0" applyFont="1" applyFill="1"/>
    <xf numFmtId="169" fontId="18" fillId="0" borderId="0" xfId="0" applyFont="1" applyFill="1"/>
    <xf numFmtId="169" fontId="18" fillId="0" borderId="0" xfId="0" applyFont="1" applyFill="1" applyAlignment="1">
      <alignment horizontal="center" vertical="center"/>
    </xf>
    <xf numFmtId="169" fontId="19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3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Fill="1" applyBorder="1" applyAlignment="1">
      <alignment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 applyAlignment="1">
      <alignment horizontal="left"/>
    </xf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 applyAlignment="1">
      <alignment horizontal="left"/>
    </xf>
    <xf numFmtId="0" fontId="1" fillId="0" borderId="0" xfId="0" applyNumberFormat="1" applyFont="1"/>
    <xf numFmtId="0" fontId="0" fillId="0" borderId="0" xfId="0" applyNumberFormat="1"/>
    <xf numFmtId="0" fontId="0" fillId="0" borderId="0" xfId="0" applyNumberFormat="1" applyAlignment="1">
      <alignment horizontal="left"/>
    </xf>
    <xf numFmtId="0" fontId="0" fillId="0" borderId="4" xfId="0" applyNumberFormat="1" applyBorder="1" applyAlignment="1">
      <alignment horizontal="left"/>
    </xf>
    <xf numFmtId="0" fontId="0" fillId="0" borderId="2" xfId="0" applyNumberForma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0" fillId="0" borderId="5" xfId="0" applyNumberFormat="1" applyBorder="1" applyAlignment="1">
      <alignment horizontal="center" vertical="center" wrapText="1"/>
    </xf>
    <xf numFmtId="0" fontId="0" fillId="0" borderId="5" xfId="0" applyNumberFormat="1" applyFill="1" applyBorder="1"/>
    <xf numFmtId="0" fontId="1" fillId="0" borderId="2" xfId="0" applyNumberFormat="1" applyFont="1" applyBorder="1" applyAlignment="1"/>
    <xf numFmtId="0" fontId="0" fillId="0" borderId="2" xfId="0" applyNumberFormat="1" applyBorder="1" applyAlignment="1">
      <alignment horizontal="center" vertical="center"/>
    </xf>
    <xf numFmtId="0" fontId="0" fillId="0" borderId="0" xfId="0" applyNumberFormat="1" applyAlignment="1"/>
    <xf numFmtId="0" fontId="5" fillId="0" borderId="0" xfId="0" applyNumberFormat="1" applyFont="1"/>
    <xf numFmtId="0" fontId="9" fillId="0" borderId="0" xfId="0" applyNumberFormat="1" applyFont="1" applyBorder="1" applyAlignment="1">
      <alignment horizontal="center" vertical="center" wrapText="1"/>
    </xf>
    <xf numFmtId="0" fontId="9" fillId="0" borderId="0" xfId="0" applyNumberFormat="1" applyFont="1" applyFill="1" applyBorder="1"/>
    <xf numFmtId="0" fontId="0" fillId="0" borderId="0" xfId="0" applyNumberFormat="1" applyBorder="1"/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13" fillId="0" borderId="5" xfId="0" applyNumberFormat="1" applyFont="1" applyFill="1" applyBorder="1" applyAlignment="1">
      <alignment horizontal="center" vertical="center" wrapText="1"/>
    </xf>
    <xf numFmtId="0" fontId="0" fillId="0" borderId="5" xfId="0" applyNumberFormat="1" applyFill="1" applyBorder="1" applyAlignment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4">
    <cellStyle name="Normal" xfId="0" builtinId="0"/>
    <cellStyle name="Normal 2" xfId="3"/>
    <cellStyle name="Normal_XINGS" xfId="1"/>
    <cellStyle name="Percent" xfId="2" builtinId="5"/>
  </cellStyles>
  <dxfs count="11"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85725</xdr:rowOff>
        </xdr:from>
        <xdr:to>
          <xdr:col>0</xdr:col>
          <xdr:colOff>1552575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12</xdr:row>
          <xdr:rowOff>142875</xdr:rowOff>
        </xdr:from>
        <xdr:to>
          <xdr:col>0</xdr:col>
          <xdr:colOff>1543050</xdr:colOff>
          <xdr:row>15</xdr:row>
          <xdr:rowOff>95250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tu\Documents\GitHub\eaglep3\Utilities\Daily%20Observations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iver"/>
      <sheetName val="List Values"/>
      <sheetName val="Constants"/>
    </sheetNames>
    <sheetDataSet>
      <sheetData sheetId="0"/>
      <sheetData sheetId="1"/>
      <sheetData sheetId="2">
        <row r="4">
          <cell r="B4" t="str">
            <v>d6333d4a04012a730768444271f8ca06482dae87</v>
          </cell>
        </row>
        <row r="5">
          <cell r="B5" t="str">
            <v>https://secure.xorail.net/redmine/issues.json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M237"/>
  <sheetViews>
    <sheetView tabSelected="1" zoomScaleNormal="100" workbookViewId="0"/>
  </sheetViews>
  <sheetFormatPr defaultRowHeight="15" x14ac:dyDescent="0.25"/>
  <cols>
    <col min="1" max="1" width="8" style="39" customWidth="1"/>
    <col min="2" max="2" width="6.140625" style="41" customWidth="1"/>
    <col min="3" max="3" width="13.5703125" style="28" hidden="1" customWidth="1"/>
    <col min="4" max="4" width="16.140625" style="28" hidden="1" customWidth="1"/>
    <col min="5" max="5" width="19.5703125" style="38" hidden="1" customWidth="1"/>
    <col min="6" max="6" width="18.28515625" style="38" customWidth="1"/>
    <col min="7" max="7" width="4.85546875" style="41" hidden="1" customWidth="1"/>
    <col min="8" max="8" width="22.140625" style="38" hidden="1" customWidth="1"/>
    <col min="9" max="9" width="18.5703125" style="38" customWidth="1"/>
    <col min="10" max="10" width="7.28515625" style="41" customWidth="1"/>
    <col min="11" max="11" width="10.42578125" style="28" customWidth="1"/>
    <col min="12" max="12" width="11.7109375" style="28" customWidth="1"/>
    <col min="13" max="13" width="9.5703125" style="40" customWidth="1"/>
    <col min="14" max="14" width="4.85546875" style="41" customWidth="1"/>
    <col min="15" max="15" width="3.85546875" style="2" customWidth="1"/>
    <col min="16" max="16" width="3.42578125" style="2" customWidth="1"/>
    <col min="17" max="17" width="3.7109375" hidden="1" customWidth="1"/>
    <col min="18" max="18" width="30.5703125" customWidth="1"/>
    <col min="19" max="19" width="6" style="21" customWidth="1"/>
    <col min="20" max="20" width="3.85546875" customWidth="1"/>
    <col min="21" max="21" width="5" style="165" customWidth="1"/>
    <col min="22" max="22" width="5.7109375" style="96" customWidth="1"/>
    <col min="23" max="23" width="3.85546875" style="20" customWidth="1"/>
    <col min="24" max="24" width="6.5703125" style="175" customWidth="1"/>
    <col min="25" max="25" width="11.5703125" style="65" bestFit="1" customWidth="1"/>
    <col min="26" max="26" width="7.28515625" style="65" customWidth="1"/>
    <col min="27" max="27" width="9.140625" style="65"/>
    <col min="28" max="28" width="10.7109375" style="62" hidden="1" customWidth="1"/>
    <col min="29" max="29" width="9.42578125" style="56" hidden="1" customWidth="1"/>
    <col min="30" max="30" width="7.85546875" style="57" customWidth="1"/>
    <col min="31" max="31" width="4.5703125" style="89" customWidth="1"/>
    <col min="32" max="32" width="6.28515625" style="86" customWidth="1"/>
    <col min="33" max="33" width="5.42578125" customWidth="1"/>
    <col min="34" max="34" width="5" style="92" customWidth="1"/>
    <col min="35" max="35" width="5.7109375" style="111" customWidth="1"/>
    <col min="36" max="36" width="9.85546875" customWidth="1"/>
    <col min="37" max="37" width="7.7109375" customWidth="1"/>
    <col min="38" max="38" width="7.85546875" customWidth="1"/>
  </cols>
  <sheetData>
    <row r="1" spans="1:91" s="21" customFormat="1" ht="15.75" thickBot="1" x14ac:dyDescent="0.3">
      <c r="A1" s="39"/>
      <c r="B1" s="41"/>
      <c r="C1" s="28"/>
      <c r="D1" s="28"/>
      <c r="E1" s="38"/>
      <c r="F1" s="38"/>
      <c r="G1" s="41"/>
      <c r="H1" s="38"/>
      <c r="I1" s="38" t="s">
        <v>105</v>
      </c>
      <c r="J1" s="41"/>
      <c r="K1" s="28"/>
      <c r="L1" s="28"/>
      <c r="M1" s="40"/>
      <c r="N1" s="41"/>
      <c r="O1" s="2"/>
      <c r="P1" s="2"/>
      <c r="R1" s="38" t="s">
        <v>106</v>
      </c>
      <c r="S1" s="41"/>
      <c r="T1" s="28"/>
      <c r="U1" s="166"/>
      <c r="V1" s="40"/>
      <c r="W1" s="41"/>
      <c r="X1" s="165"/>
      <c r="Y1" s="65"/>
      <c r="Z1" s="65"/>
      <c r="AA1" s="65"/>
      <c r="AB1" s="62"/>
      <c r="AC1" s="56"/>
      <c r="AD1" s="57"/>
      <c r="AE1" s="1"/>
      <c r="AF1" s="1"/>
      <c r="AG1" s="1"/>
      <c r="AH1" s="53"/>
      <c r="AI1" s="1"/>
    </row>
    <row r="2" spans="1:91" s="21" customFormat="1" ht="15.75" thickBot="1" x14ac:dyDescent="0.3">
      <c r="A2" s="39"/>
      <c r="B2" s="41"/>
      <c r="C2" s="28"/>
      <c r="D2" s="28"/>
      <c r="E2" s="38"/>
      <c r="F2" s="38"/>
      <c r="G2" s="41"/>
      <c r="H2" s="38"/>
      <c r="I2" s="71">
        <f>Variables!$A$2</f>
        <v>42714</v>
      </c>
      <c r="J2" s="72"/>
      <c r="K2" s="73"/>
      <c r="L2" s="73"/>
      <c r="M2" s="74" t="s">
        <v>8</v>
      </c>
      <c r="N2" s="75"/>
      <c r="O2" s="76"/>
      <c r="P2" s="2"/>
      <c r="R2" s="71">
        <f>Variables!$A$2</f>
        <v>42714</v>
      </c>
      <c r="S2" s="72"/>
      <c r="T2" s="73"/>
      <c r="U2" s="167"/>
      <c r="V2" s="94" t="s">
        <v>8</v>
      </c>
      <c r="W2" s="75"/>
      <c r="X2" s="172"/>
      <c r="Y2" s="65"/>
      <c r="Z2" s="65"/>
      <c r="AA2" s="65"/>
      <c r="AB2" s="62"/>
      <c r="AC2" s="56"/>
      <c r="AD2" s="57"/>
      <c r="AE2" s="1"/>
      <c r="AF2" s="1"/>
      <c r="AG2" s="1"/>
      <c r="AH2" s="53"/>
      <c r="AI2" s="1"/>
    </row>
    <row r="3" spans="1:91" s="21" customFormat="1" ht="15.75" thickBot="1" x14ac:dyDescent="0.3">
      <c r="A3" s="39"/>
      <c r="B3" s="41"/>
      <c r="C3" s="28"/>
      <c r="D3" s="28"/>
      <c r="E3" s="38"/>
      <c r="F3" s="38"/>
      <c r="G3" s="41"/>
      <c r="H3" s="38"/>
      <c r="I3" s="77" t="s">
        <v>10</v>
      </c>
      <c r="J3" s="78"/>
      <c r="K3" s="79"/>
      <c r="L3" s="79"/>
      <c r="M3" s="42" t="s">
        <v>11</v>
      </c>
      <c r="N3" s="43" t="s">
        <v>12</v>
      </c>
      <c r="O3" s="3" t="s">
        <v>13</v>
      </c>
      <c r="P3" s="2"/>
      <c r="R3" s="77" t="s">
        <v>10</v>
      </c>
      <c r="S3" s="78"/>
      <c r="T3" s="79"/>
      <c r="U3" s="168"/>
      <c r="V3" s="42" t="s">
        <v>11</v>
      </c>
      <c r="W3" s="43" t="s">
        <v>12</v>
      </c>
      <c r="X3" s="173" t="s">
        <v>13</v>
      </c>
      <c r="Y3" s="65"/>
      <c r="Z3" s="65"/>
      <c r="AA3" s="65"/>
      <c r="AB3" s="62"/>
      <c r="AC3" s="56"/>
      <c r="AD3" s="57"/>
      <c r="AE3" s="1"/>
      <c r="AF3" s="1"/>
      <c r="AG3" s="1"/>
      <c r="AH3" s="53"/>
      <c r="AI3" s="1"/>
    </row>
    <row r="4" spans="1:91" s="21" customFormat="1" ht="15.75" thickBot="1" x14ac:dyDescent="0.3">
      <c r="A4" s="39"/>
      <c r="B4" s="41"/>
      <c r="C4" s="28"/>
      <c r="D4" s="28"/>
      <c r="E4" s="38"/>
      <c r="F4" s="38"/>
      <c r="G4" s="41"/>
      <c r="H4" s="38"/>
      <c r="I4" s="80" t="s">
        <v>14</v>
      </c>
      <c r="J4" s="55">
        <f>SUM(J5:J7)</f>
        <v>146</v>
      </c>
      <c r="K4" s="44"/>
      <c r="L4" s="44"/>
      <c r="M4" s="45" t="s">
        <v>15</v>
      </c>
      <c r="N4" s="43" t="s">
        <v>15</v>
      </c>
      <c r="O4" s="3" t="s">
        <v>15</v>
      </c>
      <c r="P4" s="2"/>
      <c r="R4" s="80" t="s">
        <v>14</v>
      </c>
      <c r="S4" s="55">
        <f>SUM(S5:S7)</f>
        <v>34</v>
      </c>
      <c r="T4" s="44"/>
      <c r="U4" s="169"/>
      <c r="V4" s="45" t="s">
        <v>15</v>
      </c>
      <c r="W4" s="43" t="s">
        <v>15</v>
      </c>
      <c r="X4" s="173" t="s">
        <v>15</v>
      </c>
      <c r="Y4" s="65"/>
      <c r="Z4" s="65"/>
      <c r="AA4" s="65"/>
      <c r="AB4" s="62"/>
      <c r="AC4" s="56"/>
      <c r="AD4" s="57"/>
      <c r="AE4" s="1"/>
      <c r="AF4" s="1"/>
      <c r="AG4" s="1"/>
      <c r="AH4" s="53"/>
      <c r="AI4" s="1"/>
    </row>
    <row r="5" spans="1:91" s="21" customFormat="1" ht="15.75" thickBot="1" x14ac:dyDescent="0.3">
      <c r="A5" s="39"/>
      <c r="B5" s="41"/>
      <c r="C5" s="28"/>
      <c r="D5" s="28"/>
      <c r="E5" s="38"/>
      <c r="F5" s="38"/>
      <c r="G5" s="41"/>
      <c r="H5" s="38"/>
      <c r="I5" s="80" t="s">
        <v>17</v>
      </c>
      <c r="J5" s="55">
        <f>COUNTIFS($N$13:$N$9361,"&gt;0",$AG$13:$AG$9361,I1)</f>
        <v>140</v>
      </c>
      <c r="K5" s="44"/>
      <c r="L5" s="44"/>
      <c r="M5" s="45">
        <f>AVERAGEIFS($N$13:$N$9361,$AG$13:$AG$9361,I1)</f>
        <v>38.503095238136929</v>
      </c>
      <c r="N5" s="43">
        <f t="array" ref="N5">MIN(IF($AG$13:$AG$9361=I1,IF(ISNUMBER($N$13:$N$9361),IF($N$13:$N$9361&gt;0,$N$13:$N$9361))))</f>
        <v>34.016666666138917</v>
      </c>
      <c r="O5" s="3">
        <f t="array" ref="O5">MAX(IF($AG$13:$AG$9361=I1,IF(ISNUMBER($N$13:$N$9361),IF($N$13:$N$9361&gt;0,$N$13:$N$9361))))</f>
        <v>45.516666661715135</v>
      </c>
      <c r="P5" s="2"/>
      <c r="R5" s="80" t="s">
        <v>17</v>
      </c>
      <c r="S5" s="55">
        <f>COUNTIFS($N$13:$N$9361,"&gt;0",$AG$13:$AG$9361,R1)</f>
        <v>34</v>
      </c>
      <c r="T5" s="44"/>
      <c r="U5" s="169"/>
      <c r="V5" s="45">
        <f>AVERAGEIFS($N$13:$N$9361,$AG$13:$AG$9361,R1)</f>
        <v>14.467647058156539</v>
      </c>
      <c r="W5" s="43">
        <f t="array" ref="W5">MIN(IF($AG$13:$AG$9361=R1,IF(ISNUMBER($N$13:$N$9361),IF($N$13:$N$9361&gt;0,$N$13:$N$9361))))</f>
        <v>12.21666666213423</v>
      </c>
      <c r="X5" s="173">
        <f t="array" ref="X5">MAX(IF($AG$13:$AG$9361=R1,IF(ISNUMBER($N$13:$N$9361),IF($N$13:$N$9361&gt;0,$N$13:$N$9361))))</f>
        <v>17.916666663950309</v>
      </c>
      <c r="Y5" s="65"/>
      <c r="Z5" s="65"/>
      <c r="AA5" s="65"/>
      <c r="AB5" s="62"/>
      <c r="AC5" s="56"/>
      <c r="AD5" s="57"/>
      <c r="AE5" s="1"/>
      <c r="AF5" s="1"/>
      <c r="AG5" s="1"/>
      <c r="AH5" s="53"/>
      <c r="AI5" s="1"/>
    </row>
    <row r="6" spans="1:91" s="21" customFormat="1" ht="15.75" thickBot="1" x14ac:dyDescent="0.3">
      <c r="A6" s="39"/>
      <c r="B6" s="41"/>
      <c r="C6" s="28"/>
      <c r="D6" s="28"/>
      <c r="E6" s="38"/>
      <c r="F6" s="38"/>
      <c r="G6" s="41"/>
      <c r="H6" s="38"/>
      <c r="I6" s="81" t="s">
        <v>43</v>
      </c>
      <c r="J6" s="55">
        <f>COUNT($O$13:$O$149)</f>
        <v>0</v>
      </c>
      <c r="K6" s="44"/>
      <c r="L6" s="44"/>
      <c r="M6" s="45">
        <f>IFERROR(AVERAGE($O$13:$O$149),0)</f>
        <v>0</v>
      </c>
      <c r="N6" s="43">
        <f>MIN($O$13:$O$149)</f>
        <v>0</v>
      </c>
      <c r="O6" s="3">
        <f>MAX($O$13:$O$149)</f>
        <v>0</v>
      </c>
      <c r="P6" s="2"/>
      <c r="R6" s="81" t="s">
        <v>43</v>
      </c>
      <c r="S6" s="55">
        <f>COUNT($O$13:$O$149)</f>
        <v>0</v>
      </c>
      <c r="T6" s="44"/>
      <c r="U6" s="169"/>
      <c r="V6" s="45">
        <f>IFERROR(AVERAGE($O$13:$O$149),0)</f>
        <v>0</v>
      </c>
      <c r="W6" s="43">
        <f>MIN($O$13:$O$149)</f>
        <v>0</v>
      </c>
      <c r="X6" s="173">
        <f>MAX($O$13:$O$149)</f>
        <v>0</v>
      </c>
      <c r="Y6" s="65"/>
      <c r="Z6" s="65"/>
      <c r="AA6" s="65"/>
      <c r="AB6" s="62"/>
      <c r="AC6" s="56"/>
      <c r="AD6" s="57"/>
      <c r="AE6" s="1"/>
      <c r="AF6" s="1"/>
      <c r="AG6" s="1"/>
      <c r="AH6" s="53"/>
      <c r="AI6" s="1"/>
    </row>
    <row r="7" spans="1:91" s="21" customFormat="1" ht="15.75" thickBot="1" x14ac:dyDescent="0.3">
      <c r="A7" s="39"/>
      <c r="B7" s="41"/>
      <c r="C7" s="28"/>
      <c r="D7" s="28"/>
      <c r="E7" s="38"/>
      <c r="F7" s="38"/>
      <c r="G7" s="41"/>
      <c r="H7" s="38"/>
      <c r="I7" s="82" t="s">
        <v>9</v>
      </c>
      <c r="J7" s="55">
        <f>COUNTIFS($P$13:$P$9361,"&gt;0",$AG$13:$AG$9361,I1)</f>
        <v>6</v>
      </c>
      <c r="K7" s="44"/>
      <c r="L7" s="44"/>
      <c r="M7" s="43" t="s">
        <v>15</v>
      </c>
      <c r="N7" s="43" t="s">
        <v>15</v>
      </c>
      <c r="O7" s="3" t="s">
        <v>15</v>
      </c>
      <c r="P7" s="2"/>
      <c r="R7" s="82" t="s">
        <v>9</v>
      </c>
      <c r="S7" s="55">
        <f>COUNTIFS($P$13:$P$9361,"&gt;0",$AG$13:$AG$9361,R1)</f>
        <v>0</v>
      </c>
      <c r="T7" s="44"/>
      <c r="U7" s="169"/>
      <c r="V7" s="45" t="s">
        <v>15</v>
      </c>
      <c r="W7" s="43" t="s">
        <v>15</v>
      </c>
      <c r="X7" s="173" t="s">
        <v>15</v>
      </c>
      <c r="Y7" s="65"/>
      <c r="Z7" s="65"/>
      <c r="AA7" s="65"/>
      <c r="AB7" s="62"/>
      <c r="AC7" s="56"/>
      <c r="AD7" s="57"/>
      <c r="AE7" s="1"/>
      <c r="AF7" s="1"/>
      <c r="AG7" s="1"/>
      <c r="AH7" s="53"/>
      <c r="AI7" s="1"/>
    </row>
    <row r="8" spans="1:91" s="21" customFormat="1" ht="15.75" thickBot="1" x14ac:dyDescent="0.3">
      <c r="A8" s="39"/>
      <c r="B8" s="41"/>
      <c r="C8" s="28"/>
      <c r="D8" s="28"/>
      <c r="E8" s="38"/>
      <c r="F8" s="38"/>
      <c r="G8" s="41"/>
      <c r="H8" s="38"/>
      <c r="I8" s="80" t="s">
        <v>16</v>
      </c>
      <c r="J8" s="55">
        <f>J5</f>
        <v>140</v>
      </c>
      <c r="K8" s="44"/>
      <c r="L8" s="44"/>
      <c r="M8" s="45">
        <f>M5</f>
        <v>38.503095238136929</v>
      </c>
      <c r="N8" s="43">
        <f>N5</f>
        <v>34.016666666138917</v>
      </c>
      <c r="O8" s="3">
        <f>O5</f>
        <v>45.516666661715135</v>
      </c>
      <c r="P8" s="2"/>
      <c r="R8" s="80" t="s">
        <v>16</v>
      </c>
      <c r="S8" s="55">
        <f>S5</f>
        <v>34</v>
      </c>
      <c r="T8" s="44"/>
      <c r="U8" s="169"/>
      <c r="V8" s="45">
        <f>V5</f>
        <v>14.467647058156539</v>
      </c>
      <c r="W8" s="43">
        <f>W5</f>
        <v>12.21666666213423</v>
      </c>
      <c r="X8" s="173">
        <f>X5</f>
        <v>17.916666663950309</v>
      </c>
      <c r="Y8" s="65"/>
      <c r="Z8" s="65"/>
      <c r="AA8" s="65"/>
      <c r="AB8" s="62"/>
      <c r="AC8" s="56"/>
      <c r="AD8" s="57"/>
      <c r="AE8" s="1"/>
      <c r="AF8" s="1"/>
      <c r="AG8" s="1"/>
      <c r="AH8" s="53"/>
      <c r="AI8" s="1"/>
    </row>
    <row r="9" spans="1:91" s="21" customFormat="1" ht="15.75" thickBot="1" x14ac:dyDescent="0.3">
      <c r="A9" s="39"/>
      <c r="B9" s="41"/>
      <c r="C9" s="28"/>
      <c r="D9" s="28"/>
      <c r="E9" s="38"/>
      <c r="F9" s="38"/>
      <c r="G9" s="41"/>
      <c r="H9" s="38"/>
      <c r="I9" s="80" t="s">
        <v>19</v>
      </c>
      <c r="J9" s="146">
        <f>J8/J4</f>
        <v>0.95890410958904104</v>
      </c>
      <c r="K9" s="46"/>
      <c r="L9" s="46"/>
      <c r="M9" s="83"/>
      <c r="N9" s="41"/>
      <c r="O9" s="84"/>
      <c r="P9" s="2"/>
      <c r="R9" s="80" t="s">
        <v>19</v>
      </c>
      <c r="S9" s="146">
        <f>S8/S4</f>
        <v>1</v>
      </c>
      <c r="T9" s="46"/>
      <c r="U9" s="166"/>
      <c r="V9" s="83"/>
      <c r="W9" s="41"/>
      <c r="X9" s="174"/>
      <c r="Y9" s="65"/>
      <c r="Z9" s="65"/>
      <c r="AA9" s="65"/>
      <c r="AB9" s="62"/>
      <c r="AC9" s="56"/>
      <c r="AD9" s="57"/>
      <c r="AE9" s="1"/>
      <c r="AF9" s="1"/>
      <c r="AG9" s="1"/>
      <c r="AH9" s="53"/>
      <c r="AI9" s="1"/>
    </row>
    <row r="10" spans="1:91" s="21" customFormat="1" x14ac:dyDescent="0.25">
      <c r="A10" s="39"/>
      <c r="B10" s="41"/>
      <c r="C10" s="28"/>
      <c r="D10" s="28"/>
      <c r="E10" s="38"/>
      <c r="F10" s="38"/>
      <c r="G10" s="41"/>
      <c r="H10" s="38"/>
      <c r="I10" s="38"/>
      <c r="J10" s="41"/>
      <c r="K10" s="28"/>
      <c r="L10" s="28"/>
      <c r="M10" s="40"/>
      <c r="N10" s="41"/>
      <c r="O10" s="2"/>
      <c r="P10" s="2"/>
      <c r="U10" s="165"/>
      <c r="V10" s="95"/>
      <c r="W10" s="20"/>
      <c r="X10" s="175"/>
      <c r="Y10" s="65"/>
      <c r="Z10" s="65"/>
      <c r="AA10" s="65"/>
      <c r="AB10" s="62"/>
      <c r="AC10" s="56"/>
      <c r="AD10" s="57"/>
      <c r="AE10" s="1"/>
      <c r="AF10" s="1"/>
      <c r="AG10" s="1"/>
      <c r="AH10" s="53"/>
      <c r="AI10" s="1"/>
    </row>
    <row r="11" spans="1:91" ht="16.5" thickBot="1" x14ac:dyDescent="0.3">
      <c r="A11" s="183" t="str">
        <f>"Eagle P3 System Performance - "&amp;TEXT(Variables!A2,"yyyy-mm-dd")</f>
        <v>Eagle P3 System Performance - 2016-12-10</v>
      </c>
      <c r="B11" s="183"/>
      <c r="C11" s="183"/>
      <c r="D11" s="183"/>
      <c r="E11" s="183"/>
      <c r="F11" s="183"/>
      <c r="G11" s="183"/>
      <c r="H11" s="183"/>
      <c r="I11" s="183"/>
      <c r="J11" s="183"/>
      <c r="K11" s="183"/>
      <c r="L11" s="183"/>
      <c r="M11" s="183"/>
      <c r="N11" s="183"/>
      <c r="O11" s="183"/>
      <c r="P11" s="183"/>
      <c r="S11" s="69">
        <f>AVERAGE(S13:S102)</f>
        <v>0.99812734082397014</v>
      </c>
      <c r="V11" s="95"/>
      <c r="AE11" s="1"/>
      <c r="AF11" s="1"/>
      <c r="AG11" s="1"/>
      <c r="AH11" s="53"/>
      <c r="AI11" s="1"/>
    </row>
    <row r="12" spans="1:91" s="5" customFormat="1" ht="69" customHeight="1" thickBot="1" x14ac:dyDescent="0.3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85" t="s">
        <v>54</v>
      </c>
      <c r="L12" s="15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9" t="s">
        <v>24</v>
      </c>
      <c r="S12" s="19" t="s">
        <v>63</v>
      </c>
      <c r="T12" s="54" t="s">
        <v>64</v>
      </c>
      <c r="U12" s="170" t="s">
        <v>65</v>
      </c>
      <c r="V12" s="97" t="s">
        <v>45</v>
      </c>
      <c r="W12" s="51" t="s">
        <v>23</v>
      </c>
      <c r="X12" s="176" t="s">
        <v>48</v>
      </c>
      <c r="Y12" s="66" t="s">
        <v>20</v>
      </c>
      <c r="Z12" s="66" t="s">
        <v>21</v>
      </c>
      <c r="AA12" s="66" t="s">
        <v>22</v>
      </c>
      <c r="AB12" s="63" t="s">
        <v>39</v>
      </c>
      <c r="AC12" s="59" t="s">
        <v>40</v>
      </c>
      <c r="AD12" s="58" t="s">
        <v>82</v>
      </c>
      <c r="AE12" s="90" t="s">
        <v>89</v>
      </c>
      <c r="AF12" s="87" t="s">
        <v>94</v>
      </c>
      <c r="AG12" s="4" t="s">
        <v>107</v>
      </c>
      <c r="AH12" s="93" t="s">
        <v>109</v>
      </c>
      <c r="AI12" s="118" t="s">
        <v>148</v>
      </c>
      <c r="AJ12" s="51" t="s">
        <v>149</v>
      </c>
      <c r="AK12" s="51" t="s">
        <v>122</v>
      </c>
      <c r="AL12" s="51" t="s">
        <v>150</v>
      </c>
      <c r="AM12" s="4"/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7" t="s">
        <v>406</v>
      </c>
      <c r="B13" s="7">
        <v>4020</v>
      </c>
      <c r="C13" s="22" t="s">
        <v>207</v>
      </c>
      <c r="D13" s="22" t="s">
        <v>636</v>
      </c>
      <c r="E13" s="13">
        <v>42714.130902777775</v>
      </c>
      <c r="F13" s="13">
        <v>42714.135706018518</v>
      </c>
      <c r="G13" s="7">
        <v>2</v>
      </c>
      <c r="H13" s="22" t="s">
        <v>298</v>
      </c>
      <c r="I13" s="13">
        <v>42714.160763888889</v>
      </c>
      <c r="J13" s="7">
        <v>1</v>
      </c>
      <c r="K13" s="109" t="str">
        <f t="shared" ref="K13:K77" si="0">IF(ISEVEN(B13),(B13-1)&amp;"/"&amp;B13,B13&amp;"/"&amp;(B13+1))</f>
        <v>4019/4020</v>
      </c>
      <c r="L13" s="22" t="str">
        <f>VLOOKUP(A13,'Trips&amp;Operators'!$C$1:$G$99999,5,FALSE)</f>
        <v>MAELZER KURT</v>
      </c>
      <c r="M13" s="6">
        <f t="shared" ref="M13:M77" si="1">I13-F13</f>
        <v>2.5057870370801538E-2</v>
      </c>
      <c r="N13" s="7">
        <f t="shared" ref="N13:P26" si="2">24*60*SUM($M13:$M13)</f>
        <v>36.083333333954215</v>
      </c>
      <c r="O13" s="7"/>
      <c r="P13" s="7"/>
      <c r="Q13" s="23"/>
      <c r="R13" s="23"/>
      <c r="S13" s="35">
        <f t="shared" ref="S13:S26" si="3">SUM(U13:U13)/IF(AG13="EC",12,1)</f>
        <v>1</v>
      </c>
      <c r="T13" s="50" t="str">
        <f t="shared" ref="T13:T77" si="4">IF(ISEVEN(LEFT(AD13,4)),"Southbound","NorthBound")</f>
        <v>NorthBound</v>
      </c>
      <c r="U13" s="171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98" t="str">
        <f t="shared" ref="V13:V77" si="5">"https://search-rtdc-monitor-bjffxe2xuh6vdkpspy63sjmuny.us-east-1.es.amazonaws.com/_plugin/kibana/#/discover/Steve-Slow-Train-Analysis-(2080s-and-2083s)?_g=(refreshInterval:(display:Off,section:0,value:0),time:(from:'"&amp;TEXT(E13-1/24,"yyyy-MM-DD hh:mm:ss")&amp;utc_offset&amp;"00',mode:absolute,to:'"&amp;TEXT(I13+1/24,"yyyy-MM-DD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201053%20OR%202087)%20AND%20%22rtdc.l.rtdc."&amp;B13&amp;"%22')),sort:!(Time,asc))"</f>
        <v>https://search-rtdc-monitor-bjffxe2xuh6vdkpspy63sjmuny.us-east-1.es.amazonaws.com/_plugin/kibana/#/discover/Steve-Slow-Train-Analysis-(2080s-and-2083s)?_g=(refreshInterval:(display:Off,section:0,value:0),time:(from:'2016-12-10 02:08:30-700',mode:absolute,to:'2016-12-10 04:51:30-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201053%20OR%202087)%20AND%20%22rtdc.l.rtdc.4020%22')),sort:!(Time,asc))</v>
      </c>
      <c r="W13" s="52" t="str">
        <f t="shared" ref="W13:W45" si="6">IF(AA13&lt;IF(AG13="EC",23,5.65),"Y","N")</f>
        <v>N</v>
      </c>
      <c r="X13" s="177" t="e">
        <f t="shared" ref="X13:X45" si="7">VALUE(LEFT(AD13,4))-VALUE(LEFT(AD12,4))</f>
        <v>#VALUE!</v>
      </c>
      <c r="Y13" s="67">
        <f t="shared" ref="Y13:Y28" si="8">RIGHT(D13,LEN(D13)-4)/10000</f>
        <v>7.5200000000000003E-2</v>
      </c>
      <c r="Z13" s="67">
        <f t="shared" ref="Z13:Z26" si="9">RIGHT(H13,LEN(H13)-4)/10000</f>
        <v>23.332100000000001</v>
      </c>
      <c r="AA13" s="67">
        <f t="shared" ref="AA13:AA77" si="10">ABS(Z13-Y13)</f>
        <v>23.256900000000002</v>
      </c>
      <c r="AB13" s="64" t="str">
        <f>VLOOKUP(A13,Enforcements!$C$7:$K$20,8,0)</f>
        <v>Speed (6)</v>
      </c>
      <c r="AC13" s="60" t="str">
        <f>VLOOKUP(A13,Enforcements!$C$7:$E$20,3,0)</f>
        <v>PERMANENT SPEED RESTRICTION</v>
      </c>
      <c r="AD13" s="61" t="str">
        <f t="shared" ref="AD13:AD77" si="11">IF(LEN(A13)=6,"0"&amp;A13,A13)</f>
        <v>0101-10</v>
      </c>
      <c r="AE13" s="91" t="str">
        <f t="shared" ref="AE13:AE77" si="12"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s3://rtdc.mdm.uploadarchive.raw/RTDC4020/ "%USERPROFILE%\AppData\Local\Temp\OnboardLogs"\RTDC4020\2016-12-10 --exclude "*" --recursive --include "*20161210*" &amp; "%USERPROFILE%\Documents\GitHub\mrs-test-scripts\Headless Mode &amp; Sideloading\WalkAndUnGZ.bat" "%USERPROFILE%\AppData\Local\Temp\OnboardLogs"\RTDC4020\2016-12-10 &amp; aws s3 cp s3://rtdc.mdm.uploadarchive.raw/RTDC4020/ "%USERPROFILE%\AppData\Local\Temp\OnboardLogs"\RTDC4020\2016-12-11 --exclude "*" --recursive --include "*20161211*" &amp; "%USERPROFILE%\Documents\GitHub\mrs-test-scripts\Headless Mode &amp; Sideloading\WalkAndUnGZ.bat" "%USERPROFILE%\AppData\Local\Temp\OnboardLogs"\RTDC4020\2016-12-11</v>
      </c>
      <c r="AF13" s="88" t="str">
        <f t="shared" ref="AF13:AF77" si="13">astrogrep_path&amp;" /spath="&amp;search_path&amp;" /stypes=""app*"&amp;B13&amp;"*"&amp;TEXT(I13-utc_offset/24,"YYYYMMDD")&amp;"*"" /stext="" "&amp;TEXT(I13-utc_offset/24,"HH")&amp;search_regexp&amp;""" /e /r /s"</f>
        <v>"C:\Program Files (x86)\AstroGrep\AstroGrep.exe" /spath="%USERPROFILE%\AppData\Local\Temp\OnboardLogs" /stypes="app*4020*20161210*" /stext=" 10:.+((SYSTEM_STATE.+slice.+state.+changed )|(ment ac)|(multiple cpu faults)|(system.+state.+changed )|(\[timeout)|(PRM\|1\|D)|(kpr)|(kdp)|(\|lc)|(penalty))" /e /r /s</v>
      </c>
      <c r="AG13" s="1" t="str">
        <f t="shared" ref="AG13:AG77" si="14">IFERROR(IF(VALUE(LEFT(AD13,2))&lt;=2,"EC",IF(OR(VALUE(LEFT(AD13,2))=8,VALUE(LEFT(AD13,2))=18),"NW","Other")),"Other")</f>
        <v>EC</v>
      </c>
      <c r="AH13" s="92" t="str">
        <f t="shared" ref="AH13" si="15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101-10 --locoid 4020 --swversion DE.1.0.8.0 --startMP 204:752 --initTime 2016-12-10T03:08:30 --startdatetime 2016-12-10T03:15:25 --delay 2 --endMP 204:233321 --enddatetime 2016-12-10T03:51:30 --enforcementcount 1 &gt;&gt;C:\Users\stu\Documents\GitHub\eaglep3-reporting\EC\2016-12-10-refined-times.txt</v>
      </c>
      <c r="AI13" s="119" t="str">
        <f t="shared" ref="AI13" si="16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{"issue":{"subject":"","project_id":79,"tracker_id":40,"status_id":1,"priority_id":2,"assigned_to_id":23,"start_date":"2016-12-10","description":"","custom_fields":[{"id":1,"name":"Subdivision","value":"EC"},{"id":4,"name":"Milepost","value":"23.3321"},{"id":17,"name":"Train ID","value":"101-10"},{"id":16,"name":"Locomotive ID","value":"4020"},{"id":130,"name":"Impact","value":""},{"id":150,"name":"Time of Event (Mountain Time)","value":"03:51:30"},{"id":151,"name":"Denver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" s="53"/>
      <c r="AK13" s="53"/>
      <c r="AL13" s="5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</row>
    <row r="14" spans="1:91" s="1" customFormat="1" x14ac:dyDescent="0.25">
      <c r="A14" s="37" t="s">
        <v>456</v>
      </c>
      <c r="B14" s="7">
        <v>4004</v>
      </c>
      <c r="C14" s="22" t="s">
        <v>207</v>
      </c>
      <c r="D14" s="22" t="s">
        <v>637</v>
      </c>
      <c r="E14" s="13">
        <v>42714.168136574073</v>
      </c>
      <c r="F14" s="13">
        <v>42714.174641203703</v>
      </c>
      <c r="G14" s="7">
        <v>2</v>
      </c>
      <c r="H14" s="22" t="s">
        <v>228</v>
      </c>
      <c r="I14" s="13">
        <v>42714.201770833337</v>
      </c>
      <c r="J14" s="7">
        <v>1</v>
      </c>
      <c r="K14" s="109" t="str">
        <f t="shared" si="0"/>
        <v>4003/4004</v>
      </c>
      <c r="L14" s="22" t="str">
        <f>VLOOKUP(A14,'Trips&amp;Operators'!$C$1:$G$99999,5,FALSE)</f>
        <v>MAELZER KURT</v>
      </c>
      <c r="M14" s="6">
        <f t="shared" si="1"/>
        <v>2.7129629634146113E-2</v>
      </c>
      <c r="N14" s="7">
        <f t="shared" si="2"/>
        <v>39.066666673170403</v>
      </c>
      <c r="O14" s="7"/>
      <c r="P14" s="7"/>
      <c r="Q14" s="23"/>
      <c r="R14" s="23"/>
      <c r="S14" s="35">
        <f t="shared" si="3"/>
        <v>1</v>
      </c>
      <c r="T14" s="50" t="str">
        <f t="shared" si="4"/>
        <v>Southbound</v>
      </c>
      <c r="U14" s="171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https://search-rtdc-monitor-bjffxe2xuh6vdkpspy63sjmuny.us-east-1.es.amazonaws.com/_plugin/kibana/#/discover/Steve-Slow-Train-Analysis-(2080s-and-2083s)?_g=(refreshInterval:(display:Off,section:0,value:0),time:(from:'2016-12-10 03:02:07-700',mode:absolute,to:'2016-12-10 05:50:33-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201053%20OR%202087)%20AND%20%22rtdc.l.rtdc.4004%22')),sort:!(Time,asc))</v>
      </c>
      <c r="W14" s="52" t="str">
        <f t="shared" si="6"/>
        <v>N</v>
      </c>
      <c r="X14" s="177">
        <f t="shared" si="7"/>
        <v>1</v>
      </c>
      <c r="Y14" s="67">
        <f t="shared" si="8"/>
        <v>23.268699999999999</v>
      </c>
      <c r="Z14" s="67">
        <f t="shared" si="9"/>
        <v>1.41E-2</v>
      </c>
      <c r="AA14" s="67">
        <f t="shared" si="10"/>
        <v>23.2546</v>
      </c>
      <c r="AB14" s="64" t="e">
        <f>VLOOKUP(A14,Enforcements!$C$7:$K$20,8,0)</f>
        <v>#N/A</v>
      </c>
      <c r="AC14" s="60" t="e">
        <f>VLOOKUP(A14,Enforcements!$C$7:$E$20,3,0)</f>
        <v>#N/A</v>
      </c>
      <c r="AD14" s="61" t="str">
        <f t="shared" si="11"/>
        <v>0102-10</v>
      </c>
      <c r="AE14" s="91" t="str">
        <f t="shared" si="12"/>
        <v>aws s3 cp s3://rtdc.mdm.uploadarchive.raw/RTDC4004/ "%USERPROFILE%\AppData\Local\Temp\OnboardLogs"\RTDC4004\2016-12-10 --exclude "*" --recursive --include "*20161210*" &amp; "%USERPROFILE%\Documents\GitHub\mrs-test-scripts\Headless Mode &amp; Sideloading\WalkAndUnGZ.bat" "%USERPROFILE%\AppData\Local\Temp\OnboardLogs"\RTDC4004\2016-12-10 &amp; aws s3 cp s3://rtdc.mdm.uploadarchive.raw/RTDC4004/ "%USERPROFILE%\AppData\Local\Temp\OnboardLogs"\RTDC4004\2016-12-11 --exclude "*" --recursive --include "*20161211*" &amp; "%USERPROFILE%\Documents\GitHub\mrs-test-scripts\Headless Mode &amp; Sideloading\WalkAndUnGZ.bat" "%USERPROFILE%\AppData\Local\Temp\OnboardLogs"\RTDC4004\2016-12-11</v>
      </c>
      <c r="AF14" s="88" t="str">
        <f t="shared" si="13"/>
        <v>"C:\Program Files (x86)\AstroGrep\AstroGrep.exe" /spath="%USERPROFILE%\AppData\Local\Temp\OnboardLogs" /stypes="app*4004*20161210*" /stext=" 11:.+((SYSTEM_STATE.+slice.+state.+changed )|(ment ac)|(multiple cpu faults)|(system.+state.+changed )|(\[timeout)|(PRM\|1\|D)|(kpr)|(kdp)|(\|lc)|(penalty))" /e /r /s</v>
      </c>
      <c r="AG14" s="1" t="str">
        <f t="shared" si="14"/>
        <v>EC</v>
      </c>
      <c r="AH14" s="92" t="str">
        <f t="shared" ref="AH14:AH79" si="17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102-10 --locoid 4004 --swversion DE.1.0.8.0 --startMP 204:232687 --initTime 2016-12-10T04:02:07 --startdatetime 2016-12-10T04:11:29 --delay 2 --endMP 204:141 --enddatetime 2016-12-10T04:50:33 --enforcementcount 1 &gt;&gt;C:\Users\stu\Documents\GitHub\eaglep3-reporting\EC\2016-12-10-refined-times.txt</v>
      </c>
      <c r="AI14" s="119" t="str">
        <f t="shared" ref="AI14:AI79" si="18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{"issue":{"subject":"","project_id":79,"tracker_id":40,"status_id":1,"priority_id":2,"assigned_to_id":23,"start_date":"2016-12-10","description":"","custom_fields":[{"id":1,"name":"Subdivision","value":"EC"},{"id":4,"name":"Milepost","value":"0.0141"},{"id":17,"name":"Train ID","value":"102-10"},{"id":16,"name":"Locomotive ID","value":"4004"},{"id":130,"name":"Impact","value":""},{"id":150,"name":"Time of Event (Mountain Time)","value":"04:50:33"},{"id":151,"name":"Denver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" s="53"/>
      <c r="AK14" s="53"/>
      <c r="AL14" s="53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25">
      <c r="A15" s="37" t="s">
        <v>451</v>
      </c>
      <c r="B15" s="7">
        <v>4014</v>
      </c>
      <c r="C15" s="22" t="s">
        <v>207</v>
      </c>
      <c r="D15" s="22" t="s">
        <v>638</v>
      </c>
      <c r="E15" s="13">
        <v>42714.146793981483</v>
      </c>
      <c r="F15" s="13">
        <v>42714.156469907408</v>
      </c>
      <c r="G15" s="7">
        <v>2</v>
      </c>
      <c r="H15" s="22" t="s">
        <v>639</v>
      </c>
      <c r="I15" s="13">
        <v>42714.181134259263</v>
      </c>
      <c r="J15" s="7">
        <v>1</v>
      </c>
      <c r="K15" s="109" t="str">
        <f t="shared" si="0"/>
        <v>4013/4014</v>
      </c>
      <c r="L15" s="22" t="str">
        <f>VLOOKUP(A15,'Trips&amp;Operators'!$C$1:$G$99999,5,FALSE)</f>
        <v>ROBINSON KADDIBA</v>
      </c>
      <c r="M15" s="6">
        <f t="shared" si="1"/>
        <v>2.4664351854880806E-2</v>
      </c>
      <c r="N15" s="7">
        <f t="shared" si="2"/>
        <v>35.516666671028361</v>
      </c>
      <c r="O15" s="7"/>
      <c r="P15" s="7"/>
      <c r="Q15" s="23"/>
      <c r="R15" s="23"/>
      <c r="S15" s="35">
        <f t="shared" si="3"/>
        <v>1</v>
      </c>
      <c r="T15" s="50" t="str">
        <f t="shared" si="4"/>
        <v>NorthBound</v>
      </c>
      <c r="U15" s="171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https://search-rtdc-monitor-bjffxe2xuh6vdkpspy63sjmuny.us-east-1.es.amazonaws.com/_plugin/kibana/#/discover/Steve-Slow-Train-Analysis-(2080s-and-2083s)?_g=(refreshInterval:(display:Off,section:0,value:0),time:(from:'2016-12-10 02:31:23-700',mode:absolute,to:'2016-12-10 05:20:50-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201053%20OR%202087)%20AND%20%22rtdc.l.rtdc.4014%22')),sort:!(Time,asc))</v>
      </c>
      <c r="W15" s="52" t="str">
        <f t="shared" si="6"/>
        <v>N</v>
      </c>
      <c r="X15" s="177">
        <f t="shared" si="7"/>
        <v>1</v>
      </c>
      <c r="Y15" s="67">
        <f t="shared" si="8"/>
        <v>7.17E-2</v>
      </c>
      <c r="Z15" s="67">
        <f t="shared" si="9"/>
        <v>23.3385</v>
      </c>
      <c r="AA15" s="67">
        <f t="shared" si="10"/>
        <v>23.2668</v>
      </c>
      <c r="AB15" s="64" t="e">
        <f>VLOOKUP(A15,Enforcements!$C$7:$K$20,8,0)</f>
        <v>#N/A</v>
      </c>
      <c r="AC15" s="60" t="e">
        <f>VLOOKUP(A15,Enforcements!$C$7:$E$20,3,0)</f>
        <v>#N/A</v>
      </c>
      <c r="AD15" s="61" t="str">
        <f t="shared" si="11"/>
        <v>0103-10</v>
      </c>
      <c r="AE15" s="91" t="str">
        <f t="shared" si="12"/>
        <v>aws s3 cp s3://rtdc.mdm.uploadarchive.raw/RTDC4014/ "%USERPROFILE%\AppData\Local\Temp\OnboardLogs"\RTDC4014\2016-12-10 --exclude "*" --recursive --include "*20161210*" &amp; "%USERPROFILE%\Documents\GitHub\mrs-test-scripts\Headless Mode &amp; Sideloading\WalkAndUnGZ.bat" "%USERPROFILE%\AppData\Local\Temp\OnboardLogs"\RTDC4014\2016-12-10 &amp; aws s3 cp s3://rtdc.mdm.uploadarchive.raw/RTDC4014/ "%USERPROFILE%\AppData\Local\Temp\OnboardLogs"\RTDC4014\2016-12-11 --exclude "*" --recursive --include "*20161211*" &amp; "%USERPROFILE%\Documents\GitHub\mrs-test-scripts\Headless Mode &amp; Sideloading\WalkAndUnGZ.bat" "%USERPROFILE%\AppData\Local\Temp\OnboardLogs"\RTDC4014\2016-12-11</v>
      </c>
      <c r="AF15" s="88" t="str">
        <f t="shared" si="13"/>
        <v>"C:\Program Files (x86)\AstroGrep\AstroGrep.exe" /spath="%USERPROFILE%\AppData\Local\Temp\OnboardLogs" /stypes="app*4014*20161210*" /stext=" 11:.+((SYSTEM_STATE.+slice.+state.+changed )|(ment ac)|(multiple cpu faults)|(system.+state.+changed )|(\[timeout)|(PRM\|1\|D)|(kpr)|(kdp)|(\|lc)|(penalty))" /e /r /s</v>
      </c>
      <c r="AG15" s="1" t="str">
        <f t="shared" si="14"/>
        <v>EC</v>
      </c>
      <c r="AH15" s="92" t="str">
        <f t="shared" si="17"/>
        <v>"%USERPROFILE%\Documents\GitHub\eaglep3\Utilities\RefineRTDCRunTimes.py" --tripid 103-10 --locoid 4014 --swversion DE.1.0.8.0 --startMP 204:717 --initTime 2016-12-10T03:31:23 --startdatetime 2016-12-10T03:45:19 --delay 2 --endMP 204:233385 --enddatetime 2016-12-10T04:20:50 --enforcementcount 1 &gt;&gt;C:\Users\stu\Documents\GitHub\eaglep3-reporting\EC\2016-12-10-refined-times.txt</v>
      </c>
      <c r="AI15" s="119" t="str">
        <f t="shared" si="18"/>
        <v>echo {"issue":{"subject":"","project_id":79,"tracker_id":40,"status_id":1,"priority_id":2,"assigned_to_id":23,"start_date":"2016-12-10","description":"","custom_fields":[{"id":1,"name":"Subdivision","value":"EC"},{"id":4,"name":"Milepost","value":"23.3385"},{"id":17,"name":"Train ID","value":"103-10"},{"id":16,"name":"Locomotive ID","value":"4014"},{"id":130,"name":"Impact","value":""},{"id":150,"name":"Time of Event (Mountain Time)","value":"04:20:50"},{"id":151,"name":"Denver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" s="53"/>
      <c r="AK15" s="53"/>
      <c r="AL15" s="53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25">
      <c r="A16" s="37" t="s">
        <v>462</v>
      </c>
      <c r="B16" s="7">
        <v>4010</v>
      </c>
      <c r="C16" s="22" t="s">
        <v>207</v>
      </c>
      <c r="D16" s="22" t="s">
        <v>640</v>
      </c>
      <c r="E16" s="13">
        <v>42714.187708333331</v>
      </c>
      <c r="F16" s="13">
        <v>42714.195335648146</v>
      </c>
      <c r="G16" s="7">
        <v>1</v>
      </c>
      <c r="H16" s="22" t="s">
        <v>641</v>
      </c>
      <c r="I16" s="13">
        <v>42714.224340277775</v>
      </c>
      <c r="J16" s="7">
        <v>1</v>
      </c>
      <c r="K16" s="109" t="str">
        <f t="shared" si="0"/>
        <v>4009/4010</v>
      </c>
      <c r="L16" s="22" t="str">
        <f>VLOOKUP(A16,'Trips&amp;Operators'!$C$1:$G$99999,5,FALSE)</f>
        <v>ROBINSON KADDIBA</v>
      </c>
      <c r="M16" s="6">
        <f t="shared" si="1"/>
        <v>2.9004629628616385E-2</v>
      </c>
      <c r="N16" s="7">
        <f t="shared" si="2"/>
        <v>41.766666665207595</v>
      </c>
      <c r="O16" s="7"/>
      <c r="P16" s="7"/>
      <c r="Q16" s="23"/>
      <c r="R16" s="23"/>
      <c r="S16" s="35">
        <f t="shared" si="3"/>
        <v>1</v>
      </c>
      <c r="T16" s="50" t="str">
        <f t="shared" si="4"/>
        <v>Southbound</v>
      </c>
      <c r="U16" s="171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https://search-rtdc-monitor-bjffxe2xuh6vdkpspy63sjmuny.us-east-1.es.amazonaws.com/_plugin/kibana/#/discover/Steve-Slow-Train-Analysis-(2080s-and-2083s)?_g=(refreshInterval:(display:Off,section:0,value:0),time:(from:'2016-12-10 03:30:18-700',mode:absolute,to:'2016-12-10 06:23:03-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201053%20OR%202087)%20AND%20%22rtdc.l.rtdc.4010%22')),sort:!(Time,asc))</v>
      </c>
      <c r="W16" s="52" t="str">
        <f t="shared" si="6"/>
        <v>N</v>
      </c>
      <c r="X16" s="177">
        <f t="shared" si="7"/>
        <v>1</v>
      </c>
      <c r="Y16" s="67">
        <f t="shared" si="8"/>
        <v>23.275600000000001</v>
      </c>
      <c r="Z16" s="67">
        <f t="shared" si="9"/>
        <v>1.1599999999999999E-2</v>
      </c>
      <c r="AA16" s="67">
        <f t="shared" si="10"/>
        <v>23.263999999999999</v>
      </c>
      <c r="AB16" s="64" t="e">
        <f>VLOOKUP(A16,Enforcements!$C$7:$K$20,8,0)</f>
        <v>#N/A</v>
      </c>
      <c r="AC16" s="60" t="e">
        <f>VLOOKUP(A16,Enforcements!$C$7:$E$20,3,0)</f>
        <v>#N/A</v>
      </c>
      <c r="AD16" s="61" t="str">
        <f t="shared" si="11"/>
        <v>0104-10</v>
      </c>
      <c r="AE16" s="91" t="str">
        <f t="shared" si="12"/>
        <v>aws s3 cp s3://rtdc.mdm.uploadarchive.raw/RTDC4010/ "%USERPROFILE%\AppData\Local\Temp\OnboardLogs"\RTDC4010\2016-12-10 --exclude "*" --recursive --include "*20161210*" &amp; "%USERPROFILE%\Documents\GitHub\mrs-test-scripts\Headless Mode &amp; Sideloading\WalkAndUnGZ.bat" "%USERPROFILE%\AppData\Local\Temp\OnboardLogs"\RTDC4010\2016-12-10 &amp; aws s3 cp s3://rtdc.mdm.uploadarchive.raw/RTDC4010/ "%USERPROFILE%\AppData\Local\Temp\OnboardLogs"\RTDC4010\2016-12-11 --exclude "*" --recursive --include "*20161211*" &amp; "%USERPROFILE%\Documents\GitHub\mrs-test-scripts\Headless Mode &amp; Sideloading\WalkAndUnGZ.bat" "%USERPROFILE%\AppData\Local\Temp\OnboardLogs"\RTDC4010\2016-12-11</v>
      </c>
      <c r="AF16" s="88" t="str">
        <f t="shared" si="13"/>
        <v>"C:\Program Files (x86)\AstroGrep\AstroGrep.exe" /spath="%USERPROFILE%\AppData\Local\Temp\OnboardLogs" /stypes="app*4010*20161210*" /stext=" 12:.+((SYSTEM_STATE.+slice.+state.+changed )|(ment ac)|(multiple cpu faults)|(system.+state.+changed )|(\[timeout)|(PRM\|1\|D)|(kpr)|(kdp)|(\|lc)|(penalty))" /e /r /s</v>
      </c>
      <c r="AG16" s="1" t="str">
        <f t="shared" si="14"/>
        <v>EC</v>
      </c>
      <c r="AH16" s="92" t="str">
        <f t="shared" si="17"/>
        <v>"%USERPROFILE%\Documents\GitHub\eaglep3\Utilities\RefineRTDCRunTimes.py" --tripid 104-10 --locoid 4010 --swversion DE.1.0.8.0 --startMP 204:232756 --initTime 2016-12-10T04:30:18 --startdatetime 2016-12-10T04:41:17 --delay 1 --endMP 204:116 --enddatetime 2016-12-10T05:23:03 --enforcementcount 1 &gt;&gt;C:\Users\stu\Documents\GitHub\eaglep3-reporting\EC\2016-12-10-refined-times.txt</v>
      </c>
      <c r="AI16" s="119" t="str">
        <f t="shared" si="18"/>
        <v>echo {"issue":{"subject":"","project_id":79,"tracker_id":40,"status_id":1,"priority_id":2,"assigned_to_id":23,"start_date":"2016-12-10","description":"","custom_fields":[{"id":1,"name":"Subdivision","value":"EC"},{"id":4,"name":"Milepost","value":"0.0116"},{"id":17,"name":"Train ID","value":"104-10"},{"id":16,"name":"Locomotive ID","value":"4010"},{"id":130,"name":"Impact","value":""},{"id":150,"name":"Time of Event (Mountain Time)","value":"05:23:03"},{"id":151,"name":"Denver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" s="53"/>
      <c r="AK16" s="53"/>
      <c r="AL16" s="53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25">
      <c r="A17" s="37" t="s">
        <v>455</v>
      </c>
      <c r="B17" s="7">
        <v>4016</v>
      </c>
      <c r="C17" s="22" t="s">
        <v>207</v>
      </c>
      <c r="D17" s="22" t="s">
        <v>642</v>
      </c>
      <c r="E17" s="13">
        <v>42714.167337962965</v>
      </c>
      <c r="F17" s="13">
        <v>42714.177361111113</v>
      </c>
      <c r="G17" s="7">
        <v>2</v>
      </c>
      <c r="H17" s="22" t="s">
        <v>643</v>
      </c>
      <c r="I17" s="13">
        <v>42714.202291666668</v>
      </c>
      <c r="J17" s="7">
        <v>1</v>
      </c>
      <c r="K17" s="109" t="str">
        <f t="shared" si="0"/>
        <v>4015/4016</v>
      </c>
      <c r="L17" s="22" t="str">
        <f>VLOOKUP(A17,'Trips&amp;Operators'!$C$1:$G$99999,5,FALSE)</f>
        <v>DE LA ROSA ALEX</v>
      </c>
      <c r="M17" s="6">
        <f t="shared" si="1"/>
        <v>2.4930555555329192E-2</v>
      </c>
      <c r="N17" s="7">
        <f t="shared" si="2"/>
        <v>35.899999999674037</v>
      </c>
      <c r="O17" s="7"/>
      <c r="P17" s="7"/>
      <c r="Q17" s="23"/>
      <c r="R17" s="23"/>
      <c r="S17" s="35">
        <f t="shared" si="3"/>
        <v>1</v>
      </c>
      <c r="T17" s="50" t="str">
        <f t="shared" si="4"/>
        <v>NorthBound</v>
      </c>
      <c r="U17" s="171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https://search-rtdc-monitor-bjffxe2xuh6vdkpspy63sjmuny.us-east-1.es.amazonaws.com/_plugin/kibana/#/discover/Steve-Slow-Train-Analysis-(2080s-and-2083s)?_g=(refreshInterval:(display:Off,section:0,value:0),time:(from:'2016-12-10 03:00:58-700',mode:absolute,to:'2016-12-10 05:51:18-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201053%20OR%202087)%20AND%20%22rtdc.l.rtdc.4016%22')),sort:!(Time,asc))</v>
      </c>
      <c r="W17" s="52" t="str">
        <f t="shared" si="6"/>
        <v>N</v>
      </c>
      <c r="X17" s="177">
        <f t="shared" si="7"/>
        <v>1</v>
      </c>
      <c r="Y17" s="67">
        <f t="shared" si="8"/>
        <v>7.4099999999999999E-2</v>
      </c>
      <c r="Z17" s="67">
        <f t="shared" si="9"/>
        <v>23.3306</v>
      </c>
      <c r="AA17" s="67">
        <f t="shared" si="10"/>
        <v>23.256499999999999</v>
      </c>
      <c r="AB17" s="64" t="e">
        <f>VLOOKUP(A17,Enforcements!$C$7:$K$20,8,0)</f>
        <v>#N/A</v>
      </c>
      <c r="AC17" s="60" t="e">
        <f>VLOOKUP(A17,Enforcements!$C$7:$E$20,3,0)</f>
        <v>#N/A</v>
      </c>
      <c r="AD17" s="61" t="str">
        <f t="shared" si="11"/>
        <v>0105-10</v>
      </c>
      <c r="AE17" s="91" t="str">
        <f t="shared" si="12"/>
        <v>aws s3 cp s3://rtdc.mdm.uploadarchive.raw/RTDC4016/ "%USERPROFILE%\AppData\Local\Temp\OnboardLogs"\RTDC4016\2016-12-10 --exclude "*" --recursive --include "*20161210*" &amp; "%USERPROFILE%\Documents\GitHub\mrs-test-scripts\Headless Mode &amp; Sideloading\WalkAndUnGZ.bat" "%USERPROFILE%\AppData\Local\Temp\OnboardLogs"\RTDC4016\2016-12-10 &amp; aws s3 cp s3://rtdc.mdm.uploadarchive.raw/RTDC4016/ "%USERPROFILE%\AppData\Local\Temp\OnboardLogs"\RTDC4016\2016-12-11 --exclude "*" --recursive --include "*20161211*" &amp; "%USERPROFILE%\Documents\GitHub\mrs-test-scripts\Headless Mode &amp; Sideloading\WalkAndUnGZ.bat" "%USERPROFILE%\AppData\Local\Temp\OnboardLogs"\RTDC4016\2016-12-11</v>
      </c>
      <c r="AF17" s="88" t="str">
        <f t="shared" si="13"/>
        <v>"C:\Program Files (x86)\AstroGrep\AstroGrep.exe" /spath="%USERPROFILE%\AppData\Local\Temp\OnboardLogs" /stypes="app*4016*20161210*" /stext=" 11:.+((SYSTEM_STATE.+slice.+state.+changed )|(ment ac)|(multiple cpu faults)|(system.+state.+changed )|(\[timeout)|(PRM\|1\|D)|(kpr)|(kdp)|(\|lc)|(penalty))" /e /r /s</v>
      </c>
      <c r="AG17" s="1" t="str">
        <f t="shared" si="14"/>
        <v>EC</v>
      </c>
      <c r="AH17" s="92" t="str">
        <f t="shared" si="17"/>
        <v>"%USERPROFILE%\Documents\GitHub\eaglep3\Utilities\RefineRTDCRunTimes.py" --tripid 105-10 --locoid 4016 --swversion DE.1.0.8.0 --startMP 204:741 --initTime 2016-12-10T04:00:58 --startdatetime 2016-12-10T04:15:24 --delay 2 --endMP 204:233306 --enddatetime 2016-12-10T04:51:18 --enforcementcount 1 &gt;&gt;C:\Users\stu\Documents\GitHub\eaglep3-reporting\EC\2016-12-10-refined-times.txt</v>
      </c>
      <c r="AI17" s="119" t="str">
        <f t="shared" si="18"/>
        <v>echo {"issue":{"subject":"","project_id":79,"tracker_id":40,"status_id":1,"priority_id":2,"assigned_to_id":23,"start_date":"2016-12-10","description":"","custom_fields":[{"id":1,"name":"Subdivision","value":"EC"},{"id":4,"name":"Milepost","value":"23.3306"},{"id":17,"name":"Train ID","value":"105-10"},{"id":16,"name":"Locomotive ID","value":"4016"},{"id":130,"name":"Impact","value":""},{"id":150,"name":"Time of Event (Mountain Time)","value":"04:51:18"},{"id":151,"name":"Denver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" s="53"/>
      <c r="AK17" s="53"/>
      <c r="AL17" s="53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25">
      <c r="A18" s="37" t="s">
        <v>469</v>
      </c>
      <c r="B18" s="7">
        <v>4045</v>
      </c>
      <c r="C18" s="22" t="s">
        <v>207</v>
      </c>
      <c r="D18" s="22" t="s">
        <v>644</v>
      </c>
      <c r="E18" s="13">
        <v>42714.210532407407</v>
      </c>
      <c r="F18" s="13">
        <v>42714.216168981482</v>
      </c>
      <c r="G18" s="7">
        <v>2</v>
      </c>
      <c r="H18" s="22" t="s">
        <v>645</v>
      </c>
      <c r="I18" s="13">
        <v>42714.244328703702</v>
      </c>
      <c r="J18" s="7">
        <v>1</v>
      </c>
      <c r="K18" s="109" t="str">
        <f t="shared" si="0"/>
        <v>4045/4046</v>
      </c>
      <c r="L18" s="22" t="str">
        <f>VLOOKUP(A18,'Trips&amp;Operators'!$C$1:$G$99999,5,FALSE)</f>
        <v>DE LA ROSA ALEX</v>
      </c>
      <c r="M18" s="6">
        <f t="shared" si="1"/>
        <v>2.8159722220152617E-2</v>
      </c>
      <c r="N18" s="7">
        <f t="shared" si="2"/>
        <v>40.549999997019768</v>
      </c>
      <c r="O18" s="7"/>
      <c r="P18" s="7"/>
      <c r="Q18" s="23"/>
      <c r="R18" s="23" t="s">
        <v>798</v>
      </c>
      <c r="S18" s="35">
        <f t="shared" si="3"/>
        <v>1</v>
      </c>
      <c r="T18" s="50" t="str">
        <f t="shared" si="4"/>
        <v>Southbound</v>
      </c>
      <c r="U18" s="171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https://search-rtdc-monitor-bjffxe2xuh6vdkpspy63sjmuny.us-east-1.es.amazonaws.com/_plugin/kibana/#/discover/Steve-Slow-Train-Analysis-(2080s-and-2083s)?_g=(refreshInterval:(display:Off,section:0,value:0),time:(from:'2016-12-10 04:03:10-700',mode:absolute,to:'2016-12-10 06:51:50-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201053%20OR%202087)%20AND%20%22rtdc.l.rtdc.4045%22')),sort:!(Time,asc))</v>
      </c>
      <c r="W18" s="52" t="str">
        <f t="shared" si="6"/>
        <v>N</v>
      </c>
      <c r="X18" s="177">
        <f t="shared" si="7"/>
        <v>1</v>
      </c>
      <c r="Y18" s="67">
        <f t="shared" si="8"/>
        <v>23.265799999999999</v>
      </c>
      <c r="Z18" s="67">
        <f t="shared" si="9"/>
        <v>1.34E-2</v>
      </c>
      <c r="AA18" s="67">
        <f t="shared" si="10"/>
        <v>23.252399999999998</v>
      </c>
      <c r="AB18" s="64" t="e">
        <f>VLOOKUP(A18,Enforcements!$C$7:$K$20,8,0)</f>
        <v>#N/A</v>
      </c>
      <c r="AC18" s="60" t="e">
        <f>VLOOKUP(A18,Enforcements!$C$7:$E$20,3,0)</f>
        <v>#N/A</v>
      </c>
      <c r="AD18" s="61" t="str">
        <f t="shared" si="11"/>
        <v>0106-10</v>
      </c>
      <c r="AE18" s="91" t="str">
        <f t="shared" si="12"/>
        <v>aws s3 cp s3://rtdc.mdm.uploadarchive.raw/RTDC4045/ "%USERPROFILE%\AppData\Local\Temp\OnboardLogs"\RTDC4045\2016-12-10 --exclude "*" --recursive --include "*20161210*" &amp; "%USERPROFILE%\Documents\GitHub\mrs-test-scripts\Headless Mode &amp; Sideloading\WalkAndUnGZ.bat" "%USERPROFILE%\AppData\Local\Temp\OnboardLogs"\RTDC4045\2016-12-10 &amp; aws s3 cp s3://rtdc.mdm.uploadarchive.raw/RTDC4045/ "%USERPROFILE%\AppData\Local\Temp\OnboardLogs"\RTDC4045\2016-12-11 --exclude "*" --recursive --include "*20161211*" &amp; "%USERPROFILE%\Documents\GitHub\mrs-test-scripts\Headless Mode &amp; Sideloading\WalkAndUnGZ.bat" "%USERPROFILE%\AppData\Local\Temp\OnboardLogs"\RTDC4045\2016-12-11</v>
      </c>
      <c r="AF18" s="88" t="str">
        <f t="shared" si="13"/>
        <v>"C:\Program Files (x86)\AstroGrep\AstroGrep.exe" /spath="%USERPROFILE%\AppData\Local\Temp\OnboardLogs" /stypes="app*4045*20161210*" /stext=" 12:.+((SYSTEM_STATE.+slice.+state.+changed )|(ment ac)|(multiple cpu faults)|(system.+state.+changed )|(\[timeout)|(PRM\|1\|D)|(kpr)|(kdp)|(\|lc)|(penalty))" /e /r /s</v>
      </c>
      <c r="AG18" s="1" t="str">
        <f t="shared" si="14"/>
        <v>EC</v>
      </c>
      <c r="AH18" s="92" t="str">
        <f t="shared" si="17"/>
        <v>"%USERPROFILE%\Documents\GitHub\eaglep3\Utilities\RefineRTDCRunTimes.py" --tripid 106-10 --locoid 4045 --swversion DE.1.0.8.0 --startMP 204:232658 --initTime 2016-12-10T05:03:10 --startdatetime 2016-12-10T05:11:17 --delay 2 --endMP 204:134 --enddatetime 2016-12-10T05:51:50 --enforcementcount 1 &gt;&gt;C:\Users\stu\Documents\GitHub\eaglep3-reporting\EC\2016-12-10-refined-times.txt</v>
      </c>
      <c r="AI18" s="119" t="str">
        <f t="shared" si="18"/>
        <v>echo {"issue":{"subject":"Wheel tach slip","project_id":79,"tracker_id":40,"status_id":1,"priority_id":2,"assigned_to_id":23,"start_date":"2016-12-10","description":"","custom_fields":[{"id":1,"name":"Subdivision","value":"EC"},{"id":4,"name":"Milepost","value":"0.0134"},{"id":17,"name":"Train ID","value":"106-10"},{"id":16,"name":"Locomotive ID","value":"4045"},{"id":130,"name":"Impact","value":""},{"id":150,"name":"Time of Event (Mountain Time)","value":"05:51:50"},{"id":151,"name":"Denver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" s="53"/>
      <c r="AK18" s="53"/>
      <c r="AL18" s="53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25">
      <c r="A19" s="37" t="s">
        <v>461</v>
      </c>
      <c r="B19" s="7">
        <v>4040</v>
      </c>
      <c r="C19" s="22" t="s">
        <v>207</v>
      </c>
      <c r="D19" s="22" t="s">
        <v>236</v>
      </c>
      <c r="E19" s="13">
        <v>42714.18545138889</v>
      </c>
      <c r="F19" s="13">
        <v>42714.187708333331</v>
      </c>
      <c r="G19" s="7">
        <v>1</v>
      </c>
      <c r="H19" s="22" t="s">
        <v>389</v>
      </c>
      <c r="I19" s="13">
        <v>42714.214444444442</v>
      </c>
      <c r="J19" s="7">
        <v>1</v>
      </c>
      <c r="K19" s="109" t="str">
        <f t="shared" si="0"/>
        <v>4039/4040</v>
      </c>
      <c r="L19" s="22" t="str">
        <f>VLOOKUP(A19,'Trips&amp;Operators'!$C$1:$G$99999,5,FALSE)</f>
        <v>DAVIS WENDY</v>
      </c>
      <c r="M19" s="6">
        <f t="shared" si="1"/>
        <v>2.6736111110949423E-2</v>
      </c>
      <c r="N19" s="7">
        <f t="shared" si="2"/>
        <v>38.499999999767169</v>
      </c>
      <c r="O19" s="7"/>
      <c r="P19" s="7"/>
      <c r="Q19" s="23"/>
      <c r="R19" s="23"/>
      <c r="S19" s="35">
        <f t="shared" si="3"/>
        <v>1</v>
      </c>
      <c r="T19" s="50" t="str">
        <f t="shared" si="4"/>
        <v>NorthBound</v>
      </c>
      <c r="U19" s="171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https://search-rtdc-monitor-bjffxe2xuh6vdkpspy63sjmuny.us-east-1.es.amazonaws.com/_plugin/kibana/#/discover/Steve-Slow-Train-Analysis-(2080s-and-2083s)?_g=(refreshInterval:(display:Off,section:0,value:0),time:(from:'2016-12-10 03:27:03-700',mode:absolute,to:'2016-12-10 06:08:48-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201053%20OR%202087)%20AND%20%22rtdc.l.rtdc.4040%22')),sort:!(Time,asc))</v>
      </c>
      <c r="W19" s="52" t="str">
        <f t="shared" si="6"/>
        <v>N</v>
      </c>
      <c r="X19" s="177">
        <f t="shared" si="7"/>
        <v>1</v>
      </c>
      <c r="Y19" s="67">
        <f t="shared" si="8"/>
        <v>4.4200000000000003E-2</v>
      </c>
      <c r="Z19" s="67">
        <f t="shared" si="9"/>
        <v>23.331099999999999</v>
      </c>
      <c r="AA19" s="67">
        <f t="shared" si="10"/>
        <v>23.286899999999999</v>
      </c>
      <c r="AB19" s="64" t="e">
        <f>VLOOKUP(A19,Enforcements!$C$7:$K$20,8,0)</f>
        <v>#N/A</v>
      </c>
      <c r="AC19" s="60" t="e">
        <f>VLOOKUP(A19,Enforcements!$C$7:$E$20,3,0)</f>
        <v>#N/A</v>
      </c>
      <c r="AD19" s="61" t="str">
        <f t="shared" si="11"/>
        <v>0107-10</v>
      </c>
      <c r="AE19" s="91" t="str">
        <f t="shared" si="12"/>
        <v>aws s3 cp s3://rtdc.mdm.uploadarchive.raw/RTDC4040/ "%USERPROFILE%\AppData\Local\Temp\OnboardLogs"\RTDC4040\2016-12-10 --exclude "*" --recursive --include "*20161210*" &amp; "%USERPROFILE%\Documents\GitHub\mrs-test-scripts\Headless Mode &amp; Sideloading\WalkAndUnGZ.bat" "%USERPROFILE%\AppData\Local\Temp\OnboardLogs"\RTDC4040\2016-12-10 &amp; aws s3 cp s3://rtdc.mdm.uploadarchive.raw/RTDC4040/ "%USERPROFILE%\AppData\Local\Temp\OnboardLogs"\RTDC4040\2016-12-11 --exclude "*" --recursive --include "*20161211*" &amp; "%USERPROFILE%\Documents\GitHub\mrs-test-scripts\Headless Mode &amp; Sideloading\WalkAndUnGZ.bat" "%USERPROFILE%\AppData\Local\Temp\OnboardLogs"\RTDC4040\2016-12-11</v>
      </c>
      <c r="AF19" s="88" t="str">
        <f t="shared" si="13"/>
        <v>"C:\Program Files (x86)\AstroGrep\AstroGrep.exe" /spath="%USERPROFILE%\AppData\Local\Temp\OnboardLogs" /stypes="app*4040*20161210*" /stext=" 12:.+((SYSTEM_STATE.+slice.+state.+changed )|(ment ac)|(multiple cpu faults)|(system.+state.+changed )|(\[timeout)|(PRM\|1\|D)|(kpr)|(kdp)|(\|lc)|(penalty))" /e /r /s</v>
      </c>
      <c r="AG19" s="1" t="str">
        <f t="shared" si="14"/>
        <v>EC</v>
      </c>
      <c r="AH19" s="92" t="str">
        <f t="shared" si="17"/>
        <v>"%USERPROFILE%\Documents\GitHub\eaglep3\Utilities\RefineRTDCRunTimes.py" --tripid 107-10 --locoid 4040 --swversion DE.1.0.8.0 --startMP 204:442 --initTime 2016-12-10T04:27:03 --startdatetime 2016-12-10T04:30:18 --delay 1 --endMP 204:233311 --enddatetime 2016-12-10T05:08:48 --enforcementcount 1 &gt;&gt;C:\Users\stu\Documents\GitHub\eaglep3-reporting\EC\2016-12-10-refined-times.txt</v>
      </c>
      <c r="AI19" s="119" t="str">
        <f t="shared" si="18"/>
        <v>echo {"issue":{"subject":"","project_id":79,"tracker_id":40,"status_id":1,"priority_id":2,"assigned_to_id":23,"start_date":"2016-12-10","description":"","custom_fields":[{"id":1,"name":"Subdivision","value":"EC"},{"id":4,"name":"Milepost","value":"23.3311"},{"id":17,"name":"Train ID","value":"107-10"},{"id":16,"name":"Locomotive ID","value":"4040"},{"id":130,"name":"Impact","value":""},{"id":150,"name":"Time of Event (Mountain Time)","value":"05:08:48"},{"id":151,"name":"Denver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" s="53"/>
      <c r="AK19" s="53"/>
      <c r="AL19" s="53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25">
      <c r="A20" s="37" t="s">
        <v>473</v>
      </c>
      <c r="B20" s="7">
        <v>4039</v>
      </c>
      <c r="C20" s="22" t="s">
        <v>207</v>
      </c>
      <c r="D20" s="22" t="s">
        <v>290</v>
      </c>
      <c r="E20" s="13">
        <v>42714.226377314815</v>
      </c>
      <c r="F20" s="13">
        <v>42714.227488425924</v>
      </c>
      <c r="G20" s="7">
        <v>1</v>
      </c>
      <c r="H20" s="22" t="s">
        <v>205</v>
      </c>
      <c r="I20" s="13">
        <v>42714.256122685183</v>
      </c>
      <c r="J20" s="7">
        <v>1</v>
      </c>
      <c r="K20" s="109" t="str">
        <f t="shared" si="0"/>
        <v>4039/4040</v>
      </c>
      <c r="L20" s="22" t="str">
        <f>VLOOKUP(A20,'Trips&amp;Operators'!$C$1:$G$99999,5,FALSE)</f>
        <v>DAVIS WENDY</v>
      </c>
      <c r="M20" s="6">
        <f t="shared" si="1"/>
        <v>2.8634259258979E-2</v>
      </c>
      <c r="N20" s="7">
        <f t="shared" si="2"/>
        <v>41.23333333292976</v>
      </c>
      <c r="O20" s="7"/>
      <c r="P20" s="7"/>
      <c r="Q20" s="23"/>
      <c r="R20" s="23"/>
      <c r="S20" s="35">
        <f t="shared" si="3"/>
        <v>1</v>
      </c>
      <c r="T20" s="50" t="str">
        <f t="shared" si="4"/>
        <v>Southbound</v>
      </c>
      <c r="U20" s="171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https://search-rtdc-monitor-bjffxe2xuh6vdkpspy63sjmuny.us-east-1.es.amazonaws.com/_plugin/kibana/#/discover/Steve-Slow-Train-Analysis-(2080s-and-2083s)?_g=(refreshInterval:(display:Off,section:0,value:0),time:(from:'2016-12-10 04:25:59-700',mode:absolute,to:'2016-12-10 07:08:49-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201053%20OR%202087)%20AND%20%22rtdc.l.rtdc.4039%22')),sort:!(Time,asc))</v>
      </c>
      <c r="W20" s="52" t="str">
        <f t="shared" si="6"/>
        <v>N</v>
      </c>
      <c r="X20" s="177">
        <f t="shared" si="7"/>
        <v>1</v>
      </c>
      <c r="Y20" s="67">
        <f t="shared" si="8"/>
        <v>23.297799999999999</v>
      </c>
      <c r="Z20" s="67">
        <f t="shared" si="9"/>
        <v>1.5599999999999999E-2</v>
      </c>
      <c r="AA20" s="67">
        <f t="shared" si="10"/>
        <v>23.2822</v>
      </c>
      <c r="AB20" s="64" t="e">
        <f>VLOOKUP(A20,Enforcements!$C$7:$K$20,8,0)</f>
        <v>#N/A</v>
      </c>
      <c r="AC20" s="60" t="e">
        <f>VLOOKUP(A20,Enforcements!$C$7:$E$20,3,0)</f>
        <v>#N/A</v>
      </c>
      <c r="AD20" s="61" t="str">
        <f t="shared" si="11"/>
        <v>0108-10</v>
      </c>
      <c r="AE20" s="91" t="str">
        <f t="shared" si="12"/>
        <v>aws s3 cp s3://rtdc.mdm.uploadarchive.raw/RTDC4039/ "%USERPROFILE%\AppData\Local\Temp\OnboardLogs"\RTDC4039\2016-12-10 --exclude "*" --recursive --include "*20161210*" &amp; "%USERPROFILE%\Documents\GitHub\mrs-test-scripts\Headless Mode &amp; Sideloading\WalkAndUnGZ.bat" "%USERPROFILE%\AppData\Local\Temp\OnboardLogs"\RTDC4039\2016-12-10 &amp; aws s3 cp s3://rtdc.mdm.uploadarchive.raw/RTDC4039/ "%USERPROFILE%\AppData\Local\Temp\OnboardLogs"\RTDC4039\2016-12-11 --exclude "*" --recursive --include "*20161211*" &amp; "%USERPROFILE%\Documents\GitHub\mrs-test-scripts\Headless Mode &amp; Sideloading\WalkAndUnGZ.bat" "%USERPROFILE%\AppData\Local\Temp\OnboardLogs"\RTDC4039\2016-12-11</v>
      </c>
      <c r="AF20" s="88" t="str">
        <f t="shared" si="13"/>
        <v>"C:\Program Files (x86)\AstroGrep\AstroGrep.exe" /spath="%USERPROFILE%\AppData\Local\Temp\OnboardLogs" /stypes="app*4039*20161210*" /stext=" 13:.+((SYSTEM_STATE.+slice.+state.+changed )|(ment ac)|(multiple cpu faults)|(system.+state.+changed )|(\[timeout)|(PRM\|1\|D)|(kpr)|(kdp)|(\|lc)|(penalty))" /e /r /s</v>
      </c>
      <c r="AG20" s="1" t="str">
        <f t="shared" si="14"/>
        <v>EC</v>
      </c>
      <c r="AH20" s="92" t="str">
        <f t="shared" si="17"/>
        <v>"%USERPROFILE%\Documents\GitHub\eaglep3\Utilities\RefineRTDCRunTimes.py" --tripid 108-10 --locoid 4039 --swversion DE.1.0.8.0 --startMP 204:232978 --initTime 2016-12-10T05:25:59 --startdatetime 2016-12-10T05:27:35 --delay 1 --endMP 204:156 --enddatetime 2016-12-10T06:08:49 --enforcementcount 1 &gt;&gt;C:\Users\stu\Documents\GitHub\eaglep3-reporting\EC\2016-12-10-refined-times.txt</v>
      </c>
      <c r="AI20" s="119" t="str">
        <f t="shared" si="18"/>
        <v>echo {"issue":{"subject":"","project_id":79,"tracker_id":40,"status_id":1,"priority_id":2,"assigned_to_id":23,"start_date":"2016-12-10","description":"","custom_fields":[{"id":1,"name":"Subdivision","value":"EC"},{"id":4,"name":"Milepost","value":"0.0156"},{"id":17,"name":"Train ID","value":"108-10"},{"id":16,"name":"Locomotive ID","value":"4039"},{"id":130,"name":"Impact","value":""},{"id":150,"name":"Time of Event (Mountain Time)","value":"06:08:49"},{"id":151,"name":"Denver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" s="53"/>
      <c r="AK20" s="53"/>
      <c r="AL20" s="53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25">
      <c r="A21" s="37" t="s">
        <v>464</v>
      </c>
      <c r="B21" s="7">
        <v>4025</v>
      </c>
      <c r="C21" s="22" t="s">
        <v>207</v>
      </c>
      <c r="D21" s="22" t="s">
        <v>289</v>
      </c>
      <c r="E21" s="13">
        <v>42714.193159722221</v>
      </c>
      <c r="F21" s="13">
        <v>42714.198113425926</v>
      </c>
      <c r="G21" s="7">
        <v>1</v>
      </c>
      <c r="H21" s="22" t="s">
        <v>295</v>
      </c>
      <c r="I21" s="13">
        <v>42714.225219907406</v>
      </c>
      <c r="J21" s="7">
        <v>1</v>
      </c>
      <c r="K21" s="109" t="str">
        <f t="shared" si="0"/>
        <v>4025/4026</v>
      </c>
      <c r="L21" s="22" t="str">
        <f>VLOOKUP(A21,'Trips&amp;Operators'!$C$1:$G$99999,5,FALSE)</f>
        <v>KILLION DAVID</v>
      </c>
      <c r="M21" s="6">
        <f t="shared" si="1"/>
        <v>2.7106481480586808E-2</v>
      </c>
      <c r="N21" s="7">
        <f t="shared" si="2"/>
        <v>39.033333332045004</v>
      </c>
      <c r="O21" s="7"/>
      <c r="P21" s="7"/>
      <c r="Q21" s="23"/>
      <c r="R21" s="23"/>
      <c r="S21" s="35">
        <f t="shared" si="3"/>
        <v>1</v>
      </c>
      <c r="T21" s="50" t="str">
        <f t="shared" si="4"/>
        <v>NorthBound</v>
      </c>
      <c r="U21" s="171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https://search-rtdc-monitor-bjffxe2xuh6vdkpspy63sjmuny.us-east-1.es.amazonaws.com/_plugin/kibana/#/discover/Steve-Slow-Train-Analysis-(2080s-and-2083s)?_g=(refreshInterval:(display:Off,section:0,value:0),time:(from:'2016-12-10 03:38:09-700',mode:absolute,to:'2016-12-10 06:24:19-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201053%20OR%202087)%20AND%20%22rtdc.l.rtdc.4025%22')),sort:!(Time,asc))</v>
      </c>
      <c r="W21" s="52" t="str">
        <f t="shared" si="6"/>
        <v>N</v>
      </c>
      <c r="X21" s="177">
        <f t="shared" si="7"/>
        <v>1</v>
      </c>
      <c r="Y21" s="67">
        <f t="shared" si="8"/>
        <v>4.6899999999999997E-2</v>
      </c>
      <c r="Z21" s="67">
        <f t="shared" si="9"/>
        <v>23.3291</v>
      </c>
      <c r="AA21" s="67">
        <f t="shared" si="10"/>
        <v>23.2822</v>
      </c>
      <c r="AB21" s="64" t="e">
        <f>VLOOKUP(A21,Enforcements!$C$7:$K$20,8,0)</f>
        <v>#N/A</v>
      </c>
      <c r="AC21" s="60" t="e">
        <f>VLOOKUP(A21,Enforcements!$C$7:$E$20,3,0)</f>
        <v>#N/A</v>
      </c>
      <c r="AD21" s="61" t="str">
        <f t="shared" si="11"/>
        <v>0109-10</v>
      </c>
      <c r="AE21" s="91" t="str">
        <f t="shared" si="12"/>
        <v>aws s3 cp s3://rtdc.mdm.uploadarchive.raw/RTDC4025/ "%USERPROFILE%\AppData\Local\Temp\OnboardLogs"\RTDC4025\2016-12-10 --exclude "*" --recursive --include "*20161210*" &amp; "%USERPROFILE%\Documents\GitHub\mrs-test-scripts\Headless Mode &amp; Sideloading\WalkAndUnGZ.bat" "%USERPROFILE%\AppData\Local\Temp\OnboardLogs"\RTDC4025\2016-12-10 &amp; aws s3 cp s3://rtdc.mdm.uploadarchive.raw/RTDC4025/ "%USERPROFILE%\AppData\Local\Temp\OnboardLogs"\RTDC4025\2016-12-11 --exclude "*" --recursive --include "*20161211*" &amp; "%USERPROFILE%\Documents\GitHub\mrs-test-scripts\Headless Mode &amp; Sideloading\WalkAndUnGZ.bat" "%USERPROFILE%\AppData\Local\Temp\OnboardLogs"\RTDC4025\2016-12-11</v>
      </c>
      <c r="AF21" s="88" t="str">
        <f t="shared" si="13"/>
        <v>"C:\Program Files (x86)\AstroGrep\AstroGrep.exe" /spath="%USERPROFILE%\AppData\Local\Temp\OnboardLogs" /stypes="app*4025*20161210*" /stext=" 12:.+((SYSTEM_STATE.+slice.+state.+changed )|(ment ac)|(multiple cpu faults)|(system.+state.+changed )|(\[timeout)|(PRM\|1\|D)|(kpr)|(kdp)|(\|lc)|(penalty))" /e /r /s</v>
      </c>
      <c r="AG21" s="1" t="str">
        <f t="shared" si="14"/>
        <v>EC</v>
      </c>
      <c r="AH21" s="92" t="str">
        <f t="shared" si="17"/>
        <v>"%USERPROFILE%\Documents\GitHub\eaglep3\Utilities\RefineRTDCRunTimes.py" --tripid 109-10 --locoid 4025 --swversion DE.1.0.8.0 --startMP 204:469 --initTime 2016-12-10T04:38:09 --startdatetime 2016-12-10T04:45:17 --delay 1 --endMP 204:233291 --enddatetime 2016-12-10T05:24:19 --enforcementcount 1 &gt;&gt;C:\Users\stu\Documents\GitHub\eaglep3-reporting\EC\2016-12-10-refined-times.txt</v>
      </c>
      <c r="AI21" s="119" t="str">
        <f t="shared" si="18"/>
        <v>echo {"issue":{"subject":"","project_id":79,"tracker_id":40,"status_id":1,"priority_id":2,"assigned_to_id":23,"start_date":"2016-12-10","description":"","custom_fields":[{"id":1,"name":"Subdivision","value":"EC"},{"id":4,"name":"Milepost","value":"23.3291"},{"id":17,"name":"Train ID","value":"109-10"},{"id":16,"name":"Locomotive ID","value":"4025"},{"id":130,"name":"Impact","value":""},{"id":150,"name":"Time of Event (Mountain Time)","value":"05:24:19"},{"id":151,"name":"Denver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" s="53"/>
      <c r="AK21" s="53"/>
      <c r="AL21" s="53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25">
      <c r="A22" s="37" t="s">
        <v>476</v>
      </c>
      <c r="B22" s="7">
        <v>4026</v>
      </c>
      <c r="C22" s="22" t="s">
        <v>207</v>
      </c>
      <c r="D22" s="22" t="s">
        <v>304</v>
      </c>
      <c r="E22" s="13">
        <v>42714.235034722224</v>
      </c>
      <c r="F22" s="13">
        <v>42714.23710648148</v>
      </c>
      <c r="G22" s="7">
        <v>1</v>
      </c>
      <c r="H22" s="22" t="s">
        <v>646</v>
      </c>
      <c r="I22" s="13">
        <v>42714.265081018515</v>
      </c>
      <c r="J22" s="7">
        <v>1</v>
      </c>
      <c r="K22" s="109" t="str">
        <f t="shared" si="0"/>
        <v>4025/4026</v>
      </c>
      <c r="L22" s="22" t="str">
        <f>VLOOKUP(A22,'Trips&amp;Operators'!$C$1:$G$99999,5,FALSE)</f>
        <v>KILLION DAVID</v>
      </c>
      <c r="M22" s="6">
        <f t="shared" si="1"/>
        <v>2.7974537035333924E-2</v>
      </c>
      <c r="N22" s="7">
        <f t="shared" si="2"/>
        <v>40.283333330880851</v>
      </c>
      <c r="O22" s="7"/>
      <c r="P22" s="7"/>
      <c r="Q22" s="23"/>
      <c r="R22" s="23"/>
      <c r="S22" s="35">
        <f t="shared" si="3"/>
        <v>1</v>
      </c>
      <c r="T22" s="50" t="str">
        <f t="shared" si="4"/>
        <v>Southbound</v>
      </c>
      <c r="U22" s="171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https://search-rtdc-monitor-bjffxe2xuh6vdkpspy63sjmuny.us-east-1.es.amazonaws.com/_plugin/kibana/#/discover/Steve-Slow-Train-Analysis-(2080s-and-2083s)?_g=(refreshInterval:(display:Off,section:0,value:0),time:(from:'2016-12-10 04:38:27-700',mode:absolute,to:'2016-12-10 07:21:43-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201053%20OR%202087)%20AND%20%22rtdc.l.rtdc.4026%22')),sort:!(Time,asc))</v>
      </c>
      <c r="W22" s="52" t="str">
        <f t="shared" si="6"/>
        <v>N</v>
      </c>
      <c r="X22" s="177">
        <f t="shared" si="7"/>
        <v>1</v>
      </c>
      <c r="Y22" s="67">
        <f t="shared" si="8"/>
        <v>23.2974</v>
      </c>
      <c r="Z22" s="67">
        <f t="shared" si="9"/>
        <v>1.3599999999999999E-2</v>
      </c>
      <c r="AA22" s="67">
        <f t="shared" si="10"/>
        <v>23.283799999999999</v>
      </c>
      <c r="AB22" s="64" t="e">
        <f>VLOOKUP(A22,Enforcements!$C$7:$K$20,8,0)</f>
        <v>#N/A</v>
      </c>
      <c r="AC22" s="60" t="e">
        <f>VLOOKUP(A22,Enforcements!$C$7:$E$20,3,0)</f>
        <v>#N/A</v>
      </c>
      <c r="AD22" s="61" t="str">
        <f t="shared" si="11"/>
        <v>0110-10</v>
      </c>
      <c r="AE22" s="91" t="str">
        <f t="shared" si="12"/>
        <v>aws s3 cp s3://rtdc.mdm.uploadarchive.raw/RTDC4026/ "%USERPROFILE%\AppData\Local\Temp\OnboardLogs"\RTDC4026\2016-12-10 --exclude "*" --recursive --include "*20161210*" &amp; "%USERPROFILE%\Documents\GitHub\mrs-test-scripts\Headless Mode &amp; Sideloading\WalkAndUnGZ.bat" "%USERPROFILE%\AppData\Local\Temp\OnboardLogs"\RTDC4026\2016-12-10 &amp; aws s3 cp s3://rtdc.mdm.uploadarchive.raw/RTDC4026/ "%USERPROFILE%\AppData\Local\Temp\OnboardLogs"\RTDC4026\2016-12-11 --exclude "*" --recursive --include "*20161211*" &amp; "%USERPROFILE%\Documents\GitHub\mrs-test-scripts\Headless Mode &amp; Sideloading\WalkAndUnGZ.bat" "%USERPROFILE%\AppData\Local\Temp\OnboardLogs"\RTDC4026\2016-12-11</v>
      </c>
      <c r="AF22" s="88" t="str">
        <f t="shared" si="13"/>
        <v>"C:\Program Files (x86)\AstroGrep\AstroGrep.exe" /spath="%USERPROFILE%\AppData\Local\Temp\OnboardLogs" /stypes="app*4026*20161210*" /stext=" 13:.+((SYSTEM_STATE.+slice.+state.+changed )|(ment ac)|(multiple cpu faults)|(system.+state.+changed )|(\[timeout)|(PRM\|1\|D)|(kpr)|(kdp)|(\|lc)|(penalty))" /e /r /s</v>
      </c>
      <c r="AG22" s="1" t="str">
        <f t="shared" si="14"/>
        <v>EC</v>
      </c>
      <c r="AH22" s="92" t="str">
        <f t="shared" si="17"/>
        <v>"%USERPROFILE%\Documents\GitHub\eaglep3\Utilities\RefineRTDCRunTimes.py" --tripid 110-10 --locoid 4026 --swversion DE.1.0.8.0 --startMP 204:232974 --initTime 2016-12-10T05:38:27 --startdatetime 2016-12-10T05:41:26 --delay 1 --endMP 204:136 --enddatetime 2016-12-10T06:21:43 --enforcementcount 1 &gt;&gt;C:\Users\stu\Documents\GitHub\eaglep3-reporting\EC\2016-12-10-refined-times.txt</v>
      </c>
      <c r="AI22" s="119" t="str">
        <f t="shared" si="18"/>
        <v>echo {"issue":{"subject":"","project_id":79,"tracker_id":40,"status_id":1,"priority_id":2,"assigned_to_id":23,"start_date":"2016-12-10","description":"","custom_fields":[{"id":1,"name":"Subdivision","value":"EC"},{"id":4,"name":"Milepost","value":"0.0136"},{"id":17,"name":"Train ID","value":"110-10"},{"id":16,"name":"Locomotive ID","value":"4026"},{"id":130,"name":"Impact","value":""},{"id":150,"name":"Time of Event (Mountain Time)","value":"06:21:43"},{"id":151,"name":"Denver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" s="53"/>
      <c r="AK22" s="53"/>
      <c r="AL22" s="53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25">
      <c r="A23" s="37" t="s">
        <v>465</v>
      </c>
      <c r="B23" s="7">
        <v>4020</v>
      </c>
      <c r="C23" s="22" t="s">
        <v>207</v>
      </c>
      <c r="D23" s="22" t="s">
        <v>647</v>
      </c>
      <c r="E23" s="13">
        <v>42714.203900462962</v>
      </c>
      <c r="F23" s="13">
        <v>42714.208506944444</v>
      </c>
      <c r="G23" s="7">
        <v>1</v>
      </c>
      <c r="H23" s="22" t="s">
        <v>648</v>
      </c>
      <c r="I23" s="13">
        <v>42714.233055555553</v>
      </c>
      <c r="J23" s="7">
        <v>1</v>
      </c>
      <c r="K23" s="109" t="str">
        <f t="shared" si="0"/>
        <v>4019/4020</v>
      </c>
      <c r="L23" s="22" t="str">
        <f>VLOOKUP(A23,'Trips&amp;Operators'!$C$1:$G$99999,5,FALSE)</f>
        <v>GEBRETEKLE DAGNEW</v>
      </c>
      <c r="M23" s="6">
        <f t="shared" si="1"/>
        <v>2.4548611108912155E-2</v>
      </c>
      <c r="N23" s="7">
        <f t="shared" si="2"/>
        <v>35.349999996833503</v>
      </c>
      <c r="O23" s="7"/>
      <c r="P23" s="7"/>
      <c r="Q23" s="23"/>
      <c r="R23" s="23"/>
      <c r="S23" s="35">
        <f t="shared" si="3"/>
        <v>1</v>
      </c>
      <c r="T23" s="50" t="str">
        <f t="shared" si="4"/>
        <v>NorthBound</v>
      </c>
      <c r="U23" s="171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https://search-rtdc-monitor-bjffxe2xuh6vdkpspy63sjmuny.us-east-1.es.amazonaws.com/_plugin/kibana/#/discover/Steve-Slow-Train-Analysis-(2080s-and-2083s)?_g=(refreshInterval:(display:Off,section:0,value:0),time:(from:'2016-12-10 03:53:37-700',mode:absolute,to:'2016-12-10 06:35:36-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201053%20OR%202087)%20AND%20%22rtdc.l.rtdc.4020%22')),sort:!(Time,asc))</v>
      </c>
      <c r="W23" s="52" t="str">
        <f t="shared" si="6"/>
        <v>N</v>
      </c>
      <c r="X23" s="177">
        <f t="shared" si="7"/>
        <v>1</v>
      </c>
      <c r="Y23" s="67">
        <f t="shared" si="8"/>
        <v>7.4999999999999997E-2</v>
      </c>
      <c r="Z23" s="67">
        <f t="shared" si="9"/>
        <v>23.3307</v>
      </c>
      <c r="AA23" s="67">
        <f t="shared" si="10"/>
        <v>23.255700000000001</v>
      </c>
      <c r="AB23" s="64" t="e">
        <f>VLOOKUP(A23,Enforcements!$C$7:$K$20,8,0)</f>
        <v>#N/A</v>
      </c>
      <c r="AC23" s="60" t="e">
        <f>VLOOKUP(A23,Enforcements!$C$7:$E$20,3,0)</f>
        <v>#N/A</v>
      </c>
      <c r="AD23" s="61" t="str">
        <f t="shared" si="11"/>
        <v>0111-10</v>
      </c>
      <c r="AE23" s="91" t="str">
        <f t="shared" si="12"/>
        <v>aws s3 cp s3://rtdc.mdm.uploadarchive.raw/RTDC4020/ "%USERPROFILE%\AppData\Local\Temp\OnboardLogs"\RTDC4020\2016-12-10 --exclude "*" --recursive --include "*20161210*" &amp; "%USERPROFILE%\Documents\GitHub\mrs-test-scripts\Headless Mode &amp; Sideloading\WalkAndUnGZ.bat" "%USERPROFILE%\AppData\Local\Temp\OnboardLogs"\RTDC4020\2016-12-10 &amp; aws s3 cp s3://rtdc.mdm.uploadarchive.raw/RTDC4020/ "%USERPROFILE%\AppData\Local\Temp\OnboardLogs"\RTDC4020\2016-12-11 --exclude "*" --recursive --include "*20161211*" &amp; "%USERPROFILE%\Documents\GitHub\mrs-test-scripts\Headless Mode &amp; Sideloading\WalkAndUnGZ.bat" "%USERPROFILE%\AppData\Local\Temp\OnboardLogs"\RTDC4020\2016-12-11</v>
      </c>
      <c r="AF23" s="88" t="str">
        <f t="shared" si="13"/>
        <v>"C:\Program Files (x86)\AstroGrep\AstroGrep.exe" /spath="%USERPROFILE%\AppData\Local\Temp\OnboardLogs" /stypes="app*4020*20161210*" /stext=" 12:.+((SYSTEM_STATE.+slice.+state.+changed )|(ment ac)|(multiple cpu faults)|(system.+state.+changed )|(\[timeout)|(PRM\|1\|D)|(kpr)|(kdp)|(\|lc)|(penalty))" /e /r /s</v>
      </c>
      <c r="AG23" s="1" t="str">
        <f t="shared" si="14"/>
        <v>EC</v>
      </c>
      <c r="AH23" s="92" t="str">
        <f t="shared" si="17"/>
        <v>"%USERPROFILE%\Documents\GitHub\eaglep3\Utilities\RefineRTDCRunTimes.py" --tripid 111-10 --locoid 4020 --swversion DE.1.0.8.0 --startMP 204:750 --initTime 2016-12-10T04:53:37 --startdatetime 2016-12-10T05:00:15 --delay 1 --endMP 204:233307 --enddatetime 2016-12-10T05:35:36 --enforcementcount 1 &gt;&gt;C:\Users\stu\Documents\GitHub\eaglep3-reporting\EC\2016-12-10-refined-times.txt</v>
      </c>
      <c r="AI23" s="119" t="str">
        <f t="shared" si="18"/>
        <v>echo {"issue":{"subject":"","project_id":79,"tracker_id":40,"status_id":1,"priority_id":2,"assigned_to_id":23,"start_date":"2016-12-10","description":"","custom_fields":[{"id":1,"name":"Subdivision","value":"EC"},{"id":4,"name":"Milepost","value":"23.3307"},{"id":17,"name":"Train ID","value":"111-10"},{"id":16,"name":"Locomotive ID","value":"4020"},{"id":130,"name":"Impact","value":""},{"id":150,"name":"Time of Event (Mountain Time)","value":"05:35:36"},{"id":151,"name":"Denver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" s="53"/>
      <c r="AK23" s="53"/>
      <c r="AL23" s="5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25">
      <c r="A24" s="37" t="s">
        <v>477</v>
      </c>
      <c r="B24" s="7">
        <v>4019</v>
      </c>
      <c r="C24" s="22" t="s">
        <v>207</v>
      </c>
      <c r="D24" s="22" t="s">
        <v>368</v>
      </c>
      <c r="E24" s="13">
        <v>42714.242962962962</v>
      </c>
      <c r="F24" s="13">
        <v>42714.247418981482</v>
      </c>
      <c r="G24" s="7">
        <v>2</v>
      </c>
      <c r="H24" s="22" t="s">
        <v>296</v>
      </c>
      <c r="I24" s="13">
        <v>42714.275393518517</v>
      </c>
      <c r="J24" s="7">
        <v>1</v>
      </c>
      <c r="K24" s="109" t="str">
        <f t="shared" si="0"/>
        <v>4019/4020</v>
      </c>
      <c r="L24" s="22" t="str">
        <f>VLOOKUP(A24,'Trips&amp;Operators'!$C$1:$G$99999,5,FALSE)</f>
        <v>GEBRETEKLE DAGNEW</v>
      </c>
      <c r="M24" s="6">
        <f t="shared" si="1"/>
        <v>2.7974537035333924E-2</v>
      </c>
      <c r="N24" s="7">
        <f t="shared" si="2"/>
        <v>40.283333330880851</v>
      </c>
      <c r="O24" s="7"/>
      <c r="P24" s="7"/>
      <c r="Q24" s="23"/>
      <c r="R24" s="23"/>
      <c r="S24" s="35">
        <f t="shared" si="3"/>
        <v>1</v>
      </c>
      <c r="T24" s="50" t="str">
        <f t="shared" si="4"/>
        <v>Southbound</v>
      </c>
      <c r="U24" s="171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https://search-rtdc-monitor-bjffxe2xuh6vdkpspy63sjmuny.us-east-1.es.amazonaws.com/_plugin/kibana/#/discover/Steve-Slow-Train-Analysis-(2080s-and-2083s)?_g=(refreshInterval:(display:Off,section:0,value:0),time:(from:'2016-12-10 04:49:52-700',mode:absolute,to:'2016-12-10 07:36:34-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201053%20OR%202087)%20AND%20%22rtdc.l.rtdc.4019%22')),sort:!(Time,asc))</v>
      </c>
      <c r="W24" s="52" t="str">
        <f t="shared" si="6"/>
        <v>N</v>
      </c>
      <c r="X24" s="177">
        <f t="shared" si="7"/>
        <v>1</v>
      </c>
      <c r="Y24" s="67">
        <f t="shared" si="8"/>
        <v>23.297499999999999</v>
      </c>
      <c r="Z24" s="67">
        <f t="shared" si="9"/>
        <v>1.52E-2</v>
      </c>
      <c r="AA24" s="67">
        <f t="shared" si="10"/>
        <v>23.282299999999999</v>
      </c>
      <c r="AB24" s="64" t="e">
        <f>VLOOKUP(A24,Enforcements!$C$7:$K$20,8,0)</f>
        <v>#N/A</v>
      </c>
      <c r="AC24" s="60" t="e">
        <f>VLOOKUP(A24,Enforcements!$C$7:$E$20,3,0)</f>
        <v>#N/A</v>
      </c>
      <c r="AD24" s="61" t="str">
        <f t="shared" si="11"/>
        <v>0112-10</v>
      </c>
      <c r="AE24" s="91" t="str">
        <f t="shared" si="12"/>
        <v>aws s3 cp s3://rtdc.mdm.uploadarchive.raw/RTDC4019/ "%USERPROFILE%\AppData\Local\Temp\OnboardLogs"\RTDC4019\2016-12-10 --exclude "*" --recursive --include "*20161210*" &amp; "%USERPROFILE%\Documents\GitHub\mrs-test-scripts\Headless Mode &amp; Sideloading\WalkAndUnGZ.bat" "%USERPROFILE%\AppData\Local\Temp\OnboardLogs"\RTDC4019\2016-12-10 &amp; aws s3 cp s3://rtdc.mdm.uploadarchive.raw/RTDC4019/ "%USERPROFILE%\AppData\Local\Temp\OnboardLogs"\RTDC4019\2016-12-11 --exclude "*" --recursive --include "*20161211*" &amp; "%USERPROFILE%\Documents\GitHub\mrs-test-scripts\Headless Mode &amp; Sideloading\WalkAndUnGZ.bat" "%USERPROFILE%\AppData\Local\Temp\OnboardLogs"\RTDC4019\2016-12-11</v>
      </c>
      <c r="AF24" s="88" t="str">
        <f t="shared" si="13"/>
        <v>"C:\Program Files (x86)\AstroGrep\AstroGrep.exe" /spath="%USERPROFILE%\AppData\Local\Temp\OnboardLogs" /stypes="app*4019*20161210*" /stext=" 13:.+((SYSTEM_STATE.+slice.+state.+changed )|(ment ac)|(multiple cpu faults)|(system.+state.+changed )|(\[timeout)|(PRM\|1\|D)|(kpr)|(kdp)|(\|lc)|(penalty))" /e /r /s</v>
      </c>
      <c r="AG24" s="1" t="str">
        <f t="shared" si="14"/>
        <v>EC</v>
      </c>
      <c r="AH24" s="92" t="str">
        <f t="shared" si="17"/>
        <v>"%USERPROFILE%\Documents\GitHub\eaglep3\Utilities\RefineRTDCRunTimes.py" --tripid 112-10 --locoid 4019 --swversion DE.1.0.8.0 --startMP 204:232975 --initTime 2016-12-10T05:49:52 --startdatetime 2016-12-10T05:56:17 --delay 2 --endMP 204:152 --enddatetime 2016-12-10T06:36:34 --enforcementcount 1 &gt;&gt;C:\Users\stu\Documents\GitHub\eaglep3-reporting\EC\2016-12-10-refined-times.txt</v>
      </c>
      <c r="AI24" s="119" t="str">
        <f t="shared" si="18"/>
        <v>echo {"issue":{"subject":"","project_id":79,"tracker_id":40,"status_id":1,"priority_id":2,"assigned_to_id":23,"start_date":"2016-12-10","description":"","custom_fields":[{"id":1,"name":"Subdivision","value":"EC"},{"id":4,"name":"Milepost","value":"0.0152"},{"id":17,"name":"Train ID","value":"112-10"},{"id":16,"name":"Locomotive ID","value":"4019"},{"id":130,"name":"Impact","value":""},{"id":150,"name":"Time of Event (Mountain Time)","value":"06:36:34"},{"id":151,"name":"Denver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" s="53"/>
      <c r="AK24" s="53"/>
      <c r="AL24" s="53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25">
      <c r="A25" s="37" t="s">
        <v>468</v>
      </c>
      <c r="B25" s="7">
        <v>4003</v>
      </c>
      <c r="C25" s="22" t="s">
        <v>207</v>
      </c>
      <c r="D25" s="22" t="s">
        <v>292</v>
      </c>
      <c r="E25" s="13">
        <v>42714.208877314813</v>
      </c>
      <c r="F25" s="13">
        <v>42714.219039351854</v>
      </c>
      <c r="G25" s="7">
        <v>1</v>
      </c>
      <c r="H25" s="22" t="s">
        <v>649</v>
      </c>
      <c r="I25" s="13">
        <v>42714.24459490741</v>
      </c>
      <c r="J25" s="7">
        <v>1</v>
      </c>
      <c r="K25" s="109" t="str">
        <f t="shared" si="0"/>
        <v>4003/4004</v>
      </c>
      <c r="L25" s="22" t="str">
        <f>VLOOKUP(A25,'Trips&amp;Operators'!$C$1:$G$99999,5,FALSE)</f>
        <v>MAELZER KURT</v>
      </c>
      <c r="M25" s="6">
        <f t="shared" si="1"/>
        <v>2.5555555555911269E-2</v>
      </c>
      <c r="N25" s="7">
        <f t="shared" si="2"/>
        <v>36.800000000512227</v>
      </c>
      <c r="O25" s="7"/>
      <c r="P25" s="7"/>
      <c r="Q25" s="23"/>
      <c r="R25" s="23"/>
      <c r="S25" s="35">
        <f t="shared" si="3"/>
        <v>1</v>
      </c>
      <c r="T25" s="50" t="str">
        <f t="shared" si="4"/>
        <v>NorthBound</v>
      </c>
      <c r="U25" s="171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https://search-rtdc-monitor-bjffxe2xuh6vdkpspy63sjmuny.us-east-1.es.amazonaws.com/_plugin/kibana/#/discover/Steve-Slow-Train-Analysis-(2080s-and-2083s)?_g=(refreshInterval:(display:Off,section:0,value:0),time:(from:'2016-12-10 04:00:47-700',mode:absolute,to:'2016-12-10 06:52:13-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201053%20OR%202087)%20AND%20%22rtdc.l.rtdc.4003%22')),sort:!(Time,asc))</v>
      </c>
      <c r="W25" s="52" t="str">
        <f t="shared" si="6"/>
        <v>N</v>
      </c>
      <c r="X25" s="177">
        <f t="shared" si="7"/>
        <v>1</v>
      </c>
      <c r="Y25" s="67">
        <f t="shared" si="8"/>
        <v>4.53E-2</v>
      </c>
      <c r="Z25" s="67">
        <f t="shared" si="9"/>
        <v>23.331</v>
      </c>
      <c r="AA25" s="67">
        <f t="shared" si="10"/>
        <v>23.285699999999999</v>
      </c>
      <c r="AB25" s="64" t="e">
        <f>VLOOKUP(A25,Enforcements!$C$7:$K$20,8,0)</f>
        <v>#N/A</v>
      </c>
      <c r="AC25" s="60" t="e">
        <f>VLOOKUP(A25,Enforcements!$C$7:$E$20,3,0)</f>
        <v>#N/A</v>
      </c>
      <c r="AD25" s="61" t="str">
        <f t="shared" si="11"/>
        <v>0113-10</v>
      </c>
      <c r="AE25" s="91" t="str">
        <f t="shared" si="12"/>
        <v>aws s3 cp s3://rtdc.mdm.uploadarchive.raw/RTDC4003/ "%USERPROFILE%\AppData\Local\Temp\OnboardLogs"\RTDC4003\2016-12-10 --exclude "*" --recursive --include "*20161210*" &amp; "%USERPROFILE%\Documents\GitHub\mrs-test-scripts\Headless Mode &amp; Sideloading\WalkAndUnGZ.bat" "%USERPROFILE%\AppData\Local\Temp\OnboardLogs"\RTDC4003\2016-12-10 &amp; aws s3 cp s3://rtdc.mdm.uploadarchive.raw/RTDC4003/ "%USERPROFILE%\AppData\Local\Temp\OnboardLogs"\RTDC4003\2016-12-11 --exclude "*" --recursive --include "*20161211*" &amp; "%USERPROFILE%\Documents\GitHub\mrs-test-scripts\Headless Mode &amp; Sideloading\WalkAndUnGZ.bat" "%USERPROFILE%\AppData\Local\Temp\OnboardLogs"\RTDC4003\2016-12-11</v>
      </c>
      <c r="AF25" s="88" t="str">
        <f t="shared" si="13"/>
        <v>"C:\Program Files (x86)\AstroGrep\AstroGrep.exe" /spath="%USERPROFILE%\AppData\Local\Temp\OnboardLogs" /stypes="app*4003*20161210*" /stext=" 12:.+((SYSTEM_STATE.+slice.+state.+changed )|(ment ac)|(multiple cpu faults)|(system.+state.+changed )|(\[timeout)|(PRM\|1\|D)|(kpr)|(kdp)|(\|lc)|(penalty))" /e /r /s</v>
      </c>
      <c r="AG25" s="1" t="str">
        <f t="shared" si="14"/>
        <v>EC</v>
      </c>
      <c r="AH25" s="92" t="str">
        <f t="shared" si="17"/>
        <v>"%USERPROFILE%\Documents\GitHub\eaglep3\Utilities\RefineRTDCRunTimes.py" --tripid 113-10 --locoid 4003 --swversion DE.1.0.8.0 --startMP 204:453 --initTime 2016-12-10T05:00:47 --startdatetime 2016-12-10T05:15:25 --delay 1 --endMP 204:233310 --enddatetime 2016-12-10T05:52:13 --enforcementcount 1 &gt;&gt;C:\Users\stu\Documents\GitHub\eaglep3-reporting\EC\2016-12-10-refined-times.txt</v>
      </c>
      <c r="AI25" s="119" t="str">
        <f t="shared" si="18"/>
        <v>echo {"issue":{"subject":"","project_id":79,"tracker_id":40,"status_id":1,"priority_id":2,"assigned_to_id":23,"start_date":"2016-12-10","description":"","custom_fields":[{"id":1,"name":"Subdivision","value":"EC"},{"id":4,"name":"Milepost","value":"23.331"},{"id":17,"name":"Train ID","value":"113-10"},{"id":16,"name":"Locomotive ID","value":"4003"},{"id":130,"name":"Impact","value":""},{"id":150,"name":"Time of Event (Mountain Time)","value":"05:52:13"},{"id":151,"name":"Denver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" s="53"/>
      <c r="AK25" s="53"/>
      <c r="AL25" s="53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25">
      <c r="A26" s="37" t="s">
        <v>409</v>
      </c>
      <c r="B26" s="7">
        <v>4004</v>
      </c>
      <c r="C26" s="22" t="s">
        <v>207</v>
      </c>
      <c r="D26" s="22" t="s">
        <v>650</v>
      </c>
      <c r="E26" s="13">
        <v>42714.256435185183</v>
      </c>
      <c r="F26" s="13">
        <v>42714.258472222224</v>
      </c>
      <c r="G26" s="7">
        <v>2</v>
      </c>
      <c r="H26" s="22" t="s">
        <v>193</v>
      </c>
      <c r="I26" s="13">
        <v>42714.280798611115</v>
      </c>
      <c r="J26" s="7">
        <v>1</v>
      </c>
      <c r="K26" s="109" t="str">
        <f t="shared" si="0"/>
        <v>4003/4004</v>
      </c>
      <c r="L26" s="22" t="str">
        <f>VLOOKUP(A26,'Trips&amp;Operators'!$C$1:$G$99999,5,FALSE)</f>
        <v>MAELZER KURT</v>
      </c>
      <c r="M26" s="6">
        <f t="shared" si="1"/>
        <v>2.2326388891087845E-2</v>
      </c>
      <c r="N26" s="7"/>
      <c r="O26" s="7"/>
      <c r="P26" s="7">
        <f t="shared" si="2"/>
        <v>32.150000003166497</v>
      </c>
      <c r="Q26" s="23"/>
      <c r="R26" s="23" t="s">
        <v>798</v>
      </c>
      <c r="S26" s="35">
        <f t="shared" si="3"/>
        <v>1</v>
      </c>
      <c r="T26" s="50" t="str">
        <f t="shared" si="4"/>
        <v>Southbound</v>
      </c>
      <c r="U26" s="171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https://search-rtdc-monitor-bjffxe2xuh6vdkpspy63sjmuny.us-east-1.es.amazonaws.com/_plugin/kibana/#/discover/Steve-Slow-Train-Analysis-(2080s-and-2083s)?_g=(refreshInterval:(display:Off,section:0,value:0),time:(from:'2016-12-10 05:09:16-700',mode:absolute,to:'2016-12-10 07:44:21-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201053%20OR%202087)%20AND%20%22rtdc.l.rtdc.4004%22')),sort:!(Time,asc))</v>
      </c>
      <c r="W26" s="52" t="str">
        <f t="shared" si="6"/>
        <v>N</v>
      </c>
      <c r="X26" s="177">
        <f t="shared" si="7"/>
        <v>1</v>
      </c>
      <c r="Y26" s="67">
        <f t="shared" si="8"/>
        <v>23.2013</v>
      </c>
      <c r="Z26" s="67">
        <f t="shared" si="9"/>
        <v>1.43E-2</v>
      </c>
      <c r="AA26" s="67">
        <f t="shared" si="10"/>
        <v>23.187000000000001</v>
      </c>
      <c r="AB26" s="64" t="str">
        <f>VLOOKUP(A26,Enforcements!$C$7:$K$20,8,0)</f>
        <v>Signal based authority (5)</v>
      </c>
      <c r="AC26" s="60" t="str">
        <f>VLOOKUP(A26,Enforcements!$C$7:$E$20,3,0)</f>
        <v>SIGNAL</v>
      </c>
      <c r="AD26" s="61" t="str">
        <f t="shared" si="11"/>
        <v>0114-10</v>
      </c>
      <c r="AE26" s="91" t="str">
        <f t="shared" si="12"/>
        <v>aws s3 cp s3://rtdc.mdm.uploadarchive.raw/RTDC4004/ "%USERPROFILE%\AppData\Local\Temp\OnboardLogs"\RTDC4004\2016-12-10 --exclude "*" --recursive --include "*20161210*" &amp; "%USERPROFILE%\Documents\GitHub\mrs-test-scripts\Headless Mode &amp; Sideloading\WalkAndUnGZ.bat" "%USERPROFILE%\AppData\Local\Temp\OnboardLogs"\RTDC4004\2016-12-10 &amp; aws s3 cp s3://rtdc.mdm.uploadarchive.raw/RTDC4004/ "%USERPROFILE%\AppData\Local\Temp\OnboardLogs"\RTDC4004\2016-12-11 --exclude "*" --recursive --include "*20161211*" &amp; "%USERPROFILE%\Documents\GitHub\mrs-test-scripts\Headless Mode &amp; Sideloading\WalkAndUnGZ.bat" "%USERPROFILE%\AppData\Local\Temp\OnboardLogs"\RTDC4004\2016-12-11</v>
      </c>
      <c r="AF26" s="88" t="str">
        <f t="shared" si="13"/>
        <v>"C:\Program Files (x86)\AstroGrep\AstroGrep.exe" /spath="%USERPROFILE%\AppData\Local\Temp\OnboardLogs" /stypes="app*4004*20161210*" /stext=" 13:.+((SYSTEM_STATE.+slice.+state.+changed )|(ment ac)|(multiple cpu faults)|(system.+state.+changed )|(\[timeout)|(PRM\|1\|D)|(kpr)|(kdp)|(\|lc)|(penalty))" /e /r /s</v>
      </c>
      <c r="AG26" s="1" t="str">
        <f t="shared" si="14"/>
        <v>EC</v>
      </c>
      <c r="AH26" s="92" t="str">
        <f t="shared" si="17"/>
        <v>"%USERPROFILE%\Documents\GitHub\eaglep3\Utilities\RefineRTDCRunTimes.py" --tripid 114-10 --locoid 4004 --swversion DE.1.0.8.0 --startMP 204:232013 --initTime 2016-12-10T06:09:16 --startdatetime 2016-12-10T06:12:12 --delay 2 --endMP 204:143 --enddatetime 2016-12-10T06:44:21 --enforcementcount 1 &gt;&gt;C:\Users\stu\Documents\GitHub\eaglep3-reporting\EC\2016-12-10-refined-times.txt</v>
      </c>
      <c r="AI26" s="119" t="str">
        <f t="shared" si="18"/>
        <v>echo {"issue":{"subject":"Wheel tach slip","project_id":79,"tracker_id":40,"status_id":1,"priority_id":2,"assigned_to_id":23,"start_date":"2016-12-10","description":"","custom_fields":[{"id":1,"name":"Subdivision","value":"EC"},{"id":4,"name":"Milepost","value":"0.0143"},{"id":17,"name":"Train ID","value":"114-10"},{"id":16,"name":"Locomotive ID","value":"4004"},{"id":130,"name":"Impact","value":""},{"id":150,"name":"Time of Event (Mountain Time)","value":"06:44:21"},{"id":151,"name":"Denver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" s="53"/>
      <c r="AK26" s="53"/>
      <c r="AL26" s="53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25">
      <c r="A27" s="37" t="s">
        <v>409</v>
      </c>
      <c r="B27" s="7">
        <v>4004</v>
      </c>
      <c r="C27" s="22" t="s">
        <v>207</v>
      </c>
      <c r="D27" s="22" t="s">
        <v>650</v>
      </c>
      <c r="E27" s="13">
        <v>42714.256435185183</v>
      </c>
      <c r="F27" s="13"/>
      <c r="G27" s="7">
        <v>2</v>
      </c>
      <c r="H27" s="22" t="s">
        <v>193</v>
      </c>
      <c r="I27" s="13"/>
      <c r="J27" s="7">
        <v>1</v>
      </c>
      <c r="K27" s="109" t="str">
        <f t="shared" ref="K27" si="19">IF(ISEVEN(B27),(B27-1)&amp;"/"&amp;B27,B27&amp;"/"&amp;(B27+1))</f>
        <v>4003/4004</v>
      </c>
      <c r="L27" s="22" t="str">
        <f>VLOOKUP(A27,'Trips&amp;Operators'!$C$1:$G$99999,5,FALSE)</f>
        <v>MAELZER KURT</v>
      </c>
      <c r="M27" s="6">
        <f t="shared" ref="M27" si="20">I27-F27</f>
        <v>0</v>
      </c>
      <c r="N27" s="7"/>
      <c r="O27" s="7"/>
      <c r="P27" s="7"/>
      <c r="Q27" s="23"/>
      <c r="R27" s="23" t="s">
        <v>886</v>
      </c>
      <c r="S27" s="35">
        <f t="shared" ref="S27" si="21">SUM(U27:U27)/IF(AG27="EC",12,1)</f>
        <v>1</v>
      </c>
      <c r="T27" s="50" t="str">
        <f t="shared" ref="T27" si="22">IF(ISEVEN(LEFT(AD27,4)),"Southbound","NorthBound")</f>
        <v>Southbound</v>
      </c>
      <c r="U27" s="171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98" t="str">
        <f t="shared" ref="V27" si="23">"https://search-rtdc-monitor-bjffxe2xuh6vdkpspy63sjmuny.us-east-1.es.amazonaws.com/_plugin/kibana/#/discover/Steve-Slow-Train-Analysis-(2080s-and-2083s)?_g=(refreshInterval:(display:Off,section:0,value:0),time:(from:'"&amp;TEXT(E27-1/24,"yyyy-MM-DD hh:mm:ss")&amp;utc_offset&amp;"00',mode:absolute,to:'"&amp;TEXT(I27+1/24,"yyyy-MM-DD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201053%20OR%202087)%20AND%20%22rtdc.l.rtdc."&amp;B27&amp;"%22')),sort:!(Time,asc))"</f>
        <v>https://search-rtdc-monitor-bjffxe2xuh6vdkpspy63sjmuny.us-east-1.es.amazonaws.com/_plugin/kibana/#/discover/Steve-Slow-Train-Analysis-(2080s-and-2083s)?_g=(refreshInterval:(display:Off,section:0,value:0),time:(from:'2016-12-10 05:09:16-700',mode:absolute,to:'1900-01-00 01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201053%20OR%202087)%20AND%20%22rtdc.l.rtdc.4004%22')),sort:!(Time,asc))</v>
      </c>
      <c r="W27" s="52" t="str">
        <f t="shared" ref="W27" si="24">IF(AA27&lt;IF(AG27="EC",23,5.65),"Y","N")</f>
        <v>N</v>
      </c>
      <c r="X27" s="177">
        <f t="shared" ref="X27" si="25">VALUE(LEFT(AD27,4))-VALUE(LEFT(AD26,4))</f>
        <v>0</v>
      </c>
      <c r="Y27" s="67">
        <f t="shared" ref="Y27" si="26">RIGHT(D27,LEN(D27)-4)/10000</f>
        <v>23.2013</v>
      </c>
      <c r="Z27" s="67">
        <f t="shared" ref="Z27" si="27">RIGHT(H27,LEN(H27)-4)/10000</f>
        <v>1.43E-2</v>
      </c>
      <c r="AA27" s="67">
        <f t="shared" ref="AA27" si="28">ABS(Z27-Y27)</f>
        <v>23.187000000000001</v>
      </c>
      <c r="AB27" s="64" t="str">
        <f>VLOOKUP(A27,Enforcements!$C$7:$K$20,8,0)</f>
        <v>Signal based authority (5)</v>
      </c>
      <c r="AC27" s="60" t="str">
        <f>VLOOKUP(A27,Enforcements!$C$7:$E$20,3,0)</f>
        <v>SIGNAL</v>
      </c>
      <c r="AD27" s="61" t="str">
        <f t="shared" ref="AD27" si="29">IF(LEN(A27)=6,"0"&amp;A27,A27)</f>
        <v>0114-10</v>
      </c>
      <c r="AE27" s="91" t="str">
        <f t="shared" ref="AE27" si="30">"aws s3 cp "&amp;s3_bucket&amp;"/RTDC"&amp;B27&amp;"/ "&amp;search_path&amp;"\RTDC"&amp;B27&amp;"\"&amp;TEXT(F27,"YYYY-MM-DD")&amp;" --exclude ""*"" --recursive --include ""*"&amp;TEXT(F27,"YYYYMMDD")&amp;"*"" &amp; """&amp;walkandungz&amp;""" "&amp;search_path&amp;"\RTDC"&amp;B27&amp;"\"&amp;TEXT(F27,"YYYY-MM-DD")
&amp;" &amp; "&amp;"aws s3 cp "&amp;s3_bucket&amp;"/RTDC"&amp;B27&amp;"/ "&amp;search_path&amp;"\RTDC"&amp;B27&amp;"\"&amp;TEXT(F27+1,"YYYY-MM-DD")&amp;" --exclude ""*"" --recursive --include ""*"&amp;TEXT(F27+1,"YYYYMMDD")&amp;"*"" &amp; """&amp;walkandungz&amp;""" "&amp;search_path&amp;"\RTDC"&amp;B27&amp;"\"&amp;TEXT(F27+1,"YYYY-MM-DD")</f>
        <v>aws s3 cp s3://rtdc.mdm.uploadarchive.raw/RTDC4004/ "%USERPROFILE%\AppData\Local\Temp\OnboardLogs"\RTDC4004\1900-01-00 --exclude "*" --recursive --include "*19000100*" &amp; "%USERPROFILE%\Documents\GitHub\mrs-test-scripts\Headless Mode &amp; Sideloading\WalkAndUnGZ.bat" "%USERPROFILE%\AppData\Local\Temp\OnboardLogs"\RTDC4004\1900-01-00 &amp; aws s3 cp s3://rtdc.mdm.uploadarchive.raw/RTDC4004/ "%USERPROFILE%\AppData\Local\Temp\OnboardLogs"\RTDC4004\1900-01-01 --exclude "*" --recursive --include "*19000101*" &amp; "%USERPROFILE%\Documents\GitHub\mrs-test-scripts\Headless Mode &amp; Sideloading\WalkAndUnGZ.bat" "%USERPROFILE%\AppData\Local\Temp\OnboardLogs"\RTDC4004\1900-01-01</v>
      </c>
      <c r="AF27" s="88" t="str">
        <f t="shared" ref="AF27" si="31">astrogrep_path&amp;" /spath="&amp;search_path&amp;" /stypes=""app*"&amp;B27&amp;"*"&amp;TEXT(I27-utc_offset/24,"YYYYMMDD")&amp;"*"" /stext="" "&amp;TEXT(I27-utc_offset/24,"HH")&amp;search_regexp&amp;""" /e /r /s"</f>
        <v>"C:\Program Files (x86)\AstroGrep\AstroGrep.exe" /spath="%USERPROFILE%\AppData\Local\Temp\OnboardLogs" /stypes="app*4004*19000100*" /stext=" 07:.+((SYSTEM_STATE.+slice.+state.+changed )|(ment ac)|(multiple cpu faults)|(system.+state.+changed )|(\[timeout)|(PRM\|1\|D)|(kpr)|(kdp)|(\|lc)|(penalty))" /e /r /s</v>
      </c>
      <c r="AG27" s="1" t="str">
        <f t="shared" ref="AG27" si="32">IFERROR(IF(VALUE(LEFT(AD27,2))&lt;=2,"EC",IF(OR(VALUE(LEFT(AD27,2))=8,VALUE(LEFT(AD27,2))=18),"NW","Other")),"Other")</f>
        <v>EC</v>
      </c>
      <c r="AH27" s="92" t="str">
        <f t="shared" ref="AH27" si="33">refinertdcruntimes&amp;" --tripid "&amp;A27&amp;" --locoid "&amp;B27&amp;" --swversion "&amp;C27&amp;" --startMP "&amp;D27&amp;" --initTime "&amp;TEXT(E27,"yyyy-mm-ddTHH:MM:SS")&amp;" --startdatetime "&amp;TEXT(F27,"yyyy-mm-ddTHH:MM:SS")&amp;" --delay "&amp;G27&amp;" --endMP "&amp;H27&amp;" --enddatetime "&amp;TEXT(I27,"yyyy-mm-ddTHH:MM:SS")&amp;" --enforcementcount "&amp;J27&amp;IF(outputrefinedruntimes," &gt;&gt;"&amp;RefinedRTDCRunTimesOutputFile,"")</f>
        <v>"%USERPROFILE%\Documents\GitHub\eaglep3\Utilities\RefineRTDCRunTimes.py" --tripid 114-10 --locoid 4004 --swversion DE.1.0.8.0 --startMP 204:232013 --initTime 2016-12-10T06:09:16 --startdatetime 1900-01-00T00:00:00 --delay 2 --endMP 204:143 --enddatetime 1900-01-00T00:00:00 --enforcementcount 1 &gt;&gt;C:\Users\stu\Documents\GitHub\eaglep3-reporting\EC\2016-12-10-refined-times.txt</v>
      </c>
      <c r="AI27" s="119" t="str">
        <f t="shared" ref="AI27" si="34">"echo {""issue"":{""subject"":"""&amp;R27&amp;""",""project_id"":79,""tracker_id"":40,""status_id"":"&amp;redmine_status&amp;",""priority_id"":"&amp;redmine_priority&amp;",""assigned_to_id"":"&amp;redmine_assignee&amp;",""start_date"":"""&amp;TEXT(I27,"YYYY-mm-dd")&amp;""",""description"":"""&amp;AJ27&amp;""",""custom_fields"":[{""id"":1,""name"":""Subdivision"",""value"":"""&amp;AG27&amp;"""},{""id"":4,""name"":""Milepost"",""value"":"""&amp;Z27&amp;"""},{""id"":17,""name"":""Train ID"",""value"":"""&amp;A27&amp;"""},{""id"":16,""name"":""Locomotive ID"",""value"":"""&amp;B27&amp;"""},{""id"":130,""name"":""Impact"",""value"":"""&amp;AK27&amp;"""},{""id"":150,""name"":""Time of Event (Mountain Time)"",""value"":"""&amp;TEXT(I27,"hh:mm:ss")&amp;"""},{""id"":151,""name"":""Denver Issue ID"",""value"":"""&amp;"""},{""id"":178,""name"":""Operational Impact"",""value"":"""&amp;redmine_op_impact&amp;"""},{""id"":179,""name"":""Denver Segment Assigned"",""value"":"""&amp;AL27&amp;"""}]}}"&amp;" | curl -X POST -H ""Content-Type: application/json"" -H ""X-Redmine-API-Key: "&amp;redm_api_key&amp;""" "&amp;redm_url&amp;" --data @-"</f>
        <v>echo {"issue":{"subject":"FILL IN AMENDMENT","project_id":79,"tracker_id":40,"status_id":1,"priority_id":2,"assigned_to_id":23,"start_date":"1900-01-00","description":"","custom_fields":[{"id":1,"name":"Subdivision","value":"EC"},{"id":4,"name":"Milepost","value":"0.0143"},{"id":17,"name":"Train ID","value":"114-10"},{"id":16,"name":"Locomotive ID","value":"4004"},{"id":130,"name":"Impact","value":""},{"id":150,"name":"Time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" s="53"/>
      <c r="AK27" s="53"/>
      <c r="AL27" s="53"/>
      <c r="AM27" s="21"/>
      <c r="AN27" s="21"/>
      <c r="AO27" s="21"/>
      <c r="AP27" s="21"/>
      <c r="AQ27" s="21"/>
      <c r="AR27" s="21"/>
      <c r="AS27" s="21"/>
      <c r="AT27" s="21"/>
      <c r="AU27" s="21"/>
      <c r="AV27" s="21"/>
      <c r="AW27" s="21"/>
      <c r="AX27" s="21"/>
      <c r="AY27" s="21"/>
      <c r="AZ27" s="21"/>
      <c r="BA27" s="21"/>
      <c r="BB27" s="21"/>
      <c r="BC27" s="21"/>
      <c r="BD27" s="21"/>
      <c r="BE27" s="21"/>
      <c r="BF27" s="21"/>
      <c r="BG27" s="21"/>
      <c r="BH27" s="21"/>
      <c r="BI27" s="21"/>
      <c r="BJ27" s="21"/>
      <c r="BK27" s="21"/>
      <c r="BL27" s="21"/>
      <c r="BM27" s="21"/>
      <c r="BN27" s="21"/>
      <c r="BO27" s="21"/>
      <c r="BP27" s="21"/>
      <c r="BQ27" s="21"/>
      <c r="BR27" s="21"/>
      <c r="BS27" s="21"/>
      <c r="BT27" s="21"/>
      <c r="BU27" s="21"/>
      <c r="BV27" s="21"/>
      <c r="BW27" s="21"/>
      <c r="BX27" s="21"/>
      <c r="BY27" s="21"/>
      <c r="BZ27" s="21"/>
      <c r="CA27" s="21"/>
      <c r="CB27" s="21"/>
      <c r="CC27" s="21"/>
      <c r="CD27" s="21"/>
      <c r="CE27" s="21"/>
      <c r="CF27" s="21"/>
      <c r="CG27" s="21"/>
      <c r="CH27" s="21"/>
      <c r="CI27" s="21"/>
      <c r="CJ27" s="21"/>
      <c r="CK27" s="21"/>
      <c r="CL27" s="21"/>
      <c r="CM27" s="21"/>
    </row>
    <row r="28" spans="1:91" s="1" customFormat="1" x14ac:dyDescent="0.25">
      <c r="A28" s="37" t="s">
        <v>407</v>
      </c>
      <c r="B28" s="7">
        <v>4014</v>
      </c>
      <c r="C28" s="22" t="s">
        <v>207</v>
      </c>
      <c r="D28" s="22" t="s">
        <v>651</v>
      </c>
      <c r="E28" s="13">
        <v>42714.227118055554</v>
      </c>
      <c r="F28" s="13">
        <v>42714.229409722226</v>
      </c>
      <c r="G28" s="7">
        <v>1</v>
      </c>
      <c r="H28" s="22" t="s">
        <v>338</v>
      </c>
      <c r="I28" s="13">
        <v>42714.234409722223</v>
      </c>
      <c r="J28" s="7">
        <v>1</v>
      </c>
      <c r="K28" s="109" t="str">
        <f t="shared" si="0"/>
        <v>4013/4014</v>
      </c>
      <c r="L28" s="22" t="str">
        <f>VLOOKUP(A28,'Trips&amp;Operators'!$C$1:$G$99999,5,FALSE)</f>
        <v>ISHMAEL JOSEPH</v>
      </c>
      <c r="M28" s="6">
        <f t="shared" si="1"/>
        <v>4.9999999973806553E-3</v>
      </c>
      <c r="N28" s="7"/>
      <c r="O28" s="7"/>
      <c r="P28" s="7">
        <f>24*60*SUM($M28:$M29)</f>
        <v>35.199999993201345</v>
      </c>
      <c r="Q28" s="23"/>
      <c r="R28" s="23" t="s">
        <v>798</v>
      </c>
      <c r="S28" s="35">
        <f>SUM(U28:U29)/IF(AG28="EC",12,1)</f>
        <v>0.83333333333333337</v>
      </c>
      <c r="T28" s="50" t="str">
        <f t="shared" si="4"/>
        <v>NorthBound</v>
      </c>
      <c r="U28" s="171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</v>
      </c>
      <c r="V28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https://search-rtdc-monitor-bjffxe2xuh6vdkpspy63sjmuny.us-east-1.es.amazonaws.com/_plugin/kibana/#/discover/Steve-Slow-Train-Analysis-(2080s-and-2083s)?_g=(refreshInterval:(display:Off,section:0,value:0),time:(from:'2016-12-10 04:27:03-700',mode:absolute,to:'2016-12-10 06:37:33-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201053%20OR%202087)%20AND%20%22rtdc.l.rtdc.4014%22')),sort:!(Time,asc))</v>
      </c>
      <c r="W28" s="52" t="str">
        <f t="shared" si="6"/>
        <v>Y</v>
      </c>
      <c r="X28" s="177">
        <f>VALUE(LEFT(AD28,4))-VALUE(LEFT(AD26,4))</f>
        <v>1</v>
      </c>
      <c r="Y28" s="67">
        <f t="shared" si="8"/>
        <v>7.3499999999999996E-2</v>
      </c>
      <c r="Z28" s="67">
        <v>2.84</v>
      </c>
      <c r="AA28" s="67">
        <f t="shared" si="10"/>
        <v>2.7664999999999997</v>
      </c>
      <c r="AB28" s="64" t="str">
        <f>VLOOKUP(A28,Enforcements!$C$7:$K$20,8,0)</f>
        <v>Bulletin (2)</v>
      </c>
      <c r="AC28" s="60" t="str">
        <f>VLOOKUP(A28,Enforcements!$C$7:$E$20,3,0)</f>
        <v>GRADE CROSSING</v>
      </c>
      <c r="AD28" s="61" t="str">
        <f t="shared" si="11"/>
        <v>0115-10</v>
      </c>
      <c r="AE28" s="91" t="str">
        <f t="shared" si="12"/>
        <v>aws s3 cp s3://rtdc.mdm.uploadarchive.raw/RTDC4014/ "%USERPROFILE%\AppData\Local\Temp\OnboardLogs"\RTDC4014\2016-12-10 --exclude "*" --recursive --include "*20161210*" &amp; "%USERPROFILE%\Documents\GitHub\mrs-test-scripts\Headless Mode &amp; Sideloading\WalkAndUnGZ.bat" "%USERPROFILE%\AppData\Local\Temp\OnboardLogs"\RTDC4014\2016-12-10 &amp; aws s3 cp s3://rtdc.mdm.uploadarchive.raw/RTDC4014/ "%USERPROFILE%\AppData\Local\Temp\OnboardLogs"\RTDC4014\2016-12-11 --exclude "*" --recursive --include "*20161211*" &amp; "%USERPROFILE%\Documents\GitHub\mrs-test-scripts\Headless Mode &amp; Sideloading\WalkAndUnGZ.bat" "%USERPROFILE%\AppData\Local\Temp\OnboardLogs"\RTDC4014\2016-12-11</v>
      </c>
      <c r="AF28" s="88" t="str">
        <f t="shared" si="13"/>
        <v>"C:\Program Files (x86)\AstroGrep\AstroGrep.exe" /spath="%USERPROFILE%\AppData\Local\Temp\OnboardLogs" /stypes="app*4014*20161210*" /stext=" 12:.+((SYSTEM_STATE.+slice.+state.+changed )|(ment ac)|(multiple cpu faults)|(system.+state.+changed )|(\[timeout)|(PRM\|1\|D)|(kpr)|(kdp)|(\|lc)|(penalty))" /e /r /s</v>
      </c>
      <c r="AG28" s="1" t="str">
        <f t="shared" si="14"/>
        <v>EC</v>
      </c>
      <c r="AH28" s="92" t="str">
        <f t="shared" si="17"/>
        <v>"%USERPROFILE%\Documents\GitHub\eaglep3\Utilities\RefineRTDCRunTimes.py" --tripid 115-10 --locoid 4014 --swversion DE.1.0.8.0 --startMP 204:735 --initTime 2016-12-10T05:27:03 --startdatetime 2016-12-10T05:30:21 --delay 1 --endMP 204:233274 --enddatetime 2016-12-10T05:37:33 --enforcementcount 1 &gt;&gt;C:\Users\stu\Documents\GitHub\eaglep3-reporting\EC\2016-12-10-refined-times.txt</v>
      </c>
      <c r="AI28" s="119" t="str">
        <f t="shared" si="18"/>
        <v>echo {"issue":{"subject":"Wheel tach slip","project_id":79,"tracker_id":40,"status_id":1,"priority_id":2,"assigned_to_id":23,"start_date":"2016-12-10","description":"","custom_fields":[{"id":1,"name":"Subdivision","value":"EC"},{"id":4,"name":"Milepost","value":"2.84"},{"id":17,"name":"Train ID","value":"115-10"},{"id":16,"name":"Locomotive ID","value":"4014"},{"id":130,"name":"Impact","value":""},{"id":150,"name":"Time of Event (Mountain Time)","value":"05:37:33"},{"id":151,"name":"Denver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8" s="53"/>
      <c r="AK28" s="53"/>
      <c r="AL28" s="53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25">
      <c r="A29" s="37" t="s">
        <v>407</v>
      </c>
      <c r="B29" s="7">
        <v>4014</v>
      </c>
      <c r="C29" s="22" t="s">
        <v>207</v>
      </c>
      <c r="D29" s="22" t="s">
        <v>651</v>
      </c>
      <c r="E29" s="13">
        <v>42714.227118055554</v>
      </c>
      <c r="F29" s="13">
        <v>42714.235509259262</v>
      </c>
      <c r="G29" s="7">
        <v>1</v>
      </c>
      <c r="H29" s="22" t="s">
        <v>338</v>
      </c>
      <c r="I29" s="13">
        <v>42714.254953703705</v>
      </c>
      <c r="J29" s="7">
        <v>1</v>
      </c>
      <c r="K29" s="109" t="str">
        <f t="shared" si="0"/>
        <v>4013/4014</v>
      </c>
      <c r="L29" s="22" t="str">
        <f>VLOOKUP(A29,'Trips&amp;Operators'!$C$1:$G$99999,5,FALSE)</f>
        <v>ISHMAEL JOSEPH</v>
      </c>
      <c r="M29" s="6">
        <f t="shared" si="1"/>
        <v>1.9444444442342501E-2</v>
      </c>
      <c r="N29" s="7"/>
      <c r="O29" s="7"/>
      <c r="P29" s="7"/>
      <c r="Q29" s="23"/>
      <c r="R29" s="23"/>
      <c r="S29" s="35"/>
      <c r="T29" s="50" t="str">
        <f t="shared" si="4"/>
        <v>NorthBound</v>
      </c>
      <c r="U29" s="171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9</v>
      </c>
      <c r="V29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https://search-rtdc-monitor-bjffxe2xuh6vdkpspy63sjmuny.us-east-1.es.amazonaws.com/_plugin/kibana/#/discover/Steve-Slow-Train-Analysis-(2080s-and-2083s)?_g=(refreshInterval:(display:Off,section:0,value:0),time:(from:'2016-12-10 04:27:03-700',mode:absolute,to:'2016-12-10 07:07:08-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201053%20OR%202087)%20AND%20%22rtdc.l.rtdc.4014%22')),sort:!(Time,asc))</v>
      </c>
      <c r="W29" s="52" t="str">
        <f t="shared" si="6"/>
        <v>Y</v>
      </c>
      <c r="X29" s="177">
        <f t="shared" si="7"/>
        <v>0</v>
      </c>
      <c r="Y29" s="67">
        <v>3.46</v>
      </c>
      <c r="Z29" s="67">
        <f t="shared" ref="Z29:Z60" si="35">RIGHT(H29,LEN(H29)-4)/10000</f>
        <v>23.327400000000001</v>
      </c>
      <c r="AA29" s="67">
        <f t="shared" si="10"/>
        <v>19.8674</v>
      </c>
      <c r="AB29" s="64" t="str">
        <f>VLOOKUP(A29,Enforcements!$C$7:$K$20,8,0)</f>
        <v>Bulletin (2)</v>
      </c>
      <c r="AC29" s="60" t="str">
        <f>VLOOKUP(A29,Enforcements!$C$7:$E$20,3,0)</f>
        <v>GRADE CROSSING</v>
      </c>
      <c r="AD29" s="61" t="str">
        <f t="shared" si="11"/>
        <v>0115-10</v>
      </c>
      <c r="AE29" s="91" t="str">
        <f t="shared" si="12"/>
        <v>aws s3 cp s3://rtdc.mdm.uploadarchive.raw/RTDC4014/ "%USERPROFILE%\AppData\Local\Temp\OnboardLogs"\RTDC4014\2016-12-10 --exclude "*" --recursive --include "*20161210*" &amp; "%USERPROFILE%\Documents\GitHub\mrs-test-scripts\Headless Mode &amp; Sideloading\WalkAndUnGZ.bat" "%USERPROFILE%\AppData\Local\Temp\OnboardLogs"\RTDC4014\2016-12-10 &amp; aws s3 cp s3://rtdc.mdm.uploadarchive.raw/RTDC4014/ "%USERPROFILE%\AppData\Local\Temp\OnboardLogs"\RTDC4014\2016-12-11 --exclude "*" --recursive --include "*20161211*" &amp; "%USERPROFILE%\Documents\GitHub\mrs-test-scripts\Headless Mode &amp; Sideloading\WalkAndUnGZ.bat" "%USERPROFILE%\AppData\Local\Temp\OnboardLogs"\RTDC4014\2016-12-11</v>
      </c>
      <c r="AF29" s="88" t="str">
        <f t="shared" si="13"/>
        <v>"C:\Program Files (x86)\AstroGrep\AstroGrep.exe" /spath="%USERPROFILE%\AppData\Local\Temp\OnboardLogs" /stypes="app*4014*20161210*" /stext=" 13:.+((SYSTEM_STATE.+slice.+state.+changed )|(ment ac)|(multiple cpu faults)|(system.+state.+changed )|(\[timeout)|(PRM\|1\|D)|(kpr)|(kdp)|(\|lc)|(penalty))" /e /r /s</v>
      </c>
      <c r="AG29" s="1" t="str">
        <f t="shared" si="14"/>
        <v>EC</v>
      </c>
      <c r="AH29" s="92" t="str">
        <f t="shared" ref="AH29" si="36">refinertdcruntimes&amp;" --tripid "&amp;A29&amp;" --locoid "&amp;B29&amp;" --swversion "&amp;C29&amp;" --startMP "&amp;D29&amp;" --initTime "&amp;TEXT(E29,"yyyy-mm-ddTHH:MM:SS")&amp;" --startdatetime "&amp;TEXT(F29,"yyyy-mm-ddTHH:MM:SS")&amp;" --delay "&amp;G29&amp;" --endMP "&amp;H29&amp;" --enddatetime "&amp;TEXT(I29,"yyyy-mm-ddTHH:MM:SS")&amp;" --enforcementcount "&amp;J29&amp;IF(outputrefinedruntimes," &gt;&gt;"&amp;RefinedRTDCRunTimesOutputFile,"")</f>
        <v>"%USERPROFILE%\Documents\GitHub\eaglep3\Utilities\RefineRTDCRunTimes.py" --tripid 115-10 --locoid 4014 --swversion DE.1.0.8.0 --startMP 204:735 --initTime 2016-12-10T05:27:03 --startdatetime 2016-12-10T05:39:08 --delay 1 --endMP 204:233274 --enddatetime 2016-12-10T06:07:08 --enforcementcount 1 &gt;&gt;C:\Users\stu\Documents\GitHub\eaglep3-reporting\EC\2016-12-10-refined-times.txt</v>
      </c>
      <c r="AI29" s="119" t="str">
        <f t="shared" ref="AI29" si="37">"echo {""issue"":{""subject"":"""&amp;R29&amp;""",""project_id"":79,""tracker_id"":40,""status_id"":"&amp;redmine_status&amp;",""priority_id"":"&amp;redmine_priority&amp;",""assigned_to_id"":"&amp;redmine_assignee&amp;",""start_date"":"""&amp;TEXT(I29,"YYYY-mm-dd")&amp;""",""description"":"""&amp;AJ29&amp;""",""custom_fields"":[{""id"":1,""name"":""Subdivision"",""value"":"""&amp;AG29&amp;"""},{""id"":4,""name"":""Milepost"",""value"":"""&amp;Z29&amp;"""},{""id"":17,""name"":""Train ID"",""value"":"""&amp;A29&amp;"""},{""id"":16,""name"":""Locomotive ID"",""value"":"""&amp;B29&amp;"""},{""id"":130,""name"":""Impact"",""value"":"""&amp;AK29&amp;"""},{""id"":150,""name"":""Time of Event (Mountain Time)"",""value"":"""&amp;TEXT(I29,"hh:mm:ss")&amp;"""},{""id"":151,""name"":""Denver Issue ID"",""value"":"""&amp;"""},{""id"":178,""name"":""Operational Impact"",""value"":"""&amp;redmine_op_impact&amp;"""},{""id"":179,""name"":""Denver Segment Assigned"",""value"":"""&amp;AL29&amp;"""}]}}"&amp;"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{"issue":{"subject":"","project_id":79,"tracker_id":40,"status_id":1,"priority_id":2,"assigned_to_id":23,"start_date":"2016-12-10","description":"","custom_fields":[{"id":1,"name":"Subdivision","value":"EC"},{"id":4,"name":"Milepost","value":"23.3274"},{"id":17,"name":"Train ID","value":"115-10"},{"id":16,"name":"Locomotive ID","value":"4014"},{"id":130,"name":"Impact","value":""},{"id":150,"name":"Time of Event (Mountain Time)","value":"06:07:08"},{"id":151,"name":"Denver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9" s="53"/>
      <c r="AK29" s="53"/>
      <c r="AL29" s="53"/>
      <c r="AM29" s="21"/>
      <c r="AN29" s="21"/>
      <c r="AO29" s="21"/>
      <c r="AP29" s="21"/>
      <c r="AQ29" s="21"/>
      <c r="AR29" s="21"/>
      <c r="AS29" s="21"/>
      <c r="AT29" s="21"/>
      <c r="AU29" s="21"/>
      <c r="AV29" s="21"/>
      <c r="AW29" s="21"/>
      <c r="AX29" s="21"/>
      <c r="AY29" s="21"/>
      <c r="AZ29" s="21"/>
      <c r="BA29" s="21"/>
      <c r="BB29" s="21"/>
      <c r="BC29" s="21"/>
      <c r="BD29" s="21"/>
      <c r="BE29" s="21"/>
      <c r="BF29" s="21"/>
      <c r="BG29" s="21"/>
      <c r="BH29" s="21"/>
      <c r="BI29" s="21"/>
      <c r="BJ29" s="21"/>
      <c r="BK29" s="21"/>
      <c r="BL29" s="21"/>
      <c r="BM29" s="21"/>
      <c r="BN29" s="21"/>
      <c r="BO29" s="21"/>
      <c r="BP29" s="21"/>
      <c r="BQ29" s="21"/>
      <c r="BR29" s="21"/>
      <c r="BS29" s="21"/>
      <c r="BT29" s="21"/>
      <c r="BU29" s="21"/>
      <c r="BV29" s="21"/>
      <c r="BW29" s="21"/>
      <c r="BX29" s="21"/>
      <c r="BY29" s="21"/>
      <c r="BZ29" s="21"/>
      <c r="CA29" s="21"/>
      <c r="CB29" s="21"/>
      <c r="CC29" s="21"/>
      <c r="CD29" s="21"/>
      <c r="CE29" s="21"/>
      <c r="CF29" s="21"/>
      <c r="CG29" s="21"/>
      <c r="CH29" s="21"/>
      <c r="CI29" s="21"/>
      <c r="CJ29" s="21"/>
      <c r="CK29" s="21"/>
      <c r="CL29" s="21"/>
      <c r="CM29" s="21"/>
    </row>
    <row r="30" spans="1:91" s="1" customFormat="1" x14ac:dyDescent="0.25">
      <c r="A30" s="37" t="s">
        <v>410</v>
      </c>
      <c r="B30" s="7">
        <v>4013</v>
      </c>
      <c r="C30" s="22" t="s">
        <v>207</v>
      </c>
      <c r="D30" s="22" t="s">
        <v>290</v>
      </c>
      <c r="E30" s="13">
        <v>42714.2580787037</v>
      </c>
      <c r="F30" s="13">
        <v>42714.268287037034</v>
      </c>
      <c r="G30" s="7">
        <v>1</v>
      </c>
      <c r="H30" s="22" t="s">
        <v>246</v>
      </c>
      <c r="I30" s="13">
        <v>42714.2966087963</v>
      </c>
      <c r="J30" s="7">
        <v>1</v>
      </c>
      <c r="K30" s="109" t="str">
        <f t="shared" si="0"/>
        <v>4013/4014</v>
      </c>
      <c r="L30" s="22" t="str">
        <f>VLOOKUP(A30,'Trips&amp;Operators'!$C$1:$G$99999,5,FALSE)</f>
        <v>ISHMAEL JOSEPH</v>
      </c>
      <c r="M30" s="6">
        <f t="shared" si="1"/>
        <v>2.8321759265963919E-2</v>
      </c>
      <c r="N30" s="7">
        <f>24*60*SUM($M30:$M30)</f>
        <v>40.783333342988044</v>
      </c>
      <c r="O30" s="7"/>
      <c r="P30" s="7"/>
      <c r="Q30" s="23"/>
      <c r="R30" s="23"/>
      <c r="S30" s="35">
        <f t="shared" ref="S30:S61" si="38">SUM(U30:U30)/IF(AG30="EC",12,1)</f>
        <v>1</v>
      </c>
      <c r="T30" s="50" t="str">
        <f t="shared" si="4"/>
        <v>Southbound</v>
      </c>
      <c r="U30" s="171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https://search-rtdc-monitor-bjffxe2xuh6vdkpspy63sjmuny.us-east-1.es.amazonaws.com/_plugin/kibana/#/discover/Steve-Slow-Train-Analysis-(2080s-and-2083s)?_g=(refreshInterval:(display:Off,section:0,value:0),time:(from:'2016-12-10 05:11:38-700',mode:absolute,to:'2016-12-10 08:07:07-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201053%20OR%202087)%20AND%20%22rtdc.l.rtdc.4013%22')),sort:!(Time,asc))</v>
      </c>
      <c r="W30" s="52" t="str">
        <f t="shared" si="6"/>
        <v>N</v>
      </c>
      <c r="X30" s="177">
        <f t="shared" si="7"/>
        <v>1</v>
      </c>
      <c r="Y30" s="67">
        <f t="shared" ref="Y30:Y61" si="39">RIGHT(D30,LEN(D30)-4)/10000</f>
        <v>23.297799999999999</v>
      </c>
      <c r="Z30" s="67">
        <f t="shared" si="35"/>
        <v>1.4500000000000001E-2</v>
      </c>
      <c r="AA30" s="67">
        <f t="shared" si="10"/>
        <v>23.283299999999997</v>
      </c>
      <c r="AB30" s="64" t="str">
        <f>VLOOKUP(A30,Enforcements!$C$7:$K$20,8,0)</f>
        <v>Speed (6)</v>
      </c>
      <c r="AC30" s="60" t="str">
        <f>VLOOKUP(A30,Enforcements!$C$7:$E$20,3,0)</f>
        <v>PERMANENT SPEED RESTRICTION</v>
      </c>
      <c r="AD30" s="61" t="str">
        <f t="shared" si="11"/>
        <v>0116-10</v>
      </c>
      <c r="AE30" s="91" t="str">
        <f t="shared" si="12"/>
        <v>aws s3 cp s3://rtdc.mdm.uploadarchive.raw/RTDC4013/ "%USERPROFILE%\AppData\Local\Temp\OnboardLogs"\RTDC4013\2016-12-10 --exclude "*" --recursive --include "*20161210*" &amp; "%USERPROFILE%\Documents\GitHub\mrs-test-scripts\Headless Mode &amp; Sideloading\WalkAndUnGZ.bat" "%USERPROFILE%\AppData\Local\Temp\OnboardLogs"\RTDC4013\2016-12-10 &amp; aws s3 cp s3://rtdc.mdm.uploadarchive.raw/RTDC4013/ "%USERPROFILE%\AppData\Local\Temp\OnboardLogs"\RTDC4013\2016-12-11 --exclude "*" --recursive --include "*20161211*" &amp; "%USERPROFILE%\Documents\GitHub\mrs-test-scripts\Headless Mode &amp; Sideloading\WalkAndUnGZ.bat" "%USERPROFILE%\AppData\Local\Temp\OnboardLogs"\RTDC4013\2016-12-11</v>
      </c>
      <c r="AF30" s="88" t="str">
        <f t="shared" si="13"/>
        <v>"C:\Program Files (x86)\AstroGrep\AstroGrep.exe" /spath="%USERPROFILE%\AppData\Local\Temp\OnboardLogs" /stypes="app*4013*20161210*" /stext=" 14:.+((SYSTEM_STATE.+slice.+state.+changed )|(ment ac)|(multiple cpu faults)|(system.+state.+changed )|(\[timeout)|(PRM\|1\|D)|(kpr)|(kdp)|(\|lc)|(penalty))" /e /r /s</v>
      </c>
      <c r="AG30" s="1" t="str">
        <f t="shared" si="14"/>
        <v>EC</v>
      </c>
      <c r="AH30" s="92" t="str">
        <f t="shared" si="17"/>
        <v>"%USERPROFILE%\Documents\GitHub\eaglep3\Utilities\RefineRTDCRunTimes.py" --tripid 116-10 --locoid 4013 --swversion DE.1.0.8.0 --startMP 204:232978 --initTime 2016-12-10T06:11:38 --startdatetime 2016-12-10T06:26:20 --delay 1 --endMP 204:145 --enddatetime 2016-12-10T07:07:07 --enforcementcount 1 &gt;&gt;C:\Users\stu\Documents\GitHub\eaglep3-reporting\EC\2016-12-10-refined-times.txt</v>
      </c>
      <c r="AI30" s="119" t="str">
        <f t="shared" si="18"/>
        <v>echo {"issue":{"subject":"","project_id":79,"tracker_id":40,"status_id":1,"priority_id":2,"assigned_to_id":23,"start_date":"2016-12-10","description":"","custom_fields":[{"id":1,"name":"Subdivision","value":"EC"},{"id":4,"name":"Milepost","value":"0.0145"},{"id":17,"name":"Train ID","value":"116-10"},{"id":16,"name":"Locomotive ID","value":"4013"},{"id":130,"name":"Impact","value":""},{"id":150,"name":"Time of Event (Mountain Time)","value":"07:07:07"},{"id":151,"name":"Denver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0" s="53"/>
      <c r="AK30" s="53"/>
      <c r="AL30" s="53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25">
      <c r="A31" s="37" t="s">
        <v>474</v>
      </c>
      <c r="B31" s="7">
        <v>4009</v>
      </c>
      <c r="C31" s="22" t="s">
        <v>207</v>
      </c>
      <c r="D31" s="22" t="s">
        <v>652</v>
      </c>
      <c r="E31" s="13">
        <v>42714.227766203701</v>
      </c>
      <c r="F31" s="13">
        <v>42714.239664351851</v>
      </c>
      <c r="G31" s="7">
        <v>1</v>
      </c>
      <c r="H31" s="22" t="s">
        <v>395</v>
      </c>
      <c r="I31" s="13">
        <v>42714.265115740738</v>
      </c>
      <c r="J31" s="7">
        <v>1</v>
      </c>
      <c r="K31" s="109" t="str">
        <f t="shared" si="0"/>
        <v>4009/4010</v>
      </c>
      <c r="L31" s="22" t="str">
        <f>VLOOKUP(A31,'Trips&amp;Operators'!$C$1:$G$99999,5,FALSE)</f>
        <v>ROBINSON KADDIBA</v>
      </c>
      <c r="M31" s="6">
        <f t="shared" si="1"/>
        <v>2.545138888672227E-2</v>
      </c>
      <c r="N31" s="7">
        <f>24*60*SUM($M31:$M31)</f>
        <v>36.649999996880069</v>
      </c>
      <c r="O31" s="7"/>
      <c r="P31" s="7"/>
      <c r="Q31" s="23"/>
      <c r="R31" s="23"/>
      <c r="S31" s="35">
        <f t="shared" si="38"/>
        <v>1</v>
      </c>
      <c r="T31" s="50" t="str">
        <f t="shared" si="4"/>
        <v>NorthBound</v>
      </c>
      <c r="U31" s="171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https://search-rtdc-monitor-bjffxe2xuh6vdkpspy63sjmuny.us-east-1.es.amazonaws.com/_plugin/kibana/#/discover/Steve-Slow-Train-Analysis-(2080s-and-2083s)?_g=(refreshInterval:(display:Off,section:0,value:0),time:(from:'2016-12-10 04:27:59-700',mode:absolute,to:'2016-12-10 07:21:46-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201053%20OR%202087)%20AND%20%22rtdc.l.rtdc.4009%22')),sort:!(Time,asc))</v>
      </c>
      <c r="W31" s="52" t="str">
        <f t="shared" si="6"/>
        <v>N</v>
      </c>
      <c r="X31" s="177">
        <f t="shared" si="7"/>
        <v>1</v>
      </c>
      <c r="Y31" s="67">
        <f t="shared" si="39"/>
        <v>4.07E-2</v>
      </c>
      <c r="Z31" s="67">
        <f t="shared" si="35"/>
        <v>23.3308</v>
      </c>
      <c r="AA31" s="67">
        <f t="shared" si="10"/>
        <v>23.290099999999999</v>
      </c>
      <c r="AB31" s="64" t="e">
        <f>VLOOKUP(A31,Enforcements!$C$7:$K$20,8,0)</f>
        <v>#N/A</v>
      </c>
      <c r="AC31" s="60" t="e">
        <f>VLOOKUP(A31,Enforcements!$C$7:$E$20,3,0)</f>
        <v>#N/A</v>
      </c>
      <c r="AD31" s="61" t="str">
        <f t="shared" si="11"/>
        <v>0117-10</v>
      </c>
      <c r="AE31" s="91" t="str">
        <f t="shared" si="12"/>
        <v>aws s3 cp s3://rtdc.mdm.uploadarchive.raw/RTDC4009/ "%USERPROFILE%\AppData\Local\Temp\OnboardLogs"\RTDC4009\2016-12-10 --exclude "*" --recursive --include "*20161210*" &amp; "%USERPROFILE%\Documents\GitHub\mrs-test-scripts\Headless Mode &amp; Sideloading\WalkAndUnGZ.bat" "%USERPROFILE%\AppData\Local\Temp\OnboardLogs"\RTDC4009\2016-12-10 &amp; aws s3 cp s3://rtdc.mdm.uploadarchive.raw/RTDC4009/ "%USERPROFILE%\AppData\Local\Temp\OnboardLogs"\RTDC4009\2016-12-11 --exclude "*" --recursive --include "*20161211*" &amp; "%USERPROFILE%\Documents\GitHub\mrs-test-scripts\Headless Mode &amp; Sideloading\WalkAndUnGZ.bat" "%USERPROFILE%\AppData\Local\Temp\OnboardLogs"\RTDC4009\2016-12-11</v>
      </c>
      <c r="AF31" s="88" t="str">
        <f t="shared" si="13"/>
        <v>"C:\Program Files (x86)\AstroGrep\AstroGrep.exe" /spath="%USERPROFILE%\AppData\Local\Temp\OnboardLogs" /stypes="app*4009*20161210*" /stext=" 13:.+((SYSTEM_STATE.+slice.+state.+changed )|(ment ac)|(multiple cpu faults)|(system.+state.+changed )|(\[timeout)|(PRM\|1\|D)|(kpr)|(kdp)|(\|lc)|(penalty))" /e /r /s</v>
      </c>
      <c r="AG31" s="1" t="str">
        <f t="shared" si="14"/>
        <v>EC</v>
      </c>
      <c r="AH31" s="92" t="str">
        <f t="shared" si="17"/>
        <v>"%USERPROFILE%\Documents\GitHub\eaglep3\Utilities\RefineRTDCRunTimes.py" --tripid 117-10 --locoid 4009 --swversion DE.1.0.8.0 --startMP 204:407 --initTime 2016-12-10T05:27:59 --startdatetime 2016-12-10T05:45:07 --delay 1 --endMP 204:233308 --enddatetime 2016-12-10T06:21:46 --enforcementcount 1 &gt;&gt;C:\Users\stu\Documents\GitHub\eaglep3-reporting\EC\2016-12-10-refined-times.txt</v>
      </c>
      <c r="AI31" s="119" t="str">
        <f t="shared" si="18"/>
        <v>echo {"issue":{"subject":"","project_id":79,"tracker_id":40,"status_id":1,"priority_id":2,"assigned_to_id":23,"start_date":"2016-12-10","description":"","custom_fields":[{"id":1,"name":"Subdivision","value":"EC"},{"id":4,"name":"Milepost","value":"23.3308"},{"id":17,"name":"Train ID","value":"117-10"},{"id":16,"name":"Locomotive ID","value":"4009"},{"id":130,"name":"Impact","value":""},{"id":150,"name":"Time of Event (Mountain Time)","value":"06:21:46"},{"id":151,"name":"Denver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1" s="53"/>
      <c r="AK31" s="53"/>
      <c r="AL31" s="53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25">
      <c r="A32" s="37" t="s">
        <v>482</v>
      </c>
      <c r="B32" s="7">
        <v>4010</v>
      </c>
      <c r="C32" s="22" t="s">
        <v>207</v>
      </c>
      <c r="D32" s="22" t="s">
        <v>653</v>
      </c>
      <c r="E32" s="13">
        <v>42714.267418981479</v>
      </c>
      <c r="F32" s="13">
        <v>42714.278680555559</v>
      </c>
      <c r="G32" s="7">
        <v>1</v>
      </c>
      <c r="H32" s="22" t="s">
        <v>339</v>
      </c>
      <c r="I32" s="13">
        <v>42714.306701388887</v>
      </c>
      <c r="J32" s="7">
        <v>1</v>
      </c>
      <c r="K32" s="109" t="str">
        <f t="shared" si="0"/>
        <v>4009/4010</v>
      </c>
      <c r="L32" s="22" t="str">
        <f>VLOOKUP(A32,'Trips&amp;Operators'!$C$1:$G$99999,5,FALSE)</f>
        <v>ROBINSON KADDIBA</v>
      </c>
      <c r="M32" s="6">
        <f t="shared" si="1"/>
        <v>2.8020833327900618E-2</v>
      </c>
      <c r="N32" s="7">
        <f>24*60*SUM($M32:$M32)</f>
        <v>40.34999999217689</v>
      </c>
      <c r="O32" s="7"/>
      <c r="P32" s="7"/>
      <c r="Q32" s="23"/>
      <c r="R32" s="23"/>
      <c r="S32" s="35">
        <f t="shared" si="38"/>
        <v>1</v>
      </c>
      <c r="T32" s="50" t="str">
        <f t="shared" si="4"/>
        <v>Southbound</v>
      </c>
      <c r="U32" s="171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https://search-rtdc-monitor-bjffxe2xuh6vdkpspy63sjmuny.us-east-1.es.amazonaws.com/_plugin/kibana/#/discover/Steve-Slow-Train-Analysis-(2080s-and-2083s)?_g=(refreshInterval:(display:Off,section:0,value:0),time:(from:'2016-12-10 05:25:05-700',mode:absolute,to:'2016-12-10 08:21:39-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201053%20OR%202087)%20AND%20%22rtdc.l.rtdc.4010%22')),sort:!(Time,asc))</v>
      </c>
      <c r="W32" s="52" t="str">
        <f t="shared" si="6"/>
        <v>N</v>
      </c>
      <c r="X32" s="177">
        <f t="shared" si="7"/>
        <v>1</v>
      </c>
      <c r="Y32" s="67">
        <f t="shared" si="39"/>
        <v>23.300599999999999</v>
      </c>
      <c r="Z32" s="67">
        <f t="shared" si="35"/>
        <v>1.32E-2</v>
      </c>
      <c r="AA32" s="67">
        <f t="shared" si="10"/>
        <v>23.287399999999998</v>
      </c>
      <c r="AB32" s="64" t="e">
        <f>VLOOKUP(A32,Enforcements!$C$7:$K$20,8,0)</f>
        <v>#N/A</v>
      </c>
      <c r="AC32" s="60" t="e">
        <f>VLOOKUP(A32,Enforcements!$C$7:$E$20,3,0)</f>
        <v>#N/A</v>
      </c>
      <c r="AD32" s="61" t="str">
        <f t="shared" si="11"/>
        <v>0118-10</v>
      </c>
      <c r="AE32" s="91" t="str">
        <f t="shared" si="12"/>
        <v>aws s3 cp s3://rtdc.mdm.uploadarchive.raw/RTDC4010/ "%USERPROFILE%\AppData\Local\Temp\OnboardLogs"\RTDC4010\2016-12-10 --exclude "*" --recursive --include "*20161210*" &amp; "%USERPROFILE%\Documents\GitHub\mrs-test-scripts\Headless Mode &amp; Sideloading\WalkAndUnGZ.bat" "%USERPROFILE%\AppData\Local\Temp\OnboardLogs"\RTDC4010\2016-12-10 &amp; aws s3 cp s3://rtdc.mdm.uploadarchive.raw/RTDC4010/ "%USERPROFILE%\AppData\Local\Temp\OnboardLogs"\RTDC4010\2016-12-11 --exclude "*" --recursive --include "*20161211*" &amp; "%USERPROFILE%\Documents\GitHub\mrs-test-scripts\Headless Mode &amp; Sideloading\WalkAndUnGZ.bat" "%USERPROFILE%\AppData\Local\Temp\OnboardLogs"\RTDC4010\2016-12-11</v>
      </c>
      <c r="AF32" s="88" t="str">
        <f t="shared" si="13"/>
        <v>"C:\Program Files (x86)\AstroGrep\AstroGrep.exe" /spath="%USERPROFILE%\AppData\Local\Temp\OnboardLogs" /stypes="app*4010*20161210*" /stext=" 14:.+((SYSTEM_STATE.+slice.+state.+changed )|(ment ac)|(multiple cpu faults)|(system.+state.+changed )|(\[timeout)|(PRM\|1\|D)|(kpr)|(kdp)|(\|lc)|(penalty))" /e /r /s</v>
      </c>
      <c r="AG32" s="1" t="str">
        <f t="shared" si="14"/>
        <v>EC</v>
      </c>
      <c r="AH32" s="92" t="str">
        <f t="shared" si="17"/>
        <v>"%USERPROFILE%\Documents\GitHub\eaglep3\Utilities\RefineRTDCRunTimes.py" --tripid 118-10 --locoid 4010 --swversion DE.1.0.8.0 --startMP 204:233006 --initTime 2016-12-10T06:25:05 --startdatetime 2016-12-10T06:41:18 --delay 1 --endMP 204:132 --enddatetime 2016-12-10T07:21:39 --enforcementcount 1 &gt;&gt;C:\Users\stu\Documents\GitHub\eaglep3-reporting\EC\2016-12-10-refined-times.txt</v>
      </c>
      <c r="AI32" s="119" t="str">
        <f t="shared" si="18"/>
        <v>echo {"issue":{"subject":"","project_id":79,"tracker_id":40,"status_id":1,"priority_id":2,"assigned_to_id":23,"start_date":"2016-12-10","description":"","custom_fields":[{"id":1,"name":"Subdivision","value":"EC"},{"id":4,"name":"Milepost","value":"0.0132"},{"id":17,"name":"Train ID","value":"118-10"},{"id":16,"name":"Locomotive ID","value":"4010"},{"id":130,"name":"Impact","value":""},{"id":150,"name":"Time of Event (Mountain Time)","value":"07:21:39"},{"id":151,"name":"Denver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2" s="53"/>
      <c r="AK32" s="53"/>
      <c r="AL32" s="53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25">
      <c r="A33" s="37" t="s">
        <v>478</v>
      </c>
      <c r="B33" s="7">
        <v>4016</v>
      </c>
      <c r="C33" s="22" t="s">
        <v>207</v>
      </c>
      <c r="D33" s="22" t="s">
        <v>647</v>
      </c>
      <c r="E33" s="13">
        <v>42714.247152777774</v>
      </c>
      <c r="F33" s="13">
        <v>42714.250162037039</v>
      </c>
      <c r="G33" s="7">
        <v>1</v>
      </c>
      <c r="H33" s="22" t="s">
        <v>389</v>
      </c>
      <c r="I33" s="13">
        <v>42714.274826388886</v>
      </c>
      <c r="J33" s="7">
        <v>1</v>
      </c>
      <c r="K33" s="109" t="str">
        <f t="shared" si="0"/>
        <v>4015/4016</v>
      </c>
      <c r="L33" s="22" t="str">
        <f>VLOOKUP(A33,'Trips&amp;Operators'!$C$1:$G$99999,5,FALSE)</f>
        <v>DE LA ROSA ALEX</v>
      </c>
      <c r="M33" s="6">
        <f t="shared" si="1"/>
        <v>2.4664351847604848E-2</v>
      </c>
      <c r="N33" s="7">
        <f>24*60*SUM($M33:$M33)</f>
        <v>35.516666660550982</v>
      </c>
      <c r="O33" s="7"/>
      <c r="P33" s="7"/>
      <c r="Q33" s="23"/>
      <c r="R33" s="23"/>
      <c r="S33" s="35">
        <f t="shared" si="38"/>
        <v>1</v>
      </c>
      <c r="T33" s="50" t="str">
        <f t="shared" si="4"/>
        <v>NorthBound</v>
      </c>
      <c r="U33" s="171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https://search-rtdc-monitor-bjffxe2xuh6vdkpspy63sjmuny.us-east-1.es.amazonaws.com/_plugin/kibana/#/discover/Steve-Slow-Train-Analysis-(2080s-and-2083s)?_g=(refreshInterval:(display:Off,section:0,value:0),time:(from:'2016-12-10 04:55:54-700',mode:absolute,to:'2016-12-10 07:35:45-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201053%20OR%202087)%20AND%20%22rtdc.l.rtdc.4016%22')),sort:!(Time,asc))</v>
      </c>
      <c r="W33" s="52" t="str">
        <f t="shared" si="6"/>
        <v>N</v>
      </c>
      <c r="X33" s="177">
        <f t="shared" si="7"/>
        <v>1</v>
      </c>
      <c r="Y33" s="67">
        <f t="shared" si="39"/>
        <v>7.4999999999999997E-2</v>
      </c>
      <c r="Z33" s="67">
        <f t="shared" si="35"/>
        <v>23.331099999999999</v>
      </c>
      <c r="AA33" s="67">
        <f t="shared" si="10"/>
        <v>23.2561</v>
      </c>
      <c r="AB33" s="64" t="e">
        <f>VLOOKUP(A33,Enforcements!$C$7:$K$20,8,0)</f>
        <v>#N/A</v>
      </c>
      <c r="AC33" s="60" t="e">
        <f>VLOOKUP(A33,Enforcements!$C$7:$E$20,3,0)</f>
        <v>#N/A</v>
      </c>
      <c r="AD33" s="61" t="str">
        <f t="shared" si="11"/>
        <v>0119-10</v>
      </c>
      <c r="AE33" s="91" t="str">
        <f t="shared" si="12"/>
        <v>aws s3 cp s3://rtdc.mdm.uploadarchive.raw/RTDC4016/ "%USERPROFILE%\AppData\Local\Temp\OnboardLogs"\RTDC4016\2016-12-10 --exclude "*" --recursive --include "*20161210*" &amp; "%USERPROFILE%\Documents\GitHub\mrs-test-scripts\Headless Mode &amp; Sideloading\WalkAndUnGZ.bat" "%USERPROFILE%\AppData\Local\Temp\OnboardLogs"\RTDC4016\2016-12-10 &amp; aws s3 cp s3://rtdc.mdm.uploadarchive.raw/RTDC4016/ "%USERPROFILE%\AppData\Local\Temp\OnboardLogs"\RTDC4016\2016-12-11 --exclude "*" --recursive --include "*20161211*" &amp; "%USERPROFILE%\Documents\GitHub\mrs-test-scripts\Headless Mode &amp; Sideloading\WalkAndUnGZ.bat" "%USERPROFILE%\AppData\Local\Temp\OnboardLogs"\RTDC4016\2016-12-11</v>
      </c>
      <c r="AF33" s="88" t="str">
        <f t="shared" si="13"/>
        <v>"C:\Program Files (x86)\AstroGrep\AstroGrep.exe" /spath="%USERPROFILE%\AppData\Local\Temp\OnboardLogs" /stypes="app*4016*20161210*" /stext=" 13:.+((SYSTEM_STATE.+slice.+state.+changed )|(ment ac)|(multiple cpu faults)|(system.+state.+changed )|(\[timeout)|(PRM\|1\|D)|(kpr)|(kdp)|(\|lc)|(penalty))" /e /r /s</v>
      </c>
      <c r="AG33" s="1" t="str">
        <f t="shared" si="14"/>
        <v>EC</v>
      </c>
      <c r="AH33" s="92" t="str">
        <f t="shared" si="17"/>
        <v>"%USERPROFILE%\Documents\GitHub\eaglep3\Utilities\RefineRTDCRunTimes.py" --tripid 119-10 --locoid 4016 --swversion DE.1.0.8.0 --startMP 204:750 --initTime 2016-12-10T05:55:54 --startdatetime 2016-12-10T06:00:14 --delay 1 --endMP 204:233311 --enddatetime 2016-12-10T06:35:45 --enforcementcount 1 &gt;&gt;C:\Users\stu\Documents\GitHub\eaglep3-reporting\EC\2016-12-10-refined-times.txt</v>
      </c>
      <c r="AI33" s="119" t="str">
        <f t="shared" si="18"/>
        <v>echo {"issue":{"subject":"","project_id":79,"tracker_id":40,"status_id":1,"priority_id":2,"assigned_to_id":23,"start_date":"2016-12-10","description":"","custom_fields":[{"id":1,"name":"Subdivision","value":"EC"},{"id":4,"name":"Milepost","value":"23.3311"},{"id":17,"name":"Train ID","value":"119-10"},{"id":16,"name":"Locomotive ID","value":"4016"},{"id":130,"name":"Impact","value":""},{"id":150,"name":"Time of Event (Mountain Time)","value":"06:35:45"},{"id":151,"name":"Denver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3" s="53"/>
      <c r="AK33" s="53"/>
      <c r="AL33" s="5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25">
      <c r="A34" s="37" t="s">
        <v>411</v>
      </c>
      <c r="B34" s="7">
        <v>4015</v>
      </c>
      <c r="C34" s="22" t="s">
        <v>207</v>
      </c>
      <c r="D34" s="22" t="s">
        <v>654</v>
      </c>
      <c r="E34" s="13">
        <v>42714.283807870372</v>
      </c>
      <c r="F34" s="13">
        <v>42714.2890625</v>
      </c>
      <c r="G34" s="7">
        <v>1</v>
      </c>
      <c r="H34" s="22" t="s">
        <v>205</v>
      </c>
      <c r="I34" s="13">
        <v>42714.313437500001</v>
      </c>
      <c r="J34" s="7">
        <v>1</v>
      </c>
      <c r="K34" s="109" t="str">
        <f t="shared" si="0"/>
        <v>4015/4016</v>
      </c>
      <c r="L34" s="22" t="str">
        <f>VLOOKUP(A34,'Trips&amp;Operators'!$C$1:$G$99999,5,FALSE)</f>
        <v>DE LA ROSA ALEX</v>
      </c>
      <c r="M34" s="6">
        <f t="shared" si="1"/>
        <v>2.4375000000873115E-2</v>
      </c>
      <c r="N34" s="7"/>
      <c r="O34" s="7"/>
      <c r="P34" s="7">
        <f>24*60*SUM($M34:$M34)</f>
        <v>35.100000001257285</v>
      </c>
      <c r="Q34" s="23"/>
      <c r="R34" s="23" t="s">
        <v>799</v>
      </c>
      <c r="S34" s="35">
        <f t="shared" si="38"/>
        <v>1</v>
      </c>
      <c r="T34" s="50" t="str">
        <f t="shared" si="4"/>
        <v>Southbound</v>
      </c>
      <c r="U34" s="171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https://search-rtdc-monitor-bjffxe2xuh6vdkpspy63sjmuny.us-east-1.es.amazonaws.com/_plugin/kibana/#/discover/Steve-Slow-Train-Analysis-(2080s-and-2083s)?_g=(refreshInterval:(display:Off,section:0,value:0),time:(from:'2016-12-10 05:48:41-700',mode:absolute,to:'2016-12-10 08:31:21-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201053%20OR%202087)%20AND%20%22rtdc.l.rtdc.4015%22')),sort:!(Time,asc))</v>
      </c>
      <c r="W34" s="52" t="str">
        <f t="shared" si="6"/>
        <v>N</v>
      </c>
      <c r="X34" s="177">
        <f t="shared" si="7"/>
        <v>1</v>
      </c>
      <c r="Y34" s="67">
        <f t="shared" si="39"/>
        <v>23.299199999999999</v>
      </c>
      <c r="Z34" s="67">
        <f t="shared" si="35"/>
        <v>1.5599999999999999E-2</v>
      </c>
      <c r="AA34" s="67">
        <f t="shared" si="10"/>
        <v>23.2836</v>
      </c>
      <c r="AB34" s="64" t="str">
        <f>VLOOKUP(A34,Enforcements!$C$7:$K$20,8,0)</f>
        <v>Signal based authority (5)</v>
      </c>
      <c r="AC34" s="60" t="str">
        <f>VLOOKUP(A34,Enforcements!$C$7:$E$20,3,0)</f>
        <v>SIGNAL</v>
      </c>
      <c r="AD34" s="61" t="str">
        <f t="shared" si="11"/>
        <v>0120-10</v>
      </c>
      <c r="AE34" s="91" t="str">
        <f t="shared" si="12"/>
        <v>aws s3 cp s3://rtdc.mdm.uploadarchive.raw/RTDC4015/ "%USERPROFILE%\AppData\Local\Temp\OnboardLogs"\RTDC4015\2016-12-10 --exclude "*" --recursive --include "*20161210*" &amp; "%USERPROFILE%\Documents\GitHub\mrs-test-scripts\Headless Mode &amp; Sideloading\WalkAndUnGZ.bat" "%USERPROFILE%\AppData\Local\Temp\OnboardLogs"\RTDC4015\2016-12-10 &amp; aws s3 cp s3://rtdc.mdm.uploadarchive.raw/RTDC4015/ "%USERPROFILE%\AppData\Local\Temp\OnboardLogs"\RTDC4015\2016-12-11 --exclude "*" --recursive --include "*20161211*" &amp; "%USERPROFILE%\Documents\GitHub\mrs-test-scripts\Headless Mode &amp; Sideloading\WalkAndUnGZ.bat" "%USERPROFILE%\AppData\Local\Temp\OnboardLogs"\RTDC4015\2016-12-11</v>
      </c>
      <c r="AF34" s="88" t="str">
        <f t="shared" si="13"/>
        <v>"C:\Program Files (x86)\AstroGrep\AstroGrep.exe" /spath="%USERPROFILE%\AppData\Local\Temp\OnboardLogs" /stypes="app*4015*20161210*" /stext=" 14:.+((SYSTEM_STATE.+slice.+state.+changed )|(ment ac)|(multiple cpu faults)|(system.+state.+changed )|(\[timeout)|(PRM\|1\|D)|(kpr)|(kdp)|(\|lc)|(penalty))" /e /r /s</v>
      </c>
      <c r="AG34" s="1" t="str">
        <f t="shared" si="14"/>
        <v>EC</v>
      </c>
      <c r="AH34" s="92" t="str">
        <f t="shared" si="17"/>
        <v>"%USERPROFILE%\Documents\GitHub\eaglep3\Utilities\RefineRTDCRunTimes.py" --tripid 120-10 --locoid 4015 --swversion DE.1.0.8.0 --startMP 204:232992 --initTime 2016-12-10T06:48:41 --startdatetime 2016-12-10T06:56:15 --delay 1 --endMP 204:156 --enddatetime 2016-12-10T07:31:21 --enforcementcount 1 &gt;&gt;C:\Users\stu\Documents\GitHub\eaglep3-reporting\EC\2016-12-10-refined-times.txt</v>
      </c>
      <c r="AI34" s="119" t="str">
        <f t="shared" si="18"/>
        <v>echo {"issue":{"subject":"Onboard in-route failure","project_id":79,"tracker_id":40,"status_id":1,"priority_id":2,"assigned_to_id":23,"start_date":"2016-12-10","description":"","custom_fields":[{"id":1,"name":"Subdivision","value":"EC"},{"id":4,"name":"Milepost","value":"0.0156"},{"id":17,"name":"Train ID","value":"120-10"},{"id":16,"name":"Locomotive ID","value":"4015"},{"id":130,"name":"Impact","value":""},{"id":150,"name":"Time of Event (Mountain Time)","value":"07:31:21"},{"id":151,"name":"Denver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4" s="53"/>
      <c r="AK34" s="53"/>
      <c r="AL34" s="53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25">
      <c r="A35" s="37" t="s">
        <v>480</v>
      </c>
      <c r="B35" s="7">
        <v>4040</v>
      </c>
      <c r="C35" s="22" t="s">
        <v>207</v>
      </c>
      <c r="D35" s="22" t="s">
        <v>261</v>
      </c>
      <c r="E35" s="13">
        <v>42714.257372685184</v>
      </c>
      <c r="F35" s="13">
        <v>42714.260567129626</v>
      </c>
      <c r="G35" s="7">
        <v>1</v>
      </c>
      <c r="H35" s="22" t="s">
        <v>294</v>
      </c>
      <c r="I35" s="13">
        <v>42714.287986111114</v>
      </c>
      <c r="J35" s="7">
        <v>1</v>
      </c>
      <c r="K35" s="109" t="str">
        <f t="shared" si="0"/>
        <v>4039/4040</v>
      </c>
      <c r="L35" s="22" t="str">
        <f>VLOOKUP(A35,'Trips&amp;Operators'!$C$1:$G$99999,5,FALSE)</f>
        <v>DAVIS WENDY</v>
      </c>
      <c r="M35" s="6">
        <f t="shared" si="1"/>
        <v>2.7418981488153804E-2</v>
      </c>
      <c r="N35" s="7">
        <f t="shared" ref="N35:N54" si="40">24*60*SUM($M35:$M35)</f>
        <v>39.483333342941478</v>
      </c>
      <c r="O35" s="7"/>
      <c r="P35" s="7"/>
      <c r="Q35" s="23"/>
      <c r="R35" s="23"/>
      <c r="S35" s="35">
        <f t="shared" si="38"/>
        <v>1</v>
      </c>
      <c r="T35" s="50" t="str">
        <f t="shared" si="4"/>
        <v>NorthBound</v>
      </c>
      <c r="U35" s="171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https://search-rtdc-monitor-bjffxe2xuh6vdkpspy63sjmuny.us-east-1.es.amazonaws.com/_plugin/kibana/#/discover/Steve-Slow-Train-Analysis-(2080s-and-2083s)?_g=(refreshInterval:(display:Off,section:0,value:0),time:(from:'2016-12-10 05:10:37-700',mode:absolute,to:'2016-12-10 07:54:42-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201053%20OR%202087)%20AND%20%22rtdc.l.rtdc.4040%22')),sort:!(Time,asc))</v>
      </c>
      <c r="W35" s="52" t="str">
        <f t="shared" si="6"/>
        <v>N</v>
      </c>
      <c r="X35" s="177">
        <f t="shared" si="7"/>
        <v>1</v>
      </c>
      <c r="Y35" s="67">
        <f t="shared" si="39"/>
        <v>4.58E-2</v>
      </c>
      <c r="Z35" s="67">
        <f t="shared" si="35"/>
        <v>23.331499999999998</v>
      </c>
      <c r="AA35" s="67">
        <f t="shared" si="10"/>
        <v>23.285699999999999</v>
      </c>
      <c r="AB35" s="64" t="e">
        <f>VLOOKUP(A35,Enforcements!$C$7:$K$20,8,0)</f>
        <v>#N/A</v>
      </c>
      <c r="AC35" s="60" t="e">
        <f>VLOOKUP(A35,Enforcements!$C$7:$E$20,3,0)</f>
        <v>#N/A</v>
      </c>
      <c r="AD35" s="61" t="str">
        <f t="shared" si="11"/>
        <v>0121-10</v>
      </c>
      <c r="AE35" s="91" t="str">
        <f t="shared" si="12"/>
        <v>aws s3 cp s3://rtdc.mdm.uploadarchive.raw/RTDC4040/ "%USERPROFILE%\AppData\Local\Temp\OnboardLogs"\RTDC4040\2016-12-10 --exclude "*" --recursive --include "*20161210*" &amp; "%USERPROFILE%\Documents\GitHub\mrs-test-scripts\Headless Mode &amp; Sideloading\WalkAndUnGZ.bat" "%USERPROFILE%\AppData\Local\Temp\OnboardLogs"\RTDC4040\2016-12-10 &amp; aws s3 cp s3://rtdc.mdm.uploadarchive.raw/RTDC4040/ "%USERPROFILE%\AppData\Local\Temp\OnboardLogs"\RTDC4040\2016-12-11 --exclude "*" --recursive --include "*20161211*" &amp; "%USERPROFILE%\Documents\GitHub\mrs-test-scripts\Headless Mode &amp; Sideloading\WalkAndUnGZ.bat" "%USERPROFILE%\AppData\Local\Temp\OnboardLogs"\RTDC4040\2016-12-11</v>
      </c>
      <c r="AF35" s="88" t="str">
        <f t="shared" si="13"/>
        <v>"C:\Program Files (x86)\AstroGrep\AstroGrep.exe" /spath="%USERPROFILE%\AppData\Local\Temp\OnboardLogs" /stypes="app*4040*20161210*" /stext=" 13:.+((SYSTEM_STATE.+slice.+state.+changed )|(ment ac)|(multiple cpu faults)|(system.+state.+changed )|(\[timeout)|(PRM\|1\|D)|(kpr)|(kdp)|(\|lc)|(penalty))" /e /r /s</v>
      </c>
      <c r="AG35" s="1" t="str">
        <f t="shared" si="14"/>
        <v>EC</v>
      </c>
      <c r="AH35" s="92" t="str">
        <f t="shared" si="17"/>
        <v>"%USERPROFILE%\Documents\GitHub\eaglep3\Utilities\RefineRTDCRunTimes.py" --tripid 121-10 --locoid 4040 --swversion DE.1.0.8.0 --startMP 204:458 --initTime 2016-12-10T06:10:37 --startdatetime 2016-12-10T06:15:13 --delay 1 --endMP 204:233315 --enddatetime 2016-12-10T06:54:42 --enforcementcount 1 &gt;&gt;C:\Users\stu\Documents\GitHub\eaglep3-reporting\EC\2016-12-10-refined-times.txt</v>
      </c>
      <c r="AI35" s="119" t="str">
        <f t="shared" si="18"/>
        <v>echo {"issue":{"subject":"","project_id":79,"tracker_id":40,"status_id":1,"priority_id":2,"assigned_to_id":23,"start_date":"2016-12-10","description":"","custom_fields":[{"id":1,"name":"Subdivision","value":"EC"},{"id":4,"name":"Milepost","value":"23.3315"},{"id":17,"name":"Train ID","value":"121-10"},{"id":16,"name":"Locomotive ID","value":"4040"},{"id":130,"name":"Impact","value":""},{"id":150,"name":"Time of Event (Mountain Time)","value":"06:54:42"},{"id":151,"name":"Denver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5" s="53"/>
      <c r="AK35" s="53"/>
      <c r="AL35" s="53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25">
      <c r="A36" s="37" t="s">
        <v>487</v>
      </c>
      <c r="B36" s="7">
        <v>4039</v>
      </c>
      <c r="C36" s="22" t="s">
        <v>207</v>
      </c>
      <c r="D36" s="22" t="s">
        <v>362</v>
      </c>
      <c r="E36" s="13">
        <v>42714.293807870374</v>
      </c>
      <c r="F36" s="13">
        <v>42714.299930555557</v>
      </c>
      <c r="G36" s="7">
        <v>1</v>
      </c>
      <c r="H36" s="22" t="s">
        <v>655</v>
      </c>
      <c r="I36" s="13">
        <v>42714.329467592594</v>
      </c>
      <c r="J36" s="7">
        <v>1</v>
      </c>
      <c r="K36" s="109" t="str">
        <f t="shared" si="0"/>
        <v>4039/4040</v>
      </c>
      <c r="L36" s="22" t="str">
        <f>VLOOKUP(A36,'Trips&amp;Operators'!$C$1:$G$99999,5,FALSE)</f>
        <v>DAVIS WENDY</v>
      </c>
      <c r="M36" s="6">
        <f t="shared" si="1"/>
        <v>2.9537037036789116E-2</v>
      </c>
      <c r="N36" s="7">
        <f t="shared" si="40"/>
        <v>42.533333332976326</v>
      </c>
      <c r="O36" s="7"/>
      <c r="P36" s="7"/>
      <c r="Q36" s="23"/>
      <c r="R36" s="23"/>
      <c r="S36" s="35">
        <f t="shared" si="38"/>
        <v>1</v>
      </c>
      <c r="T36" s="50" t="str">
        <f t="shared" si="4"/>
        <v>Southbound</v>
      </c>
      <c r="U36" s="171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https://search-rtdc-monitor-bjffxe2xuh6vdkpspy63sjmuny.us-east-1.es.amazonaws.com/_plugin/kibana/#/discover/Steve-Slow-Train-Analysis-(2080s-and-2083s)?_g=(refreshInterval:(display:Off,section:0,value:0),time:(from:'2016-12-10 06:03:05-700',mode:absolute,to:'2016-12-10 08:54:26-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201053%20OR%202087)%20AND%20%22rtdc.l.rtdc.4039%22')),sort:!(Time,asc))</v>
      </c>
      <c r="W36" s="52" t="str">
        <f t="shared" si="6"/>
        <v>N</v>
      </c>
      <c r="X36" s="177">
        <f t="shared" si="7"/>
        <v>1</v>
      </c>
      <c r="Y36" s="67">
        <f t="shared" si="39"/>
        <v>23.298500000000001</v>
      </c>
      <c r="Z36" s="67">
        <f t="shared" si="35"/>
        <v>1.67E-2</v>
      </c>
      <c r="AA36" s="67">
        <f t="shared" si="10"/>
        <v>23.2818</v>
      </c>
      <c r="AB36" s="64" t="e">
        <f>VLOOKUP(A36,Enforcements!$C$7:$K$20,8,0)</f>
        <v>#N/A</v>
      </c>
      <c r="AC36" s="60" t="e">
        <f>VLOOKUP(A36,Enforcements!$C$7:$E$20,3,0)</f>
        <v>#N/A</v>
      </c>
      <c r="AD36" s="61" t="str">
        <f t="shared" si="11"/>
        <v>0122-10</v>
      </c>
      <c r="AE36" s="91" t="str">
        <f t="shared" si="12"/>
        <v>aws s3 cp s3://rtdc.mdm.uploadarchive.raw/RTDC4039/ "%USERPROFILE%\AppData\Local\Temp\OnboardLogs"\RTDC4039\2016-12-10 --exclude "*" --recursive --include "*20161210*" &amp; "%USERPROFILE%\Documents\GitHub\mrs-test-scripts\Headless Mode &amp; Sideloading\WalkAndUnGZ.bat" "%USERPROFILE%\AppData\Local\Temp\OnboardLogs"\RTDC4039\2016-12-10 &amp; aws s3 cp s3://rtdc.mdm.uploadarchive.raw/RTDC4039/ "%USERPROFILE%\AppData\Local\Temp\OnboardLogs"\RTDC4039\2016-12-11 --exclude "*" --recursive --include "*20161211*" &amp; "%USERPROFILE%\Documents\GitHub\mrs-test-scripts\Headless Mode &amp; Sideloading\WalkAndUnGZ.bat" "%USERPROFILE%\AppData\Local\Temp\OnboardLogs"\RTDC4039\2016-12-11</v>
      </c>
      <c r="AF36" s="88" t="str">
        <f t="shared" si="13"/>
        <v>"C:\Program Files (x86)\AstroGrep\AstroGrep.exe" /spath="%USERPROFILE%\AppData\Local\Temp\OnboardLogs" /stypes="app*4039*20161210*" /stext=" 14:.+((SYSTEM_STATE.+slice.+state.+changed )|(ment ac)|(multiple cpu faults)|(system.+state.+changed )|(\[timeout)|(PRM\|1\|D)|(kpr)|(kdp)|(\|lc)|(penalty))" /e /r /s</v>
      </c>
      <c r="AG36" s="1" t="str">
        <f t="shared" si="14"/>
        <v>EC</v>
      </c>
      <c r="AH36" s="92" t="str">
        <f t="shared" si="17"/>
        <v>"%USERPROFILE%\Documents\GitHub\eaglep3\Utilities\RefineRTDCRunTimes.py" --tripid 122-10 --locoid 4039 --swversion DE.1.0.8.0 --startMP 204:232985 --initTime 2016-12-10T07:03:05 --startdatetime 2016-12-10T07:11:54 --delay 1 --endMP 204:167 --enddatetime 2016-12-10T07:54:26 --enforcementcount 1 &gt;&gt;C:\Users\stu\Documents\GitHub\eaglep3-reporting\EC\2016-12-10-refined-times.txt</v>
      </c>
      <c r="AI36" s="119" t="str">
        <f t="shared" si="18"/>
        <v>echo {"issue":{"subject":"","project_id":79,"tracker_id":40,"status_id":1,"priority_id":2,"assigned_to_id":23,"start_date":"2016-12-10","description":"","custom_fields":[{"id":1,"name":"Subdivision","value":"EC"},{"id":4,"name":"Milepost","value":"0.0167"},{"id":17,"name":"Train ID","value":"122-10"},{"id":16,"name":"Locomotive ID","value":"4039"},{"id":130,"name":"Impact","value":""},{"id":150,"name":"Time of Event (Mountain Time)","value":"07:54:26"},{"id":151,"name":"Denver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6" s="53"/>
      <c r="AK36" s="53"/>
      <c r="AL36" s="53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25">
      <c r="A37" s="37" t="s">
        <v>481</v>
      </c>
      <c r="B37" s="7">
        <v>4025</v>
      </c>
      <c r="C37" s="22" t="s">
        <v>207</v>
      </c>
      <c r="D37" s="22" t="s">
        <v>239</v>
      </c>
      <c r="E37" s="13">
        <v>42714.266597222224</v>
      </c>
      <c r="F37" s="13">
        <v>42714.271180555559</v>
      </c>
      <c r="G37" s="7">
        <v>1</v>
      </c>
      <c r="H37" s="22" t="s">
        <v>389</v>
      </c>
      <c r="I37" s="13">
        <v>42714.296736111108</v>
      </c>
      <c r="J37" s="7">
        <v>1</v>
      </c>
      <c r="K37" s="109" t="str">
        <f t="shared" si="0"/>
        <v>4025/4026</v>
      </c>
      <c r="L37" s="22" t="str">
        <f>VLOOKUP(A37,'Trips&amp;Operators'!$C$1:$G$99999,5,FALSE)</f>
        <v>KILLION DAVID</v>
      </c>
      <c r="M37" s="6">
        <f t="shared" si="1"/>
        <v>2.5555555548635311E-2</v>
      </c>
      <c r="N37" s="7">
        <f t="shared" si="40"/>
        <v>36.799999990034848</v>
      </c>
      <c r="O37" s="7"/>
      <c r="P37" s="7"/>
      <c r="Q37" s="23"/>
      <c r="R37" s="23"/>
      <c r="S37" s="35">
        <f t="shared" si="38"/>
        <v>1</v>
      </c>
      <c r="T37" s="50" t="str">
        <f t="shared" si="4"/>
        <v>NorthBound</v>
      </c>
      <c r="U37" s="171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https://search-rtdc-monitor-bjffxe2xuh6vdkpspy63sjmuny.us-east-1.es.amazonaws.com/_plugin/kibana/#/discover/Steve-Slow-Train-Analysis-(2080s-and-2083s)?_g=(refreshInterval:(display:Off,section:0,value:0),time:(from:'2016-12-10 05:23:54-700',mode:absolute,to:'2016-12-10 08:07:18-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201053%20OR%202087)%20AND%20%22rtdc.l.rtdc.4025%22')),sort:!(Time,asc))</v>
      </c>
      <c r="W37" s="52" t="str">
        <f t="shared" si="6"/>
        <v>N</v>
      </c>
      <c r="X37" s="177">
        <f t="shared" si="7"/>
        <v>1</v>
      </c>
      <c r="Y37" s="67">
        <f t="shared" si="39"/>
        <v>4.5699999999999998E-2</v>
      </c>
      <c r="Z37" s="67">
        <f t="shared" si="35"/>
        <v>23.331099999999999</v>
      </c>
      <c r="AA37" s="67">
        <f t="shared" si="10"/>
        <v>23.285399999999999</v>
      </c>
      <c r="AB37" s="64" t="e">
        <f>VLOOKUP(A37,Enforcements!$C$7:$K$20,8,0)</f>
        <v>#N/A</v>
      </c>
      <c r="AC37" s="60" t="e">
        <f>VLOOKUP(A37,Enforcements!$C$7:$E$20,3,0)</f>
        <v>#N/A</v>
      </c>
      <c r="AD37" s="61" t="str">
        <f t="shared" si="11"/>
        <v>0123-10</v>
      </c>
      <c r="AE37" s="91" t="str">
        <f t="shared" si="12"/>
        <v>aws s3 cp s3://rtdc.mdm.uploadarchive.raw/RTDC4025/ "%USERPROFILE%\AppData\Local\Temp\OnboardLogs"\RTDC4025\2016-12-10 --exclude "*" --recursive --include "*20161210*" &amp; "%USERPROFILE%\Documents\GitHub\mrs-test-scripts\Headless Mode &amp; Sideloading\WalkAndUnGZ.bat" "%USERPROFILE%\AppData\Local\Temp\OnboardLogs"\RTDC4025\2016-12-10 &amp; aws s3 cp s3://rtdc.mdm.uploadarchive.raw/RTDC4025/ "%USERPROFILE%\AppData\Local\Temp\OnboardLogs"\RTDC4025\2016-12-11 --exclude "*" --recursive --include "*20161211*" &amp; "%USERPROFILE%\Documents\GitHub\mrs-test-scripts\Headless Mode &amp; Sideloading\WalkAndUnGZ.bat" "%USERPROFILE%\AppData\Local\Temp\OnboardLogs"\RTDC4025\2016-12-11</v>
      </c>
      <c r="AF37" s="88" t="str">
        <f t="shared" si="13"/>
        <v>"C:\Program Files (x86)\AstroGrep\AstroGrep.exe" /spath="%USERPROFILE%\AppData\Local\Temp\OnboardLogs" /stypes="app*4025*20161210*" /stext=" 14:.+((SYSTEM_STATE.+slice.+state.+changed )|(ment ac)|(multiple cpu faults)|(system.+state.+changed )|(\[timeout)|(PRM\|1\|D)|(kpr)|(kdp)|(\|lc)|(penalty))" /e /r /s</v>
      </c>
      <c r="AG37" s="1" t="str">
        <f t="shared" si="14"/>
        <v>EC</v>
      </c>
      <c r="AH37" s="92" t="str">
        <f t="shared" si="17"/>
        <v>"%USERPROFILE%\Documents\GitHub\eaglep3\Utilities\RefineRTDCRunTimes.py" --tripid 123-10 --locoid 4025 --swversion DE.1.0.8.0 --startMP 204:457 --initTime 2016-12-10T06:23:54 --startdatetime 2016-12-10T06:30:30 --delay 1 --endMP 204:233311 --enddatetime 2016-12-10T07:07:18 --enforcementcount 1 &gt;&gt;C:\Users\stu\Documents\GitHub\eaglep3-reporting\EC\2016-12-10-refined-times.txt</v>
      </c>
      <c r="AI37" s="119" t="str">
        <f t="shared" si="18"/>
        <v>echo {"issue":{"subject":"","project_id":79,"tracker_id":40,"status_id":1,"priority_id":2,"assigned_to_id":23,"start_date":"2016-12-10","description":"","custom_fields":[{"id":1,"name":"Subdivision","value":"EC"},{"id":4,"name":"Milepost","value":"23.3311"},{"id":17,"name":"Train ID","value":"123-10"},{"id":16,"name":"Locomotive ID","value":"4025"},{"id":130,"name":"Impact","value":""},{"id":150,"name":"Time of Event (Mountain Time)","value":"07:07:18"},{"id":151,"name":"Denver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7" s="53"/>
      <c r="AK37" s="53"/>
      <c r="AL37" s="53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25">
      <c r="A38" s="37" t="s">
        <v>413</v>
      </c>
      <c r="B38" s="7">
        <v>4026</v>
      </c>
      <c r="C38" s="22" t="s">
        <v>207</v>
      </c>
      <c r="D38" s="22" t="s">
        <v>368</v>
      </c>
      <c r="E38" s="13">
        <v>42714.304988425924</v>
      </c>
      <c r="F38" s="13">
        <v>42714.31</v>
      </c>
      <c r="G38" s="7">
        <v>1</v>
      </c>
      <c r="H38" s="22" t="s">
        <v>365</v>
      </c>
      <c r="I38" s="13">
        <v>42714.337962962964</v>
      </c>
      <c r="J38" s="7">
        <v>1</v>
      </c>
      <c r="K38" s="109" t="str">
        <f t="shared" si="0"/>
        <v>4025/4026</v>
      </c>
      <c r="L38" s="22" t="str">
        <f>VLOOKUP(A38,'Trips&amp;Operators'!$C$1:$G$99999,5,FALSE)</f>
        <v>KILLION DAVID</v>
      </c>
      <c r="M38" s="6">
        <f t="shared" si="1"/>
        <v>2.7962962965830229E-2</v>
      </c>
      <c r="N38" s="7">
        <f t="shared" si="40"/>
        <v>40.26666667079553</v>
      </c>
      <c r="O38" s="7"/>
      <c r="P38" s="7"/>
      <c r="Q38" s="23"/>
      <c r="R38" s="23"/>
      <c r="S38" s="35">
        <f t="shared" si="38"/>
        <v>1</v>
      </c>
      <c r="T38" s="50" t="str">
        <f t="shared" si="4"/>
        <v>Southbound</v>
      </c>
      <c r="U38" s="171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https://search-rtdc-monitor-bjffxe2xuh6vdkpspy63sjmuny.us-east-1.es.amazonaws.com/_plugin/kibana/#/discover/Steve-Slow-Train-Analysis-(2080s-and-2083s)?_g=(refreshInterval:(display:Off,section:0,value:0),time:(from:'2016-12-10 06:19:11-700',mode:absolute,to:'2016-12-10 09:06:40-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201053%20OR%202087)%20AND%20%22rtdc.l.rtdc.4026%22')),sort:!(Time,asc))</v>
      </c>
      <c r="W38" s="52" t="str">
        <f t="shared" si="6"/>
        <v>N</v>
      </c>
      <c r="X38" s="177">
        <f t="shared" si="7"/>
        <v>1</v>
      </c>
      <c r="Y38" s="67">
        <f t="shared" si="39"/>
        <v>23.297499999999999</v>
      </c>
      <c r="Z38" s="67">
        <f t="shared" si="35"/>
        <v>1.3899999999999999E-2</v>
      </c>
      <c r="AA38" s="67">
        <f t="shared" si="10"/>
        <v>23.2836</v>
      </c>
      <c r="AB38" s="64" t="e">
        <f>VLOOKUP(A38,Enforcements!$C$7:$K$20,8,0)</f>
        <v>#N/A</v>
      </c>
      <c r="AC38" s="60" t="e">
        <f>VLOOKUP(A38,Enforcements!$C$7:$E$20,3,0)</f>
        <v>#N/A</v>
      </c>
      <c r="AD38" s="61" t="str">
        <f t="shared" si="11"/>
        <v>0124-10</v>
      </c>
      <c r="AE38" s="91" t="str">
        <f t="shared" si="12"/>
        <v>aws s3 cp s3://rtdc.mdm.uploadarchive.raw/RTDC4026/ "%USERPROFILE%\AppData\Local\Temp\OnboardLogs"\RTDC4026\2016-12-10 --exclude "*" --recursive --include "*20161210*" &amp; "%USERPROFILE%\Documents\GitHub\mrs-test-scripts\Headless Mode &amp; Sideloading\WalkAndUnGZ.bat" "%USERPROFILE%\AppData\Local\Temp\OnboardLogs"\RTDC4026\2016-12-10 &amp; aws s3 cp s3://rtdc.mdm.uploadarchive.raw/RTDC4026/ "%USERPROFILE%\AppData\Local\Temp\OnboardLogs"\RTDC4026\2016-12-11 --exclude "*" --recursive --include "*20161211*" &amp; "%USERPROFILE%\Documents\GitHub\mrs-test-scripts\Headless Mode &amp; Sideloading\WalkAndUnGZ.bat" "%USERPROFILE%\AppData\Local\Temp\OnboardLogs"\RTDC4026\2016-12-11</v>
      </c>
      <c r="AF38" s="88" t="str">
        <f t="shared" si="13"/>
        <v>"C:\Program Files (x86)\AstroGrep\AstroGrep.exe" /spath="%USERPROFILE%\AppData\Local\Temp\OnboardLogs" /stypes="app*4026*20161210*" /stext=" 15:.+((SYSTEM_STATE.+slice.+state.+changed )|(ment ac)|(multiple cpu faults)|(system.+state.+changed )|(\[timeout)|(PRM\|1\|D)|(kpr)|(kdp)|(\|lc)|(penalty))" /e /r /s</v>
      </c>
      <c r="AG38" s="1" t="str">
        <f t="shared" si="14"/>
        <v>EC</v>
      </c>
      <c r="AH38" s="92" t="str">
        <f t="shared" si="17"/>
        <v>"%USERPROFILE%\Documents\GitHub\eaglep3\Utilities\RefineRTDCRunTimes.py" --tripid 124-10 --locoid 4026 --swversion DE.1.0.8.0 --startMP 204:232975 --initTime 2016-12-10T07:19:11 --startdatetime 2016-12-10T07:26:24 --delay 1 --endMP 204:139 --enddatetime 2016-12-10T08:06:40 --enforcementcount 1 &gt;&gt;C:\Users\stu\Documents\GitHub\eaglep3-reporting\EC\2016-12-10-refined-times.txt</v>
      </c>
      <c r="AI38" s="119" t="str">
        <f t="shared" si="18"/>
        <v>echo {"issue":{"subject":"","project_id":79,"tracker_id":40,"status_id":1,"priority_id":2,"assigned_to_id":23,"start_date":"2016-12-10","description":"","custom_fields":[{"id":1,"name":"Subdivision","value":"EC"},{"id":4,"name":"Milepost","value":"0.0139"},{"id":17,"name":"Train ID","value":"124-10"},{"id":16,"name":"Locomotive ID","value":"4026"},{"id":130,"name":"Impact","value":""},{"id":150,"name":"Time of Event (Mountain Time)","value":"08:06:40"},{"id":151,"name":"Denver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8" s="53"/>
      <c r="AK38" s="53"/>
      <c r="AL38" s="53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25">
      <c r="A39" s="37" t="s">
        <v>484</v>
      </c>
      <c r="B39" s="7">
        <v>4020</v>
      </c>
      <c r="C39" s="22" t="s">
        <v>207</v>
      </c>
      <c r="D39" s="22" t="s">
        <v>336</v>
      </c>
      <c r="E39" s="13">
        <v>42714.277812499997</v>
      </c>
      <c r="F39" s="13">
        <v>42714.281469907408</v>
      </c>
      <c r="G39" s="7">
        <v>5</v>
      </c>
      <c r="H39" s="22" t="s">
        <v>656</v>
      </c>
      <c r="I39" s="13">
        <v>42714.308113425926</v>
      </c>
      <c r="J39" s="7">
        <v>1</v>
      </c>
      <c r="K39" s="109" t="str">
        <f t="shared" si="0"/>
        <v>4019/4020</v>
      </c>
      <c r="L39" s="22" t="str">
        <f>VLOOKUP(A39,'Trips&amp;Operators'!$C$1:$G$99999,5,FALSE)</f>
        <v>GEBRETEKLE DAGNEW</v>
      </c>
      <c r="M39" s="6">
        <f t="shared" si="1"/>
        <v>2.6643518518540077E-2</v>
      </c>
      <c r="N39" s="7">
        <f t="shared" si="40"/>
        <v>38.366666666697711</v>
      </c>
      <c r="O39" s="7"/>
      <c r="P39" s="7"/>
      <c r="Q39" s="23"/>
      <c r="R39" s="23"/>
      <c r="S39" s="35">
        <f t="shared" si="38"/>
        <v>1</v>
      </c>
      <c r="T39" s="50" t="str">
        <f t="shared" si="4"/>
        <v>NorthBound</v>
      </c>
      <c r="U39" s="171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https://search-rtdc-monitor-bjffxe2xuh6vdkpspy63sjmuny.us-east-1.es.amazonaws.com/_plugin/kibana/#/discover/Steve-Slow-Train-Analysis-(2080s-and-2083s)?_g=(refreshInterval:(display:Off,section:0,value:0),time:(from:'2016-12-10 05:40:03-700',mode:absolute,to:'2016-12-10 08:23:41-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201053%20OR%202087)%20AND%20%22rtdc.l.rtdc.4020%22')),sort:!(Time,asc))</v>
      </c>
      <c r="W39" s="52" t="str">
        <f t="shared" si="6"/>
        <v>N</v>
      </c>
      <c r="X39" s="177">
        <f t="shared" si="7"/>
        <v>1</v>
      </c>
      <c r="Y39" s="67">
        <f t="shared" si="39"/>
        <v>4.82E-2</v>
      </c>
      <c r="Z39" s="67">
        <f t="shared" si="35"/>
        <v>23.3325</v>
      </c>
      <c r="AA39" s="67">
        <f t="shared" si="10"/>
        <v>23.284299999999998</v>
      </c>
      <c r="AB39" s="64" t="e">
        <f>VLOOKUP(A39,Enforcements!$C$7:$K$20,8,0)</f>
        <v>#N/A</v>
      </c>
      <c r="AC39" s="60" t="e">
        <f>VLOOKUP(A39,Enforcements!$C$7:$E$20,3,0)</f>
        <v>#N/A</v>
      </c>
      <c r="AD39" s="61" t="str">
        <f t="shared" si="11"/>
        <v>0125-10</v>
      </c>
      <c r="AE39" s="91" t="str">
        <f t="shared" si="12"/>
        <v>aws s3 cp s3://rtdc.mdm.uploadarchive.raw/RTDC4020/ "%USERPROFILE%\AppData\Local\Temp\OnboardLogs"\RTDC4020\2016-12-10 --exclude "*" --recursive --include "*20161210*" &amp; "%USERPROFILE%\Documents\GitHub\mrs-test-scripts\Headless Mode &amp; Sideloading\WalkAndUnGZ.bat" "%USERPROFILE%\AppData\Local\Temp\OnboardLogs"\RTDC4020\2016-12-10 &amp; aws s3 cp s3://rtdc.mdm.uploadarchive.raw/RTDC4020/ "%USERPROFILE%\AppData\Local\Temp\OnboardLogs"\RTDC4020\2016-12-11 --exclude "*" --recursive --include "*20161211*" &amp; "%USERPROFILE%\Documents\GitHub\mrs-test-scripts\Headless Mode &amp; Sideloading\WalkAndUnGZ.bat" "%USERPROFILE%\AppData\Local\Temp\OnboardLogs"\RTDC4020\2016-12-11</v>
      </c>
      <c r="AF39" s="88" t="str">
        <f t="shared" si="13"/>
        <v>"C:\Program Files (x86)\AstroGrep\AstroGrep.exe" /spath="%USERPROFILE%\AppData\Local\Temp\OnboardLogs" /stypes="app*4020*20161210*" /stext=" 14:.+((SYSTEM_STATE.+slice.+state.+changed )|(ment ac)|(multiple cpu faults)|(system.+state.+changed )|(\[timeout)|(PRM\|1\|D)|(kpr)|(kdp)|(\|lc)|(penalty))" /e /r /s</v>
      </c>
      <c r="AG39" s="1" t="str">
        <f t="shared" si="14"/>
        <v>EC</v>
      </c>
      <c r="AH39" s="92" t="str">
        <f t="shared" si="17"/>
        <v>"%USERPROFILE%\Documents\GitHub\eaglep3\Utilities\RefineRTDCRunTimes.py" --tripid 125-10 --locoid 4020 --swversion DE.1.0.8.0 --startMP 204:482 --initTime 2016-12-10T06:40:03 --startdatetime 2016-12-10T06:45:19 --delay 5 --endMP 204:233325 --enddatetime 2016-12-10T07:23:41 --enforcementcount 1 &gt;&gt;C:\Users\stu\Documents\GitHub\eaglep3-reporting\EC\2016-12-10-refined-times.txt</v>
      </c>
      <c r="AI39" s="119" t="str">
        <f t="shared" si="18"/>
        <v>echo {"issue":{"subject":"","project_id":79,"tracker_id":40,"status_id":1,"priority_id":2,"assigned_to_id":23,"start_date":"2016-12-10","description":"","custom_fields":[{"id":1,"name":"Subdivision","value":"EC"},{"id":4,"name":"Milepost","value":"23.3325"},{"id":17,"name":"Train ID","value":"125-10"},{"id":16,"name":"Locomotive ID","value":"4020"},{"id":130,"name":"Impact","value":""},{"id":150,"name":"Time of Event (Mountain Time)","value":"07:23:41"},{"id":151,"name":"Denver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9" s="53"/>
      <c r="AK39" s="53"/>
      <c r="AL39" s="53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25">
      <c r="A40" s="37" t="s">
        <v>490</v>
      </c>
      <c r="B40" s="7">
        <v>4019</v>
      </c>
      <c r="C40" s="22" t="s">
        <v>207</v>
      </c>
      <c r="D40" s="22" t="s">
        <v>657</v>
      </c>
      <c r="E40" s="13">
        <v>42714.316747685189</v>
      </c>
      <c r="F40" s="13">
        <v>42714.3203587963</v>
      </c>
      <c r="G40" s="7">
        <v>1</v>
      </c>
      <c r="H40" s="22" t="s">
        <v>361</v>
      </c>
      <c r="I40" s="13">
        <v>42714.347337962965</v>
      </c>
      <c r="J40" s="7">
        <v>1</v>
      </c>
      <c r="K40" s="109" t="str">
        <f t="shared" si="0"/>
        <v>4019/4020</v>
      </c>
      <c r="L40" s="22" t="str">
        <f>VLOOKUP(A40,'Trips&amp;Operators'!$C$1:$G$99999,5,FALSE)</f>
        <v>GEBRETEKLE DAGNEW</v>
      </c>
      <c r="M40" s="6">
        <f t="shared" si="1"/>
        <v>2.6979166665114462E-2</v>
      </c>
      <c r="N40" s="7">
        <f t="shared" si="40"/>
        <v>38.849999997764826</v>
      </c>
      <c r="O40" s="7"/>
      <c r="P40" s="7"/>
      <c r="Q40" s="23"/>
      <c r="R40" s="23"/>
      <c r="S40" s="35">
        <f t="shared" si="38"/>
        <v>1</v>
      </c>
      <c r="T40" s="50" t="str">
        <f t="shared" si="4"/>
        <v>Southbound</v>
      </c>
      <c r="U40" s="171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https://search-rtdc-monitor-bjffxe2xuh6vdkpspy63sjmuny.us-east-1.es.amazonaws.com/_plugin/kibana/#/discover/Steve-Slow-Train-Analysis-(2080s-and-2083s)?_g=(refreshInterval:(display:Off,section:0,value:0),time:(from:'2016-12-10 06:36:07-700',mode:absolute,to:'2016-12-10 09:20:10-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201053%20OR%202087)%20AND%20%22rtdc.l.rtdc.4019%22')),sort:!(Time,asc))</v>
      </c>
      <c r="W40" s="52" t="str">
        <f t="shared" si="6"/>
        <v>N</v>
      </c>
      <c r="X40" s="177">
        <f t="shared" si="7"/>
        <v>1</v>
      </c>
      <c r="Y40" s="67">
        <f t="shared" si="39"/>
        <v>23.3</v>
      </c>
      <c r="Z40" s="67">
        <f t="shared" si="35"/>
        <v>1.47E-2</v>
      </c>
      <c r="AA40" s="67">
        <f t="shared" si="10"/>
        <v>23.285299999999999</v>
      </c>
      <c r="AB40" s="64" t="e">
        <f>VLOOKUP(A40,Enforcements!$C$7:$K$20,8,0)</f>
        <v>#N/A</v>
      </c>
      <c r="AC40" s="60" t="e">
        <f>VLOOKUP(A40,Enforcements!$C$7:$E$20,3,0)</f>
        <v>#N/A</v>
      </c>
      <c r="AD40" s="61" t="str">
        <f t="shared" si="11"/>
        <v>0126-10</v>
      </c>
      <c r="AE40" s="91" t="str">
        <f t="shared" si="12"/>
        <v>aws s3 cp s3://rtdc.mdm.uploadarchive.raw/RTDC4019/ "%USERPROFILE%\AppData\Local\Temp\OnboardLogs"\RTDC4019\2016-12-10 --exclude "*" --recursive --include "*20161210*" &amp; "%USERPROFILE%\Documents\GitHub\mrs-test-scripts\Headless Mode &amp; Sideloading\WalkAndUnGZ.bat" "%USERPROFILE%\AppData\Local\Temp\OnboardLogs"\RTDC4019\2016-12-10 &amp; aws s3 cp s3://rtdc.mdm.uploadarchive.raw/RTDC4019/ "%USERPROFILE%\AppData\Local\Temp\OnboardLogs"\RTDC4019\2016-12-11 --exclude "*" --recursive --include "*20161211*" &amp; "%USERPROFILE%\Documents\GitHub\mrs-test-scripts\Headless Mode &amp; Sideloading\WalkAndUnGZ.bat" "%USERPROFILE%\AppData\Local\Temp\OnboardLogs"\RTDC4019\2016-12-11</v>
      </c>
      <c r="AF40" s="88" t="str">
        <f t="shared" si="13"/>
        <v>"C:\Program Files (x86)\AstroGrep\AstroGrep.exe" /spath="%USERPROFILE%\AppData\Local\Temp\OnboardLogs" /stypes="app*4019*20161210*" /stext=" 15:.+((SYSTEM_STATE.+slice.+state.+changed )|(ment ac)|(multiple cpu faults)|(system.+state.+changed )|(\[timeout)|(PRM\|1\|D)|(kpr)|(kdp)|(\|lc)|(penalty))" /e /r /s</v>
      </c>
      <c r="AG40" s="1" t="str">
        <f t="shared" si="14"/>
        <v>EC</v>
      </c>
      <c r="AH40" s="92" t="str">
        <f t="shared" si="17"/>
        <v>"%USERPROFILE%\Documents\GitHub\eaglep3\Utilities\RefineRTDCRunTimes.py" --tripid 126-10 --locoid 4019 --swversion DE.1.0.8.0 --startMP 204:233000 --initTime 2016-12-10T07:36:07 --startdatetime 2016-12-10T07:41:19 --delay 1 --endMP 204:147 --enddatetime 2016-12-10T08:20:10 --enforcementcount 1 &gt;&gt;C:\Users\stu\Documents\GitHub\eaglep3-reporting\EC\2016-12-10-refined-times.txt</v>
      </c>
      <c r="AI40" s="119" t="str">
        <f t="shared" si="18"/>
        <v>echo {"issue":{"subject":"","project_id":79,"tracker_id":40,"status_id":1,"priority_id":2,"assigned_to_id":23,"start_date":"2016-12-10","description":"","custom_fields":[{"id":1,"name":"Subdivision","value":"EC"},{"id":4,"name":"Milepost","value":"0.0147"},{"id":17,"name":"Train ID","value":"126-10"},{"id":16,"name":"Locomotive ID","value":"4019"},{"id":130,"name":"Impact","value":""},{"id":150,"name":"Time of Event (Mountain Time)","value":"08:20:10"},{"id":151,"name":"Denver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0" s="53"/>
      <c r="AK40" s="53"/>
      <c r="AL40" s="53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25">
      <c r="A41" s="37" t="s">
        <v>486</v>
      </c>
      <c r="B41" s="7">
        <v>4003</v>
      </c>
      <c r="C41" s="22" t="s">
        <v>207</v>
      </c>
      <c r="D41" s="22" t="s">
        <v>658</v>
      </c>
      <c r="E41" s="13">
        <v>42714.289120370369</v>
      </c>
      <c r="F41" s="13">
        <v>42714.291921296295</v>
      </c>
      <c r="G41" s="7">
        <v>1</v>
      </c>
      <c r="H41" s="22" t="s">
        <v>659</v>
      </c>
      <c r="I41" s="13">
        <v>42714.317025462966</v>
      </c>
      <c r="J41" s="7">
        <v>1</v>
      </c>
      <c r="K41" s="109" t="str">
        <f t="shared" si="0"/>
        <v>4003/4004</v>
      </c>
      <c r="L41" s="22" t="str">
        <f>VLOOKUP(A41,'Trips&amp;Operators'!$C$1:$G$99999,5,FALSE)</f>
        <v>MAELZER KURT</v>
      </c>
      <c r="M41" s="6">
        <f t="shared" si="1"/>
        <v>2.510416667064419E-2</v>
      </c>
      <c r="N41" s="7">
        <f t="shared" si="40"/>
        <v>36.150000005727634</v>
      </c>
      <c r="O41" s="7"/>
      <c r="P41" s="7"/>
      <c r="Q41" s="23"/>
      <c r="R41" s="23"/>
      <c r="S41" s="35">
        <f t="shared" si="38"/>
        <v>1</v>
      </c>
      <c r="T41" s="50" t="str">
        <f t="shared" si="4"/>
        <v>NorthBound</v>
      </c>
      <c r="U41" s="171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https://search-rtdc-monitor-bjffxe2xuh6vdkpspy63sjmuny.us-east-1.es.amazonaws.com/_plugin/kibana/#/discover/Steve-Slow-Train-Analysis-(2080s-and-2083s)?_g=(refreshInterval:(display:Off,section:0,value:0),time:(from:'2016-12-10 05:56:20-700',mode:absolute,to:'2016-12-10 08:36:31-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201053%20OR%202087)%20AND%20%22rtdc.l.rtdc.4003%22')),sort:!(Time,asc))</v>
      </c>
      <c r="W41" s="52" t="str">
        <f t="shared" si="6"/>
        <v>N</v>
      </c>
      <c r="X41" s="177">
        <f t="shared" si="7"/>
        <v>1</v>
      </c>
      <c r="Y41" s="67">
        <f t="shared" si="39"/>
        <v>4.1099999999999998E-2</v>
      </c>
      <c r="Z41" s="67">
        <f t="shared" si="35"/>
        <v>23.332599999999999</v>
      </c>
      <c r="AA41" s="67">
        <f t="shared" si="10"/>
        <v>23.291499999999999</v>
      </c>
      <c r="AB41" s="64" t="e">
        <f>VLOOKUP(A41,Enforcements!$C$7:$K$20,8,0)</f>
        <v>#N/A</v>
      </c>
      <c r="AC41" s="60" t="e">
        <f>VLOOKUP(A41,Enforcements!$C$7:$E$20,3,0)</f>
        <v>#N/A</v>
      </c>
      <c r="AD41" s="61" t="str">
        <f t="shared" si="11"/>
        <v>0127-10</v>
      </c>
      <c r="AE41" s="91" t="str">
        <f t="shared" si="12"/>
        <v>aws s3 cp s3://rtdc.mdm.uploadarchive.raw/RTDC4003/ "%USERPROFILE%\AppData\Local\Temp\OnboardLogs"\RTDC4003\2016-12-10 --exclude "*" --recursive --include "*20161210*" &amp; "%USERPROFILE%\Documents\GitHub\mrs-test-scripts\Headless Mode &amp; Sideloading\WalkAndUnGZ.bat" "%USERPROFILE%\AppData\Local\Temp\OnboardLogs"\RTDC4003\2016-12-10 &amp; aws s3 cp s3://rtdc.mdm.uploadarchive.raw/RTDC4003/ "%USERPROFILE%\AppData\Local\Temp\OnboardLogs"\RTDC4003\2016-12-11 --exclude "*" --recursive --include "*20161211*" &amp; "%USERPROFILE%\Documents\GitHub\mrs-test-scripts\Headless Mode &amp; Sideloading\WalkAndUnGZ.bat" "%USERPROFILE%\AppData\Local\Temp\OnboardLogs"\RTDC4003\2016-12-11</v>
      </c>
      <c r="AF41" s="88" t="str">
        <f t="shared" si="13"/>
        <v>"C:\Program Files (x86)\AstroGrep\AstroGrep.exe" /spath="%USERPROFILE%\AppData\Local\Temp\OnboardLogs" /stypes="app*4003*20161210*" /stext=" 14:.+((SYSTEM_STATE.+slice.+state.+changed )|(ment ac)|(multiple cpu faults)|(system.+state.+changed )|(\[timeout)|(PRM\|1\|D)|(kpr)|(kdp)|(\|lc)|(penalty))" /e /r /s</v>
      </c>
      <c r="AG41" s="1" t="str">
        <f t="shared" si="14"/>
        <v>EC</v>
      </c>
      <c r="AH41" s="92" t="str">
        <f t="shared" si="17"/>
        <v>"%USERPROFILE%\Documents\GitHub\eaglep3\Utilities\RefineRTDCRunTimes.py" --tripid 127-10 --locoid 4003 --swversion DE.1.0.8.0 --startMP 204:411 --initTime 2016-12-10T06:56:20 --startdatetime 2016-12-10T07:00:22 --delay 1 --endMP 204:233326 --enddatetime 2016-12-10T07:36:31 --enforcementcount 1 &gt;&gt;C:\Users\stu\Documents\GitHub\eaglep3-reporting\EC\2016-12-10-refined-times.txt</v>
      </c>
      <c r="AI41" s="119" t="str">
        <f t="shared" si="18"/>
        <v>echo {"issue":{"subject":"","project_id":79,"tracker_id":40,"status_id":1,"priority_id":2,"assigned_to_id":23,"start_date":"2016-12-10","description":"","custom_fields":[{"id":1,"name":"Subdivision","value":"EC"},{"id":4,"name":"Milepost","value":"23.3326"},{"id":17,"name":"Train ID","value":"127-10"},{"id":16,"name":"Locomotive ID","value":"4003"},{"id":130,"name":"Impact","value":""},{"id":150,"name":"Time of Event (Mountain Time)","value":"07:36:31"},{"id":151,"name":"Denver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1" s="53"/>
      <c r="AK41" s="53"/>
      <c r="AL41" s="53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25">
      <c r="A42" s="37" t="s">
        <v>493</v>
      </c>
      <c r="B42" s="7">
        <v>4004</v>
      </c>
      <c r="C42" s="22" t="s">
        <v>207</v>
      </c>
      <c r="D42" s="22" t="s">
        <v>660</v>
      </c>
      <c r="E42" s="13">
        <v>42714.326956018522</v>
      </c>
      <c r="F42" s="13">
        <v>42714.330821759257</v>
      </c>
      <c r="G42" s="7">
        <v>1</v>
      </c>
      <c r="H42" s="22" t="s">
        <v>361</v>
      </c>
      <c r="I42" s="13">
        <v>42714.358472222222</v>
      </c>
      <c r="J42" s="7">
        <v>1</v>
      </c>
      <c r="K42" s="109" t="str">
        <f t="shared" si="0"/>
        <v>4003/4004</v>
      </c>
      <c r="L42" s="22" t="str">
        <f>VLOOKUP(A42,'Trips&amp;Operators'!$C$1:$G$99999,5,FALSE)</f>
        <v>MAELZER KURT</v>
      </c>
      <c r="M42" s="6">
        <f t="shared" si="1"/>
        <v>2.7650462965539191E-2</v>
      </c>
      <c r="N42" s="7">
        <f t="shared" si="40"/>
        <v>39.816666670376435</v>
      </c>
      <c r="O42" s="7"/>
      <c r="P42" s="7"/>
      <c r="Q42" s="23"/>
      <c r="R42" s="23"/>
      <c r="S42" s="35">
        <f t="shared" si="38"/>
        <v>1</v>
      </c>
      <c r="T42" s="50" t="str">
        <f t="shared" si="4"/>
        <v>Southbound</v>
      </c>
      <c r="U42" s="171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https://search-rtdc-monitor-bjffxe2xuh6vdkpspy63sjmuny.us-east-1.es.amazonaws.com/_plugin/kibana/#/discover/Steve-Slow-Train-Analysis-(2080s-and-2083s)?_g=(refreshInterval:(display:Off,section:0,value:0),time:(from:'2016-12-10 06:50:49-700',mode:absolute,to:'2016-12-10 09:36:12-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201053%20OR%202087)%20AND%20%22rtdc.l.rtdc.4004%22')),sort:!(Time,asc))</v>
      </c>
      <c r="W42" s="52" t="str">
        <f t="shared" si="6"/>
        <v>N</v>
      </c>
      <c r="X42" s="177">
        <f t="shared" si="7"/>
        <v>1</v>
      </c>
      <c r="Y42" s="67">
        <f t="shared" si="39"/>
        <v>23.3001</v>
      </c>
      <c r="Z42" s="67">
        <f t="shared" si="35"/>
        <v>1.47E-2</v>
      </c>
      <c r="AA42" s="67">
        <f t="shared" si="10"/>
        <v>23.285399999999999</v>
      </c>
      <c r="AB42" s="64" t="e">
        <f>VLOOKUP(A42,Enforcements!$C$7:$K$20,8,0)</f>
        <v>#N/A</v>
      </c>
      <c r="AC42" s="60" t="e">
        <f>VLOOKUP(A42,Enforcements!$C$7:$E$20,3,0)</f>
        <v>#N/A</v>
      </c>
      <c r="AD42" s="61" t="str">
        <f t="shared" si="11"/>
        <v>0128-10</v>
      </c>
      <c r="AE42" s="91" t="str">
        <f t="shared" si="12"/>
        <v>aws s3 cp s3://rtdc.mdm.uploadarchive.raw/RTDC4004/ "%USERPROFILE%\AppData\Local\Temp\OnboardLogs"\RTDC4004\2016-12-10 --exclude "*" --recursive --include "*20161210*" &amp; "%USERPROFILE%\Documents\GitHub\mrs-test-scripts\Headless Mode &amp; Sideloading\WalkAndUnGZ.bat" "%USERPROFILE%\AppData\Local\Temp\OnboardLogs"\RTDC4004\2016-12-10 &amp; aws s3 cp s3://rtdc.mdm.uploadarchive.raw/RTDC4004/ "%USERPROFILE%\AppData\Local\Temp\OnboardLogs"\RTDC4004\2016-12-11 --exclude "*" --recursive --include "*20161211*" &amp; "%USERPROFILE%\Documents\GitHub\mrs-test-scripts\Headless Mode &amp; Sideloading\WalkAndUnGZ.bat" "%USERPROFILE%\AppData\Local\Temp\OnboardLogs"\RTDC4004\2016-12-11</v>
      </c>
      <c r="AF42" s="88" t="str">
        <f t="shared" si="13"/>
        <v>"C:\Program Files (x86)\AstroGrep\AstroGrep.exe" /spath="%USERPROFILE%\AppData\Local\Temp\OnboardLogs" /stypes="app*4004*20161210*" /stext=" 15:.+((SYSTEM_STATE.+slice.+state.+changed )|(ment ac)|(multiple cpu faults)|(system.+state.+changed )|(\[timeout)|(PRM\|1\|D)|(kpr)|(kdp)|(\|lc)|(penalty))" /e /r /s</v>
      </c>
      <c r="AG42" s="1" t="str">
        <f t="shared" si="14"/>
        <v>EC</v>
      </c>
      <c r="AH42" s="92" t="str">
        <f t="shared" si="17"/>
        <v>"%USERPROFILE%\Documents\GitHub\eaglep3\Utilities\RefineRTDCRunTimes.py" --tripid 128-10 --locoid 4004 --swversion DE.1.0.8.0 --startMP 204:233001 --initTime 2016-12-10T07:50:49 --startdatetime 2016-12-10T07:56:23 --delay 1 --endMP 204:147 --enddatetime 2016-12-10T08:36:12 --enforcementcount 1 &gt;&gt;C:\Users\stu\Documents\GitHub\eaglep3-reporting\EC\2016-12-10-refined-times.txt</v>
      </c>
      <c r="AI42" s="119" t="str">
        <f t="shared" si="18"/>
        <v>echo {"issue":{"subject":"","project_id":79,"tracker_id":40,"status_id":1,"priority_id":2,"assigned_to_id":23,"start_date":"2016-12-10","description":"","custom_fields":[{"id":1,"name":"Subdivision","value":"EC"},{"id":4,"name":"Milepost","value":"0.0147"},{"id":17,"name":"Train ID","value":"128-10"},{"id":16,"name":"Locomotive ID","value":"4004"},{"id":130,"name":"Impact","value":""},{"id":150,"name":"Time of Event (Mountain Time)","value":"08:36:12"},{"id":151,"name":"Denver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2" s="53"/>
      <c r="AK42" s="53"/>
      <c r="AL42" s="53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25">
      <c r="A43" s="37" t="s">
        <v>488</v>
      </c>
      <c r="B43" s="7">
        <v>4014</v>
      </c>
      <c r="C43" s="22" t="s">
        <v>207</v>
      </c>
      <c r="D43" s="22" t="s">
        <v>234</v>
      </c>
      <c r="E43" s="13">
        <v>42714.297662037039</v>
      </c>
      <c r="F43" s="13">
        <v>42714.302303240744</v>
      </c>
      <c r="G43" s="7">
        <v>1</v>
      </c>
      <c r="H43" s="22" t="s">
        <v>656</v>
      </c>
      <c r="I43" s="13">
        <v>42714.326597222222</v>
      </c>
      <c r="J43" s="7">
        <v>1</v>
      </c>
      <c r="K43" s="109" t="str">
        <f t="shared" si="0"/>
        <v>4013/4014</v>
      </c>
      <c r="L43" s="22" t="str">
        <f>VLOOKUP(A43,'Trips&amp;Operators'!$C$1:$G$99999,5,FALSE)</f>
        <v>ISHMAEL JOSEPH</v>
      </c>
      <c r="M43" s="6">
        <f t="shared" si="1"/>
        <v>2.4293981477967463E-2</v>
      </c>
      <c r="N43" s="7">
        <f t="shared" si="40"/>
        <v>34.983333328273147</v>
      </c>
      <c r="O43" s="7"/>
      <c r="P43" s="7"/>
      <c r="Q43" s="23"/>
      <c r="R43" s="23"/>
      <c r="S43" s="35">
        <f t="shared" si="38"/>
        <v>1</v>
      </c>
      <c r="T43" s="50" t="str">
        <f t="shared" si="4"/>
        <v>NorthBound</v>
      </c>
      <c r="U43" s="171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https://search-rtdc-monitor-bjffxe2xuh6vdkpspy63sjmuny.us-east-1.es.amazonaws.com/_plugin/kibana/#/discover/Steve-Slow-Train-Analysis-(2080s-and-2083s)?_g=(refreshInterval:(display:Off,section:0,value:0),time:(from:'2016-12-10 06:08:38-700',mode:absolute,to:'2016-12-10 08:50:18-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201053%20OR%202087)%20AND%20%22rtdc.l.rtdc.4014%22')),sort:!(Time,asc))</v>
      </c>
      <c r="W43" s="52" t="str">
        <f t="shared" si="6"/>
        <v>N</v>
      </c>
      <c r="X43" s="177">
        <f t="shared" si="7"/>
        <v>1</v>
      </c>
      <c r="Y43" s="67">
        <f t="shared" si="39"/>
        <v>4.5499999999999999E-2</v>
      </c>
      <c r="Z43" s="67">
        <f t="shared" si="35"/>
        <v>23.3325</v>
      </c>
      <c r="AA43" s="67">
        <f t="shared" si="10"/>
        <v>23.286999999999999</v>
      </c>
      <c r="AB43" s="64" t="e">
        <f>VLOOKUP(A43,Enforcements!$C$7:$K$20,8,0)</f>
        <v>#N/A</v>
      </c>
      <c r="AC43" s="60" t="e">
        <f>VLOOKUP(A43,Enforcements!$C$7:$E$20,3,0)</f>
        <v>#N/A</v>
      </c>
      <c r="AD43" s="61" t="str">
        <f t="shared" si="11"/>
        <v>0129-10</v>
      </c>
      <c r="AE43" s="91" t="str">
        <f t="shared" si="12"/>
        <v>aws s3 cp s3://rtdc.mdm.uploadarchive.raw/RTDC4014/ "%USERPROFILE%\AppData\Local\Temp\OnboardLogs"\RTDC4014\2016-12-10 --exclude "*" --recursive --include "*20161210*" &amp; "%USERPROFILE%\Documents\GitHub\mrs-test-scripts\Headless Mode &amp; Sideloading\WalkAndUnGZ.bat" "%USERPROFILE%\AppData\Local\Temp\OnboardLogs"\RTDC4014\2016-12-10 &amp; aws s3 cp s3://rtdc.mdm.uploadarchive.raw/RTDC4014/ "%USERPROFILE%\AppData\Local\Temp\OnboardLogs"\RTDC4014\2016-12-11 --exclude "*" --recursive --include "*20161211*" &amp; "%USERPROFILE%\Documents\GitHub\mrs-test-scripts\Headless Mode &amp; Sideloading\WalkAndUnGZ.bat" "%USERPROFILE%\AppData\Local\Temp\OnboardLogs"\RTDC4014\2016-12-11</v>
      </c>
      <c r="AF43" s="88" t="str">
        <f t="shared" si="13"/>
        <v>"C:\Program Files (x86)\AstroGrep\AstroGrep.exe" /spath="%USERPROFILE%\AppData\Local\Temp\OnboardLogs" /stypes="app*4014*20161210*" /stext=" 14:.+((SYSTEM_STATE.+slice.+state.+changed )|(ment ac)|(multiple cpu faults)|(system.+state.+changed )|(\[timeout)|(PRM\|1\|D)|(kpr)|(kdp)|(\|lc)|(penalty))" /e /r /s</v>
      </c>
      <c r="AG43" s="1" t="str">
        <f t="shared" si="14"/>
        <v>EC</v>
      </c>
      <c r="AH43" s="92" t="str">
        <f t="shared" si="17"/>
        <v>"%USERPROFILE%\Documents\GitHub\eaglep3\Utilities\RefineRTDCRunTimes.py" --tripid 129-10 --locoid 4014 --swversion DE.1.0.8.0 --startMP 204:455 --initTime 2016-12-10T07:08:38 --startdatetime 2016-12-10T07:15:19 --delay 1 --endMP 204:233325 --enddatetime 2016-12-10T07:50:18 --enforcementcount 1 &gt;&gt;C:\Users\stu\Documents\GitHub\eaglep3-reporting\EC\2016-12-10-refined-times.txt</v>
      </c>
      <c r="AI43" s="119" t="str">
        <f t="shared" si="18"/>
        <v>echo {"issue":{"subject":"","project_id":79,"tracker_id":40,"status_id":1,"priority_id":2,"assigned_to_id":23,"start_date":"2016-12-10","description":"","custom_fields":[{"id":1,"name":"Subdivision","value":"EC"},{"id":4,"name":"Milepost","value":"23.3325"},{"id":17,"name":"Train ID","value":"129-10"},{"id":16,"name":"Locomotive ID","value":"4014"},{"id":130,"name":"Impact","value":""},{"id":150,"name":"Time of Event (Mountain Time)","value":"07:50:18"},{"id":151,"name":"Denver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3" s="53"/>
      <c r="AK43" s="53"/>
      <c r="AL43" s="5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25">
      <c r="A44" s="37" t="s">
        <v>496</v>
      </c>
      <c r="B44" s="7">
        <v>4013</v>
      </c>
      <c r="C44" s="22" t="s">
        <v>207</v>
      </c>
      <c r="D44" s="22" t="s">
        <v>661</v>
      </c>
      <c r="E44" s="13">
        <v>42714.334606481483</v>
      </c>
      <c r="F44" s="13">
        <v>42714.341226851851</v>
      </c>
      <c r="G44" s="7">
        <v>0</v>
      </c>
      <c r="H44" s="22" t="s">
        <v>265</v>
      </c>
      <c r="I44" s="13">
        <v>42714.37027777778</v>
      </c>
      <c r="J44" s="7">
        <v>1</v>
      </c>
      <c r="K44" s="109" t="str">
        <f t="shared" si="0"/>
        <v>4013/4014</v>
      </c>
      <c r="L44" s="22" t="str">
        <f>VLOOKUP(A44,'Trips&amp;Operators'!$C$1:$G$99999,5,FALSE)</f>
        <v>ISHMAEL JOSEPH</v>
      </c>
      <c r="M44" s="6">
        <f t="shared" si="1"/>
        <v>2.9050925928459037E-2</v>
      </c>
      <c r="N44" s="7">
        <f t="shared" si="40"/>
        <v>41.833333336981013</v>
      </c>
      <c r="O44" s="7"/>
      <c r="P44" s="7"/>
      <c r="Q44" s="23"/>
      <c r="R44" s="23"/>
      <c r="S44" s="35">
        <f t="shared" si="38"/>
        <v>1</v>
      </c>
      <c r="T44" s="50" t="str">
        <f t="shared" si="4"/>
        <v>Southbound</v>
      </c>
      <c r="U44" s="171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https://search-rtdc-monitor-bjffxe2xuh6vdkpspy63sjmuny.us-east-1.es.amazonaws.com/_plugin/kibana/#/discover/Steve-Slow-Train-Analysis-(2080s-and-2083s)?_g=(refreshInterval:(display:Off,section:0,value:0),time:(from:'2016-12-10 07:01:50-700',mode:absolute,to:'2016-12-10 09:53:12-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201053%20OR%202087)%20AND%20%22rtdc.l.rtdc.4013%22')),sort:!(Time,asc))</v>
      </c>
      <c r="W44" s="52" t="str">
        <f t="shared" si="6"/>
        <v>N</v>
      </c>
      <c r="X44" s="177">
        <f t="shared" si="7"/>
        <v>1</v>
      </c>
      <c r="Y44" s="67">
        <f t="shared" si="39"/>
        <v>23.3002</v>
      </c>
      <c r="Z44" s="67">
        <f t="shared" si="35"/>
        <v>1.6299999999999999E-2</v>
      </c>
      <c r="AA44" s="67">
        <f t="shared" si="10"/>
        <v>23.283899999999999</v>
      </c>
      <c r="AB44" s="64" t="e">
        <f>VLOOKUP(A44,Enforcements!$C$7:$K$20,8,0)</f>
        <v>#N/A</v>
      </c>
      <c r="AC44" s="60" t="e">
        <f>VLOOKUP(A44,Enforcements!$C$7:$E$20,3,0)</f>
        <v>#N/A</v>
      </c>
      <c r="AD44" s="61" t="str">
        <f t="shared" si="11"/>
        <v>0130-10</v>
      </c>
      <c r="AE44" s="91" t="str">
        <f t="shared" si="12"/>
        <v>aws s3 cp s3://rtdc.mdm.uploadarchive.raw/RTDC4013/ "%USERPROFILE%\AppData\Local\Temp\OnboardLogs"\RTDC4013\2016-12-10 --exclude "*" --recursive --include "*20161210*" &amp; "%USERPROFILE%\Documents\GitHub\mrs-test-scripts\Headless Mode &amp; Sideloading\WalkAndUnGZ.bat" "%USERPROFILE%\AppData\Local\Temp\OnboardLogs"\RTDC4013\2016-12-10 &amp; aws s3 cp s3://rtdc.mdm.uploadarchive.raw/RTDC4013/ "%USERPROFILE%\AppData\Local\Temp\OnboardLogs"\RTDC4013\2016-12-11 --exclude "*" --recursive --include "*20161211*" &amp; "%USERPROFILE%\Documents\GitHub\mrs-test-scripts\Headless Mode &amp; Sideloading\WalkAndUnGZ.bat" "%USERPROFILE%\AppData\Local\Temp\OnboardLogs"\RTDC4013\2016-12-11</v>
      </c>
      <c r="AF44" s="88" t="str">
        <f t="shared" si="13"/>
        <v>"C:\Program Files (x86)\AstroGrep\AstroGrep.exe" /spath="%USERPROFILE%\AppData\Local\Temp\OnboardLogs" /stypes="app*4013*20161210*" /stext=" 15:.+((SYSTEM_STATE.+slice.+state.+changed )|(ment ac)|(multiple cpu faults)|(system.+state.+changed )|(\[timeout)|(PRM\|1\|D)|(kpr)|(kdp)|(\|lc)|(penalty))" /e /r /s</v>
      </c>
      <c r="AG44" s="1" t="str">
        <f t="shared" si="14"/>
        <v>EC</v>
      </c>
      <c r="AH44" s="92" t="str">
        <f t="shared" si="17"/>
        <v>"%USERPROFILE%\Documents\GitHub\eaglep3\Utilities\RefineRTDCRunTimes.py" --tripid 130-10 --locoid 4013 --swversion DE.1.0.8.0 --startMP 204:233002 --initTime 2016-12-10T08:01:50 --startdatetime 2016-12-10T08:11:22 --delay 0 --endMP 204:163 --enddatetime 2016-12-10T08:53:12 --enforcementcount 1 &gt;&gt;C:\Users\stu\Documents\GitHub\eaglep3-reporting\EC\2016-12-10-refined-times.txt</v>
      </c>
      <c r="AI44" s="119" t="str">
        <f t="shared" si="18"/>
        <v>echo {"issue":{"subject":"","project_id":79,"tracker_id":40,"status_id":1,"priority_id":2,"assigned_to_id":23,"start_date":"2016-12-10","description":"","custom_fields":[{"id":1,"name":"Subdivision","value":"EC"},{"id":4,"name":"Milepost","value":"0.0163"},{"id":17,"name":"Train ID","value":"130-10"},{"id":16,"name":"Locomotive ID","value":"4013"},{"id":130,"name":"Impact","value":""},{"id":150,"name":"Time of Event (Mountain Time)","value":"08:53:12"},{"id":151,"name":"Denver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4" s="53"/>
      <c r="AK44" s="53"/>
      <c r="AL44" s="53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25">
      <c r="A45" s="37" t="s">
        <v>489</v>
      </c>
      <c r="B45" s="7">
        <v>4009</v>
      </c>
      <c r="C45" s="22" t="s">
        <v>207</v>
      </c>
      <c r="D45" s="22" t="s">
        <v>239</v>
      </c>
      <c r="E45" s="13">
        <v>42714.308877314812</v>
      </c>
      <c r="F45" s="13">
        <v>42714.312743055554</v>
      </c>
      <c r="G45" s="7">
        <v>1</v>
      </c>
      <c r="H45" s="22" t="s">
        <v>305</v>
      </c>
      <c r="I45" s="13">
        <v>42714.337210648147</v>
      </c>
      <c r="J45" s="7">
        <v>1</v>
      </c>
      <c r="K45" s="109" t="str">
        <f t="shared" si="0"/>
        <v>4009/4010</v>
      </c>
      <c r="L45" s="22" t="str">
        <f>VLOOKUP(A45,'Trips&amp;Operators'!$C$1:$G$99999,5,FALSE)</f>
        <v>ROBINSON KADDIBA</v>
      </c>
      <c r="M45" s="6">
        <f t="shared" si="1"/>
        <v>2.4467592593282461E-2</v>
      </c>
      <c r="N45" s="7">
        <f t="shared" si="40"/>
        <v>35.233333334326744</v>
      </c>
      <c r="O45" s="7"/>
      <c r="P45" s="7"/>
      <c r="Q45" s="23"/>
      <c r="R45" s="23"/>
      <c r="S45" s="35">
        <f t="shared" si="38"/>
        <v>1</v>
      </c>
      <c r="T45" s="50" t="str">
        <f t="shared" si="4"/>
        <v>NorthBound</v>
      </c>
      <c r="U45" s="171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https://search-rtdc-monitor-bjffxe2xuh6vdkpspy63sjmuny.us-east-1.es.amazonaws.com/_plugin/kibana/#/discover/Steve-Slow-Train-Analysis-(2080s-and-2083s)?_g=(refreshInterval:(display:Off,section:0,value:0),time:(from:'2016-12-10 06:24:47-700',mode:absolute,to:'2016-12-10 09:05:35-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201053%20OR%202087)%20AND%20%22rtdc.l.rtdc.4009%22')),sort:!(Time,asc))</v>
      </c>
      <c r="W45" s="52" t="str">
        <f t="shared" si="6"/>
        <v>N</v>
      </c>
      <c r="X45" s="177">
        <f t="shared" si="7"/>
        <v>1</v>
      </c>
      <c r="Y45" s="67">
        <f t="shared" si="39"/>
        <v>4.5699999999999998E-2</v>
      </c>
      <c r="Z45" s="67">
        <f t="shared" si="35"/>
        <v>23.3309</v>
      </c>
      <c r="AA45" s="67">
        <f t="shared" si="10"/>
        <v>23.2852</v>
      </c>
      <c r="AB45" s="64" t="e">
        <f>VLOOKUP(A45,Enforcements!$C$7:$K$20,8,0)</f>
        <v>#N/A</v>
      </c>
      <c r="AC45" s="60" t="e">
        <f>VLOOKUP(A45,Enforcements!$C$7:$E$20,3,0)</f>
        <v>#N/A</v>
      </c>
      <c r="AD45" s="61" t="str">
        <f t="shared" si="11"/>
        <v>0131-10</v>
      </c>
      <c r="AE45" s="91" t="str">
        <f t="shared" si="12"/>
        <v>aws s3 cp s3://rtdc.mdm.uploadarchive.raw/RTDC4009/ "%USERPROFILE%\AppData\Local\Temp\OnboardLogs"\RTDC4009\2016-12-10 --exclude "*" --recursive --include "*20161210*" &amp; "%USERPROFILE%\Documents\GitHub\mrs-test-scripts\Headless Mode &amp; Sideloading\WalkAndUnGZ.bat" "%USERPROFILE%\AppData\Local\Temp\OnboardLogs"\RTDC4009\2016-12-10 &amp; aws s3 cp s3://rtdc.mdm.uploadarchive.raw/RTDC4009/ "%USERPROFILE%\AppData\Local\Temp\OnboardLogs"\RTDC4009\2016-12-11 --exclude "*" --recursive --include "*20161211*" &amp; "%USERPROFILE%\Documents\GitHub\mrs-test-scripts\Headless Mode &amp; Sideloading\WalkAndUnGZ.bat" "%USERPROFILE%\AppData\Local\Temp\OnboardLogs"\RTDC4009\2016-12-11</v>
      </c>
      <c r="AF45" s="88" t="str">
        <f t="shared" si="13"/>
        <v>"C:\Program Files (x86)\AstroGrep\AstroGrep.exe" /spath="%USERPROFILE%\AppData\Local\Temp\OnboardLogs" /stypes="app*4009*20161210*" /stext=" 15:.+((SYSTEM_STATE.+slice.+state.+changed )|(ment ac)|(multiple cpu faults)|(system.+state.+changed )|(\[timeout)|(PRM\|1\|D)|(kpr)|(kdp)|(\|lc)|(penalty))" /e /r /s</v>
      </c>
      <c r="AG45" s="1" t="str">
        <f t="shared" si="14"/>
        <v>EC</v>
      </c>
      <c r="AH45" s="92" t="str">
        <f t="shared" si="17"/>
        <v>"%USERPROFILE%\Documents\GitHub\eaglep3\Utilities\RefineRTDCRunTimes.py" --tripid 131-10 --locoid 4009 --swversion DE.1.0.8.0 --startMP 204:457 --initTime 2016-12-10T07:24:47 --startdatetime 2016-12-10T07:30:21 --delay 1 --endMP 204:233309 --enddatetime 2016-12-10T08:05:35 --enforcementcount 1 &gt;&gt;C:\Users\stu\Documents\GitHub\eaglep3-reporting\EC\2016-12-10-refined-times.txt</v>
      </c>
      <c r="AI45" s="119" t="str">
        <f t="shared" si="18"/>
        <v>echo {"issue":{"subject":"","project_id":79,"tracker_id":40,"status_id":1,"priority_id":2,"assigned_to_id":23,"start_date":"2016-12-10","description":"","custom_fields":[{"id":1,"name":"Subdivision","value":"EC"},{"id":4,"name":"Milepost","value":"23.3309"},{"id":17,"name":"Train ID","value":"131-10"},{"id":16,"name":"Locomotive ID","value":"4009"},{"id":130,"name":"Impact","value":""},{"id":150,"name":"Time of Event (Mountain Time)","value":"08:05:35"},{"id":151,"name":"Denver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5" s="53"/>
      <c r="AK45" s="53"/>
      <c r="AL45" s="53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25">
      <c r="A46" s="37" t="s">
        <v>414</v>
      </c>
      <c r="B46" s="7">
        <v>4010</v>
      </c>
      <c r="C46" s="22" t="s">
        <v>207</v>
      </c>
      <c r="D46" s="22" t="s">
        <v>391</v>
      </c>
      <c r="E46" s="13">
        <v>42714.345138888886</v>
      </c>
      <c r="F46" s="13">
        <v>42714.3515625</v>
      </c>
      <c r="G46" s="7">
        <v>1</v>
      </c>
      <c r="H46" s="22" t="s">
        <v>213</v>
      </c>
      <c r="I46" s="13">
        <v>42714.379027777781</v>
      </c>
      <c r="J46" s="7">
        <v>1</v>
      </c>
      <c r="K46" s="109" t="str">
        <f t="shared" si="0"/>
        <v>4009/4010</v>
      </c>
      <c r="L46" s="22" t="str">
        <f>VLOOKUP(A46,'Trips&amp;Operators'!$C$1:$G$99999,5,FALSE)</f>
        <v>ROBINSON KADDIBA</v>
      </c>
      <c r="M46" s="6">
        <f t="shared" si="1"/>
        <v>2.7465277780720498E-2</v>
      </c>
      <c r="N46" s="7">
        <f t="shared" si="40"/>
        <v>39.550000004237518</v>
      </c>
      <c r="O46" s="7"/>
      <c r="P46" s="7"/>
      <c r="Q46" s="23"/>
      <c r="R46" s="23"/>
      <c r="S46" s="35">
        <f t="shared" si="38"/>
        <v>1</v>
      </c>
      <c r="T46" s="50" t="str">
        <f t="shared" si="4"/>
        <v>Southbound</v>
      </c>
      <c r="U46" s="171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https://search-rtdc-monitor-bjffxe2xuh6vdkpspy63sjmuny.us-east-1.es.amazonaws.com/_plugin/kibana/#/discover/Steve-Slow-Train-Analysis-(2080s-and-2083s)?_g=(refreshInterval:(display:Off,section:0,value:0),time:(from:'2016-12-10 07:17:00-700',mode:absolute,to:'2016-12-10 10:05:48-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201053%20OR%202087)%20AND%20%22rtdc.l.rtdc.4010%22')),sort:!(Time,asc))</v>
      </c>
      <c r="W46" s="52" t="str">
        <f t="shared" ref="W46:W77" si="41">IF(AA46&lt;IF(AG46="EC",23,5.65),"Y","N")</f>
        <v>N</v>
      </c>
      <c r="X46" s="177">
        <f t="shared" ref="X46:X77" si="42">VALUE(LEFT(AD46,4))-VALUE(LEFT(AD45,4))</f>
        <v>1</v>
      </c>
      <c r="Y46" s="67">
        <f t="shared" si="39"/>
        <v>23.2986</v>
      </c>
      <c r="Z46" s="67">
        <f t="shared" si="35"/>
        <v>1.4999999999999999E-2</v>
      </c>
      <c r="AA46" s="67">
        <f t="shared" si="10"/>
        <v>23.2836</v>
      </c>
      <c r="AB46" s="64" t="e">
        <f>VLOOKUP(A46,Enforcements!$C$7:$K$20,8,0)</f>
        <v>#N/A</v>
      </c>
      <c r="AC46" s="60" t="e">
        <f>VLOOKUP(A46,Enforcements!$C$7:$E$20,3,0)</f>
        <v>#N/A</v>
      </c>
      <c r="AD46" s="61" t="str">
        <f t="shared" si="11"/>
        <v>0132-10</v>
      </c>
      <c r="AE46" s="91" t="str">
        <f t="shared" si="12"/>
        <v>aws s3 cp s3://rtdc.mdm.uploadarchive.raw/RTDC4010/ "%USERPROFILE%\AppData\Local\Temp\OnboardLogs"\RTDC4010\2016-12-10 --exclude "*" --recursive --include "*20161210*" &amp; "%USERPROFILE%\Documents\GitHub\mrs-test-scripts\Headless Mode &amp; Sideloading\WalkAndUnGZ.bat" "%USERPROFILE%\AppData\Local\Temp\OnboardLogs"\RTDC4010\2016-12-10 &amp; aws s3 cp s3://rtdc.mdm.uploadarchive.raw/RTDC4010/ "%USERPROFILE%\AppData\Local\Temp\OnboardLogs"\RTDC4010\2016-12-11 --exclude "*" --recursive --include "*20161211*" &amp; "%USERPROFILE%\Documents\GitHub\mrs-test-scripts\Headless Mode &amp; Sideloading\WalkAndUnGZ.bat" "%USERPROFILE%\AppData\Local\Temp\OnboardLogs"\RTDC4010\2016-12-11</v>
      </c>
      <c r="AF46" s="88" t="str">
        <f t="shared" si="13"/>
        <v>"C:\Program Files (x86)\AstroGrep\AstroGrep.exe" /spath="%USERPROFILE%\AppData\Local\Temp\OnboardLogs" /stypes="app*4010*20161210*" /stext=" 16:.+((SYSTEM_STATE.+slice.+state.+changed )|(ment ac)|(multiple cpu faults)|(system.+state.+changed )|(\[timeout)|(PRM\|1\|D)|(kpr)|(kdp)|(\|lc)|(penalty))" /e /r /s</v>
      </c>
      <c r="AG46" s="1" t="str">
        <f t="shared" si="14"/>
        <v>EC</v>
      </c>
      <c r="AH46" s="92" t="str">
        <f t="shared" si="17"/>
        <v>"%USERPROFILE%\Documents\GitHub\eaglep3\Utilities\RefineRTDCRunTimes.py" --tripid 132-10 --locoid 4010 --swversion DE.1.0.8.0 --startMP 204:232986 --initTime 2016-12-10T08:17:00 --startdatetime 2016-12-10T08:26:15 --delay 1 --endMP 204:150 --enddatetime 2016-12-10T09:05:48 --enforcementcount 1 &gt;&gt;C:\Users\stu\Documents\GitHub\eaglep3-reporting\EC\2016-12-10-refined-times.txt</v>
      </c>
      <c r="AI46" s="119" t="str">
        <f t="shared" si="18"/>
        <v>echo {"issue":{"subject":"","project_id":79,"tracker_id":40,"status_id":1,"priority_id":2,"assigned_to_id":23,"start_date":"2016-12-10","description":"","custom_fields":[{"id":1,"name":"Subdivision","value":"EC"},{"id":4,"name":"Milepost","value":"0.015"},{"id":17,"name":"Train ID","value":"132-10"},{"id":16,"name":"Locomotive ID","value":"4010"},{"id":130,"name":"Impact","value":""},{"id":150,"name":"Time of Event (Mountain Time)","value":"09:05:48"},{"id":151,"name":"Denver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6" s="53"/>
      <c r="AK46" s="53"/>
      <c r="AL46" s="53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25">
      <c r="A47" s="37" t="s">
        <v>492</v>
      </c>
      <c r="B47" s="7">
        <v>4016</v>
      </c>
      <c r="C47" s="22" t="s">
        <v>207</v>
      </c>
      <c r="D47" s="22" t="s">
        <v>195</v>
      </c>
      <c r="E47" s="13">
        <v>42714.322523148148</v>
      </c>
      <c r="F47" s="13">
        <v>42714.324270833335</v>
      </c>
      <c r="G47" s="7">
        <v>1</v>
      </c>
      <c r="H47" s="22" t="s">
        <v>656</v>
      </c>
      <c r="I47" s="13">
        <v>42714.349386574075</v>
      </c>
      <c r="J47" s="7">
        <v>1</v>
      </c>
      <c r="K47" s="109" t="str">
        <f t="shared" si="0"/>
        <v>4015/4016</v>
      </c>
      <c r="L47" s="22" t="str">
        <f>VLOOKUP(A47,'Trips&amp;Operators'!$C$1:$G$99999,5,FALSE)</f>
        <v>DE LA ROSA ALEX</v>
      </c>
      <c r="M47" s="6">
        <f t="shared" si="1"/>
        <v>2.5115740740147885E-2</v>
      </c>
      <c r="N47" s="7">
        <f t="shared" si="40"/>
        <v>36.166666665812954</v>
      </c>
      <c r="O47" s="7"/>
      <c r="P47" s="7"/>
      <c r="Q47" s="23"/>
      <c r="R47" s="23"/>
      <c r="S47" s="35">
        <f t="shared" si="38"/>
        <v>1</v>
      </c>
      <c r="T47" s="50" t="str">
        <f t="shared" si="4"/>
        <v>NorthBound</v>
      </c>
      <c r="U47" s="171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https://search-rtdc-monitor-bjffxe2xuh6vdkpspy63sjmuny.us-east-1.es.amazonaws.com/_plugin/kibana/#/discover/Steve-Slow-Train-Analysis-(2080s-and-2083s)?_g=(refreshInterval:(display:Off,section:0,value:0),time:(from:'2016-12-10 06:44:26-700',mode:absolute,to:'2016-12-10 09:23:07-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201053%20OR%202087)%20AND%20%22rtdc.l.rtdc.4016%22')),sort:!(Time,asc))</v>
      </c>
      <c r="W47" s="52" t="str">
        <f t="shared" si="41"/>
        <v>N</v>
      </c>
      <c r="X47" s="177">
        <f t="shared" si="42"/>
        <v>1</v>
      </c>
      <c r="Y47" s="67">
        <f t="shared" si="39"/>
        <v>4.5100000000000001E-2</v>
      </c>
      <c r="Z47" s="67">
        <f t="shared" si="35"/>
        <v>23.3325</v>
      </c>
      <c r="AA47" s="67">
        <f t="shared" si="10"/>
        <v>23.287399999999998</v>
      </c>
      <c r="AB47" s="64" t="e">
        <f>VLOOKUP(A47,Enforcements!$C$7:$K$20,8,0)</f>
        <v>#N/A</v>
      </c>
      <c r="AC47" s="60" t="e">
        <f>VLOOKUP(A47,Enforcements!$C$7:$E$20,3,0)</f>
        <v>#N/A</v>
      </c>
      <c r="AD47" s="61" t="str">
        <f t="shared" si="11"/>
        <v>0133-10</v>
      </c>
      <c r="AE47" s="91" t="str">
        <f t="shared" si="12"/>
        <v>aws s3 cp s3://rtdc.mdm.uploadarchive.raw/RTDC4016/ "%USERPROFILE%\AppData\Local\Temp\OnboardLogs"\RTDC4016\2016-12-10 --exclude "*" --recursive --include "*20161210*" &amp; "%USERPROFILE%\Documents\GitHub\mrs-test-scripts\Headless Mode &amp; Sideloading\WalkAndUnGZ.bat" "%USERPROFILE%\AppData\Local\Temp\OnboardLogs"\RTDC4016\2016-12-10 &amp; aws s3 cp s3://rtdc.mdm.uploadarchive.raw/RTDC4016/ "%USERPROFILE%\AppData\Local\Temp\OnboardLogs"\RTDC4016\2016-12-11 --exclude "*" --recursive --include "*20161211*" &amp; "%USERPROFILE%\Documents\GitHub\mrs-test-scripts\Headless Mode &amp; Sideloading\WalkAndUnGZ.bat" "%USERPROFILE%\AppData\Local\Temp\OnboardLogs"\RTDC4016\2016-12-11</v>
      </c>
      <c r="AF47" s="88" t="str">
        <f t="shared" si="13"/>
        <v>"C:\Program Files (x86)\AstroGrep\AstroGrep.exe" /spath="%USERPROFILE%\AppData\Local\Temp\OnboardLogs" /stypes="app*4016*20161210*" /stext=" 15:.+((SYSTEM_STATE.+slice.+state.+changed )|(ment ac)|(multiple cpu faults)|(system.+state.+changed )|(\[timeout)|(PRM\|1\|D)|(kpr)|(kdp)|(\|lc)|(penalty))" /e /r /s</v>
      </c>
      <c r="AG47" s="1" t="str">
        <f t="shared" si="14"/>
        <v>EC</v>
      </c>
      <c r="AH47" s="92" t="str">
        <f t="shared" si="17"/>
        <v>"%USERPROFILE%\Documents\GitHub\eaglep3\Utilities\RefineRTDCRunTimes.py" --tripid 133-10 --locoid 4016 --swversion DE.1.0.8.0 --startMP 204:451 --initTime 2016-12-10T07:44:26 --startdatetime 2016-12-10T07:46:57 --delay 1 --endMP 204:233325 --enddatetime 2016-12-10T08:23:07 --enforcementcount 1 &gt;&gt;C:\Users\stu\Documents\GitHub\eaglep3-reporting\EC\2016-12-10-refined-times.txt</v>
      </c>
      <c r="AI47" s="119" t="str">
        <f t="shared" si="18"/>
        <v>echo {"issue":{"subject":"","project_id":79,"tracker_id":40,"status_id":1,"priority_id":2,"assigned_to_id":23,"start_date":"2016-12-10","description":"","custom_fields":[{"id":1,"name":"Subdivision","value":"EC"},{"id":4,"name":"Milepost","value":"23.3325"},{"id":17,"name":"Train ID","value":"133-10"},{"id":16,"name":"Locomotive ID","value":"4016"},{"id":130,"name":"Impact","value":""},{"id":150,"name":"Time of Event (Mountain Time)","value":"08:23:07"},{"id":151,"name":"Denver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7" s="53"/>
      <c r="AK47" s="53"/>
      <c r="AL47" s="53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25">
      <c r="A48" s="37" t="s">
        <v>499</v>
      </c>
      <c r="B48" s="7">
        <v>4015</v>
      </c>
      <c r="C48" s="22" t="s">
        <v>207</v>
      </c>
      <c r="D48" s="22" t="s">
        <v>662</v>
      </c>
      <c r="E48" s="13">
        <v>42714.358287037037</v>
      </c>
      <c r="F48" s="13">
        <v>42714.362129629626</v>
      </c>
      <c r="G48" s="7">
        <v>3</v>
      </c>
      <c r="H48" s="22" t="s">
        <v>205</v>
      </c>
      <c r="I48" s="13">
        <v>42714.389305555553</v>
      </c>
      <c r="J48" s="7">
        <v>1</v>
      </c>
      <c r="K48" s="109" t="str">
        <f t="shared" si="0"/>
        <v>4015/4016</v>
      </c>
      <c r="L48" s="22" t="str">
        <f>VLOOKUP(A48,'Trips&amp;Operators'!$C$1:$G$99999,5,FALSE)</f>
        <v>DE LA ROSA ALEX</v>
      </c>
      <c r="M48" s="6">
        <f t="shared" si="1"/>
        <v>2.7175925926712807E-2</v>
      </c>
      <c r="N48" s="7">
        <f t="shared" si="40"/>
        <v>39.133333334466442</v>
      </c>
      <c r="O48" s="7"/>
      <c r="P48" s="7"/>
      <c r="Q48" s="23"/>
      <c r="R48" s="23"/>
      <c r="S48" s="35">
        <f t="shared" si="38"/>
        <v>1</v>
      </c>
      <c r="T48" s="50" t="str">
        <f t="shared" si="4"/>
        <v>Southbound</v>
      </c>
      <c r="U48" s="171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https://search-rtdc-monitor-bjffxe2xuh6vdkpspy63sjmuny.us-east-1.es.amazonaws.com/_plugin/kibana/#/discover/Steve-Slow-Train-Analysis-(2080s-and-2083s)?_g=(refreshInterval:(display:Off,section:0,value:0),time:(from:'2016-12-10 07:35:56-700',mode:absolute,to:'2016-12-10 10:20:36-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201053%20OR%202087)%20AND%20%22rtdc.l.rtdc.4015%22')),sort:!(Time,asc))</v>
      </c>
      <c r="W48" s="52" t="str">
        <f t="shared" si="41"/>
        <v>N</v>
      </c>
      <c r="X48" s="177">
        <f t="shared" si="42"/>
        <v>1</v>
      </c>
      <c r="Y48" s="67">
        <f t="shared" si="39"/>
        <v>23.3004</v>
      </c>
      <c r="Z48" s="67">
        <f t="shared" si="35"/>
        <v>1.5599999999999999E-2</v>
      </c>
      <c r="AA48" s="67">
        <f t="shared" si="10"/>
        <v>23.284800000000001</v>
      </c>
      <c r="AB48" s="64" t="e">
        <f>VLOOKUP(A48,Enforcements!$C$7:$K$20,8,0)</f>
        <v>#N/A</v>
      </c>
      <c r="AC48" s="60" t="e">
        <f>VLOOKUP(A48,Enforcements!$C$7:$E$20,3,0)</f>
        <v>#N/A</v>
      </c>
      <c r="AD48" s="61" t="str">
        <f t="shared" si="11"/>
        <v>0134-10</v>
      </c>
      <c r="AE48" s="91" t="str">
        <f t="shared" si="12"/>
        <v>aws s3 cp s3://rtdc.mdm.uploadarchive.raw/RTDC4015/ "%USERPROFILE%\AppData\Local\Temp\OnboardLogs"\RTDC4015\2016-12-10 --exclude "*" --recursive --include "*20161210*" &amp; "%USERPROFILE%\Documents\GitHub\mrs-test-scripts\Headless Mode &amp; Sideloading\WalkAndUnGZ.bat" "%USERPROFILE%\AppData\Local\Temp\OnboardLogs"\RTDC4015\2016-12-10 &amp; aws s3 cp s3://rtdc.mdm.uploadarchive.raw/RTDC4015/ "%USERPROFILE%\AppData\Local\Temp\OnboardLogs"\RTDC4015\2016-12-11 --exclude "*" --recursive --include "*20161211*" &amp; "%USERPROFILE%\Documents\GitHub\mrs-test-scripts\Headless Mode &amp; Sideloading\WalkAndUnGZ.bat" "%USERPROFILE%\AppData\Local\Temp\OnboardLogs"\RTDC4015\2016-12-11</v>
      </c>
      <c r="AF48" s="88" t="str">
        <f t="shared" si="13"/>
        <v>"C:\Program Files (x86)\AstroGrep\AstroGrep.exe" /spath="%USERPROFILE%\AppData\Local\Temp\OnboardLogs" /stypes="app*4015*20161210*" /stext=" 16:.+((SYSTEM_STATE.+slice.+state.+changed )|(ment ac)|(multiple cpu faults)|(system.+state.+changed )|(\[timeout)|(PRM\|1\|D)|(kpr)|(kdp)|(\|lc)|(penalty))" /e /r /s</v>
      </c>
      <c r="AG48" s="1" t="str">
        <f t="shared" si="14"/>
        <v>EC</v>
      </c>
      <c r="AH48" s="92" t="str">
        <f t="shared" si="17"/>
        <v>"%USERPROFILE%\Documents\GitHub\eaglep3\Utilities\RefineRTDCRunTimes.py" --tripid 134-10 --locoid 4015 --swversion DE.1.0.8.0 --startMP 204:233004 --initTime 2016-12-10T08:35:56 --startdatetime 2016-12-10T08:41:28 --delay 3 --endMP 204:156 --enddatetime 2016-12-10T09:20:36 --enforcementcount 1 &gt;&gt;C:\Users\stu\Documents\GitHub\eaglep3-reporting\EC\2016-12-10-refined-times.txt</v>
      </c>
      <c r="AI48" s="119" t="str">
        <f t="shared" si="18"/>
        <v>echo {"issue":{"subject":"","project_id":79,"tracker_id":40,"status_id":1,"priority_id":2,"assigned_to_id":23,"start_date":"2016-12-10","description":"","custom_fields":[{"id":1,"name":"Subdivision","value":"EC"},{"id":4,"name":"Milepost","value":"0.0156"},{"id":17,"name":"Train ID","value":"134-10"},{"id":16,"name":"Locomotive ID","value":"4015"},{"id":130,"name":"Impact","value":""},{"id":150,"name":"Time of Event (Mountain Time)","value":"09:20:36"},{"id":151,"name":"Denver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8" s="53"/>
      <c r="AK48" s="53"/>
      <c r="AL48" s="53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25">
      <c r="A49" s="37" t="s">
        <v>495</v>
      </c>
      <c r="B49" s="7">
        <v>4040</v>
      </c>
      <c r="C49" s="22" t="s">
        <v>207</v>
      </c>
      <c r="D49" s="22" t="s">
        <v>234</v>
      </c>
      <c r="E49" s="13">
        <v>42714.330590277779</v>
      </c>
      <c r="F49" s="13">
        <v>42714.333495370367</v>
      </c>
      <c r="G49" s="7">
        <v>1</v>
      </c>
      <c r="H49" s="22" t="s">
        <v>332</v>
      </c>
      <c r="I49" s="13">
        <v>42714.360081018516</v>
      </c>
      <c r="J49" s="7">
        <v>1</v>
      </c>
      <c r="K49" s="109" t="str">
        <f t="shared" si="0"/>
        <v>4039/4040</v>
      </c>
      <c r="L49" s="22" t="str">
        <f>VLOOKUP(A49,'Trips&amp;Operators'!$C$1:$G$99999,5,FALSE)</f>
        <v>DAVIS WENDY</v>
      </c>
      <c r="M49" s="6">
        <f t="shared" si="1"/>
        <v>2.658564814919373E-2</v>
      </c>
      <c r="N49" s="7">
        <f t="shared" si="40"/>
        <v>38.283333334838971</v>
      </c>
      <c r="O49" s="7"/>
      <c r="P49" s="7"/>
      <c r="Q49" s="23"/>
      <c r="R49" s="23"/>
      <c r="S49" s="35">
        <f t="shared" si="38"/>
        <v>1</v>
      </c>
      <c r="T49" s="50" t="str">
        <f t="shared" si="4"/>
        <v>NorthBound</v>
      </c>
      <c r="U49" s="171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https://search-rtdc-monitor-bjffxe2xuh6vdkpspy63sjmuny.us-east-1.es.amazonaws.com/_plugin/kibana/#/discover/Steve-Slow-Train-Analysis-(2080s-and-2083s)?_g=(refreshInterval:(display:Off,section:0,value:0),time:(from:'2016-12-10 06:56:03-700',mode:absolute,to:'2016-12-10 09:38:31-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201053%20OR%202087)%20AND%20%22rtdc.l.rtdc.4040%22')),sort:!(Time,asc))</v>
      </c>
      <c r="W49" s="52" t="str">
        <f t="shared" si="41"/>
        <v>N</v>
      </c>
      <c r="X49" s="177">
        <f t="shared" si="42"/>
        <v>1</v>
      </c>
      <c r="Y49" s="67">
        <f t="shared" si="39"/>
        <v>4.5499999999999999E-2</v>
      </c>
      <c r="Z49" s="67">
        <f t="shared" si="35"/>
        <v>23.330500000000001</v>
      </c>
      <c r="AA49" s="67">
        <f t="shared" si="10"/>
        <v>23.285</v>
      </c>
      <c r="AB49" s="64" t="e">
        <f>VLOOKUP(A49,Enforcements!$C$7:$K$20,8,0)</f>
        <v>#N/A</v>
      </c>
      <c r="AC49" s="60" t="e">
        <f>VLOOKUP(A49,Enforcements!$C$7:$E$20,3,0)</f>
        <v>#N/A</v>
      </c>
      <c r="AD49" s="61" t="str">
        <f t="shared" si="11"/>
        <v>0135-10</v>
      </c>
      <c r="AE49" s="91" t="str">
        <f t="shared" si="12"/>
        <v>aws s3 cp s3://rtdc.mdm.uploadarchive.raw/RTDC4040/ "%USERPROFILE%\AppData\Local\Temp\OnboardLogs"\RTDC4040\2016-12-10 --exclude "*" --recursive --include "*20161210*" &amp; "%USERPROFILE%\Documents\GitHub\mrs-test-scripts\Headless Mode &amp; Sideloading\WalkAndUnGZ.bat" "%USERPROFILE%\AppData\Local\Temp\OnboardLogs"\RTDC4040\2016-12-10 &amp; aws s3 cp s3://rtdc.mdm.uploadarchive.raw/RTDC4040/ "%USERPROFILE%\AppData\Local\Temp\OnboardLogs"\RTDC4040\2016-12-11 --exclude "*" --recursive --include "*20161211*" &amp; "%USERPROFILE%\Documents\GitHub\mrs-test-scripts\Headless Mode &amp; Sideloading\WalkAndUnGZ.bat" "%USERPROFILE%\AppData\Local\Temp\OnboardLogs"\RTDC4040\2016-12-11</v>
      </c>
      <c r="AF49" s="88" t="str">
        <f t="shared" si="13"/>
        <v>"C:\Program Files (x86)\AstroGrep\AstroGrep.exe" /spath="%USERPROFILE%\AppData\Local\Temp\OnboardLogs" /stypes="app*4040*20161210*" /stext=" 15:.+((SYSTEM_STATE.+slice.+state.+changed )|(ment ac)|(multiple cpu faults)|(system.+state.+changed )|(\[timeout)|(PRM\|1\|D)|(kpr)|(kdp)|(\|lc)|(penalty))" /e /r /s</v>
      </c>
      <c r="AG49" s="1" t="str">
        <f t="shared" si="14"/>
        <v>EC</v>
      </c>
      <c r="AH49" s="92" t="str">
        <f t="shared" si="17"/>
        <v>"%USERPROFILE%\Documents\GitHub\eaglep3\Utilities\RefineRTDCRunTimes.py" --tripid 135-10 --locoid 4040 --swversion DE.1.0.8.0 --startMP 204:455 --initTime 2016-12-10T07:56:03 --startdatetime 2016-12-10T08:00:14 --delay 1 --endMP 204:233305 --enddatetime 2016-12-10T08:38:31 --enforcementcount 1 &gt;&gt;C:\Users\stu\Documents\GitHub\eaglep3-reporting\EC\2016-12-10-refined-times.txt</v>
      </c>
      <c r="AI49" s="119" t="str">
        <f t="shared" si="18"/>
        <v>echo {"issue":{"subject":"","project_id":79,"tracker_id":40,"status_id":1,"priority_id":2,"assigned_to_id":23,"start_date":"2016-12-10","description":"","custom_fields":[{"id":1,"name":"Subdivision","value":"EC"},{"id":4,"name":"Milepost","value":"23.3305"},{"id":17,"name":"Train ID","value":"135-10"},{"id":16,"name":"Locomotive ID","value":"4040"},{"id":130,"name":"Impact","value":""},{"id":150,"name":"Time of Event (Mountain Time)","value":"08:38:31"},{"id":151,"name":"Denver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9" s="53"/>
      <c r="AK49" s="53"/>
      <c r="AL49" s="53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25">
      <c r="A50" s="37" t="s">
        <v>501</v>
      </c>
      <c r="B50" s="7">
        <v>4039</v>
      </c>
      <c r="C50" s="22" t="s">
        <v>207</v>
      </c>
      <c r="D50" s="22" t="s">
        <v>663</v>
      </c>
      <c r="E50" s="13">
        <v>42714.369722222225</v>
      </c>
      <c r="F50" s="13">
        <v>42714.372407407405</v>
      </c>
      <c r="G50" s="7">
        <v>1</v>
      </c>
      <c r="H50" s="22" t="s">
        <v>664</v>
      </c>
      <c r="I50" s="13">
        <v>42714.400462962964</v>
      </c>
      <c r="J50" s="7">
        <v>1</v>
      </c>
      <c r="K50" s="109" t="str">
        <f t="shared" si="0"/>
        <v>4039/4040</v>
      </c>
      <c r="L50" s="22" t="str">
        <f>VLOOKUP(A50,'Trips&amp;Operators'!$C$1:$G$99999,5,FALSE)</f>
        <v>DAVIS WENDY</v>
      </c>
      <c r="M50" s="6">
        <f t="shared" si="1"/>
        <v>2.8055555558239575E-2</v>
      </c>
      <c r="N50" s="7">
        <f t="shared" si="40"/>
        <v>40.400000003864989</v>
      </c>
      <c r="O50" s="7"/>
      <c r="P50" s="7"/>
      <c r="Q50" s="23"/>
      <c r="R50" s="23"/>
      <c r="S50" s="35">
        <f t="shared" si="38"/>
        <v>1</v>
      </c>
      <c r="T50" s="50" t="str">
        <f t="shared" si="4"/>
        <v>Southbound</v>
      </c>
      <c r="U50" s="171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https://search-rtdc-monitor-bjffxe2xuh6vdkpspy63sjmuny.us-east-1.es.amazonaws.com/_plugin/kibana/#/discover/Steve-Slow-Train-Analysis-(2080s-and-2083s)?_g=(refreshInterval:(display:Off,section:0,value:0),time:(from:'2016-12-10 07:52:24-700',mode:absolute,to:'2016-12-10 10:36:40-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201053%20OR%202087)%20AND%20%22rtdc.l.rtdc.4039%22')),sort:!(Time,asc))</v>
      </c>
      <c r="W50" s="52" t="str">
        <f t="shared" si="41"/>
        <v>N</v>
      </c>
      <c r="X50" s="177">
        <f t="shared" si="42"/>
        <v>1</v>
      </c>
      <c r="Y50" s="67">
        <f t="shared" si="39"/>
        <v>23.297999999999998</v>
      </c>
      <c r="Z50" s="67">
        <f t="shared" si="35"/>
        <v>1.38E-2</v>
      </c>
      <c r="AA50" s="67">
        <f t="shared" si="10"/>
        <v>23.284199999999998</v>
      </c>
      <c r="AB50" s="64" t="e">
        <f>VLOOKUP(A50,Enforcements!$C$7:$K$20,8,0)</f>
        <v>#N/A</v>
      </c>
      <c r="AC50" s="60" t="e">
        <f>VLOOKUP(A50,Enforcements!$C$7:$E$20,3,0)</f>
        <v>#N/A</v>
      </c>
      <c r="AD50" s="61" t="str">
        <f t="shared" si="11"/>
        <v>0136-10</v>
      </c>
      <c r="AE50" s="91" t="str">
        <f t="shared" si="12"/>
        <v>aws s3 cp s3://rtdc.mdm.uploadarchive.raw/RTDC4039/ "%USERPROFILE%\AppData\Local\Temp\OnboardLogs"\RTDC4039\2016-12-10 --exclude "*" --recursive --include "*20161210*" &amp; "%USERPROFILE%\Documents\GitHub\mrs-test-scripts\Headless Mode &amp; Sideloading\WalkAndUnGZ.bat" "%USERPROFILE%\AppData\Local\Temp\OnboardLogs"\RTDC4039\2016-12-10 &amp; aws s3 cp s3://rtdc.mdm.uploadarchive.raw/RTDC4039/ "%USERPROFILE%\AppData\Local\Temp\OnboardLogs"\RTDC4039\2016-12-11 --exclude "*" --recursive --include "*20161211*" &amp; "%USERPROFILE%\Documents\GitHub\mrs-test-scripts\Headless Mode &amp; Sideloading\WalkAndUnGZ.bat" "%USERPROFILE%\AppData\Local\Temp\OnboardLogs"\RTDC4039\2016-12-11</v>
      </c>
      <c r="AF50" s="88" t="str">
        <f t="shared" si="13"/>
        <v>"C:\Program Files (x86)\AstroGrep\AstroGrep.exe" /spath="%USERPROFILE%\AppData\Local\Temp\OnboardLogs" /stypes="app*4039*20161210*" /stext=" 16:.+((SYSTEM_STATE.+slice.+state.+changed )|(ment ac)|(multiple cpu faults)|(system.+state.+changed )|(\[timeout)|(PRM\|1\|D)|(kpr)|(kdp)|(\|lc)|(penalty))" /e /r /s</v>
      </c>
      <c r="AG50" s="1" t="str">
        <f t="shared" si="14"/>
        <v>EC</v>
      </c>
      <c r="AH50" s="92" t="str">
        <f t="shared" si="17"/>
        <v>"%USERPROFILE%\Documents\GitHub\eaglep3\Utilities\RefineRTDCRunTimes.py" --tripid 136-10 --locoid 4039 --swversion DE.1.0.8.0 --startMP 204:232980 --initTime 2016-12-10T08:52:24 --startdatetime 2016-12-10T08:56:16 --delay 1 --endMP 204:138 --enddatetime 2016-12-10T09:36:40 --enforcementcount 1 &gt;&gt;C:\Users\stu\Documents\GitHub\eaglep3-reporting\EC\2016-12-10-refined-times.txt</v>
      </c>
      <c r="AI50" s="119" t="str">
        <f t="shared" si="18"/>
        <v>echo {"issue":{"subject":"","project_id":79,"tracker_id":40,"status_id":1,"priority_id":2,"assigned_to_id":23,"start_date":"2016-12-10","description":"","custom_fields":[{"id":1,"name":"Subdivision","value":"EC"},{"id":4,"name":"Milepost","value":"0.0138"},{"id":17,"name":"Train ID","value":"136-10"},{"id":16,"name":"Locomotive ID","value":"4039"},{"id":130,"name":"Impact","value":""},{"id":150,"name":"Time of Event (Mountain Time)","value":"09:36:40"},{"id":151,"name":"Denver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0" s="53"/>
      <c r="AK50" s="53"/>
      <c r="AL50" s="53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25">
      <c r="A51" s="37" t="s">
        <v>497</v>
      </c>
      <c r="B51" s="7">
        <v>4025</v>
      </c>
      <c r="C51" s="22" t="s">
        <v>207</v>
      </c>
      <c r="D51" s="22" t="s">
        <v>234</v>
      </c>
      <c r="E51" s="13">
        <v>42714.33971064815</v>
      </c>
      <c r="F51" s="13">
        <v>42714.3440162037</v>
      </c>
      <c r="G51" s="7">
        <v>1</v>
      </c>
      <c r="H51" s="22" t="s">
        <v>665</v>
      </c>
      <c r="I51" s="13">
        <v>42714.370972222219</v>
      </c>
      <c r="J51" s="7">
        <v>1</v>
      </c>
      <c r="K51" s="109" t="str">
        <f t="shared" si="0"/>
        <v>4025/4026</v>
      </c>
      <c r="L51" s="22" t="str">
        <f>VLOOKUP(A51,'Trips&amp;Operators'!$C$1:$G$99999,5,FALSE)</f>
        <v>KILLION DAVID</v>
      </c>
      <c r="M51" s="6">
        <f t="shared" si="1"/>
        <v>2.6956018518831115E-2</v>
      </c>
      <c r="N51" s="7">
        <f t="shared" si="40"/>
        <v>38.816666667116806</v>
      </c>
      <c r="O51" s="7"/>
      <c r="P51" s="7"/>
      <c r="Q51" s="23"/>
      <c r="R51" s="23"/>
      <c r="S51" s="35">
        <f t="shared" si="38"/>
        <v>1</v>
      </c>
      <c r="T51" s="50" t="str">
        <f t="shared" si="4"/>
        <v>NorthBound</v>
      </c>
      <c r="U51" s="171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https://search-rtdc-monitor-bjffxe2xuh6vdkpspy63sjmuny.us-east-1.es.amazonaws.com/_plugin/kibana/#/discover/Steve-Slow-Train-Analysis-(2080s-and-2083s)?_g=(refreshInterval:(display:Off,section:0,value:0),time:(from:'2016-12-10 07:09:11-700',mode:absolute,to:'2016-12-10 09:54:12-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201053%20OR%202087)%20AND%20%22rtdc.l.rtdc.4025%22')),sort:!(Time,asc))</v>
      </c>
      <c r="W51" s="52" t="str">
        <f t="shared" si="41"/>
        <v>N</v>
      </c>
      <c r="X51" s="177">
        <f t="shared" si="42"/>
        <v>1</v>
      </c>
      <c r="Y51" s="67">
        <f t="shared" si="39"/>
        <v>4.5499999999999999E-2</v>
      </c>
      <c r="Z51" s="67">
        <f t="shared" si="35"/>
        <v>23.330400000000001</v>
      </c>
      <c r="AA51" s="67">
        <f t="shared" si="10"/>
        <v>23.2849</v>
      </c>
      <c r="AB51" s="64" t="e">
        <f>VLOOKUP(A51,Enforcements!$C$7:$K$20,8,0)</f>
        <v>#N/A</v>
      </c>
      <c r="AC51" s="60" t="e">
        <f>VLOOKUP(A51,Enforcements!$C$7:$E$20,3,0)</f>
        <v>#N/A</v>
      </c>
      <c r="AD51" s="61" t="str">
        <f t="shared" si="11"/>
        <v>0137-10</v>
      </c>
      <c r="AE51" s="91" t="str">
        <f t="shared" si="12"/>
        <v>aws s3 cp s3://rtdc.mdm.uploadarchive.raw/RTDC4025/ "%USERPROFILE%\AppData\Local\Temp\OnboardLogs"\RTDC4025\2016-12-10 --exclude "*" --recursive --include "*20161210*" &amp; "%USERPROFILE%\Documents\GitHub\mrs-test-scripts\Headless Mode &amp; Sideloading\WalkAndUnGZ.bat" "%USERPROFILE%\AppData\Local\Temp\OnboardLogs"\RTDC4025\2016-12-10 &amp; aws s3 cp s3://rtdc.mdm.uploadarchive.raw/RTDC4025/ "%USERPROFILE%\AppData\Local\Temp\OnboardLogs"\RTDC4025\2016-12-11 --exclude "*" --recursive --include "*20161211*" &amp; "%USERPROFILE%\Documents\GitHub\mrs-test-scripts\Headless Mode &amp; Sideloading\WalkAndUnGZ.bat" "%USERPROFILE%\AppData\Local\Temp\OnboardLogs"\RTDC4025\2016-12-11</v>
      </c>
      <c r="AF51" s="88" t="str">
        <f t="shared" si="13"/>
        <v>"C:\Program Files (x86)\AstroGrep\AstroGrep.exe" /spath="%USERPROFILE%\AppData\Local\Temp\OnboardLogs" /stypes="app*4025*20161210*" /stext=" 15:.+((SYSTEM_STATE.+slice.+state.+changed )|(ment ac)|(multiple cpu faults)|(system.+state.+changed )|(\[timeout)|(PRM\|1\|D)|(kpr)|(kdp)|(\|lc)|(penalty))" /e /r /s</v>
      </c>
      <c r="AG51" s="1" t="str">
        <f t="shared" si="14"/>
        <v>EC</v>
      </c>
      <c r="AH51" s="92" t="str">
        <f t="shared" si="17"/>
        <v>"%USERPROFILE%\Documents\GitHub\eaglep3\Utilities\RefineRTDCRunTimes.py" --tripid 137-10 --locoid 4025 --swversion DE.1.0.8.0 --startMP 204:455 --initTime 2016-12-10T08:09:11 --startdatetime 2016-12-10T08:15:23 --delay 1 --endMP 204:233304 --enddatetime 2016-12-10T08:54:12 --enforcementcount 1 &gt;&gt;C:\Users\stu\Documents\GitHub\eaglep3-reporting\EC\2016-12-10-refined-times.txt</v>
      </c>
      <c r="AI51" s="119" t="str">
        <f t="shared" si="18"/>
        <v>echo {"issue":{"subject":"","project_id":79,"tracker_id":40,"status_id":1,"priority_id":2,"assigned_to_id":23,"start_date":"2016-12-10","description":"","custom_fields":[{"id":1,"name":"Subdivision","value":"EC"},{"id":4,"name":"Milepost","value":"23.3304"},{"id":17,"name":"Train ID","value":"137-10"},{"id":16,"name":"Locomotive ID","value":"4025"},{"id":130,"name":"Impact","value":""},{"id":150,"name":"Time of Event (Mountain Time)","value":"08:54:12"},{"id":151,"name":"Denver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1" s="53"/>
      <c r="AK51" s="53"/>
      <c r="AL51" s="53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25">
      <c r="A52" s="37" t="s">
        <v>417</v>
      </c>
      <c r="B52" s="7">
        <v>4026</v>
      </c>
      <c r="C52" s="22" t="s">
        <v>207</v>
      </c>
      <c r="D52" s="22" t="s">
        <v>666</v>
      </c>
      <c r="E52" s="13">
        <v>42714.378171296295</v>
      </c>
      <c r="F52" s="13">
        <v>42714.382847222223</v>
      </c>
      <c r="G52" s="7">
        <v>1</v>
      </c>
      <c r="H52" s="22" t="s">
        <v>193</v>
      </c>
      <c r="I52" s="13">
        <v>42714.412986111114</v>
      </c>
      <c r="J52" s="7">
        <v>1</v>
      </c>
      <c r="K52" s="109" t="str">
        <f t="shared" si="0"/>
        <v>4025/4026</v>
      </c>
      <c r="L52" s="22" t="str">
        <f>VLOOKUP(A52,'Trips&amp;Operators'!$C$1:$G$99999,5,FALSE)</f>
        <v>KILLION DAVID</v>
      </c>
      <c r="M52" s="6">
        <f t="shared" si="1"/>
        <v>3.0138888891087845E-2</v>
      </c>
      <c r="N52" s="7">
        <f t="shared" si="40"/>
        <v>43.400000003166497</v>
      </c>
      <c r="O52" s="7"/>
      <c r="P52" s="7"/>
      <c r="Q52" s="23"/>
      <c r="R52" s="23"/>
      <c r="S52" s="35">
        <f t="shared" si="38"/>
        <v>1</v>
      </c>
      <c r="T52" s="50" t="str">
        <f t="shared" si="4"/>
        <v>Southbound</v>
      </c>
      <c r="U52" s="171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https://search-rtdc-monitor-bjffxe2xuh6vdkpspy63sjmuny.us-east-1.es.amazonaws.com/_plugin/kibana/#/discover/Steve-Slow-Train-Analysis-(2080s-and-2083s)?_g=(refreshInterval:(display:Off,section:0,value:0),time:(from:'2016-12-10 08:04:34-700',mode:absolute,to:'2016-12-10 10:54:42-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201053%20OR%202087)%20AND%20%22rtdc.l.rtdc.4026%22')),sort:!(Time,asc))</v>
      </c>
      <c r="W52" s="52" t="str">
        <f t="shared" si="41"/>
        <v>N</v>
      </c>
      <c r="X52" s="177">
        <f t="shared" si="42"/>
        <v>1</v>
      </c>
      <c r="Y52" s="67">
        <f t="shared" si="39"/>
        <v>23.2989</v>
      </c>
      <c r="Z52" s="67">
        <f t="shared" si="35"/>
        <v>1.43E-2</v>
      </c>
      <c r="AA52" s="67">
        <f t="shared" si="10"/>
        <v>23.284600000000001</v>
      </c>
      <c r="AB52" s="64" t="e">
        <f>VLOOKUP(A52,Enforcements!$C$7:$K$20,8,0)</f>
        <v>#N/A</v>
      </c>
      <c r="AC52" s="60" t="e">
        <f>VLOOKUP(A52,Enforcements!$C$7:$E$20,3,0)</f>
        <v>#N/A</v>
      </c>
      <c r="AD52" s="61" t="str">
        <f t="shared" si="11"/>
        <v>0138-10</v>
      </c>
      <c r="AE52" s="91" t="str">
        <f t="shared" si="12"/>
        <v>aws s3 cp s3://rtdc.mdm.uploadarchive.raw/RTDC4026/ "%USERPROFILE%\AppData\Local\Temp\OnboardLogs"\RTDC4026\2016-12-10 --exclude "*" --recursive --include "*20161210*" &amp; "%USERPROFILE%\Documents\GitHub\mrs-test-scripts\Headless Mode &amp; Sideloading\WalkAndUnGZ.bat" "%USERPROFILE%\AppData\Local\Temp\OnboardLogs"\RTDC4026\2016-12-10 &amp; aws s3 cp s3://rtdc.mdm.uploadarchive.raw/RTDC4026/ "%USERPROFILE%\AppData\Local\Temp\OnboardLogs"\RTDC4026\2016-12-11 --exclude "*" --recursive --include "*20161211*" &amp; "%USERPROFILE%\Documents\GitHub\mrs-test-scripts\Headless Mode &amp; Sideloading\WalkAndUnGZ.bat" "%USERPROFILE%\AppData\Local\Temp\OnboardLogs"\RTDC4026\2016-12-11</v>
      </c>
      <c r="AF52" s="88" t="str">
        <f t="shared" si="13"/>
        <v>"C:\Program Files (x86)\AstroGrep\AstroGrep.exe" /spath="%USERPROFILE%\AppData\Local\Temp\OnboardLogs" /stypes="app*4026*20161210*" /stext=" 16:.+((SYSTEM_STATE.+slice.+state.+changed )|(ment ac)|(multiple cpu faults)|(system.+state.+changed )|(\[timeout)|(PRM\|1\|D)|(kpr)|(kdp)|(\|lc)|(penalty))" /e /r /s</v>
      </c>
      <c r="AG52" s="1" t="str">
        <f t="shared" si="14"/>
        <v>EC</v>
      </c>
      <c r="AH52" s="92" t="str">
        <f t="shared" si="17"/>
        <v>"%USERPROFILE%\Documents\GitHub\eaglep3\Utilities\RefineRTDCRunTimes.py" --tripid 138-10 --locoid 4026 --swversion DE.1.0.8.0 --startMP 204:232989 --initTime 2016-12-10T09:04:34 --startdatetime 2016-12-10T09:11:18 --delay 1 --endMP 204:143 --enddatetime 2016-12-10T09:54:42 --enforcementcount 1 &gt;&gt;C:\Users\stu\Documents\GitHub\eaglep3-reporting\EC\2016-12-10-refined-times.txt</v>
      </c>
      <c r="AI52" s="119" t="str">
        <f t="shared" si="18"/>
        <v>echo {"issue":{"subject":"","project_id":79,"tracker_id":40,"status_id":1,"priority_id":2,"assigned_to_id":23,"start_date":"2016-12-10","description":"","custom_fields":[{"id":1,"name":"Subdivision","value":"EC"},{"id":4,"name":"Milepost","value":"0.0143"},{"id":17,"name":"Train ID","value":"138-10"},{"id":16,"name":"Locomotive ID","value":"4026"},{"id":130,"name":"Impact","value":""},{"id":150,"name":"Time of Event (Mountain Time)","value":"09:54:42"},{"id":151,"name":"Denver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2" s="53"/>
      <c r="AK52" s="53"/>
      <c r="AL52" s="53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25">
      <c r="A53" s="37" t="s">
        <v>498</v>
      </c>
      <c r="B53" s="7">
        <v>4020</v>
      </c>
      <c r="C53" s="22" t="s">
        <v>207</v>
      </c>
      <c r="D53" s="22" t="s">
        <v>667</v>
      </c>
      <c r="E53" s="13">
        <v>42714.349918981483</v>
      </c>
      <c r="F53" s="13">
        <v>42714.35434027778</v>
      </c>
      <c r="G53" s="7">
        <v>1</v>
      </c>
      <c r="H53" s="22" t="s">
        <v>396</v>
      </c>
      <c r="I53" s="13">
        <v>42714.378483796296</v>
      </c>
      <c r="J53" s="7">
        <v>1</v>
      </c>
      <c r="K53" s="109" t="str">
        <f t="shared" si="0"/>
        <v>4019/4020</v>
      </c>
      <c r="L53" s="22" t="str">
        <f>VLOOKUP(A53,'Trips&amp;Operators'!$C$1:$G$99999,5,FALSE)</f>
        <v>GEBRETEKLE DAGNEW</v>
      </c>
      <c r="M53" s="6">
        <f t="shared" si="1"/>
        <v>2.414351851621177E-2</v>
      </c>
      <c r="N53" s="7">
        <f t="shared" si="40"/>
        <v>34.766666663344949</v>
      </c>
      <c r="O53" s="7"/>
      <c r="P53" s="7"/>
      <c r="Q53" s="23"/>
      <c r="R53" s="23"/>
      <c r="S53" s="35">
        <f t="shared" si="38"/>
        <v>1</v>
      </c>
      <c r="T53" s="50" t="str">
        <f t="shared" si="4"/>
        <v>NorthBound</v>
      </c>
      <c r="U53" s="171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https://search-rtdc-monitor-bjffxe2xuh6vdkpspy63sjmuny.us-east-1.es.amazonaws.com/_plugin/kibana/#/discover/Steve-Slow-Train-Analysis-(2080s-and-2083s)?_g=(refreshInterval:(display:Off,section:0,value:0),time:(from:'2016-12-10 07:23:53-700',mode:absolute,to:'2016-12-10 10:05:01-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201053%20OR%202087)%20AND%20%22rtdc.l.rtdc.4020%22')),sort:!(Time,asc))</v>
      </c>
      <c r="W53" s="52" t="str">
        <f t="shared" si="41"/>
        <v>N</v>
      </c>
      <c r="X53" s="177">
        <f t="shared" si="42"/>
        <v>1</v>
      </c>
      <c r="Y53" s="67">
        <f t="shared" si="39"/>
        <v>4.7300000000000002E-2</v>
      </c>
      <c r="Z53" s="67">
        <f t="shared" si="35"/>
        <v>23.328199999999999</v>
      </c>
      <c r="AA53" s="67">
        <f t="shared" si="10"/>
        <v>23.280899999999999</v>
      </c>
      <c r="AB53" s="64" t="e">
        <f>VLOOKUP(A53,Enforcements!$C$7:$K$20,8,0)</f>
        <v>#N/A</v>
      </c>
      <c r="AC53" s="60" t="e">
        <f>VLOOKUP(A53,Enforcements!$C$7:$E$20,3,0)</f>
        <v>#N/A</v>
      </c>
      <c r="AD53" s="61" t="str">
        <f t="shared" si="11"/>
        <v>0139-10</v>
      </c>
      <c r="AE53" s="91" t="str">
        <f t="shared" si="12"/>
        <v>aws s3 cp s3://rtdc.mdm.uploadarchive.raw/RTDC4020/ "%USERPROFILE%\AppData\Local\Temp\OnboardLogs"\RTDC4020\2016-12-10 --exclude "*" --recursive --include "*20161210*" &amp; "%USERPROFILE%\Documents\GitHub\mrs-test-scripts\Headless Mode &amp; Sideloading\WalkAndUnGZ.bat" "%USERPROFILE%\AppData\Local\Temp\OnboardLogs"\RTDC4020\2016-12-10 &amp; aws s3 cp s3://rtdc.mdm.uploadarchive.raw/RTDC4020/ "%USERPROFILE%\AppData\Local\Temp\OnboardLogs"\RTDC4020\2016-12-11 --exclude "*" --recursive --include "*20161211*" &amp; "%USERPROFILE%\Documents\GitHub\mrs-test-scripts\Headless Mode &amp; Sideloading\WalkAndUnGZ.bat" "%USERPROFILE%\AppData\Local\Temp\OnboardLogs"\RTDC4020\2016-12-11</v>
      </c>
      <c r="AF53" s="88" t="str">
        <f t="shared" si="13"/>
        <v>"C:\Program Files (x86)\AstroGrep\AstroGrep.exe" /spath="%USERPROFILE%\AppData\Local\Temp\OnboardLogs" /stypes="app*4020*20161210*" /stext=" 16:.+((SYSTEM_STATE.+slice.+state.+changed )|(ment ac)|(multiple cpu faults)|(system.+state.+changed )|(\[timeout)|(PRM\|1\|D)|(kpr)|(kdp)|(\|lc)|(penalty))" /e /r /s</v>
      </c>
      <c r="AG53" s="1" t="str">
        <f t="shared" si="14"/>
        <v>EC</v>
      </c>
      <c r="AH53" s="92" t="str">
        <f t="shared" si="17"/>
        <v>"%USERPROFILE%\Documents\GitHub\eaglep3\Utilities\RefineRTDCRunTimes.py" --tripid 139-10 --locoid 4020 --swversion DE.1.0.8.0 --startMP 204:473 --initTime 2016-12-10T08:23:53 --startdatetime 2016-12-10T08:30:15 --delay 1 --endMP 204:233282 --enddatetime 2016-12-10T09:05:01 --enforcementcount 1 &gt;&gt;C:\Users\stu\Documents\GitHub\eaglep3-reporting\EC\2016-12-10-refined-times.txt</v>
      </c>
      <c r="AI53" s="119" t="str">
        <f t="shared" si="18"/>
        <v>echo {"issue":{"subject":"","project_id":79,"tracker_id":40,"status_id":1,"priority_id":2,"assigned_to_id":23,"start_date":"2016-12-10","description":"","custom_fields":[{"id":1,"name":"Subdivision","value":"EC"},{"id":4,"name":"Milepost","value":"23.3282"},{"id":17,"name":"Train ID","value":"139-10"},{"id":16,"name":"Locomotive ID","value":"4020"},{"id":130,"name":"Impact","value":""},{"id":150,"name":"Time of Event (Mountain Time)","value":"09:05:01"},{"id":151,"name":"Denver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3" s="53"/>
      <c r="AK53" s="53"/>
      <c r="AL53" s="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25">
      <c r="A54" s="37" t="s">
        <v>505</v>
      </c>
      <c r="B54" s="7">
        <v>4019</v>
      </c>
      <c r="C54" s="22" t="s">
        <v>207</v>
      </c>
      <c r="D54" s="22" t="s">
        <v>668</v>
      </c>
      <c r="E54" s="13">
        <v>42714.388055555559</v>
      </c>
      <c r="F54" s="13">
        <v>42714.39329861111</v>
      </c>
      <c r="G54" s="7">
        <v>1</v>
      </c>
      <c r="H54" s="22" t="s">
        <v>296</v>
      </c>
      <c r="I54" s="13">
        <v>42714.420081018521</v>
      </c>
      <c r="J54" s="7">
        <v>1</v>
      </c>
      <c r="K54" s="109" t="str">
        <f t="shared" si="0"/>
        <v>4019/4020</v>
      </c>
      <c r="L54" s="22" t="str">
        <f>VLOOKUP(A54,'Trips&amp;Operators'!$C$1:$G$99999,5,FALSE)</f>
        <v>GEBRETEKLE DAGNEW</v>
      </c>
      <c r="M54" s="6">
        <f t="shared" si="1"/>
        <v>2.6782407410792075E-2</v>
      </c>
      <c r="N54" s="7">
        <f t="shared" si="40"/>
        <v>38.566666671540588</v>
      </c>
      <c r="O54" s="7"/>
      <c r="P54" s="7"/>
      <c r="Q54" s="23"/>
      <c r="R54" s="23"/>
      <c r="S54" s="35">
        <f t="shared" si="38"/>
        <v>1</v>
      </c>
      <c r="T54" s="50" t="str">
        <f t="shared" si="4"/>
        <v>Southbound</v>
      </c>
      <c r="U54" s="171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https://search-rtdc-monitor-bjffxe2xuh6vdkpspy63sjmuny.us-east-1.es.amazonaws.com/_plugin/kibana/#/discover/Steve-Slow-Train-Analysis-(2080s-and-2083s)?_g=(refreshInterval:(display:Off,section:0,value:0),time:(from:'2016-12-10 08:18:48-700',mode:absolute,to:'2016-12-10 11:04:55-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201053%20OR%202087)%20AND%20%22rtdc.l.rtdc.4019%22')),sort:!(Time,asc))</v>
      </c>
      <c r="W54" s="52" t="str">
        <f t="shared" si="41"/>
        <v>N</v>
      </c>
      <c r="X54" s="177">
        <f t="shared" si="42"/>
        <v>1</v>
      </c>
      <c r="Y54" s="67">
        <f t="shared" si="39"/>
        <v>23.296099999999999</v>
      </c>
      <c r="Z54" s="67">
        <f t="shared" si="35"/>
        <v>1.52E-2</v>
      </c>
      <c r="AA54" s="67">
        <f t="shared" si="10"/>
        <v>23.280899999999999</v>
      </c>
      <c r="AB54" s="64" t="e">
        <f>VLOOKUP(A54,Enforcements!$C$7:$K$20,8,0)</f>
        <v>#N/A</v>
      </c>
      <c r="AC54" s="60" t="e">
        <f>VLOOKUP(A54,Enforcements!$C$7:$E$20,3,0)</f>
        <v>#N/A</v>
      </c>
      <c r="AD54" s="61" t="str">
        <f t="shared" si="11"/>
        <v>0140-10</v>
      </c>
      <c r="AE54" s="91" t="str">
        <f t="shared" si="12"/>
        <v>aws s3 cp s3://rtdc.mdm.uploadarchive.raw/RTDC4019/ "%USERPROFILE%\AppData\Local\Temp\OnboardLogs"\RTDC4019\2016-12-10 --exclude "*" --recursive --include "*20161210*" &amp; "%USERPROFILE%\Documents\GitHub\mrs-test-scripts\Headless Mode &amp; Sideloading\WalkAndUnGZ.bat" "%USERPROFILE%\AppData\Local\Temp\OnboardLogs"\RTDC4019\2016-12-10 &amp; aws s3 cp s3://rtdc.mdm.uploadarchive.raw/RTDC4019/ "%USERPROFILE%\AppData\Local\Temp\OnboardLogs"\RTDC4019\2016-12-11 --exclude "*" --recursive --include "*20161211*" &amp; "%USERPROFILE%\Documents\GitHub\mrs-test-scripts\Headless Mode &amp; Sideloading\WalkAndUnGZ.bat" "%USERPROFILE%\AppData\Local\Temp\OnboardLogs"\RTDC4019\2016-12-11</v>
      </c>
      <c r="AF54" s="88" t="str">
        <f t="shared" si="13"/>
        <v>"C:\Program Files (x86)\AstroGrep\AstroGrep.exe" /spath="%USERPROFILE%\AppData\Local\Temp\OnboardLogs" /stypes="app*4019*20161210*" /stext=" 17:.+((SYSTEM_STATE.+slice.+state.+changed )|(ment ac)|(multiple cpu faults)|(system.+state.+changed )|(\[timeout)|(PRM\|1\|D)|(kpr)|(kdp)|(\|lc)|(penalty))" /e /r /s</v>
      </c>
      <c r="AG54" s="1" t="str">
        <f t="shared" si="14"/>
        <v>EC</v>
      </c>
      <c r="AH54" s="92" t="str">
        <f t="shared" si="17"/>
        <v>"%USERPROFILE%\Documents\GitHub\eaglep3\Utilities\RefineRTDCRunTimes.py" --tripid 140-10 --locoid 4019 --swversion DE.1.0.8.0 --startMP 204:232961 --initTime 2016-12-10T09:18:48 --startdatetime 2016-12-10T09:26:21 --delay 1 --endMP 204:152 --enddatetime 2016-12-10T10:04:55 --enforcementcount 1 &gt;&gt;C:\Users\stu\Documents\GitHub\eaglep3-reporting\EC\2016-12-10-refined-times.txt</v>
      </c>
      <c r="AI54" s="119" t="str">
        <f t="shared" si="18"/>
        <v>echo {"issue":{"subject":"","project_id":79,"tracker_id":40,"status_id":1,"priority_id":2,"assigned_to_id":23,"start_date":"2016-12-10","description":"","custom_fields":[{"id":1,"name":"Subdivision","value":"EC"},{"id":4,"name":"Milepost","value":"0.0152"},{"id":17,"name":"Train ID","value":"140-10"},{"id":16,"name":"Locomotive ID","value":"4019"},{"id":130,"name":"Impact","value":""},{"id":150,"name":"Time of Event (Mountain Time)","value":"10:04:55"},{"id":151,"name":"Denver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4" s="53"/>
      <c r="AK54" s="53"/>
      <c r="AL54" s="53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25">
      <c r="A55" s="37" t="s">
        <v>416</v>
      </c>
      <c r="B55" s="7">
        <v>4003</v>
      </c>
      <c r="C55" s="22" t="s">
        <v>207</v>
      </c>
      <c r="D55" s="22" t="s">
        <v>297</v>
      </c>
      <c r="E55" s="13">
        <v>42714.360474537039</v>
      </c>
      <c r="F55" s="13">
        <v>42714.365011574075</v>
      </c>
      <c r="G55" s="7">
        <v>1</v>
      </c>
      <c r="H55" s="22" t="s">
        <v>669</v>
      </c>
      <c r="I55" s="13">
        <v>42714.383171296293</v>
      </c>
      <c r="J55" s="7">
        <v>1</v>
      </c>
      <c r="K55" s="109" t="str">
        <f t="shared" si="0"/>
        <v>4003/4004</v>
      </c>
      <c r="L55" s="22" t="str">
        <f>VLOOKUP(A55,'Trips&amp;Operators'!$C$1:$G$99999,5,FALSE)</f>
        <v>MAELZER KURT</v>
      </c>
      <c r="M55" s="6">
        <f t="shared" si="1"/>
        <v>1.8159722218115348E-2</v>
      </c>
      <c r="N55" s="7"/>
      <c r="O55" s="7"/>
      <c r="P55" s="7">
        <f>24*60*SUM($M55:$M55)</f>
        <v>26.149999994086102</v>
      </c>
      <c r="Q55" s="23"/>
      <c r="R55" s="23" t="s">
        <v>800</v>
      </c>
      <c r="S55" s="35">
        <f t="shared" si="38"/>
        <v>1</v>
      </c>
      <c r="T55" s="50" t="str">
        <f t="shared" si="4"/>
        <v>NorthBound</v>
      </c>
      <c r="U55" s="171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https://search-rtdc-monitor-bjffxe2xuh6vdkpspy63sjmuny.us-east-1.es.amazonaws.com/_plugin/kibana/#/discover/Steve-Slow-Train-Analysis-(2080s-and-2083s)?_g=(refreshInterval:(display:Off,section:0,value:0),time:(from:'2016-12-10 07:39:05-700',mode:absolute,to:'2016-12-10 10:11:46-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201053%20OR%202087)%20AND%20%22rtdc.l.rtdc.4003%22')),sort:!(Time,asc))</v>
      </c>
      <c r="W55" s="52" t="str">
        <f t="shared" si="41"/>
        <v>Y</v>
      </c>
      <c r="X55" s="177">
        <f t="shared" si="42"/>
        <v>1</v>
      </c>
      <c r="Y55" s="67">
        <f t="shared" si="39"/>
        <v>4.6399999999999997E-2</v>
      </c>
      <c r="Z55" s="67">
        <f t="shared" si="35"/>
        <v>15.5746</v>
      </c>
      <c r="AA55" s="67">
        <f t="shared" si="10"/>
        <v>15.5282</v>
      </c>
      <c r="AB55" s="64" t="e">
        <f>VLOOKUP(A55,Enforcements!$C$7:$K$20,8,0)</f>
        <v>#N/A</v>
      </c>
      <c r="AC55" s="60" t="e">
        <f>VLOOKUP(A55,Enforcements!$C$7:$E$20,3,0)</f>
        <v>#N/A</v>
      </c>
      <c r="AD55" s="61" t="str">
        <f t="shared" si="11"/>
        <v>0141-10</v>
      </c>
      <c r="AE55" s="91" t="str">
        <f t="shared" si="12"/>
        <v>aws s3 cp s3://rtdc.mdm.uploadarchive.raw/RTDC4003/ "%USERPROFILE%\AppData\Local\Temp\OnboardLogs"\RTDC4003\2016-12-10 --exclude "*" --recursive --include "*20161210*" &amp; "%USERPROFILE%\Documents\GitHub\mrs-test-scripts\Headless Mode &amp; Sideloading\WalkAndUnGZ.bat" "%USERPROFILE%\AppData\Local\Temp\OnboardLogs"\RTDC4003\2016-12-10 &amp; aws s3 cp s3://rtdc.mdm.uploadarchive.raw/RTDC4003/ "%USERPROFILE%\AppData\Local\Temp\OnboardLogs"\RTDC4003\2016-12-11 --exclude "*" --recursive --include "*20161211*" &amp; "%USERPROFILE%\Documents\GitHub\mrs-test-scripts\Headless Mode &amp; Sideloading\WalkAndUnGZ.bat" "%USERPROFILE%\AppData\Local\Temp\OnboardLogs"\RTDC4003\2016-12-11</v>
      </c>
      <c r="AF55" s="88" t="str">
        <f t="shared" si="13"/>
        <v>"C:\Program Files (x86)\AstroGrep\AstroGrep.exe" /spath="%USERPROFILE%\AppData\Local\Temp\OnboardLogs" /stypes="app*4003*20161210*" /stext=" 16:.+((SYSTEM_STATE.+slice.+state.+changed )|(ment ac)|(multiple cpu faults)|(system.+state.+changed )|(\[timeout)|(PRM\|1\|D)|(kpr)|(kdp)|(\|lc)|(penalty))" /e /r /s</v>
      </c>
      <c r="AG55" s="1" t="str">
        <f t="shared" si="14"/>
        <v>EC</v>
      </c>
      <c r="AH55" s="92" t="str">
        <f t="shared" si="17"/>
        <v>"%USERPROFILE%\Documents\GitHub\eaglep3\Utilities\RefineRTDCRunTimes.py" --tripid 141-10 --locoid 4003 --swversion DE.1.0.8.0 --startMP 204:464 --initTime 2016-12-10T08:39:05 --startdatetime 2016-12-10T08:45:37 --delay 1 --endMP 204:155746 --enddatetime 2016-12-10T09:11:46 --enforcementcount 1 &gt;&gt;C:\Users\stu\Documents\GitHub\eaglep3-reporting\EC\2016-12-10-refined-times.txt</v>
      </c>
      <c r="AI55" s="119" t="str">
        <f t="shared" si="18"/>
        <v>echo {"issue":{"subject":"CP Pena ELXS failure","project_id":79,"tracker_id":40,"status_id":1,"priority_id":2,"assigned_to_id":23,"start_date":"2016-12-10","description":"Around 09:11, CP Pena experienced a failure that took it offline. Do logs tell us anything?","custom_fields":[{"id":1,"name":"Subdivision","value":"EC"},{"id":4,"name":"Milepost","value":"15.5746"},{"id":17,"name":"Train ID","value":"141-10"},{"id":16,"name":"Locomotive ID","value":"4003"},{"id":130,"name":"Impact","value":"Enforcement"},{"id":150,"name":"Time of Event (Mountain Time)","value":"09:11:46"},{"id":151,"name":"Denver Issue ID","value":""},{"id":178,"name":"Operational Impact","value":"Yes"},{"id":179,"name":"Denver Segment Assigned","value":"Signal"}]}} | curl -X POST -H "Content-Type: application/json" -H "X-Redmine-API-Key: d6333d4a04012a730768444271f8ca06482dae87" https://secure.xorail.net/redmine/issues.json --data @-</v>
      </c>
      <c r="AJ55" s="53" t="s">
        <v>801</v>
      </c>
      <c r="AK55" s="53" t="s">
        <v>125</v>
      </c>
      <c r="AL55" s="53" t="s">
        <v>130</v>
      </c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25">
      <c r="A56" s="37" t="s">
        <v>509</v>
      </c>
      <c r="B56" s="7">
        <v>4004</v>
      </c>
      <c r="C56" s="22" t="s">
        <v>207</v>
      </c>
      <c r="D56" s="22" t="s">
        <v>670</v>
      </c>
      <c r="E56" s="13">
        <v>42714.403055555558</v>
      </c>
      <c r="F56" s="13">
        <v>42714.404247685183</v>
      </c>
      <c r="G56" s="7">
        <v>1</v>
      </c>
      <c r="H56" s="22" t="s">
        <v>646</v>
      </c>
      <c r="I56" s="13">
        <v>42714.430474537039</v>
      </c>
      <c r="J56" s="7">
        <v>1</v>
      </c>
      <c r="K56" s="109" t="str">
        <f t="shared" si="0"/>
        <v>4003/4004</v>
      </c>
      <c r="L56" s="22" t="str">
        <f>VLOOKUP(A56,'Trips&amp;Operators'!$C$1:$G$99999,5,FALSE)</f>
        <v>MAELZER KURT</v>
      </c>
      <c r="M56" s="6">
        <f t="shared" si="1"/>
        <v>2.6226851856335998E-2</v>
      </c>
      <c r="N56" s="7">
        <f t="shared" ref="N56:N87" si="43">24*60*SUM($M56:$M56)</f>
        <v>37.766666673123837</v>
      </c>
      <c r="O56" s="7"/>
      <c r="P56" s="7"/>
      <c r="Q56" s="23"/>
      <c r="R56" s="23"/>
      <c r="S56" s="35">
        <f t="shared" si="38"/>
        <v>1</v>
      </c>
      <c r="T56" s="50" t="str">
        <f t="shared" si="4"/>
        <v>Southbound</v>
      </c>
      <c r="U56" s="171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https://search-rtdc-monitor-bjffxe2xuh6vdkpspy63sjmuny.us-east-1.es.amazonaws.com/_plugin/kibana/#/discover/Steve-Slow-Train-Analysis-(2080s-and-2083s)?_g=(refreshInterval:(display:Off,section:0,value:0),time:(from:'2016-12-10 08:40:24-700',mode:absolute,to:'2016-12-10 11:19:53-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201053%20OR%202087)%20AND%20%22rtdc.l.rtdc.4004%22')),sort:!(Time,asc))</v>
      </c>
      <c r="W56" s="52" t="str">
        <f t="shared" si="41"/>
        <v>N</v>
      </c>
      <c r="X56" s="177">
        <f t="shared" si="42"/>
        <v>1</v>
      </c>
      <c r="Y56" s="67">
        <f t="shared" si="39"/>
        <v>23.3017</v>
      </c>
      <c r="Z56" s="67">
        <f t="shared" si="35"/>
        <v>1.3599999999999999E-2</v>
      </c>
      <c r="AA56" s="67">
        <f t="shared" si="10"/>
        <v>23.2881</v>
      </c>
      <c r="AB56" s="64" t="e">
        <f>VLOOKUP(A56,Enforcements!$C$7:$K$20,8,0)</f>
        <v>#N/A</v>
      </c>
      <c r="AC56" s="60" t="e">
        <f>VLOOKUP(A56,Enforcements!$C$7:$E$20,3,0)</f>
        <v>#N/A</v>
      </c>
      <c r="AD56" s="61" t="str">
        <f t="shared" si="11"/>
        <v>0142-10</v>
      </c>
      <c r="AE56" s="91" t="str">
        <f t="shared" si="12"/>
        <v>aws s3 cp s3://rtdc.mdm.uploadarchive.raw/RTDC4004/ "%USERPROFILE%\AppData\Local\Temp\OnboardLogs"\RTDC4004\2016-12-10 --exclude "*" --recursive --include "*20161210*" &amp; "%USERPROFILE%\Documents\GitHub\mrs-test-scripts\Headless Mode &amp; Sideloading\WalkAndUnGZ.bat" "%USERPROFILE%\AppData\Local\Temp\OnboardLogs"\RTDC4004\2016-12-10 &amp; aws s3 cp s3://rtdc.mdm.uploadarchive.raw/RTDC4004/ "%USERPROFILE%\AppData\Local\Temp\OnboardLogs"\RTDC4004\2016-12-11 --exclude "*" --recursive --include "*20161211*" &amp; "%USERPROFILE%\Documents\GitHub\mrs-test-scripts\Headless Mode &amp; Sideloading\WalkAndUnGZ.bat" "%USERPROFILE%\AppData\Local\Temp\OnboardLogs"\RTDC4004\2016-12-11</v>
      </c>
      <c r="AF56" s="88" t="str">
        <f t="shared" si="13"/>
        <v>"C:\Program Files (x86)\AstroGrep\AstroGrep.exe" /spath="%USERPROFILE%\AppData\Local\Temp\OnboardLogs" /stypes="app*4004*20161210*" /stext=" 17:.+((SYSTEM_STATE.+slice.+state.+changed )|(ment ac)|(multiple cpu faults)|(system.+state.+changed )|(\[timeout)|(PRM\|1\|D)|(kpr)|(kdp)|(\|lc)|(penalty))" /e /r /s</v>
      </c>
      <c r="AG56" s="1" t="str">
        <f t="shared" si="14"/>
        <v>EC</v>
      </c>
      <c r="AH56" s="92" t="str">
        <f t="shared" si="17"/>
        <v>"%USERPROFILE%\Documents\GitHub\eaglep3\Utilities\RefineRTDCRunTimes.py" --tripid 142-10 --locoid 4004 --swversion DE.1.0.8.0 --startMP 204:233017 --initTime 2016-12-10T09:40:24 --startdatetime 2016-12-10T09:42:07 --delay 1 --endMP 204:136 --enddatetime 2016-12-10T10:19:53 --enforcementcount 1 &gt;&gt;C:\Users\stu\Documents\GitHub\eaglep3-reporting\EC\2016-12-10-refined-times.txt</v>
      </c>
      <c r="AI56" s="119" t="str">
        <f t="shared" si="18"/>
        <v>echo {"issue":{"subject":"","project_id":79,"tracker_id":40,"status_id":1,"priority_id":2,"assigned_to_id":23,"start_date":"2016-12-10","description":"","custom_fields":[{"id":1,"name":"Subdivision","value":"EC"},{"id":4,"name":"Milepost","value":"0.0136"},{"id":17,"name":"Train ID","value":"142-10"},{"id":16,"name":"Locomotive ID","value":"4004"},{"id":130,"name":"Impact","value":""},{"id":150,"name":"Time of Event (Mountain Time)","value":"10:19:53"},{"id":151,"name":"Denver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6" s="53"/>
      <c r="AK56" s="53"/>
      <c r="AL56" s="53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25">
      <c r="A57" s="37" t="s">
        <v>502</v>
      </c>
      <c r="B57" s="7">
        <v>4014</v>
      </c>
      <c r="C57" s="22" t="s">
        <v>207</v>
      </c>
      <c r="D57" s="22" t="s">
        <v>276</v>
      </c>
      <c r="E57" s="13">
        <v>42714.372002314813</v>
      </c>
      <c r="F57" s="13">
        <v>42714.375185185185</v>
      </c>
      <c r="G57" s="7">
        <v>1</v>
      </c>
      <c r="H57" s="22" t="s">
        <v>305</v>
      </c>
      <c r="I57" s="13">
        <v>42714.400011574071</v>
      </c>
      <c r="J57" s="7">
        <v>1</v>
      </c>
      <c r="K57" s="109" t="str">
        <f t="shared" si="0"/>
        <v>4013/4014</v>
      </c>
      <c r="L57" s="22" t="str">
        <f>VLOOKUP(A57,'Trips&amp;Operators'!$C$1:$G$99999,5,FALSE)</f>
        <v>ISHMAEL JOSEPH</v>
      </c>
      <c r="M57" s="6">
        <f t="shared" si="1"/>
        <v>2.4826388886140194E-2</v>
      </c>
      <c r="N57" s="7">
        <f t="shared" si="43"/>
        <v>35.749999996041879</v>
      </c>
      <c r="O57" s="7"/>
      <c r="P57" s="7"/>
      <c r="Q57" s="23"/>
      <c r="R57" s="23"/>
      <c r="S57" s="35">
        <f t="shared" si="38"/>
        <v>1</v>
      </c>
      <c r="T57" s="50" t="str">
        <f t="shared" si="4"/>
        <v>NorthBound</v>
      </c>
      <c r="U57" s="171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https://search-rtdc-monitor-bjffxe2xuh6vdkpspy63sjmuny.us-east-1.es.amazonaws.com/_plugin/kibana/#/discover/Steve-Slow-Train-Analysis-(2080s-and-2083s)?_g=(refreshInterval:(display:Off,section:0,value:0),time:(from:'2016-12-10 07:55:41-700',mode:absolute,to:'2016-12-10 10:36:01-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201053%20OR%202087)%20AND%20%22rtdc.l.rtdc.4014%22')),sort:!(Time,asc))</v>
      </c>
      <c r="W57" s="52" t="str">
        <f t="shared" si="41"/>
        <v>N</v>
      </c>
      <c r="X57" s="177">
        <f t="shared" si="42"/>
        <v>1</v>
      </c>
      <c r="Y57" s="67">
        <f t="shared" si="39"/>
        <v>4.4600000000000001E-2</v>
      </c>
      <c r="Z57" s="67">
        <f t="shared" si="35"/>
        <v>23.3309</v>
      </c>
      <c r="AA57" s="67">
        <f t="shared" si="10"/>
        <v>23.286300000000001</v>
      </c>
      <c r="AB57" s="64" t="e">
        <f>VLOOKUP(A57,Enforcements!$C$7:$K$20,8,0)</f>
        <v>#N/A</v>
      </c>
      <c r="AC57" s="60" t="e">
        <f>VLOOKUP(A57,Enforcements!$C$7:$E$20,3,0)</f>
        <v>#N/A</v>
      </c>
      <c r="AD57" s="61" t="str">
        <f t="shared" si="11"/>
        <v>0143-10</v>
      </c>
      <c r="AE57" s="91" t="str">
        <f t="shared" si="12"/>
        <v>aws s3 cp s3://rtdc.mdm.uploadarchive.raw/RTDC4014/ "%USERPROFILE%\AppData\Local\Temp\OnboardLogs"\RTDC4014\2016-12-10 --exclude "*" --recursive --include "*20161210*" &amp; "%USERPROFILE%\Documents\GitHub\mrs-test-scripts\Headless Mode &amp; Sideloading\WalkAndUnGZ.bat" "%USERPROFILE%\AppData\Local\Temp\OnboardLogs"\RTDC4014\2016-12-10 &amp; aws s3 cp s3://rtdc.mdm.uploadarchive.raw/RTDC4014/ "%USERPROFILE%\AppData\Local\Temp\OnboardLogs"\RTDC4014\2016-12-11 --exclude "*" --recursive --include "*20161211*" &amp; "%USERPROFILE%\Documents\GitHub\mrs-test-scripts\Headless Mode &amp; Sideloading\WalkAndUnGZ.bat" "%USERPROFILE%\AppData\Local\Temp\OnboardLogs"\RTDC4014\2016-12-11</v>
      </c>
      <c r="AF57" s="88" t="str">
        <f t="shared" si="13"/>
        <v>"C:\Program Files (x86)\AstroGrep\AstroGrep.exe" /spath="%USERPROFILE%\AppData\Local\Temp\OnboardLogs" /stypes="app*4014*20161210*" /stext=" 16:.+((SYSTEM_STATE.+slice.+state.+changed )|(ment ac)|(multiple cpu faults)|(system.+state.+changed )|(\[timeout)|(PRM\|1\|D)|(kpr)|(kdp)|(\|lc)|(penalty))" /e /r /s</v>
      </c>
      <c r="AG57" s="1" t="str">
        <f t="shared" si="14"/>
        <v>EC</v>
      </c>
      <c r="AH57" s="92" t="str">
        <f t="shared" si="17"/>
        <v>"%USERPROFILE%\Documents\GitHub\eaglep3\Utilities\RefineRTDCRunTimes.py" --tripid 143-10 --locoid 4014 --swversion DE.1.0.8.0 --startMP 204:446 --initTime 2016-12-10T08:55:41 --startdatetime 2016-12-10T09:00:16 --delay 1 --endMP 204:233309 --enddatetime 2016-12-10T09:36:01 --enforcementcount 1 &gt;&gt;C:\Users\stu\Documents\GitHub\eaglep3-reporting\EC\2016-12-10-refined-times.txt</v>
      </c>
      <c r="AI57" s="119" t="str">
        <f t="shared" si="18"/>
        <v>echo {"issue":{"subject":"","project_id":79,"tracker_id":40,"status_id":1,"priority_id":2,"assigned_to_id":23,"start_date":"2016-12-10","description":"","custom_fields":[{"id":1,"name":"Subdivision","value":"EC"},{"id":4,"name":"Milepost","value":"23.3309"},{"id":17,"name":"Train ID","value":"143-10"},{"id":16,"name":"Locomotive ID","value":"4014"},{"id":130,"name":"Impact","value":""},{"id":150,"name":"Time of Event (Mountain Time)","value":"09:36:01"},{"id":151,"name":"Denver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7" s="53"/>
      <c r="AK57" s="53"/>
      <c r="AL57" s="53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25">
      <c r="A58" s="37" t="s">
        <v>418</v>
      </c>
      <c r="B58" s="7">
        <v>4013</v>
      </c>
      <c r="C58" s="22" t="s">
        <v>207</v>
      </c>
      <c r="D58" s="22" t="s">
        <v>671</v>
      </c>
      <c r="E58" s="13">
        <v>42714.410914351851</v>
      </c>
      <c r="F58" s="13">
        <v>42714.414074074077</v>
      </c>
      <c r="G58" s="7">
        <v>1</v>
      </c>
      <c r="H58" s="22" t="s">
        <v>246</v>
      </c>
      <c r="I58" s="13">
        <v>42714.441365740742</v>
      </c>
      <c r="J58" s="7">
        <v>1</v>
      </c>
      <c r="K58" s="109" t="str">
        <f t="shared" si="0"/>
        <v>4013/4014</v>
      </c>
      <c r="L58" s="22" t="str">
        <f>VLOOKUP(A58,'Trips&amp;Operators'!$C$1:$G$99999,5,FALSE)</f>
        <v>ISHMAEL JOSEPH</v>
      </c>
      <c r="M58" s="6">
        <f t="shared" si="1"/>
        <v>2.7291666665405501E-2</v>
      </c>
      <c r="N58" s="7">
        <f t="shared" si="43"/>
        <v>39.299999998183921</v>
      </c>
      <c r="O58" s="7"/>
      <c r="P58" s="7"/>
      <c r="Q58" s="23"/>
      <c r="R58" s="23"/>
      <c r="S58" s="35">
        <f t="shared" si="38"/>
        <v>1</v>
      </c>
      <c r="T58" s="50" t="str">
        <f t="shared" si="4"/>
        <v>Southbound</v>
      </c>
      <c r="U58" s="171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https://search-rtdc-monitor-bjffxe2xuh6vdkpspy63sjmuny.us-east-1.es.amazonaws.com/_plugin/kibana/#/discover/Steve-Slow-Train-Analysis-(2080s-and-2083s)?_g=(refreshInterval:(display:Off,section:0,value:0),time:(from:'2016-12-10 08:51:43-700',mode:absolute,to:'2016-12-10 11:35:34-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201053%20OR%202087)%20AND%20%22rtdc.l.rtdc.4013%22')),sort:!(Time,asc))</v>
      </c>
      <c r="W58" s="52" t="str">
        <f t="shared" si="41"/>
        <v>N</v>
      </c>
      <c r="X58" s="177">
        <f t="shared" si="42"/>
        <v>1</v>
      </c>
      <c r="Y58" s="67">
        <f t="shared" si="39"/>
        <v>23.299600000000002</v>
      </c>
      <c r="Z58" s="67">
        <f t="shared" si="35"/>
        <v>1.4500000000000001E-2</v>
      </c>
      <c r="AA58" s="67">
        <f t="shared" si="10"/>
        <v>23.2851</v>
      </c>
      <c r="AB58" s="64" t="str">
        <f>VLOOKUP(A58,Enforcements!$C$7:$K$20,8,0)</f>
        <v>Speed (6)</v>
      </c>
      <c r="AC58" s="60" t="str">
        <f>VLOOKUP(A58,Enforcements!$C$7:$E$20,3,0)</f>
        <v>PERMANENT SPEED RESTRICTION</v>
      </c>
      <c r="AD58" s="61" t="str">
        <f t="shared" si="11"/>
        <v>0144-10</v>
      </c>
      <c r="AE58" s="91" t="str">
        <f t="shared" si="12"/>
        <v>aws s3 cp s3://rtdc.mdm.uploadarchive.raw/RTDC4013/ "%USERPROFILE%\AppData\Local\Temp\OnboardLogs"\RTDC4013\2016-12-10 --exclude "*" --recursive --include "*20161210*" &amp; "%USERPROFILE%\Documents\GitHub\mrs-test-scripts\Headless Mode &amp; Sideloading\WalkAndUnGZ.bat" "%USERPROFILE%\AppData\Local\Temp\OnboardLogs"\RTDC4013\2016-12-10 &amp; aws s3 cp s3://rtdc.mdm.uploadarchive.raw/RTDC4013/ "%USERPROFILE%\AppData\Local\Temp\OnboardLogs"\RTDC4013\2016-12-11 --exclude "*" --recursive --include "*20161211*" &amp; "%USERPROFILE%\Documents\GitHub\mrs-test-scripts\Headless Mode &amp; Sideloading\WalkAndUnGZ.bat" "%USERPROFILE%\AppData\Local\Temp\OnboardLogs"\RTDC4013\2016-12-11</v>
      </c>
      <c r="AF58" s="88" t="str">
        <f t="shared" si="13"/>
        <v>"C:\Program Files (x86)\AstroGrep\AstroGrep.exe" /spath="%USERPROFILE%\AppData\Local\Temp\OnboardLogs" /stypes="app*4013*20161210*" /stext=" 17:.+((SYSTEM_STATE.+slice.+state.+changed )|(ment ac)|(multiple cpu faults)|(system.+state.+changed )|(\[timeout)|(PRM\|1\|D)|(kpr)|(kdp)|(\|lc)|(penalty))" /e /r /s</v>
      </c>
      <c r="AG58" s="1" t="str">
        <f t="shared" si="14"/>
        <v>EC</v>
      </c>
      <c r="AH58" s="92" t="str">
        <f t="shared" si="17"/>
        <v>"%USERPROFILE%\Documents\GitHub\eaglep3\Utilities\RefineRTDCRunTimes.py" --tripid 144-10 --locoid 4013 --swversion DE.1.0.8.0 --startMP 204:232996 --initTime 2016-12-10T09:51:43 --startdatetime 2016-12-10T09:56:16 --delay 1 --endMP 204:145 --enddatetime 2016-12-10T10:35:34 --enforcementcount 1 &gt;&gt;C:\Users\stu\Documents\GitHub\eaglep3-reporting\EC\2016-12-10-refined-times.txt</v>
      </c>
      <c r="AI58" s="119" t="str">
        <f t="shared" si="18"/>
        <v>echo {"issue":{"subject":"","project_id":79,"tracker_id":40,"status_id":1,"priority_id":2,"assigned_to_id":23,"start_date":"2016-12-10","description":"","custom_fields":[{"id":1,"name":"Subdivision","value":"EC"},{"id":4,"name":"Milepost","value":"0.0145"},{"id":17,"name":"Train ID","value":"144-10"},{"id":16,"name":"Locomotive ID","value":"4013"},{"id":130,"name":"Impact","value":""},{"id":150,"name":"Time of Event (Mountain Time)","value":"10:35:34"},{"id":151,"name":"Denver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8" s="53"/>
      <c r="AK58" s="53"/>
      <c r="AL58" s="53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29" customFormat="1" x14ac:dyDescent="0.25">
      <c r="A59" s="37" t="s">
        <v>504</v>
      </c>
      <c r="B59" s="7">
        <v>4009</v>
      </c>
      <c r="C59" s="22" t="s">
        <v>207</v>
      </c>
      <c r="D59" s="22" t="s">
        <v>195</v>
      </c>
      <c r="E59" s="13">
        <v>42714.381840277776</v>
      </c>
      <c r="F59" s="13">
        <v>42714.385625000003</v>
      </c>
      <c r="G59" s="7">
        <v>1</v>
      </c>
      <c r="H59" s="22" t="s">
        <v>247</v>
      </c>
      <c r="I59" s="13">
        <v>42714.410324074073</v>
      </c>
      <c r="J59" s="7">
        <v>1</v>
      </c>
      <c r="K59" s="109" t="str">
        <f t="shared" si="0"/>
        <v>4009/4010</v>
      </c>
      <c r="L59" s="22" t="str">
        <f>VLOOKUP(A59,'Trips&amp;Operators'!$C$1:$G$99999,5,FALSE)</f>
        <v>ROBINSON KADDIBA</v>
      </c>
      <c r="M59" s="6">
        <f t="shared" si="1"/>
        <v>2.4699074070667848E-2</v>
      </c>
      <c r="N59" s="7">
        <f t="shared" si="43"/>
        <v>35.566666661761701</v>
      </c>
      <c r="O59" s="7"/>
      <c r="P59" s="7"/>
      <c r="Q59" s="23"/>
      <c r="R59" s="23"/>
      <c r="S59" s="35">
        <f t="shared" si="38"/>
        <v>1</v>
      </c>
      <c r="T59" s="50" t="str">
        <f t="shared" si="4"/>
        <v>NorthBound</v>
      </c>
      <c r="U59" s="171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https://search-rtdc-monitor-bjffxe2xuh6vdkpspy63sjmuny.us-east-1.es.amazonaws.com/_plugin/kibana/#/discover/Steve-Slow-Train-Analysis-(2080s-and-2083s)?_g=(refreshInterval:(display:Off,section:0,value:0),time:(from:'2016-12-10 08:09:51-700',mode:absolute,to:'2016-12-10 10:50:52-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201053%20OR%202087)%20AND%20%22rtdc.l.rtdc.4009%22')),sort:!(Time,asc))</v>
      </c>
      <c r="W59" s="52" t="str">
        <f t="shared" si="41"/>
        <v>N</v>
      </c>
      <c r="X59" s="177">
        <f t="shared" si="42"/>
        <v>1</v>
      </c>
      <c r="Y59" s="67">
        <f t="shared" si="39"/>
        <v>4.5100000000000001E-2</v>
      </c>
      <c r="Z59" s="67">
        <f t="shared" si="35"/>
        <v>23.329799999999999</v>
      </c>
      <c r="AA59" s="67">
        <f t="shared" si="10"/>
        <v>23.284699999999997</v>
      </c>
      <c r="AB59" s="64" t="e">
        <f>VLOOKUP(A59,Enforcements!$C$7:$K$20,8,0)</f>
        <v>#N/A</v>
      </c>
      <c r="AC59" s="60" t="e">
        <f>VLOOKUP(A59,Enforcements!$C$7:$E$20,3,0)</f>
        <v>#N/A</v>
      </c>
      <c r="AD59" s="61" t="str">
        <f t="shared" si="11"/>
        <v>0145-10</v>
      </c>
      <c r="AE59" s="91" t="str">
        <f t="shared" si="12"/>
        <v>aws s3 cp s3://rtdc.mdm.uploadarchive.raw/RTDC4009/ "%USERPROFILE%\AppData\Local\Temp\OnboardLogs"\RTDC4009\2016-12-10 --exclude "*" --recursive --include "*20161210*" &amp; "%USERPROFILE%\Documents\GitHub\mrs-test-scripts\Headless Mode &amp; Sideloading\WalkAndUnGZ.bat" "%USERPROFILE%\AppData\Local\Temp\OnboardLogs"\RTDC4009\2016-12-10 &amp; aws s3 cp s3://rtdc.mdm.uploadarchive.raw/RTDC4009/ "%USERPROFILE%\AppData\Local\Temp\OnboardLogs"\RTDC4009\2016-12-11 --exclude "*" --recursive --include "*20161211*" &amp; "%USERPROFILE%\Documents\GitHub\mrs-test-scripts\Headless Mode &amp; Sideloading\WalkAndUnGZ.bat" "%USERPROFILE%\AppData\Local\Temp\OnboardLogs"\RTDC4009\2016-12-11</v>
      </c>
      <c r="AF59" s="88" t="str">
        <f t="shared" si="13"/>
        <v>"C:\Program Files (x86)\AstroGrep\AstroGrep.exe" /spath="%USERPROFILE%\AppData\Local\Temp\OnboardLogs" /stypes="app*4009*20161210*" /stext=" 16:.+((SYSTEM_STATE.+slice.+state.+changed )|(ment ac)|(multiple cpu faults)|(system.+state.+changed )|(\[timeout)|(PRM\|1\|D)|(kpr)|(kdp)|(\|lc)|(penalty))" /e /r /s</v>
      </c>
      <c r="AG59" s="1" t="str">
        <f t="shared" si="14"/>
        <v>EC</v>
      </c>
      <c r="AH59" s="92" t="str">
        <f t="shared" si="17"/>
        <v>"%USERPROFILE%\Documents\GitHub\eaglep3\Utilities\RefineRTDCRunTimes.py" --tripid 145-10 --locoid 4009 --swversion DE.1.0.8.0 --startMP 204:451 --initTime 2016-12-10T09:09:51 --startdatetime 2016-12-10T09:15:18 --delay 1 --endMP 204:233298 --enddatetime 2016-12-10T09:50:52 --enforcementcount 1 &gt;&gt;C:\Users\stu\Documents\GitHub\eaglep3-reporting\EC\2016-12-10-refined-times.txt</v>
      </c>
      <c r="AI59" s="119" t="str">
        <f t="shared" si="18"/>
        <v>echo {"issue":{"subject":"","project_id":79,"tracker_id":40,"status_id":1,"priority_id":2,"assigned_to_id":23,"start_date":"2016-12-10","description":"","custom_fields":[{"id":1,"name":"Subdivision","value":"EC"},{"id":4,"name":"Milepost","value":"23.3298"},{"id":17,"name":"Train ID","value":"145-10"},{"id":16,"name":"Locomotive ID","value":"4009"},{"id":130,"name":"Impact","value":""},{"id":150,"name":"Time of Event (Mountain Time)","value":"09:50:52"},{"id":151,"name":"Denver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9" s="53"/>
      <c r="AK59" s="53"/>
      <c r="AL59" s="53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25">
      <c r="A60" s="37" t="s">
        <v>512</v>
      </c>
      <c r="B60" s="7">
        <v>4010</v>
      </c>
      <c r="C60" s="22" t="s">
        <v>207</v>
      </c>
      <c r="D60" s="22" t="s">
        <v>672</v>
      </c>
      <c r="E60" s="13">
        <v>42714.420474537037</v>
      </c>
      <c r="F60" s="13">
        <v>42714.424479166664</v>
      </c>
      <c r="G60" s="7">
        <v>1</v>
      </c>
      <c r="H60" s="22" t="s">
        <v>673</v>
      </c>
      <c r="I60" s="13">
        <v>42714.451307870368</v>
      </c>
      <c r="J60" s="7">
        <v>1</v>
      </c>
      <c r="K60" s="109" t="str">
        <f t="shared" si="0"/>
        <v>4009/4010</v>
      </c>
      <c r="L60" s="22" t="str">
        <f>VLOOKUP(A60,'Trips&amp;Operators'!$C$1:$G$99999,5,FALSE)</f>
        <v>ROBINSON KADDIBA</v>
      </c>
      <c r="M60" s="6">
        <f t="shared" si="1"/>
        <v>2.6828703703358769E-2</v>
      </c>
      <c r="N60" s="7">
        <f t="shared" si="43"/>
        <v>38.633333332836628</v>
      </c>
      <c r="O60" s="7"/>
      <c r="P60" s="7"/>
      <c r="Q60" s="23"/>
      <c r="R60" s="23"/>
      <c r="S60" s="35">
        <f t="shared" si="38"/>
        <v>1</v>
      </c>
      <c r="T60" s="50" t="str">
        <f t="shared" si="4"/>
        <v>Southbound</v>
      </c>
      <c r="U60" s="171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https://search-rtdc-monitor-bjffxe2xuh6vdkpspy63sjmuny.us-east-1.es.amazonaws.com/_plugin/kibana/#/discover/Steve-Slow-Train-Analysis-(2080s-and-2083s)?_g=(refreshInterval:(display:Off,section:0,value:0),time:(from:'2016-12-10 09:05:29-700',mode:absolute,to:'2016-12-10 11:49:53-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201053%20OR%202087)%20AND%20%22rtdc.l.rtdc.4010%22')),sort:!(Time,asc))</v>
      </c>
      <c r="W60" s="52" t="str">
        <f t="shared" si="41"/>
        <v>N</v>
      </c>
      <c r="X60" s="177">
        <f t="shared" si="42"/>
        <v>1</v>
      </c>
      <c r="Y60" s="67">
        <f t="shared" si="39"/>
        <v>23.298300000000001</v>
      </c>
      <c r="Z60" s="67">
        <f t="shared" si="35"/>
        <v>1.2699999999999999E-2</v>
      </c>
      <c r="AA60" s="67">
        <f t="shared" si="10"/>
        <v>23.285600000000002</v>
      </c>
      <c r="AB60" s="64" t="e">
        <f>VLOOKUP(A60,Enforcements!$C$7:$K$20,8,0)</f>
        <v>#N/A</v>
      </c>
      <c r="AC60" s="60" t="e">
        <f>VLOOKUP(A60,Enforcements!$C$7:$E$20,3,0)</f>
        <v>#N/A</v>
      </c>
      <c r="AD60" s="61" t="str">
        <f t="shared" si="11"/>
        <v>0146-10</v>
      </c>
      <c r="AE60" s="91" t="str">
        <f t="shared" si="12"/>
        <v>aws s3 cp s3://rtdc.mdm.uploadarchive.raw/RTDC4010/ "%USERPROFILE%\AppData\Local\Temp\OnboardLogs"\RTDC4010\2016-12-10 --exclude "*" --recursive --include "*20161210*" &amp; "%USERPROFILE%\Documents\GitHub\mrs-test-scripts\Headless Mode &amp; Sideloading\WalkAndUnGZ.bat" "%USERPROFILE%\AppData\Local\Temp\OnboardLogs"\RTDC4010\2016-12-10 &amp; aws s3 cp s3://rtdc.mdm.uploadarchive.raw/RTDC4010/ "%USERPROFILE%\AppData\Local\Temp\OnboardLogs"\RTDC4010\2016-12-11 --exclude "*" --recursive --include "*20161211*" &amp; "%USERPROFILE%\Documents\GitHub\mrs-test-scripts\Headless Mode &amp; Sideloading\WalkAndUnGZ.bat" "%USERPROFILE%\AppData\Local\Temp\OnboardLogs"\RTDC4010\2016-12-11</v>
      </c>
      <c r="AF60" s="88" t="str">
        <f t="shared" si="13"/>
        <v>"C:\Program Files (x86)\AstroGrep\AstroGrep.exe" /spath="%USERPROFILE%\AppData\Local\Temp\OnboardLogs" /stypes="app*4010*20161210*" /stext=" 17:.+((SYSTEM_STATE.+slice.+state.+changed )|(ment ac)|(multiple cpu faults)|(system.+state.+changed )|(\[timeout)|(PRM\|1\|D)|(kpr)|(kdp)|(\|lc)|(penalty))" /e /r /s</v>
      </c>
      <c r="AG60" s="1" t="str">
        <f t="shared" si="14"/>
        <v>EC</v>
      </c>
      <c r="AH60" s="92" t="str">
        <f t="shared" si="17"/>
        <v>"%USERPROFILE%\Documents\GitHub\eaglep3\Utilities\RefineRTDCRunTimes.py" --tripid 146-10 --locoid 4010 --swversion DE.1.0.8.0 --startMP 204:232983 --initTime 2016-12-10T10:05:29 --startdatetime 2016-12-10T10:11:15 --delay 1 --endMP 204:127 --enddatetime 2016-12-10T10:49:53 --enforcementcount 1 &gt;&gt;C:\Users\stu\Documents\GitHub\eaglep3-reporting\EC\2016-12-10-refined-times.txt</v>
      </c>
      <c r="AI60" s="119" t="str">
        <f t="shared" si="18"/>
        <v>echo {"issue":{"subject":"","project_id":79,"tracker_id":40,"status_id":1,"priority_id":2,"assigned_to_id":23,"start_date":"2016-12-10","description":"","custom_fields":[{"id":1,"name":"Subdivision","value":"EC"},{"id":4,"name":"Milepost","value":"0.0127"},{"id":17,"name":"Train ID","value":"146-10"},{"id":16,"name":"Locomotive ID","value":"4010"},{"id":130,"name":"Impact","value":""},{"id":150,"name":"Time of Event (Mountain Time)","value":"10:49:53"},{"id":151,"name":"Denver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0" s="53"/>
      <c r="AK60" s="53"/>
      <c r="AL60" s="53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25">
      <c r="A61" s="37" t="s">
        <v>506</v>
      </c>
      <c r="B61" s="7">
        <v>4016</v>
      </c>
      <c r="C61" s="22" t="s">
        <v>207</v>
      </c>
      <c r="D61" s="22" t="s">
        <v>297</v>
      </c>
      <c r="E61" s="13">
        <v>42714.392291666663</v>
      </c>
      <c r="F61" s="13">
        <v>42714.39603009259</v>
      </c>
      <c r="G61" s="7">
        <v>1</v>
      </c>
      <c r="H61" s="22" t="s">
        <v>674</v>
      </c>
      <c r="I61" s="13">
        <v>42714.420983796299</v>
      </c>
      <c r="J61" s="7">
        <v>1</v>
      </c>
      <c r="K61" s="109" t="str">
        <f t="shared" si="0"/>
        <v>4015/4016</v>
      </c>
      <c r="L61" s="22" t="str">
        <f>VLOOKUP(A61,'Trips&amp;Operators'!$C$1:$G$99999,5,FALSE)</f>
        <v>SANTIZO D. EDY</v>
      </c>
      <c r="M61" s="6">
        <f t="shared" si="1"/>
        <v>2.4953703708888497E-2</v>
      </c>
      <c r="N61" s="7">
        <f t="shared" si="43"/>
        <v>35.933333340799436</v>
      </c>
      <c r="O61" s="7"/>
      <c r="P61" s="7"/>
      <c r="Q61" s="23"/>
      <c r="R61" s="23"/>
      <c r="S61" s="35">
        <f t="shared" si="38"/>
        <v>1</v>
      </c>
      <c r="T61" s="50" t="str">
        <f t="shared" si="4"/>
        <v>NorthBound</v>
      </c>
      <c r="U61" s="171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https://search-rtdc-monitor-bjffxe2xuh6vdkpspy63sjmuny.us-east-1.es.amazonaws.com/_plugin/kibana/#/discover/Steve-Slow-Train-Analysis-(2080s-and-2083s)?_g=(refreshInterval:(display:Off,section:0,value:0),time:(from:'2016-12-10 08:24:54-700',mode:absolute,to:'2016-12-10 11:06:13-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201053%20OR%202087)%20AND%20%22rtdc.l.rtdc.4016%22')),sort:!(Time,asc))</v>
      </c>
      <c r="W61" s="52" t="str">
        <f t="shared" si="41"/>
        <v>N</v>
      </c>
      <c r="X61" s="177">
        <f t="shared" si="42"/>
        <v>1</v>
      </c>
      <c r="Y61" s="67">
        <f t="shared" si="39"/>
        <v>4.6399999999999997E-2</v>
      </c>
      <c r="Z61" s="67">
        <f t="shared" ref="Z61:Z92" si="44">RIGHT(H61,LEN(H61)-4)/10000</f>
        <v>23.330300000000001</v>
      </c>
      <c r="AA61" s="67">
        <f t="shared" si="10"/>
        <v>23.283900000000003</v>
      </c>
      <c r="AB61" s="64" t="e">
        <f>VLOOKUP(A61,Enforcements!$C$7:$K$20,8,0)</f>
        <v>#N/A</v>
      </c>
      <c r="AC61" s="60" t="e">
        <f>VLOOKUP(A61,Enforcements!$C$7:$E$20,3,0)</f>
        <v>#N/A</v>
      </c>
      <c r="AD61" s="61" t="str">
        <f t="shared" si="11"/>
        <v>0147-10</v>
      </c>
      <c r="AE61" s="91" t="str">
        <f t="shared" si="12"/>
        <v>aws s3 cp s3://rtdc.mdm.uploadarchive.raw/RTDC4016/ "%USERPROFILE%\AppData\Local\Temp\OnboardLogs"\RTDC4016\2016-12-10 --exclude "*" --recursive --include "*20161210*" &amp; "%USERPROFILE%\Documents\GitHub\mrs-test-scripts\Headless Mode &amp; Sideloading\WalkAndUnGZ.bat" "%USERPROFILE%\AppData\Local\Temp\OnboardLogs"\RTDC4016\2016-12-10 &amp; aws s3 cp s3://rtdc.mdm.uploadarchive.raw/RTDC4016/ "%USERPROFILE%\AppData\Local\Temp\OnboardLogs"\RTDC4016\2016-12-11 --exclude "*" --recursive --include "*20161211*" &amp; "%USERPROFILE%\Documents\GitHub\mrs-test-scripts\Headless Mode &amp; Sideloading\WalkAndUnGZ.bat" "%USERPROFILE%\AppData\Local\Temp\OnboardLogs"\RTDC4016\2016-12-11</v>
      </c>
      <c r="AF61" s="88" t="str">
        <f t="shared" si="13"/>
        <v>"C:\Program Files (x86)\AstroGrep\AstroGrep.exe" /spath="%USERPROFILE%\AppData\Local\Temp\OnboardLogs" /stypes="app*4016*20161210*" /stext=" 17:.+((SYSTEM_STATE.+slice.+state.+changed )|(ment ac)|(multiple cpu faults)|(system.+state.+changed )|(\[timeout)|(PRM\|1\|D)|(kpr)|(kdp)|(\|lc)|(penalty))" /e /r /s</v>
      </c>
      <c r="AG61" s="1" t="str">
        <f t="shared" si="14"/>
        <v>EC</v>
      </c>
      <c r="AH61" s="92" t="str">
        <f t="shared" si="17"/>
        <v>"%USERPROFILE%\Documents\GitHub\eaglep3\Utilities\RefineRTDCRunTimes.py" --tripid 147-10 --locoid 4016 --swversion DE.1.0.8.0 --startMP 204:464 --initTime 2016-12-10T09:24:54 --startdatetime 2016-12-10T09:30:17 --delay 1 --endMP 204:233303 --enddatetime 2016-12-10T10:06:13 --enforcementcount 1 &gt;&gt;C:\Users\stu\Documents\GitHub\eaglep3-reporting\EC\2016-12-10-refined-times.txt</v>
      </c>
      <c r="AI61" s="119" t="str">
        <f t="shared" si="18"/>
        <v>echo {"issue":{"subject":"","project_id":79,"tracker_id":40,"status_id":1,"priority_id":2,"assigned_to_id":23,"start_date":"2016-12-10","description":"","custom_fields":[{"id":1,"name":"Subdivision","value":"EC"},{"id":4,"name":"Milepost","value":"23.3303"},{"id":17,"name":"Train ID","value":"147-10"},{"id":16,"name":"Locomotive ID","value":"4016"},{"id":130,"name":"Impact","value":""},{"id":150,"name":"Time of Event (Mountain Time)","value":"10:06:13"},{"id":151,"name":"Denver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1" s="53"/>
      <c r="AK61" s="53"/>
      <c r="AL61" s="53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25">
      <c r="A62" s="37" t="s">
        <v>514</v>
      </c>
      <c r="B62" s="7">
        <v>4015</v>
      </c>
      <c r="C62" s="22" t="s">
        <v>207</v>
      </c>
      <c r="D62" s="22" t="s">
        <v>367</v>
      </c>
      <c r="E62" s="13">
        <v>42714.42863425926</v>
      </c>
      <c r="F62" s="13">
        <v>42714.434953703705</v>
      </c>
      <c r="G62" s="7">
        <v>6</v>
      </c>
      <c r="H62" s="22" t="s">
        <v>675</v>
      </c>
      <c r="I62" s="13">
        <v>42714.462581018517</v>
      </c>
      <c r="J62" s="7">
        <v>1</v>
      </c>
      <c r="K62" s="109" t="str">
        <f t="shared" si="0"/>
        <v>4015/4016</v>
      </c>
      <c r="L62" s="22" t="str">
        <f>VLOOKUP(A62,'Trips&amp;Operators'!$C$1:$G$99999,5,FALSE)</f>
        <v>SANTIZO D. EDY</v>
      </c>
      <c r="M62" s="6">
        <f t="shared" si="1"/>
        <v>2.7627314811979886E-2</v>
      </c>
      <c r="N62" s="7">
        <f t="shared" si="43"/>
        <v>39.783333329251036</v>
      </c>
      <c r="O62" s="7"/>
      <c r="P62" s="7"/>
      <c r="Q62" s="23"/>
      <c r="R62" s="23"/>
      <c r="S62" s="35">
        <f t="shared" ref="S62:S93" si="45">SUM(U62:U62)/IF(AG62="EC",12,1)</f>
        <v>1</v>
      </c>
      <c r="T62" s="50" t="str">
        <f t="shared" si="4"/>
        <v>Southbound</v>
      </c>
      <c r="U62" s="171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https://search-rtdc-monitor-bjffxe2xuh6vdkpspy63sjmuny.us-east-1.es.amazonaws.com/_plugin/kibana/#/discover/Steve-Slow-Train-Analysis-(2080s-and-2083s)?_g=(refreshInterval:(display:Off,section:0,value:0),time:(from:'2016-12-10 09:17:14-700',mode:absolute,to:'2016-12-10 12:06:07-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201053%20OR%202087)%20AND%20%22rtdc.l.rtdc.4015%22')),sort:!(Time,asc))</v>
      </c>
      <c r="W62" s="52" t="str">
        <f t="shared" si="41"/>
        <v>N</v>
      </c>
      <c r="X62" s="177">
        <f t="shared" si="42"/>
        <v>1</v>
      </c>
      <c r="Y62" s="67">
        <f t="shared" ref="Y62:Y93" si="46">RIGHT(D62,LEN(D62)-4)/10000</f>
        <v>23.2973</v>
      </c>
      <c r="Z62" s="67">
        <f t="shared" si="44"/>
        <v>1.23E-2</v>
      </c>
      <c r="AA62" s="67">
        <f t="shared" si="10"/>
        <v>23.285</v>
      </c>
      <c r="AB62" s="64" t="e">
        <f>VLOOKUP(A62,Enforcements!$C$7:$K$20,8,0)</f>
        <v>#N/A</v>
      </c>
      <c r="AC62" s="60" t="e">
        <f>VLOOKUP(A62,Enforcements!$C$7:$E$20,3,0)</f>
        <v>#N/A</v>
      </c>
      <c r="AD62" s="61" t="str">
        <f t="shared" si="11"/>
        <v>0148-10</v>
      </c>
      <c r="AE62" s="91" t="str">
        <f t="shared" si="12"/>
        <v>aws s3 cp s3://rtdc.mdm.uploadarchive.raw/RTDC4015/ "%USERPROFILE%\AppData\Local\Temp\OnboardLogs"\RTDC4015\2016-12-10 --exclude "*" --recursive --include "*20161210*" &amp; "%USERPROFILE%\Documents\GitHub\mrs-test-scripts\Headless Mode &amp; Sideloading\WalkAndUnGZ.bat" "%USERPROFILE%\AppData\Local\Temp\OnboardLogs"\RTDC4015\2016-12-10 &amp; aws s3 cp s3://rtdc.mdm.uploadarchive.raw/RTDC4015/ "%USERPROFILE%\AppData\Local\Temp\OnboardLogs"\RTDC4015\2016-12-11 --exclude "*" --recursive --include "*20161211*" &amp; "%USERPROFILE%\Documents\GitHub\mrs-test-scripts\Headless Mode &amp; Sideloading\WalkAndUnGZ.bat" "%USERPROFILE%\AppData\Local\Temp\OnboardLogs"\RTDC4015\2016-12-11</v>
      </c>
      <c r="AF62" s="88" t="str">
        <f t="shared" si="13"/>
        <v>"C:\Program Files (x86)\AstroGrep\AstroGrep.exe" /spath="%USERPROFILE%\AppData\Local\Temp\OnboardLogs" /stypes="app*4015*20161210*" /stext=" 18:.+((SYSTEM_STATE.+slice.+state.+changed )|(ment ac)|(multiple cpu faults)|(system.+state.+changed )|(\[timeout)|(PRM\|1\|D)|(kpr)|(kdp)|(\|lc)|(penalty))" /e /r /s</v>
      </c>
      <c r="AG62" s="1" t="str">
        <f t="shared" si="14"/>
        <v>EC</v>
      </c>
      <c r="AH62" s="92" t="str">
        <f t="shared" si="17"/>
        <v>"%USERPROFILE%\Documents\GitHub\eaglep3\Utilities\RefineRTDCRunTimes.py" --tripid 148-10 --locoid 4015 --swversion DE.1.0.8.0 --startMP 204:232973 --initTime 2016-12-10T10:17:14 --startdatetime 2016-12-10T10:26:20 --delay 6 --endMP 204:123 --enddatetime 2016-12-10T11:06:07 --enforcementcount 1 &gt;&gt;C:\Users\stu\Documents\GitHub\eaglep3-reporting\EC\2016-12-10-refined-times.txt</v>
      </c>
      <c r="AI62" s="119" t="str">
        <f t="shared" si="18"/>
        <v>echo {"issue":{"subject":"","project_id":79,"tracker_id":40,"status_id":1,"priority_id":2,"assigned_to_id":23,"start_date":"2016-12-10","description":"","custom_fields":[{"id":1,"name":"Subdivision","value":"EC"},{"id":4,"name":"Milepost","value":"0.0123"},{"id":17,"name":"Train ID","value":"148-10"},{"id":16,"name":"Locomotive ID","value":"4015"},{"id":130,"name":"Impact","value":""},{"id":150,"name":"Time of Event (Mountain Time)","value":"11:06:07"},{"id":151,"name":"Denver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2" s="53"/>
      <c r="AK62" s="53"/>
      <c r="AL62" s="53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25">
      <c r="A63" s="37" t="s">
        <v>508</v>
      </c>
      <c r="B63" s="7">
        <v>4040</v>
      </c>
      <c r="C63" s="22" t="s">
        <v>207</v>
      </c>
      <c r="D63" s="22" t="s">
        <v>676</v>
      </c>
      <c r="E63" s="13">
        <v>42714.401770833334</v>
      </c>
      <c r="F63" s="13">
        <v>42714.406423611108</v>
      </c>
      <c r="G63" s="7">
        <v>1</v>
      </c>
      <c r="H63" s="22" t="s">
        <v>266</v>
      </c>
      <c r="I63" s="13">
        <v>42714.431898148148</v>
      </c>
      <c r="J63" s="7">
        <v>1</v>
      </c>
      <c r="K63" s="109" t="str">
        <f t="shared" si="0"/>
        <v>4039/4040</v>
      </c>
      <c r="L63" s="22" t="str">
        <f>VLOOKUP(A63,'Trips&amp;Operators'!$C$1:$G$99999,5,FALSE)</f>
        <v>DAVIS WENDY</v>
      </c>
      <c r="M63" s="6">
        <f t="shared" si="1"/>
        <v>2.5474537040281575E-2</v>
      </c>
      <c r="N63" s="7">
        <f t="shared" si="43"/>
        <v>36.683333338005468</v>
      </c>
      <c r="O63" s="7"/>
      <c r="P63" s="7"/>
      <c r="Q63" s="23"/>
      <c r="R63" s="23"/>
      <c r="S63" s="35">
        <f t="shared" si="45"/>
        <v>1</v>
      </c>
      <c r="T63" s="50" t="str">
        <f t="shared" si="4"/>
        <v>NorthBound</v>
      </c>
      <c r="U63" s="171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https://search-rtdc-monitor-bjffxe2xuh6vdkpspy63sjmuny.us-east-1.es.amazonaws.com/_plugin/kibana/#/discover/Steve-Slow-Train-Analysis-(2080s-and-2083s)?_g=(refreshInterval:(display:Off,section:0,value:0),time:(from:'2016-12-10 08:38:33-700',mode:absolute,to:'2016-12-10 11:21:56-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201053%20OR%202087)%20AND%20%22rtdc.l.rtdc.4040%22')),sort:!(Time,asc))</v>
      </c>
      <c r="W63" s="52" t="str">
        <f t="shared" si="41"/>
        <v>N</v>
      </c>
      <c r="X63" s="177">
        <f t="shared" si="42"/>
        <v>1</v>
      </c>
      <c r="Y63" s="67">
        <f t="shared" si="46"/>
        <v>4.3999999999999997E-2</v>
      </c>
      <c r="Z63" s="67">
        <f t="shared" si="44"/>
        <v>23.329699999999999</v>
      </c>
      <c r="AA63" s="67">
        <f t="shared" si="10"/>
        <v>23.285699999999999</v>
      </c>
      <c r="AB63" s="64" t="e">
        <f>VLOOKUP(A63,Enforcements!$C$7:$K$20,8,0)</f>
        <v>#N/A</v>
      </c>
      <c r="AC63" s="60" t="e">
        <f>VLOOKUP(A63,Enforcements!$C$7:$E$20,3,0)</f>
        <v>#N/A</v>
      </c>
      <c r="AD63" s="61" t="str">
        <f t="shared" si="11"/>
        <v>0149-10</v>
      </c>
      <c r="AE63" s="91" t="str">
        <f t="shared" si="12"/>
        <v>aws s3 cp s3://rtdc.mdm.uploadarchive.raw/RTDC4040/ "%USERPROFILE%\AppData\Local\Temp\OnboardLogs"\RTDC4040\2016-12-10 --exclude "*" --recursive --include "*20161210*" &amp; "%USERPROFILE%\Documents\GitHub\mrs-test-scripts\Headless Mode &amp; Sideloading\WalkAndUnGZ.bat" "%USERPROFILE%\AppData\Local\Temp\OnboardLogs"\RTDC4040\2016-12-10 &amp; aws s3 cp s3://rtdc.mdm.uploadarchive.raw/RTDC4040/ "%USERPROFILE%\AppData\Local\Temp\OnboardLogs"\RTDC4040\2016-12-11 --exclude "*" --recursive --include "*20161211*" &amp; "%USERPROFILE%\Documents\GitHub\mrs-test-scripts\Headless Mode &amp; Sideloading\WalkAndUnGZ.bat" "%USERPROFILE%\AppData\Local\Temp\OnboardLogs"\RTDC4040\2016-12-11</v>
      </c>
      <c r="AF63" s="88" t="str">
        <f t="shared" si="13"/>
        <v>"C:\Program Files (x86)\AstroGrep\AstroGrep.exe" /spath="%USERPROFILE%\AppData\Local\Temp\OnboardLogs" /stypes="app*4040*20161210*" /stext=" 17:.+((SYSTEM_STATE.+slice.+state.+changed )|(ment ac)|(multiple cpu faults)|(system.+state.+changed )|(\[timeout)|(PRM\|1\|D)|(kpr)|(kdp)|(\|lc)|(penalty))" /e /r /s</v>
      </c>
      <c r="AG63" s="1" t="str">
        <f t="shared" si="14"/>
        <v>EC</v>
      </c>
      <c r="AH63" s="92" t="str">
        <f t="shared" si="17"/>
        <v>"%USERPROFILE%\Documents\GitHub\eaglep3\Utilities\RefineRTDCRunTimes.py" --tripid 149-10 --locoid 4040 --swversion DE.1.0.8.0 --startMP 204:440 --initTime 2016-12-10T09:38:33 --startdatetime 2016-12-10T09:45:15 --delay 1 --endMP 204:233297 --enddatetime 2016-12-10T10:21:56 --enforcementcount 1 &gt;&gt;C:\Users\stu\Documents\GitHub\eaglep3-reporting\EC\2016-12-10-refined-times.txt</v>
      </c>
      <c r="AI63" s="119" t="str">
        <f t="shared" si="18"/>
        <v>echo {"issue":{"subject":"","project_id":79,"tracker_id":40,"status_id":1,"priority_id":2,"assigned_to_id":23,"start_date":"2016-12-10","description":"","custom_fields":[{"id":1,"name":"Subdivision","value":"EC"},{"id":4,"name":"Milepost","value":"23.3297"},{"id":17,"name":"Train ID","value":"149-10"},{"id":16,"name":"Locomotive ID","value":"4040"},{"id":130,"name":"Impact","value":""},{"id":150,"name":"Time of Event (Mountain Time)","value":"10:21:56"},{"id":151,"name":"Denver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3" s="53"/>
      <c r="AK63" s="53"/>
      <c r="AL63" s="5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25">
      <c r="A64" s="37" t="s">
        <v>518</v>
      </c>
      <c r="B64" s="7">
        <v>4039</v>
      </c>
      <c r="C64" s="22" t="s">
        <v>207</v>
      </c>
      <c r="D64" s="22" t="s">
        <v>657</v>
      </c>
      <c r="E64" s="13">
        <v>42714.440381944441</v>
      </c>
      <c r="F64" s="13">
        <v>42714.4453125</v>
      </c>
      <c r="G64" s="7">
        <v>1</v>
      </c>
      <c r="H64" s="22" t="s">
        <v>664</v>
      </c>
      <c r="I64" s="13">
        <v>42714.473912037036</v>
      </c>
      <c r="J64" s="7">
        <v>1</v>
      </c>
      <c r="K64" s="109" t="str">
        <f t="shared" si="0"/>
        <v>4039/4040</v>
      </c>
      <c r="L64" s="22" t="str">
        <f>VLOOKUP(A64,'Trips&amp;Operators'!$C$1:$G$99999,5,FALSE)</f>
        <v>DAVIS WENDY</v>
      </c>
      <c r="M64" s="6">
        <f t="shared" si="1"/>
        <v>2.8599537035916001E-2</v>
      </c>
      <c r="N64" s="7">
        <f t="shared" si="43"/>
        <v>41.183333331719041</v>
      </c>
      <c r="O64" s="7"/>
      <c r="P64" s="7"/>
      <c r="Q64" s="23"/>
      <c r="R64" s="23"/>
      <c r="S64" s="35">
        <f t="shared" si="45"/>
        <v>1</v>
      </c>
      <c r="T64" s="50" t="str">
        <f t="shared" si="4"/>
        <v>Southbound</v>
      </c>
      <c r="U64" s="171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https://search-rtdc-monitor-bjffxe2xuh6vdkpspy63sjmuny.us-east-1.es.amazonaws.com/_plugin/kibana/#/discover/Steve-Slow-Train-Analysis-(2080s-and-2083s)?_g=(refreshInterval:(display:Off,section:0,value:0),time:(from:'2016-12-10 09:34:09-700',mode:absolute,to:'2016-12-10 12:22:26-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201053%20OR%202087)%20AND%20%22rtdc.l.rtdc.4039%22')),sort:!(Time,asc))</v>
      </c>
      <c r="W64" s="52" t="str">
        <f t="shared" si="41"/>
        <v>N</v>
      </c>
      <c r="X64" s="177">
        <f t="shared" si="42"/>
        <v>1</v>
      </c>
      <c r="Y64" s="67">
        <f t="shared" si="46"/>
        <v>23.3</v>
      </c>
      <c r="Z64" s="67">
        <f t="shared" si="44"/>
        <v>1.38E-2</v>
      </c>
      <c r="AA64" s="67">
        <f t="shared" si="10"/>
        <v>23.286200000000001</v>
      </c>
      <c r="AB64" s="64" t="e">
        <f>VLOOKUP(A64,Enforcements!$C$7:$K$20,8,0)</f>
        <v>#N/A</v>
      </c>
      <c r="AC64" s="60" t="e">
        <f>VLOOKUP(A64,Enforcements!$C$7:$E$20,3,0)</f>
        <v>#N/A</v>
      </c>
      <c r="AD64" s="61" t="str">
        <f t="shared" si="11"/>
        <v>0150-10</v>
      </c>
      <c r="AE64" s="91" t="str">
        <f t="shared" si="12"/>
        <v>aws s3 cp s3://rtdc.mdm.uploadarchive.raw/RTDC4039/ "%USERPROFILE%\AppData\Local\Temp\OnboardLogs"\RTDC4039\2016-12-10 --exclude "*" --recursive --include "*20161210*" &amp; "%USERPROFILE%\Documents\GitHub\mrs-test-scripts\Headless Mode &amp; Sideloading\WalkAndUnGZ.bat" "%USERPROFILE%\AppData\Local\Temp\OnboardLogs"\RTDC4039\2016-12-10 &amp; aws s3 cp s3://rtdc.mdm.uploadarchive.raw/RTDC4039/ "%USERPROFILE%\AppData\Local\Temp\OnboardLogs"\RTDC4039\2016-12-11 --exclude "*" --recursive --include "*20161211*" &amp; "%USERPROFILE%\Documents\GitHub\mrs-test-scripts\Headless Mode &amp; Sideloading\WalkAndUnGZ.bat" "%USERPROFILE%\AppData\Local\Temp\OnboardLogs"\RTDC4039\2016-12-11</v>
      </c>
      <c r="AF64" s="88" t="str">
        <f t="shared" si="13"/>
        <v>"C:\Program Files (x86)\AstroGrep\AstroGrep.exe" /spath="%USERPROFILE%\AppData\Local\Temp\OnboardLogs" /stypes="app*4039*20161210*" /stext=" 18:.+((SYSTEM_STATE.+slice.+state.+changed )|(ment ac)|(multiple cpu faults)|(system.+state.+changed )|(\[timeout)|(PRM\|1\|D)|(kpr)|(kdp)|(\|lc)|(penalty))" /e /r /s</v>
      </c>
      <c r="AG64" s="1" t="str">
        <f t="shared" si="14"/>
        <v>EC</v>
      </c>
      <c r="AH64" s="92" t="str">
        <f t="shared" si="17"/>
        <v>"%USERPROFILE%\Documents\GitHub\eaglep3\Utilities\RefineRTDCRunTimes.py" --tripid 150-10 --locoid 4039 --swversion DE.1.0.8.0 --startMP 204:233000 --initTime 2016-12-10T10:34:09 --startdatetime 2016-12-10T10:41:15 --delay 1 --endMP 204:138 --enddatetime 2016-12-10T11:22:26 --enforcementcount 1 &gt;&gt;C:\Users\stu\Documents\GitHub\eaglep3-reporting\EC\2016-12-10-refined-times.txt</v>
      </c>
      <c r="AI64" s="119" t="str">
        <f t="shared" si="18"/>
        <v>echo {"issue":{"subject":"","project_id":79,"tracker_id":40,"status_id":1,"priority_id":2,"assigned_to_id":23,"start_date":"2016-12-10","description":"","custom_fields":[{"id":1,"name":"Subdivision","value":"EC"},{"id":4,"name":"Milepost","value":"0.0138"},{"id":17,"name":"Train ID","value":"150-10"},{"id":16,"name":"Locomotive ID","value":"4039"},{"id":130,"name":"Impact","value":""},{"id":150,"name":"Time of Event (Mountain Time)","value":"11:22:26"},{"id":151,"name":"Denver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4" s="53"/>
      <c r="AK64" s="53"/>
      <c r="AL64" s="53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25">
      <c r="A65" s="37" t="s">
        <v>510</v>
      </c>
      <c r="B65" s="7">
        <v>4025</v>
      </c>
      <c r="C65" s="22" t="s">
        <v>207</v>
      </c>
      <c r="D65" s="22" t="s">
        <v>677</v>
      </c>
      <c r="E65" s="13">
        <v>42714.414270833331</v>
      </c>
      <c r="F65" s="13">
        <v>42714.416875000003</v>
      </c>
      <c r="G65" s="7">
        <v>1</v>
      </c>
      <c r="H65" s="22" t="s">
        <v>295</v>
      </c>
      <c r="I65" s="13">
        <v>42714.442106481481</v>
      </c>
      <c r="J65" s="7">
        <v>1</v>
      </c>
      <c r="K65" s="109" t="str">
        <f t="shared" si="0"/>
        <v>4025/4026</v>
      </c>
      <c r="L65" s="22" t="str">
        <f>VLOOKUP(A65,'Trips&amp;Operators'!$C$1:$G$99999,5,FALSE)</f>
        <v>KILLION DAVID</v>
      </c>
      <c r="M65" s="6">
        <f t="shared" si="1"/>
        <v>2.5231481478840578E-2</v>
      </c>
      <c r="N65" s="7">
        <f t="shared" si="43"/>
        <v>36.333333329530433</v>
      </c>
      <c r="O65" s="7"/>
      <c r="P65" s="7"/>
      <c r="Q65" s="23"/>
      <c r="R65" s="23"/>
      <c r="S65" s="35">
        <f t="shared" si="45"/>
        <v>1</v>
      </c>
      <c r="T65" s="50" t="str">
        <f t="shared" si="4"/>
        <v>NorthBound</v>
      </c>
      <c r="U65" s="171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https://search-rtdc-monitor-bjffxe2xuh6vdkpspy63sjmuny.us-east-1.es.amazonaws.com/_plugin/kibana/#/discover/Steve-Slow-Train-Analysis-(2080s-and-2083s)?_g=(refreshInterval:(display:Off,section:0,value:0),time:(from:'2016-12-10 08:56:33-700',mode:absolute,to:'2016-12-10 11:36:38-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201053%20OR%202087)%20AND%20%22rtdc.l.rtdc.4025%22')),sort:!(Time,asc))</v>
      </c>
      <c r="W65" s="52" t="str">
        <f t="shared" si="41"/>
        <v>N</v>
      </c>
      <c r="X65" s="177">
        <f t="shared" si="42"/>
        <v>1</v>
      </c>
      <c r="Y65" s="67">
        <f t="shared" si="46"/>
        <v>4.6699999999999998E-2</v>
      </c>
      <c r="Z65" s="67">
        <f t="shared" si="44"/>
        <v>23.3291</v>
      </c>
      <c r="AA65" s="67">
        <f t="shared" si="10"/>
        <v>23.282399999999999</v>
      </c>
      <c r="AB65" s="64" t="e">
        <f>VLOOKUP(A65,Enforcements!$C$7:$K$20,8,0)</f>
        <v>#N/A</v>
      </c>
      <c r="AC65" s="60" t="e">
        <f>VLOOKUP(A65,Enforcements!$C$7:$E$20,3,0)</f>
        <v>#N/A</v>
      </c>
      <c r="AD65" s="61" t="str">
        <f t="shared" si="11"/>
        <v>0151-10</v>
      </c>
      <c r="AE65" s="91" t="str">
        <f t="shared" si="12"/>
        <v>aws s3 cp s3://rtdc.mdm.uploadarchive.raw/RTDC4025/ "%USERPROFILE%\AppData\Local\Temp\OnboardLogs"\RTDC4025\2016-12-10 --exclude "*" --recursive --include "*20161210*" &amp; "%USERPROFILE%\Documents\GitHub\mrs-test-scripts\Headless Mode &amp; Sideloading\WalkAndUnGZ.bat" "%USERPROFILE%\AppData\Local\Temp\OnboardLogs"\RTDC4025\2016-12-10 &amp; aws s3 cp s3://rtdc.mdm.uploadarchive.raw/RTDC4025/ "%USERPROFILE%\AppData\Local\Temp\OnboardLogs"\RTDC4025\2016-12-11 --exclude "*" --recursive --include "*20161211*" &amp; "%USERPROFILE%\Documents\GitHub\mrs-test-scripts\Headless Mode &amp; Sideloading\WalkAndUnGZ.bat" "%USERPROFILE%\AppData\Local\Temp\OnboardLogs"\RTDC4025\2016-12-11</v>
      </c>
      <c r="AF65" s="88" t="str">
        <f t="shared" si="13"/>
        <v>"C:\Program Files (x86)\AstroGrep\AstroGrep.exe" /spath="%USERPROFILE%\AppData\Local\Temp\OnboardLogs" /stypes="app*4025*20161210*" /stext=" 17:.+((SYSTEM_STATE.+slice.+state.+changed )|(ment ac)|(multiple cpu faults)|(system.+state.+changed )|(\[timeout)|(PRM\|1\|D)|(kpr)|(kdp)|(\|lc)|(penalty))" /e /r /s</v>
      </c>
      <c r="AG65" s="1" t="str">
        <f t="shared" si="14"/>
        <v>EC</v>
      </c>
      <c r="AH65" s="92" t="str">
        <f t="shared" si="17"/>
        <v>"%USERPROFILE%\Documents\GitHub\eaglep3\Utilities\RefineRTDCRunTimes.py" --tripid 151-10 --locoid 4025 --swversion DE.1.0.8.0 --startMP 204:467 --initTime 2016-12-10T09:56:33 --startdatetime 2016-12-10T10:00:18 --delay 1 --endMP 204:233291 --enddatetime 2016-12-10T10:36:38 --enforcementcount 1 &gt;&gt;C:\Users\stu\Documents\GitHub\eaglep3-reporting\EC\2016-12-10-refined-times.txt</v>
      </c>
      <c r="AI65" s="119" t="str">
        <f t="shared" si="18"/>
        <v>echo {"issue":{"subject":"","project_id":79,"tracker_id":40,"status_id":1,"priority_id":2,"assigned_to_id":23,"start_date":"2016-12-10","description":"","custom_fields":[{"id":1,"name":"Subdivision","value":"EC"},{"id":4,"name":"Milepost","value":"23.3291"},{"id":17,"name":"Train ID","value":"151-10"},{"id":16,"name":"Locomotive ID","value":"4025"},{"id":130,"name":"Impact","value":""},{"id":150,"name":"Time of Event (Mountain Time)","value":"10:36:38"},{"id":151,"name":"Denver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5" s="53"/>
      <c r="AK65" s="53"/>
      <c r="AL65" s="53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25">
      <c r="A66" s="37" t="s">
        <v>419</v>
      </c>
      <c r="B66" s="7">
        <v>4026</v>
      </c>
      <c r="C66" s="22" t="s">
        <v>207</v>
      </c>
      <c r="D66" s="22" t="s">
        <v>678</v>
      </c>
      <c r="E66" s="13">
        <v>42714.447847222225</v>
      </c>
      <c r="F66" s="13">
        <v>42714.455740740741</v>
      </c>
      <c r="G66" s="7">
        <v>1</v>
      </c>
      <c r="H66" s="22" t="s">
        <v>213</v>
      </c>
      <c r="I66" s="13">
        <v>42714.483946759261</v>
      </c>
      <c r="J66" s="7">
        <v>1</v>
      </c>
      <c r="K66" s="109" t="str">
        <f t="shared" si="0"/>
        <v>4025/4026</v>
      </c>
      <c r="L66" s="22" t="str">
        <f>VLOOKUP(A66,'Trips&amp;Operators'!$C$1:$G$99999,5,FALSE)</f>
        <v>KILLION DAVID</v>
      </c>
      <c r="M66" s="6">
        <f t="shared" si="1"/>
        <v>2.8206018519995268E-2</v>
      </c>
      <c r="N66" s="7">
        <f t="shared" si="43"/>
        <v>40.616666668793187</v>
      </c>
      <c r="O66" s="7"/>
      <c r="P66" s="7"/>
      <c r="Q66" s="23"/>
      <c r="R66" s="23"/>
      <c r="S66" s="35">
        <f t="shared" si="45"/>
        <v>1</v>
      </c>
      <c r="T66" s="50" t="str">
        <f t="shared" si="4"/>
        <v>Southbound</v>
      </c>
      <c r="U66" s="171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https://search-rtdc-monitor-bjffxe2xuh6vdkpspy63sjmuny.us-east-1.es.amazonaws.com/_plugin/kibana/#/discover/Steve-Slow-Train-Analysis-(2080s-and-2083s)?_g=(refreshInterval:(display:Off,section:0,value:0),time:(from:'2016-12-10 09:44:54-700',mode:absolute,to:'2016-12-10 12:36:53-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201053%20OR%202087)%20AND%20%22rtdc.l.rtdc.4026%22')),sort:!(Time,asc))</v>
      </c>
      <c r="W66" s="52" t="str">
        <f t="shared" si="41"/>
        <v>N</v>
      </c>
      <c r="X66" s="177">
        <f t="shared" si="42"/>
        <v>1</v>
      </c>
      <c r="Y66" s="67">
        <f t="shared" si="46"/>
        <v>23.297699999999999</v>
      </c>
      <c r="Z66" s="67">
        <f t="shared" si="44"/>
        <v>1.4999999999999999E-2</v>
      </c>
      <c r="AA66" s="67">
        <f t="shared" si="10"/>
        <v>23.282699999999998</v>
      </c>
      <c r="AB66" s="64" t="e">
        <f>VLOOKUP(A66,Enforcements!$C$7:$K$20,8,0)</f>
        <v>#N/A</v>
      </c>
      <c r="AC66" s="60" t="e">
        <f>VLOOKUP(A66,Enforcements!$C$7:$E$20,3,0)</f>
        <v>#N/A</v>
      </c>
      <c r="AD66" s="61" t="str">
        <f t="shared" si="11"/>
        <v>0152-10</v>
      </c>
      <c r="AE66" s="91" t="str">
        <f t="shared" si="12"/>
        <v>aws s3 cp s3://rtdc.mdm.uploadarchive.raw/RTDC4026/ "%USERPROFILE%\AppData\Local\Temp\OnboardLogs"\RTDC4026\2016-12-10 --exclude "*" --recursive --include "*20161210*" &amp; "%USERPROFILE%\Documents\GitHub\mrs-test-scripts\Headless Mode &amp; Sideloading\WalkAndUnGZ.bat" "%USERPROFILE%\AppData\Local\Temp\OnboardLogs"\RTDC4026\2016-12-10 &amp; aws s3 cp s3://rtdc.mdm.uploadarchive.raw/RTDC4026/ "%USERPROFILE%\AppData\Local\Temp\OnboardLogs"\RTDC4026\2016-12-11 --exclude "*" --recursive --include "*20161211*" &amp; "%USERPROFILE%\Documents\GitHub\mrs-test-scripts\Headless Mode &amp; Sideloading\WalkAndUnGZ.bat" "%USERPROFILE%\AppData\Local\Temp\OnboardLogs"\RTDC4026\2016-12-11</v>
      </c>
      <c r="AF66" s="88" t="str">
        <f t="shared" si="13"/>
        <v>"C:\Program Files (x86)\AstroGrep\AstroGrep.exe" /spath="%USERPROFILE%\AppData\Local\Temp\OnboardLogs" /stypes="app*4026*20161210*" /stext=" 18:.+((SYSTEM_STATE.+slice.+state.+changed )|(ment ac)|(multiple cpu faults)|(system.+state.+changed )|(\[timeout)|(PRM\|1\|D)|(kpr)|(kdp)|(\|lc)|(penalty))" /e /r /s</v>
      </c>
      <c r="AG66" s="1" t="str">
        <f t="shared" si="14"/>
        <v>EC</v>
      </c>
      <c r="AH66" s="92" t="str">
        <f t="shared" si="17"/>
        <v>"%USERPROFILE%\Documents\GitHub\eaglep3\Utilities\RefineRTDCRunTimes.py" --tripid 152-10 --locoid 4026 --swversion DE.1.0.8.0 --startMP 204:232977 --initTime 2016-12-10T10:44:54 --startdatetime 2016-12-10T10:56:16 --delay 1 --endMP 204:150 --enddatetime 2016-12-10T11:36:53 --enforcementcount 1 &gt;&gt;C:\Users\stu\Documents\GitHub\eaglep3-reporting\EC\2016-12-10-refined-times.txt</v>
      </c>
      <c r="AI66" s="119" t="str">
        <f t="shared" si="18"/>
        <v>echo {"issue":{"subject":"","project_id":79,"tracker_id":40,"status_id":1,"priority_id":2,"assigned_to_id":23,"start_date":"2016-12-10","description":"","custom_fields":[{"id":1,"name":"Subdivision","value":"EC"},{"id":4,"name":"Milepost","value":"0.015"},{"id":17,"name":"Train ID","value":"152-10"},{"id":16,"name":"Locomotive ID","value":"4026"},{"id":130,"name":"Impact","value":""},{"id":150,"name":"Time of Event (Mountain Time)","value":"11:36:53"},{"id":151,"name":"Denver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6" s="53"/>
      <c r="AK66" s="53"/>
      <c r="AL66" s="53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25">
      <c r="A67" s="37" t="s">
        <v>513</v>
      </c>
      <c r="B67" s="7">
        <v>4020</v>
      </c>
      <c r="C67" s="22" t="s">
        <v>207</v>
      </c>
      <c r="D67" s="22" t="s">
        <v>194</v>
      </c>
      <c r="E67" s="13">
        <v>42714.423125000001</v>
      </c>
      <c r="F67" s="13">
        <v>42714.427256944444</v>
      </c>
      <c r="G67" s="7">
        <v>5</v>
      </c>
      <c r="H67" s="22" t="s">
        <v>266</v>
      </c>
      <c r="I67" s="13">
        <v>42714.451307870368</v>
      </c>
      <c r="J67" s="7">
        <v>1</v>
      </c>
      <c r="K67" s="109" t="str">
        <f t="shared" si="0"/>
        <v>4019/4020</v>
      </c>
      <c r="L67" s="22" t="str">
        <f>VLOOKUP(A67,'Trips&amp;Operators'!$C$1:$G$99999,5,FALSE)</f>
        <v>GEBRETEKLE DAGNEW</v>
      </c>
      <c r="M67" s="6">
        <f t="shared" si="1"/>
        <v>2.4050925923802424E-2</v>
      </c>
      <c r="N67" s="7">
        <f t="shared" si="43"/>
        <v>34.633333330275491</v>
      </c>
      <c r="O67" s="7"/>
      <c r="P67" s="7"/>
      <c r="Q67" s="23"/>
      <c r="R67" s="23"/>
      <c r="S67" s="35">
        <f t="shared" si="45"/>
        <v>1</v>
      </c>
      <c r="T67" s="50" t="str">
        <f t="shared" si="4"/>
        <v>NorthBound</v>
      </c>
      <c r="U67" s="171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https://search-rtdc-monitor-bjffxe2xuh6vdkpspy63sjmuny.us-east-1.es.amazonaws.com/_plugin/kibana/#/discover/Steve-Slow-Train-Analysis-(2080s-and-2083s)?_g=(refreshInterval:(display:Off,section:0,value:0),time:(from:'2016-12-10 09:09:18-700',mode:absolute,to:'2016-12-10 11:49:53-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201053%20OR%202087)%20AND%20%22rtdc.l.rtdc.4020%22')),sort:!(Time,asc))</v>
      </c>
      <c r="W67" s="52" t="str">
        <f t="shared" si="41"/>
        <v>N</v>
      </c>
      <c r="X67" s="177">
        <f t="shared" si="42"/>
        <v>1</v>
      </c>
      <c r="Y67" s="67">
        <f t="shared" si="46"/>
        <v>4.4699999999999997E-2</v>
      </c>
      <c r="Z67" s="67">
        <f t="shared" si="44"/>
        <v>23.329699999999999</v>
      </c>
      <c r="AA67" s="67">
        <f t="shared" si="10"/>
        <v>23.285</v>
      </c>
      <c r="AB67" s="64" t="e">
        <f>VLOOKUP(A67,Enforcements!$C$7:$K$20,8,0)</f>
        <v>#N/A</v>
      </c>
      <c r="AC67" s="60" t="e">
        <f>VLOOKUP(A67,Enforcements!$C$7:$E$20,3,0)</f>
        <v>#N/A</v>
      </c>
      <c r="AD67" s="61" t="str">
        <f t="shared" si="11"/>
        <v>0153-10</v>
      </c>
      <c r="AE67" s="91" t="str">
        <f t="shared" si="12"/>
        <v>aws s3 cp s3://rtdc.mdm.uploadarchive.raw/RTDC4020/ "%USERPROFILE%\AppData\Local\Temp\OnboardLogs"\RTDC4020\2016-12-10 --exclude "*" --recursive --include "*20161210*" &amp; "%USERPROFILE%\Documents\GitHub\mrs-test-scripts\Headless Mode &amp; Sideloading\WalkAndUnGZ.bat" "%USERPROFILE%\AppData\Local\Temp\OnboardLogs"\RTDC4020\2016-12-10 &amp; aws s3 cp s3://rtdc.mdm.uploadarchive.raw/RTDC4020/ "%USERPROFILE%\AppData\Local\Temp\OnboardLogs"\RTDC4020\2016-12-11 --exclude "*" --recursive --include "*20161211*" &amp; "%USERPROFILE%\Documents\GitHub\mrs-test-scripts\Headless Mode &amp; Sideloading\WalkAndUnGZ.bat" "%USERPROFILE%\AppData\Local\Temp\OnboardLogs"\RTDC4020\2016-12-11</v>
      </c>
      <c r="AF67" s="88" t="str">
        <f t="shared" si="13"/>
        <v>"C:\Program Files (x86)\AstroGrep\AstroGrep.exe" /spath="%USERPROFILE%\AppData\Local\Temp\OnboardLogs" /stypes="app*4020*20161210*" /stext=" 17:.+((SYSTEM_STATE.+slice.+state.+changed )|(ment ac)|(multiple cpu faults)|(system.+state.+changed )|(\[timeout)|(PRM\|1\|D)|(kpr)|(kdp)|(\|lc)|(penalty))" /e /r /s</v>
      </c>
      <c r="AG67" s="1" t="str">
        <f t="shared" si="14"/>
        <v>EC</v>
      </c>
      <c r="AH67" s="92" t="str">
        <f t="shared" si="17"/>
        <v>"%USERPROFILE%\Documents\GitHub\eaglep3\Utilities\RefineRTDCRunTimes.py" --tripid 153-10 --locoid 4020 --swversion DE.1.0.8.0 --startMP 204:447 --initTime 2016-12-10T10:09:18 --startdatetime 2016-12-10T10:15:15 --delay 5 --endMP 204:233297 --enddatetime 2016-12-10T10:49:53 --enforcementcount 1 &gt;&gt;C:\Users\stu\Documents\GitHub\eaglep3-reporting\EC\2016-12-10-refined-times.txt</v>
      </c>
      <c r="AI67" s="119" t="str">
        <f t="shared" si="18"/>
        <v>echo {"issue":{"subject":"","project_id":79,"tracker_id":40,"status_id":1,"priority_id":2,"assigned_to_id":23,"start_date":"2016-12-10","description":"","custom_fields":[{"id":1,"name":"Subdivision","value":"EC"},{"id":4,"name":"Milepost","value":"23.3297"},{"id":17,"name":"Train ID","value":"153-10"},{"id":16,"name":"Locomotive ID","value":"4020"},{"id":130,"name":"Impact","value":""},{"id":150,"name":"Time of Event (Mountain Time)","value":"10:49:53"},{"id":151,"name":"Denver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7" s="53"/>
      <c r="AK67" s="53"/>
      <c r="AL67" s="53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25">
      <c r="A68" s="37" t="s">
        <v>524</v>
      </c>
      <c r="B68" s="7">
        <v>4019</v>
      </c>
      <c r="C68" s="22" t="s">
        <v>207</v>
      </c>
      <c r="D68" s="22" t="s">
        <v>333</v>
      </c>
      <c r="E68" s="13">
        <v>42714.461793981478</v>
      </c>
      <c r="F68" s="13">
        <v>42714.466215277775</v>
      </c>
      <c r="G68" s="7">
        <v>1</v>
      </c>
      <c r="H68" s="22" t="s">
        <v>679</v>
      </c>
      <c r="I68" s="13">
        <v>42714.493298611109</v>
      </c>
      <c r="J68" s="7">
        <v>1</v>
      </c>
      <c r="K68" s="109" t="str">
        <f t="shared" si="0"/>
        <v>4019/4020</v>
      </c>
      <c r="L68" s="22" t="str">
        <f>VLOOKUP(A68,'Trips&amp;Operators'!$C$1:$G$99999,5,FALSE)</f>
        <v>GEBRETEKLE DAGNEW</v>
      </c>
      <c r="M68" s="6">
        <f t="shared" si="1"/>
        <v>2.7083333334303461E-2</v>
      </c>
      <c r="N68" s="7">
        <f t="shared" si="43"/>
        <v>39.000000001396984</v>
      </c>
      <c r="O68" s="7"/>
      <c r="P68" s="7"/>
      <c r="Q68" s="23"/>
      <c r="R68" s="23"/>
      <c r="S68" s="35">
        <f t="shared" si="45"/>
        <v>1</v>
      </c>
      <c r="T68" s="50" t="str">
        <f t="shared" si="4"/>
        <v>Southbound</v>
      </c>
      <c r="U68" s="171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https://search-rtdc-monitor-bjffxe2xuh6vdkpspy63sjmuny.us-east-1.es.amazonaws.com/_plugin/kibana/#/discover/Steve-Slow-Train-Analysis-(2080s-and-2083s)?_g=(refreshInterval:(display:Off,section:0,value:0),time:(from:'2016-12-10 10:04:59-700',mode:absolute,to:'2016-12-10 12:50:21-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201053%20OR%202087)%20AND%20%22rtdc.l.rtdc.4019%22')),sort:!(Time,asc))</v>
      </c>
      <c r="W68" s="52" t="str">
        <f t="shared" si="41"/>
        <v>N</v>
      </c>
      <c r="X68" s="177">
        <f t="shared" si="42"/>
        <v>1</v>
      </c>
      <c r="Y68" s="67">
        <f t="shared" si="46"/>
        <v>23.297899999999998</v>
      </c>
      <c r="Z68" s="67">
        <f t="shared" si="44"/>
        <v>1.61E-2</v>
      </c>
      <c r="AA68" s="67">
        <f t="shared" si="10"/>
        <v>23.281799999999997</v>
      </c>
      <c r="AB68" s="64" t="e">
        <f>VLOOKUP(A68,Enforcements!$C$7:$K$20,8,0)</f>
        <v>#N/A</v>
      </c>
      <c r="AC68" s="60" t="e">
        <f>VLOOKUP(A68,Enforcements!$C$7:$E$20,3,0)</f>
        <v>#N/A</v>
      </c>
      <c r="AD68" s="61" t="str">
        <f t="shared" si="11"/>
        <v>0154-10</v>
      </c>
      <c r="AE68" s="91" t="str">
        <f t="shared" si="12"/>
        <v>aws s3 cp s3://rtdc.mdm.uploadarchive.raw/RTDC4019/ "%USERPROFILE%\AppData\Local\Temp\OnboardLogs"\RTDC4019\2016-12-10 --exclude "*" --recursive --include "*20161210*" &amp; "%USERPROFILE%\Documents\GitHub\mrs-test-scripts\Headless Mode &amp; Sideloading\WalkAndUnGZ.bat" "%USERPROFILE%\AppData\Local\Temp\OnboardLogs"\RTDC4019\2016-12-10 &amp; aws s3 cp s3://rtdc.mdm.uploadarchive.raw/RTDC4019/ "%USERPROFILE%\AppData\Local\Temp\OnboardLogs"\RTDC4019\2016-12-11 --exclude "*" --recursive --include "*20161211*" &amp; "%USERPROFILE%\Documents\GitHub\mrs-test-scripts\Headless Mode &amp; Sideloading\WalkAndUnGZ.bat" "%USERPROFILE%\AppData\Local\Temp\OnboardLogs"\RTDC4019\2016-12-11</v>
      </c>
      <c r="AF68" s="88" t="str">
        <f t="shared" si="13"/>
        <v>"C:\Program Files (x86)\AstroGrep\AstroGrep.exe" /spath="%USERPROFILE%\AppData\Local\Temp\OnboardLogs" /stypes="app*4019*20161210*" /stext=" 18:.+((SYSTEM_STATE.+slice.+state.+changed )|(ment ac)|(multiple cpu faults)|(system.+state.+changed )|(\[timeout)|(PRM\|1\|D)|(kpr)|(kdp)|(\|lc)|(penalty))" /e /r /s</v>
      </c>
      <c r="AG68" s="1" t="str">
        <f t="shared" si="14"/>
        <v>EC</v>
      </c>
      <c r="AH68" s="92" t="str">
        <f t="shared" si="17"/>
        <v>"%USERPROFILE%\Documents\GitHub\eaglep3\Utilities\RefineRTDCRunTimes.py" --tripid 154-10 --locoid 4019 --swversion DE.1.0.8.0 --startMP 204:232979 --initTime 2016-12-10T11:04:59 --startdatetime 2016-12-10T11:11:21 --delay 1 --endMP 204:161 --enddatetime 2016-12-10T11:50:21 --enforcementcount 1 &gt;&gt;C:\Users\stu\Documents\GitHub\eaglep3-reporting\EC\2016-12-10-refined-times.txt</v>
      </c>
      <c r="AI68" s="119" t="str">
        <f t="shared" si="18"/>
        <v>echo {"issue":{"subject":"","project_id":79,"tracker_id":40,"status_id":1,"priority_id":2,"assigned_to_id":23,"start_date":"2016-12-10","description":"","custom_fields":[{"id":1,"name":"Subdivision","value":"EC"},{"id":4,"name":"Milepost","value":"0.0161"},{"id":17,"name":"Train ID","value":"154-10"},{"id":16,"name":"Locomotive ID","value":"4019"},{"id":130,"name":"Impact","value":""},{"id":150,"name":"Time of Event (Mountain Time)","value":"11:50:21"},{"id":151,"name":"Denver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8" s="53"/>
      <c r="AK68" s="53"/>
      <c r="AL68" s="53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25">
      <c r="A69" s="37" t="s">
        <v>515</v>
      </c>
      <c r="B69" s="7">
        <v>4003</v>
      </c>
      <c r="C69" s="22" t="s">
        <v>207</v>
      </c>
      <c r="D69" s="22" t="s">
        <v>680</v>
      </c>
      <c r="E69" s="13">
        <v>42714.432789351849</v>
      </c>
      <c r="F69" s="13">
        <v>42714.437673611108</v>
      </c>
      <c r="G69" s="7">
        <v>1</v>
      </c>
      <c r="H69" s="22" t="s">
        <v>681</v>
      </c>
      <c r="I69" s="13">
        <v>42714.463680555556</v>
      </c>
      <c r="J69" s="7">
        <v>1</v>
      </c>
      <c r="K69" s="109" t="str">
        <f t="shared" si="0"/>
        <v>4003/4004</v>
      </c>
      <c r="L69" s="22" t="str">
        <f>VLOOKUP(A69,'Trips&amp;Operators'!$C$1:$G$99999,5,FALSE)</f>
        <v>CLARK KATHLEEN</v>
      </c>
      <c r="M69" s="6">
        <f t="shared" si="1"/>
        <v>2.6006944448454306E-2</v>
      </c>
      <c r="N69" s="7">
        <f t="shared" si="43"/>
        <v>37.4500000057742</v>
      </c>
      <c r="O69" s="7"/>
      <c r="P69" s="7"/>
      <c r="Q69" s="23"/>
      <c r="R69" s="23"/>
      <c r="S69" s="35">
        <f t="shared" si="45"/>
        <v>1</v>
      </c>
      <c r="T69" s="50" t="str">
        <f t="shared" si="4"/>
        <v>NorthBound</v>
      </c>
      <c r="U69" s="171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https://search-rtdc-monitor-bjffxe2xuh6vdkpspy63sjmuny.us-east-1.es.amazonaws.com/_plugin/kibana/#/discover/Steve-Slow-Train-Analysis-(2080s-and-2083s)?_g=(refreshInterval:(display:Off,section:0,value:0),time:(from:'2016-12-10 09:23:13-700',mode:absolute,to:'2016-12-10 12:07:42-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201053%20OR%202087)%20AND%20%22rtdc.l.rtdc.4003%22')),sort:!(Time,asc))</v>
      </c>
      <c r="W69" s="52" t="str">
        <f t="shared" si="41"/>
        <v>N</v>
      </c>
      <c r="X69" s="177">
        <f t="shared" si="42"/>
        <v>1</v>
      </c>
      <c r="Y69" s="67">
        <f t="shared" si="46"/>
        <v>4.8800000000000003E-2</v>
      </c>
      <c r="Z69" s="67">
        <f t="shared" si="44"/>
        <v>23.329499999999999</v>
      </c>
      <c r="AA69" s="67">
        <f t="shared" si="10"/>
        <v>23.2807</v>
      </c>
      <c r="AB69" s="64" t="e">
        <f>VLOOKUP(A69,Enforcements!$C$7:$K$20,8,0)</f>
        <v>#N/A</v>
      </c>
      <c r="AC69" s="60" t="e">
        <f>VLOOKUP(A69,Enforcements!$C$7:$E$20,3,0)</f>
        <v>#N/A</v>
      </c>
      <c r="AD69" s="61" t="str">
        <f t="shared" si="11"/>
        <v>0155-10</v>
      </c>
      <c r="AE69" s="91" t="str">
        <f t="shared" si="12"/>
        <v>aws s3 cp s3://rtdc.mdm.uploadarchive.raw/RTDC4003/ "%USERPROFILE%\AppData\Local\Temp\OnboardLogs"\RTDC4003\2016-12-10 --exclude "*" --recursive --include "*20161210*" &amp; "%USERPROFILE%\Documents\GitHub\mrs-test-scripts\Headless Mode &amp; Sideloading\WalkAndUnGZ.bat" "%USERPROFILE%\AppData\Local\Temp\OnboardLogs"\RTDC4003\2016-12-10 &amp; aws s3 cp s3://rtdc.mdm.uploadarchive.raw/RTDC4003/ "%USERPROFILE%\AppData\Local\Temp\OnboardLogs"\RTDC4003\2016-12-11 --exclude "*" --recursive --include "*20161211*" &amp; "%USERPROFILE%\Documents\GitHub\mrs-test-scripts\Headless Mode &amp; Sideloading\WalkAndUnGZ.bat" "%USERPROFILE%\AppData\Local\Temp\OnboardLogs"\RTDC4003\2016-12-11</v>
      </c>
      <c r="AF69" s="88" t="str">
        <f t="shared" si="13"/>
        <v>"C:\Program Files (x86)\AstroGrep\AstroGrep.exe" /spath="%USERPROFILE%\AppData\Local\Temp\OnboardLogs" /stypes="app*4003*20161210*" /stext=" 18:.+((SYSTEM_STATE.+slice.+state.+changed )|(ment ac)|(multiple cpu faults)|(system.+state.+changed )|(\[timeout)|(PRM\|1\|D)|(kpr)|(kdp)|(\|lc)|(penalty))" /e /r /s</v>
      </c>
      <c r="AG69" s="1" t="str">
        <f t="shared" si="14"/>
        <v>EC</v>
      </c>
      <c r="AH69" s="92" t="str">
        <f t="shared" si="17"/>
        <v>"%USERPROFILE%\Documents\GitHub\eaglep3\Utilities\RefineRTDCRunTimes.py" --tripid 155-10 --locoid 4003 --swversion DE.1.0.8.0 --startMP 204:488 --initTime 2016-12-10T10:23:13 --startdatetime 2016-12-10T10:30:15 --delay 1 --endMP 204:233295 --enddatetime 2016-12-10T11:07:42 --enforcementcount 1 &gt;&gt;C:\Users\stu\Documents\GitHub\eaglep3-reporting\EC\2016-12-10-refined-times.txt</v>
      </c>
      <c r="AI69" s="119" t="str">
        <f t="shared" si="18"/>
        <v>echo {"issue":{"subject":"","project_id":79,"tracker_id":40,"status_id":1,"priority_id":2,"assigned_to_id":23,"start_date":"2016-12-10","description":"","custom_fields":[{"id":1,"name":"Subdivision","value":"EC"},{"id":4,"name":"Milepost","value":"23.3295"},{"id":17,"name":"Train ID","value":"155-10"},{"id":16,"name":"Locomotive ID","value":"4003"},{"id":130,"name":"Impact","value":""},{"id":150,"name":"Time of Event (Mountain Time)","value":"11:07:42"},{"id":151,"name":"Denver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9" s="53"/>
      <c r="AK69" s="53"/>
      <c r="AL69" s="53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25">
      <c r="A70" s="37" t="s">
        <v>528</v>
      </c>
      <c r="B70" s="7">
        <v>4004</v>
      </c>
      <c r="C70" s="22" t="s">
        <v>207</v>
      </c>
      <c r="D70" s="22" t="s">
        <v>682</v>
      </c>
      <c r="E70" s="13">
        <v>42714.470613425925</v>
      </c>
      <c r="F70" s="13">
        <v>42714.4765625</v>
      </c>
      <c r="G70" s="7">
        <v>1</v>
      </c>
      <c r="H70" s="22" t="s">
        <v>246</v>
      </c>
      <c r="I70" s="13">
        <v>42714.505416666667</v>
      </c>
      <c r="J70" s="7">
        <v>1</v>
      </c>
      <c r="K70" s="109" t="str">
        <f t="shared" si="0"/>
        <v>4003/4004</v>
      </c>
      <c r="L70" s="22" t="str">
        <f>VLOOKUP(A70,'Trips&amp;Operators'!$C$1:$G$99999,5,FALSE)</f>
        <v>CLARK KATHLEEN</v>
      </c>
      <c r="M70" s="6">
        <f t="shared" si="1"/>
        <v>2.8854166666860692E-2</v>
      </c>
      <c r="N70" s="7">
        <f t="shared" si="43"/>
        <v>41.550000000279397</v>
      </c>
      <c r="O70" s="7"/>
      <c r="P70" s="7"/>
      <c r="Q70" s="23"/>
      <c r="R70" s="23"/>
      <c r="S70" s="35">
        <f t="shared" si="45"/>
        <v>1</v>
      </c>
      <c r="T70" s="50" t="str">
        <f t="shared" si="4"/>
        <v>Southbound</v>
      </c>
      <c r="U70" s="171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https://search-rtdc-monitor-bjffxe2xuh6vdkpspy63sjmuny.us-east-1.es.amazonaws.com/_plugin/kibana/#/discover/Steve-Slow-Train-Analysis-(2080s-and-2083s)?_g=(refreshInterval:(display:Off,section:0,value:0),time:(from:'2016-12-10 10:17:41-700',mode:absolute,to:'2016-12-10 13:07:48-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201053%20OR%202087)%20AND%20%22rtdc.l.rtdc.4004%22')),sort:!(Time,asc))</v>
      </c>
      <c r="W70" s="52" t="str">
        <f t="shared" si="41"/>
        <v>N</v>
      </c>
      <c r="X70" s="177">
        <f t="shared" si="42"/>
        <v>1</v>
      </c>
      <c r="Y70" s="67">
        <f t="shared" si="46"/>
        <v>23.298999999999999</v>
      </c>
      <c r="Z70" s="67">
        <f t="shared" si="44"/>
        <v>1.4500000000000001E-2</v>
      </c>
      <c r="AA70" s="67">
        <f t="shared" si="10"/>
        <v>23.284499999999998</v>
      </c>
      <c r="AB70" s="64" t="e">
        <f>VLOOKUP(A70,Enforcements!$C$7:$K$20,8,0)</f>
        <v>#N/A</v>
      </c>
      <c r="AC70" s="60" t="e">
        <f>VLOOKUP(A70,Enforcements!$C$7:$E$20,3,0)</f>
        <v>#N/A</v>
      </c>
      <c r="AD70" s="61" t="str">
        <f t="shared" si="11"/>
        <v>0156-10</v>
      </c>
      <c r="AE70" s="91" t="str">
        <f t="shared" si="12"/>
        <v>aws s3 cp s3://rtdc.mdm.uploadarchive.raw/RTDC4004/ "%USERPROFILE%\AppData\Local\Temp\OnboardLogs"\RTDC4004\2016-12-10 --exclude "*" --recursive --include "*20161210*" &amp; "%USERPROFILE%\Documents\GitHub\mrs-test-scripts\Headless Mode &amp; Sideloading\WalkAndUnGZ.bat" "%USERPROFILE%\AppData\Local\Temp\OnboardLogs"\RTDC4004\2016-12-10 &amp; aws s3 cp s3://rtdc.mdm.uploadarchive.raw/RTDC4004/ "%USERPROFILE%\AppData\Local\Temp\OnboardLogs"\RTDC4004\2016-12-11 --exclude "*" --recursive --include "*20161211*" &amp; "%USERPROFILE%\Documents\GitHub\mrs-test-scripts\Headless Mode &amp; Sideloading\WalkAndUnGZ.bat" "%USERPROFILE%\AppData\Local\Temp\OnboardLogs"\RTDC4004\2016-12-11</v>
      </c>
      <c r="AF70" s="88" t="str">
        <f t="shared" si="13"/>
        <v>"C:\Program Files (x86)\AstroGrep\AstroGrep.exe" /spath="%USERPROFILE%\AppData\Local\Temp\OnboardLogs" /stypes="app*4004*20161210*" /stext=" 19:.+((SYSTEM_STATE.+slice.+state.+changed )|(ment ac)|(multiple cpu faults)|(system.+state.+changed )|(\[timeout)|(PRM\|1\|D)|(kpr)|(kdp)|(\|lc)|(penalty))" /e /r /s</v>
      </c>
      <c r="AG70" s="1" t="str">
        <f t="shared" si="14"/>
        <v>EC</v>
      </c>
      <c r="AH70" s="92" t="str">
        <f t="shared" si="17"/>
        <v>"%USERPROFILE%\Documents\GitHub\eaglep3\Utilities\RefineRTDCRunTimes.py" --tripid 156-10 --locoid 4004 --swversion DE.1.0.8.0 --startMP 204:232990 --initTime 2016-12-10T11:17:41 --startdatetime 2016-12-10T11:26:15 --delay 1 --endMP 204:145 --enddatetime 2016-12-10T12:07:48 --enforcementcount 1 &gt;&gt;C:\Users\stu\Documents\GitHub\eaglep3-reporting\EC\2016-12-10-refined-times.txt</v>
      </c>
      <c r="AI70" s="119" t="str">
        <f t="shared" si="18"/>
        <v>echo {"issue":{"subject":"","project_id":79,"tracker_id":40,"status_id":1,"priority_id":2,"assigned_to_id":23,"start_date":"2016-12-10","description":"","custom_fields":[{"id":1,"name":"Subdivision","value":"EC"},{"id":4,"name":"Milepost","value":"0.0145"},{"id":17,"name":"Train ID","value":"156-10"},{"id":16,"name":"Locomotive ID","value":"4004"},{"id":130,"name":"Impact","value":""},{"id":150,"name":"Time of Event (Mountain Time)","value":"12:07:48"},{"id":151,"name":"Denver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0" s="53"/>
      <c r="AK70" s="53"/>
      <c r="AL70" s="53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25">
      <c r="A71" s="37" t="s">
        <v>520</v>
      </c>
      <c r="B71" s="7">
        <v>4014</v>
      </c>
      <c r="C71" s="22" t="s">
        <v>207</v>
      </c>
      <c r="D71" s="22" t="s">
        <v>683</v>
      </c>
      <c r="E71" s="13">
        <v>42714.442881944444</v>
      </c>
      <c r="F71" s="13">
        <v>42714.448136574072</v>
      </c>
      <c r="G71" s="7">
        <v>1</v>
      </c>
      <c r="H71" s="22" t="s">
        <v>395</v>
      </c>
      <c r="I71" s="13">
        <v>42714.472418981481</v>
      </c>
      <c r="J71" s="7">
        <v>1</v>
      </c>
      <c r="K71" s="109" t="str">
        <f t="shared" si="0"/>
        <v>4013/4014</v>
      </c>
      <c r="L71" s="22" t="str">
        <f>VLOOKUP(A71,'Trips&amp;Operators'!$C$1:$G$99999,5,FALSE)</f>
        <v>ISHMAEL JOSEPH</v>
      </c>
      <c r="M71" s="6">
        <f t="shared" si="1"/>
        <v>2.4282407408463769E-2</v>
      </c>
      <c r="N71" s="7">
        <f t="shared" si="43"/>
        <v>34.966666668187827</v>
      </c>
      <c r="O71" s="7"/>
      <c r="P71" s="7"/>
      <c r="Q71" s="23"/>
      <c r="R71" s="23"/>
      <c r="S71" s="35">
        <f t="shared" si="45"/>
        <v>1</v>
      </c>
      <c r="T71" s="50" t="str">
        <f t="shared" si="4"/>
        <v>NorthBound</v>
      </c>
      <c r="U71" s="171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https://search-rtdc-monitor-bjffxe2xuh6vdkpspy63sjmuny.us-east-1.es.amazonaws.com/_plugin/kibana/#/discover/Steve-Slow-Train-Analysis-(2080s-and-2083s)?_g=(refreshInterval:(display:Off,section:0,value:0),time:(from:'2016-12-10 09:37:45-700',mode:absolute,to:'2016-12-10 12:20:17-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201053%20OR%202087)%20AND%20%22rtdc.l.rtdc.4014%22')),sort:!(Time,asc))</v>
      </c>
      <c r="W71" s="52" t="str">
        <f t="shared" si="41"/>
        <v>N</v>
      </c>
      <c r="X71" s="177">
        <f t="shared" si="42"/>
        <v>1</v>
      </c>
      <c r="Y71" s="67">
        <f t="shared" si="46"/>
        <v>4.2599999999999999E-2</v>
      </c>
      <c r="Z71" s="67">
        <f t="shared" si="44"/>
        <v>23.3308</v>
      </c>
      <c r="AA71" s="67">
        <f t="shared" si="10"/>
        <v>23.2882</v>
      </c>
      <c r="AB71" s="64" t="e">
        <f>VLOOKUP(A71,Enforcements!$C$7:$K$20,8,0)</f>
        <v>#N/A</v>
      </c>
      <c r="AC71" s="60" t="e">
        <f>VLOOKUP(A71,Enforcements!$C$7:$E$20,3,0)</f>
        <v>#N/A</v>
      </c>
      <c r="AD71" s="61" t="str">
        <f t="shared" si="11"/>
        <v>0157-10</v>
      </c>
      <c r="AE71" s="91" t="str">
        <f t="shared" si="12"/>
        <v>aws s3 cp s3://rtdc.mdm.uploadarchive.raw/RTDC4014/ "%USERPROFILE%\AppData\Local\Temp\OnboardLogs"\RTDC4014\2016-12-10 --exclude "*" --recursive --include "*20161210*" &amp; "%USERPROFILE%\Documents\GitHub\mrs-test-scripts\Headless Mode &amp; Sideloading\WalkAndUnGZ.bat" "%USERPROFILE%\AppData\Local\Temp\OnboardLogs"\RTDC4014\2016-12-10 &amp; aws s3 cp s3://rtdc.mdm.uploadarchive.raw/RTDC4014/ "%USERPROFILE%\AppData\Local\Temp\OnboardLogs"\RTDC4014\2016-12-11 --exclude "*" --recursive --include "*20161211*" &amp; "%USERPROFILE%\Documents\GitHub\mrs-test-scripts\Headless Mode &amp; Sideloading\WalkAndUnGZ.bat" "%USERPROFILE%\AppData\Local\Temp\OnboardLogs"\RTDC4014\2016-12-11</v>
      </c>
      <c r="AF71" s="88" t="str">
        <f t="shared" si="13"/>
        <v>"C:\Program Files (x86)\AstroGrep\AstroGrep.exe" /spath="%USERPROFILE%\AppData\Local\Temp\OnboardLogs" /stypes="app*4014*20161210*" /stext=" 18:.+((SYSTEM_STATE.+slice.+state.+changed )|(ment ac)|(multiple cpu faults)|(system.+state.+changed )|(\[timeout)|(PRM\|1\|D)|(kpr)|(kdp)|(\|lc)|(penalty))" /e /r /s</v>
      </c>
      <c r="AG71" s="1" t="str">
        <f t="shared" si="14"/>
        <v>EC</v>
      </c>
      <c r="AH71" s="92" t="str">
        <f t="shared" si="17"/>
        <v>"%USERPROFILE%\Documents\GitHub\eaglep3\Utilities\RefineRTDCRunTimes.py" --tripid 157-10 --locoid 4014 --swversion DE.1.0.8.0 --startMP 204:426 --initTime 2016-12-10T10:37:45 --startdatetime 2016-12-10T10:45:19 --delay 1 --endMP 204:233308 --enddatetime 2016-12-10T11:20:17 --enforcementcount 1 &gt;&gt;C:\Users\stu\Documents\GitHub\eaglep3-reporting\EC\2016-12-10-refined-times.txt</v>
      </c>
      <c r="AI71" s="119" t="str">
        <f t="shared" si="18"/>
        <v>echo {"issue":{"subject":"","project_id":79,"tracker_id":40,"status_id":1,"priority_id":2,"assigned_to_id":23,"start_date":"2016-12-10","description":"","custom_fields":[{"id":1,"name":"Subdivision","value":"EC"},{"id":4,"name":"Milepost","value":"23.3308"},{"id":17,"name":"Train ID","value":"157-10"},{"id":16,"name":"Locomotive ID","value":"4014"},{"id":130,"name":"Impact","value":""},{"id":150,"name":"Time of Event (Mountain Time)","value":"11:20:17"},{"id":151,"name":"Denver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1" s="53"/>
      <c r="AK71" s="53"/>
      <c r="AL71" s="53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25">
      <c r="A72" s="37" t="s">
        <v>530</v>
      </c>
      <c r="B72" s="7">
        <v>4013</v>
      </c>
      <c r="C72" s="22" t="s">
        <v>207</v>
      </c>
      <c r="D72" s="22" t="s">
        <v>334</v>
      </c>
      <c r="E72" s="13">
        <v>42714.481319444443</v>
      </c>
      <c r="F72" s="13">
        <v>42714.487002314818</v>
      </c>
      <c r="G72" s="7">
        <v>1</v>
      </c>
      <c r="H72" s="22" t="s">
        <v>226</v>
      </c>
      <c r="I72" s="13">
        <v>42714.513993055552</v>
      </c>
      <c r="J72" s="7">
        <v>1</v>
      </c>
      <c r="K72" s="109" t="str">
        <f t="shared" si="0"/>
        <v>4013/4014</v>
      </c>
      <c r="L72" s="22" t="str">
        <f>VLOOKUP(A72,'Trips&amp;Operators'!$C$1:$G$99999,5,FALSE)</f>
        <v>ISHMAEL JOSEPH</v>
      </c>
      <c r="M72" s="6">
        <f t="shared" si="1"/>
        <v>2.6990740734618157E-2</v>
      </c>
      <c r="N72" s="7">
        <f t="shared" si="43"/>
        <v>38.866666657850146</v>
      </c>
      <c r="O72" s="7"/>
      <c r="P72" s="7"/>
      <c r="Q72" s="23"/>
      <c r="R72" s="23"/>
      <c r="S72" s="35">
        <f t="shared" si="45"/>
        <v>1</v>
      </c>
      <c r="T72" s="50" t="str">
        <f t="shared" si="4"/>
        <v>Southbound</v>
      </c>
      <c r="U72" s="171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https://search-rtdc-monitor-bjffxe2xuh6vdkpspy63sjmuny.us-east-1.es.amazonaws.com/_plugin/kibana/#/discover/Steve-Slow-Train-Analysis-(2080s-and-2083s)?_g=(refreshInterval:(display:Off,section:0,value:0),time:(from:'2016-12-10 10:33:06-700',mode:absolute,to:'2016-12-10 13:20:09-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201053%20OR%202087)%20AND%20%22rtdc.l.rtdc.4013%22')),sort:!(Time,asc))</v>
      </c>
      <c r="W72" s="52" t="str">
        <f t="shared" si="41"/>
        <v>N</v>
      </c>
      <c r="X72" s="177">
        <f t="shared" si="42"/>
        <v>1</v>
      </c>
      <c r="Y72" s="67">
        <f t="shared" si="46"/>
        <v>23.299800000000001</v>
      </c>
      <c r="Z72" s="67">
        <f t="shared" si="44"/>
        <v>1.54E-2</v>
      </c>
      <c r="AA72" s="67">
        <f t="shared" si="10"/>
        <v>23.284400000000002</v>
      </c>
      <c r="AB72" s="64" t="e">
        <f>VLOOKUP(A72,Enforcements!$C$7:$K$20,8,0)</f>
        <v>#N/A</v>
      </c>
      <c r="AC72" s="60" t="e">
        <f>VLOOKUP(A72,Enforcements!$C$7:$E$20,3,0)</f>
        <v>#N/A</v>
      </c>
      <c r="AD72" s="61" t="str">
        <f t="shared" si="11"/>
        <v>0158-10</v>
      </c>
      <c r="AE72" s="91" t="str">
        <f t="shared" si="12"/>
        <v>aws s3 cp s3://rtdc.mdm.uploadarchive.raw/RTDC4013/ "%USERPROFILE%\AppData\Local\Temp\OnboardLogs"\RTDC4013\2016-12-10 --exclude "*" --recursive --include "*20161210*" &amp; "%USERPROFILE%\Documents\GitHub\mrs-test-scripts\Headless Mode &amp; Sideloading\WalkAndUnGZ.bat" "%USERPROFILE%\AppData\Local\Temp\OnboardLogs"\RTDC4013\2016-12-10 &amp; aws s3 cp s3://rtdc.mdm.uploadarchive.raw/RTDC4013/ "%USERPROFILE%\AppData\Local\Temp\OnboardLogs"\RTDC4013\2016-12-11 --exclude "*" --recursive --include "*20161211*" &amp; "%USERPROFILE%\Documents\GitHub\mrs-test-scripts\Headless Mode &amp; Sideloading\WalkAndUnGZ.bat" "%USERPROFILE%\AppData\Local\Temp\OnboardLogs"\RTDC4013\2016-12-11</v>
      </c>
      <c r="AF72" s="88" t="str">
        <f t="shared" si="13"/>
        <v>"C:\Program Files (x86)\AstroGrep\AstroGrep.exe" /spath="%USERPROFILE%\AppData\Local\Temp\OnboardLogs" /stypes="app*4013*20161210*" /stext=" 19:.+((SYSTEM_STATE.+slice.+state.+changed )|(ment ac)|(multiple cpu faults)|(system.+state.+changed )|(\[timeout)|(PRM\|1\|D)|(kpr)|(kdp)|(\|lc)|(penalty))" /e /r /s</v>
      </c>
      <c r="AG72" s="1" t="str">
        <f t="shared" si="14"/>
        <v>EC</v>
      </c>
      <c r="AH72" s="92" t="str">
        <f t="shared" si="17"/>
        <v>"%USERPROFILE%\Documents\GitHub\eaglep3\Utilities\RefineRTDCRunTimes.py" --tripid 158-10 --locoid 4013 --swversion DE.1.0.8.0 --startMP 204:232998 --initTime 2016-12-10T11:33:06 --startdatetime 2016-12-10T11:41:17 --delay 1 --endMP 204:154 --enddatetime 2016-12-10T12:20:09 --enforcementcount 1 &gt;&gt;C:\Users\stu\Documents\GitHub\eaglep3-reporting\EC\2016-12-10-refined-times.txt</v>
      </c>
      <c r="AI72" s="119" t="str">
        <f t="shared" si="18"/>
        <v>echo {"issue":{"subject":"","project_id":79,"tracker_id":40,"status_id":1,"priority_id":2,"assigned_to_id":23,"start_date":"2016-12-10","description":"","custom_fields":[{"id":1,"name":"Subdivision","value":"EC"},{"id":4,"name":"Milepost","value":"0.0154"},{"id":17,"name":"Train ID","value":"158-10"},{"id":16,"name":"Locomotive ID","value":"4013"},{"id":130,"name":"Impact","value":""},{"id":150,"name":"Time of Event (Mountain Time)","value":"12:20:09"},{"id":151,"name":"Denver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2" s="53"/>
      <c r="AK72" s="53"/>
      <c r="AL72" s="53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25">
      <c r="A73" s="37" t="s">
        <v>521</v>
      </c>
      <c r="B73" s="7">
        <v>4009</v>
      </c>
      <c r="C73" s="22" t="s">
        <v>207</v>
      </c>
      <c r="D73" s="22" t="s">
        <v>236</v>
      </c>
      <c r="E73" s="13">
        <v>42714.453055555554</v>
      </c>
      <c r="F73" s="13">
        <v>42714.45857638889</v>
      </c>
      <c r="G73" s="7">
        <v>2</v>
      </c>
      <c r="H73" s="22" t="s">
        <v>684</v>
      </c>
      <c r="I73" s="13">
        <v>42714.483159722222</v>
      </c>
      <c r="J73" s="7">
        <v>1</v>
      </c>
      <c r="K73" s="109" t="str">
        <f t="shared" si="0"/>
        <v>4009/4010</v>
      </c>
      <c r="L73" s="22" t="str">
        <f>VLOOKUP(A73,'Trips&amp;Operators'!$C$1:$G$99999,5,FALSE)</f>
        <v>STEWART MICHAEL</v>
      </c>
      <c r="M73" s="6">
        <f t="shared" si="1"/>
        <v>2.4583333331975155E-2</v>
      </c>
      <c r="N73" s="7">
        <f t="shared" si="43"/>
        <v>35.399999998044223</v>
      </c>
      <c r="O73" s="7"/>
      <c r="P73" s="7"/>
      <c r="Q73" s="23"/>
      <c r="R73" s="23"/>
      <c r="S73" s="35">
        <f t="shared" si="45"/>
        <v>1</v>
      </c>
      <c r="T73" s="50" t="str">
        <f t="shared" si="4"/>
        <v>NorthBound</v>
      </c>
      <c r="U73" s="171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https://search-rtdc-monitor-bjffxe2xuh6vdkpspy63sjmuny.us-east-1.es.amazonaws.com/_plugin/kibana/#/discover/Steve-Slow-Train-Analysis-(2080s-and-2083s)?_g=(refreshInterval:(display:Off,section:0,value:0),time:(from:'2016-12-10 09:52:24-700',mode:absolute,to:'2016-12-10 12:35:45-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201053%20OR%202087)%20AND%20%22rtdc.l.rtdc.4009%22')),sort:!(Time,asc))</v>
      </c>
      <c r="W73" s="52" t="str">
        <f t="shared" si="41"/>
        <v>N</v>
      </c>
      <c r="X73" s="177">
        <f t="shared" si="42"/>
        <v>1</v>
      </c>
      <c r="Y73" s="67">
        <f t="shared" si="46"/>
        <v>4.4200000000000003E-2</v>
      </c>
      <c r="Z73" s="67">
        <f t="shared" si="44"/>
        <v>23.328800000000001</v>
      </c>
      <c r="AA73" s="67">
        <f t="shared" si="10"/>
        <v>23.284600000000001</v>
      </c>
      <c r="AB73" s="64" t="e">
        <f>VLOOKUP(A73,Enforcements!$C$7:$K$20,8,0)</f>
        <v>#N/A</v>
      </c>
      <c r="AC73" s="60" t="e">
        <f>VLOOKUP(A73,Enforcements!$C$7:$E$20,3,0)</f>
        <v>#N/A</v>
      </c>
      <c r="AD73" s="61" t="str">
        <f t="shared" si="11"/>
        <v>0159-10</v>
      </c>
      <c r="AE73" s="91" t="str">
        <f t="shared" si="12"/>
        <v>aws s3 cp s3://rtdc.mdm.uploadarchive.raw/RTDC4009/ "%USERPROFILE%\AppData\Local\Temp\OnboardLogs"\RTDC4009\2016-12-10 --exclude "*" --recursive --include "*20161210*" &amp; "%USERPROFILE%\Documents\GitHub\mrs-test-scripts\Headless Mode &amp; Sideloading\WalkAndUnGZ.bat" "%USERPROFILE%\AppData\Local\Temp\OnboardLogs"\RTDC4009\2016-12-10 &amp; aws s3 cp s3://rtdc.mdm.uploadarchive.raw/RTDC4009/ "%USERPROFILE%\AppData\Local\Temp\OnboardLogs"\RTDC4009\2016-12-11 --exclude "*" --recursive --include "*20161211*" &amp; "%USERPROFILE%\Documents\GitHub\mrs-test-scripts\Headless Mode &amp; Sideloading\WalkAndUnGZ.bat" "%USERPROFILE%\AppData\Local\Temp\OnboardLogs"\RTDC4009\2016-12-11</v>
      </c>
      <c r="AF73" s="88" t="str">
        <f t="shared" si="13"/>
        <v>"C:\Program Files (x86)\AstroGrep\AstroGrep.exe" /spath="%USERPROFILE%\AppData\Local\Temp\OnboardLogs" /stypes="app*4009*20161210*" /stext=" 18:.+((SYSTEM_STATE.+slice.+state.+changed )|(ment ac)|(multiple cpu faults)|(system.+state.+changed )|(\[timeout)|(PRM\|1\|D)|(kpr)|(kdp)|(\|lc)|(penalty))" /e /r /s</v>
      </c>
      <c r="AG73" s="1" t="str">
        <f t="shared" si="14"/>
        <v>EC</v>
      </c>
      <c r="AH73" s="92" t="str">
        <f t="shared" si="17"/>
        <v>"%USERPROFILE%\Documents\GitHub\eaglep3\Utilities\RefineRTDCRunTimes.py" --tripid 159-10 --locoid 4009 --swversion DE.1.0.8.0 --startMP 204:442 --initTime 2016-12-10T10:52:24 --startdatetime 2016-12-10T11:00:21 --delay 2 --endMP 204:233288 --enddatetime 2016-12-10T11:35:45 --enforcementcount 1 &gt;&gt;C:\Users\stu\Documents\GitHub\eaglep3-reporting\EC\2016-12-10-refined-times.txt</v>
      </c>
      <c r="AI73" s="119" t="str">
        <f t="shared" si="18"/>
        <v>echo {"issue":{"subject":"","project_id":79,"tracker_id":40,"status_id":1,"priority_id":2,"assigned_to_id":23,"start_date":"2016-12-10","description":"","custom_fields":[{"id":1,"name":"Subdivision","value":"EC"},{"id":4,"name":"Milepost","value":"23.3288"},{"id":17,"name":"Train ID","value":"159-10"},{"id":16,"name":"Locomotive ID","value":"4009"},{"id":130,"name":"Impact","value":""},{"id":150,"name":"Time of Event (Mountain Time)","value":"11:35:45"},{"id":151,"name":"Denver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3" s="53"/>
      <c r="AK73" s="53"/>
      <c r="AL73" s="5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25">
      <c r="A74" s="37" t="s">
        <v>533</v>
      </c>
      <c r="B74" s="7">
        <v>4010</v>
      </c>
      <c r="C74" s="22" t="s">
        <v>207</v>
      </c>
      <c r="D74" s="22" t="s">
        <v>678</v>
      </c>
      <c r="E74" s="13">
        <v>42714.495034722226</v>
      </c>
      <c r="F74" s="13">
        <v>42714.497465277775</v>
      </c>
      <c r="G74" s="7">
        <v>1</v>
      </c>
      <c r="H74" s="22" t="s">
        <v>226</v>
      </c>
      <c r="I74" s="13">
        <v>42714.524571759262</v>
      </c>
      <c r="J74" s="7">
        <v>1</v>
      </c>
      <c r="K74" s="109" t="str">
        <f t="shared" si="0"/>
        <v>4009/4010</v>
      </c>
      <c r="L74" s="22" t="str">
        <f>VLOOKUP(A74,'Trips&amp;Operators'!$C$1:$G$99999,5,FALSE)</f>
        <v>STEWART MICHAEL</v>
      </c>
      <c r="M74" s="6">
        <f t="shared" si="1"/>
        <v>2.7106481487862766E-2</v>
      </c>
      <c r="N74" s="7">
        <f t="shared" si="43"/>
        <v>39.033333342522383</v>
      </c>
      <c r="O74" s="7"/>
      <c r="P74" s="7"/>
      <c r="Q74" s="23"/>
      <c r="R74" s="23"/>
      <c r="S74" s="35">
        <f t="shared" si="45"/>
        <v>1</v>
      </c>
      <c r="T74" s="50" t="str">
        <f t="shared" si="4"/>
        <v>Southbound</v>
      </c>
      <c r="U74" s="171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https://search-rtdc-monitor-bjffxe2xuh6vdkpspy63sjmuny.us-east-1.es.amazonaws.com/_plugin/kibana/#/discover/Steve-Slow-Train-Analysis-(2080s-and-2083s)?_g=(refreshInterval:(display:Off,section:0,value:0),time:(from:'2016-12-10 10:52:51-700',mode:absolute,to:'2016-12-10 13:35:23-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201053%20OR%202087)%20AND%20%22rtdc.l.rtdc.4010%22')),sort:!(Time,asc))</v>
      </c>
      <c r="W74" s="52" t="str">
        <f t="shared" si="41"/>
        <v>N</v>
      </c>
      <c r="X74" s="177">
        <f t="shared" si="42"/>
        <v>1</v>
      </c>
      <c r="Y74" s="67">
        <f t="shared" si="46"/>
        <v>23.297699999999999</v>
      </c>
      <c r="Z74" s="67">
        <f t="shared" si="44"/>
        <v>1.54E-2</v>
      </c>
      <c r="AA74" s="67">
        <f t="shared" si="10"/>
        <v>23.282299999999999</v>
      </c>
      <c r="AB74" s="64" t="e">
        <f>VLOOKUP(A74,Enforcements!$C$7:$K$20,8,0)</f>
        <v>#N/A</v>
      </c>
      <c r="AC74" s="60" t="e">
        <f>VLOOKUP(A74,Enforcements!$C$7:$E$20,3,0)</f>
        <v>#N/A</v>
      </c>
      <c r="AD74" s="61" t="str">
        <f t="shared" si="11"/>
        <v>0160-10</v>
      </c>
      <c r="AE74" s="91" t="str">
        <f t="shared" si="12"/>
        <v>aws s3 cp s3://rtdc.mdm.uploadarchive.raw/RTDC4010/ "%USERPROFILE%\AppData\Local\Temp\OnboardLogs"\RTDC4010\2016-12-10 --exclude "*" --recursive --include "*20161210*" &amp; "%USERPROFILE%\Documents\GitHub\mrs-test-scripts\Headless Mode &amp; Sideloading\WalkAndUnGZ.bat" "%USERPROFILE%\AppData\Local\Temp\OnboardLogs"\RTDC4010\2016-12-10 &amp; aws s3 cp s3://rtdc.mdm.uploadarchive.raw/RTDC4010/ "%USERPROFILE%\AppData\Local\Temp\OnboardLogs"\RTDC4010\2016-12-11 --exclude "*" --recursive --include "*20161211*" &amp; "%USERPROFILE%\Documents\GitHub\mrs-test-scripts\Headless Mode &amp; Sideloading\WalkAndUnGZ.bat" "%USERPROFILE%\AppData\Local\Temp\OnboardLogs"\RTDC4010\2016-12-11</v>
      </c>
      <c r="AF74" s="88" t="str">
        <f t="shared" si="13"/>
        <v>"C:\Program Files (x86)\AstroGrep\AstroGrep.exe" /spath="%USERPROFILE%\AppData\Local\Temp\OnboardLogs" /stypes="app*4010*20161210*" /stext=" 19:.+((SYSTEM_STATE.+slice.+state.+changed )|(ment ac)|(multiple cpu faults)|(system.+state.+changed )|(\[timeout)|(PRM\|1\|D)|(kpr)|(kdp)|(\|lc)|(penalty))" /e /r /s</v>
      </c>
      <c r="AG74" s="1" t="str">
        <f t="shared" si="14"/>
        <v>EC</v>
      </c>
      <c r="AH74" s="92" t="str">
        <f t="shared" si="17"/>
        <v>"%USERPROFILE%\Documents\GitHub\eaglep3\Utilities\RefineRTDCRunTimes.py" --tripid 160-10 --locoid 4010 --swversion DE.1.0.8.0 --startMP 204:232977 --initTime 2016-12-10T11:52:51 --startdatetime 2016-12-10T11:56:21 --delay 1 --endMP 204:154 --enddatetime 2016-12-10T12:35:23 --enforcementcount 1 &gt;&gt;C:\Users\stu\Documents\GitHub\eaglep3-reporting\EC\2016-12-10-refined-times.txt</v>
      </c>
      <c r="AI74" s="119" t="str">
        <f t="shared" si="18"/>
        <v>echo {"issue":{"subject":"","project_id":79,"tracker_id":40,"status_id":1,"priority_id":2,"assigned_to_id":23,"start_date":"2016-12-10","description":"","custom_fields":[{"id":1,"name":"Subdivision","value":"EC"},{"id":4,"name":"Milepost","value":"0.0154"},{"id":17,"name":"Train ID","value":"160-10"},{"id":16,"name":"Locomotive ID","value":"4010"},{"id":130,"name":"Impact","value":""},{"id":150,"name":"Time of Event (Mountain Time)","value":"12:35:23"},{"id":151,"name":"Denver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4" s="53"/>
      <c r="AK74" s="53"/>
      <c r="AL74" s="53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25">
      <c r="A75" s="37" t="s">
        <v>525</v>
      </c>
      <c r="B75" s="7">
        <v>4016</v>
      </c>
      <c r="C75" s="22" t="s">
        <v>207</v>
      </c>
      <c r="D75" s="22" t="s">
        <v>393</v>
      </c>
      <c r="E75" s="13">
        <v>42714.465243055558</v>
      </c>
      <c r="F75" s="13">
        <v>42714.468946759262</v>
      </c>
      <c r="G75" s="7">
        <v>1</v>
      </c>
      <c r="H75" s="22" t="s">
        <v>394</v>
      </c>
      <c r="I75" s="13">
        <v>42714.49359953704</v>
      </c>
      <c r="J75" s="7">
        <v>1</v>
      </c>
      <c r="K75" s="109" t="str">
        <f t="shared" si="0"/>
        <v>4015/4016</v>
      </c>
      <c r="L75" s="22" t="str">
        <f>VLOOKUP(A75,'Trips&amp;Operators'!$C$1:$G$99999,5,FALSE)</f>
        <v>BARTLETT KIANDRA</v>
      </c>
      <c r="M75" s="6">
        <f t="shared" si="1"/>
        <v>2.4652777778101154E-2</v>
      </c>
      <c r="N75" s="7">
        <f t="shared" si="43"/>
        <v>35.500000000465661</v>
      </c>
      <c r="O75" s="7"/>
      <c r="P75" s="7"/>
      <c r="Q75" s="23"/>
      <c r="R75" s="23"/>
      <c r="S75" s="35">
        <f t="shared" si="45"/>
        <v>1</v>
      </c>
      <c r="T75" s="50" t="str">
        <f t="shared" si="4"/>
        <v>NorthBound</v>
      </c>
      <c r="U75" s="171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https://search-rtdc-monitor-bjffxe2xuh6vdkpspy63sjmuny.us-east-1.es.amazonaws.com/_plugin/kibana/#/discover/Steve-Slow-Train-Analysis-(2080s-and-2083s)?_g=(refreshInterval:(display:Off,section:0,value:0),time:(from:'2016-12-10 10:09:57-700',mode:absolute,to:'2016-12-10 12:50:47-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201053%20OR%202087)%20AND%20%22rtdc.l.rtdc.4016%22')),sort:!(Time,asc))</v>
      </c>
      <c r="W75" s="52" t="str">
        <f t="shared" si="41"/>
        <v>N</v>
      </c>
      <c r="X75" s="177">
        <f t="shared" si="42"/>
        <v>1</v>
      </c>
      <c r="Y75" s="67">
        <f t="shared" si="46"/>
        <v>4.3099999999999999E-2</v>
      </c>
      <c r="Z75" s="67">
        <f t="shared" si="44"/>
        <v>23.331700000000001</v>
      </c>
      <c r="AA75" s="67">
        <f t="shared" si="10"/>
        <v>23.288600000000002</v>
      </c>
      <c r="AB75" s="64" t="e">
        <f>VLOOKUP(A75,Enforcements!$C$7:$K$20,8,0)</f>
        <v>#N/A</v>
      </c>
      <c r="AC75" s="60" t="e">
        <f>VLOOKUP(A75,Enforcements!$C$7:$E$20,3,0)</f>
        <v>#N/A</v>
      </c>
      <c r="AD75" s="61" t="str">
        <f t="shared" si="11"/>
        <v>0161-10</v>
      </c>
      <c r="AE75" s="91" t="str">
        <f t="shared" si="12"/>
        <v>aws s3 cp s3://rtdc.mdm.uploadarchive.raw/RTDC4016/ "%USERPROFILE%\AppData\Local\Temp\OnboardLogs"\RTDC4016\2016-12-10 --exclude "*" --recursive --include "*20161210*" &amp; "%USERPROFILE%\Documents\GitHub\mrs-test-scripts\Headless Mode &amp; Sideloading\WalkAndUnGZ.bat" "%USERPROFILE%\AppData\Local\Temp\OnboardLogs"\RTDC4016\2016-12-10 &amp; aws s3 cp s3://rtdc.mdm.uploadarchive.raw/RTDC4016/ "%USERPROFILE%\AppData\Local\Temp\OnboardLogs"\RTDC4016\2016-12-11 --exclude "*" --recursive --include "*20161211*" &amp; "%USERPROFILE%\Documents\GitHub\mrs-test-scripts\Headless Mode &amp; Sideloading\WalkAndUnGZ.bat" "%USERPROFILE%\AppData\Local\Temp\OnboardLogs"\RTDC4016\2016-12-11</v>
      </c>
      <c r="AF75" s="88" t="str">
        <f t="shared" si="13"/>
        <v>"C:\Program Files (x86)\AstroGrep\AstroGrep.exe" /spath="%USERPROFILE%\AppData\Local\Temp\OnboardLogs" /stypes="app*4016*20161210*" /stext=" 18:.+((SYSTEM_STATE.+slice.+state.+changed )|(ment ac)|(multiple cpu faults)|(system.+state.+changed )|(\[timeout)|(PRM\|1\|D)|(kpr)|(kdp)|(\|lc)|(penalty))" /e /r /s</v>
      </c>
      <c r="AG75" s="1" t="str">
        <f t="shared" si="14"/>
        <v>EC</v>
      </c>
      <c r="AH75" s="92" t="str">
        <f t="shared" si="17"/>
        <v>"%USERPROFILE%\Documents\GitHub\eaglep3\Utilities\RefineRTDCRunTimes.py" --tripid 161-10 --locoid 4016 --swversion DE.1.0.8.0 --startMP 204:431 --initTime 2016-12-10T11:09:57 --startdatetime 2016-12-10T11:15:17 --delay 1 --endMP 204:233317 --enddatetime 2016-12-10T11:50:47 --enforcementcount 1 &gt;&gt;C:\Users\stu\Documents\GitHub\eaglep3-reporting\EC\2016-12-10-refined-times.txt</v>
      </c>
      <c r="AI75" s="119" t="str">
        <f t="shared" si="18"/>
        <v>echo {"issue":{"subject":"","project_id":79,"tracker_id":40,"status_id":1,"priority_id":2,"assigned_to_id":23,"start_date":"2016-12-10","description":"","custom_fields":[{"id":1,"name":"Subdivision","value":"EC"},{"id":4,"name":"Milepost","value":"23.3317"},{"id":17,"name":"Train ID","value":"161-10"},{"id":16,"name":"Locomotive ID","value":"4016"},{"id":130,"name":"Impact","value":""},{"id":150,"name":"Time of Event (Mountain Time)","value":"11:50:47"},{"id":151,"name":"Denver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5" s="53"/>
      <c r="AK75" s="53"/>
      <c r="AL75" s="53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25">
      <c r="A76" s="37" t="s">
        <v>420</v>
      </c>
      <c r="B76" s="7">
        <v>4015</v>
      </c>
      <c r="C76" s="22" t="s">
        <v>207</v>
      </c>
      <c r="D76" s="22" t="s">
        <v>662</v>
      </c>
      <c r="E76" s="13">
        <v>42714.496493055558</v>
      </c>
      <c r="F76" s="13">
        <v>42714.508101851854</v>
      </c>
      <c r="G76" s="7">
        <v>1</v>
      </c>
      <c r="H76" s="22" t="s">
        <v>685</v>
      </c>
      <c r="I76" s="13">
        <v>42714.534814814811</v>
      </c>
      <c r="J76" s="7">
        <v>1</v>
      </c>
      <c r="K76" s="109" t="str">
        <f t="shared" si="0"/>
        <v>4015/4016</v>
      </c>
      <c r="L76" s="22" t="str">
        <f>VLOOKUP(A76,'Trips&amp;Operators'!$C$1:$G$99999,5,FALSE)</f>
        <v>BARTLETT KIANDRA</v>
      </c>
      <c r="M76" s="6">
        <f t="shared" si="1"/>
        <v>2.6712962957390118E-2</v>
      </c>
      <c r="N76" s="7">
        <f t="shared" si="43"/>
        <v>38.46666665864177</v>
      </c>
      <c r="O76" s="7"/>
      <c r="P76" s="7"/>
      <c r="Q76" s="23"/>
      <c r="R76" s="23"/>
      <c r="S76" s="35">
        <f t="shared" si="45"/>
        <v>1</v>
      </c>
      <c r="T76" s="50" t="str">
        <f t="shared" si="4"/>
        <v>Southbound</v>
      </c>
      <c r="U76" s="171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https://search-rtdc-monitor-bjffxe2xuh6vdkpspy63sjmuny.us-east-1.es.amazonaws.com/_plugin/kibana/#/discover/Steve-Slow-Train-Analysis-(2080s-and-2083s)?_g=(refreshInterval:(display:Off,section:0,value:0),time:(from:'2016-12-10 10:54:57-700',mode:absolute,to:'2016-12-10 13:50:08-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201053%20OR%202087)%20AND%20%22rtdc.l.rtdc.4015%22')),sort:!(Time,asc))</v>
      </c>
      <c r="W76" s="52" t="str">
        <f t="shared" si="41"/>
        <v>N</v>
      </c>
      <c r="X76" s="177">
        <f t="shared" si="42"/>
        <v>1</v>
      </c>
      <c r="Y76" s="67">
        <f t="shared" si="46"/>
        <v>23.3004</v>
      </c>
      <c r="Z76" s="67">
        <f t="shared" si="44"/>
        <v>1.6E-2</v>
      </c>
      <c r="AA76" s="67">
        <f t="shared" si="10"/>
        <v>23.284400000000002</v>
      </c>
      <c r="AB76" s="64" t="e">
        <f>VLOOKUP(A76,Enforcements!$C$7:$K$20,8,0)</f>
        <v>#N/A</v>
      </c>
      <c r="AC76" s="60" t="e">
        <f>VLOOKUP(A76,Enforcements!$C$7:$E$20,3,0)</f>
        <v>#N/A</v>
      </c>
      <c r="AD76" s="61" t="str">
        <f t="shared" si="11"/>
        <v>0162-10</v>
      </c>
      <c r="AE76" s="91" t="str">
        <f t="shared" si="12"/>
        <v>aws s3 cp s3://rtdc.mdm.uploadarchive.raw/RTDC4015/ "%USERPROFILE%\AppData\Local\Temp\OnboardLogs"\RTDC4015\2016-12-10 --exclude "*" --recursive --include "*20161210*" &amp; "%USERPROFILE%\Documents\GitHub\mrs-test-scripts\Headless Mode &amp; Sideloading\WalkAndUnGZ.bat" "%USERPROFILE%\AppData\Local\Temp\OnboardLogs"\RTDC4015\2016-12-10 &amp; aws s3 cp s3://rtdc.mdm.uploadarchive.raw/RTDC4015/ "%USERPROFILE%\AppData\Local\Temp\OnboardLogs"\RTDC4015\2016-12-11 --exclude "*" --recursive --include "*20161211*" &amp; "%USERPROFILE%\Documents\GitHub\mrs-test-scripts\Headless Mode &amp; Sideloading\WalkAndUnGZ.bat" "%USERPROFILE%\AppData\Local\Temp\OnboardLogs"\RTDC4015\2016-12-11</v>
      </c>
      <c r="AF76" s="88" t="str">
        <f t="shared" si="13"/>
        <v>"C:\Program Files (x86)\AstroGrep\AstroGrep.exe" /spath="%USERPROFILE%\AppData\Local\Temp\OnboardLogs" /stypes="app*4015*20161210*" /stext=" 19:.+((SYSTEM_STATE.+slice.+state.+changed )|(ment ac)|(multiple cpu faults)|(system.+state.+changed )|(\[timeout)|(PRM\|1\|D)|(kpr)|(kdp)|(\|lc)|(penalty))" /e /r /s</v>
      </c>
      <c r="AG76" s="1" t="str">
        <f t="shared" si="14"/>
        <v>EC</v>
      </c>
      <c r="AH76" s="92" t="str">
        <f t="shared" si="17"/>
        <v>"%USERPROFILE%\Documents\GitHub\eaglep3\Utilities\RefineRTDCRunTimes.py" --tripid 162-10 --locoid 4015 --swversion DE.1.0.8.0 --startMP 204:233004 --initTime 2016-12-10T11:54:57 --startdatetime 2016-12-10T12:11:40 --delay 1 --endMP 204:160 --enddatetime 2016-12-10T12:50:08 --enforcementcount 1 &gt;&gt;C:\Users\stu\Documents\GitHub\eaglep3-reporting\EC\2016-12-10-refined-times.txt</v>
      </c>
      <c r="AI76" s="119" t="str">
        <f t="shared" si="18"/>
        <v>echo {"issue":{"subject":"","project_id":79,"tracker_id":40,"status_id":1,"priority_id":2,"assigned_to_id":23,"start_date":"2016-12-10","description":"","custom_fields":[{"id":1,"name":"Subdivision","value":"EC"},{"id":4,"name":"Milepost","value":"0.016"},{"id":17,"name":"Train ID","value":"162-10"},{"id":16,"name":"Locomotive ID","value":"4015"},{"id":130,"name":"Impact","value":""},{"id":150,"name":"Time of Event (Mountain Time)","value":"12:50:08"},{"id":151,"name":"Denver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6" s="53"/>
      <c r="AK76" s="53"/>
      <c r="AL76" s="53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25">
      <c r="A77" s="37" t="s">
        <v>529</v>
      </c>
      <c r="B77" s="7">
        <v>4040</v>
      </c>
      <c r="C77" s="22" t="s">
        <v>207</v>
      </c>
      <c r="D77" s="22" t="s">
        <v>227</v>
      </c>
      <c r="E77" s="13">
        <v>42714.476967592593</v>
      </c>
      <c r="F77" s="13">
        <v>42714.479467592595</v>
      </c>
      <c r="G77" s="7">
        <v>1</v>
      </c>
      <c r="H77" s="22" t="s">
        <v>686</v>
      </c>
      <c r="I77" s="13">
        <v>42714.504201388889</v>
      </c>
      <c r="J77" s="7">
        <v>1</v>
      </c>
      <c r="K77" s="109" t="str">
        <f t="shared" si="0"/>
        <v>4039/4040</v>
      </c>
      <c r="L77" s="22" t="str">
        <f>VLOOKUP(A77,'Trips&amp;Operators'!$C$1:$G$99999,5,FALSE)</f>
        <v>MOSES BRADLEY</v>
      </c>
      <c r="M77" s="6">
        <f t="shared" si="1"/>
        <v>2.4733796293730848E-2</v>
      </c>
      <c r="N77" s="7">
        <f t="shared" si="43"/>
        <v>35.61666666297242</v>
      </c>
      <c r="O77" s="7"/>
      <c r="P77" s="7"/>
      <c r="Q77" s="23"/>
      <c r="R77" s="23"/>
      <c r="S77" s="35">
        <f t="shared" si="45"/>
        <v>1</v>
      </c>
      <c r="T77" s="50" t="str">
        <f t="shared" si="4"/>
        <v>NorthBound</v>
      </c>
      <c r="U77" s="171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https://search-rtdc-monitor-bjffxe2xuh6vdkpspy63sjmuny.us-east-1.es.amazonaws.com/_plugin/kibana/#/discover/Steve-Slow-Train-Analysis-(2080s-and-2083s)?_g=(refreshInterval:(display:Off,section:0,value:0),time:(from:'2016-12-10 10:26:50-700',mode:absolute,to:'2016-12-10 13:06:03-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201053%20OR%202087)%20AND%20%22rtdc.l.rtdc.4040%22')),sort:!(Time,asc))</v>
      </c>
      <c r="W77" s="52" t="str">
        <f t="shared" si="41"/>
        <v>N</v>
      </c>
      <c r="X77" s="177">
        <f t="shared" si="42"/>
        <v>1</v>
      </c>
      <c r="Y77" s="67">
        <f t="shared" si="46"/>
        <v>4.6600000000000003E-2</v>
      </c>
      <c r="Z77" s="67">
        <f t="shared" si="44"/>
        <v>23.331800000000001</v>
      </c>
      <c r="AA77" s="67">
        <f t="shared" si="10"/>
        <v>23.2852</v>
      </c>
      <c r="AB77" s="64" t="e">
        <f>VLOOKUP(A77,Enforcements!$C$7:$K$20,8,0)</f>
        <v>#N/A</v>
      </c>
      <c r="AC77" s="60" t="e">
        <f>VLOOKUP(A77,Enforcements!$C$7:$E$20,3,0)</f>
        <v>#N/A</v>
      </c>
      <c r="AD77" s="61" t="str">
        <f t="shared" si="11"/>
        <v>0163-10</v>
      </c>
      <c r="AE77" s="91" t="str">
        <f t="shared" si="12"/>
        <v>aws s3 cp s3://rtdc.mdm.uploadarchive.raw/RTDC4040/ "%USERPROFILE%\AppData\Local\Temp\OnboardLogs"\RTDC4040\2016-12-10 --exclude "*" --recursive --include "*20161210*" &amp; "%USERPROFILE%\Documents\GitHub\mrs-test-scripts\Headless Mode &amp; Sideloading\WalkAndUnGZ.bat" "%USERPROFILE%\AppData\Local\Temp\OnboardLogs"\RTDC4040\2016-12-10 &amp; aws s3 cp s3://rtdc.mdm.uploadarchive.raw/RTDC4040/ "%USERPROFILE%\AppData\Local\Temp\OnboardLogs"\RTDC4040\2016-12-11 --exclude "*" --recursive --include "*20161211*" &amp; "%USERPROFILE%\Documents\GitHub\mrs-test-scripts\Headless Mode &amp; Sideloading\WalkAndUnGZ.bat" "%USERPROFILE%\AppData\Local\Temp\OnboardLogs"\RTDC4040\2016-12-11</v>
      </c>
      <c r="AF77" s="88" t="str">
        <f t="shared" si="13"/>
        <v>"C:\Program Files (x86)\AstroGrep\AstroGrep.exe" /spath="%USERPROFILE%\AppData\Local\Temp\OnboardLogs" /stypes="app*4040*20161210*" /stext=" 19:.+((SYSTEM_STATE.+slice.+state.+changed )|(ment ac)|(multiple cpu faults)|(system.+state.+changed )|(\[timeout)|(PRM\|1\|D)|(kpr)|(kdp)|(\|lc)|(penalty))" /e /r /s</v>
      </c>
      <c r="AG77" s="1" t="str">
        <f t="shared" si="14"/>
        <v>EC</v>
      </c>
      <c r="AH77" s="92" t="str">
        <f t="shared" si="17"/>
        <v>"%USERPROFILE%\Documents\GitHub\eaglep3\Utilities\RefineRTDCRunTimes.py" --tripid 163-10 --locoid 4040 --swversion DE.1.0.8.0 --startMP 204:466 --initTime 2016-12-10T11:26:50 --startdatetime 2016-12-10T11:30:26 --delay 1 --endMP 204:233318 --enddatetime 2016-12-10T12:06:03 --enforcementcount 1 &gt;&gt;C:\Users\stu\Documents\GitHub\eaglep3-reporting\EC\2016-12-10-refined-times.txt</v>
      </c>
      <c r="AI77" s="119" t="str">
        <f t="shared" si="18"/>
        <v>echo {"issue":{"subject":"","project_id":79,"tracker_id":40,"status_id":1,"priority_id":2,"assigned_to_id":23,"start_date":"2016-12-10","description":"","custom_fields":[{"id":1,"name":"Subdivision","value":"EC"},{"id":4,"name":"Milepost","value":"23.3318"},{"id":17,"name":"Train ID","value":"163-10"},{"id":16,"name":"Locomotive ID","value":"4040"},{"id":130,"name":"Impact","value":""},{"id":150,"name":"Time of Event (Mountain Time)","value":"12:06:03"},{"id":151,"name":"Denver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7" s="53"/>
      <c r="AK77" s="53"/>
      <c r="AL77" s="53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1" customFormat="1" x14ac:dyDescent="0.25">
      <c r="A78" s="37" t="s">
        <v>421</v>
      </c>
      <c r="B78" s="7">
        <v>4039</v>
      </c>
      <c r="C78" s="22" t="s">
        <v>207</v>
      </c>
      <c r="D78" s="22" t="s">
        <v>660</v>
      </c>
      <c r="E78" s="13">
        <v>42714.513831018521</v>
      </c>
      <c r="F78" s="13">
        <v>42714.518252314818</v>
      </c>
      <c r="G78" s="7">
        <v>1</v>
      </c>
      <c r="H78" s="22" t="s">
        <v>645</v>
      </c>
      <c r="I78" s="13">
        <v>42714.546446759261</v>
      </c>
      <c r="J78" s="7">
        <v>1</v>
      </c>
      <c r="K78" s="109" t="str">
        <f t="shared" ref="K78:K141" si="47">IF(ISEVEN(B78),(B78-1)&amp;"/"&amp;B78,B78&amp;"/"&amp;(B78+1))</f>
        <v>4039/4040</v>
      </c>
      <c r="L78" s="22" t="str">
        <f>VLOOKUP(A78,'Trips&amp;Operators'!$C$1:$G$99999,5,FALSE)</f>
        <v>MOSES BRADLEY</v>
      </c>
      <c r="M78" s="6">
        <f t="shared" ref="M78:M141" si="48">I78-F78</f>
        <v>2.8194444443215616E-2</v>
      </c>
      <c r="N78" s="7">
        <f t="shared" si="43"/>
        <v>40.599999998230487</v>
      </c>
      <c r="O78" s="7"/>
      <c r="P78" s="7"/>
      <c r="Q78" s="23"/>
      <c r="R78" s="23"/>
      <c r="S78" s="35">
        <f t="shared" si="45"/>
        <v>1</v>
      </c>
      <c r="T78" s="50" t="str">
        <f t="shared" ref="T78:T141" si="49">IF(ISEVEN(LEFT(AD78,4)),"Southbound","NorthBound")</f>
        <v>Southbound</v>
      </c>
      <c r="U78" s="171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98" t="str">
        <f t="shared" ref="V78:V141" si="50">"https://search-rtdc-monitor-bjffxe2xuh6vdkpspy63sjmuny.us-east-1.es.amazonaws.com/_plugin/kibana/#/discover/Steve-Slow-Train-Analysis-(2080s-and-2083s)?_g=(refreshInterval:(display:Off,section:0,value:0),time:(from:'"&amp;TEXT(E78-1/24,"yyyy-MM-DD hh:mm:ss")&amp;utc_offset&amp;"00',mode:absolute,to:'"&amp;TEXT(I78+1/24,"yyyy-MM-DD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201053%20OR%202087)%20AND%20%22rtdc.l.rtdc."&amp;B78&amp;"%22')),sort:!(Time,asc))"</f>
        <v>https://search-rtdc-monitor-bjffxe2xuh6vdkpspy63sjmuny.us-east-1.es.amazonaws.com/_plugin/kibana/#/discover/Steve-Slow-Train-Analysis-(2080s-and-2083s)?_g=(refreshInterval:(display:Off,section:0,value:0),time:(from:'2016-12-10 11:19:55-700',mode:absolute,to:'2016-12-10 14:06:53-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201053%20OR%202087)%20AND%20%22rtdc.l.rtdc.4039%22')),sort:!(Time,asc))</v>
      </c>
      <c r="W78" s="52" t="str">
        <f t="shared" ref="W78:W109" si="51">IF(AA78&lt;IF(AG78="EC",23,5.65),"Y","N")</f>
        <v>N</v>
      </c>
      <c r="X78" s="177">
        <f t="shared" ref="X78:X109" si="52">VALUE(LEFT(AD78,4))-VALUE(LEFT(AD77,4))</f>
        <v>1</v>
      </c>
      <c r="Y78" s="67">
        <f t="shared" si="46"/>
        <v>23.3001</v>
      </c>
      <c r="Z78" s="67">
        <f t="shared" si="44"/>
        <v>1.34E-2</v>
      </c>
      <c r="AA78" s="67">
        <f t="shared" ref="AA78:AA141" si="53">ABS(Z78-Y78)</f>
        <v>23.2867</v>
      </c>
      <c r="AB78" s="64" t="e">
        <f>VLOOKUP(A78,Enforcements!$C$7:$K$20,8,0)</f>
        <v>#N/A</v>
      </c>
      <c r="AC78" s="60" t="e">
        <f>VLOOKUP(A78,Enforcements!$C$7:$E$20,3,0)</f>
        <v>#N/A</v>
      </c>
      <c r="AD78" s="61" t="str">
        <f t="shared" ref="AD78:AD141" si="54">IF(LEN(A78)=6,"0"&amp;A78,A78)</f>
        <v>0164-10</v>
      </c>
      <c r="AE78" s="91" t="str">
        <f t="shared" ref="AE78:AE141" si="55">"aws s3 cp "&amp;s3_bucket&amp;"/RTDC"&amp;B78&amp;"/ "&amp;search_path&amp;"\RTDC"&amp;B78&amp;"\"&amp;TEXT(F78,"YYYY-MM-DD")&amp;" --exclude ""*"" --recursive --include ""*"&amp;TEXT(F78,"YYYYMMDD")&amp;"*"" &amp; """&amp;walkandungz&amp;""" "&amp;search_path&amp;"\RTDC"&amp;B78&amp;"\"&amp;TEXT(F78,"YYYY-MM-DD")
&amp;" &amp; "&amp;"aws s3 cp "&amp;s3_bucket&amp;"/RTDC"&amp;B78&amp;"/ "&amp;search_path&amp;"\RTDC"&amp;B78&amp;"\"&amp;TEXT(F78+1,"YYYY-MM-DD")&amp;" --exclude ""*"" --recursive --include ""*"&amp;TEXT(F78+1,"YYYYMMDD")&amp;"*"" &amp; """&amp;walkandungz&amp;""" "&amp;search_path&amp;"\RTDC"&amp;B78&amp;"\"&amp;TEXT(F78+1,"YYYY-MM-DD")</f>
        <v>aws s3 cp s3://rtdc.mdm.uploadarchive.raw/RTDC4039/ "%USERPROFILE%\AppData\Local\Temp\OnboardLogs"\RTDC4039\2016-12-10 --exclude "*" --recursive --include "*20161210*" &amp; "%USERPROFILE%\Documents\GitHub\mrs-test-scripts\Headless Mode &amp; Sideloading\WalkAndUnGZ.bat" "%USERPROFILE%\AppData\Local\Temp\OnboardLogs"\RTDC4039\2016-12-10 &amp; aws s3 cp s3://rtdc.mdm.uploadarchive.raw/RTDC4039/ "%USERPROFILE%\AppData\Local\Temp\OnboardLogs"\RTDC4039\2016-12-11 --exclude "*" --recursive --include "*20161211*" &amp; "%USERPROFILE%\Documents\GitHub\mrs-test-scripts\Headless Mode &amp; Sideloading\WalkAndUnGZ.bat" "%USERPROFILE%\AppData\Local\Temp\OnboardLogs"\RTDC4039\2016-12-11</v>
      </c>
      <c r="AF78" s="88" t="str">
        <f t="shared" ref="AF78:AF141" si="56">astrogrep_path&amp;" /spath="&amp;search_path&amp;" /stypes=""app*"&amp;B78&amp;"*"&amp;TEXT(I78-utc_offset/24,"YYYYMMDD")&amp;"*"" /stext="" "&amp;TEXT(I78-utc_offset/24,"HH")&amp;search_regexp&amp;""" /e /r /s"</f>
        <v>"C:\Program Files (x86)\AstroGrep\AstroGrep.exe" /spath="%USERPROFILE%\AppData\Local\Temp\OnboardLogs" /stypes="app*4039*20161210*" /stext=" 20:.+((SYSTEM_STATE.+slice.+state.+changed )|(ment ac)|(multiple cpu faults)|(system.+state.+changed )|(\[timeout)|(PRM\|1\|D)|(kpr)|(kdp)|(\|lc)|(penalty))" /e /r /s</v>
      </c>
      <c r="AG78" s="1" t="str">
        <f t="shared" ref="AG78:AG141" si="57">IFERROR(IF(VALUE(LEFT(AD78,2))&lt;=2,"EC",IF(OR(VALUE(LEFT(AD78,2))=8,VALUE(LEFT(AD78,2))=18),"NW","Other")),"Other")</f>
        <v>EC</v>
      </c>
      <c r="AH78" s="92" t="str">
        <f t="shared" si="17"/>
        <v>"%USERPROFILE%\Documents\GitHub\eaglep3\Utilities\RefineRTDCRunTimes.py" --tripid 164-10 --locoid 4039 --swversion DE.1.0.8.0 --startMP 204:233001 --initTime 2016-12-10T12:19:55 --startdatetime 2016-12-10T12:26:17 --delay 1 --endMP 204:134 --enddatetime 2016-12-10T13:06:53 --enforcementcount 1 &gt;&gt;C:\Users\stu\Documents\GitHub\eaglep3-reporting\EC\2016-12-10-refined-times.txt</v>
      </c>
      <c r="AI78" s="119" t="str">
        <f t="shared" si="18"/>
        <v>echo {"issue":{"subject":"","project_id":79,"tracker_id":40,"status_id":1,"priority_id":2,"assigned_to_id":23,"start_date":"2016-12-10","description":"","custom_fields":[{"id":1,"name":"Subdivision","value":"EC"},{"id":4,"name":"Milepost","value":"0.0134"},{"id":17,"name":"Train ID","value":"164-10"},{"id":16,"name":"Locomotive ID","value":"4039"},{"id":130,"name":"Impact","value":""},{"id":150,"name":"Time of Event (Mountain Time)","value":"13:06:53"},{"id":151,"name":"Denver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8" s="53"/>
      <c r="AK78" s="53"/>
      <c r="AL78" s="53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1" customFormat="1" x14ac:dyDescent="0.25">
      <c r="A79" s="37" t="s">
        <v>532</v>
      </c>
      <c r="B79" s="7">
        <v>4025</v>
      </c>
      <c r="C79" s="22" t="s">
        <v>207</v>
      </c>
      <c r="D79" s="22" t="s">
        <v>195</v>
      </c>
      <c r="E79" s="13">
        <v>42714.486562500002</v>
      </c>
      <c r="F79" s="13">
        <v>42714.489768518521</v>
      </c>
      <c r="G79" s="7">
        <v>1</v>
      </c>
      <c r="H79" s="22" t="s">
        <v>687</v>
      </c>
      <c r="I79" s="13">
        <v>42714.515069444446</v>
      </c>
      <c r="J79" s="7">
        <v>1</v>
      </c>
      <c r="K79" s="109" t="str">
        <f t="shared" si="47"/>
        <v>4025/4026</v>
      </c>
      <c r="L79" s="22" t="str">
        <f>VLOOKUP(A79,'Trips&amp;Operators'!$C$1:$G$99999,5,FALSE)</f>
        <v>SHOOK JOHN</v>
      </c>
      <c r="M79" s="6">
        <f t="shared" si="48"/>
        <v>2.5300925924966577E-2</v>
      </c>
      <c r="N79" s="7">
        <f t="shared" si="43"/>
        <v>36.433333331951872</v>
      </c>
      <c r="O79" s="7"/>
      <c r="P79" s="7"/>
      <c r="Q79" s="23"/>
      <c r="R79" s="23"/>
      <c r="S79" s="35">
        <f t="shared" si="45"/>
        <v>1</v>
      </c>
      <c r="T79" s="50" t="str">
        <f t="shared" si="49"/>
        <v>NorthBound</v>
      </c>
      <c r="U79" s="171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98" t="str">
        <f t="shared" si="50"/>
        <v>https://search-rtdc-monitor-bjffxe2xuh6vdkpspy63sjmuny.us-east-1.es.amazonaws.com/_plugin/kibana/#/discover/Steve-Slow-Train-Analysis-(2080s-and-2083s)?_g=(refreshInterval:(display:Off,section:0,value:0),time:(from:'2016-12-10 10:40:39-700',mode:absolute,to:'2016-12-10 13:21:42-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201053%20OR%202087)%20AND%20%22rtdc.l.rtdc.4025%22')),sort:!(Time,asc))</v>
      </c>
      <c r="W79" s="52" t="str">
        <f t="shared" si="51"/>
        <v>N</v>
      </c>
      <c r="X79" s="177">
        <f t="shared" si="52"/>
        <v>1</v>
      </c>
      <c r="Y79" s="67">
        <f t="shared" si="46"/>
        <v>4.5100000000000001E-2</v>
      </c>
      <c r="Z79" s="67">
        <f t="shared" si="44"/>
        <v>23.330200000000001</v>
      </c>
      <c r="AA79" s="67">
        <f t="shared" si="53"/>
        <v>23.2851</v>
      </c>
      <c r="AB79" s="64" t="e">
        <f>VLOOKUP(A79,Enforcements!$C$7:$K$20,8,0)</f>
        <v>#N/A</v>
      </c>
      <c r="AC79" s="60" t="e">
        <f>VLOOKUP(A79,Enforcements!$C$7:$E$20,3,0)</f>
        <v>#N/A</v>
      </c>
      <c r="AD79" s="61" t="str">
        <f t="shared" si="54"/>
        <v>0165-10</v>
      </c>
      <c r="AE79" s="91" t="str">
        <f t="shared" si="55"/>
        <v>aws s3 cp s3://rtdc.mdm.uploadarchive.raw/RTDC4025/ "%USERPROFILE%\AppData\Local\Temp\OnboardLogs"\RTDC4025\2016-12-10 --exclude "*" --recursive --include "*20161210*" &amp; "%USERPROFILE%\Documents\GitHub\mrs-test-scripts\Headless Mode &amp; Sideloading\WalkAndUnGZ.bat" "%USERPROFILE%\AppData\Local\Temp\OnboardLogs"\RTDC4025\2016-12-10 &amp; aws s3 cp s3://rtdc.mdm.uploadarchive.raw/RTDC4025/ "%USERPROFILE%\AppData\Local\Temp\OnboardLogs"\RTDC4025\2016-12-11 --exclude "*" --recursive --include "*20161211*" &amp; "%USERPROFILE%\Documents\GitHub\mrs-test-scripts\Headless Mode &amp; Sideloading\WalkAndUnGZ.bat" "%USERPROFILE%\AppData\Local\Temp\OnboardLogs"\RTDC4025\2016-12-11</v>
      </c>
      <c r="AF79" s="88" t="str">
        <f t="shared" si="56"/>
        <v>"C:\Program Files (x86)\AstroGrep\AstroGrep.exe" /spath="%USERPROFILE%\AppData\Local\Temp\OnboardLogs" /stypes="app*4025*20161210*" /stext=" 19:.+((SYSTEM_STATE.+slice.+state.+changed )|(ment ac)|(multiple cpu faults)|(system.+state.+changed )|(\[timeout)|(PRM\|1\|D)|(kpr)|(kdp)|(\|lc)|(penalty))" /e /r /s</v>
      </c>
      <c r="AG79" s="1" t="str">
        <f t="shared" si="57"/>
        <v>EC</v>
      </c>
      <c r="AH79" s="92" t="str">
        <f t="shared" si="17"/>
        <v>"%USERPROFILE%\Documents\GitHub\eaglep3\Utilities\RefineRTDCRunTimes.py" --tripid 165-10 --locoid 4025 --swversion DE.1.0.8.0 --startMP 204:451 --initTime 2016-12-10T11:40:39 --startdatetime 2016-12-10T11:45:16 --delay 1 --endMP 204:233302 --enddatetime 2016-12-10T12:21:42 --enforcementcount 1 &gt;&gt;C:\Users\stu\Documents\GitHub\eaglep3-reporting\EC\2016-12-10-refined-times.txt</v>
      </c>
      <c r="AI79" s="119" t="str">
        <f t="shared" si="18"/>
        <v>echo {"issue":{"subject":"","project_id":79,"tracker_id":40,"status_id":1,"priority_id":2,"assigned_to_id":23,"start_date":"2016-12-10","description":"","custom_fields":[{"id":1,"name":"Subdivision","value":"EC"},{"id":4,"name":"Milepost","value":"23.3302"},{"id":17,"name":"Train ID","value":"165-10"},{"id":16,"name":"Locomotive ID","value":"4025"},{"id":130,"name":"Impact","value":""},{"id":150,"name":"Time of Event (Mountain Time)","value":"12:21:42"},{"id":151,"name":"Denver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9" s="53"/>
      <c r="AK79" s="53"/>
      <c r="AL79" s="53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1" customFormat="1" x14ac:dyDescent="0.25">
      <c r="A80" s="37" t="s">
        <v>423</v>
      </c>
      <c r="B80" s="7">
        <v>4026</v>
      </c>
      <c r="C80" s="22" t="s">
        <v>207</v>
      </c>
      <c r="D80" s="22" t="s">
        <v>666</v>
      </c>
      <c r="E80" s="13">
        <v>42714.524224537039</v>
      </c>
      <c r="F80" s="13">
        <v>42714.528657407405</v>
      </c>
      <c r="G80" s="7">
        <v>1</v>
      </c>
      <c r="H80" s="22" t="s">
        <v>193</v>
      </c>
      <c r="I80" s="13">
        <v>42714.556284722225</v>
      </c>
      <c r="J80" s="7">
        <v>1</v>
      </c>
      <c r="K80" s="109" t="str">
        <f t="shared" si="47"/>
        <v>4025/4026</v>
      </c>
      <c r="L80" s="22" t="str">
        <f>VLOOKUP(A80,'Trips&amp;Operators'!$C$1:$G$99999,5,FALSE)</f>
        <v>SHOOK JOHN</v>
      </c>
      <c r="M80" s="6">
        <f t="shared" si="48"/>
        <v>2.7627314819255844E-2</v>
      </c>
      <c r="N80" s="7">
        <f t="shared" si="43"/>
        <v>39.783333339728415</v>
      </c>
      <c r="O80" s="7"/>
      <c r="P80" s="7"/>
      <c r="Q80" s="23"/>
      <c r="R80" s="23"/>
      <c r="S80" s="35">
        <f t="shared" si="45"/>
        <v>1</v>
      </c>
      <c r="T80" s="50" t="str">
        <f t="shared" si="49"/>
        <v>Southbound</v>
      </c>
      <c r="U80" s="171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98" t="str">
        <f t="shared" si="50"/>
        <v>https://search-rtdc-monitor-bjffxe2xuh6vdkpspy63sjmuny.us-east-1.es.amazonaws.com/_plugin/kibana/#/discover/Steve-Slow-Train-Analysis-(2080s-and-2083s)?_g=(refreshInterval:(display:Off,section:0,value:0),time:(from:'2016-12-10 11:34:53-700',mode:absolute,to:'2016-12-10 14:21:03-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201053%20OR%202087)%20AND%20%22rtdc.l.rtdc.4026%22')),sort:!(Time,asc))</v>
      </c>
      <c r="W80" s="52" t="str">
        <f t="shared" si="51"/>
        <v>N</v>
      </c>
      <c r="X80" s="177">
        <f t="shared" si="52"/>
        <v>1</v>
      </c>
      <c r="Y80" s="67">
        <f t="shared" si="46"/>
        <v>23.2989</v>
      </c>
      <c r="Z80" s="67">
        <f t="shared" si="44"/>
        <v>1.43E-2</v>
      </c>
      <c r="AA80" s="67">
        <f t="shared" si="53"/>
        <v>23.284600000000001</v>
      </c>
      <c r="AB80" s="64" t="e">
        <f>VLOOKUP(A80,Enforcements!$C$7:$K$20,8,0)</f>
        <v>#N/A</v>
      </c>
      <c r="AC80" s="60" t="e">
        <f>VLOOKUP(A80,Enforcements!$C$7:$E$20,3,0)</f>
        <v>#N/A</v>
      </c>
      <c r="AD80" s="61" t="str">
        <f t="shared" si="54"/>
        <v>0166-10</v>
      </c>
      <c r="AE80" s="91" t="str">
        <f t="shared" si="55"/>
        <v>aws s3 cp s3://rtdc.mdm.uploadarchive.raw/RTDC4026/ "%USERPROFILE%\AppData\Local\Temp\OnboardLogs"\RTDC4026\2016-12-10 --exclude "*" --recursive --include "*20161210*" &amp; "%USERPROFILE%\Documents\GitHub\mrs-test-scripts\Headless Mode &amp; Sideloading\WalkAndUnGZ.bat" "%USERPROFILE%\AppData\Local\Temp\OnboardLogs"\RTDC4026\2016-12-10 &amp; aws s3 cp s3://rtdc.mdm.uploadarchive.raw/RTDC4026/ "%USERPROFILE%\AppData\Local\Temp\OnboardLogs"\RTDC4026\2016-12-11 --exclude "*" --recursive --include "*20161211*" &amp; "%USERPROFILE%\Documents\GitHub\mrs-test-scripts\Headless Mode &amp; Sideloading\WalkAndUnGZ.bat" "%USERPROFILE%\AppData\Local\Temp\OnboardLogs"\RTDC4026\2016-12-11</v>
      </c>
      <c r="AF80" s="88" t="str">
        <f t="shared" si="56"/>
        <v>"C:\Program Files (x86)\AstroGrep\AstroGrep.exe" /spath="%USERPROFILE%\AppData\Local\Temp\OnboardLogs" /stypes="app*4026*20161210*" /stext=" 20:.+((SYSTEM_STATE.+slice.+state.+changed )|(ment ac)|(multiple cpu faults)|(system.+state.+changed )|(\[timeout)|(PRM\|1\|D)|(kpr)|(kdp)|(\|lc)|(penalty))" /e /r /s</v>
      </c>
      <c r="AG80" s="1" t="str">
        <f t="shared" si="57"/>
        <v>EC</v>
      </c>
      <c r="AH80" s="92" t="str">
        <f t="shared" ref="AH80:AH143" si="58">refinertdcruntimes&amp;" --tripid "&amp;A80&amp;" --locoid "&amp;B80&amp;" --swversion "&amp;C80&amp;" --startMP "&amp;D80&amp;" --initTime "&amp;TEXT(E80,"yyyy-mm-ddTHH:MM:SS")&amp;" --startdatetime "&amp;TEXT(F80,"yyyy-mm-ddTHH:MM:SS")&amp;" --delay "&amp;G80&amp;" --endMP "&amp;H80&amp;" --enddatetime "&amp;TEXT(I80,"yyyy-mm-ddTHH:MM:SS")&amp;" --enforcementcount "&amp;J80&amp;IF(outputrefinedruntimes," &gt;&gt;"&amp;RefinedRTDCRunTimesOutputFile,"")</f>
        <v>"%USERPROFILE%\Documents\GitHub\eaglep3\Utilities\RefineRTDCRunTimes.py" --tripid 166-10 --locoid 4026 --swversion DE.1.0.8.0 --startMP 204:232989 --initTime 2016-12-10T12:34:53 --startdatetime 2016-12-10T12:41:16 --delay 1 --endMP 204:143 --enddatetime 2016-12-10T13:21:03 --enforcementcount 1 &gt;&gt;C:\Users\stu\Documents\GitHub\eaglep3-reporting\EC\2016-12-10-refined-times.txt</v>
      </c>
      <c r="AI80" s="119" t="str">
        <f t="shared" ref="AI80:AI143" si="59">"echo {""issue"":{""subject"":"""&amp;R80&amp;""",""project_id"":79,""tracker_id"":40,""status_id"":"&amp;redmine_status&amp;",""priority_id"":"&amp;redmine_priority&amp;",""assigned_to_id"":"&amp;redmine_assignee&amp;",""start_date"":"""&amp;TEXT(I80,"YYYY-mm-dd")&amp;""",""description"":"""&amp;AJ80&amp;""",""custom_fields"":[{""id"":1,""name"":""Subdivision"",""value"":"""&amp;AG80&amp;"""},{""id"":4,""name"":""Milepost"",""value"":"""&amp;Z80&amp;"""},{""id"":17,""name"":""Train ID"",""value"":"""&amp;A80&amp;"""},{""id"":16,""name"":""Locomotive ID"",""value"":"""&amp;B80&amp;"""},{""id"":130,""name"":""Impact"",""value"":"""&amp;AK80&amp;"""},{""id"":150,""name"":""Time of Event (Mountain Time)"",""value"":"""&amp;TEXT(I80,"hh:mm:ss")&amp;"""},{""id"":151,""name"":""Denver Issue ID"",""value"":"""&amp;"""},{""id"":178,""name"":""Operational Impact"",""value"":"""&amp;redmine_op_impact&amp;"""},{""id"":179,""name"":""Denver Segment Assigned"",""value"":"""&amp;AL80&amp;"""}]}}"&amp;"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{"issue":{"subject":"","project_id":79,"tracker_id":40,"status_id":1,"priority_id":2,"assigned_to_id":23,"start_date":"2016-12-10","description":"","custom_fields":[{"id":1,"name":"Subdivision","value":"EC"},{"id":4,"name":"Milepost","value":"0.0143"},{"id":17,"name":"Train ID","value":"166-10"},{"id":16,"name":"Locomotive ID","value":"4026"},{"id":130,"name":"Impact","value":""},{"id":150,"name":"Time of Event (Mountain Time)","value":"13:21:03"},{"id":151,"name":"Denver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0" s="53"/>
      <c r="AK80" s="53"/>
      <c r="AL80" s="53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1" customFormat="1" x14ac:dyDescent="0.25">
      <c r="A81" s="37" t="s">
        <v>534</v>
      </c>
      <c r="B81" s="7">
        <v>4020</v>
      </c>
      <c r="C81" s="22" t="s">
        <v>207</v>
      </c>
      <c r="D81" s="22" t="s">
        <v>238</v>
      </c>
      <c r="E81" s="13">
        <v>42714.49722222222</v>
      </c>
      <c r="F81" s="13">
        <v>42714.500162037039</v>
      </c>
      <c r="G81" s="7">
        <v>2</v>
      </c>
      <c r="H81" s="22" t="s">
        <v>674</v>
      </c>
      <c r="I81" s="13">
        <v>42714.524594907409</v>
      </c>
      <c r="J81" s="7">
        <v>1</v>
      </c>
      <c r="K81" s="109" t="str">
        <f t="shared" si="47"/>
        <v>4019/4020</v>
      </c>
      <c r="L81" s="22" t="str">
        <f>VLOOKUP(A81,'Trips&amp;Operators'!$C$1:$G$99999,5,FALSE)</f>
        <v>BRUDER RICHARD</v>
      </c>
      <c r="M81" s="6">
        <f t="shared" si="48"/>
        <v>2.4432870370219462E-2</v>
      </c>
      <c r="N81" s="7">
        <f t="shared" si="43"/>
        <v>35.183333333116025</v>
      </c>
      <c r="O81" s="7"/>
      <c r="P81" s="7"/>
      <c r="Q81" s="23"/>
      <c r="R81" s="23"/>
      <c r="S81" s="35">
        <f t="shared" si="45"/>
        <v>1</v>
      </c>
      <c r="T81" s="50" t="str">
        <f t="shared" si="49"/>
        <v>NorthBound</v>
      </c>
      <c r="U81" s="171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98" t="str">
        <f t="shared" si="50"/>
        <v>https://search-rtdc-monitor-bjffxe2xuh6vdkpspy63sjmuny.us-east-1.es.amazonaws.com/_plugin/kibana/#/discover/Steve-Slow-Train-Analysis-(2080s-and-2083s)?_g=(refreshInterval:(display:Off,section:0,value:0),time:(from:'2016-12-10 10:56:00-700',mode:absolute,to:'2016-12-10 13:35:25-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201053%20OR%202087)%20AND%20%22rtdc.l.rtdc.4020%22')),sort:!(Time,asc))</v>
      </c>
      <c r="W81" s="52" t="str">
        <f t="shared" si="51"/>
        <v>N</v>
      </c>
      <c r="X81" s="177">
        <f t="shared" si="52"/>
        <v>1</v>
      </c>
      <c r="Y81" s="67">
        <f t="shared" si="46"/>
        <v>4.5999999999999999E-2</v>
      </c>
      <c r="Z81" s="67">
        <f t="shared" si="44"/>
        <v>23.330300000000001</v>
      </c>
      <c r="AA81" s="67">
        <f t="shared" si="53"/>
        <v>23.284300000000002</v>
      </c>
      <c r="AB81" s="64" t="e">
        <f>VLOOKUP(A81,Enforcements!$C$7:$K$20,8,0)</f>
        <v>#N/A</v>
      </c>
      <c r="AC81" s="60" t="e">
        <f>VLOOKUP(A81,Enforcements!$C$7:$E$20,3,0)</f>
        <v>#N/A</v>
      </c>
      <c r="AD81" s="61" t="str">
        <f t="shared" si="54"/>
        <v>0167-10</v>
      </c>
      <c r="AE81" s="91" t="str">
        <f t="shared" si="55"/>
        <v>aws s3 cp s3://rtdc.mdm.uploadarchive.raw/RTDC4020/ "%USERPROFILE%\AppData\Local\Temp\OnboardLogs"\RTDC4020\2016-12-10 --exclude "*" --recursive --include "*20161210*" &amp; "%USERPROFILE%\Documents\GitHub\mrs-test-scripts\Headless Mode &amp; Sideloading\WalkAndUnGZ.bat" "%USERPROFILE%\AppData\Local\Temp\OnboardLogs"\RTDC4020\2016-12-10 &amp; aws s3 cp s3://rtdc.mdm.uploadarchive.raw/RTDC4020/ "%USERPROFILE%\AppData\Local\Temp\OnboardLogs"\RTDC4020\2016-12-11 --exclude "*" --recursive --include "*20161211*" &amp; "%USERPROFILE%\Documents\GitHub\mrs-test-scripts\Headless Mode &amp; Sideloading\WalkAndUnGZ.bat" "%USERPROFILE%\AppData\Local\Temp\OnboardLogs"\RTDC4020\2016-12-11</v>
      </c>
      <c r="AF81" s="88" t="str">
        <f t="shared" si="56"/>
        <v>"C:\Program Files (x86)\AstroGrep\AstroGrep.exe" /spath="%USERPROFILE%\AppData\Local\Temp\OnboardLogs" /stypes="app*4020*20161210*" /stext=" 19:.+((SYSTEM_STATE.+slice.+state.+changed )|(ment ac)|(multiple cpu faults)|(system.+state.+changed )|(\[timeout)|(PRM\|1\|D)|(kpr)|(kdp)|(\|lc)|(penalty))" /e /r /s</v>
      </c>
      <c r="AG81" s="1" t="str">
        <f t="shared" si="57"/>
        <v>EC</v>
      </c>
      <c r="AH81" s="92" t="str">
        <f t="shared" si="58"/>
        <v>"%USERPROFILE%\Documents\GitHub\eaglep3\Utilities\RefineRTDCRunTimes.py" --tripid 167-10 --locoid 4020 --swversion DE.1.0.8.0 --startMP 204:460 --initTime 2016-12-10T11:56:00 --startdatetime 2016-12-10T12:00:14 --delay 2 --endMP 204:233303 --enddatetime 2016-12-10T12:35:25 --enforcementcount 1 &gt;&gt;C:\Users\stu\Documents\GitHub\eaglep3-reporting\EC\2016-12-10-refined-times.txt</v>
      </c>
      <c r="AI81" s="119" t="str">
        <f t="shared" si="59"/>
        <v>echo {"issue":{"subject":"","project_id":79,"tracker_id":40,"status_id":1,"priority_id":2,"assigned_to_id":23,"start_date":"2016-12-10","description":"","custom_fields":[{"id":1,"name":"Subdivision","value":"EC"},{"id":4,"name":"Milepost","value":"23.3303"},{"id":17,"name":"Train ID","value":"167-10"},{"id":16,"name":"Locomotive ID","value":"4020"},{"id":130,"name":"Impact","value":""},{"id":150,"name":"Time of Event (Mountain Time)","value":"12:35:25"},{"id":151,"name":"Denver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1" s="53"/>
      <c r="AK81" s="53"/>
      <c r="AL81" s="53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1" customFormat="1" x14ac:dyDescent="0.25">
      <c r="A82" s="37" t="s">
        <v>541</v>
      </c>
      <c r="B82" s="7">
        <v>4019</v>
      </c>
      <c r="C82" s="22" t="s">
        <v>207</v>
      </c>
      <c r="D82" s="22" t="s">
        <v>391</v>
      </c>
      <c r="E82" s="13">
        <v>42714.534479166665</v>
      </c>
      <c r="F82" s="13">
        <v>42714.539155092592</v>
      </c>
      <c r="G82" s="7">
        <v>2</v>
      </c>
      <c r="H82" s="22" t="s">
        <v>296</v>
      </c>
      <c r="I82" s="13">
        <v>42714.56622685185</v>
      </c>
      <c r="J82" s="7">
        <v>1</v>
      </c>
      <c r="K82" s="109" t="str">
        <f t="shared" si="47"/>
        <v>4019/4020</v>
      </c>
      <c r="L82" s="22" t="str">
        <f>VLOOKUP(A82,'Trips&amp;Operators'!$C$1:$G$99999,5,FALSE)</f>
        <v>BRUDER RICHARD</v>
      </c>
      <c r="M82" s="6">
        <f t="shared" si="48"/>
        <v>2.7071759257523809E-2</v>
      </c>
      <c r="N82" s="7">
        <f t="shared" si="43"/>
        <v>38.983333330834284</v>
      </c>
      <c r="O82" s="7"/>
      <c r="P82" s="7"/>
      <c r="Q82" s="23"/>
      <c r="R82" s="23"/>
      <c r="S82" s="35">
        <f t="shared" si="45"/>
        <v>1</v>
      </c>
      <c r="T82" s="50" t="str">
        <f t="shared" si="49"/>
        <v>Southbound</v>
      </c>
      <c r="U82" s="171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98" t="str">
        <f t="shared" si="50"/>
        <v>https://search-rtdc-monitor-bjffxe2xuh6vdkpspy63sjmuny.us-east-1.es.amazonaws.com/_plugin/kibana/#/discover/Steve-Slow-Train-Analysis-(2080s-and-2083s)?_g=(refreshInterval:(display:Off,section:0,value:0),time:(from:'2016-12-10 11:49:39-700',mode:absolute,to:'2016-12-10 14:35:22-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201053%20OR%202087)%20AND%20%22rtdc.l.rtdc.4019%22')),sort:!(Time,asc))</v>
      </c>
      <c r="W82" s="52" t="str">
        <f t="shared" si="51"/>
        <v>N</v>
      </c>
      <c r="X82" s="177">
        <f t="shared" si="52"/>
        <v>1</v>
      </c>
      <c r="Y82" s="67">
        <f t="shared" si="46"/>
        <v>23.2986</v>
      </c>
      <c r="Z82" s="67">
        <f t="shared" si="44"/>
        <v>1.52E-2</v>
      </c>
      <c r="AA82" s="67">
        <f t="shared" si="53"/>
        <v>23.2834</v>
      </c>
      <c r="AB82" s="64" t="e">
        <f>VLOOKUP(A82,Enforcements!$C$7:$K$20,8,0)</f>
        <v>#N/A</v>
      </c>
      <c r="AC82" s="60" t="e">
        <f>VLOOKUP(A82,Enforcements!$C$7:$E$20,3,0)</f>
        <v>#N/A</v>
      </c>
      <c r="AD82" s="61" t="str">
        <f t="shared" si="54"/>
        <v>0168-10</v>
      </c>
      <c r="AE82" s="91" t="str">
        <f t="shared" si="55"/>
        <v>aws s3 cp s3://rtdc.mdm.uploadarchive.raw/RTDC4019/ "%USERPROFILE%\AppData\Local\Temp\OnboardLogs"\RTDC4019\2016-12-10 --exclude "*" --recursive --include "*20161210*" &amp; "%USERPROFILE%\Documents\GitHub\mrs-test-scripts\Headless Mode &amp; Sideloading\WalkAndUnGZ.bat" "%USERPROFILE%\AppData\Local\Temp\OnboardLogs"\RTDC4019\2016-12-10 &amp; aws s3 cp s3://rtdc.mdm.uploadarchive.raw/RTDC4019/ "%USERPROFILE%\AppData\Local\Temp\OnboardLogs"\RTDC4019\2016-12-11 --exclude "*" --recursive --include "*20161211*" &amp; "%USERPROFILE%\Documents\GitHub\mrs-test-scripts\Headless Mode &amp; Sideloading\WalkAndUnGZ.bat" "%USERPROFILE%\AppData\Local\Temp\OnboardLogs"\RTDC4019\2016-12-11</v>
      </c>
      <c r="AF82" s="88" t="str">
        <f t="shared" si="56"/>
        <v>"C:\Program Files (x86)\AstroGrep\AstroGrep.exe" /spath="%USERPROFILE%\AppData\Local\Temp\OnboardLogs" /stypes="app*4019*20161210*" /stext=" 20:.+((SYSTEM_STATE.+slice.+state.+changed )|(ment ac)|(multiple cpu faults)|(system.+state.+changed )|(\[timeout)|(PRM\|1\|D)|(kpr)|(kdp)|(\|lc)|(penalty))" /e /r /s</v>
      </c>
      <c r="AG82" s="1" t="str">
        <f t="shared" si="57"/>
        <v>EC</v>
      </c>
      <c r="AH82" s="92" t="str">
        <f t="shared" si="58"/>
        <v>"%USERPROFILE%\Documents\GitHub\eaglep3\Utilities\RefineRTDCRunTimes.py" --tripid 168-10 --locoid 4019 --swversion DE.1.0.8.0 --startMP 204:232986 --initTime 2016-12-10T12:49:39 --startdatetime 2016-12-10T12:56:23 --delay 2 --endMP 204:152 --enddatetime 2016-12-10T13:35:22 --enforcementcount 1 &gt;&gt;C:\Users\stu\Documents\GitHub\eaglep3-reporting\EC\2016-12-10-refined-times.txt</v>
      </c>
      <c r="AI82" s="119" t="str">
        <f t="shared" si="59"/>
        <v>echo {"issue":{"subject":"","project_id":79,"tracker_id":40,"status_id":1,"priority_id":2,"assigned_to_id":23,"start_date":"2016-12-10","description":"","custom_fields":[{"id":1,"name":"Subdivision","value":"EC"},{"id":4,"name":"Milepost","value":"0.0152"},{"id":17,"name":"Train ID","value":"168-10"},{"id":16,"name":"Locomotive ID","value":"4019"},{"id":130,"name":"Impact","value":""},{"id":150,"name":"Time of Event (Mountain Time)","value":"13:35:22"},{"id":151,"name":"Denver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2" s="53"/>
      <c r="AK82" s="53"/>
      <c r="AL82" s="53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1" customFormat="1" x14ac:dyDescent="0.25">
      <c r="A83" s="37" t="s">
        <v>422</v>
      </c>
      <c r="B83" s="7">
        <v>4003</v>
      </c>
      <c r="C83" s="22" t="s">
        <v>207</v>
      </c>
      <c r="D83" s="22" t="s">
        <v>276</v>
      </c>
      <c r="E83" s="13">
        <v>42714.508298611108</v>
      </c>
      <c r="F83" s="13">
        <v>42714.510613425926</v>
      </c>
      <c r="G83" s="7">
        <v>1</v>
      </c>
      <c r="H83" s="22" t="s">
        <v>390</v>
      </c>
      <c r="I83" s="13">
        <v>42714.537083333336</v>
      </c>
      <c r="J83" s="7">
        <v>1</v>
      </c>
      <c r="K83" s="109" t="str">
        <f t="shared" si="47"/>
        <v>4003/4004</v>
      </c>
      <c r="L83" s="22" t="str">
        <f>VLOOKUP(A83,'Trips&amp;Operators'!$C$1:$G$99999,5,FALSE)</f>
        <v>HILLS DUSTIN</v>
      </c>
      <c r="M83" s="6">
        <f t="shared" si="48"/>
        <v>2.6469907410501037E-2</v>
      </c>
      <c r="N83" s="7">
        <f t="shared" si="43"/>
        <v>38.116666671121493</v>
      </c>
      <c r="O83" s="7"/>
      <c r="P83" s="7"/>
      <c r="Q83" s="23"/>
      <c r="R83" s="23"/>
      <c r="S83" s="35">
        <f t="shared" si="45"/>
        <v>1</v>
      </c>
      <c r="T83" s="50" t="str">
        <f t="shared" si="49"/>
        <v>NorthBound</v>
      </c>
      <c r="U83" s="171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98" t="str">
        <f t="shared" si="50"/>
        <v>https://search-rtdc-monitor-bjffxe2xuh6vdkpspy63sjmuny.us-east-1.es.amazonaws.com/_plugin/kibana/#/discover/Steve-Slow-Train-Analysis-(2080s-and-2083s)?_g=(refreshInterval:(display:Off,section:0,value:0),time:(from:'2016-12-10 11:11:57-700',mode:absolute,to:'2016-12-10 13:53:24-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201053%20OR%202087)%20AND%20%22rtdc.l.rtdc.4003%22')),sort:!(Time,asc))</v>
      </c>
      <c r="W83" s="52" t="str">
        <f t="shared" si="51"/>
        <v>N</v>
      </c>
      <c r="X83" s="177">
        <f t="shared" si="52"/>
        <v>1</v>
      </c>
      <c r="Y83" s="67">
        <f t="shared" si="46"/>
        <v>4.4600000000000001E-2</v>
      </c>
      <c r="Z83" s="67">
        <f t="shared" si="44"/>
        <v>23.3323</v>
      </c>
      <c r="AA83" s="67">
        <f t="shared" si="53"/>
        <v>23.287700000000001</v>
      </c>
      <c r="AB83" s="64" t="e">
        <f>VLOOKUP(A83,Enforcements!$C$7:$K$20,8,0)</f>
        <v>#N/A</v>
      </c>
      <c r="AC83" s="60" t="e">
        <f>VLOOKUP(A83,Enforcements!$C$7:$E$20,3,0)</f>
        <v>#N/A</v>
      </c>
      <c r="AD83" s="61" t="str">
        <f t="shared" si="54"/>
        <v>0169-10</v>
      </c>
      <c r="AE83" s="91" t="str">
        <f t="shared" si="55"/>
        <v>aws s3 cp s3://rtdc.mdm.uploadarchive.raw/RTDC4003/ "%USERPROFILE%\AppData\Local\Temp\OnboardLogs"\RTDC4003\2016-12-10 --exclude "*" --recursive --include "*20161210*" &amp; "%USERPROFILE%\Documents\GitHub\mrs-test-scripts\Headless Mode &amp; Sideloading\WalkAndUnGZ.bat" "%USERPROFILE%\AppData\Local\Temp\OnboardLogs"\RTDC4003\2016-12-10 &amp; aws s3 cp s3://rtdc.mdm.uploadarchive.raw/RTDC4003/ "%USERPROFILE%\AppData\Local\Temp\OnboardLogs"\RTDC4003\2016-12-11 --exclude "*" --recursive --include "*20161211*" &amp; "%USERPROFILE%\Documents\GitHub\mrs-test-scripts\Headless Mode &amp; Sideloading\WalkAndUnGZ.bat" "%USERPROFILE%\AppData\Local\Temp\OnboardLogs"\RTDC4003\2016-12-11</v>
      </c>
      <c r="AF83" s="88" t="str">
        <f t="shared" si="56"/>
        <v>"C:\Program Files (x86)\AstroGrep\AstroGrep.exe" /spath="%USERPROFILE%\AppData\Local\Temp\OnboardLogs" /stypes="app*4003*20161210*" /stext=" 19:.+((SYSTEM_STATE.+slice.+state.+changed )|(ment ac)|(multiple cpu faults)|(system.+state.+changed )|(\[timeout)|(PRM\|1\|D)|(kpr)|(kdp)|(\|lc)|(penalty))" /e /r /s</v>
      </c>
      <c r="AG83" s="1" t="str">
        <f t="shared" si="57"/>
        <v>EC</v>
      </c>
      <c r="AH83" s="92" t="str">
        <f t="shared" si="58"/>
        <v>"%USERPROFILE%\Documents\GitHub\eaglep3\Utilities\RefineRTDCRunTimes.py" --tripid 169-10 --locoid 4003 --swversion DE.1.0.8.0 --startMP 204:446 --initTime 2016-12-10T12:11:57 --startdatetime 2016-12-10T12:15:17 --delay 1 --endMP 204:233323 --enddatetime 2016-12-10T12:53:24 --enforcementcount 1 &gt;&gt;C:\Users\stu\Documents\GitHub\eaglep3-reporting\EC\2016-12-10-refined-times.txt</v>
      </c>
      <c r="AI83" s="119" t="str">
        <f t="shared" si="59"/>
        <v>echo {"issue":{"subject":"","project_id":79,"tracker_id":40,"status_id":1,"priority_id":2,"assigned_to_id":23,"start_date":"2016-12-10","description":"","custom_fields":[{"id":1,"name":"Subdivision","value":"EC"},{"id":4,"name":"Milepost","value":"23.3323"},{"id":17,"name":"Train ID","value":"169-10"},{"id":16,"name":"Locomotive ID","value":"4003"},{"id":130,"name":"Impact","value":""},{"id":150,"name":"Time of Event (Mountain Time)","value":"12:53:24"},{"id":151,"name":"Denver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3" s="53"/>
      <c r="AK83" s="53"/>
      <c r="AL83" s="5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1" customFormat="1" x14ac:dyDescent="0.25">
      <c r="A84" s="37" t="s">
        <v>543</v>
      </c>
      <c r="B84" s="7">
        <v>4004</v>
      </c>
      <c r="C84" s="22" t="s">
        <v>207</v>
      </c>
      <c r="D84" s="22" t="s">
        <v>688</v>
      </c>
      <c r="E84" s="13">
        <v>42714.540138888886</v>
      </c>
      <c r="F84" s="13">
        <v>42714.549490740741</v>
      </c>
      <c r="G84" s="7">
        <v>1</v>
      </c>
      <c r="H84" s="22" t="s">
        <v>689</v>
      </c>
      <c r="I84" s="13">
        <v>42714.576388888891</v>
      </c>
      <c r="J84" s="7">
        <v>1</v>
      </c>
      <c r="K84" s="109" t="str">
        <f t="shared" si="47"/>
        <v>4003/4004</v>
      </c>
      <c r="L84" s="22" t="str">
        <f>VLOOKUP(A84,'Trips&amp;Operators'!$C$1:$G$99999,5,FALSE)</f>
        <v>HILLS DUSTIN</v>
      </c>
      <c r="M84" s="6">
        <f t="shared" si="48"/>
        <v>2.6898148149484769E-2</v>
      </c>
      <c r="N84" s="7">
        <f t="shared" si="43"/>
        <v>38.733333335258067</v>
      </c>
      <c r="O84" s="7"/>
      <c r="P84" s="7"/>
      <c r="Q84" s="23"/>
      <c r="R84" s="23"/>
      <c r="S84" s="35">
        <f t="shared" si="45"/>
        <v>1</v>
      </c>
      <c r="T84" s="50" t="str">
        <f t="shared" si="49"/>
        <v>Southbound</v>
      </c>
      <c r="U84" s="171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98" t="str">
        <f t="shared" si="50"/>
        <v>https://search-rtdc-monitor-bjffxe2xuh6vdkpspy63sjmuny.us-east-1.es.amazonaws.com/_plugin/kibana/#/discover/Steve-Slow-Train-Analysis-(2080s-and-2083s)?_g=(refreshInterval:(display:Off,section:0,value:0),time:(from:'2016-12-10 11:57:48-700',mode:absolute,to:'2016-12-10 14:50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201053%20OR%202087)%20AND%20%22rtdc.l.rtdc.4004%22')),sort:!(Time,asc))</v>
      </c>
      <c r="W84" s="52" t="str">
        <f t="shared" si="51"/>
        <v>N</v>
      </c>
      <c r="X84" s="177">
        <f t="shared" si="52"/>
        <v>1</v>
      </c>
      <c r="Y84" s="67">
        <f t="shared" si="46"/>
        <v>23.302099999999999</v>
      </c>
      <c r="Z84" s="67">
        <f t="shared" si="44"/>
        <v>8.9999999999999993E-3</v>
      </c>
      <c r="AA84" s="67">
        <f t="shared" si="53"/>
        <v>23.293099999999999</v>
      </c>
      <c r="AB84" s="64" t="e">
        <f>VLOOKUP(A84,Enforcements!$C$7:$K$20,8,0)</f>
        <v>#N/A</v>
      </c>
      <c r="AC84" s="60" t="e">
        <f>VLOOKUP(A84,Enforcements!$C$7:$E$20,3,0)</f>
        <v>#N/A</v>
      </c>
      <c r="AD84" s="61" t="str">
        <f t="shared" si="54"/>
        <v>0170-10</v>
      </c>
      <c r="AE84" s="91" t="str">
        <f t="shared" si="55"/>
        <v>aws s3 cp s3://rtdc.mdm.uploadarchive.raw/RTDC4004/ "%USERPROFILE%\AppData\Local\Temp\OnboardLogs"\RTDC4004\2016-12-10 --exclude "*" --recursive --include "*20161210*" &amp; "%USERPROFILE%\Documents\GitHub\mrs-test-scripts\Headless Mode &amp; Sideloading\WalkAndUnGZ.bat" "%USERPROFILE%\AppData\Local\Temp\OnboardLogs"\RTDC4004\2016-12-10 &amp; aws s3 cp s3://rtdc.mdm.uploadarchive.raw/RTDC4004/ "%USERPROFILE%\AppData\Local\Temp\OnboardLogs"\RTDC4004\2016-12-11 --exclude "*" --recursive --include "*20161211*" &amp; "%USERPROFILE%\Documents\GitHub\mrs-test-scripts\Headless Mode &amp; Sideloading\WalkAndUnGZ.bat" "%USERPROFILE%\AppData\Local\Temp\OnboardLogs"\RTDC4004\2016-12-11</v>
      </c>
      <c r="AF84" s="88" t="str">
        <f t="shared" si="56"/>
        <v>"C:\Program Files (x86)\AstroGrep\AstroGrep.exe" /spath="%USERPROFILE%\AppData\Local\Temp\OnboardLogs" /stypes="app*4004*20161210*" /stext=" 20:.+((SYSTEM_STATE.+slice.+state.+changed )|(ment ac)|(multiple cpu faults)|(system.+state.+changed )|(\[timeout)|(PRM\|1\|D)|(kpr)|(kdp)|(\|lc)|(penalty))" /e /r /s</v>
      </c>
      <c r="AG84" s="1" t="str">
        <f t="shared" si="57"/>
        <v>EC</v>
      </c>
      <c r="AH84" s="92" t="str">
        <f t="shared" si="58"/>
        <v>"%USERPROFILE%\Documents\GitHub\eaglep3\Utilities\RefineRTDCRunTimes.py" --tripid 170-10 --locoid 4004 --swversion DE.1.0.8.0 --startMP 204:233021 --initTime 2016-12-10T12:57:48 --startdatetime 2016-12-10T13:11:16 --delay 1 --endMP 204:90 --enddatetime 2016-12-10T13:50:00 --enforcementcount 1 &gt;&gt;C:\Users\stu\Documents\GitHub\eaglep3-reporting\EC\2016-12-10-refined-times.txt</v>
      </c>
      <c r="AI84" s="119" t="str">
        <f t="shared" si="59"/>
        <v>echo {"issue":{"subject":"","project_id":79,"tracker_id":40,"status_id":1,"priority_id":2,"assigned_to_id":23,"start_date":"2016-12-10","description":"","custom_fields":[{"id":1,"name":"Subdivision","value":"EC"},{"id":4,"name":"Milepost","value":"0.009"},{"id":17,"name":"Train ID","value":"170-10"},{"id":16,"name":"Locomotive ID","value":"4004"},{"id":130,"name":"Impact","value":""},{"id":150,"name":"Time of Event (Mountain Time)","value":"13:50:00"},{"id":151,"name":"Denver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4" s="53"/>
      <c r="AK84" s="53"/>
      <c r="AL84" s="53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s="1" customFormat="1" x14ac:dyDescent="0.25">
      <c r="A85" s="37" t="s">
        <v>538</v>
      </c>
      <c r="B85" s="7">
        <v>4014</v>
      </c>
      <c r="C85" s="22" t="s">
        <v>207</v>
      </c>
      <c r="D85" s="22" t="s">
        <v>195</v>
      </c>
      <c r="E85" s="13">
        <v>42714.515914351854</v>
      </c>
      <c r="F85" s="13">
        <v>42714.52138888889</v>
      </c>
      <c r="G85" s="7">
        <v>1</v>
      </c>
      <c r="H85" s="22" t="s">
        <v>392</v>
      </c>
      <c r="I85" s="13">
        <v>42714.546354166669</v>
      </c>
      <c r="J85" s="7">
        <v>1</v>
      </c>
      <c r="K85" s="109" t="str">
        <f t="shared" si="47"/>
        <v>4013/4014</v>
      </c>
      <c r="L85" s="22" t="str">
        <f>VLOOKUP(A85,'Trips&amp;Operators'!$C$1:$G$99999,5,FALSE)</f>
        <v>STORY SAMANTHA</v>
      </c>
      <c r="M85" s="6">
        <f t="shared" si="48"/>
        <v>2.4965277778392192E-2</v>
      </c>
      <c r="N85" s="7">
        <f t="shared" si="43"/>
        <v>35.950000000884756</v>
      </c>
      <c r="O85" s="7"/>
      <c r="P85" s="7"/>
      <c r="Q85" s="23"/>
      <c r="R85" s="23"/>
      <c r="S85" s="35">
        <f t="shared" si="45"/>
        <v>1</v>
      </c>
      <c r="T85" s="50" t="str">
        <f t="shared" si="49"/>
        <v>NorthBound</v>
      </c>
      <c r="U85" s="171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98" t="str">
        <f t="shared" si="50"/>
        <v>https://search-rtdc-monitor-bjffxe2xuh6vdkpspy63sjmuny.us-east-1.es.amazonaws.com/_plugin/kibana/#/discover/Steve-Slow-Train-Analysis-(2080s-and-2083s)?_g=(refreshInterval:(display:Off,section:0,value:0),time:(from:'2016-12-10 11:22:55-700',mode:absolute,to:'2016-12-10 14:06:45-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201053%20OR%202087)%20AND%20%22rtdc.l.rtdc.4014%22')),sort:!(Time,asc))</v>
      </c>
      <c r="W85" s="52" t="str">
        <f t="shared" si="51"/>
        <v>N</v>
      </c>
      <c r="X85" s="177">
        <f t="shared" si="52"/>
        <v>1</v>
      </c>
      <c r="Y85" s="67">
        <f t="shared" si="46"/>
        <v>4.5100000000000001E-2</v>
      </c>
      <c r="Z85" s="67">
        <f t="shared" si="44"/>
        <v>23.335899999999999</v>
      </c>
      <c r="AA85" s="67">
        <f t="shared" si="53"/>
        <v>23.290799999999997</v>
      </c>
      <c r="AB85" s="64" t="e">
        <f>VLOOKUP(A85,Enforcements!$C$7:$K$20,8,0)</f>
        <v>#N/A</v>
      </c>
      <c r="AC85" s="60" t="e">
        <f>VLOOKUP(A85,Enforcements!$C$7:$E$20,3,0)</f>
        <v>#N/A</v>
      </c>
      <c r="AD85" s="61" t="str">
        <f t="shared" si="54"/>
        <v>0171-10</v>
      </c>
      <c r="AE85" s="91" t="str">
        <f t="shared" si="55"/>
        <v>aws s3 cp s3://rtdc.mdm.uploadarchive.raw/RTDC4014/ "%USERPROFILE%\AppData\Local\Temp\OnboardLogs"\RTDC4014\2016-12-10 --exclude "*" --recursive --include "*20161210*" &amp; "%USERPROFILE%\Documents\GitHub\mrs-test-scripts\Headless Mode &amp; Sideloading\WalkAndUnGZ.bat" "%USERPROFILE%\AppData\Local\Temp\OnboardLogs"\RTDC4014\2016-12-10 &amp; aws s3 cp s3://rtdc.mdm.uploadarchive.raw/RTDC4014/ "%USERPROFILE%\AppData\Local\Temp\OnboardLogs"\RTDC4014\2016-12-11 --exclude "*" --recursive --include "*20161211*" &amp; "%USERPROFILE%\Documents\GitHub\mrs-test-scripts\Headless Mode &amp; Sideloading\WalkAndUnGZ.bat" "%USERPROFILE%\AppData\Local\Temp\OnboardLogs"\RTDC4014\2016-12-11</v>
      </c>
      <c r="AF85" s="88" t="str">
        <f t="shared" si="56"/>
        <v>"C:\Program Files (x86)\AstroGrep\AstroGrep.exe" /spath="%USERPROFILE%\AppData\Local\Temp\OnboardLogs" /stypes="app*4014*20161210*" /stext=" 20:.+((SYSTEM_STATE.+slice.+state.+changed )|(ment ac)|(multiple cpu faults)|(system.+state.+changed )|(\[timeout)|(PRM\|1\|D)|(kpr)|(kdp)|(\|lc)|(penalty))" /e /r /s</v>
      </c>
      <c r="AG85" s="1" t="str">
        <f t="shared" si="57"/>
        <v>EC</v>
      </c>
      <c r="AH85" s="92" t="str">
        <f t="shared" si="58"/>
        <v>"%USERPROFILE%\Documents\GitHub\eaglep3\Utilities\RefineRTDCRunTimes.py" --tripid 171-10 --locoid 4014 --swversion DE.1.0.8.0 --startMP 204:451 --initTime 2016-12-10T12:22:55 --startdatetime 2016-12-10T12:30:48 --delay 1 --endMP 204:233359 --enddatetime 2016-12-10T13:06:45 --enforcementcount 1 &gt;&gt;C:\Users\stu\Documents\GitHub\eaglep3-reporting\EC\2016-12-10-refined-times.txt</v>
      </c>
      <c r="AI85" s="119" t="str">
        <f t="shared" si="59"/>
        <v>echo {"issue":{"subject":"","project_id":79,"tracker_id":40,"status_id":1,"priority_id":2,"assigned_to_id":23,"start_date":"2016-12-10","description":"","custom_fields":[{"id":1,"name":"Subdivision","value":"EC"},{"id":4,"name":"Milepost","value":"23.3359"},{"id":17,"name":"Train ID","value":"171-10"},{"id":16,"name":"Locomotive ID","value":"4014"},{"id":130,"name":"Impact","value":""},{"id":150,"name":"Time of Event (Mountain Time)","value":"13:06:45"},{"id":151,"name":"Denver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5" s="53"/>
      <c r="AK85" s="53"/>
      <c r="AL85" s="53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</row>
    <row r="86" spans="1:91" s="1" customFormat="1" x14ac:dyDescent="0.25">
      <c r="A86" s="37" t="s">
        <v>545</v>
      </c>
      <c r="B86" s="7">
        <v>4013</v>
      </c>
      <c r="C86" s="22" t="s">
        <v>207</v>
      </c>
      <c r="D86" s="22" t="s">
        <v>690</v>
      </c>
      <c r="E86" s="13">
        <v>42714.551701388889</v>
      </c>
      <c r="F86" s="13">
        <v>42714.559942129628</v>
      </c>
      <c r="G86" s="7">
        <v>1</v>
      </c>
      <c r="H86" s="22" t="s">
        <v>691</v>
      </c>
      <c r="I86" s="13">
        <v>42714.588877314818</v>
      </c>
      <c r="J86" s="7">
        <v>1</v>
      </c>
      <c r="K86" s="109" t="str">
        <f t="shared" si="47"/>
        <v>4013/4014</v>
      </c>
      <c r="L86" s="22" t="str">
        <f>VLOOKUP(A86,'Trips&amp;Operators'!$C$1:$G$99999,5,FALSE)</f>
        <v>STORY SAMANTHA</v>
      </c>
      <c r="M86" s="6">
        <f t="shared" si="48"/>
        <v>2.8935185189766344E-2</v>
      </c>
      <c r="N86" s="7">
        <f t="shared" si="43"/>
        <v>41.666666673263535</v>
      </c>
      <c r="O86" s="7"/>
      <c r="P86" s="7"/>
      <c r="Q86" s="23"/>
      <c r="R86" s="23"/>
      <c r="S86" s="35">
        <f t="shared" si="45"/>
        <v>1</v>
      </c>
      <c r="T86" s="50" t="str">
        <f t="shared" si="49"/>
        <v>Southbound</v>
      </c>
      <c r="U86" s="171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98" t="str">
        <f t="shared" si="50"/>
        <v>https://search-rtdc-monitor-bjffxe2xuh6vdkpspy63sjmuny.us-east-1.es.amazonaws.com/_plugin/kibana/#/discover/Steve-Slow-Train-Analysis-(2080s-and-2083s)?_g=(refreshInterval:(display:Off,section:0,value:0),time:(from:'2016-12-10 12:14:27-700',mode:absolute,to:'2016-12-10 15:07:59-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201053%20OR%202087)%20AND%20%22rtdc.l.rtdc.4013%22')),sort:!(Time,asc))</v>
      </c>
      <c r="W86" s="52" t="str">
        <f t="shared" si="51"/>
        <v>N</v>
      </c>
      <c r="X86" s="177">
        <f t="shared" si="52"/>
        <v>1</v>
      </c>
      <c r="Y86" s="67">
        <f t="shared" si="46"/>
        <v>23.3048</v>
      </c>
      <c r="Z86" s="67">
        <f t="shared" si="44"/>
        <v>1.6899999999999998E-2</v>
      </c>
      <c r="AA86" s="67">
        <f t="shared" si="53"/>
        <v>23.2879</v>
      </c>
      <c r="AB86" s="64" t="e">
        <f>VLOOKUP(A86,Enforcements!$C$7:$K$20,8,0)</f>
        <v>#N/A</v>
      </c>
      <c r="AC86" s="60" t="e">
        <f>VLOOKUP(A86,Enforcements!$C$7:$E$20,3,0)</f>
        <v>#N/A</v>
      </c>
      <c r="AD86" s="61" t="str">
        <f t="shared" si="54"/>
        <v>0172-10</v>
      </c>
      <c r="AE86" s="91" t="str">
        <f t="shared" si="55"/>
        <v>aws s3 cp s3://rtdc.mdm.uploadarchive.raw/RTDC4013/ "%USERPROFILE%\AppData\Local\Temp\OnboardLogs"\RTDC4013\2016-12-10 --exclude "*" --recursive --include "*20161210*" &amp; "%USERPROFILE%\Documents\GitHub\mrs-test-scripts\Headless Mode &amp; Sideloading\WalkAndUnGZ.bat" "%USERPROFILE%\AppData\Local\Temp\OnboardLogs"\RTDC4013\2016-12-10 &amp; aws s3 cp s3://rtdc.mdm.uploadarchive.raw/RTDC4013/ "%USERPROFILE%\AppData\Local\Temp\OnboardLogs"\RTDC4013\2016-12-11 --exclude "*" --recursive --include "*20161211*" &amp; "%USERPROFILE%\Documents\GitHub\mrs-test-scripts\Headless Mode &amp; Sideloading\WalkAndUnGZ.bat" "%USERPROFILE%\AppData\Local\Temp\OnboardLogs"\RTDC4013\2016-12-11</v>
      </c>
      <c r="AF86" s="88" t="str">
        <f t="shared" si="56"/>
        <v>"C:\Program Files (x86)\AstroGrep\AstroGrep.exe" /spath="%USERPROFILE%\AppData\Local\Temp\OnboardLogs" /stypes="app*4013*20161210*" /stext=" 21:.+((SYSTEM_STATE.+slice.+state.+changed )|(ment ac)|(multiple cpu faults)|(system.+state.+changed )|(\[timeout)|(PRM\|1\|D)|(kpr)|(kdp)|(\|lc)|(penalty))" /e /r /s</v>
      </c>
      <c r="AG86" s="1" t="str">
        <f t="shared" si="57"/>
        <v>EC</v>
      </c>
      <c r="AH86" s="92" t="str">
        <f t="shared" si="58"/>
        <v>"%USERPROFILE%\Documents\GitHub\eaglep3\Utilities\RefineRTDCRunTimes.py" --tripid 172-10 --locoid 4013 --swversion DE.1.0.8.0 --startMP 204:233048 --initTime 2016-12-10T13:14:27 --startdatetime 2016-12-10T13:26:19 --delay 1 --endMP 204:169 --enddatetime 2016-12-10T14:07:59 --enforcementcount 1 &gt;&gt;C:\Users\stu\Documents\GitHub\eaglep3-reporting\EC\2016-12-10-refined-times.txt</v>
      </c>
      <c r="AI86" s="119" t="str">
        <f t="shared" si="59"/>
        <v>echo {"issue":{"subject":"","project_id":79,"tracker_id":40,"status_id":1,"priority_id":2,"assigned_to_id":23,"start_date":"2016-12-10","description":"","custom_fields":[{"id":1,"name":"Subdivision","value":"EC"},{"id":4,"name":"Milepost","value":"0.0169"},{"id":17,"name":"Train ID","value":"172-10"},{"id":16,"name":"Locomotive ID","value":"4013"},{"id":130,"name":"Impact","value":""},{"id":150,"name":"Time of Event (Mountain Time)","value":"14:07:59"},{"id":151,"name":"Denver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6" s="53"/>
      <c r="AK86" s="53"/>
      <c r="AL86" s="53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s="1" customFormat="1" x14ac:dyDescent="0.25">
      <c r="A87" s="37" t="s">
        <v>540</v>
      </c>
      <c r="B87" s="7">
        <v>4009</v>
      </c>
      <c r="C87" s="22" t="s">
        <v>207</v>
      </c>
      <c r="D87" s="22" t="s">
        <v>195</v>
      </c>
      <c r="E87" s="13">
        <v>42714.526863425926</v>
      </c>
      <c r="F87" s="13">
        <v>42714.5315625</v>
      </c>
      <c r="G87" s="7">
        <v>1</v>
      </c>
      <c r="H87" s="22" t="s">
        <v>395</v>
      </c>
      <c r="I87" s="13">
        <v>42714.556793981479</v>
      </c>
      <c r="J87" s="7">
        <v>1</v>
      </c>
      <c r="K87" s="109" t="str">
        <f t="shared" si="47"/>
        <v>4009/4010</v>
      </c>
      <c r="L87" s="22" t="str">
        <f>VLOOKUP(A87,'Trips&amp;Operators'!$C$1:$G$99999,5,FALSE)</f>
        <v>STEWART MICHAEL</v>
      </c>
      <c r="M87" s="6">
        <f t="shared" si="48"/>
        <v>2.5231481478840578E-2</v>
      </c>
      <c r="N87" s="7">
        <f t="shared" si="43"/>
        <v>36.333333329530433</v>
      </c>
      <c r="O87" s="7"/>
      <c r="P87" s="7"/>
      <c r="Q87" s="23"/>
      <c r="R87" s="23"/>
      <c r="S87" s="35">
        <f t="shared" si="45"/>
        <v>1</v>
      </c>
      <c r="T87" s="50" t="str">
        <f t="shared" si="49"/>
        <v>NorthBound</v>
      </c>
      <c r="U87" s="171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98" t="str">
        <f t="shared" si="50"/>
        <v>https://search-rtdc-monitor-bjffxe2xuh6vdkpspy63sjmuny.us-east-1.es.amazonaws.com/_plugin/kibana/#/discover/Steve-Slow-Train-Analysis-(2080s-and-2083s)?_g=(refreshInterval:(display:Off,section:0,value:0),time:(from:'2016-12-10 11:38:41-700',mode:absolute,to:'2016-12-10 14:21:47-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201053%20OR%202087)%20AND%20%22rtdc.l.rtdc.4009%22')),sort:!(Time,asc))</v>
      </c>
      <c r="W87" s="52" t="str">
        <f t="shared" si="51"/>
        <v>N</v>
      </c>
      <c r="X87" s="177">
        <f t="shared" si="52"/>
        <v>1</v>
      </c>
      <c r="Y87" s="67">
        <f t="shared" si="46"/>
        <v>4.5100000000000001E-2</v>
      </c>
      <c r="Z87" s="67">
        <f t="shared" si="44"/>
        <v>23.3308</v>
      </c>
      <c r="AA87" s="67">
        <f t="shared" si="53"/>
        <v>23.285699999999999</v>
      </c>
      <c r="AB87" s="64" t="e">
        <f>VLOOKUP(A87,Enforcements!$C$7:$K$20,8,0)</f>
        <v>#N/A</v>
      </c>
      <c r="AC87" s="60" t="e">
        <f>VLOOKUP(A87,Enforcements!$C$7:$E$20,3,0)</f>
        <v>#N/A</v>
      </c>
      <c r="AD87" s="61" t="str">
        <f t="shared" si="54"/>
        <v>0173-10</v>
      </c>
      <c r="AE87" s="91" t="str">
        <f t="shared" si="55"/>
        <v>aws s3 cp s3://rtdc.mdm.uploadarchive.raw/RTDC4009/ "%USERPROFILE%\AppData\Local\Temp\OnboardLogs"\RTDC4009\2016-12-10 --exclude "*" --recursive --include "*20161210*" &amp; "%USERPROFILE%\Documents\GitHub\mrs-test-scripts\Headless Mode &amp; Sideloading\WalkAndUnGZ.bat" "%USERPROFILE%\AppData\Local\Temp\OnboardLogs"\RTDC4009\2016-12-10 &amp; aws s3 cp s3://rtdc.mdm.uploadarchive.raw/RTDC4009/ "%USERPROFILE%\AppData\Local\Temp\OnboardLogs"\RTDC4009\2016-12-11 --exclude "*" --recursive --include "*20161211*" &amp; "%USERPROFILE%\Documents\GitHub\mrs-test-scripts\Headless Mode &amp; Sideloading\WalkAndUnGZ.bat" "%USERPROFILE%\AppData\Local\Temp\OnboardLogs"\RTDC4009\2016-12-11</v>
      </c>
      <c r="AF87" s="88" t="str">
        <f t="shared" si="56"/>
        <v>"C:\Program Files (x86)\AstroGrep\AstroGrep.exe" /spath="%USERPROFILE%\AppData\Local\Temp\OnboardLogs" /stypes="app*4009*20161210*" /stext=" 20:.+((SYSTEM_STATE.+slice.+state.+changed )|(ment ac)|(multiple cpu faults)|(system.+state.+changed )|(\[timeout)|(PRM\|1\|D)|(kpr)|(kdp)|(\|lc)|(penalty))" /e /r /s</v>
      </c>
      <c r="AG87" s="1" t="str">
        <f t="shared" si="57"/>
        <v>EC</v>
      </c>
      <c r="AH87" s="92" t="str">
        <f t="shared" si="58"/>
        <v>"%USERPROFILE%\Documents\GitHub\eaglep3\Utilities\RefineRTDCRunTimes.py" --tripid 173-10 --locoid 4009 --swversion DE.1.0.8.0 --startMP 204:451 --initTime 2016-12-10T12:38:41 --startdatetime 2016-12-10T12:45:27 --delay 1 --endMP 204:233308 --enddatetime 2016-12-10T13:21:47 --enforcementcount 1 &gt;&gt;C:\Users\stu\Documents\GitHub\eaglep3-reporting\EC\2016-12-10-refined-times.txt</v>
      </c>
      <c r="AI87" s="119" t="str">
        <f t="shared" si="59"/>
        <v>echo {"issue":{"subject":"","project_id":79,"tracker_id":40,"status_id":1,"priority_id":2,"assigned_to_id":23,"start_date":"2016-12-10","description":"","custom_fields":[{"id":1,"name":"Subdivision","value":"EC"},{"id":4,"name":"Milepost","value":"23.3308"},{"id":17,"name":"Train ID","value":"173-10"},{"id":16,"name":"Locomotive ID","value":"4009"},{"id":130,"name":"Impact","value":""},{"id":150,"name":"Time of Event (Mountain Time)","value":"13:21:47"},{"id":151,"name":"Denver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7" s="53"/>
      <c r="AK87" s="53"/>
      <c r="AL87" s="53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s="1" customFormat="1" x14ac:dyDescent="0.25">
      <c r="A88" s="37" t="s">
        <v>549</v>
      </c>
      <c r="B88" s="7">
        <v>4010</v>
      </c>
      <c r="C88" s="22" t="s">
        <v>207</v>
      </c>
      <c r="D88" s="22" t="s">
        <v>678</v>
      </c>
      <c r="E88" s="13">
        <v>42714.567974537036</v>
      </c>
      <c r="F88" s="13">
        <v>42714.5703587963</v>
      </c>
      <c r="G88" s="7">
        <v>1</v>
      </c>
      <c r="H88" s="22" t="s">
        <v>205</v>
      </c>
      <c r="I88" s="13">
        <v>42714.597916666666</v>
      </c>
      <c r="J88" s="7">
        <v>1</v>
      </c>
      <c r="K88" s="109" t="str">
        <f t="shared" si="47"/>
        <v>4009/4010</v>
      </c>
      <c r="L88" s="22" t="str">
        <f>VLOOKUP(A88,'Trips&amp;Operators'!$C$1:$G$99999,5,FALSE)</f>
        <v>STEWART MICHAEL</v>
      </c>
      <c r="M88" s="6">
        <f t="shared" si="48"/>
        <v>2.7557870365853887E-2</v>
      </c>
      <c r="N88" s="7">
        <f t="shared" ref="N88:N108" si="60">24*60*SUM($M88:$M88)</f>
        <v>39.683333326829597</v>
      </c>
      <c r="O88" s="7"/>
      <c r="P88" s="7"/>
      <c r="Q88" s="23"/>
      <c r="R88" s="23"/>
      <c r="S88" s="35">
        <f t="shared" si="45"/>
        <v>1</v>
      </c>
      <c r="T88" s="50" t="str">
        <f t="shared" si="49"/>
        <v>Southbound</v>
      </c>
      <c r="U88" s="171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98" t="str">
        <f t="shared" si="50"/>
        <v>https://search-rtdc-monitor-bjffxe2xuh6vdkpspy63sjmuny.us-east-1.es.amazonaws.com/_plugin/kibana/#/discover/Steve-Slow-Train-Analysis-(2080s-and-2083s)?_g=(refreshInterval:(display:Off,section:0,value:0),time:(from:'2016-12-10 12:37:53-700',mode:absolute,to:'2016-12-10 15:21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201053%20OR%202087)%20AND%20%22rtdc.l.rtdc.4010%22')),sort:!(Time,asc))</v>
      </c>
      <c r="W88" s="52" t="str">
        <f t="shared" si="51"/>
        <v>N</v>
      </c>
      <c r="X88" s="177">
        <f t="shared" si="52"/>
        <v>1</v>
      </c>
      <c r="Y88" s="67">
        <f t="shared" si="46"/>
        <v>23.297699999999999</v>
      </c>
      <c r="Z88" s="67">
        <f t="shared" si="44"/>
        <v>1.5599999999999999E-2</v>
      </c>
      <c r="AA88" s="67">
        <f t="shared" si="53"/>
        <v>23.2821</v>
      </c>
      <c r="AB88" s="64" t="e">
        <f>VLOOKUP(A88,Enforcements!$C$7:$K$20,8,0)</f>
        <v>#N/A</v>
      </c>
      <c r="AC88" s="60" t="e">
        <f>VLOOKUP(A88,Enforcements!$C$7:$E$20,3,0)</f>
        <v>#N/A</v>
      </c>
      <c r="AD88" s="61" t="str">
        <f t="shared" si="54"/>
        <v>0174-10</v>
      </c>
      <c r="AE88" s="91" t="str">
        <f t="shared" si="55"/>
        <v>aws s3 cp s3://rtdc.mdm.uploadarchive.raw/RTDC4010/ "%USERPROFILE%\AppData\Local\Temp\OnboardLogs"\RTDC4010\2016-12-10 --exclude "*" --recursive --include "*20161210*" &amp; "%USERPROFILE%\Documents\GitHub\mrs-test-scripts\Headless Mode &amp; Sideloading\WalkAndUnGZ.bat" "%USERPROFILE%\AppData\Local\Temp\OnboardLogs"\RTDC4010\2016-12-10 &amp; aws s3 cp s3://rtdc.mdm.uploadarchive.raw/RTDC4010/ "%USERPROFILE%\AppData\Local\Temp\OnboardLogs"\RTDC4010\2016-12-11 --exclude "*" --recursive --include "*20161211*" &amp; "%USERPROFILE%\Documents\GitHub\mrs-test-scripts\Headless Mode &amp; Sideloading\WalkAndUnGZ.bat" "%USERPROFILE%\AppData\Local\Temp\OnboardLogs"\RTDC4010\2016-12-11</v>
      </c>
      <c r="AF88" s="88" t="str">
        <f t="shared" si="56"/>
        <v>"C:\Program Files (x86)\AstroGrep\AstroGrep.exe" /spath="%USERPROFILE%\AppData\Local\Temp\OnboardLogs" /stypes="app*4010*20161210*" /stext=" 21:.+((SYSTEM_STATE.+slice.+state.+changed )|(ment ac)|(multiple cpu faults)|(system.+state.+changed )|(\[timeout)|(PRM\|1\|D)|(kpr)|(kdp)|(\|lc)|(penalty))" /e /r /s</v>
      </c>
      <c r="AG88" s="1" t="str">
        <f t="shared" si="57"/>
        <v>EC</v>
      </c>
      <c r="AH88" s="92" t="str">
        <f t="shared" si="58"/>
        <v>"%USERPROFILE%\Documents\GitHub\eaglep3\Utilities\RefineRTDCRunTimes.py" --tripid 174-10 --locoid 4010 --swversion DE.1.0.8.0 --startMP 204:232977 --initTime 2016-12-10T13:37:53 --startdatetime 2016-12-10T13:41:19 --delay 1 --endMP 204:156 --enddatetime 2016-12-10T14:21:00 --enforcementcount 1 &gt;&gt;C:\Users\stu\Documents\GitHub\eaglep3-reporting\EC\2016-12-10-refined-times.txt</v>
      </c>
      <c r="AI88" s="119" t="str">
        <f t="shared" si="59"/>
        <v>echo {"issue":{"subject":"","project_id":79,"tracker_id":40,"status_id":1,"priority_id":2,"assigned_to_id":23,"start_date":"2016-12-10","description":"","custom_fields":[{"id":1,"name":"Subdivision","value":"EC"},{"id":4,"name":"Milepost","value":"0.0156"},{"id":17,"name":"Train ID","value":"174-10"},{"id":16,"name":"Locomotive ID","value":"4010"},{"id":130,"name":"Impact","value":""},{"id":150,"name":"Time of Event (Mountain Time)","value":"14:21:00"},{"id":151,"name":"Denver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8" s="53"/>
      <c r="AK88" s="53"/>
      <c r="AL88" s="53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s="1" customFormat="1" x14ac:dyDescent="0.25">
      <c r="A89" s="37" t="s">
        <v>542</v>
      </c>
      <c r="B89" s="7">
        <v>4016</v>
      </c>
      <c r="C89" s="22" t="s">
        <v>207</v>
      </c>
      <c r="D89" s="22" t="s">
        <v>667</v>
      </c>
      <c r="E89" s="13">
        <v>42714.537037037036</v>
      </c>
      <c r="F89" s="13">
        <v>42714.541851851849</v>
      </c>
      <c r="G89" s="7">
        <v>1</v>
      </c>
      <c r="H89" s="22" t="s">
        <v>692</v>
      </c>
      <c r="I89" s="13">
        <v>42714.566979166666</v>
      </c>
      <c r="J89" s="7">
        <v>1</v>
      </c>
      <c r="K89" s="109" t="str">
        <f t="shared" si="47"/>
        <v>4015/4016</v>
      </c>
      <c r="L89" s="22" t="str">
        <f>VLOOKUP(A89,'Trips&amp;Operators'!$C$1:$G$99999,5,FALSE)</f>
        <v>BARTLETT KIANDRA</v>
      </c>
      <c r="M89" s="6">
        <f t="shared" si="48"/>
        <v>2.5127314816927537E-2</v>
      </c>
      <c r="N89" s="7">
        <f t="shared" si="60"/>
        <v>36.183333336375654</v>
      </c>
      <c r="O89" s="7"/>
      <c r="P89" s="7"/>
      <c r="Q89" s="23"/>
      <c r="R89" s="23"/>
      <c r="S89" s="35">
        <f t="shared" si="45"/>
        <v>1</v>
      </c>
      <c r="T89" s="50" t="str">
        <f t="shared" si="49"/>
        <v>NorthBound</v>
      </c>
      <c r="U89" s="171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98" t="str">
        <f t="shared" si="50"/>
        <v>https://search-rtdc-monitor-bjffxe2xuh6vdkpspy63sjmuny.us-east-1.es.amazonaws.com/_plugin/kibana/#/discover/Steve-Slow-Train-Analysis-(2080s-and-2083s)?_g=(refreshInterval:(display:Off,section:0,value:0),time:(from:'2016-12-10 11:53:20-700',mode:absolute,to:'2016-12-10 14:36:27-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201053%20OR%202087)%20AND%20%22rtdc.l.rtdc.4016%22')),sort:!(Time,asc))</v>
      </c>
      <c r="W89" s="52" t="str">
        <f t="shared" si="51"/>
        <v>N</v>
      </c>
      <c r="X89" s="177">
        <f t="shared" si="52"/>
        <v>1</v>
      </c>
      <c r="Y89" s="67">
        <f t="shared" si="46"/>
        <v>4.7300000000000002E-2</v>
      </c>
      <c r="Z89" s="67">
        <f t="shared" si="44"/>
        <v>23.3264</v>
      </c>
      <c r="AA89" s="67">
        <f t="shared" si="53"/>
        <v>23.2791</v>
      </c>
      <c r="AB89" s="64" t="e">
        <f>VLOOKUP(A89,Enforcements!$C$7:$K$20,8,0)</f>
        <v>#N/A</v>
      </c>
      <c r="AC89" s="60" t="e">
        <f>VLOOKUP(A89,Enforcements!$C$7:$E$20,3,0)</f>
        <v>#N/A</v>
      </c>
      <c r="AD89" s="61" t="str">
        <f t="shared" si="54"/>
        <v>0175-10</v>
      </c>
      <c r="AE89" s="91" t="str">
        <f t="shared" si="55"/>
        <v>aws s3 cp s3://rtdc.mdm.uploadarchive.raw/RTDC4016/ "%USERPROFILE%\AppData\Local\Temp\OnboardLogs"\RTDC4016\2016-12-10 --exclude "*" --recursive --include "*20161210*" &amp; "%USERPROFILE%\Documents\GitHub\mrs-test-scripts\Headless Mode &amp; Sideloading\WalkAndUnGZ.bat" "%USERPROFILE%\AppData\Local\Temp\OnboardLogs"\RTDC4016\2016-12-10 &amp; aws s3 cp s3://rtdc.mdm.uploadarchive.raw/RTDC4016/ "%USERPROFILE%\AppData\Local\Temp\OnboardLogs"\RTDC4016\2016-12-11 --exclude "*" --recursive --include "*20161211*" &amp; "%USERPROFILE%\Documents\GitHub\mrs-test-scripts\Headless Mode &amp; Sideloading\WalkAndUnGZ.bat" "%USERPROFILE%\AppData\Local\Temp\OnboardLogs"\RTDC4016\2016-12-11</v>
      </c>
      <c r="AF89" s="88" t="str">
        <f t="shared" si="56"/>
        <v>"C:\Program Files (x86)\AstroGrep\AstroGrep.exe" /spath="%USERPROFILE%\AppData\Local\Temp\OnboardLogs" /stypes="app*4016*20161210*" /stext=" 20:.+((SYSTEM_STATE.+slice.+state.+changed )|(ment ac)|(multiple cpu faults)|(system.+state.+changed )|(\[timeout)|(PRM\|1\|D)|(kpr)|(kdp)|(\|lc)|(penalty))" /e /r /s</v>
      </c>
      <c r="AG89" s="1" t="str">
        <f t="shared" si="57"/>
        <v>EC</v>
      </c>
      <c r="AH89" s="92" t="str">
        <f t="shared" si="58"/>
        <v>"%USERPROFILE%\Documents\GitHub\eaglep3\Utilities\RefineRTDCRunTimes.py" --tripid 175-10 --locoid 4016 --swversion DE.1.0.8.0 --startMP 204:473 --initTime 2016-12-10T12:53:20 --startdatetime 2016-12-10T13:00:16 --delay 1 --endMP 204:233264 --enddatetime 2016-12-10T13:36:27 --enforcementcount 1 &gt;&gt;C:\Users\stu\Documents\GitHub\eaglep3-reporting\EC\2016-12-10-refined-times.txt</v>
      </c>
      <c r="AI89" s="119" t="str">
        <f t="shared" si="59"/>
        <v>echo {"issue":{"subject":"","project_id":79,"tracker_id":40,"status_id":1,"priority_id":2,"assigned_to_id":23,"start_date":"2016-12-10","description":"","custom_fields":[{"id":1,"name":"Subdivision","value":"EC"},{"id":4,"name":"Milepost","value":"23.3264"},{"id":17,"name":"Train ID","value":"175-10"},{"id":16,"name":"Locomotive ID","value":"4016"},{"id":130,"name":"Impact","value":""},{"id":150,"name":"Time of Event (Mountain Time)","value":"13:36:27"},{"id":151,"name":"Denver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9" s="53"/>
      <c r="AK89" s="53"/>
      <c r="AL89" s="53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s="1" customFormat="1" x14ac:dyDescent="0.25">
      <c r="A90" s="37" t="s">
        <v>551</v>
      </c>
      <c r="B90" s="7">
        <v>4015</v>
      </c>
      <c r="C90" s="22" t="s">
        <v>207</v>
      </c>
      <c r="D90" s="22" t="s">
        <v>693</v>
      </c>
      <c r="E90" s="13">
        <v>42714.576805555553</v>
      </c>
      <c r="F90" s="13">
        <v>42714.580821759257</v>
      </c>
      <c r="G90" s="7">
        <v>1</v>
      </c>
      <c r="H90" s="22" t="s">
        <v>691</v>
      </c>
      <c r="I90" s="13">
        <v>42714.60796296296</v>
      </c>
      <c r="J90" s="7">
        <v>1</v>
      </c>
      <c r="K90" s="109" t="str">
        <f t="shared" si="47"/>
        <v>4015/4016</v>
      </c>
      <c r="L90" s="22" t="str">
        <f>VLOOKUP(A90,'Trips&amp;Operators'!$C$1:$G$99999,5,FALSE)</f>
        <v>BARTLETT KIANDRA</v>
      </c>
      <c r="M90" s="6">
        <f t="shared" si="48"/>
        <v>2.7141203703649808E-2</v>
      </c>
      <c r="N90" s="7">
        <f t="shared" si="60"/>
        <v>39.083333333255723</v>
      </c>
      <c r="O90" s="7"/>
      <c r="P90" s="7"/>
      <c r="Q90" s="23"/>
      <c r="R90" s="23"/>
      <c r="S90" s="35">
        <f t="shared" si="45"/>
        <v>1</v>
      </c>
      <c r="T90" s="50" t="str">
        <f t="shared" si="49"/>
        <v>Southbound</v>
      </c>
      <c r="U90" s="171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98" t="str">
        <f t="shared" si="50"/>
        <v>https://search-rtdc-monitor-bjffxe2xuh6vdkpspy63sjmuny.us-east-1.es.amazonaws.com/_plugin/kibana/#/discover/Steve-Slow-Train-Analysis-(2080s-and-2083s)?_g=(refreshInterval:(display:Off,section:0,value:0),time:(from:'2016-12-10 12:50:36-700',mode:absolute,to:'2016-12-10 15:35:28-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201053%20OR%202087)%20AND%20%22rtdc.l.rtdc.4015%22')),sort:!(Time,asc))</v>
      </c>
      <c r="W90" s="52" t="str">
        <f t="shared" si="51"/>
        <v>N</v>
      </c>
      <c r="X90" s="177">
        <f t="shared" si="52"/>
        <v>1</v>
      </c>
      <c r="Y90" s="67">
        <f t="shared" si="46"/>
        <v>23.298200000000001</v>
      </c>
      <c r="Z90" s="67">
        <f t="shared" si="44"/>
        <v>1.6899999999999998E-2</v>
      </c>
      <c r="AA90" s="67">
        <f t="shared" si="53"/>
        <v>23.281300000000002</v>
      </c>
      <c r="AB90" s="64" t="e">
        <f>VLOOKUP(A90,Enforcements!$C$7:$K$20,8,0)</f>
        <v>#N/A</v>
      </c>
      <c r="AC90" s="60" t="e">
        <f>VLOOKUP(A90,Enforcements!$C$7:$E$20,3,0)</f>
        <v>#N/A</v>
      </c>
      <c r="AD90" s="61" t="str">
        <f t="shared" si="54"/>
        <v>0176-10</v>
      </c>
      <c r="AE90" s="91" t="str">
        <f t="shared" si="55"/>
        <v>aws s3 cp s3://rtdc.mdm.uploadarchive.raw/RTDC4015/ "%USERPROFILE%\AppData\Local\Temp\OnboardLogs"\RTDC4015\2016-12-10 --exclude "*" --recursive --include "*20161210*" &amp; "%USERPROFILE%\Documents\GitHub\mrs-test-scripts\Headless Mode &amp; Sideloading\WalkAndUnGZ.bat" "%USERPROFILE%\AppData\Local\Temp\OnboardLogs"\RTDC4015\2016-12-10 &amp; aws s3 cp s3://rtdc.mdm.uploadarchive.raw/RTDC4015/ "%USERPROFILE%\AppData\Local\Temp\OnboardLogs"\RTDC4015\2016-12-11 --exclude "*" --recursive --include "*20161211*" &amp; "%USERPROFILE%\Documents\GitHub\mrs-test-scripts\Headless Mode &amp; Sideloading\WalkAndUnGZ.bat" "%USERPROFILE%\AppData\Local\Temp\OnboardLogs"\RTDC4015\2016-12-11</v>
      </c>
      <c r="AF90" s="88" t="str">
        <f t="shared" si="56"/>
        <v>"C:\Program Files (x86)\AstroGrep\AstroGrep.exe" /spath="%USERPROFILE%\AppData\Local\Temp\OnboardLogs" /stypes="app*4015*20161210*" /stext=" 21:.+((SYSTEM_STATE.+slice.+state.+changed )|(ment ac)|(multiple cpu faults)|(system.+state.+changed )|(\[timeout)|(PRM\|1\|D)|(kpr)|(kdp)|(\|lc)|(penalty))" /e /r /s</v>
      </c>
      <c r="AG90" s="1" t="str">
        <f t="shared" si="57"/>
        <v>EC</v>
      </c>
      <c r="AH90" s="92" t="str">
        <f t="shared" si="58"/>
        <v>"%USERPROFILE%\Documents\GitHub\eaglep3\Utilities\RefineRTDCRunTimes.py" --tripid 176-10 --locoid 4015 --swversion DE.1.0.8.0 --startMP 204:232982 --initTime 2016-12-10T13:50:36 --startdatetime 2016-12-10T13:56:23 --delay 1 --endMP 204:169 --enddatetime 2016-12-10T14:35:28 --enforcementcount 1 &gt;&gt;C:\Users\stu\Documents\GitHub\eaglep3-reporting\EC\2016-12-10-refined-times.txt</v>
      </c>
      <c r="AI90" s="119" t="str">
        <f t="shared" si="59"/>
        <v>echo {"issue":{"subject":"","project_id":79,"tracker_id":40,"status_id":1,"priority_id":2,"assigned_to_id":23,"start_date":"2016-12-10","description":"","custom_fields":[{"id":1,"name":"Subdivision","value":"EC"},{"id":4,"name":"Milepost","value":"0.0169"},{"id":17,"name":"Train ID","value":"176-10"},{"id":16,"name":"Locomotive ID","value":"4015"},{"id":130,"name":"Impact","value":""},{"id":150,"name":"Time of Event (Mountain Time)","value":"14:35:28"},{"id":151,"name":"Denver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0" s="53"/>
      <c r="AK90" s="53"/>
      <c r="AL90" s="53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s="1" customFormat="1" x14ac:dyDescent="0.25">
      <c r="A91" s="37" t="s">
        <v>544</v>
      </c>
      <c r="B91" s="7">
        <v>4040</v>
      </c>
      <c r="C91" s="22" t="s">
        <v>207</v>
      </c>
      <c r="D91" s="22" t="s">
        <v>234</v>
      </c>
      <c r="E91" s="13">
        <v>42714.549328703702</v>
      </c>
      <c r="F91" s="13">
        <v>42714.552418981482</v>
      </c>
      <c r="G91" s="7">
        <v>1</v>
      </c>
      <c r="H91" s="22" t="s">
        <v>395</v>
      </c>
      <c r="I91" s="13">
        <v>42714.579143518517</v>
      </c>
      <c r="J91" s="7">
        <v>1</v>
      </c>
      <c r="K91" s="109" t="str">
        <f t="shared" si="47"/>
        <v>4039/4040</v>
      </c>
      <c r="L91" s="22" t="str">
        <f>VLOOKUP(A91,'Trips&amp;Operators'!$C$1:$G$99999,5,FALSE)</f>
        <v>MOSES BRADLEY</v>
      </c>
      <c r="M91" s="6">
        <f t="shared" si="48"/>
        <v>2.6724537034169771E-2</v>
      </c>
      <c r="N91" s="7">
        <f t="shared" si="60"/>
        <v>38.48333332920447</v>
      </c>
      <c r="O91" s="7"/>
      <c r="P91" s="7"/>
      <c r="Q91" s="23"/>
      <c r="R91" s="23"/>
      <c r="S91" s="35">
        <f t="shared" si="45"/>
        <v>1</v>
      </c>
      <c r="T91" s="50" t="str">
        <f t="shared" si="49"/>
        <v>NorthBound</v>
      </c>
      <c r="U91" s="171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98" t="str">
        <f t="shared" si="50"/>
        <v>https://search-rtdc-monitor-bjffxe2xuh6vdkpspy63sjmuny.us-east-1.es.amazonaws.com/_plugin/kibana/#/discover/Steve-Slow-Train-Analysis-(2080s-and-2083s)?_g=(refreshInterval:(display:Off,section:0,value:0),time:(from:'2016-12-10 12:11:02-700',mode:absolute,to:'2016-12-10 14:53:58-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201053%20OR%202087)%20AND%20%22rtdc.l.rtdc.4040%22')),sort:!(Time,asc))</v>
      </c>
      <c r="W91" s="52" t="str">
        <f t="shared" si="51"/>
        <v>N</v>
      </c>
      <c r="X91" s="177">
        <f t="shared" si="52"/>
        <v>1</v>
      </c>
      <c r="Y91" s="67">
        <f t="shared" si="46"/>
        <v>4.5499999999999999E-2</v>
      </c>
      <c r="Z91" s="67">
        <f t="shared" si="44"/>
        <v>23.3308</v>
      </c>
      <c r="AA91" s="67">
        <f t="shared" si="53"/>
        <v>23.285299999999999</v>
      </c>
      <c r="AB91" s="64" t="e">
        <f>VLOOKUP(A91,Enforcements!$C$7:$K$20,8,0)</f>
        <v>#N/A</v>
      </c>
      <c r="AC91" s="60" t="e">
        <f>VLOOKUP(A91,Enforcements!$C$7:$E$20,3,0)</f>
        <v>#N/A</v>
      </c>
      <c r="AD91" s="61" t="str">
        <f t="shared" si="54"/>
        <v>0177-10</v>
      </c>
      <c r="AE91" s="91" t="str">
        <f t="shared" si="55"/>
        <v>aws s3 cp s3://rtdc.mdm.uploadarchive.raw/RTDC4040/ "%USERPROFILE%\AppData\Local\Temp\OnboardLogs"\RTDC4040\2016-12-10 --exclude "*" --recursive --include "*20161210*" &amp; "%USERPROFILE%\Documents\GitHub\mrs-test-scripts\Headless Mode &amp; Sideloading\WalkAndUnGZ.bat" "%USERPROFILE%\AppData\Local\Temp\OnboardLogs"\RTDC4040\2016-12-10 &amp; aws s3 cp s3://rtdc.mdm.uploadarchive.raw/RTDC4040/ "%USERPROFILE%\AppData\Local\Temp\OnboardLogs"\RTDC4040\2016-12-11 --exclude "*" --recursive --include "*20161211*" &amp; "%USERPROFILE%\Documents\GitHub\mrs-test-scripts\Headless Mode &amp; Sideloading\WalkAndUnGZ.bat" "%USERPROFILE%\AppData\Local\Temp\OnboardLogs"\RTDC4040\2016-12-11</v>
      </c>
      <c r="AF91" s="88" t="str">
        <f t="shared" si="56"/>
        <v>"C:\Program Files (x86)\AstroGrep\AstroGrep.exe" /spath="%USERPROFILE%\AppData\Local\Temp\OnboardLogs" /stypes="app*4040*20161210*" /stext=" 20:.+((SYSTEM_STATE.+slice.+state.+changed )|(ment ac)|(multiple cpu faults)|(system.+state.+changed )|(\[timeout)|(PRM\|1\|D)|(kpr)|(kdp)|(\|lc)|(penalty))" /e /r /s</v>
      </c>
      <c r="AG91" s="1" t="str">
        <f t="shared" si="57"/>
        <v>EC</v>
      </c>
      <c r="AH91" s="92" t="str">
        <f t="shared" si="58"/>
        <v>"%USERPROFILE%\Documents\GitHub\eaglep3\Utilities\RefineRTDCRunTimes.py" --tripid 177-10 --locoid 4040 --swversion DE.1.0.8.0 --startMP 204:455 --initTime 2016-12-10T13:11:02 --startdatetime 2016-12-10T13:15:29 --delay 1 --endMP 204:233308 --enddatetime 2016-12-10T13:53:58 --enforcementcount 1 &gt;&gt;C:\Users\stu\Documents\GitHub\eaglep3-reporting\EC\2016-12-10-refined-times.txt</v>
      </c>
      <c r="AI91" s="119" t="str">
        <f t="shared" si="59"/>
        <v>echo {"issue":{"subject":"","project_id":79,"tracker_id":40,"status_id":1,"priority_id":2,"assigned_to_id":23,"start_date":"2016-12-10","description":"","custom_fields":[{"id":1,"name":"Subdivision","value":"EC"},{"id":4,"name":"Milepost","value":"23.3308"},{"id":17,"name":"Train ID","value":"177-10"},{"id":16,"name":"Locomotive ID","value":"4040"},{"id":130,"name":"Impact","value":""},{"id":150,"name":"Time of Event (Mountain Time)","value":"13:53:58"},{"id":151,"name":"Denver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1" s="53"/>
      <c r="AK91" s="53"/>
      <c r="AL91" s="53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s="1" customFormat="1" x14ac:dyDescent="0.25">
      <c r="A92" s="37" t="s">
        <v>556</v>
      </c>
      <c r="B92" s="7">
        <v>4039</v>
      </c>
      <c r="C92" s="22" t="s">
        <v>207</v>
      </c>
      <c r="D92" s="22" t="s">
        <v>666</v>
      </c>
      <c r="E92" s="13">
        <v>42714.587557870371</v>
      </c>
      <c r="F92" s="13">
        <v>42714.591226851851</v>
      </c>
      <c r="G92" s="7">
        <v>1</v>
      </c>
      <c r="H92" s="22" t="s">
        <v>685</v>
      </c>
      <c r="I92" s="13">
        <v>42714.620405092595</v>
      </c>
      <c r="J92" s="7">
        <v>1</v>
      </c>
      <c r="K92" s="109" t="str">
        <f t="shared" si="47"/>
        <v>4039/4040</v>
      </c>
      <c r="L92" s="22" t="str">
        <f>VLOOKUP(A92,'Trips&amp;Operators'!$C$1:$G$99999,5,FALSE)</f>
        <v>MOSES BRADLEY</v>
      </c>
      <c r="M92" s="6">
        <f t="shared" si="48"/>
        <v>2.9178240743931383E-2</v>
      </c>
      <c r="N92" s="7">
        <f t="shared" si="60"/>
        <v>42.016666671261191</v>
      </c>
      <c r="O92" s="7"/>
      <c r="P92" s="7"/>
      <c r="Q92" s="23"/>
      <c r="R92" s="23"/>
      <c r="S92" s="35">
        <f t="shared" si="45"/>
        <v>1</v>
      </c>
      <c r="T92" s="50" t="str">
        <f t="shared" si="49"/>
        <v>Southbound</v>
      </c>
      <c r="U92" s="171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98" t="str">
        <f t="shared" si="50"/>
        <v>https://search-rtdc-monitor-bjffxe2xuh6vdkpspy63sjmuny.us-east-1.es.amazonaws.com/_plugin/kibana/#/discover/Steve-Slow-Train-Analysis-(2080s-and-2083s)?_g=(refreshInterval:(display:Off,section:0,value:0),time:(from:'2016-12-10 13:06:05-700',mode:absolute,to:'2016-12-10 15:53:23-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201053%20OR%202087)%20AND%20%22rtdc.l.rtdc.4039%22')),sort:!(Time,asc))</v>
      </c>
      <c r="W92" s="52" t="str">
        <f t="shared" si="51"/>
        <v>N</v>
      </c>
      <c r="X92" s="177">
        <f t="shared" si="52"/>
        <v>1</v>
      </c>
      <c r="Y92" s="67">
        <f t="shared" si="46"/>
        <v>23.2989</v>
      </c>
      <c r="Z92" s="67">
        <f t="shared" si="44"/>
        <v>1.6E-2</v>
      </c>
      <c r="AA92" s="67">
        <f t="shared" si="53"/>
        <v>23.282900000000001</v>
      </c>
      <c r="AB92" s="64" t="e">
        <f>VLOOKUP(A92,Enforcements!$C$7:$K$20,8,0)</f>
        <v>#N/A</v>
      </c>
      <c r="AC92" s="60" t="e">
        <f>VLOOKUP(A92,Enforcements!$C$7:$E$20,3,0)</f>
        <v>#N/A</v>
      </c>
      <c r="AD92" s="61" t="str">
        <f t="shared" si="54"/>
        <v>0178-10</v>
      </c>
      <c r="AE92" s="91" t="str">
        <f t="shared" si="55"/>
        <v>aws s3 cp s3://rtdc.mdm.uploadarchive.raw/RTDC4039/ "%USERPROFILE%\AppData\Local\Temp\OnboardLogs"\RTDC4039\2016-12-10 --exclude "*" --recursive --include "*20161210*" &amp; "%USERPROFILE%\Documents\GitHub\mrs-test-scripts\Headless Mode &amp; Sideloading\WalkAndUnGZ.bat" "%USERPROFILE%\AppData\Local\Temp\OnboardLogs"\RTDC4039\2016-12-10 &amp; aws s3 cp s3://rtdc.mdm.uploadarchive.raw/RTDC4039/ "%USERPROFILE%\AppData\Local\Temp\OnboardLogs"\RTDC4039\2016-12-11 --exclude "*" --recursive --include "*20161211*" &amp; "%USERPROFILE%\Documents\GitHub\mrs-test-scripts\Headless Mode &amp; Sideloading\WalkAndUnGZ.bat" "%USERPROFILE%\AppData\Local\Temp\OnboardLogs"\RTDC4039\2016-12-11</v>
      </c>
      <c r="AF92" s="88" t="str">
        <f t="shared" si="56"/>
        <v>"C:\Program Files (x86)\AstroGrep\AstroGrep.exe" /spath="%USERPROFILE%\AppData\Local\Temp\OnboardLogs" /stypes="app*4039*20161210*" /stext=" 21:.+((SYSTEM_STATE.+slice.+state.+changed )|(ment ac)|(multiple cpu faults)|(system.+state.+changed )|(\[timeout)|(PRM\|1\|D)|(kpr)|(kdp)|(\|lc)|(penalty))" /e /r /s</v>
      </c>
      <c r="AG92" s="1" t="str">
        <f t="shared" si="57"/>
        <v>EC</v>
      </c>
      <c r="AH92" s="92" t="str">
        <f t="shared" si="58"/>
        <v>"%USERPROFILE%\Documents\GitHub\eaglep3\Utilities\RefineRTDCRunTimes.py" --tripid 178-10 --locoid 4039 --swversion DE.1.0.8.0 --startMP 204:232989 --initTime 2016-12-10T14:06:05 --startdatetime 2016-12-10T14:11:22 --delay 1 --endMP 204:160 --enddatetime 2016-12-10T14:53:23 --enforcementcount 1 &gt;&gt;C:\Users\stu\Documents\GitHub\eaglep3-reporting\EC\2016-12-10-refined-times.txt</v>
      </c>
      <c r="AI92" s="119" t="str">
        <f t="shared" si="59"/>
        <v>echo {"issue":{"subject":"","project_id":79,"tracker_id":40,"status_id":1,"priority_id":2,"assigned_to_id":23,"start_date":"2016-12-10","description":"","custom_fields":[{"id":1,"name":"Subdivision","value":"EC"},{"id":4,"name":"Milepost","value":"0.016"},{"id":17,"name":"Train ID","value":"178-10"},{"id":16,"name":"Locomotive ID","value":"4039"},{"id":130,"name":"Impact","value":""},{"id":150,"name":"Time of Event (Mountain Time)","value":"14:53:23"},{"id":151,"name":"Denver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2" s="53"/>
      <c r="AK92" s="53"/>
      <c r="AL92" s="53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</row>
    <row r="93" spans="1:91" s="21" customFormat="1" x14ac:dyDescent="0.25">
      <c r="A93" s="37" t="s">
        <v>547</v>
      </c>
      <c r="B93" s="7">
        <v>4025</v>
      </c>
      <c r="C93" s="22" t="s">
        <v>207</v>
      </c>
      <c r="D93" s="22" t="s">
        <v>236</v>
      </c>
      <c r="E93" s="13">
        <v>42714.55840277778</v>
      </c>
      <c r="F93" s="13">
        <v>42714.562685185185</v>
      </c>
      <c r="G93" s="7">
        <v>1</v>
      </c>
      <c r="H93" s="22" t="s">
        <v>694</v>
      </c>
      <c r="I93" s="13">
        <v>42714.588055555556</v>
      </c>
      <c r="J93" s="7">
        <v>1</v>
      </c>
      <c r="K93" s="109" t="str">
        <f t="shared" si="47"/>
        <v>4025/4026</v>
      </c>
      <c r="L93" s="22" t="str">
        <f>VLOOKUP(A93,'Trips&amp;Operators'!$C$1:$G$99999,5,FALSE)</f>
        <v>SHOOK JOHN</v>
      </c>
      <c r="M93" s="6">
        <f t="shared" si="48"/>
        <v>2.5370370371092577E-2</v>
      </c>
      <c r="N93" s="7">
        <f t="shared" si="60"/>
        <v>36.53333333437331</v>
      </c>
      <c r="O93" s="7"/>
      <c r="P93" s="7"/>
      <c r="Q93" s="23"/>
      <c r="R93" s="23"/>
      <c r="S93" s="35">
        <f t="shared" si="45"/>
        <v>1</v>
      </c>
      <c r="T93" s="50" t="str">
        <f t="shared" si="49"/>
        <v>NorthBound</v>
      </c>
      <c r="U93" s="171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98" t="str">
        <f t="shared" si="50"/>
        <v>https://search-rtdc-monitor-bjffxe2xuh6vdkpspy63sjmuny.us-east-1.es.amazonaws.com/_plugin/kibana/#/discover/Steve-Slow-Train-Analysis-(2080s-and-2083s)?_g=(refreshInterval:(display:Off,section:0,value:0),time:(from:'2016-12-10 12:24:06-700',mode:absolute,to:'2016-12-10 15:06:48-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201053%20OR%202087)%20AND%20%22rtdc.l.rtdc.4025%22')),sort:!(Time,asc))</v>
      </c>
      <c r="W93" s="52" t="str">
        <f t="shared" si="51"/>
        <v>N</v>
      </c>
      <c r="X93" s="177">
        <f t="shared" si="52"/>
        <v>1</v>
      </c>
      <c r="Y93" s="67">
        <f t="shared" si="46"/>
        <v>4.4200000000000003E-2</v>
      </c>
      <c r="Z93" s="67">
        <f t="shared" ref="Z93:Z124" si="61">RIGHT(H93,LEN(H93)-4)/10000</f>
        <v>23.334299999999999</v>
      </c>
      <c r="AA93" s="67">
        <f t="shared" si="53"/>
        <v>23.290099999999999</v>
      </c>
      <c r="AB93" s="64" t="e">
        <f>VLOOKUP(A93,Enforcements!$C$7:$K$20,8,0)</f>
        <v>#N/A</v>
      </c>
      <c r="AC93" s="60" t="e">
        <f>VLOOKUP(A93,Enforcements!$C$7:$E$20,3,0)</f>
        <v>#N/A</v>
      </c>
      <c r="AD93" s="61" t="str">
        <f t="shared" si="54"/>
        <v>0179-10</v>
      </c>
      <c r="AE93" s="91" t="str">
        <f t="shared" si="55"/>
        <v>aws s3 cp s3://rtdc.mdm.uploadarchive.raw/RTDC4025/ "%USERPROFILE%\AppData\Local\Temp\OnboardLogs"\RTDC4025\2016-12-10 --exclude "*" --recursive --include "*20161210*" &amp; "%USERPROFILE%\Documents\GitHub\mrs-test-scripts\Headless Mode &amp; Sideloading\WalkAndUnGZ.bat" "%USERPROFILE%\AppData\Local\Temp\OnboardLogs"\RTDC4025\2016-12-10 &amp; aws s3 cp s3://rtdc.mdm.uploadarchive.raw/RTDC4025/ "%USERPROFILE%\AppData\Local\Temp\OnboardLogs"\RTDC4025\2016-12-11 --exclude "*" --recursive --include "*20161211*" &amp; "%USERPROFILE%\Documents\GitHub\mrs-test-scripts\Headless Mode &amp; Sideloading\WalkAndUnGZ.bat" "%USERPROFILE%\AppData\Local\Temp\OnboardLogs"\RTDC4025\2016-12-11</v>
      </c>
      <c r="AF93" s="88" t="str">
        <f t="shared" si="56"/>
        <v>"C:\Program Files (x86)\AstroGrep\AstroGrep.exe" /spath="%USERPROFILE%\AppData\Local\Temp\OnboardLogs" /stypes="app*4025*20161210*" /stext=" 21:.+((SYSTEM_STATE.+slice.+state.+changed )|(ment ac)|(multiple cpu faults)|(system.+state.+changed )|(\[timeout)|(PRM\|1\|D)|(kpr)|(kdp)|(\|lc)|(penalty))" /e /r /s</v>
      </c>
      <c r="AG93" s="1" t="str">
        <f t="shared" si="57"/>
        <v>EC</v>
      </c>
      <c r="AH93" s="92" t="str">
        <f t="shared" si="58"/>
        <v>"%USERPROFILE%\Documents\GitHub\eaglep3\Utilities\RefineRTDCRunTimes.py" --tripid 179-10 --locoid 4025 --swversion DE.1.0.8.0 --startMP 204:442 --initTime 2016-12-10T13:24:06 --startdatetime 2016-12-10T13:30:16 --delay 1 --endMP 204:233343 --enddatetime 2016-12-10T14:06:48 --enforcementcount 1 &gt;&gt;C:\Users\stu\Documents\GitHub\eaglep3-reporting\EC\2016-12-10-refined-times.txt</v>
      </c>
      <c r="AI93" s="119" t="str">
        <f t="shared" si="59"/>
        <v>echo {"issue":{"subject":"","project_id":79,"tracker_id":40,"status_id":1,"priority_id":2,"assigned_to_id":23,"start_date":"2016-12-10","description":"","custom_fields":[{"id":1,"name":"Subdivision","value":"EC"},{"id":4,"name":"Milepost","value":"23.3343"},{"id":17,"name":"Train ID","value":"179-10"},{"id":16,"name":"Locomotive ID","value":"4025"},{"id":130,"name":"Impact","value":""},{"id":150,"name":"Time of Event (Mountain Time)","value":"14:06:48"},{"id":151,"name":"Denver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3" s="53"/>
      <c r="AK93" s="53"/>
      <c r="AL93" s="5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</row>
    <row r="94" spans="1:91" s="21" customFormat="1" x14ac:dyDescent="0.25">
      <c r="A94" s="37" t="s">
        <v>557</v>
      </c>
      <c r="B94" s="7">
        <v>4026</v>
      </c>
      <c r="C94" s="22" t="s">
        <v>207</v>
      </c>
      <c r="D94" s="22" t="s">
        <v>391</v>
      </c>
      <c r="E94" s="13">
        <v>42714.595312500001</v>
      </c>
      <c r="F94" s="13">
        <v>42714.601574074077</v>
      </c>
      <c r="G94" s="7">
        <v>1</v>
      </c>
      <c r="H94" s="22" t="s">
        <v>246</v>
      </c>
      <c r="I94" s="13">
        <v>42714.630706018521</v>
      </c>
      <c r="J94" s="7">
        <v>1</v>
      </c>
      <c r="K94" s="109" t="str">
        <f t="shared" si="47"/>
        <v>4025/4026</v>
      </c>
      <c r="L94" s="22" t="str">
        <f>VLOOKUP(A94,'Trips&amp;Operators'!$C$1:$G$99999,5,FALSE)</f>
        <v>SHOOK JOHN</v>
      </c>
      <c r="M94" s="6">
        <f t="shared" si="48"/>
        <v>2.9131944444088731E-2</v>
      </c>
      <c r="N94" s="7">
        <f t="shared" si="60"/>
        <v>41.949999999487773</v>
      </c>
      <c r="O94" s="7"/>
      <c r="P94" s="7"/>
      <c r="Q94" s="23"/>
      <c r="R94" s="23"/>
      <c r="S94" s="35">
        <f t="shared" ref="S94:S125" si="62">SUM(U94:U94)/IF(AG94="EC",12,1)</f>
        <v>1</v>
      </c>
      <c r="T94" s="50" t="str">
        <f t="shared" si="49"/>
        <v>Southbound</v>
      </c>
      <c r="U94" s="171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98" t="str">
        <f t="shared" si="50"/>
        <v>https://search-rtdc-monitor-bjffxe2xuh6vdkpspy63sjmuny.us-east-1.es.amazonaws.com/_plugin/kibana/#/discover/Steve-Slow-Train-Analysis-(2080s-and-2083s)?_g=(refreshInterval:(display:Off,section:0,value:0),time:(from:'2016-12-10 13:17:15-700',mode:absolute,to:'2016-12-10 16:08:13-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201053%20OR%202087)%20AND%20%22rtdc.l.rtdc.4026%22')),sort:!(Time,asc))</v>
      </c>
      <c r="W94" s="52" t="str">
        <f t="shared" si="51"/>
        <v>N</v>
      </c>
      <c r="X94" s="177">
        <f t="shared" si="52"/>
        <v>1</v>
      </c>
      <c r="Y94" s="67">
        <f t="shared" ref="Y94:Y125" si="63">RIGHT(D94,LEN(D94)-4)/10000</f>
        <v>23.2986</v>
      </c>
      <c r="Z94" s="67">
        <f t="shared" si="61"/>
        <v>1.4500000000000001E-2</v>
      </c>
      <c r="AA94" s="67">
        <f t="shared" si="53"/>
        <v>23.284099999999999</v>
      </c>
      <c r="AB94" s="64" t="e">
        <f>VLOOKUP(A94,Enforcements!$C$7:$K$20,8,0)</f>
        <v>#N/A</v>
      </c>
      <c r="AC94" s="60" t="e">
        <f>VLOOKUP(A94,Enforcements!$C$7:$E$20,3,0)</f>
        <v>#N/A</v>
      </c>
      <c r="AD94" s="61" t="str">
        <f t="shared" si="54"/>
        <v>0180-10</v>
      </c>
      <c r="AE94" s="91" t="str">
        <f t="shared" si="55"/>
        <v>aws s3 cp s3://rtdc.mdm.uploadarchive.raw/RTDC4026/ "%USERPROFILE%\AppData\Local\Temp\OnboardLogs"\RTDC4026\2016-12-10 --exclude "*" --recursive --include "*20161210*" &amp; "%USERPROFILE%\Documents\GitHub\mrs-test-scripts\Headless Mode &amp; Sideloading\WalkAndUnGZ.bat" "%USERPROFILE%\AppData\Local\Temp\OnboardLogs"\RTDC4026\2016-12-10 &amp; aws s3 cp s3://rtdc.mdm.uploadarchive.raw/RTDC4026/ "%USERPROFILE%\AppData\Local\Temp\OnboardLogs"\RTDC4026\2016-12-11 --exclude "*" --recursive --include "*20161211*" &amp; "%USERPROFILE%\Documents\GitHub\mrs-test-scripts\Headless Mode &amp; Sideloading\WalkAndUnGZ.bat" "%USERPROFILE%\AppData\Local\Temp\OnboardLogs"\RTDC4026\2016-12-11</v>
      </c>
      <c r="AF94" s="88" t="str">
        <f t="shared" si="56"/>
        <v>"C:\Program Files (x86)\AstroGrep\AstroGrep.exe" /spath="%USERPROFILE%\AppData\Local\Temp\OnboardLogs" /stypes="app*4026*20161210*" /stext=" 22:.+((SYSTEM_STATE.+slice.+state.+changed )|(ment ac)|(multiple cpu faults)|(system.+state.+changed )|(\[timeout)|(PRM\|1\|D)|(kpr)|(kdp)|(\|lc)|(penalty))" /e /r /s</v>
      </c>
      <c r="AG94" s="1" t="str">
        <f t="shared" si="57"/>
        <v>EC</v>
      </c>
      <c r="AH94" s="92" t="str">
        <f t="shared" si="58"/>
        <v>"%USERPROFILE%\Documents\GitHub\eaglep3\Utilities\RefineRTDCRunTimes.py" --tripid 180-10 --locoid 4026 --swversion DE.1.0.8.0 --startMP 204:232986 --initTime 2016-12-10T14:17:15 --startdatetime 2016-12-10T14:26:16 --delay 1 --endMP 204:145 --enddatetime 2016-12-10T15:08:13 --enforcementcount 1 &gt;&gt;C:\Users\stu\Documents\GitHub\eaglep3-reporting\EC\2016-12-10-refined-times.txt</v>
      </c>
      <c r="AI94" s="119" t="str">
        <f t="shared" si="59"/>
        <v>echo {"issue":{"subject":"","project_id":79,"tracker_id":40,"status_id":1,"priority_id":2,"assigned_to_id":23,"start_date":"2016-12-10","description":"","custom_fields":[{"id":1,"name":"Subdivision","value":"EC"},{"id":4,"name":"Milepost","value":"0.0145"},{"id":17,"name":"Train ID","value":"180-10"},{"id":16,"name":"Locomotive ID","value":"4026"},{"id":130,"name":"Impact","value":""},{"id":150,"name":"Time of Event (Mountain Time)","value":"15:08:13"},{"id":151,"name":"Denver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4" s="53"/>
      <c r="AK94" s="53"/>
      <c r="AL94" s="53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s="21" customFormat="1" x14ac:dyDescent="0.25">
      <c r="A95" s="37" t="s">
        <v>550</v>
      </c>
      <c r="B95" s="7">
        <v>4020</v>
      </c>
      <c r="C95" s="22" t="s">
        <v>207</v>
      </c>
      <c r="D95" s="22" t="s">
        <v>293</v>
      </c>
      <c r="E95" s="13">
        <v>42714.56821759259</v>
      </c>
      <c r="F95" s="13">
        <v>42714.573263888888</v>
      </c>
      <c r="G95" s="7">
        <v>1</v>
      </c>
      <c r="H95" s="22" t="s">
        <v>394</v>
      </c>
      <c r="I95" s="13">
        <v>42714.597500000003</v>
      </c>
      <c r="J95" s="7">
        <v>1</v>
      </c>
      <c r="K95" s="109" t="str">
        <f t="shared" si="47"/>
        <v>4019/4020</v>
      </c>
      <c r="L95" s="22" t="str">
        <f>VLOOKUP(A95,'Trips&amp;Operators'!$C$1:$G$99999,5,FALSE)</f>
        <v>BRUDER RICHARD</v>
      </c>
      <c r="M95" s="6">
        <f t="shared" si="48"/>
        <v>2.4236111115897074E-2</v>
      </c>
      <c r="N95" s="7">
        <f t="shared" si="60"/>
        <v>34.900000006891787</v>
      </c>
      <c r="O95" s="7"/>
      <c r="P95" s="7"/>
      <c r="Q95" s="23"/>
      <c r="R95" s="23"/>
      <c r="S95" s="35">
        <f t="shared" si="62"/>
        <v>1</v>
      </c>
      <c r="T95" s="50" t="str">
        <f t="shared" si="49"/>
        <v>NorthBound</v>
      </c>
      <c r="U95" s="171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98" t="str">
        <f t="shared" si="50"/>
        <v>https://search-rtdc-monitor-bjffxe2xuh6vdkpspy63sjmuny.us-east-1.es.amazonaws.com/_plugin/kibana/#/discover/Steve-Slow-Train-Analysis-(2080s-and-2083s)?_g=(refreshInterval:(display:Off,section:0,value:0),time:(from:'2016-12-10 12:38:14-700',mode:absolute,to:'2016-12-10 15:20:24-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201053%20OR%202087)%20AND%20%22rtdc.l.rtdc.4020%22')),sort:!(Time,asc))</v>
      </c>
      <c r="W95" s="52" t="str">
        <f t="shared" si="51"/>
        <v>N</v>
      </c>
      <c r="X95" s="177">
        <f t="shared" si="52"/>
        <v>1</v>
      </c>
      <c r="Y95" s="67">
        <f t="shared" si="63"/>
        <v>4.4400000000000002E-2</v>
      </c>
      <c r="Z95" s="67">
        <f t="shared" si="61"/>
        <v>23.331700000000001</v>
      </c>
      <c r="AA95" s="67">
        <f t="shared" si="53"/>
        <v>23.287300000000002</v>
      </c>
      <c r="AB95" s="64" t="e">
        <f>VLOOKUP(A95,Enforcements!$C$7:$K$20,8,0)</f>
        <v>#N/A</v>
      </c>
      <c r="AC95" s="60" t="e">
        <f>VLOOKUP(A95,Enforcements!$C$7:$E$20,3,0)</f>
        <v>#N/A</v>
      </c>
      <c r="AD95" s="61" t="str">
        <f t="shared" si="54"/>
        <v>0181-10</v>
      </c>
      <c r="AE95" s="91" t="str">
        <f t="shared" si="55"/>
        <v>aws s3 cp s3://rtdc.mdm.uploadarchive.raw/RTDC4020/ "%USERPROFILE%\AppData\Local\Temp\OnboardLogs"\RTDC4020\2016-12-10 --exclude "*" --recursive --include "*20161210*" &amp; "%USERPROFILE%\Documents\GitHub\mrs-test-scripts\Headless Mode &amp; Sideloading\WalkAndUnGZ.bat" "%USERPROFILE%\AppData\Local\Temp\OnboardLogs"\RTDC4020\2016-12-10 &amp; aws s3 cp s3://rtdc.mdm.uploadarchive.raw/RTDC4020/ "%USERPROFILE%\AppData\Local\Temp\OnboardLogs"\RTDC4020\2016-12-11 --exclude "*" --recursive --include "*20161211*" &amp; "%USERPROFILE%\Documents\GitHub\mrs-test-scripts\Headless Mode &amp; Sideloading\WalkAndUnGZ.bat" "%USERPROFILE%\AppData\Local\Temp\OnboardLogs"\RTDC4020\2016-12-11</v>
      </c>
      <c r="AF95" s="88" t="str">
        <f t="shared" si="56"/>
        <v>"C:\Program Files (x86)\AstroGrep\AstroGrep.exe" /spath="%USERPROFILE%\AppData\Local\Temp\OnboardLogs" /stypes="app*4020*20161210*" /stext=" 21:.+((SYSTEM_STATE.+slice.+state.+changed )|(ment ac)|(multiple cpu faults)|(system.+state.+changed )|(\[timeout)|(PRM\|1\|D)|(kpr)|(kdp)|(\|lc)|(penalty))" /e /r /s</v>
      </c>
      <c r="AG95" s="1" t="str">
        <f t="shared" si="57"/>
        <v>EC</v>
      </c>
      <c r="AH95" s="92" t="str">
        <f t="shared" si="58"/>
        <v>"%USERPROFILE%\Documents\GitHub\eaglep3\Utilities\RefineRTDCRunTimes.py" --tripid 181-10 --locoid 4020 --swversion DE.1.0.8.0 --startMP 204:444 --initTime 2016-12-10T13:38:14 --startdatetime 2016-12-10T13:45:30 --delay 1 --endMP 204:233317 --enddatetime 2016-12-10T14:20:24 --enforcementcount 1 &gt;&gt;C:\Users\stu\Documents\GitHub\eaglep3-reporting\EC\2016-12-10-refined-times.txt</v>
      </c>
      <c r="AI95" s="119" t="str">
        <f t="shared" si="59"/>
        <v>echo {"issue":{"subject":"","project_id":79,"tracker_id":40,"status_id":1,"priority_id":2,"assigned_to_id":23,"start_date":"2016-12-10","description":"","custom_fields":[{"id":1,"name":"Subdivision","value":"EC"},{"id":4,"name":"Milepost","value":"23.3317"},{"id":17,"name":"Train ID","value":"181-10"},{"id":16,"name":"Locomotive ID","value":"4020"},{"id":130,"name":"Impact","value":""},{"id":150,"name":"Time of Event (Mountain Time)","value":"14:20:24"},{"id":151,"name":"Denver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5" s="53"/>
      <c r="AK95" s="53"/>
      <c r="AL95" s="53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s="21" customFormat="1" x14ac:dyDescent="0.25">
      <c r="A96" s="37" t="s">
        <v>559</v>
      </c>
      <c r="B96" s="7">
        <v>4019</v>
      </c>
      <c r="C96" s="22" t="s">
        <v>207</v>
      </c>
      <c r="D96" s="22" t="s">
        <v>362</v>
      </c>
      <c r="E96" s="13">
        <v>42714.607743055552</v>
      </c>
      <c r="F96" s="13">
        <v>42714.612025462964</v>
      </c>
      <c r="G96" s="7">
        <v>1</v>
      </c>
      <c r="H96" s="22" t="s">
        <v>685</v>
      </c>
      <c r="I96" s="13">
        <v>42714.639085648145</v>
      </c>
      <c r="J96" s="7">
        <v>1</v>
      </c>
      <c r="K96" s="109" t="str">
        <f t="shared" si="47"/>
        <v>4019/4020</v>
      </c>
      <c r="L96" s="22" t="str">
        <f>VLOOKUP(A96,'Trips&amp;Operators'!$C$1:$G$99999,5,FALSE)</f>
        <v>BRUDER RICHARD</v>
      </c>
      <c r="M96" s="6">
        <f t="shared" si="48"/>
        <v>2.7060185180744156E-2</v>
      </c>
      <c r="N96" s="7">
        <f t="shared" si="60"/>
        <v>38.966666660271585</v>
      </c>
      <c r="O96" s="7"/>
      <c r="P96" s="7"/>
      <c r="Q96" s="23"/>
      <c r="R96" s="23"/>
      <c r="S96" s="35">
        <f t="shared" si="62"/>
        <v>1</v>
      </c>
      <c r="T96" s="50" t="str">
        <f t="shared" si="49"/>
        <v>Southbound</v>
      </c>
      <c r="U96" s="171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98" t="str">
        <f t="shared" si="50"/>
        <v>https://search-rtdc-monitor-bjffxe2xuh6vdkpspy63sjmuny.us-east-1.es.amazonaws.com/_plugin/kibana/#/discover/Steve-Slow-Train-Analysis-(2080s-and-2083s)?_g=(refreshInterval:(display:Off,section:0,value:0),time:(from:'2016-12-10 13:35:09-700',mode:absolute,to:'2016-12-10 16:20:17-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201053%20OR%202087)%20AND%20%22rtdc.l.rtdc.4019%22')),sort:!(Time,asc))</v>
      </c>
      <c r="W96" s="52" t="str">
        <f t="shared" si="51"/>
        <v>N</v>
      </c>
      <c r="X96" s="177">
        <f t="shared" si="52"/>
        <v>1</v>
      </c>
      <c r="Y96" s="67">
        <f t="shared" si="63"/>
        <v>23.298500000000001</v>
      </c>
      <c r="Z96" s="67">
        <f t="shared" si="61"/>
        <v>1.6E-2</v>
      </c>
      <c r="AA96" s="67">
        <f t="shared" si="53"/>
        <v>23.282500000000002</v>
      </c>
      <c r="AB96" s="64" t="e">
        <f>VLOOKUP(A96,Enforcements!$C$7:$K$20,8,0)</f>
        <v>#N/A</v>
      </c>
      <c r="AC96" s="60" t="e">
        <f>VLOOKUP(A96,Enforcements!$C$7:$E$20,3,0)</f>
        <v>#N/A</v>
      </c>
      <c r="AD96" s="61" t="str">
        <f t="shared" si="54"/>
        <v>0182-10</v>
      </c>
      <c r="AE96" s="91" t="str">
        <f t="shared" si="55"/>
        <v>aws s3 cp s3://rtdc.mdm.uploadarchive.raw/RTDC4019/ "%USERPROFILE%\AppData\Local\Temp\OnboardLogs"\RTDC4019\2016-12-10 --exclude "*" --recursive --include "*20161210*" &amp; "%USERPROFILE%\Documents\GitHub\mrs-test-scripts\Headless Mode &amp; Sideloading\WalkAndUnGZ.bat" "%USERPROFILE%\AppData\Local\Temp\OnboardLogs"\RTDC4019\2016-12-10 &amp; aws s3 cp s3://rtdc.mdm.uploadarchive.raw/RTDC4019/ "%USERPROFILE%\AppData\Local\Temp\OnboardLogs"\RTDC4019\2016-12-11 --exclude "*" --recursive --include "*20161211*" &amp; "%USERPROFILE%\Documents\GitHub\mrs-test-scripts\Headless Mode &amp; Sideloading\WalkAndUnGZ.bat" "%USERPROFILE%\AppData\Local\Temp\OnboardLogs"\RTDC4019\2016-12-11</v>
      </c>
      <c r="AF96" s="88" t="str">
        <f t="shared" si="56"/>
        <v>"C:\Program Files (x86)\AstroGrep\AstroGrep.exe" /spath="%USERPROFILE%\AppData\Local\Temp\OnboardLogs" /stypes="app*4019*20161210*" /stext=" 22:.+((SYSTEM_STATE.+slice.+state.+changed )|(ment ac)|(multiple cpu faults)|(system.+state.+changed )|(\[timeout)|(PRM\|1\|D)|(kpr)|(kdp)|(\|lc)|(penalty))" /e /r /s</v>
      </c>
      <c r="AG96" s="1" t="str">
        <f t="shared" si="57"/>
        <v>EC</v>
      </c>
      <c r="AH96" s="92" t="str">
        <f t="shared" si="58"/>
        <v>"%USERPROFILE%\Documents\GitHub\eaglep3\Utilities\RefineRTDCRunTimes.py" --tripid 182-10 --locoid 4019 --swversion DE.1.0.8.0 --startMP 204:232985 --initTime 2016-12-10T14:35:09 --startdatetime 2016-12-10T14:41:19 --delay 1 --endMP 204:160 --enddatetime 2016-12-10T15:20:17 --enforcementcount 1 &gt;&gt;C:\Users\stu\Documents\GitHub\eaglep3-reporting\EC\2016-12-10-refined-times.txt</v>
      </c>
      <c r="AI96" s="119" t="str">
        <f t="shared" si="59"/>
        <v>echo {"issue":{"subject":"","project_id":79,"tracker_id":40,"status_id":1,"priority_id":2,"assigned_to_id":23,"start_date":"2016-12-10","description":"","custom_fields":[{"id":1,"name":"Subdivision","value":"EC"},{"id":4,"name":"Milepost","value":"0.016"},{"id":17,"name":"Train ID","value":"182-10"},{"id":16,"name":"Locomotive ID","value":"4019"},{"id":130,"name":"Impact","value":""},{"id":150,"name":"Time of Event (Mountain Time)","value":"15:20:17"},{"id":151,"name":"Denver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6" s="53"/>
      <c r="AK96" s="53"/>
      <c r="AL96" s="53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x14ac:dyDescent="0.25">
      <c r="A97" s="37" t="s">
        <v>552</v>
      </c>
      <c r="B97" s="7">
        <v>4003</v>
      </c>
      <c r="C97" s="22" t="s">
        <v>207</v>
      </c>
      <c r="D97" s="22" t="s">
        <v>724</v>
      </c>
      <c r="E97" s="13">
        <v>42714.578483796293</v>
      </c>
      <c r="F97" s="13">
        <v>42714.583506944444</v>
      </c>
      <c r="G97" s="7">
        <v>1</v>
      </c>
      <c r="H97" s="22" t="s">
        <v>295</v>
      </c>
      <c r="I97" s="13">
        <v>42714.61078703704</v>
      </c>
      <c r="J97" s="7">
        <v>1</v>
      </c>
      <c r="K97" s="109" t="str">
        <f t="shared" si="47"/>
        <v>4003/4004</v>
      </c>
      <c r="L97" s="22" t="str">
        <f>VLOOKUP(A97,'Trips&amp;Operators'!$C$1:$G$99999,5,FALSE)</f>
        <v>CLARK KATHLEEN</v>
      </c>
      <c r="M97" s="6">
        <f t="shared" si="48"/>
        <v>2.7280092595901806E-2</v>
      </c>
      <c r="N97" s="7">
        <f t="shared" si="60"/>
        <v>39.283333338098601</v>
      </c>
      <c r="O97" s="7"/>
      <c r="P97" s="7"/>
      <c r="Q97" s="23"/>
      <c r="R97" s="23" t="s">
        <v>887</v>
      </c>
      <c r="S97" s="35">
        <f t="shared" si="62"/>
        <v>1</v>
      </c>
      <c r="T97" s="50" t="str">
        <f t="shared" si="49"/>
        <v>NorthBound</v>
      </c>
      <c r="U97" s="171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98" t="str">
        <f t="shared" si="50"/>
        <v>https://search-rtdc-monitor-bjffxe2xuh6vdkpspy63sjmuny.us-east-1.es.amazonaws.com/_plugin/kibana/#/discover/Steve-Slow-Train-Analysis-(2080s-and-2083s)?_g=(refreshInterval:(display:Off,section:0,value:0),time:(from:'2016-12-10 12:53:01-700',mode:absolute,to:'2016-12-10 15:39:32-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201053%20OR%202087)%20AND%20%22rtdc.l.rtdc.4003%22')),sort:!(Time,asc))</v>
      </c>
      <c r="W97" s="52" t="str">
        <f t="shared" si="51"/>
        <v>N</v>
      </c>
      <c r="X97" s="177">
        <f t="shared" si="52"/>
        <v>1</v>
      </c>
      <c r="Y97" s="67">
        <f t="shared" si="63"/>
        <v>4.1799999999999997E-2</v>
      </c>
      <c r="Z97" s="67">
        <f t="shared" si="61"/>
        <v>23.3291</v>
      </c>
      <c r="AA97" s="67">
        <f t="shared" si="53"/>
        <v>23.287300000000002</v>
      </c>
      <c r="AB97" s="64" t="e">
        <f>VLOOKUP(A97,Enforcements!$C$7:$K$20,8,0)</f>
        <v>#N/A</v>
      </c>
      <c r="AC97" s="60" t="e">
        <f>VLOOKUP(A97,Enforcements!$C$7:$E$20,3,0)</f>
        <v>#N/A</v>
      </c>
      <c r="AD97" s="61" t="str">
        <f t="shared" si="54"/>
        <v>0183-10</v>
      </c>
      <c r="AE97" s="91" t="str">
        <f t="shared" si="55"/>
        <v>aws s3 cp s3://rtdc.mdm.uploadarchive.raw/RTDC4003/ "%USERPROFILE%\AppData\Local\Temp\OnboardLogs"\RTDC4003\2016-12-10 --exclude "*" --recursive --include "*20161210*" &amp; "%USERPROFILE%\Documents\GitHub\mrs-test-scripts\Headless Mode &amp; Sideloading\WalkAndUnGZ.bat" "%USERPROFILE%\AppData\Local\Temp\OnboardLogs"\RTDC4003\2016-12-10 &amp; aws s3 cp s3://rtdc.mdm.uploadarchive.raw/RTDC4003/ "%USERPROFILE%\AppData\Local\Temp\OnboardLogs"\RTDC4003\2016-12-11 --exclude "*" --recursive --include "*20161211*" &amp; "%USERPROFILE%\Documents\GitHub\mrs-test-scripts\Headless Mode &amp; Sideloading\WalkAndUnGZ.bat" "%USERPROFILE%\AppData\Local\Temp\OnboardLogs"\RTDC4003\2016-12-11</v>
      </c>
      <c r="AF97" s="88" t="str">
        <f t="shared" si="56"/>
        <v>"C:\Program Files (x86)\AstroGrep\AstroGrep.exe" /spath="%USERPROFILE%\AppData\Local\Temp\OnboardLogs" /stypes="app*4003*20161210*" /stext=" 21:.+((SYSTEM_STATE.+slice.+state.+changed )|(ment ac)|(multiple cpu faults)|(system.+state.+changed )|(\[timeout)|(PRM\|1\|D)|(kpr)|(kdp)|(\|lc)|(penalty))" /e /r /s</v>
      </c>
      <c r="AG97" s="1" t="str">
        <f t="shared" si="57"/>
        <v>EC</v>
      </c>
      <c r="AH97" s="92" t="str">
        <f t="shared" si="58"/>
        <v>"%USERPROFILE%\Documents\GitHub\eaglep3\Utilities\RefineRTDCRunTimes.py" --tripid 183-10 --locoid 4003 --swversion DE.1.0.8.0 --startMP 204:418 --initTime 2016-12-10T13:53:01 --startdatetime 2016-12-10T14:00:15 --delay 1 --endMP 204:233291 --enddatetime 2016-12-10T14:39:32 --enforcementcount 1 &gt;&gt;C:\Users\stu\Documents\GitHub\eaglep3-reporting\EC\2016-12-10-refined-times.txt</v>
      </c>
      <c r="AI97" s="119" t="str">
        <f t="shared" si="59"/>
        <v>echo {"issue":{"subject":"Wi-MAX data drop, but no enforcement or cut out","project_id":79,"tracker_id":40,"status_id":1,"priority_id":2,"assigned_to_id":23,"start_date":"2016-12-10","description":"","custom_fields":[{"id":1,"name":"Subdivision","value":"EC"},{"id":4,"name":"Milepost","value":"23.3291"},{"id":17,"name":"Train ID","value":"183-10"},{"id":16,"name":"Locomotive ID","value":"4003"},{"id":130,"name":"Impact","value":""},{"id":150,"name":"Time of Event (Mountain Time)","value":"14:39:32"},{"id":151,"name":"Denver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7" s="53"/>
      <c r="AK97" s="53"/>
      <c r="AL97" s="53"/>
    </row>
    <row r="98" spans="1:91" x14ac:dyDescent="0.25">
      <c r="A98" s="37" t="s">
        <v>562</v>
      </c>
      <c r="B98" s="7">
        <v>4004</v>
      </c>
      <c r="C98" s="22" t="s">
        <v>207</v>
      </c>
      <c r="D98" s="22" t="s">
        <v>678</v>
      </c>
      <c r="E98" s="13">
        <v>42714.616111111114</v>
      </c>
      <c r="F98" s="13">
        <v>42714.622395833336</v>
      </c>
      <c r="G98" s="7">
        <v>1</v>
      </c>
      <c r="H98" s="22" t="s">
        <v>205</v>
      </c>
      <c r="I98" s="13">
        <v>42714.651319444441</v>
      </c>
      <c r="J98" s="7">
        <v>1</v>
      </c>
      <c r="K98" s="109" t="str">
        <f t="shared" si="47"/>
        <v>4003/4004</v>
      </c>
      <c r="L98" s="22" t="str">
        <f>VLOOKUP(A98,'Trips&amp;Operators'!$C$1:$G$99999,5,FALSE)</f>
        <v>CLARK KATHLEEN</v>
      </c>
      <c r="M98" s="6">
        <f t="shared" si="48"/>
        <v>2.8923611105710734E-2</v>
      </c>
      <c r="N98" s="7">
        <f t="shared" si="60"/>
        <v>41.649999992223457</v>
      </c>
      <c r="O98" s="7"/>
      <c r="P98" s="7"/>
      <c r="Q98" s="23"/>
      <c r="R98" s="23"/>
      <c r="S98" s="35">
        <f t="shared" si="62"/>
        <v>1</v>
      </c>
      <c r="T98" s="50" t="str">
        <f t="shared" si="49"/>
        <v>Southbound</v>
      </c>
      <c r="U98" s="171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98" t="str">
        <f t="shared" si="50"/>
        <v>https://search-rtdc-monitor-bjffxe2xuh6vdkpspy63sjmuny.us-east-1.es.amazonaws.com/_plugin/kibana/#/discover/Steve-Slow-Train-Analysis-(2080s-and-2083s)?_g=(refreshInterval:(display:Off,section:0,value:0),time:(from:'2016-12-10 13:47:12-700',mode:absolute,to:'2016-12-10 16:37:54-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201053%20OR%202087)%20AND%20%22rtdc.l.rtdc.4004%22')),sort:!(Time,asc))</v>
      </c>
      <c r="W98" s="52" t="str">
        <f t="shared" si="51"/>
        <v>N</v>
      </c>
      <c r="X98" s="177">
        <f t="shared" si="52"/>
        <v>1</v>
      </c>
      <c r="Y98" s="67">
        <f t="shared" si="63"/>
        <v>23.297699999999999</v>
      </c>
      <c r="Z98" s="67">
        <f t="shared" si="61"/>
        <v>1.5599999999999999E-2</v>
      </c>
      <c r="AA98" s="67">
        <f t="shared" si="53"/>
        <v>23.2821</v>
      </c>
      <c r="AB98" s="64" t="e">
        <f>VLOOKUP(A98,Enforcements!$C$7:$K$20,8,0)</f>
        <v>#N/A</v>
      </c>
      <c r="AC98" s="60" t="e">
        <f>VLOOKUP(A98,Enforcements!$C$7:$E$20,3,0)</f>
        <v>#N/A</v>
      </c>
      <c r="AD98" s="61" t="str">
        <f t="shared" si="54"/>
        <v>0184-10</v>
      </c>
      <c r="AE98" s="91" t="str">
        <f t="shared" si="55"/>
        <v>aws s3 cp s3://rtdc.mdm.uploadarchive.raw/RTDC4004/ "%USERPROFILE%\AppData\Local\Temp\OnboardLogs"\RTDC4004\2016-12-10 --exclude "*" --recursive --include "*20161210*" &amp; "%USERPROFILE%\Documents\GitHub\mrs-test-scripts\Headless Mode &amp; Sideloading\WalkAndUnGZ.bat" "%USERPROFILE%\AppData\Local\Temp\OnboardLogs"\RTDC4004\2016-12-10 &amp; aws s3 cp s3://rtdc.mdm.uploadarchive.raw/RTDC4004/ "%USERPROFILE%\AppData\Local\Temp\OnboardLogs"\RTDC4004\2016-12-11 --exclude "*" --recursive --include "*20161211*" &amp; "%USERPROFILE%\Documents\GitHub\mrs-test-scripts\Headless Mode &amp; Sideloading\WalkAndUnGZ.bat" "%USERPROFILE%\AppData\Local\Temp\OnboardLogs"\RTDC4004\2016-12-11</v>
      </c>
      <c r="AF98" s="88" t="str">
        <f t="shared" si="56"/>
        <v>"C:\Program Files (x86)\AstroGrep\AstroGrep.exe" /spath="%USERPROFILE%\AppData\Local\Temp\OnboardLogs" /stypes="app*4004*20161210*" /stext=" 22:.+((SYSTEM_STATE.+slice.+state.+changed )|(ment ac)|(multiple cpu faults)|(system.+state.+changed )|(\[timeout)|(PRM\|1\|D)|(kpr)|(kdp)|(\|lc)|(penalty))" /e /r /s</v>
      </c>
      <c r="AG98" s="1" t="str">
        <f t="shared" si="57"/>
        <v>EC</v>
      </c>
      <c r="AH98" s="92" t="str">
        <f t="shared" si="58"/>
        <v>"%USERPROFILE%\Documents\GitHub\eaglep3\Utilities\RefineRTDCRunTimes.py" --tripid 184-10 --locoid 4004 --swversion DE.1.0.8.0 --startMP 204:232977 --initTime 2016-12-10T14:47:12 --startdatetime 2016-12-10T14:56:15 --delay 1 --endMP 204:156 --enddatetime 2016-12-10T15:37:54 --enforcementcount 1 &gt;&gt;C:\Users\stu\Documents\GitHub\eaglep3-reporting\EC\2016-12-10-refined-times.txt</v>
      </c>
      <c r="AI98" s="119" t="str">
        <f t="shared" si="59"/>
        <v>echo {"issue":{"subject":"","project_id":79,"tracker_id":40,"status_id":1,"priority_id":2,"assigned_to_id":23,"start_date":"2016-12-10","description":"","custom_fields":[{"id":1,"name":"Subdivision","value":"EC"},{"id":4,"name":"Milepost","value":"0.0156"},{"id":17,"name":"Train ID","value":"184-10"},{"id":16,"name":"Locomotive ID","value":"4004"},{"id":130,"name":"Impact","value":""},{"id":150,"name":"Time of Event (Mountain Time)","value":"15:37:54"},{"id":151,"name":"Denver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8" s="53"/>
      <c r="AK98" s="53"/>
      <c r="AL98" s="53"/>
    </row>
    <row r="99" spans="1:91" x14ac:dyDescent="0.25">
      <c r="A99" s="37" t="s">
        <v>424</v>
      </c>
      <c r="B99" s="7">
        <v>4014</v>
      </c>
      <c r="C99" s="22" t="s">
        <v>207</v>
      </c>
      <c r="D99" s="22" t="s">
        <v>336</v>
      </c>
      <c r="E99" s="13">
        <v>42714.59039351852</v>
      </c>
      <c r="F99" s="13">
        <v>42714.594212962962</v>
      </c>
      <c r="G99" s="7">
        <v>5</v>
      </c>
      <c r="H99" s="22" t="s">
        <v>639</v>
      </c>
      <c r="I99" s="13">
        <v>42714.620034722226</v>
      </c>
      <c r="J99" s="7">
        <v>1</v>
      </c>
      <c r="K99" s="109" t="str">
        <f t="shared" si="47"/>
        <v>4013/4014</v>
      </c>
      <c r="L99" s="22" t="str">
        <f>VLOOKUP(A99,'Trips&amp;Operators'!$C$1:$G$99999,5,FALSE)</f>
        <v>STORY SAMANTHA</v>
      </c>
      <c r="M99" s="6">
        <f t="shared" si="48"/>
        <v>2.5821759263635613E-2</v>
      </c>
      <c r="N99" s="7">
        <f t="shared" si="60"/>
        <v>37.183333339635283</v>
      </c>
      <c r="O99" s="7"/>
      <c r="P99" s="7"/>
      <c r="Q99" s="23"/>
      <c r="R99" s="23"/>
      <c r="S99" s="35">
        <f t="shared" si="62"/>
        <v>1</v>
      </c>
      <c r="T99" s="50" t="str">
        <f t="shared" si="49"/>
        <v>NorthBound</v>
      </c>
      <c r="U99" s="171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98" t="str">
        <f t="shared" si="50"/>
        <v>https://search-rtdc-monitor-bjffxe2xuh6vdkpspy63sjmuny.us-east-1.es.amazonaws.com/_plugin/kibana/#/discover/Steve-Slow-Train-Analysis-(2080s-and-2083s)?_g=(refreshInterval:(display:Off,section:0,value:0),time:(from:'2016-12-10 13:10:10-700',mode:absolute,to:'2016-12-10 15:52:51-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201053%20OR%202087)%20AND%20%22rtdc.l.rtdc.4014%22')),sort:!(Time,asc))</v>
      </c>
      <c r="W99" s="52" t="str">
        <f t="shared" si="51"/>
        <v>N</v>
      </c>
      <c r="X99" s="177">
        <f t="shared" si="52"/>
        <v>1</v>
      </c>
      <c r="Y99" s="67">
        <f t="shared" si="63"/>
        <v>4.82E-2</v>
      </c>
      <c r="Z99" s="67">
        <f t="shared" si="61"/>
        <v>23.3385</v>
      </c>
      <c r="AA99" s="67">
        <f t="shared" si="53"/>
        <v>23.290299999999998</v>
      </c>
      <c r="AB99" s="64" t="str">
        <f>VLOOKUP(A99,Enforcements!$C$7:$K$20,8,0)</f>
        <v>Speed (6)</v>
      </c>
      <c r="AC99" s="60" t="str">
        <f>VLOOKUP(A99,Enforcements!$C$7:$E$20,3,0)</f>
        <v>PERMANENT SPEED RESTRICTION</v>
      </c>
      <c r="AD99" s="61" t="str">
        <f t="shared" si="54"/>
        <v>0185-10</v>
      </c>
      <c r="AE99" s="91" t="str">
        <f t="shared" si="55"/>
        <v>aws s3 cp s3://rtdc.mdm.uploadarchive.raw/RTDC4014/ "%USERPROFILE%\AppData\Local\Temp\OnboardLogs"\RTDC4014\2016-12-10 --exclude "*" --recursive --include "*20161210*" &amp; "%USERPROFILE%\Documents\GitHub\mrs-test-scripts\Headless Mode &amp; Sideloading\WalkAndUnGZ.bat" "%USERPROFILE%\AppData\Local\Temp\OnboardLogs"\RTDC4014\2016-12-10 &amp; aws s3 cp s3://rtdc.mdm.uploadarchive.raw/RTDC4014/ "%USERPROFILE%\AppData\Local\Temp\OnboardLogs"\RTDC4014\2016-12-11 --exclude "*" --recursive --include "*20161211*" &amp; "%USERPROFILE%\Documents\GitHub\mrs-test-scripts\Headless Mode &amp; Sideloading\WalkAndUnGZ.bat" "%USERPROFILE%\AppData\Local\Temp\OnboardLogs"\RTDC4014\2016-12-11</v>
      </c>
      <c r="AF99" s="88" t="str">
        <f t="shared" si="56"/>
        <v>"C:\Program Files (x86)\AstroGrep\AstroGrep.exe" /spath="%USERPROFILE%\AppData\Local\Temp\OnboardLogs" /stypes="app*4014*20161210*" /stext=" 21:.+((SYSTEM_STATE.+slice.+state.+changed )|(ment ac)|(multiple cpu faults)|(system.+state.+changed )|(\[timeout)|(PRM\|1\|D)|(kpr)|(kdp)|(\|lc)|(penalty))" /e /r /s</v>
      </c>
      <c r="AG99" s="1" t="str">
        <f t="shared" si="57"/>
        <v>EC</v>
      </c>
      <c r="AH99" s="92" t="str">
        <f t="shared" si="58"/>
        <v>"%USERPROFILE%\Documents\GitHub\eaglep3\Utilities\RefineRTDCRunTimes.py" --tripid 185-10 --locoid 4014 --swversion DE.1.0.8.0 --startMP 204:482 --initTime 2016-12-10T14:10:10 --startdatetime 2016-12-10T14:15:40 --delay 5 --endMP 204:233385 --enddatetime 2016-12-10T14:52:51 --enforcementcount 1 &gt;&gt;C:\Users\stu\Documents\GitHub\eaglep3-reporting\EC\2016-12-10-refined-times.txt</v>
      </c>
      <c r="AI99" s="119" t="str">
        <f t="shared" si="59"/>
        <v>echo {"issue":{"subject":"","project_id":79,"tracker_id":40,"status_id":1,"priority_id":2,"assigned_to_id":23,"start_date":"2016-12-10","description":"","custom_fields":[{"id":1,"name":"Subdivision","value":"EC"},{"id":4,"name":"Milepost","value":"23.3385"},{"id":17,"name":"Train ID","value":"185-10"},{"id":16,"name":"Locomotive ID","value":"4014"},{"id":130,"name":"Impact","value":""},{"id":150,"name":"Time of Event (Mountain Time)","value":"14:52:51"},{"id":151,"name":"Denver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9" s="53"/>
      <c r="AK99" s="53"/>
      <c r="AL99" s="53"/>
    </row>
    <row r="100" spans="1:91" s="21" customFormat="1" x14ac:dyDescent="0.25">
      <c r="A100" s="37" t="s">
        <v>564</v>
      </c>
      <c r="B100" s="7">
        <v>4013</v>
      </c>
      <c r="C100" s="22" t="s">
        <v>207</v>
      </c>
      <c r="D100" s="22" t="s">
        <v>730</v>
      </c>
      <c r="E100" s="13">
        <v>42714.628460648149</v>
      </c>
      <c r="F100" s="13">
        <v>42714.633321759262</v>
      </c>
      <c r="G100" s="7">
        <v>1</v>
      </c>
      <c r="H100" s="22" t="s">
        <v>192</v>
      </c>
      <c r="I100" s="13">
        <v>42714.662268518521</v>
      </c>
      <c r="J100" s="7">
        <v>1</v>
      </c>
      <c r="K100" s="109" t="str">
        <f t="shared" si="47"/>
        <v>4013/4014</v>
      </c>
      <c r="L100" s="22" t="str">
        <f>VLOOKUP(A100,'Trips&amp;Operators'!$C$1:$G$99999,5,FALSE)</f>
        <v>STORY SAMANTHA</v>
      </c>
      <c r="M100" s="6">
        <f t="shared" si="48"/>
        <v>2.8946759259270038E-2</v>
      </c>
      <c r="N100" s="7">
        <f t="shared" si="60"/>
        <v>41.683333333348855</v>
      </c>
      <c r="O100" s="7"/>
      <c r="P100" s="7"/>
      <c r="Q100" s="23"/>
      <c r="R100" s="23"/>
      <c r="S100" s="35">
        <f t="shared" si="62"/>
        <v>1</v>
      </c>
      <c r="T100" s="50" t="str">
        <f t="shared" si="49"/>
        <v>Southbound</v>
      </c>
      <c r="U100" s="171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98" t="str">
        <f t="shared" si="50"/>
        <v>https://search-rtdc-monitor-bjffxe2xuh6vdkpspy63sjmuny.us-east-1.es.amazonaws.com/_plugin/kibana/#/discover/Steve-Slow-Train-Analysis-(2080s-and-2083s)?_g=(refreshInterval:(display:Off,section:0,value:0),time:(from:'2016-12-10 14:04:59-700',mode:absolute,to:'2016-12-10 16:53:40-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201053%20OR%202087)%20AND%20%22rtdc.l.rtdc.4013%22')),sort:!(Time,asc))</v>
      </c>
      <c r="W100" s="52" t="str">
        <f t="shared" si="51"/>
        <v>N</v>
      </c>
      <c r="X100" s="177">
        <f t="shared" si="52"/>
        <v>1</v>
      </c>
      <c r="Y100" s="67">
        <f t="shared" si="63"/>
        <v>23.307700000000001</v>
      </c>
      <c r="Z100" s="67">
        <f t="shared" si="61"/>
        <v>1.49E-2</v>
      </c>
      <c r="AA100" s="67">
        <f t="shared" si="53"/>
        <v>23.2928</v>
      </c>
      <c r="AB100" s="64" t="e">
        <f>VLOOKUP(A100,Enforcements!$C$7:$K$20,8,0)</f>
        <v>#N/A</v>
      </c>
      <c r="AC100" s="60" t="e">
        <f>VLOOKUP(A100,Enforcements!$C$7:$E$20,3,0)</f>
        <v>#N/A</v>
      </c>
      <c r="AD100" s="61" t="str">
        <f t="shared" si="54"/>
        <v>0186-10</v>
      </c>
      <c r="AE100" s="91" t="str">
        <f t="shared" si="55"/>
        <v>aws s3 cp s3://rtdc.mdm.uploadarchive.raw/RTDC4013/ "%USERPROFILE%\AppData\Local\Temp\OnboardLogs"\RTDC4013\2016-12-10 --exclude "*" --recursive --include "*20161210*" &amp; "%USERPROFILE%\Documents\GitHub\mrs-test-scripts\Headless Mode &amp; Sideloading\WalkAndUnGZ.bat" "%USERPROFILE%\AppData\Local\Temp\OnboardLogs"\RTDC4013\2016-12-10 &amp; aws s3 cp s3://rtdc.mdm.uploadarchive.raw/RTDC4013/ "%USERPROFILE%\AppData\Local\Temp\OnboardLogs"\RTDC4013\2016-12-11 --exclude "*" --recursive --include "*20161211*" &amp; "%USERPROFILE%\Documents\GitHub\mrs-test-scripts\Headless Mode &amp; Sideloading\WalkAndUnGZ.bat" "%USERPROFILE%\AppData\Local\Temp\OnboardLogs"\RTDC4013\2016-12-11</v>
      </c>
      <c r="AF100" s="88" t="str">
        <f t="shared" si="56"/>
        <v>"C:\Program Files (x86)\AstroGrep\AstroGrep.exe" /spath="%USERPROFILE%\AppData\Local\Temp\OnboardLogs" /stypes="app*4013*20161210*" /stext=" 22:.+((SYSTEM_STATE.+slice.+state.+changed )|(ment ac)|(multiple cpu faults)|(system.+state.+changed )|(\[timeout)|(PRM\|1\|D)|(kpr)|(kdp)|(\|lc)|(penalty))" /e /r /s</v>
      </c>
      <c r="AG100" s="1" t="str">
        <f t="shared" si="57"/>
        <v>EC</v>
      </c>
      <c r="AH100" s="92" t="str">
        <f t="shared" si="58"/>
        <v>"%USERPROFILE%\Documents\GitHub\eaglep3\Utilities\RefineRTDCRunTimes.py" --tripid 186-10 --locoid 4013 --swversion DE.1.0.8.0 --startMP 204:233077 --initTime 2016-12-10T15:04:59 --startdatetime 2016-12-10T15:11:59 --delay 1 --endMP 204:149 --enddatetime 2016-12-10T15:53:40 --enforcementcount 1 &gt;&gt;C:\Users\stu\Documents\GitHub\eaglep3-reporting\EC\2016-12-10-refined-times.txt</v>
      </c>
      <c r="AI100" s="119" t="str">
        <f t="shared" si="59"/>
        <v>echo {"issue":{"subject":"","project_id":79,"tracker_id":40,"status_id":1,"priority_id":2,"assigned_to_id":23,"start_date":"2016-12-10","description":"","custom_fields":[{"id":1,"name":"Subdivision","value":"EC"},{"id":4,"name":"Milepost","value":"0.0149"},{"id":17,"name":"Train ID","value":"186-10"},{"id":16,"name":"Locomotive ID","value":"4013"},{"id":130,"name":"Impact","value":""},{"id":150,"name":"Time of Event (Mountain Time)","value":"15:53:40"},{"id":151,"name":"Denver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0" s="53"/>
      <c r="AK100" s="53"/>
      <c r="AL100" s="53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</row>
    <row r="101" spans="1:91" s="21" customFormat="1" x14ac:dyDescent="0.25">
      <c r="A101" s="37" t="s">
        <v>558</v>
      </c>
      <c r="B101" s="7">
        <v>4009</v>
      </c>
      <c r="C101" s="22" t="s">
        <v>207</v>
      </c>
      <c r="D101" s="22" t="s">
        <v>731</v>
      </c>
      <c r="E101" s="13">
        <v>42714.600601851853</v>
      </c>
      <c r="F101" s="13">
        <v>42714.604432870372</v>
      </c>
      <c r="G101" s="7">
        <v>1</v>
      </c>
      <c r="H101" s="22" t="s">
        <v>332</v>
      </c>
      <c r="I101" s="13">
        <v>42714.629247685189</v>
      </c>
      <c r="J101" s="7">
        <v>1</v>
      </c>
      <c r="K101" s="109" t="str">
        <f t="shared" si="47"/>
        <v>4009/4010</v>
      </c>
      <c r="L101" s="22" t="str">
        <f>VLOOKUP(A101,'Trips&amp;Operators'!$C$1:$G$99999,5,FALSE)</f>
        <v>STEWART MICHAEL</v>
      </c>
      <c r="M101" s="6">
        <f t="shared" si="48"/>
        <v>2.4814814816636499E-2</v>
      </c>
      <c r="N101" s="7">
        <f t="shared" si="60"/>
        <v>35.733333335956559</v>
      </c>
      <c r="O101" s="7"/>
      <c r="P101" s="7"/>
      <c r="Q101" s="23"/>
      <c r="R101" s="23"/>
      <c r="S101" s="35">
        <f t="shared" si="62"/>
        <v>1</v>
      </c>
      <c r="T101" s="50" t="str">
        <f t="shared" si="49"/>
        <v>NorthBound</v>
      </c>
      <c r="U101" s="171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98" t="str">
        <f t="shared" si="50"/>
        <v>https://search-rtdc-monitor-bjffxe2xuh6vdkpspy63sjmuny.us-east-1.es.amazonaws.com/_plugin/kibana/#/discover/Steve-Slow-Train-Analysis-(2080s-and-2083s)?_g=(refreshInterval:(display:Off,section:0,value:0),time:(from:'2016-12-10 13:24:52-700',mode:absolute,to:'2016-12-10 16:06:07-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201053%20OR%202087)%20AND%20%22rtdc.l.rtdc.4009%22')),sort:!(Time,asc))</v>
      </c>
      <c r="W101" s="52" t="str">
        <f t="shared" si="51"/>
        <v>N</v>
      </c>
      <c r="X101" s="177">
        <f t="shared" si="52"/>
        <v>1</v>
      </c>
      <c r="Y101" s="67">
        <f t="shared" si="63"/>
        <v>4.8000000000000001E-2</v>
      </c>
      <c r="Z101" s="67">
        <f t="shared" si="61"/>
        <v>23.330500000000001</v>
      </c>
      <c r="AA101" s="67">
        <f t="shared" si="53"/>
        <v>23.282500000000002</v>
      </c>
      <c r="AB101" s="64" t="e">
        <f>VLOOKUP(A101,Enforcements!$C$7:$K$20,8,0)</f>
        <v>#N/A</v>
      </c>
      <c r="AC101" s="60" t="e">
        <f>VLOOKUP(A101,Enforcements!$C$7:$E$20,3,0)</f>
        <v>#N/A</v>
      </c>
      <c r="AD101" s="61" t="str">
        <f t="shared" si="54"/>
        <v>0187-10</v>
      </c>
      <c r="AE101" s="91" t="str">
        <f t="shared" si="55"/>
        <v>aws s3 cp s3://rtdc.mdm.uploadarchive.raw/RTDC4009/ "%USERPROFILE%\AppData\Local\Temp\OnboardLogs"\RTDC4009\2016-12-10 --exclude "*" --recursive --include "*20161210*" &amp; "%USERPROFILE%\Documents\GitHub\mrs-test-scripts\Headless Mode &amp; Sideloading\WalkAndUnGZ.bat" "%USERPROFILE%\AppData\Local\Temp\OnboardLogs"\RTDC4009\2016-12-10 &amp; aws s3 cp s3://rtdc.mdm.uploadarchive.raw/RTDC4009/ "%USERPROFILE%\AppData\Local\Temp\OnboardLogs"\RTDC4009\2016-12-11 --exclude "*" --recursive --include "*20161211*" &amp; "%USERPROFILE%\Documents\GitHub\mrs-test-scripts\Headless Mode &amp; Sideloading\WalkAndUnGZ.bat" "%USERPROFILE%\AppData\Local\Temp\OnboardLogs"\RTDC4009\2016-12-11</v>
      </c>
      <c r="AF101" s="88" t="str">
        <f t="shared" si="56"/>
        <v>"C:\Program Files (x86)\AstroGrep\AstroGrep.exe" /spath="%USERPROFILE%\AppData\Local\Temp\OnboardLogs" /stypes="app*4009*20161210*" /stext=" 22:.+((SYSTEM_STATE.+slice.+state.+changed )|(ment ac)|(multiple cpu faults)|(system.+state.+changed )|(\[timeout)|(PRM\|1\|D)|(kpr)|(kdp)|(\|lc)|(penalty))" /e /r /s</v>
      </c>
      <c r="AG101" s="1" t="str">
        <f t="shared" si="57"/>
        <v>EC</v>
      </c>
      <c r="AH101" s="92" t="str">
        <f t="shared" si="58"/>
        <v>"%USERPROFILE%\Documents\GitHub\eaglep3\Utilities\RefineRTDCRunTimes.py" --tripid 187-10 --locoid 4009 --swversion DE.1.0.8.0 --startMP 204:480 --initTime 2016-12-10T14:24:52 --startdatetime 2016-12-10T14:30:23 --delay 1 --endMP 204:233305 --enddatetime 2016-12-10T15:06:07 --enforcementcount 1 &gt;&gt;C:\Users\stu\Documents\GitHub\eaglep3-reporting\EC\2016-12-10-refined-times.txt</v>
      </c>
      <c r="AI101" s="119" t="str">
        <f t="shared" si="59"/>
        <v>echo {"issue":{"subject":"","project_id":79,"tracker_id":40,"status_id":1,"priority_id":2,"assigned_to_id":23,"start_date":"2016-12-10","description":"","custom_fields":[{"id":1,"name":"Subdivision","value":"EC"},{"id":4,"name":"Milepost","value":"23.3305"},{"id":17,"name":"Train ID","value":"187-10"},{"id":16,"name":"Locomotive ID","value":"4009"},{"id":130,"name":"Impact","value":""},{"id":150,"name":"Time of Event (Mountain Time)","value":"15:06:07"},{"id":151,"name":"Denver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1" s="53"/>
      <c r="AK101" s="53"/>
      <c r="AL101" s="53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</row>
    <row r="102" spans="1:91" s="21" customFormat="1" x14ac:dyDescent="0.25">
      <c r="A102" s="37" t="s">
        <v>427</v>
      </c>
      <c r="B102" s="7">
        <v>4010</v>
      </c>
      <c r="C102" s="22" t="s">
        <v>207</v>
      </c>
      <c r="D102" s="22" t="s">
        <v>363</v>
      </c>
      <c r="E102" s="13">
        <v>42714.640868055554</v>
      </c>
      <c r="F102" s="13">
        <v>42714.643321759257</v>
      </c>
      <c r="G102" s="7">
        <v>1</v>
      </c>
      <c r="H102" s="22" t="s">
        <v>732</v>
      </c>
      <c r="I102" s="13">
        <v>42714.674756944441</v>
      </c>
      <c r="J102" s="7">
        <v>1</v>
      </c>
      <c r="K102" s="109" t="str">
        <f t="shared" si="47"/>
        <v>4009/4010</v>
      </c>
      <c r="L102" s="22" t="str">
        <f>VLOOKUP(A102,'Trips&amp;Operators'!$C$1:$G$99999,5,FALSE)</f>
        <v>STEWART MICHAEL</v>
      </c>
      <c r="M102" s="6">
        <f t="shared" si="48"/>
        <v>3.1435185184818693E-2</v>
      </c>
      <c r="N102" s="7">
        <f t="shared" si="60"/>
        <v>45.266666666138917</v>
      </c>
      <c r="O102" s="7"/>
      <c r="P102" s="7"/>
      <c r="Q102" s="23"/>
      <c r="R102" s="23"/>
      <c r="S102" s="35">
        <f t="shared" si="62"/>
        <v>1</v>
      </c>
      <c r="T102" s="50" t="str">
        <f t="shared" si="49"/>
        <v>Southbound</v>
      </c>
      <c r="U102" s="171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98" t="str">
        <f t="shared" si="50"/>
        <v>https://search-rtdc-monitor-bjffxe2xuh6vdkpspy63sjmuny.us-east-1.es.amazonaws.com/_plugin/kibana/#/discover/Steve-Slow-Train-Analysis-(2080s-and-2083s)?_g=(refreshInterval:(display:Off,section:0,value:0),time:(from:'2016-12-10 14:22:51-700',mode:absolute,to:'2016-12-10 17:11:39-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201053%20OR%202087)%20AND%20%22rtdc.l.rtdc.4010%22')),sort:!(Time,asc))</v>
      </c>
      <c r="W102" s="52" t="str">
        <f t="shared" si="51"/>
        <v>N</v>
      </c>
      <c r="X102" s="177">
        <f t="shared" si="52"/>
        <v>1</v>
      </c>
      <c r="Y102" s="67">
        <f t="shared" si="63"/>
        <v>23.2971</v>
      </c>
      <c r="Z102" s="67">
        <f t="shared" si="61"/>
        <v>8.7999999999999995E-2</v>
      </c>
      <c r="AA102" s="67">
        <f t="shared" si="53"/>
        <v>23.209099999999999</v>
      </c>
      <c r="AB102" s="64" t="e">
        <f>VLOOKUP(A102,Enforcements!$C$7:$K$20,8,0)</f>
        <v>#N/A</v>
      </c>
      <c r="AC102" s="60" t="e">
        <f>VLOOKUP(A102,Enforcements!$C$7:$E$20,3,0)</f>
        <v>#N/A</v>
      </c>
      <c r="AD102" s="61" t="str">
        <f t="shared" si="54"/>
        <v>0188-10</v>
      </c>
      <c r="AE102" s="91" t="str">
        <f t="shared" si="55"/>
        <v>aws s3 cp s3://rtdc.mdm.uploadarchive.raw/RTDC4010/ "%USERPROFILE%\AppData\Local\Temp\OnboardLogs"\RTDC4010\2016-12-10 --exclude "*" --recursive --include "*20161210*" &amp; "%USERPROFILE%\Documents\GitHub\mrs-test-scripts\Headless Mode &amp; Sideloading\WalkAndUnGZ.bat" "%USERPROFILE%\AppData\Local\Temp\OnboardLogs"\RTDC4010\2016-12-10 &amp; aws s3 cp s3://rtdc.mdm.uploadarchive.raw/RTDC4010/ "%USERPROFILE%\AppData\Local\Temp\OnboardLogs"\RTDC4010\2016-12-11 --exclude "*" --recursive --include "*20161211*" &amp; "%USERPROFILE%\Documents\GitHub\mrs-test-scripts\Headless Mode &amp; Sideloading\WalkAndUnGZ.bat" "%USERPROFILE%\AppData\Local\Temp\OnboardLogs"\RTDC4010\2016-12-11</v>
      </c>
      <c r="AF102" s="88" t="str">
        <f t="shared" si="56"/>
        <v>"C:\Program Files (x86)\AstroGrep\AstroGrep.exe" /spath="%USERPROFILE%\AppData\Local\Temp\OnboardLogs" /stypes="app*4010*20161210*" /stext=" 23:.+((SYSTEM_STATE.+slice.+state.+changed )|(ment ac)|(multiple cpu faults)|(system.+state.+changed )|(\[timeout)|(PRM\|1\|D)|(kpr)|(kdp)|(\|lc)|(penalty))" /e /r /s</v>
      </c>
      <c r="AG102" s="1" t="str">
        <f t="shared" si="57"/>
        <v>EC</v>
      </c>
      <c r="AH102" s="92" t="str">
        <f t="shared" si="58"/>
        <v>"%USERPROFILE%\Documents\GitHub\eaglep3\Utilities\RefineRTDCRunTimes.py" --tripid 188-10 --locoid 4010 --swversion DE.1.0.8.0 --startMP 204:232971 --initTime 2016-12-10T15:22:51 --startdatetime 2016-12-10T15:26:23 --delay 1 --endMP 204:880 --enddatetime 2016-12-10T16:11:39 --enforcementcount 1 &gt;&gt;C:\Users\stu\Documents\GitHub\eaglep3-reporting\EC\2016-12-10-refined-times.txt</v>
      </c>
      <c r="AI102" s="119" t="str">
        <f t="shared" si="59"/>
        <v>echo {"issue":{"subject":"","project_id":79,"tracker_id":40,"status_id":1,"priority_id":2,"assigned_to_id":23,"start_date":"2016-12-10","description":"","custom_fields":[{"id":1,"name":"Subdivision","value":"EC"},{"id":4,"name":"Milepost","value":"0.088"},{"id":17,"name":"Train ID","value":"188-10"},{"id":16,"name":"Locomotive ID","value":"4010"},{"id":130,"name":"Impact","value":""},{"id":150,"name":"Time of Event (Mountain Time)","value":"16:11:39"},{"id":151,"name":"Denver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2" s="53"/>
      <c r="AK102" s="53"/>
      <c r="AL102" s="53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</row>
    <row r="103" spans="1:91" s="21" customFormat="1" x14ac:dyDescent="0.25">
      <c r="A103" s="37" t="s">
        <v>561</v>
      </c>
      <c r="B103" s="7">
        <v>4016</v>
      </c>
      <c r="C103" s="22" t="s">
        <v>207</v>
      </c>
      <c r="D103" s="22" t="s">
        <v>733</v>
      </c>
      <c r="E103" s="13">
        <v>42714.61173611111</v>
      </c>
      <c r="F103" s="13">
        <v>42714.614722222221</v>
      </c>
      <c r="G103" s="7">
        <v>1</v>
      </c>
      <c r="H103" s="22" t="s">
        <v>395</v>
      </c>
      <c r="I103" s="13">
        <v>42714.639837962961</v>
      </c>
      <c r="J103" s="7">
        <v>1</v>
      </c>
      <c r="K103" s="109" t="str">
        <f t="shared" si="47"/>
        <v>4015/4016</v>
      </c>
      <c r="L103" s="22" t="str">
        <f>VLOOKUP(A103,'Trips&amp;Operators'!$C$1:$G$99999,5,FALSE)</f>
        <v>BARTLETT KIANDRA</v>
      </c>
      <c r="M103" s="6">
        <f t="shared" si="48"/>
        <v>2.5115740740147885E-2</v>
      </c>
      <c r="N103" s="7">
        <f t="shared" si="60"/>
        <v>36.166666665812954</v>
      </c>
      <c r="O103" s="7"/>
      <c r="P103" s="7"/>
      <c r="Q103" s="23"/>
      <c r="R103" s="23"/>
      <c r="S103" s="35">
        <f t="shared" si="62"/>
        <v>1</v>
      </c>
      <c r="T103" s="50" t="str">
        <f t="shared" si="49"/>
        <v>NorthBound</v>
      </c>
      <c r="U103" s="171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98" t="str">
        <f t="shared" si="50"/>
        <v>https://search-rtdc-monitor-bjffxe2xuh6vdkpspy63sjmuny.us-east-1.es.amazonaws.com/_plugin/kibana/#/discover/Steve-Slow-Train-Analysis-(2080s-and-2083s)?_g=(refreshInterval:(display:Off,section:0,value:0),time:(from:'2016-12-10 13:40:54-700',mode:absolute,to:'2016-12-10 16:21:22-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201053%20OR%202087)%20AND%20%22rtdc.l.rtdc.4016%22')),sort:!(Time,asc))</v>
      </c>
      <c r="W103" s="52" t="str">
        <f t="shared" si="51"/>
        <v>N</v>
      </c>
      <c r="X103" s="177">
        <f t="shared" si="52"/>
        <v>1</v>
      </c>
      <c r="Y103" s="67">
        <f t="shared" si="63"/>
        <v>4.7800000000000002E-2</v>
      </c>
      <c r="Z103" s="67">
        <f t="shared" si="61"/>
        <v>23.3308</v>
      </c>
      <c r="AA103" s="67">
        <f t="shared" si="53"/>
        <v>23.283000000000001</v>
      </c>
      <c r="AB103" s="64" t="e">
        <f>VLOOKUP(A103,Enforcements!$C$7:$K$20,8,0)</f>
        <v>#N/A</v>
      </c>
      <c r="AC103" s="60" t="e">
        <f>VLOOKUP(A103,Enforcements!$C$7:$E$20,3,0)</f>
        <v>#N/A</v>
      </c>
      <c r="AD103" s="61" t="str">
        <f t="shared" si="54"/>
        <v>0189-10</v>
      </c>
      <c r="AE103" s="91" t="str">
        <f t="shared" si="55"/>
        <v>aws s3 cp s3://rtdc.mdm.uploadarchive.raw/RTDC4016/ "%USERPROFILE%\AppData\Local\Temp\OnboardLogs"\RTDC4016\2016-12-10 --exclude "*" --recursive --include "*20161210*" &amp; "%USERPROFILE%\Documents\GitHub\mrs-test-scripts\Headless Mode &amp; Sideloading\WalkAndUnGZ.bat" "%USERPROFILE%\AppData\Local\Temp\OnboardLogs"\RTDC4016\2016-12-10 &amp; aws s3 cp s3://rtdc.mdm.uploadarchive.raw/RTDC4016/ "%USERPROFILE%\AppData\Local\Temp\OnboardLogs"\RTDC4016\2016-12-11 --exclude "*" --recursive --include "*20161211*" &amp; "%USERPROFILE%\Documents\GitHub\mrs-test-scripts\Headless Mode &amp; Sideloading\WalkAndUnGZ.bat" "%USERPROFILE%\AppData\Local\Temp\OnboardLogs"\RTDC4016\2016-12-11</v>
      </c>
      <c r="AF103" s="88" t="str">
        <f t="shared" si="56"/>
        <v>"C:\Program Files (x86)\AstroGrep\AstroGrep.exe" /spath="%USERPROFILE%\AppData\Local\Temp\OnboardLogs" /stypes="app*4016*20161210*" /stext=" 22:.+((SYSTEM_STATE.+slice.+state.+changed )|(ment ac)|(multiple cpu faults)|(system.+state.+changed )|(\[timeout)|(PRM\|1\|D)|(kpr)|(kdp)|(\|lc)|(penalty))" /e /r /s</v>
      </c>
      <c r="AG103" s="1" t="str">
        <f t="shared" si="57"/>
        <v>EC</v>
      </c>
      <c r="AH103" s="92" t="str">
        <f t="shared" si="58"/>
        <v>"%USERPROFILE%\Documents\GitHub\eaglep3\Utilities\RefineRTDCRunTimes.py" --tripid 189-10 --locoid 4016 --swversion DE.1.0.8.0 --startMP 204:478 --initTime 2016-12-10T14:40:54 --startdatetime 2016-12-10T14:45:12 --delay 1 --endMP 204:233308 --enddatetime 2016-12-10T15:21:22 --enforcementcount 1 &gt;&gt;C:\Users\stu\Documents\GitHub\eaglep3-reporting\EC\2016-12-10-refined-times.txt</v>
      </c>
      <c r="AI103" s="119" t="str">
        <f t="shared" si="59"/>
        <v>echo {"issue":{"subject":"","project_id":79,"tracker_id":40,"status_id":1,"priority_id":2,"assigned_to_id":23,"start_date":"2016-12-10","description":"","custom_fields":[{"id":1,"name":"Subdivision","value":"EC"},{"id":4,"name":"Milepost","value":"23.3308"},{"id":17,"name":"Train ID","value":"189-10"},{"id":16,"name":"Locomotive ID","value":"4016"},{"id":130,"name":"Impact","value":""},{"id":150,"name":"Time of Event (Mountain Time)","value":"15:21:22"},{"id":151,"name":"Denver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3" s="53"/>
      <c r="AK103" s="53"/>
      <c r="AL103" s="5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s="21" customFormat="1" x14ac:dyDescent="0.25">
      <c r="A104" s="37" t="s">
        <v>567</v>
      </c>
      <c r="B104" s="7">
        <v>4015</v>
      </c>
      <c r="C104" s="22" t="s">
        <v>207</v>
      </c>
      <c r="D104" s="22" t="s">
        <v>300</v>
      </c>
      <c r="E104" s="13">
        <v>42714.643229166664</v>
      </c>
      <c r="F104" s="13">
        <v>42714.654074074075</v>
      </c>
      <c r="G104" s="7">
        <v>1</v>
      </c>
      <c r="H104" s="22" t="s">
        <v>691</v>
      </c>
      <c r="I104" s="13">
        <v>42714.680833333332</v>
      </c>
      <c r="J104" s="7">
        <v>1</v>
      </c>
      <c r="K104" s="109" t="str">
        <f t="shared" si="47"/>
        <v>4015/4016</v>
      </c>
      <c r="L104" s="22" t="str">
        <f>VLOOKUP(A104,'Trips&amp;Operators'!$C$1:$G$99999,5,FALSE)</f>
        <v>BARTLETT KIANDRA</v>
      </c>
      <c r="M104" s="6">
        <f t="shared" si="48"/>
        <v>2.675925925723277E-2</v>
      </c>
      <c r="N104" s="7">
        <f t="shared" si="60"/>
        <v>38.533333330415189</v>
      </c>
      <c r="O104" s="7"/>
      <c r="P104" s="7"/>
      <c r="Q104" s="23"/>
      <c r="R104" s="23"/>
      <c r="S104" s="35">
        <f t="shared" si="62"/>
        <v>1</v>
      </c>
      <c r="T104" s="50" t="str">
        <f t="shared" si="49"/>
        <v>Southbound</v>
      </c>
      <c r="U104" s="171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98" t="str">
        <f t="shared" si="50"/>
        <v>https://search-rtdc-monitor-bjffxe2xuh6vdkpspy63sjmuny.us-east-1.es.amazonaws.com/_plugin/kibana/#/discover/Steve-Slow-Train-Analysis-(2080s-and-2083s)?_g=(refreshInterval:(display:Off,section:0,value:0),time:(from:'2016-12-10 14:26:15-700',mode:absolute,to:'2016-12-10 17:20:24-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201053%20OR%202087)%20AND%20%22rtdc.l.rtdc.4015%22')),sort:!(Time,asc))</v>
      </c>
      <c r="W104" s="52" t="str">
        <f t="shared" si="51"/>
        <v>N</v>
      </c>
      <c r="X104" s="177">
        <f t="shared" si="52"/>
        <v>1</v>
      </c>
      <c r="Y104" s="67">
        <f t="shared" si="63"/>
        <v>23.299399999999999</v>
      </c>
      <c r="Z104" s="67">
        <f t="shared" si="61"/>
        <v>1.6899999999999998E-2</v>
      </c>
      <c r="AA104" s="67">
        <f t="shared" si="53"/>
        <v>23.282499999999999</v>
      </c>
      <c r="AB104" s="64" t="e">
        <f>VLOOKUP(A104,Enforcements!$C$7:$K$20,8,0)</f>
        <v>#N/A</v>
      </c>
      <c r="AC104" s="60" t="e">
        <f>VLOOKUP(A104,Enforcements!$C$7:$E$20,3,0)</f>
        <v>#N/A</v>
      </c>
      <c r="AD104" s="61" t="str">
        <f t="shared" si="54"/>
        <v>0190-10</v>
      </c>
      <c r="AE104" s="91" t="str">
        <f t="shared" si="55"/>
        <v>aws s3 cp s3://rtdc.mdm.uploadarchive.raw/RTDC4015/ "%USERPROFILE%\AppData\Local\Temp\OnboardLogs"\RTDC4015\2016-12-10 --exclude "*" --recursive --include "*20161210*" &amp; "%USERPROFILE%\Documents\GitHub\mrs-test-scripts\Headless Mode &amp; Sideloading\WalkAndUnGZ.bat" "%USERPROFILE%\AppData\Local\Temp\OnboardLogs"\RTDC4015\2016-12-10 &amp; aws s3 cp s3://rtdc.mdm.uploadarchive.raw/RTDC4015/ "%USERPROFILE%\AppData\Local\Temp\OnboardLogs"\RTDC4015\2016-12-11 --exclude "*" --recursive --include "*20161211*" &amp; "%USERPROFILE%\Documents\GitHub\mrs-test-scripts\Headless Mode &amp; Sideloading\WalkAndUnGZ.bat" "%USERPROFILE%\AppData\Local\Temp\OnboardLogs"\RTDC4015\2016-12-11</v>
      </c>
      <c r="AF104" s="88" t="str">
        <f t="shared" si="56"/>
        <v>"C:\Program Files (x86)\AstroGrep\AstroGrep.exe" /spath="%USERPROFILE%\AppData\Local\Temp\OnboardLogs" /stypes="app*4015*20161210*" /stext=" 23:.+((SYSTEM_STATE.+slice.+state.+changed )|(ment ac)|(multiple cpu faults)|(system.+state.+changed )|(\[timeout)|(PRM\|1\|D)|(kpr)|(kdp)|(\|lc)|(penalty))" /e /r /s</v>
      </c>
      <c r="AG104" s="1" t="str">
        <f t="shared" si="57"/>
        <v>EC</v>
      </c>
      <c r="AH104" s="92" t="str">
        <f t="shared" si="58"/>
        <v>"%USERPROFILE%\Documents\GitHub\eaglep3\Utilities\RefineRTDCRunTimes.py" --tripid 190-10 --locoid 4015 --swversion DE.1.0.8.0 --startMP 204:232994 --initTime 2016-12-10T15:26:15 --startdatetime 2016-12-10T15:41:52 --delay 1 --endMP 204:169 --enddatetime 2016-12-10T16:20:24 --enforcementcount 1 &gt;&gt;C:\Users\stu\Documents\GitHub\eaglep3-reporting\EC\2016-12-10-refined-times.txt</v>
      </c>
      <c r="AI104" s="119" t="str">
        <f t="shared" si="59"/>
        <v>echo {"issue":{"subject":"","project_id":79,"tracker_id":40,"status_id":1,"priority_id":2,"assigned_to_id":23,"start_date":"2016-12-10","description":"","custom_fields":[{"id":1,"name":"Subdivision","value":"EC"},{"id":4,"name":"Milepost","value":"0.0169"},{"id":17,"name":"Train ID","value":"190-10"},{"id":16,"name":"Locomotive ID","value":"4015"},{"id":130,"name":"Impact","value":""},{"id":150,"name":"Time of Event (Mountain Time)","value":"16:20:24"},{"id":151,"name":"Denver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4" s="53"/>
      <c r="AK104" s="53"/>
      <c r="AL104" s="53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s="21" customFormat="1" x14ac:dyDescent="0.25">
      <c r="A105" s="37" t="s">
        <v>425</v>
      </c>
      <c r="B105" s="7">
        <v>4040</v>
      </c>
      <c r="C105" s="22" t="s">
        <v>207</v>
      </c>
      <c r="D105" s="22" t="s">
        <v>227</v>
      </c>
      <c r="E105" s="13">
        <v>42714.622557870367</v>
      </c>
      <c r="F105" s="13">
        <v>42714.625277777777</v>
      </c>
      <c r="G105" s="7">
        <v>1</v>
      </c>
      <c r="H105" s="22" t="s">
        <v>659</v>
      </c>
      <c r="I105" s="13">
        <v>42714.650763888887</v>
      </c>
      <c r="J105" s="7">
        <v>1</v>
      </c>
      <c r="K105" s="109" t="str">
        <f t="shared" si="47"/>
        <v>4039/4040</v>
      </c>
      <c r="L105" s="22" t="str">
        <f>VLOOKUP(A105,'Trips&amp;Operators'!$C$1:$G$99999,5,FALSE)</f>
        <v>MOSES BRADLEY</v>
      </c>
      <c r="M105" s="6">
        <f t="shared" si="48"/>
        <v>2.548611110978527E-2</v>
      </c>
      <c r="N105" s="7">
        <f t="shared" si="60"/>
        <v>36.699999998090789</v>
      </c>
      <c r="O105" s="7"/>
      <c r="P105" s="7"/>
      <c r="Q105" s="23"/>
      <c r="R105" s="23"/>
      <c r="S105" s="35">
        <f t="shared" si="62"/>
        <v>1</v>
      </c>
      <c r="T105" s="50" t="str">
        <f t="shared" si="49"/>
        <v>NorthBound</v>
      </c>
      <c r="U105" s="171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98" t="str">
        <f t="shared" si="50"/>
        <v>https://search-rtdc-monitor-bjffxe2xuh6vdkpspy63sjmuny.us-east-1.es.amazonaws.com/_plugin/kibana/#/discover/Steve-Slow-Train-Analysis-(2080s-and-2083s)?_g=(refreshInterval:(display:Off,section:0,value:0),time:(from:'2016-12-10 13:56:29-700',mode:absolute,to:'2016-12-10 16:37:06-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201053%20OR%202087)%20AND%20%22rtdc.l.rtdc.4040%22')),sort:!(Time,asc))</v>
      </c>
      <c r="W105" s="52" t="str">
        <f t="shared" si="51"/>
        <v>N</v>
      </c>
      <c r="X105" s="177">
        <f t="shared" si="52"/>
        <v>1</v>
      </c>
      <c r="Y105" s="67">
        <f t="shared" si="63"/>
        <v>4.6600000000000003E-2</v>
      </c>
      <c r="Z105" s="67">
        <f t="shared" si="61"/>
        <v>23.332599999999999</v>
      </c>
      <c r="AA105" s="67">
        <f t="shared" si="53"/>
        <v>23.285999999999998</v>
      </c>
      <c r="AB105" s="64" t="str">
        <f>VLOOKUP(A105,Enforcements!$C$7:$K$20,8,0)</f>
        <v>Track device (7)</v>
      </c>
      <c r="AC105" s="60" t="str">
        <f>VLOOKUP(A105,Enforcements!$C$7:$E$20,3,0)</f>
        <v>SWITCH UNKNOWN</v>
      </c>
      <c r="AD105" s="61" t="str">
        <f t="shared" si="54"/>
        <v>0191-10</v>
      </c>
      <c r="AE105" s="91" t="str">
        <f t="shared" si="55"/>
        <v>aws s3 cp s3://rtdc.mdm.uploadarchive.raw/RTDC4040/ "%USERPROFILE%\AppData\Local\Temp\OnboardLogs"\RTDC4040\2016-12-10 --exclude "*" --recursive --include "*20161210*" &amp; "%USERPROFILE%\Documents\GitHub\mrs-test-scripts\Headless Mode &amp; Sideloading\WalkAndUnGZ.bat" "%USERPROFILE%\AppData\Local\Temp\OnboardLogs"\RTDC4040\2016-12-10 &amp; aws s3 cp s3://rtdc.mdm.uploadarchive.raw/RTDC4040/ "%USERPROFILE%\AppData\Local\Temp\OnboardLogs"\RTDC4040\2016-12-11 --exclude "*" --recursive --include "*20161211*" &amp; "%USERPROFILE%\Documents\GitHub\mrs-test-scripts\Headless Mode &amp; Sideloading\WalkAndUnGZ.bat" "%USERPROFILE%\AppData\Local\Temp\OnboardLogs"\RTDC4040\2016-12-11</v>
      </c>
      <c r="AF105" s="88" t="str">
        <f t="shared" si="56"/>
        <v>"C:\Program Files (x86)\AstroGrep\AstroGrep.exe" /spath="%USERPROFILE%\AppData\Local\Temp\OnboardLogs" /stypes="app*4040*20161210*" /stext=" 22:.+((SYSTEM_STATE.+slice.+state.+changed )|(ment ac)|(multiple cpu faults)|(system.+state.+changed )|(\[timeout)|(PRM\|1\|D)|(kpr)|(kdp)|(\|lc)|(penalty))" /e /r /s</v>
      </c>
      <c r="AG105" s="1" t="str">
        <f t="shared" si="57"/>
        <v>EC</v>
      </c>
      <c r="AH105" s="92" t="str">
        <f t="shared" si="58"/>
        <v>"%USERPROFILE%\Documents\GitHub\eaglep3\Utilities\RefineRTDCRunTimes.py" --tripid 191-10 --locoid 4040 --swversion DE.1.0.8.0 --startMP 204:466 --initTime 2016-12-10T14:56:29 --startdatetime 2016-12-10T15:00:24 --delay 1 --endMP 204:233326 --enddatetime 2016-12-10T15:37:06 --enforcementcount 1 &gt;&gt;C:\Users\stu\Documents\GitHub\eaglep3-reporting\EC\2016-12-10-refined-times.txt</v>
      </c>
      <c r="AI105" s="119" t="str">
        <f t="shared" si="59"/>
        <v>echo {"issue":{"subject":"","project_id":79,"tracker_id":40,"status_id":1,"priority_id":2,"assigned_to_id":23,"start_date":"2016-12-10","description":"","custom_fields":[{"id":1,"name":"Subdivision","value":"EC"},{"id":4,"name":"Milepost","value":"23.3326"},{"id":17,"name":"Train ID","value":"191-10"},{"id":16,"name":"Locomotive ID","value":"4040"},{"id":130,"name":"Impact","value":""},{"id":150,"name":"Time of Event (Mountain Time)","value":"15:37:06"},{"id":151,"name":"Denver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5" s="53"/>
      <c r="AK105" s="53"/>
      <c r="AL105" s="53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s="21" customFormat="1" x14ac:dyDescent="0.25">
      <c r="A106" s="37" t="s">
        <v>569</v>
      </c>
      <c r="B106" s="7">
        <v>4039</v>
      </c>
      <c r="C106" s="22" t="s">
        <v>207</v>
      </c>
      <c r="D106" s="22" t="s">
        <v>388</v>
      </c>
      <c r="E106" s="13">
        <v>42714.660821759258</v>
      </c>
      <c r="F106" s="13">
        <v>42714.664155092592</v>
      </c>
      <c r="G106" s="7">
        <v>1</v>
      </c>
      <c r="H106" s="22" t="s">
        <v>265</v>
      </c>
      <c r="I106" s="13">
        <v>42714.693993055553</v>
      </c>
      <c r="J106" s="7">
        <v>1</v>
      </c>
      <c r="K106" s="109" t="str">
        <f t="shared" si="47"/>
        <v>4039/4040</v>
      </c>
      <c r="L106" s="22" t="str">
        <f>VLOOKUP(A106,'Trips&amp;Operators'!$C$1:$G$99999,5,FALSE)</f>
        <v>MOSES BRADLEY</v>
      </c>
      <c r="M106" s="6">
        <f t="shared" si="48"/>
        <v>2.9837962960300501E-2</v>
      </c>
      <c r="N106" s="7">
        <f t="shared" si="60"/>
        <v>42.966666662832722</v>
      </c>
      <c r="O106" s="7"/>
      <c r="P106" s="7"/>
      <c r="Q106" s="23"/>
      <c r="R106" s="23"/>
      <c r="S106" s="35">
        <f t="shared" si="62"/>
        <v>1</v>
      </c>
      <c r="T106" s="50" t="str">
        <f t="shared" si="49"/>
        <v>Southbound</v>
      </c>
      <c r="U106" s="171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98" t="str">
        <f t="shared" si="50"/>
        <v>https://search-rtdc-monitor-bjffxe2xuh6vdkpspy63sjmuny.us-east-1.es.amazonaws.com/_plugin/kibana/#/discover/Steve-Slow-Train-Analysis-(2080s-and-2083s)?_g=(refreshInterval:(display:Off,section:0,value:0),time:(from:'2016-12-10 14:51:35-700',mode:absolute,to:'2016-12-10 17:39:21-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201053%20OR%202087)%20AND%20%22rtdc.l.rtdc.4039%22')),sort:!(Time,asc))</v>
      </c>
      <c r="W106" s="52" t="str">
        <f t="shared" si="51"/>
        <v>N</v>
      </c>
      <c r="X106" s="177">
        <f t="shared" si="52"/>
        <v>1</v>
      </c>
      <c r="Y106" s="67">
        <f t="shared" si="63"/>
        <v>23.301100000000002</v>
      </c>
      <c r="Z106" s="67">
        <f t="shared" si="61"/>
        <v>1.6299999999999999E-2</v>
      </c>
      <c r="AA106" s="67">
        <f t="shared" si="53"/>
        <v>23.284800000000001</v>
      </c>
      <c r="AB106" s="64" t="e">
        <f>VLOOKUP(A106,Enforcements!$C$7:$K$20,8,0)</f>
        <v>#N/A</v>
      </c>
      <c r="AC106" s="60" t="e">
        <f>VLOOKUP(A106,Enforcements!$C$7:$E$20,3,0)</f>
        <v>#N/A</v>
      </c>
      <c r="AD106" s="61" t="str">
        <f t="shared" si="54"/>
        <v>0192-10</v>
      </c>
      <c r="AE106" s="91" t="str">
        <f t="shared" si="55"/>
        <v>aws s3 cp s3://rtdc.mdm.uploadarchive.raw/RTDC4039/ "%USERPROFILE%\AppData\Local\Temp\OnboardLogs"\RTDC4039\2016-12-10 --exclude "*" --recursive --include "*20161210*" &amp; "%USERPROFILE%\Documents\GitHub\mrs-test-scripts\Headless Mode &amp; Sideloading\WalkAndUnGZ.bat" "%USERPROFILE%\AppData\Local\Temp\OnboardLogs"\RTDC4039\2016-12-10 &amp; aws s3 cp s3://rtdc.mdm.uploadarchive.raw/RTDC4039/ "%USERPROFILE%\AppData\Local\Temp\OnboardLogs"\RTDC4039\2016-12-11 --exclude "*" --recursive --include "*20161211*" &amp; "%USERPROFILE%\Documents\GitHub\mrs-test-scripts\Headless Mode &amp; Sideloading\WalkAndUnGZ.bat" "%USERPROFILE%\AppData\Local\Temp\OnboardLogs"\RTDC4039\2016-12-11</v>
      </c>
      <c r="AF106" s="88" t="str">
        <f t="shared" si="56"/>
        <v>"C:\Program Files (x86)\AstroGrep\AstroGrep.exe" /spath="%USERPROFILE%\AppData\Local\Temp\OnboardLogs" /stypes="app*4039*20161210*" /stext=" 23:.+((SYSTEM_STATE.+slice.+state.+changed )|(ment ac)|(multiple cpu faults)|(system.+state.+changed )|(\[timeout)|(PRM\|1\|D)|(kpr)|(kdp)|(\|lc)|(penalty))" /e /r /s</v>
      </c>
      <c r="AG106" s="1" t="str">
        <f t="shared" si="57"/>
        <v>EC</v>
      </c>
      <c r="AH106" s="92" t="str">
        <f t="shared" si="58"/>
        <v>"%USERPROFILE%\Documents\GitHub\eaglep3\Utilities\RefineRTDCRunTimes.py" --tripid 192-10 --locoid 4039 --swversion DE.1.0.8.0 --startMP 204:233011 --initTime 2016-12-10T15:51:35 --startdatetime 2016-12-10T15:56:23 --delay 1 --endMP 204:163 --enddatetime 2016-12-10T16:39:21 --enforcementcount 1 &gt;&gt;C:\Users\stu\Documents\GitHub\eaglep3-reporting\EC\2016-12-10-refined-times.txt</v>
      </c>
      <c r="AI106" s="119" t="str">
        <f t="shared" si="59"/>
        <v>echo {"issue":{"subject":"","project_id":79,"tracker_id":40,"status_id":1,"priority_id":2,"assigned_to_id":23,"start_date":"2016-12-10","description":"","custom_fields":[{"id":1,"name":"Subdivision","value":"EC"},{"id":4,"name":"Milepost","value":"0.0163"},{"id":17,"name":"Train ID","value":"192-10"},{"id":16,"name":"Locomotive ID","value":"4039"},{"id":130,"name":"Impact","value":""},{"id":150,"name":"Time of Event (Mountain Time)","value":"16:39:21"},{"id":151,"name":"Denver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6" s="53"/>
      <c r="AK106" s="53"/>
      <c r="AL106" s="53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</row>
    <row r="107" spans="1:91" x14ac:dyDescent="0.25">
      <c r="A107" s="37" t="s">
        <v>565</v>
      </c>
      <c r="B107" s="7">
        <v>4025</v>
      </c>
      <c r="C107" s="22" t="s">
        <v>207</v>
      </c>
      <c r="D107" s="22" t="s">
        <v>234</v>
      </c>
      <c r="E107" s="13">
        <v>42714.632152777776</v>
      </c>
      <c r="F107" s="13">
        <v>42714.635601851849</v>
      </c>
      <c r="G107" s="7">
        <v>1</v>
      </c>
      <c r="H107" s="22" t="s">
        <v>737</v>
      </c>
      <c r="I107" s="13">
        <v>42714.66064814815</v>
      </c>
      <c r="J107" s="7">
        <v>1</v>
      </c>
      <c r="K107" s="109" t="str">
        <f t="shared" si="47"/>
        <v>4025/4026</v>
      </c>
      <c r="L107" s="22" t="str">
        <f>VLOOKUP(A107,'Trips&amp;Operators'!$C$1:$G$99999,5,FALSE)</f>
        <v>SHOOK JOHN</v>
      </c>
      <c r="M107" s="6">
        <f t="shared" si="48"/>
        <v>2.5046296301297843E-2</v>
      </c>
      <c r="N107" s="7">
        <f t="shared" si="60"/>
        <v>36.066666673868895</v>
      </c>
      <c r="O107" s="7"/>
      <c r="P107" s="7"/>
      <c r="Q107" s="23"/>
      <c r="R107" s="23"/>
      <c r="S107" s="35">
        <f t="shared" si="62"/>
        <v>1</v>
      </c>
      <c r="T107" s="50" t="str">
        <f t="shared" si="49"/>
        <v>NorthBound</v>
      </c>
      <c r="U107" s="171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98" t="str">
        <f t="shared" si="50"/>
        <v>https://search-rtdc-monitor-bjffxe2xuh6vdkpspy63sjmuny.us-east-1.es.amazonaws.com/_plugin/kibana/#/discover/Steve-Slow-Train-Analysis-(2080s-and-2083s)?_g=(refreshInterval:(display:Off,section:0,value:0),time:(from:'2016-12-10 14:10:18-700',mode:absolute,to:'2016-12-10 16:51:20-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201053%20OR%202087)%20AND%20%22rtdc.l.rtdc.4025%22')),sort:!(Time,asc))</v>
      </c>
      <c r="W107" s="52" t="str">
        <f t="shared" si="51"/>
        <v>N</v>
      </c>
      <c r="X107" s="177">
        <f t="shared" si="52"/>
        <v>1</v>
      </c>
      <c r="Y107" s="67">
        <f t="shared" si="63"/>
        <v>4.5499999999999999E-2</v>
      </c>
      <c r="Z107" s="67">
        <f t="shared" si="61"/>
        <v>23.333400000000001</v>
      </c>
      <c r="AA107" s="67">
        <f t="shared" si="53"/>
        <v>23.2879</v>
      </c>
      <c r="AB107" s="64" t="e">
        <f>VLOOKUP(A107,Enforcements!$C$7:$K$20,8,0)</f>
        <v>#N/A</v>
      </c>
      <c r="AC107" s="60" t="e">
        <f>VLOOKUP(A107,Enforcements!$C$7:$E$20,3,0)</f>
        <v>#N/A</v>
      </c>
      <c r="AD107" s="61" t="str">
        <f t="shared" si="54"/>
        <v>0193-10</v>
      </c>
      <c r="AE107" s="91" t="str">
        <f t="shared" si="55"/>
        <v>aws s3 cp s3://rtdc.mdm.uploadarchive.raw/RTDC4025/ "%USERPROFILE%\AppData\Local\Temp\OnboardLogs"\RTDC4025\2016-12-10 --exclude "*" --recursive --include "*20161210*" &amp; "%USERPROFILE%\Documents\GitHub\mrs-test-scripts\Headless Mode &amp; Sideloading\WalkAndUnGZ.bat" "%USERPROFILE%\AppData\Local\Temp\OnboardLogs"\RTDC4025\2016-12-10 &amp; aws s3 cp s3://rtdc.mdm.uploadarchive.raw/RTDC4025/ "%USERPROFILE%\AppData\Local\Temp\OnboardLogs"\RTDC4025\2016-12-11 --exclude "*" --recursive --include "*20161211*" &amp; "%USERPROFILE%\Documents\GitHub\mrs-test-scripts\Headless Mode &amp; Sideloading\WalkAndUnGZ.bat" "%USERPROFILE%\AppData\Local\Temp\OnboardLogs"\RTDC4025\2016-12-11</v>
      </c>
      <c r="AF107" s="88" t="str">
        <f t="shared" si="56"/>
        <v>"C:\Program Files (x86)\AstroGrep\AstroGrep.exe" /spath="%USERPROFILE%\AppData\Local\Temp\OnboardLogs" /stypes="app*4025*20161210*" /stext=" 22:.+((SYSTEM_STATE.+slice.+state.+changed )|(ment ac)|(multiple cpu faults)|(system.+state.+changed )|(\[timeout)|(PRM\|1\|D)|(kpr)|(kdp)|(\|lc)|(penalty))" /e /r /s</v>
      </c>
      <c r="AG107" s="1" t="str">
        <f t="shared" si="57"/>
        <v>EC</v>
      </c>
      <c r="AH107" s="92" t="str">
        <f t="shared" si="58"/>
        <v>"%USERPROFILE%\Documents\GitHub\eaglep3\Utilities\RefineRTDCRunTimes.py" --tripid 193-10 --locoid 4025 --swversion DE.1.0.8.0 --startMP 204:455 --initTime 2016-12-10T15:10:18 --startdatetime 2016-12-10T15:15:16 --delay 1 --endMP 204:233334 --enddatetime 2016-12-10T15:51:20 --enforcementcount 1 &gt;&gt;C:\Users\stu\Documents\GitHub\eaglep3-reporting\EC\2016-12-10-refined-times.txt</v>
      </c>
      <c r="AI107" s="119" t="str">
        <f t="shared" si="59"/>
        <v>echo {"issue":{"subject":"","project_id":79,"tracker_id":40,"status_id":1,"priority_id":2,"assigned_to_id":23,"start_date":"2016-12-10","description":"","custom_fields":[{"id":1,"name":"Subdivision","value":"EC"},{"id":4,"name":"Milepost","value":"23.3334"},{"id":17,"name":"Train ID","value":"193-10"},{"id":16,"name":"Locomotive ID","value":"4025"},{"id":130,"name":"Impact","value":""},{"id":150,"name":"Time of Event (Mountain Time)","value":"15:51:20"},{"id":151,"name":"Denver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7" s="53"/>
      <c r="AK107" s="53"/>
      <c r="AL107" s="53"/>
    </row>
    <row r="108" spans="1:91" s="21" customFormat="1" x14ac:dyDescent="0.25">
      <c r="A108" s="37" t="s">
        <v>571</v>
      </c>
      <c r="B108" s="7">
        <v>4026</v>
      </c>
      <c r="C108" s="22" t="s">
        <v>207</v>
      </c>
      <c r="D108" s="22" t="s">
        <v>738</v>
      </c>
      <c r="E108" s="13">
        <v>42714.669675925928</v>
      </c>
      <c r="F108" s="13">
        <v>42714.674490740741</v>
      </c>
      <c r="G108" s="7">
        <v>1</v>
      </c>
      <c r="H108" s="22" t="s">
        <v>192</v>
      </c>
      <c r="I108" s="13">
        <v>42714.702604166669</v>
      </c>
      <c r="J108" s="7">
        <v>1</v>
      </c>
      <c r="K108" s="109" t="str">
        <f t="shared" si="47"/>
        <v>4025/4026</v>
      </c>
      <c r="L108" s="22" t="str">
        <f>VLOOKUP(A108,'Trips&amp;Operators'!$C$1:$G$99999,5,FALSE)</f>
        <v>SHOOK JOHN</v>
      </c>
      <c r="M108" s="6">
        <f t="shared" si="48"/>
        <v>2.8113425927585922E-2</v>
      </c>
      <c r="N108" s="7">
        <f t="shared" si="60"/>
        <v>40.483333335723728</v>
      </c>
      <c r="O108" s="7"/>
      <c r="P108" s="7"/>
      <c r="Q108" s="23"/>
      <c r="R108" s="23"/>
      <c r="S108" s="35">
        <f t="shared" si="62"/>
        <v>1</v>
      </c>
      <c r="T108" s="50" t="str">
        <f t="shared" si="49"/>
        <v>Southbound</v>
      </c>
      <c r="U108" s="171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98" t="str">
        <f t="shared" si="50"/>
        <v>https://search-rtdc-monitor-bjffxe2xuh6vdkpspy63sjmuny.us-east-1.es.amazonaws.com/_plugin/kibana/#/discover/Steve-Slow-Train-Analysis-(2080s-and-2083s)?_g=(refreshInterval:(display:Off,section:0,value:0),time:(from:'2016-12-10 15:04:20-700',mode:absolute,to:'2016-12-10 17:51:45-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201053%20OR%202087)%20AND%20%22rtdc.l.rtdc.4026%22')),sort:!(Time,asc))</v>
      </c>
      <c r="W108" s="52" t="str">
        <f t="shared" si="51"/>
        <v>N</v>
      </c>
      <c r="X108" s="177">
        <f t="shared" si="52"/>
        <v>1</v>
      </c>
      <c r="Y108" s="67">
        <f t="shared" si="63"/>
        <v>23.3032</v>
      </c>
      <c r="Z108" s="67">
        <f t="shared" si="61"/>
        <v>1.49E-2</v>
      </c>
      <c r="AA108" s="67">
        <f t="shared" si="53"/>
        <v>23.2883</v>
      </c>
      <c r="AB108" s="64" t="e">
        <f>VLOOKUP(A108,Enforcements!$C$7:$K$20,8,0)</f>
        <v>#N/A</v>
      </c>
      <c r="AC108" s="60" t="e">
        <f>VLOOKUP(A108,Enforcements!$C$7:$E$20,3,0)</f>
        <v>#N/A</v>
      </c>
      <c r="AD108" s="61" t="str">
        <f t="shared" si="54"/>
        <v>0194-10</v>
      </c>
      <c r="AE108" s="91" t="str">
        <f t="shared" si="55"/>
        <v>aws s3 cp s3://rtdc.mdm.uploadarchive.raw/RTDC4026/ "%USERPROFILE%\AppData\Local\Temp\OnboardLogs"\RTDC4026\2016-12-10 --exclude "*" --recursive --include "*20161210*" &amp; "%USERPROFILE%\Documents\GitHub\mrs-test-scripts\Headless Mode &amp; Sideloading\WalkAndUnGZ.bat" "%USERPROFILE%\AppData\Local\Temp\OnboardLogs"\RTDC4026\2016-12-10 &amp; aws s3 cp s3://rtdc.mdm.uploadarchive.raw/RTDC4026/ "%USERPROFILE%\AppData\Local\Temp\OnboardLogs"\RTDC4026\2016-12-11 --exclude "*" --recursive --include "*20161211*" &amp; "%USERPROFILE%\Documents\GitHub\mrs-test-scripts\Headless Mode &amp; Sideloading\WalkAndUnGZ.bat" "%USERPROFILE%\AppData\Local\Temp\OnboardLogs"\RTDC4026\2016-12-11</v>
      </c>
      <c r="AF108" s="88" t="str">
        <f t="shared" si="56"/>
        <v>"C:\Program Files (x86)\AstroGrep\AstroGrep.exe" /spath="%USERPROFILE%\AppData\Local\Temp\OnboardLogs" /stypes="app*4026*20161210*" /stext=" 23:.+((SYSTEM_STATE.+slice.+state.+changed )|(ment ac)|(multiple cpu faults)|(system.+state.+changed )|(\[timeout)|(PRM\|1\|D)|(kpr)|(kdp)|(\|lc)|(penalty))" /e /r /s</v>
      </c>
      <c r="AG108" s="1" t="str">
        <f t="shared" si="57"/>
        <v>EC</v>
      </c>
      <c r="AH108" s="92" t="str">
        <f t="shared" si="58"/>
        <v>"%USERPROFILE%\Documents\GitHub\eaglep3\Utilities\RefineRTDCRunTimes.py" --tripid 194-10 --locoid 4026 --swversion DE.1.0.8.0 --startMP 204:233032 --initTime 2016-12-10T16:04:20 --startdatetime 2016-12-10T16:11:16 --delay 1 --endMP 204:149 --enddatetime 2016-12-10T16:51:45 --enforcementcount 1 &gt;&gt;C:\Users\stu\Documents\GitHub\eaglep3-reporting\EC\2016-12-10-refined-times.txt</v>
      </c>
      <c r="AI108" s="119" t="str">
        <f t="shared" si="59"/>
        <v>echo {"issue":{"subject":"","project_id":79,"tracker_id":40,"status_id":1,"priority_id":2,"assigned_to_id":23,"start_date":"2016-12-10","description":"","custom_fields":[{"id":1,"name":"Subdivision","value":"EC"},{"id":4,"name":"Milepost","value":"0.0149"},{"id":17,"name":"Train ID","value":"194-10"},{"id":16,"name":"Locomotive ID","value":"4026"},{"id":130,"name":"Impact","value":""},{"id":150,"name":"Time of Event (Mountain Time)","value":"16:51:45"},{"id":151,"name":"Denver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8" s="53"/>
      <c r="AK108" s="53"/>
      <c r="AL108" s="53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</row>
    <row r="109" spans="1:91" s="21" customFormat="1" x14ac:dyDescent="0.25">
      <c r="A109" s="37" t="s">
        <v>566</v>
      </c>
      <c r="B109" s="7">
        <v>4020</v>
      </c>
      <c r="C109" s="22" t="s">
        <v>207</v>
      </c>
      <c r="D109" s="22" t="s">
        <v>238</v>
      </c>
      <c r="E109" s="13">
        <v>42714.641122685185</v>
      </c>
      <c r="F109" s="13">
        <v>42714.645995370367</v>
      </c>
      <c r="G109" s="7">
        <v>1</v>
      </c>
      <c r="H109" s="22" t="s">
        <v>739</v>
      </c>
      <c r="I109" s="13">
        <v>42714.652650462966</v>
      </c>
      <c r="J109" s="7">
        <v>1</v>
      </c>
      <c r="K109" s="109" t="str">
        <f t="shared" si="47"/>
        <v>4019/4020</v>
      </c>
      <c r="L109" s="22" t="str">
        <f>VLOOKUP(A109,'Trips&amp;Operators'!$C$1:$G$99999,5,FALSE)</f>
        <v>BRUDER RICHARD</v>
      </c>
      <c r="M109" s="6">
        <f t="shared" si="48"/>
        <v>6.6550925985211506E-3</v>
      </c>
      <c r="N109" s="7"/>
      <c r="O109" s="7"/>
      <c r="P109" s="7">
        <f>24*60*SUM($M109:$M109)</f>
        <v>9.5833333418704569</v>
      </c>
      <c r="Q109" s="23"/>
      <c r="R109" s="23" t="s">
        <v>799</v>
      </c>
      <c r="S109" s="35">
        <f t="shared" si="62"/>
        <v>0.25</v>
      </c>
      <c r="T109" s="50" t="str">
        <f t="shared" si="49"/>
        <v>NorthBound</v>
      </c>
      <c r="U109" s="171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3</v>
      </c>
      <c r="V109" s="98" t="str">
        <f t="shared" si="50"/>
        <v>https://search-rtdc-monitor-bjffxe2xuh6vdkpspy63sjmuny.us-east-1.es.amazonaws.com/_plugin/kibana/#/discover/Steve-Slow-Train-Analysis-(2080s-and-2083s)?_g=(refreshInterval:(display:Off,section:0,value:0),time:(from:'2016-12-10 14:23:13-700',mode:absolute,to:'2016-12-10 16:39:49-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201053%20OR%202087)%20AND%20%22rtdc.l.rtdc.4020%22')),sort:!(Time,asc))</v>
      </c>
      <c r="W109" s="52" t="str">
        <f t="shared" si="51"/>
        <v>Y</v>
      </c>
      <c r="X109" s="177">
        <f t="shared" si="52"/>
        <v>1</v>
      </c>
      <c r="Y109" s="67">
        <f t="shared" si="63"/>
        <v>4.5999999999999999E-2</v>
      </c>
      <c r="Z109" s="67">
        <f t="shared" si="61"/>
        <v>3.4180999999999999</v>
      </c>
      <c r="AA109" s="67">
        <f t="shared" si="53"/>
        <v>3.3721000000000001</v>
      </c>
      <c r="AB109" s="64" t="e">
        <f>VLOOKUP(A109,Enforcements!$C$7:$K$20,8,0)</f>
        <v>#N/A</v>
      </c>
      <c r="AC109" s="60" t="e">
        <f>VLOOKUP(A109,Enforcements!$C$7:$E$20,3,0)</f>
        <v>#N/A</v>
      </c>
      <c r="AD109" s="61" t="str">
        <f t="shared" si="54"/>
        <v>0195-10</v>
      </c>
      <c r="AE109" s="91" t="str">
        <f t="shared" si="55"/>
        <v>aws s3 cp s3://rtdc.mdm.uploadarchive.raw/RTDC4020/ "%USERPROFILE%\AppData\Local\Temp\OnboardLogs"\RTDC4020\2016-12-10 --exclude "*" --recursive --include "*20161210*" &amp; "%USERPROFILE%\Documents\GitHub\mrs-test-scripts\Headless Mode &amp; Sideloading\WalkAndUnGZ.bat" "%USERPROFILE%\AppData\Local\Temp\OnboardLogs"\RTDC4020\2016-12-10 &amp; aws s3 cp s3://rtdc.mdm.uploadarchive.raw/RTDC4020/ "%USERPROFILE%\AppData\Local\Temp\OnboardLogs"\RTDC4020\2016-12-11 --exclude "*" --recursive --include "*20161211*" &amp; "%USERPROFILE%\Documents\GitHub\mrs-test-scripts\Headless Mode &amp; Sideloading\WalkAndUnGZ.bat" "%USERPROFILE%\AppData\Local\Temp\OnboardLogs"\RTDC4020\2016-12-11</v>
      </c>
      <c r="AF109" s="88" t="str">
        <f t="shared" si="56"/>
        <v>"C:\Program Files (x86)\AstroGrep\AstroGrep.exe" /spath="%USERPROFILE%\AppData\Local\Temp\OnboardLogs" /stypes="app*4020*20161210*" /stext=" 22:.+((SYSTEM_STATE.+slice.+state.+changed )|(ment ac)|(multiple cpu faults)|(system.+state.+changed )|(\[timeout)|(PRM\|1\|D)|(kpr)|(kdp)|(\|lc)|(penalty))" /e /r /s</v>
      </c>
      <c r="AG109" s="1" t="str">
        <f t="shared" si="57"/>
        <v>EC</v>
      </c>
      <c r="AH109" s="92" t="str">
        <f t="shared" si="58"/>
        <v>"%USERPROFILE%\Documents\GitHub\eaglep3\Utilities\RefineRTDCRunTimes.py" --tripid 195-10 --locoid 4020 --swversion DE.1.0.8.0 --startMP 204:460 --initTime 2016-12-10T15:23:13 --startdatetime 2016-12-10T15:30:14 --delay 1 --endMP 204:34181 --enddatetime 2016-12-10T15:39:49 --enforcementcount 1 &gt;&gt;C:\Users\stu\Documents\GitHub\eaglep3-reporting\EC\2016-12-10-refined-times.txt</v>
      </c>
      <c r="AI109" s="119" t="str">
        <f t="shared" si="59"/>
        <v>echo {"issue":{"subject":"Onboard in-route failure","project_id":79,"tracker_id":40,"status_id":1,"priority_id":2,"assigned_to_id":23,"start_date":"2016-12-10","description":"","custom_fields":[{"id":1,"name":"Subdivision","value":"EC"},{"id":4,"name":"Milepost","value":"3.4181"},{"id":17,"name":"Train ID","value":"195-10"},{"id":16,"name":"Locomotive ID","value":"4020"},{"id":130,"name":"Impact","value":""},{"id":150,"name":"Time of Event (Mountain Time)","value":"15:39:49"},{"id":151,"name":"Denver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9" s="53"/>
      <c r="AK109" s="53"/>
      <c r="AL109" s="53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</row>
    <row r="110" spans="1:91" s="21" customFormat="1" x14ac:dyDescent="0.25">
      <c r="A110" s="37" t="s">
        <v>572</v>
      </c>
      <c r="B110" s="7">
        <v>4019</v>
      </c>
      <c r="C110" s="22" t="s">
        <v>207</v>
      </c>
      <c r="D110" s="22" t="s">
        <v>391</v>
      </c>
      <c r="E110" s="13">
        <v>42714.68074074074</v>
      </c>
      <c r="F110" s="13">
        <v>42714.685034722221</v>
      </c>
      <c r="G110" s="7">
        <v>2</v>
      </c>
      <c r="H110" s="22" t="s">
        <v>205</v>
      </c>
      <c r="I110" s="13">
        <v>42714.711909722224</v>
      </c>
      <c r="J110" s="7">
        <v>1</v>
      </c>
      <c r="K110" s="109" t="str">
        <f t="shared" si="47"/>
        <v>4019/4020</v>
      </c>
      <c r="L110" s="22" t="str">
        <f>VLOOKUP(A110,'Trips&amp;Operators'!$C$1:$G$99999,5,FALSE)</f>
        <v>BRUDER RICHARD</v>
      </c>
      <c r="M110" s="6">
        <f t="shared" si="48"/>
        <v>2.6875000003201421E-2</v>
      </c>
      <c r="N110" s="7">
        <f t="shared" ref="N110:N154" si="64">24*60*SUM($M110:$M110)</f>
        <v>38.700000004610047</v>
      </c>
      <c r="O110" s="7"/>
      <c r="P110" s="7"/>
      <c r="Q110" s="23"/>
      <c r="R110" s="23"/>
      <c r="S110" s="35">
        <f t="shared" si="62"/>
        <v>1</v>
      </c>
      <c r="T110" s="50" t="str">
        <f t="shared" si="49"/>
        <v>Southbound</v>
      </c>
      <c r="U110" s="171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98" t="str">
        <f t="shared" si="50"/>
        <v>https://search-rtdc-monitor-bjffxe2xuh6vdkpspy63sjmuny.us-east-1.es.amazonaws.com/_plugin/kibana/#/discover/Steve-Slow-Train-Analysis-(2080s-and-2083s)?_g=(refreshInterval:(display:Off,section:0,value:0),time:(from:'2016-12-10 15:20:16-700',mode:absolute,to:'2016-12-10 18:05:09-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201053%20OR%202087)%20AND%20%22rtdc.l.rtdc.4019%22')),sort:!(Time,asc))</v>
      </c>
      <c r="W110" s="52" t="str">
        <f t="shared" ref="W110:W141" si="65">IF(AA110&lt;IF(AG110="EC",23,5.65),"Y","N")</f>
        <v>N</v>
      </c>
      <c r="X110" s="177">
        <f t="shared" ref="X110:X141" si="66">VALUE(LEFT(AD110,4))-VALUE(LEFT(AD109,4))</f>
        <v>1</v>
      </c>
      <c r="Y110" s="67">
        <f t="shared" si="63"/>
        <v>23.2986</v>
      </c>
      <c r="Z110" s="67">
        <f t="shared" si="61"/>
        <v>1.5599999999999999E-2</v>
      </c>
      <c r="AA110" s="67">
        <f t="shared" si="53"/>
        <v>23.283000000000001</v>
      </c>
      <c r="AB110" s="64" t="e">
        <f>VLOOKUP(A110,Enforcements!$C$7:$K$20,8,0)</f>
        <v>#N/A</v>
      </c>
      <c r="AC110" s="60" t="e">
        <f>VLOOKUP(A110,Enforcements!$C$7:$E$20,3,0)</f>
        <v>#N/A</v>
      </c>
      <c r="AD110" s="61" t="str">
        <f t="shared" si="54"/>
        <v>0196-10</v>
      </c>
      <c r="AE110" s="91" t="str">
        <f t="shared" si="55"/>
        <v>aws s3 cp s3://rtdc.mdm.uploadarchive.raw/RTDC4019/ "%USERPROFILE%\AppData\Local\Temp\OnboardLogs"\RTDC4019\2016-12-10 --exclude "*" --recursive --include "*20161210*" &amp; "%USERPROFILE%\Documents\GitHub\mrs-test-scripts\Headless Mode &amp; Sideloading\WalkAndUnGZ.bat" "%USERPROFILE%\AppData\Local\Temp\OnboardLogs"\RTDC4019\2016-12-10 &amp; aws s3 cp s3://rtdc.mdm.uploadarchive.raw/RTDC4019/ "%USERPROFILE%\AppData\Local\Temp\OnboardLogs"\RTDC4019\2016-12-11 --exclude "*" --recursive --include "*20161211*" &amp; "%USERPROFILE%\Documents\GitHub\mrs-test-scripts\Headless Mode &amp; Sideloading\WalkAndUnGZ.bat" "%USERPROFILE%\AppData\Local\Temp\OnboardLogs"\RTDC4019\2016-12-11</v>
      </c>
      <c r="AF110" s="88" t="str">
        <f t="shared" si="56"/>
        <v>"C:\Program Files (x86)\AstroGrep\AstroGrep.exe" /spath="%USERPROFILE%\AppData\Local\Temp\OnboardLogs" /stypes="app*4019*20161211*" /stext=" 00:.+((SYSTEM_STATE.+slice.+state.+changed )|(ment ac)|(multiple cpu faults)|(system.+state.+changed )|(\[timeout)|(PRM\|1\|D)|(kpr)|(kdp)|(\|lc)|(penalty))" /e /r /s</v>
      </c>
      <c r="AG110" s="1" t="str">
        <f t="shared" si="57"/>
        <v>EC</v>
      </c>
      <c r="AH110" s="92" t="str">
        <f t="shared" si="58"/>
        <v>"%USERPROFILE%\Documents\GitHub\eaglep3\Utilities\RefineRTDCRunTimes.py" --tripid 196-10 --locoid 4019 --swversion DE.1.0.8.0 --startMP 204:232986 --initTime 2016-12-10T16:20:16 --startdatetime 2016-12-10T16:26:27 --delay 2 --endMP 204:156 --enddatetime 2016-12-10T17:05:09 --enforcementcount 1 &gt;&gt;C:\Users\stu\Documents\GitHub\eaglep3-reporting\EC\2016-12-10-refined-times.txt</v>
      </c>
      <c r="AI110" s="119" t="str">
        <f t="shared" si="59"/>
        <v>echo {"issue":{"subject":"","project_id":79,"tracker_id":40,"status_id":1,"priority_id":2,"assigned_to_id":23,"start_date":"2016-12-10","description":"","custom_fields":[{"id":1,"name":"Subdivision","value":"EC"},{"id":4,"name":"Milepost","value":"0.0156"},{"id":17,"name":"Train ID","value":"196-10"},{"id":16,"name":"Locomotive ID","value":"4019"},{"id":130,"name":"Impact","value":""},{"id":150,"name":"Time of Event (Mountain Time)","value":"17:05:09"},{"id":151,"name":"Denver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0" s="53"/>
      <c r="AK110" s="53"/>
      <c r="AL110" s="53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</row>
    <row r="111" spans="1:91" s="21" customFormat="1" x14ac:dyDescent="0.25">
      <c r="A111" s="37" t="s">
        <v>568</v>
      </c>
      <c r="B111" s="7">
        <v>4003</v>
      </c>
      <c r="C111" s="22" t="s">
        <v>207</v>
      </c>
      <c r="D111" s="22" t="s">
        <v>297</v>
      </c>
      <c r="E111" s="13">
        <v>42714.653194444443</v>
      </c>
      <c r="F111" s="13">
        <v>42714.656423611108</v>
      </c>
      <c r="G111" s="7">
        <v>1</v>
      </c>
      <c r="H111" s="22" t="s">
        <v>294</v>
      </c>
      <c r="I111" s="13">
        <v>42714.682696759257</v>
      </c>
      <c r="J111" s="7">
        <v>1</v>
      </c>
      <c r="K111" s="109" t="str">
        <f t="shared" si="47"/>
        <v>4003/4004</v>
      </c>
      <c r="L111" s="22" t="str">
        <f>VLOOKUP(A111,'Trips&amp;Operators'!$C$1:$G$99999,5,FALSE)</f>
        <v>CLARK KATHLEEN</v>
      </c>
      <c r="M111" s="6">
        <f t="shared" si="48"/>
        <v>2.6273148148902692E-2</v>
      </c>
      <c r="N111" s="7">
        <f t="shared" si="64"/>
        <v>37.833333334419876</v>
      </c>
      <c r="O111" s="7"/>
      <c r="P111" s="7"/>
      <c r="Q111" s="23"/>
      <c r="R111" s="23"/>
      <c r="S111" s="35">
        <f t="shared" si="62"/>
        <v>1</v>
      </c>
      <c r="T111" s="50" t="str">
        <f t="shared" si="49"/>
        <v>NorthBound</v>
      </c>
      <c r="U111" s="171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98" t="str">
        <f t="shared" si="50"/>
        <v>https://search-rtdc-monitor-bjffxe2xuh6vdkpspy63sjmuny.us-east-1.es.amazonaws.com/_plugin/kibana/#/discover/Steve-Slow-Train-Analysis-(2080s-and-2083s)?_g=(refreshInterval:(display:Off,section:0,value:0),time:(from:'2016-12-10 14:40:36-700',mode:absolute,to:'2016-12-10 17:23:05-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201053%20OR%202087)%20AND%20%22rtdc.l.rtdc.4003%22')),sort:!(Time,asc))</v>
      </c>
      <c r="W111" s="52" t="str">
        <f t="shared" si="65"/>
        <v>N</v>
      </c>
      <c r="X111" s="177">
        <f t="shared" si="66"/>
        <v>1</v>
      </c>
      <c r="Y111" s="67">
        <f t="shared" si="63"/>
        <v>4.6399999999999997E-2</v>
      </c>
      <c r="Z111" s="67">
        <f t="shared" si="61"/>
        <v>23.331499999999998</v>
      </c>
      <c r="AA111" s="67">
        <f t="shared" si="53"/>
        <v>23.2851</v>
      </c>
      <c r="AB111" s="64" t="e">
        <f>VLOOKUP(A111,Enforcements!$C$7:$K$20,8,0)</f>
        <v>#N/A</v>
      </c>
      <c r="AC111" s="60" t="e">
        <f>VLOOKUP(A111,Enforcements!$C$7:$E$20,3,0)</f>
        <v>#N/A</v>
      </c>
      <c r="AD111" s="61" t="str">
        <f t="shared" si="54"/>
        <v>0197-10</v>
      </c>
      <c r="AE111" s="91" t="str">
        <f t="shared" si="55"/>
        <v>aws s3 cp s3://rtdc.mdm.uploadarchive.raw/RTDC4003/ "%USERPROFILE%\AppData\Local\Temp\OnboardLogs"\RTDC4003\2016-12-10 --exclude "*" --recursive --include "*20161210*" &amp; "%USERPROFILE%\Documents\GitHub\mrs-test-scripts\Headless Mode &amp; Sideloading\WalkAndUnGZ.bat" "%USERPROFILE%\AppData\Local\Temp\OnboardLogs"\RTDC4003\2016-12-10 &amp; aws s3 cp s3://rtdc.mdm.uploadarchive.raw/RTDC4003/ "%USERPROFILE%\AppData\Local\Temp\OnboardLogs"\RTDC4003\2016-12-11 --exclude "*" --recursive --include "*20161211*" &amp; "%USERPROFILE%\Documents\GitHub\mrs-test-scripts\Headless Mode &amp; Sideloading\WalkAndUnGZ.bat" "%USERPROFILE%\AppData\Local\Temp\OnboardLogs"\RTDC4003\2016-12-11</v>
      </c>
      <c r="AF111" s="88" t="str">
        <f t="shared" si="56"/>
        <v>"C:\Program Files (x86)\AstroGrep\AstroGrep.exe" /spath="%USERPROFILE%\AppData\Local\Temp\OnboardLogs" /stypes="app*4003*20161210*" /stext=" 23:.+((SYSTEM_STATE.+slice.+state.+changed )|(ment ac)|(multiple cpu faults)|(system.+state.+changed )|(\[timeout)|(PRM\|1\|D)|(kpr)|(kdp)|(\|lc)|(penalty))" /e /r /s</v>
      </c>
      <c r="AG111" s="1" t="str">
        <f t="shared" si="57"/>
        <v>EC</v>
      </c>
      <c r="AH111" s="92" t="str">
        <f t="shared" si="58"/>
        <v>"%USERPROFILE%\Documents\GitHub\eaglep3\Utilities\RefineRTDCRunTimes.py" --tripid 197-10 --locoid 4003 --swversion DE.1.0.8.0 --startMP 204:464 --initTime 2016-12-10T15:40:36 --startdatetime 2016-12-10T15:45:15 --delay 1 --endMP 204:233315 --enddatetime 2016-12-10T16:23:05 --enforcementcount 1 &gt;&gt;C:\Users\stu\Documents\GitHub\eaglep3-reporting\EC\2016-12-10-refined-times.txt</v>
      </c>
      <c r="AI111" s="119" t="str">
        <f t="shared" si="59"/>
        <v>echo {"issue":{"subject":"","project_id":79,"tracker_id":40,"status_id":1,"priority_id":2,"assigned_to_id":23,"start_date":"2016-12-10","description":"","custom_fields":[{"id":1,"name":"Subdivision","value":"EC"},{"id":4,"name":"Milepost","value":"23.3315"},{"id":17,"name":"Train ID","value":"197-10"},{"id":16,"name":"Locomotive ID","value":"4003"},{"id":130,"name":"Impact","value":""},{"id":150,"name":"Time of Event (Mountain Time)","value":"16:23:05"},{"id":151,"name":"Denver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1" s="53"/>
      <c r="AK111" s="53"/>
      <c r="AL111" s="53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</row>
    <row r="112" spans="1:91" s="21" customFormat="1" x14ac:dyDescent="0.25">
      <c r="A112" s="37" t="s">
        <v>574</v>
      </c>
      <c r="B112" s="7">
        <v>4004</v>
      </c>
      <c r="C112" s="22" t="s">
        <v>207</v>
      </c>
      <c r="D112" s="22" t="s">
        <v>740</v>
      </c>
      <c r="E112" s="13">
        <v>42714.689247685186</v>
      </c>
      <c r="F112" s="13">
        <v>42714.695324074077</v>
      </c>
      <c r="G112" s="7">
        <v>1</v>
      </c>
      <c r="H112" s="22" t="s">
        <v>192</v>
      </c>
      <c r="I112" s="13">
        <v>42714.72457175926</v>
      </c>
      <c r="J112" s="7">
        <v>1</v>
      </c>
      <c r="K112" s="109" t="str">
        <f t="shared" si="47"/>
        <v>4003/4004</v>
      </c>
      <c r="L112" s="22" t="str">
        <f>VLOOKUP(A112,'Trips&amp;Operators'!$C$1:$G$99999,5,FALSE)</f>
        <v>CLARK KATHLEEN</v>
      </c>
      <c r="M112" s="6">
        <f t="shared" si="48"/>
        <v>2.9247685182781424E-2</v>
      </c>
      <c r="N112" s="7">
        <f t="shared" si="64"/>
        <v>42.116666663205251</v>
      </c>
      <c r="O112" s="7"/>
      <c r="P112" s="7"/>
      <c r="Q112" s="23"/>
      <c r="R112" s="23"/>
      <c r="S112" s="35">
        <f t="shared" si="62"/>
        <v>1</v>
      </c>
      <c r="T112" s="50" t="str">
        <f t="shared" si="49"/>
        <v>Southbound</v>
      </c>
      <c r="U112" s="171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98" t="str">
        <f t="shared" si="50"/>
        <v>https://search-rtdc-monitor-bjffxe2xuh6vdkpspy63sjmuny.us-east-1.es.amazonaws.com/_plugin/kibana/#/discover/Steve-Slow-Train-Analysis-(2080s-and-2083s)?_g=(refreshInterval:(display:Off,section:0,value:0),time:(from:'2016-12-10 15:32:31-700',mode:absolute,to:'2016-12-10 18:23:23-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201053%20OR%202087)%20AND%20%22rtdc.l.rtdc.4004%22')),sort:!(Time,asc))</v>
      </c>
      <c r="W112" s="52" t="str">
        <f t="shared" si="65"/>
        <v>N</v>
      </c>
      <c r="X112" s="177">
        <f t="shared" si="66"/>
        <v>1</v>
      </c>
      <c r="Y112" s="67">
        <f t="shared" si="63"/>
        <v>23.301500000000001</v>
      </c>
      <c r="Z112" s="67">
        <f t="shared" si="61"/>
        <v>1.49E-2</v>
      </c>
      <c r="AA112" s="67">
        <f t="shared" si="53"/>
        <v>23.2866</v>
      </c>
      <c r="AB112" s="64" t="e">
        <f>VLOOKUP(A112,Enforcements!$C$7:$K$20,8,0)</f>
        <v>#N/A</v>
      </c>
      <c r="AC112" s="60" t="e">
        <f>VLOOKUP(A112,Enforcements!$C$7:$E$20,3,0)</f>
        <v>#N/A</v>
      </c>
      <c r="AD112" s="61" t="str">
        <f t="shared" si="54"/>
        <v>0198-10</v>
      </c>
      <c r="AE112" s="91" t="str">
        <f t="shared" si="55"/>
        <v>aws s3 cp s3://rtdc.mdm.uploadarchive.raw/RTDC4004/ "%USERPROFILE%\AppData\Local\Temp\OnboardLogs"\RTDC4004\2016-12-10 --exclude "*" --recursive --include "*20161210*" &amp; "%USERPROFILE%\Documents\GitHub\mrs-test-scripts\Headless Mode &amp; Sideloading\WalkAndUnGZ.bat" "%USERPROFILE%\AppData\Local\Temp\OnboardLogs"\RTDC4004\2016-12-10 &amp; aws s3 cp s3://rtdc.mdm.uploadarchive.raw/RTDC4004/ "%USERPROFILE%\AppData\Local\Temp\OnboardLogs"\RTDC4004\2016-12-11 --exclude "*" --recursive --include "*20161211*" &amp; "%USERPROFILE%\Documents\GitHub\mrs-test-scripts\Headless Mode &amp; Sideloading\WalkAndUnGZ.bat" "%USERPROFILE%\AppData\Local\Temp\OnboardLogs"\RTDC4004\2016-12-11</v>
      </c>
      <c r="AF112" s="88" t="str">
        <f t="shared" si="56"/>
        <v>"C:\Program Files (x86)\AstroGrep\AstroGrep.exe" /spath="%USERPROFILE%\AppData\Local\Temp\OnboardLogs" /stypes="app*4004*20161211*" /stext=" 00:.+((SYSTEM_STATE.+slice.+state.+changed )|(ment ac)|(multiple cpu faults)|(system.+state.+changed )|(\[timeout)|(PRM\|1\|D)|(kpr)|(kdp)|(\|lc)|(penalty))" /e /r /s</v>
      </c>
      <c r="AG112" s="1" t="str">
        <f t="shared" si="57"/>
        <v>EC</v>
      </c>
      <c r="AH112" s="92" t="str">
        <f t="shared" si="58"/>
        <v>"%USERPROFILE%\Documents\GitHub\eaglep3\Utilities\RefineRTDCRunTimes.py" --tripid 198-10 --locoid 4004 --swversion DE.1.0.8.0 --startMP 204:233015 --initTime 2016-12-10T16:32:31 --startdatetime 2016-12-10T16:41:16 --delay 1 --endMP 204:149 --enddatetime 2016-12-10T17:23:23 --enforcementcount 1 &gt;&gt;C:\Users\stu\Documents\GitHub\eaglep3-reporting\EC\2016-12-10-refined-times.txt</v>
      </c>
      <c r="AI112" s="119" t="str">
        <f t="shared" si="59"/>
        <v>echo {"issue":{"subject":"","project_id":79,"tracker_id":40,"status_id":1,"priority_id":2,"assigned_to_id":23,"start_date":"2016-12-10","description":"","custom_fields":[{"id":1,"name":"Subdivision","value":"EC"},{"id":4,"name":"Milepost","value":"0.0149"},{"id":17,"name":"Train ID","value":"198-10"},{"id":16,"name":"Locomotive ID","value":"4004"},{"id":130,"name":"Impact","value":""},{"id":150,"name":"Time of Event (Mountain Time)","value":"17:23:23"},{"id":151,"name":"Denver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2" s="53"/>
      <c r="AK112" s="53"/>
      <c r="AL112" s="53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s="21" customFormat="1" x14ac:dyDescent="0.25">
      <c r="A113" s="37" t="s">
        <v>570</v>
      </c>
      <c r="B113" s="7">
        <v>4014</v>
      </c>
      <c r="C113" s="22" t="s">
        <v>207</v>
      </c>
      <c r="D113" s="22" t="s">
        <v>239</v>
      </c>
      <c r="E113" s="13">
        <v>42714.664560185185</v>
      </c>
      <c r="F113" s="13">
        <v>42714.666944444441</v>
      </c>
      <c r="G113" s="7">
        <v>1</v>
      </c>
      <c r="H113" s="22" t="s">
        <v>741</v>
      </c>
      <c r="I113" s="13">
        <v>42714.692280092589</v>
      </c>
      <c r="J113" s="7">
        <v>1</v>
      </c>
      <c r="K113" s="109" t="str">
        <f t="shared" si="47"/>
        <v>4013/4014</v>
      </c>
      <c r="L113" s="22" t="str">
        <f>VLOOKUP(A113,'Trips&amp;Operators'!$C$1:$G$99999,5,FALSE)</f>
        <v>SMITH MICHAEL</v>
      </c>
      <c r="M113" s="6">
        <f t="shared" si="48"/>
        <v>2.5335648148029577E-2</v>
      </c>
      <c r="N113" s="7">
        <f t="shared" si="64"/>
        <v>36.483333333162591</v>
      </c>
      <c r="O113" s="7"/>
      <c r="P113" s="7"/>
      <c r="Q113" s="23"/>
      <c r="R113" s="23"/>
      <c r="S113" s="35">
        <f t="shared" si="62"/>
        <v>1</v>
      </c>
      <c r="T113" s="50" t="str">
        <f t="shared" si="49"/>
        <v>NorthBound</v>
      </c>
      <c r="U113" s="171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98" t="str">
        <f t="shared" si="50"/>
        <v>https://search-rtdc-monitor-bjffxe2xuh6vdkpspy63sjmuny.us-east-1.es.amazonaws.com/_plugin/kibana/#/discover/Steve-Slow-Train-Analysis-(2080s-and-2083s)?_g=(refreshInterval:(display:Off,section:0,value:0),time:(from:'2016-12-10 14:56:58-700',mode:absolute,to:'2016-12-10 17:36:53-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201053%20OR%202087)%20AND%20%22rtdc.l.rtdc.4014%22')),sort:!(Time,asc))</v>
      </c>
      <c r="W113" s="52" t="str">
        <f t="shared" si="65"/>
        <v>N</v>
      </c>
      <c r="X113" s="177">
        <f t="shared" si="66"/>
        <v>1</v>
      </c>
      <c r="Y113" s="67">
        <f t="shared" si="63"/>
        <v>4.5699999999999998E-2</v>
      </c>
      <c r="Z113" s="67">
        <f t="shared" si="61"/>
        <v>23.330100000000002</v>
      </c>
      <c r="AA113" s="67">
        <f t="shared" si="53"/>
        <v>23.284400000000002</v>
      </c>
      <c r="AB113" s="64" t="e">
        <f>VLOOKUP(A113,Enforcements!$C$7:$K$20,8,0)</f>
        <v>#N/A</v>
      </c>
      <c r="AC113" s="60" t="e">
        <f>VLOOKUP(A113,Enforcements!$C$7:$E$20,3,0)</f>
        <v>#N/A</v>
      </c>
      <c r="AD113" s="61" t="str">
        <f t="shared" si="54"/>
        <v>0199-10</v>
      </c>
      <c r="AE113" s="91" t="str">
        <f t="shared" si="55"/>
        <v>aws s3 cp s3://rtdc.mdm.uploadarchive.raw/RTDC4014/ "%USERPROFILE%\AppData\Local\Temp\OnboardLogs"\RTDC4014\2016-12-10 --exclude "*" --recursive --include "*20161210*" &amp; "%USERPROFILE%\Documents\GitHub\mrs-test-scripts\Headless Mode &amp; Sideloading\WalkAndUnGZ.bat" "%USERPROFILE%\AppData\Local\Temp\OnboardLogs"\RTDC4014\2016-12-10 &amp; aws s3 cp s3://rtdc.mdm.uploadarchive.raw/RTDC4014/ "%USERPROFILE%\AppData\Local\Temp\OnboardLogs"\RTDC4014\2016-12-11 --exclude "*" --recursive --include "*20161211*" &amp; "%USERPROFILE%\Documents\GitHub\mrs-test-scripts\Headless Mode &amp; Sideloading\WalkAndUnGZ.bat" "%USERPROFILE%\AppData\Local\Temp\OnboardLogs"\RTDC4014\2016-12-11</v>
      </c>
      <c r="AF113" s="88" t="str">
        <f t="shared" si="56"/>
        <v>"C:\Program Files (x86)\AstroGrep\AstroGrep.exe" /spath="%USERPROFILE%\AppData\Local\Temp\OnboardLogs" /stypes="app*4014*20161210*" /stext=" 23:.+((SYSTEM_STATE.+slice.+state.+changed )|(ment ac)|(multiple cpu faults)|(system.+state.+changed )|(\[timeout)|(PRM\|1\|D)|(kpr)|(kdp)|(\|lc)|(penalty))" /e /r /s</v>
      </c>
      <c r="AG113" s="1" t="str">
        <f t="shared" si="57"/>
        <v>EC</v>
      </c>
      <c r="AH113" s="92" t="str">
        <f t="shared" si="58"/>
        <v>"%USERPROFILE%\Documents\GitHub\eaglep3\Utilities\RefineRTDCRunTimes.py" --tripid 199-10 --locoid 4014 --swversion DE.1.0.8.0 --startMP 204:457 --initTime 2016-12-10T15:56:58 --startdatetime 2016-12-10T16:00:24 --delay 1 --endMP 204:233301 --enddatetime 2016-12-10T16:36:53 --enforcementcount 1 &gt;&gt;C:\Users\stu\Documents\GitHub\eaglep3-reporting\EC\2016-12-10-refined-times.txt</v>
      </c>
      <c r="AI113" s="119" t="str">
        <f t="shared" si="59"/>
        <v>echo {"issue":{"subject":"","project_id":79,"tracker_id":40,"status_id":1,"priority_id":2,"assigned_to_id":23,"start_date":"2016-12-10","description":"","custom_fields":[{"id":1,"name":"Subdivision","value":"EC"},{"id":4,"name":"Milepost","value":"23.3301"},{"id":17,"name":"Train ID","value":"199-10"},{"id":16,"name":"Locomotive ID","value":"4014"},{"id":130,"name":"Impact","value":""},{"id":150,"name":"Time of Event (Mountain Time)","value":"16:36:53"},{"id":151,"name":"Denver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3" s="53"/>
      <c r="AK113" s="53"/>
      <c r="AL113" s="5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s="21" customFormat="1" x14ac:dyDescent="0.25">
      <c r="A114" s="37" t="s">
        <v>576</v>
      </c>
      <c r="B114" s="7">
        <v>4013</v>
      </c>
      <c r="C114" s="22" t="s">
        <v>207</v>
      </c>
      <c r="D114" s="22" t="s">
        <v>693</v>
      </c>
      <c r="E114" s="13">
        <v>42714.694687499999</v>
      </c>
      <c r="F114" s="13">
        <v>42714.705914351849</v>
      </c>
      <c r="G114" s="7">
        <v>1</v>
      </c>
      <c r="H114" s="22" t="s">
        <v>685</v>
      </c>
      <c r="I114" s="13">
        <v>42714.734814814816</v>
      </c>
      <c r="J114" s="7">
        <v>1</v>
      </c>
      <c r="K114" s="109" t="str">
        <f t="shared" si="47"/>
        <v>4013/4014</v>
      </c>
      <c r="L114" s="22" t="str">
        <f>VLOOKUP(A114,'Trips&amp;Operators'!$C$1:$G$99999,5,FALSE)</f>
        <v>SMITH MICHAEL</v>
      </c>
      <c r="M114" s="6">
        <f t="shared" si="48"/>
        <v>2.8900462966703344E-2</v>
      </c>
      <c r="N114" s="7">
        <f t="shared" si="64"/>
        <v>41.616666672052816</v>
      </c>
      <c r="O114" s="7"/>
      <c r="P114" s="7"/>
      <c r="Q114" s="23"/>
      <c r="R114" s="23"/>
      <c r="S114" s="35">
        <f t="shared" si="62"/>
        <v>1</v>
      </c>
      <c r="T114" s="50" t="str">
        <f t="shared" si="49"/>
        <v>Southbound</v>
      </c>
      <c r="U114" s="171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98" t="str">
        <f t="shared" si="50"/>
        <v>https://search-rtdc-monitor-bjffxe2xuh6vdkpspy63sjmuny.us-east-1.es.amazonaws.com/_plugin/kibana/#/discover/Steve-Slow-Train-Analysis-(2080s-and-2083s)?_g=(refreshInterval:(display:Off,section:0,value:0),time:(from:'2016-12-10 15:40:21-700',mode:absolute,to:'2016-12-10 18:38:08-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201053%20OR%202087)%20AND%20%22rtdc.l.rtdc.4013%22')),sort:!(Time,asc))</v>
      </c>
      <c r="W114" s="52" t="str">
        <f t="shared" si="65"/>
        <v>N</v>
      </c>
      <c r="X114" s="177">
        <f t="shared" si="66"/>
        <v>1</v>
      </c>
      <c r="Y114" s="67">
        <f t="shared" si="63"/>
        <v>23.298200000000001</v>
      </c>
      <c r="Z114" s="67">
        <f t="shared" si="61"/>
        <v>1.6E-2</v>
      </c>
      <c r="AA114" s="67">
        <f t="shared" si="53"/>
        <v>23.282200000000003</v>
      </c>
      <c r="AB114" s="64" t="e">
        <f>VLOOKUP(A114,Enforcements!$C$7:$K$20,8,0)</f>
        <v>#N/A</v>
      </c>
      <c r="AC114" s="60" t="e">
        <f>VLOOKUP(A114,Enforcements!$C$7:$E$20,3,0)</f>
        <v>#N/A</v>
      </c>
      <c r="AD114" s="61" t="str">
        <f t="shared" si="54"/>
        <v>0200-10</v>
      </c>
      <c r="AE114" s="91" t="str">
        <f t="shared" si="55"/>
        <v>aws s3 cp s3://rtdc.mdm.uploadarchive.raw/RTDC4013/ "%USERPROFILE%\AppData\Local\Temp\OnboardLogs"\RTDC4013\2016-12-10 --exclude "*" --recursive --include "*20161210*" &amp; "%USERPROFILE%\Documents\GitHub\mrs-test-scripts\Headless Mode &amp; Sideloading\WalkAndUnGZ.bat" "%USERPROFILE%\AppData\Local\Temp\OnboardLogs"\RTDC4013\2016-12-10 &amp; aws s3 cp s3://rtdc.mdm.uploadarchive.raw/RTDC4013/ "%USERPROFILE%\AppData\Local\Temp\OnboardLogs"\RTDC4013\2016-12-11 --exclude "*" --recursive --include "*20161211*" &amp; "%USERPROFILE%\Documents\GitHub\mrs-test-scripts\Headless Mode &amp; Sideloading\WalkAndUnGZ.bat" "%USERPROFILE%\AppData\Local\Temp\OnboardLogs"\RTDC4013\2016-12-11</v>
      </c>
      <c r="AF114" s="88" t="str">
        <f t="shared" si="56"/>
        <v>"C:\Program Files (x86)\AstroGrep\AstroGrep.exe" /spath="%USERPROFILE%\AppData\Local\Temp\OnboardLogs" /stypes="app*4013*20161211*" /stext=" 00:.+((SYSTEM_STATE.+slice.+state.+changed )|(ment ac)|(multiple cpu faults)|(system.+state.+changed )|(\[timeout)|(PRM\|1\|D)|(kpr)|(kdp)|(\|lc)|(penalty))" /e /r /s</v>
      </c>
      <c r="AG114" s="1" t="str">
        <f t="shared" si="57"/>
        <v>EC</v>
      </c>
      <c r="AH114" s="92" t="str">
        <f t="shared" si="58"/>
        <v>"%USERPROFILE%\Documents\GitHub\eaglep3\Utilities\RefineRTDCRunTimes.py" --tripid 200-10 --locoid 4013 --swversion DE.1.0.8.0 --startMP 204:232982 --initTime 2016-12-10T16:40:21 --startdatetime 2016-12-10T16:56:31 --delay 1 --endMP 204:160 --enddatetime 2016-12-10T17:38:08 --enforcementcount 1 &gt;&gt;C:\Users\stu\Documents\GitHub\eaglep3-reporting\EC\2016-12-10-refined-times.txt</v>
      </c>
      <c r="AI114" s="119" t="str">
        <f t="shared" si="59"/>
        <v>echo {"issue":{"subject":"","project_id":79,"tracker_id":40,"status_id":1,"priority_id":2,"assigned_to_id":23,"start_date":"2016-12-10","description":"","custom_fields":[{"id":1,"name":"Subdivision","value":"EC"},{"id":4,"name":"Milepost","value":"0.016"},{"id":17,"name":"Train ID","value":"200-10"},{"id":16,"name":"Locomotive ID","value":"4013"},{"id":130,"name":"Impact","value":""},{"id":150,"name":"Time of Event (Mountain Time)","value":"17:38:08"},{"id":151,"name":"Denver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4" s="53"/>
      <c r="AK114" s="53"/>
      <c r="AL114" s="53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s="21" customFormat="1" x14ac:dyDescent="0.25">
      <c r="A115" s="37" t="s">
        <v>429</v>
      </c>
      <c r="B115" s="7">
        <v>4046</v>
      </c>
      <c r="C115" s="22" t="s">
        <v>207</v>
      </c>
      <c r="D115" s="22" t="s">
        <v>335</v>
      </c>
      <c r="E115" s="13">
        <v>42714.674178240741</v>
      </c>
      <c r="F115" s="13">
        <v>42714.677847222221</v>
      </c>
      <c r="G115" s="7">
        <v>1</v>
      </c>
      <c r="H115" s="22" t="s">
        <v>742</v>
      </c>
      <c r="I115" s="13">
        <v>42714.702372685184</v>
      </c>
      <c r="J115" s="7">
        <v>1</v>
      </c>
      <c r="K115" s="109" t="str">
        <f t="shared" si="47"/>
        <v>4045/4046</v>
      </c>
      <c r="L115" s="22" t="str">
        <f>VLOOKUP(A115,'Trips&amp;Operators'!$C$1:$G$99999,5,FALSE)</f>
        <v>HILLS DUSTIN</v>
      </c>
      <c r="M115" s="6">
        <f t="shared" si="48"/>
        <v>2.4525462962628808E-2</v>
      </c>
      <c r="N115" s="7">
        <f t="shared" si="64"/>
        <v>35.316666666185483</v>
      </c>
      <c r="O115" s="7"/>
      <c r="P115" s="7"/>
      <c r="Q115" s="23"/>
      <c r="R115" s="23"/>
      <c r="S115" s="35">
        <f t="shared" si="62"/>
        <v>1</v>
      </c>
      <c r="T115" s="50" t="str">
        <f t="shared" si="49"/>
        <v>NorthBound</v>
      </c>
      <c r="U115" s="171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98" t="str">
        <f t="shared" si="50"/>
        <v>https://search-rtdc-monitor-bjffxe2xuh6vdkpspy63sjmuny.us-east-1.es.amazonaws.com/_plugin/kibana/#/discover/Steve-Slow-Train-Analysis-(2080s-and-2083s)?_g=(refreshInterval:(display:Off,section:0,value:0),time:(from:'2016-12-10 15:10:49-700',mode:absolute,to:'2016-12-10 17:51:25-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201053%20OR%202087)%20AND%20%22rtdc.l.rtdc.4046%22')),sort:!(Time,asc))</v>
      </c>
      <c r="W115" s="52" t="str">
        <f t="shared" si="65"/>
        <v>N</v>
      </c>
      <c r="X115" s="177">
        <f t="shared" si="66"/>
        <v>1</v>
      </c>
      <c r="Y115" s="67">
        <f t="shared" si="63"/>
        <v>4.2900000000000001E-2</v>
      </c>
      <c r="Z115" s="67">
        <f t="shared" si="61"/>
        <v>23.337599999999998</v>
      </c>
      <c r="AA115" s="67">
        <f t="shared" si="53"/>
        <v>23.294699999999999</v>
      </c>
      <c r="AB115" s="64" t="str">
        <f>VLOOKUP(A115,Enforcements!$C$7:$K$20,8,0)</f>
        <v>Speed (6)</v>
      </c>
      <c r="AC115" s="60" t="str">
        <f>VLOOKUP(A115,Enforcements!$C$7:$E$20,3,0)</f>
        <v>PERMANENT SPEED RESTRICTION</v>
      </c>
      <c r="AD115" s="61" t="str">
        <f t="shared" si="54"/>
        <v>0201-10</v>
      </c>
      <c r="AE115" s="91" t="str">
        <f t="shared" si="55"/>
        <v>aws s3 cp s3://rtdc.mdm.uploadarchive.raw/RTDC4046/ "%USERPROFILE%\AppData\Local\Temp\OnboardLogs"\RTDC4046\2016-12-10 --exclude "*" --recursive --include "*20161210*" &amp; "%USERPROFILE%\Documents\GitHub\mrs-test-scripts\Headless Mode &amp; Sideloading\WalkAndUnGZ.bat" "%USERPROFILE%\AppData\Local\Temp\OnboardLogs"\RTDC4046\2016-12-10 &amp; aws s3 cp s3://rtdc.mdm.uploadarchive.raw/RTDC4046/ "%USERPROFILE%\AppData\Local\Temp\OnboardLogs"\RTDC4046\2016-12-11 --exclude "*" --recursive --include "*20161211*" &amp; "%USERPROFILE%\Documents\GitHub\mrs-test-scripts\Headless Mode &amp; Sideloading\WalkAndUnGZ.bat" "%USERPROFILE%\AppData\Local\Temp\OnboardLogs"\RTDC4046\2016-12-11</v>
      </c>
      <c r="AF115" s="88" t="str">
        <f t="shared" si="56"/>
        <v>"C:\Program Files (x86)\AstroGrep\AstroGrep.exe" /spath="%USERPROFILE%\AppData\Local\Temp\OnboardLogs" /stypes="app*4046*20161210*" /stext=" 23:.+((SYSTEM_STATE.+slice.+state.+changed )|(ment ac)|(multiple cpu faults)|(system.+state.+changed )|(\[timeout)|(PRM\|1\|D)|(kpr)|(kdp)|(\|lc)|(penalty))" /e /r /s</v>
      </c>
      <c r="AG115" s="1" t="str">
        <f t="shared" si="57"/>
        <v>EC</v>
      </c>
      <c r="AH115" s="92" t="str">
        <f t="shared" si="58"/>
        <v>"%USERPROFILE%\Documents\GitHub\eaglep3\Utilities\RefineRTDCRunTimes.py" --tripid 201-10 --locoid 4046 --swversion DE.1.0.8.0 --startMP 204:429 --initTime 2016-12-10T16:10:49 --startdatetime 2016-12-10T16:16:06 --delay 1 --endMP 204:233376 --enddatetime 2016-12-10T16:51:25 --enforcementcount 1 &gt;&gt;C:\Users\stu\Documents\GitHub\eaglep3-reporting\EC\2016-12-10-refined-times.txt</v>
      </c>
      <c r="AI115" s="119" t="str">
        <f t="shared" si="59"/>
        <v>echo {"issue":{"subject":"","project_id":79,"tracker_id":40,"status_id":1,"priority_id":2,"assigned_to_id":23,"start_date":"2016-12-10","description":"","custom_fields":[{"id":1,"name":"Subdivision","value":"EC"},{"id":4,"name":"Milepost","value":"23.3376"},{"id":17,"name":"Train ID","value":"201-10"},{"id":16,"name":"Locomotive ID","value":"4046"},{"id":130,"name":"Impact","value":""},{"id":150,"name":"Time of Event (Mountain Time)","value":"16:51:25"},{"id":151,"name":"Denver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5" s="53"/>
      <c r="AK115" s="53"/>
      <c r="AL115" s="53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s="21" customFormat="1" x14ac:dyDescent="0.25">
      <c r="A116" s="37" t="s">
        <v>578</v>
      </c>
      <c r="B116" s="7">
        <v>4045</v>
      </c>
      <c r="C116" s="22" t="s">
        <v>207</v>
      </c>
      <c r="D116" s="22" t="s">
        <v>730</v>
      </c>
      <c r="E116" s="13">
        <v>42714.704618055555</v>
      </c>
      <c r="F116" s="13">
        <v>42714.716574074075</v>
      </c>
      <c r="G116" s="7">
        <v>1</v>
      </c>
      <c r="H116" s="22" t="s">
        <v>743</v>
      </c>
      <c r="I116" s="13">
        <v>42714.743078703701</v>
      </c>
      <c r="J116" s="7">
        <v>1</v>
      </c>
      <c r="K116" s="109" t="str">
        <f t="shared" si="47"/>
        <v>4045/4046</v>
      </c>
      <c r="L116" s="22" t="str">
        <f>VLOOKUP(A116,'Trips&amp;Operators'!$C$1:$G$99999,5,FALSE)</f>
        <v>HILLS DUSTIN</v>
      </c>
      <c r="M116" s="6">
        <f t="shared" si="48"/>
        <v>2.6504629626288079E-2</v>
      </c>
      <c r="N116" s="7">
        <f t="shared" si="64"/>
        <v>38.166666661854833</v>
      </c>
      <c r="O116" s="7"/>
      <c r="P116" s="7"/>
      <c r="Q116" s="23"/>
      <c r="R116" s="23"/>
      <c r="S116" s="35">
        <f t="shared" si="62"/>
        <v>1</v>
      </c>
      <c r="T116" s="50" t="str">
        <f t="shared" si="49"/>
        <v>Southbound</v>
      </c>
      <c r="U116" s="171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98" t="str">
        <f t="shared" si="50"/>
        <v>https://search-rtdc-monitor-bjffxe2xuh6vdkpspy63sjmuny.us-east-1.es.amazonaws.com/_plugin/kibana/#/discover/Steve-Slow-Train-Analysis-(2080s-and-2083s)?_g=(refreshInterval:(display:Off,section:0,value:0),time:(from:'2016-12-10 15:54:39-700',mode:absolute,to:'2016-12-10 18:50:02-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201053%20OR%202087)%20AND%20%22rtdc.l.rtdc.4045%22')),sort:!(Time,asc))</v>
      </c>
      <c r="W116" s="52" t="str">
        <f t="shared" si="65"/>
        <v>N</v>
      </c>
      <c r="X116" s="177">
        <f t="shared" si="66"/>
        <v>1</v>
      </c>
      <c r="Y116" s="67">
        <f t="shared" si="63"/>
        <v>23.307700000000001</v>
      </c>
      <c r="Z116" s="67">
        <f t="shared" si="61"/>
        <v>1.1900000000000001E-2</v>
      </c>
      <c r="AA116" s="67">
        <f t="shared" si="53"/>
        <v>23.2958</v>
      </c>
      <c r="AB116" s="64" t="e">
        <f>VLOOKUP(A116,Enforcements!$C$7:$K$20,8,0)</f>
        <v>#N/A</v>
      </c>
      <c r="AC116" s="60" t="e">
        <f>VLOOKUP(A116,Enforcements!$C$7:$E$20,3,0)</f>
        <v>#N/A</v>
      </c>
      <c r="AD116" s="61" t="str">
        <f t="shared" si="54"/>
        <v>0202-10</v>
      </c>
      <c r="AE116" s="91" t="str">
        <f t="shared" si="55"/>
        <v>aws s3 cp s3://rtdc.mdm.uploadarchive.raw/RTDC4045/ "%USERPROFILE%\AppData\Local\Temp\OnboardLogs"\RTDC4045\2016-12-10 --exclude "*" --recursive --include "*20161210*" &amp; "%USERPROFILE%\Documents\GitHub\mrs-test-scripts\Headless Mode &amp; Sideloading\WalkAndUnGZ.bat" "%USERPROFILE%\AppData\Local\Temp\OnboardLogs"\RTDC4045\2016-12-10 &amp; aws s3 cp s3://rtdc.mdm.uploadarchive.raw/RTDC4045/ "%USERPROFILE%\AppData\Local\Temp\OnboardLogs"\RTDC4045\2016-12-11 --exclude "*" --recursive --include "*20161211*" &amp; "%USERPROFILE%\Documents\GitHub\mrs-test-scripts\Headless Mode &amp; Sideloading\WalkAndUnGZ.bat" "%USERPROFILE%\AppData\Local\Temp\OnboardLogs"\RTDC4045\2016-12-11</v>
      </c>
      <c r="AF116" s="88" t="str">
        <f t="shared" si="56"/>
        <v>"C:\Program Files (x86)\AstroGrep\AstroGrep.exe" /spath="%USERPROFILE%\AppData\Local\Temp\OnboardLogs" /stypes="app*4045*20161211*" /stext=" 00:.+((SYSTEM_STATE.+slice.+state.+changed )|(ment ac)|(multiple cpu faults)|(system.+state.+changed )|(\[timeout)|(PRM\|1\|D)|(kpr)|(kdp)|(\|lc)|(penalty))" /e /r /s</v>
      </c>
      <c r="AG116" s="1" t="str">
        <f t="shared" si="57"/>
        <v>EC</v>
      </c>
      <c r="AH116" s="92" t="str">
        <f t="shared" si="58"/>
        <v>"%USERPROFILE%\Documents\GitHub\eaglep3\Utilities\RefineRTDCRunTimes.py" --tripid 202-10 --locoid 4045 --swversion DE.1.0.8.0 --startMP 204:233077 --initTime 2016-12-10T16:54:39 --startdatetime 2016-12-10T17:11:52 --delay 1 --endMP 204:119 --enddatetime 2016-12-10T17:50:02 --enforcementcount 1 &gt;&gt;C:\Users\stu\Documents\GitHub\eaglep3-reporting\EC\2016-12-10-refined-times.txt</v>
      </c>
      <c r="AI116" s="119" t="str">
        <f t="shared" si="59"/>
        <v>echo {"issue":{"subject":"","project_id":79,"tracker_id":40,"status_id":1,"priority_id":2,"assigned_to_id":23,"start_date":"2016-12-10","description":"","custom_fields":[{"id":1,"name":"Subdivision","value":"EC"},{"id":4,"name":"Milepost","value":"0.0119"},{"id":17,"name":"Train ID","value":"202-10"},{"id":16,"name":"Locomotive ID","value":"4045"},{"id":130,"name":"Impact","value":""},{"id":150,"name":"Time of Event (Mountain Time)","value":"17:50:02"},{"id":151,"name":"Denver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6" s="53"/>
      <c r="AK116" s="53"/>
      <c r="AL116" s="53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1" customFormat="1" x14ac:dyDescent="0.25">
      <c r="A117" s="37" t="s">
        <v>573</v>
      </c>
      <c r="B117" s="7">
        <v>4016</v>
      </c>
      <c r="C117" s="22" t="s">
        <v>207</v>
      </c>
      <c r="D117" s="22" t="s">
        <v>733</v>
      </c>
      <c r="E117" s="13">
        <v>42714.682881944442</v>
      </c>
      <c r="F117" s="13">
        <v>42714.726574074077</v>
      </c>
      <c r="G117" s="7">
        <v>1</v>
      </c>
      <c r="H117" s="22" t="s">
        <v>744</v>
      </c>
      <c r="I117" s="13">
        <v>42714.754317129627</v>
      </c>
      <c r="J117" s="7">
        <v>1</v>
      </c>
      <c r="K117" s="109" t="str">
        <f t="shared" si="47"/>
        <v>4015/4016</v>
      </c>
      <c r="L117" s="22" t="str">
        <f>VLOOKUP(A117,'Trips&amp;Operators'!$C$1:$G$99999,5,FALSE)</f>
        <v>BARTLETT KIANDRA</v>
      </c>
      <c r="M117" s="6">
        <f t="shared" si="48"/>
        <v>2.774305555067258E-2</v>
      </c>
      <c r="N117" s="7">
        <f t="shared" si="64"/>
        <v>39.949999992968515</v>
      </c>
      <c r="O117" s="7"/>
      <c r="P117" s="7"/>
      <c r="Q117" s="23"/>
      <c r="R117" s="23"/>
      <c r="S117" s="35">
        <f t="shared" si="62"/>
        <v>1</v>
      </c>
      <c r="T117" s="50" t="str">
        <f t="shared" si="49"/>
        <v>NorthBound</v>
      </c>
      <c r="U117" s="171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98" t="str">
        <f t="shared" si="50"/>
        <v>https://search-rtdc-monitor-bjffxe2xuh6vdkpspy63sjmuny.us-east-1.es.amazonaws.com/_plugin/kibana/#/discover/Steve-Slow-Train-Analysis-(2080s-and-2083s)?_g=(refreshInterval:(display:Off,section:0,value:0),time:(from:'2016-12-10 15:23:21-700',mode:absolute,to:'2016-12-10 19:06:13-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201053%20OR%202087)%20AND%20%22rtdc.l.rtdc.4016%22')),sort:!(Time,asc))</v>
      </c>
      <c r="W117" s="52" t="str">
        <f t="shared" si="65"/>
        <v>N</v>
      </c>
      <c r="X117" s="177">
        <f t="shared" si="66"/>
        <v>1</v>
      </c>
      <c r="Y117" s="67">
        <f t="shared" si="63"/>
        <v>4.7800000000000002E-2</v>
      </c>
      <c r="Z117" s="67">
        <f t="shared" si="61"/>
        <v>23.3355</v>
      </c>
      <c r="AA117" s="67">
        <f t="shared" si="53"/>
        <v>23.287700000000001</v>
      </c>
      <c r="AB117" s="64" t="e">
        <f>VLOOKUP(A117,Enforcements!$C$7:$K$20,8,0)</f>
        <v>#N/A</v>
      </c>
      <c r="AC117" s="60" t="e">
        <f>VLOOKUP(A117,Enforcements!$C$7:$E$20,3,0)</f>
        <v>#N/A</v>
      </c>
      <c r="AD117" s="61" t="str">
        <f t="shared" si="54"/>
        <v>0203-10</v>
      </c>
      <c r="AE117" s="91" t="str">
        <f t="shared" si="55"/>
        <v>aws s3 cp s3://rtdc.mdm.uploadarchive.raw/RTDC4016/ "%USERPROFILE%\AppData\Local\Temp\OnboardLogs"\RTDC4016\2016-12-10 --exclude "*" --recursive --include "*20161210*" &amp; "%USERPROFILE%\Documents\GitHub\mrs-test-scripts\Headless Mode &amp; Sideloading\WalkAndUnGZ.bat" "%USERPROFILE%\AppData\Local\Temp\OnboardLogs"\RTDC4016\2016-12-10 &amp; aws s3 cp s3://rtdc.mdm.uploadarchive.raw/RTDC4016/ "%USERPROFILE%\AppData\Local\Temp\OnboardLogs"\RTDC4016\2016-12-11 --exclude "*" --recursive --include "*20161211*" &amp; "%USERPROFILE%\Documents\GitHub\mrs-test-scripts\Headless Mode &amp; Sideloading\WalkAndUnGZ.bat" "%USERPROFILE%\AppData\Local\Temp\OnboardLogs"\RTDC4016\2016-12-11</v>
      </c>
      <c r="AF117" s="88" t="str">
        <f t="shared" si="56"/>
        <v>"C:\Program Files (x86)\AstroGrep\AstroGrep.exe" /spath="%USERPROFILE%\AppData\Local\Temp\OnboardLogs" /stypes="app*4016*20161211*" /stext=" 01:.+((SYSTEM_STATE.+slice.+state.+changed )|(ment ac)|(multiple cpu faults)|(system.+state.+changed )|(\[timeout)|(PRM\|1\|D)|(kpr)|(kdp)|(\|lc)|(penalty))" /e /r /s</v>
      </c>
      <c r="AG117" s="1" t="str">
        <f t="shared" si="57"/>
        <v>EC</v>
      </c>
      <c r="AH117" s="92" t="str">
        <f t="shared" si="58"/>
        <v>"%USERPROFILE%\Documents\GitHub\eaglep3\Utilities\RefineRTDCRunTimes.py" --tripid 203-10 --locoid 4016 --swversion DE.1.0.8.0 --startMP 204:478 --initTime 2016-12-10T16:23:21 --startdatetime 2016-12-10T17:26:16 --delay 1 --endMP 204:233355 --enddatetime 2016-12-10T18:06:13 --enforcementcount 1 &gt;&gt;C:\Users\stu\Documents\GitHub\eaglep3-reporting\EC\2016-12-10-refined-times.txt</v>
      </c>
      <c r="AI117" s="119" t="str">
        <f t="shared" si="59"/>
        <v>echo {"issue":{"subject":"","project_id":79,"tracker_id":40,"status_id":1,"priority_id":2,"assigned_to_id":23,"start_date":"2016-12-10","description":"","custom_fields":[{"id":1,"name":"Subdivision","value":"EC"},{"id":4,"name":"Milepost","value":"23.3355"},{"id":17,"name":"Train ID","value":"203-10"},{"id":16,"name":"Locomotive ID","value":"4016"},{"id":130,"name":"Impact","value":""},{"id":150,"name":"Time of Event (Mountain Time)","value":"18:06:13"},{"id":151,"name":"Denver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7" s="53"/>
      <c r="AK117" s="53"/>
      <c r="AL117" s="53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1" customFormat="1" x14ac:dyDescent="0.25">
      <c r="A118" s="37" t="s">
        <v>582</v>
      </c>
      <c r="B118" s="7">
        <v>4015</v>
      </c>
      <c r="C118" s="22" t="s">
        <v>207</v>
      </c>
      <c r="D118" s="22" t="s">
        <v>745</v>
      </c>
      <c r="E118" s="13">
        <v>42714.717372685183</v>
      </c>
      <c r="F118" s="13">
        <v>42714.726574074077</v>
      </c>
      <c r="G118" s="7">
        <v>2</v>
      </c>
      <c r="H118" s="22" t="s">
        <v>205</v>
      </c>
      <c r="I118" s="13">
        <v>42714.754317129627</v>
      </c>
      <c r="J118" s="7">
        <v>1</v>
      </c>
      <c r="K118" s="109" t="str">
        <f t="shared" si="47"/>
        <v>4015/4016</v>
      </c>
      <c r="L118" s="22" t="str">
        <f>VLOOKUP(A118,'Trips&amp;Operators'!$C$1:$G$99999,5,FALSE)</f>
        <v>BARTLETT KIANDRA</v>
      </c>
      <c r="M118" s="6">
        <f t="shared" si="48"/>
        <v>2.774305555067258E-2</v>
      </c>
      <c r="N118" s="7">
        <f t="shared" si="64"/>
        <v>39.949999992968515</v>
      </c>
      <c r="O118" s="7"/>
      <c r="P118" s="7"/>
      <c r="Q118" s="23"/>
      <c r="R118" s="23"/>
      <c r="S118" s="35">
        <f t="shared" si="62"/>
        <v>1</v>
      </c>
      <c r="T118" s="50" t="str">
        <f t="shared" si="49"/>
        <v>Southbound</v>
      </c>
      <c r="U118" s="171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98" t="str">
        <f t="shared" si="50"/>
        <v>https://search-rtdc-monitor-bjffxe2xuh6vdkpspy63sjmuny.us-east-1.es.amazonaws.com/_plugin/kibana/#/discover/Steve-Slow-Train-Analysis-(2080s-and-2083s)?_g=(refreshInterval:(display:Off,section:0,value:0),time:(from:'2016-12-10 16:13:01-700',mode:absolute,to:'2016-12-10 19:06:13-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201053%20OR%202087)%20AND%20%22rtdc.l.rtdc.4015%22')),sort:!(Time,asc))</v>
      </c>
      <c r="W118" s="52" t="str">
        <f t="shared" si="65"/>
        <v>N</v>
      </c>
      <c r="X118" s="177">
        <f t="shared" si="66"/>
        <v>1</v>
      </c>
      <c r="Y118" s="67">
        <f t="shared" si="63"/>
        <v>23.306100000000001</v>
      </c>
      <c r="Z118" s="67">
        <f t="shared" si="61"/>
        <v>1.5599999999999999E-2</v>
      </c>
      <c r="AA118" s="67">
        <f t="shared" si="53"/>
        <v>23.290500000000002</v>
      </c>
      <c r="AB118" s="64" t="e">
        <f>VLOOKUP(A118,Enforcements!$C$7:$K$20,8,0)</f>
        <v>#N/A</v>
      </c>
      <c r="AC118" s="60" t="e">
        <f>VLOOKUP(A118,Enforcements!$C$7:$E$20,3,0)</f>
        <v>#N/A</v>
      </c>
      <c r="AD118" s="61" t="str">
        <f t="shared" si="54"/>
        <v>0204-10</v>
      </c>
      <c r="AE118" s="91" t="str">
        <f t="shared" si="55"/>
        <v>aws s3 cp s3://rtdc.mdm.uploadarchive.raw/RTDC4015/ "%USERPROFILE%\AppData\Local\Temp\OnboardLogs"\RTDC4015\2016-12-10 --exclude "*" --recursive --include "*20161210*" &amp; "%USERPROFILE%\Documents\GitHub\mrs-test-scripts\Headless Mode &amp; Sideloading\WalkAndUnGZ.bat" "%USERPROFILE%\AppData\Local\Temp\OnboardLogs"\RTDC4015\2016-12-10 &amp; aws s3 cp s3://rtdc.mdm.uploadarchive.raw/RTDC4015/ "%USERPROFILE%\AppData\Local\Temp\OnboardLogs"\RTDC4015\2016-12-11 --exclude "*" --recursive --include "*20161211*" &amp; "%USERPROFILE%\Documents\GitHub\mrs-test-scripts\Headless Mode &amp; Sideloading\WalkAndUnGZ.bat" "%USERPROFILE%\AppData\Local\Temp\OnboardLogs"\RTDC4015\2016-12-11</v>
      </c>
      <c r="AF118" s="88" t="str">
        <f t="shared" si="56"/>
        <v>"C:\Program Files (x86)\AstroGrep\AstroGrep.exe" /spath="%USERPROFILE%\AppData\Local\Temp\OnboardLogs" /stypes="app*4015*20161211*" /stext=" 01:.+((SYSTEM_STATE.+slice.+state.+changed )|(ment ac)|(multiple cpu faults)|(system.+state.+changed )|(\[timeout)|(PRM\|1\|D)|(kpr)|(kdp)|(\|lc)|(penalty))" /e /r /s</v>
      </c>
      <c r="AG118" s="1" t="str">
        <f t="shared" si="57"/>
        <v>EC</v>
      </c>
      <c r="AH118" s="92" t="str">
        <f t="shared" si="58"/>
        <v>"%USERPROFILE%\Documents\GitHub\eaglep3\Utilities\RefineRTDCRunTimes.py" --tripid 204-10 --locoid 4015 --swversion DE.1.0.8.0 --startMP 204:233061 --initTime 2016-12-10T17:13:01 --startdatetime 2016-12-10T17:26:16 --delay 2 --endMP 204:156 --enddatetime 2016-12-10T18:06:13 --enforcementcount 1 &gt;&gt;C:\Users\stu\Documents\GitHub\eaglep3-reporting\EC\2016-12-10-refined-times.txt</v>
      </c>
      <c r="AI118" s="119" t="str">
        <f t="shared" si="59"/>
        <v>echo {"issue":{"subject":"","project_id":79,"tracker_id":40,"status_id":1,"priority_id":2,"assigned_to_id":23,"start_date":"2016-12-10","description":"","custom_fields":[{"id":1,"name":"Subdivision","value":"EC"},{"id":4,"name":"Milepost","value":"0.0156"},{"id":17,"name":"Train ID","value":"204-10"},{"id":16,"name":"Locomotive ID","value":"4015"},{"id":130,"name":"Impact","value":""},{"id":150,"name":"Time of Event (Mountain Time)","value":"18:06:13"},{"id":151,"name":"Denver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8" s="53"/>
      <c r="AK118" s="53"/>
      <c r="AL118" s="53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s="21" customFormat="1" x14ac:dyDescent="0.25">
      <c r="A119" s="37" t="s">
        <v>430</v>
      </c>
      <c r="B119" s="7">
        <v>4040</v>
      </c>
      <c r="C119" s="22" t="s">
        <v>207</v>
      </c>
      <c r="D119" s="22" t="s">
        <v>240</v>
      </c>
      <c r="E119" s="13">
        <v>42714.695648148147</v>
      </c>
      <c r="F119" s="13">
        <v>42714.737997685188</v>
      </c>
      <c r="G119" s="7">
        <v>1</v>
      </c>
      <c r="H119" s="22" t="s">
        <v>387</v>
      </c>
      <c r="I119" s="13">
        <v>42714.764918981484</v>
      </c>
      <c r="J119" s="7">
        <v>1</v>
      </c>
      <c r="K119" s="109" t="str">
        <f t="shared" si="47"/>
        <v>4039/4040</v>
      </c>
      <c r="L119" s="22" t="str">
        <f>VLOOKUP(A119,'Trips&amp;Operators'!$C$1:$G$99999,5,FALSE)</f>
        <v>MOSES BRADLEY</v>
      </c>
      <c r="M119" s="6">
        <f t="shared" si="48"/>
        <v>2.6921296295768116E-2</v>
      </c>
      <c r="N119" s="7">
        <f t="shared" si="64"/>
        <v>38.766666665906087</v>
      </c>
      <c r="O119" s="7"/>
      <c r="P119" s="7"/>
      <c r="Q119" s="23"/>
      <c r="R119" s="23"/>
      <c r="S119" s="35">
        <f t="shared" si="62"/>
        <v>1</v>
      </c>
      <c r="T119" s="50" t="str">
        <f t="shared" si="49"/>
        <v>NorthBound</v>
      </c>
      <c r="U119" s="171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98" t="str">
        <f t="shared" si="50"/>
        <v>https://search-rtdc-monitor-bjffxe2xuh6vdkpspy63sjmuny.us-east-1.es.amazonaws.com/_plugin/kibana/#/discover/Steve-Slow-Train-Analysis-(2080s-and-2083s)?_g=(refreshInterval:(display:Off,section:0,value:0),time:(from:'2016-12-10 15:41:44-700',mode:absolute,to:'2016-12-10 19:21:29-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201053%20OR%202087)%20AND%20%22rtdc.l.rtdc.4040%22')),sort:!(Time,asc))</v>
      </c>
      <c r="W119" s="52" t="str">
        <f t="shared" si="65"/>
        <v>N</v>
      </c>
      <c r="X119" s="177">
        <f t="shared" si="66"/>
        <v>1</v>
      </c>
      <c r="Y119" s="67">
        <f t="shared" si="63"/>
        <v>4.7100000000000003E-2</v>
      </c>
      <c r="Z119" s="67">
        <f t="shared" si="61"/>
        <v>23.328900000000001</v>
      </c>
      <c r="AA119" s="67">
        <f t="shared" si="53"/>
        <v>23.2818</v>
      </c>
      <c r="AB119" s="64" t="str">
        <f>VLOOKUP(A119,Enforcements!$C$7:$K$20,8,0)</f>
        <v>Speed (6)</v>
      </c>
      <c r="AC119" s="60" t="str">
        <f>VLOOKUP(A119,Enforcements!$C$7:$E$20,3,0)</f>
        <v>PERMANENT SPEED RESTRICTION</v>
      </c>
      <c r="AD119" s="61" t="str">
        <f t="shared" si="54"/>
        <v>0205-10</v>
      </c>
      <c r="AE119" s="91" t="str">
        <f t="shared" si="55"/>
        <v>aws s3 cp s3://rtdc.mdm.uploadarchive.raw/RTDC4040/ "%USERPROFILE%\AppData\Local\Temp\OnboardLogs"\RTDC4040\2016-12-10 --exclude "*" --recursive --include "*20161210*" &amp; "%USERPROFILE%\Documents\GitHub\mrs-test-scripts\Headless Mode &amp; Sideloading\WalkAndUnGZ.bat" "%USERPROFILE%\AppData\Local\Temp\OnboardLogs"\RTDC4040\2016-12-10 &amp; aws s3 cp s3://rtdc.mdm.uploadarchive.raw/RTDC4040/ "%USERPROFILE%\AppData\Local\Temp\OnboardLogs"\RTDC4040\2016-12-11 --exclude "*" --recursive --include "*20161211*" &amp; "%USERPROFILE%\Documents\GitHub\mrs-test-scripts\Headless Mode &amp; Sideloading\WalkAndUnGZ.bat" "%USERPROFILE%\AppData\Local\Temp\OnboardLogs"\RTDC4040\2016-12-11</v>
      </c>
      <c r="AF119" s="88" t="str">
        <f t="shared" si="56"/>
        <v>"C:\Program Files (x86)\AstroGrep\AstroGrep.exe" /spath="%USERPROFILE%\AppData\Local\Temp\OnboardLogs" /stypes="app*4040*20161211*" /stext=" 01:.+((SYSTEM_STATE.+slice.+state.+changed )|(ment ac)|(multiple cpu faults)|(system.+state.+changed )|(\[timeout)|(PRM\|1\|D)|(kpr)|(kdp)|(\|lc)|(penalty))" /e /r /s</v>
      </c>
      <c r="AG119" s="1" t="str">
        <f t="shared" si="57"/>
        <v>EC</v>
      </c>
      <c r="AH119" s="92" t="str">
        <f t="shared" si="58"/>
        <v>"%USERPROFILE%\Documents\GitHub\eaglep3\Utilities\RefineRTDCRunTimes.py" --tripid 205-10 --locoid 4040 --swversion DE.1.0.8.0 --startMP 204:471 --initTime 2016-12-10T16:41:44 --startdatetime 2016-12-10T17:42:43 --delay 1 --endMP 204:233289 --enddatetime 2016-12-10T18:21:29 --enforcementcount 1 &gt;&gt;C:\Users\stu\Documents\GitHub\eaglep3-reporting\EC\2016-12-10-refined-times.txt</v>
      </c>
      <c r="AI119" s="119" t="str">
        <f t="shared" si="59"/>
        <v>echo {"issue":{"subject":"","project_id":79,"tracker_id":40,"status_id":1,"priority_id":2,"assigned_to_id":23,"start_date":"2016-12-10","description":"","custom_fields":[{"id":1,"name":"Subdivision","value":"EC"},{"id":4,"name":"Milepost","value":"23.3289"},{"id":17,"name":"Train ID","value":"205-10"},{"id":16,"name":"Locomotive ID","value":"4040"},{"id":130,"name":"Impact","value":""},{"id":150,"name":"Time of Event (Mountain Time)","value":"18:21:29"},{"id":151,"name":"Denver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9" s="53"/>
      <c r="AK119" s="53"/>
      <c r="AL119" s="53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1" customFormat="1" x14ac:dyDescent="0.25">
      <c r="A120" s="37" t="s">
        <v>586</v>
      </c>
      <c r="B120" s="7">
        <v>4039</v>
      </c>
      <c r="C120" s="22" t="s">
        <v>207</v>
      </c>
      <c r="D120" s="22" t="s">
        <v>333</v>
      </c>
      <c r="E120" s="13">
        <v>42714.736342592594</v>
      </c>
      <c r="F120" s="13">
        <v>42714.737997685188</v>
      </c>
      <c r="G120" s="7">
        <v>1</v>
      </c>
      <c r="H120" s="22" t="s">
        <v>296</v>
      </c>
      <c r="I120" s="13">
        <v>42714.764918981484</v>
      </c>
      <c r="J120" s="7">
        <v>1</v>
      </c>
      <c r="K120" s="109" t="str">
        <f t="shared" si="47"/>
        <v>4039/4040</v>
      </c>
      <c r="L120" s="22" t="str">
        <f>VLOOKUP(A120,'Trips&amp;Operators'!$C$1:$G$99999,5,FALSE)</f>
        <v>MOSES BRADLEY</v>
      </c>
      <c r="M120" s="6">
        <f t="shared" si="48"/>
        <v>2.6921296295768116E-2</v>
      </c>
      <c r="N120" s="7">
        <f t="shared" si="64"/>
        <v>38.766666665906087</v>
      </c>
      <c r="O120" s="7"/>
      <c r="P120" s="7"/>
      <c r="Q120" s="23"/>
      <c r="R120" s="23"/>
      <c r="S120" s="35">
        <f t="shared" si="62"/>
        <v>1</v>
      </c>
      <c r="T120" s="50" t="str">
        <f t="shared" si="49"/>
        <v>Southbound</v>
      </c>
      <c r="U120" s="171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98" t="str">
        <f t="shared" si="50"/>
        <v>https://search-rtdc-monitor-bjffxe2xuh6vdkpspy63sjmuny.us-east-1.es.amazonaws.com/_plugin/kibana/#/discover/Steve-Slow-Train-Analysis-(2080s-and-2083s)?_g=(refreshInterval:(display:Off,section:0,value:0),time:(from:'2016-12-10 16:40:20-700',mode:absolute,to:'2016-12-10 19:21:29-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201053%20OR%202087)%20AND%20%22rtdc.l.rtdc.4039%22')),sort:!(Time,asc))</v>
      </c>
      <c r="W120" s="52" t="str">
        <f t="shared" si="65"/>
        <v>N</v>
      </c>
      <c r="X120" s="177">
        <f t="shared" si="66"/>
        <v>1</v>
      </c>
      <c r="Y120" s="67">
        <f t="shared" si="63"/>
        <v>23.297899999999998</v>
      </c>
      <c r="Z120" s="67">
        <f t="shared" si="61"/>
        <v>1.52E-2</v>
      </c>
      <c r="AA120" s="67">
        <f t="shared" si="53"/>
        <v>23.282699999999998</v>
      </c>
      <c r="AB120" s="64" t="e">
        <f>VLOOKUP(A120,Enforcements!$C$7:$K$20,8,0)</f>
        <v>#N/A</v>
      </c>
      <c r="AC120" s="60" t="e">
        <f>VLOOKUP(A120,Enforcements!$C$7:$E$20,3,0)</f>
        <v>#N/A</v>
      </c>
      <c r="AD120" s="61" t="str">
        <f t="shared" si="54"/>
        <v>0206-10</v>
      </c>
      <c r="AE120" s="91" t="str">
        <f t="shared" si="55"/>
        <v>aws s3 cp s3://rtdc.mdm.uploadarchive.raw/RTDC4039/ "%USERPROFILE%\AppData\Local\Temp\OnboardLogs"\RTDC4039\2016-12-10 --exclude "*" --recursive --include "*20161210*" &amp; "%USERPROFILE%\Documents\GitHub\mrs-test-scripts\Headless Mode &amp; Sideloading\WalkAndUnGZ.bat" "%USERPROFILE%\AppData\Local\Temp\OnboardLogs"\RTDC4039\2016-12-10 &amp; aws s3 cp s3://rtdc.mdm.uploadarchive.raw/RTDC4039/ "%USERPROFILE%\AppData\Local\Temp\OnboardLogs"\RTDC4039\2016-12-11 --exclude "*" --recursive --include "*20161211*" &amp; "%USERPROFILE%\Documents\GitHub\mrs-test-scripts\Headless Mode &amp; Sideloading\WalkAndUnGZ.bat" "%USERPROFILE%\AppData\Local\Temp\OnboardLogs"\RTDC4039\2016-12-11</v>
      </c>
      <c r="AF120" s="88" t="str">
        <f t="shared" si="56"/>
        <v>"C:\Program Files (x86)\AstroGrep\AstroGrep.exe" /spath="%USERPROFILE%\AppData\Local\Temp\OnboardLogs" /stypes="app*4039*20161211*" /stext=" 01:.+((SYSTEM_STATE.+slice.+state.+changed )|(ment ac)|(multiple cpu faults)|(system.+state.+changed )|(\[timeout)|(PRM\|1\|D)|(kpr)|(kdp)|(\|lc)|(penalty))" /e /r /s</v>
      </c>
      <c r="AG120" s="1" t="str">
        <f t="shared" si="57"/>
        <v>EC</v>
      </c>
      <c r="AH120" s="92" t="str">
        <f t="shared" si="58"/>
        <v>"%USERPROFILE%\Documents\GitHub\eaglep3\Utilities\RefineRTDCRunTimes.py" --tripid 206-10 --locoid 4039 --swversion DE.1.0.8.0 --startMP 204:232979 --initTime 2016-12-10T17:40:20 --startdatetime 2016-12-10T17:42:43 --delay 1 --endMP 204:152 --enddatetime 2016-12-10T18:21:29 --enforcementcount 1 &gt;&gt;C:\Users\stu\Documents\GitHub\eaglep3-reporting\EC\2016-12-10-refined-times.txt</v>
      </c>
      <c r="AI120" s="119" t="str">
        <f t="shared" si="59"/>
        <v>echo {"issue":{"subject":"","project_id":79,"tracker_id":40,"status_id":1,"priority_id":2,"assigned_to_id":23,"start_date":"2016-12-10","description":"","custom_fields":[{"id":1,"name":"Subdivision","value":"EC"},{"id":4,"name":"Milepost","value":"0.0152"},{"id":17,"name":"Train ID","value":"206-10"},{"id":16,"name":"Locomotive ID","value":"4039"},{"id":130,"name":"Impact","value":""},{"id":150,"name":"Time of Event (Mountain Time)","value":"18:21:29"},{"id":151,"name":"Denver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0" s="53"/>
      <c r="AK120" s="53"/>
      <c r="AL120" s="53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x14ac:dyDescent="0.25">
      <c r="A121" s="37" t="s">
        <v>577</v>
      </c>
      <c r="B121" s="7">
        <v>4025</v>
      </c>
      <c r="C121" s="22" t="s">
        <v>207</v>
      </c>
      <c r="D121" s="22" t="s">
        <v>677</v>
      </c>
      <c r="E121" s="13">
        <v>42714.704317129632</v>
      </c>
      <c r="F121" s="13">
        <v>42714.708518518521</v>
      </c>
      <c r="G121" s="7">
        <v>1</v>
      </c>
      <c r="H121" s="22" t="s">
        <v>305</v>
      </c>
      <c r="I121" s="13">
        <v>42714.733888888892</v>
      </c>
      <c r="J121" s="7">
        <v>1</v>
      </c>
      <c r="K121" s="109" t="str">
        <f t="shared" si="47"/>
        <v>4025/4026</v>
      </c>
      <c r="L121" s="22" t="str">
        <f>VLOOKUP(A121,'Trips&amp;Operators'!$C$1:$G$99999,5,FALSE)</f>
        <v>SHOOK JOHN</v>
      </c>
      <c r="M121" s="6">
        <f t="shared" si="48"/>
        <v>2.5370370371092577E-2</v>
      </c>
      <c r="N121" s="7">
        <f t="shared" si="64"/>
        <v>36.53333333437331</v>
      </c>
      <c r="O121" s="7"/>
      <c r="P121" s="7"/>
      <c r="Q121" s="23"/>
      <c r="R121" s="23"/>
      <c r="S121" s="35">
        <f t="shared" si="62"/>
        <v>1</v>
      </c>
      <c r="T121" s="50" t="str">
        <f t="shared" si="49"/>
        <v>NorthBound</v>
      </c>
      <c r="U121" s="171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98" t="str">
        <f t="shared" si="50"/>
        <v>https://search-rtdc-monitor-bjffxe2xuh6vdkpspy63sjmuny.us-east-1.es.amazonaws.com/_plugin/kibana/#/discover/Steve-Slow-Train-Analysis-(2080s-and-2083s)?_g=(refreshInterval:(display:Off,section:0,value:0),time:(from:'2016-12-10 15:54:13-700',mode:absolute,to:'2016-12-10 18:36:48-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201053%20OR%202087)%20AND%20%22rtdc.l.rtdc.4025%22')),sort:!(Time,asc))</v>
      </c>
      <c r="W121" s="52" t="str">
        <f t="shared" si="65"/>
        <v>N</v>
      </c>
      <c r="X121" s="177">
        <f t="shared" si="66"/>
        <v>1</v>
      </c>
      <c r="Y121" s="67">
        <f t="shared" si="63"/>
        <v>4.6699999999999998E-2</v>
      </c>
      <c r="Z121" s="67">
        <f t="shared" si="61"/>
        <v>23.3309</v>
      </c>
      <c r="AA121" s="67">
        <f t="shared" si="53"/>
        <v>23.284199999999998</v>
      </c>
      <c r="AB121" s="64" t="e">
        <f>VLOOKUP(A121,Enforcements!$C$7:$K$20,8,0)</f>
        <v>#N/A</v>
      </c>
      <c r="AC121" s="60" t="e">
        <f>VLOOKUP(A121,Enforcements!$C$7:$E$20,3,0)</f>
        <v>#N/A</v>
      </c>
      <c r="AD121" s="61" t="str">
        <f t="shared" si="54"/>
        <v>0207-10</v>
      </c>
      <c r="AE121" s="91" t="str">
        <f t="shared" si="55"/>
        <v>aws s3 cp s3://rtdc.mdm.uploadarchive.raw/RTDC4025/ "%USERPROFILE%\AppData\Local\Temp\OnboardLogs"\RTDC4025\2016-12-10 --exclude "*" --recursive --include "*20161210*" &amp; "%USERPROFILE%\Documents\GitHub\mrs-test-scripts\Headless Mode &amp; Sideloading\WalkAndUnGZ.bat" "%USERPROFILE%\AppData\Local\Temp\OnboardLogs"\RTDC4025\2016-12-10 &amp; aws s3 cp s3://rtdc.mdm.uploadarchive.raw/RTDC4025/ "%USERPROFILE%\AppData\Local\Temp\OnboardLogs"\RTDC4025\2016-12-11 --exclude "*" --recursive --include "*20161211*" &amp; "%USERPROFILE%\Documents\GitHub\mrs-test-scripts\Headless Mode &amp; Sideloading\WalkAndUnGZ.bat" "%USERPROFILE%\AppData\Local\Temp\OnboardLogs"\RTDC4025\2016-12-11</v>
      </c>
      <c r="AF121" s="88" t="str">
        <f t="shared" si="56"/>
        <v>"C:\Program Files (x86)\AstroGrep\AstroGrep.exe" /spath="%USERPROFILE%\AppData\Local\Temp\OnboardLogs" /stypes="app*4025*20161211*" /stext=" 00:.+((SYSTEM_STATE.+slice.+state.+changed )|(ment ac)|(multiple cpu faults)|(system.+state.+changed )|(\[timeout)|(PRM\|1\|D)|(kpr)|(kdp)|(\|lc)|(penalty))" /e /r /s</v>
      </c>
      <c r="AG121" s="1" t="str">
        <f t="shared" si="57"/>
        <v>EC</v>
      </c>
      <c r="AH121" s="92" t="str">
        <f t="shared" si="58"/>
        <v>"%USERPROFILE%\Documents\GitHub\eaglep3\Utilities\RefineRTDCRunTimes.py" --tripid 207-10 --locoid 4025 --swversion DE.1.0.8.0 --startMP 204:467 --initTime 2016-12-10T16:54:13 --startdatetime 2016-12-10T17:00:16 --delay 1 --endMP 204:233309 --enddatetime 2016-12-10T17:36:48 --enforcementcount 1 &gt;&gt;C:\Users\stu\Documents\GitHub\eaglep3-reporting\EC\2016-12-10-refined-times.txt</v>
      </c>
      <c r="AI121" s="119" t="str">
        <f t="shared" si="59"/>
        <v>echo {"issue":{"subject":"","project_id":79,"tracker_id":40,"status_id":1,"priority_id":2,"assigned_to_id":23,"start_date":"2016-12-10","description":"","custom_fields":[{"id":1,"name":"Subdivision","value":"EC"},{"id":4,"name":"Milepost","value":"23.3309"},{"id":17,"name":"Train ID","value":"207-10"},{"id":16,"name":"Locomotive ID","value":"4025"},{"id":130,"name":"Impact","value":""},{"id":150,"name":"Time of Event (Mountain Time)","value":"17:36:48"},{"id":151,"name":"Denver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1" s="53"/>
      <c r="AK121" s="53"/>
      <c r="AL121" s="53"/>
    </row>
    <row r="122" spans="1:91" s="21" customFormat="1" x14ac:dyDescent="0.25">
      <c r="A122" s="37" t="s">
        <v>588</v>
      </c>
      <c r="B122" s="7">
        <v>4026</v>
      </c>
      <c r="C122" s="22" t="s">
        <v>207</v>
      </c>
      <c r="D122" s="22" t="s">
        <v>746</v>
      </c>
      <c r="E122" s="13">
        <v>42714.740428240744</v>
      </c>
      <c r="F122" s="13">
        <v>42714.747418981482</v>
      </c>
      <c r="G122" s="7">
        <v>1</v>
      </c>
      <c r="H122" s="22" t="s">
        <v>193</v>
      </c>
      <c r="I122" s="13">
        <v>42714.776284722226</v>
      </c>
      <c r="J122" s="7">
        <v>1</v>
      </c>
      <c r="K122" s="109" t="str">
        <f t="shared" si="47"/>
        <v>4025/4026</v>
      </c>
      <c r="L122" s="22" t="str">
        <f>VLOOKUP(A122,'Trips&amp;Operators'!$C$1:$G$99999,5,FALSE)</f>
        <v>SHOOK JOHN</v>
      </c>
      <c r="M122" s="6">
        <f t="shared" si="48"/>
        <v>2.8865740743640345E-2</v>
      </c>
      <c r="N122" s="7">
        <f t="shared" si="64"/>
        <v>41.566666670842096</v>
      </c>
      <c r="O122" s="7"/>
      <c r="P122" s="7"/>
      <c r="Q122" s="23"/>
      <c r="R122" s="23"/>
      <c r="S122" s="35">
        <f t="shared" si="62"/>
        <v>1</v>
      </c>
      <c r="T122" s="50" t="str">
        <f t="shared" si="49"/>
        <v>Southbound</v>
      </c>
      <c r="U122" s="171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98" t="str">
        <f t="shared" si="50"/>
        <v>https://search-rtdc-monitor-bjffxe2xuh6vdkpspy63sjmuny.us-east-1.es.amazonaws.com/_plugin/kibana/#/discover/Steve-Slow-Train-Analysis-(2080s-and-2083s)?_g=(refreshInterval:(display:Off,section:0,value:0),time:(from:'2016-12-10 16:46:13-700',mode:absolute,to:'2016-12-10 19:37:51-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201053%20OR%202087)%20AND%20%22rtdc.l.rtdc.4026%22')),sort:!(Time,asc))</v>
      </c>
      <c r="W122" s="52" t="str">
        <f t="shared" si="65"/>
        <v>N</v>
      </c>
      <c r="X122" s="177">
        <f t="shared" si="66"/>
        <v>1</v>
      </c>
      <c r="Y122" s="67">
        <f t="shared" si="63"/>
        <v>23.3005</v>
      </c>
      <c r="Z122" s="67">
        <f t="shared" si="61"/>
        <v>1.43E-2</v>
      </c>
      <c r="AA122" s="67">
        <f t="shared" si="53"/>
        <v>23.286200000000001</v>
      </c>
      <c r="AB122" s="64" t="e">
        <f>VLOOKUP(A122,Enforcements!$C$7:$K$20,8,0)</f>
        <v>#N/A</v>
      </c>
      <c r="AC122" s="60" t="e">
        <f>VLOOKUP(A122,Enforcements!$C$7:$E$20,3,0)</f>
        <v>#N/A</v>
      </c>
      <c r="AD122" s="61" t="str">
        <f t="shared" si="54"/>
        <v>0208-10</v>
      </c>
      <c r="AE122" s="91" t="str">
        <f t="shared" si="55"/>
        <v>aws s3 cp s3://rtdc.mdm.uploadarchive.raw/RTDC4026/ "%USERPROFILE%\AppData\Local\Temp\OnboardLogs"\RTDC4026\2016-12-10 --exclude "*" --recursive --include "*20161210*" &amp; "%USERPROFILE%\Documents\GitHub\mrs-test-scripts\Headless Mode &amp; Sideloading\WalkAndUnGZ.bat" "%USERPROFILE%\AppData\Local\Temp\OnboardLogs"\RTDC4026\2016-12-10 &amp; aws s3 cp s3://rtdc.mdm.uploadarchive.raw/RTDC4026/ "%USERPROFILE%\AppData\Local\Temp\OnboardLogs"\RTDC4026\2016-12-11 --exclude "*" --recursive --include "*20161211*" &amp; "%USERPROFILE%\Documents\GitHub\mrs-test-scripts\Headless Mode &amp; Sideloading\WalkAndUnGZ.bat" "%USERPROFILE%\AppData\Local\Temp\OnboardLogs"\RTDC4026\2016-12-11</v>
      </c>
      <c r="AF122" s="88" t="str">
        <f t="shared" si="56"/>
        <v>"C:\Program Files (x86)\AstroGrep\AstroGrep.exe" /spath="%USERPROFILE%\AppData\Local\Temp\OnboardLogs" /stypes="app*4026*20161211*" /stext=" 01:.+((SYSTEM_STATE.+slice.+state.+changed )|(ment ac)|(multiple cpu faults)|(system.+state.+changed )|(\[timeout)|(PRM\|1\|D)|(kpr)|(kdp)|(\|lc)|(penalty))" /e /r /s</v>
      </c>
      <c r="AG122" s="1" t="str">
        <f t="shared" si="57"/>
        <v>EC</v>
      </c>
      <c r="AH122" s="92" t="str">
        <f t="shared" si="58"/>
        <v>"%USERPROFILE%\Documents\GitHub\eaglep3\Utilities\RefineRTDCRunTimes.py" --tripid 208-10 --locoid 4026 --swversion DE.1.0.8.0 --startMP 204:233005 --initTime 2016-12-10T17:46:13 --startdatetime 2016-12-10T17:56:17 --delay 1 --endMP 204:143 --enddatetime 2016-12-10T18:37:51 --enforcementcount 1 &gt;&gt;C:\Users\stu\Documents\GitHub\eaglep3-reporting\EC\2016-12-10-refined-times.txt</v>
      </c>
      <c r="AI122" s="119" t="str">
        <f t="shared" si="59"/>
        <v>echo {"issue":{"subject":"","project_id":79,"tracker_id":40,"status_id":1,"priority_id":2,"assigned_to_id":23,"start_date":"2016-12-10","description":"","custom_fields":[{"id":1,"name":"Subdivision","value":"EC"},{"id":4,"name":"Milepost","value":"0.0143"},{"id":17,"name":"Train ID","value":"208-10"},{"id":16,"name":"Locomotive ID","value":"4026"},{"id":130,"name":"Impact","value":""},{"id":150,"name":"Time of Event (Mountain Time)","value":"18:37:51"},{"id":151,"name":"Denver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2" s="53"/>
      <c r="AK122" s="53"/>
      <c r="AL122" s="53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1" customFormat="1" x14ac:dyDescent="0.25">
      <c r="A123" s="37" t="s">
        <v>580</v>
      </c>
      <c r="B123" s="7">
        <v>4020</v>
      </c>
      <c r="C123" s="22" t="s">
        <v>207</v>
      </c>
      <c r="D123" s="22" t="s">
        <v>261</v>
      </c>
      <c r="E123" s="13">
        <v>42714.714212962965</v>
      </c>
      <c r="F123" s="13">
        <v>42714.718935185185</v>
      </c>
      <c r="G123" s="7">
        <v>2</v>
      </c>
      <c r="H123" s="22" t="s">
        <v>687</v>
      </c>
      <c r="I123" s="13">
        <v>42714.743703703702</v>
      </c>
      <c r="J123" s="7">
        <v>1</v>
      </c>
      <c r="K123" s="109" t="str">
        <f t="shared" si="47"/>
        <v>4019/4020</v>
      </c>
      <c r="L123" s="22" t="str">
        <f>VLOOKUP(A123,'Trips&amp;Operators'!$C$1:$G$99999,5,FALSE)</f>
        <v>BRUDER RICHARD</v>
      </c>
      <c r="M123" s="6">
        <f t="shared" si="48"/>
        <v>2.4768518516793847E-2</v>
      </c>
      <c r="N123" s="7">
        <f t="shared" si="64"/>
        <v>35.66666666418314</v>
      </c>
      <c r="O123" s="7"/>
      <c r="P123" s="7"/>
      <c r="Q123" s="23"/>
      <c r="R123" s="23"/>
      <c r="S123" s="35">
        <f t="shared" si="62"/>
        <v>1</v>
      </c>
      <c r="T123" s="50" t="str">
        <f t="shared" si="49"/>
        <v>NorthBound</v>
      </c>
      <c r="U123" s="171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98" t="str">
        <f t="shared" si="50"/>
        <v>https://search-rtdc-monitor-bjffxe2xuh6vdkpspy63sjmuny.us-east-1.es.amazonaws.com/_plugin/kibana/#/discover/Steve-Slow-Train-Analysis-(2080s-and-2083s)?_g=(refreshInterval:(display:Off,section:0,value:0),time:(from:'2016-12-10 16:08:28-700',mode:absolute,to:'2016-12-10 18:50:56-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201053%20OR%202087)%20AND%20%22rtdc.l.rtdc.4020%22')),sort:!(Time,asc))</v>
      </c>
      <c r="W123" s="52" t="str">
        <f t="shared" si="65"/>
        <v>N</v>
      </c>
      <c r="X123" s="177">
        <f t="shared" si="66"/>
        <v>1</v>
      </c>
      <c r="Y123" s="67">
        <f t="shared" si="63"/>
        <v>4.58E-2</v>
      </c>
      <c r="Z123" s="67">
        <f t="shared" si="61"/>
        <v>23.330200000000001</v>
      </c>
      <c r="AA123" s="67">
        <f t="shared" si="53"/>
        <v>23.284400000000002</v>
      </c>
      <c r="AB123" s="64" t="e">
        <f>VLOOKUP(A123,Enforcements!$C$7:$K$20,8,0)</f>
        <v>#N/A</v>
      </c>
      <c r="AC123" s="60" t="e">
        <f>VLOOKUP(A123,Enforcements!$C$7:$E$20,3,0)</f>
        <v>#N/A</v>
      </c>
      <c r="AD123" s="61" t="str">
        <f t="shared" si="54"/>
        <v>0209-10</v>
      </c>
      <c r="AE123" s="91" t="str">
        <f t="shared" si="55"/>
        <v>aws s3 cp s3://rtdc.mdm.uploadarchive.raw/RTDC4020/ "%USERPROFILE%\AppData\Local\Temp\OnboardLogs"\RTDC4020\2016-12-10 --exclude "*" --recursive --include "*20161210*" &amp; "%USERPROFILE%\Documents\GitHub\mrs-test-scripts\Headless Mode &amp; Sideloading\WalkAndUnGZ.bat" "%USERPROFILE%\AppData\Local\Temp\OnboardLogs"\RTDC4020\2016-12-10 &amp; aws s3 cp s3://rtdc.mdm.uploadarchive.raw/RTDC4020/ "%USERPROFILE%\AppData\Local\Temp\OnboardLogs"\RTDC4020\2016-12-11 --exclude "*" --recursive --include "*20161211*" &amp; "%USERPROFILE%\Documents\GitHub\mrs-test-scripts\Headless Mode &amp; Sideloading\WalkAndUnGZ.bat" "%USERPROFILE%\AppData\Local\Temp\OnboardLogs"\RTDC4020\2016-12-11</v>
      </c>
      <c r="AF123" s="88" t="str">
        <f t="shared" si="56"/>
        <v>"C:\Program Files (x86)\AstroGrep\AstroGrep.exe" /spath="%USERPROFILE%\AppData\Local\Temp\OnboardLogs" /stypes="app*4020*20161211*" /stext=" 00:.+((SYSTEM_STATE.+slice.+state.+changed )|(ment ac)|(multiple cpu faults)|(system.+state.+changed )|(\[timeout)|(PRM\|1\|D)|(kpr)|(kdp)|(\|lc)|(penalty))" /e /r /s</v>
      </c>
      <c r="AG123" s="1" t="str">
        <f t="shared" si="57"/>
        <v>EC</v>
      </c>
      <c r="AH123" s="92" t="str">
        <f t="shared" si="58"/>
        <v>"%USERPROFILE%\Documents\GitHub\eaglep3\Utilities\RefineRTDCRunTimes.py" --tripid 209-10 --locoid 4020 --swversion DE.1.0.8.0 --startMP 204:458 --initTime 2016-12-10T17:08:28 --startdatetime 2016-12-10T17:15:16 --delay 2 --endMP 204:233302 --enddatetime 2016-12-10T17:50:56 --enforcementcount 1 &gt;&gt;C:\Users\stu\Documents\GitHub\eaglep3-reporting\EC\2016-12-10-refined-times.txt</v>
      </c>
      <c r="AI123" s="119" t="str">
        <f t="shared" si="59"/>
        <v>echo {"issue":{"subject":"","project_id":79,"tracker_id":40,"status_id":1,"priority_id":2,"assigned_to_id":23,"start_date":"2016-12-10","description":"","custom_fields":[{"id":1,"name":"Subdivision","value":"EC"},{"id":4,"name":"Milepost","value":"23.3302"},{"id":17,"name":"Train ID","value":"209-10"},{"id":16,"name":"Locomotive ID","value":"4020"},{"id":130,"name":"Impact","value":""},{"id":150,"name":"Time of Event (Mountain Time)","value":"17:50:56"},{"id":151,"name":"Denver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3" s="53"/>
      <c r="AK123" s="53"/>
      <c r="AL123" s="5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1" customFormat="1" x14ac:dyDescent="0.25">
      <c r="A124" s="37" t="s">
        <v>594</v>
      </c>
      <c r="B124" s="7">
        <v>4019</v>
      </c>
      <c r="C124" s="22" t="s">
        <v>207</v>
      </c>
      <c r="D124" s="22" t="s">
        <v>362</v>
      </c>
      <c r="E124" s="13">
        <v>42714.752766203703</v>
      </c>
      <c r="F124" s="13">
        <v>42714.757824074077</v>
      </c>
      <c r="G124" s="7">
        <v>3</v>
      </c>
      <c r="H124" s="22" t="s">
        <v>192</v>
      </c>
      <c r="I124" s="13">
        <v>42714.785092592596</v>
      </c>
      <c r="J124" s="7">
        <v>1</v>
      </c>
      <c r="K124" s="109" t="str">
        <f t="shared" si="47"/>
        <v>4019/4020</v>
      </c>
      <c r="L124" s="22" t="str">
        <f>VLOOKUP(A124,'Trips&amp;Operators'!$C$1:$G$99999,5,FALSE)</f>
        <v>BRUDER RICHARD</v>
      </c>
      <c r="M124" s="6">
        <f t="shared" si="48"/>
        <v>2.7268518519122154E-2</v>
      </c>
      <c r="N124" s="7">
        <f t="shared" si="64"/>
        <v>39.266666667535901</v>
      </c>
      <c r="O124" s="7"/>
      <c r="P124" s="7"/>
      <c r="Q124" s="23"/>
      <c r="R124" s="23"/>
      <c r="S124" s="35">
        <f t="shared" si="62"/>
        <v>1</v>
      </c>
      <c r="T124" s="50" t="str">
        <f t="shared" si="49"/>
        <v>Southbound</v>
      </c>
      <c r="U124" s="171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98" t="str">
        <f t="shared" si="50"/>
        <v>https://search-rtdc-monitor-bjffxe2xuh6vdkpspy63sjmuny.us-east-1.es.amazonaws.com/_plugin/kibana/#/discover/Steve-Slow-Train-Analysis-(2080s-and-2083s)?_g=(refreshInterval:(display:Off,section:0,value:0),time:(from:'2016-12-10 17:03:59-700',mode:absolute,to:'2016-12-10 19:50:32-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201053%20OR%202087)%20AND%20%22rtdc.l.rtdc.4019%22')),sort:!(Time,asc))</v>
      </c>
      <c r="W124" s="52" t="str">
        <f t="shared" si="65"/>
        <v>N</v>
      </c>
      <c r="X124" s="177">
        <f t="shared" si="66"/>
        <v>1</v>
      </c>
      <c r="Y124" s="67">
        <f t="shared" si="63"/>
        <v>23.298500000000001</v>
      </c>
      <c r="Z124" s="67">
        <f t="shared" si="61"/>
        <v>1.49E-2</v>
      </c>
      <c r="AA124" s="67">
        <f t="shared" si="53"/>
        <v>23.2836</v>
      </c>
      <c r="AB124" s="64" t="e">
        <f>VLOOKUP(A124,Enforcements!$C$7:$K$20,8,0)</f>
        <v>#N/A</v>
      </c>
      <c r="AC124" s="60" t="e">
        <f>VLOOKUP(A124,Enforcements!$C$7:$E$20,3,0)</f>
        <v>#N/A</v>
      </c>
      <c r="AD124" s="61" t="str">
        <f t="shared" si="54"/>
        <v>0210-10</v>
      </c>
      <c r="AE124" s="91" t="str">
        <f t="shared" si="55"/>
        <v>aws s3 cp s3://rtdc.mdm.uploadarchive.raw/RTDC4019/ "%USERPROFILE%\AppData\Local\Temp\OnboardLogs"\RTDC4019\2016-12-10 --exclude "*" --recursive --include "*20161210*" &amp; "%USERPROFILE%\Documents\GitHub\mrs-test-scripts\Headless Mode &amp; Sideloading\WalkAndUnGZ.bat" "%USERPROFILE%\AppData\Local\Temp\OnboardLogs"\RTDC4019\2016-12-10 &amp; aws s3 cp s3://rtdc.mdm.uploadarchive.raw/RTDC4019/ "%USERPROFILE%\AppData\Local\Temp\OnboardLogs"\RTDC4019\2016-12-11 --exclude "*" --recursive --include "*20161211*" &amp; "%USERPROFILE%\Documents\GitHub\mrs-test-scripts\Headless Mode &amp; Sideloading\WalkAndUnGZ.bat" "%USERPROFILE%\AppData\Local\Temp\OnboardLogs"\RTDC4019\2016-12-11</v>
      </c>
      <c r="AF124" s="88" t="str">
        <f t="shared" si="56"/>
        <v>"C:\Program Files (x86)\AstroGrep\AstroGrep.exe" /spath="%USERPROFILE%\AppData\Local\Temp\OnboardLogs" /stypes="app*4019*20161211*" /stext=" 01:.+((SYSTEM_STATE.+slice.+state.+changed )|(ment ac)|(multiple cpu faults)|(system.+state.+changed )|(\[timeout)|(PRM\|1\|D)|(kpr)|(kdp)|(\|lc)|(penalty))" /e /r /s</v>
      </c>
      <c r="AG124" s="1" t="str">
        <f t="shared" si="57"/>
        <v>EC</v>
      </c>
      <c r="AH124" s="92" t="str">
        <f t="shared" si="58"/>
        <v>"%USERPROFILE%\Documents\GitHub\eaglep3\Utilities\RefineRTDCRunTimes.py" --tripid 210-10 --locoid 4019 --swversion DE.1.0.8.0 --startMP 204:232985 --initTime 2016-12-10T18:03:59 --startdatetime 2016-12-10T18:11:16 --delay 3 --endMP 204:149 --enddatetime 2016-12-10T18:50:32 --enforcementcount 1 &gt;&gt;C:\Users\stu\Documents\GitHub\eaglep3-reporting\EC\2016-12-10-refined-times.txt</v>
      </c>
      <c r="AI124" s="119" t="str">
        <f t="shared" si="59"/>
        <v>echo {"issue":{"subject":"","project_id":79,"tracker_id":40,"status_id":1,"priority_id":2,"assigned_to_id":23,"start_date":"2016-12-10","description":"","custom_fields":[{"id":1,"name":"Subdivision","value":"EC"},{"id":4,"name":"Milepost","value":"0.0149"},{"id":17,"name":"Train ID","value":"210-10"},{"id":16,"name":"Locomotive ID","value":"4019"},{"id":130,"name":"Impact","value":""},{"id":150,"name":"Time of Event (Mountain Time)","value":"18:50:32"},{"id":151,"name":"Denver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4" s="53"/>
      <c r="AK124" s="53"/>
      <c r="AL124" s="53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1" customFormat="1" x14ac:dyDescent="0.25">
      <c r="A125" s="37" t="s">
        <v>583</v>
      </c>
      <c r="B125" s="7">
        <v>4003</v>
      </c>
      <c r="C125" s="22" t="s">
        <v>207</v>
      </c>
      <c r="D125" s="22" t="s">
        <v>747</v>
      </c>
      <c r="E125" s="13">
        <v>42714.726689814815</v>
      </c>
      <c r="F125" s="13">
        <v>42714.729328703703</v>
      </c>
      <c r="G125" s="7">
        <v>2</v>
      </c>
      <c r="H125" s="22" t="s">
        <v>337</v>
      </c>
      <c r="I125" s="13">
        <v>42714.755023148151</v>
      </c>
      <c r="J125" s="7">
        <v>1</v>
      </c>
      <c r="K125" s="109" t="str">
        <f t="shared" si="47"/>
        <v>4003/4004</v>
      </c>
      <c r="L125" s="22" t="str">
        <f>VLOOKUP(A125,'Trips&amp;Operators'!$C$1:$G$99999,5,FALSE)</f>
        <v>CLARK KATHLEEN</v>
      </c>
      <c r="M125" s="6">
        <f t="shared" si="48"/>
        <v>2.5694444448163267E-2</v>
      </c>
      <c r="N125" s="7">
        <f t="shared" si="64"/>
        <v>37.000000005355105</v>
      </c>
      <c r="O125" s="7"/>
      <c r="P125" s="7"/>
      <c r="Q125" s="23"/>
      <c r="R125" s="23"/>
      <c r="S125" s="35">
        <f t="shared" si="62"/>
        <v>1</v>
      </c>
      <c r="T125" s="50" t="str">
        <f t="shared" si="49"/>
        <v>NorthBound</v>
      </c>
      <c r="U125" s="171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98" t="str">
        <f t="shared" si="50"/>
        <v>https://search-rtdc-monitor-bjffxe2xuh6vdkpspy63sjmuny.us-east-1.es.amazonaws.com/_plugin/kibana/#/discover/Steve-Slow-Train-Analysis-(2080s-and-2083s)?_g=(refreshInterval:(display:Off,section:0,value:0),time:(from:'2016-12-10 16:26:26-700',mode:absolute,to:'2016-12-10 19:07:14-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201053%20OR%202087)%20AND%20%22rtdc.l.rtdc.4003%22')),sort:!(Time,asc))</v>
      </c>
      <c r="W125" s="52" t="str">
        <f t="shared" si="65"/>
        <v>N</v>
      </c>
      <c r="X125" s="177">
        <f t="shared" si="66"/>
        <v>1</v>
      </c>
      <c r="Y125" s="67">
        <f t="shared" si="63"/>
        <v>4.7500000000000001E-2</v>
      </c>
      <c r="Z125" s="67">
        <f t="shared" ref="Z125:Z156" si="67">RIGHT(H125,LEN(H125)-4)/10000</f>
        <v>23.327200000000001</v>
      </c>
      <c r="AA125" s="67">
        <f t="shared" si="53"/>
        <v>23.279700000000002</v>
      </c>
      <c r="AB125" s="64" t="e">
        <f>VLOOKUP(A125,Enforcements!$C$7:$K$20,8,0)</f>
        <v>#N/A</v>
      </c>
      <c r="AC125" s="60" t="e">
        <f>VLOOKUP(A125,Enforcements!$C$7:$E$20,3,0)</f>
        <v>#N/A</v>
      </c>
      <c r="AD125" s="61" t="str">
        <f t="shared" si="54"/>
        <v>0211-10</v>
      </c>
      <c r="AE125" s="91" t="str">
        <f t="shared" si="55"/>
        <v>aws s3 cp s3://rtdc.mdm.uploadarchive.raw/RTDC4003/ "%USERPROFILE%\AppData\Local\Temp\OnboardLogs"\RTDC4003\2016-12-10 --exclude "*" --recursive --include "*20161210*" &amp; "%USERPROFILE%\Documents\GitHub\mrs-test-scripts\Headless Mode &amp; Sideloading\WalkAndUnGZ.bat" "%USERPROFILE%\AppData\Local\Temp\OnboardLogs"\RTDC4003\2016-12-10 &amp; aws s3 cp s3://rtdc.mdm.uploadarchive.raw/RTDC4003/ "%USERPROFILE%\AppData\Local\Temp\OnboardLogs"\RTDC4003\2016-12-11 --exclude "*" --recursive --include "*20161211*" &amp; "%USERPROFILE%\Documents\GitHub\mrs-test-scripts\Headless Mode &amp; Sideloading\WalkAndUnGZ.bat" "%USERPROFILE%\AppData\Local\Temp\OnboardLogs"\RTDC4003\2016-12-11</v>
      </c>
      <c r="AF125" s="88" t="str">
        <f t="shared" si="56"/>
        <v>"C:\Program Files (x86)\AstroGrep\AstroGrep.exe" /spath="%USERPROFILE%\AppData\Local\Temp\OnboardLogs" /stypes="app*4003*20161211*" /stext=" 01:.+((SYSTEM_STATE.+slice.+state.+changed )|(ment ac)|(multiple cpu faults)|(system.+state.+changed )|(\[timeout)|(PRM\|1\|D)|(kpr)|(kdp)|(\|lc)|(penalty))" /e /r /s</v>
      </c>
      <c r="AG125" s="1" t="str">
        <f t="shared" si="57"/>
        <v>EC</v>
      </c>
      <c r="AH125" s="92" t="str">
        <f t="shared" si="58"/>
        <v>"%USERPROFILE%\Documents\GitHub\eaglep3\Utilities\RefineRTDCRunTimes.py" --tripid 211-10 --locoid 4003 --swversion DE.1.0.8.0 --startMP 204:475 --initTime 2016-12-10T17:26:26 --startdatetime 2016-12-10T17:30:14 --delay 2 --endMP 204:233272 --enddatetime 2016-12-10T18:07:14 --enforcementcount 1 &gt;&gt;C:\Users\stu\Documents\GitHub\eaglep3-reporting\EC\2016-12-10-refined-times.txt</v>
      </c>
      <c r="AI125" s="119" t="str">
        <f t="shared" si="59"/>
        <v>echo {"issue":{"subject":"","project_id":79,"tracker_id":40,"status_id":1,"priority_id":2,"assigned_to_id":23,"start_date":"2016-12-10","description":"","custom_fields":[{"id":1,"name":"Subdivision","value":"EC"},{"id":4,"name":"Milepost","value":"23.3272"},{"id":17,"name":"Train ID","value":"211-10"},{"id":16,"name":"Locomotive ID","value":"4003"},{"id":130,"name":"Impact","value":""},{"id":150,"name":"Time of Event (Mountain Time)","value":"18:07:14"},{"id":151,"name":"Denver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5" s="53"/>
      <c r="AK125" s="53"/>
      <c r="AL125" s="53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1" customFormat="1" x14ac:dyDescent="0.25">
      <c r="A126" s="37" t="s">
        <v>596</v>
      </c>
      <c r="B126" s="7">
        <v>4004</v>
      </c>
      <c r="C126" s="22" t="s">
        <v>207</v>
      </c>
      <c r="D126" s="22" t="s">
        <v>748</v>
      </c>
      <c r="E126" s="13">
        <v>42714.763240740744</v>
      </c>
      <c r="F126" s="13">
        <v>42714.768240740741</v>
      </c>
      <c r="G126" s="7">
        <v>1</v>
      </c>
      <c r="H126" s="22" t="s">
        <v>749</v>
      </c>
      <c r="I126" s="13">
        <v>42714.799201388887</v>
      </c>
      <c r="J126" s="7">
        <v>1</v>
      </c>
      <c r="K126" s="109" t="str">
        <f t="shared" si="47"/>
        <v>4003/4004</v>
      </c>
      <c r="L126" s="22" t="str">
        <f>VLOOKUP(A126,'Trips&amp;Operators'!$C$1:$G$99999,5,FALSE)</f>
        <v>CLARK KATHLEEN</v>
      </c>
      <c r="M126" s="6">
        <f t="shared" si="48"/>
        <v>3.0960648145992309E-2</v>
      </c>
      <c r="N126" s="7">
        <f t="shared" si="64"/>
        <v>44.583333330228925</v>
      </c>
      <c r="O126" s="7"/>
      <c r="P126" s="7"/>
      <c r="Q126" s="23"/>
      <c r="R126" s="23"/>
      <c r="S126" s="35">
        <f t="shared" ref="S126:S157" si="68">SUM(U126:U126)/IF(AG126="EC",12,1)</f>
        <v>1</v>
      </c>
      <c r="T126" s="50" t="str">
        <f t="shared" si="49"/>
        <v>Southbound</v>
      </c>
      <c r="U126" s="171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98" t="str">
        <f t="shared" si="50"/>
        <v>https://search-rtdc-monitor-bjffxe2xuh6vdkpspy63sjmuny.us-east-1.es.amazonaws.com/_plugin/kibana/#/discover/Steve-Slow-Train-Analysis-(2080s-and-2083s)?_g=(refreshInterval:(display:Off,section:0,value:0),time:(from:'2016-12-10 17:19:04-700',mode:absolute,to:'2016-12-10 20:10:51-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201053%20OR%202087)%20AND%20%22rtdc.l.rtdc.4004%22')),sort:!(Time,asc))</v>
      </c>
      <c r="W126" s="52" t="str">
        <f t="shared" si="65"/>
        <v>N</v>
      </c>
      <c r="X126" s="177">
        <f t="shared" si="66"/>
        <v>1</v>
      </c>
      <c r="Y126" s="67">
        <f t="shared" ref="Y126:Y157" si="69">RIGHT(D126,LEN(D126)-4)/10000</f>
        <v>23.295300000000001</v>
      </c>
      <c r="Z126" s="67">
        <f t="shared" si="67"/>
        <v>1.78E-2</v>
      </c>
      <c r="AA126" s="67">
        <f t="shared" si="53"/>
        <v>23.2775</v>
      </c>
      <c r="AB126" s="64" t="e">
        <f>VLOOKUP(A126,Enforcements!$C$7:$K$20,8,0)</f>
        <v>#N/A</v>
      </c>
      <c r="AC126" s="60" t="e">
        <f>VLOOKUP(A126,Enforcements!$C$7:$E$20,3,0)</f>
        <v>#N/A</v>
      </c>
      <c r="AD126" s="61" t="str">
        <f t="shared" si="54"/>
        <v>0212-10</v>
      </c>
      <c r="AE126" s="91" t="str">
        <f t="shared" si="55"/>
        <v>aws s3 cp s3://rtdc.mdm.uploadarchive.raw/RTDC4004/ "%USERPROFILE%\AppData\Local\Temp\OnboardLogs"\RTDC4004\2016-12-10 --exclude "*" --recursive --include "*20161210*" &amp; "%USERPROFILE%\Documents\GitHub\mrs-test-scripts\Headless Mode &amp; Sideloading\WalkAndUnGZ.bat" "%USERPROFILE%\AppData\Local\Temp\OnboardLogs"\RTDC4004\2016-12-10 &amp; aws s3 cp s3://rtdc.mdm.uploadarchive.raw/RTDC4004/ "%USERPROFILE%\AppData\Local\Temp\OnboardLogs"\RTDC4004\2016-12-11 --exclude "*" --recursive --include "*20161211*" &amp; "%USERPROFILE%\Documents\GitHub\mrs-test-scripts\Headless Mode &amp; Sideloading\WalkAndUnGZ.bat" "%USERPROFILE%\AppData\Local\Temp\OnboardLogs"\RTDC4004\2016-12-11</v>
      </c>
      <c r="AF126" s="88" t="str">
        <f t="shared" si="56"/>
        <v>"C:\Program Files (x86)\AstroGrep\AstroGrep.exe" /spath="%USERPROFILE%\AppData\Local\Temp\OnboardLogs" /stypes="app*4004*20161211*" /stext=" 02:.+((SYSTEM_STATE.+slice.+state.+changed )|(ment ac)|(multiple cpu faults)|(system.+state.+changed )|(\[timeout)|(PRM\|1\|D)|(kpr)|(kdp)|(\|lc)|(penalty))" /e /r /s</v>
      </c>
      <c r="AG126" s="1" t="str">
        <f t="shared" si="57"/>
        <v>EC</v>
      </c>
      <c r="AH126" s="92" t="str">
        <f t="shared" si="58"/>
        <v>"%USERPROFILE%\Documents\GitHub\eaglep3\Utilities\RefineRTDCRunTimes.py" --tripid 212-10 --locoid 4004 --swversion DE.1.0.8.0 --startMP 204:232953 --initTime 2016-12-10T18:19:04 --startdatetime 2016-12-10T18:26:16 --delay 1 --endMP 204:178 --enddatetime 2016-12-10T19:10:51 --enforcementcount 1 &gt;&gt;C:\Users\stu\Documents\GitHub\eaglep3-reporting\EC\2016-12-10-refined-times.txt</v>
      </c>
      <c r="AI126" s="119" t="str">
        <f t="shared" si="59"/>
        <v>echo {"issue":{"subject":"","project_id":79,"tracker_id":40,"status_id":1,"priority_id":2,"assigned_to_id":23,"start_date":"2016-12-10","description":"","custom_fields":[{"id":1,"name":"Subdivision","value":"EC"},{"id":4,"name":"Milepost","value":"0.0178"},{"id":17,"name":"Train ID","value":"212-10"},{"id":16,"name":"Locomotive ID","value":"4004"},{"id":130,"name":"Impact","value":""},{"id":150,"name":"Time of Event (Mountain Time)","value":"19:10:51"},{"id":151,"name":"Denver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6" s="53"/>
      <c r="AK126" s="53"/>
      <c r="AL126" s="53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1" customFormat="1" x14ac:dyDescent="0.25">
      <c r="A127" s="37" t="s">
        <v>587</v>
      </c>
      <c r="B127" s="7">
        <v>4014</v>
      </c>
      <c r="C127" s="22" t="s">
        <v>207</v>
      </c>
      <c r="D127" s="22" t="s">
        <v>195</v>
      </c>
      <c r="E127" s="13">
        <v>42714.738356481481</v>
      </c>
      <c r="F127" s="13">
        <v>42714.740277777775</v>
      </c>
      <c r="G127" s="7">
        <v>1</v>
      </c>
      <c r="H127" s="22" t="s">
        <v>687</v>
      </c>
      <c r="I127" s="13">
        <v>42714.765787037039</v>
      </c>
      <c r="J127" s="7">
        <v>1</v>
      </c>
      <c r="K127" s="109" t="str">
        <f t="shared" si="47"/>
        <v>4013/4014</v>
      </c>
      <c r="L127" s="22" t="str">
        <f>VLOOKUP(A127,'Trips&amp;Operators'!$C$1:$G$99999,5,FALSE)</f>
        <v>WHITED DUSTIN</v>
      </c>
      <c r="M127" s="6">
        <f t="shared" si="48"/>
        <v>2.5509259263344575E-2</v>
      </c>
      <c r="N127" s="7">
        <f t="shared" si="64"/>
        <v>36.733333339216188</v>
      </c>
      <c r="O127" s="7"/>
      <c r="P127" s="7"/>
      <c r="Q127" s="23"/>
      <c r="R127" s="23"/>
      <c r="S127" s="35">
        <f t="shared" si="68"/>
        <v>1</v>
      </c>
      <c r="T127" s="50" t="str">
        <f t="shared" si="49"/>
        <v>NorthBound</v>
      </c>
      <c r="U127" s="171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98" t="str">
        <f t="shared" si="50"/>
        <v>https://search-rtdc-monitor-bjffxe2xuh6vdkpspy63sjmuny.us-east-1.es.amazonaws.com/_plugin/kibana/#/discover/Steve-Slow-Train-Analysis-(2080s-and-2083s)?_g=(refreshInterval:(display:Off,section:0,value:0),time:(from:'2016-12-10 16:43:14-700',mode:absolute,to:'2016-12-10 19:22:44-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201053%20OR%202087)%20AND%20%22rtdc.l.rtdc.4014%22')),sort:!(Time,asc))</v>
      </c>
      <c r="W127" s="52" t="str">
        <f t="shared" si="65"/>
        <v>N</v>
      </c>
      <c r="X127" s="177">
        <f t="shared" si="66"/>
        <v>1</v>
      </c>
      <c r="Y127" s="67">
        <f t="shared" si="69"/>
        <v>4.5100000000000001E-2</v>
      </c>
      <c r="Z127" s="67">
        <f t="shared" si="67"/>
        <v>23.330200000000001</v>
      </c>
      <c r="AA127" s="67">
        <f t="shared" si="53"/>
        <v>23.2851</v>
      </c>
      <c r="AB127" s="64" t="e">
        <f>VLOOKUP(A127,Enforcements!$C$7:$K$20,8,0)</f>
        <v>#N/A</v>
      </c>
      <c r="AC127" s="60" t="e">
        <f>VLOOKUP(A127,Enforcements!$C$7:$E$20,3,0)</f>
        <v>#N/A</v>
      </c>
      <c r="AD127" s="61" t="str">
        <f t="shared" si="54"/>
        <v>0213-10</v>
      </c>
      <c r="AE127" s="91" t="str">
        <f t="shared" si="55"/>
        <v>aws s3 cp s3://rtdc.mdm.uploadarchive.raw/RTDC4014/ "%USERPROFILE%\AppData\Local\Temp\OnboardLogs"\RTDC4014\2016-12-10 --exclude "*" --recursive --include "*20161210*" &amp; "%USERPROFILE%\Documents\GitHub\mrs-test-scripts\Headless Mode &amp; Sideloading\WalkAndUnGZ.bat" "%USERPROFILE%\AppData\Local\Temp\OnboardLogs"\RTDC4014\2016-12-10 &amp; aws s3 cp s3://rtdc.mdm.uploadarchive.raw/RTDC4014/ "%USERPROFILE%\AppData\Local\Temp\OnboardLogs"\RTDC4014\2016-12-11 --exclude "*" --recursive --include "*20161211*" &amp; "%USERPROFILE%\Documents\GitHub\mrs-test-scripts\Headless Mode &amp; Sideloading\WalkAndUnGZ.bat" "%USERPROFILE%\AppData\Local\Temp\OnboardLogs"\RTDC4014\2016-12-11</v>
      </c>
      <c r="AF127" s="88" t="str">
        <f t="shared" si="56"/>
        <v>"C:\Program Files (x86)\AstroGrep\AstroGrep.exe" /spath="%USERPROFILE%\AppData\Local\Temp\OnboardLogs" /stypes="app*4014*20161211*" /stext=" 01:.+((SYSTEM_STATE.+slice.+state.+changed )|(ment ac)|(multiple cpu faults)|(system.+state.+changed )|(\[timeout)|(PRM\|1\|D)|(kpr)|(kdp)|(\|lc)|(penalty))" /e /r /s</v>
      </c>
      <c r="AG127" s="1" t="str">
        <f t="shared" si="57"/>
        <v>EC</v>
      </c>
      <c r="AH127" s="92" t="str">
        <f t="shared" si="58"/>
        <v>"%USERPROFILE%\Documents\GitHub\eaglep3\Utilities\RefineRTDCRunTimes.py" --tripid 213-10 --locoid 4014 --swversion DE.1.0.8.0 --startMP 204:451 --initTime 2016-12-10T17:43:14 --startdatetime 2016-12-10T17:46:00 --delay 1 --endMP 204:233302 --enddatetime 2016-12-10T18:22:44 --enforcementcount 1 &gt;&gt;C:\Users\stu\Documents\GitHub\eaglep3-reporting\EC\2016-12-10-refined-times.txt</v>
      </c>
      <c r="AI127" s="119" t="str">
        <f t="shared" si="59"/>
        <v>echo {"issue":{"subject":"","project_id":79,"tracker_id":40,"status_id":1,"priority_id":2,"assigned_to_id":23,"start_date":"2016-12-10","description":"","custom_fields":[{"id":1,"name":"Subdivision","value":"EC"},{"id":4,"name":"Milepost","value":"23.3302"},{"id":17,"name":"Train ID","value":"213-10"},{"id":16,"name":"Locomotive ID","value":"4014"},{"id":130,"name":"Impact","value":""},{"id":150,"name":"Time of Event (Mountain Time)","value":"18:22:44"},{"id":151,"name":"Denver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7" s="53"/>
      <c r="AK127" s="53"/>
      <c r="AL127" s="53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s="21" customFormat="1" x14ac:dyDescent="0.25">
      <c r="A128" s="37" t="s">
        <v>599</v>
      </c>
      <c r="B128" s="7">
        <v>4013</v>
      </c>
      <c r="C128" s="22" t="s">
        <v>207</v>
      </c>
      <c r="D128" s="22" t="s">
        <v>750</v>
      </c>
      <c r="E128" s="13">
        <v>42714.773310185185</v>
      </c>
      <c r="F128" s="13">
        <v>42714.778784722221</v>
      </c>
      <c r="G128" s="7">
        <v>2</v>
      </c>
      <c r="H128" s="22" t="s">
        <v>205</v>
      </c>
      <c r="I128" s="13">
        <v>42714.807291666664</v>
      </c>
      <c r="J128" s="7">
        <v>1</v>
      </c>
      <c r="K128" s="109" t="str">
        <f t="shared" si="47"/>
        <v>4013/4014</v>
      </c>
      <c r="L128" s="22" t="str">
        <f>VLOOKUP(A128,'Trips&amp;Operators'!$C$1:$G$99999,5,FALSE)</f>
        <v>WHITED DUSTIN</v>
      </c>
      <c r="M128" s="6">
        <f t="shared" si="48"/>
        <v>2.8506944443506654E-2</v>
      </c>
      <c r="N128" s="7">
        <f t="shared" si="64"/>
        <v>41.049999998649582</v>
      </c>
      <c r="O128" s="7"/>
      <c r="P128" s="7"/>
      <c r="Q128" s="23"/>
      <c r="R128" s="23"/>
      <c r="S128" s="35">
        <f t="shared" si="68"/>
        <v>1</v>
      </c>
      <c r="T128" s="50" t="str">
        <f t="shared" si="49"/>
        <v>Southbound</v>
      </c>
      <c r="U128" s="171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98" t="str">
        <f t="shared" si="50"/>
        <v>https://search-rtdc-monitor-bjffxe2xuh6vdkpspy63sjmuny.us-east-1.es.amazonaws.com/_plugin/kibana/#/discover/Steve-Slow-Train-Analysis-(2080s-and-2083s)?_g=(refreshInterval:(display:Off,section:0,value:0),time:(from:'2016-12-10 17:33:34-700',mode:absolute,to:'2016-12-10 20:22:30-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201053%20OR%202087)%20AND%20%22rtdc.l.rtdc.4013%22')),sort:!(Time,asc))</v>
      </c>
      <c r="W128" s="52" t="str">
        <f t="shared" si="65"/>
        <v>N</v>
      </c>
      <c r="X128" s="177">
        <f t="shared" si="66"/>
        <v>1</v>
      </c>
      <c r="Y128" s="67">
        <f t="shared" si="69"/>
        <v>23.2987</v>
      </c>
      <c r="Z128" s="67">
        <f t="shared" si="67"/>
        <v>1.5599999999999999E-2</v>
      </c>
      <c r="AA128" s="67">
        <f t="shared" si="53"/>
        <v>23.283100000000001</v>
      </c>
      <c r="AB128" s="64" t="e">
        <f>VLOOKUP(A128,Enforcements!$C$7:$K$20,8,0)</f>
        <v>#N/A</v>
      </c>
      <c r="AC128" s="60" t="e">
        <f>VLOOKUP(A128,Enforcements!$C$7:$E$20,3,0)</f>
        <v>#N/A</v>
      </c>
      <c r="AD128" s="61" t="str">
        <f t="shared" si="54"/>
        <v>0214-10</v>
      </c>
      <c r="AE128" s="91" t="str">
        <f t="shared" si="55"/>
        <v>aws s3 cp s3://rtdc.mdm.uploadarchive.raw/RTDC4013/ "%USERPROFILE%\AppData\Local\Temp\OnboardLogs"\RTDC4013\2016-12-10 --exclude "*" --recursive --include "*20161210*" &amp; "%USERPROFILE%\Documents\GitHub\mrs-test-scripts\Headless Mode &amp; Sideloading\WalkAndUnGZ.bat" "%USERPROFILE%\AppData\Local\Temp\OnboardLogs"\RTDC4013\2016-12-10 &amp; aws s3 cp s3://rtdc.mdm.uploadarchive.raw/RTDC4013/ "%USERPROFILE%\AppData\Local\Temp\OnboardLogs"\RTDC4013\2016-12-11 --exclude "*" --recursive --include "*20161211*" &amp; "%USERPROFILE%\Documents\GitHub\mrs-test-scripts\Headless Mode &amp; Sideloading\WalkAndUnGZ.bat" "%USERPROFILE%\AppData\Local\Temp\OnboardLogs"\RTDC4013\2016-12-11</v>
      </c>
      <c r="AF128" s="88" t="str">
        <f t="shared" si="56"/>
        <v>"C:\Program Files (x86)\AstroGrep\AstroGrep.exe" /spath="%USERPROFILE%\AppData\Local\Temp\OnboardLogs" /stypes="app*4013*20161211*" /stext=" 02:.+((SYSTEM_STATE.+slice.+state.+changed )|(ment ac)|(multiple cpu faults)|(system.+state.+changed )|(\[timeout)|(PRM\|1\|D)|(kpr)|(kdp)|(\|lc)|(penalty))" /e /r /s</v>
      </c>
      <c r="AG128" s="1" t="str">
        <f t="shared" si="57"/>
        <v>EC</v>
      </c>
      <c r="AH128" s="92" t="str">
        <f t="shared" si="58"/>
        <v>"%USERPROFILE%\Documents\GitHub\eaglep3\Utilities\RefineRTDCRunTimes.py" --tripid 214-10 --locoid 4013 --swversion DE.1.0.8.0 --startMP 204:232987 --initTime 2016-12-10T18:33:34 --startdatetime 2016-12-10T18:41:27 --delay 2 --endMP 204:156 --enddatetime 2016-12-10T19:22:30 --enforcementcount 1 &gt;&gt;C:\Users\stu\Documents\GitHub\eaglep3-reporting\EC\2016-12-10-refined-times.txt</v>
      </c>
      <c r="AI128" s="119" t="str">
        <f t="shared" si="59"/>
        <v>echo {"issue":{"subject":"","project_id":79,"tracker_id":40,"status_id":1,"priority_id":2,"assigned_to_id":23,"start_date":"2016-12-10","description":"","custom_fields":[{"id":1,"name":"Subdivision","value":"EC"},{"id":4,"name":"Milepost","value":"0.0156"},{"id":17,"name":"Train ID","value":"214-10"},{"id":16,"name":"Locomotive ID","value":"4013"},{"id":130,"name":"Impact","value":""},{"id":150,"name":"Time of Event (Mountain Time)","value":"19:22:30"},{"id":151,"name":"Denver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8" s="53"/>
      <c r="AK128" s="53"/>
      <c r="AL128" s="53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1" customFormat="1" x14ac:dyDescent="0.25">
      <c r="A129" s="37" t="s">
        <v>589</v>
      </c>
      <c r="B129" s="7">
        <v>4046</v>
      </c>
      <c r="C129" s="22" t="s">
        <v>207</v>
      </c>
      <c r="D129" s="22" t="s">
        <v>270</v>
      </c>
      <c r="E129" s="13">
        <v>42714.747210648151</v>
      </c>
      <c r="F129" s="13">
        <v>42714.750509259262</v>
      </c>
      <c r="G129" s="7">
        <v>4</v>
      </c>
      <c r="H129" s="22" t="s">
        <v>648</v>
      </c>
      <c r="I129" s="13">
        <v>42714.777141203704</v>
      </c>
      <c r="J129" s="7">
        <v>1</v>
      </c>
      <c r="K129" s="109" t="str">
        <f t="shared" si="47"/>
        <v>4045/4046</v>
      </c>
      <c r="L129" s="22" t="str">
        <f>VLOOKUP(A129,'Trips&amp;Operators'!$C$1:$G$99999,5,FALSE)</f>
        <v>STORY SAMANTHA</v>
      </c>
      <c r="M129" s="6">
        <f t="shared" si="48"/>
        <v>2.6631944441760425E-2</v>
      </c>
      <c r="N129" s="7">
        <f t="shared" si="64"/>
        <v>38.349999996135011</v>
      </c>
      <c r="O129" s="7"/>
      <c r="P129" s="7"/>
      <c r="Q129" s="23"/>
      <c r="R129" s="23"/>
      <c r="S129" s="35">
        <f t="shared" si="68"/>
        <v>1</v>
      </c>
      <c r="T129" s="50" t="str">
        <f t="shared" si="49"/>
        <v>NorthBound</v>
      </c>
      <c r="U129" s="171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98" t="str">
        <f t="shared" si="50"/>
        <v>https://search-rtdc-monitor-bjffxe2xuh6vdkpspy63sjmuny.us-east-1.es.amazonaws.com/_plugin/kibana/#/discover/Steve-Slow-Train-Analysis-(2080s-and-2083s)?_g=(refreshInterval:(display:Off,section:0,value:0),time:(from:'2016-12-10 16:55:59-700',mode:absolute,to:'2016-12-10 19:39:05-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201053%20OR%202087)%20AND%20%22rtdc.l.rtdc.4046%22')),sort:!(Time,asc))</v>
      </c>
      <c r="W129" s="52" t="str">
        <f t="shared" si="65"/>
        <v>N</v>
      </c>
      <c r="X129" s="177">
        <f t="shared" si="66"/>
        <v>1</v>
      </c>
      <c r="Y129" s="67">
        <f t="shared" si="69"/>
        <v>4.3799999999999999E-2</v>
      </c>
      <c r="Z129" s="67">
        <f t="shared" si="67"/>
        <v>23.3307</v>
      </c>
      <c r="AA129" s="67">
        <f t="shared" si="53"/>
        <v>23.286899999999999</v>
      </c>
      <c r="AB129" s="64" t="e">
        <f>VLOOKUP(A129,Enforcements!$C$7:$K$20,8,0)</f>
        <v>#N/A</v>
      </c>
      <c r="AC129" s="60" t="e">
        <f>VLOOKUP(A129,Enforcements!$C$7:$E$20,3,0)</f>
        <v>#N/A</v>
      </c>
      <c r="AD129" s="61" t="str">
        <f t="shared" si="54"/>
        <v>0215-10</v>
      </c>
      <c r="AE129" s="91" t="str">
        <f t="shared" si="55"/>
        <v>aws s3 cp s3://rtdc.mdm.uploadarchive.raw/RTDC4046/ "%USERPROFILE%\AppData\Local\Temp\OnboardLogs"\RTDC4046\2016-12-10 --exclude "*" --recursive --include "*20161210*" &amp; "%USERPROFILE%\Documents\GitHub\mrs-test-scripts\Headless Mode &amp; Sideloading\WalkAndUnGZ.bat" "%USERPROFILE%\AppData\Local\Temp\OnboardLogs"\RTDC4046\2016-12-10 &amp; aws s3 cp s3://rtdc.mdm.uploadarchive.raw/RTDC4046/ "%USERPROFILE%\AppData\Local\Temp\OnboardLogs"\RTDC4046\2016-12-11 --exclude "*" --recursive --include "*20161211*" &amp; "%USERPROFILE%\Documents\GitHub\mrs-test-scripts\Headless Mode &amp; Sideloading\WalkAndUnGZ.bat" "%USERPROFILE%\AppData\Local\Temp\OnboardLogs"\RTDC4046\2016-12-11</v>
      </c>
      <c r="AF129" s="88" t="str">
        <f t="shared" si="56"/>
        <v>"C:\Program Files (x86)\AstroGrep\AstroGrep.exe" /spath="%USERPROFILE%\AppData\Local\Temp\OnboardLogs" /stypes="app*4046*20161211*" /stext=" 01:.+((SYSTEM_STATE.+slice.+state.+changed )|(ment ac)|(multiple cpu faults)|(system.+state.+changed )|(\[timeout)|(PRM\|1\|D)|(kpr)|(kdp)|(\|lc)|(penalty))" /e /r /s</v>
      </c>
      <c r="AG129" s="1" t="str">
        <f t="shared" si="57"/>
        <v>EC</v>
      </c>
      <c r="AH129" s="92" t="str">
        <f t="shared" si="58"/>
        <v>"%USERPROFILE%\Documents\GitHub\eaglep3\Utilities\RefineRTDCRunTimes.py" --tripid 215-10 --locoid 4046 --swversion DE.1.0.8.0 --startMP 204:438 --initTime 2016-12-10T17:55:59 --startdatetime 2016-12-10T18:00:44 --delay 4 --endMP 204:233307 --enddatetime 2016-12-10T18:39:05 --enforcementcount 1 &gt;&gt;C:\Users\stu\Documents\GitHub\eaglep3-reporting\EC\2016-12-10-refined-times.txt</v>
      </c>
      <c r="AI129" s="119" t="str">
        <f t="shared" si="59"/>
        <v>echo {"issue":{"subject":"","project_id":79,"tracker_id":40,"status_id":1,"priority_id":2,"assigned_to_id":23,"start_date":"2016-12-10","description":"","custom_fields":[{"id":1,"name":"Subdivision","value":"EC"},{"id":4,"name":"Milepost","value":"23.3307"},{"id":17,"name":"Train ID","value":"215-10"},{"id":16,"name":"Locomotive ID","value":"4046"},{"id":130,"name":"Impact","value":""},{"id":150,"name":"Time of Event (Mountain Time)","value":"18:39:05"},{"id":151,"name":"Denver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9" s="53"/>
      <c r="AK129" s="53"/>
      <c r="AL129" s="53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1" customFormat="1" x14ac:dyDescent="0.25">
      <c r="A130" s="37" t="s">
        <v>601</v>
      </c>
      <c r="B130" s="7">
        <v>4045</v>
      </c>
      <c r="C130" s="22" t="s">
        <v>207</v>
      </c>
      <c r="D130" s="22" t="s">
        <v>678</v>
      </c>
      <c r="E130" s="13">
        <v>42714.78634259259</v>
      </c>
      <c r="F130" s="13">
        <v>42714.789178240739</v>
      </c>
      <c r="G130" s="7">
        <v>2</v>
      </c>
      <c r="H130" s="22" t="s">
        <v>205</v>
      </c>
      <c r="I130" s="13">
        <v>42714.819085648145</v>
      </c>
      <c r="J130" s="7">
        <v>1</v>
      </c>
      <c r="K130" s="109" t="str">
        <f t="shared" si="47"/>
        <v>4045/4046</v>
      </c>
      <c r="L130" s="22" t="str">
        <f>VLOOKUP(A130,'Trips&amp;Operators'!$C$1:$G$99999,5,FALSE)</f>
        <v>STORY SAMANTHA</v>
      </c>
      <c r="M130" s="6">
        <f t="shared" si="48"/>
        <v>2.9907407406426501E-2</v>
      </c>
      <c r="N130" s="7">
        <f t="shared" si="64"/>
        <v>43.066666665254161</v>
      </c>
      <c r="O130" s="7"/>
      <c r="P130" s="7"/>
      <c r="Q130" s="23"/>
      <c r="R130" s="23"/>
      <c r="S130" s="35">
        <f t="shared" si="68"/>
        <v>1</v>
      </c>
      <c r="T130" s="50" t="str">
        <f t="shared" si="49"/>
        <v>Southbound</v>
      </c>
      <c r="U130" s="171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98" t="str">
        <f t="shared" si="50"/>
        <v>https://search-rtdc-monitor-bjffxe2xuh6vdkpspy63sjmuny.us-east-1.es.amazonaws.com/_plugin/kibana/#/discover/Steve-Slow-Train-Analysis-(2080s-and-2083s)?_g=(refreshInterval:(display:Off,section:0,value:0),time:(from:'2016-12-10 17:52:20-700',mode:absolute,to:'2016-12-10 20:39:29-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201053%20OR%202087)%20AND%20%22rtdc.l.rtdc.4045%22')),sort:!(Time,asc))</v>
      </c>
      <c r="W130" s="52" t="str">
        <f t="shared" si="65"/>
        <v>N</v>
      </c>
      <c r="X130" s="177">
        <f t="shared" si="66"/>
        <v>1</v>
      </c>
      <c r="Y130" s="67">
        <f t="shared" si="69"/>
        <v>23.297699999999999</v>
      </c>
      <c r="Z130" s="67">
        <f t="shared" si="67"/>
        <v>1.5599999999999999E-2</v>
      </c>
      <c r="AA130" s="67">
        <f t="shared" si="53"/>
        <v>23.2821</v>
      </c>
      <c r="AB130" s="64" t="e">
        <f>VLOOKUP(A130,Enforcements!$C$7:$K$20,8,0)</f>
        <v>#N/A</v>
      </c>
      <c r="AC130" s="60" t="e">
        <f>VLOOKUP(A130,Enforcements!$C$7:$E$20,3,0)</f>
        <v>#N/A</v>
      </c>
      <c r="AD130" s="61" t="str">
        <f t="shared" si="54"/>
        <v>0216-10</v>
      </c>
      <c r="AE130" s="91" t="str">
        <f t="shared" si="55"/>
        <v>aws s3 cp s3://rtdc.mdm.uploadarchive.raw/RTDC4045/ "%USERPROFILE%\AppData\Local\Temp\OnboardLogs"\RTDC4045\2016-12-10 --exclude "*" --recursive --include "*20161210*" &amp; "%USERPROFILE%\Documents\GitHub\mrs-test-scripts\Headless Mode &amp; Sideloading\WalkAndUnGZ.bat" "%USERPROFILE%\AppData\Local\Temp\OnboardLogs"\RTDC4045\2016-12-10 &amp; aws s3 cp s3://rtdc.mdm.uploadarchive.raw/RTDC4045/ "%USERPROFILE%\AppData\Local\Temp\OnboardLogs"\RTDC4045\2016-12-11 --exclude "*" --recursive --include "*20161211*" &amp; "%USERPROFILE%\Documents\GitHub\mrs-test-scripts\Headless Mode &amp; Sideloading\WalkAndUnGZ.bat" "%USERPROFILE%\AppData\Local\Temp\OnboardLogs"\RTDC4045\2016-12-11</v>
      </c>
      <c r="AF130" s="88" t="str">
        <f t="shared" si="56"/>
        <v>"C:\Program Files (x86)\AstroGrep\AstroGrep.exe" /spath="%USERPROFILE%\AppData\Local\Temp\OnboardLogs" /stypes="app*4045*20161211*" /stext=" 02:.+((SYSTEM_STATE.+slice.+state.+changed )|(ment ac)|(multiple cpu faults)|(system.+state.+changed )|(\[timeout)|(PRM\|1\|D)|(kpr)|(kdp)|(\|lc)|(penalty))" /e /r /s</v>
      </c>
      <c r="AG130" s="1" t="str">
        <f t="shared" si="57"/>
        <v>EC</v>
      </c>
      <c r="AH130" s="92" t="str">
        <f t="shared" si="58"/>
        <v>"%USERPROFILE%\Documents\GitHub\eaglep3\Utilities\RefineRTDCRunTimes.py" --tripid 216-10 --locoid 4045 --swversion DE.1.0.8.0 --startMP 204:232977 --initTime 2016-12-10T18:52:20 --startdatetime 2016-12-10T18:56:25 --delay 2 --endMP 204:156 --enddatetime 2016-12-10T19:39:29 --enforcementcount 1 &gt;&gt;C:\Users\stu\Documents\GitHub\eaglep3-reporting\EC\2016-12-10-refined-times.txt</v>
      </c>
      <c r="AI130" s="119" t="str">
        <f t="shared" si="59"/>
        <v>echo {"issue":{"subject":"","project_id":79,"tracker_id":40,"status_id":1,"priority_id":2,"assigned_to_id":23,"start_date":"2016-12-10","description":"","custom_fields":[{"id":1,"name":"Subdivision","value":"EC"},{"id":4,"name":"Milepost","value":"0.0156"},{"id":17,"name":"Train ID","value":"216-10"},{"id":16,"name":"Locomotive ID","value":"4045"},{"id":130,"name":"Impact","value":""},{"id":150,"name":"Time of Event (Mountain Time)","value":"19:39:29"},{"id":151,"name":"Denver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0" s="53"/>
      <c r="AK130" s="53"/>
      <c r="AL130" s="53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x14ac:dyDescent="0.25">
      <c r="A131" s="37" t="s">
        <v>595</v>
      </c>
      <c r="B131" s="7">
        <v>4016</v>
      </c>
      <c r="C131" s="22" t="s">
        <v>207</v>
      </c>
      <c r="D131" s="22" t="s">
        <v>239</v>
      </c>
      <c r="E131" s="13">
        <v>42714.759756944448</v>
      </c>
      <c r="F131" s="13">
        <v>42714.761087962965</v>
      </c>
      <c r="G131" s="7">
        <v>1</v>
      </c>
      <c r="H131" s="22" t="s">
        <v>751</v>
      </c>
      <c r="I131" s="13">
        <v>42714.786909722221</v>
      </c>
      <c r="J131" s="7">
        <v>1</v>
      </c>
      <c r="K131" s="109" t="str">
        <f t="shared" si="47"/>
        <v>4015/4016</v>
      </c>
      <c r="L131" s="22" t="str">
        <f>VLOOKUP(A131,'Trips&amp;Operators'!$C$1:$G$99999,5,FALSE)</f>
        <v>CHANDLER KELVIN</v>
      </c>
      <c r="M131" s="6">
        <f t="shared" si="48"/>
        <v>2.5821759256359655E-2</v>
      </c>
      <c r="N131" s="7">
        <f t="shared" si="64"/>
        <v>37.183333329157904</v>
      </c>
      <c r="O131" s="7"/>
      <c r="P131" s="7"/>
      <c r="Q131" s="23"/>
      <c r="R131" s="23"/>
      <c r="S131" s="35">
        <f t="shared" si="68"/>
        <v>1</v>
      </c>
      <c r="T131" s="50" t="str">
        <f t="shared" si="49"/>
        <v>NorthBound</v>
      </c>
      <c r="U131" s="171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98" t="str">
        <f t="shared" si="50"/>
        <v>https://search-rtdc-monitor-bjffxe2xuh6vdkpspy63sjmuny.us-east-1.es.amazonaws.com/_plugin/kibana/#/discover/Steve-Slow-Train-Analysis-(2080s-and-2083s)?_g=(refreshInterval:(display:Off,section:0,value:0),time:(from:'2016-12-10 17:14:03-700',mode:absolute,to:'2016-12-10 19:53:09-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201053%20OR%202087)%20AND%20%22rtdc.l.rtdc.4016%22')),sort:!(Time,asc))</v>
      </c>
      <c r="W131" s="52" t="str">
        <f t="shared" si="65"/>
        <v>N</v>
      </c>
      <c r="X131" s="177">
        <f t="shared" si="66"/>
        <v>1</v>
      </c>
      <c r="Y131" s="67">
        <f t="shared" si="69"/>
        <v>4.5699999999999998E-2</v>
      </c>
      <c r="Z131" s="67">
        <f t="shared" si="67"/>
        <v>23.328499999999998</v>
      </c>
      <c r="AA131" s="67">
        <f t="shared" si="53"/>
        <v>23.282799999999998</v>
      </c>
      <c r="AB131" s="64" t="e">
        <f>VLOOKUP(A131,Enforcements!$C$7:$K$20,8,0)</f>
        <v>#N/A</v>
      </c>
      <c r="AC131" s="60" t="e">
        <f>VLOOKUP(A131,Enforcements!$C$7:$E$20,3,0)</f>
        <v>#N/A</v>
      </c>
      <c r="AD131" s="61" t="str">
        <f t="shared" si="54"/>
        <v>0217-10</v>
      </c>
      <c r="AE131" s="91" t="str">
        <f t="shared" si="55"/>
        <v>aws s3 cp s3://rtdc.mdm.uploadarchive.raw/RTDC4016/ "%USERPROFILE%\AppData\Local\Temp\OnboardLogs"\RTDC4016\2016-12-10 --exclude "*" --recursive --include "*20161210*" &amp; "%USERPROFILE%\Documents\GitHub\mrs-test-scripts\Headless Mode &amp; Sideloading\WalkAndUnGZ.bat" "%USERPROFILE%\AppData\Local\Temp\OnboardLogs"\RTDC4016\2016-12-10 &amp; aws s3 cp s3://rtdc.mdm.uploadarchive.raw/RTDC4016/ "%USERPROFILE%\AppData\Local\Temp\OnboardLogs"\RTDC4016\2016-12-11 --exclude "*" --recursive --include "*20161211*" &amp; "%USERPROFILE%\Documents\GitHub\mrs-test-scripts\Headless Mode &amp; Sideloading\WalkAndUnGZ.bat" "%USERPROFILE%\AppData\Local\Temp\OnboardLogs"\RTDC4016\2016-12-11</v>
      </c>
      <c r="AF131" s="88" t="str">
        <f t="shared" si="56"/>
        <v>"C:\Program Files (x86)\AstroGrep\AstroGrep.exe" /spath="%USERPROFILE%\AppData\Local\Temp\OnboardLogs" /stypes="app*4016*20161211*" /stext=" 01:.+((SYSTEM_STATE.+slice.+state.+changed )|(ment ac)|(multiple cpu faults)|(system.+state.+changed )|(\[timeout)|(PRM\|1\|D)|(kpr)|(kdp)|(\|lc)|(penalty))" /e /r /s</v>
      </c>
      <c r="AG131" s="1" t="str">
        <f t="shared" si="57"/>
        <v>EC</v>
      </c>
      <c r="AH131" s="92" t="str">
        <f t="shared" si="58"/>
        <v>"%USERPROFILE%\Documents\GitHub\eaglep3\Utilities\RefineRTDCRunTimes.py" --tripid 217-10 --locoid 4016 --swversion DE.1.0.8.0 --startMP 204:457 --initTime 2016-12-10T18:14:03 --startdatetime 2016-12-10T18:15:58 --delay 1 --endMP 204:233285 --enddatetime 2016-12-10T18:53:09 --enforcementcount 1 &gt;&gt;C:\Users\stu\Documents\GitHub\eaglep3-reporting\EC\2016-12-10-refined-times.txt</v>
      </c>
      <c r="AI131" s="119" t="str">
        <f t="shared" si="59"/>
        <v>echo {"issue":{"subject":"","project_id":79,"tracker_id":40,"status_id":1,"priority_id":2,"assigned_to_id":23,"start_date":"2016-12-10","description":"","custom_fields":[{"id":1,"name":"Subdivision","value":"EC"},{"id":4,"name":"Milepost","value":"23.3285"},{"id":17,"name":"Train ID","value":"217-10"},{"id":16,"name":"Locomotive ID","value":"4016"},{"id":130,"name":"Impact","value":""},{"id":150,"name":"Time of Event (Mountain Time)","value":"18:53:09"},{"id":151,"name":"Denver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1" s="53"/>
      <c r="AK131" s="53"/>
      <c r="AL131" s="53"/>
    </row>
    <row r="132" spans="1:91" x14ac:dyDescent="0.25">
      <c r="A132" s="37" t="s">
        <v>433</v>
      </c>
      <c r="B132" s="7">
        <v>4015</v>
      </c>
      <c r="C132" s="22" t="s">
        <v>207</v>
      </c>
      <c r="D132" s="22" t="s">
        <v>362</v>
      </c>
      <c r="E132" s="13">
        <v>42714.798472222225</v>
      </c>
      <c r="F132" s="13">
        <v>42714.799780092595</v>
      </c>
      <c r="G132" s="7">
        <v>1</v>
      </c>
      <c r="H132" s="22" t="s">
        <v>192</v>
      </c>
      <c r="I132" s="13">
        <v>42714.828541666669</v>
      </c>
      <c r="J132" s="7">
        <v>1</v>
      </c>
      <c r="K132" s="109" t="str">
        <f t="shared" si="47"/>
        <v>4015/4016</v>
      </c>
      <c r="L132" s="22" t="str">
        <f>VLOOKUP(A132,'Trips&amp;Operators'!$C$1:$G$99999,5,FALSE)</f>
        <v>CHANDLER KELVIN</v>
      </c>
      <c r="M132" s="6">
        <f t="shared" si="48"/>
        <v>2.8761574074451346E-2</v>
      </c>
      <c r="N132" s="7">
        <f t="shared" si="64"/>
        <v>41.416666667209938</v>
      </c>
      <c r="O132" s="7"/>
      <c r="P132" s="7"/>
      <c r="Q132" s="23"/>
      <c r="R132" s="23"/>
      <c r="S132" s="35">
        <f t="shared" si="68"/>
        <v>1</v>
      </c>
      <c r="T132" s="50" t="str">
        <f t="shared" si="49"/>
        <v>Southbound</v>
      </c>
      <c r="U132" s="171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98" t="str">
        <f t="shared" si="50"/>
        <v>https://search-rtdc-monitor-bjffxe2xuh6vdkpspy63sjmuny.us-east-1.es.amazonaws.com/_plugin/kibana/#/discover/Steve-Slow-Train-Analysis-(2080s-and-2083s)?_g=(refreshInterval:(display:Off,section:0,value:0),time:(from:'2016-12-10 18:09:48-700',mode:absolute,to:'2016-12-10 20:53:06-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201053%20OR%202087)%20AND%20%22rtdc.l.rtdc.4015%22')),sort:!(Time,asc))</v>
      </c>
      <c r="W132" s="52" t="str">
        <f t="shared" si="65"/>
        <v>N</v>
      </c>
      <c r="X132" s="177">
        <f t="shared" si="66"/>
        <v>1</v>
      </c>
      <c r="Y132" s="67">
        <f t="shared" si="69"/>
        <v>23.298500000000001</v>
      </c>
      <c r="Z132" s="67">
        <f t="shared" si="67"/>
        <v>1.49E-2</v>
      </c>
      <c r="AA132" s="67">
        <f t="shared" si="53"/>
        <v>23.2836</v>
      </c>
      <c r="AB132" s="64" t="e">
        <f>VLOOKUP(A132,Enforcements!$C$7:$K$20,8,0)</f>
        <v>#N/A</v>
      </c>
      <c r="AC132" s="60" t="e">
        <f>VLOOKUP(A132,Enforcements!$C$7:$E$20,3,0)</f>
        <v>#N/A</v>
      </c>
      <c r="AD132" s="61" t="str">
        <f t="shared" si="54"/>
        <v>0218-10</v>
      </c>
      <c r="AE132" s="91" t="str">
        <f t="shared" si="55"/>
        <v>aws s3 cp s3://rtdc.mdm.uploadarchive.raw/RTDC4015/ "%USERPROFILE%\AppData\Local\Temp\OnboardLogs"\RTDC4015\2016-12-10 --exclude "*" --recursive --include "*20161210*" &amp; "%USERPROFILE%\Documents\GitHub\mrs-test-scripts\Headless Mode &amp; Sideloading\WalkAndUnGZ.bat" "%USERPROFILE%\AppData\Local\Temp\OnboardLogs"\RTDC4015\2016-12-10 &amp; aws s3 cp s3://rtdc.mdm.uploadarchive.raw/RTDC4015/ "%USERPROFILE%\AppData\Local\Temp\OnboardLogs"\RTDC4015\2016-12-11 --exclude "*" --recursive --include "*20161211*" &amp; "%USERPROFILE%\Documents\GitHub\mrs-test-scripts\Headless Mode &amp; Sideloading\WalkAndUnGZ.bat" "%USERPROFILE%\AppData\Local\Temp\OnboardLogs"\RTDC4015\2016-12-11</v>
      </c>
      <c r="AF132" s="88" t="str">
        <f t="shared" si="56"/>
        <v>"C:\Program Files (x86)\AstroGrep\AstroGrep.exe" /spath="%USERPROFILE%\AppData\Local\Temp\OnboardLogs" /stypes="app*4015*20161211*" /stext=" 02:.+((SYSTEM_STATE.+slice.+state.+changed )|(ment ac)|(multiple cpu faults)|(system.+state.+changed )|(\[timeout)|(PRM\|1\|D)|(kpr)|(kdp)|(\|lc)|(penalty))" /e /r /s</v>
      </c>
      <c r="AG132" s="1" t="str">
        <f t="shared" si="57"/>
        <v>EC</v>
      </c>
      <c r="AH132" s="92" t="str">
        <f t="shared" si="58"/>
        <v>"%USERPROFILE%\Documents\GitHub\eaglep3\Utilities\RefineRTDCRunTimes.py" --tripid 218-10 --locoid 4015 --swversion DE.1.0.8.0 --startMP 204:232985 --initTime 2016-12-10T19:09:48 --startdatetime 2016-12-10T19:11:41 --delay 1 --endMP 204:149 --enddatetime 2016-12-10T19:53:06 --enforcementcount 1 &gt;&gt;C:\Users\stu\Documents\GitHub\eaglep3-reporting\EC\2016-12-10-refined-times.txt</v>
      </c>
      <c r="AI132" s="119" t="str">
        <f t="shared" si="59"/>
        <v>echo {"issue":{"subject":"","project_id":79,"tracker_id":40,"status_id":1,"priority_id":2,"assigned_to_id":23,"start_date":"2016-12-10","description":"","custom_fields":[{"id":1,"name":"Subdivision","value":"EC"},{"id":4,"name":"Milepost","value":"0.0149"},{"id":17,"name":"Train ID","value":"218-10"},{"id":16,"name":"Locomotive ID","value":"4015"},{"id":130,"name":"Impact","value":""},{"id":150,"name":"Time of Event (Mountain Time)","value":"19:53:06"},{"id":151,"name":"Denver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2" s="53"/>
      <c r="AK132" s="53"/>
      <c r="AL132" s="53"/>
    </row>
    <row r="133" spans="1:91" s="21" customFormat="1" x14ac:dyDescent="0.25">
      <c r="A133" s="37" t="s">
        <v>597</v>
      </c>
      <c r="B133" s="7">
        <v>4040</v>
      </c>
      <c r="C133" s="22" t="s">
        <v>207</v>
      </c>
      <c r="D133" s="22" t="s">
        <v>261</v>
      </c>
      <c r="E133" s="13">
        <v>42714.767106481479</v>
      </c>
      <c r="F133" s="13">
        <v>42714.771319444444</v>
      </c>
      <c r="G133" s="7">
        <v>1</v>
      </c>
      <c r="H133" s="22" t="s">
        <v>648</v>
      </c>
      <c r="I133" s="13">
        <v>42714.794988425929</v>
      </c>
      <c r="J133" s="7">
        <v>1</v>
      </c>
      <c r="K133" s="109" t="str">
        <f t="shared" si="47"/>
        <v>4039/4040</v>
      </c>
      <c r="L133" s="22" t="str">
        <f>VLOOKUP(A133,'Trips&amp;Operators'!$C$1:$G$99999,5,FALSE)</f>
        <v>STAMBAUGH JAMES</v>
      </c>
      <c r="M133" s="6">
        <f t="shared" si="48"/>
        <v>2.3668981484661344E-2</v>
      </c>
      <c r="N133" s="7">
        <f t="shared" si="64"/>
        <v>34.083333337912336</v>
      </c>
      <c r="O133" s="7"/>
      <c r="P133" s="7"/>
      <c r="Q133" s="23"/>
      <c r="R133" s="23"/>
      <c r="S133" s="35">
        <f t="shared" si="68"/>
        <v>1</v>
      </c>
      <c r="T133" s="50" t="str">
        <f t="shared" si="49"/>
        <v>NorthBound</v>
      </c>
      <c r="U133" s="171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98" t="str">
        <f t="shared" si="50"/>
        <v>https://search-rtdc-monitor-bjffxe2xuh6vdkpspy63sjmuny.us-east-1.es.amazonaws.com/_plugin/kibana/#/discover/Steve-Slow-Train-Analysis-(2080s-and-2083s)?_g=(refreshInterval:(display:Off,section:0,value:0),time:(from:'2016-12-10 17:24:38-700',mode:absolute,to:'2016-12-10 20:04:47-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201053%20OR%202087)%20AND%20%22rtdc.l.rtdc.4040%22')),sort:!(Time,asc))</v>
      </c>
      <c r="W133" s="52" t="str">
        <f t="shared" si="65"/>
        <v>N</v>
      </c>
      <c r="X133" s="177">
        <f t="shared" si="66"/>
        <v>1</v>
      </c>
      <c r="Y133" s="67">
        <f t="shared" si="69"/>
        <v>4.58E-2</v>
      </c>
      <c r="Z133" s="67">
        <f t="shared" si="67"/>
        <v>23.3307</v>
      </c>
      <c r="AA133" s="67">
        <f t="shared" si="53"/>
        <v>23.2849</v>
      </c>
      <c r="AB133" s="64" t="e">
        <f>VLOOKUP(A133,Enforcements!$C$7:$K$20,8,0)</f>
        <v>#N/A</v>
      </c>
      <c r="AC133" s="60" t="e">
        <f>VLOOKUP(A133,Enforcements!$C$7:$E$20,3,0)</f>
        <v>#N/A</v>
      </c>
      <c r="AD133" s="61" t="str">
        <f t="shared" si="54"/>
        <v>0219-10</v>
      </c>
      <c r="AE133" s="91" t="str">
        <f t="shared" si="55"/>
        <v>aws s3 cp s3://rtdc.mdm.uploadarchive.raw/RTDC4040/ "%USERPROFILE%\AppData\Local\Temp\OnboardLogs"\RTDC4040\2016-12-10 --exclude "*" --recursive --include "*20161210*" &amp; "%USERPROFILE%\Documents\GitHub\mrs-test-scripts\Headless Mode &amp; Sideloading\WalkAndUnGZ.bat" "%USERPROFILE%\AppData\Local\Temp\OnboardLogs"\RTDC4040\2016-12-10 &amp; aws s3 cp s3://rtdc.mdm.uploadarchive.raw/RTDC4040/ "%USERPROFILE%\AppData\Local\Temp\OnboardLogs"\RTDC4040\2016-12-11 --exclude "*" --recursive --include "*20161211*" &amp; "%USERPROFILE%\Documents\GitHub\mrs-test-scripts\Headless Mode &amp; Sideloading\WalkAndUnGZ.bat" "%USERPROFILE%\AppData\Local\Temp\OnboardLogs"\RTDC4040\2016-12-11</v>
      </c>
      <c r="AF133" s="88" t="str">
        <f t="shared" si="56"/>
        <v>"C:\Program Files (x86)\AstroGrep\AstroGrep.exe" /spath="%USERPROFILE%\AppData\Local\Temp\OnboardLogs" /stypes="app*4040*20161211*" /stext=" 02:.+((SYSTEM_STATE.+slice.+state.+changed )|(ment ac)|(multiple cpu faults)|(system.+state.+changed )|(\[timeout)|(PRM\|1\|D)|(kpr)|(kdp)|(\|lc)|(penalty))" /e /r /s</v>
      </c>
      <c r="AG133" s="1" t="str">
        <f t="shared" si="57"/>
        <v>EC</v>
      </c>
      <c r="AH133" s="92" t="str">
        <f t="shared" si="58"/>
        <v>"%USERPROFILE%\Documents\GitHub\eaglep3\Utilities\RefineRTDCRunTimes.py" --tripid 219-10 --locoid 4040 --swversion DE.1.0.8.0 --startMP 204:458 --initTime 2016-12-10T18:24:38 --startdatetime 2016-12-10T18:30:42 --delay 1 --endMP 204:233307 --enddatetime 2016-12-10T19:04:47 --enforcementcount 1 &gt;&gt;C:\Users\stu\Documents\GitHub\eaglep3-reporting\EC\2016-12-10-refined-times.txt</v>
      </c>
      <c r="AI133" s="119" t="str">
        <f t="shared" si="59"/>
        <v>echo {"issue":{"subject":"","project_id":79,"tracker_id":40,"status_id":1,"priority_id":2,"assigned_to_id":23,"start_date":"2016-12-10","description":"","custom_fields":[{"id":1,"name":"Subdivision","value":"EC"},{"id":4,"name":"Milepost","value":"23.3307"},{"id":17,"name":"Train ID","value":"219-10"},{"id":16,"name":"Locomotive ID","value":"4040"},{"id":130,"name":"Impact","value":""},{"id":150,"name":"Time of Event (Mountain Time)","value":"19:04:47"},{"id":151,"name":"Denver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3" s="53"/>
      <c r="AK133" s="53"/>
      <c r="AL133" s="5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s="21" customFormat="1" x14ac:dyDescent="0.25">
      <c r="A134" s="37" t="s">
        <v>434</v>
      </c>
      <c r="B134" s="7">
        <v>4039</v>
      </c>
      <c r="C134" s="22" t="s">
        <v>207</v>
      </c>
      <c r="D134" s="22" t="s">
        <v>693</v>
      </c>
      <c r="E134" s="13">
        <v>42714.806701388887</v>
      </c>
      <c r="F134" s="13">
        <v>42714.809907407405</v>
      </c>
      <c r="G134" s="7">
        <v>1</v>
      </c>
      <c r="H134" s="22" t="s">
        <v>205</v>
      </c>
      <c r="I134" s="13">
        <v>42714.837581018517</v>
      </c>
      <c r="J134" s="7">
        <v>1</v>
      </c>
      <c r="K134" s="109" t="str">
        <f t="shared" si="47"/>
        <v>4039/4040</v>
      </c>
      <c r="L134" s="22" t="str">
        <f>VLOOKUP(A134,'Trips&amp;Operators'!$C$1:$G$99999,5,FALSE)</f>
        <v>STAMBAUGH JAMES</v>
      </c>
      <c r="M134" s="6">
        <f t="shared" si="48"/>
        <v>2.7673611111822538E-2</v>
      </c>
      <c r="N134" s="7">
        <f t="shared" si="64"/>
        <v>39.850000001024455</v>
      </c>
      <c r="O134" s="7"/>
      <c r="P134" s="7"/>
      <c r="Q134" s="23"/>
      <c r="R134" s="23"/>
      <c r="S134" s="35">
        <f t="shared" si="68"/>
        <v>1</v>
      </c>
      <c r="T134" s="50" t="str">
        <f t="shared" si="49"/>
        <v>Southbound</v>
      </c>
      <c r="U134" s="171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98" t="str">
        <f t="shared" si="50"/>
        <v>https://search-rtdc-monitor-bjffxe2xuh6vdkpspy63sjmuny.us-east-1.es.amazonaws.com/_plugin/kibana/#/discover/Steve-Slow-Train-Analysis-(2080s-and-2083s)?_g=(refreshInterval:(display:Off,section:0,value:0),time:(from:'2016-12-10 18:21:39-700',mode:absolute,to:'2016-12-10 21:06:07-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201053%20OR%202087)%20AND%20%22rtdc.l.rtdc.4039%22')),sort:!(Time,asc))</v>
      </c>
      <c r="W134" s="52" t="str">
        <f t="shared" si="65"/>
        <v>N</v>
      </c>
      <c r="X134" s="177">
        <f t="shared" si="66"/>
        <v>1</v>
      </c>
      <c r="Y134" s="67">
        <f t="shared" si="69"/>
        <v>23.298200000000001</v>
      </c>
      <c r="Z134" s="67">
        <f t="shared" si="67"/>
        <v>1.5599999999999999E-2</v>
      </c>
      <c r="AA134" s="67">
        <f t="shared" si="53"/>
        <v>23.282600000000002</v>
      </c>
      <c r="AB134" s="64" t="e">
        <f>VLOOKUP(A134,Enforcements!$C$7:$K$20,8,0)</f>
        <v>#N/A</v>
      </c>
      <c r="AC134" s="60" t="e">
        <f>VLOOKUP(A134,Enforcements!$C$7:$E$20,3,0)</f>
        <v>#N/A</v>
      </c>
      <c r="AD134" s="61" t="str">
        <f t="shared" si="54"/>
        <v>0220-10</v>
      </c>
      <c r="AE134" s="91" t="str">
        <f t="shared" si="55"/>
        <v>aws s3 cp s3://rtdc.mdm.uploadarchive.raw/RTDC4039/ "%USERPROFILE%\AppData\Local\Temp\OnboardLogs"\RTDC4039\2016-12-10 --exclude "*" --recursive --include "*20161210*" &amp; "%USERPROFILE%\Documents\GitHub\mrs-test-scripts\Headless Mode &amp; Sideloading\WalkAndUnGZ.bat" "%USERPROFILE%\AppData\Local\Temp\OnboardLogs"\RTDC4039\2016-12-10 &amp; aws s3 cp s3://rtdc.mdm.uploadarchive.raw/RTDC4039/ "%USERPROFILE%\AppData\Local\Temp\OnboardLogs"\RTDC4039\2016-12-11 --exclude "*" --recursive --include "*20161211*" &amp; "%USERPROFILE%\Documents\GitHub\mrs-test-scripts\Headless Mode &amp; Sideloading\WalkAndUnGZ.bat" "%USERPROFILE%\AppData\Local\Temp\OnboardLogs"\RTDC4039\2016-12-11</v>
      </c>
      <c r="AF134" s="88" t="str">
        <f t="shared" si="56"/>
        <v>"C:\Program Files (x86)\AstroGrep\AstroGrep.exe" /spath="%USERPROFILE%\AppData\Local\Temp\OnboardLogs" /stypes="app*4039*20161211*" /stext=" 03:.+((SYSTEM_STATE.+slice.+state.+changed )|(ment ac)|(multiple cpu faults)|(system.+state.+changed )|(\[timeout)|(PRM\|1\|D)|(kpr)|(kdp)|(\|lc)|(penalty))" /e /r /s</v>
      </c>
      <c r="AG134" s="1" t="str">
        <f t="shared" si="57"/>
        <v>EC</v>
      </c>
      <c r="AH134" s="92" t="str">
        <f t="shared" si="58"/>
        <v>"%USERPROFILE%\Documents\GitHub\eaglep3\Utilities\RefineRTDCRunTimes.py" --tripid 220-10 --locoid 4039 --swversion DE.1.0.8.0 --startMP 204:232982 --initTime 2016-12-10T19:21:39 --startdatetime 2016-12-10T19:26:16 --delay 1 --endMP 204:156 --enddatetime 2016-12-10T20:06:07 --enforcementcount 1 &gt;&gt;C:\Users\stu\Documents\GitHub\eaglep3-reporting\EC\2016-12-10-refined-times.txt</v>
      </c>
      <c r="AI134" s="119" t="str">
        <f t="shared" si="59"/>
        <v>echo {"issue":{"subject":"","project_id":79,"tracker_id":40,"status_id":1,"priority_id":2,"assigned_to_id":23,"start_date":"2016-12-10","description":"","custom_fields":[{"id":1,"name":"Subdivision","value":"EC"},{"id":4,"name":"Milepost","value":"0.0156"},{"id":17,"name":"Train ID","value":"220-10"},{"id":16,"name":"Locomotive ID","value":"4039"},{"id":130,"name":"Impact","value":""},{"id":150,"name":"Time of Event (Mountain Time)","value":"20:06:07"},{"id":151,"name":"Denver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4" s="53"/>
      <c r="AK134" s="53"/>
      <c r="AL134" s="53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1" customFormat="1" x14ac:dyDescent="0.25">
      <c r="A135" s="37" t="s">
        <v>602</v>
      </c>
      <c r="B135" s="7">
        <v>4020</v>
      </c>
      <c r="C135" s="22" t="s">
        <v>207</v>
      </c>
      <c r="D135" s="22" t="s">
        <v>667</v>
      </c>
      <c r="E135" s="13">
        <v>42714.788194444445</v>
      </c>
      <c r="F135" s="13">
        <v>42714.791979166665</v>
      </c>
      <c r="G135" s="7">
        <v>3</v>
      </c>
      <c r="H135" s="22" t="s">
        <v>294</v>
      </c>
      <c r="I135" s="13">
        <v>42714.817986111113</v>
      </c>
      <c r="J135" s="7">
        <v>1</v>
      </c>
      <c r="K135" s="109" t="str">
        <f t="shared" si="47"/>
        <v>4019/4020</v>
      </c>
      <c r="L135" s="22" t="str">
        <f>VLOOKUP(A135,'Trips&amp;Operators'!$C$1:$G$99999,5,FALSE)</f>
        <v>BADERTSCHER DIANE</v>
      </c>
      <c r="M135" s="6">
        <f t="shared" si="48"/>
        <v>2.6006944448454306E-2</v>
      </c>
      <c r="N135" s="7">
        <f t="shared" si="64"/>
        <v>37.4500000057742</v>
      </c>
      <c r="O135" s="7"/>
      <c r="P135" s="7"/>
      <c r="Q135" s="23"/>
      <c r="R135" s="23"/>
      <c r="S135" s="35">
        <f t="shared" si="68"/>
        <v>1</v>
      </c>
      <c r="T135" s="50" t="str">
        <f t="shared" si="49"/>
        <v>NorthBound</v>
      </c>
      <c r="U135" s="171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98" t="str">
        <f t="shared" si="50"/>
        <v>https://search-rtdc-monitor-bjffxe2xuh6vdkpspy63sjmuny.us-east-1.es.amazonaws.com/_plugin/kibana/#/discover/Steve-Slow-Train-Analysis-(2080s-and-2083s)?_g=(refreshInterval:(display:Off,section:0,value:0),time:(from:'2016-12-10 17:55:00-700',mode:absolute,to:'2016-12-10 20:37:54-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201053%20OR%202087)%20AND%20%22rtdc.l.rtdc.4020%22')),sort:!(Time,asc))</v>
      </c>
      <c r="W135" s="52" t="str">
        <f t="shared" si="65"/>
        <v>N</v>
      </c>
      <c r="X135" s="177">
        <f t="shared" si="66"/>
        <v>1</v>
      </c>
      <c r="Y135" s="67">
        <f t="shared" si="69"/>
        <v>4.7300000000000002E-2</v>
      </c>
      <c r="Z135" s="67">
        <f t="shared" si="67"/>
        <v>23.331499999999998</v>
      </c>
      <c r="AA135" s="67">
        <f t="shared" si="53"/>
        <v>23.284199999999998</v>
      </c>
      <c r="AB135" s="64" t="e">
        <f>VLOOKUP(A135,Enforcements!$C$7:$K$20,8,0)</f>
        <v>#N/A</v>
      </c>
      <c r="AC135" s="60" t="e">
        <f>VLOOKUP(A135,Enforcements!$C$7:$E$20,3,0)</f>
        <v>#N/A</v>
      </c>
      <c r="AD135" s="61" t="str">
        <f t="shared" si="54"/>
        <v>0221-10</v>
      </c>
      <c r="AE135" s="91" t="str">
        <f t="shared" si="55"/>
        <v>aws s3 cp s3://rtdc.mdm.uploadarchive.raw/RTDC4020/ "%USERPROFILE%\AppData\Local\Temp\OnboardLogs"\RTDC4020\2016-12-10 --exclude "*" --recursive --include "*20161210*" &amp; "%USERPROFILE%\Documents\GitHub\mrs-test-scripts\Headless Mode &amp; Sideloading\WalkAndUnGZ.bat" "%USERPROFILE%\AppData\Local\Temp\OnboardLogs"\RTDC4020\2016-12-10 &amp; aws s3 cp s3://rtdc.mdm.uploadarchive.raw/RTDC4020/ "%USERPROFILE%\AppData\Local\Temp\OnboardLogs"\RTDC4020\2016-12-11 --exclude "*" --recursive --include "*20161211*" &amp; "%USERPROFILE%\Documents\GitHub\mrs-test-scripts\Headless Mode &amp; Sideloading\WalkAndUnGZ.bat" "%USERPROFILE%\AppData\Local\Temp\OnboardLogs"\RTDC4020\2016-12-11</v>
      </c>
      <c r="AF135" s="88" t="str">
        <f t="shared" si="56"/>
        <v>"C:\Program Files (x86)\AstroGrep\AstroGrep.exe" /spath="%USERPROFILE%\AppData\Local\Temp\OnboardLogs" /stypes="app*4020*20161211*" /stext=" 02:.+((SYSTEM_STATE.+slice.+state.+changed )|(ment ac)|(multiple cpu faults)|(system.+state.+changed )|(\[timeout)|(PRM\|1\|D)|(kpr)|(kdp)|(\|lc)|(penalty))" /e /r /s</v>
      </c>
      <c r="AG135" s="1" t="str">
        <f t="shared" si="57"/>
        <v>EC</v>
      </c>
      <c r="AH135" s="92" t="str">
        <f t="shared" si="58"/>
        <v>"%USERPROFILE%\Documents\GitHub\eaglep3\Utilities\RefineRTDCRunTimes.py" --tripid 221-10 --locoid 4020 --swversion DE.1.0.8.0 --startMP 204:473 --initTime 2016-12-10T18:55:00 --startdatetime 2016-12-10T19:00:27 --delay 3 --endMP 204:233315 --enddatetime 2016-12-10T19:37:54 --enforcementcount 1 &gt;&gt;C:\Users\stu\Documents\GitHub\eaglep3-reporting\EC\2016-12-10-refined-times.txt</v>
      </c>
      <c r="AI135" s="119" t="str">
        <f t="shared" si="59"/>
        <v>echo {"issue":{"subject":"","project_id":79,"tracker_id":40,"status_id":1,"priority_id":2,"assigned_to_id":23,"start_date":"2016-12-10","description":"","custom_fields":[{"id":1,"name":"Subdivision","value":"EC"},{"id":4,"name":"Milepost","value":"23.3315"},{"id":17,"name":"Train ID","value":"221-10"},{"id":16,"name":"Locomotive ID","value":"4020"},{"id":130,"name":"Impact","value":""},{"id":150,"name":"Time of Event (Mountain Time)","value":"19:37:54"},{"id":151,"name":"Denver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5" s="53"/>
      <c r="AK135" s="53"/>
      <c r="AL135" s="53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s="21" customFormat="1" x14ac:dyDescent="0.25">
      <c r="A136" s="37" t="s">
        <v>608</v>
      </c>
      <c r="B136" s="7">
        <v>4019</v>
      </c>
      <c r="C136" s="22" t="s">
        <v>207</v>
      </c>
      <c r="D136" s="22" t="s">
        <v>362</v>
      </c>
      <c r="E136" s="13">
        <v>42714.820277777777</v>
      </c>
      <c r="F136" s="13">
        <v>42714.83090277778</v>
      </c>
      <c r="G136" s="7">
        <v>1</v>
      </c>
      <c r="H136" s="22" t="s">
        <v>361</v>
      </c>
      <c r="I136" s="13">
        <v>42714.862511574072</v>
      </c>
      <c r="J136" s="7">
        <v>1</v>
      </c>
      <c r="K136" s="109" t="str">
        <f t="shared" si="47"/>
        <v>4019/4020</v>
      </c>
      <c r="L136" s="22" t="str">
        <f>VLOOKUP(A136,'Trips&amp;Operators'!$C$1:$G$99999,5,FALSE)</f>
        <v>BADERTSCHER DIANE</v>
      </c>
      <c r="M136" s="6">
        <f t="shared" si="48"/>
        <v>3.1608796292857733E-2</v>
      </c>
      <c r="N136" s="7">
        <f t="shared" si="64"/>
        <v>45.516666661715135</v>
      </c>
      <c r="O136" s="7"/>
      <c r="P136" s="7"/>
      <c r="Q136" s="23"/>
      <c r="R136" s="23"/>
      <c r="S136" s="35">
        <f t="shared" si="68"/>
        <v>1</v>
      </c>
      <c r="T136" s="50" t="str">
        <f t="shared" si="49"/>
        <v>Southbound</v>
      </c>
      <c r="U136" s="171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98" t="str">
        <f t="shared" si="50"/>
        <v>https://search-rtdc-monitor-bjffxe2xuh6vdkpspy63sjmuny.us-east-1.es.amazonaws.com/_plugin/kibana/#/discover/Steve-Slow-Train-Analysis-(2080s-and-2083s)?_g=(refreshInterval:(display:Off,section:0,value:0),time:(from:'2016-12-10 18:41:12-700',mode:absolute,to:'2016-12-10 21:42:01-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201053%20OR%202087)%20AND%20%22rtdc.l.rtdc.4019%22')),sort:!(Time,asc))</v>
      </c>
      <c r="W136" s="52" t="str">
        <f t="shared" si="65"/>
        <v>N</v>
      </c>
      <c r="X136" s="177">
        <f t="shared" si="66"/>
        <v>1</v>
      </c>
      <c r="Y136" s="67">
        <f t="shared" si="69"/>
        <v>23.298500000000001</v>
      </c>
      <c r="Z136" s="67">
        <f t="shared" si="67"/>
        <v>1.47E-2</v>
      </c>
      <c r="AA136" s="67">
        <f t="shared" si="53"/>
        <v>23.283799999999999</v>
      </c>
      <c r="AB136" s="64" t="e">
        <f>VLOOKUP(A136,Enforcements!$C$7:$K$20,8,0)</f>
        <v>#N/A</v>
      </c>
      <c r="AC136" s="60" t="e">
        <f>VLOOKUP(A136,Enforcements!$C$7:$E$20,3,0)</f>
        <v>#N/A</v>
      </c>
      <c r="AD136" s="61" t="str">
        <f t="shared" si="54"/>
        <v>0222-10</v>
      </c>
      <c r="AE136" s="91" t="str">
        <f t="shared" si="55"/>
        <v>aws s3 cp s3://rtdc.mdm.uploadarchive.raw/RTDC4019/ "%USERPROFILE%\AppData\Local\Temp\OnboardLogs"\RTDC4019\2016-12-10 --exclude "*" --recursive --include "*20161210*" &amp; "%USERPROFILE%\Documents\GitHub\mrs-test-scripts\Headless Mode &amp; Sideloading\WalkAndUnGZ.bat" "%USERPROFILE%\AppData\Local\Temp\OnboardLogs"\RTDC4019\2016-12-10 &amp; aws s3 cp s3://rtdc.mdm.uploadarchive.raw/RTDC4019/ "%USERPROFILE%\AppData\Local\Temp\OnboardLogs"\RTDC4019\2016-12-11 --exclude "*" --recursive --include "*20161211*" &amp; "%USERPROFILE%\Documents\GitHub\mrs-test-scripts\Headless Mode &amp; Sideloading\WalkAndUnGZ.bat" "%USERPROFILE%\AppData\Local\Temp\OnboardLogs"\RTDC4019\2016-12-11</v>
      </c>
      <c r="AF136" s="88" t="str">
        <f t="shared" si="56"/>
        <v>"C:\Program Files (x86)\AstroGrep\AstroGrep.exe" /spath="%USERPROFILE%\AppData\Local\Temp\OnboardLogs" /stypes="app*4019*20161211*" /stext=" 03:.+((SYSTEM_STATE.+slice.+state.+changed )|(ment ac)|(multiple cpu faults)|(system.+state.+changed )|(\[timeout)|(PRM\|1\|D)|(kpr)|(kdp)|(\|lc)|(penalty))" /e /r /s</v>
      </c>
      <c r="AG136" s="1" t="str">
        <f t="shared" si="57"/>
        <v>EC</v>
      </c>
      <c r="AH136" s="92" t="str">
        <f t="shared" si="58"/>
        <v>"%USERPROFILE%\Documents\GitHub\eaglep3\Utilities\RefineRTDCRunTimes.py" --tripid 222-10 --locoid 4019 --swversion DE.1.0.8.0 --startMP 204:232985 --initTime 2016-12-10T19:41:12 --startdatetime 2016-12-10T19:56:30 --delay 1 --endMP 204:147 --enddatetime 2016-12-10T20:42:01 --enforcementcount 1 &gt;&gt;C:\Users\stu\Documents\GitHub\eaglep3-reporting\EC\2016-12-10-refined-times.txt</v>
      </c>
      <c r="AI136" s="119" t="str">
        <f t="shared" si="59"/>
        <v>echo {"issue":{"subject":"","project_id":79,"tracker_id":40,"status_id":1,"priority_id":2,"assigned_to_id":23,"start_date":"2016-12-10","description":"","custom_fields":[{"id":1,"name":"Subdivision","value":"EC"},{"id":4,"name":"Milepost","value":"0.0147"},{"id":17,"name":"Train ID","value":"222-10"},{"id":16,"name":"Locomotive ID","value":"4019"},{"id":130,"name":"Impact","value":""},{"id":150,"name":"Time of Event (Mountain Time)","value":"20:42:01"},{"id":151,"name":"Denver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6" s="53"/>
      <c r="AK136" s="53"/>
      <c r="AL136" s="53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s="21" customFormat="1" x14ac:dyDescent="0.25">
      <c r="A137" s="37" t="s">
        <v>606</v>
      </c>
      <c r="B137" s="7">
        <v>4014</v>
      </c>
      <c r="C137" s="22" t="s">
        <v>207</v>
      </c>
      <c r="D137" s="22" t="s">
        <v>677</v>
      </c>
      <c r="E137" s="13">
        <v>42714.810115740744</v>
      </c>
      <c r="F137" s="13">
        <v>42714.812731481485</v>
      </c>
      <c r="G137" s="7">
        <v>1</v>
      </c>
      <c r="H137" s="22" t="s">
        <v>752</v>
      </c>
      <c r="I137" s="13">
        <v>42714.839432870373</v>
      </c>
      <c r="J137" s="7">
        <v>1</v>
      </c>
      <c r="K137" s="109" t="str">
        <f t="shared" si="47"/>
        <v>4013/4014</v>
      </c>
      <c r="L137" s="22" t="str">
        <f>VLOOKUP(A137,'Trips&amp;Operators'!$C$1:$G$99999,5,FALSE)</f>
        <v>WHITED DUSTIN</v>
      </c>
      <c r="M137" s="6">
        <f t="shared" si="48"/>
        <v>2.6701388887886424E-2</v>
      </c>
      <c r="N137" s="7">
        <f t="shared" si="64"/>
        <v>38.44999999855645</v>
      </c>
      <c r="O137" s="7"/>
      <c r="P137" s="7"/>
      <c r="Q137" s="23"/>
      <c r="R137" s="23"/>
      <c r="S137" s="35">
        <f t="shared" si="68"/>
        <v>1</v>
      </c>
      <c r="T137" s="50" t="str">
        <f t="shared" si="49"/>
        <v>NorthBound</v>
      </c>
      <c r="U137" s="171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98" t="str">
        <f t="shared" si="50"/>
        <v>https://search-rtdc-monitor-bjffxe2xuh6vdkpspy63sjmuny.us-east-1.es.amazonaws.com/_plugin/kibana/#/discover/Steve-Slow-Train-Analysis-(2080s-and-2083s)?_g=(refreshInterval:(display:Off,section:0,value:0),time:(from:'2016-12-10 18:26:34-700',mode:absolute,to:'2016-12-10 21:08:47-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201053%20OR%202087)%20AND%20%22rtdc.l.rtdc.4014%22')),sort:!(Time,asc))</v>
      </c>
      <c r="W137" s="52" t="str">
        <f t="shared" si="65"/>
        <v>N</v>
      </c>
      <c r="X137" s="177">
        <f t="shared" si="66"/>
        <v>1</v>
      </c>
      <c r="Y137" s="67">
        <f t="shared" si="69"/>
        <v>4.6699999999999998E-2</v>
      </c>
      <c r="Z137" s="67">
        <f t="shared" si="67"/>
        <v>23.327999999999999</v>
      </c>
      <c r="AA137" s="67">
        <f t="shared" si="53"/>
        <v>23.281299999999998</v>
      </c>
      <c r="AB137" s="64" t="e">
        <f>VLOOKUP(A137,Enforcements!$C$7:$K$20,8,0)</f>
        <v>#N/A</v>
      </c>
      <c r="AC137" s="60" t="e">
        <f>VLOOKUP(A137,Enforcements!$C$7:$E$20,3,0)</f>
        <v>#N/A</v>
      </c>
      <c r="AD137" s="61" t="str">
        <f t="shared" si="54"/>
        <v>0223-10</v>
      </c>
      <c r="AE137" s="91" t="str">
        <f t="shared" si="55"/>
        <v>aws s3 cp s3://rtdc.mdm.uploadarchive.raw/RTDC4014/ "%USERPROFILE%\AppData\Local\Temp\OnboardLogs"\RTDC4014\2016-12-10 --exclude "*" --recursive --include "*20161210*" &amp; "%USERPROFILE%\Documents\GitHub\mrs-test-scripts\Headless Mode &amp; Sideloading\WalkAndUnGZ.bat" "%USERPROFILE%\AppData\Local\Temp\OnboardLogs"\RTDC4014\2016-12-10 &amp; aws s3 cp s3://rtdc.mdm.uploadarchive.raw/RTDC4014/ "%USERPROFILE%\AppData\Local\Temp\OnboardLogs"\RTDC4014\2016-12-11 --exclude "*" --recursive --include "*20161211*" &amp; "%USERPROFILE%\Documents\GitHub\mrs-test-scripts\Headless Mode &amp; Sideloading\WalkAndUnGZ.bat" "%USERPROFILE%\AppData\Local\Temp\OnboardLogs"\RTDC4014\2016-12-11</v>
      </c>
      <c r="AF137" s="88" t="str">
        <f t="shared" si="56"/>
        <v>"C:\Program Files (x86)\AstroGrep\AstroGrep.exe" /spath="%USERPROFILE%\AppData\Local\Temp\OnboardLogs" /stypes="app*4014*20161211*" /stext=" 03:.+((SYSTEM_STATE.+slice.+state.+changed )|(ment ac)|(multiple cpu faults)|(system.+state.+changed )|(\[timeout)|(PRM\|1\|D)|(kpr)|(kdp)|(\|lc)|(penalty))" /e /r /s</v>
      </c>
      <c r="AG137" s="1" t="str">
        <f t="shared" si="57"/>
        <v>EC</v>
      </c>
      <c r="AH137" s="92" t="str">
        <f t="shared" si="58"/>
        <v>"%USERPROFILE%\Documents\GitHub\eaglep3\Utilities\RefineRTDCRunTimes.py" --tripid 223-10 --locoid 4014 --swversion DE.1.0.8.0 --startMP 204:467 --initTime 2016-12-10T19:26:34 --startdatetime 2016-12-10T19:30:20 --delay 1 --endMP 204:233280 --enddatetime 2016-12-10T20:08:47 --enforcementcount 1 &gt;&gt;C:\Users\stu\Documents\GitHub\eaglep3-reporting\EC\2016-12-10-refined-times.txt</v>
      </c>
      <c r="AI137" s="119" t="str">
        <f t="shared" si="59"/>
        <v>echo {"issue":{"subject":"","project_id":79,"tracker_id":40,"status_id":1,"priority_id":2,"assigned_to_id":23,"start_date":"2016-12-10","description":"","custom_fields":[{"id":1,"name":"Subdivision","value":"EC"},{"id":4,"name":"Milepost","value":"23.328"},{"id":17,"name":"Train ID","value":"223-10"},{"id":16,"name":"Locomotive ID","value":"4014"},{"id":130,"name":"Impact","value":""},{"id":150,"name":"Time of Event (Mountain Time)","value":"20:08:47"},{"id":151,"name":"Denver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7" s="53"/>
      <c r="AK137" s="53"/>
      <c r="AL137" s="53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s="21" customFormat="1" x14ac:dyDescent="0.25">
      <c r="A138" s="37" t="s">
        <v>613</v>
      </c>
      <c r="B138" s="7">
        <v>4013</v>
      </c>
      <c r="C138" s="22" t="s">
        <v>207</v>
      </c>
      <c r="D138" s="22" t="s">
        <v>367</v>
      </c>
      <c r="E138" s="13">
        <v>42714.847453703704</v>
      </c>
      <c r="F138" s="13">
        <v>42714.8515625</v>
      </c>
      <c r="G138" s="7">
        <v>1</v>
      </c>
      <c r="H138" s="22" t="s">
        <v>365</v>
      </c>
      <c r="I138" s="13">
        <v>42714.880358796298</v>
      </c>
      <c r="J138" s="7">
        <v>1</v>
      </c>
      <c r="K138" s="109" t="str">
        <f t="shared" si="47"/>
        <v>4013/4014</v>
      </c>
      <c r="L138" s="22" t="str">
        <f>VLOOKUP(A138,'Trips&amp;Operators'!$C$1:$G$99999,5,FALSE)</f>
        <v>WHITED DUSTIN</v>
      </c>
      <c r="M138" s="6">
        <f t="shared" si="48"/>
        <v>2.8796296297514345E-2</v>
      </c>
      <c r="N138" s="7">
        <f t="shared" si="64"/>
        <v>41.466666668420658</v>
      </c>
      <c r="O138" s="7"/>
      <c r="P138" s="7"/>
      <c r="Q138" s="23"/>
      <c r="R138" s="23"/>
      <c r="S138" s="35">
        <f t="shared" si="68"/>
        <v>1</v>
      </c>
      <c r="T138" s="50" t="str">
        <f t="shared" si="49"/>
        <v>Southbound</v>
      </c>
      <c r="U138" s="171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98" t="str">
        <f t="shared" si="50"/>
        <v>https://search-rtdc-monitor-bjffxe2xuh6vdkpspy63sjmuny.us-east-1.es.amazonaws.com/_plugin/kibana/#/discover/Steve-Slow-Train-Analysis-(2080s-and-2083s)?_g=(refreshInterval:(display:Off,section:0,value:0),time:(from:'2016-12-10 19:20:20-700',mode:absolute,to:'2016-12-10 22:07:43-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201053%20OR%202087)%20AND%20%22rtdc.l.rtdc.4013%22')),sort:!(Time,asc))</v>
      </c>
      <c r="W138" s="52" t="str">
        <f t="shared" si="65"/>
        <v>N</v>
      </c>
      <c r="X138" s="177">
        <f t="shared" si="66"/>
        <v>1</v>
      </c>
      <c r="Y138" s="67">
        <f t="shared" si="69"/>
        <v>23.2973</v>
      </c>
      <c r="Z138" s="67">
        <f t="shared" si="67"/>
        <v>1.3899999999999999E-2</v>
      </c>
      <c r="AA138" s="67">
        <f t="shared" si="53"/>
        <v>23.2834</v>
      </c>
      <c r="AB138" s="64" t="e">
        <f>VLOOKUP(A138,Enforcements!$C$7:$K$20,8,0)</f>
        <v>#N/A</v>
      </c>
      <c r="AC138" s="60" t="e">
        <f>VLOOKUP(A138,Enforcements!$C$7:$E$20,3,0)</f>
        <v>#N/A</v>
      </c>
      <c r="AD138" s="61" t="str">
        <f t="shared" si="54"/>
        <v>0224-10</v>
      </c>
      <c r="AE138" s="91" t="str">
        <f t="shared" si="55"/>
        <v>aws s3 cp s3://rtdc.mdm.uploadarchive.raw/RTDC4013/ "%USERPROFILE%\AppData\Local\Temp\OnboardLogs"\RTDC4013\2016-12-10 --exclude "*" --recursive --include "*20161210*" &amp; "%USERPROFILE%\Documents\GitHub\mrs-test-scripts\Headless Mode &amp; Sideloading\WalkAndUnGZ.bat" "%USERPROFILE%\AppData\Local\Temp\OnboardLogs"\RTDC4013\2016-12-10 &amp; aws s3 cp s3://rtdc.mdm.uploadarchive.raw/RTDC4013/ "%USERPROFILE%\AppData\Local\Temp\OnboardLogs"\RTDC4013\2016-12-11 --exclude "*" --recursive --include "*20161211*" &amp; "%USERPROFILE%\Documents\GitHub\mrs-test-scripts\Headless Mode &amp; Sideloading\WalkAndUnGZ.bat" "%USERPROFILE%\AppData\Local\Temp\OnboardLogs"\RTDC4013\2016-12-11</v>
      </c>
      <c r="AF138" s="88" t="str">
        <f t="shared" si="56"/>
        <v>"C:\Program Files (x86)\AstroGrep\AstroGrep.exe" /spath="%USERPROFILE%\AppData\Local\Temp\OnboardLogs" /stypes="app*4013*20161211*" /stext=" 04:.+((SYSTEM_STATE.+slice.+state.+changed )|(ment ac)|(multiple cpu faults)|(system.+state.+changed )|(\[timeout)|(PRM\|1\|D)|(kpr)|(kdp)|(\|lc)|(penalty))" /e /r /s</v>
      </c>
      <c r="AG138" s="1" t="str">
        <f t="shared" si="57"/>
        <v>EC</v>
      </c>
      <c r="AH138" s="92" t="str">
        <f t="shared" si="58"/>
        <v>"%USERPROFILE%\Documents\GitHub\eaglep3\Utilities\RefineRTDCRunTimes.py" --tripid 224-10 --locoid 4013 --swversion DE.1.0.8.0 --startMP 204:232973 --initTime 2016-12-10T20:20:20 --startdatetime 2016-12-10T20:26:15 --delay 1 --endMP 204:139 --enddatetime 2016-12-10T21:07:43 --enforcementcount 1 &gt;&gt;C:\Users\stu\Documents\GitHub\eaglep3-reporting\EC\2016-12-10-refined-times.txt</v>
      </c>
      <c r="AI138" s="119" t="str">
        <f t="shared" si="59"/>
        <v>echo {"issue":{"subject":"","project_id":79,"tracker_id":40,"status_id":1,"priority_id":2,"assigned_to_id":23,"start_date":"2016-12-10","description":"","custom_fields":[{"id":1,"name":"Subdivision","value":"EC"},{"id":4,"name":"Milepost","value":"0.0139"},{"id":17,"name":"Train ID","value":"224-10"},{"id":16,"name":"Locomotive ID","value":"4013"},{"id":130,"name":"Impact","value":""},{"id":150,"name":"Time of Event (Mountain Time)","value":"21:07:43"},{"id":151,"name":"Denver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8" s="53"/>
      <c r="AK138" s="53"/>
      <c r="AL138" s="53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s="21" customFormat="1" x14ac:dyDescent="0.25">
      <c r="A139" s="37" t="s">
        <v>610</v>
      </c>
      <c r="B139" s="7">
        <v>4016</v>
      </c>
      <c r="C139" s="22" t="s">
        <v>207</v>
      </c>
      <c r="D139" s="22" t="s">
        <v>676</v>
      </c>
      <c r="E139" s="13">
        <v>42714.831307870372</v>
      </c>
      <c r="F139" s="13">
        <v>42714.833587962959</v>
      </c>
      <c r="G139" s="7">
        <v>1</v>
      </c>
      <c r="H139" s="22" t="s">
        <v>266</v>
      </c>
      <c r="I139" s="13">
        <v>42714.858182870368</v>
      </c>
      <c r="J139" s="7">
        <v>1</v>
      </c>
      <c r="K139" s="109" t="str">
        <f t="shared" si="47"/>
        <v>4015/4016</v>
      </c>
      <c r="L139" s="22" t="str">
        <f>VLOOKUP(A139,'Trips&amp;Operators'!$C$1:$G$99999,5,FALSE)</f>
        <v>CHANDLER KELVIN</v>
      </c>
      <c r="M139" s="6">
        <f t="shared" si="48"/>
        <v>2.4594907408754807E-2</v>
      </c>
      <c r="N139" s="7">
        <f t="shared" si="64"/>
        <v>35.416666668606922</v>
      </c>
      <c r="O139" s="7"/>
      <c r="P139" s="7"/>
      <c r="Q139" s="23"/>
      <c r="R139" s="23"/>
      <c r="S139" s="35">
        <f t="shared" si="68"/>
        <v>1</v>
      </c>
      <c r="T139" s="50" t="str">
        <f t="shared" si="49"/>
        <v>NorthBound</v>
      </c>
      <c r="U139" s="171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98" t="str">
        <f t="shared" si="50"/>
        <v>https://search-rtdc-monitor-bjffxe2xuh6vdkpspy63sjmuny.us-east-1.es.amazonaws.com/_plugin/kibana/#/discover/Steve-Slow-Train-Analysis-(2080s-and-2083s)?_g=(refreshInterval:(display:Off,section:0,value:0),time:(from:'2016-12-10 18:57:05-700',mode:absolute,to:'2016-12-10 21:35:47-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201053%20OR%202087)%20AND%20%22rtdc.l.rtdc.4016%22')),sort:!(Time,asc))</v>
      </c>
      <c r="W139" s="52" t="str">
        <f t="shared" si="65"/>
        <v>N</v>
      </c>
      <c r="X139" s="177">
        <f t="shared" si="66"/>
        <v>1</v>
      </c>
      <c r="Y139" s="67">
        <f t="shared" si="69"/>
        <v>4.3999999999999997E-2</v>
      </c>
      <c r="Z139" s="67">
        <f t="shared" si="67"/>
        <v>23.329699999999999</v>
      </c>
      <c r="AA139" s="67">
        <f t="shared" si="53"/>
        <v>23.285699999999999</v>
      </c>
      <c r="AB139" s="64" t="e">
        <f>VLOOKUP(A139,Enforcements!$C$7:$K$20,8,0)</f>
        <v>#N/A</v>
      </c>
      <c r="AC139" s="60" t="e">
        <f>VLOOKUP(A139,Enforcements!$C$7:$E$20,3,0)</f>
        <v>#N/A</v>
      </c>
      <c r="AD139" s="61" t="str">
        <f t="shared" si="54"/>
        <v>0225-10</v>
      </c>
      <c r="AE139" s="91" t="str">
        <f t="shared" si="55"/>
        <v>aws s3 cp s3://rtdc.mdm.uploadarchive.raw/RTDC4016/ "%USERPROFILE%\AppData\Local\Temp\OnboardLogs"\RTDC4016\2016-12-10 --exclude "*" --recursive --include "*20161210*" &amp; "%USERPROFILE%\Documents\GitHub\mrs-test-scripts\Headless Mode &amp; Sideloading\WalkAndUnGZ.bat" "%USERPROFILE%\AppData\Local\Temp\OnboardLogs"\RTDC4016\2016-12-10 &amp; aws s3 cp s3://rtdc.mdm.uploadarchive.raw/RTDC4016/ "%USERPROFILE%\AppData\Local\Temp\OnboardLogs"\RTDC4016\2016-12-11 --exclude "*" --recursive --include "*20161211*" &amp; "%USERPROFILE%\Documents\GitHub\mrs-test-scripts\Headless Mode &amp; Sideloading\WalkAndUnGZ.bat" "%USERPROFILE%\AppData\Local\Temp\OnboardLogs"\RTDC4016\2016-12-11</v>
      </c>
      <c r="AF139" s="88" t="str">
        <f t="shared" si="56"/>
        <v>"C:\Program Files (x86)\AstroGrep\AstroGrep.exe" /spath="%USERPROFILE%\AppData\Local\Temp\OnboardLogs" /stypes="app*4016*20161211*" /stext=" 03:.+((SYSTEM_STATE.+slice.+state.+changed )|(ment ac)|(multiple cpu faults)|(system.+state.+changed )|(\[timeout)|(PRM\|1\|D)|(kpr)|(kdp)|(\|lc)|(penalty))" /e /r /s</v>
      </c>
      <c r="AG139" s="1" t="str">
        <f t="shared" si="57"/>
        <v>EC</v>
      </c>
      <c r="AH139" s="92" t="str">
        <f t="shared" si="58"/>
        <v>"%USERPROFILE%\Documents\GitHub\eaglep3\Utilities\RefineRTDCRunTimes.py" --tripid 225-10 --locoid 4016 --swversion DE.1.0.8.0 --startMP 204:440 --initTime 2016-12-10T19:57:05 --startdatetime 2016-12-10T20:00:22 --delay 1 --endMP 204:233297 --enddatetime 2016-12-10T20:35:47 --enforcementcount 1 &gt;&gt;C:\Users\stu\Documents\GitHub\eaglep3-reporting\EC\2016-12-10-refined-times.txt</v>
      </c>
      <c r="AI139" s="119" t="str">
        <f t="shared" si="59"/>
        <v>echo {"issue":{"subject":"","project_id":79,"tracker_id":40,"status_id":1,"priority_id":2,"assigned_to_id":23,"start_date":"2016-12-10","description":"","custom_fields":[{"id":1,"name":"Subdivision","value":"EC"},{"id":4,"name":"Milepost","value":"23.3297"},{"id":17,"name":"Train ID","value":"225-10"},{"id":16,"name":"Locomotive ID","value":"4016"},{"id":130,"name":"Impact","value":""},{"id":150,"name":"Time of Event (Mountain Time)","value":"20:35:47"},{"id":151,"name":"Denver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9" s="53"/>
      <c r="AK139" s="53"/>
      <c r="AL139" s="53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</row>
    <row r="140" spans="1:91" s="21" customFormat="1" x14ac:dyDescent="0.25">
      <c r="A140" s="37" t="s">
        <v>616</v>
      </c>
      <c r="B140" s="7">
        <v>4015</v>
      </c>
      <c r="C140" s="22" t="s">
        <v>207</v>
      </c>
      <c r="D140" s="22" t="s">
        <v>366</v>
      </c>
      <c r="E140" s="13">
        <v>42714.868900462963</v>
      </c>
      <c r="F140" s="13">
        <v>42714.872650462959</v>
      </c>
      <c r="G140" s="7">
        <v>1</v>
      </c>
      <c r="H140" s="22" t="s">
        <v>192</v>
      </c>
      <c r="I140" s="13">
        <v>42714.900891203702</v>
      </c>
      <c r="J140" s="7">
        <v>1</v>
      </c>
      <c r="K140" s="109" t="str">
        <f t="shared" si="47"/>
        <v>4015/4016</v>
      </c>
      <c r="L140" s="22" t="str">
        <f>VLOOKUP(A140,'Trips&amp;Operators'!$C$1:$G$99999,5,FALSE)</f>
        <v>CHANDLER KELVIN</v>
      </c>
      <c r="M140" s="6">
        <f t="shared" si="48"/>
        <v>2.8240740743058268E-2</v>
      </c>
      <c r="N140" s="7">
        <f t="shared" si="64"/>
        <v>40.666666670003906</v>
      </c>
      <c r="O140" s="7"/>
      <c r="P140" s="7"/>
      <c r="Q140" s="23"/>
      <c r="R140" s="23"/>
      <c r="S140" s="35">
        <f t="shared" si="68"/>
        <v>1</v>
      </c>
      <c r="T140" s="50" t="str">
        <f t="shared" si="49"/>
        <v>Southbound</v>
      </c>
      <c r="U140" s="171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98" t="str">
        <f t="shared" si="50"/>
        <v>https://search-rtdc-monitor-bjffxe2xuh6vdkpspy63sjmuny.us-east-1.es.amazonaws.com/_plugin/kibana/#/discover/Steve-Slow-Train-Analysis-(2080s-and-2083s)?_g=(refreshInterval:(display:Off,section:0,value:0),time:(from:'2016-12-10 19:51:13-700',mode:absolute,to:'2016-12-10 22:37:17-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201053%20OR%202087)%20AND%20%22rtdc.l.rtdc.4015%22')),sort:!(Time,asc))</v>
      </c>
      <c r="W140" s="52" t="str">
        <f t="shared" si="65"/>
        <v>N</v>
      </c>
      <c r="X140" s="177">
        <f t="shared" si="66"/>
        <v>1</v>
      </c>
      <c r="Y140" s="67">
        <f t="shared" si="69"/>
        <v>23.298100000000002</v>
      </c>
      <c r="Z140" s="67">
        <f t="shared" si="67"/>
        <v>1.49E-2</v>
      </c>
      <c r="AA140" s="67">
        <f t="shared" si="53"/>
        <v>23.283200000000001</v>
      </c>
      <c r="AB140" s="64" t="e">
        <f>VLOOKUP(A140,Enforcements!$C$7:$K$20,8,0)</f>
        <v>#N/A</v>
      </c>
      <c r="AC140" s="60" t="e">
        <f>VLOOKUP(A140,Enforcements!$C$7:$E$20,3,0)</f>
        <v>#N/A</v>
      </c>
      <c r="AD140" s="61" t="str">
        <f t="shared" si="54"/>
        <v>0226-10</v>
      </c>
      <c r="AE140" s="91" t="str">
        <f t="shared" si="55"/>
        <v>aws s3 cp s3://rtdc.mdm.uploadarchive.raw/RTDC4015/ "%USERPROFILE%\AppData\Local\Temp\OnboardLogs"\RTDC4015\2016-12-10 --exclude "*" --recursive --include "*20161210*" &amp; "%USERPROFILE%\Documents\GitHub\mrs-test-scripts\Headless Mode &amp; Sideloading\WalkAndUnGZ.bat" "%USERPROFILE%\AppData\Local\Temp\OnboardLogs"\RTDC4015\2016-12-10 &amp; aws s3 cp s3://rtdc.mdm.uploadarchive.raw/RTDC4015/ "%USERPROFILE%\AppData\Local\Temp\OnboardLogs"\RTDC4015\2016-12-11 --exclude "*" --recursive --include "*20161211*" &amp; "%USERPROFILE%\Documents\GitHub\mrs-test-scripts\Headless Mode &amp; Sideloading\WalkAndUnGZ.bat" "%USERPROFILE%\AppData\Local\Temp\OnboardLogs"\RTDC4015\2016-12-11</v>
      </c>
      <c r="AF140" s="88" t="str">
        <f t="shared" si="56"/>
        <v>"C:\Program Files (x86)\AstroGrep\AstroGrep.exe" /spath="%USERPROFILE%\AppData\Local\Temp\OnboardLogs" /stypes="app*4015*20161211*" /stext=" 04:.+((SYSTEM_STATE.+slice.+state.+changed )|(ment ac)|(multiple cpu faults)|(system.+state.+changed )|(\[timeout)|(PRM\|1\|D)|(kpr)|(kdp)|(\|lc)|(penalty))" /e /r /s</v>
      </c>
      <c r="AG140" s="1" t="str">
        <f t="shared" si="57"/>
        <v>EC</v>
      </c>
      <c r="AH140" s="92" t="str">
        <f t="shared" si="58"/>
        <v>"%USERPROFILE%\Documents\GitHub\eaglep3\Utilities\RefineRTDCRunTimes.py" --tripid 226-10 --locoid 4015 --swversion DE.1.0.8.0 --startMP 204:232981 --initTime 2016-12-10T20:51:13 --startdatetime 2016-12-10T20:56:37 --delay 1 --endMP 204:149 --enddatetime 2016-12-10T21:37:17 --enforcementcount 1 &gt;&gt;C:\Users\stu\Documents\GitHub\eaglep3-reporting\EC\2016-12-10-refined-times.txt</v>
      </c>
      <c r="AI140" s="119" t="str">
        <f t="shared" si="59"/>
        <v>echo {"issue":{"subject":"","project_id":79,"tracker_id":40,"status_id":1,"priority_id":2,"assigned_to_id":23,"start_date":"2016-12-10","description":"","custom_fields":[{"id":1,"name":"Subdivision","value":"EC"},{"id":4,"name":"Milepost","value":"0.0149"},{"id":17,"name":"Train ID","value":"226-10"},{"id":16,"name":"Locomotive ID","value":"4015"},{"id":130,"name":"Impact","value":""},{"id":150,"name":"Time of Event (Mountain Time)","value":"21:37:17"},{"id":151,"name":"Denver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0" s="53"/>
      <c r="AK140" s="53"/>
      <c r="AL140" s="53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s="21" customFormat="1" x14ac:dyDescent="0.25">
      <c r="A141" s="37" t="s">
        <v>612</v>
      </c>
      <c r="B141" s="7">
        <v>4040</v>
      </c>
      <c r="C141" s="22" t="s">
        <v>207</v>
      </c>
      <c r="D141" s="22" t="s">
        <v>667</v>
      </c>
      <c r="E141" s="13">
        <v>42714.839074074072</v>
      </c>
      <c r="F141" s="13">
        <v>42714.854791666665</v>
      </c>
      <c r="G141" s="7">
        <v>1</v>
      </c>
      <c r="H141" s="22" t="s">
        <v>389</v>
      </c>
      <c r="I141" s="13">
        <v>42714.87841435185</v>
      </c>
      <c r="J141" s="7">
        <v>1</v>
      </c>
      <c r="K141" s="109" t="str">
        <f t="shared" si="47"/>
        <v>4039/4040</v>
      </c>
      <c r="L141" s="22" t="str">
        <f>VLOOKUP(A141,'Trips&amp;Operators'!$C$1:$G$99999,5,FALSE)</f>
        <v>STAMBAUGH JAMES</v>
      </c>
      <c r="M141" s="6">
        <f t="shared" si="48"/>
        <v>2.3622685184818693E-2</v>
      </c>
      <c r="N141" s="7">
        <f t="shared" si="64"/>
        <v>34.016666666138917</v>
      </c>
      <c r="O141" s="7"/>
      <c r="P141" s="7"/>
      <c r="Q141" s="23"/>
      <c r="R141" s="23"/>
      <c r="S141" s="35">
        <f t="shared" si="68"/>
        <v>1</v>
      </c>
      <c r="T141" s="50" t="str">
        <f t="shared" si="49"/>
        <v>NorthBound</v>
      </c>
      <c r="U141" s="171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98" t="str">
        <f t="shared" si="50"/>
        <v>https://search-rtdc-monitor-bjffxe2xuh6vdkpspy63sjmuny.us-east-1.es.amazonaws.com/_plugin/kibana/#/discover/Steve-Slow-Train-Analysis-(2080s-and-2083s)?_g=(refreshInterval:(display:Off,section:0,value:0),time:(from:'2016-12-10 19:08:16-700',mode:absolute,to:'2016-12-10 22:04:55-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201053%20OR%202087)%20AND%20%22rtdc.l.rtdc.4040%22')),sort:!(Time,asc))</v>
      </c>
      <c r="W141" s="52" t="str">
        <f t="shared" si="65"/>
        <v>N</v>
      </c>
      <c r="X141" s="177">
        <f t="shared" si="66"/>
        <v>1</v>
      </c>
      <c r="Y141" s="67">
        <f t="shared" si="69"/>
        <v>4.7300000000000002E-2</v>
      </c>
      <c r="Z141" s="67">
        <f t="shared" si="67"/>
        <v>23.331099999999999</v>
      </c>
      <c r="AA141" s="67">
        <f t="shared" si="53"/>
        <v>23.283799999999999</v>
      </c>
      <c r="AB141" s="64" t="e">
        <f>VLOOKUP(A141,Enforcements!$C$7:$K$20,8,0)</f>
        <v>#N/A</v>
      </c>
      <c r="AC141" s="60" t="e">
        <f>VLOOKUP(A141,Enforcements!$C$7:$E$20,3,0)</f>
        <v>#N/A</v>
      </c>
      <c r="AD141" s="61" t="str">
        <f t="shared" si="54"/>
        <v>0227-10</v>
      </c>
      <c r="AE141" s="91" t="str">
        <f t="shared" si="55"/>
        <v>aws s3 cp s3://rtdc.mdm.uploadarchive.raw/RTDC4040/ "%USERPROFILE%\AppData\Local\Temp\OnboardLogs"\RTDC4040\2016-12-10 --exclude "*" --recursive --include "*20161210*" &amp; "%USERPROFILE%\Documents\GitHub\mrs-test-scripts\Headless Mode &amp; Sideloading\WalkAndUnGZ.bat" "%USERPROFILE%\AppData\Local\Temp\OnboardLogs"\RTDC4040\2016-12-10 &amp; aws s3 cp s3://rtdc.mdm.uploadarchive.raw/RTDC4040/ "%USERPROFILE%\AppData\Local\Temp\OnboardLogs"\RTDC4040\2016-12-11 --exclude "*" --recursive --include "*20161211*" &amp; "%USERPROFILE%\Documents\GitHub\mrs-test-scripts\Headless Mode &amp; Sideloading\WalkAndUnGZ.bat" "%USERPROFILE%\AppData\Local\Temp\OnboardLogs"\RTDC4040\2016-12-11</v>
      </c>
      <c r="AF141" s="88" t="str">
        <f t="shared" si="56"/>
        <v>"C:\Program Files (x86)\AstroGrep\AstroGrep.exe" /spath="%USERPROFILE%\AppData\Local\Temp\OnboardLogs" /stypes="app*4040*20161211*" /stext=" 04:.+((SYSTEM_STATE.+slice.+state.+changed )|(ment ac)|(multiple cpu faults)|(system.+state.+changed )|(\[timeout)|(PRM\|1\|D)|(kpr)|(kdp)|(\|lc)|(penalty))" /e /r /s</v>
      </c>
      <c r="AG141" s="1" t="str">
        <f t="shared" si="57"/>
        <v>EC</v>
      </c>
      <c r="AH141" s="92" t="str">
        <f t="shared" si="58"/>
        <v>"%USERPROFILE%\Documents\GitHub\eaglep3\Utilities\RefineRTDCRunTimes.py" --tripid 227-10 --locoid 4040 --swversion DE.1.0.8.0 --startMP 204:473 --initTime 2016-12-10T20:08:16 --startdatetime 2016-12-10T20:30:54 --delay 1 --endMP 204:233311 --enddatetime 2016-12-10T21:04:55 --enforcementcount 1 &gt;&gt;C:\Users\stu\Documents\GitHub\eaglep3-reporting\EC\2016-12-10-refined-times.txt</v>
      </c>
      <c r="AI141" s="119" t="str">
        <f t="shared" si="59"/>
        <v>echo {"issue":{"subject":"","project_id":79,"tracker_id":40,"status_id":1,"priority_id":2,"assigned_to_id":23,"start_date":"2016-12-10","description":"","custom_fields":[{"id":1,"name":"Subdivision","value":"EC"},{"id":4,"name":"Milepost","value":"23.3311"},{"id":17,"name":"Train ID","value":"227-10"},{"id":16,"name":"Locomotive ID","value":"4040"},{"id":130,"name":"Impact","value":""},{"id":150,"name":"Time of Event (Mountain Time)","value":"21:04:55"},{"id":151,"name":"Denver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1" s="53"/>
      <c r="AK141" s="53"/>
      <c r="AL141" s="53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s="21" customFormat="1" x14ac:dyDescent="0.25">
      <c r="A142" s="37" t="s">
        <v>618</v>
      </c>
      <c r="B142" s="7">
        <v>4039</v>
      </c>
      <c r="C142" s="22" t="s">
        <v>207</v>
      </c>
      <c r="D142" s="22" t="s">
        <v>753</v>
      </c>
      <c r="E142" s="13">
        <v>42714.890046296299</v>
      </c>
      <c r="F142" s="13">
        <v>42714.893252314818</v>
      </c>
      <c r="G142" s="7">
        <v>1</v>
      </c>
      <c r="H142" s="22" t="s">
        <v>664</v>
      </c>
      <c r="I142" s="13">
        <v>42714.921539351853</v>
      </c>
      <c r="J142" s="7">
        <v>1</v>
      </c>
      <c r="K142" s="109" t="str">
        <f t="shared" ref="K142:K205" si="70">IF(ISEVEN(B142),(B142-1)&amp;"/"&amp;B142,B142&amp;"/"&amp;(B142+1))</f>
        <v>4039/4040</v>
      </c>
      <c r="L142" s="22" t="str">
        <f>VLOOKUP(A142,'Trips&amp;Operators'!$C$1:$G$99999,5,FALSE)</f>
        <v>STAMBAUGH JAMES</v>
      </c>
      <c r="M142" s="6">
        <f t="shared" ref="M142:M205" si="71">I142-F142</f>
        <v>2.8287037035624962E-2</v>
      </c>
      <c r="N142" s="7">
        <f t="shared" si="64"/>
        <v>40.733333331299946</v>
      </c>
      <c r="O142" s="7"/>
      <c r="P142" s="7"/>
      <c r="Q142" s="23"/>
      <c r="R142" s="23"/>
      <c r="S142" s="35">
        <f t="shared" si="68"/>
        <v>1</v>
      </c>
      <c r="T142" s="50" t="str">
        <f t="shared" ref="T142:T205" si="72">IF(ISEVEN(LEFT(AD142,4)),"Southbound","NorthBound")</f>
        <v>Southbound</v>
      </c>
      <c r="U142" s="171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98" t="str">
        <f t="shared" ref="V142:V205" si="73">"https://search-rtdc-monitor-bjffxe2xuh6vdkpspy63sjmuny.us-east-1.es.amazonaws.com/_plugin/kibana/#/discover/Steve-Slow-Train-Analysis-(2080s-and-2083s)?_g=(refreshInterval:(display:Off,section:0,value:0),time:(from:'"&amp;TEXT(E142-1/24,"yyyy-MM-DD hh:mm:ss")&amp;utc_offset&amp;"00',mode:absolute,to:'"&amp;TEXT(I142+1/24,"yyyy-MM-DD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201053%20OR%202087)%20AND%20%22rtdc.l.rtdc."&amp;B142&amp;"%22')),sort:!(Time,asc))"</f>
        <v>https://search-rtdc-monitor-bjffxe2xuh6vdkpspy63sjmuny.us-east-1.es.amazonaws.com/_plugin/kibana/#/discover/Steve-Slow-Train-Analysis-(2080s-and-2083s)?_g=(refreshInterval:(display:Off,section:0,value:0),time:(from:'2016-12-10 20:21:40-700',mode:absolute,to:'2016-12-10 23:07:01-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201053%20OR%202087)%20AND%20%22rtdc.l.rtdc.4039%22')),sort:!(Time,asc))</v>
      </c>
      <c r="W142" s="52" t="str">
        <f t="shared" ref="W142:W158" si="74">IF(AA142&lt;IF(AG142="EC",23,5.65),"Y","N")</f>
        <v>N</v>
      </c>
      <c r="X142" s="177">
        <f t="shared" ref="X142:X158" si="75">VALUE(LEFT(AD142,4))-VALUE(LEFT(AD141,4))</f>
        <v>1</v>
      </c>
      <c r="Y142" s="67">
        <f t="shared" si="69"/>
        <v>23.298400000000001</v>
      </c>
      <c r="Z142" s="67">
        <f t="shared" si="67"/>
        <v>1.38E-2</v>
      </c>
      <c r="AA142" s="67">
        <f t="shared" ref="AA142:AA205" si="76">ABS(Z142-Y142)</f>
        <v>23.284600000000001</v>
      </c>
      <c r="AB142" s="64" t="e">
        <f>VLOOKUP(A142,Enforcements!$C$7:$K$20,8,0)</f>
        <v>#N/A</v>
      </c>
      <c r="AC142" s="60" t="e">
        <f>VLOOKUP(A142,Enforcements!$C$7:$E$20,3,0)</f>
        <v>#N/A</v>
      </c>
      <c r="AD142" s="61" t="str">
        <f t="shared" ref="AD142:AD205" si="77">IF(LEN(A142)=6,"0"&amp;A142,A142)</f>
        <v>0228-10</v>
      </c>
      <c r="AE142" s="91" t="str">
        <f t="shared" ref="AE142:AE205" si="78">"aws s3 cp "&amp;s3_bucket&amp;"/RTDC"&amp;B142&amp;"/ "&amp;search_path&amp;"\RTDC"&amp;B142&amp;"\"&amp;TEXT(F142,"YYYY-MM-DD")&amp;" --exclude ""*"" --recursive --include ""*"&amp;TEXT(F142,"YYYYMMDD")&amp;"*"" &amp; """&amp;walkandungz&amp;""" "&amp;search_path&amp;"\RTDC"&amp;B142&amp;"\"&amp;TEXT(F142,"YYYY-MM-DD")
&amp;" &amp; "&amp;"aws s3 cp "&amp;s3_bucket&amp;"/RTDC"&amp;B142&amp;"/ "&amp;search_path&amp;"\RTDC"&amp;B142&amp;"\"&amp;TEXT(F142+1,"YYYY-MM-DD")&amp;" --exclude ""*"" --recursive --include ""*"&amp;TEXT(F142+1,"YYYYMMDD")&amp;"*"" &amp; """&amp;walkandungz&amp;""" "&amp;search_path&amp;"\RTDC"&amp;B142&amp;"\"&amp;TEXT(F142+1,"YYYY-MM-DD")</f>
        <v>aws s3 cp s3://rtdc.mdm.uploadarchive.raw/RTDC4039/ "%USERPROFILE%\AppData\Local\Temp\OnboardLogs"\RTDC4039\2016-12-10 --exclude "*" --recursive --include "*20161210*" &amp; "%USERPROFILE%\Documents\GitHub\mrs-test-scripts\Headless Mode &amp; Sideloading\WalkAndUnGZ.bat" "%USERPROFILE%\AppData\Local\Temp\OnboardLogs"\RTDC4039\2016-12-10 &amp; aws s3 cp s3://rtdc.mdm.uploadarchive.raw/RTDC4039/ "%USERPROFILE%\AppData\Local\Temp\OnboardLogs"\RTDC4039\2016-12-11 --exclude "*" --recursive --include "*20161211*" &amp; "%USERPROFILE%\Documents\GitHub\mrs-test-scripts\Headless Mode &amp; Sideloading\WalkAndUnGZ.bat" "%USERPROFILE%\AppData\Local\Temp\OnboardLogs"\RTDC4039\2016-12-11</v>
      </c>
      <c r="AF142" s="88" t="str">
        <f t="shared" ref="AF142:AF205" si="79">astrogrep_path&amp;" /spath="&amp;search_path&amp;" /stypes=""app*"&amp;B142&amp;"*"&amp;TEXT(I142-utc_offset/24,"YYYYMMDD")&amp;"*"" /stext="" "&amp;TEXT(I142-utc_offset/24,"HH")&amp;search_regexp&amp;""" /e /r /s"</f>
        <v>"C:\Program Files (x86)\AstroGrep\AstroGrep.exe" /spath="%USERPROFILE%\AppData\Local\Temp\OnboardLogs" /stypes="app*4039*20161211*" /stext=" 05:.+((SYSTEM_STATE.+slice.+state.+changed )|(ment ac)|(multiple cpu faults)|(system.+state.+changed )|(\[timeout)|(PRM\|1\|D)|(kpr)|(kdp)|(\|lc)|(penalty))" /e /r /s</v>
      </c>
      <c r="AG142" s="1" t="str">
        <f t="shared" ref="AG142:AG205" si="80">IFERROR(IF(VALUE(LEFT(AD142,2))&lt;=2,"EC",IF(OR(VALUE(LEFT(AD142,2))=8,VALUE(LEFT(AD142,2))=18),"NW","Other")),"Other")</f>
        <v>EC</v>
      </c>
      <c r="AH142" s="92" t="str">
        <f t="shared" si="58"/>
        <v>"%USERPROFILE%\Documents\GitHub\eaglep3\Utilities\RefineRTDCRunTimes.py" --tripid 228-10 --locoid 4039 --swversion DE.1.0.8.0 --startMP 204:232984 --initTime 2016-12-10T21:21:40 --startdatetime 2016-12-10T21:26:17 --delay 1 --endMP 204:138 --enddatetime 2016-12-10T22:07:01 --enforcementcount 1 &gt;&gt;C:\Users\stu\Documents\GitHub\eaglep3-reporting\EC\2016-12-10-refined-times.txt</v>
      </c>
      <c r="AI142" s="119" t="str">
        <f t="shared" si="59"/>
        <v>echo {"issue":{"subject":"","project_id":79,"tracker_id":40,"status_id":1,"priority_id":2,"assigned_to_id":23,"start_date":"2016-12-10","description":"","custom_fields":[{"id":1,"name":"Subdivision","value":"EC"},{"id":4,"name":"Milepost","value":"0.0138"},{"id":17,"name":"Train ID","value":"228-10"},{"id":16,"name":"Locomotive ID","value":"4039"},{"id":130,"name":"Impact","value":""},{"id":150,"name":"Time of Event (Mountain Time)","value":"22:07:01"},{"id":151,"name":"Denver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2" s="53"/>
      <c r="AK142" s="53"/>
      <c r="AL142" s="53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</row>
    <row r="143" spans="1:91" s="21" customFormat="1" x14ac:dyDescent="0.25">
      <c r="A143" s="37" t="s">
        <v>615</v>
      </c>
      <c r="B143" s="7">
        <v>4020</v>
      </c>
      <c r="C143" s="22" t="s">
        <v>207</v>
      </c>
      <c r="D143" s="22" t="s">
        <v>393</v>
      </c>
      <c r="E143" s="13">
        <v>42714.866053240738</v>
      </c>
      <c r="F143" s="13">
        <v>42714.875289351854</v>
      </c>
      <c r="G143" s="7">
        <v>1</v>
      </c>
      <c r="H143" s="22" t="s">
        <v>754</v>
      </c>
      <c r="I143" s="13">
        <v>42714.901979166665</v>
      </c>
      <c r="J143" s="7">
        <v>1</v>
      </c>
      <c r="K143" s="109" t="str">
        <f t="shared" si="70"/>
        <v>4019/4020</v>
      </c>
      <c r="L143" s="22" t="str">
        <f>VLOOKUP(A143,'Trips&amp;Operators'!$C$1:$G$99999,5,FALSE)</f>
        <v>BADERTSCHER DIANE</v>
      </c>
      <c r="M143" s="6">
        <f t="shared" si="71"/>
        <v>2.6689814811106771E-2</v>
      </c>
      <c r="N143" s="7">
        <f t="shared" si="64"/>
        <v>38.433333327993751</v>
      </c>
      <c r="O143" s="7"/>
      <c r="P143" s="7"/>
      <c r="Q143" s="23"/>
      <c r="R143" s="23"/>
      <c r="S143" s="35">
        <f t="shared" si="68"/>
        <v>1</v>
      </c>
      <c r="T143" s="50" t="str">
        <f t="shared" si="72"/>
        <v>NorthBound</v>
      </c>
      <c r="U143" s="171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98" t="str">
        <f t="shared" si="73"/>
        <v>https://search-rtdc-monitor-bjffxe2xuh6vdkpspy63sjmuny.us-east-1.es.amazonaws.com/_plugin/kibana/#/discover/Steve-Slow-Train-Analysis-(2080s-and-2083s)?_g=(refreshInterval:(display:Off,section:0,value:0),time:(from:'2016-12-10 19:47:07-700',mode:absolute,to:'2016-12-10 22:38:51-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201053%20OR%202087)%20AND%20%22rtdc.l.rtdc.4020%22')),sort:!(Time,asc))</v>
      </c>
      <c r="W143" s="52" t="str">
        <f t="shared" si="74"/>
        <v>N</v>
      </c>
      <c r="X143" s="177">
        <f t="shared" si="75"/>
        <v>1</v>
      </c>
      <c r="Y143" s="67">
        <f t="shared" si="69"/>
        <v>4.3099999999999999E-2</v>
      </c>
      <c r="Z143" s="67">
        <f t="shared" si="67"/>
        <v>23.332899999999999</v>
      </c>
      <c r="AA143" s="67">
        <f t="shared" si="76"/>
        <v>23.2898</v>
      </c>
      <c r="AB143" s="64" t="e">
        <f>VLOOKUP(A143,Enforcements!$C$7:$K$20,8,0)</f>
        <v>#N/A</v>
      </c>
      <c r="AC143" s="60" t="e">
        <f>VLOOKUP(A143,Enforcements!$C$7:$E$20,3,0)</f>
        <v>#N/A</v>
      </c>
      <c r="AD143" s="61" t="str">
        <f t="shared" si="77"/>
        <v>0229-10</v>
      </c>
      <c r="AE143" s="91" t="str">
        <f t="shared" si="78"/>
        <v>aws s3 cp s3://rtdc.mdm.uploadarchive.raw/RTDC4020/ "%USERPROFILE%\AppData\Local\Temp\OnboardLogs"\RTDC4020\2016-12-10 --exclude "*" --recursive --include "*20161210*" &amp; "%USERPROFILE%\Documents\GitHub\mrs-test-scripts\Headless Mode &amp; Sideloading\WalkAndUnGZ.bat" "%USERPROFILE%\AppData\Local\Temp\OnboardLogs"\RTDC4020\2016-12-10 &amp; aws s3 cp s3://rtdc.mdm.uploadarchive.raw/RTDC4020/ "%USERPROFILE%\AppData\Local\Temp\OnboardLogs"\RTDC4020\2016-12-11 --exclude "*" --recursive --include "*20161211*" &amp; "%USERPROFILE%\Documents\GitHub\mrs-test-scripts\Headless Mode &amp; Sideloading\WalkAndUnGZ.bat" "%USERPROFILE%\AppData\Local\Temp\OnboardLogs"\RTDC4020\2016-12-11</v>
      </c>
      <c r="AF143" s="88" t="str">
        <f t="shared" si="79"/>
        <v>"C:\Program Files (x86)\AstroGrep\AstroGrep.exe" /spath="%USERPROFILE%\AppData\Local\Temp\OnboardLogs" /stypes="app*4020*20161211*" /stext=" 04:.+((SYSTEM_STATE.+slice.+state.+changed )|(ment ac)|(multiple cpu faults)|(system.+state.+changed )|(\[timeout)|(PRM\|1\|D)|(kpr)|(kdp)|(\|lc)|(penalty))" /e /r /s</v>
      </c>
      <c r="AG143" s="1" t="str">
        <f t="shared" si="80"/>
        <v>EC</v>
      </c>
      <c r="AH143" s="92" t="str">
        <f t="shared" si="58"/>
        <v>"%USERPROFILE%\Documents\GitHub\eaglep3\Utilities\RefineRTDCRunTimes.py" --tripid 229-10 --locoid 4020 --swversion DE.1.0.8.0 --startMP 204:431 --initTime 2016-12-10T20:47:07 --startdatetime 2016-12-10T21:00:25 --delay 1 --endMP 204:233329 --enddatetime 2016-12-10T21:38:51 --enforcementcount 1 &gt;&gt;C:\Users\stu\Documents\GitHub\eaglep3-reporting\EC\2016-12-10-refined-times.txt</v>
      </c>
      <c r="AI143" s="119" t="str">
        <f t="shared" si="59"/>
        <v>echo {"issue":{"subject":"","project_id":79,"tracker_id":40,"status_id":1,"priority_id":2,"assigned_to_id":23,"start_date":"2016-12-10","description":"","custom_fields":[{"id":1,"name":"Subdivision","value":"EC"},{"id":4,"name":"Milepost","value":"23.3329"},{"id":17,"name":"Train ID","value":"229-10"},{"id":16,"name":"Locomotive ID","value":"4020"},{"id":130,"name":"Impact","value":""},{"id":150,"name":"Time of Event (Mountain Time)","value":"21:38:51"},{"id":151,"name":"Denver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3" s="53"/>
      <c r="AK143" s="53"/>
      <c r="AL143" s="5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</row>
    <row r="144" spans="1:91" x14ac:dyDescent="0.25">
      <c r="A144" s="37" t="s">
        <v>621</v>
      </c>
      <c r="B144" s="7">
        <v>4019</v>
      </c>
      <c r="C144" s="22" t="s">
        <v>207</v>
      </c>
      <c r="D144" s="22" t="s">
        <v>671</v>
      </c>
      <c r="E144" s="13">
        <v>42714.906099537038</v>
      </c>
      <c r="F144" s="13">
        <v>42714.914155092592</v>
      </c>
      <c r="G144" s="7">
        <v>1</v>
      </c>
      <c r="H144" s="22" t="s">
        <v>364</v>
      </c>
      <c r="I144" s="13">
        <v>42714.942615740743</v>
      </c>
      <c r="J144" s="7">
        <v>1</v>
      </c>
      <c r="K144" s="109" t="str">
        <f t="shared" si="70"/>
        <v>4019/4020</v>
      </c>
      <c r="L144" s="22" t="str">
        <f>VLOOKUP(A144,'Trips&amp;Operators'!$C$1:$G$99999,5,FALSE)</f>
        <v>BADERTSCHER DIANE</v>
      </c>
      <c r="M144" s="6">
        <f t="shared" si="71"/>
        <v>2.846064815093996E-2</v>
      </c>
      <c r="N144" s="7">
        <f t="shared" si="64"/>
        <v>40.983333337353542</v>
      </c>
      <c r="O144" s="7"/>
      <c r="P144" s="7"/>
      <c r="Q144" s="23"/>
      <c r="R144" s="23"/>
      <c r="S144" s="35">
        <f t="shared" si="68"/>
        <v>1</v>
      </c>
      <c r="T144" s="50" t="str">
        <f t="shared" si="72"/>
        <v>Southbound</v>
      </c>
      <c r="U144" s="171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98" t="str">
        <f t="shared" si="73"/>
        <v>https://search-rtdc-monitor-bjffxe2xuh6vdkpspy63sjmuny.us-east-1.es.amazonaws.com/_plugin/kibana/#/discover/Steve-Slow-Train-Analysis-(2080s-and-2083s)?_g=(refreshInterval:(display:Off,section:0,value:0),time:(from:'2016-12-10 20:44:47-700',mode:absolute,to:'2016-12-10 23:37:22-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201053%20OR%202087)%20AND%20%22rtdc.l.rtdc.4019%22')),sort:!(Time,asc))</v>
      </c>
      <c r="W144" s="52" t="str">
        <f t="shared" si="74"/>
        <v>N</v>
      </c>
      <c r="X144" s="177">
        <f t="shared" si="75"/>
        <v>1</v>
      </c>
      <c r="Y144" s="67">
        <f t="shared" si="69"/>
        <v>23.299600000000002</v>
      </c>
      <c r="Z144" s="67">
        <f t="shared" si="67"/>
        <v>1.2999999999999999E-2</v>
      </c>
      <c r="AA144" s="67">
        <f t="shared" si="76"/>
        <v>23.2866</v>
      </c>
      <c r="AB144" s="64" t="e">
        <f>VLOOKUP(A144,Enforcements!$C$7:$K$20,8,0)</f>
        <v>#N/A</v>
      </c>
      <c r="AC144" s="60" t="e">
        <f>VLOOKUP(A144,Enforcements!$C$7:$E$20,3,0)</f>
        <v>#N/A</v>
      </c>
      <c r="AD144" s="61" t="str">
        <f t="shared" si="77"/>
        <v>0230-10</v>
      </c>
      <c r="AE144" s="91" t="str">
        <f t="shared" si="78"/>
        <v>aws s3 cp s3://rtdc.mdm.uploadarchive.raw/RTDC4019/ "%USERPROFILE%\AppData\Local\Temp\OnboardLogs"\RTDC4019\2016-12-10 --exclude "*" --recursive --include "*20161210*" &amp; "%USERPROFILE%\Documents\GitHub\mrs-test-scripts\Headless Mode &amp; Sideloading\WalkAndUnGZ.bat" "%USERPROFILE%\AppData\Local\Temp\OnboardLogs"\RTDC4019\2016-12-10 &amp; aws s3 cp s3://rtdc.mdm.uploadarchive.raw/RTDC4019/ "%USERPROFILE%\AppData\Local\Temp\OnboardLogs"\RTDC4019\2016-12-11 --exclude "*" --recursive --include "*20161211*" &amp; "%USERPROFILE%\Documents\GitHub\mrs-test-scripts\Headless Mode &amp; Sideloading\WalkAndUnGZ.bat" "%USERPROFILE%\AppData\Local\Temp\OnboardLogs"\RTDC4019\2016-12-11</v>
      </c>
      <c r="AF144" s="88" t="str">
        <f t="shared" si="79"/>
        <v>"C:\Program Files (x86)\AstroGrep\AstroGrep.exe" /spath="%USERPROFILE%\AppData\Local\Temp\OnboardLogs" /stypes="app*4019*20161211*" /stext=" 05:.+((SYSTEM_STATE.+slice.+state.+changed )|(ment ac)|(multiple cpu faults)|(system.+state.+changed )|(\[timeout)|(PRM\|1\|D)|(kpr)|(kdp)|(\|lc)|(penalty))" /e /r /s</v>
      </c>
      <c r="AG144" s="1" t="str">
        <f t="shared" si="80"/>
        <v>EC</v>
      </c>
      <c r="AH144" s="92" t="str">
        <f t="shared" ref="AH144:AH204" si="81">refinertdcruntimes&amp;" --tripid "&amp;A144&amp;" --locoid "&amp;B144&amp;" --swversion "&amp;C144&amp;" --startMP "&amp;D144&amp;" --initTime "&amp;TEXT(E144,"yyyy-mm-ddTHH:MM:SS")&amp;" --startdatetime "&amp;TEXT(F144,"yyyy-mm-ddTHH:MM:SS")&amp;" --delay "&amp;G144&amp;" --endMP "&amp;H144&amp;" --enddatetime "&amp;TEXT(I144,"yyyy-mm-ddTHH:MM:SS")&amp;" --enforcementcount "&amp;J144&amp;IF(outputrefinedruntimes," &gt;&gt;"&amp;RefinedRTDCRunTimesOutputFile,"")</f>
        <v>"%USERPROFILE%\Documents\GitHub\eaglep3\Utilities\RefineRTDCRunTimes.py" --tripid 230-10 --locoid 4019 --swversion DE.1.0.8.0 --startMP 204:232996 --initTime 2016-12-10T21:44:47 --startdatetime 2016-12-10T21:56:23 --delay 1 --endMP 204:130 --enddatetime 2016-12-10T22:37:22 --enforcementcount 1 &gt;&gt;C:\Users\stu\Documents\GitHub\eaglep3-reporting\EC\2016-12-10-refined-times.txt</v>
      </c>
      <c r="AI144" s="119" t="str">
        <f t="shared" ref="AI144:AI204" si="82">"echo {""issue"":{""subject"":"""&amp;R144&amp;""",""project_id"":79,""tracker_id"":40,""status_id"":"&amp;redmine_status&amp;",""priority_id"":"&amp;redmine_priority&amp;",""assigned_to_id"":"&amp;redmine_assignee&amp;",""start_date"":"""&amp;TEXT(I144,"YYYY-mm-dd")&amp;""",""description"":"""&amp;AJ144&amp;""",""custom_fields"":[{""id"":1,""name"":""Subdivision"",""value"":"""&amp;AG144&amp;"""},{""id"":4,""name"":""Milepost"",""value"":"""&amp;Z144&amp;"""},{""id"":17,""name"":""Train ID"",""value"":"""&amp;A144&amp;"""},{""id"":16,""name"":""Locomotive ID"",""value"":"""&amp;B144&amp;"""},{""id"":130,""name"":""Impact"",""value"":"""&amp;AK144&amp;"""},{""id"":150,""name"":""Time of Event (Mountain Time)"",""value"":"""&amp;TEXT(I144,"hh:mm:ss")&amp;"""},{""id"":151,""name"":""Denver Issue ID"",""value"":"""&amp;"""},{""id"":178,""name"":""Operational Impact"",""value"":"""&amp;redmine_op_impact&amp;"""},{""id"":179,""name"":""Denver Segment Assigned"",""value"":"""&amp;AL144&amp;"""}]}}"&amp;"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{"issue":{"subject":"","project_id":79,"tracker_id":40,"status_id":1,"priority_id":2,"assigned_to_id":23,"start_date":"2016-12-10","description":"","custom_fields":[{"id":1,"name":"Subdivision","value":"EC"},{"id":4,"name":"Milepost","value":"0.013"},{"id":17,"name":"Train ID","value":"230-10"},{"id":16,"name":"Locomotive ID","value":"4019"},{"id":130,"name":"Impact","value":""},{"id":150,"name":"Time of Event (Mountain Time)","value":"22:37:22"},{"id":151,"name":"Denver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4" s="53"/>
      <c r="AK144" s="53"/>
      <c r="AL144" s="53"/>
    </row>
    <row r="145" spans="1:91" s="21" customFormat="1" x14ac:dyDescent="0.25">
      <c r="A145" s="37" t="s">
        <v>619</v>
      </c>
      <c r="B145" s="7">
        <v>4014</v>
      </c>
      <c r="C145" s="22" t="s">
        <v>207</v>
      </c>
      <c r="D145" s="22" t="s">
        <v>239</v>
      </c>
      <c r="E145" s="13">
        <v>42714.890682870369</v>
      </c>
      <c r="F145" s="13">
        <v>42714.89603009259</v>
      </c>
      <c r="G145" s="7">
        <v>1</v>
      </c>
      <c r="H145" s="22" t="s">
        <v>332</v>
      </c>
      <c r="I145" s="13">
        <v>42714.920046296298</v>
      </c>
      <c r="J145" s="7">
        <v>1</v>
      </c>
      <c r="K145" s="109" t="str">
        <f t="shared" si="70"/>
        <v>4013/4014</v>
      </c>
      <c r="L145" s="22" t="str">
        <f>VLOOKUP(A145,'Trips&amp;Operators'!$C$1:$G$99999,5,FALSE)</f>
        <v>NEWELL JAMES</v>
      </c>
      <c r="M145" s="6">
        <f t="shared" si="71"/>
        <v>2.4016203708015382E-2</v>
      </c>
      <c r="N145" s="7">
        <f t="shared" si="64"/>
        <v>34.58333333954215</v>
      </c>
      <c r="O145" s="7"/>
      <c r="P145" s="7"/>
      <c r="Q145" s="23"/>
      <c r="R145" s="23"/>
      <c r="S145" s="35">
        <f t="shared" si="68"/>
        <v>1</v>
      </c>
      <c r="T145" s="50" t="str">
        <f t="shared" si="72"/>
        <v>NorthBound</v>
      </c>
      <c r="U145" s="171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98" t="str">
        <f t="shared" si="73"/>
        <v>https://search-rtdc-monitor-bjffxe2xuh6vdkpspy63sjmuny.us-east-1.es.amazonaws.com/_plugin/kibana/#/discover/Steve-Slow-Train-Analysis-(2080s-and-2083s)?_g=(refreshInterval:(display:Off,section:0,value:0),time:(from:'2016-12-10 20:22:35-700',mode:absolute,to:'2016-12-10 23:04:52-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201053%20OR%202087)%20AND%20%22rtdc.l.rtdc.4014%22')),sort:!(Time,asc))</v>
      </c>
      <c r="W145" s="52" t="str">
        <f t="shared" si="74"/>
        <v>N</v>
      </c>
      <c r="X145" s="177">
        <f t="shared" si="75"/>
        <v>1</v>
      </c>
      <c r="Y145" s="67">
        <f t="shared" si="69"/>
        <v>4.5699999999999998E-2</v>
      </c>
      <c r="Z145" s="67">
        <f t="shared" si="67"/>
        <v>23.330500000000001</v>
      </c>
      <c r="AA145" s="67">
        <f t="shared" si="76"/>
        <v>23.284800000000001</v>
      </c>
      <c r="AB145" s="64" t="e">
        <f>VLOOKUP(A145,Enforcements!$C$7:$K$20,8,0)</f>
        <v>#N/A</v>
      </c>
      <c r="AC145" s="60" t="e">
        <f>VLOOKUP(A145,Enforcements!$C$7:$E$20,3,0)</f>
        <v>#N/A</v>
      </c>
      <c r="AD145" s="61" t="str">
        <f t="shared" si="77"/>
        <v>0231-10</v>
      </c>
      <c r="AE145" s="91" t="str">
        <f t="shared" si="78"/>
        <v>aws s3 cp s3://rtdc.mdm.uploadarchive.raw/RTDC4014/ "%USERPROFILE%\AppData\Local\Temp\OnboardLogs"\RTDC4014\2016-12-10 --exclude "*" --recursive --include "*20161210*" &amp; "%USERPROFILE%\Documents\GitHub\mrs-test-scripts\Headless Mode &amp; Sideloading\WalkAndUnGZ.bat" "%USERPROFILE%\AppData\Local\Temp\OnboardLogs"\RTDC4014\2016-12-10 &amp; aws s3 cp s3://rtdc.mdm.uploadarchive.raw/RTDC4014/ "%USERPROFILE%\AppData\Local\Temp\OnboardLogs"\RTDC4014\2016-12-11 --exclude "*" --recursive --include "*20161211*" &amp; "%USERPROFILE%\Documents\GitHub\mrs-test-scripts\Headless Mode &amp; Sideloading\WalkAndUnGZ.bat" "%USERPROFILE%\AppData\Local\Temp\OnboardLogs"\RTDC4014\2016-12-11</v>
      </c>
      <c r="AF145" s="88" t="str">
        <f t="shared" si="79"/>
        <v>"C:\Program Files (x86)\AstroGrep\AstroGrep.exe" /spath="%USERPROFILE%\AppData\Local\Temp\OnboardLogs" /stypes="app*4014*20161211*" /stext=" 05:.+((SYSTEM_STATE.+slice.+state.+changed )|(ment ac)|(multiple cpu faults)|(system.+state.+changed )|(\[timeout)|(PRM\|1\|D)|(kpr)|(kdp)|(\|lc)|(penalty))" /e /r /s</v>
      </c>
      <c r="AG145" s="1" t="str">
        <f t="shared" si="80"/>
        <v>EC</v>
      </c>
      <c r="AH145" s="92" t="str">
        <f t="shared" si="81"/>
        <v>"%USERPROFILE%\Documents\GitHub\eaglep3\Utilities\RefineRTDCRunTimes.py" --tripid 231-10 --locoid 4014 --swversion DE.1.0.8.0 --startMP 204:457 --initTime 2016-12-10T21:22:35 --startdatetime 2016-12-10T21:30:17 --delay 1 --endMP 204:233305 --enddatetime 2016-12-10T22:04:52 --enforcementcount 1 &gt;&gt;C:\Users\stu\Documents\GitHub\eaglep3-reporting\EC\2016-12-10-refined-times.txt</v>
      </c>
      <c r="AI145" s="119" t="str">
        <f t="shared" si="82"/>
        <v>echo {"issue":{"subject":"","project_id":79,"tracker_id":40,"status_id":1,"priority_id":2,"assigned_to_id":23,"start_date":"2016-12-10","description":"","custom_fields":[{"id":1,"name":"Subdivision","value":"EC"},{"id":4,"name":"Milepost","value":"23.3305"},{"id":17,"name":"Train ID","value":"231-10"},{"id":16,"name":"Locomotive ID","value":"4014"},{"id":130,"name":"Impact","value":""},{"id":150,"name":"Time of Event (Mountain Time)","value":"22:04:52"},{"id":151,"name":"Denver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5" s="53"/>
      <c r="AK145" s="53"/>
      <c r="AL145" s="53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</row>
    <row r="146" spans="1:91" x14ac:dyDescent="0.25">
      <c r="A146" s="37" t="s">
        <v>623</v>
      </c>
      <c r="B146" s="7">
        <v>4013</v>
      </c>
      <c r="C146" s="22" t="s">
        <v>207</v>
      </c>
      <c r="D146" s="22" t="s">
        <v>693</v>
      </c>
      <c r="E146" s="13">
        <v>42714.9296875</v>
      </c>
      <c r="F146" s="13">
        <v>42714.934965277775</v>
      </c>
      <c r="G146" s="7">
        <v>1</v>
      </c>
      <c r="H146" s="22" t="s">
        <v>755</v>
      </c>
      <c r="I146" s="13">
        <v>42714.961747685185</v>
      </c>
      <c r="J146" s="7">
        <v>1</v>
      </c>
      <c r="K146" s="109" t="str">
        <f t="shared" si="70"/>
        <v>4013/4014</v>
      </c>
      <c r="L146" s="22" t="str">
        <f>VLOOKUP(A146,'Trips&amp;Operators'!$C$1:$G$99999,5,FALSE)</f>
        <v>NEWELL JAMES</v>
      </c>
      <c r="M146" s="6">
        <f t="shared" si="71"/>
        <v>2.6782407410792075E-2</v>
      </c>
      <c r="N146" s="7">
        <f t="shared" si="64"/>
        <v>38.566666671540588</v>
      </c>
      <c r="O146" s="7"/>
      <c r="P146" s="7"/>
      <c r="Q146" s="23"/>
      <c r="R146" s="23"/>
      <c r="S146" s="35">
        <f t="shared" si="68"/>
        <v>1</v>
      </c>
      <c r="T146" s="50" t="str">
        <f t="shared" si="72"/>
        <v>Southbound</v>
      </c>
      <c r="U146" s="171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98" t="str">
        <f t="shared" si="73"/>
        <v>https://search-rtdc-monitor-bjffxe2xuh6vdkpspy63sjmuny.us-east-1.es.amazonaws.com/_plugin/kibana/#/discover/Steve-Slow-Train-Analysis-(2080s-and-2083s)?_g=(refreshInterval:(display:Off,section:0,value:0),time:(from:'2016-12-10 21:18:45-700',mode:absolute,to:'2016-12-11 00:04:55-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201053%20OR%202087)%20AND%20%22rtdc.l.rtdc.4013%22')),sort:!(Time,asc))</v>
      </c>
      <c r="W146" s="52" t="str">
        <f t="shared" si="74"/>
        <v>N</v>
      </c>
      <c r="X146" s="177">
        <f t="shared" si="75"/>
        <v>1</v>
      </c>
      <c r="Y146" s="67">
        <f t="shared" si="69"/>
        <v>23.298200000000001</v>
      </c>
      <c r="Z146" s="67">
        <f t="shared" si="67"/>
        <v>1.7000000000000001E-2</v>
      </c>
      <c r="AA146" s="67">
        <f t="shared" si="76"/>
        <v>23.281200000000002</v>
      </c>
      <c r="AB146" s="64" t="e">
        <f>VLOOKUP(A146,Enforcements!$C$7:$K$20,8,0)</f>
        <v>#N/A</v>
      </c>
      <c r="AC146" s="60" t="e">
        <f>VLOOKUP(A146,Enforcements!$C$7:$E$20,3,0)</f>
        <v>#N/A</v>
      </c>
      <c r="AD146" s="61" t="str">
        <f t="shared" si="77"/>
        <v>0232-10</v>
      </c>
      <c r="AE146" s="91" t="str">
        <f t="shared" si="78"/>
        <v>aws s3 cp s3://rtdc.mdm.uploadarchive.raw/RTDC4013/ "%USERPROFILE%\AppData\Local\Temp\OnboardLogs"\RTDC4013\2016-12-10 --exclude "*" --recursive --include "*20161210*" &amp; "%USERPROFILE%\Documents\GitHub\mrs-test-scripts\Headless Mode &amp; Sideloading\WalkAndUnGZ.bat" "%USERPROFILE%\AppData\Local\Temp\OnboardLogs"\RTDC4013\2016-12-10 &amp; aws s3 cp s3://rtdc.mdm.uploadarchive.raw/RTDC4013/ "%USERPROFILE%\AppData\Local\Temp\OnboardLogs"\RTDC4013\2016-12-11 --exclude "*" --recursive --include "*20161211*" &amp; "%USERPROFILE%\Documents\GitHub\mrs-test-scripts\Headless Mode &amp; Sideloading\WalkAndUnGZ.bat" "%USERPROFILE%\AppData\Local\Temp\OnboardLogs"\RTDC4013\2016-12-11</v>
      </c>
      <c r="AF146" s="88" t="str">
        <f t="shared" si="79"/>
        <v>"C:\Program Files (x86)\AstroGrep\AstroGrep.exe" /spath="%USERPROFILE%\AppData\Local\Temp\OnboardLogs" /stypes="app*4013*20161211*" /stext=" 06:.+((SYSTEM_STATE.+slice.+state.+changed )|(ment ac)|(multiple cpu faults)|(system.+state.+changed )|(\[timeout)|(PRM\|1\|D)|(kpr)|(kdp)|(\|lc)|(penalty))" /e /r /s</v>
      </c>
      <c r="AG146" s="1" t="str">
        <f t="shared" si="80"/>
        <v>EC</v>
      </c>
      <c r="AH146" s="92" t="str">
        <f t="shared" si="81"/>
        <v>"%USERPROFILE%\Documents\GitHub\eaglep3\Utilities\RefineRTDCRunTimes.py" --tripid 232-10 --locoid 4013 --swversion DE.1.0.8.0 --startMP 204:232982 --initTime 2016-12-10T22:18:45 --startdatetime 2016-12-10T22:26:21 --delay 1 --endMP 204:170 --enddatetime 2016-12-10T23:04:55 --enforcementcount 1 &gt;&gt;C:\Users\stu\Documents\GitHub\eaglep3-reporting\EC\2016-12-10-refined-times.txt</v>
      </c>
      <c r="AI146" s="119" t="str">
        <f t="shared" si="82"/>
        <v>echo {"issue":{"subject":"","project_id":79,"tracker_id":40,"status_id":1,"priority_id":2,"assigned_to_id":23,"start_date":"2016-12-10","description":"","custom_fields":[{"id":1,"name":"Subdivision","value":"EC"},{"id":4,"name":"Milepost","value":"0.017"},{"id":17,"name":"Train ID","value":"232-10"},{"id":16,"name":"Locomotive ID","value":"4013"},{"id":130,"name":"Impact","value":""},{"id":150,"name":"Time of Event (Mountain Time)","value":"23:04:55"},{"id":151,"name":"Denver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6" s="53"/>
      <c r="AK146" s="53"/>
      <c r="AL146" s="53"/>
    </row>
    <row r="147" spans="1:91" x14ac:dyDescent="0.25">
      <c r="A147" s="37" t="s">
        <v>622</v>
      </c>
      <c r="B147" s="7">
        <v>4016</v>
      </c>
      <c r="C147" s="22" t="s">
        <v>207</v>
      </c>
      <c r="D147" s="22" t="s">
        <v>293</v>
      </c>
      <c r="E147" s="13">
        <v>42714.914270833331</v>
      </c>
      <c r="F147" s="13">
        <v>42714.916886574072</v>
      </c>
      <c r="G147" s="7">
        <v>1</v>
      </c>
      <c r="H147" s="22" t="s">
        <v>295</v>
      </c>
      <c r="I147" s="13">
        <v>42714.941967592589</v>
      </c>
      <c r="J147" s="7">
        <v>1</v>
      </c>
      <c r="K147" s="109" t="str">
        <f t="shared" si="70"/>
        <v>4015/4016</v>
      </c>
      <c r="L147" s="22" t="str">
        <f>VLOOKUP(A147,'Trips&amp;Operators'!$C$1:$G$99999,5,FALSE)</f>
        <v>CHANDLER KELVIN</v>
      </c>
      <c r="M147" s="6">
        <f t="shared" si="71"/>
        <v>2.5081018517084885E-2</v>
      </c>
      <c r="N147" s="7">
        <f t="shared" si="64"/>
        <v>36.116666664602235</v>
      </c>
      <c r="O147" s="7"/>
      <c r="P147" s="7"/>
      <c r="Q147" s="23"/>
      <c r="R147" s="23"/>
      <c r="S147" s="35">
        <f t="shared" si="68"/>
        <v>1</v>
      </c>
      <c r="T147" s="50" t="str">
        <f t="shared" si="72"/>
        <v>NorthBound</v>
      </c>
      <c r="U147" s="171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98" t="str">
        <f t="shared" si="73"/>
        <v>https://search-rtdc-monitor-bjffxe2xuh6vdkpspy63sjmuny.us-east-1.es.amazonaws.com/_plugin/kibana/#/discover/Steve-Slow-Train-Analysis-(2080s-and-2083s)?_g=(refreshInterval:(display:Off,section:0,value:0),time:(from:'2016-12-10 20:56:33-700',mode:absolute,to:'2016-12-10 23:36:26-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201053%20OR%202087)%20AND%20%22rtdc.l.rtdc.4016%22')),sort:!(Time,asc))</v>
      </c>
      <c r="W147" s="52" t="str">
        <f t="shared" si="74"/>
        <v>N</v>
      </c>
      <c r="X147" s="177">
        <f t="shared" si="75"/>
        <v>1</v>
      </c>
      <c r="Y147" s="67">
        <f t="shared" si="69"/>
        <v>4.4400000000000002E-2</v>
      </c>
      <c r="Z147" s="67">
        <f t="shared" si="67"/>
        <v>23.3291</v>
      </c>
      <c r="AA147" s="67">
        <f t="shared" si="76"/>
        <v>23.284700000000001</v>
      </c>
      <c r="AB147" s="64" t="e">
        <f>VLOOKUP(A147,Enforcements!$C$7:$K$20,8,0)</f>
        <v>#N/A</v>
      </c>
      <c r="AC147" s="60" t="e">
        <f>VLOOKUP(A147,Enforcements!$C$7:$E$20,3,0)</f>
        <v>#N/A</v>
      </c>
      <c r="AD147" s="61" t="str">
        <f t="shared" si="77"/>
        <v>0233-10</v>
      </c>
      <c r="AE147" s="91" t="str">
        <f t="shared" si="78"/>
        <v>aws s3 cp s3://rtdc.mdm.uploadarchive.raw/RTDC4016/ "%USERPROFILE%\AppData\Local\Temp\OnboardLogs"\RTDC4016\2016-12-10 --exclude "*" --recursive --include "*20161210*" &amp; "%USERPROFILE%\Documents\GitHub\mrs-test-scripts\Headless Mode &amp; Sideloading\WalkAndUnGZ.bat" "%USERPROFILE%\AppData\Local\Temp\OnboardLogs"\RTDC4016\2016-12-10 &amp; aws s3 cp s3://rtdc.mdm.uploadarchive.raw/RTDC4016/ "%USERPROFILE%\AppData\Local\Temp\OnboardLogs"\RTDC4016\2016-12-11 --exclude "*" --recursive --include "*20161211*" &amp; "%USERPROFILE%\Documents\GitHub\mrs-test-scripts\Headless Mode &amp; Sideloading\WalkAndUnGZ.bat" "%USERPROFILE%\AppData\Local\Temp\OnboardLogs"\RTDC4016\2016-12-11</v>
      </c>
      <c r="AF147" s="88" t="str">
        <f t="shared" si="79"/>
        <v>"C:\Program Files (x86)\AstroGrep\AstroGrep.exe" /spath="%USERPROFILE%\AppData\Local\Temp\OnboardLogs" /stypes="app*4016*20161211*" /stext=" 05:.+((SYSTEM_STATE.+slice.+state.+changed )|(ment ac)|(multiple cpu faults)|(system.+state.+changed )|(\[timeout)|(PRM\|1\|D)|(kpr)|(kdp)|(\|lc)|(penalty))" /e /r /s</v>
      </c>
      <c r="AG147" s="1" t="str">
        <f t="shared" si="80"/>
        <v>EC</v>
      </c>
      <c r="AH147" s="92" t="str">
        <f t="shared" si="81"/>
        <v>"%USERPROFILE%\Documents\GitHub\eaglep3\Utilities\RefineRTDCRunTimes.py" --tripid 233-10 --locoid 4016 --swversion DE.1.0.8.0 --startMP 204:444 --initTime 2016-12-10T21:56:33 --startdatetime 2016-12-10T22:00:19 --delay 1 --endMP 204:233291 --enddatetime 2016-12-10T22:36:26 --enforcementcount 1 &gt;&gt;C:\Users\stu\Documents\GitHub\eaglep3-reporting\EC\2016-12-10-refined-times.txt</v>
      </c>
      <c r="AI147" s="119" t="str">
        <f t="shared" si="82"/>
        <v>echo {"issue":{"subject":"","project_id":79,"tracker_id":40,"status_id":1,"priority_id":2,"assigned_to_id":23,"start_date":"2016-12-10","description":"","custom_fields":[{"id":1,"name":"Subdivision","value":"EC"},{"id":4,"name":"Milepost","value":"23.3291"},{"id":17,"name":"Train ID","value":"233-10"},{"id":16,"name":"Locomotive ID","value":"4016"},{"id":130,"name":"Impact","value":""},{"id":150,"name":"Time of Event (Mountain Time)","value":"22:36:26"},{"id":151,"name":"Denver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7" s="53"/>
      <c r="AK147" s="53"/>
      <c r="AL147" s="53"/>
    </row>
    <row r="148" spans="1:91" s="21" customFormat="1" x14ac:dyDescent="0.25">
      <c r="A148" s="37" t="s">
        <v>625</v>
      </c>
      <c r="B148" s="7">
        <v>4015</v>
      </c>
      <c r="C148" s="22" t="s">
        <v>207</v>
      </c>
      <c r="D148" s="22" t="s">
        <v>748</v>
      </c>
      <c r="E148" s="13">
        <v>42714.948622685188</v>
      </c>
      <c r="F148" s="13">
        <v>42714.95585648148</v>
      </c>
      <c r="G148" s="7">
        <v>1</v>
      </c>
      <c r="H148" s="22" t="s">
        <v>265</v>
      </c>
      <c r="I148" s="13">
        <v>42714.984143518515</v>
      </c>
      <c r="J148" s="7">
        <v>1</v>
      </c>
      <c r="K148" s="109" t="str">
        <f t="shared" si="70"/>
        <v>4015/4016</v>
      </c>
      <c r="L148" s="22" t="str">
        <f>VLOOKUP(A148,'Trips&amp;Operators'!$C$1:$G$99999,5,FALSE)</f>
        <v>CHANDLER KELVIN</v>
      </c>
      <c r="M148" s="6">
        <f t="shared" si="71"/>
        <v>2.8287037035624962E-2</v>
      </c>
      <c r="N148" s="7">
        <f t="shared" si="64"/>
        <v>40.733333331299946</v>
      </c>
      <c r="O148" s="7"/>
      <c r="P148" s="7"/>
      <c r="Q148" s="23"/>
      <c r="R148" s="23"/>
      <c r="S148" s="35">
        <f t="shared" si="68"/>
        <v>1</v>
      </c>
      <c r="T148" s="50" t="str">
        <f t="shared" si="72"/>
        <v>Southbound</v>
      </c>
      <c r="U148" s="171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98" t="str">
        <f t="shared" si="73"/>
        <v>https://search-rtdc-monitor-bjffxe2xuh6vdkpspy63sjmuny.us-east-1.es.amazonaws.com/_plugin/kibana/#/discover/Steve-Slow-Train-Analysis-(2080s-and-2083s)?_g=(refreshInterval:(display:Off,section:0,value:0),time:(from:'2016-12-10 21:46:01-700',mode:absolute,to:'2016-12-11 00:37:10-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201053%20OR%202087)%20AND%20%22rtdc.l.rtdc.4015%22')),sort:!(Time,asc))</v>
      </c>
      <c r="W148" s="52" t="str">
        <f t="shared" si="74"/>
        <v>N</v>
      </c>
      <c r="X148" s="177">
        <f t="shared" si="75"/>
        <v>1</v>
      </c>
      <c r="Y148" s="67">
        <f t="shared" si="69"/>
        <v>23.295300000000001</v>
      </c>
      <c r="Z148" s="67">
        <f t="shared" si="67"/>
        <v>1.6299999999999999E-2</v>
      </c>
      <c r="AA148" s="67">
        <f t="shared" si="76"/>
        <v>23.279</v>
      </c>
      <c r="AB148" s="64" t="e">
        <f>VLOOKUP(A148,Enforcements!$C$7:$K$20,8,0)</f>
        <v>#N/A</v>
      </c>
      <c r="AC148" s="60" t="e">
        <f>VLOOKUP(A148,Enforcements!$C$7:$E$20,3,0)</f>
        <v>#N/A</v>
      </c>
      <c r="AD148" s="61" t="str">
        <f t="shared" si="77"/>
        <v>0234-10</v>
      </c>
      <c r="AE148" s="91" t="str">
        <f t="shared" si="78"/>
        <v>aws s3 cp s3://rtdc.mdm.uploadarchive.raw/RTDC4015/ "%USERPROFILE%\AppData\Local\Temp\OnboardLogs"\RTDC4015\2016-12-10 --exclude "*" --recursive --include "*20161210*" &amp; "%USERPROFILE%\Documents\GitHub\mrs-test-scripts\Headless Mode &amp; Sideloading\WalkAndUnGZ.bat" "%USERPROFILE%\AppData\Local\Temp\OnboardLogs"\RTDC4015\2016-12-10 &amp; aws s3 cp s3://rtdc.mdm.uploadarchive.raw/RTDC4015/ "%USERPROFILE%\AppData\Local\Temp\OnboardLogs"\RTDC4015\2016-12-11 --exclude "*" --recursive --include "*20161211*" &amp; "%USERPROFILE%\Documents\GitHub\mrs-test-scripts\Headless Mode &amp; Sideloading\WalkAndUnGZ.bat" "%USERPROFILE%\AppData\Local\Temp\OnboardLogs"\RTDC4015\2016-12-11</v>
      </c>
      <c r="AF148" s="88" t="str">
        <f t="shared" si="79"/>
        <v>"C:\Program Files (x86)\AstroGrep\AstroGrep.exe" /spath="%USERPROFILE%\AppData\Local\Temp\OnboardLogs" /stypes="app*4015*20161211*" /stext=" 06:.+((SYSTEM_STATE.+slice.+state.+changed )|(ment ac)|(multiple cpu faults)|(system.+state.+changed )|(\[timeout)|(PRM\|1\|D)|(kpr)|(kdp)|(\|lc)|(penalty))" /e /r /s</v>
      </c>
      <c r="AG148" s="1" t="str">
        <f t="shared" si="80"/>
        <v>EC</v>
      </c>
      <c r="AH148" s="92" t="str">
        <f t="shared" si="81"/>
        <v>"%USERPROFILE%\Documents\GitHub\eaglep3\Utilities\RefineRTDCRunTimes.py" --tripid 234-10 --locoid 4015 --swversion DE.1.0.8.0 --startMP 204:232953 --initTime 2016-12-10T22:46:01 --startdatetime 2016-12-10T22:56:26 --delay 1 --endMP 204:163 --enddatetime 2016-12-10T23:37:10 --enforcementcount 1 &gt;&gt;C:\Users\stu\Documents\GitHub\eaglep3-reporting\EC\2016-12-10-refined-times.txt</v>
      </c>
      <c r="AI148" s="119" t="str">
        <f t="shared" si="82"/>
        <v>echo {"issue":{"subject":"","project_id":79,"tracker_id":40,"status_id":1,"priority_id":2,"assigned_to_id":23,"start_date":"2016-12-10","description":"","custom_fields":[{"id":1,"name":"Subdivision","value":"EC"},{"id":4,"name":"Milepost","value":"0.0163"},{"id":17,"name":"Train ID","value":"234-10"},{"id":16,"name":"Locomotive ID","value":"4015"},{"id":130,"name":"Impact","value":""},{"id":150,"name":"Time of Event (Mountain Time)","value":"23:37:10"},{"id":151,"name":"Denver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8" s="53"/>
      <c r="AK148" s="53"/>
      <c r="AL148" s="53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</row>
    <row r="149" spans="1:91" s="21" customFormat="1" x14ac:dyDescent="0.25">
      <c r="A149" s="37" t="s">
        <v>436</v>
      </c>
      <c r="B149" s="7">
        <v>4040</v>
      </c>
      <c r="C149" s="22" t="s">
        <v>207</v>
      </c>
      <c r="D149" s="22" t="s">
        <v>234</v>
      </c>
      <c r="E149" s="13">
        <v>42714.922939814816</v>
      </c>
      <c r="F149" s="13">
        <v>42714.9378125</v>
      </c>
      <c r="G149" s="7">
        <v>1</v>
      </c>
      <c r="H149" s="22" t="s">
        <v>295</v>
      </c>
      <c r="I149" s="13">
        <v>42714.962465277778</v>
      </c>
      <c r="J149" s="7">
        <v>1</v>
      </c>
      <c r="K149" s="109" t="str">
        <f t="shared" si="70"/>
        <v>4039/4040</v>
      </c>
      <c r="L149" s="22" t="str">
        <f>VLOOKUP(A149,'Trips&amp;Operators'!$C$1:$G$99999,5,FALSE)</f>
        <v>STAMBAUGH JAMES</v>
      </c>
      <c r="M149" s="6">
        <f t="shared" si="71"/>
        <v>2.4652777778101154E-2</v>
      </c>
      <c r="N149" s="7">
        <f t="shared" si="64"/>
        <v>35.500000000465661</v>
      </c>
      <c r="O149" s="7"/>
      <c r="P149" s="7"/>
      <c r="Q149" s="23"/>
      <c r="R149" s="23"/>
      <c r="S149" s="35">
        <f t="shared" si="68"/>
        <v>1</v>
      </c>
      <c r="T149" s="50" t="str">
        <f t="shared" si="72"/>
        <v>NorthBound</v>
      </c>
      <c r="U149" s="171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98" t="str">
        <f t="shared" si="73"/>
        <v>https://search-rtdc-monitor-bjffxe2xuh6vdkpspy63sjmuny.us-east-1.es.amazonaws.com/_plugin/kibana/#/discover/Steve-Slow-Train-Analysis-(2080s-and-2083s)?_g=(refreshInterval:(display:Off,section:0,value:0),time:(from:'2016-12-10 21:09:02-700',mode:absolute,to:'2016-12-11 00:05:57-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201053%20OR%202087)%20AND%20%22rtdc.l.rtdc.4040%22')),sort:!(Time,asc))</v>
      </c>
      <c r="W149" s="52" t="str">
        <f t="shared" si="74"/>
        <v>N</v>
      </c>
      <c r="X149" s="177">
        <f t="shared" si="75"/>
        <v>1</v>
      </c>
      <c r="Y149" s="67">
        <f t="shared" si="69"/>
        <v>4.5499999999999999E-2</v>
      </c>
      <c r="Z149" s="67">
        <f t="shared" si="67"/>
        <v>23.3291</v>
      </c>
      <c r="AA149" s="67">
        <f t="shared" si="76"/>
        <v>23.2836</v>
      </c>
      <c r="AB149" s="64" t="str">
        <f>VLOOKUP(A149,Enforcements!$C$7:$K$20,8,0)</f>
        <v>Bulletin (2)</v>
      </c>
      <c r="AC149" s="60" t="str">
        <f>VLOOKUP(A149,Enforcements!$C$7:$E$20,3,0)</f>
        <v>GRADE CROSSING</v>
      </c>
      <c r="AD149" s="61" t="str">
        <f t="shared" si="77"/>
        <v>0235-10</v>
      </c>
      <c r="AE149" s="91" t="str">
        <f t="shared" si="78"/>
        <v>aws s3 cp s3://rtdc.mdm.uploadarchive.raw/RTDC4040/ "%USERPROFILE%\AppData\Local\Temp\OnboardLogs"\RTDC4040\2016-12-10 --exclude "*" --recursive --include "*20161210*" &amp; "%USERPROFILE%\Documents\GitHub\mrs-test-scripts\Headless Mode &amp; Sideloading\WalkAndUnGZ.bat" "%USERPROFILE%\AppData\Local\Temp\OnboardLogs"\RTDC4040\2016-12-10 &amp; aws s3 cp s3://rtdc.mdm.uploadarchive.raw/RTDC4040/ "%USERPROFILE%\AppData\Local\Temp\OnboardLogs"\RTDC4040\2016-12-11 --exclude "*" --recursive --include "*20161211*" &amp; "%USERPROFILE%\Documents\GitHub\mrs-test-scripts\Headless Mode &amp; Sideloading\WalkAndUnGZ.bat" "%USERPROFILE%\AppData\Local\Temp\OnboardLogs"\RTDC4040\2016-12-11</v>
      </c>
      <c r="AF149" s="88" t="str">
        <f t="shared" si="79"/>
        <v>"C:\Program Files (x86)\AstroGrep\AstroGrep.exe" /spath="%USERPROFILE%\AppData\Local\Temp\OnboardLogs" /stypes="app*4040*20161211*" /stext=" 06:.+((SYSTEM_STATE.+slice.+state.+changed )|(ment ac)|(multiple cpu faults)|(system.+state.+changed )|(\[timeout)|(PRM\|1\|D)|(kpr)|(kdp)|(\|lc)|(penalty))" /e /r /s</v>
      </c>
      <c r="AG149" s="1" t="str">
        <f t="shared" si="80"/>
        <v>EC</v>
      </c>
      <c r="AH149" s="92" t="str">
        <f t="shared" si="81"/>
        <v>"%USERPROFILE%\Documents\GitHub\eaglep3\Utilities\RefineRTDCRunTimes.py" --tripid 235-10 --locoid 4040 --swversion DE.1.0.8.0 --startMP 204:455 --initTime 2016-12-10T22:09:02 --startdatetime 2016-12-10T22:30:27 --delay 1 --endMP 204:233291 --enddatetime 2016-12-10T23:05:57 --enforcementcount 1 &gt;&gt;C:\Users\stu\Documents\GitHub\eaglep3-reporting\EC\2016-12-10-refined-times.txt</v>
      </c>
      <c r="AI149" s="119" t="str">
        <f t="shared" si="82"/>
        <v>echo {"issue":{"subject":"","project_id":79,"tracker_id":40,"status_id":1,"priority_id":2,"assigned_to_id":23,"start_date":"2016-12-10","description":"","custom_fields":[{"id":1,"name":"Subdivision","value":"EC"},{"id":4,"name":"Milepost","value":"23.3291"},{"id":17,"name":"Train ID","value":"235-10"},{"id":16,"name":"Locomotive ID","value":"4040"},{"id":130,"name":"Impact","value":""},{"id":150,"name":"Time of Event (Mountain Time)","value":"23:05:57"},{"id":151,"name":"Denver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9" s="53"/>
      <c r="AK149" s="53"/>
      <c r="AL149" s="53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</row>
    <row r="150" spans="1:91" s="21" customFormat="1" x14ac:dyDescent="0.25">
      <c r="A150" s="37" t="s">
        <v>628</v>
      </c>
      <c r="B150" s="7">
        <v>4039</v>
      </c>
      <c r="C150" s="22" t="s">
        <v>207</v>
      </c>
      <c r="D150" s="22" t="s">
        <v>671</v>
      </c>
      <c r="E150" s="13">
        <v>42714.97384259259</v>
      </c>
      <c r="F150" s="13">
        <v>42714.976875</v>
      </c>
      <c r="G150" s="7">
        <v>1</v>
      </c>
      <c r="H150" s="22" t="s">
        <v>233</v>
      </c>
      <c r="I150" s="13">
        <v>42715.003379629627</v>
      </c>
      <c r="J150" s="7">
        <v>1</v>
      </c>
      <c r="K150" s="109" t="str">
        <f t="shared" si="70"/>
        <v>4039/4040</v>
      </c>
      <c r="L150" s="22" t="str">
        <f>VLOOKUP(A150,'Trips&amp;Operators'!$C$1:$G$99999,5,FALSE)</f>
        <v>STAMBAUGH JAMES</v>
      </c>
      <c r="M150" s="6">
        <f t="shared" si="71"/>
        <v>2.6504629626288079E-2</v>
      </c>
      <c r="N150" s="7">
        <f t="shared" si="64"/>
        <v>38.166666661854833</v>
      </c>
      <c r="O150" s="7"/>
      <c r="P150" s="7"/>
      <c r="Q150" s="23"/>
      <c r="R150" s="23"/>
      <c r="S150" s="35">
        <f t="shared" si="68"/>
        <v>1</v>
      </c>
      <c r="T150" s="50" t="str">
        <f t="shared" si="72"/>
        <v>Southbound</v>
      </c>
      <c r="U150" s="171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98" t="str">
        <f t="shared" si="73"/>
        <v>https://search-rtdc-monitor-bjffxe2xuh6vdkpspy63sjmuny.us-east-1.es.amazonaws.com/_plugin/kibana/#/discover/Steve-Slow-Train-Analysis-(2080s-and-2083s)?_g=(refreshInterval:(display:Off,section:0,value:0),time:(from:'2016-12-10 22:22:20-700',mode:absolute,to:'2016-12-11 01:04:52-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201053%20OR%202087)%20AND%20%22rtdc.l.rtdc.4039%22')),sort:!(Time,asc))</v>
      </c>
      <c r="W150" s="52" t="str">
        <f t="shared" si="74"/>
        <v>N</v>
      </c>
      <c r="X150" s="177">
        <f t="shared" si="75"/>
        <v>1</v>
      </c>
      <c r="Y150" s="67">
        <f t="shared" si="69"/>
        <v>23.299600000000002</v>
      </c>
      <c r="Z150" s="67">
        <f t="shared" si="67"/>
        <v>1.6500000000000001E-2</v>
      </c>
      <c r="AA150" s="67">
        <f t="shared" si="76"/>
        <v>23.283100000000001</v>
      </c>
      <c r="AB150" s="64" t="e">
        <f>VLOOKUP(A150,Enforcements!$C$7:$K$20,8,0)</f>
        <v>#N/A</v>
      </c>
      <c r="AC150" s="60" t="e">
        <f>VLOOKUP(A150,Enforcements!$C$7:$E$20,3,0)</f>
        <v>#N/A</v>
      </c>
      <c r="AD150" s="61" t="str">
        <f t="shared" si="77"/>
        <v>0236-10</v>
      </c>
      <c r="AE150" s="91" t="str">
        <f t="shared" si="78"/>
        <v>aws s3 cp s3://rtdc.mdm.uploadarchive.raw/RTDC4039/ "%USERPROFILE%\AppData\Local\Temp\OnboardLogs"\RTDC4039\2016-12-10 --exclude "*" --recursive --include "*20161210*" &amp; "%USERPROFILE%\Documents\GitHub\mrs-test-scripts\Headless Mode &amp; Sideloading\WalkAndUnGZ.bat" "%USERPROFILE%\AppData\Local\Temp\OnboardLogs"\RTDC4039\2016-12-10 &amp; aws s3 cp s3://rtdc.mdm.uploadarchive.raw/RTDC4039/ "%USERPROFILE%\AppData\Local\Temp\OnboardLogs"\RTDC4039\2016-12-11 --exclude "*" --recursive --include "*20161211*" &amp; "%USERPROFILE%\Documents\GitHub\mrs-test-scripts\Headless Mode &amp; Sideloading\WalkAndUnGZ.bat" "%USERPROFILE%\AppData\Local\Temp\OnboardLogs"\RTDC4039\2016-12-11</v>
      </c>
      <c r="AF150" s="88" t="str">
        <f t="shared" si="79"/>
        <v>"C:\Program Files (x86)\AstroGrep\AstroGrep.exe" /spath="%USERPROFILE%\AppData\Local\Temp\OnboardLogs" /stypes="app*4039*20161211*" /stext=" 07:.+((SYSTEM_STATE.+slice.+state.+changed )|(ment ac)|(multiple cpu faults)|(system.+state.+changed )|(\[timeout)|(PRM\|1\|D)|(kpr)|(kdp)|(\|lc)|(penalty))" /e /r /s</v>
      </c>
      <c r="AG150" s="1" t="str">
        <f t="shared" si="80"/>
        <v>EC</v>
      </c>
      <c r="AH150" s="92" t="str">
        <f t="shared" si="81"/>
        <v>"%USERPROFILE%\Documents\GitHub\eaglep3\Utilities\RefineRTDCRunTimes.py" --tripid 236-10 --locoid 4039 --swversion DE.1.0.8.0 --startMP 204:232996 --initTime 2016-12-10T23:22:20 --startdatetime 2016-12-10T23:26:42 --delay 1 --endMP 204:165 --enddatetime 2016-12-11T00:04:52 --enforcementcount 1 &gt;&gt;C:\Users\stu\Documents\GitHub\eaglep3-reporting\EC\2016-12-10-refined-times.txt</v>
      </c>
      <c r="AI150" s="119" t="str">
        <f t="shared" si="82"/>
        <v>echo {"issue":{"subject":"","project_id":79,"tracker_id":40,"status_id":1,"priority_id":2,"assigned_to_id":23,"start_date":"2016-12-11","description":"","custom_fields":[{"id":1,"name":"Subdivision","value":"EC"},{"id":4,"name":"Milepost","value":"0.0165"},{"id":17,"name":"Train ID","value":"236-10"},{"id":16,"name":"Locomotive ID","value":"4039"},{"id":130,"name":"Impact","value":""},{"id":150,"name":"Time of Event (Mountain Time)","value":"00:04:52"},{"id":151,"name":"Denver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0" s="53"/>
      <c r="AK150" s="53"/>
      <c r="AL150" s="53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</row>
    <row r="151" spans="1:91" s="21" customFormat="1" x14ac:dyDescent="0.25">
      <c r="A151" s="37" t="s">
        <v>626</v>
      </c>
      <c r="B151" s="7">
        <v>4020</v>
      </c>
      <c r="C151" s="22" t="s">
        <v>207</v>
      </c>
      <c r="D151" s="22" t="s">
        <v>393</v>
      </c>
      <c r="E151" s="13">
        <v>42714.948981481481</v>
      </c>
      <c r="F151" s="13">
        <v>42714.958726851852</v>
      </c>
      <c r="G151" s="7">
        <v>1</v>
      </c>
      <c r="H151" s="22" t="s">
        <v>756</v>
      </c>
      <c r="I151" s="13">
        <v>42714.985208333332</v>
      </c>
      <c r="J151" s="7">
        <v>1</v>
      </c>
      <c r="K151" s="109" t="str">
        <f t="shared" si="70"/>
        <v>4019/4020</v>
      </c>
      <c r="L151" s="22" t="str">
        <f>VLOOKUP(A151,'Trips&amp;Operators'!$C$1:$G$99999,5,FALSE)</f>
        <v>BADERTSCHER DIANE</v>
      </c>
      <c r="M151" s="6">
        <f t="shared" si="71"/>
        <v>2.6481481480004732E-2</v>
      </c>
      <c r="N151" s="7">
        <f t="shared" si="64"/>
        <v>38.133333331206813</v>
      </c>
      <c r="O151" s="7"/>
      <c r="P151" s="7"/>
      <c r="Q151" s="23"/>
      <c r="R151" s="23"/>
      <c r="S151" s="35">
        <f t="shared" si="68"/>
        <v>1</v>
      </c>
      <c r="T151" s="50" t="str">
        <f t="shared" si="72"/>
        <v>NorthBound</v>
      </c>
      <c r="U151" s="171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98" t="str">
        <f t="shared" si="73"/>
        <v>https://search-rtdc-monitor-bjffxe2xuh6vdkpspy63sjmuny.us-east-1.es.amazonaws.com/_plugin/kibana/#/discover/Steve-Slow-Train-Analysis-(2080s-and-2083s)?_g=(refreshInterval:(display:Off,section:0,value:0),time:(from:'2016-12-10 21:46:32-700',mode:absolute,to:'2016-12-11 00:38:42-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201053%20OR%202087)%20AND%20%22rtdc.l.rtdc.4020%22')),sort:!(Time,asc))</v>
      </c>
      <c r="W151" s="52" t="str">
        <f t="shared" si="74"/>
        <v>N</v>
      </c>
      <c r="X151" s="177">
        <f t="shared" si="75"/>
        <v>1</v>
      </c>
      <c r="Y151" s="67">
        <f t="shared" si="69"/>
        <v>4.3099999999999999E-2</v>
      </c>
      <c r="Z151" s="67">
        <f t="shared" si="67"/>
        <v>23.328700000000001</v>
      </c>
      <c r="AA151" s="67">
        <f t="shared" si="76"/>
        <v>23.285600000000002</v>
      </c>
      <c r="AB151" s="64" t="e">
        <f>VLOOKUP(A151,Enforcements!$C$7:$K$20,8,0)</f>
        <v>#N/A</v>
      </c>
      <c r="AC151" s="60" t="e">
        <f>VLOOKUP(A151,Enforcements!$C$7:$E$20,3,0)</f>
        <v>#N/A</v>
      </c>
      <c r="AD151" s="61" t="str">
        <f t="shared" si="77"/>
        <v>0237-10</v>
      </c>
      <c r="AE151" s="91" t="str">
        <f t="shared" si="78"/>
        <v>aws s3 cp s3://rtdc.mdm.uploadarchive.raw/RTDC4020/ "%USERPROFILE%\AppData\Local\Temp\OnboardLogs"\RTDC4020\2016-12-10 --exclude "*" --recursive --include "*20161210*" &amp; "%USERPROFILE%\Documents\GitHub\mrs-test-scripts\Headless Mode &amp; Sideloading\WalkAndUnGZ.bat" "%USERPROFILE%\AppData\Local\Temp\OnboardLogs"\RTDC4020\2016-12-10 &amp; aws s3 cp s3://rtdc.mdm.uploadarchive.raw/RTDC4020/ "%USERPROFILE%\AppData\Local\Temp\OnboardLogs"\RTDC4020\2016-12-11 --exclude "*" --recursive --include "*20161211*" &amp; "%USERPROFILE%\Documents\GitHub\mrs-test-scripts\Headless Mode &amp; Sideloading\WalkAndUnGZ.bat" "%USERPROFILE%\AppData\Local\Temp\OnboardLogs"\RTDC4020\2016-12-11</v>
      </c>
      <c r="AF151" s="88" t="str">
        <f t="shared" si="79"/>
        <v>"C:\Program Files (x86)\AstroGrep\AstroGrep.exe" /spath="%USERPROFILE%\AppData\Local\Temp\OnboardLogs" /stypes="app*4020*20161211*" /stext=" 06:.+((SYSTEM_STATE.+slice.+state.+changed )|(ment ac)|(multiple cpu faults)|(system.+state.+changed )|(\[timeout)|(PRM\|1\|D)|(kpr)|(kdp)|(\|lc)|(penalty))" /e /r /s</v>
      </c>
      <c r="AG151" s="1" t="str">
        <f t="shared" si="80"/>
        <v>EC</v>
      </c>
      <c r="AH151" s="92" t="str">
        <f t="shared" si="81"/>
        <v>"%USERPROFILE%\Documents\GitHub\eaglep3\Utilities\RefineRTDCRunTimes.py" --tripid 237-10 --locoid 4020 --swversion DE.1.0.8.0 --startMP 204:431 --initTime 2016-12-10T22:46:32 --startdatetime 2016-12-10T23:00:34 --delay 1 --endMP 204:233287 --enddatetime 2016-12-10T23:38:42 --enforcementcount 1 &gt;&gt;C:\Users\stu\Documents\GitHub\eaglep3-reporting\EC\2016-12-10-refined-times.txt</v>
      </c>
      <c r="AI151" s="119" t="str">
        <f t="shared" si="82"/>
        <v>echo {"issue":{"subject":"","project_id":79,"tracker_id":40,"status_id":1,"priority_id":2,"assigned_to_id":23,"start_date":"2016-12-10","description":"","custom_fields":[{"id":1,"name":"Subdivision","value":"EC"},{"id":4,"name":"Milepost","value":"23.3287"},{"id":17,"name":"Train ID","value":"237-10"},{"id":16,"name":"Locomotive ID","value":"4020"},{"id":130,"name":"Impact","value":""},{"id":150,"name":"Time of Event (Mountain Time)","value":"23:38:42"},{"id":151,"name":"Denver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1" s="53"/>
      <c r="AK151" s="53"/>
      <c r="AL151" s="53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</row>
    <row r="152" spans="1:91" s="21" customFormat="1" x14ac:dyDescent="0.25">
      <c r="A152" s="37" t="s">
        <v>437</v>
      </c>
      <c r="B152" s="7">
        <v>4019</v>
      </c>
      <c r="C152" s="22" t="s">
        <v>207</v>
      </c>
      <c r="D152" s="22" t="s">
        <v>678</v>
      </c>
      <c r="E152" s="13">
        <v>42714.993368055555</v>
      </c>
      <c r="F152" s="13">
        <v>42715.041863425926</v>
      </c>
      <c r="G152" s="7">
        <v>1</v>
      </c>
      <c r="H152" s="22" t="s">
        <v>193</v>
      </c>
      <c r="I152" s="13">
        <v>42715.068599537037</v>
      </c>
      <c r="J152" s="7">
        <v>1</v>
      </c>
      <c r="K152" s="109" t="str">
        <f t="shared" si="70"/>
        <v>4019/4020</v>
      </c>
      <c r="L152" s="22" t="str">
        <f>VLOOKUP(A152,'Trips&amp;Operators'!$C$1:$G$99999,5,FALSE)</f>
        <v>BADERTSCHER DIANE</v>
      </c>
      <c r="M152" s="6">
        <f t="shared" si="71"/>
        <v>2.6736111110949423E-2</v>
      </c>
      <c r="N152" s="7">
        <f t="shared" si="64"/>
        <v>38.499999999767169</v>
      </c>
      <c r="O152" s="7"/>
      <c r="P152" s="7"/>
      <c r="Q152" s="23"/>
      <c r="R152" s="23"/>
      <c r="S152" s="35">
        <f t="shared" si="68"/>
        <v>1</v>
      </c>
      <c r="T152" s="50" t="str">
        <f t="shared" si="72"/>
        <v>Southbound</v>
      </c>
      <c r="U152" s="171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98" t="str">
        <f t="shared" si="73"/>
        <v>https://search-rtdc-monitor-bjffxe2xuh6vdkpspy63sjmuny.us-east-1.es.amazonaws.com/_plugin/kibana/#/discover/Steve-Slow-Train-Analysis-(2080s-and-2083s)?_g=(refreshInterval:(display:Off,section:0,value:0),time:(from:'2016-12-10 22:50:27-700',mode:absolute,to:'2016-12-11 02:38:47-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201053%20OR%202087)%20AND%20%22rtdc.l.rtdc.4019%22')),sort:!(Time,asc))</v>
      </c>
      <c r="W152" s="52" t="str">
        <f t="shared" si="74"/>
        <v>N</v>
      </c>
      <c r="X152" s="177">
        <f t="shared" si="75"/>
        <v>1</v>
      </c>
      <c r="Y152" s="67">
        <f t="shared" si="69"/>
        <v>23.297699999999999</v>
      </c>
      <c r="Z152" s="67">
        <f t="shared" si="67"/>
        <v>1.43E-2</v>
      </c>
      <c r="AA152" s="67">
        <f t="shared" si="76"/>
        <v>23.2834</v>
      </c>
      <c r="AB152" s="64" t="str">
        <f>VLOOKUP(A152,Enforcements!$C$7:$K$20,8,0)</f>
        <v>Signal based authority (5)</v>
      </c>
      <c r="AC152" s="60" t="str">
        <f>VLOOKUP(A152,Enforcements!$C$7:$E$20,3,0)</f>
        <v>SIGNAL</v>
      </c>
      <c r="AD152" s="61" t="str">
        <f t="shared" si="77"/>
        <v>0238-10</v>
      </c>
      <c r="AE152" s="91" t="str">
        <f t="shared" si="78"/>
        <v>aws s3 cp s3://rtdc.mdm.uploadarchive.raw/RTDC4019/ "%USERPROFILE%\AppData\Local\Temp\OnboardLogs"\RTDC4019\2016-12-11 --exclude "*" --recursive --include "*20161211*" &amp; "%USERPROFILE%\Documents\GitHub\mrs-test-scripts\Headless Mode &amp; Sideloading\WalkAndUnGZ.bat" "%USERPROFILE%\AppData\Local\Temp\OnboardLogs"\RTDC4019\2016-12-11 &amp; aws s3 cp s3://rtdc.mdm.uploadarchive.raw/RTDC4019/ "%USERPROFILE%\AppData\Local\Temp\OnboardLogs"\RTDC4019\2016-12-12 --exclude "*" --recursive --include "*20161212*" &amp; "%USERPROFILE%\Documents\GitHub\mrs-test-scripts\Headless Mode &amp; Sideloading\WalkAndUnGZ.bat" "%USERPROFILE%\AppData\Local\Temp\OnboardLogs"\RTDC4019\2016-12-12</v>
      </c>
      <c r="AF152" s="88" t="str">
        <f t="shared" si="79"/>
        <v>"C:\Program Files (x86)\AstroGrep\AstroGrep.exe" /spath="%USERPROFILE%\AppData\Local\Temp\OnboardLogs" /stypes="app*4019*20161211*" /stext=" 08:.+((SYSTEM_STATE.+slice.+state.+changed )|(ment ac)|(multiple cpu faults)|(system.+state.+changed )|(\[timeout)|(PRM\|1\|D)|(kpr)|(kdp)|(\|lc)|(penalty))" /e /r /s</v>
      </c>
      <c r="AG152" s="1" t="str">
        <f t="shared" si="80"/>
        <v>EC</v>
      </c>
      <c r="AH152" s="92" t="str">
        <f t="shared" si="81"/>
        <v>"%USERPROFILE%\Documents\GitHub\eaglep3\Utilities\RefineRTDCRunTimes.py" --tripid 238-10 --locoid 4019 --swversion DE.1.0.8.0 --startMP 204:232977 --initTime 2016-12-10T23:50:27 --startdatetime 2016-12-11T01:00:17 --delay 1 --endMP 204:143 --enddatetime 2016-12-11T01:38:47 --enforcementcount 1 &gt;&gt;C:\Users\stu\Documents\GitHub\eaglep3-reporting\EC\2016-12-10-refined-times.txt</v>
      </c>
      <c r="AI152" s="119" t="str">
        <f t="shared" si="82"/>
        <v>echo {"issue":{"subject":"","project_id":79,"tracker_id":40,"status_id":1,"priority_id":2,"assigned_to_id":23,"start_date":"2016-12-11","description":"","custom_fields":[{"id":1,"name":"Subdivision","value":"EC"},{"id":4,"name":"Milepost","value":"0.0143"},{"id":17,"name":"Train ID","value":"238-10"},{"id":16,"name":"Locomotive ID","value":"4019"},{"id":130,"name":"Impact","value":""},{"id":150,"name":"Time of Event (Mountain Time)","value":"01:38:47"},{"id":151,"name":"Denver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2" s="53"/>
      <c r="AK152" s="53"/>
      <c r="AL152" s="53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</row>
    <row r="153" spans="1:91" s="21" customFormat="1" x14ac:dyDescent="0.25">
      <c r="A153" s="37" t="s">
        <v>627</v>
      </c>
      <c r="B153" s="7">
        <v>4014</v>
      </c>
      <c r="C153" s="22" t="s">
        <v>207</v>
      </c>
      <c r="D153" s="22" t="s">
        <v>261</v>
      </c>
      <c r="E153" s="13">
        <v>42714.97216435185</v>
      </c>
      <c r="F153" s="13">
        <v>42714.979328703703</v>
      </c>
      <c r="G153" s="7">
        <v>2</v>
      </c>
      <c r="H153" s="22" t="s">
        <v>757</v>
      </c>
      <c r="I153" s="13">
        <v>42715.003425925926</v>
      </c>
      <c r="J153" s="7">
        <v>1</v>
      </c>
      <c r="K153" s="109" t="str">
        <f t="shared" si="70"/>
        <v>4013/4014</v>
      </c>
      <c r="L153" s="22" t="str">
        <f>VLOOKUP(A153,'Trips&amp;Operators'!$C$1:$G$99999,5,FALSE)</f>
        <v>NEWELL JAMES</v>
      </c>
      <c r="M153" s="6">
        <f t="shared" si="71"/>
        <v>2.4097222223645076E-2</v>
      </c>
      <c r="N153" s="7">
        <f t="shared" si="64"/>
        <v>34.70000000204891</v>
      </c>
      <c r="O153" s="7"/>
      <c r="P153" s="7"/>
      <c r="Q153" s="23"/>
      <c r="R153" s="23"/>
      <c r="S153" s="35">
        <f t="shared" si="68"/>
        <v>1</v>
      </c>
      <c r="T153" s="50" t="str">
        <f t="shared" si="72"/>
        <v>NorthBound</v>
      </c>
      <c r="U153" s="171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98" t="str">
        <f t="shared" si="73"/>
        <v>https://search-rtdc-monitor-bjffxe2xuh6vdkpspy63sjmuny.us-east-1.es.amazonaws.com/_plugin/kibana/#/discover/Steve-Slow-Train-Analysis-(2080s-and-2083s)?_g=(refreshInterval:(display:Off,section:0,value:0),time:(from:'2016-12-10 22:19:55-700',mode:absolute,to:'2016-12-11 01:04:56-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201053%20OR%202087)%20AND%20%22rtdc.l.rtdc.4014%22')),sort:!(Time,asc))</v>
      </c>
      <c r="W153" s="52" t="str">
        <f t="shared" si="74"/>
        <v>N</v>
      </c>
      <c r="X153" s="177">
        <f t="shared" si="75"/>
        <v>1</v>
      </c>
      <c r="Y153" s="67">
        <f t="shared" si="69"/>
        <v>4.58E-2</v>
      </c>
      <c r="Z153" s="67">
        <f t="shared" si="67"/>
        <v>23.3324</v>
      </c>
      <c r="AA153" s="67">
        <f t="shared" si="76"/>
        <v>23.2866</v>
      </c>
      <c r="AB153" s="64" t="e">
        <f>VLOOKUP(A153,Enforcements!$C$7:$K$20,8,0)</f>
        <v>#N/A</v>
      </c>
      <c r="AC153" s="60" t="e">
        <f>VLOOKUP(A153,Enforcements!$C$7:$E$20,3,0)</f>
        <v>#N/A</v>
      </c>
      <c r="AD153" s="61" t="str">
        <f t="shared" si="77"/>
        <v>0239-10</v>
      </c>
      <c r="AE153" s="91" t="str">
        <f t="shared" si="78"/>
        <v>aws s3 cp s3://rtdc.mdm.uploadarchive.raw/RTDC4014/ "%USERPROFILE%\AppData\Local\Temp\OnboardLogs"\RTDC4014\2016-12-10 --exclude "*" --recursive --include "*20161210*" &amp; "%USERPROFILE%\Documents\GitHub\mrs-test-scripts\Headless Mode &amp; Sideloading\WalkAndUnGZ.bat" "%USERPROFILE%\AppData\Local\Temp\OnboardLogs"\RTDC4014\2016-12-10 &amp; aws s3 cp s3://rtdc.mdm.uploadarchive.raw/RTDC4014/ "%USERPROFILE%\AppData\Local\Temp\OnboardLogs"\RTDC4014\2016-12-11 --exclude "*" --recursive --include "*20161211*" &amp; "%USERPROFILE%\Documents\GitHub\mrs-test-scripts\Headless Mode &amp; Sideloading\WalkAndUnGZ.bat" "%USERPROFILE%\AppData\Local\Temp\OnboardLogs"\RTDC4014\2016-12-11</v>
      </c>
      <c r="AF153" s="88" t="str">
        <f t="shared" si="79"/>
        <v>"C:\Program Files (x86)\AstroGrep\AstroGrep.exe" /spath="%USERPROFILE%\AppData\Local\Temp\OnboardLogs" /stypes="app*4014*20161211*" /stext=" 07:.+((SYSTEM_STATE.+slice.+state.+changed )|(ment ac)|(multiple cpu faults)|(system.+state.+changed )|(\[timeout)|(PRM\|1\|D)|(kpr)|(kdp)|(\|lc)|(penalty))" /e /r /s</v>
      </c>
      <c r="AG153" s="1" t="str">
        <f t="shared" si="80"/>
        <v>EC</v>
      </c>
      <c r="AH153" s="92" t="str">
        <f t="shared" si="81"/>
        <v>"%USERPROFILE%\Documents\GitHub\eaglep3\Utilities\RefineRTDCRunTimes.py" --tripid 239-10 --locoid 4014 --swversion DE.1.0.8.0 --startMP 204:458 --initTime 2016-12-10T23:19:55 --startdatetime 2016-12-10T23:30:14 --delay 2 --endMP 204:233324 --enddatetime 2016-12-11T00:04:56 --enforcementcount 1 &gt;&gt;C:\Users\stu\Documents\GitHub\eaglep3-reporting\EC\2016-12-10-refined-times.txt</v>
      </c>
      <c r="AI153" s="119" t="str">
        <f t="shared" si="82"/>
        <v>echo {"issue":{"subject":"","project_id":79,"tracker_id":40,"status_id":1,"priority_id":2,"assigned_to_id":23,"start_date":"2016-12-11","description":"","custom_fields":[{"id":1,"name":"Subdivision","value":"EC"},{"id":4,"name":"Milepost","value":"23.3324"},{"id":17,"name":"Train ID","value":"239-10"},{"id":16,"name":"Locomotive ID","value":"4014"},{"id":130,"name":"Impact","value":""},{"id":150,"name":"Time of Event (Mountain Time)","value":"00:04:56"},{"id":151,"name":"Denver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3" s="53"/>
      <c r="AK153" s="53"/>
      <c r="AL153" s="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</row>
    <row r="154" spans="1:91" s="21" customFormat="1" x14ac:dyDescent="0.25">
      <c r="A154" s="37" t="s">
        <v>629</v>
      </c>
      <c r="B154" s="7">
        <v>4013</v>
      </c>
      <c r="C154" s="22" t="s">
        <v>207</v>
      </c>
      <c r="D154" s="22" t="s">
        <v>753</v>
      </c>
      <c r="E154" s="13">
        <v>42715.008067129631</v>
      </c>
      <c r="F154" s="13">
        <v>42715.018206018518</v>
      </c>
      <c r="G154" s="7">
        <v>1</v>
      </c>
      <c r="H154" s="22" t="s">
        <v>228</v>
      </c>
      <c r="I154" s="13">
        <v>42715.044814814813</v>
      </c>
      <c r="J154" s="7">
        <v>1</v>
      </c>
      <c r="K154" s="109" t="str">
        <f t="shared" si="70"/>
        <v>4013/4014</v>
      </c>
      <c r="L154" s="22" t="str">
        <f>VLOOKUP(A154,'Trips&amp;Operators'!$C$1:$G$99999,5,FALSE)</f>
        <v>NEWELL JAMES</v>
      </c>
      <c r="M154" s="6">
        <f t="shared" si="71"/>
        <v>2.6608796295477077E-2</v>
      </c>
      <c r="N154" s="7">
        <f t="shared" si="64"/>
        <v>38.316666665486991</v>
      </c>
      <c r="O154" s="7"/>
      <c r="P154" s="7"/>
      <c r="Q154" s="23"/>
      <c r="R154" s="23"/>
      <c r="S154" s="35">
        <f t="shared" si="68"/>
        <v>1</v>
      </c>
      <c r="T154" s="50" t="str">
        <f t="shared" si="72"/>
        <v>Southbound</v>
      </c>
      <c r="U154" s="171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98" t="str">
        <f t="shared" si="73"/>
        <v>https://search-rtdc-monitor-bjffxe2xuh6vdkpspy63sjmuny.us-east-1.es.amazonaws.com/_plugin/kibana/#/discover/Steve-Slow-Train-Analysis-(2080s-and-2083s)?_g=(refreshInterval:(display:Off,section:0,value:0),time:(from:'2016-12-10 23:11:37-700',mode:absolute,to:'2016-12-11 02:04:32-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201053%20OR%202087)%20AND%20%22rtdc.l.rtdc.4013%22')),sort:!(Time,asc))</v>
      </c>
      <c r="W154" s="52" t="str">
        <f t="shared" si="74"/>
        <v>N</v>
      </c>
      <c r="X154" s="177">
        <f t="shared" si="75"/>
        <v>1</v>
      </c>
      <c r="Y154" s="67">
        <f t="shared" si="69"/>
        <v>23.298400000000001</v>
      </c>
      <c r="Z154" s="67">
        <f t="shared" si="67"/>
        <v>1.41E-2</v>
      </c>
      <c r="AA154" s="67">
        <f t="shared" si="76"/>
        <v>23.284300000000002</v>
      </c>
      <c r="AB154" s="64" t="e">
        <f>VLOOKUP(A154,Enforcements!$C$7:$K$20,8,0)</f>
        <v>#N/A</v>
      </c>
      <c r="AC154" s="60" t="e">
        <f>VLOOKUP(A154,Enforcements!$C$7:$E$20,3,0)</f>
        <v>#N/A</v>
      </c>
      <c r="AD154" s="61" t="str">
        <f t="shared" si="77"/>
        <v>0240-10</v>
      </c>
      <c r="AE154" s="91" t="str">
        <f t="shared" si="78"/>
        <v>aws s3 cp s3://rtdc.mdm.uploadarchive.raw/RTDC4013/ "%USERPROFILE%\AppData\Local\Temp\OnboardLogs"\RTDC4013\2016-12-11 --exclude "*" --recursive --include "*20161211*" &amp; "%USERPROFILE%\Documents\GitHub\mrs-test-scripts\Headless Mode &amp; Sideloading\WalkAndUnGZ.bat" "%USERPROFILE%\AppData\Local\Temp\OnboardLogs"\RTDC4013\2016-12-11 &amp; aws s3 cp s3://rtdc.mdm.uploadarchive.raw/RTDC4013/ "%USERPROFILE%\AppData\Local\Temp\OnboardLogs"\RTDC4013\2016-12-12 --exclude "*" --recursive --include "*20161212*" &amp; "%USERPROFILE%\Documents\GitHub\mrs-test-scripts\Headless Mode &amp; Sideloading\WalkAndUnGZ.bat" "%USERPROFILE%\AppData\Local\Temp\OnboardLogs"\RTDC4013\2016-12-12</v>
      </c>
      <c r="AF154" s="88" t="str">
        <f t="shared" si="79"/>
        <v>"C:\Program Files (x86)\AstroGrep\AstroGrep.exe" /spath="%USERPROFILE%\AppData\Local\Temp\OnboardLogs" /stypes="app*4013*20161211*" /stext=" 08:.+((SYSTEM_STATE.+slice.+state.+changed )|(ment ac)|(multiple cpu faults)|(system.+state.+changed )|(\[timeout)|(PRM\|1\|D)|(kpr)|(kdp)|(\|lc)|(penalty))" /e /r /s</v>
      </c>
      <c r="AG154" s="1" t="str">
        <f t="shared" si="80"/>
        <v>EC</v>
      </c>
      <c r="AH154" s="92" t="str">
        <f t="shared" si="81"/>
        <v>"%USERPROFILE%\Documents\GitHub\eaglep3\Utilities\RefineRTDCRunTimes.py" --tripid 240-10 --locoid 4013 --swversion DE.1.0.8.0 --startMP 204:232984 --initTime 2016-12-11T00:11:37 --startdatetime 2016-12-11T00:26:13 --delay 1 --endMP 204:141 --enddatetime 2016-12-11T01:04:32 --enforcementcount 1 &gt;&gt;C:\Users\stu\Documents\GitHub\eaglep3-reporting\EC\2016-12-10-refined-times.txt</v>
      </c>
      <c r="AI154" s="119" t="str">
        <f t="shared" si="82"/>
        <v>echo {"issue":{"subject":"","project_id":79,"tracker_id":40,"status_id":1,"priority_id":2,"assigned_to_id":23,"start_date":"2016-12-11","description":"","custom_fields":[{"id":1,"name":"Subdivision","value":"EC"},{"id":4,"name":"Milepost","value":"0.0141"},{"id":17,"name":"Train ID","value":"240-10"},{"id":16,"name":"Locomotive ID","value":"4013"},{"id":130,"name":"Impact","value":""},{"id":150,"name":"Time of Event (Mountain Time)","value":"01:04:32"},{"id":151,"name":"Denver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4" s="53"/>
      <c r="AK154" s="53"/>
      <c r="AL154" s="53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</row>
    <row r="155" spans="1:91" s="21" customFormat="1" x14ac:dyDescent="0.25">
      <c r="A155" s="37" t="s">
        <v>438</v>
      </c>
      <c r="B155" s="7">
        <v>4016</v>
      </c>
      <c r="C155" s="22" t="s">
        <v>207</v>
      </c>
      <c r="D155" s="22" t="s">
        <v>297</v>
      </c>
      <c r="E155" s="13">
        <v>42714.998287037037</v>
      </c>
      <c r="F155" s="13">
        <v>42715.000243055554</v>
      </c>
      <c r="G155" s="7">
        <v>1</v>
      </c>
      <c r="H155" s="22" t="s">
        <v>758</v>
      </c>
      <c r="I155" s="13">
        <v>42715.021805555552</v>
      </c>
      <c r="J155" s="7">
        <v>1</v>
      </c>
      <c r="K155" s="109" t="str">
        <f t="shared" si="70"/>
        <v>4015/4016</v>
      </c>
      <c r="L155" s="22" t="str">
        <f>VLOOKUP(A155,'Trips&amp;Operators'!$C$1:$G$99999,5,FALSE)</f>
        <v>CHANDLER KELVIN</v>
      </c>
      <c r="M155" s="6">
        <f t="shared" si="71"/>
        <v>2.156249999825377E-2</v>
      </c>
      <c r="N155" s="7"/>
      <c r="O155" s="7"/>
      <c r="P155" s="7">
        <f>24*60*SUM($M155:$M155)</f>
        <v>31.049999997485429</v>
      </c>
      <c r="Q155" s="23"/>
      <c r="R155" s="23" t="s">
        <v>802</v>
      </c>
      <c r="S155" s="35">
        <f t="shared" si="68"/>
        <v>1</v>
      </c>
      <c r="T155" s="50" t="str">
        <f t="shared" si="72"/>
        <v>NorthBound</v>
      </c>
      <c r="U155" s="171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98" t="str">
        <f t="shared" si="73"/>
        <v>https://search-rtdc-monitor-bjffxe2xuh6vdkpspy63sjmuny.us-east-1.es.amazonaws.com/_plugin/kibana/#/discover/Steve-Slow-Train-Analysis-(2080s-and-2083s)?_g=(refreshInterval:(display:Off,section:0,value:0),time:(from:'2016-12-10 22:57:32-700',mode:absolute,to:'2016-12-11 01:31:24-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201053%20OR%202087)%20AND%20%22rtdc.l.rtdc.4016%22')),sort:!(Time,asc))</v>
      </c>
      <c r="W155" s="52" t="str">
        <f t="shared" si="74"/>
        <v>Y</v>
      </c>
      <c r="X155" s="177">
        <f t="shared" si="75"/>
        <v>1</v>
      </c>
      <c r="Y155" s="67">
        <f t="shared" si="69"/>
        <v>4.6399999999999997E-2</v>
      </c>
      <c r="Z155" s="67">
        <f t="shared" si="67"/>
        <v>19.9466</v>
      </c>
      <c r="AA155" s="67">
        <f t="shared" si="76"/>
        <v>19.900200000000002</v>
      </c>
      <c r="AB155" s="64" t="str">
        <f>VLOOKUP(A155,Enforcements!$C$7:$K$20,8,0)</f>
        <v>Signal based authority (5)</v>
      </c>
      <c r="AC155" s="60" t="str">
        <f>VLOOKUP(A155,Enforcements!$C$7:$E$20,3,0)</f>
        <v>SIGNAL</v>
      </c>
      <c r="AD155" s="61" t="str">
        <f t="shared" si="77"/>
        <v>0241-10</v>
      </c>
      <c r="AE155" s="91" t="str">
        <f t="shared" si="78"/>
        <v>aws s3 cp s3://rtdc.mdm.uploadarchive.raw/RTDC4016/ "%USERPROFILE%\AppData\Local\Temp\OnboardLogs"\RTDC4016\2016-12-11 --exclude "*" --recursive --include "*20161211*" &amp; "%USERPROFILE%\Documents\GitHub\mrs-test-scripts\Headless Mode &amp; Sideloading\WalkAndUnGZ.bat" "%USERPROFILE%\AppData\Local\Temp\OnboardLogs"\RTDC4016\2016-12-11 &amp; aws s3 cp s3://rtdc.mdm.uploadarchive.raw/RTDC4016/ "%USERPROFILE%\AppData\Local\Temp\OnboardLogs"\RTDC4016\2016-12-12 --exclude "*" --recursive --include "*20161212*" &amp; "%USERPROFILE%\Documents\GitHub\mrs-test-scripts\Headless Mode &amp; Sideloading\WalkAndUnGZ.bat" "%USERPROFILE%\AppData\Local\Temp\OnboardLogs"\RTDC4016\2016-12-12</v>
      </c>
      <c r="AF155" s="88" t="str">
        <f t="shared" si="79"/>
        <v>"C:\Program Files (x86)\AstroGrep\AstroGrep.exe" /spath="%USERPROFILE%\AppData\Local\Temp\OnboardLogs" /stypes="app*4016*20161211*" /stext=" 07:.+((SYSTEM_STATE.+slice.+state.+changed )|(ment ac)|(multiple cpu faults)|(system.+state.+changed )|(\[timeout)|(PRM\|1\|D)|(kpr)|(kdp)|(\|lc)|(penalty))" /e /r /s</v>
      </c>
      <c r="AG155" s="1" t="str">
        <f t="shared" si="80"/>
        <v>EC</v>
      </c>
      <c r="AH155" s="92" t="str">
        <f t="shared" si="81"/>
        <v>"%USERPROFILE%\Documents\GitHub\eaglep3\Utilities\RefineRTDCRunTimes.py" --tripid 241-10 --locoid 4016 --swversion DE.1.0.8.0 --startMP 204:464 --initTime 2016-12-10T23:57:32 --startdatetime 2016-12-11T00:00:21 --delay 1 --endMP 204:199466 --enddatetime 2016-12-11T00:31:24 --enforcementcount 1 &gt;&gt;C:\Users\stu\Documents\GitHub\eaglep3-reporting\EC\2016-12-10-refined-times.txt</v>
      </c>
      <c r="AI155" s="119" t="str">
        <f t="shared" si="82"/>
        <v>echo {"issue":{"subject":"Windows update locked virtual machine responsible for passing WSM's","project_id":79,"tracker_id":40,"status_id":1,"priority_id":2,"assigned_to_id":23,"start_date":"2016-12-11","description":"At 2016-12-11 00:30, a process related to Windows Update fired and caused WIU-FEP-03B CPU consumption to increase in such a way that prevented proper passing of wayside messages. Need to disable Windows update or adjust scheduled runtime to between service hours.","custom_fields":[{"id":1,"name":"Subdivision","value":"EC"},{"id":4,"name":"Milepost","value":"19.9466"},{"id":17,"name":"Train ID","value":"241-10"},{"id":16,"name":"Locomotive ID","value":"4016"},{"id":130,"name":"Impact","value":"Enforcement"},{"id":150,"name":"Time of Event (Mountain Time)","value":"00:31:24"},{"id":151,"name":"Denver Issue ID","value":""},{"id":178,"name":"Operational Impact","value":"Yes"},{"id":179,"name":"Denver Segment Assigned","value":"STMS"}]}} | curl -X POST -H "Content-Type: application/json" -H "X-Redmine-API-Key: d6333d4a04012a730768444271f8ca06482dae87" https://secure.xorail.net/redmine/issues.json --data @-</v>
      </c>
      <c r="AJ155" s="53" t="s">
        <v>803</v>
      </c>
      <c r="AK155" s="53" t="s">
        <v>125</v>
      </c>
      <c r="AL155" s="53" t="s">
        <v>134</v>
      </c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</row>
    <row r="156" spans="1:91" s="21" customFormat="1" x14ac:dyDescent="0.25">
      <c r="A156" s="37" t="s">
        <v>222</v>
      </c>
      <c r="B156" s="7">
        <v>4015</v>
      </c>
      <c r="C156" s="22" t="s">
        <v>207</v>
      </c>
      <c r="D156" s="22" t="s">
        <v>657</v>
      </c>
      <c r="E156" s="13">
        <v>42715.035428240742</v>
      </c>
      <c r="F156" s="13">
        <v>42715.039189814815</v>
      </c>
      <c r="G156" s="7">
        <v>1</v>
      </c>
      <c r="H156" s="22" t="s">
        <v>296</v>
      </c>
      <c r="I156" s="13">
        <v>42715.067141203705</v>
      </c>
      <c r="J156" s="7">
        <v>1</v>
      </c>
      <c r="K156" s="109" t="str">
        <f t="shared" si="70"/>
        <v>4015/4016</v>
      </c>
      <c r="L156" s="22" t="str">
        <f>VLOOKUP(A156,'Trips&amp;Operators'!$C$1:$G$99999,5,FALSE)</f>
        <v>CHANDLER KELVIN</v>
      </c>
      <c r="M156" s="6">
        <f t="shared" si="71"/>
        <v>2.7951388889050577E-2</v>
      </c>
      <c r="N156" s="7">
        <f t="shared" ref="N156:N187" si="83">24*60*SUM($M156:$M156)</f>
        <v>40.250000000232831</v>
      </c>
      <c r="O156" s="7"/>
      <c r="P156" s="7"/>
      <c r="Q156" s="23"/>
      <c r="R156" s="23"/>
      <c r="S156" s="35">
        <f t="shared" si="68"/>
        <v>1</v>
      </c>
      <c r="T156" s="50" t="str">
        <f t="shared" si="72"/>
        <v>Southbound</v>
      </c>
      <c r="U156" s="171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98" t="str">
        <f t="shared" si="73"/>
        <v>https://search-rtdc-monitor-bjffxe2xuh6vdkpspy63sjmuny.us-east-1.es.amazonaws.com/_plugin/kibana/#/discover/Steve-Slow-Train-Analysis-(2080s-and-2083s)?_g=(refreshInterval:(display:Off,section:0,value:0),time:(from:'2016-12-10 23:51:01-700',mode:absolute,to:'2016-12-11 02:36:41-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201053%20OR%202087)%20AND%20%22rtdc.l.rtdc.4015%22')),sort:!(Time,asc))</v>
      </c>
      <c r="W156" s="52" t="str">
        <f t="shared" si="74"/>
        <v>N</v>
      </c>
      <c r="X156" s="177">
        <f t="shared" si="75"/>
        <v>1</v>
      </c>
      <c r="Y156" s="67">
        <f t="shared" si="69"/>
        <v>23.3</v>
      </c>
      <c r="Z156" s="67">
        <f t="shared" si="67"/>
        <v>1.52E-2</v>
      </c>
      <c r="AA156" s="67">
        <f t="shared" si="76"/>
        <v>23.284800000000001</v>
      </c>
      <c r="AB156" s="64" t="e">
        <f>VLOOKUP(A156,Enforcements!$C$7:$K$20,8,0)</f>
        <v>#N/A</v>
      </c>
      <c r="AC156" s="60" t="e">
        <f>VLOOKUP(A156,Enforcements!$C$7:$E$20,3,0)</f>
        <v>#N/A</v>
      </c>
      <c r="AD156" s="61" t="str">
        <f t="shared" si="77"/>
        <v>0242-10</v>
      </c>
      <c r="AE156" s="91" t="str">
        <f t="shared" si="78"/>
        <v>aws s3 cp s3://rtdc.mdm.uploadarchive.raw/RTDC4015/ "%USERPROFILE%\AppData\Local\Temp\OnboardLogs"\RTDC4015\2016-12-11 --exclude "*" --recursive --include "*20161211*" &amp; "%USERPROFILE%\Documents\GitHub\mrs-test-scripts\Headless Mode &amp; Sideloading\WalkAndUnGZ.bat" "%USERPROFILE%\AppData\Local\Temp\OnboardLogs"\RTDC4015\2016-12-11 &amp; aws s3 cp s3://rtdc.mdm.uploadarchive.raw/RTDC4015/ "%USERPROFILE%\AppData\Local\Temp\OnboardLogs"\RTDC4015\2016-12-12 --exclude "*" --recursive --include "*20161212*" &amp; "%USERPROFILE%\Documents\GitHub\mrs-test-scripts\Headless Mode &amp; Sideloading\WalkAndUnGZ.bat" "%USERPROFILE%\AppData\Local\Temp\OnboardLogs"\RTDC4015\2016-12-12</v>
      </c>
      <c r="AF156" s="88" t="str">
        <f t="shared" si="79"/>
        <v>"C:\Program Files (x86)\AstroGrep\AstroGrep.exe" /spath="%USERPROFILE%\AppData\Local\Temp\OnboardLogs" /stypes="app*4015*20161211*" /stext=" 08:.+((SYSTEM_STATE.+slice.+state.+changed )|(ment ac)|(multiple cpu faults)|(system.+state.+changed )|(\[timeout)|(PRM\|1\|D)|(kpr)|(kdp)|(\|lc)|(penalty))" /e /r /s</v>
      </c>
      <c r="AG156" s="1" t="str">
        <f t="shared" si="80"/>
        <v>EC</v>
      </c>
      <c r="AH156" s="92" t="str">
        <f t="shared" si="81"/>
        <v>"%USERPROFILE%\Documents\GitHub\eaglep3\Utilities\RefineRTDCRunTimes.py" --tripid 242-10 --locoid 4015 --swversion DE.1.0.8.0 --startMP 204:233000 --initTime 2016-12-11T00:51:01 --startdatetime 2016-12-11T00:56:26 --delay 1 --endMP 204:152 --enddatetime 2016-12-11T01:36:41 --enforcementcount 1 &gt;&gt;C:\Users\stu\Documents\GitHub\eaglep3-reporting\EC\2016-12-10-refined-times.txt</v>
      </c>
      <c r="AI156" s="119" t="str">
        <f t="shared" si="82"/>
        <v>echo {"issue":{"subject":"","project_id":79,"tracker_id":40,"status_id":1,"priority_id":2,"assigned_to_id":23,"start_date":"2016-12-11","description":"","custom_fields":[{"id":1,"name":"Subdivision","value":"EC"},{"id":4,"name":"Milepost","value":"0.0152"},{"id":17,"name":"Train ID","value":"242-10"},{"id":16,"name":"Locomotive ID","value":"4015"},{"id":130,"name":"Impact","value":""},{"id":150,"name":"Time of Event (Mountain Time)","value":"01:36:41"},{"id":151,"name":"Denver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6" s="53"/>
      <c r="AK156" s="53"/>
      <c r="AL156" s="53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</row>
    <row r="157" spans="1:91" s="21" customFormat="1" x14ac:dyDescent="0.25">
      <c r="A157" s="37" t="s">
        <v>220</v>
      </c>
      <c r="B157" s="7">
        <v>4040</v>
      </c>
      <c r="C157" s="22" t="s">
        <v>207</v>
      </c>
      <c r="D157" s="22" t="s">
        <v>677</v>
      </c>
      <c r="E157" s="13">
        <v>42715.00503472222</v>
      </c>
      <c r="F157" s="13">
        <v>42715.021365740744</v>
      </c>
      <c r="G157" s="7">
        <v>1</v>
      </c>
      <c r="H157" s="22" t="s">
        <v>332</v>
      </c>
      <c r="I157" s="13">
        <v>42715.046053240738</v>
      </c>
      <c r="J157" s="7">
        <v>1</v>
      </c>
      <c r="K157" s="109" t="str">
        <f t="shared" si="70"/>
        <v>4039/4040</v>
      </c>
      <c r="L157" s="22" t="str">
        <f>VLOOKUP(A157,'Trips&amp;Operators'!$C$1:$G$99999,5,FALSE)</f>
        <v>STAMBAUGH JAMES</v>
      </c>
      <c r="M157" s="6">
        <f t="shared" si="71"/>
        <v>2.4687499993888196E-2</v>
      </c>
      <c r="N157" s="7">
        <f t="shared" si="83"/>
        <v>35.549999991199002</v>
      </c>
      <c r="O157" s="7"/>
      <c r="P157" s="7"/>
      <c r="Q157" s="23"/>
      <c r="R157" s="23"/>
      <c r="S157" s="35">
        <f t="shared" si="68"/>
        <v>1</v>
      </c>
      <c r="T157" s="50" t="str">
        <f t="shared" si="72"/>
        <v>NorthBound</v>
      </c>
      <c r="U157" s="171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12</v>
      </c>
      <c r="V157" s="98" t="str">
        <f t="shared" si="73"/>
        <v>https://search-rtdc-monitor-bjffxe2xuh6vdkpspy63sjmuny.us-east-1.es.amazonaws.com/_plugin/kibana/#/discover/Steve-Slow-Train-Analysis-(2080s-and-2083s)?_g=(refreshInterval:(display:Off,section:0,value:0),time:(from:'2016-12-10 23:07:15-700',mode:absolute,to:'2016-12-11 02:06:19-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201053%20OR%202087)%20AND%20%22rtdc.l.rtdc.4040%22')),sort:!(Time,asc))</v>
      </c>
      <c r="W157" s="52" t="str">
        <f t="shared" si="74"/>
        <v>N</v>
      </c>
      <c r="X157" s="177">
        <f t="shared" si="75"/>
        <v>1</v>
      </c>
      <c r="Y157" s="67">
        <f t="shared" si="69"/>
        <v>4.6699999999999998E-2</v>
      </c>
      <c r="Z157" s="67">
        <f t="shared" ref="Z157:Z188" si="84">RIGHT(H157,LEN(H157)-4)/10000</f>
        <v>23.330500000000001</v>
      </c>
      <c r="AA157" s="67">
        <f t="shared" si="76"/>
        <v>23.283799999999999</v>
      </c>
      <c r="AB157" s="64" t="str">
        <f>VLOOKUP(A157,Enforcements!$C$7:$K$20,8,0)</f>
        <v>Speed (6)</v>
      </c>
      <c r="AC157" s="60" t="str">
        <f>VLOOKUP(A157,Enforcements!$C$7:$E$20,3,0)</f>
        <v>PERMANENT SPEED RESTRICTION</v>
      </c>
      <c r="AD157" s="61" t="str">
        <f t="shared" si="77"/>
        <v>0243-10</v>
      </c>
      <c r="AE157" s="91" t="str">
        <f t="shared" si="78"/>
        <v>aws s3 cp s3://rtdc.mdm.uploadarchive.raw/RTDC4040/ "%USERPROFILE%\AppData\Local\Temp\OnboardLogs"\RTDC4040\2016-12-11 --exclude "*" --recursive --include "*20161211*" &amp; "%USERPROFILE%\Documents\GitHub\mrs-test-scripts\Headless Mode &amp; Sideloading\WalkAndUnGZ.bat" "%USERPROFILE%\AppData\Local\Temp\OnboardLogs"\RTDC4040\2016-12-11 &amp; aws s3 cp s3://rtdc.mdm.uploadarchive.raw/RTDC4040/ "%USERPROFILE%\AppData\Local\Temp\OnboardLogs"\RTDC4040\2016-12-12 --exclude "*" --recursive --include "*20161212*" &amp; "%USERPROFILE%\Documents\GitHub\mrs-test-scripts\Headless Mode &amp; Sideloading\WalkAndUnGZ.bat" "%USERPROFILE%\AppData\Local\Temp\OnboardLogs"\RTDC4040\2016-12-12</v>
      </c>
      <c r="AF157" s="88" t="str">
        <f t="shared" si="79"/>
        <v>"C:\Program Files (x86)\AstroGrep\AstroGrep.exe" /spath="%USERPROFILE%\AppData\Local\Temp\OnboardLogs" /stypes="app*4040*20161211*" /stext=" 08:.+((SYSTEM_STATE.+slice.+state.+changed )|(ment ac)|(multiple cpu faults)|(system.+state.+changed )|(\[timeout)|(PRM\|1\|D)|(kpr)|(kdp)|(\|lc)|(penalty))" /e /r /s</v>
      </c>
      <c r="AG157" s="1" t="str">
        <f t="shared" si="80"/>
        <v>EC</v>
      </c>
      <c r="AH157" s="92" t="str">
        <f t="shared" si="81"/>
        <v>"%USERPROFILE%\Documents\GitHub\eaglep3\Utilities\RefineRTDCRunTimes.py" --tripid 243-10 --locoid 4040 --swversion DE.1.0.8.0 --startMP 204:467 --initTime 2016-12-11T00:07:15 --startdatetime 2016-12-11T00:30:46 --delay 1 --endMP 204:233305 --enddatetime 2016-12-11T01:06:19 --enforcementcount 1 &gt;&gt;C:\Users\stu\Documents\GitHub\eaglep3-reporting\EC\2016-12-10-refined-times.txt</v>
      </c>
      <c r="AI157" s="119" t="str">
        <f t="shared" si="82"/>
        <v>echo {"issue":{"subject":"","project_id":79,"tracker_id":40,"status_id":1,"priority_id":2,"assigned_to_id":23,"start_date":"2016-12-11","description":"","custom_fields":[{"id":1,"name":"Subdivision","value":"EC"},{"id":4,"name":"Milepost","value":"23.3305"},{"id":17,"name":"Train ID","value":"243-10"},{"id":16,"name":"Locomotive ID","value":"4040"},{"id":130,"name":"Impact","value":""},{"id":150,"name":"Time of Event (Mountain Time)","value":"01:06:19"},{"id":151,"name":"Denver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7" s="53"/>
      <c r="AK157" s="53"/>
      <c r="AL157" s="53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</row>
    <row r="158" spans="1:91" s="21" customFormat="1" x14ac:dyDescent="0.25">
      <c r="A158" s="37" t="s">
        <v>224</v>
      </c>
      <c r="B158" s="7">
        <v>4039</v>
      </c>
      <c r="C158" s="22" t="s">
        <v>207</v>
      </c>
      <c r="D158" s="22" t="s">
        <v>693</v>
      </c>
      <c r="E158" s="13">
        <v>42715.057118055556</v>
      </c>
      <c r="F158" s="13">
        <v>42715.059930555559</v>
      </c>
      <c r="G158" s="7">
        <v>1</v>
      </c>
      <c r="H158" s="22" t="s">
        <v>193</v>
      </c>
      <c r="I158" s="13">
        <v>42715.086226851854</v>
      </c>
      <c r="J158" s="7">
        <v>1</v>
      </c>
      <c r="K158" s="109" t="str">
        <f t="shared" si="70"/>
        <v>4039/4040</v>
      </c>
      <c r="L158" s="22" t="str">
        <f>VLOOKUP(A158,'Trips&amp;Operators'!$C$1:$G$99999,5,FALSE)</f>
        <v>STAMBAUGH JAMES</v>
      </c>
      <c r="M158" s="6">
        <f t="shared" si="71"/>
        <v>2.6296296295186039E-2</v>
      </c>
      <c r="N158" s="7">
        <f t="shared" si="83"/>
        <v>37.866666665067896</v>
      </c>
      <c r="O158" s="7"/>
      <c r="P158" s="7"/>
      <c r="Q158" s="23"/>
      <c r="R158" s="23"/>
      <c r="S158" s="35">
        <f t="shared" ref="S158:S189" si="85">SUM(U158:U158)/IF(AG158="EC",12,1)</f>
        <v>1</v>
      </c>
      <c r="T158" s="50" t="str">
        <f t="shared" si="72"/>
        <v>Southbound</v>
      </c>
      <c r="U158" s="171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12</v>
      </c>
      <c r="V158" s="98" t="str">
        <f t="shared" si="73"/>
        <v>https://search-rtdc-monitor-bjffxe2xuh6vdkpspy63sjmuny.us-east-1.es.amazonaws.com/_plugin/kibana/#/discover/Steve-Slow-Train-Analysis-(2080s-and-2083s)?_g=(refreshInterval:(display:Off,section:0,value:0),time:(from:'2016-12-11 00:22:15-700',mode:absolute,to:'2016-12-11 03:04:10-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201053%20OR%202087)%20AND%20%22rtdc.l.rtdc.4039%22')),sort:!(Time,asc))</v>
      </c>
      <c r="W158" s="52" t="str">
        <f t="shared" si="74"/>
        <v>N</v>
      </c>
      <c r="X158" s="177">
        <f t="shared" si="75"/>
        <v>1</v>
      </c>
      <c r="Y158" s="67">
        <f t="shared" ref="Y158:Y189" si="86">RIGHT(D158,LEN(D158)-4)/10000</f>
        <v>23.298200000000001</v>
      </c>
      <c r="Z158" s="67">
        <f t="shared" si="84"/>
        <v>1.43E-2</v>
      </c>
      <c r="AA158" s="67">
        <f t="shared" si="76"/>
        <v>23.283900000000003</v>
      </c>
      <c r="AB158" s="64" t="e">
        <f>VLOOKUP(A158,Enforcements!$C$7:$K$20,8,0)</f>
        <v>#N/A</v>
      </c>
      <c r="AC158" s="60" t="e">
        <f>VLOOKUP(A158,Enforcements!$C$7:$E$20,3,0)</f>
        <v>#N/A</v>
      </c>
      <c r="AD158" s="61" t="str">
        <f t="shared" si="77"/>
        <v>0244-10</v>
      </c>
      <c r="AE158" s="91" t="str">
        <f t="shared" si="78"/>
        <v>aws s3 cp s3://rtdc.mdm.uploadarchive.raw/RTDC4039/ "%USERPROFILE%\AppData\Local\Temp\OnboardLogs"\RTDC4039\2016-12-11 --exclude "*" --recursive --include "*20161211*" &amp; "%USERPROFILE%\Documents\GitHub\mrs-test-scripts\Headless Mode &amp; Sideloading\WalkAndUnGZ.bat" "%USERPROFILE%\AppData\Local\Temp\OnboardLogs"\RTDC4039\2016-12-11 &amp; aws s3 cp s3://rtdc.mdm.uploadarchive.raw/RTDC4039/ "%USERPROFILE%\AppData\Local\Temp\OnboardLogs"\RTDC4039\2016-12-12 --exclude "*" --recursive --include "*20161212*" &amp; "%USERPROFILE%\Documents\GitHub\mrs-test-scripts\Headless Mode &amp; Sideloading\WalkAndUnGZ.bat" "%USERPROFILE%\AppData\Local\Temp\OnboardLogs"\RTDC4039\2016-12-12</v>
      </c>
      <c r="AF158" s="88" t="str">
        <f t="shared" si="79"/>
        <v>"C:\Program Files (x86)\AstroGrep\AstroGrep.exe" /spath="%USERPROFILE%\AppData\Local\Temp\OnboardLogs" /stypes="app*4039*20161211*" /stext=" 09:.+((SYSTEM_STATE.+slice.+state.+changed )|(ment ac)|(multiple cpu faults)|(system.+state.+changed )|(\[timeout)|(PRM\|1\|D)|(kpr)|(kdp)|(\|lc)|(penalty))" /e /r /s</v>
      </c>
      <c r="AG158" s="1" t="str">
        <f t="shared" si="80"/>
        <v>EC</v>
      </c>
      <c r="AH158" s="92" t="str">
        <f t="shared" si="81"/>
        <v>"%USERPROFILE%\Documents\GitHub\eaglep3\Utilities\RefineRTDCRunTimes.py" --tripid 244-10 --locoid 4039 --swversion DE.1.0.8.0 --startMP 204:232982 --initTime 2016-12-11T01:22:15 --startdatetime 2016-12-11T01:26:18 --delay 1 --endMP 204:143 --enddatetime 2016-12-11T02:04:10 --enforcementcount 1 &gt;&gt;C:\Users\stu\Documents\GitHub\eaglep3-reporting\EC\2016-12-10-refined-times.txt</v>
      </c>
      <c r="AI158" s="119" t="str">
        <f t="shared" si="82"/>
        <v>echo {"issue":{"subject":"","project_id":79,"tracker_id":40,"status_id":1,"priority_id":2,"assigned_to_id":23,"start_date":"2016-12-11","description":"","custom_fields":[{"id":1,"name":"Subdivision","value":"EC"},{"id":4,"name":"Milepost","value":"0.0143"},{"id":17,"name":"Train ID","value":"244-10"},{"id":16,"name":"Locomotive ID","value":"4039"},{"id":130,"name":"Impact","value":""},{"id":150,"name":"Time of Event (Mountain Time)","value":"02:04:10"},{"id":151,"name":"Denver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8" s="53"/>
      <c r="AK158" s="53"/>
      <c r="AL158" s="53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</row>
    <row r="159" spans="1:91" x14ac:dyDescent="0.25">
      <c r="A159" s="37" t="s">
        <v>630</v>
      </c>
      <c r="B159" s="7">
        <v>4020</v>
      </c>
      <c r="C159" s="22" t="s">
        <v>207</v>
      </c>
      <c r="D159" s="22" t="s">
        <v>276</v>
      </c>
      <c r="E159" s="13">
        <v>42715.031539351854</v>
      </c>
      <c r="F159" s="13">
        <v>42715.041863425926</v>
      </c>
      <c r="G159" s="7">
        <v>1</v>
      </c>
      <c r="H159" s="22" t="s">
        <v>759</v>
      </c>
      <c r="I159" s="13">
        <v>42715.068599537037</v>
      </c>
      <c r="J159" s="7">
        <v>1</v>
      </c>
      <c r="K159" s="109" t="str">
        <f t="shared" si="70"/>
        <v>4019/4020</v>
      </c>
      <c r="L159" s="22" t="str">
        <f>VLOOKUP(A159,'Trips&amp;Operators'!$C$1:$G$99999,5,FALSE)</f>
        <v>BADERTSCHER DIANE</v>
      </c>
      <c r="M159" s="6">
        <f t="shared" si="71"/>
        <v>2.6736111110949423E-2</v>
      </c>
      <c r="N159" s="7">
        <f t="shared" si="83"/>
        <v>38.499999999767169</v>
      </c>
      <c r="O159" s="7"/>
      <c r="P159" s="7"/>
      <c r="Q159" s="23"/>
      <c r="R159" s="23"/>
      <c r="S159" s="35">
        <f t="shared" si="85"/>
        <v>1</v>
      </c>
      <c r="T159" s="50" t="str">
        <f t="shared" si="72"/>
        <v>NorthBound</v>
      </c>
      <c r="U159" s="171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12</v>
      </c>
      <c r="V159" s="98" t="str">
        <f t="shared" si="73"/>
        <v>https://search-rtdc-monitor-bjffxe2xuh6vdkpspy63sjmuny.us-east-1.es.amazonaws.com/_plugin/kibana/#/discover/Steve-Slow-Train-Analysis-(2080s-and-2083s)?_g=(refreshInterval:(display:Off,section:0,value:0),time:(from:'2016-12-10 23:45:25-700',mode:absolute,to:'2016-12-11 02:38:47-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201053%20OR%202087)%20AND%20%22rtdc.l.rtdc.4020%22')),sort:!(Time,asc))</v>
      </c>
      <c r="W159" s="52" t="str">
        <f t="shared" ref="W159:W168" si="87">IF(AA159&lt;IF(AG159="EC",23,5.65),"Y","N")</f>
        <v>N</v>
      </c>
      <c r="X159" s="177">
        <f t="shared" ref="X159:X168" si="88">VALUE(LEFT(AD159,4))-VALUE(LEFT(AD158,4))</f>
        <v>1</v>
      </c>
      <c r="Y159" s="67">
        <f t="shared" si="86"/>
        <v>4.4600000000000001E-2</v>
      </c>
      <c r="Z159" s="67">
        <f t="shared" si="84"/>
        <v>23.33</v>
      </c>
      <c r="AA159" s="67">
        <f t="shared" si="76"/>
        <v>23.285399999999999</v>
      </c>
      <c r="AB159" s="64" t="e">
        <f>VLOOKUP(A159,Enforcements!$C$7:$K$20,8,0)</f>
        <v>#N/A</v>
      </c>
      <c r="AC159" s="60" t="e">
        <f>VLOOKUP(A159,Enforcements!$C$7:$E$20,3,0)</f>
        <v>#N/A</v>
      </c>
      <c r="AD159" s="61" t="str">
        <f t="shared" si="77"/>
        <v>0245-10</v>
      </c>
      <c r="AE159" s="91" t="str">
        <f t="shared" si="78"/>
        <v>aws s3 cp s3://rtdc.mdm.uploadarchive.raw/RTDC4020/ "%USERPROFILE%\AppData\Local\Temp\OnboardLogs"\RTDC4020\2016-12-11 --exclude "*" --recursive --include "*20161211*" &amp; "%USERPROFILE%\Documents\GitHub\mrs-test-scripts\Headless Mode &amp; Sideloading\WalkAndUnGZ.bat" "%USERPROFILE%\AppData\Local\Temp\OnboardLogs"\RTDC4020\2016-12-11 &amp; aws s3 cp s3://rtdc.mdm.uploadarchive.raw/RTDC4020/ "%USERPROFILE%\AppData\Local\Temp\OnboardLogs"\RTDC4020\2016-12-12 --exclude "*" --recursive --include "*20161212*" &amp; "%USERPROFILE%\Documents\GitHub\mrs-test-scripts\Headless Mode &amp; Sideloading\WalkAndUnGZ.bat" "%USERPROFILE%\AppData\Local\Temp\OnboardLogs"\RTDC4020\2016-12-12</v>
      </c>
      <c r="AF159" s="88" t="str">
        <f t="shared" si="79"/>
        <v>"C:\Program Files (x86)\AstroGrep\AstroGrep.exe" /spath="%USERPROFILE%\AppData\Local\Temp\OnboardLogs" /stypes="app*4020*20161211*" /stext=" 08:.+((SYSTEM_STATE.+slice.+state.+changed )|(ment ac)|(multiple cpu faults)|(system.+state.+changed )|(\[timeout)|(PRM\|1\|D)|(kpr)|(kdp)|(\|lc)|(penalty))" /e /r /s</v>
      </c>
      <c r="AG159" s="1" t="str">
        <f t="shared" si="80"/>
        <v>EC</v>
      </c>
      <c r="AH159" s="92" t="str">
        <f t="shared" si="81"/>
        <v>"%USERPROFILE%\Documents\GitHub\eaglep3\Utilities\RefineRTDCRunTimes.py" --tripid 245-10 --locoid 4020 --swversion DE.1.0.8.0 --startMP 204:446 --initTime 2016-12-11T00:45:25 --startdatetime 2016-12-11T01:00:17 --delay 1 --endMP 204:233300 --enddatetime 2016-12-11T01:38:47 --enforcementcount 1 &gt;&gt;C:\Users\stu\Documents\GitHub\eaglep3-reporting\EC\2016-12-10-refined-times.txt</v>
      </c>
      <c r="AI159" s="119" t="str">
        <f t="shared" si="82"/>
        <v>echo {"issue":{"subject":"","project_id":79,"tracker_id":40,"status_id":1,"priority_id":2,"assigned_to_id":23,"start_date":"2016-12-11","description":"","custom_fields":[{"id":1,"name":"Subdivision","value":"EC"},{"id":4,"name":"Milepost","value":"23.33"},{"id":17,"name":"Train ID","value":"245-10"},{"id":16,"name":"Locomotive ID","value":"4020"},{"id":130,"name":"Impact","value":""},{"id":150,"name":"Time of Event (Mountain Time)","value":"01:38:47"},{"id":151,"name":"Denver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9" s="53"/>
      <c r="AK159" s="53"/>
      <c r="AL159" s="53"/>
    </row>
    <row r="160" spans="1:91" s="21" customFormat="1" x14ac:dyDescent="0.25">
      <c r="A160" s="37" t="s">
        <v>631</v>
      </c>
      <c r="B160" s="7">
        <v>4019</v>
      </c>
      <c r="C160" s="22" t="s">
        <v>207</v>
      </c>
      <c r="D160" s="22" t="s">
        <v>672</v>
      </c>
      <c r="E160" s="13">
        <v>42715.070937500001</v>
      </c>
      <c r="F160" s="13">
        <v>42715.080740740741</v>
      </c>
      <c r="G160" s="7">
        <v>1</v>
      </c>
      <c r="H160" s="22" t="s">
        <v>205</v>
      </c>
      <c r="I160" s="13">
        <v>42715.109490740739</v>
      </c>
      <c r="J160" s="7">
        <v>1</v>
      </c>
      <c r="K160" s="109" t="str">
        <f t="shared" si="70"/>
        <v>4019/4020</v>
      </c>
      <c r="L160" s="22" t="str">
        <f>VLOOKUP(A160,'Trips&amp;Operators'!$C$1:$G$99999,5,FALSE)</f>
        <v>BADERTSCHER DIANE</v>
      </c>
      <c r="M160" s="6">
        <f t="shared" si="71"/>
        <v>2.8749999997671694E-2</v>
      </c>
      <c r="N160" s="7">
        <f t="shared" si="83"/>
        <v>41.399999996647239</v>
      </c>
      <c r="O160" s="7"/>
      <c r="P160" s="7"/>
      <c r="Q160" s="23"/>
      <c r="R160" s="23"/>
      <c r="S160" s="35">
        <f t="shared" si="85"/>
        <v>1</v>
      </c>
      <c r="T160" s="50" t="str">
        <f t="shared" si="72"/>
        <v>Southbound</v>
      </c>
      <c r="U160" s="171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12</v>
      </c>
      <c r="V160" s="98" t="str">
        <f t="shared" si="73"/>
        <v>https://search-rtdc-monitor-bjffxe2xuh6vdkpspy63sjmuny.us-east-1.es.amazonaws.com/_plugin/kibana/#/discover/Steve-Slow-Train-Analysis-(2080s-and-2083s)?_g=(refreshInterval:(display:Off,section:0,value:0),time:(from:'2016-12-11 00:42:09-700',mode:absolute,to:'2016-12-11 03:37:40-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201053%20OR%202087)%20AND%20%22rtdc.l.rtdc.4019%22')),sort:!(Time,asc))</v>
      </c>
      <c r="W160" s="52" t="str">
        <f t="shared" si="87"/>
        <v>N</v>
      </c>
      <c r="X160" s="177">
        <f t="shared" si="88"/>
        <v>1</v>
      </c>
      <c r="Y160" s="67">
        <f t="shared" si="86"/>
        <v>23.298300000000001</v>
      </c>
      <c r="Z160" s="67">
        <f t="shared" si="84"/>
        <v>1.5599999999999999E-2</v>
      </c>
      <c r="AA160" s="67">
        <f t="shared" si="76"/>
        <v>23.282700000000002</v>
      </c>
      <c r="AB160" s="64" t="e">
        <f>VLOOKUP(A160,Enforcements!$C$7:$K$20,8,0)</f>
        <v>#N/A</v>
      </c>
      <c r="AC160" s="60" t="e">
        <f>VLOOKUP(A160,Enforcements!$C$7:$E$20,3,0)</f>
        <v>#N/A</v>
      </c>
      <c r="AD160" s="61" t="str">
        <f t="shared" si="77"/>
        <v>0246-10</v>
      </c>
      <c r="AE160" s="91" t="str">
        <f t="shared" si="78"/>
        <v>aws s3 cp s3://rtdc.mdm.uploadarchive.raw/RTDC4019/ "%USERPROFILE%\AppData\Local\Temp\OnboardLogs"\RTDC4019\2016-12-11 --exclude "*" --recursive --include "*20161211*" &amp; "%USERPROFILE%\Documents\GitHub\mrs-test-scripts\Headless Mode &amp; Sideloading\WalkAndUnGZ.bat" "%USERPROFILE%\AppData\Local\Temp\OnboardLogs"\RTDC4019\2016-12-11 &amp; aws s3 cp s3://rtdc.mdm.uploadarchive.raw/RTDC4019/ "%USERPROFILE%\AppData\Local\Temp\OnboardLogs"\RTDC4019\2016-12-12 --exclude "*" --recursive --include "*20161212*" &amp; "%USERPROFILE%\Documents\GitHub\mrs-test-scripts\Headless Mode &amp; Sideloading\WalkAndUnGZ.bat" "%USERPROFILE%\AppData\Local\Temp\OnboardLogs"\RTDC4019\2016-12-12</v>
      </c>
      <c r="AF160" s="88" t="str">
        <f t="shared" si="79"/>
        <v>"C:\Program Files (x86)\AstroGrep\AstroGrep.exe" /spath="%USERPROFILE%\AppData\Local\Temp\OnboardLogs" /stypes="app*4019*20161211*" /stext=" 09:.+((SYSTEM_STATE.+slice.+state.+changed )|(ment ac)|(multiple cpu faults)|(system.+state.+changed )|(\[timeout)|(PRM\|1\|D)|(kpr)|(kdp)|(\|lc)|(penalty))" /e /r /s</v>
      </c>
      <c r="AG160" s="1" t="str">
        <f t="shared" si="80"/>
        <v>EC</v>
      </c>
      <c r="AH160" s="92" t="str">
        <f t="shared" si="81"/>
        <v>"%USERPROFILE%\Documents\GitHub\eaglep3\Utilities\RefineRTDCRunTimes.py" --tripid 246-10 --locoid 4019 --swversion DE.1.0.8.0 --startMP 204:232983 --initTime 2016-12-11T01:42:09 --startdatetime 2016-12-11T01:56:16 --delay 1 --endMP 204:156 --enddatetime 2016-12-11T02:37:40 --enforcementcount 1 &gt;&gt;C:\Users\stu\Documents\GitHub\eaglep3-reporting\EC\2016-12-10-refined-times.txt</v>
      </c>
      <c r="AI160" s="119" t="str">
        <f t="shared" si="82"/>
        <v>echo {"issue":{"subject":"","project_id":79,"tracker_id":40,"status_id":1,"priority_id":2,"assigned_to_id":23,"start_date":"2016-12-11","description":"","custom_fields":[{"id":1,"name":"Subdivision","value":"EC"},{"id":4,"name":"Milepost","value":"0.0156"},{"id":17,"name":"Train ID","value":"246-10"},{"id":16,"name":"Locomotive ID","value":"4019"},{"id":130,"name":"Impact","value":""},{"id":150,"name":"Time of Event (Mountain Time)","value":"02:37:40"},{"id":151,"name":"Denver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0" s="53"/>
      <c r="AK160" s="53"/>
      <c r="AL160" s="53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</row>
    <row r="161" spans="1:91" x14ac:dyDescent="0.25">
      <c r="A161" s="37" t="s">
        <v>475</v>
      </c>
      <c r="B161" s="7">
        <v>4032</v>
      </c>
      <c r="C161" s="22" t="s">
        <v>207</v>
      </c>
      <c r="D161" s="22" t="s">
        <v>403</v>
      </c>
      <c r="E161" s="13">
        <v>42714.233738425923</v>
      </c>
      <c r="F161" s="13">
        <v>42714.236851851849</v>
      </c>
      <c r="G161" s="7">
        <v>1</v>
      </c>
      <c r="H161" s="22" t="s">
        <v>695</v>
      </c>
      <c r="I161" s="13">
        <v>42714.247118055559</v>
      </c>
      <c r="J161" s="7">
        <v>1</v>
      </c>
      <c r="K161" s="109" t="str">
        <f t="shared" si="70"/>
        <v>4031/4032</v>
      </c>
      <c r="L161" s="22" t="str">
        <f>VLOOKUP(A161,'Trips&amp;Operators'!$C$1:$G$99999,5,FALSE)</f>
        <v>YORK EDGAR</v>
      </c>
      <c r="M161" s="6">
        <f t="shared" si="71"/>
        <v>1.0266203709761612E-2</v>
      </c>
      <c r="N161" s="7">
        <f t="shared" si="83"/>
        <v>14.783333342056721</v>
      </c>
      <c r="O161" s="7"/>
      <c r="P161" s="7"/>
      <c r="Q161" s="23"/>
      <c r="R161" s="23"/>
      <c r="S161" s="35">
        <f t="shared" si="85"/>
        <v>1</v>
      </c>
      <c r="T161" s="50" t="str">
        <f t="shared" si="72"/>
        <v>Southbound</v>
      </c>
      <c r="U161" s="171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98" t="str">
        <f t="shared" si="73"/>
        <v>https://search-rtdc-monitor-bjffxe2xuh6vdkpspy63sjmuny.us-east-1.es.amazonaws.com/_plugin/kibana/#/discover/Steve-Slow-Train-Analysis-(2080s-and-2083s)?_g=(refreshInterval:(display:Off,section:0,value:0),time:(from:'2016-12-10 04:36:35-700',mode:absolute,to:'2016-12-10 06:55:51-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201053%20OR%202087)%20AND%20%22rtdc.l.rtdc.4032%22')),sort:!(Time,asc))</v>
      </c>
      <c r="W161" s="52" t="str">
        <f t="shared" si="87"/>
        <v>N</v>
      </c>
      <c r="X161" s="177">
        <f t="shared" si="88"/>
        <v>1554</v>
      </c>
      <c r="Y161" s="67">
        <f t="shared" si="86"/>
        <v>5.8616999999999999</v>
      </c>
      <c r="Z161" s="67">
        <f t="shared" si="84"/>
        <v>7.3300000000000004E-2</v>
      </c>
      <c r="AA161" s="67">
        <f t="shared" si="76"/>
        <v>5.7884000000000002</v>
      </c>
      <c r="AB161" s="64" t="e">
        <f>VLOOKUP(A161,Enforcements!$C$7:$K$20,8,0)</f>
        <v>#N/A</v>
      </c>
      <c r="AC161" s="60" t="e">
        <f>VLOOKUP(A161,Enforcements!$C$7:$E$20,3,0)</f>
        <v>#N/A</v>
      </c>
      <c r="AD161" s="61" t="str">
        <f t="shared" si="77"/>
        <v>1800-10</v>
      </c>
      <c r="AE161" s="91" t="str">
        <f t="shared" si="78"/>
        <v>aws s3 cp s3://rtdc.mdm.uploadarchive.raw/RTDC4032/ "%USERPROFILE%\AppData\Local\Temp\OnboardLogs"\RTDC4032\2016-12-10 --exclude "*" --recursive --include "*20161210*" &amp; "%USERPROFILE%\Documents\GitHub\mrs-test-scripts\Headless Mode &amp; Sideloading\WalkAndUnGZ.bat" "%USERPROFILE%\AppData\Local\Temp\OnboardLogs"\RTDC4032\2016-12-10 &amp; aws s3 cp s3://rtdc.mdm.uploadarchive.raw/RTDC4032/ "%USERPROFILE%\AppData\Local\Temp\OnboardLogs"\RTDC4032\2016-12-11 --exclude "*" --recursive --include "*20161211*" &amp; "%USERPROFILE%\Documents\GitHub\mrs-test-scripts\Headless Mode &amp; Sideloading\WalkAndUnGZ.bat" "%USERPROFILE%\AppData\Local\Temp\OnboardLogs"\RTDC4032\2016-12-11</v>
      </c>
      <c r="AF161" s="88" t="str">
        <f t="shared" si="79"/>
        <v>"C:\Program Files (x86)\AstroGrep\AstroGrep.exe" /spath="%USERPROFILE%\AppData\Local\Temp\OnboardLogs" /stypes="app*4032*20161210*" /stext=" 12:.+((SYSTEM_STATE.+slice.+state.+changed )|(ment ac)|(multiple cpu faults)|(system.+state.+changed )|(\[timeout)|(PRM\|1\|D)|(kpr)|(kdp)|(\|lc)|(penalty))" /e /r /s</v>
      </c>
      <c r="AG161" s="1" t="str">
        <f t="shared" si="80"/>
        <v>NW</v>
      </c>
      <c r="AH161" s="92" t="str">
        <f t="shared" si="81"/>
        <v>"%USERPROFILE%\Documents\GitHub\eaglep3\Utilities\RefineRTDCRunTimes.py" --tripid 1800-10 --locoid 4032 --swversion DE.1.0.8.0 --startMP 300:58617 --initTime 2016-12-10T05:36:35 --startdatetime 2016-12-10T05:41:04 --delay 1 --endMP 204:733 --enddatetime 2016-12-10T05:55:51 --enforcementcount 1 &gt;&gt;C:\Users\stu\Documents\GitHub\eaglep3-reporting\EC\2016-12-10-refined-times.txt</v>
      </c>
      <c r="AI161" s="119" t="str">
        <f t="shared" si="82"/>
        <v>echo {"issue":{"subject":"","project_id":79,"tracker_id":40,"status_id":1,"priority_id":2,"assigned_to_id":23,"start_date":"2016-12-10","description":"","custom_fields":[{"id":1,"name":"Subdivision","value":"NW"},{"id":4,"name":"Milepost","value":"0.0733"},{"id":17,"name":"Train ID","value":"1800-10"},{"id":16,"name":"Locomotive ID","value":"4032"},{"id":130,"name":"Impact","value":""},{"id":150,"name":"Time of Event (Mountain Time)","value":"05:55:51"},{"id":151,"name":"Denver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1" s="53"/>
      <c r="AK161" s="53"/>
      <c r="AL161" s="53"/>
    </row>
    <row r="162" spans="1:91" s="21" customFormat="1" x14ac:dyDescent="0.25">
      <c r="A162" s="37" t="s">
        <v>479</v>
      </c>
      <c r="B162" s="7">
        <v>4031</v>
      </c>
      <c r="C162" s="22" t="s">
        <v>207</v>
      </c>
      <c r="D162" s="22" t="s">
        <v>696</v>
      </c>
      <c r="E162" s="13">
        <v>42714.248148148145</v>
      </c>
      <c r="F162" s="13">
        <v>42714.264918981484</v>
      </c>
      <c r="G162" s="7">
        <v>1</v>
      </c>
      <c r="H162" s="22" t="s">
        <v>401</v>
      </c>
      <c r="I162" s="13">
        <v>42714.273692129631</v>
      </c>
      <c r="J162" s="7">
        <v>1</v>
      </c>
      <c r="K162" s="109" t="str">
        <f t="shared" si="70"/>
        <v>4031/4032</v>
      </c>
      <c r="L162" s="22" t="str">
        <f>VLOOKUP(A162,'Trips&amp;Operators'!$C$1:$G$99999,5,FALSE)</f>
        <v>YORK EDGAR</v>
      </c>
      <c r="M162" s="6">
        <f t="shared" si="71"/>
        <v>8.7731481471564621E-3</v>
      </c>
      <c r="N162" s="7">
        <f t="shared" si="83"/>
        <v>12.633333331905305</v>
      </c>
      <c r="O162" s="7"/>
      <c r="P162" s="7"/>
      <c r="Q162" s="23"/>
      <c r="R162" s="23"/>
      <c r="S162" s="35">
        <f t="shared" si="85"/>
        <v>1</v>
      </c>
      <c r="T162" s="50" t="str">
        <f t="shared" si="72"/>
        <v>NorthBound</v>
      </c>
      <c r="U162" s="171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98" t="str">
        <f t="shared" si="73"/>
        <v>https://search-rtdc-monitor-bjffxe2xuh6vdkpspy63sjmuny.us-east-1.es.amazonaws.com/_plugin/kibana/#/discover/Steve-Slow-Train-Analysis-(2080s-and-2083s)?_g=(refreshInterval:(display:Off,section:0,value:0),time:(from:'2016-12-10 04:57:20-700',mode:absolute,to:'2016-12-10 07:34:07-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201053%20OR%202087)%20AND%20%22rtdc.l.rtdc.4031%22')),sort:!(Time,asc))</v>
      </c>
      <c r="W162" s="52" t="str">
        <f t="shared" si="87"/>
        <v>N</v>
      </c>
      <c r="X162" s="177">
        <f t="shared" si="88"/>
        <v>1</v>
      </c>
      <c r="Y162" s="67">
        <f t="shared" si="86"/>
        <v>0.1021</v>
      </c>
      <c r="Z162" s="67">
        <f t="shared" si="84"/>
        <v>5.8933</v>
      </c>
      <c r="AA162" s="67">
        <f t="shared" si="76"/>
        <v>5.7911999999999999</v>
      </c>
      <c r="AB162" s="64" t="e">
        <f>VLOOKUP(A162,Enforcements!$C$7:$K$20,8,0)</f>
        <v>#N/A</v>
      </c>
      <c r="AC162" s="60" t="e">
        <f>VLOOKUP(A162,Enforcements!$C$7:$E$20,3,0)</f>
        <v>#N/A</v>
      </c>
      <c r="AD162" s="61" t="str">
        <f t="shared" si="77"/>
        <v>1801-10</v>
      </c>
      <c r="AE162" s="91" t="str">
        <f t="shared" si="78"/>
        <v>aws s3 cp s3://rtdc.mdm.uploadarchive.raw/RTDC4031/ "%USERPROFILE%\AppData\Local\Temp\OnboardLogs"\RTDC4031\2016-12-10 --exclude "*" --recursive --include "*20161210*" &amp; "%USERPROFILE%\Documents\GitHub\mrs-test-scripts\Headless Mode &amp; Sideloading\WalkAndUnGZ.bat" "%USERPROFILE%\AppData\Local\Temp\OnboardLogs"\RTDC4031\2016-12-10 &amp; aws s3 cp s3://rtdc.mdm.uploadarchive.raw/RTDC4031/ "%USERPROFILE%\AppData\Local\Temp\OnboardLogs"\RTDC4031\2016-12-11 --exclude "*" --recursive --include "*20161211*" &amp; "%USERPROFILE%\Documents\GitHub\mrs-test-scripts\Headless Mode &amp; Sideloading\WalkAndUnGZ.bat" "%USERPROFILE%\AppData\Local\Temp\OnboardLogs"\RTDC4031\2016-12-11</v>
      </c>
      <c r="AF162" s="88" t="str">
        <f t="shared" si="79"/>
        <v>"C:\Program Files (x86)\AstroGrep\AstroGrep.exe" /spath="%USERPROFILE%\AppData\Local\Temp\OnboardLogs" /stypes="app*4031*20161210*" /stext=" 13:.+((SYSTEM_STATE.+slice.+state.+changed )|(ment ac)|(multiple cpu faults)|(system.+state.+changed )|(\[timeout)|(PRM\|1\|D)|(kpr)|(kdp)|(\|lc)|(penalty))" /e /r /s</v>
      </c>
      <c r="AG162" s="1" t="str">
        <f t="shared" si="80"/>
        <v>NW</v>
      </c>
      <c r="AH162" s="92" t="str">
        <f t="shared" si="81"/>
        <v>"%USERPROFILE%\Documents\GitHub\eaglep3\Utilities\RefineRTDCRunTimes.py" --tripid 1801-10 --locoid 4031 --swversion DE.1.0.8.0 --startMP 204:1021 --initTime 2016-12-10T05:57:20 --startdatetime 2016-12-10T06:21:29 --delay 1 --endMP 300:58933 --enddatetime 2016-12-10T06:34:07 --enforcementcount 1 &gt;&gt;C:\Users\stu\Documents\GitHub\eaglep3-reporting\EC\2016-12-10-refined-times.txt</v>
      </c>
      <c r="AI162" s="119" t="str">
        <f t="shared" si="82"/>
        <v>echo {"issue":{"subject":"","project_id":79,"tracker_id":40,"status_id":1,"priority_id":2,"assigned_to_id":23,"start_date":"2016-12-10","description":"","custom_fields":[{"id":1,"name":"Subdivision","value":"NW"},{"id":4,"name":"Milepost","value":"5.8933"},{"id":17,"name":"Train ID","value":"1801-10"},{"id":16,"name":"Locomotive ID","value":"4031"},{"id":130,"name":"Impact","value":""},{"id":150,"name":"Time of Event (Mountain Time)","value":"06:34:07"},{"id":151,"name":"Denver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2" s="53"/>
      <c r="AK162" s="53"/>
      <c r="AL162" s="53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</row>
    <row r="163" spans="1:91" s="21" customFormat="1" x14ac:dyDescent="0.25">
      <c r="A163" s="37" t="s">
        <v>483</v>
      </c>
      <c r="B163" s="7">
        <v>4032</v>
      </c>
      <c r="C163" s="22" t="s">
        <v>207</v>
      </c>
      <c r="D163" s="22" t="s">
        <v>697</v>
      </c>
      <c r="E163" s="13">
        <v>42714.275208333333</v>
      </c>
      <c r="F163" s="13">
        <v>42714.276597222219</v>
      </c>
      <c r="G163" s="7">
        <v>1</v>
      </c>
      <c r="H163" s="22" t="s">
        <v>698</v>
      </c>
      <c r="I163" s="13">
        <v>42714.28765046296</v>
      </c>
      <c r="J163" s="7">
        <v>1</v>
      </c>
      <c r="K163" s="109" t="str">
        <f t="shared" si="70"/>
        <v>4031/4032</v>
      </c>
      <c r="L163" s="22" t="str">
        <f>VLOOKUP(A163,'Trips&amp;Operators'!$C$1:$G$99999,5,FALSE)</f>
        <v>YORK EDGAR</v>
      </c>
      <c r="M163" s="6">
        <f t="shared" si="71"/>
        <v>1.1053240741603076E-2</v>
      </c>
      <c r="N163" s="7">
        <f t="shared" si="83"/>
        <v>15.91666666790843</v>
      </c>
      <c r="O163" s="7"/>
      <c r="P163" s="7"/>
      <c r="Q163" s="23"/>
      <c r="R163" s="23"/>
      <c r="S163" s="35">
        <f t="shared" si="85"/>
        <v>1</v>
      </c>
      <c r="T163" s="50" t="str">
        <f t="shared" si="72"/>
        <v>Southbound</v>
      </c>
      <c r="U163" s="171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98" t="str">
        <f t="shared" si="73"/>
        <v>https://search-rtdc-monitor-bjffxe2xuh6vdkpspy63sjmuny.us-east-1.es.amazonaws.com/_plugin/kibana/#/discover/Steve-Slow-Train-Analysis-(2080s-and-2083s)?_g=(refreshInterval:(display:Off,section:0,value:0),time:(from:'2016-12-10 05:36:18-700',mode:absolute,to:'2016-12-10 07:54:13-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201053%20OR%202087)%20AND%20%22rtdc.l.rtdc.4032%22')),sort:!(Time,asc))</v>
      </c>
      <c r="W163" s="52" t="str">
        <f t="shared" si="87"/>
        <v>N</v>
      </c>
      <c r="X163" s="177">
        <f t="shared" si="88"/>
        <v>1</v>
      </c>
      <c r="Y163" s="67">
        <f t="shared" si="86"/>
        <v>5.8613</v>
      </c>
      <c r="Z163" s="67">
        <f t="shared" si="84"/>
        <v>7.3800000000000004E-2</v>
      </c>
      <c r="AA163" s="67">
        <f t="shared" si="76"/>
        <v>5.7874999999999996</v>
      </c>
      <c r="AB163" s="64" t="e">
        <f>VLOOKUP(A163,Enforcements!$C$7:$K$20,8,0)</f>
        <v>#N/A</v>
      </c>
      <c r="AC163" s="60" t="e">
        <f>VLOOKUP(A163,Enforcements!$C$7:$E$20,3,0)</f>
        <v>#N/A</v>
      </c>
      <c r="AD163" s="61" t="str">
        <f t="shared" si="77"/>
        <v>1802-10</v>
      </c>
      <c r="AE163" s="91" t="str">
        <f t="shared" si="78"/>
        <v>aws s3 cp s3://rtdc.mdm.uploadarchive.raw/RTDC4032/ "%USERPROFILE%\AppData\Local\Temp\OnboardLogs"\RTDC4032\2016-12-10 --exclude "*" --recursive --include "*20161210*" &amp; "%USERPROFILE%\Documents\GitHub\mrs-test-scripts\Headless Mode &amp; Sideloading\WalkAndUnGZ.bat" "%USERPROFILE%\AppData\Local\Temp\OnboardLogs"\RTDC4032\2016-12-10 &amp; aws s3 cp s3://rtdc.mdm.uploadarchive.raw/RTDC4032/ "%USERPROFILE%\AppData\Local\Temp\OnboardLogs"\RTDC4032\2016-12-11 --exclude "*" --recursive --include "*20161211*" &amp; "%USERPROFILE%\Documents\GitHub\mrs-test-scripts\Headless Mode &amp; Sideloading\WalkAndUnGZ.bat" "%USERPROFILE%\AppData\Local\Temp\OnboardLogs"\RTDC4032\2016-12-11</v>
      </c>
      <c r="AF163" s="88" t="str">
        <f t="shared" si="79"/>
        <v>"C:\Program Files (x86)\AstroGrep\AstroGrep.exe" /spath="%USERPROFILE%\AppData\Local\Temp\OnboardLogs" /stypes="app*4032*20161210*" /stext=" 13:.+((SYSTEM_STATE.+slice.+state.+changed )|(ment ac)|(multiple cpu faults)|(system.+state.+changed )|(\[timeout)|(PRM\|1\|D)|(kpr)|(kdp)|(\|lc)|(penalty))" /e /r /s</v>
      </c>
      <c r="AG163" s="1" t="str">
        <f t="shared" si="80"/>
        <v>NW</v>
      </c>
      <c r="AH163" s="92" t="str">
        <f t="shared" si="81"/>
        <v>"%USERPROFILE%\Documents\GitHub\eaglep3\Utilities\RefineRTDCRunTimes.py" --tripid 1802-10 --locoid 4032 --swversion DE.1.0.8.0 --startMP 300:58613 --initTime 2016-12-10T06:36:18 --startdatetime 2016-12-10T06:38:18 --delay 1 --endMP 204:738 --enddatetime 2016-12-10T06:54:13 --enforcementcount 1 &gt;&gt;C:\Users\stu\Documents\GitHub\eaglep3-reporting\EC\2016-12-10-refined-times.txt</v>
      </c>
      <c r="AI163" s="119" t="str">
        <f t="shared" si="82"/>
        <v>echo {"issue":{"subject":"","project_id":79,"tracker_id":40,"status_id":1,"priority_id":2,"assigned_to_id":23,"start_date":"2016-12-10","description":"","custom_fields":[{"id":1,"name":"Subdivision","value":"NW"},{"id":4,"name":"Milepost","value":"0.0738"},{"id":17,"name":"Train ID","value":"1802-10"},{"id":16,"name":"Locomotive ID","value":"4032"},{"id":130,"name":"Impact","value":""},{"id":150,"name":"Time of Event (Mountain Time)","value":"06:54:13"},{"id":151,"name":"Denver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3" s="53"/>
      <c r="AK163" s="53"/>
      <c r="AL163" s="5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</row>
    <row r="164" spans="1:91" s="21" customFormat="1" x14ac:dyDescent="0.25">
      <c r="A164" s="37" t="s">
        <v>485</v>
      </c>
      <c r="B164" s="7">
        <v>4031</v>
      </c>
      <c r="C164" s="22" t="s">
        <v>207</v>
      </c>
      <c r="D164" s="22" t="s">
        <v>699</v>
      </c>
      <c r="E164" s="13">
        <v>42714.288564814815</v>
      </c>
      <c r="F164" s="13">
        <v>42714.306493055556</v>
      </c>
      <c r="G164" s="7">
        <v>0</v>
      </c>
      <c r="H164" s="22" t="s">
        <v>402</v>
      </c>
      <c r="I164" s="13">
        <v>42714.315358796295</v>
      </c>
      <c r="J164" s="7">
        <v>1</v>
      </c>
      <c r="K164" s="109" t="str">
        <f t="shared" si="70"/>
        <v>4031/4032</v>
      </c>
      <c r="L164" s="22" t="str">
        <f>VLOOKUP(A164,'Trips&amp;Operators'!$C$1:$G$99999,5,FALSE)</f>
        <v>YORK EDGAR</v>
      </c>
      <c r="M164" s="6">
        <f t="shared" si="71"/>
        <v>8.8657407395658083E-3</v>
      </c>
      <c r="N164" s="7">
        <f t="shared" si="83"/>
        <v>12.766666664974764</v>
      </c>
      <c r="O164" s="7"/>
      <c r="P164" s="7"/>
      <c r="Q164" s="23"/>
      <c r="R164" s="23"/>
      <c r="S164" s="35">
        <f t="shared" si="85"/>
        <v>1</v>
      </c>
      <c r="T164" s="50" t="str">
        <f t="shared" si="72"/>
        <v>NorthBound</v>
      </c>
      <c r="U164" s="171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98" t="str">
        <f t="shared" si="73"/>
        <v>https://search-rtdc-monitor-bjffxe2xuh6vdkpspy63sjmuny.us-east-1.es.amazonaws.com/_plugin/kibana/#/discover/Steve-Slow-Train-Analysis-(2080s-and-2083s)?_g=(refreshInterval:(display:Off,section:0,value:0),time:(from:'2016-12-10 05:55:32-700',mode:absolute,to:'2016-12-10 08:34:07-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201053%20OR%202087)%20AND%20%22rtdc.l.rtdc.4031%22')),sort:!(Time,asc))</v>
      </c>
      <c r="W164" s="52" t="str">
        <f t="shared" si="87"/>
        <v>N</v>
      </c>
      <c r="X164" s="177">
        <f t="shared" si="88"/>
        <v>1</v>
      </c>
      <c r="Y164" s="67">
        <f t="shared" si="86"/>
        <v>0.1028</v>
      </c>
      <c r="Z164" s="67">
        <f t="shared" si="84"/>
        <v>5.8939000000000004</v>
      </c>
      <c r="AA164" s="67">
        <f t="shared" si="76"/>
        <v>5.7911000000000001</v>
      </c>
      <c r="AB164" s="64" t="e">
        <f>VLOOKUP(A164,Enforcements!$C$7:$K$20,8,0)</f>
        <v>#N/A</v>
      </c>
      <c r="AC164" s="60" t="e">
        <f>VLOOKUP(A164,Enforcements!$C$7:$E$20,3,0)</f>
        <v>#N/A</v>
      </c>
      <c r="AD164" s="61" t="str">
        <f t="shared" si="77"/>
        <v>1803-10</v>
      </c>
      <c r="AE164" s="91" t="str">
        <f t="shared" si="78"/>
        <v>aws s3 cp s3://rtdc.mdm.uploadarchive.raw/RTDC4031/ "%USERPROFILE%\AppData\Local\Temp\OnboardLogs"\RTDC4031\2016-12-10 --exclude "*" --recursive --include "*20161210*" &amp; "%USERPROFILE%\Documents\GitHub\mrs-test-scripts\Headless Mode &amp; Sideloading\WalkAndUnGZ.bat" "%USERPROFILE%\AppData\Local\Temp\OnboardLogs"\RTDC4031\2016-12-10 &amp; aws s3 cp s3://rtdc.mdm.uploadarchive.raw/RTDC4031/ "%USERPROFILE%\AppData\Local\Temp\OnboardLogs"\RTDC4031\2016-12-11 --exclude "*" --recursive --include "*20161211*" &amp; "%USERPROFILE%\Documents\GitHub\mrs-test-scripts\Headless Mode &amp; Sideloading\WalkAndUnGZ.bat" "%USERPROFILE%\AppData\Local\Temp\OnboardLogs"\RTDC4031\2016-12-11</v>
      </c>
      <c r="AF164" s="88" t="str">
        <f t="shared" si="79"/>
        <v>"C:\Program Files (x86)\AstroGrep\AstroGrep.exe" /spath="%USERPROFILE%\AppData\Local\Temp\OnboardLogs" /stypes="app*4031*20161210*" /stext=" 14:.+((SYSTEM_STATE.+slice.+state.+changed )|(ment ac)|(multiple cpu faults)|(system.+state.+changed )|(\[timeout)|(PRM\|1\|D)|(kpr)|(kdp)|(\|lc)|(penalty))" /e /r /s</v>
      </c>
      <c r="AG164" s="1" t="str">
        <f t="shared" si="80"/>
        <v>NW</v>
      </c>
      <c r="AH164" s="92" t="str">
        <f t="shared" si="81"/>
        <v>"%USERPROFILE%\Documents\GitHub\eaglep3\Utilities\RefineRTDCRunTimes.py" --tripid 1803-10 --locoid 4031 --swversion DE.1.0.8.0 --startMP 204:1028 --initTime 2016-12-10T06:55:32 --startdatetime 2016-12-10T07:21:21 --delay 0 --endMP 300:58939 --enddatetime 2016-12-10T07:34:07 --enforcementcount 1 &gt;&gt;C:\Users\stu\Documents\GitHub\eaglep3-reporting\EC\2016-12-10-refined-times.txt</v>
      </c>
      <c r="AI164" s="119" t="str">
        <f t="shared" si="82"/>
        <v>echo {"issue":{"subject":"","project_id":79,"tracker_id":40,"status_id":1,"priority_id":2,"assigned_to_id":23,"start_date":"2016-12-10","description":"","custom_fields":[{"id":1,"name":"Subdivision","value":"NW"},{"id":4,"name":"Milepost","value":"5.8939"},{"id":17,"name":"Train ID","value":"1803-10"},{"id":16,"name":"Locomotive ID","value":"4031"},{"id":130,"name":"Impact","value":""},{"id":150,"name":"Time of Event (Mountain Time)","value":"07:34:07"},{"id":151,"name":"Denver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4" s="53"/>
      <c r="AK164" s="53"/>
      <c r="AL164" s="53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</row>
    <row r="165" spans="1:91" x14ac:dyDescent="0.25">
      <c r="A165" s="37" t="s">
        <v>491</v>
      </c>
      <c r="B165" s="7">
        <v>4032</v>
      </c>
      <c r="C165" s="22" t="s">
        <v>207</v>
      </c>
      <c r="D165" s="22" t="s">
        <v>403</v>
      </c>
      <c r="E165" s="13">
        <v>42714.316620370373</v>
      </c>
      <c r="F165" s="13">
        <v>42714.319143518522</v>
      </c>
      <c r="G165" s="7">
        <v>2</v>
      </c>
      <c r="H165" s="22" t="s">
        <v>700</v>
      </c>
      <c r="I165" s="13">
        <v>42714.329143518517</v>
      </c>
      <c r="J165" s="7">
        <v>1</v>
      </c>
      <c r="K165" s="109" t="str">
        <f t="shared" si="70"/>
        <v>4031/4032</v>
      </c>
      <c r="L165" s="22" t="str">
        <f>VLOOKUP(A165,'Trips&amp;Operators'!$C$1:$G$99999,5,FALSE)</f>
        <v>YORK EDGAR</v>
      </c>
      <c r="M165" s="6">
        <f t="shared" si="71"/>
        <v>9.9999999947613105E-3</v>
      </c>
      <c r="N165" s="7">
        <f t="shared" si="83"/>
        <v>14.399999992456287</v>
      </c>
      <c r="O165" s="7"/>
      <c r="P165" s="7"/>
      <c r="Q165" s="23"/>
      <c r="R165" s="23"/>
      <c r="S165" s="35">
        <f t="shared" si="85"/>
        <v>1</v>
      </c>
      <c r="T165" s="50" t="str">
        <f t="shared" si="72"/>
        <v>Southbound</v>
      </c>
      <c r="U165" s="171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98" t="str">
        <f t="shared" si="73"/>
        <v>https://search-rtdc-monitor-bjffxe2xuh6vdkpspy63sjmuny.us-east-1.es.amazonaws.com/_plugin/kibana/#/discover/Steve-Slow-Train-Analysis-(2080s-and-2083s)?_g=(refreshInterval:(display:Off,section:0,value:0),time:(from:'2016-12-10 06:35:56-700',mode:absolute,to:'2016-12-10 08:53:58-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201053%20OR%202087)%20AND%20%22rtdc.l.rtdc.4032%22')),sort:!(Time,asc))</v>
      </c>
      <c r="W165" s="52" t="str">
        <f t="shared" si="87"/>
        <v>N</v>
      </c>
      <c r="X165" s="177">
        <f t="shared" si="88"/>
        <v>1</v>
      </c>
      <c r="Y165" s="67">
        <f t="shared" si="86"/>
        <v>5.8616999999999999</v>
      </c>
      <c r="Z165" s="67">
        <f t="shared" si="84"/>
        <v>7.3599999999999999E-2</v>
      </c>
      <c r="AA165" s="67">
        <f t="shared" si="76"/>
        <v>5.7881</v>
      </c>
      <c r="AB165" s="64" t="e">
        <f>VLOOKUP(A165,Enforcements!$C$7:$K$20,8,0)</f>
        <v>#N/A</v>
      </c>
      <c r="AC165" s="60" t="e">
        <f>VLOOKUP(A165,Enforcements!$C$7:$E$20,3,0)</f>
        <v>#N/A</v>
      </c>
      <c r="AD165" s="61" t="str">
        <f t="shared" si="77"/>
        <v>1804-10</v>
      </c>
      <c r="AE165" s="91" t="str">
        <f t="shared" si="78"/>
        <v>aws s3 cp s3://rtdc.mdm.uploadarchive.raw/RTDC4032/ "%USERPROFILE%\AppData\Local\Temp\OnboardLogs"\RTDC4032\2016-12-10 --exclude "*" --recursive --include "*20161210*" &amp; "%USERPROFILE%\Documents\GitHub\mrs-test-scripts\Headless Mode &amp; Sideloading\WalkAndUnGZ.bat" "%USERPROFILE%\AppData\Local\Temp\OnboardLogs"\RTDC4032\2016-12-10 &amp; aws s3 cp s3://rtdc.mdm.uploadarchive.raw/RTDC4032/ "%USERPROFILE%\AppData\Local\Temp\OnboardLogs"\RTDC4032\2016-12-11 --exclude "*" --recursive --include "*20161211*" &amp; "%USERPROFILE%\Documents\GitHub\mrs-test-scripts\Headless Mode &amp; Sideloading\WalkAndUnGZ.bat" "%USERPROFILE%\AppData\Local\Temp\OnboardLogs"\RTDC4032\2016-12-11</v>
      </c>
      <c r="AF165" s="88" t="str">
        <f t="shared" si="79"/>
        <v>"C:\Program Files (x86)\AstroGrep\AstroGrep.exe" /spath="%USERPROFILE%\AppData\Local\Temp\OnboardLogs" /stypes="app*4032*20161210*" /stext=" 14:.+((SYSTEM_STATE.+slice.+state.+changed )|(ment ac)|(multiple cpu faults)|(system.+state.+changed )|(\[timeout)|(PRM\|1\|D)|(kpr)|(kdp)|(\|lc)|(penalty))" /e /r /s</v>
      </c>
      <c r="AG165" s="1" t="str">
        <f t="shared" si="80"/>
        <v>NW</v>
      </c>
      <c r="AH165" s="92" t="str">
        <f t="shared" si="81"/>
        <v>"%USERPROFILE%\Documents\GitHub\eaglep3\Utilities\RefineRTDCRunTimes.py" --tripid 1804-10 --locoid 4032 --swversion DE.1.0.8.0 --startMP 300:58617 --initTime 2016-12-10T07:35:56 --startdatetime 2016-12-10T07:39:34 --delay 2 --endMP 204:736 --enddatetime 2016-12-10T07:53:58 --enforcementcount 1 &gt;&gt;C:\Users\stu\Documents\GitHub\eaglep3-reporting\EC\2016-12-10-refined-times.txt</v>
      </c>
      <c r="AI165" s="119" t="str">
        <f t="shared" si="82"/>
        <v>echo {"issue":{"subject":"","project_id":79,"tracker_id":40,"status_id":1,"priority_id":2,"assigned_to_id":23,"start_date":"2016-12-10","description":"","custom_fields":[{"id":1,"name":"Subdivision","value":"NW"},{"id":4,"name":"Milepost","value":"0.0736"},{"id":17,"name":"Train ID","value":"1804-10"},{"id":16,"name":"Locomotive ID","value":"4032"},{"id":130,"name":"Impact","value":""},{"id":150,"name":"Time of Event (Mountain Time)","value":"07:53:58"},{"id":151,"name":"Denver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5" s="53"/>
      <c r="AK165" s="53"/>
      <c r="AL165" s="53"/>
    </row>
    <row r="166" spans="1:91" s="21" customFormat="1" x14ac:dyDescent="0.25">
      <c r="A166" s="37" t="s">
        <v>494</v>
      </c>
      <c r="B166" s="7">
        <v>4031</v>
      </c>
      <c r="C166" s="22" t="s">
        <v>207</v>
      </c>
      <c r="D166" s="22" t="s">
        <v>701</v>
      </c>
      <c r="E166" s="13">
        <v>42714.330358796295</v>
      </c>
      <c r="F166" s="13">
        <v>42714.348217592589</v>
      </c>
      <c r="G166" s="7">
        <v>0</v>
      </c>
      <c r="H166" s="22" t="s">
        <v>702</v>
      </c>
      <c r="I166" s="13">
        <v>42714.356724537036</v>
      </c>
      <c r="J166" s="7">
        <v>1</v>
      </c>
      <c r="K166" s="109" t="str">
        <f t="shared" si="70"/>
        <v>4031/4032</v>
      </c>
      <c r="L166" s="22" t="str">
        <f>VLOOKUP(A166,'Trips&amp;Operators'!$C$1:$G$99999,5,FALSE)</f>
        <v>YORK EDGAR</v>
      </c>
      <c r="M166" s="6">
        <f t="shared" si="71"/>
        <v>8.5069444467080757E-3</v>
      </c>
      <c r="N166" s="7">
        <f t="shared" si="83"/>
        <v>12.250000003259629</v>
      </c>
      <c r="O166" s="7"/>
      <c r="P166" s="7"/>
      <c r="Q166" s="23"/>
      <c r="R166" s="23"/>
      <c r="S166" s="35">
        <f t="shared" si="85"/>
        <v>1</v>
      </c>
      <c r="T166" s="50" t="str">
        <f t="shared" si="72"/>
        <v>NorthBound</v>
      </c>
      <c r="U166" s="171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98" t="str">
        <f t="shared" si="73"/>
        <v>https://search-rtdc-monitor-bjffxe2xuh6vdkpspy63sjmuny.us-east-1.es.amazonaws.com/_plugin/kibana/#/discover/Steve-Slow-Train-Analysis-(2080s-and-2083s)?_g=(refreshInterval:(display:Off,section:0,value:0),time:(from:'2016-12-10 06:55:43-700',mode:absolute,to:'2016-12-10 09:33:41-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201053%20OR%202087)%20AND%20%22rtdc.l.rtdc.4031%22')),sort:!(Time,asc))</v>
      </c>
      <c r="W166" s="52" t="str">
        <f t="shared" si="87"/>
        <v>N</v>
      </c>
      <c r="X166" s="177">
        <f t="shared" si="88"/>
        <v>1</v>
      </c>
      <c r="Y166" s="67">
        <f t="shared" si="86"/>
        <v>0.1023</v>
      </c>
      <c r="Z166" s="67">
        <f t="shared" si="84"/>
        <v>5.8952</v>
      </c>
      <c r="AA166" s="67">
        <f t="shared" si="76"/>
        <v>5.7929000000000004</v>
      </c>
      <c r="AB166" s="64" t="e">
        <f>VLOOKUP(A166,Enforcements!$C$7:$K$20,8,0)</f>
        <v>#N/A</v>
      </c>
      <c r="AC166" s="60" t="e">
        <f>VLOOKUP(A166,Enforcements!$C$7:$E$20,3,0)</f>
        <v>#N/A</v>
      </c>
      <c r="AD166" s="61" t="str">
        <f t="shared" si="77"/>
        <v>1805-10</v>
      </c>
      <c r="AE166" s="91" t="str">
        <f t="shared" si="78"/>
        <v>aws s3 cp s3://rtdc.mdm.uploadarchive.raw/RTDC4031/ "%USERPROFILE%\AppData\Local\Temp\OnboardLogs"\RTDC4031\2016-12-10 --exclude "*" --recursive --include "*20161210*" &amp; "%USERPROFILE%\Documents\GitHub\mrs-test-scripts\Headless Mode &amp; Sideloading\WalkAndUnGZ.bat" "%USERPROFILE%\AppData\Local\Temp\OnboardLogs"\RTDC4031\2016-12-10 &amp; aws s3 cp s3://rtdc.mdm.uploadarchive.raw/RTDC4031/ "%USERPROFILE%\AppData\Local\Temp\OnboardLogs"\RTDC4031\2016-12-11 --exclude "*" --recursive --include "*20161211*" &amp; "%USERPROFILE%\Documents\GitHub\mrs-test-scripts\Headless Mode &amp; Sideloading\WalkAndUnGZ.bat" "%USERPROFILE%\AppData\Local\Temp\OnboardLogs"\RTDC4031\2016-12-11</v>
      </c>
      <c r="AF166" s="88" t="str">
        <f t="shared" si="79"/>
        <v>"C:\Program Files (x86)\AstroGrep\AstroGrep.exe" /spath="%USERPROFILE%\AppData\Local\Temp\OnboardLogs" /stypes="app*4031*20161210*" /stext=" 15:.+((SYSTEM_STATE.+slice.+state.+changed )|(ment ac)|(multiple cpu faults)|(system.+state.+changed )|(\[timeout)|(PRM\|1\|D)|(kpr)|(kdp)|(\|lc)|(penalty))" /e /r /s</v>
      </c>
      <c r="AG166" s="1" t="str">
        <f t="shared" si="80"/>
        <v>NW</v>
      </c>
      <c r="AH166" s="92" t="str">
        <f t="shared" si="81"/>
        <v>"%USERPROFILE%\Documents\GitHub\eaglep3\Utilities\RefineRTDCRunTimes.py" --tripid 1805-10 --locoid 4031 --swversion DE.1.0.8.0 --startMP 204:1023 --initTime 2016-12-10T07:55:43 --startdatetime 2016-12-10T08:21:26 --delay 0 --endMP 300:58952 --enddatetime 2016-12-10T08:33:41 --enforcementcount 1 &gt;&gt;C:\Users\stu\Documents\GitHub\eaglep3-reporting\EC\2016-12-10-refined-times.txt</v>
      </c>
      <c r="AI166" s="119" t="str">
        <f t="shared" si="82"/>
        <v>echo {"issue":{"subject":"","project_id":79,"tracker_id":40,"status_id":1,"priority_id":2,"assigned_to_id":23,"start_date":"2016-12-10","description":"","custom_fields":[{"id":1,"name":"Subdivision","value":"NW"},{"id":4,"name":"Milepost","value":"5.8952"},{"id":17,"name":"Train ID","value":"1805-10"},{"id":16,"name":"Locomotive ID","value":"4031"},{"id":130,"name":"Impact","value":""},{"id":150,"name":"Time of Event (Mountain Time)","value":"08:33:41"},{"id":151,"name":"Denver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6" s="53"/>
      <c r="AK166" s="53"/>
      <c r="AL166" s="53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</row>
    <row r="167" spans="1:91" s="21" customFormat="1" x14ac:dyDescent="0.25">
      <c r="A167" s="37" t="s">
        <v>500</v>
      </c>
      <c r="B167" s="7">
        <v>4032</v>
      </c>
      <c r="C167" s="22" t="s">
        <v>207</v>
      </c>
      <c r="D167" s="22" t="s">
        <v>703</v>
      </c>
      <c r="E167" s="13">
        <v>42714.358726851853</v>
      </c>
      <c r="F167" s="13">
        <v>42714.361018518517</v>
      </c>
      <c r="G167" s="7">
        <v>2</v>
      </c>
      <c r="H167" s="22" t="s">
        <v>704</v>
      </c>
      <c r="I167" s="13">
        <v>42714.370798611111</v>
      </c>
      <c r="J167" s="7">
        <v>1</v>
      </c>
      <c r="K167" s="109" t="str">
        <f t="shared" si="70"/>
        <v>4031/4032</v>
      </c>
      <c r="L167" s="22" t="str">
        <f>VLOOKUP(A167,'Trips&amp;Operators'!$C$1:$G$99999,5,FALSE)</f>
        <v>YORK EDGAR</v>
      </c>
      <c r="M167" s="6">
        <f t="shared" si="71"/>
        <v>9.7800925941555761E-3</v>
      </c>
      <c r="N167" s="7">
        <f t="shared" si="83"/>
        <v>14.08333333558403</v>
      </c>
      <c r="O167" s="7"/>
      <c r="P167" s="7"/>
      <c r="Q167" s="23"/>
      <c r="R167" s="23"/>
      <c r="S167" s="35">
        <f t="shared" si="85"/>
        <v>1</v>
      </c>
      <c r="T167" s="50" t="str">
        <f t="shared" si="72"/>
        <v>Southbound</v>
      </c>
      <c r="U167" s="171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98" t="str">
        <f t="shared" si="73"/>
        <v>https://search-rtdc-monitor-bjffxe2xuh6vdkpspy63sjmuny.us-east-1.es.amazonaws.com/_plugin/kibana/#/discover/Steve-Slow-Train-Analysis-(2080s-and-2083s)?_g=(refreshInterval:(display:Off,section:0,value:0),time:(from:'2016-12-10 07:36:34-700',mode:absolute,to:'2016-12-10 09:53:57-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201053%20OR%202087)%20AND%20%22rtdc.l.rtdc.4032%22')),sort:!(Time,asc))</v>
      </c>
      <c r="W167" s="52" t="str">
        <f t="shared" si="87"/>
        <v>N</v>
      </c>
      <c r="X167" s="177">
        <f t="shared" si="88"/>
        <v>1</v>
      </c>
      <c r="Y167" s="67">
        <f t="shared" si="86"/>
        <v>5.8634000000000004</v>
      </c>
      <c r="Z167" s="67">
        <f t="shared" si="84"/>
        <v>7.1999999999999995E-2</v>
      </c>
      <c r="AA167" s="67">
        <f t="shared" si="76"/>
        <v>5.7914000000000003</v>
      </c>
      <c r="AB167" s="64" t="e">
        <f>VLOOKUP(A167,Enforcements!$C$7:$K$20,8,0)</f>
        <v>#N/A</v>
      </c>
      <c r="AC167" s="60" t="e">
        <f>VLOOKUP(A167,Enforcements!$C$7:$E$20,3,0)</f>
        <v>#N/A</v>
      </c>
      <c r="AD167" s="61" t="str">
        <f t="shared" si="77"/>
        <v>1806-10</v>
      </c>
      <c r="AE167" s="91" t="str">
        <f t="shared" si="78"/>
        <v>aws s3 cp s3://rtdc.mdm.uploadarchive.raw/RTDC4032/ "%USERPROFILE%\AppData\Local\Temp\OnboardLogs"\RTDC4032\2016-12-10 --exclude "*" --recursive --include "*20161210*" &amp; "%USERPROFILE%\Documents\GitHub\mrs-test-scripts\Headless Mode &amp; Sideloading\WalkAndUnGZ.bat" "%USERPROFILE%\AppData\Local\Temp\OnboardLogs"\RTDC4032\2016-12-10 &amp; aws s3 cp s3://rtdc.mdm.uploadarchive.raw/RTDC4032/ "%USERPROFILE%\AppData\Local\Temp\OnboardLogs"\RTDC4032\2016-12-11 --exclude "*" --recursive --include "*20161211*" &amp; "%USERPROFILE%\Documents\GitHub\mrs-test-scripts\Headless Mode &amp; Sideloading\WalkAndUnGZ.bat" "%USERPROFILE%\AppData\Local\Temp\OnboardLogs"\RTDC4032\2016-12-11</v>
      </c>
      <c r="AF167" s="88" t="str">
        <f t="shared" si="79"/>
        <v>"C:\Program Files (x86)\AstroGrep\AstroGrep.exe" /spath="%USERPROFILE%\AppData\Local\Temp\OnboardLogs" /stypes="app*4032*20161210*" /stext=" 15:.+((SYSTEM_STATE.+slice.+state.+changed )|(ment ac)|(multiple cpu faults)|(system.+state.+changed )|(\[timeout)|(PRM\|1\|D)|(kpr)|(kdp)|(\|lc)|(penalty))" /e /r /s</v>
      </c>
      <c r="AG167" s="1" t="str">
        <f t="shared" si="80"/>
        <v>NW</v>
      </c>
      <c r="AH167" s="92" t="str">
        <f t="shared" si="81"/>
        <v>"%USERPROFILE%\Documents\GitHub\eaglep3\Utilities\RefineRTDCRunTimes.py" --tripid 1806-10 --locoid 4032 --swversion DE.1.0.8.0 --startMP 300:58634 --initTime 2016-12-10T08:36:34 --startdatetime 2016-12-10T08:39:52 --delay 2 --endMP 204:720 --enddatetime 2016-12-10T08:53:57 --enforcementcount 1 &gt;&gt;C:\Users\stu\Documents\GitHub\eaglep3-reporting\EC\2016-12-10-refined-times.txt</v>
      </c>
      <c r="AI167" s="119" t="str">
        <f t="shared" si="82"/>
        <v>echo {"issue":{"subject":"","project_id":79,"tracker_id":40,"status_id":1,"priority_id":2,"assigned_to_id":23,"start_date":"2016-12-10","description":"","custom_fields":[{"id":1,"name":"Subdivision","value":"NW"},{"id":4,"name":"Milepost","value":"0.072"},{"id":17,"name":"Train ID","value":"1806-10"},{"id":16,"name":"Locomotive ID","value":"4032"},{"id":130,"name":"Impact","value":""},{"id":150,"name":"Time of Event (Mountain Time)","value":"08:53:57"},{"id":151,"name":"Denver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7" s="53"/>
      <c r="AK167" s="53"/>
      <c r="AL167" s="53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</row>
    <row r="168" spans="1:91" s="21" customFormat="1" x14ac:dyDescent="0.25">
      <c r="A168" s="37" t="s">
        <v>503</v>
      </c>
      <c r="B168" s="7">
        <v>4031</v>
      </c>
      <c r="C168" s="22" t="s">
        <v>207</v>
      </c>
      <c r="D168" s="22" t="s">
        <v>705</v>
      </c>
      <c r="E168" s="13">
        <v>42714.372442129628</v>
      </c>
      <c r="F168" s="13">
        <v>42714.389861111114</v>
      </c>
      <c r="G168" s="7">
        <v>1</v>
      </c>
      <c r="H168" s="22" t="s">
        <v>370</v>
      </c>
      <c r="I168" s="13">
        <v>42714.398796296293</v>
      </c>
      <c r="J168" s="7">
        <v>1</v>
      </c>
      <c r="K168" s="109" t="str">
        <f t="shared" si="70"/>
        <v>4031/4032</v>
      </c>
      <c r="L168" s="22" t="str">
        <f>VLOOKUP(A168,'Trips&amp;Operators'!$C$1:$G$99999,5,FALSE)</f>
        <v>YORK EDGAR</v>
      </c>
      <c r="M168" s="6">
        <f t="shared" si="71"/>
        <v>8.9351851784158498E-3</v>
      </c>
      <c r="N168" s="7">
        <f t="shared" si="83"/>
        <v>12.866666656918824</v>
      </c>
      <c r="O168" s="7"/>
      <c r="P168" s="7"/>
      <c r="Q168" s="23"/>
      <c r="R168" s="23"/>
      <c r="S168" s="35">
        <f t="shared" si="85"/>
        <v>1</v>
      </c>
      <c r="T168" s="50" t="str">
        <f t="shared" si="72"/>
        <v>NorthBound</v>
      </c>
      <c r="U168" s="171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98" t="str">
        <f t="shared" si="73"/>
        <v>https://search-rtdc-monitor-bjffxe2xuh6vdkpspy63sjmuny.us-east-1.es.amazonaws.com/_plugin/kibana/#/discover/Steve-Slow-Train-Analysis-(2080s-and-2083s)?_g=(refreshInterval:(display:Off,section:0,value:0),time:(from:'2016-12-10 07:56:19-700',mode:absolute,to:'2016-12-10 10:34:16-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201053%20OR%202087)%20AND%20%22rtdc.l.rtdc.4031%22')),sort:!(Time,asc))</v>
      </c>
      <c r="W168" s="52" t="str">
        <f t="shared" si="87"/>
        <v>N</v>
      </c>
      <c r="X168" s="177">
        <f t="shared" si="88"/>
        <v>1</v>
      </c>
      <c r="Y168" s="67">
        <f t="shared" si="86"/>
        <v>0.10299999999999999</v>
      </c>
      <c r="Z168" s="67">
        <f t="shared" si="84"/>
        <v>5.8936999999999999</v>
      </c>
      <c r="AA168" s="67">
        <f t="shared" si="76"/>
        <v>5.7907000000000002</v>
      </c>
      <c r="AB168" s="64" t="e">
        <f>VLOOKUP(A168,Enforcements!$C$7:$K$20,8,0)</f>
        <v>#N/A</v>
      </c>
      <c r="AC168" s="60" t="e">
        <f>VLOOKUP(A168,Enforcements!$C$7:$E$20,3,0)</f>
        <v>#N/A</v>
      </c>
      <c r="AD168" s="61" t="str">
        <f t="shared" si="77"/>
        <v>1807-10</v>
      </c>
      <c r="AE168" s="91" t="str">
        <f t="shared" si="78"/>
        <v>aws s3 cp s3://rtdc.mdm.uploadarchive.raw/RTDC4031/ "%USERPROFILE%\AppData\Local\Temp\OnboardLogs"\RTDC4031\2016-12-10 --exclude "*" --recursive --include "*20161210*" &amp; "%USERPROFILE%\Documents\GitHub\mrs-test-scripts\Headless Mode &amp; Sideloading\WalkAndUnGZ.bat" "%USERPROFILE%\AppData\Local\Temp\OnboardLogs"\RTDC4031\2016-12-10 &amp; aws s3 cp s3://rtdc.mdm.uploadarchive.raw/RTDC4031/ "%USERPROFILE%\AppData\Local\Temp\OnboardLogs"\RTDC4031\2016-12-11 --exclude "*" --recursive --include "*20161211*" &amp; "%USERPROFILE%\Documents\GitHub\mrs-test-scripts\Headless Mode &amp; Sideloading\WalkAndUnGZ.bat" "%USERPROFILE%\AppData\Local\Temp\OnboardLogs"\RTDC4031\2016-12-11</v>
      </c>
      <c r="AF168" s="88" t="str">
        <f t="shared" si="79"/>
        <v>"C:\Program Files (x86)\AstroGrep\AstroGrep.exe" /spath="%USERPROFILE%\AppData\Local\Temp\OnboardLogs" /stypes="app*4031*20161210*" /stext=" 16:.+((SYSTEM_STATE.+slice.+state.+changed )|(ment ac)|(multiple cpu faults)|(system.+state.+changed )|(\[timeout)|(PRM\|1\|D)|(kpr)|(kdp)|(\|lc)|(penalty))" /e /r /s</v>
      </c>
      <c r="AG168" s="1" t="str">
        <f t="shared" si="80"/>
        <v>NW</v>
      </c>
      <c r="AH168" s="92" t="str">
        <f t="shared" si="81"/>
        <v>"%USERPROFILE%\Documents\GitHub\eaglep3\Utilities\RefineRTDCRunTimes.py" --tripid 1807-10 --locoid 4031 --swversion DE.1.0.8.0 --startMP 204:1030 --initTime 2016-12-10T08:56:19 --startdatetime 2016-12-10T09:21:24 --delay 1 --endMP 300:58937 --enddatetime 2016-12-10T09:34:16 --enforcementcount 1 &gt;&gt;C:\Users\stu\Documents\GitHub\eaglep3-reporting\EC\2016-12-10-refined-times.txt</v>
      </c>
      <c r="AI168" s="119" t="str">
        <f t="shared" si="82"/>
        <v>echo {"issue":{"subject":"","project_id":79,"tracker_id":40,"status_id":1,"priority_id":2,"assigned_to_id":23,"start_date":"2016-12-10","description":"","custom_fields":[{"id":1,"name":"Subdivision","value":"NW"},{"id":4,"name":"Milepost","value":"5.8937"},{"id":17,"name":"Train ID","value":"1807-10"},{"id":16,"name":"Locomotive ID","value":"4031"},{"id":130,"name":"Impact","value":""},{"id":150,"name":"Time of Event (Mountain Time)","value":"09:34:16"},{"id":151,"name":"Denver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8" s="53"/>
      <c r="AK168" s="53"/>
      <c r="AL168" s="53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</row>
    <row r="169" spans="1:91" s="21" customFormat="1" x14ac:dyDescent="0.25">
      <c r="A169" s="37" t="s">
        <v>507</v>
      </c>
      <c r="B169" s="7">
        <v>4032</v>
      </c>
      <c r="C169" s="22" t="s">
        <v>207</v>
      </c>
      <c r="D169" s="22" t="s">
        <v>706</v>
      </c>
      <c r="E169" s="13">
        <v>42714.399687500001</v>
      </c>
      <c r="F169" s="13">
        <v>42714.401747685188</v>
      </c>
      <c r="G169" s="7">
        <v>1</v>
      </c>
      <c r="H169" s="22" t="s">
        <v>707</v>
      </c>
      <c r="I169" s="13">
        <v>42714.413425925923</v>
      </c>
      <c r="J169" s="7">
        <v>1</v>
      </c>
      <c r="K169" s="109" t="str">
        <f t="shared" si="70"/>
        <v>4031/4032</v>
      </c>
      <c r="L169" s="22" t="str">
        <f>VLOOKUP(A169,'Trips&amp;Operators'!$C$1:$G$99999,5,FALSE)</f>
        <v>YORK EDGAR</v>
      </c>
      <c r="M169" s="6">
        <f t="shared" si="71"/>
        <v>1.1678240734909195E-2</v>
      </c>
      <c r="N169" s="7">
        <f t="shared" si="83"/>
        <v>16.816666658269241</v>
      </c>
      <c r="O169" s="7"/>
      <c r="P169" s="7"/>
      <c r="Q169" s="23"/>
      <c r="R169" s="23"/>
      <c r="S169" s="35">
        <f t="shared" si="85"/>
        <v>1</v>
      </c>
      <c r="T169" s="50" t="str">
        <f t="shared" si="72"/>
        <v>Southbound</v>
      </c>
      <c r="U169" s="171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98" t="str">
        <f t="shared" si="73"/>
        <v>https://search-rtdc-monitor-bjffxe2xuh6vdkpspy63sjmuny.us-east-1.es.amazonaws.com/_plugin/kibana/#/discover/Steve-Slow-Train-Analysis-(2080s-and-2083s)?_g=(refreshInterval:(display:Off,section:0,value:0),time:(from:'2016-12-10 08:35:33-700',mode:absolute,to:'2016-12-10 10:55:20-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201053%20OR%202087)%20AND%20%22rtdc.l.rtdc.4032%22')),sort:!(Time,asc))</v>
      </c>
      <c r="W169" s="52" t="str">
        <f t="shared" ref="W169:W215" si="89">IF(AA169&lt;IF(AG169="EC",23,5.65),"Y","N")</f>
        <v>N</v>
      </c>
      <c r="X169" s="177">
        <f t="shared" ref="X169:X174" si="90">VALUE(LEFT(AD169,4))-VALUE(LEFT(AD168,4))</f>
        <v>1</v>
      </c>
      <c r="Y169" s="67">
        <f t="shared" si="86"/>
        <v>5.8615000000000004</v>
      </c>
      <c r="Z169" s="67">
        <f t="shared" si="84"/>
        <v>7.7600000000000002E-2</v>
      </c>
      <c r="AA169" s="67">
        <f t="shared" si="76"/>
        <v>5.7839</v>
      </c>
      <c r="AB169" s="64" t="e">
        <f>VLOOKUP(A169,Enforcements!$C$7:$K$20,8,0)</f>
        <v>#N/A</v>
      </c>
      <c r="AC169" s="60" t="e">
        <f>VLOOKUP(A169,Enforcements!$C$7:$E$20,3,0)</f>
        <v>#N/A</v>
      </c>
      <c r="AD169" s="61" t="str">
        <f t="shared" si="77"/>
        <v>1808-10</v>
      </c>
      <c r="AE169" s="91" t="str">
        <f t="shared" si="78"/>
        <v>aws s3 cp s3://rtdc.mdm.uploadarchive.raw/RTDC4032/ "%USERPROFILE%\AppData\Local\Temp\OnboardLogs"\RTDC4032\2016-12-10 --exclude "*" --recursive --include "*20161210*" &amp; "%USERPROFILE%\Documents\GitHub\mrs-test-scripts\Headless Mode &amp; Sideloading\WalkAndUnGZ.bat" "%USERPROFILE%\AppData\Local\Temp\OnboardLogs"\RTDC4032\2016-12-10 &amp; aws s3 cp s3://rtdc.mdm.uploadarchive.raw/RTDC4032/ "%USERPROFILE%\AppData\Local\Temp\OnboardLogs"\RTDC4032\2016-12-11 --exclude "*" --recursive --include "*20161211*" &amp; "%USERPROFILE%\Documents\GitHub\mrs-test-scripts\Headless Mode &amp; Sideloading\WalkAndUnGZ.bat" "%USERPROFILE%\AppData\Local\Temp\OnboardLogs"\RTDC4032\2016-12-11</v>
      </c>
      <c r="AF169" s="88" t="str">
        <f t="shared" si="79"/>
        <v>"C:\Program Files (x86)\AstroGrep\AstroGrep.exe" /spath="%USERPROFILE%\AppData\Local\Temp\OnboardLogs" /stypes="app*4032*20161210*" /stext=" 16:.+((SYSTEM_STATE.+slice.+state.+changed )|(ment ac)|(multiple cpu faults)|(system.+state.+changed )|(\[timeout)|(PRM\|1\|D)|(kpr)|(kdp)|(\|lc)|(penalty))" /e /r /s</v>
      </c>
      <c r="AG169" s="1" t="str">
        <f t="shared" si="80"/>
        <v>NW</v>
      </c>
      <c r="AH169" s="92" t="str">
        <f t="shared" si="81"/>
        <v>"%USERPROFILE%\Documents\GitHub\eaglep3\Utilities\RefineRTDCRunTimes.py" --tripid 1808-10 --locoid 4032 --swversion DE.1.0.8.0 --startMP 300:58615 --initTime 2016-12-10T09:35:33 --startdatetime 2016-12-10T09:38:31 --delay 1 --endMP 204:776 --enddatetime 2016-12-10T09:55:20 --enforcementcount 1 &gt;&gt;C:\Users\stu\Documents\GitHub\eaglep3-reporting\EC\2016-12-10-refined-times.txt</v>
      </c>
      <c r="AI169" s="119" t="str">
        <f t="shared" si="82"/>
        <v>echo {"issue":{"subject":"","project_id":79,"tracker_id":40,"status_id":1,"priority_id":2,"assigned_to_id":23,"start_date":"2016-12-10","description":"","custom_fields":[{"id":1,"name":"Subdivision","value":"NW"},{"id":4,"name":"Milepost","value":"0.0776"},{"id":17,"name":"Train ID","value":"1808-10"},{"id":16,"name":"Locomotive ID","value":"4032"},{"id":130,"name":"Impact","value":""},{"id":150,"name":"Time of Event (Mountain Time)","value":"09:55:20"},{"id":151,"name":"Denver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9" s="53"/>
      <c r="AK169" s="53"/>
      <c r="AL169" s="53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</row>
    <row r="170" spans="1:91" s="21" customFormat="1" x14ac:dyDescent="0.25">
      <c r="A170" s="37" t="s">
        <v>511</v>
      </c>
      <c r="B170" s="7">
        <v>4031</v>
      </c>
      <c r="C170" s="22" t="s">
        <v>207</v>
      </c>
      <c r="D170" s="22" t="s">
        <v>708</v>
      </c>
      <c r="E170" s="13">
        <v>42714.414803240739</v>
      </c>
      <c r="F170" s="13">
        <v>42714.431423611109</v>
      </c>
      <c r="G170" s="7">
        <v>0</v>
      </c>
      <c r="H170" s="22" t="s">
        <v>709</v>
      </c>
      <c r="I170" s="13">
        <v>42714.440393518518</v>
      </c>
      <c r="J170" s="7">
        <v>1</v>
      </c>
      <c r="K170" s="109" t="str">
        <f t="shared" si="70"/>
        <v>4031/4032</v>
      </c>
      <c r="L170" s="22" t="str">
        <f>VLOOKUP(A170,'Trips&amp;Operators'!$C$1:$G$99999,5,FALSE)</f>
        <v>YORK EDGAR</v>
      </c>
      <c r="M170" s="6">
        <f t="shared" si="71"/>
        <v>8.969907408754807E-3</v>
      </c>
      <c r="N170" s="7">
        <f t="shared" si="83"/>
        <v>12.916666668606922</v>
      </c>
      <c r="O170" s="7"/>
      <c r="P170" s="7"/>
      <c r="Q170" s="23"/>
      <c r="R170" s="23"/>
      <c r="S170" s="35">
        <f t="shared" si="85"/>
        <v>1</v>
      </c>
      <c r="T170" s="50" t="str">
        <f t="shared" si="72"/>
        <v>NorthBound</v>
      </c>
      <c r="U170" s="171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98" t="str">
        <f t="shared" si="73"/>
        <v>https://search-rtdc-monitor-bjffxe2xuh6vdkpspy63sjmuny.us-east-1.es.amazonaws.com/_plugin/kibana/#/discover/Steve-Slow-Train-Analysis-(2080s-and-2083s)?_g=(refreshInterval:(display:Off,section:0,value:0),time:(from:'2016-12-10 08:57:19-700',mode:absolute,to:'2016-12-10 11:34:10-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201053%20OR%202087)%20AND%20%22rtdc.l.rtdc.4031%22')),sort:!(Time,asc))</v>
      </c>
      <c r="W170" s="52" t="str">
        <f t="shared" si="89"/>
        <v>N</v>
      </c>
      <c r="X170" s="177">
        <f t="shared" si="90"/>
        <v>1</v>
      </c>
      <c r="Y170" s="67">
        <f t="shared" si="86"/>
        <v>0.1079</v>
      </c>
      <c r="Z170" s="67">
        <f t="shared" si="84"/>
        <v>5.8935000000000004</v>
      </c>
      <c r="AA170" s="67">
        <f t="shared" si="76"/>
        <v>5.7856000000000005</v>
      </c>
      <c r="AB170" s="64" t="e">
        <f>VLOOKUP(A170,Enforcements!$C$7:$K$20,8,0)</f>
        <v>#N/A</v>
      </c>
      <c r="AC170" s="60" t="e">
        <f>VLOOKUP(A170,Enforcements!$C$7:$E$20,3,0)</f>
        <v>#N/A</v>
      </c>
      <c r="AD170" s="61" t="str">
        <f t="shared" si="77"/>
        <v>1809-10</v>
      </c>
      <c r="AE170" s="91" t="str">
        <f t="shared" si="78"/>
        <v>aws s3 cp s3://rtdc.mdm.uploadarchive.raw/RTDC4031/ "%USERPROFILE%\AppData\Local\Temp\OnboardLogs"\RTDC4031\2016-12-10 --exclude "*" --recursive --include "*20161210*" &amp; "%USERPROFILE%\Documents\GitHub\mrs-test-scripts\Headless Mode &amp; Sideloading\WalkAndUnGZ.bat" "%USERPROFILE%\AppData\Local\Temp\OnboardLogs"\RTDC4031\2016-12-10 &amp; aws s3 cp s3://rtdc.mdm.uploadarchive.raw/RTDC4031/ "%USERPROFILE%\AppData\Local\Temp\OnboardLogs"\RTDC4031\2016-12-11 --exclude "*" --recursive --include "*20161211*" &amp; "%USERPROFILE%\Documents\GitHub\mrs-test-scripts\Headless Mode &amp; Sideloading\WalkAndUnGZ.bat" "%USERPROFILE%\AppData\Local\Temp\OnboardLogs"\RTDC4031\2016-12-11</v>
      </c>
      <c r="AF170" s="88" t="str">
        <f t="shared" si="79"/>
        <v>"C:\Program Files (x86)\AstroGrep\AstroGrep.exe" /spath="%USERPROFILE%\AppData\Local\Temp\OnboardLogs" /stypes="app*4031*20161210*" /stext=" 17:.+((SYSTEM_STATE.+slice.+state.+changed )|(ment ac)|(multiple cpu faults)|(system.+state.+changed )|(\[timeout)|(PRM\|1\|D)|(kpr)|(kdp)|(\|lc)|(penalty))" /e /r /s</v>
      </c>
      <c r="AG170" s="1" t="str">
        <f t="shared" si="80"/>
        <v>NW</v>
      </c>
      <c r="AH170" s="92" t="str">
        <f t="shared" si="81"/>
        <v>"%USERPROFILE%\Documents\GitHub\eaglep3\Utilities\RefineRTDCRunTimes.py" --tripid 1809-10 --locoid 4031 --swversion DE.1.0.8.0 --startMP 204:1079 --initTime 2016-12-10T09:57:19 --startdatetime 2016-12-10T10:21:15 --delay 0 --endMP 300:58935 --enddatetime 2016-12-10T10:34:10 --enforcementcount 1 &gt;&gt;C:\Users\stu\Documents\GitHub\eaglep3-reporting\EC\2016-12-10-refined-times.txt</v>
      </c>
      <c r="AI170" s="119" t="str">
        <f t="shared" si="82"/>
        <v>echo {"issue":{"subject":"","project_id":79,"tracker_id":40,"status_id":1,"priority_id":2,"assigned_to_id":23,"start_date":"2016-12-10","description":"","custom_fields":[{"id":1,"name":"Subdivision","value":"NW"},{"id":4,"name":"Milepost","value":"5.8935"},{"id":17,"name":"Train ID","value":"1809-10"},{"id":16,"name":"Locomotive ID","value":"4031"},{"id":130,"name":"Impact","value":""},{"id":150,"name":"Time of Event (Mountain Time)","value":"10:34:10"},{"id":151,"name":"Denver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0" s="53"/>
      <c r="AK170" s="53"/>
      <c r="AL170" s="53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</row>
    <row r="171" spans="1:91" x14ac:dyDescent="0.25">
      <c r="A171" s="37" t="s">
        <v>519</v>
      </c>
      <c r="B171" s="7">
        <v>4032</v>
      </c>
      <c r="C171" s="22" t="s">
        <v>207</v>
      </c>
      <c r="D171" s="22" t="s">
        <v>403</v>
      </c>
      <c r="E171" s="13">
        <v>42714.441736111112</v>
      </c>
      <c r="F171" s="13">
        <v>42714.443969907406</v>
      </c>
      <c r="G171" s="7">
        <v>1</v>
      </c>
      <c r="H171" s="22" t="s">
        <v>636</v>
      </c>
      <c r="I171" s="13">
        <v>42714.454097222224</v>
      </c>
      <c r="J171" s="7">
        <v>1</v>
      </c>
      <c r="K171" s="109" t="str">
        <f t="shared" si="70"/>
        <v>4031/4032</v>
      </c>
      <c r="L171" s="22" t="str">
        <f>VLOOKUP(A171,'Trips&amp;Operators'!$C$1:$G$99999,5,FALSE)</f>
        <v>YORK EDGAR</v>
      </c>
      <c r="M171" s="6">
        <f t="shared" si="71"/>
        <v>1.0127314817509614E-2</v>
      </c>
      <c r="N171" s="7">
        <f t="shared" si="83"/>
        <v>14.583333337213844</v>
      </c>
      <c r="O171" s="7"/>
      <c r="P171" s="7"/>
      <c r="Q171" s="23"/>
      <c r="R171" s="23"/>
      <c r="S171" s="35">
        <f t="shared" si="85"/>
        <v>1</v>
      </c>
      <c r="T171" s="50" t="str">
        <f t="shared" si="72"/>
        <v>Southbound</v>
      </c>
      <c r="U171" s="171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98" t="str">
        <f t="shared" si="73"/>
        <v>https://search-rtdc-monitor-bjffxe2xuh6vdkpspy63sjmuny.us-east-1.es.amazonaws.com/_plugin/kibana/#/discover/Steve-Slow-Train-Analysis-(2080s-and-2083s)?_g=(refreshInterval:(display:Off,section:0,value:0),time:(from:'2016-12-10 09:36:06-700',mode:absolute,to:'2016-12-10 11:53:54-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201053%20OR%202087)%20AND%20%22rtdc.l.rtdc.4032%22')),sort:!(Time,asc))</v>
      </c>
      <c r="W171" s="52" t="str">
        <f t="shared" si="89"/>
        <v>N</v>
      </c>
      <c r="X171" s="177">
        <f t="shared" si="90"/>
        <v>1</v>
      </c>
      <c r="Y171" s="67">
        <f t="shared" si="86"/>
        <v>5.8616999999999999</v>
      </c>
      <c r="Z171" s="67">
        <f t="shared" si="84"/>
        <v>7.5200000000000003E-2</v>
      </c>
      <c r="AA171" s="67">
        <f t="shared" si="76"/>
        <v>5.7865000000000002</v>
      </c>
      <c r="AB171" s="64" t="e">
        <f>VLOOKUP(A171,Enforcements!$C$7:$K$20,8,0)</f>
        <v>#N/A</v>
      </c>
      <c r="AC171" s="60" t="e">
        <f>VLOOKUP(A171,Enforcements!$C$7:$E$20,3,0)</f>
        <v>#N/A</v>
      </c>
      <c r="AD171" s="61" t="str">
        <f t="shared" si="77"/>
        <v>1810-10</v>
      </c>
      <c r="AE171" s="91" t="str">
        <f t="shared" si="78"/>
        <v>aws s3 cp s3://rtdc.mdm.uploadarchive.raw/RTDC4032/ "%USERPROFILE%\AppData\Local\Temp\OnboardLogs"\RTDC4032\2016-12-10 --exclude "*" --recursive --include "*20161210*" &amp; "%USERPROFILE%\Documents\GitHub\mrs-test-scripts\Headless Mode &amp; Sideloading\WalkAndUnGZ.bat" "%USERPROFILE%\AppData\Local\Temp\OnboardLogs"\RTDC4032\2016-12-10 &amp; aws s3 cp s3://rtdc.mdm.uploadarchive.raw/RTDC4032/ "%USERPROFILE%\AppData\Local\Temp\OnboardLogs"\RTDC4032\2016-12-11 --exclude "*" --recursive --include "*20161211*" &amp; "%USERPROFILE%\Documents\GitHub\mrs-test-scripts\Headless Mode &amp; Sideloading\WalkAndUnGZ.bat" "%USERPROFILE%\AppData\Local\Temp\OnboardLogs"\RTDC4032\2016-12-11</v>
      </c>
      <c r="AF171" s="88" t="str">
        <f t="shared" si="79"/>
        <v>"C:\Program Files (x86)\AstroGrep\AstroGrep.exe" /spath="%USERPROFILE%\AppData\Local\Temp\OnboardLogs" /stypes="app*4032*20161210*" /stext=" 17:.+((SYSTEM_STATE.+slice.+state.+changed )|(ment ac)|(multiple cpu faults)|(system.+state.+changed )|(\[timeout)|(PRM\|1\|D)|(kpr)|(kdp)|(\|lc)|(penalty))" /e /r /s</v>
      </c>
      <c r="AG171" s="1" t="str">
        <f t="shared" si="80"/>
        <v>NW</v>
      </c>
      <c r="AH171" s="92" t="str">
        <f t="shared" si="81"/>
        <v>"%USERPROFILE%\Documents\GitHub\eaglep3\Utilities\RefineRTDCRunTimes.py" --tripid 1810-10 --locoid 4032 --swversion DE.1.0.8.0 --startMP 300:58617 --initTime 2016-12-10T10:36:06 --startdatetime 2016-12-10T10:39:19 --delay 1 --endMP 204:752 --enddatetime 2016-12-10T10:53:54 --enforcementcount 1 &gt;&gt;C:\Users\stu\Documents\GitHub\eaglep3-reporting\EC\2016-12-10-refined-times.txt</v>
      </c>
      <c r="AI171" s="119" t="str">
        <f t="shared" si="82"/>
        <v>echo {"issue":{"subject":"","project_id":79,"tracker_id":40,"status_id":1,"priority_id":2,"assigned_to_id":23,"start_date":"2016-12-10","description":"","custom_fields":[{"id":1,"name":"Subdivision","value":"NW"},{"id":4,"name":"Milepost","value":"0.0752"},{"id":17,"name":"Train ID","value":"1810-10"},{"id":16,"name":"Locomotive ID","value":"4032"},{"id":130,"name":"Impact","value":""},{"id":150,"name":"Time of Event (Mountain Time)","value":"10:53:54"},{"id":151,"name":"Denver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1" s="53"/>
      <c r="AK171" s="53"/>
      <c r="AL171" s="53"/>
    </row>
    <row r="172" spans="1:91" x14ac:dyDescent="0.25">
      <c r="A172" s="37" t="s">
        <v>523</v>
      </c>
      <c r="B172" s="7">
        <v>4031</v>
      </c>
      <c r="C172" s="22" t="s">
        <v>207</v>
      </c>
      <c r="D172" s="22" t="s">
        <v>710</v>
      </c>
      <c r="E172" s="13">
        <v>42714.455023148148</v>
      </c>
      <c r="F172" s="13">
        <v>42714.473090277781</v>
      </c>
      <c r="G172" s="7">
        <v>1</v>
      </c>
      <c r="H172" s="22" t="s">
        <v>299</v>
      </c>
      <c r="I172" s="13">
        <v>42714.481574074074</v>
      </c>
      <c r="J172" s="7">
        <v>1</v>
      </c>
      <c r="K172" s="109" t="str">
        <f t="shared" si="70"/>
        <v>4031/4032</v>
      </c>
      <c r="L172" s="22" t="str">
        <f>VLOOKUP(A172,'Trips&amp;Operators'!$C$1:$G$99999,5,FALSE)</f>
        <v>YORK EDGAR</v>
      </c>
      <c r="M172" s="6">
        <f t="shared" si="71"/>
        <v>8.4837962931487709E-3</v>
      </c>
      <c r="N172" s="7">
        <f t="shared" si="83"/>
        <v>12.21666666213423</v>
      </c>
      <c r="O172" s="7"/>
      <c r="P172" s="7"/>
      <c r="Q172" s="23"/>
      <c r="R172" s="23"/>
      <c r="S172" s="35">
        <f t="shared" si="85"/>
        <v>1</v>
      </c>
      <c r="T172" s="50" t="str">
        <f t="shared" si="72"/>
        <v>NorthBound</v>
      </c>
      <c r="U172" s="171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98" t="str">
        <f t="shared" si="73"/>
        <v>https://search-rtdc-monitor-bjffxe2xuh6vdkpspy63sjmuny.us-east-1.es.amazonaws.com/_plugin/kibana/#/discover/Steve-Slow-Train-Analysis-(2080s-and-2083s)?_g=(refreshInterval:(display:Off,section:0,value:0),time:(from:'2016-12-10 09:55:14-700',mode:absolute,to:'2016-12-10 12:33:28-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201053%20OR%202087)%20AND%20%22rtdc.l.rtdc.4031%22')),sort:!(Time,asc))</v>
      </c>
      <c r="W172" s="52" t="str">
        <f t="shared" si="89"/>
        <v>N</v>
      </c>
      <c r="X172" s="177">
        <f t="shared" si="90"/>
        <v>1</v>
      </c>
      <c r="Y172" s="67">
        <f t="shared" si="86"/>
        <v>0.10349999999999999</v>
      </c>
      <c r="Z172" s="67">
        <f t="shared" si="84"/>
        <v>5.8943000000000003</v>
      </c>
      <c r="AA172" s="67">
        <f t="shared" si="76"/>
        <v>5.7907999999999999</v>
      </c>
      <c r="AB172" s="64" t="e">
        <f>VLOOKUP(A172,Enforcements!$C$7:$K$20,8,0)</f>
        <v>#N/A</v>
      </c>
      <c r="AC172" s="60" t="e">
        <f>VLOOKUP(A172,Enforcements!$C$7:$E$20,3,0)</f>
        <v>#N/A</v>
      </c>
      <c r="AD172" s="61" t="str">
        <f t="shared" si="77"/>
        <v>1811-10</v>
      </c>
      <c r="AE172" s="91" t="str">
        <f t="shared" si="78"/>
        <v>aws s3 cp s3://rtdc.mdm.uploadarchive.raw/RTDC4031/ "%USERPROFILE%\AppData\Local\Temp\OnboardLogs"\RTDC4031\2016-12-10 --exclude "*" --recursive --include "*20161210*" &amp; "%USERPROFILE%\Documents\GitHub\mrs-test-scripts\Headless Mode &amp; Sideloading\WalkAndUnGZ.bat" "%USERPROFILE%\AppData\Local\Temp\OnboardLogs"\RTDC4031\2016-12-10 &amp; aws s3 cp s3://rtdc.mdm.uploadarchive.raw/RTDC4031/ "%USERPROFILE%\AppData\Local\Temp\OnboardLogs"\RTDC4031\2016-12-11 --exclude "*" --recursive --include "*20161211*" &amp; "%USERPROFILE%\Documents\GitHub\mrs-test-scripts\Headless Mode &amp; Sideloading\WalkAndUnGZ.bat" "%USERPROFILE%\AppData\Local\Temp\OnboardLogs"\RTDC4031\2016-12-11</v>
      </c>
      <c r="AF172" s="88" t="str">
        <f t="shared" si="79"/>
        <v>"C:\Program Files (x86)\AstroGrep\AstroGrep.exe" /spath="%USERPROFILE%\AppData\Local\Temp\OnboardLogs" /stypes="app*4031*20161210*" /stext=" 18:.+((SYSTEM_STATE.+slice.+state.+changed )|(ment ac)|(multiple cpu faults)|(system.+state.+changed )|(\[timeout)|(PRM\|1\|D)|(kpr)|(kdp)|(\|lc)|(penalty))" /e /r /s</v>
      </c>
      <c r="AG172" s="1" t="str">
        <f t="shared" si="80"/>
        <v>NW</v>
      </c>
      <c r="AH172" s="92" t="str">
        <f t="shared" si="81"/>
        <v>"%USERPROFILE%\Documents\GitHub\eaglep3\Utilities\RefineRTDCRunTimes.py" --tripid 1811-10 --locoid 4031 --swversion DE.1.0.8.0 --startMP 204:1035 --initTime 2016-12-10T10:55:14 --startdatetime 2016-12-10T11:21:15 --delay 1 --endMP 300:58943 --enddatetime 2016-12-10T11:33:28 --enforcementcount 1 &gt;&gt;C:\Users\stu\Documents\GitHub\eaglep3-reporting\EC\2016-12-10-refined-times.txt</v>
      </c>
      <c r="AI172" s="119" t="str">
        <f t="shared" si="82"/>
        <v>echo {"issue":{"subject":"","project_id":79,"tracker_id":40,"status_id":1,"priority_id":2,"assigned_to_id":23,"start_date":"2016-12-10","description":"","custom_fields":[{"id":1,"name":"Subdivision","value":"NW"},{"id":4,"name":"Milepost","value":"5.8943"},{"id":17,"name":"Train ID","value":"1811-10"},{"id":16,"name":"Locomotive ID","value":"4031"},{"id":130,"name":"Impact","value":""},{"id":150,"name":"Time of Event (Mountain Time)","value":"11:33:28"},{"id":151,"name":"Denver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2" s="53"/>
      <c r="AK172" s="53"/>
      <c r="AL172" s="53"/>
    </row>
    <row r="173" spans="1:91" x14ac:dyDescent="0.25">
      <c r="A173" s="37" t="s">
        <v>531</v>
      </c>
      <c r="B173" s="7">
        <v>4032</v>
      </c>
      <c r="C173" s="22" t="s">
        <v>207</v>
      </c>
      <c r="D173" s="22" t="s">
        <v>711</v>
      </c>
      <c r="E173" s="13">
        <v>42714.483564814815</v>
      </c>
      <c r="F173" s="13">
        <v>42714.486041666663</v>
      </c>
      <c r="G173" s="7">
        <v>1</v>
      </c>
      <c r="H173" s="22" t="s">
        <v>712</v>
      </c>
      <c r="I173" s="13">
        <v>42714.496493055558</v>
      </c>
      <c r="J173" s="7">
        <v>1</v>
      </c>
      <c r="K173" s="109" t="str">
        <f t="shared" si="70"/>
        <v>4031/4032</v>
      </c>
      <c r="L173" s="22" t="str">
        <f>VLOOKUP(A173,'Trips&amp;Operators'!$C$1:$G$99999,5,FALSE)</f>
        <v>YORK EDGAR</v>
      </c>
      <c r="M173" s="6">
        <f t="shared" si="71"/>
        <v>1.0451388894580305E-2</v>
      </c>
      <c r="N173" s="7">
        <f t="shared" si="83"/>
        <v>15.050000008195639</v>
      </c>
      <c r="O173" s="7"/>
      <c r="P173" s="7"/>
      <c r="Q173" s="23"/>
      <c r="R173" s="23"/>
      <c r="S173" s="35">
        <f t="shared" si="85"/>
        <v>1</v>
      </c>
      <c r="T173" s="50" t="str">
        <f t="shared" si="72"/>
        <v>Southbound</v>
      </c>
      <c r="U173" s="171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98" t="str">
        <f t="shared" si="73"/>
        <v>https://search-rtdc-monitor-bjffxe2xuh6vdkpspy63sjmuny.us-east-1.es.amazonaws.com/_plugin/kibana/#/discover/Steve-Slow-Train-Analysis-(2080s-and-2083s)?_g=(refreshInterval:(display:Off,section:0,value:0),time:(from:'2016-12-10 10:36:20-700',mode:absolute,to:'2016-12-10 12:54:57-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201053%20OR%202087)%20AND%20%22rtdc.l.rtdc.4032%22')),sort:!(Time,asc))</v>
      </c>
      <c r="W173" s="52" t="str">
        <f t="shared" si="89"/>
        <v>N</v>
      </c>
      <c r="X173" s="177">
        <f t="shared" si="90"/>
        <v>1</v>
      </c>
      <c r="Y173" s="67">
        <f t="shared" si="86"/>
        <v>5.8624000000000001</v>
      </c>
      <c r="Z173" s="67">
        <f t="shared" si="84"/>
        <v>7.4700000000000003E-2</v>
      </c>
      <c r="AA173" s="67">
        <f t="shared" si="76"/>
        <v>5.7877000000000001</v>
      </c>
      <c r="AB173" s="64" t="e">
        <f>VLOOKUP(A173,Enforcements!$C$7:$K$20,8,0)</f>
        <v>#N/A</v>
      </c>
      <c r="AC173" s="60" t="e">
        <f>VLOOKUP(A173,Enforcements!$C$7:$E$20,3,0)</f>
        <v>#N/A</v>
      </c>
      <c r="AD173" s="61" t="str">
        <f t="shared" si="77"/>
        <v>1812-10</v>
      </c>
      <c r="AE173" s="91" t="str">
        <f t="shared" si="78"/>
        <v>aws s3 cp s3://rtdc.mdm.uploadarchive.raw/RTDC4032/ "%USERPROFILE%\AppData\Local\Temp\OnboardLogs"\RTDC4032\2016-12-10 --exclude "*" --recursive --include "*20161210*" &amp; "%USERPROFILE%\Documents\GitHub\mrs-test-scripts\Headless Mode &amp; Sideloading\WalkAndUnGZ.bat" "%USERPROFILE%\AppData\Local\Temp\OnboardLogs"\RTDC4032\2016-12-10 &amp; aws s3 cp s3://rtdc.mdm.uploadarchive.raw/RTDC4032/ "%USERPROFILE%\AppData\Local\Temp\OnboardLogs"\RTDC4032\2016-12-11 --exclude "*" --recursive --include "*20161211*" &amp; "%USERPROFILE%\Documents\GitHub\mrs-test-scripts\Headless Mode &amp; Sideloading\WalkAndUnGZ.bat" "%USERPROFILE%\AppData\Local\Temp\OnboardLogs"\RTDC4032\2016-12-11</v>
      </c>
      <c r="AF173" s="88" t="str">
        <f t="shared" si="79"/>
        <v>"C:\Program Files (x86)\AstroGrep\AstroGrep.exe" /spath="%USERPROFILE%\AppData\Local\Temp\OnboardLogs" /stypes="app*4032*20161210*" /stext=" 18:.+((SYSTEM_STATE.+slice.+state.+changed )|(ment ac)|(multiple cpu faults)|(system.+state.+changed )|(\[timeout)|(PRM\|1\|D)|(kpr)|(kdp)|(\|lc)|(penalty))" /e /r /s</v>
      </c>
      <c r="AG173" s="1" t="str">
        <f t="shared" si="80"/>
        <v>NW</v>
      </c>
      <c r="AH173" s="92" t="str">
        <f t="shared" si="81"/>
        <v>"%USERPROFILE%\Documents\GitHub\eaglep3\Utilities\RefineRTDCRunTimes.py" --tripid 1812-10 --locoid 4032 --swversion DE.1.0.8.0 --startMP 300:58624 --initTime 2016-12-10T11:36:20 --startdatetime 2016-12-10T11:39:54 --delay 1 --endMP 204:747 --enddatetime 2016-12-10T11:54:57 --enforcementcount 1 &gt;&gt;C:\Users\stu\Documents\GitHub\eaglep3-reporting\EC\2016-12-10-refined-times.txt</v>
      </c>
      <c r="AI173" s="119" t="str">
        <f t="shared" si="82"/>
        <v>echo {"issue":{"subject":"","project_id":79,"tracker_id":40,"status_id":1,"priority_id":2,"assigned_to_id":23,"start_date":"2016-12-10","description":"","custom_fields":[{"id":1,"name":"Subdivision","value":"NW"},{"id":4,"name":"Milepost","value":"0.0747"},{"id":17,"name":"Train ID","value":"1812-10"},{"id":16,"name":"Locomotive ID","value":"4032"},{"id":130,"name":"Impact","value":""},{"id":150,"name":"Time of Event (Mountain Time)","value":"11:54:57"},{"id":151,"name":"Denver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3" s="53"/>
      <c r="AK173" s="53"/>
      <c r="AL173" s="53"/>
    </row>
    <row r="174" spans="1:91" x14ac:dyDescent="0.25">
      <c r="A174" s="37" t="s">
        <v>537</v>
      </c>
      <c r="B174" s="7">
        <v>4031</v>
      </c>
      <c r="C174" s="22" t="s">
        <v>207</v>
      </c>
      <c r="D174" s="22" t="s">
        <v>699</v>
      </c>
      <c r="E174" s="13">
        <v>42714.499872685185</v>
      </c>
      <c r="F174" s="13">
        <v>42714.515034722222</v>
      </c>
      <c r="G174" s="7">
        <v>0</v>
      </c>
      <c r="H174" s="22" t="s">
        <v>402</v>
      </c>
      <c r="I174" s="13">
        <v>42714.523993055554</v>
      </c>
      <c r="J174" s="7">
        <v>1</v>
      </c>
      <c r="K174" s="109" t="str">
        <f t="shared" si="70"/>
        <v>4031/4032</v>
      </c>
      <c r="L174" s="22" t="str">
        <f>VLOOKUP(A174,'Trips&amp;Operators'!$C$1:$G$99999,5,FALSE)</f>
        <v>YORK EDGAR</v>
      </c>
      <c r="M174" s="6">
        <f t="shared" si="71"/>
        <v>8.9583333319751546E-3</v>
      </c>
      <c r="N174" s="7">
        <f t="shared" si="83"/>
        <v>12.899999998044223</v>
      </c>
      <c r="O174" s="7"/>
      <c r="P174" s="7"/>
      <c r="Q174" s="23"/>
      <c r="R174" s="23"/>
      <c r="S174" s="35">
        <f t="shared" si="85"/>
        <v>1</v>
      </c>
      <c r="T174" s="50" t="str">
        <f t="shared" si="72"/>
        <v>NorthBound</v>
      </c>
      <c r="U174" s="171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98" t="str">
        <f t="shared" si="73"/>
        <v>https://search-rtdc-monitor-bjffxe2xuh6vdkpspy63sjmuny.us-east-1.es.amazonaws.com/_plugin/kibana/#/discover/Steve-Slow-Train-Analysis-(2080s-and-2083s)?_g=(refreshInterval:(display:Off,section:0,value:0),time:(from:'2016-12-10 10:59:49-700',mode:absolute,to:'2016-12-10 13:34:33-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201053%20OR%202087)%20AND%20%22rtdc.l.rtdc.4031%22')),sort:!(Time,asc))</v>
      </c>
      <c r="W174" s="52" t="str">
        <f t="shared" si="89"/>
        <v>N</v>
      </c>
      <c r="X174" s="177">
        <f t="shared" si="90"/>
        <v>1</v>
      </c>
      <c r="Y174" s="67">
        <f t="shared" si="86"/>
        <v>0.1028</v>
      </c>
      <c r="Z174" s="67">
        <f t="shared" si="84"/>
        <v>5.8939000000000004</v>
      </c>
      <c r="AA174" s="67">
        <f t="shared" si="76"/>
        <v>5.7911000000000001</v>
      </c>
      <c r="AB174" s="64" t="e">
        <f>VLOOKUP(A174,Enforcements!$C$7:$K$20,8,0)</f>
        <v>#N/A</v>
      </c>
      <c r="AC174" s="60" t="e">
        <f>VLOOKUP(A174,Enforcements!$C$7:$E$20,3,0)</f>
        <v>#N/A</v>
      </c>
      <c r="AD174" s="61" t="str">
        <f t="shared" si="77"/>
        <v>1813-10</v>
      </c>
      <c r="AE174" s="91" t="str">
        <f t="shared" si="78"/>
        <v>aws s3 cp s3://rtdc.mdm.uploadarchive.raw/RTDC4031/ "%USERPROFILE%\AppData\Local\Temp\OnboardLogs"\RTDC4031\2016-12-10 --exclude "*" --recursive --include "*20161210*" &amp; "%USERPROFILE%\Documents\GitHub\mrs-test-scripts\Headless Mode &amp; Sideloading\WalkAndUnGZ.bat" "%USERPROFILE%\AppData\Local\Temp\OnboardLogs"\RTDC4031\2016-12-10 &amp; aws s3 cp s3://rtdc.mdm.uploadarchive.raw/RTDC4031/ "%USERPROFILE%\AppData\Local\Temp\OnboardLogs"\RTDC4031\2016-12-11 --exclude "*" --recursive --include "*20161211*" &amp; "%USERPROFILE%\Documents\GitHub\mrs-test-scripts\Headless Mode &amp; Sideloading\WalkAndUnGZ.bat" "%USERPROFILE%\AppData\Local\Temp\OnboardLogs"\RTDC4031\2016-12-11</v>
      </c>
      <c r="AF174" s="88" t="str">
        <f t="shared" si="79"/>
        <v>"C:\Program Files (x86)\AstroGrep\AstroGrep.exe" /spath="%USERPROFILE%\AppData\Local\Temp\OnboardLogs" /stypes="app*4031*20161210*" /stext=" 19:.+((SYSTEM_STATE.+slice.+state.+changed )|(ment ac)|(multiple cpu faults)|(system.+state.+changed )|(\[timeout)|(PRM\|1\|D)|(kpr)|(kdp)|(\|lc)|(penalty))" /e /r /s</v>
      </c>
      <c r="AG174" s="1" t="str">
        <f t="shared" si="80"/>
        <v>NW</v>
      </c>
      <c r="AH174" s="92" t="str">
        <f t="shared" si="81"/>
        <v>"%USERPROFILE%\Documents\GitHub\eaglep3\Utilities\RefineRTDCRunTimes.py" --tripid 1813-10 --locoid 4031 --swversion DE.1.0.8.0 --startMP 204:1028 --initTime 2016-12-10T11:59:49 --startdatetime 2016-12-10T12:21:39 --delay 0 --endMP 300:58939 --enddatetime 2016-12-10T12:34:33 --enforcementcount 1 &gt;&gt;C:\Users\stu\Documents\GitHub\eaglep3-reporting\EC\2016-12-10-refined-times.txt</v>
      </c>
      <c r="AI174" s="119" t="str">
        <f t="shared" si="82"/>
        <v>echo {"issue":{"subject":"","project_id":79,"tracker_id":40,"status_id":1,"priority_id":2,"assigned_to_id":23,"start_date":"2016-12-10","description":"","custom_fields":[{"id":1,"name":"Subdivision","value":"NW"},{"id":4,"name":"Milepost","value":"5.8939"},{"id":17,"name":"Train ID","value":"1813-10"},{"id":16,"name":"Locomotive ID","value":"4031"},{"id":130,"name":"Impact","value":""},{"id":150,"name":"Time of Event (Mountain Time)","value":"12:34:33"},{"id":151,"name":"Denver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4" s="53"/>
      <c r="AK174" s="53"/>
      <c r="AL174" s="53"/>
    </row>
    <row r="175" spans="1:91" x14ac:dyDescent="0.25">
      <c r="A175" s="37" t="s">
        <v>539</v>
      </c>
      <c r="B175" s="7">
        <v>4032</v>
      </c>
      <c r="C175" s="22" t="s">
        <v>207</v>
      </c>
      <c r="D175" s="22" t="s">
        <v>713</v>
      </c>
      <c r="E175" s="13">
        <v>42714.527013888888</v>
      </c>
      <c r="F175" s="13">
        <v>42714.527951388889</v>
      </c>
      <c r="G175" s="7">
        <v>0</v>
      </c>
      <c r="H175" s="22" t="s">
        <v>714</v>
      </c>
      <c r="I175" s="13">
        <v>42714.537361111114</v>
      </c>
      <c r="J175" s="7">
        <v>1</v>
      </c>
      <c r="K175" s="109" t="str">
        <f t="shared" si="70"/>
        <v>4031/4032</v>
      </c>
      <c r="L175" s="22" t="str">
        <f>VLOOKUP(A175,'Trips&amp;Operators'!$C$1:$G$99999,5,FALSE)</f>
        <v>YORK EDGAR</v>
      </c>
      <c r="M175" s="6">
        <f t="shared" si="71"/>
        <v>9.4097222245181911E-3</v>
      </c>
      <c r="N175" s="7">
        <f t="shared" si="83"/>
        <v>13.550000003306195</v>
      </c>
      <c r="O175" s="7"/>
      <c r="P175" s="7"/>
      <c r="Q175" s="23"/>
      <c r="R175" s="23"/>
      <c r="S175" s="35">
        <f t="shared" si="85"/>
        <v>1</v>
      </c>
      <c r="T175" s="50" t="str">
        <f t="shared" si="72"/>
        <v>Southbound</v>
      </c>
      <c r="U175" s="171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98" t="str">
        <f t="shared" si="73"/>
        <v>https://search-rtdc-monitor-bjffxe2xuh6vdkpspy63sjmuny.us-east-1.es.amazonaws.com/_plugin/kibana/#/discover/Steve-Slow-Train-Analysis-(2080s-and-2083s)?_g=(refreshInterval:(display:Off,section:0,value:0),time:(from:'2016-12-10 11:38:54-700',mode:absolute,to:'2016-12-10 13:53:48-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201053%20OR%202087)%20AND%20%22rtdc.l.rtdc.4032%22')),sort:!(Time,asc))</v>
      </c>
      <c r="W175" s="52" t="str">
        <f t="shared" si="89"/>
        <v>N</v>
      </c>
      <c r="X175" s="177">
        <f t="shared" ref="X175:X182" si="91">VALUE(LEFT(AD175,4))-VALUE(LEFT(AD174,4))</f>
        <v>1</v>
      </c>
      <c r="Y175" s="67">
        <f t="shared" si="86"/>
        <v>5.8596000000000004</v>
      </c>
      <c r="Z175" s="67">
        <f t="shared" si="84"/>
        <v>7.22E-2</v>
      </c>
      <c r="AA175" s="67">
        <f t="shared" si="76"/>
        <v>5.7874000000000008</v>
      </c>
      <c r="AB175" s="64" t="e">
        <f>VLOOKUP(A175,Enforcements!$C$7:$K$20,8,0)</f>
        <v>#N/A</v>
      </c>
      <c r="AC175" s="60" t="e">
        <f>VLOOKUP(A175,Enforcements!$C$7:$E$20,3,0)</f>
        <v>#N/A</v>
      </c>
      <c r="AD175" s="61" t="str">
        <f t="shared" si="77"/>
        <v>1814-10</v>
      </c>
      <c r="AE175" s="91" t="str">
        <f t="shared" si="78"/>
        <v>aws s3 cp s3://rtdc.mdm.uploadarchive.raw/RTDC4032/ "%USERPROFILE%\AppData\Local\Temp\OnboardLogs"\RTDC4032\2016-12-10 --exclude "*" --recursive --include "*20161210*" &amp; "%USERPROFILE%\Documents\GitHub\mrs-test-scripts\Headless Mode &amp; Sideloading\WalkAndUnGZ.bat" "%USERPROFILE%\AppData\Local\Temp\OnboardLogs"\RTDC4032\2016-12-10 &amp; aws s3 cp s3://rtdc.mdm.uploadarchive.raw/RTDC4032/ "%USERPROFILE%\AppData\Local\Temp\OnboardLogs"\RTDC4032\2016-12-11 --exclude "*" --recursive --include "*20161211*" &amp; "%USERPROFILE%\Documents\GitHub\mrs-test-scripts\Headless Mode &amp; Sideloading\WalkAndUnGZ.bat" "%USERPROFILE%\AppData\Local\Temp\OnboardLogs"\RTDC4032\2016-12-11</v>
      </c>
      <c r="AF175" s="88" t="str">
        <f t="shared" si="79"/>
        <v>"C:\Program Files (x86)\AstroGrep\AstroGrep.exe" /spath="%USERPROFILE%\AppData\Local\Temp\OnboardLogs" /stypes="app*4032*20161210*" /stext=" 19:.+((SYSTEM_STATE.+slice.+state.+changed )|(ment ac)|(multiple cpu faults)|(system.+state.+changed )|(\[timeout)|(PRM\|1\|D)|(kpr)|(kdp)|(\|lc)|(penalty))" /e /r /s</v>
      </c>
      <c r="AG175" s="1" t="str">
        <f t="shared" si="80"/>
        <v>NW</v>
      </c>
      <c r="AH175" s="92" t="str">
        <f t="shared" si="81"/>
        <v>"%USERPROFILE%\Documents\GitHub\eaglep3\Utilities\RefineRTDCRunTimes.py" --tripid 1814-10 --locoid 4032 --swversion DE.1.0.8.0 --startMP 300:58596 --initTime 2016-12-10T12:38:54 --startdatetime 2016-12-10T12:40:15 --delay 0 --endMP 204:722 --enddatetime 2016-12-10T12:53:48 --enforcementcount 1 &gt;&gt;C:\Users\stu\Documents\GitHub\eaglep3-reporting\EC\2016-12-10-refined-times.txt</v>
      </c>
      <c r="AI175" s="119" t="str">
        <f t="shared" si="82"/>
        <v>echo {"issue":{"subject":"","project_id":79,"tracker_id":40,"status_id":1,"priority_id":2,"assigned_to_id":23,"start_date":"2016-12-10","description":"","custom_fields":[{"id":1,"name":"Subdivision","value":"NW"},{"id":4,"name":"Milepost","value":"0.0722"},{"id":17,"name":"Train ID","value":"1814-10"},{"id":16,"name":"Locomotive ID","value":"4032"},{"id":130,"name":"Impact","value":""},{"id":150,"name":"Time of Event (Mountain Time)","value":"12:53:48"},{"id":151,"name":"Denver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5" s="53"/>
      <c r="AK175" s="53"/>
      <c r="AL175" s="53"/>
    </row>
    <row r="176" spans="1:91" x14ac:dyDescent="0.25">
      <c r="A176" s="37" t="s">
        <v>546</v>
      </c>
      <c r="B176" s="7">
        <v>4031</v>
      </c>
      <c r="C176" s="22" t="s">
        <v>207</v>
      </c>
      <c r="D176" s="22" t="s">
        <v>715</v>
      </c>
      <c r="E176" s="13">
        <v>42714.55537037037</v>
      </c>
      <c r="F176" s="13">
        <v>42714.556550925925</v>
      </c>
      <c r="G176" s="7">
        <v>0</v>
      </c>
      <c r="H176" s="22" t="s">
        <v>372</v>
      </c>
      <c r="I176" s="13">
        <v>42714.565046296295</v>
      </c>
      <c r="J176" s="7">
        <v>1</v>
      </c>
      <c r="K176" s="109" t="str">
        <f t="shared" si="70"/>
        <v>4031/4032</v>
      </c>
      <c r="L176" s="22" t="str">
        <f>VLOOKUP(A176,'Trips&amp;Operators'!$C$1:$G$99999,5,FALSE)</f>
        <v>YORK EDGAR</v>
      </c>
      <c r="M176" s="6">
        <f t="shared" si="71"/>
        <v>8.4953703699284233E-3</v>
      </c>
      <c r="N176" s="7">
        <f t="shared" si="83"/>
        <v>12.23333333269693</v>
      </c>
      <c r="O176" s="7"/>
      <c r="P176" s="7"/>
      <c r="Q176" s="23"/>
      <c r="R176" s="23"/>
      <c r="S176" s="35">
        <f t="shared" si="85"/>
        <v>1</v>
      </c>
      <c r="T176" s="50" t="str">
        <f t="shared" si="72"/>
        <v>NorthBound</v>
      </c>
      <c r="U176" s="171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98" t="str">
        <f t="shared" si="73"/>
        <v>https://search-rtdc-monitor-bjffxe2xuh6vdkpspy63sjmuny.us-east-1.es.amazonaws.com/_plugin/kibana/#/discover/Steve-Slow-Train-Analysis-(2080s-and-2083s)?_g=(refreshInterval:(display:Off,section:0,value:0),time:(from:'2016-12-10 12:19:44-700',mode:absolute,to:'2016-12-10 14:33:40-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201053%20OR%202087)%20AND%20%22rtdc.l.rtdc.4031%22')),sort:!(Time,asc))</v>
      </c>
      <c r="W176" s="52" t="str">
        <f t="shared" si="89"/>
        <v>N</v>
      </c>
      <c r="X176" s="177">
        <f t="shared" si="91"/>
        <v>1</v>
      </c>
      <c r="Y176" s="67">
        <f t="shared" si="86"/>
        <v>0.1018</v>
      </c>
      <c r="Z176" s="67">
        <f t="shared" si="84"/>
        <v>5.8948</v>
      </c>
      <c r="AA176" s="67">
        <f t="shared" si="76"/>
        <v>5.7930000000000001</v>
      </c>
      <c r="AB176" s="64" t="e">
        <f>VLOOKUP(A176,Enforcements!$C$7:$K$20,8,0)</f>
        <v>#N/A</v>
      </c>
      <c r="AC176" s="60" t="e">
        <f>VLOOKUP(A176,Enforcements!$C$7:$E$20,3,0)</f>
        <v>#N/A</v>
      </c>
      <c r="AD176" s="61" t="str">
        <f t="shared" si="77"/>
        <v>1815-10</v>
      </c>
      <c r="AE176" s="91" t="str">
        <f t="shared" si="78"/>
        <v>aws s3 cp s3://rtdc.mdm.uploadarchive.raw/RTDC4031/ "%USERPROFILE%\AppData\Local\Temp\OnboardLogs"\RTDC4031\2016-12-10 --exclude "*" --recursive --include "*20161210*" &amp; "%USERPROFILE%\Documents\GitHub\mrs-test-scripts\Headless Mode &amp; Sideloading\WalkAndUnGZ.bat" "%USERPROFILE%\AppData\Local\Temp\OnboardLogs"\RTDC4031\2016-12-10 &amp; aws s3 cp s3://rtdc.mdm.uploadarchive.raw/RTDC4031/ "%USERPROFILE%\AppData\Local\Temp\OnboardLogs"\RTDC4031\2016-12-11 --exclude "*" --recursive --include "*20161211*" &amp; "%USERPROFILE%\Documents\GitHub\mrs-test-scripts\Headless Mode &amp; Sideloading\WalkAndUnGZ.bat" "%USERPROFILE%\AppData\Local\Temp\OnboardLogs"\RTDC4031\2016-12-11</v>
      </c>
      <c r="AF176" s="88" t="str">
        <f t="shared" si="79"/>
        <v>"C:\Program Files (x86)\AstroGrep\AstroGrep.exe" /spath="%USERPROFILE%\AppData\Local\Temp\OnboardLogs" /stypes="app*4031*20161210*" /stext=" 20:.+((SYSTEM_STATE.+slice.+state.+changed )|(ment ac)|(multiple cpu faults)|(system.+state.+changed )|(\[timeout)|(PRM\|1\|D)|(kpr)|(kdp)|(\|lc)|(penalty))" /e /r /s</v>
      </c>
      <c r="AG176" s="1" t="str">
        <f t="shared" si="80"/>
        <v>NW</v>
      </c>
      <c r="AH176" s="92" t="str">
        <f t="shared" si="81"/>
        <v>"%USERPROFILE%\Documents\GitHub\eaglep3\Utilities\RefineRTDCRunTimes.py" --tripid 1815-10 --locoid 4031 --swversion DE.1.0.8.0 --startMP 204:1018 --initTime 2016-12-10T13:19:44 --startdatetime 2016-12-10T13:21:26 --delay 0 --endMP 300:58948 --enddatetime 2016-12-10T13:33:40 --enforcementcount 1 &gt;&gt;C:\Users\stu\Documents\GitHub\eaglep3-reporting\EC\2016-12-10-refined-times.txt</v>
      </c>
      <c r="AI176" s="119" t="str">
        <f t="shared" si="82"/>
        <v>echo {"issue":{"subject":"","project_id":79,"tracker_id":40,"status_id":1,"priority_id":2,"assigned_to_id":23,"start_date":"2016-12-10","description":"","custom_fields":[{"id":1,"name":"Subdivision","value":"NW"},{"id":4,"name":"Milepost","value":"5.8948"},{"id":17,"name":"Train ID","value":"1815-10"},{"id":16,"name":"Locomotive ID","value":"4031"},{"id":130,"name":"Impact","value":""},{"id":150,"name":"Time of Event (Mountain Time)","value":"13:33:40"},{"id":151,"name":"Denver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6" s="53"/>
      <c r="AK176" s="53"/>
      <c r="AL176" s="53"/>
    </row>
    <row r="177" spans="1:91" x14ac:dyDescent="0.25">
      <c r="A177" s="37" t="s">
        <v>548</v>
      </c>
      <c r="B177" s="7">
        <v>4032</v>
      </c>
      <c r="C177" s="22" t="s">
        <v>207</v>
      </c>
      <c r="D177" s="22" t="s">
        <v>399</v>
      </c>
      <c r="E177" s="13">
        <v>42714.566747685189</v>
      </c>
      <c r="F177" s="13">
        <v>42714.568287037036</v>
      </c>
      <c r="G177" s="7">
        <v>1</v>
      </c>
      <c r="H177" s="22" t="s">
        <v>698</v>
      </c>
      <c r="I177" s="13">
        <v>42714.579189814816</v>
      </c>
      <c r="J177" s="7">
        <v>1</v>
      </c>
      <c r="K177" s="109" t="str">
        <f t="shared" si="70"/>
        <v>4031/4032</v>
      </c>
      <c r="L177" s="22" t="str">
        <f>VLOOKUP(A177,'Trips&amp;Operators'!$C$1:$G$99999,5,FALSE)</f>
        <v>YORK EDGAR</v>
      </c>
      <c r="M177" s="6">
        <f t="shared" si="71"/>
        <v>1.0902777779847383E-2</v>
      </c>
      <c r="N177" s="7">
        <f t="shared" si="83"/>
        <v>15.700000002980232</v>
      </c>
      <c r="O177" s="7"/>
      <c r="P177" s="7"/>
      <c r="Q177" s="23"/>
      <c r="R177" s="23"/>
      <c r="S177" s="35">
        <f t="shared" si="85"/>
        <v>1</v>
      </c>
      <c r="T177" s="50" t="str">
        <f t="shared" si="72"/>
        <v>Southbound</v>
      </c>
      <c r="U177" s="171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98" t="str">
        <f t="shared" si="73"/>
        <v>https://search-rtdc-monitor-bjffxe2xuh6vdkpspy63sjmuny.us-east-1.es.amazonaws.com/_plugin/kibana/#/discover/Steve-Slow-Train-Analysis-(2080s-and-2083s)?_g=(refreshInterval:(display:Off,section:0,value:0),time:(from:'2016-12-10 12:36:07-700',mode:absolute,to:'2016-12-10 14:54:02-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201053%20OR%202087)%20AND%20%22rtdc.l.rtdc.4032%22')),sort:!(Time,asc))</v>
      </c>
      <c r="W177" s="52" t="str">
        <f t="shared" si="89"/>
        <v>N</v>
      </c>
      <c r="X177" s="177">
        <f t="shared" si="91"/>
        <v>1</v>
      </c>
      <c r="Y177" s="67">
        <f t="shared" si="86"/>
        <v>5.8632</v>
      </c>
      <c r="Z177" s="67">
        <f t="shared" si="84"/>
        <v>7.3800000000000004E-2</v>
      </c>
      <c r="AA177" s="67">
        <f t="shared" si="76"/>
        <v>5.7893999999999997</v>
      </c>
      <c r="AB177" s="64" t="e">
        <f>VLOOKUP(A177,Enforcements!$C$7:$K$20,8,0)</f>
        <v>#N/A</v>
      </c>
      <c r="AC177" s="60" t="e">
        <f>VLOOKUP(A177,Enforcements!$C$7:$E$20,3,0)</f>
        <v>#N/A</v>
      </c>
      <c r="AD177" s="61" t="str">
        <f t="shared" si="77"/>
        <v>1816-10</v>
      </c>
      <c r="AE177" s="91" t="str">
        <f t="shared" si="78"/>
        <v>aws s3 cp s3://rtdc.mdm.uploadarchive.raw/RTDC4032/ "%USERPROFILE%\AppData\Local\Temp\OnboardLogs"\RTDC4032\2016-12-10 --exclude "*" --recursive --include "*20161210*" &amp; "%USERPROFILE%\Documents\GitHub\mrs-test-scripts\Headless Mode &amp; Sideloading\WalkAndUnGZ.bat" "%USERPROFILE%\AppData\Local\Temp\OnboardLogs"\RTDC4032\2016-12-10 &amp; aws s3 cp s3://rtdc.mdm.uploadarchive.raw/RTDC4032/ "%USERPROFILE%\AppData\Local\Temp\OnboardLogs"\RTDC4032\2016-12-11 --exclude "*" --recursive --include "*20161211*" &amp; "%USERPROFILE%\Documents\GitHub\mrs-test-scripts\Headless Mode &amp; Sideloading\WalkAndUnGZ.bat" "%USERPROFILE%\AppData\Local\Temp\OnboardLogs"\RTDC4032\2016-12-11</v>
      </c>
      <c r="AF177" s="88" t="str">
        <f t="shared" si="79"/>
        <v>"C:\Program Files (x86)\AstroGrep\AstroGrep.exe" /spath="%USERPROFILE%\AppData\Local\Temp\OnboardLogs" /stypes="app*4032*20161210*" /stext=" 20:.+((SYSTEM_STATE.+slice.+state.+changed )|(ment ac)|(multiple cpu faults)|(system.+state.+changed )|(\[timeout)|(PRM\|1\|D)|(kpr)|(kdp)|(\|lc)|(penalty))" /e /r /s</v>
      </c>
      <c r="AG177" s="1" t="str">
        <f t="shared" si="80"/>
        <v>NW</v>
      </c>
      <c r="AH177" s="92" t="str">
        <f t="shared" si="81"/>
        <v>"%USERPROFILE%\Documents\GitHub\eaglep3\Utilities\RefineRTDCRunTimes.py" --tripid 1816-10 --locoid 4032 --swversion DE.1.0.8.0 --startMP 300:58632 --initTime 2016-12-10T13:36:07 --startdatetime 2016-12-10T13:38:20 --delay 1 --endMP 204:738 --enddatetime 2016-12-10T13:54:02 --enforcementcount 1 &gt;&gt;C:\Users\stu\Documents\GitHub\eaglep3-reporting\EC\2016-12-10-refined-times.txt</v>
      </c>
      <c r="AI177" s="119" t="str">
        <f t="shared" si="82"/>
        <v>echo {"issue":{"subject":"","project_id":79,"tracker_id":40,"status_id":1,"priority_id":2,"assigned_to_id":23,"start_date":"2016-12-10","description":"","custom_fields":[{"id":1,"name":"Subdivision","value":"NW"},{"id":4,"name":"Milepost","value":"0.0738"},{"id":17,"name":"Train ID","value":"1816-10"},{"id":16,"name":"Locomotive ID","value":"4032"},{"id":130,"name":"Impact","value":""},{"id":150,"name":"Time of Event (Mountain Time)","value":"13:54:02"},{"id":151,"name":"Denver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7" s="53"/>
      <c r="AK177" s="53"/>
      <c r="AL177" s="53"/>
    </row>
    <row r="178" spans="1:91" x14ac:dyDescent="0.25">
      <c r="A178" s="37" t="s">
        <v>553</v>
      </c>
      <c r="B178" s="7">
        <v>4031</v>
      </c>
      <c r="C178" s="22" t="s">
        <v>207</v>
      </c>
      <c r="D178" s="22" t="s">
        <v>696</v>
      </c>
      <c r="E178" s="13">
        <v>42714.585462962961</v>
      </c>
      <c r="F178" s="13">
        <v>42714.598194444443</v>
      </c>
      <c r="G178" s="7">
        <v>1</v>
      </c>
      <c r="H178" s="22" t="s">
        <v>404</v>
      </c>
      <c r="I178" s="13">
        <v>42714.607523148145</v>
      </c>
      <c r="J178" s="7">
        <v>1</v>
      </c>
      <c r="K178" s="109" t="str">
        <f t="shared" si="70"/>
        <v>4031/4032</v>
      </c>
      <c r="L178" s="22" t="str">
        <f>VLOOKUP(A178,'Trips&amp;Operators'!$C$1:$G$99999,5,FALSE)</f>
        <v>LOPES KIMBERLY</v>
      </c>
      <c r="M178" s="6">
        <f t="shared" si="71"/>
        <v>9.3287037016125396E-3</v>
      </c>
      <c r="N178" s="7">
        <f t="shared" si="83"/>
        <v>13.433333330322057</v>
      </c>
      <c r="O178" s="7"/>
      <c r="P178" s="7"/>
      <c r="Q178" s="23"/>
      <c r="R178" s="23"/>
      <c r="S178" s="35">
        <f t="shared" si="85"/>
        <v>1</v>
      </c>
      <c r="T178" s="50" t="str">
        <f t="shared" si="72"/>
        <v>NorthBound</v>
      </c>
      <c r="U178" s="171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98" t="str">
        <f t="shared" si="73"/>
        <v>https://search-rtdc-monitor-bjffxe2xuh6vdkpspy63sjmuny.us-east-1.es.amazonaws.com/_plugin/kibana/#/discover/Steve-Slow-Train-Analysis-(2080s-and-2083s)?_g=(refreshInterval:(display:Off,section:0,value:0),time:(from:'2016-12-10 13:03:04-700',mode:absolute,to:'2016-12-10 15:34:50-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201053%20OR%202087)%20AND%20%22rtdc.l.rtdc.4031%22')),sort:!(Time,asc))</v>
      </c>
      <c r="W178" s="52" t="str">
        <f t="shared" si="89"/>
        <v>N</v>
      </c>
      <c r="X178" s="177">
        <f t="shared" si="91"/>
        <v>1</v>
      </c>
      <c r="Y178" s="67">
        <f t="shared" si="86"/>
        <v>0.1021</v>
      </c>
      <c r="Z178" s="67">
        <f t="shared" si="84"/>
        <v>5.8944000000000001</v>
      </c>
      <c r="AA178" s="67">
        <f t="shared" si="76"/>
        <v>5.7923</v>
      </c>
      <c r="AB178" s="64" t="e">
        <f>VLOOKUP(A178,Enforcements!$C$7:$K$20,8,0)</f>
        <v>#N/A</v>
      </c>
      <c r="AC178" s="60" t="e">
        <f>VLOOKUP(A178,Enforcements!$C$7:$E$20,3,0)</f>
        <v>#N/A</v>
      </c>
      <c r="AD178" s="61" t="str">
        <f t="shared" si="77"/>
        <v>1817-10</v>
      </c>
      <c r="AE178" s="91" t="str">
        <f t="shared" si="78"/>
        <v>aws s3 cp s3://rtdc.mdm.uploadarchive.raw/RTDC4031/ "%USERPROFILE%\AppData\Local\Temp\OnboardLogs"\RTDC4031\2016-12-10 --exclude "*" --recursive --include "*20161210*" &amp; "%USERPROFILE%\Documents\GitHub\mrs-test-scripts\Headless Mode &amp; Sideloading\WalkAndUnGZ.bat" "%USERPROFILE%\AppData\Local\Temp\OnboardLogs"\RTDC4031\2016-12-10 &amp; aws s3 cp s3://rtdc.mdm.uploadarchive.raw/RTDC4031/ "%USERPROFILE%\AppData\Local\Temp\OnboardLogs"\RTDC4031\2016-12-11 --exclude "*" --recursive --include "*20161211*" &amp; "%USERPROFILE%\Documents\GitHub\mrs-test-scripts\Headless Mode &amp; Sideloading\WalkAndUnGZ.bat" "%USERPROFILE%\AppData\Local\Temp\OnboardLogs"\RTDC4031\2016-12-11</v>
      </c>
      <c r="AF178" s="88" t="str">
        <f t="shared" si="79"/>
        <v>"C:\Program Files (x86)\AstroGrep\AstroGrep.exe" /spath="%USERPROFILE%\AppData\Local\Temp\OnboardLogs" /stypes="app*4031*20161210*" /stext=" 21:.+((SYSTEM_STATE.+slice.+state.+changed )|(ment ac)|(multiple cpu faults)|(system.+state.+changed )|(\[timeout)|(PRM\|1\|D)|(kpr)|(kdp)|(\|lc)|(penalty))" /e /r /s</v>
      </c>
      <c r="AG178" s="1" t="str">
        <f t="shared" si="80"/>
        <v>NW</v>
      </c>
      <c r="AH178" s="92" t="str">
        <f t="shared" si="81"/>
        <v>"%USERPROFILE%\Documents\GitHub\eaglep3\Utilities\RefineRTDCRunTimes.py" --tripid 1817-10 --locoid 4031 --swversion DE.1.0.8.0 --startMP 204:1021 --initTime 2016-12-10T14:03:04 --startdatetime 2016-12-10T14:21:24 --delay 1 --endMP 300:58944 --enddatetime 2016-12-10T14:34:50 --enforcementcount 1 &gt;&gt;C:\Users\stu\Documents\GitHub\eaglep3-reporting\EC\2016-12-10-refined-times.txt</v>
      </c>
      <c r="AI178" s="119" t="str">
        <f t="shared" si="82"/>
        <v>echo {"issue":{"subject":"","project_id":79,"tracker_id":40,"status_id":1,"priority_id":2,"assigned_to_id":23,"start_date":"2016-12-10","description":"","custom_fields":[{"id":1,"name":"Subdivision","value":"NW"},{"id":4,"name":"Milepost","value":"5.8944"},{"id":17,"name":"Train ID","value":"1817-10"},{"id":16,"name":"Locomotive ID","value":"4031"},{"id":130,"name":"Impact","value":""},{"id":150,"name":"Time of Event (Mountain Time)","value":"14:34:50"},{"id":151,"name":"Denver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8" s="53"/>
      <c r="AK178" s="53"/>
      <c r="AL178" s="53"/>
    </row>
    <row r="179" spans="1:91" x14ac:dyDescent="0.25">
      <c r="A179" s="37" t="s">
        <v>560</v>
      </c>
      <c r="B179" s="7">
        <v>4032</v>
      </c>
      <c r="C179" s="22" t="s">
        <v>207</v>
      </c>
      <c r="D179" s="22" t="s">
        <v>341</v>
      </c>
      <c r="E179" s="13">
        <v>42714.608425925922</v>
      </c>
      <c r="F179" s="13">
        <v>42714.609872685185</v>
      </c>
      <c r="G179" s="7">
        <v>1</v>
      </c>
      <c r="H179" s="22" t="s">
        <v>716</v>
      </c>
      <c r="I179" s="13">
        <v>42714.621562499997</v>
      </c>
      <c r="J179" s="7">
        <v>1</v>
      </c>
      <c r="K179" s="109" t="str">
        <f t="shared" si="70"/>
        <v>4031/4032</v>
      </c>
      <c r="L179" s="22" t="str">
        <f>VLOOKUP(A179,'Trips&amp;Operators'!$C$1:$G$99999,5,FALSE)</f>
        <v>LOPES KIMBERLY</v>
      </c>
      <c r="M179" s="6">
        <f t="shared" si="71"/>
        <v>1.1689814811688848E-2</v>
      </c>
      <c r="N179" s="7">
        <f t="shared" si="83"/>
        <v>16.833333328831941</v>
      </c>
      <c r="O179" s="7"/>
      <c r="P179" s="7"/>
      <c r="Q179" s="23"/>
      <c r="R179" s="23"/>
      <c r="S179" s="35">
        <f t="shared" si="85"/>
        <v>1</v>
      </c>
      <c r="T179" s="50" t="str">
        <f t="shared" si="72"/>
        <v>Southbound</v>
      </c>
      <c r="U179" s="171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98" t="str">
        <f t="shared" si="73"/>
        <v>https://search-rtdc-monitor-bjffxe2xuh6vdkpspy63sjmuny.us-east-1.es.amazonaws.com/_plugin/kibana/#/discover/Steve-Slow-Train-Analysis-(2080s-and-2083s)?_g=(refreshInterval:(display:Off,section:0,value:0),time:(from:'2016-12-10 13:36:08-700',mode:absolute,to:'2016-12-10 15:55:03-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201053%20OR%202087)%20AND%20%22rtdc.l.rtdc.4032%22')),sort:!(Time,asc))</v>
      </c>
      <c r="W179" s="52" t="str">
        <f t="shared" si="89"/>
        <v>N</v>
      </c>
      <c r="X179" s="177">
        <f t="shared" si="91"/>
        <v>1</v>
      </c>
      <c r="Y179" s="67">
        <f t="shared" si="86"/>
        <v>5.8630000000000004</v>
      </c>
      <c r="Z179" s="67">
        <f t="shared" si="84"/>
        <v>7.4300000000000005E-2</v>
      </c>
      <c r="AA179" s="67">
        <f t="shared" si="76"/>
        <v>5.7887000000000004</v>
      </c>
      <c r="AB179" s="64" t="e">
        <f>VLOOKUP(A179,Enforcements!$C$7:$K$20,8,0)</f>
        <v>#N/A</v>
      </c>
      <c r="AC179" s="60" t="e">
        <f>VLOOKUP(A179,Enforcements!$C$7:$E$20,3,0)</f>
        <v>#N/A</v>
      </c>
      <c r="AD179" s="61" t="str">
        <f t="shared" si="77"/>
        <v>1818-10</v>
      </c>
      <c r="AE179" s="91" t="str">
        <f t="shared" si="78"/>
        <v>aws s3 cp s3://rtdc.mdm.uploadarchive.raw/RTDC4032/ "%USERPROFILE%\AppData\Local\Temp\OnboardLogs"\RTDC4032\2016-12-10 --exclude "*" --recursive --include "*20161210*" &amp; "%USERPROFILE%\Documents\GitHub\mrs-test-scripts\Headless Mode &amp; Sideloading\WalkAndUnGZ.bat" "%USERPROFILE%\AppData\Local\Temp\OnboardLogs"\RTDC4032\2016-12-10 &amp; aws s3 cp s3://rtdc.mdm.uploadarchive.raw/RTDC4032/ "%USERPROFILE%\AppData\Local\Temp\OnboardLogs"\RTDC4032\2016-12-11 --exclude "*" --recursive --include "*20161211*" &amp; "%USERPROFILE%\Documents\GitHub\mrs-test-scripts\Headless Mode &amp; Sideloading\WalkAndUnGZ.bat" "%USERPROFILE%\AppData\Local\Temp\OnboardLogs"\RTDC4032\2016-12-11</v>
      </c>
      <c r="AF179" s="88" t="str">
        <f t="shared" si="79"/>
        <v>"C:\Program Files (x86)\AstroGrep\AstroGrep.exe" /spath="%USERPROFILE%\AppData\Local\Temp\OnboardLogs" /stypes="app*4032*20161210*" /stext=" 21:.+((SYSTEM_STATE.+slice.+state.+changed )|(ment ac)|(multiple cpu faults)|(system.+state.+changed )|(\[timeout)|(PRM\|1\|D)|(kpr)|(kdp)|(\|lc)|(penalty))" /e /r /s</v>
      </c>
      <c r="AG179" s="1" t="str">
        <f t="shared" si="80"/>
        <v>NW</v>
      </c>
      <c r="AH179" s="92" t="str">
        <f t="shared" si="81"/>
        <v>"%USERPROFILE%\Documents\GitHub\eaglep3\Utilities\RefineRTDCRunTimes.py" --tripid 1818-10 --locoid 4032 --swversion DE.1.0.8.0 --startMP 300:58630 --initTime 2016-12-10T14:36:08 --startdatetime 2016-12-10T14:38:13 --delay 1 --endMP 204:743 --enddatetime 2016-12-10T14:55:03 --enforcementcount 1 &gt;&gt;C:\Users\stu\Documents\GitHub\eaglep3-reporting\EC\2016-12-10-refined-times.txt</v>
      </c>
      <c r="AI179" s="119" t="str">
        <f t="shared" si="82"/>
        <v>echo {"issue":{"subject":"","project_id":79,"tracker_id":40,"status_id":1,"priority_id":2,"assigned_to_id":23,"start_date":"2016-12-10","description":"","custom_fields":[{"id":1,"name":"Subdivision","value":"NW"},{"id":4,"name":"Milepost","value":"0.0743"},{"id":17,"name":"Train ID","value":"1818-10"},{"id":16,"name":"Locomotive ID","value":"4032"},{"id":130,"name":"Impact","value":""},{"id":150,"name":"Time of Event (Mountain Time)","value":"14:55:03"},{"id":151,"name":"Denver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9" s="53"/>
      <c r="AK179" s="53"/>
      <c r="AL179" s="53"/>
    </row>
    <row r="180" spans="1:91" x14ac:dyDescent="0.25">
      <c r="A180" s="37" t="s">
        <v>563</v>
      </c>
      <c r="B180" s="7">
        <v>4031</v>
      </c>
      <c r="C180" s="22" t="s">
        <v>207</v>
      </c>
      <c r="D180" s="22" t="s">
        <v>705</v>
      </c>
      <c r="E180" s="13">
        <v>42714.622824074075</v>
      </c>
      <c r="F180" s="13">
        <v>42714.639780092592</v>
      </c>
      <c r="G180" s="7">
        <v>1</v>
      </c>
      <c r="H180" s="22" t="s">
        <v>404</v>
      </c>
      <c r="I180" s="13">
        <v>42714.648865740739</v>
      </c>
      <c r="J180" s="7">
        <v>1</v>
      </c>
      <c r="K180" s="109" t="str">
        <f t="shared" si="70"/>
        <v>4031/4032</v>
      </c>
      <c r="L180" s="22" t="str">
        <f>VLOOKUP(A180,'Trips&amp;Operators'!$C$1:$G$99999,5,FALSE)</f>
        <v>LOPES KIMBERLY</v>
      </c>
      <c r="M180" s="6">
        <f t="shared" si="71"/>
        <v>9.0856481474475004E-3</v>
      </c>
      <c r="N180" s="7">
        <f t="shared" si="83"/>
        <v>13.083333332324401</v>
      </c>
      <c r="O180" s="7"/>
      <c r="P180" s="7"/>
      <c r="Q180" s="23"/>
      <c r="R180" s="23"/>
      <c r="S180" s="35">
        <f t="shared" si="85"/>
        <v>1</v>
      </c>
      <c r="T180" s="50" t="str">
        <f t="shared" si="72"/>
        <v>NorthBound</v>
      </c>
      <c r="U180" s="171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98" t="str">
        <f t="shared" si="73"/>
        <v>https://search-rtdc-monitor-bjffxe2xuh6vdkpspy63sjmuny.us-east-1.es.amazonaws.com/_plugin/kibana/#/discover/Steve-Slow-Train-Analysis-(2080s-and-2083s)?_g=(refreshInterval:(display:Off,section:0,value:0),time:(from:'2016-12-10 13:56:52-700',mode:absolute,to:'2016-12-10 16:34:22-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201053%20OR%202087)%20AND%20%22rtdc.l.rtdc.4031%22')),sort:!(Time,asc))</v>
      </c>
      <c r="W180" s="52" t="str">
        <f t="shared" si="89"/>
        <v>N</v>
      </c>
      <c r="X180" s="177">
        <f t="shared" si="91"/>
        <v>1</v>
      </c>
      <c r="Y180" s="67">
        <f t="shared" si="86"/>
        <v>0.10299999999999999</v>
      </c>
      <c r="Z180" s="67">
        <f t="shared" si="84"/>
        <v>5.8944000000000001</v>
      </c>
      <c r="AA180" s="67">
        <f t="shared" si="76"/>
        <v>5.7914000000000003</v>
      </c>
      <c r="AB180" s="64" t="e">
        <f>VLOOKUP(A180,Enforcements!$C$7:$K$20,8,0)</f>
        <v>#N/A</v>
      </c>
      <c r="AC180" s="60" t="e">
        <f>VLOOKUP(A180,Enforcements!$C$7:$E$20,3,0)</f>
        <v>#N/A</v>
      </c>
      <c r="AD180" s="61" t="str">
        <f t="shared" si="77"/>
        <v>1819-10</v>
      </c>
      <c r="AE180" s="91" t="str">
        <f t="shared" si="78"/>
        <v>aws s3 cp s3://rtdc.mdm.uploadarchive.raw/RTDC4031/ "%USERPROFILE%\AppData\Local\Temp\OnboardLogs"\RTDC4031\2016-12-10 --exclude "*" --recursive --include "*20161210*" &amp; "%USERPROFILE%\Documents\GitHub\mrs-test-scripts\Headless Mode &amp; Sideloading\WalkAndUnGZ.bat" "%USERPROFILE%\AppData\Local\Temp\OnboardLogs"\RTDC4031\2016-12-10 &amp; aws s3 cp s3://rtdc.mdm.uploadarchive.raw/RTDC4031/ "%USERPROFILE%\AppData\Local\Temp\OnboardLogs"\RTDC4031\2016-12-11 --exclude "*" --recursive --include "*20161211*" &amp; "%USERPROFILE%\Documents\GitHub\mrs-test-scripts\Headless Mode &amp; Sideloading\WalkAndUnGZ.bat" "%USERPROFILE%\AppData\Local\Temp\OnboardLogs"\RTDC4031\2016-12-11</v>
      </c>
      <c r="AF180" s="88" t="str">
        <f t="shared" si="79"/>
        <v>"C:\Program Files (x86)\AstroGrep\AstroGrep.exe" /spath="%USERPROFILE%\AppData\Local\Temp\OnboardLogs" /stypes="app*4031*20161210*" /stext=" 22:.+((SYSTEM_STATE.+slice.+state.+changed )|(ment ac)|(multiple cpu faults)|(system.+state.+changed )|(\[timeout)|(PRM\|1\|D)|(kpr)|(kdp)|(\|lc)|(penalty))" /e /r /s</v>
      </c>
      <c r="AG180" s="1" t="str">
        <f t="shared" si="80"/>
        <v>NW</v>
      </c>
      <c r="AH180" s="92" t="str">
        <f t="shared" si="81"/>
        <v>"%USERPROFILE%\Documents\GitHub\eaglep3\Utilities\RefineRTDCRunTimes.py" --tripid 1819-10 --locoid 4031 --swversion DE.1.0.8.0 --startMP 204:1030 --initTime 2016-12-10T14:56:52 --startdatetime 2016-12-10T15:21:17 --delay 1 --endMP 300:58944 --enddatetime 2016-12-10T15:34:22 --enforcementcount 1 &gt;&gt;C:\Users\stu\Documents\GitHub\eaglep3-reporting\EC\2016-12-10-refined-times.txt</v>
      </c>
      <c r="AI180" s="119" t="str">
        <f t="shared" si="82"/>
        <v>echo {"issue":{"subject":"","project_id":79,"tracker_id":40,"status_id":1,"priority_id":2,"assigned_to_id":23,"start_date":"2016-12-10","description":"","custom_fields":[{"id":1,"name":"Subdivision","value":"NW"},{"id":4,"name":"Milepost","value":"5.8944"},{"id":17,"name":"Train ID","value":"1819-10"},{"id":16,"name":"Locomotive ID","value":"4031"},{"id":130,"name":"Impact","value":""},{"id":150,"name":"Time of Event (Mountain Time)","value":"15:34:22"},{"id":151,"name":"Denver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0" s="53"/>
      <c r="AK180" s="53"/>
      <c r="AL180" s="53"/>
    </row>
    <row r="181" spans="1:91" s="21" customFormat="1" x14ac:dyDescent="0.25">
      <c r="A181" s="37" t="s">
        <v>426</v>
      </c>
      <c r="B181" s="7">
        <v>4032</v>
      </c>
      <c r="C181" s="22" t="s">
        <v>207</v>
      </c>
      <c r="D181" s="22" t="s">
        <v>717</v>
      </c>
      <c r="E181" s="13">
        <v>42714.649826388886</v>
      </c>
      <c r="F181" s="13">
        <v>42714.651018518518</v>
      </c>
      <c r="G181" s="7">
        <v>1</v>
      </c>
      <c r="H181" s="22" t="s">
        <v>400</v>
      </c>
      <c r="I181" s="13">
        <v>42714.663206018522</v>
      </c>
      <c r="J181" s="7">
        <v>1</v>
      </c>
      <c r="K181" s="109" t="str">
        <f t="shared" si="70"/>
        <v>4031/4032</v>
      </c>
      <c r="L181" s="22" t="str">
        <f>VLOOKUP(A181,'Trips&amp;Operators'!$C$1:$G$99999,5,FALSE)</f>
        <v>LOPES KIMBERLY</v>
      </c>
      <c r="M181" s="6">
        <f t="shared" si="71"/>
        <v>1.2187500004074536E-2</v>
      </c>
      <c r="N181" s="7">
        <f t="shared" si="83"/>
        <v>17.550000005867332</v>
      </c>
      <c r="O181" s="7"/>
      <c r="P181" s="7"/>
      <c r="Q181" s="23"/>
      <c r="R181" s="23"/>
      <c r="S181" s="35">
        <f t="shared" si="85"/>
        <v>1</v>
      </c>
      <c r="T181" s="50" t="str">
        <f t="shared" si="72"/>
        <v>Southbound</v>
      </c>
      <c r="U181" s="171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98" t="str">
        <f t="shared" si="73"/>
        <v>https://search-rtdc-monitor-bjffxe2xuh6vdkpspy63sjmuny.us-east-1.es.amazonaws.com/_plugin/kibana/#/discover/Steve-Slow-Train-Analysis-(2080s-and-2083s)?_g=(refreshInterval:(display:Off,section:0,value:0),time:(from:'2016-12-10 14:35:45-700',mode:absolute,to:'2016-12-10 16:55:01-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201053%20OR%202087)%20AND%20%22rtdc.l.rtdc.4032%22')),sort:!(Time,asc))</v>
      </c>
      <c r="W181" s="52" t="str">
        <f t="shared" si="89"/>
        <v>N</v>
      </c>
      <c r="X181" s="177">
        <f t="shared" si="91"/>
        <v>1</v>
      </c>
      <c r="Y181" s="67">
        <f t="shared" si="86"/>
        <v>5.8611000000000004</v>
      </c>
      <c r="Z181" s="67">
        <f t="shared" si="84"/>
        <v>6.9900000000000004E-2</v>
      </c>
      <c r="AA181" s="67">
        <f t="shared" si="76"/>
        <v>5.7912000000000008</v>
      </c>
      <c r="AB181" s="64" t="e">
        <f>VLOOKUP(A181,Enforcements!$C$7:$K$20,8,0)</f>
        <v>#N/A</v>
      </c>
      <c r="AC181" s="60" t="e">
        <f>VLOOKUP(A181,Enforcements!$C$7:$E$20,3,0)</f>
        <v>#N/A</v>
      </c>
      <c r="AD181" s="61" t="str">
        <f t="shared" si="77"/>
        <v>1820-10</v>
      </c>
      <c r="AE181" s="91" t="str">
        <f t="shared" si="78"/>
        <v>aws s3 cp s3://rtdc.mdm.uploadarchive.raw/RTDC4032/ "%USERPROFILE%\AppData\Local\Temp\OnboardLogs"\RTDC4032\2016-12-10 --exclude "*" --recursive --include "*20161210*" &amp; "%USERPROFILE%\Documents\GitHub\mrs-test-scripts\Headless Mode &amp; Sideloading\WalkAndUnGZ.bat" "%USERPROFILE%\AppData\Local\Temp\OnboardLogs"\RTDC4032\2016-12-10 &amp; aws s3 cp s3://rtdc.mdm.uploadarchive.raw/RTDC4032/ "%USERPROFILE%\AppData\Local\Temp\OnboardLogs"\RTDC4032\2016-12-11 --exclude "*" --recursive --include "*20161211*" &amp; "%USERPROFILE%\Documents\GitHub\mrs-test-scripts\Headless Mode &amp; Sideloading\WalkAndUnGZ.bat" "%USERPROFILE%\AppData\Local\Temp\OnboardLogs"\RTDC4032\2016-12-11</v>
      </c>
      <c r="AF181" s="88" t="str">
        <f t="shared" si="79"/>
        <v>"C:\Program Files (x86)\AstroGrep\AstroGrep.exe" /spath="%USERPROFILE%\AppData\Local\Temp\OnboardLogs" /stypes="app*4032*20161210*" /stext=" 22:.+((SYSTEM_STATE.+slice.+state.+changed )|(ment ac)|(multiple cpu faults)|(system.+state.+changed )|(\[timeout)|(PRM\|1\|D)|(kpr)|(kdp)|(\|lc)|(penalty))" /e /r /s</v>
      </c>
      <c r="AG181" s="1" t="str">
        <f t="shared" si="80"/>
        <v>NW</v>
      </c>
      <c r="AH181" s="92" t="str">
        <f t="shared" si="81"/>
        <v>"%USERPROFILE%\Documents\GitHub\eaglep3\Utilities\RefineRTDCRunTimes.py" --tripid 1820-10 --locoid 4032 --swversion DE.1.0.8.0 --startMP 300:58611 --initTime 2016-12-10T15:35:45 --startdatetime 2016-12-10T15:37:28 --delay 1 --endMP 204:699 --enddatetime 2016-12-10T15:55:01 --enforcementcount 1 &gt;&gt;C:\Users\stu\Documents\GitHub\eaglep3-reporting\EC\2016-12-10-refined-times.txt</v>
      </c>
      <c r="AI181" s="119" t="str">
        <f t="shared" si="82"/>
        <v>echo {"issue":{"subject":"","project_id":79,"tracker_id":40,"status_id":1,"priority_id":2,"assigned_to_id":23,"start_date":"2016-12-10","description":"","custom_fields":[{"id":1,"name":"Subdivision","value":"NW"},{"id":4,"name":"Milepost","value":"0.0699"},{"id":17,"name":"Train ID","value":"1820-10"},{"id":16,"name":"Locomotive ID","value":"4032"},{"id":130,"name":"Impact","value":""},{"id":150,"name":"Time of Event (Mountain Time)","value":"15:55:01"},{"id":151,"name":"Denver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1" s="53"/>
      <c r="AK181" s="53"/>
      <c r="AL181" s="53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</row>
    <row r="182" spans="1:91" s="21" customFormat="1" x14ac:dyDescent="0.25">
      <c r="A182" s="37" t="s">
        <v>428</v>
      </c>
      <c r="B182" s="7">
        <v>4031</v>
      </c>
      <c r="C182" s="22" t="s">
        <v>207</v>
      </c>
      <c r="D182" s="22" t="s">
        <v>718</v>
      </c>
      <c r="E182" s="13">
        <v>42714.664293981485</v>
      </c>
      <c r="F182" s="13">
        <v>42714.681597222225</v>
      </c>
      <c r="G182" s="7">
        <v>1</v>
      </c>
      <c r="H182" s="22" t="s">
        <v>709</v>
      </c>
      <c r="I182" s="13">
        <v>42714.690775462965</v>
      </c>
      <c r="J182" s="7">
        <v>1</v>
      </c>
      <c r="K182" s="109" t="str">
        <f t="shared" si="70"/>
        <v>4031/4032</v>
      </c>
      <c r="L182" s="22" t="str">
        <f>VLOOKUP(A182,'Trips&amp;Operators'!$C$1:$G$99999,5,FALSE)</f>
        <v>LOPES KIMBERLY</v>
      </c>
      <c r="M182" s="6">
        <f t="shared" si="71"/>
        <v>9.1782407398568466E-3</v>
      </c>
      <c r="N182" s="7">
        <f t="shared" si="83"/>
        <v>13.216666665393859</v>
      </c>
      <c r="O182" s="7"/>
      <c r="P182" s="7"/>
      <c r="Q182" s="23"/>
      <c r="R182" s="23"/>
      <c r="S182" s="35">
        <f t="shared" si="85"/>
        <v>1</v>
      </c>
      <c r="T182" s="50" t="str">
        <f t="shared" si="72"/>
        <v>NorthBound</v>
      </c>
      <c r="U182" s="171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98" t="str">
        <f t="shared" si="73"/>
        <v>https://search-rtdc-monitor-bjffxe2xuh6vdkpspy63sjmuny.us-east-1.es.amazonaws.com/_plugin/kibana/#/discover/Steve-Slow-Train-Analysis-(2080s-and-2083s)?_g=(refreshInterval:(display:Off,section:0,value:0),time:(from:'2016-12-10 14:56:35-700',mode:absolute,to:'2016-12-10 17:34:43-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201053%20OR%202087)%20AND%20%22rtdc.l.rtdc.4031%22')),sort:!(Time,asc))</v>
      </c>
      <c r="W182" s="52" t="str">
        <f t="shared" si="89"/>
        <v>N</v>
      </c>
      <c r="X182" s="177">
        <f t="shared" si="91"/>
        <v>1</v>
      </c>
      <c r="Y182" s="67">
        <f t="shared" si="86"/>
        <v>9.8299999999999998E-2</v>
      </c>
      <c r="Z182" s="67">
        <f t="shared" si="84"/>
        <v>5.8935000000000004</v>
      </c>
      <c r="AA182" s="67">
        <f t="shared" si="76"/>
        <v>5.7952000000000004</v>
      </c>
      <c r="AB182" s="64" t="e">
        <f>VLOOKUP(A182,Enforcements!$C$7:$K$20,8,0)</f>
        <v>#N/A</v>
      </c>
      <c r="AC182" s="60" t="e">
        <f>VLOOKUP(A182,Enforcements!$C$7:$E$20,3,0)</f>
        <v>#N/A</v>
      </c>
      <c r="AD182" s="61" t="str">
        <f t="shared" si="77"/>
        <v>1821-10</v>
      </c>
      <c r="AE182" s="91" t="str">
        <f t="shared" si="78"/>
        <v>aws s3 cp s3://rtdc.mdm.uploadarchive.raw/RTDC4031/ "%USERPROFILE%\AppData\Local\Temp\OnboardLogs"\RTDC4031\2016-12-10 --exclude "*" --recursive --include "*20161210*" &amp; "%USERPROFILE%\Documents\GitHub\mrs-test-scripts\Headless Mode &amp; Sideloading\WalkAndUnGZ.bat" "%USERPROFILE%\AppData\Local\Temp\OnboardLogs"\RTDC4031\2016-12-10 &amp; aws s3 cp s3://rtdc.mdm.uploadarchive.raw/RTDC4031/ "%USERPROFILE%\AppData\Local\Temp\OnboardLogs"\RTDC4031\2016-12-11 --exclude "*" --recursive --include "*20161211*" &amp; "%USERPROFILE%\Documents\GitHub\mrs-test-scripts\Headless Mode &amp; Sideloading\WalkAndUnGZ.bat" "%USERPROFILE%\AppData\Local\Temp\OnboardLogs"\RTDC4031\2016-12-11</v>
      </c>
      <c r="AF182" s="88" t="str">
        <f t="shared" si="79"/>
        <v>"C:\Program Files (x86)\AstroGrep\AstroGrep.exe" /spath="%USERPROFILE%\AppData\Local\Temp\OnboardLogs" /stypes="app*4031*20161210*" /stext=" 23:.+((SYSTEM_STATE.+slice.+state.+changed )|(ment ac)|(multiple cpu faults)|(system.+state.+changed )|(\[timeout)|(PRM\|1\|D)|(kpr)|(kdp)|(\|lc)|(penalty))" /e /r /s</v>
      </c>
      <c r="AG182" s="1" t="str">
        <f t="shared" si="80"/>
        <v>NW</v>
      </c>
      <c r="AH182" s="92" t="str">
        <f t="shared" si="81"/>
        <v>"%USERPROFILE%\Documents\GitHub\eaglep3\Utilities\RefineRTDCRunTimes.py" --tripid 1821-10 --locoid 4031 --swversion DE.1.0.8.0 --startMP 204:983 --initTime 2016-12-10T15:56:35 --startdatetime 2016-12-10T16:21:30 --delay 1 --endMP 300:58935 --enddatetime 2016-12-10T16:34:43 --enforcementcount 1 &gt;&gt;C:\Users\stu\Documents\GitHub\eaglep3-reporting\EC\2016-12-10-refined-times.txt</v>
      </c>
      <c r="AI182" s="119" t="str">
        <f t="shared" si="82"/>
        <v>echo {"issue":{"subject":"","project_id":79,"tracker_id":40,"status_id":1,"priority_id":2,"assigned_to_id":23,"start_date":"2016-12-10","description":"","custom_fields":[{"id":1,"name":"Subdivision","value":"NW"},{"id":4,"name":"Milepost","value":"5.8935"},{"id":17,"name":"Train ID","value":"1821-10"},{"id":16,"name":"Locomotive ID","value":"4031"},{"id":130,"name":"Impact","value":""},{"id":150,"name":"Time of Event (Mountain Time)","value":"16:34:43"},{"id":151,"name":"Denver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2" s="53"/>
      <c r="AK182" s="53"/>
      <c r="AL182" s="53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</row>
    <row r="183" spans="1:91" s="21" customFormat="1" x14ac:dyDescent="0.25">
      <c r="A183" s="37" t="s">
        <v>575</v>
      </c>
      <c r="B183" s="7">
        <v>4032</v>
      </c>
      <c r="C183" s="22" t="s">
        <v>207</v>
      </c>
      <c r="D183" s="22" t="s">
        <v>398</v>
      </c>
      <c r="E183" s="13">
        <v>42714.691678240742</v>
      </c>
      <c r="F183" s="13">
        <v>42714.692928240744</v>
      </c>
      <c r="G183" s="7">
        <v>1</v>
      </c>
      <c r="H183" s="22" t="s">
        <v>638</v>
      </c>
      <c r="I183" s="13">
        <v>42714.705208333333</v>
      </c>
      <c r="J183" s="7">
        <v>1</v>
      </c>
      <c r="K183" s="109" t="str">
        <f t="shared" si="70"/>
        <v>4031/4032</v>
      </c>
      <c r="L183" s="22" t="str">
        <f>VLOOKUP(A183,'Trips&amp;Operators'!$C$1:$G$99999,5,FALSE)</f>
        <v>LOPES KIMBERLY</v>
      </c>
      <c r="M183" s="6">
        <f t="shared" si="71"/>
        <v>1.2280092589207925E-2</v>
      </c>
      <c r="N183" s="7">
        <f t="shared" si="83"/>
        <v>17.683333328459412</v>
      </c>
      <c r="O183" s="7"/>
      <c r="P183" s="7"/>
      <c r="Q183" s="23"/>
      <c r="R183" s="23"/>
      <c r="S183" s="35">
        <f t="shared" si="85"/>
        <v>1</v>
      </c>
      <c r="T183" s="50" t="str">
        <f t="shared" si="72"/>
        <v>Southbound</v>
      </c>
      <c r="U183" s="171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98" t="str">
        <f t="shared" si="73"/>
        <v>https://search-rtdc-monitor-bjffxe2xuh6vdkpspy63sjmuny.us-east-1.es.amazonaws.com/_plugin/kibana/#/discover/Steve-Slow-Train-Analysis-(2080s-and-2083s)?_g=(refreshInterval:(display:Off,section:0,value:0),time:(from:'2016-12-10 15:36:01-700',mode:absolute,to:'2016-12-10 17:55:30-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201053%20OR%202087)%20AND%20%22rtdc.l.rtdc.4032%22')),sort:!(Time,asc))</v>
      </c>
      <c r="W183" s="52" t="str">
        <f t="shared" si="89"/>
        <v>N</v>
      </c>
      <c r="X183" s="177">
        <f t="shared" ref="X183:X215" si="92">VALUE(LEFT(AD183,4))-VALUE(LEFT(AD182,4))</f>
        <v>1</v>
      </c>
      <c r="Y183" s="67">
        <f t="shared" si="86"/>
        <v>5.8623000000000003</v>
      </c>
      <c r="Z183" s="67">
        <f t="shared" si="84"/>
        <v>7.17E-2</v>
      </c>
      <c r="AA183" s="67">
        <f t="shared" si="76"/>
        <v>5.7906000000000004</v>
      </c>
      <c r="AB183" s="64" t="e">
        <f>VLOOKUP(A183,Enforcements!$C$7:$K$20,8,0)</f>
        <v>#N/A</v>
      </c>
      <c r="AC183" s="60" t="e">
        <f>VLOOKUP(A183,Enforcements!$C$7:$E$20,3,0)</f>
        <v>#N/A</v>
      </c>
      <c r="AD183" s="61" t="str">
        <f t="shared" si="77"/>
        <v>1822-10</v>
      </c>
      <c r="AE183" s="91" t="str">
        <f t="shared" si="78"/>
        <v>aws s3 cp s3://rtdc.mdm.uploadarchive.raw/RTDC4032/ "%USERPROFILE%\AppData\Local\Temp\OnboardLogs"\RTDC4032\2016-12-10 --exclude "*" --recursive --include "*20161210*" &amp; "%USERPROFILE%\Documents\GitHub\mrs-test-scripts\Headless Mode &amp; Sideloading\WalkAndUnGZ.bat" "%USERPROFILE%\AppData\Local\Temp\OnboardLogs"\RTDC4032\2016-12-10 &amp; aws s3 cp s3://rtdc.mdm.uploadarchive.raw/RTDC4032/ "%USERPROFILE%\AppData\Local\Temp\OnboardLogs"\RTDC4032\2016-12-11 --exclude "*" --recursive --include "*20161211*" &amp; "%USERPROFILE%\Documents\GitHub\mrs-test-scripts\Headless Mode &amp; Sideloading\WalkAndUnGZ.bat" "%USERPROFILE%\AppData\Local\Temp\OnboardLogs"\RTDC4032\2016-12-11</v>
      </c>
      <c r="AF183" s="88" t="str">
        <f t="shared" si="79"/>
        <v>"C:\Program Files (x86)\AstroGrep\AstroGrep.exe" /spath="%USERPROFILE%\AppData\Local\Temp\OnboardLogs" /stypes="app*4032*20161210*" /stext=" 23:.+((SYSTEM_STATE.+slice.+state.+changed )|(ment ac)|(multiple cpu faults)|(system.+state.+changed )|(\[timeout)|(PRM\|1\|D)|(kpr)|(kdp)|(\|lc)|(penalty))" /e /r /s</v>
      </c>
      <c r="AG183" s="1" t="str">
        <f t="shared" si="80"/>
        <v>NW</v>
      </c>
      <c r="AH183" s="92" t="str">
        <f t="shared" si="81"/>
        <v>"%USERPROFILE%\Documents\GitHub\eaglep3\Utilities\RefineRTDCRunTimes.py" --tripid 1822-10 --locoid 4032 --swversion DE.1.0.8.0 --startMP 300:58623 --initTime 2016-12-10T16:36:01 --startdatetime 2016-12-10T16:37:49 --delay 1 --endMP 204:717 --enddatetime 2016-12-10T16:55:30 --enforcementcount 1 &gt;&gt;C:\Users\stu\Documents\GitHub\eaglep3-reporting\EC\2016-12-10-refined-times.txt</v>
      </c>
      <c r="AI183" s="119" t="str">
        <f t="shared" si="82"/>
        <v>echo {"issue":{"subject":"","project_id":79,"tracker_id":40,"status_id":1,"priority_id":2,"assigned_to_id":23,"start_date":"2016-12-10","description":"","custom_fields":[{"id":1,"name":"Subdivision","value":"NW"},{"id":4,"name":"Milepost","value":"0.0717"},{"id":17,"name":"Train ID","value":"1822-10"},{"id":16,"name":"Locomotive ID","value":"4032"},{"id":130,"name":"Impact","value":""},{"id":150,"name":"Time of Event (Mountain Time)","value":"16:55:30"},{"id":151,"name":"Denver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3" s="53"/>
      <c r="AK183" s="53"/>
      <c r="AL183" s="5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</row>
    <row r="184" spans="1:91" x14ac:dyDescent="0.25">
      <c r="A184" s="37" t="s">
        <v>579</v>
      </c>
      <c r="B184" s="7">
        <v>4031</v>
      </c>
      <c r="C184" s="22" t="s">
        <v>207</v>
      </c>
      <c r="D184" s="22" t="s">
        <v>719</v>
      </c>
      <c r="E184" s="13">
        <v>42714.706724537034</v>
      </c>
      <c r="F184" s="13">
        <v>42714.72315972222</v>
      </c>
      <c r="G184" s="7">
        <v>1</v>
      </c>
      <c r="H184" s="22" t="s">
        <v>404</v>
      </c>
      <c r="I184" s="13">
        <v>42714.732812499999</v>
      </c>
      <c r="J184" s="7">
        <v>1</v>
      </c>
      <c r="K184" s="109" t="str">
        <f t="shared" si="70"/>
        <v>4031/4032</v>
      </c>
      <c r="L184" s="22" t="str">
        <f>VLOOKUP(A184,'Trips&amp;Operators'!$C$1:$G$99999,5,FALSE)</f>
        <v>LOPES KIMBERLY</v>
      </c>
      <c r="M184" s="6">
        <f t="shared" si="71"/>
        <v>9.6527777786832303E-3</v>
      </c>
      <c r="N184" s="7">
        <f t="shared" si="83"/>
        <v>13.900000001303852</v>
      </c>
      <c r="O184" s="7"/>
      <c r="P184" s="7"/>
      <c r="Q184" s="23"/>
      <c r="R184" s="23"/>
      <c r="S184" s="35">
        <f t="shared" si="85"/>
        <v>1</v>
      </c>
      <c r="T184" s="50" t="str">
        <f t="shared" si="72"/>
        <v>NorthBound</v>
      </c>
      <c r="U184" s="171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98" t="str">
        <f t="shared" si="73"/>
        <v>https://search-rtdc-monitor-bjffxe2xuh6vdkpspy63sjmuny.us-east-1.es.amazonaws.com/_plugin/kibana/#/discover/Steve-Slow-Train-Analysis-(2080s-and-2083s)?_g=(refreshInterval:(display:Off,section:0,value:0),time:(from:'2016-12-10 15:57:41-700',mode:absolute,to:'2016-12-10 18:35:15-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201053%20OR%202087)%20AND%20%22rtdc.l.rtdc.4031%22')),sort:!(Time,asc))</v>
      </c>
      <c r="W184" s="52" t="str">
        <f t="shared" si="89"/>
        <v>N</v>
      </c>
      <c r="X184" s="177">
        <f t="shared" si="92"/>
        <v>1</v>
      </c>
      <c r="Y184" s="67">
        <f t="shared" si="86"/>
        <v>0.1014</v>
      </c>
      <c r="Z184" s="67">
        <f t="shared" si="84"/>
        <v>5.8944000000000001</v>
      </c>
      <c r="AA184" s="67">
        <f t="shared" si="76"/>
        <v>5.7930000000000001</v>
      </c>
      <c r="AB184" s="64" t="e">
        <f>VLOOKUP(A184,Enforcements!$C$7:$K$20,8,0)</f>
        <v>#N/A</v>
      </c>
      <c r="AC184" s="60" t="e">
        <f>VLOOKUP(A184,Enforcements!$C$7:$E$20,3,0)</f>
        <v>#N/A</v>
      </c>
      <c r="AD184" s="61" t="str">
        <f t="shared" si="77"/>
        <v>1823-10</v>
      </c>
      <c r="AE184" s="91" t="str">
        <f t="shared" si="78"/>
        <v>aws s3 cp s3://rtdc.mdm.uploadarchive.raw/RTDC4031/ "%USERPROFILE%\AppData\Local\Temp\OnboardLogs"\RTDC4031\2016-12-10 --exclude "*" --recursive --include "*20161210*" &amp; "%USERPROFILE%\Documents\GitHub\mrs-test-scripts\Headless Mode &amp; Sideloading\WalkAndUnGZ.bat" "%USERPROFILE%\AppData\Local\Temp\OnboardLogs"\RTDC4031\2016-12-10 &amp; aws s3 cp s3://rtdc.mdm.uploadarchive.raw/RTDC4031/ "%USERPROFILE%\AppData\Local\Temp\OnboardLogs"\RTDC4031\2016-12-11 --exclude "*" --recursive --include "*20161211*" &amp; "%USERPROFILE%\Documents\GitHub\mrs-test-scripts\Headless Mode &amp; Sideloading\WalkAndUnGZ.bat" "%USERPROFILE%\AppData\Local\Temp\OnboardLogs"\RTDC4031\2016-12-11</v>
      </c>
      <c r="AF184" s="88" t="str">
        <f t="shared" si="79"/>
        <v>"C:\Program Files (x86)\AstroGrep\AstroGrep.exe" /spath="%USERPROFILE%\AppData\Local\Temp\OnboardLogs" /stypes="app*4031*20161211*" /stext=" 00:.+((SYSTEM_STATE.+slice.+state.+changed )|(ment ac)|(multiple cpu faults)|(system.+state.+changed )|(\[timeout)|(PRM\|1\|D)|(kpr)|(kdp)|(\|lc)|(penalty))" /e /r /s</v>
      </c>
      <c r="AG184" s="1" t="str">
        <f t="shared" si="80"/>
        <v>NW</v>
      </c>
      <c r="AH184" s="92" t="str">
        <f t="shared" si="81"/>
        <v>"%USERPROFILE%\Documents\GitHub\eaglep3\Utilities\RefineRTDCRunTimes.py" --tripid 1823-10 --locoid 4031 --swversion DE.1.0.8.0 --startMP 204:1014 --initTime 2016-12-10T16:57:41 --startdatetime 2016-12-10T17:21:21 --delay 1 --endMP 300:58944 --enddatetime 2016-12-10T17:35:15 --enforcementcount 1 &gt;&gt;C:\Users\stu\Documents\GitHub\eaglep3-reporting\EC\2016-12-10-refined-times.txt</v>
      </c>
      <c r="AI184" s="119" t="str">
        <f t="shared" si="82"/>
        <v>echo {"issue":{"subject":"","project_id":79,"tracker_id":40,"status_id":1,"priority_id":2,"assigned_to_id":23,"start_date":"2016-12-10","description":"","custom_fields":[{"id":1,"name":"Subdivision","value":"NW"},{"id":4,"name":"Milepost","value":"5.8944"},{"id":17,"name":"Train ID","value":"1823-10"},{"id":16,"name":"Locomotive ID","value":"4031"},{"id":130,"name":"Impact","value":""},{"id":150,"name":"Time of Event (Mountain Time)","value":"17:35:15"},{"id":151,"name":"Denver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4" s="53"/>
      <c r="AK184" s="53"/>
      <c r="AL184" s="53"/>
    </row>
    <row r="185" spans="1:91" x14ac:dyDescent="0.25">
      <c r="A185" s="37" t="s">
        <v>585</v>
      </c>
      <c r="B185" s="7">
        <v>4032</v>
      </c>
      <c r="C185" s="22" t="s">
        <v>207</v>
      </c>
      <c r="D185" s="22" t="s">
        <v>398</v>
      </c>
      <c r="E185" s="13">
        <v>42714.733958333331</v>
      </c>
      <c r="F185" s="13">
        <v>42714.764768518522</v>
      </c>
      <c r="G185" s="7">
        <v>1</v>
      </c>
      <c r="H185" s="22" t="s">
        <v>698</v>
      </c>
      <c r="I185" s="13">
        <v>42714.774178240739</v>
      </c>
      <c r="J185" s="7">
        <v>1</v>
      </c>
      <c r="K185" s="109" t="str">
        <f t="shared" si="70"/>
        <v>4031/4032</v>
      </c>
      <c r="L185" s="22" t="str">
        <f>VLOOKUP(A185,'Trips&amp;Operators'!$C$1:$G$99999,5,FALSE)</f>
        <v>LOPES KIMBERLY</v>
      </c>
      <c r="M185" s="6">
        <f t="shared" si="71"/>
        <v>9.4097222172422335E-3</v>
      </c>
      <c r="N185" s="7">
        <f t="shared" si="83"/>
        <v>13.549999992828816</v>
      </c>
      <c r="O185" s="7"/>
      <c r="P185" s="7"/>
      <c r="Q185" s="23"/>
      <c r="R185" s="23"/>
      <c r="S185" s="35">
        <f t="shared" si="85"/>
        <v>1</v>
      </c>
      <c r="T185" s="50" t="str">
        <f t="shared" si="72"/>
        <v>Southbound</v>
      </c>
      <c r="U185" s="171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98" t="str">
        <f t="shared" si="73"/>
        <v>https://search-rtdc-monitor-bjffxe2xuh6vdkpspy63sjmuny.us-east-1.es.amazonaws.com/_plugin/kibana/#/discover/Steve-Slow-Train-Analysis-(2080s-and-2083s)?_g=(refreshInterval:(display:Off,section:0,value:0),time:(from:'2016-12-10 16:36:54-700',mode:absolute,to:'2016-12-10 19:34:49-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201053%20OR%202087)%20AND%20%22rtdc.l.rtdc.4032%22')),sort:!(Time,asc))</v>
      </c>
      <c r="W185" s="52" t="str">
        <f t="shared" si="89"/>
        <v>N</v>
      </c>
      <c r="X185" s="177">
        <f t="shared" si="92"/>
        <v>1</v>
      </c>
      <c r="Y185" s="67">
        <f t="shared" si="86"/>
        <v>5.8623000000000003</v>
      </c>
      <c r="Z185" s="67">
        <f t="shared" si="84"/>
        <v>7.3800000000000004E-2</v>
      </c>
      <c r="AA185" s="67">
        <f t="shared" si="76"/>
        <v>5.7885</v>
      </c>
      <c r="AB185" s="64" t="e">
        <f>VLOOKUP(A185,Enforcements!$C$7:$K$20,8,0)</f>
        <v>#N/A</v>
      </c>
      <c r="AC185" s="60" t="e">
        <f>VLOOKUP(A185,Enforcements!$C$7:$E$20,3,0)</f>
        <v>#N/A</v>
      </c>
      <c r="AD185" s="61" t="str">
        <f t="shared" si="77"/>
        <v>1824-10</v>
      </c>
      <c r="AE185" s="91" t="str">
        <f t="shared" si="78"/>
        <v>aws s3 cp s3://rtdc.mdm.uploadarchive.raw/RTDC4032/ "%USERPROFILE%\AppData\Local\Temp\OnboardLogs"\RTDC4032\2016-12-10 --exclude "*" --recursive --include "*20161210*" &amp; "%USERPROFILE%\Documents\GitHub\mrs-test-scripts\Headless Mode &amp; Sideloading\WalkAndUnGZ.bat" "%USERPROFILE%\AppData\Local\Temp\OnboardLogs"\RTDC4032\2016-12-10 &amp; aws s3 cp s3://rtdc.mdm.uploadarchive.raw/RTDC4032/ "%USERPROFILE%\AppData\Local\Temp\OnboardLogs"\RTDC4032\2016-12-11 --exclude "*" --recursive --include "*20161211*" &amp; "%USERPROFILE%\Documents\GitHub\mrs-test-scripts\Headless Mode &amp; Sideloading\WalkAndUnGZ.bat" "%USERPROFILE%\AppData\Local\Temp\OnboardLogs"\RTDC4032\2016-12-11</v>
      </c>
      <c r="AF185" s="88" t="str">
        <f t="shared" si="79"/>
        <v>"C:\Program Files (x86)\AstroGrep\AstroGrep.exe" /spath="%USERPROFILE%\AppData\Local\Temp\OnboardLogs" /stypes="app*4032*20161211*" /stext=" 01:.+((SYSTEM_STATE.+slice.+state.+changed )|(ment ac)|(multiple cpu faults)|(system.+state.+changed )|(\[timeout)|(PRM\|1\|D)|(kpr)|(kdp)|(\|lc)|(penalty))" /e /r /s</v>
      </c>
      <c r="AG185" s="1" t="str">
        <f t="shared" si="80"/>
        <v>NW</v>
      </c>
      <c r="AH185" s="92" t="str">
        <f t="shared" si="81"/>
        <v>"%USERPROFILE%\Documents\GitHub\eaglep3\Utilities\RefineRTDCRunTimes.py" --tripid 1824-10 --locoid 4032 --swversion DE.1.0.8.0 --startMP 300:58623 --initTime 2016-12-10T17:36:54 --startdatetime 2016-12-10T18:21:16 --delay 1 --endMP 204:738 --enddatetime 2016-12-10T18:34:49 --enforcementcount 1 &gt;&gt;C:\Users\stu\Documents\GitHub\eaglep3-reporting\EC\2016-12-10-refined-times.txt</v>
      </c>
      <c r="AI185" s="119" t="str">
        <f t="shared" si="82"/>
        <v>echo {"issue":{"subject":"","project_id":79,"tracker_id":40,"status_id":1,"priority_id":2,"assigned_to_id":23,"start_date":"2016-12-10","description":"","custom_fields":[{"id":1,"name":"Subdivision","value":"NW"},{"id":4,"name":"Milepost","value":"0.0738"},{"id":17,"name":"Train ID","value":"1824-10"},{"id":16,"name":"Locomotive ID","value":"4032"},{"id":130,"name":"Impact","value":""},{"id":150,"name":"Time of Event (Mountain Time)","value":"18:34:49"},{"id":151,"name":"Denver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5" s="53"/>
      <c r="AK185" s="53"/>
      <c r="AL185" s="53"/>
    </row>
    <row r="186" spans="1:91" x14ac:dyDescent="0.25">
      <c r="A186" s="37" t="s">
        <v>593</v>
      </c>
      <c r="B186" s="7">
        <v>4031</v>
      </c>
      <c r="C186" s="22" t="s">
        <v>207</v>
      </c>
      <c r="D186" s="22" t="s">
        <v>710</v>
      </c>
      <c r="E186" s="13">
        <v>42714.748726851853</v>
      </c>
      <c r="F186" s="13">
        <v>42714.764768518522</v>
      </c>
      <c r="G186" s="7">
        <v>3</v>
      </c>
      <c r="H186" s="22" t="s">
        <v>709</v>
      </c>
      <c r="I186" s="13">
        <v>42714.774178240739</v>
      </c>
      <c r="J186" s="7">
        <v>1</v>
      </c>
      <c r="K186" s="109" t="str">
        <f t="shared" si="70"/>
        <v>4031/4032</v>
      </c>
      <c r="L186" s="22" t="str">
        <f>VLOOKUP(A186,'Trips&amp;Operators'!$C$1:$G$99999,5,FALSE)</f>
        <v>LOPES KIMBERLY</v>
      </c>
      <c r="M186" s="6">
        <f t="shared" si="71"/>
        <v>9.4097222172422335E-3</v>
      </c>
      <c r="N186" s="7">
        <f t="shared" si="83"/>
        <v>13.549999992828816</v>
      </c>
      <c r="O186" s="7"/>
      <c r="P186" s="7"/>
      <c r="Q186" s="23"/>
      <c r="R186" s="23"/>
      <c r="S186" s="35">
        <f t="shared" si="85"/>
        <v>1</v>
      </c>
      <c r="T186" s="50" t="str">
        <f t="shared" si="72"/>
        <v>NorthBound</v>
      </c>
      <c r="U186" s="171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98" t="str">
        <f t="shared" si="73"/>
        <v>https://search-rtdc-monitor-bjffxe2xuh6vdkpspy63sjmuny.us-east-1.es.amazonaws.com/_plugin/kibana/#/discover/Steve-Slow-Train-Analysis-(2080s-and-2083s)?_g=(refreshInterval:(display:Off,section:0,value:0),time:(from:'2016-12-10 16:58:10-700',mode:absolute,to:'2016-12-10 19:34:49-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201053%20OR%202087)%20AND%20%22rtdc.l.rtdc.4031%22')),sort:!(Time,asc))</v>
      </c>
      <c r="W186" s="52" t="str">
        <f t="shared" si="89"/>
        <v>N</v>
      </c>
      <c r="X186" s="177">
        <f t="shared" si="92"/>
        <v>1</v>
      </c>
      <c r="Y186" s="67">
        <f t="shared" si="86"/>
        <v>0.10349999999999999</v>
      </c>
      <c r="Z186" s="67">
        <f t="shared" si="84"/>
        <v>5.8935000000000004</v>
      </c>
      <c r="AA186" s="67">
        <f t="shared" si="76"/>
        <v>5.79</v>
      </c>
      <c r="AB186" s="64" t="e">
        <f>VLOOKUP(A186,Enforcements!$C$7:$K$20,8,0)</f>
        <v>#N/A</v>
      </c>
      <c r="AC186" s="60" t="e">
        <f>VLOOKUP(A186,Enforcements!$C$7:$E$20,3,0)</f>
        <v>#N/A</v>
      </c>
      <c r="AD186" s="61" t="str">
        <f t="shared" si="77"/>
        <v>1825-10</v>
      </c>
      <c r="AE186" s="91" t="str">
        <f t="shared" si="78"/>
        <v>aws s3 cp s3://rtdc.mdm.uploadarchive.raw/RTDC4031/ "%USERPROFILE%\AppData\Local\Temp\OnboardLogs"\RTDC4031\2016-12-10 --exclude "*" --recursive --include "*20161210*" &amp; "%USERPROFILE%\Documents\GitHub\mrs-test-scripts\Headless Mode &amp; Sideloading\WalkAndUnGZ.bat" "%USERPROFILE%\AppData\Local\Temp\OnboardLogs"\RTDC4031\2016-12-10 &amp; aws s3 cp s3://rtdc.mdm.uploadarchive.raw/RTDC4031/ "%USERPROFILE%\AppData\Local\Temp\OnboardLogs"\RTDC4031\2016-12-11 --exclude "*" --recursive --include "*20161211*" &amp; "%USERPROFILE%\Documents\GitHub\mrs-test-scripts\Headless Mode &amp; Sideloading\WalkAndUnGZ.bat" "%USERPROFILE%\AppData\Local\Temp\OnboardLogs"\RTDC4031\2016-12-11</v>
      </c>
      <c r="AF186" s="88" t="str">
        <f t="shared" si="79"/>
        <v>"C:\Program Files (x86)\AstroGrep\AstroGrep.exe" /spath="%USERPROFILE%\AppData\Local\Temp\OnboardLogs" /stypes="app*4031*20161211*" /stext=" 01:.+((SYSTEM_STATE.+slice.+state.+changed )|(ment ac)|(multiple cpu faults)|(system.+state.+changed )|(\[timeout)|(PRM\|1\|D)|(kpr)|(kdp)|(\|lc)|(penalty))" /e /r /s</v>
      </c>
      <c r="AG186" s="1" t="str">
        <f t="shared" si="80"/>
        <v>NW</v>
      </c>
      <c r="AH186" s="92" t="str">
        <f t="shared" si="81"/>
        <v>"%USERPROFILE%\Documents\GitHub\eaglep3\Utilities\RefineRTDCRunTimes.py" --tripid 1825-10 --locoid 4031 --swversion DE.1.0.8.0 --startMP 204:1035 --initTime 2016-12-10T17:58:10 --startdatetime 2016-12-10T18:21:16 --delay 3 --endMP 300:58935 --enddatetime 2016-12-10T18:34:49 --enforcementcount 1 &gt;&gt;C:\Users\stu\Documents\GitHub\eaglep3-reporting\EC\2016-12-10-refined-times.txt</v>
      </c>
      <c r="AI186" s="119" t="str">
        <f t="shared" si="82"/>
        <v>echo {"issue":{"subject":"","project_id":79,"tracker_id":40,"status_id":1,"priority_id":2,"assigned_to_id":23,"start_date":"2016-12-10","description":"","custom_fields":[{"id":1,"name":"Subdivision","value":"NW"},{"id":4,"name":"Milepost","value":"5.8935"},{"id":17,"name":"Train ID","value":"1825-10"},{"id":16,"name":"Locomotive ID","value":"4031"},{"id":130,"name":"Impact","value":""},{"id":150,"name":"Time of Event (Mountain Time)","value":"18:34:49"},{"id":151,"name":"Denver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6" s="53"/>
      <c r="AK186" s="53"/>
      <c r="AL186" s="53"/>
    </row>
    <row r="187" spans="1:91" x14ac:dyDescent="0.25">
      <c r="A187" s="37" t="s">
        <v>432</v>
      </c>
      <c r="B187" s="7">
        <v>4032</v>
      </c>
      <c r="C187" s="22" t="s">
        <v>207</v>
      </c>
      <c r="D187" s="22" t="s">
        <v>697</v>
      </c>
      <c r="E187" s="13">
        <v>42714.77721064815</v>
      </c>
      <c r="F187" s="13">
        <v>42714.778287037036</v>
      </c>
      <c r="G187" s="7">
        <v>0</v>
      </c>
      <c r="H187" s="22" t="s">
        <v>720</v>
      </c>
      <c r="I187" s="13">
        <v>42714.790729166663</v>
      </c>
      <c r="J187" s="7">
        <v>1</v>
      </c>
      <c r="K187" s="109" t="str">
        <f t="shared" si="70"/>
        <v>4031/4032</v>
      </c>
      <c r="L187" s="22" t="str">
        <f>VLOOKUP(A187,'Trips&amp;Operators'!$C$1:$G$99999,5,FALSE)</f>
        <v>LOPES KIMBERLY</v>
      </c>
      <c r="M187" s="6">
        <f t="shared" si="71"/>
        <v>1.244212962774327E-2</v>
      </c>
      <c r="N187" s="7">
        <f t="shared" si="83"/>
        <v>17.916666663950309</v>
      </c>
      <c r="O187" s="7"/>
      <c r="P187" s="7"/>
      <c r="Q187" s="23"/>
      <c r="R187" s="23"/>
      <c r="S187" s="35">
        <f t="shared" si="85"/>
        <v>1</v>
      </c>
      <c r="T187" s="50" t="str">
        <f t="shared" si="72"/>
        <v>Southbound</v>
      </c>
      <c r="U187" s="171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98" t="str">
        <f t="shared" si="73"/>
        <v>https://search-rtdc-monitor-bjffxe2xuh6vdkpspy63sjmuny.us-east-1.es.amazonaws.com/_plugin/kibana/#/discover/Steve-Slow-Train-Analysis-(2080s-and-2083s)?_g=(refreshInterval:(display:Off,section:0,value:0),time:(from:'2016-12-10 17:39:11-700',mode:absolute,to:'2016-12-10 19:58:39-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201053%20OR%202087)%20AND%20%22rtdc.l.rtdc.4032%22')),sort:!(Time,asc))</v>
      </c>
      <c r="W187" s="52" t="str">
        <f t="shared" si="89"/>
        <v>N</v>
      </c>
      <c r="X187" s="177">
        <f t="shared" si="92"/>
        <v>1</v>
      </c>
      <c r="Y187" s="67">
        <f t="shared" si="86"/>
        <v>5.8613</v>
      </c>
      <c r="Z187" s="67">
        <f t="shared" si="84"/>
        <v>7.6200000000000004E-2</v>
      </c>
      <c r="AA187" s="67">
        <f t="shared" si="76"/>
        <v>5.7850999999999999</v>
      </c>
      <c r="AB187" s="64" t="e">
        <f>VLOOKUP(A187,Enforcements!$C$7:$K$20,8,0)</f>
        <v>#N/A</v>
      </c>
      <c r="AC187" s="60" t="e">
        <f>VLOOKUP(A187,Enforcements!$C$7:$E$20,3,0)</f>
        <v>#N/A</v>
      </c>
      <c r="AD187" s="61" t="str">
        <f t="shared" si="77"/>
        <v>1826-10</v>
      </c>
      <c r="AE187" s="91" t="str">
        <f t="shared" si="78"/>
        <v>aws s3 cp s3://rtdc.mdm.uploadarchive.raw/RTDC4032/ "%USERPROFILE%\AppData\Local\Temp\OnboardLogs"\RTDC4032\2016-12-10 --exclude "*" --recursive --include "*20161210*" &amp; "%USERPROFILE%\Documents\GitHub\mrs-test-scripts\Headless Mode &amp; Sideloading\WalkAndUnGZ.bat" "%USERPROFILE%\AppData\Local\Temp\OnboardLogs"\RTDC4032\2016-12-10 &amp; aws s3 cp s3://rtdc.mdm.uploadarchive.raw/RTDC4032/ "%USERPROFILE%\AppData\Local\Temp\OnboardLogs"\RTDC4032\2016-12-11 --exclude "*" --recursive --include "*20161211*" &amp; "%USERPROFILE%\Documents\GitHub\mrs-test-scripts\Headless Mode &amp; Sideloading\WalkAndUnGZ.bat" "%USERPROFILE%\AppData\Local\Temp\OnboardLogs"\RTDC4032\2016-12-11</v>
      </c>
      <c r="AF187" s="88" t="str">
        <f t="shared" si="79"/>
        <v>"C:\Program Files (x86)\AstroGrep\AstroGrep.exe" /spath="%USERPROFILE%\AppData\Local\Temp\OnboardLogs" /stypes="app*4032*20161211*" /stext=" 01:.+((SYSTEM_STATE.+slice.+state.+changed )|(ment ac)|(multiple cpu faults)|(system.+state.+changed )|(\[timeout)|(PRM\|1\|D)|(kpr)|(kdp)|(\|lc)|(penalty))" /e /r /s</v>
      </c>
      <c r="AG187" s="1" t="str">
        <f t="shared" si="80"/>
        <v>NW</v>
      </c>
      <c r="AH187" s="92" t="str">
        <f t="shared" si="81"/>
        <v>"%USERPROFILE%\Documents\GitHub\eaglep3\Utilities\RefineRTDCRunTimes.py" --tripid 1826-10 --locoid 4032 --swversion DE.1.0.8.0 --startMP 300:58613 --initTime 2016-12-10T18:39:11 --startdatetime 2016-12-10T18:40:44 --delay 0 --endMP 204:762 --enddatetime 2016-12-10T18:58:39 --enforcementcount 1 &gt;&gt;C:\Users\stu\Documents\GitHub\eaglep3-reporting\EC\2016-12-10-refined-times.txt</v>
      </c>
      <c r="AI187" s="119" t="str">
        <f t="shared" si="82"/>
        <v>echo {"issue":{"subject":"","project_id":79,"tracker_id":40,"status_id":1,"priority_id":2,"assigned_to_id":23,"start_date":"2016-12-10","description":"","custom_fields":[{"id":1,"name":"Subdivision","value":"NW"},{"id":4,"name":"Milepost","value":"0.0762"},{"id":17,"name":"Train ID","value":"1826-10"},{"id":16,"name":"Locomotive ID","value":"4032"},{"id":130,"name":"Impact","value":""},{"id":150,"name":"Time of Event (Mountain Time)","value":"18:58:39"},{"id":151,"name":"Denver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7" s="53"/>
      <c r="AK187" s="53"/>
      <c r="AL187" s="53"/>
    </row>
    <row r="188" spans="1:91" x14ac:dyDescent="0.25">
      <c r="A188" s="37" t="s">
        <v>604</v>
      </c>
      <c r="B188" s="7">
        <v>4031</v>
      </c>
      <c r="C188" s="22" t="s">
        <v>207</v>
      </c>
      <c r="D188" s="22" t="s">
        <v>721</v>
      </c>
      <c r="E188" s="13">
        <v>42714.792164351849</v>
      </c>
      <c r="F188" s="13">
        <v>42714.806481481479</v>
      </c>
      <c r="G188" s="7">
        <v>1</v>
      </c>
      <c r="H188" s="22" t="s">
        <v>722</v>
      </c>
      <c r="I188" s="13">
        <v>42714.815752314818</v>
      </c>
      <c r="J188" s="7">
        <v>1</v>
      </c>
      <c r="K188" s="109" t="str">
        <f t="shared" si="70"/>
        <v>4031/4032</v>
      </c>
      <c r="L188" s="22" t="str">
        <f>VLOOKUP(A188,'Trips&amp;Operators'!$C$1:$G$99999,5,FALSE)</f>
        <v>LOPES KIMBERLY</v>
      </c>
      <c r="M188" s="6">
        <f t="shared" si="71"/>
        <v>9.2708333395421505E-3</v>
      </c>
      <c r="N188" s="7">
        <f t="shared" ref="N188:N215" si="93">24*60*SUM($M188:$M188)</f>
        <v>13.350000008940697</v>
      </c>
      <c r="O188" s="7"/>
      <c r="P188" s="7"/>
      <c r="Q188" s="23"/>
      <c r="R188" s="23"/>
      <c r="S188" s="35">
        <f t="shared" si="85"/>
        <v>1</v>
      </c>
      <c r="T188" s="50" t="str">
        <f t="shared" si="72"/>
        <v>NorthBound</v>
      </c>
      <c r="U188" s="171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98" t="str">
        <f t="shared" si="73"/>
        <v>https://search-rtdc-monitor-bjffxe2xuh6vdkpspy63sjmuny.us-east-1.es.amazonaws.com/_plugin/kibana/#/discover/Steve-Slow-Train-Analysis-(2080s-and-2083s)?_g=(refreshInterval:(display:Off,section:0,value:0),time:(from:'2016-12-10 18:00:43-700',mode:absolute,to:'2016-12-10 20:34:41-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201053%20OR%202087)%20AND%20%22rtdc.l.rtdc.4031%22')),sort:!(Time,asc))</v>
      </c>
      <c r="W188" s="52" t="str">
        <f t="shared" si="89"/>
        <v>N</v>
      </c>
      <c r="X188" s="177">
        <f t="shared" si="92"/>
        <v>1</v>
      </c>
      <c r="Y188" s="67">
        <f t="shared" si="86"/>
        <v>0.10440000000000001</v>
      </c>
      <c r="Z188" s="67">
        <f t="shared" si="84"/>
        <v>5.8956</v>
      </c>
      <c r="AA188" s="67">
        <f t="shared" si="76"/>
        <v>5.7911999999999999</v>
      </c>
      <c r="AB188" s="64" t="e">
        <f>VLOOKUP(A188,Enforcements!$C$7:$K$20,8,0)</f>
        <v>#N/A</v>
      </c>
      <c r="AC188" s="60" t="e">
        <f>VLOOKUP(A188,Enforcements!$C$7:$E$20,3,0)</f>
        <v>#N/A</v>
      </c>
      <c r="AD188" s="61" t="str">
        <f t="shared" si="77"/>
        <v>1827-10</v>
      </c>
      <c r="AE188" s="91" t="str">
        <f t="shared" si="78"/>
        <v>aws s3 cp s3://rtdc.mdm.uploadarchive.raw/RTDC4031/ "%USERPROFILE%\AppData\Local\Temp\OnboardLogs"\RTDC4031\2016-12-10 --exclude "*" --recursive --include "*20161210*" &amp; "%USERPROFILE%\Documents\GitHub\mrs-test-scripts\Headless Mode &amp; Sideloading\WalkAndUnGZ.bat" "%USERPROFILE%\AppData\Local\Temp\OnboardLogs"\RTDC4031\2016-12-10 &amp; aws s3 cp s3://rtdc.mdm.uploadarchive.raw/RTDC4031/ "%USERPROFILE%\AppData\Local\Temp\OnboardLogs"\RTDC4031\2016-12-11 --exclude "*" --recursive --include "*20161211*" &amp; "%USERPROFILE%\Documents\GitHub\mrs-test-scripts\Headless Mode &amp; Sideloading\WalkAndUnGZ.bat" "%USERPROFILE%\AppData\Local\Temp\OnboardLogs"\RTDC4031\2016-12-11</v>
      </c>
      <c r="AF188" s="88" t="str">
        <f t="shared" si="79"/>
        <v>"C:\Program Files (x86)\AstroGrep\AstroGrep.exe" /spath="%USERPROFILE%\AppData\Local\Temp\OnboardLogs" /stypes="app*4031*20161211*" /stext=" 02:.+((SYSTEM_STATE.+slice.+state.+changed )|(ment ac)|(multiple cpu faults)|(system.+state.+changed )|(\[timeout)|(PRM\|1\|D)|(kpr)|(kdp)|(\|lc)|(penalty))" /e /r /s</v>
      </c>
      <c r="AG188" s="1" t="str">
        <f t="shared" si="80"/>
        <v>NW</v>
      </c>
      <c r="AH188" s="92" t="str">
        <f t="shared" si="81"/>
        <v>"%USERPROFILE%\Documents\GitHub\eaglep3\Utilities\RefineRTDCRunTimes.py" --tripid 1827-10 --locoid 4031 --swversion DE.1.0.8.0 --startMP 204:1044 --initTime 2016-12-10T19:00:43 --startdatetime 2016-12-10T19:21:20 --delay 1 --endMP 300:58956 --enddatetime 2016-12-10T19:34:41 --enforcementcount 1 &gt;&gt;C:\Users\stu\Documents\GitHub\eaglep3-reporting\EC\2016-12-10-refined-times.txt</v>
      </c>
      <c r="AI188" s="119" t="str">
        <f t="shared" si="82"/>
        <v>echo {"issue":{"subject":"","project_id":79,"tracker_id":40,"status_id":1,"priority_id":2,"assigned_to_id":23,"start_date":"2016-12-10","description":"","custom_fields":[{"id":1,"name":"Subdivision","value":"NW"},{"id":4,"name":"Milepost","value":"5.8956"},{"id":17,"name":"Train ID","value":"1827-10"},{"id":16,"name":"Locomotive ID","value":"4031"},{"id":130,"name":"Impact","value":""},{"id":150,"name":"Time of Event (Mountain Time)","value":"19:34:41"},{"id":151,"name":"Denver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8" s="53"/>
      <c r="AK188" s="53"/>
      <c r="AL188" s="53"/>
    </row>
    <row r="189" spans="1:91" x14ac:dyDescent="0.25">
      <c r="A189" s="37" t="s">
        <v>607</v>
      </c>
      <c r="B189" s="7">
        <v>4032</v>
      </c>
      <c r="C189" s="22" t="s">
        <v>207</v>
      </c>
      <c r="D189" s="22" t="s">
        <v>399</v>
      </c>
      <c r="E189" s="13">
        <v>42714.818287037036</v>
      </c>
      <c r="F189" s="13">
        <v>42714.819525462961</v>
      </c>
      <c r="G189" s="7">
        <v>1</v>
      </c>
      <c r="H189" s="22" t="s">
        <v>720</v>
      </c>
      <c r="I189" s="13">
        <v>42714.831111111111</v>
      </c>
      <c r="J189" s="7">
        <v>1</v>
      </c>
      <c r="K189" s="109" t="str">
        <f t="shared" si="70"/>
        <v>4031/4032</v>
      </c>
      <c r="L189" s="22" t="str">
        <f>VLOOKUP(A189,'Trips&amp;Operators'!$C$1:$G$99999,5,FALSE)</f>
        <v>LOPES KIMBERLY</v>
      </c>
      <c r="M189" s="6">
        <f t="shared" si="71"/>
        <v>1.1585648149775807E-2</v>
      </c>
      <c r="N189" s="7">
        <f t="shared" si="93"/>
        <v>16.683333335677162</v>
      </c>
      <c r="O189" s="7"/>
      <c r="P189" s="7"/>
      <c r="Q189" s="23"/>
      <c r="R189" s="23"/>
      <c r="S189" s="35">
        <f t="shared" si="85"/>
        <v>1</v>
      </c>
      <c r="T189" s="50" t="str">
        <f t="shared" si="72"/>
        <v>Southbound</v>
      </c>
      <c r="U189" s="171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98" t="str">
        <f t="shared" si="73"/>
        <v>https://search-rtdc-monitor-bjffxe2xuh6vdkpspy63sjmuny.us-east-1.es.amazonaws.com/_plugin/kibana/#/discover/Steve-Slow-Train-Analysis-(2080s-and-2083s)?_g=(refreshInterval:(display:Off,section:0,value:0),time:(from:'2016-12-10 18:38:20-700',mode:absolute,to:'2016-12-10 20:56:48-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201053%20OR%202087)%20AND%20%22rtdc.l.rtdc.4032%22')),sort:!(Time,asc))</v>
      </c>
      <c r="W189" s="52" t="str">
        <f t="shared" si="89"/>
        <v>N</v>
      </c>
      <c r="X189" s="177">
        <f t="shared" si="92"/>
        <v>1</v>
      </c>
      <c r="Y189" s="67">
        <f t="shared" si="86"/>
        <v>5.8632</v>
      </c>
      <c r="Z189" s="67">
        <f t="shared" ref="Z189:Z215" si="94">RIGHT(H189,LEN(H189)-4)/10000</f>
        <v>7.6200000000000004E-2</v>
      </c>
      <c r="AA189" s="67">
        <f t="shared" si="76"/>
        <v>5.7869999999999999</v>
      </c>
      <c r="AB189" s="64" t="e">
        <f>VLOOKUP(A189,Enforcements!$C$7:$K$20,8,0)</f>
        <v>#N/A</v>
      </c>
      <c r="AC189" s="60" t="e">
        <f>VLOOKUP(A189,Enforcements!$C$7:$E$20,3,0)</f>
        <v>#N/A</v>
      </c>
      <c r="AD189" s="61" t="str">
        <f t="shared" si="77"/>
        <v>1828-10</v>
      </c>
      <c r="AE189" s="91" t="str">
        <f t="shared" si="78"/>
        <v>aws s3 cp s3://rtdc.mdm.uploadarchive.raw/RTDC4032/ "%USERPROFILE%\AppData\Local\Temp\OnboardLogs"\RTDC4032\2016-12-10 --exclude "*" --recursive --include "*20161210*" &amp; "%USERPROFILE%\Documents\GitHub\mrs-test-scripts\Headless Mode &amp; Sideloading\WalkAndUnGZ.bat" "%USERPROFILE%\AppData\Local\Temp\OnboardLogs"\RTDC4032\2016-12-10 &amp; aws s3 cp s3://rtdc.mdm.uploadarchive.raw/RTDC4032/ "%USERPROFILE%\AppData\Local\Temp\OnboardLogs"\RTDC4032\2016-12-11 --exclude "*" --recursive --include "*20161211*" &amp; "%USERPROFILE%\Documents\GitHub\mrs-test-scripts\Headless Mode &amp; Sideloading\WalkAndUnGZ.bat" "%USERPROFILE%\AppData\Local\Temp\OnboardLogs"\RTDC4032\2016-12-11</v>
      </c>
      <c r="AF189" s="88" t="str">
        <f t="shared" si="79"/>
        <v>"C:\Program Files (x86)\AstroGrep\AstroGrep.exe" /spath="%USERPROFILE%\AppData\Local\Temp\OnboardLogs" /stypes="app*4032*20161211*" /stext=" 02:.+((SYSTEM_STATE.+slice.+state.+changed )|(ment ac)|(multiple cpu faults)|(system.+state.+changed )|(\[timeout)|(PRM\|1\|D)|(kpr)|(kdp)|(\|lc)|(penalty))" /e /r /s</v>
      </c>
      <c r="AG189" s="1" t="str">
        <f t="shared" si="80"/>
        <v>NW</v>
      </c>
      <c r="AH189" s="92" t="str">
        <f t="shared" si="81"/>
        <v>"%USERPROFILE%\Documents\GitHub\eaglep3\Utilities\RefineRTDCRunTimes.py" --tripid 1828-10 --locoid 4032 --swversion DE.1.0.8.0 --startMP 300:58632 --initTime 2016-12-10T19:38:20 --startdatetime 2016-12-10T19:40:07 --delay 1 --endMP 204:762 --enddatetime 2016-12-10T19:56:48 --enforcementcount 1 &gt;&gt;C:\Users\stu\Documents\GitHub\eaglep3-reporting\EC\2016-12-10-refined-times.txt</v>
      </c>
      <c r="AI189" s="119" t="str">
        <f t="shared" si="82"/>
        <v>echo {"issue":{"subject":"","project_id":79,"tracker_id":40,"status_id":1,"priority_id":2,"assigned_to_id":23,"start_date":"2016-12-10","description":"","custom_fields":[{"id":1,"name":"Subdivision","value":"NW"},{"id":4,"name":"Milepost","value":"0.0762"},{"id":17,"name":"Train ID","value":"1828-10"},{"id":16,"name":"Locomotive ID","value":"4032"},{"id":130,"name":"Impact","value":""},{"id":150,"name":"Time of Event (Mountain Time)","value":"19:56:48"},{"id":151,"name":"Denver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9" s="53"/>
      <c r="AK189" s="53"/>
      <c r="AL189" s="53"/>
    </row>
    <row r="190" spans="1:91" x14ac:dyDescent="0.25">
      <c r="A190" s="37" t="s">
        <v>611</v>
      </c>
      <c r="B190" s="7">
        <v>4031</v>
      </c>
      <c r="C190" s="22" t="s">
        <v>207</v>
      </c>
      <c r="D190" s="22" t="s">
        <v>723</v>
      </c>
      <c r="E190" s="13">
        <v>42714.835266203707</v>
      </c>
      <c r="F190" s="13">
        <v>42714.848113425927</v>
      </c>
      <c r="G190" s="7">
        <v>1</v>
      </c>
      <c r="H190" s="22" t="s">
        <v>702</v>
      </c>
      <c r="I190" s="13">
        <v>42714.857743055552</v>
      </c>
      <c r="J190" s="7">
        <v>1</v>
      </c>
      <c r="K190" s="109" t="str">
        <f t="shared" si="70"/>
        <v>4031/4032</v>
      </c>
      <c r="L190" s="22" t="str">
        <f>VLOOKUP(A190,'Trips&amp;Operators'!$C$1:$G$99999,5,FALSE)</f>
        <v>LOPES KIMBERLY</v>
      </c>
      <c r="M190" s="6">
        <f t="shared" si="71"/>
        <v>9.6296296251239255E-3</v>
      </c>
      <c r="N190" s="7">
        <f t="shared" si="93"/>
        <v>13.866666660178453</v>
      </c>
      <c r="O190" s="7"/>
      <c r="P190" s="7"/>
      <c r="Q190" s="23"/>
      <c r="R190" s="23"/>
      <c r="S190" s="35">
        <f t="shared" ref="S190:S215" si="95">SUM(U190:U190)/IF(AG190="EC",12,1)</f>
        <v>1</v>
      </c>
      <c r="T190" s="50" t="str">
        <f t="shared" si="72"/>
        <v>NorthBound</v>
      </c>
      <c r="U190" s="171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98" t="str">
        <f t="shared" si="73"/>
        <v>https://search-rtdc-monitor-bjffxe2xuh6vdkpspy63sjmuny.us-east-1.es.amazonaws.com/_plugin/kibana/#/discover/Steve-Slow-Train-Analysis-(2080s-and-2083s)?_g=(refreshInterval:(display:Off,section:0,value:0),time:(from:'2016-12-10 19:02:47-700',mode:absolute,to:'2016-12-10 21:35:09-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201053%20OR%202087)%20AND%20%22rtdc.l.rtdc.4031%22')),sort:!(Time,asc))</v>
      </c>
      <c r="W190" s="52" t="str">
        <f t="shared" si="89"/>
        <v>N</v>
      </c>
      <c r="X190" s="177">
        <f t="shared" si="92"/>
        <v>1</v>
      </c>
      <c r="Y190" s="67">
        <f t="shared" ref="Y190:Y215" si="96">RIGHT(D190,LEN(D190)-4)/10000</f>
        <v>0.1037</v>
      </c>
      <c r="Z190" s="67">
        <f t="shared" si="94"/>
        <v>5.8952</v>
      </c>
      <c r="AA190" s="67">
        <f t="shared" si="76"/>
        <v>5.7915000000000001</v>
      </c>
      <c r="AB190" s="64" t="e">
        <f>VLOOKUP(A190,Enforcements!$C$7:$K$20,8,0)</f>
        <v>#N/A</v>
      </c>
      <c r="AC190" s="60" t="e">
        <f>VLOOKUP(A190,Enforcements!$C$7:$E$20,3,0)</f>
        <v>#N/A</v>
      </c>
      <c r="AD190" s="61" t="str">
        <f t="shared" si="77"/>
        <v>1829-10</v>
      </c>
      <c r="AE190" s="91" t="str">
        <f t="shared" si="78"/>
        <v>aws s3 cp s3://rtdc.mdm.uploadarchive.raw/RTDC4031/ "%USERPROFILE%\AppData\Local\Temp\OnboardLogs"\RTDC4031\2016-12-10 --exclude "*" --recursive --include "*20161210*" &amp; "%USERPROFILE%\Documents\GitHub\mrs-test-scripts\Headless Mode &amp; Sideloading\WalkAndUnGZ.bat" "%USERPROFILE%\AppData\Local\Temp\OnboardLogs"\RTDC4031\2016-12-10 &amp; aws s3 cp s3://rtdc.mdm.uploadarchive.raw/RTDC4031/ "%USERPROFILE%\AppData\Local\Temp\OnboardLogs"\RTDC4031\2016-12-11 --exclude "*" --recursive --include "*20161211*" &amp; "%USERPROFILE%\Documents\GitHub\mrs-test-scripts\Headless Mode &amp; Sideloading\WalkAndUnGZ.bat" "%USERPROFILE%\AppData\Local\Temp\OnboardLogs"\RTDC4031\2016-12-11</v>
      </c>
      <c r="AF190" s="88" t="str">
        <f t="shared" si="79"/>
        <v>"C:\Program Files (x86)\AstroGrep\AstroGrep.exe" /spath="%USERPROFILE%\AppData\Local\Temp\OnboardLogs" /stypes="app*4031*20161211*" /stext=" 03:.+((SYSTEM_STATE.+slice.+state.+changed )|(ment ac)|(multiple cpu faults)|(system.+state.+changed )|(\[timeout)|(PRM\|1\|D)|(kpr)|(kdp)|(\|lc)|(penalty))" /e /r /s</v>
      </c>
      <c r="AG190" s="1" t="str">
        <f t="shared" si="80"/>
        <v>NW</v>
      </c>
      <c r="AH190" s="92" t="str">
        <f t="shared" si="81"/>
        <v>"%USERPROFILE%\Documents\GitHub\eaglep3\Utilities\RefineRTDCRunTimes.py" --tripid 1829-10 --locoid 4031 --swversion DE.1.0.8.0 --startMP 204:1037 --initTime 2016-12-10T20:02:47 --startdatetime 2016-12-10T20:21:17 --delay 1 --endMP 300:58952 --enddatetime 2016-12-10T20:35:09 --enforcementcount 1 &gt;&gt;C:\Users\stu\Documents\GitHub\eaglep3-reporting\EC\2016-12-10-refined-times.txt</v>
      </c>
      <c r="AI190" s="119" t="str">
        <f t="shared" si="82"/>
        <v>echo {"issue":{"subject":"","project_id":79,"tracker_id":40,"status_id":1,"priority_id":2,"assigned_to_id":23,"start_date":"2016-12-10","description":"","custom_fields":[{"id":1,"name":"Subdivision","value":"NW"},{"id":4,"name":"Milepost","value":"5.8952"},{"id":17,"name":"Train ID","value":"1829-10"},{"id":16,"name":"Locomotive ID","value":"4031"},{"id":130,"name":"Impact","value":""},{"id":150,"name":"Time of Event (Mountain Time)","value":"20:35:09"},{"id":151,"name":"Denver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0" s="53"/>
      <c r="AK190" s="53"/>
      <c r="AL190" s="53"/>
    </row>
    <row r="191" spans="1:91" x14ac:dyDescent="0.25">
      <c r="A191" s="37" t="s">
        <v>614</v>
      </c>
      <c r="B191" s="7">
        <v>4032</v>
      </c>
      <c r="C191" s="22" t="s">
        <v>207</v>
      </c>
      <c r="D191" s="22" t="s">
        <v>371</v>
      </c>
      <c r="E191" s="13">
        <v>42714.858738425923</v>
      </c>
      <c r="F191" s="13">
        <v>42714.86037037037</v>
      </c>
      <c r="G191" s="7">
        <v>1</v>
      </c>
      <c r="H191" s="22" t="s">
        <v>725</v>
      </c>
      <c r="I191" s="13">
        <v>42714.872546296298</v>
      </c>
      <c r="J191" s="7">
        <v>1</v>
      </c>
      <c r="K191" s="109" t="str">
        <f t="shared" si="70"/>
        <v>4031/4032</v>
      </c>
      <c r="L191" s="22" t="str">
        <f>VLOOKUP(A191,'Trips&amp;Operators'!$C$1:$G$99999,5,FALSE)</f>
        <v>LOPES KIMBERLY</v>
      </c>
      <c r="M191" s="6">
        <f t="shared" si="71"/>
        <v>1.2175925927294884E-2</v>
      </c>
      <c r="N191" s="7">
        <f t="shared" si="93"/>
        <v>17.533333335304633</v>
      </c>
      <c r="O191" s="7"/>
      <c r="P191" s="7"/>
      <c r="Q191" s="23"/>
      <c r="R191" s="23"/>
      <c r="S191" s="35">
        <f t="shared" si="95"/>
        <v>1</v>
      </c>
      <c r="T191" s="50" t="str">
        <f t="shared" si="72"/>
        <v>Southbound</v>
      </c>
      <c r="U191" s="171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98" t="str">
        <f t="shared" si="73"/>
        <v>https://search-rtdc-monitor-bjffxe2xuh6vdkpspy63sjmuny.us-east-1.es.amazonaws.com/_plugin/kibana/#/discover/Steve-Slow-Train-Analysis-(2080s-and-2083s)?_g=(refreshInterval:(display:Off,section:0,value:0),time:(from:'2016-12-10 19:36:35-700',mode:absolute,to:'2016-12-10 21:56:28-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201053%20OR%202087)%20AND%20%22rtdc.l.rtdc.4032%22')),sort:!(Time,asc))</v>
      </c>
      <c r="W191" s="52" t="str">
        <f t="shared" si="89"/>
        <v>N</v>
      </c>
      <c r="X191" s="177">
        <f t="shared" si="92"/>
        <v>1</v>
      </c>
      <c r="Y191" s="67">
        <f t="shared" si="96"/>
        <v>5.8620999999999999</v>
      </c>
      <c r="Z191" s="67">
        <f t="shared" si="94"/>
        <v>7.1199999999999999E-2</v>
      </c>
      <c r="AA191" s="67">
        <f t="shared" si="76"/>
        <v>5.7908999999999997</v>
      </c>
      <c r="AB191" s="64" t="e">
        <f>VLOOKUP(A191,Enforcements!$C$7:$K$20,8,0)</f>
        <v>#N/A</v>
      </c>
      <c r="AC191" s="60" t="e">
        <f>VLOOKUP(A191,Enforcements!$C$7:$E$20,3,0)</f>
        <v>#N/A</v>
      </c>
      <c r="AD191" s="61" t="str">
        <f t="shared" si="77"/>
        <v>1830-10</v>
      </c>
      <c r="AE191" s="91" t="str">
        <f t="shared" si="78"/>
        <v>aws s3 cp s3://rtdc.mdm.uploadarchive.raw/RTDC4032/ "%USERPROFILE%\AppData\Local\Temp\OnboardLogs"\RTDC4032\2016-12-10 --exclude "*" --recursive --include "*20161210*" &amp; "%USERPROFILE%\Documents\GitHub\mrs-test-scripts\Headless Mode &amp; Sideloading\WalkAndUnGZ.bat" "%USERPROFILE%\AppData\Local\Temp\OnboardLogs"\RTDC4032\2016-12-10 &amp; aws s3 cp s3://rtdc.mdm.uploadarchive.raw/RTDC4032/ "%USERPROFILE%\AppData\Local\Temp\OnboardLogs"\RTDC4032\2016-12-11 --exclude "*" --recursive --include "*20161211*" &amp; "%USERPROFILE%\Documents\GitHub\mrs-test-scripts\Headless Mode &amp; Sideloading\WalkAndUnGZ.bat" "%USERPROFILE%\AppData\Local\Temp\OnboardLogs"\RTDC4032\2016-12-11</v>
      </c>
      <c r="AF191" s="88" t="str">
        <f t="shared" si="79"/>
        <v>"C:\Program Files (x86)\AstroGrep\AstroGrep.exe" /spath="%USERPROFILE%\AppData\Local\Temp\OnboardLogs" /stypes="app*4032*20161211*" /stext=" 03:.+((SYSTEM_STATE.+slice.+state.+changed )|(ment ac)|(multiple cpu faults)|(system.+state.+changed )|(\[timeout)|(PRM\|1\|D)|(kpr)|(kdp)|(\|lc)|(penalty))" /e /r /s</v>
      </c>
      <c r="AG191" s="1" t="str">
        <f t="shared" si="80"/>
        <v>NW</v>
      </c>
      <c r="AH191" s="92" t="str">
        <f t="shared" si="81"/>
        <v>"%USERPROFILE%\Documents\GitHub\eaglep3\Utilities\RefineRTDCRunTimes.py" --tripid 1830-10 --locoid 4032 --swversion DE.1.0.8.0 --startMP 300:58621 --initTime 2016-12-10T20:36:35 --startdatetime 2016-12-10T20:38:56 --delay 1 --endMP 204:712 --enddatetime 2016-12-10T20:56:28 --enforcementcount 1 &gt;&gt;C:\Users\stu\Documents\GitHub\eaglep3-reporting\EC\2016-12-10-refined-times.txt</v>
      </c>
      <c r="AI191" s="119" t="str">
        <f t="shared" si="82"/>
        <v>echo {"issue":{"subject":"","project_id":79,"tracker_id":40,"status_id":1,"priority_id":2,"assigned_to_id":23,"start_date":"2016-12-10","description":"","custom_fields":[{"id":1,"name":"Subdivision","value":"NW"},{"id":4,"name":"Milepost","value":"0.0712"},{"id":17,"name":"Train ID","value":"1830-10"},{"id":16,"name":"Locomotive ID","value":"4032"},{"id":130,"name":"Impact","value":""},{"id":150,"name":"Time of Event (Mountain Time)","value":"20:56:28"},{"id":151,"name":"Denver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1" s="53"/>
      <c r="AK191" s="53"/>
      <c r="AL191" s="53"/>
    </row>
    <row r="192" spans="1:91" x14ac:dyDescent="0.25">
      <c r="A192" s="37" t="s">
        <v>617</v>
      </c>
      <c r="B192" s="7">
        <v>4031</v>
      </c>
      <c r="C192" s="22" t="s">
        <v>207</v>
      </c>
      <c r="D192" s="22" t="s">
        <v>726</v>
      </c>
      <c r="E192" s="13">
        <v>42714.873935185184</v>
      </c>
      <c r="F192" s="13">
        <v>42714.889814814815</v>
      </c>
      <c r="G192" s="7">
        <v>1</v>
      </c>
      <c r="H192" s="22" t="s">
        <v>404</v>
      </c>
      <c r="I192" s="13">
        <v>42714.899537037039</v>
      </c>
      <c r="J192" s="7">
        <v>1</v>
      </c>
      <c r="K192" s="109" t="str">
        <f t="shared" si="70"/>
        <v>4031/4032</v>
      </c>
      <c r="L192" s="22" t="str">
        <f>VLOOKUP(A192,'Trips&amp;Operators'!$C$1:$G$99999,5,FALSE)</f>
        <v>LOPES KIMBERLY</v>
      </c>
      <c r="M192" s="6">
        <f t="shared" si="71"/>
        <v>9.7222222248092294E-3</v>
      </c>
      <c r="N192" s="7">
        <f t="shared" si="93"/>
        <v>14.00000000372529</v>
      </c>
      <c r="O192" s="7"/>
      <c r="P192" s="7"/>
      <c r="Q192" s="23"/>
      <c r="R192" s="23"/>
      <c r="S192" s="35">
        <f t="shared" si="95"/>
        <v>1</v>
      </c>
      <c r="T192" s="50" t="str">
        <f t="shared" si="72"/>
        <v>NorthBound</v>
      </c>
      <c r="U192" s="171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98" t="str">
        <f t="shared" si="73"/>
        <v>https://search-rtdc-monitor-bjffxe2xuh6vdkpspy63sjmuny.us-east-1.es.amazonaws.com/_plugin/kibana/#/discover/Steve-Slow-Train-Analysis-(2080s-and-2083s)?_g=(refreshInterval:(display:Off,section:0,value:0),time:(from:'2016-12-10 19:58:28-700',mode:absolute,to:'2016-12-10 22:35:20-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201053%20OR%202087)%20AND%20%22rtdc.l.rtdc.4031%22')),sort:!(Time,asc))</v>
      </c>
      <c r="W192" s="52" t="str">
        <f t="shared" si="89"/>
        <v>N</v>
      </c>
      <c r="X192" s="177">
        <f t="shared" si="92"/>
        <v>1</v>
      </c>
      <c r="Y192" s="67">
        <f t="shared" si="96"/>
        <v>9.9199999999999997E-2</v>
      </c>
      <c r="Z192" s="67">
        <f t="shared" si="94"/>
        <v>5.8944000000000001</v>
      </c>
      <c r="AA192" s="67">
        <f t="shared" si="76"/>
        <v>5.7952000000000004</v>
      </c>
      <c r="AB192" s="64" t="e">
        <f>VLOOKUP(A192,Enforcements!$C$7:$K$20,8,0)</f>
        <v>#N/A</v>
      </c>
      <c r="AC192" s="60" t="e">
        <f>VLOOKUP(A192,Enforcements!$C$7:$E$20,3,0)</f>
        <v>#N/A</v>
      </c>
      <c r="AD192" s="61" t="str">
        <f t="shared" si="77"/>
        <v>1831-10</v>
      </c>
      <c r="AE192" s="91" t="str">
        <f t="shared" si="78"/>
        <v>aws s3 cp s3://rtdc.mdm.uploadarchive.raw/RTDC4031/ "%USERPROFILE%\AppData\Local\Temp\OnboardLogs"\RTDC4031\2016-12-10 --exclude "*" --recursive --include "*20161210*" &amp; "%USERPROFILE%\Documents\GitHub\mrs-test-scripts\Headless Mode &amp; Sideloading\WalkAndUnGZ.bat" "%USERPROFILE%\AppData\Local\Temp\OnboardLogs"\RTDC4031\2016-12-10 &amp; aws s3 cp s3://rtdc.mdm.uploadarchive.raw/RTDC4031/ "%USERPROFILE%\AppData\Local\Temp\OnboardLogs"\RTDC4031\2016-12-11 --exclude "*" --recursive --include "*20161211*" &amp; "%USERPROFILE%\Documents\GitHub\mrs-test-scripts\Headless Mode &amp; Sideloading\WalkAndUnGZ.bat" "%USERPROFILE%\AppData\Local\Temp\OnboardLogs"\RTDC4031\2016-12-11</v>
      </c>
      <c r="AF192" s="88" t="str">
        <f t="shared" si="79"/>
        <v>"C:\Program Files (x86)\AstroGrep\AstroGrep.exe" /spath="%USERPROFILE%\AppData\Local\Temp\OnboardLogs" /stypes="app*4031*20161211*" /stext=" 04:.+((SYSTEM_STATE.+slice.+state.+changed )|(ment ac)|(multiple cpu faults)|(system.+state.+changed )|(\[timeout)|(PRM\|1\|D)|(kpr)|(kdp)|(\|lc)|(penalty))" /e /r /s</v>
      </c>
      <c r="AG192" s="1" t="str">
        <f t="shared" si="80"/>
        <v>NW</v>
      </c>
      <c r="AH192" s="92" t="str">
        <f t="shared" si="81"/>
        <v>"%USERPROFILE%\Documents\GitHub\eaglep3\Utilities\RefineRTDCRunTimes.py" --tripid 1831-10 --locoid 4031 --swversion DE.1.0.8.0 --startMP 204:992 --initTime 2016-12-10T20:58:28 --startdatetime 2016-12-10T21:21:20 --delay 1 --endMP 300:58944 --enddatetime 2016-12-10T21:35:20 --enforcementcount 1 &gt;&gt;C:\Users\stu\Documents\GitHub\eaglep3-reporting\EC\2016-12-10-refined-times.txt</v>
      </c>
      <c r="AI192" s="119" t="str">
        <f t="shared" si="82"/>
        <v>echo {"issue":{"subject":"","project_id":79,"tracker_id":40,"status_id":1,"priority_id":2,"assigned_to_id":23,"start_date":"2016-12-10","description":"","custom_fields":[{"id":1,"name":"Subdivision","value":"NW"},{"id":4,"name":"Milepost","value":"5.8944"},{"id":17,"name":"Train ID","value":"1831-10"},{"id":16,"name":"Locomotive ID","value":"4031"},{"id":130,"name":"Impact","value":""},{"id":150,"name":"Time of Event (Mountain Time)","value":"21:35:20"},{"id":151,"name":"Denver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2" s="53"/>
      <c r="AK192" s="53"/>
      <c r="AL192" s="53"/>
    </row>
    <row r="193" spans="1:38" s="21" customFormat="1" x14ac:dyDescent="0.25">
      <c r="A193" s="37" t="s">
        <v>620</v>
      </c>
      <c r="B193" s="7">
        <v>4032</v>
      </c>
      <c r="C193" s="22" t="s">
        <v>207</v>
      </c>
      <c r="D193" s="22" t="s">
        <v>371</v>
      </c>
      <c r="E193" s="13">
        <v>42714.90053240741</v>
      </c>
      <c r="F193" s="13">
        <v>42714.901828703703</v>
      </c>
      <c r="G193" s="7">
        <v>0</v>
      </c>
      <c r="H193" s="22" t="s">
        <v>727</v>
      </c>
      <c r="I193" s="13">
        <v>42714.913182870368</v>
      </c>
      <c r="J193" s="7">
        <v>1</v>
      </c>
      <c r="K193" s="109" t="str">
        <f t="shared" si="70"/>
        <v>4031/4032</v>
      </c>
      <c r="L193" s="22" t="str">
        <f>VLOOKUP(A193,'Trips&amp;Operators'!$C$1:$G$99999,5,FALSE)</f>
        <v>LOPES KIMBERLY</v>
      </c>
      <c r="M193" s="6">
        <f t="shared" si="71"/>
        <v>1.1354166665114462E-2</v>
      </c>
      <c r="N193" s="7">
        <f t="shared" si="93"/>
        <v>16.349999997764826</v>
      </c>
      <c r="O193" s="7"/>
      <c r="P193" s="7"/>
      <c r="Q193" s="23"/>
      <c r="R193" s="23"/>
      <c r="S193" s="35">
        <f t="shared" si="95"/>
        <v>1</v>
      </c>
      <c r="T193" s="50" t="str">
        <f t="shared" si="72"/>
        <v>Southbound</v>
      </c>
      <c r="U193" s="171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98" t="str">
        <f t="shared" si="73"/>
        <v>https://search-rtdc-monitor-bjffxe2xuh6vdkpspy63sjmuny.us-east-1.es.amazonaws.com/_plugin/kibana/#/discover/Steve-Slow-Train-Analysis-(2080s-and-2083s)?_g=(refreshInterval:(display:Off,section:0,value:0),time:(from:'2016-12-10 20:36:46-700',mode:absolute,to:'2016-12-10 22:54:59-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201053%20OR%202087)%20AND%20%22rtdc.l.rtdc.4032%22')),sort:!(Time,asc))</v>
      </c>
      <c r="W193" s="52" t="str">
        <f t="shared" si="89"/>
        <v>N</v>
      </c>
      <c r="X193" s="177">
        <f t="shared" si="92"/>
        <v>1</v>
      </c>
      <c r="Y193" s="67">
        <f t="shared" si="96"/>
        <v>5.8620999999999999</v>
      </c>
      <c r="Z193" s="67">
        <f t="shared" si="94"/>
        <v>7.3999999999999996E-2</v>
      </c>
      <c r="AA193" s="67">
        <f t="shared" si="76"/>
        <v>5.7881</v>
      </c>
      <c r="AB193" s="64" t="e">
        <f>VLOOKUP(A193,Enforcements!$C$7:$K$20,8,0)</f>
        <v>#N/A</v>
      </c>
      <c r="AC193" s="60" t="e">
        <f>VLOOKUP(A193,Enforcements!$C$7:$E$20,3,0)</f>
        <v>#N/A</v>
      </c>
      <c r="AD193" s="61" t="str">
        <f t="shared" si="77"/>
        <v>1832-10</v>
      </c>
      <c r="AE193" s="91" t="str">
        <f t="shared" si="78"/>
        <v>aws s3 cp s3://rtdc.mdm.uploadarchive.raw/RTDC4032/ "%USERPROFILE%\AppData\Local\Temp\OnboardLogs"\RTDC4032\2016-12-10 --exclude "*" --recursive --include "*20161210*" &amp; "%USERPROFILE%\Documents\GitHub\mrs-test-scripts\Headless Mode &amp; Sideloading\WalkAndUnGZ.bat" "%USERPROFILE%\AppData\Local\Temp\OnboardLogs"\RTDC4032\2016-12-10 &amp; aws s3 cp s3://rtdc.mdm.uploadarchive.raw/RTDC4032/ "%USERPROFILE%\AppData\Local\Temp\OnboardLogs"\RTDC4032\2016-12-11 --exclude "*" --recursive --include "*20161211*" &amp; "%USERPROFILE%\Documents\GitHub\mrs-test-scripts\Headless Mode &amp; Sideloading\WalkAndUnGZ.bat" "%USERPROFILE%\AppData\Local\Temp\OnboardLogs"\RTDC4032\2016-12-11</v>
      </c>
      <c r="AF193" s="88" t="str">
        <f t="shared" si="79"/>
        <v>"C:\Program Files (x86)\AstroGrep\AstroGrep.exe" /spath="%USERPROFILE%\AppData\Local\Temp\OnboardLogs" /stypes="app*4032*20161211*" /stext=" 04:.+((SYSTEM_STATE.+slice.+state.+changed )|(ment ac)|(multiple cpu faults)|(system.+state.+changed )|(\[timeout)|(PRM\|1\|D)|(kpr)|(kdp)|(\|lc)|(penalty))" /e /r /s</v>
      </c>
      <c r="AG193" s="1" t="str">
        <f t="shared" si="80"/>
        <v>NW</v>
      </c>
      <c r="AH193" s="92" t="str">
        <f t="shared" si="81"/>
        <v>"%USERPROFILE%\Documents\GitHub\eaglep3\Utilities\RefineRTDCRunTimes.py" --tripid 1832-10 --locoid 4032 --swversion DE.1.0.8.0 --startMP 300:58621 --initTime 2016-12-10T21:36:46 --startdatetime 2016-12-10T21:38:38 --delay 0 --endMP 204:740 --enddatetime 2016-12-10T21:54:59 --enforcementcount 1 &gt;&gt;C:\Users\stu\Documents\GitHub\eaglep3-reporting\EC\2016-12-10-refined-times.txt</v>
      </c>
      <c r="AI193" s="119" t="str">
        <f t="shared" si="82"/>
        <v>echo {"issue":{"subject":"","project_id":79,"tracker_id":40,"status_id":1,"priority_id":2,"assigned_to_id":23,"start_date":"2016-12-10","description":"","custom_fields":[{"id":1,"name":"Subdivision","value":"NW"},{"id":4,"name":"Milepost","value":"0.074"},{"id":17,"name":"Train ID","value":"1832-10"},{"id":16,"name":"Locomotive ID","value":"4032"},{"id":130,"name":"Impact","value":""},{"id":150,"name":"Time of Event (Mountain Time)","value":"21:54:59"},{"id":151,"name":"Denver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3" s="53"/>
      <c r="AK193" s="53"/>
      <c r="AL193" s="53"/>
    </row>
    <row r="194" spans="1:38" x14ac:dyDescent="0.25">
      <c r="A194" s="37" t="s">
        <v>435</v>
      </c>
      <c r="B194" s="7">
        <v>4031</v>
      </c>
      <c r="C194" s="22" t="s">
        <v>207</v>
      </c>
      <c r="D194" s="22" t="s">
        <v>728</v>
      </c>
      <c r="E194" s="13">
        <v>42714.914548611108</v>
      </c>
      <c r="F194" s="13">
        <v>42714.931435185186</v>
      </c>
      <c r="G194" s="7">
        <v>1</v>
      </c>
      <c r="H194" s="22" t="s">
        <v>729</v>
      </c>
      <c r="I194" s="13">
        <v>42714.940972222219</v>
      </c>
      <c r="J194" s="7">
        <v>1</v>
      </c>
      <c r="K194" s="109" t="str">
        <f t="shared" si="70"/>
        <v>4031/4032</v>
      </c>
      <c r="L194" s="22" t="str">
        <f>VLOOKUP(A194,'Trips&amp;Operators'!$C$1:$G$99999,5,FALSE)</f>
        <v>LOPES KIMBERLY</v>
      </c>
      <c r="M194" s="6">
        <f t="shared" si="71"/>
        <v>9.5370370327145793E-3</v>
      </c>
      <c r="N194" s="7">
        <f t="shared" si="93"/>
        <v>13.733333327108994</v>
      </c>
      <c r="O194" s="7"/>
      <c r="P194" s="7"/>
      <c r="Q194" s="23"/>
      <c r="R194" s="23"/>
      <c r="S194" s="35">
        <f t="shared" si="95"/>
        <v>1</v>
      </c>
      <c r="T194" s="50" t="str">
        <f t="shared" si="72"/>
        <v>NorthBound</v>
      </c>
      <c r="U194" s="171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98" t="str">
        <f t="shared" si="73"/>
        <v>https://search-rtdc-monitor-bjffxe2xuh6vdkpspy63sjmuny.us-east-1.es.amazonaws.com/_plugin/kibana/#/discover/Steve-Slow-Train-Analysis-(2080s-and-2083s)?_g=(refreshInterval:(display:Off,section:0,value:0),time:(from:'2016-12-10 20:56:57-700',mode:absolute,to:'2016-12-10 23:35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201053%20OR%202087)%20AND%20%22rtdc.l.rtdc.4031%22')),sort:!(Time,asc))</v>
      </c>
      <c r="W194" s="52" t="str">
        <f t="shared" si="89"/>
        <v>N</v>
      </c>
      <c r="X194" s="177">
        <f t="shared" si="92"/>
        <v>1</v>
      </c>
      <c r="Y194" s="67">
        <f t="shared" si="96"/>
        <v>0.1027</v>
      </c>
      <c r="Z194" s="67">
        <f t="shared" si="94"/>
        <v>5.8958000000000004</v>
      </c>
      <c r="AA194" s="67">
        <f t="shared" si="76"/>
        <v>5.7931000000000008</v>
      </c>
      <c r="AB194" s="64" t="e">
        <f>VLOOKUP(A194,Enforcements!$C$7:$K$20,8,0)</f>
        <v>#N/A</v>
      </c>
      <c r="AC194" s="60" t="e">
        <f>VLOOKUP(A194,Enforcements!$C$7:$E$20,3,0)</f>
        <v>#N/A</v>
      </c>
      <c r="AD194" s="61" t="str">
        <f t="shared" si="77"/>
        <v>1833-10</v>
      </c>
      <c r="AE194" s="91" t="str">
        <f t="shared" si="78"/>
        <v>aws s3 cp s3://rtdc.mdm.uploadarchive.raw/RTDC4031/ "%USERPROFILE%\AppData\Local\Temp\OnboardLogs"\RTDC4031\2016-12-10 --exclude "*" --recursive --include "*20161210*" &amp; "%USERPROFILE%\Documents\GitHub\mrs-test-scripts\Headless Mode &amp; Sideloading\WalkAndUnGZ.bat" "%USERPROFILE%\AppData\Local\Temp\OnboardLogs"\RTDC4031\2016-12-10 &amp; aws s3 cp s3://rtdc.mdm.uploadarchive.raw/RTDC4031/ "%USERPROFILE%\AppData\Local\Temp\OnboardLogs"\RTDC4031\2016-12-11 --exclude "*" --recursive --include "*20161211*" &amp; "%USERPROFILE%\Documents\GitHub\mrs-test-scripts\Headless Mode &amp; Sideloading\WalkAndUnGZ.bat" "%USERPROFILE%\AppData\Local\Temp\OnboardLogs"\RTDC4031\2016-12-11</v>
      </c>
      <c r="AF194" s="88" t="str">
        <f t="shared" si="79"/>
        <v>"C:\Program Files (x86)\AstroGrep\AstroGrep.exe" /spath="%USERPROFILE%\AppData\Local\Temp\OnboardLogs" /stypes="app*4031*20161211*" /stext=" 05:.+((SYSTEM_STATE.+slice.+state.+changed )|(ment ac)|(multiple cpu faults)|(system.+state.+changed )|(\[timeout)|(PRM\|1\|D)|(kpr)|(kdp)|(\|lc)|(penalty))" /e /r /s</v>
      </c>
      <c r="AG194" s="1" t="str">
        <f t="shared" si="80"/>
        <v>NW</v>
      </c>
      <c r="AH194" s="92" t="str">
        <f t="shared" si="81"/>
        <v>"%USERPROFILE%\Documents\GitHub\eaglep3\Utilities\RefineRTDCRunTimes.py" --tripid 1833-10 --locoid 4031 --swversion DE.1.0.8.0 --startMP 204:1027 --initTime 2016-12-10T21:56:57 --startdatetime 2016-12-10T22:21:16 --delay 1 --endMP 300:58958 --enddatetime 2016-12-10T22:35:00 --enforcementcount 1 &gt;&gt;C:\Users\stu\Documents\GitHub\eaglep3-reporting\EC\2016-12-10-refined-times.txt</v>
      </c>
      <c r="AI194" s="119" t="str">
        <f t="shared" si="82"/>
        <v>echo {"issue":{"subject":"","project_id":79,"tracker_id":40,"status_id":1,"priority_id":2,"assigned_to_id":23,"start_date":"2016-12-10","description":"","custom_fields":[{"id":1,"name":"Subdivision","value":"NW"},{"id":4,"name":"Milepost","value":"5.8958"},{"id":17,"name":"Train ID","value":"1833-10"},{"id":16,"name":"Locomotive ID","value":"4031"},{"id":130,"name":"Impact","value":""},{"id":150,"name":"Time of Event (Mountain Time)","value":"22:35:00"},{"id":151,"name":"Denver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4" s="53"/>
      <c r="AK194" s="53"/>
      <c r="AL194" s="53"/>
    </row>
    <row r="195" spans="1:38" s="21" customFormat="1" x14ac:dyDescent="0.25">
      <c r="A195" s="37" t="s">
        <v>449</v>
      </c>
      <c r="B195" s="7">
        <v>4004</v>
      </c>
      <c r="C195" s="22" t="s">
        <v>207</v>
      </c>
      <c r="D195" s="22" t="s">
        <v>760</v>
      </c>
      <c r="E195" s="13">
        <v>42714.121192129627</v>
      </c>
      <c r="F195" s="13">
        <v>42714.123240740744</v>
      </c>
      <c r="G195" s="7">
        <v>2</v>
      </c>
      <c r="H195" s="22" t="s">
        <v>193</v>
      </c>
      <c r="I195" s="13">
        <v>42714.128321759257</v>
      </c>
      <c r="J195" s="7">
        <v>1</v>
      </c>
      <c r="K195" s="109" t="str">
        <f t="shared" si="70"/>
        <v>4003/4004</v>
      </c>
      <c r="L195" s="22" t="str">
        <f>VLOOKUP(A195,'Trips&amp;Operators'!$C$1:$G$99999,5,FALSE)</f>
        <v>MAELZER KURT</v>
      </c>
      <c r="M195" s="6">
        <f t="shared" si="71"/>
        <v>5.0810185130103491E-3</v>
      </c>
      <c r="N195" s="7">
        <f t="shared" si="93"/>
        <v>7.3166666587349027</v>
      </c>
      <c r="O195" s="7"/>
      <c r="P195" s="7"/>
      <c r="Q195" s="23"/>
      <c r="R195" s="23"/>
      <c r="S195" s="35">
        <f t="shared" si="95"/>
        <v>1</v>
      </c>
      <c r="T195" s="50" t="str">
        <f t="shared" si="72"/>
        <v>Southbound</v>
      </c>
      <c r="U195" s="171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98" t="str">
        <f t="shared" si="73"/>
        <v>https://search-rtdc-monitor-bjffxe2xuh6vdkpspy63sjmuny.us-east-1.es.amazonaws.com/_plugin/kibana/#/discover/Steve-Slow-Train-Analysis-(2080s-and-2083s)?_g=(refreshInterval:(display:Off,section:0,value:0),time:(from:'2016-12-10 01:54:31-700',mode:absolute,to:'2016-12-10 04:04:47-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201053%20OR%202087)%20AND%20%22rtdc.l.rtdc.4004%22')),sort:!(Time,asc))</v>
      </c>
      <c r="W195" s="52" t="str">
        <f t="shared" si="89"/>
        <v>Y</v>
      </c>
      <c r="X195" s="177">
        <f t="shared" si="92"/>
        <v>-1531</v>
      </c>
      <c r="Y195" s="67">
        <f t="shared" si="96"/>
        <v>1.9951000000000001</v>
      </c>
      <c r="Z195" s="67">
        <f t="shared" si="94"/>
        <v>1.43E-2</v>
      </c>
      <c r="AA195" s="67">
        <f t="shared" si="76"/>
        <v>1.9808000000000001</v>
      </c>
      <c r="AB195" s="64" t="e">
        <f>VLOOKUP(A195,Enforcements!$C$7:$K$20,8,0)</f>
        <v>#N/A</v>
      </c>
      <c r="AC195" s="60" t="e">
        <f>VLOOKUP(A195,Enforcements!$C$7:$E$20,3,0)</f>
        <v>#N/A</v>
      </c>
      <c r="AD195" s="61" t="str">
        <f t="shared" si="77"/>
        <v>0302-10</v>
      </c>
      <c r="AE195" s="91" t="str">
        <f t="shared" si="78"/>
        <v>aws s3 cp s3://rtdc.mdm.uploadarchive.raw/RTDC4004/ "%USERPROFILE%\AppData\Local\Temp\OnboardLogs"\RTDC4004\2016-12-10 --exclude "*" --recursive --include "*20161210*" &amp; "%USERPROFILE%\Documents\GitHub\mrs-test-scripts\Headless Mode &amp; Sideloading\WalkAndUnGZ.bat" "%USERPROFILE%\AppData\Local\Temp\OnboardLogs"\RTDC4004\2016-12-10 &amp; aws s3 cp s3://rtdc.mdm.uploadarchive.raw/RTDC4004/ "%USERPROFILE%\AppData\Local\Temp\OnboardLogs"\RTDC4004\2016-12-11 --exclude "*" --recursive --include "*20161211*" &amp; "%USERPROFILE%\Documents\GitHub\mrs-test-scripts\Headless Mode &amp; Sideloading\WalkAndUnGZ.bat" "%USERPROFILE%\AppData\Local\Temp\OnboardLogs"\RTDC4004\2016-12-11</v>
      </c>
      <c r="AF195" s="88" t="str">
        <f t="shared" si="79"/>
        <v>"C:\Program Files (x86)\AstroGrep\AstroGrep.exe" /spath="%USERPROFILE%\AppData\Local\Temp\OnboardLogs" /stypes="app*4004*20161210*" /stext=" 10:.+((SYSTEM_STATE.+slice.+state.+changed )|(ment ac)|(multiple cpu faults)|(system.+state.+changed )|(\[timeout)|(PRM\|1\|D)|(kpr)|(kdp)|(\|lc)|(penalty))" /e /r /s</v>
      </c>
      <c r="AG195" s="1" t="str">
        <f t="shared" si="80"/>
        <v>Other</v>
      </c>
      <c r="AH195" s="92" t="str">
        <f t="shared" si="81"/>
        <v>"%USERPROFILE%\Documents\GitHub\eaglep3\Utilities\RefineRTDCRunTimes.py" --tripid 302-10 --locoid 4004 --swversion DE.1.0.8.0 --startMP 300:19951 --initTime 2016-12-10T02:54:31 --startdatetime 2016-12-10T02:57:28 --delay 2 --endMP 204:143 --enddatetime 2016-12-10T03:04:47 --enforcementcount 1 &gt;&gt;C:\Users\stu\Documents\GitHub\eaglep3-reporting\EC\2016-12-10-refined-times.txt</v>
      </c>
      <c r="AI195" s="119" t="str">
        <f t="shared" si="82"/>
        <v>echo {"issue":{"subject":"","project_id":79,"tracker_id":40,"status_id":1,"priority_id":2,"assigned_to_id":23,"start_date":"2016-12-10","description":"","custom_fields":[{"id":1,"name":"Subdivision","value":"Other"},{"id":4,"name":"Milepost","value":"0.0143"},{"id":17,"name":"Train ID","value":"302-10"},{"id":16,"name":"Locomotive ID","value":"4004"},{"id":130,"name":"Impact","value":""},{"id":150,"name":"Time of Event (Mountain Time)","value":"03:04:47"},{"id":151,"name":"Denver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5" s="53"/>
      <c r="AK195" s="53"/>
      <c r="AL195" s="53"/>
    </row>
    <row r="196" spans="1:38" x14ac:dyDescent="0.25">
      <c r="A196" s="37" t="s">
        <v>600</v>
      </c>
      <c r="B196" s="7">
        <v>4025</v>
      </c>
      <c r="C196" s="22" t="s">
        <v>207</v>
      </c>
      <c r="D196" s="22" t="s">
        <v>236</v>
      </c>
      <c r="E196" s="13">
        <v>42714.779189814813</v>
      </c>
      <c r="F196" s="13">
        <v>25568.708333333332</v>
      </c>
      <c r="G196" s="7">
        <v>2</v>
      </c>
      <c r="H196" s="22" t="s">
        <v>340</v>
      </c>
      <c r="I196" s="13">
        <v>25568.708333333332</v>
      </c>
      <c r="J196" s="7">
        <v>1</v>
      </c>
      <c r="K196" s="109" t="str">
        <f t="shared" si="70"/>
        <v>4025/4026</v>
      </c>
      <c r="L196" s="22" t="str">
        <f>VLOOKUP(A196,'Trips&amp;Operators'!$C$1:$G$99999,5,FALSE)</f>
        <v>SHOOK JOHN</v>
      </c>
      <c r="M196" s="6">
        <f t="shared" si="71"/>
        <v>0</v>
      </c>
      <c r="N196" s="7">
        <f t="shared" si="93"/>
        <v>0</v>
      </c>
      <c r="O196" s="7"/>
      <c r="P196" s="7"/>
      <c r="Q196" s="23"/>
      <c r="R196" s="23"/>
      <c r="S196" s="35">
        <f t="shared" si="95"/>
        <v>1</v>
      </c>
      <c r="T196" s="50" t="str">
        <f t="shared" si="72"/>
        <v>NorthBound</v>
      </c>
      <c r="U196" s="171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98" t="str">
        <f t="shared" si="73"/>
        <v>https://search-rtdc-monitor-bjffxe2xuh6vdkpspy63sjmuny.us-east-1.es.amazonaws.com/_plugin/kibana/#/discover/Steve-Slow-Train-Analysis-(2080s-and-2083s)?_g=(refreshInterval:(display:Off,section:0,value:0),time:(from:'2016-12-10 17:42:02-700',mode:absolute,to:'1969-12-31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201053%20OR%202087)%20AND%20%22rtdc.l.rtdc.4025%22')),sort:!(Time,asc))</v>
      </c>
      <c r="W196" s="52" t="str">
        <f t="shared" si="89"/>
        <v>Y</v>
      </c>
      <c r="X196" s="177">
        <f t="shared" si="92"/>
        <v>1</v>
      </c>
      <c r="Y196" s="67">
        <f t="shared" si="96"/>
        <v>4.4200000000000003E-2</v>
      </c>
      <c r="Z196" s="67">
        <f t="shared" si="94"/>
        <v>2.3302</v>
      </c>
      <c r="AA196" s="67">
        <f t="shared" si="76"/>
        <v>2.286</v>
      </c>
      <c r="AB196" s="64" t="e">
        <f>VLOOKUP(A196,Enforcements!$C$7:$K$20,8,0)</f>
        <v>#N/A</v>
      </c>
      <c r="AC196" s="60" t="e">
        <f>VLOOKUP(A196,Enforcements!$C$7:$E$20,3,0)</f>
        <v>#N/A</v>
      </c>
      <c r="AD196" s="61" t="str">
        <f t="shared" si="77"/>
        <v>0303-10</v>
      </c>
      <c r="AE196" s="91" t="str">
        <f t="shared" si="78"/>
        <v>aws s3 cp s3://rtdc.mdm.uploadarchive.raw/RTDC4025/ "%USERPROFILE%\AppData\Local\Temp\OnboardLogs"\RTDC4025\1969-12-31 --exclude "*" --recursive --include "*19691231*" &amp; "%USERPROFILE%\Documents\GitHub\mrs-test-scripts\Headless Mode &amp; Sideloading\WalkAndUnGZ.bat" "%USERPROFILE%\AppData\Local\Temp\OnboardLogs"\RTDC4025\1969-12-31 &amp; aws s3 cp s3://rtdc.mdm.uploadarchive.raw/RTDC4025/ "%USERPROFILE%\AppData\Local\Temp\OnboardLogs"\RTDC4025\1970-01-01 --exclude "*" --recursive --include "*19700101*" &amp; "%USERPROFILE%\Documents\GitHub\mrs-test-scripts\Headless Mode &amp; Sideloading\WalkAndUnGZ.bat" "%USERPROFILE%\AppData\Local\Temp\OnboardLogs"\RTDC4025\1970-01-01</v>
      </c>
      <c r="AF196" s="88" t="str">
        <f t="shared" si="79"/>
        <v>"C:\Program Files (x86)\AstroGrep\AstroGrep.exe" /spath="%USERPROFILE%\AppData\Local\Temp\OnboardLogs" /stypes="app*4025*19700101*" /stext=" 00:.+((SYSTEM_STATE.+slice.+state.+changed )|(ment ac)|(multiple cpu faults)|(system.+state.+changed )|(\[timeout)|(PRM\|1\|D)|(kpr)|(kdp)|(\|lc)|(penalty))" /e /r /s</v>
      </c>
      <c r="AG196" s="1" t="str">
        <f t="shared" si="80"/>
        <v>Other</v>
      </c>
      <c r="AH196" s="92" t="str">
        <f t="shared" si="81"/>
        <v>"%USERPROFILE%\Documents\GitHub\eaglep3\Utilities\RefineRTDCRunTimes.py" --tripid 303-10 --locoid 4025 --swversion DE.1.0.8.0 --startMP 204:442 --initTime 2016-12-10T18:42:02 --startdatetime 1969-12-31T17:00:00 --delay 2 --endMP 300:23302 --enddatetime 1969-12-31T17:00:00 --enforcementcount 1 &gt;&gt;C:\Users\stu\Documents\GitHub\eaglep3-reporting\EC\2016-12-10-refined-times.txt</v>
      </c>
      <c r="AI196" s="119" t="str">
        <f t="shared" si="82"/>
        <v>echo {"issue":{"subject":"","project_id":79,"tracker_id":40,"status_id":1,"priority_id":2,"assigned_to_id":23,"start_date":"1969-12-31","description":"","custom_fields":[{"id":1,"name":"Subdivision","value":"Other"},{"id":4,"name":"Milepost","value":"2.3302"},{"id":17,"name":"Train ID","value":"303-10"},{"id":16,"name":"Locomotive ID","value":"4025"},{"id":130,"name":"Impact","value":""},{"id":150,"name":"Time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6" s="53"/>
      <c r="AK196" s="53"/>
      <c r="AL196" s="53"/>
    </row>
    <row r="197" spans="1:38" x14ac:dyDescent="0.25">
      <c r="A197" s="37" t="s">
        <v>450</v>
      </c>
      <c r="B197" s="7">
        <v>4010</v>
      </c>
      <c r="C197" s="22" t="s">
        <v>207</v>
      </c>
      <c r="D197" s="22" t="s">
        <v>761</v>
      </c>
      <c r="E197" s="13">
        <v>42714.135266203702</v>
      </c>
      <c r="F197" s="13">
        <v>42714.136597222219</v>
      </c>
      <c r="G197" s="7">
        <v>1</v>
      </c>
      <c r="H197" s="22" t="s">
        <v>762</v>
      </c>
      <c r="I197" s="13">
        <v>42714.14403935185</v>
      </c>
      <c r="J197" s="7">
        <v>1</v>
      </c>
      <c r="K197" s="109" t="str">
        <f t="shared" si="70"/>
        <v>4009/4010</v>
      </c>
      <c r="L197" s="22" t="str">
        <f>VLOOKUP(A197,'Trips&amp;Operators'!$C$1:$G$99999,5,FALSE)</f>
        <v>ROBINSON KADDIBA</v>
      </c>
      <c r="M197" s="6">
        <f t="shared" si="71"/>
        <v>7.442129630362615E-3</v>
      </c>
      <c r="N197" s="7">
        <f t="shared" si="93"/>
        <v>10.716666667722166</v>
      </c>
      <c r="O197" s="7"/>
      <c r="P197" s="7"/>
      <c r="Q197" s="23"/>
      <c r="R197" s="23"/>
      <c r="S197" s="35">
        <f t="shared" si="95"/>
        <v>1</v>
      </c>
      <c r="T197" s="50" t="str">
        <f t="shared" si="72"/>
        <v>Southbound</v>
      </c>
      <c r="U197" s="171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98" t="str">
        <f t="shared" si="73"/>
        <v>https://search-rtdc-monitor-bjffxe2xuh6vdkpspy63sjmuny.us-east-1.es.amazonaws.com/_plugin/kibana/#/discover/Steve-Slow-Train-Analysis-(2080s-and-2083s)?_g=(refreshInterval:(display:Off,section:0,value:0),time:(from:'2016-12-10 02:14:47-700',mode:absolute,to:'2016-12-10 04:27:25-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201053%20OR%202087)%20AND%20%22rtdc.l.rtdc.4010%22')),sort:!(Time,asc))</v>
      </c>
      <c r="W197" s="52" t="str">
        <f t="shared" si="89"/>
        <v>Y</v>
      </c>
      <c r="X197" s="177">
        <f t="shared" si="92"/>
        <v>1</v>
      </c>
      <c r="Y197" s="67">
        <f t="shared" si="96"/>
        <v>2.3292000000000002</v>
      </c>
      <c r="Z197" s="67">
        <f t="shared" si="94"/>
        <v>9.4000000000000004E-3</v>
      </c>
      <c r="AA197" s="67">
        <f t="shared" si="76"/>
        <v>2.3198000000000003</v>
      </c>
      <c r="AB197" s="64" t="e">
        <f>VLOOKUP(A197,Enforcements!$C$7:$K$20,8,0)</f>
        <v>#N/A</v>
      </c>
      <c r="AC197" s="60" t="e">
        <f>VLOOKUP(A197,Enforcements!$C$7:$E$20,3,0)</f>
        <v>#N/A</v>
      </c>
      <c r="AD197" s="61" t="str">
        <f t="shared" si="77"/>
        <v>0304-10</v>
      </c>
      <c r="AE197" s="91" t="str">
        <f t="shared" si="78"/>
        <v>aws s3 cp s3://rtdc.mdm.uploadarchive.raw/RTDC4010/ "%USERPROFILE%\AppData\Local\Temp\OnboardLogs"\RTDC4010\2016-12-10 --exclude "*" --recursive --include "*20161210*" &amp; "%USERPROFILE%\Documents\GitHub\mrs-test-scripts\Headless Mode &amp; Sideloading\WalkAndUnGZ.bat" "%USERPROFILE%\AppData\Local\Temp\OnboardLogs"\RTDC4010\2016-12-10 &amp; aws s3 cp s3://rtdc.mdm.uploadarchive.raw/RTDC4010/ "%USERPROFILE%\AppData\Local\Temp\OnboardLogs"\RTDC4010\2016-12-11 --exclude "*" --recursive --include "*20161211*" &amp; "%USERPROFILE%\Documents\GitHub\mrs-test-scripts\Headless Mode &amp; Sideloading\WalkAndUnGZ.bat" "%USERPROFILE%\AppData\Local\Temp\OnboardLogs"\RTDC4010\2016-12-11</v>
      </c>
      <c r="AF197" s="88" t="str">
        <f t="shared" si="79"/>
        <v>"C:\Program Files (x86)\AstroGrep\AstroGrep.exe" /spath="%USERPROFILE%\AppData\Local\Temp\OnboardLogs" /stypes="app*4010*20161210*" /stext=" 10:.+((SYSTEM_STATE.+slice.+state.+changed )|(ment ac)|(multiple cpu faults)|(system.+state.+changed )|(\[timeout)|(PRM\|1\|D)|(kpr)|(kdp)|(\|lc)|(penalty))" /e /r /s</v>
      </c>
      <c r="AG197" s="1" t="str">
        <f t="shared" si="80"/>
        <v>Other</v>
      </c>
      <c r="AH197" s="92" t="str">
        <f t="shared" si="81"/>
        <v>"%USERPROFILE%\Documents\GitHub\eaglep3\Utilities\RefineRTDCRunTimes.py" --tripid 304-10 --locoid 4010 --swversion DE.1.0.8.0 --startMP 300:23292 --initTime 2016-12-10T03:14:47 --startdatetime 2016-12-10T03:16:42 --delay 1 --endMP 204:94 --enddatetime 2016-12-10T03:27:25 --enforcementcount 1 &gt;&gt;C:\Users\stu\Documents\GitHub\eaglep3-reporting\EC\2016-12-10-refined-times.txt</v>
      </c>
      <c r="AI197" s="119" t="str">
        <f t="shared" si="82"/>
        <v>echo {"issue":{"subject":"","project_id":79,"tracker_id":40,"status_id":1,"priority_id":2,"assigned_to_id":23,"start_date":"2016-12-10","description":"","custom_fields":[{"id":1,"name":"Subdivision","value":"Other"},{"id":4,"name":"Milepost","value":"0.0094"},{"id":17,"name":"Train ID","value":"304-10"},{"id":16,"name":"Locomotive ID","value":"4010"},{"id":130,"name":"Impact","value":""},{"id":150,"name":"Time of Event (Mountain Time)","value":"03:27:25"},{"id":151,"name":"Denver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7" s="53"/>
      <c r="AK197" s="53"/>
      <c r="AL197" s="53"/>
    </row>
    <row r="198" spans="1:38" x14ac:dyDescent="0.25">
      <c r="A198" s="37" t="s">
        <v>605</v>
      </c>
      <c r="B198" s="7">
        <v>4003</v>
      </c>
      <c r="C198" s="22" t="s">
        <v>207</v>
      </c>
      <c r="D198" s="22" t="s">
        <v>680</v>
      </c>
      <c r="E198" s="13">
        <v>42714.802835648145</v>
      </c>
      <c r="F198" s="13">
        <v>25568.708333333332</v>
      </c>
      <c r="G198" s="7">
        <v>1</v>
      </c>
      <c r="H198" s="22" t="s">
        <v>397</v>
      </c>
      <c r="I198" s="13">
        <v>25568.708333333332</v>
      </c>
      <c r="J198" s="7">
        <v>1</v>
      </c>
      <c r="K198" s="109" t="str">
        <f t="shared" si="70"/>
        <v>4003/4004</v>
      </c>
      <c r="L198" s="22" t="str">
        <f>VLOOKUP(A198,'Trips&amp;Operators'!$C$1:$G$99999,5,FALSE)</f>
        <v>CLARK KATHLEEN</v>
      </c>
      <c r="M198" s="6">
        <f t="shared" si="71"/>
        <v>0</v>
      </c>
      <c r="N198" s="7">
        <f t="shared" si="93"/>
        <v>0</v>
      </c>
      <c r="O198" s="7"/>
      <c r="P198" s="7"/>
      <c r="Q198" s="23"/>
      <c r="R198" s="23"/>
      <c r="S198" s="35">
        <f t="shared" si="95"/>
        <v>1</v>
      </c>
      <c r="T198" s="50" t="str">
        <f t="shared" si="72"/>
        <v>NorthBound</v>
      </c>
      <c r="U198" s="171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98" t="str">
        <f t="shared" si="73"/>
        <v>https://search-rtdc-monitor-bjffxe2xuh6vdkpspy63sjmuny.us-east-1.es.amazonaws.com/_plugin/kibana/#/discover/Steve-Slow-Train-Analysis-(2080s-and-2083s)?_g=(refreshInterval:(display:Off,section:0,value:0),time:(from:'2016-12-10 18:16:05-700',mode:absolute,to:'1969-12-31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201053%20OR%202087)%20AND%20%22rtdc.l.rtdc.4003%22')),sort:!(Time,asc))</v>
      </c>
      <c r="W198" s="52" t="str">
        <f t="shared" si="89"/>
        <v>Y</v>
      </c>
      <c r="X198" s="177">
        <f t="shared" si="92"/>
        <v>1</v>
      </c>
      <c r="Y198" s="67">
        <f t="shared" si="96"/>
        <v>4.8800000000000003E-2</v>
      </c>
      <c r="Z198" s="67">
        <f t="shared" si="94"/>
        <v>2.3306</v>
      </c>
      <c r="AA198" s="67">
        <f t="shared" si="76"/>
        <v>2.2818000000000001</v>
      </c>
      <c r="AB198" s="64" t="e">
        <f>VLOOKUP(A198,Enforcements!$C$7:$K$20,8,0)</f>
        <v>#N/A</v>
      </c>
      <c r="AC198" s="60" t="e">
        <f>VLOOKUP(A198,Enforcements!$C$7:$E$20,3,0)</f>
        <v>#N/A</v>
      </c>
      <c r="AD198" s="61" t="str">
        <f t="shared" si="77"/>
        <v>0305-10</v>
      </c>
      <c r="AE198" s="91" t="str">
        <f t="shared" si="78"/>
        <v>aws s3 cp s3://rtdc.mdm.uploadarchive.raw/RTDC4003/ "%USERPROFILE%\AppData\Local\Temp\OnboardLogs"\RTDC4003\1969-12-31 --exclude "*" --recursive --include "*19691231*" &amp; "%USERPROFILE%\Documents\GitHub\mrs-test-scripts\Headless Mode &amp; Sideloading\WalkAndUnGZ.bat" "%USERPROFILE%\AppData\Local\Temp\OnboardLogs"\RTDC4003\1969-12-31 &amp; aws s3 cp s3://rtdc.mdm.uploadarchive.raw/RTDC4003/ "%USERPROFILE%\AppData\Local\Temp\OnboardLogs"\RTDC4003\1970-01-01 --exclude "*" --recursive --include "*19700101*" &amp; "%USERPROFILE%\Documents\GitHub\mrs-test-scripts\Headless Mode &amp; Sideloading\WalkAndUnGZ.bat" "%USERPROFILE%\AppData\Local\Temp\OnboardLogs"\RTDC4003\1970-01-01</v>
      </c>
      <c r="AF198" s="88" t="str">
        <f t="shared" si="79"/>
        <v>"C:\Program Files (x86)\AstroGrep\AstroGrep.exe" /spath="%USERPROFILE%\AppData\Local\Temp\OnboardLogs" /stypes="app*4003*19700101*" /stext=" 00:.+((SYSTEM_STATE.+slice.+state.+changed )|(ment ac)|(multiple cpu faults)|(system.+state.+changed )|(\[timeout)|(PRM\|1\|D)|(kpr)|(kdp)|(\|lc)|(penalty))" /e /r /s</v>
      </c>
      <c r="AG198" s="1" t="str">
        <f t="shared" si="80"/>
        <v>Other</v>
      </c>
      <c r="AH198" s="92" t="str">
        <f t="shared" si="81"/>
        <v>"%USERPROFILE%\Documents\GitHub\eaglep3\Utilities\RefineRTDCRunTimes.py" --tripid 305-10 --locoid 4003 --swversion DE.1.0.8.0 --startMP 204:488 --initTime 2016-12-10T19:16:05 --startdatetime 1969-12-31T17:00:00 --delay 1 --endMP 300:23306 --enddatetime 1969-12-31T17:00:00 --enforcementcount 1 &gt;&gt;C:\Users\stu\Documents\GitHub\eaglep3-reporting\EC\2016-12-10-refined-times.txt</v>
      </c>
      <c r="AI198" s="119" t="str">
        <f t="shared" si="82"/>
        <v>echo {"issue":{"subject":"","project_id":79,"tracker_id":40,"status_id":1,"priority_id":2,"assigned_to_id":23,"start_date":"1969-12-31","description":"","custom_fields":[{"id":1,"name":"Subdivision","value":"Other"},{"id":4,"name":"Milepost","value":"2.3306"},{"id":17,"name":"Train ID","value":"305-10"},{"id":16,"name":"Locomotive ID","value":"4003"},{"id":130,"name":"Impact","value":""},{"id":150,"name":"Time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8" s="53"/>
      <c r="AK198" s="53"/>
      <c r="AL198" s="53"/>
    </row>
    <row r="199" spans="1:38" x14ac:dyDescent="0.25">
      <c r="A199" s="37" t="s">
        <v>452</v>
      </c>
      <c r="B199" s="7">
        <v>4045</v>
      </c>
      <c r="C199" s="22" t="s">
        <v>207</v>
      </c>
      <c r="D199" s="22" t="s">
        <v>763</v>
      </c>
      <c r="E199" s="13">
        <v>42714.157372685186</v>
      </c>
      <c r="F199" s="13">
        <v>42714.158692129633</v>
      </c>
      <c r="G199" s="7">
        <v>1</v>
      </c>
      <c r="H199" s="22" t="s">
        <v>193</v>
      </c>
      <c r="I199" s="13">
        <v>42714.165069444447</v>
      </c>
      <c r="J199" s="7">
        <v>1</v>
      </c>
      <c r="K199" s="109" t="str">
        <f t="shared" si="70"/>
        <v>4045/4046</v>
      </c>
      <c r="L199" s="22" t="str">
        <f>VLOOKUP(A199,'Trips&amp;Operators'!$C$1:$G$99999,5,FALSE)</f>
        <v>DE LA ROSA ALEX</v>
      </c>
      <c r="M199" s="6">
        <f t="shared" si="71"/>
        <v>6.3773148140171543E-3</v>
      </c>
      <c r="N199" s="7">
        <f t="shared" si="93"/>
        <v>9.1833333321847022</v>
      </c>
      <c r="O199" s="7"/>
      <c r="P199" s="7"/>
      <c r="Q199" s="23"/>
      <c r="R199" s="23"/>
      <c r="S199" s="35">
        <f t="shared" si="95"/>
        <v>1</v>
      </c>
      <c r="T199" s="50" t="str">
        <f t="shared" si="72"/>
        <v>Southbound</v>
      </c>
      <c r="U199" s="171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98" t="str">
        <f t="shared" si="73"/>
        <v>https://search-rtdc-monitor-bjffxe2xuh6vdkpspy63sjmuny.us-east-1.es.amazonaws.com/_plugin/kibana/#/discover/Steve-Slow-Train-Analysis-(2080s-and-2083s)?_g=(refreshInterval:(display:Off,section:0,value:0),time:(from:'2016-12-10 02:46:37-700',mode:absolute,to:'2016-12-10 04:57:42-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201053%20OR%202087)%20AND%20%22rtdc.l.rtdc.4045%22')),sort:!(Time,asc))</v>
      </c>
      <c r="W199" s="52" t="str">
        <f t="shared" si="89"/>
        <v>Y</v>
      </c>
      <c r="X199" s="177">
        <f t="shared" si="92"/>
        <v>1</v>
      </c>
      <c r="Y199" s="67">
        <f t="shared" si="96"/>
        <v>2.3159999999999998</v>
      </c>
      <c r="Z199" s="67">
        <f t="shared" si="94"/>
        <v>1.43E-2</v>
      </c>
      <c r="AA199" s="67">
        <f t="shared" si="76"/>
        <v>2.3016999999999999</v>
      </c>
      <c r="AB199" s="64" t="e">
        <f>VLOOKUP(A199,Enforcements!$C$7:$K$20,8,0)</f>
        <v>#N/A</v>
      </c>
      <c r="AC199" s="60" t="e">
        <f>VLOOKUP(A199,Enforcements!$C$7:$E$20,3,0)</f>
        <v>#N/A</v>
      </c>
      <c r="AD199" s="61" t="str">
        <f t="shared" si="77"/>
        <v>0306-10</v>
      </c>
      <c r="AE199" s="91" t="str">
        <f t="shared" si="78"/>
        <v>aws s3 cp s3://rtdc.mdm.uploadarchive.raw/RTDC4045/ "%USERPROFILE%\AppData\Local\Temp\OnboardLogs"\RTDC4045\2016-12-10 --exclude "*" --recursive --include "*20161210*" &amp; "%USERPROFILE%\Documents\GitHub\mrs-test-scripts\Headless Mode &amp; Sideloading\WalkAndUnGZ.bat" "%USERPROFILE%\AppData\Local\Temp\OnboardLogs"\RTDC4045\2016-12-10 &amp; aws s3 cp s3://rtdc.mdm.uploadarchive.raw/RTDC4045/ "%USERPROFILE%\AppData\Local\Temp\OnboardLogs"\RTDC4045\2016-12-11 --exclude "*" --recursive --include "*20161211*" &amp; "%USERPROFILE%\Documents\GitHub\mrs-test-scripts\Headless Mode &amp; Sideloading\WalkAndUnGZ.bat" "%USERPROFILE%\AppData\Local\Temp\OnboardLogs"\RTDC4045\2016-12-11</v>
      </c>
      <c r="AF199" s="88" t="str">
        <f t="shared" si="79"/>
        <v>"C:\Program Files (x86)\AstroGrep\AstroGrep.exe" /spath="%USERPROFILE%\AppData\Local\Temp\OnboardLogs" /stypes="app*4045*20161210*" /stext=" 10:.+((SYSTEM_STATE.+slice.+state.+changed )|(ment ac)|(multiple cpu faults)|(system.+state.+changed )|(\[timeout)|(PRM\|1\|D)|(kpr)|(kdp)|(\|lc)|(penalty))" /e /r /s</v>
      </c>
      <c r="AG199" s="1" t="str">
        <f t="shared" si="80"/>
        <v>Other</v>
      </c>
      <c r="AH199" s="92" t="str">
        <f t="shared" si="81"/>
        <v>"%USERPROFILE%\Documents\GitHub\eaglep3\Utilities\RefineRTDCRunTimes.py" --tripid 306-10 --locoid 4045 --swversion DE.1.0.8.0 --startMP 300:23160 --initTime 2016-12-10T03:46:37 --startdatetime 2016-12-10T03:48:31 --delay 1 --endMP 204:143 --enddatetime 2016-12-10T03:57:42 --enforcementcount 1 &gt;&gt;C:\Users\stu\Documents\GitHub\eaglep3-reporting\EC\2016-12-10-refined-times.txt</v>
      </c>
      <c r="AI199" s="119" t="str">
        <f t="shared" si="82"/>
        <v>echo {"issue":{"subject":"","project_id":79,"tracker_id":40,"status_id":1,"priority_id":2,"assigned_to_id":23,"start_date":"2016-12-10","description":"","custom_fields":[{"id":1,"name":"Subdivision","value":"Other"},{"id":4,"name":"Milepost","value":"0.0143"},{"id":17,"name":"Train ID","value":"306-10"},{"id":16,"name":"Locomotive ID","value":"4045"},{"id":130,"name":"Impact","value":""},{"id":150,"name":"Time of Event (Mountain Time)","value":"03:57:42"},{"id":151,"name":"Denver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9" s="53"/>
      <c r="AK199" s="53"/>
      <c r="AL199" s="53"/>
    </row>
    <row r="200" spans="1:38" x14ac:dyDescent="0.25">
      <c r="A200" s="37" t="s">
        <v>609</v>
      </c>
      <c r="B200" s="7">
        <v>4046</v>
      </c>
      <c r="C200" s="22" t="s">
        <v>207</v>
      </c>
      <c r="D200" s="22" t="s">
        <v>238</v>
      </c>
      <c r="E200" s="13">
        <v>42714.821273148147</v>
      </c>
      <c r="F200" s="13">
        <v>25568.708333333332</v>
      </c>
      <c r="G200" s="7">
        <v>5</v>
      </c>
      <c r="H200" s="22" t="s">
        <v>764</v>
      </c>
      <c r="I200" s="13">
        <v>25568.708333333332</v>
      </c>
      <c r="J200" s="7">
        <v>1</v>
      </c>
      <c r="K200" s="109" t="str">
        <f t="shared" si="70"/>
        <v>4045/4046</v>
      </c>
      <c r="L200" s="22" t="str">
        <f>VLOOKUP(A200,'Trips&amp;Operators'!$C$1:$G$99999,5,FALSE)</f>
        <v>STORY SAMANTHA</v>
      </c>
      <c r="M200" s="6">
        <f t="shared" si="71"/>
        <v>0</v>
      </c>
      <c r="N200" s="7">
        <f t="shared" si="93"/>
        <v>0</v>
      </c>
      <c r="O200" s="7"/>
      <c r="P200" s="7"/>
      <c r="Q200" s="23"/>
      <c r="R200" s="23"/>
      <c r="S200" s="35">
        <f t="shared" si="95"/>
        <v>1</v>
      </c>
      <c r="T200" s="50" t="str">
        <f t="shared" si="72"/>
        <v>NorthBound</v>
      </c>
      <c r="U200" s="171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98" t="str">
        <f t="shared" si="73"/>
        <v>https://search-rtdc-monitor-bjffxe2xuh6vdkpspy63sjmuny.us-east-1.es.amazonaws.com/_plugin/kibana/#/discover/Steve-Slow-Train-Analysis-(2080s-and-2083s)?_g=(refreshInterval:(display:Off,section:0,value:0),time:(from:'2016-12-10 18:42:38-700',mode:absolute,to:'1969-12-31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201053%20OR%202087)%20AND%20%22rtdc.l.rtdc.4046%22')),sort:!(Time,asc))</v>
      </c>
      <c r="W200" s="52" t="str">
        <f t="shared" si="89"/>
        <v>Y</v>
      </c>
      <c r="X200" s="177">
        <f t="shared" si="92"/>
        <v>1</v>
      </c>
      <c r="Y200" s="67">
        <f t="shared" si="96"/>
        <v>4.5999999999999999E-2</v>
      </c>
      <c r="Z200" s="67">
        <f t="shared" si="94"/>
        <v>2.3317999999999999</v>
      </c>
      <c r="AA200" s="67">
        <f t="shared" si="76"/>
        <v>2.2858000000000001</v>
      </c>
      <c r="AB200" s="64" t="e">
        <f>VLOOKUP(A200,Enforcements!$C$7:$K$20,8,0)</f>
        <v>#N/A</v>
      </c>
      <c r="AC200" s="60" t="e">
        <f>VLOOKUP(A200,Enforcements!$C$7:$E$20,3,0)</f>
        <v>#N/A</v>
      </c>
      <c r="AD200" s="61" t="str">
        <f t="shared" si="77"/>
        <v>0307-10</v>
      </c>
      <c r="AE200" s="91" t="str">
        <f t="shared" si="78"/>
        <v>aws s3 cp s3://rtdc.mdm.uploadarchive.raw/RTDC4046/ "%USERPROFILE%\AppData\Local\Temp\OnboardLogs"\RTDC4046\1969-12-31 --exclude "*" --recursive --include "*19691231*" &amp; "%USERPROFILE%\Documents\GitHub\mrs-test-scripts\Headless Mode &amp; Sideloading\WalkAndUnGZ.bat" "%USERPROFILE%\AppData\Local\Temp\OnboardLogs"\RTDC4046\1969-12-31 &amp; aws s3 cp s3://rtdc.mdm.uploadarchive.raw/RTDC4046/ "%USERPROFILE%\AppData\Local\Temp\OnboardLogs"\RTDC4046\1970-01-01 --exclude "*" --recursive --include "*19700101*" &amp; "%USERPROFILE%\Documents\GitHub\mrs-test-scripts\Headless Mode &amp; Sideloading\WalkAndUnGZ.bat" "%USERPROFILE%\AppData\Local\Temp\OnboardLogs"\RTDC4046\1970-01-01</v>
      </c>
      <c r="AF200" s="88" t="str">
        <f t="shared" si="79"/>
        <v>"C:\Program Files (x86)\AstroGrep\AstroGrep.exe" /spath="%USERPROFILE%\AppData\Local\Temp\OnboardLogs" /stypes="app*4046*19700101*" /stext=" 00:.+((SYSTEM_STATE.+slice.+state.+changed )|(ment ac)|(multiple cpu faults)|(system.+state.+changed )|(\[timeout)|(PRM\|1\|D)|(kpr)|(kdp)|(\|lc)|(penalty))" /e /r /s</v>
      </c>
      <c r="AG200" s="1" t="str">
        <f t="shared" si="80"/>
        <v>Other</v>
      </c>
      <c r="AH200" s="92" t="str">
        <f t="shared" si="81"/>
        <v>"%USERPROFILE%\Documents\GitHub\eaglep3\Utilities\RefineRTDCRunTimes.py" --tripid 307-10 --locoid 4046 --swversion DE.1.0.8.0 --startMP 204:460 --initTime 2016-12-10T19:42:38 --startdatetime 1969-12-31T17:00:00 --delay 5 --endMP 300:23318 --enddatetime 1969-12-31T17:00:00 --enforcementcount 1 &gt;&gt;C:\Users\stu\Documents\GitHub\eaglep3-reporting\EC\2016-12-10-refined-times.txt</v>
      </c>
      <c r="AI200" s="119" t="str">
        <f t="shared" si="82"/>
        <v>echo {"issue":{"subject":"","project_id":79,"tracker_id":40,"status_id":1,"priority_id":2,"assigned_to_id":23,"start_date":"1969-12-31","description":"","custom_fields":[{"id":1,"name":"Subdivision","value":"Other"},{"id":4,"name":"Milepost","value":"2.3318"},{"id":17,"name":"Train ID","value":"307-10"},{"id":16,"name":"Locomotive ID","value":"4046"},{"id":130,"name":"Impact","value":""},{"id":150,"name":"Time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0" s="53"/>
      <c r="AK200" s="53"/>
      <c r="AL200" s="53"/>
    </row>
    <row r="201" spans="1:38" x14ac:dyDescent="0.25">
      <c r="A201" s="37" t="s">
        <v>457</v>
      </c>
      <c r="B201" s="7">
        <v>4039</v>
      </c>
      <c r="C201" s="22" t="s">
        <v>207</v>
      </c>
      <c r="D201" s="22" t="s">
        <v>765</v>
      </c>
      <c r="E201" s="13">
        <v>42714.176064814812</v>
      </c>
      <c r="F201" s="13">
        <v>42714.177557870367</v>
      </c>
      <c r="G201" s="7">
        <v>1</v>
      </c>
      <c r="H201" s="22" t="s">
        <v>361</v>
      </c>
      <c r="I201" s="13">
        <v>42714.184189814812</v>
      </c>
      <c r="J201" s="7">
        <v>1</v>
      </c>
      <c r="K201" s="109" t="str">
        <f t="shared" si="70"/>
        <v>4039/4040</v>
      </c>
      <c r="L201" s="22" t="str">
        <f>VLOOKUP(A201,'Trips&amp;Operators'!$C$1:$G$99999,5,FALSE)</f>
        <v>DAVIS WENDY</v>
      </c>
      <c r="M201" s="6">
        <f t="shared" si="71"/>
        <v>6.6319444449618459E-3</v>
      </c>
      <c r="N201" s="7">
        <f t="shared" si="93"/>
        <v>9.5500000007450581</v>
      </c>
      <c r="O201" s="7"/>
      <c r="P201" s="7"/>
      <c r="Q201" s="23"/>
      <c r="R201" s="23"/>
      <c r="S201" s="35">
        <f t="shared" si="95"/>
        <v>1</v>
      </c>
      <c r="T201" s="50" t="str">
        <f t="shared" si="72"/>
        <v>Southbound</v>
      </c>
      <c r="U201" s="171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98" t="str">
        <f t="shared" si="73"/>
        <v>https://search-rtdc-monitor-bjffxe2xuh6vdkpspy63sjmuny.us-east-1.es.amazonaws.com/_plugin/kibana/#/discover/Steve-Slow-Train-Analysis-(2080s-and-2083s)?_g=(refreshInterval:(display:Off,section:0,value:0),time:(from:'2016-12-10 03:13:32-700',mode:absolute,to:'2016-12-10 05:25:14-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201053%20OR%202087)%20AND%20%22rtdc.l.rtdc.4039%22')),sort:!(Time,asc))</v>
      </c>
      <c r="W201" s="52" t="str">
        <f t="shared" si="89"/>
        <v>Y</v>
      </c>
      <c r="X201" s="177">
        <f t="shared" si="92"/>
        <v>1</v>
      </c>
      <c r="Y201" s="67">
        <f t="shared" si="96"/>
        <v>2.3233000000000001</v>
      </c>
      <c r="Z201" s="67">
        <f t="shared" si="94"/>
        <v>1.47E-2</v>
      </c>
      <c r="AA201" s="67">
        <f t="shared" si="76"/>
        <v>2.3086000000000002</v>
      </c>
      <c r="AB201" s="64" t="e">
        <f>VLOOKUP(A201,Enforcements!$C$7:$K$20,8,0)</f>
        <v>#N/A</v>
      </c>
      <c r="AC201" s="60" t="e">
        <f>VLOOKUP(A201,Enforcements!$C$7:$E$20,3,0)</f>
        <v>#N/A</v>
      </c>
      <c r="AD201" s="61" t="str">
        <f t="shared" si="77"/>
        <v>0308-10</v>
      </c>
      <c r="AE201" s="91" t="str">
        <f t="shared" si="78"/>
        <v>aws s3 cp s3://rtdc.mdm.uploadarchive.raw/RTDC4039/ "%USERPROFILE%\AppData\Local\Temp\OnboardLogs"\RTDC4039\2016-12-10 --exclude "*" --recursive --include "*20161210*" &amp; "%USERPROFILE%\Documents\GitHub\mrs-test-scripts\Headless Mode &amp; Sideloading\WalkAndUnGZ.bat" "%USERPROFILE%\AppData\Local\Temp\OnboardLogs"\RTDC4039\2016-12-10 &amp; aws s3 cp s3://rtdc.mdm.uploadarchive.raw/RTDC4039/ "%USERPROFILE%\AppData\Local\Temp\OnboardLogs"\RTDC4039\2016-12-11 --exclude "*" --recursive --include "*20161211*" &amp; "%USERPROFILE%\Documents\GitHub\mrs-test-scripts\Headless Mode &amp; Sideloading\WalkAndUnGZ.bat" "%USERPROFILE%\AppData\Local\Temp\OnboardLogs"\RTDC4039\2016-12-11</v>
      </c>
      <c r="AF201" s="88" t="str">
        <f t="shared" si="79"/>
        <v>"C:\Program Files (x86)\AstroGrep\AstroGrep.exe" /spath="%USERPROFILE%\AppData\Local\Temp\OnboardLogs" /stypes="app*4039*20161210*" /stext=" 11:.+((SYSTEM_STATE.+slice.+state.+changed )|(ment ac)|(multiple cpu faults)|(system.+state.+changed )|(\[timeout)|(PRM\|1\|D)|(kpr)|(kdp)|(\|lc)|(penalty))" /e /r /s</v>
      </c>
      <c r="AG201" s="1" t="str">
        <f t="shared" si="80"/>
        <v>Other</v>
      </c>
      <c r="AH201" s="92" t="str">
        <f t="shared" si="81"/>
        <v>"%USERPROFILE%\Documents\GitHub\eaglep3\Utilities\RefineRTDCRunTimes.py" --tripid 308-10 --locoid 4039 --swversion DE.1.0.8.0 --startMP 300:23233 --initTime 2016-12-10T04:13:32 --startdatetime 2016-12-10T04:15:41 --delay 1 --endMP 204:147 --enddatetime 2016-12-10T04:25:14 --enforcementcount 1 &gt;&gt;C:\Users\stu\Documents\GitHub\eaglep3-reporting\EC\2016-12-10-refined-times.txt</v>
      </c>
      <c r="AI201" s="119" t="str">
        <f t="shared" si="82"/>
        <v>echo {"issue":{"subject":"","project_id":79,"tracker_id":40,"status_id":1,"priority_id":2,"assigned_to_id":23,"start_date":"2016-12-10","description":"","custom_fields":[{"id":1,"name":"Subdivision","value":"Other"},{"id":4,"name":"Milepost","value":"0.0147"},{"id":17,"name":"Train ID","value":"308-10"},{"id":16,"name":"Locomotive ID","value":"4039"},{"id":130,"name":"Impact","value":""},{"id":150,"name":"Time of Event (Mountain Time)","value":"04:25:14"},{"id":151,"name":"Denver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1" s="53"/>
      <c r="AK201" s="53"/>
      <c r="AL201" s="53"/>
    </row>
    <row r="202" spans="1:38" x14ac:dyDescent="0.25">
      <c r="A202" s="37" t="s">
        <v>221</v>
      </c>
      <c r="B202" s="7">
        <v>4014</v>
      </c>
      <c r="C202" s="22" t="s">
        <v>207</v>
      </c>
      <c r="D202" s="22" t="s">
        <v>238</v>
      </c>
      <c r="E202" s="13">
        <v>42715.047395833331</v>
      </c>
      <c r="F202" s="13">
        <v>25568.708333333332</v>
      </c>
      <c r="G202" s="7">
        <v>1</v>
      </c>
      <c r="H202" s="22" t="s">
        <v>766</v>
      </c>
      <c r="I202" s="13">
        <v>25568.708333333332</v>
      </c>
      <c r="J202" s="7">
        <v>1</v>
      </c>
      <c r="K202" s="109" t="str">
        <f t="shared" si="70"/>
        <v>4013/4014</v>
      </c>
      <c r="L202" s="22" t="str">
        <f>VLOOKUP(A202,'Trips&amp;Operators'!$C$1:$G$99999,5,FALSE)</f>
        <v>NEWELL JAMES</v>
      </c>
      <c r="M202" s="6">
        <f t="shared" si="71"/>
        <v>0</v>
      </c>
      <c r="N202" s="7">
        <f t="shared" si="93"/>
        <v>0</v>
      </c>
      <c r="O202" s="7"/>
      <c r="P202" s="7"/>
      <c r="Q202" s="23"/>
      <c r="R202" s="23"/>
      <c r="S202" s="35">
        <f t="shared" si="95"/>
        <v>1</v>
      </c>
      <c r="T202" s="50" t="str">
        <f t="shared" si="72"/>
        <v>NorthBound</v>
      </c>
      <c r="U202" s="171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98" t="str">
        <f t="shared" si="73"/>
        <v>https://search-rtdc-monitor-bjffxe2xuh6vdkpspy63sjmuny.us-east-1.es.amazonaws.com/_plugin/kibana/#/discover/Steve-Slow-Train-Analysis-(2080s-and-2083s)?_g=(refreshInterval:(display:Off,section:0,value:0),time:(from:'2016-12-11 00:08:15-700',mode:absolute,to:'1969-12-31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201053%20OR%202087)%20AND%20%22rtdc.l.rtdc.4014%22')),sort:!(Time,asc))</v>
      </c>
      <c r="W202" s="52" t="str">
        <f t="shared" si="89"/>
        <v>Y</v>
      </c>
      <c r="X202" s="177">
        <f t="shared" si="92"/>
        <v>1</v>
      </c>
      <c r="Y202" s="67">
        <f t="shared" si="96"/>
        <v>4.5999999999999999E-2</v>
      </c>
      <c r="Z202" s="67">
        <f t="shared" si="94"/>
        <v>2.3108</v>
      </c>
      <c r="AA202" s="67">
        <f t="shared" si="76"/>
        <v>2.2648000000000001</v>
      </c>
      <c r="AB202" s="64" t="e">
        <f>VLOOKUP(A202,Enforcements!$C$7:$K$20,8,0)</f>
        <v>#N/A</v>
      </c>
      <c r="AC202" s="60" t="e">
        <f>VLOOKUP(A202,Enforcements!$C$7:$E$20,3,0)</f>
        <v>#N/A</v>
      </c>
      <c r="AD202" s="61" t="str">
        <f t="shared" si="77"/>
        <v>0309-10</v>
      </c>
      <c r="AE202" s="91" t="str">
        <f t="shared" si="78"/>
        <v>aws s3 cp s3://rtdc.mdm.uploadarchive.raw/RTDC4014/ "%USERPROFILE%\AppData\Local\Temp\OnboardLogs"\RTDC4014\1969-12-31 --exclude "*" --recursive --include "*19691231*" &amp; "%USERPROFILE%\Documents\GitHub\mrs-test-scripts\Headless Mode &amp; Sideloading\WalkAndUnGZ.bat" "%USERPROFILE%\AppData\Local\Temp\OnboardLogs"\RTDC4014\1969-12-31 &amp; aws s3 cp s3://rtdc.mdm.uploadarchive.raw/RTDC4014/ "%USERPROFILE%\AppData\Local\Temp\OnboardLogs"\RTDC4014\1970-01-01 --exclude "*" --recursive --include "*19700101*" &amp; "%USERPROFILE%\Documents\GitHub\mrs-test-scripts\Headless Mode &amp; Sideloading\WalkAndUnGZ.bat" "%USERPROFILE%\AppData\Local\Temp\OnboardLogs"\RTDC4014\1970-01-01</v>
      </c>
      <c r="AF202" s="88" t="str">
        <f t="shared" si="79"/>
        <v>"C:\Program Files (x86)\AstroGrep\AstroGrep.exe" /spath="%USERPROFILE%\AppData\Local\Temp\OnboardLogs" /stypes="app*4014*19700101*" /stext=" 00:.+((SYSTEM_STATE.+slice.+state.+changed )|(ment ac)|(multiple cpu faults)|(system.+state.+changed )|(\[timeout)|(PRM\|1\|D)|(kpr)|(kdp)|(\|lc)|(penalty))" /e /r /s</v>
      </c>
      <c r="AG202" s="1" t="str">
        <f t="shared" si="80"/>
        <v>Other</v>
      </c>
      <c r="AH202" s="92" t="str">
        <f t="shared" si="81"/>
        <v>"%USERPROFILE%\Documents\GitHub\eaglep3\Utilities\RefineRTDCRunTimes.py" --tripid 309-10 --locoid 4014 --swversion DE.1.0.8.0 --startMP 204:460 --initTime 2016-12-11T01:08:15 --startdatetime 1969-12-31T17:00:00 --delay 1 --endMP 300:23108 --enddatetime 1969-12-31T17:00:00 --enforcementcount 1 &gt;&gt;C:\Users\stu\Documents\GitHub\eaglep3-reporting\EC\2016-12-10-refined-times.txt</v>
      </c>
      <c r="AI202" s="119" t="str">
        <f t="shared" si="82"/>
        <v>echo {"issue":{"subject":"","project_id":79,"tracker_id":40,"status_id":1,"priority_id":2,"assigned_to_id":23,"start_date":"1969-12-31","description":"","custom_fields":[{"id":1,"name":"Subdivision","value":"Other"},{"id":4,"name":"Milepost","value":"2.3108"},{"id":17,"name":"Train ID","value":"309-10"},{"id":16,"name":"Locomotive ID","value":"4014"},{"id":130,"name":"Impact","value":""},{"id":150,"name":"Time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2" s="53"/>
      <c r="AK202" s="53"/>
      <c r="AL202" s="53"/>
    </row>
    <row r="203" spans="1:38" s="21" customFormat="1" x14ac:dyDescent="0.25">
      <c r="A203" s="37" t="s">
        <v>459</v>
      </c>
      <c r="B203" s="7">
        <v>4026</v>
      </c>
      <c r="C203" s="22" t="s">
        <v>207</v>
      </c>
      <c r="D203" s="22" t="s">
        <v>767</v>
      </c>
      <c r="E203" s="13">
        <v>42714.177673611113</v>
      </c>
      <c r="F203" s="13">
        <v>42714.181122685186</v>
      </c>
      <c r="G203" s="7">
        <v>4</v>
      </c>
      <c r="H203" s="22" t="s">
        <v>213</v>
      </c>
      <c r="I203" s="13">
        <v>42714.190891203703</v>
      </c>
      <c r="J203" s="7">
        <v>1</v>
      </c>
      <c r="K203" s="109" t="str">
        <f t="shared" si="70"/>
        <v>4025/4026</v>
      </c>
      <c r="L203" s="22" t="str">
        <f>VLOOKUP(A203,'Trips&amp;Operators'!$C$1:$G$99999,5,FALSE)</f>
        <v>KILLION DAVID</v>
      </c>
      <c r="M203" s="6">
        <f t="shared" si="71"/>
        <v>9.7685185173759237E-3</v>
      </c>
      <c r="N203" s="7">
        <f t="shared" si="93"/>
        <v>14.06666666502133</v>
      </c>
      <c r="O203" s="7"/>
      <c r="P203" s="7"/>
      <c r="Q203" s="23"/>
      <c r="R203" s="23"/>
      <c r="S203" s="35">
        <f t="shared" si="95"/>
        <v>1</v>
      </c>
      <c r="T203" s="50" t="str">
        <f t="shared" si="72"/>
        <v>Southbound</v>
      </c>
      <c r="U203" s="171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98" t="str">
        <f t="shared" si="73"/>
        <v>https://search-rtdc-monitor-bjffxe2xuh6vdkpspy63sjmuny.us-east-1.es.amazonaws.com/_plugin/kibana/#/discover/Steve-Slow-Train-Analysis-(2080s-and-2083s)?_g=(refreshInterval:(display:Off,section:0,value:0),time:(from:'2016-12-10 03:15:51-700',mode:absolute,to:'2016-12-10 05:34:53-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201053%20OR%202087)%20AND%20%22rtdc.l.rtdc.4026%22')),sort:!(Time,asc))</v>
      </c>
      <c r="W203" s="52" t="str">
        <f t="shared" si="89"/>
        <v>Y</v>
      </c>
      <c r="X203" s="177">
        <f t="shared" si="92"/>
        <v>1</v>
      </c>
      <c r="Y203" s="67">
        <f t="shared" si="96"/>
        <v>2.3199000000000001</v>
      </c>
      <c r="Z203" s="67">
        <f t="shared" si="94"/>
        <v>1.4999999999999999E-2</v>
      </c>
      <c r="AA203" s="67">
        <f t="shared" si="76"/>
        <v>2.3048999999999999</v>
      </c>
      <c r="AB203" s="64" t="e">
        <f>VLOOKUP(A203,Enforcements!$C$7:$K$20,8,0)</f>
        <v>#N/A</v>
      </c>
      <c r="AC203" s="60" t="e">
        <f>VLOOKUP(A203,Enforcements!$C$7:$E$20,3,0)</f>
        <v>#N/A</v>
      </c>
      <c r="AD203" s="61" t="str">
        <f t="shared" si="77"/>
        <v>0310-10</v>
      </c>
      <c r="AE203" s="91" t="str">
        <f t="shared" si="78"/>
        <v>aws s3 cp s3://rtdc.mdm.uploadarchive.raw/RTDC4026/ "%USERPROFILE%\AppData\Local\Temp\OnboardLogs"\RTDC4026\2016-12-10 --exclude "*" --recursive --include "*20161210*" &amp; "%USERPROFILE%\Documents\GitHub\mrs-test-scripts\Headless Mode &amp; Sideloading\WalkAndUnGZ.bat" "%USERPROFILE%\AppData\Local\Temp\OnboardLogs"\RTDC4026\2016-12-10 &amp; aws s3 cp s3://rtdc.mdm.uploadarchive.raw/RTDC4026/ "%USERPROFILE%\AppData\Local\Temp\OnboardLogs"\RTDC4026\2016-12-11 --exclude "*" --recursive --include "*20161211*" &amp; "%USERPROFILE%\Documents\GitHub\mrs-test-scripts\Headless Mode &amp; Sideloading\WalkAndUnGZ.bat" "%USERPROFILE%\AppData\Local\Temp\OnboardLogs"\RTDC4026\2016-12-11</v>
      </c>
      <c r="AF203" s="88" t="str">
        <f t="shared" si="79"/>
        <v>"C:\Program Files (x86)\AstroGrep\AstroGrep.exe" /spath="%USERPROFILE%\AppData\Local\Temp\OnboardLogs" /stypes="app*4026*20161210*" /stext=" 11:.+((SYSTEM_STATE.+slice.+state.+changed )|(ment ac)|(multiple cpu faults)|(system.+state.+changed )|(\[timeout)|(PRM\|1\|D)|(kpr)|(kdp)|(\|lc)|(penalty))" /e /r /s</v>
      </c>
      <c r="AG203" s="1" t="str">
        <f t="shared" si="80"/>
        <v>Other</v>
      </c>
      <c r="AH203" s="92" t="str">
        <f t="shared" si="81"/>
        <v>"%USERPROFILE%\Documents\GitHub\eaglep3\Utilities\RefineRTDCRunTimes.py" --tripid 310-10 --locoid 4026 --swversion DE.1.0.8.0 --startMP 300:23199 --initTime 2016-12-10T04:15:51 --startdatetime 2016-12-10T04:20:49 --delay 4 --endMP 204:150 --enddatetime 2016-12-10T04:34:53 --enforcementcount 1 &gt;&gt;C:\Users\stu\Documents\GitHub\eaglep3-reporting\EC\2016-12-10-refined-times.txt</v>
      </c>
      <c r="AI203" s="119" t="str">
        <f t="shared" si="82"/>
        <v>echo {"issue":{"subject":"","project_id":79,"tracker_id":40,"status_id":1,"priority_id":2,"assigned_to_id":23,"start_date":"2016-12-10","description":"","custom_fields":[{"id":1,"name":"Subdivision","value":"Other"},{"id":4,"name":"Milepost","value":"0.015"},{"id":17,"name":"Train ID","value":"310-10"},{"id":16,"name":"Locomotive ID","value":"4026"},{"id":130,"name":"Impact","value":""},{"id":150,"name":"Time of Event (Mountain Time)","value":"04:34:53"},{"id":151,"name":"Denver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3" s="53"/>
      <c r="AK203" s="53"/>
      <c r="AL203" s="53"/>
    </row>
    <row r="204" spans="1:38" x14ac:dyDescent="0.25">
      <c r="A204" s="37" t="s">
        <v>223</v>
      </c>
      <c r="B204" s="7">
        <v>4016</v>
      </c>
      <c r="C204" s="22" t="s">
        <v>207</v>
      </c>
      <c r="D204" s="22" t="s">
        <v>234</v>
      </c>
      <c r="E204" s="13">
        <v>42715.06962962963</v>
      </c>
      <c r="F204" s="13">
        <v>42715.070879629631</v>
      </c>
      <c r="G204" s="7">
        <v>1</v>
      </c>
      <c r="H204" s="22" t="s">
        <v>768</v>
      </c>
      <c r="I204" s="13">
        <v>42715.076215277775</v>
      </c>
      <c r="J204" s="7">
        <v>1</v>
      </c>
      <c r="K204" s="109" t="str">
        <f t="shared" si="70"/>
        <v>4015/4016</v>
      </c>
      <c r="L204" s="22" t="str">
        <f>VLOOKUP(A204,'Trips&amp;Operators'!$C$1:$G$99999,5,FALSE)</f>
        <v>CHANDLER KELVIN</v>
      </c>
      <c r="M204" s="6">
        <f t="shared" si="71"/>
        <v>5.3356481439550407E-3</v>
      </c>
      <c r="N204" s="7">
        <f t="shared" si="93"/>
        <v>7.6833333272952586</v>
      </c>
      <c r="O204" s="7"/>
      <c r="P204" s="7"/>
      <c r="Q204" s="23"/>
      <c r="R204" s="23"/>
      <c r="S204" s="35">
        <f t="shared" si="95"/>
        <v>1</v>
      </c>
      <c r="T204" s="50" t="str">
        <f t="shared" si="72"/>
        <v>NorthBound</v>
      </c>
      <c r="U204" s="171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98" t="str">
        <f t="shared" si="73"/>
        <v>https://search-rtdc-monitor-bjffxe2xuh6vdkpspy63sjmuny.us-east-1.es.amazonaws.com/_plugin/kibana/#/discover/Steve-Slow-Train-Analysis-(2080s-and-2083s)?_g=(refreshInterval:(display:Off,section:0,value:0),time:(from:'2016-12-11 00:40:16-700',mode:absolute,to:'2016-12-11 02:49:45-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201053%20OR%202087)%20AND%20%22rtdc.l.rtdc.4016%22')),sort:!(Time,asc))</v>
      </c>
      <c r="W204" s="52" t="str">
        <f t="shared" si="89"/>
        <v>Y</v>
      </c>
      <c r="X204" s="177">
        <f t="shared" si="92"/>
        <v>1</v>
      </c>
      <c r="Y204" s="67">
        <f t="shared" si="96"/>
        <v>4.5499999999999999E-2</v>
      </c>
      <c r="Z204" s="67">
        <f t="shared" si="94"/>
        <v>2.2824</v>
      </c>
      <c r="AA204" s="67">
        <f t="shared" si="76"/>
        <v>2.2368999999999999</v>
      </c>
      <c r="AB204" s="64" t="e">
        <f>VLOOKUP(A204,Enforcements!$C$7:$K$20,8,0)</f>
        <v>#N/A</v>
      </c>
      <c r="AC204" s="60" t="e">
        <f>VLOOKUP(A204,Enforcements!$C$7:$E$20,3,0)</f>
        <v>#N/A</v>
      </c>
      <c r="AD204" s="61" t="str">
        <f t="shared" si="77"/>
        <v>0311-10</v>
      </c>
      <c r="AE204" s="91" t="str">
        <f t="shared" si="78"/>
        <v>aws s3 cp s3://rtdc.mdm.uploadarchive.raw/RTDC4016/ "%USERPROFILE%\AppData\Local\Temp\OnboardLogs"\RTDC4016\2016-12-11 --exclude "*" --recursive --include "*20161211*" &amp; "%USERPROFILE%\Documents\GitHub\mrs-test-scripts\Headless Mode &amp; Sideloading\WalkAndUnGZ.bat" "%USERPROFILE%\AppData\Local\Temp\OnboardLogs"\RTDC4016\2016-12-11 &amp; aws s3 cp s3://rtdc.mdm.uploadarchive.raw/RTDC4016/ "%USERPROFILE%\AppData\Local\Temp\OnboardLogs"\RTDC4016\2016-12-12 --exclude "*" --recursive --include "*20161212*" &amp; "%USERPROFILE%\Documents\GitHub\mrs-test-scripts\Headless Mode &amp; Sideloading\WalkAndUnGZ.bat" "%USERPROFILE%\AppData\Local\Temp\OnboardLogs"\RTDC4016\2016-12-12</v>
      </c>
      <c r="AF204" s="88" t="str">
        <f t="shared" si="79"/>
        <v>"C:\Program Files (x86)\AstroGrep\AstroGrep.exe" /spath="%USERPROFILE%\AppData\Local\Temp\OnboardLogs" /stypes="app*4016*20161211*" /stext=" 08:.+((SYSTEM_STATE.+slice.+state.+changed )|(ment ac)|(multiple cpu faults)|(system.+state.+changed )|(\[timeout)|(PRM\|1\|D)|(kpr)|(kdp)|(\|lc)|(penalty))" /e /r /s</v>
      </c>
      <c r="AG204" s="1" t="str">
        <f t="shared" si="80"/>
        <v>Other</v>
      </c>
      <c r="AH204" s="92" t="str">
        <f t="shared" si="81"/>
        <v>"%USERPROFILE%\Documents\GitHub\eaglep3\Utilities\RefineRTDCRunTimes.py" --tripid 311-10 --locoid 4016 --swversion DE.1.0.8.0 --startMP 204:455 --initTime 2016-12-11T01:40:16 --startdatetime 2016-12-11T01:42:04 --delay 1 --endMP 300:22824 --enddatetime 2016-12-11T01:49:45 --enforcementcount 1 &gt;&gt;C:\Users\stu\Documents\GitHub\eaglep3-reporting\EC\2016-12-10-refined-times.txt</v>
      </c>
      <c r="AI204" s="119" t="str">
        <f t="shared" si="82"/>
        <v>echo {"issue":{"subject":"","project_id":79,"tracker_id":40,"status_id":1,"priority_id":2,"assigned_to_id":23,"start_date":"2016-12-11","description":"","custom_fields":[{"id":1,"name":"Subdivision","value":"Other"},{"id":4,"name":"Milepost","value":"2.2824"},{"id":17,"name":"Train ID","value":"311-10"},{"id":16,"name":"Locomotive ID","value":"4016"},{"id":130,"name":"Impact","value":""},{"id":150,"name":"Time of Event (Mountain Time)","value":"01:49:45"},{"id":151,"name":"Denver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4" s="53"/>
      <c r="AK204" s="53"/>
      <c r="AL204" s="53"/>
    </row>
    <row r="205" spans="1:38" x14ac:dyDescent="0.25">
      <c r="A205" s="37" t="s">
        <v>447</v>
      </c>
      <c r="B205" s="7">
        <v>4002</v>
      </c>
      <c r="C205" s="22" t="s">
        <v>207</v>
      </c>
      <c r="D205" s="22" t="s">
        <v>769</v>
      </c>
      <c r="E205" s="13">
        <v>42714.087488425925</v>
      </c>
      <c r="F205" s="13">
        <v>25568.708333333332</v>
      </c>
      <c r="G205" s="7">
        <v>1</v>
      </c>
      <c r="H205" s="22" t="s">
        <v>770</v>
      </c>
      <c r="I205" s="13">
        <v>25568.708333333332</v>
      </c>
      <c r="J205" s="7">
        <v>1</v>
      </c>
      <c r="K205" s="109" t="str">
        <f t="shared" si="70"/>
        <v>4001/4002</v>
      </c>
      <c r="L205" s="22" t="str">
        <f>VLOOKUP(A205,'Trips&amp;Operators'!$C$1:$G$99999,5,FALSE)</f>
        <v>STAMBAUGH JAMES</v>
      </c>
      <c r="M205" s="6">
        <f t="shared" si="71"/>
        <v>0</v>
      </c>
      <c r="N205" s="7">
        <f t="shared" si="93"/>
        <v>0</v>
      </c>
      <c r="O205" s="7"/>
      <c r="P205" s="7"/>
      <c r="Q205" s="23"/>
      <c r="R205" s="23"/>
      <c r="S205" s="35">
        <f t="shared" si="95"/>
        <v>1</v>
      </c>
      <c r="T205" s="50" t="str">
        <f t="shared" si="72"/>
        <v>NorthBound</v>
      </c>
      <c r="U205" s="171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98" t="str">
        <f t="shared" si="73"/>
        <v>https://search-rtdc-monitor-bjffxe2xuh6vdkpspy63sjmuny.us-east-1.es.amazonaws.com/_plugin/kibana/#/discover/Steve-Slow-Train-Analysis-(2080s-and-2083s)?_g=(refreshInterval:(display:Off,section:0,value:0),time:(from:'2016-12-10 01:05:59-700',mode:absolute,to:'1969-12-31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201053%20OR%202087)%20AND%20%22rtdc.l.rtdc.4002%22')),sort:!(Time,asc))</v>
      </c>
      <c r="W205" s="52" t="str">
        <f t="shared" si="89"/>
        <v>Y</v>
      </c>
      <c r="X205" s="177">
        <f t="shared" si="92"/>
        <v>2</v>
      </c>
      <c r="Y205" s="67">
        <f t="shared" si="96"/>
        <v>5.6599999999999998E-2</v>
      </c>
      <c r="Z205" s="67">
        <f t="shared" si="94"/>
        <v>2.3138000000000001</v>
      </c>
      <c r="AA205" s="67">
        <f t="shared" si="76"/>
        <v>2.2572000000000001</v>
      </c>
      <c r="AB205" s="64" t="e">
        <f>VLOOKUP(A205,Enforcements!$C$7:$K$20,8,0)</f>
        <v>#N/A</v>
      </c>
      <c r="AC205" s="60" t="e">
        <f>VLOOKUP(A205,Enforcements!$C$7:$E$20,3,0)</f>
        <v>#N/A</v>
      </c>
      <c r="AD205" s="61" t="str">
        <f t="shared" si="77"/>
        <v>0313-09</v>
      </c>
      <c r="AE205" s="91" t="str">
        <f t="shared" si="78"/>
        <v>aws s3 cp s3://rtdc.mdm.uploadarchive.raw/RTDC4002/ "%USERPROFILE%\AppData\Local\Temp\OnboardLogs"\RTDC4002\1969-12-31 --exclude "*" --recursive --include "*19691231*" &amp; "%USERPROFILE%\Documents\GitHub\mrs-test-scripts\Headless Mode &amp; Sideloading\WalkAndUnGZ.bat" "%USERPROFILE%\AppData\Local\Temp\OnboardLogs"\RTDC4002\1969-12-31 &amp; aws s3 cp s3://rtdc.mdm.uploadarchive.raw/RTDC4002/ "%USERPROFILE%\AppData\Local\Temp\OnboardLogs"\RTDC4002\1970-01-01 --exclude "*" --recursive --include "*19700101*" &amp; "%USERPROFILE%\Documents\GitHub\mrs-test-scripts\Headless Mode &amp; Sideloading\WalkAndUnGZ.bat" "%USERPROFILE%\AppData\Local\Temp\OnboardLogs"\RTDC4002\1970-01-01</v>
      </c>
      <c r="AF205" s="88" t="str">
        <f t="shared" si="79"/>
        <v>"C:\Program Files (x86)\AstroGrep\AstroGrep.exe" /spath="%USERPROFILE%\AppData\Local\Temp\OnboardLogs" /stypes="app*4002*19700101*" /stext=" 00:.+((SYSTEM_STATE.+slice.+state.+changed )|(ment ac)|(multiple cpu faults)|(system.+state.+changed )|(\[timeout)|(PRM\|1\|D)|(kpr)|(kdp)|(\|lc)|(penalty))" /e /r /s</v>
      </c>
      <c r="AG205" s="1" t="str">
        <f t="shared" si="80"/>
        <v>Other</v>
      </c>
      <c r="AH205" s="92" t="str">
        <f t="shared" ref="AH205:AH215" si="97">refinertdcruntimes&amp;" --tripid "&amp;A205&amp;" --locoid "&amp;B205&amp;" --swversion "&amp;C205&amp;" --startMP "&amp;D205&amp;" --initTime "&amp;TEXT(E205,"yyyy-mm-ddTHH:MM:SS")&amp;" --startdatetime "&amp;TEXT(F205,"yyyy-mm-ddTHH:MM:SS")&amp;" --delay "&amp;G205&amp;" --endMP "&amp;H205&amp;" --enddatetime "&amp;TEXT(I205,"yyyy-mm-ddTHH:MM:SS")&amp;" --enforcementcount "&amp;J205&amp;IF(outputrefinedruntimes," &gt;&gt;"&amp;RefinedRTDCRunTimesOutputFile,"")</f>
        <v>"%USERPROFILE%\Documents\GitHub\eaglep3\Utilities\RefineRTDCRunTimes.py" --tripid 313-09 --locoid 4002 --swversion DE.1.0.8.0 --startMP 204:566 --initTime 2016-12-10T02:05:59 --startdatetime 1969-12-31T17:00:00 --delay 1 --endMP 300:23138 --enddatetime 1969-12-31T17:00:00 --enforcementcount 1 &gt;&gt;C:\Users\stu\Documents\GitHub\eaglep3-reporting\EC\2016-12-10-refined-times.txt</v>
      </c>
      <c r="AI205" s="119" t="str">
        <f t="shared" ref="AI205:AI215" si="98">"echo {""issue"":{""subject"":"""&amp;R205&amp;""",""project_id"":79,""tracker_id"":40,""status_id"":"&amp;redmine_status&amp;",""priority_id"":"&amp;redmine_priority&amp;",""assigned_to_id"":"&amp;redmine_assignee&amp;",""start_date"":"""&amp;TEXT(I205,"YYYY-mm-dd")&amp;""",""description"":"""&amp;AJ205&amp;""",""custom_fields"":[{""id"":1,""name"":""Subdivision"",""value"":"""&amp;AG205&amp;"""},{""id"":4,""name"":""Milepost"",""value"":"""&amp;Z205&amp;"""},{""id"":17,""name"":""Train ID"",""value"":"""&amp;A205&amp;"""},{""id"":16,""name"":""Locomotive ID"",""value"":"""&amp;B205&amp;"""},{""id"":130,""name"":""Impact"",""value"":"""&amp;AK205&amp;"""},{""id"":150,""name"":""Time of Event (Mountain Time)"",""value"":"""&amp;TEXT(I205,"hh:mm:ss")&amp;"""},{""id"":151,""name"":""Denver Issue ID"",""value"":"""&amp;"""},{""id"":178,""name"":""Operational Impact"",""value"":"""&amp;redmine_op_impact&amp;"""},{""id"":179,""name"":""Denver Segment Assigned"",""value"":"""&amp;AL205&amp;"""}]}}"&amp;"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{"issue":{"subject":"","project_id":79,"tracker_id":40,"status_id":1,"priority_id":2,"assigned_to_id":23,"start_date":"1969-12-31","description":"","custom_fields":[{"id":1,"name":"Subdivision","value":"Other"},{"id":4,"name":"Milepost","value":"2.3138"},{"id":17,"name":"Train ID","value":"313-09"},{"id":16,"name":"Locomotive ID","value":"4002"},{"id":130,"name":"Impact","value":""},{"id":150,"name":"Time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5" s="53"/>
      <c r="AK205" s="53"/>
      <c r="AL205" s="53"/>
    </row>
    <row r="206" spans="1:38" x14ac:dyDescent="0.25">
      <c r="A206" s="37" t="s">
        <v>225</v>
      </c>
      <c r="B206" s="7">
        <v>4040</v>
      </c>
      <c r="C206" s="22" t="s">
        <v>207</v>
      </c>
      <c r="D206" s="22" t="s">
        <v>276</v>
      </c>
      <c r="E206" s="13">
        <v>42715.087500000001</v>
      </c>
      <c r="F206" s="13">
        <v>25568.708333333332</v>
      </c>
      <c r="G206" s="7">
        <v>1</v>
      </c>
      <c r="H206" s="22" t="s">
        <v>340</v>
      </c>
      <c r="I206" s="13">
        <v>25568.708333333332</v>
      </c>
      <c r="J206" s="7">
        <v>1</v>
      </c>
      <c r="K206" s="109" t="str">
        <f t="shared" ref="K206:K215" si="99">IF(ISEVEN(B206),(B206-1)&amp;"/"&amp;B206,B206&amp;"/"&amp;(B206+1))</f>
        <v>4039/4040</v>
      </c>
      <c r="L206" s="22" t="str">
        <f>VLOOKUP(A206,'Trips&amp;Operators'!$C$1:$G$99999,5,FALSE)</f>
        <v>STAMBAUGH JAMES</v>
      </c>
      <c r="M206" s="6">
        <f t="shared" ref="M206:M215" si="100">I206-F206</f>
        <v>0</v>
      </c>
      <c r="N206" s="7">
        <f t="shared" si="93"/>
        <v>0</v>
      </c>
      <c r="O206" s="7"/>
      <c r="P206" s="7"/>
      <c r="Q206" s="23"/>
      <c r="R206" s="23"/>
      <c r="S206" s="35">
        <f t="shared" si="95"/>
        <v>1</v>
      </c>
      <c r="T206" s="50" t="str">
        <f t="shared" ref="T206:T215" si="101">IF(ISEVEN(LEFT(AD206,4)),"Southbound","NorthBound")</f>
        <v>NorthBound</v>
      </c>
      <c r="U206" s="171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98" t="str">
        <f t="shared" ref="V206:V215" si="102">"https://search-rtdc-monitor-bjffxe2xuh6vdkpspy63sjmuny.us-east-1.es.amazonaws.com/_plugin/kibana/#/discover/Steve-Slow-Train-Analysis-(2080s-and-2083s)?_g=(refreshInterval:(display:Off,section:0,value:0),time:(from:'"&amp;TEXT(E206-1/24,"yyyy-MM-DD hh:mm:ss")&amp;utc_offset&amp;"00',mode:absolute,to:'"&amp;TEXT(I206+1/24,"yyyy-MM-DD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201053%20OR%202087)%20AND%20%22rtdc.l.rtdc."&amp;B206&amp;"%22')),sort:!(Time,asc))"</f>
        <v>https://search-rtdc-monitor-bjffxe2xuh6vdkpspy63sjmuny.us-east-1.es.amazonaws.com/_plugin/kibana/#/discover/Steve-Slow-Train-Analysis-(2080s-and-2083s)?_g=(refreshInterval:(display:Off,section:0,value:0),time:(from:'2016-12-11 01:06:00-700',mode:absolute,to:'1969-12-31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201053%20OR%202087)%20AND%20%22rtdc.l.rtdc.4040%22')),sort:!(Time,asc))</v>
      </c>
      <c r="W206" s="52" t="str">
        <f t="shared" si="89"/>
        <v>Y</v>
      </c>
      <c r="X206" s="177">
        <f t="shared" si="92"/>
        <v>0</v>
      </c>
      <c r="Y206" s="67">
        <f t="shared" si="96"/>
        <v>4.4600000000000001E-2</v>
      </c>
      <c r="Z206" s="67">
        <f t="shared" si="94"/>
        <v>2.3302</v>
      </c>
      <c r="AA206" s="67">
        <f t="shared" ref="AA206:AA215" si="103">ABS(Z206-Y206)</f>
        <v>2.2856000000000001</v>
      </c>
      <c r="AB206" s="64" t="e">
        <f>VLOOKUP(A206,Enforcements!$C$7:$K$20,8,0)</f>
        <v>#N/A</v>
      </c>
      <c r="AC206" s="60" t="e">
        <f>VLOOKUP(A206,Enforcements!$C$7:$E$20,3,0)</f>
        <v>#N/A</v>
      </c>
      <c r="AD206" s="61" t="str">
        <f t="shared" ref="AD206:AD215" si="104">IF(LEN(A206)=6,"0"&amp;A206,A206)</f>
        <v>0313-10</v>
      </c>
      <c r="AE206" s="91" t="str">
        <f t="shared" ref="AE206:AE215" si="105">"aws s3 cp "&amp;s3_bucket&amp;"/RTDC"&amp;B206&amp;"/ "&amp;search_path&amp;"\RTDC"&amp;B206&amp;"\"&amp;TEXT(F206,"YYYY-MM-DD")&amp;" --exclude ""*"" --recursive --include ""*"&amp;TEXT(F206,"YYYYMMDD")&amp;"*"" &amp; """&amp;walkandungz&amp;""" "&amp;search_path&amp;"\RTDC"&amp;B206&amp;"\"&amp;TEXT(F206,"YYYY-MM-DD")
&amp;" &amp; "&amp;"aws s3 cp "&amp;s3_bucket&amp;"/RTDC"&amp;B206&amp;"/ "&amp;search_path&amp;"\RTDC"&amp;B206&amp;"\"&amp;TEXT(F206+1,"YYYY-MM-DD")&amp;" --exclude ""*"" --recursive --include ""*"&amp;TEXT(F206+1,"YYYYMMDD")&amp;"*"" &amp; """&amp;walkandungz&amp;""" "&amp;search_path&amp;"\RTDC"&amp;B206&amp;"\"&amp;TEXT(F206+1,"YYYY-MM-DD")</f>
        <v>aws s3 cp s3://rtdc.mdm.uploadarchive.raw/RTDC4040/ "%USERPROFILE%\AppData\Local\Temp\OnboardLogs"\RTDC4040\1969-12-31 --exclude "*" --recursive --include "*19691231*" &amp; "%USERPROFILE%\Documents\GitHub\mrs-test-scripts\Headless Mode &amp; Sideloading\WalkAndUnGZ.bat" "%USERPROFILE%\AppData\Local\Temp\OnboardLogs"\RTDC4040\1969-12-31 &amp; aws s3 cp s3://rtdc.mdm.uploadarchive.raw/RTDC4040/ "%USERPROFILE%\AppData\Local\Temp\OnboardLogs"\RTDC4040\1970-01-01 --exclude "*" --recursive --include "*19700101*" &amp; "%USERPROFILE%\Documents\GitHub\mrs-test-scripts\Headless Mode &amp; Sideloading\WalkAndUnGZ.bat" "%USERPROFILE%\AppData\Local\Temp\OnboardLogs"\RTDC4040\1970-01-01</v>
      </c>
      <c r="AF206" s="88" t="str">
        <f t="shared" ref="AF206:AF215" si="106">astrogrep_path&amp;" /spath="&amp;search_path&amp;" /stypes=""app*"&amp;B206&amp;"*"&amp;TEXT(I206-utc_offset/24,"YYYYMMDD")&amp;"*"" /stext="" "&amp;TEXT(I206-utc_offset/24,"HH")&amp;search_regexp&amp;""" /e /r /s"</f>
        <v>"C:\Program Files (x86)\AstroGrep\AstroGrep.exe" /spath="%USERPROFILE%\AppData\Local\Temp\OnboardLogs" /stypes="app*4040*19700101*" /stext=" 00:.+((SYSTEM_STATE.+slice.+state.+changed )|(ment ac)|(multiple cpu faults)|(system.+state.+changed )|(\[timeout)|(PRM\|1\|D)|(kpr)|(kdp)|(\|lc)|(penalty))" /e /r /s</v>
      </c>
      <c r="AG206" s="1" t="str">
        <f t="shared" ref="AG206:AG215" si="107">IFERROR(IF(VALUE(LEFT(AD206,2))&lt;=2,"EC",IF(OR(VALUE(LEFT(AD206,2))=8,VALUE(LEFT(AD206,2))=18),"NW","Other")),"Other")</f>
        <v>Other</v>
      </c>
      <c r="AH206" s="92" t="str">
        <f t="shared" si="97"/>
        <v>"%USERPROFILE%\Documents\GitHub\eaglep3\Utilities\RefineRTDCRunTimes.py" --tripid 313-10 --locoid 4040 --swversion DE.1.0.8.0 --startMP 204:446 --initTime 2016-12-11T02:06:00 --startdatetime 1969-12-31T17:00:00 --delay 1 --endMP 300:23302 --enddatetime 1969-12-31T17:00:00 --enforcementcount 1 &gt;&gt;C:\Users\stu\Documents\GitHub\eaglep3-reporting\EC\2016-12-10-refined-times.txt</v>
      </c>
      <c r="AI206" s="119" t="str">
        <f t="shared" si="98"/>
        <v>echo {"issue":{"subject":"","project_id":79,"tracker_id":40,"status_id":1,"priority_id":2,"assigned_to_id":23,"start_date":"1969-12-31","description":"","custom_fields":[{"id":1,"name":"Subdivision","value":"Other"},{"id":4,"name":"Milepost","value":"2.3302"},{"id":17,"name":"Train ID","value":"313-10"},{"id":16,"name":"Locomotive ID","value":"4040"},{"id":130,"name":"Impact","value":""},{"id":150,"name":"Time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6" s="53"/>
      <c r="AK206" s="53"/>
      <c r="AL206" s="53"/>
    </row>
    <row r="207" spans="1:38" x14ac:dyDescent="0.25">
      <c r="A207" s="37" t="s">
        <v>448</v>
      </c>
      <c r="B207" s="7">
        <v>4011</v>
      </c>
      <c r="C207" s="22" t="s">
        <v>207</v>
      </c>
      <c r="D207" s="22" t="s">
        <v>194</v>
      </c>
      <c r="E207" s="13">
        <v>42714.111273148148</v>
      </c>
      <c r="F207" s="13">
        <v>25568.708333333332</v>
      </c>
      <c r="G207" s="7">
        <v>1</v>
      </c>
      <c r="H207" s="22" t="s">
        <v>771</v>
      </c>
      <c r="I207" s="13">
        <v>25568.708333333332</v>
      </c>
      <c r="J207" s="7">
        <v>1</v>
      </c>
      <c r="K207" s="109" t="str">
        <f t="shared" si="99"/>
        <v>4011/4012</v>
      </c>
      <c r="L207" s="22" t="str">
        <f>VLOOKUP(A207,'Trips&amp;Operators'!$C$1:$G$99999,5,FALSE)</f>
        <v>LEVIN SCOTT</v>
      </c>
      <c r="M207" s="6">
        <f t="shared" si="100"/>
        <v>0</v>
      </c>
      <c r="N207" s="7">
        <f t="shared" si="93"/>
        <v>0</v>
      </c>
      <c r="O207" s="7"/>
      <c r="P207" s="7"/>
      <c r="Q207" s="23"/>
      <c r="R207" s="23"/>
      <c r="S207" s="35">
        <f t="shared" si="95"/>
        <v>1</v>
      </c>
      <c r="T207" s="50" t="str">
        <f t="shared" si="101"/>
        <v>NorthBound</v>
      </c>
      <c r="U207" s="171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98" t="str">
        <f t="shared" si="102"/>
        <v>https://search-rtdc-monitor-bjffxe2xuh6vdkpspy63sjmuny.us-east-1.es.amazonaws.com/_plugin/kibana/#/discover/Steve-Slow-Train-Analysis-(2080s-and-2083s)?_g=(refreshInterval:(display:Off,section:0,value:0),time:(from:'2016-12-10 01:40:14-700',mode:absolute,to:'1969-12-31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201053%20OR%202087)%20AND%20%22rtdc.l.rtdc.4011%22')),sort:!(Time,asc))</v>
      </c>
      <c r="W207" s="52" t="str">
        <f t="shared" si="89"/>
        <v>Y</v>
      </c>
      <c r="X207" s="177">
        <f t="shared" si="92"/>
        <v>2</v>
      </c>
      <c r="Y207" s="67">
        <f t="shared" si="96"/>
        <v>4.4699999999999997E-2</v>
      </c>
      <c r="Z207" s="67">
        <f t="shared" si="94"/>
        <v>2.3313999999999999</v>
      </c>
      <c r="AA207" s="67">
        <f t="shared" si="103"/>
        <v>2.2866999999999997</v>
      </c>
      <c r="AB207" s="64" t="e">
        <f>VLOOKUP(A207,Enforcements!$C$7:$K$20,8,0)</f>
        <v>#N/A</v>
      </c>
      <c r="AC207" s="60" t="e">
        <f>VLOOKUP(A207,Enforcements!$C$7:$E$20,3,0)</f>
        <v>#N/A</v>
      </c>
      <c r="AD207" s="61" t="str">
        <f t="shared" si="104"/>
        <v>0315-09</v>
      </c>
      <c r="AE207" s="91" t="str">
        <f t="shared" si="105"/>
        <v>aws s3 cp s3://rtdc.mdm.uploadarchive.raw/RTDC4011/ "%USERPROFILE%\AppData\Local\Temp\OnboardLogs"\RTDC4011\1969-12-31 --exclude "*" --recursive --include "*19691231*" &amp; "%USERPROFILE%\Documents\GitHub\mrs-test-scripts\Headless Mode &amp; Sideloading\WalkAndUnGZ.bat" "%USERPROFILE%\AppData\Local\Temp\OnboardLogs"\RTDC4011\1969-12-31 &amp; aws s3 cp s3://rtdc.mdm.uploadarchive.raw/RTDC4011/ "%USERPROFILE%\AppData\Local\Temp\OnboardLogs"\RTDC4011\1970-01-01 --exclude "*" --recursive --include "*19700101*" &amp; "%USERPROFILE%\Documents\GitHub\mrs-test-scripts\Headless Mode &amp; Sideloading\WalkAndUnGZ.bat" "%USERPROFILE%\AppData\Local\Temp\OnboardLogs"\RTDC4011\1970-01-01</v>
      </c>
      <c r="AF207" s="88" t="str">
        <f t="shared" si="106"/>
        <v>"C:\Program Files (x86)\AstroGrep\AstroGrep.exe" /spath="%USERPROFILE%\AppData\Local\Temp\OnboardLogs" /stypes="app*4011*19700101*" /stext=" 00:.+((SYSTEM_STATE.+slice.+state.+changed )|(ment ac)|(multiple cpu faults)|(system.+state.+changed )|(\[timeout)|(PRM\|1\|D)|(kpr)|(kdp)|(\|lc)|(penalty))" /e /r /s</v>
      </c>
      <c r="AG207" s="1" t="str">
        <f t="shared" si="107"/>
        <v>Other</v>
      </c>
      <c r="AH207" s="92" t="str">
        <f t="shared" si="97"/>
        <v>"%USERPROFILE%\Documents\GitHub\eaglep3\Utilities\RefineRTDCRunTimes.py" --tripid 315-09 --locoid 4011 --swversion DE.1.0.8.0 --startMP 204:447 --initTime 2016-12-10T02:40:14 --startdatetime 1969-12-31T17:00:00 --delay 1 --endMP 300:23314 --enddatetime 1969-12-31T17:00:00 --enforcementcount 1 &gt;&gt;C:\Users\stu\Documents\GitHub\eaglep3-reporting\EC\2016-12-10-refined-times.txt</v>
      </c>
      <c r="AI207" s="119" t="str">
        <f t="shared" si="98"/>
        <v>echo {"issue":{"subject":"","project_id":79,"tracker_id":40,"status_id":1,"priority_id":2,"assigned_to_id":23,"start_date":"1969-12-31","description":"","custom_fields":[{"id":1,"name":"Subdivision","value":"Other"},{"id":4,"name":"Milepost","value":"2.3314"},{"id":17,"name":"Train ID","value":"315-09"},{"id":16,"name":"Locomotive ID","value":"4011"},{"id":130,"name":"Impact","value":""},{"id":150,"name":"Time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7" s="53"/>
      <c r="AK207" s="53"/>
      <c r="AL207" s="53"/>
    </row>
    <row r="208" spans="1:38" x14ac:dyDescent="0.25">
      <c r="A208" s="37" t="s">
        <v>632</v>
      </c>
      <c r="B208" s="7">
        <v>4020</v>
      </c>
      <c r="C208" s="22" t="s">
        <v>207</v>
      </c>
      <c r="D208" s="22" t="s">
        <v>194</v>
      </c>
      <c r="E208" s="13">
        <v>42715.111319444448</v>
      </c>
      <c r="F208" s="13">
        <v>42715.113043981481</v>
      </c>
      <c r="G208" s="7">
        <v>1</v>
      </c>
      <c r="H208" s="22" t="s">
        <v>397</v>
      </c>
      <c r="I208" s="13">
        <v>42715.11859953704</v>
      </c>
      <c r="J208" s="7">
        <v>1</v>
      </c>
      <c r="K208" s="109" t="str">
        <f t="shared" si="99"/>
        <v>4019/4020</v>
      </c>
      <c r="L208" s="22" t="str">
        <f>VLOOKUP(A208,'Trips&amp;Operators'!$C$1:$G$99999,5,FALSE)</f>
        <v>BADERTSCHER DIANE</v>
      </c>
      <c r="M208" s="6">
        <f t="shared" si="100"/>
        <v>5.5555555591126904E-3</v>
      </c>
      <c r="N208" s="7">
        <f t="shared" si="93"/>
        <v>8.0000000051222742</v>
      </c>
      <c r="O208" s="7"/>
      <c r="P208" s="7"/>
      <c r="Q208" s="23"/>
      <c r="R208" s="23"/>
      <c r="S208" s="35">
        <f t="shared" si="95"/>
        <v>1</v>
      </c>
      <c r="T208" s="50" t="str">
        <f t="shared" si="101"/>
        <v>NorthBound</v>
      </c>
      <c r="U208" s="171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1</v>
      </c>
      <c r="V208" s="98" t="str">
        <f t="shared" si="102"/>
        <v>https://search-rtdc-monitor-bjffxe2xuh6vdkpspy63sjmuny.us-east-1.es.amazonaws.com/_plugin/kibana/#/discover/Steve-Slow-Train-Analysis-(2080s-and-2083s)?_g=(refreshInterval:(display:Off,section:0,value:0),time:(from:'2016-12-11 01:40:18-700',mode:absolute,to:'2016-12-11 03:50:47-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201053%20OR%202087)%20AND%20%22rtdc.l.rtdc.4020%22')),sort:!(Time,asc))</v>
      </c>
      <c r="W208" s="52" t="str">
        <f t="shared" si="89"/>
        <v>Y</v>
      </c>
      <c r="X208" s="177">
        <f t="shared" si="92"/>
        <v>0</v>
      </c>
      <c r="Y208" s="67">
        <f t="shared" si="96"/>
        <v>4.4699999999999997E-2</v>
      </c>
      <c r="Z208" s="67">
        <f t="shared" si="94"/>
        <v>2.3306</v>
      </c>
      <c r="AA208" s="67">
        <f t="shared" si="103"/>
        <v>2.2858999999999998</v>
      </c>
      <c r="AB208" s="64" t="e">
        <f>VLOOKUP(A208,Enforcements!$C$7:$K$20,8,0)</f>
        <v>#N/A</v>
      </c>
      <c r="AC208" s="60" t="e">
        <f>VLOOKUP(A208,Enforcements!$C$7:$E$20,3,0)</f>
        <v>#N/A</v>
      </c>
      <c r="AD208" s="61" t="str">
        <f t="shared" si="104"/>
        <v>0315-10</v>
      </c>
      <c r="AE208" s="91" t="str">
        <f t="shared" si="105"/>
        <v>aws s3 cp s3://rtdc.mdm.uploadarchive.raw/RTDC4020/ "%USERPROFILE%\AppData\Local\Temp\OnboardLogs"\RTDC4020\2016-12-11 --exclude "*" --recursive --include "*20161211*" &amp; "%USERPROFILE%\Documents\GitHub\mrs-test-scripts\Headless Mode &amp; Sideloading\WalkAndUnGZ.bat" "%USERPROFILE%\AppData\Local\Temp\OnboardLogs"\RTDC4020\2016-12-11 &amp; aws s3 cp s3://rtdc.mdm.uploadarchive.raw/RTDC4020/ "%USERPROFILE%\AppData\Local\Temp\OnboardLogs"\RTDC4020\2016-12-12 --exclude "*" --recursive --include "*20161212*" &amp; "%USERPROFILE%\Documents\GitHub\mrs-test-scripts\Headless Mode &amp; Sideloading\WalkAndUnGZ.bat" "%USERPROFILE%\AppData\Local\Temp\OnboardLogs"\RTDC4020\2016-12-12</v>
      </c>
      <c r="AF208" s="88" t="str">
        <f t="shared" si="106"/>
        <v>"C:\Program Files (x86)\AstroGrep\AstroGrep.exe" /spath="%USERPROFILE%\AppData\Local\Temp\OnboardLogs" /stypes="app*4020*20161211*" /stext=" 09:.+((SYSTEM_STATE.+slice.+state.+changed )|(ment ac)|(multiple cpu faults)|(system.+state.+changed )|(\[timeout)|(PRM\|1\|D)|(kpr)|(kdp)|(\|lc)|(penalty))" /e /r /s</v>
      </c>
      <c r="AG208" s="1" t="str">
        <f t="shared" si="107"/>
        <v>Other</v>
      </c>
      <c r="AH208" s="92" t="str">
        <f t="shared" si="97"/>
        <v>"%USERPROFILE%\Documents\GitHub\eaglep3\Utilities\RefineRTDCRunTimes.py" --tripid 315-10 --locoid 4020 --swversion DE.1.0.8.0 --startMP 204:447 --initTime 2016-12-11T02:40:18 --startdatetime 2016-12-11T02:42:47 --delay 1 --endMP 300:23306 --enddatetime 2016-12-11T02:50:47 --enforcementcount 1 &gt;&gt;C:\Users\stu\Documents\GitHub\eaglep3-reporting\EC\2016-12-10-refined-times.txt</v>
      </c>
      <c r="AI208" s="119" t="str">
        <f t="shared" si="98"/>
        <v>echo {"issue":{"subject":"","project_id":79,"tracker_id":40,"status_id":1,"priority_id":2,"assigned_to_id":23,"start_date":"2016-12-11","description":"","custom_fields":[{"id":1,"name":"Subdivision","value":"Other"},{"id":4,"name":"Milepost","value":"2.3306"},{"id":17,"name":"Train ID","value":"315-10"},{"id":16,"name":"Locomotive ID","value":"4020"},{"id":130,"name":"Impact","value":""},{"id":150,"name":"Time of Event (Mountain Time)","value":"02:50:47"},{"id":151,"name":"Denver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8" s="53"/>
      <c r="AK208" s="53"/>
      <c r="AL208" s="53"/>
    </row>
    <row r="209" spans="1:38" x14ac:dyDescent="0.25">
      <c r="A209" s="37" t="s">
        <v>470</v>
      </c>
      <c r="B209" s="7">
        <v>4031</v>
      </c>
      <c r="C209" s="22" t="s">
        <v>207</v>
      </c>
      <c r="D209" s="22" t="s">
        <v>734</v>
      </c>
      <c r="E209" s="13">
        <v>42714.225925925923</v>
      </c>
      <c r="F209" s="13">
        <v>42714.227129629631</v>
      </c>
      <c r="G209" s="7">
        <v>1</v>
      </c>
      <c r="H209" s="22" t="s">
        <v>404</v>
      </c>
      <c r="I209" s="13">
        <v>42714.231620370374</v>
      </c>
      <c r="J209" s="7">
        <v>1</v>
      </c>
      <c r="K209" s="109" t="str">
        <f t="shared" si="99"/>
        <v>4031/4032</v>
      </c>
      <c r="L209" s="22" t="str">
        <f>VLOOKUP(A209,'Trips&amp;Operators'!$C$1:$G$99999,5,FALSE)</f>
        <v>YORK EDGAR</v>
      </c>
      <c r="M209" s="6">
        <f t="shared" si="100"/>
        <v>4.4907407427672297E-3</v>
      </c>
      <c r="N209" s="7">
        <f t="shared" si="93"/>
        <v>6.4666666695848107</v>
      </c>
      <c r="O209" s="7"/>
      <c r="P209" s="7"/>
      <c r="Q209" s="23"/>
      <c r="R209" s="23"/>
      <c r="S209" s="35">
        <f t="shared" si="95"/>
        <v>0</v>
      </c>
      <c r="T209" s="50" t="str">
        <f t="shared" si="101"/>
        <v>NorthBound</v>
      </c>
      <c r="U209" s="171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0</v>
      </c>
      <c r="V209" s="98" t="str">
        <f t="shared" si="102"/>
        <v>https://search-rtdc-monitor-bjffxe2xuh6vdkpspy63sjmuny.us-east-1.es.amazonaws.com/_plugin/kibana/#/discover/Steve-Slow-Train-Analysis-(2080s-and-2083s)?_g=(refreshInterval:(display:Off,section:0,value:0),time:(from:'2016-12-10 04:25:20-700',mode:absolute,to:'2016-12-10 06:33:32-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201053%20OR%202087)%20AND%20%22rtdc.l.rtdc.4031%22')),sort:!(Time,asc))</v>
      </c>
      <c r="W209" s="52" t="str">
        <f t="shared" si="89"/>
        <v>Y</v>
      </c>
      <c r="X209" s="177">
        <f t="shared" si="92"/>
        <v>1586</v>
      </c>
      <c r="Y209" s="67">
        <f t="shared" si="96"/>
        <v>3.0146000000000002</v>
      </c>
      <c r="Z209" s="67">
        <f t="shared" si="94"/>
        <v>5.8944000000000001</v>
      </c>
      <c r="AA209" s="67">
        <f t="shared" si="103"/>
        <v>2.8797999999999999</v>
      </c>
      <c r="AB209" s="64" t="e">
        <f>VLOOKUP(A209,Enforcements!$C$7:$K$20,8,0)</f>
        <v>#N/A</v>
      </c>
      <c r="AC209" s="60" t="e">
        <f>VLOOKUP(A209,Enforcements!$C$7:$E$20,3,0)</f>
        <v>#N/A</v>
      </c>
      <c r="AD209" s="61" t="str">
        <f t="shared" si="104"/>
        <v>1901-10</v>
      </c>
      <c r="AE209" s="91" t="str">
        <f t="shared" si="105"/>
        <v>aws s3 cp s3://rtdc.mdm.uploadarchive.raw/RTDC4031/ "%USERPROFILE%\AppData\Local\Temp\OnboardLogs"\RTDC4031\2016-12-10 --exclude "*" --recursive --include "*20161210*" &amp; "%USERPROFILE%\Documents\GitHub\mrs-test-scripts\Headless Mode &amp; Sideloading\WalkAndUnGZ.bat" "%USERPROFILE%\AppData\Local\Temp\OnboardLogs"\RTDC4031\2016-12-10 &amp; aws s3 cp s3://rtdc.mdm.uploadarchive.raw/RTDC4031/ "%USERPROFILE%\AppData\Local\Temp\OnboardLogs"\RTDC4031\2016-12-11 --exclude "*" --recursive --include "*20161211*" &amp; "%USERPROFILE%\Documents\GitHub\mrs-test-scripts\Headless Mode &amp; Sideloading\WalkAndUnGZ.bat" "%USERPROFILE%\AppData\Local\Temp\OnboardLogs"\RTDC4031\2016-12-11</v>
      </c>
      <c r="AF209" s="88" t="str">
        <f t="shared" si="106"/>
        <v>"C:\Program Files (x86)\AstroGrep\AstroGrep.exe" /spath="%USERPROFILE%\AppData\Local\Temp\OnboardLogs" /stypes="app*4031*20161210*" /stext=" 12:.+((SYSTEM_STATE.+slice.+state.+changed )|(ment ac)|(multiple cpu faults)|(system.+state.+changed )|(\[timeout)|(PRM\|1\|D)|(kpr)|(kdp)|(\|lc)|(penalty))" /e /r /s</v>
      </c>
      <c r="AG209" s="1" t="str">
        <f t="shared" si="107"/>
        <v>Other</v>
      </c>
      <c r="AH209" s="92" t="str">
        <f t="shared" si="97"/>
        <v>"%USERPROFILE%\Documents\GitHub\eaglep3\Utilities\RefineRTDCRunTimes.py" --tripid 1901-10 --locoid 4031 --swversion DE.1.0.8.0 --startMP 300:30146 --initTime 2016-12-10T05:25:20 --startdatetime 2016-12-10T05:27:04 --delay 1 --endMP 300:58944 --enddatetime 2016-12-10T05:33:32 --enforcementcount 1 &gt;&gt;C:\Users\stu\Documents\GitHub\eaglep3-reporting\EC\2016-12-10-refined-times.txt</v>
      </c>
      <c r="AI209" s="119" t="str">
        <f t="shared" si="98"/>
        <v>echo {"issue":{"subject":"","project_id":79,"tracker_id":40,"status_id":1,"priority_id":2,"assigned_to_id":23,"start_date":"2016-12-10","description":"","custom_fields":[{"id":1,"name":"Subdivision","value":"Other"},{"id":4,"name":"Milepost","value":"5.8944"},{"id":17,"name":"Train ID","value":"1901-10"},{"id":16,"name":"Locomotive ID","value":"4031"},{"id":130,"name":"Impact","value":""},{"id":150,"name":"Time of Event (Mountain Time)","value":"05:33:32"},{"id":151,"name":"Denver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9" s="53"/>
      <c r="AK209" s="53"/>
      <c r="AL209" s="53"/>
    </row>
    <row r="210" spans="1:38" x14ac:dyDescent="0.25">
      <c r="A210" s="37" t="s">
        <v>624</v>
      </c>
      <c r="B210" s="7">
        <v>4032</v>
      </c>
      <c r="C210" s="22" t="s">
        <v>207</v>
      </c>
      <c r="D210" s="22" t="s">
        <v>735</v>
      </c>
      <c r="E210" s="13">
        <v>42714.941886574074</v>
      </c>
      <c r="F210" s="13">
        <v>25568.708333333332</v>
      </c>
      <c r="G210" s="7">
        <v>1</v>
      </c>
      <c r="H210" s="22" t="s">
        <v>736</v>
      </c>
      <c r="I210" s="13">
        <v>25568.708333333332</v>
      </c>
      <c r="J210" s="7">
        <v>1</v>
      </c>
      <c r="K210" s="109" t="str">
        <f t="shared" si="99"/>
        <v>4031/4032</v>
      </c>
      <c r="L210" s="22" t="str">
        <f>VLOOKUP(A210,'Trips&amp;Operators'!$C$1:$G$99999,5,FALSE)</f>
        <v>LOPES KIMBERLY</v>
      </c>
      <c r="M210" s="6">
        <f t="shared" si="100"/>
        <v>0</v>
      </c>
      <c r="N210" s="7">
        <f t="shared" si="93"/>
        <v>0</v>
      </c>
      <c r="O210" s="7"/>
      <c r="P210" s="7"/>
      <c r="Q210" s="23"/>
      <c r="R210" s="23"/>
      <c r="S210" s="35">
        <f t="shared" si="95"/>
        <v>0</v>
      </c>
      <c r="T210" s="50" t="str">
        <f t="shared" si="101"/>
        <v>Southbound</v>
      </c>
      <c r="U210" s="171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0</v>
      </c>
      <c r="V210" s="98" t="str">
        <f t="shared" si="102"/>
        <v>https://search-rtdc-monitor-bjffxe2xuh6vdkpspy63sjmuny.us-east-1.es.amazonaws.com/_plugin/kibana/#/discover/Steve-Slow-Train-Analysis-(2080s-and-2083s)?_g=(refreshInterval:(display:Off,section:0,value:0),time:(from:'2016-12-10 21:36:19-700',mode:absolute,to:'1969-12-31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201053%20OR%202087)%20AND%20%22rtdc.l.rtdc.4032%22')),sort:!(Time,asc))</v>
      </c>
      <c r="W210" s="52" t="str">
        <f t="shared" si="89"/>
        <v>Y</v>
      </c>
      <c r="X210" s="177">
        <f t="shared" si="92"/>
        <v>1</v>
      </c>
      <c r="Y210" s="67">
        <f t="shared" si="96"/>
        <v>5.8642000000000003</v>
      </c>
      <c r="Z210" s="67">
        <f t="shared" si="94"/>
        <v>2.1543000000000001</v>
      </c>
      <c r="AA210" s="67">
        <f t="shared" si="103"/>
        <v>3.7099000000000002</v>
      </c>
      <c r="AB210" s="64" t="e">
        <f>VLOOKUP(A210,Enforcements!$C$7:$K$20,8,0)</f>
        <v>#N/A</v>
      </c>
      <c r="AC210" s="60" t="e">
        <f>VLOOKUP(A210,Enforcements!$C$7:$E$20,3,0)</f>
        <v>#N/A</v>
      </c>
      <c r="AD210" s="61" t="str">
        <f t="shared" si="104"/>
        <v>1902-10</v>
      </c>
      <c r="AE210" s="91" t="str">
        <f t="shared" si="105"/>
        <v>aws s3 cp s3://rtdc.mdm.uploadarchive.raw/RTDC4032/ "%USERPROFILE%\AppData\Local\Temp\OnboardLogs"\RTDC4032\1969-12-31 --exclude "*" --recursive --include "*19691231*" &amp; "%USERPROFILE%\Documents\GitHub\mrs-test-scripts\Headless Mode &amp; Sideloading\WalkAndUnGZ.bat" "%USERPROFILE%\AppData\Local\Temp\OnboardLogs"\RTDC4032\1969-12-31 &amp; aws s3 cp s3://rtdc.mdm.uploadarchive.raw/RTDC4032/ "%USERPROFILE%\AppData\Local\Temp\OnboardLogs"\RTDC4032\1970-01-01 --exclude "*" --recursive --include "*19700101*" &amp; "%USERPROFILE%\Documents\GitHub\mrs-test-scripts\Headless Mode &amp; Sideloading\WalkAndUnGZ.bat" "%USERPROFILE%\AppData\Local\Temp\OnboardLogs"\RTDC4032\1970-01-01</v>
      </c>
      <c r="AF210" s="88" t="str">
        <f t="shared" si="106"/>
        <v>"C:\Program Files (x86)\AstroGrep\AstroGrep.exe" /spath="%USERPROFILE%\AppData\Local\Temp\OnboardLogs" /stypes="app*4032*19700101*" /stext=" 00:.+((SYSTEM_STATE.+slice.+state.+changed )|(ment ac)|(multiple cpu faults)|(system.+state.+changed )|(\[timeout)|(PRM\|1\|D)|(kpr)|(kdp)|(\|lc)|(penalty))" /e /r /s</v>
      </c>
      <c r="AG210" s="1" t="str">
        <f t="shared" si="107"/>
        <v>Other</v>
      </c>
      <c r="AH210" s="92" t="str">
        <f t="shared" si="97"/>
        <v>"%USERPROFILE%\Documents\GitHub\eaglep3\Utilities\RefineRTDCRunTimes.py" --tripid 1902-10 --locoid 4032 --swversion DE.1.0.8.0 --startMP 300:58642 --initTime 2016-12-10T22:36:19 --startdatetime 1969-12-31T17:00:00 --delay 1 --endMP 300:21543 --enddatetime 1969-12-31T17:00:00 --enforcementcount 1 &gt;&gt;C:\Users\stu\Documents\GitHub\eaglep3-reporting\EC\2016-12-10-refined-times.txt</v>
      </c>
      <c r="AI210" s="119" t="str">
        <f t="shared" si="98"/>
        <v>echo {"issue":{"subject":"","project_id":79,"tracker_id":40,"status_id":1,"priority_id":2,"assigned_to_id":23,"start_date":"1969-12-31","description":"","custom_fields":[{"id":1,"name":"Subdivision","value":"Other"},{"id":4,"name":"Milepost","value":"2.1543"},{"id":17,"name":"Train ID","value":"1902-10"},{"id":16,"name":"Locomotive ID","value":"4032"},{"id":130,"name":"Impact","value":""},{"id":150,"name":"Time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0" s="53"/>
      <c r="AK210" s="53"/>
      <c r="AL210" s="53"/>
    </row>
    <row r="211" spans="1:38" x14ac:dyDescent="0.25">
      <c r="A211" s="37" t="s">
        <v>584</v>
      </c>
      <c r="B211" s="7">
        <v>4009</v>
      </c>
      <c r="C211" s="22" t="s">
        <v>207</v>
      </c>
      <c r="D211" s="22" t="s">
        <v>772</v>
      </c>
      <c r="E211" s="13">
        <v>42714.729745370372</v>
      </c>
      <c r="F211" s="13">
        <v>42714.731157407405</v>
      </c>
      <c r="G211" s="7">
        <v>1</v>
      </c>
      <c r="H211" s="22" t="s">
        <v>773</v>
      </c>
      <c r="I211" s="13">
        <v>42714.73673611111</v>
      </c>
      <c r="J211" s="7">
        <v>1</v>
      </c>
      <c r="K211" s="109" t="str">
        <f t="shared" si="99"/>
        <v>4009/4010</v>
      </c>
      <c r="L211" s="22" t="str">
        <f>VLOOKUP(A211,'Trips&amp;Operators'!$C$1:$G$99999,5,FALSE)</f>
        <v>STEWART MICHAEL</v>
      </c>
      <c r="M211" s="6">
        <f t="shared" si="100"/>
        <v>5.5787037053960375E-3</v>
      </c>
      <c r="N211" s="7">
        <f t="shared" si="93"/>
        <v>8.0333333357702941</v>
      </c>
      <c r="O211" s="7"/>
      <c r="P211" s="7"/>
      <c r="Q211" s="23"/>
      <c r="R211" s="23"/>
      <c r="S211" s="35">
        <f t="shared" si="95"/>
        <v>0</v>
      </c>
      <c r="T211" s="50" t="e">
        <f t="shared" si="101"/>
        <v>#VALUE!</v>
      </c>
      <c r="U211" s="171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0</v>
      </c>
      <c r="V211" s="98" t="str">
        <f t="shared" si="102"/>
        <v>https://search-rtdc-monitor-bjffxe2xuh6vdkpspy63sjmuny.us-east-1.es.amazonaws.com/_plugin/kibana/#/discover/Steve-Slow-Train-Analysis-(2080s-and-2083s)?_g=(refreshInterval:(display:Off,section:0,value:0),time:(from:'2016-12-10 16:30:50-700',mode:absolute,to:'2016-12-10 18:40:54-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201053%20OR%202087)%20AND%20%22rtdc.l.rtdc.4009%22')),sort:!(Time,asc))</v>
      </c>
      <c r="W211" s="52" t="str">
        <f t="shared" si="89"/>
        <v>N</v>
      </c>
      <c r="X211" s="177" t="e">
        <f t="shared" si="92"/>
        <v>#VALUE!</v>
      </c>
      <c r="Y211" s="67">
        <f t="shared" si="96"/>
        <v>0.1196</v>
      </c>
      <c r="Z211" s="67">
        <f t="shared" si="94"/>
        <v>6.9374000000000002</v>
      </c>
      <c r="AA211" s="67">
        <f t="shared" si="103"/>
        <v>6.8178000000000001</v>
      </c>
      <c r="AB211" s="64" t="e">
        <f>VLOOKUP(A211,Enforcements!$C$7:$K$20,8,0)</f>
        <v>#N/A</v>
      </c>
      <c r="AC211" s="60" t="e">
        <f>VLOOKUP(A211,Enforcements!$C$7:$E$20,3,0)</f>
        <v>#N/A</v>
      </c>
      <c r="AD211" s="61" t="str">
        <f t="shared" si="104"/>
        <v>69-10</v>
      </c>
      <c r="AE211" s="91" t="str">
        <f t="shared" si="105"/>
        <v>aws s3 cp s3://rtdc.mdm.uploadarchive.raw/RTDC4009/ "%USERPROFILE%\AppData\Local\Temp\OnboardLogs"\RTDC4009\2016-12-10 --exclude "*" --recursive --include "*20161210*" &amp; "%USERPROFILE%\Documents\GitHub\mrs-test-scripts\Headless Mode &amp; Sideloading\WalkAndUnGZ.bat" "%USERPROFILE%\AppData\Local\Temp\OnboardLogs"\RTDC4009\2016-12-10 &amp; aws s3 cp s3://rtdc.mdm.uploadarchive.raw/RTDC4009/ "%USERPROFILE%\AppData\Local\Temp\OnboardLogs"\RTDC4009\2016-12-11 --exclude "*" --recursive --include "*20161211*" &amp; "%USERPROFILE%\Documents\GitHub\mrs-test-scripts\Headless Mode &amp; Sideloading\WalkAndUnGZ.bat" "%USERPROFILE%\AppData\Local\Temp\OnboardLogs"\RTDC4009\2016-12-11</v>
      </c>
      <c r="AF211" s="88" t="str">
        <f t="shared" si="106"/>
        <v>"C:\Program Files (x86)\AstroGrep\AstroGrep.exe" /spath="%USERPROFILE%\AppData\Local\Temp\OnboardLogs" /stypes="app*4009*20161211*" /stext=" 00:.+((SYSTEM_STATE.+slice.+state.+changed )|(ment ac)|(multiple cpu faults)|(system.+state.+changed )|(\[timeout)|(PRM\|1\|D)|(kpr)|(kdp)|(\|lc)|(penalty))" /e /r /s</v>
      </c>
      <c r="AG211" s="1" t="str">
        <f t="shared" si="107"/>
        <v>Other</v>
      </c>
      <c r="AH211" s="92" t="str">
        <f t="shared" si="97"/>
        <v>"%USERPROFILE%\Documents\GitHub\eaglep3\Utilities\RefineRTDCRunTimes.py" --tripid 69-10 --locoid 4009 --swversion DE.1.0.8.0 --startMP 204:1196 --initTime 2016-12-10T17:30:50 --startdatetime 2016-12-10T17:32:52 --delay 1 --endMP 204:69374 --enddatetime 2016-12-10T17:40:54 --enforcementcount 1 &gt;&gt;C:\Users\stu\Documents\GitHub\eaglep3-reporting\EC\2016-12-10-refined-times.txt</v>
      </c>
      <c r="AI211" s="119" t="str">
        <f t="shared" si="98"/>
        <v>echo {"issue":{"subject":"","project_id":79,"tracker_id":40,"status_id":1,"priority_id":2,"assigned_to_id":23,"start_date":"2016-12-10","description":"","custom_fields":[{"id":1,"name":"Subdivision","value":"Other"},{"id":4,"name":"Milepost","value":"6.9374"},{"id":17,"name":"Train ID","value":"69-10"},{"id":16,"name":"Locomotive ID","value":"4009"},{"id":130,"name":"Impact","value":""},{"id":150,"name":"Time of Event (Mountain Time)","value":"17:40:54"},{"id":151,"name":"Denver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1" s="53"/>
      <c r="AK211" s="53"/>
      <c r="AL211" s="53"/>
    </row>
    <row r="212" spans="1:38" x14ac:dyDescent="0.25">
      <c r="A212" s="37" t="s">
        <v>431</v>
      </c>
      <c r="B212" s="7">
        <v>4043</v>
      </c>
      <c r="C212" s="22" t="s">
        <v>207</v>
      </c>
      <c r="D212" s="22" t="s">
        <v>774</v>
      </c>
      <c r="E212" s="13">
        <v>42714.743576388886</v>
      </c>
      <c r="F212" s="13">
        <v>42714.744837962964</v>
      </c>
      <c r="G212" s="7">
        <v>1</v>
      </c>
      <c r="H212" s="22" t="s">
        <v>775</v>
      </c>
      <c r="I212" s="13">
        <v>42714.750185185185</v>
      </c>
      <c r="J212" s="7">
        <v>1</v>
      </c>
      <c r="K212" s="109" t="str">
        <f t="shared" si="99"/>
        <v>4043/4044</v>
      </c>
      <c r="L212" s="22" t="str">
        <f>VLOOKUP(A212,'Trips&amp;Operators'!$C$1:$G$99999,5,FALSE)</f>
        <v>STAMBAUGH JAMES</v>
      </c>
      <c r="M212" s="6">
        <f t="shared" si="100"/>
        <v>5.3472222207346931E-3</v>
      </c>
      <c r="N212" s="7">
        <f t="shared" si="93"/>
        <v>7.6999999978579581</v>
      </c>
      <c r="O212" s="7"/>
      <c r="P212" s="7"/>
      <c r="Q212" s="23"/>
      <c r="R212" s="23"/>
      <c r="S212" s="35">
        <f t="shared" si="95"/>
        <v>0</v>
      </c>
      <c r="T212" s="50" t="e">
        <f t="shared" si="101"/>
        <v>#VALUE!</v>
      </c>
      <c r="U212" s="171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0</v>
      </c>
      <c r="V212" s="98" t="str">
        <f t="shared" si="102"/>
        <v>https://search-rtdc-monitor-bjffxe2xuh6vdkpspy63sjmuny.us-east-1.es.amazonaws.com/_plugin/kibana/#/discover/Steve-Slow-Train-Analysis-(2080s-and-2083s)?_g=(refreshInterval:(display:Off,section:0,value:0),time:(from:'2016-12-10 16:50:45-700',mode:absolute,to:'2016-12-10 19:00:16-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201053%20OR%202087)%20AND%20%22rtdc.l.rtdc.4043%22')),sort:!(Time,asc))</v>
      </c>
      <c r="W212" s="52" t="str">
        <f t="shared" si="89"/>
        <v>Y</v>
      </c>
      <c r="X212" s="177" t="e">
        <f t="shared" si="92"/>
        <v>#VALUE!</v>
      </c>
      <c r="Y212" s="67">
        <f t="shared" si="96"/>
        <v>2.3283</v>
      </c>
      <c r="Z212" s="67">
        <f t="shared" si="94"/>
        <v>9.2999999999999992E-3</v>
      </c>
      <c r="AA212" s="67">
        <f t="shared" si="103"/>
        <v>2.319</v>
      </c>
      <c r="AB212" s="64" t="e">
        <f>VLOOKUP(A212,Enforcements!$C$7:$K$20,8,0)</f>
        <v>#N/A</v>
      </c>
      <c r="AC212" s="60" t="e">
        <f>VLOOKUP(A212,Enforcements!$C$7:$E$20,3,0)</f>
        <v>#N/A</v>
      </c>
      <c r="AD212" s="61" t="str">
        <f t="shared" si="104"/>
        <v>72-10</v>
      </c>
      <c r="AE212" s="91" t="str">
        <f t="shared" si="105"/>
        <v>aws s3 cp s3://rtdc.mdm.uploadarchive.raw/RTDC4043/ "%USERPROFILE%\AppData\Local\Temp\OnboardLogs"\RTDC4043\2016-12-10 --exclude "*" --recursive --include "*20161210*" &amp; "%USERPROFILE%\Documents\GitHub\mrs-test-scripts\Headless Mode &amp; Sideloading\WalkAndUnGZ.bat" "%USERPROFILE%\AppData\Local\Temp\OnboardLogs"\RTDC4043\2016-12-10 &amp; aws s3 cp s3://rtdc.mdm.uploadarchive.raw/RTDC4043/ "%USERPROFILE%\AppData\Local\Temp\OnboardLogs"\RTDC4043\2016-12-11 --exclude "*" --recursive --include "*20161211*" &amp; "%USERPROFILE%\Documents\GitHub\mrs-test-scripts\Headless Mode &amp; Sideloading\WalkAndUnGZ.bat" "%USERPROFILE%\AppData\Local\Temp\OnboardLogs"\RTDC4043\2016-12-11</v>
      </c>
      <c r="AF212" s="88" t="str">
        <f t="shared" si="106"/>
        <v>"C:\Program Files (x86)\AstroGrep\AstroGrep.exe" /spath="%USERPROFILE%\AppData\Local\Temp\OnboardLogs" /stypes="app*4043*20161211*" /stext=" 01:.+((SYSTEM_STATE.+slice.+state.+changed )|(ment ac)|(multiple cpu faults)|(system.+state.+changed )|(\[timeout)|(PRM\|1\|D)|(kpr)|(kdp)|(\|lc)|(penalty))" /e /r /s</v>
      </c>
      <c r="AG212" s="1" t="str">
        <f t="shared" si="107"/>
        <v>Other</v>
      </c>
      <c r="AH212" s="92" t="str">
        <f t="shared" si="97"/>
        <v>"%USERPROFILE%\Documents\GitHub\eaglep3\Utilities\RefineRTDCRunTimes.py" --tripid 72-10 --locoid 4043 --swversion DE.1.0.8.0 --startMP 300:23283 --initTime 2016-12-10T17:50:45 --startdatetime 2016-12-10T17:52:34 --delay 1 --endMP 204:93 --enddatetime 2016-12-10T18:00:16 --enforcementcount 1 &gt;&gt;C:\Users\stu\Documents\GitHub\eaglep3-reporting\EC\2016-12-10-refined-times.txt</v>
      </c>
      <c r="AI212" s="119" t="str">
        <f t="shared" si="98"/>
        <v>echo {"issue":{"subject":"","project_id":79,"tracker_id":40,"status_id":1,"priority_id":2,"assigned_to_id":23,"start_date":"2016-12-10","description":"","custom_fields":[{"id":1,"name":"Subdivision","value":"Other"},{"id":4,"name":"Milepost","value":"0.0093"},{"id":17,"name":"Train ID","value":"72-10"},{"id":16,"name":"Locomotive ID","value":"4043"},{"id":130,"name":"Impact","value":""},{"id":150,"name":"Time of Event (Mountain Time)","value":"18:00:16"},{"id":151,"name":"Denver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2" s="53"/>
      <c r="AK212" s="53"/>
      <c r="AL212" s="53"/>
    </row>
    <row r="213" spans="1:38" x14ac:dyDescent="0.25">
      <c r="A213" s="37" t="s">
        <v>598</v>
      </c>
      <c r="B213" s="7">
        <v>4044</v>
      </c>
      <c r="C213" s="22" t="s">
        <v>207</v>
      </c>
      <c r="D213" s="22" t="s">
        <v>776</v>
      </c>
      <c r="E213" s="13">
        <v>42714.7734837963</v>
      </c>
      <c r="F213" s="13">
        <v>25568.708333333332</v>
      </c>
      <c r="G213" s="7">
        <v>1</v>
      </c>
      <c r="H213" s="22" t="s">
        <v>369</v>
      </c>
      <c r="I213" s="13">
        <v>25568.708333333332</v>
      </c>
      <c r="J213" s="7">
        <v>1</v>
      </c>
      <c r="K213" s="109" t="str">
        <f t="shared" si="99"/>
        <v>4043/4044</v>
      </c>
      <c r="L213" s="22" t="str">
        <f>VLOOKUP(A213,'Trips&amp;Operators'!$C$1:$G$99999,5,FALSE)</f>
        <v>MOSES BRADLEY</v>
      </c>
      <c r="M213" s="6">
        <f t="shared" si="100"/>
        <v>0</v>
      </c>
      <c r="N213" s="7">
        <f t="shared" si="93"/>
        <v>0</v>
      </c>
      <c r="O213" s="7"/>
      <c r="P213" s="7"/>
      <c r="Q213" s="23"/>
      <c r="R213" s="23"/>
      <c r="S213" s="35">
        <f t="shared" si="95"/>
        <v>0</v>
      </c>
      <c r="T213" s="50" t="e">
        <f t="shared" si="101"/>
        <v>#VALUE!</v>
      </c>
      <c r="U213" s="171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0</v>
      </c>
      <c r="V213" s="98" t="str">
        <f t="shared" si="102"/>
        <v>https://search-rtdc-monitor-bjffxe2xuh6vdkpspy63sjmuny.us-east-1.es.amazonaws.com/_plugin/kibana/#/discover/Steve-Slow-Train-Analysis-(2080s-and-2083s)?_g=(refreshInterval:(display:Off,section:0,value:0),time:(from:'2016-12-10 17:33:49-700',mode:absolute,to:'1969-12-31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201053%20OR%202087)%20AND%20%22rtdc.l.rtdc.4044%22')),sort:!(Time,asc))</v>
      </c>
      <c r="W213" s="52" t="str">
        <f t="shared" si="89"/>
        <v>Y</v>
      </c>
      <c r="X213" s="177" t="e">
        <f t="shared" si="92"/>
        <v>#VALUE!</v>
      </c>
      <c r="Y213" s="67">
        <f t="shared" si="96"/>
        <v>3.8600000000000002E-2</v>
      </c>
      <c r="Z213" s="67">
        <f t="shared" si="94"/>
        <v>2.3298999999999999</v>
      </c>
      <c r="AA213" s="67">
        <f t="shared" si="103"/>
        <v>2.2912999999999997</v>
      </c>
      <c r="AB213" s="64" t="e">
        <f>VLOOKUP(A213,Enforcements!$C$7:$K$20,8,0)</f>
        <v>#N/A</v>
      </c>
      <c r="AC213" s="60" t="e">
        <f>VLOOKUP(A213,Enforcements!$C$7:$E$20,3,0)</f>
        <v>#N/A</v>
      </c>
      <c r="AD213" s="61" t="str">
        <f t="shared" si="104"/>
        <v>73-10</v>
      </c>
      <c r="AE213" s="91" t="str">
        <f t="shared" si="105"/>
        <v>aws s3 cp s3://rtdc.mdm.uploadarchive.raw/RTDC4044/ "%USERPROFILE%\AppData\Local\Temp\OnboardLogs"\RTDC4044\1969-12-31 --exclude "*" --recursive --include "*19691231*" &amp; "%USERPROFILE%\Documents\GitHub\mrs-test-scripts\Headless Mode &amp; Sideloading\WalkAndUnGZ.bat" "%USERPROFILE%\AppData\Local\Temp\OnboardLogs"\RTDC4044\1969-12-31 &amp; aws s3 cp s3://rtdc.mdm.uploadarchive.raw/RTDC4044/ "%USERPROFILE%\AppData\Local\Temp\OnboardLogs"\RTDC4044\1970-01-01 --exclude "*" --recursive --include "*19700101*" &amp; "%USERPROFILE%\Documents\GitHub\mrs-test-scripts\Headless Mode &amp; Sideloading\WalkAndUnGZ.bat" "%USERPROFILE%\AppData\Local\Temp\OnboardLogs"\RTDC4044\1970-01-01</v>
      </c>
      <c r="AF213" s="88" t="str">
        <f t="shared" si="106"/>
        <v>"C:\Program Files (x86)\AstroGrep\AstroGrep.exe" /spath="%USERPROFILE%\AppData\Local\Temp\OnboardLogs" /stypes="app*4044*19700101*" /stext=" 00:.+((SYSTEM_STATE.+slice.+state.+changed )|(ment ac)|(multiple cpu faults)|(system.+state.+changed )|(\[timeout)|(PRM\|1\|D)|(kpr)|(kdp)|(\|lc)|(penalty))" /e /r /s</v>
      </c>
      <c r="AG213" s="1" t="str">
        <f t="shared" si="107"/>
        <v>Other</v>
      </c>
      <c r="AH213" s="92" t="str">
        <f t="shared" si="97"/>
        <v>"%USERPROFILE%\Documents\GitHub\eaglep3\Utilities\RefineRTDCRunTimes.py" --tripid 73-10 --locoid 4044 --swversion DE.1.0.8.0 --startMP 204:386 --initTime 2016-12-10T18:33:49 --startdatetime 1969-12-31T17:00:00 --delay 1 --endMP 300:23299 --enddatetime 1969-12-31T17:00:00 --enforcementcount 1 &gt;&gt;C:\Users\stu\Documents\GitHub\eaglep3-reporting\EC\2016-12-10-refined-times.txt</v>
      </c>
      <c r="AI213" s="119" t="str">
        <f t="shared" si="98"/>
        <v>echo {"issue":{"subject":"","project_id":79,"tracker_id":40,"status_id":1,"priority_id":2,"assigned_to_id":23,"start_date":"1969-12-31","description":"","custom_fields":[{"id":1,"name":"Subdivision","value":"Other"},{"id":4,"name":"Milepost","value":"2.3299"},{"id":17,"name":"Train ID","value":"73-10"},{"id":16,"name":"Locomotive ID","value":"4044"},{"id":130,"name":"Impact","value":""},{"id":150,"name":"Time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3" s="53"/>
      <c r="AK213" s="53"/>
      <c r="AL213" s="53"/>
    </row>
    <row r="214" spans="1:38" x14ac:dyDescent="0.25">
      <c r="A214" s="37" t="s">
        <v>590</v>
      </c>
      <c r="B214" s="7">
        <v>4021</v>
      </c>
      <c r="C214" s="22" t="s">
        <v>207</v>
      </c>
      <c r="D214" s="22" t="s">
        <v>777</v>
      </c>
      <c r="E214" s="13">
        <v>42714.74732638889</v>
      </c>
      <c r="F214" s="13">
        <v>42714.748692129629</v>
      </c>
      <c r="G214" s="7">
        <v>1</v>
      </c>
      <c r="H214" s="22" t="s">
        <v>778</v>
      </c>
      <c r="I214" s="13">
        <v>42714.755462962959</v>
      </c>
      <c r="J214" s="7">
        <v>1</v>
      </c>
      <c r="K214" s="109" t="str">
        <f t="shared" si="99"/>
        <v>4021/4022</v>
      </c>
      <c r="L214" s="22" t="str">
        <f>VLOOKUP(A214,'Trips&amp;Operators'!$C$1:$G$99999,5,FALSE)</f>
        <v>MACDONALD THOMAS</v>
      </c>
      <c r="M214" s="6">
        <f t="shared" si="100"/>
        <v>6.7708333299378864E-3</v>
      </c>
      <c r="N214" s="7">
        <f t="shared" si="93"/>
        <v>9.7499999951105565</v>
      </c>
      <c r="O214" s="7"/>
      <c r="P214" s="7"/>
      <c r="Q214" s="23"/>
      <c r="R214" s="23"/>
      <c r="S214" s="35">
        <f t="shared" si="95"/>
        <v>0</v>
      </c>
      <c r="T214" s="50" t="e">
        <f t="shared" si="101"/>
        <v>#VALUE!</v>
      </c>
      <c r="U214" s="171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0</v>
      </c>
      <c r="V214" s="98" t="str">
        <f t="shared" si="102"/>
        <v>https://search-rtdc-monitor-bjffxe2xuh6vdkpspy63sjmuny.us-east-1.es.amazonaws.com/_plugin/kibana/#/discover/Steve-Slow-Train-Analysis-(2080s-and-2083s)?_g=(refreshInterval:(display:Off,section:0,value:0),time:(from:'2016-12-10 16:56:09-700',mode:absolute,to:'2016-12-10 19:07:52-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201053%20OR%202087)%20AND%20%22rtdc.l.rtdc.4021%22')),sort:!(Time,asc))</v>
      </c>
      <c r="W214" s="52" t="str">
        <f t="shared" si="89"/>
        <v>Y</v>
      </c>
      <c r="X214" s="177" t="e">
        <f t="shared" si="92"/>
        <v>#VALUE!</v>
      </c>
      <c r="Y214" s="67">
        <f t="shared" si="96"/>
        <v>2.1511</v>
      </c>
      <c r="Z214" s="67">
        <f t="shared" si="94"/>
        <v>0.20039999999999999</v>
      </c>
      <c r="AA214" s="67">
        <f t="shared" si="103"/>
        <v>1.9507000000000001</v>
      </c>
      <c r="AB214" s="64" t="e">
        <f>VLOOKUP(A214,Enforcements!$C$7:$K$20,8,0)</f>
        <v>#N/A</v>
      </c>
      <c r="AC214" s="60" t="e">
        <f>VLOOKUP(A214,Enforcements!$C$7:$E$20,3,0)</f>
        <v>#N/A</v>
      </c>
      <c r="AD214" s="61" t="str">
        <f t="shared" si="104"/>
        <v>74-10</v>
      </c>
      <c r="AE214" s="91" t="str">
        <f t="shared" si="105"/>
        <v>aws s3 cp s3://rtdc.mdm.uploadarchive.raw/RTDC4021/ "%USERPROFILE%\AppData\Local\Temp\OnboardLogs"\RTDC4021\2016-12-10 --exclude "*" --recursive --include "*20161210*" &amp; "%USERPROFILE%\Documents\GitHub\mrs-test-scripts\Headless Mode &amp; Sideloading\WalkAndUnGZ.bat" "%USERPROFILE%\AppData\Local\Temp\OnboardLogs"\RTDC4021\2016-12-10 &amp; aws s3 cp s3://rtdc.mdm.uploadarchive.raw/RTDC4021/ "%USERPROFILE%\AppData\Local\Temp\OnboardLogs"\RTDC4021\2016-12-11 --exclude "*" --recursive --include "*20161211*" &amp; "%USERPROFILE%\Documents\GitHub\mrs-test-scripts\Headless Mode &amp; Sideloading\WalkAndUnGZ.bat" "%USERPROFILE%\AppData\Local\Temp\OnboardLogs"\RTDC4021\2016-12-11</v>
      </c>
      <c r="AF214" s="88" t="str">
        <f t="shared" si="106"/>
        <v>"C:\Program Files (x86)\AstroGrep\AstroGrep.exe" /spath="%USERPROFILE%\AppData\Local\Temp\OnboardLogs" /stypes="app*4021*20161211*" /stext=" 01:.+((SYSTEM_STATE.+slice.+state.+changed )|(ment ac)|(multiple cpu faults)|(system.+state.+changed )|(\[timeout)|(PRM\|1\|D)|(kpr)|(kdp)|(\|lc)|(penalty))" /e /r /s</v>
      </c>
      <c r="AG214" s="1" t="str">
        <f t="shared" si="107"/>
        <v>Other</v>
      </c>
      <c r="AH214" s="92" t="str">
        <f t="shared" si="97"/>
        <v>"%USERPROFILE%\Documents\GitHub\eaglep3\Utilities\RefineRTDCRunTimes.py" --tripid 74-10 --locoid 4021 --swversion DE.1.0.8.0 --startMP 300:21511 --initTime 2016-12-10T17:56:09 --startdatetime 2016-12-10T17:58:07 --delay 1 --endMP 204:2004 --enddatetime 2016-12-10T18:07:52 --enforcementcount 1 &gt;&gt;C:\Users\stu\Documents\GitHub\eaglep3-reporting\EC\2016-12-10-refined-times.txt</v>
      </c>
      <c r="AI214" s="119" t="str">
        <f t="shared" si="98"/>
        <v>echo {"issue":{"subject":"","project_id":79,"tracker_id":40,"status_id":1,"priority_id":2,"assigned_to_id":23,"start_date":"2016-12-10","description":"","custom_fields":[{"id":1,"name":"Subdivision","value":"Other"},{"id":4,"name":"Milepost","value":"0.2004"},{"id":17,"name":"Train ID","value":"74-10"},{"id":16,"name":"Locomotive ID","value":"4021"},{"id":130,"name":"Impact","value":""},{"id":150,"name":"Time of Event (Mountain Time)","value":"18:07:52"},{"id":151,"name":"Denver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4" s="53"/>
      <c r="AK214" s="53"/>
      <c r="AL214" s="53"/>
    </row>
    <row r="215" spans="1:38" x14ac:dyDescent="0.25">
      <c r="A215" s="37" t="s">
        <v>581</v>
      </c>
      <c r="B215" s="7">
        <v>4042</v>
      </c>
      <c r="C215" s="22" t="s">
        <v>207</v>
      </c>
      <c r="D215" s="22" t="s">
        <v>779</v>
      </c>
      <c r="E215" s="13">
        <v>42714.713831018518</v>
      </c>
      <c r="F215" s="13">
        <v>25568.708333333332</v>
      </c>
      <c r="G215" s="7">
        <v>2</v>
      </c>
      <c r="H215" s="22" t="s">
        <v>780</v>
      </c>
      <c r="I215" s="13">
        <v>25568.708333333332</v>
      </c>
      <c r="J215" s="7">
        <v>1</v>
      </c>
      <c r="K215" s="109" t="str">
        <f t="shared" si="99"/>
        <v>4041/4042</v>
      </c>
      <c r="L215" s="22" t="str">
        <f>VLOOKUP(A215,'Trips&amp;Operators'!$C$1:$G$99999,5,FALSE)</f>
        <v>BROWN JACOB</v>
      </c>
      <c r="M215" s="6">
        <f t="shared" si="100"/>
        <v>0</v>
      </c>
      <c r="N215" s="7">
        <f t="shared" si="93"/>
        <v>0</v>
      </c>
      <c r="O215" s="7"/>
      <c r="P215" s="7"/>
      <c r="Q215" s="23"/>
      <c r="R215" s="23"/>
      <c r="S215" s="35">
        <f t="shared" si="95"/>
        <v>0</v>
      </c>
      <c r="T215" s="50" t="e">
        <f t="shared" si="101"/>
        <v>#VALUE!</v>
      </c>
      <c r="U215" s="171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0</v>
      </c>
      <c r="V215" s="98" t="str">
        <f t="shared" si="102"/>
        <v>https://search-rtdc-monitor-bjffxe2xuh6vdkpspy63sjmuny.us-east-1.es.amazonaws.com/_plugin/kibana/#/discover/Steve-Slow-Train-Analysis-(2080s-and-2083s)?_g=(refreshInterval:(display:Off,section:0,value:0),time:(from:'2016-12-10 16:07:55-700',mode:absolute,to:'1969-12-31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201053%20OR%202087)%20AND%20%22rtdc.l.rtdc.4042%22')),sort:!(Time,asc))</v>
      </c>
      <c r="W215" s="52" t="str">
        <f t="shared" si="89"/>
        <v>Y</v>
      </c>
      <c r="X215" s="177" t="e">
        <f t="shared" si="92"/>
        <v>#VALUE!</v>
      </c>
      <c r="Y215" s="67">
        <f t="shared" si="96"/>
        <v>0.1162</v>
      </c>
      <c r="Z215" s="67">
        <f t="shared" si="94"/>
        <v>2.3087</v>
      </c>
      <c r="AA215" s="67">
        <f t="shared" si="103"/>
        <v>2.1924999999999999</v>
      </c>
      <c r="AB215" s="64" t="e">
        <f>VLOOKUP(A215,Enforcements!$C$7:$K$20,8,0)</f>
        <v>#N/A</v>
      </c>
      <c r="AC215" s="60" t="e">
        <f>VLOOKUP(A215,Enforcements!$C$7:$E$20,3,0)</f>
        <v>#N/A</v>
      </c>
      <c r="AD215" s="61" t="str">
        <f t="shared" si="104"/>
        <v>75-10</v>
      </c>
      <c r="AE215" s="91" t="str">
        <f t="shared" si="105"/>
        <v>aws s3 cp s3://rtdc.mdm.uploadarchive.raw/RTDC4042/ "%USERPROFILE%\AppData\Local\Temp\OnboardLogs"\RTDC4042\1969-12-31 --exclude "*" --recursive --include "*19691231*" &amp; "%USERPROFILE%\Documents\GitHub\mrs-test-scripts\Headless Mode &amp; Sideloading\WalkAndUnGZ.bat" "%USERPROFILE%\AppData\Local\Temp\OnboardLogs"\RTDC4042\1969-12-31 &amp; aws s3 cp s3://rtdc.mdm.uploadarchive.raw/RTDC4042/ "%USERPROFILE%\AppData\Local\Temp\OnboardLogs"\RTDC4042\1970-01-01 --exclude "*" --recursive --include "*19700101*" &amp; "%USERPROFILE%\Documents\GitHub\mrs-test-scripts\Headless Mode &amp; Sideloading\WalkAndUnGZ.bat" "%USERPROFILE%\AppData\Local\Temp\OnboardLogs"\RTDC4042\1970-01-01</v>
      </c>
      <c r="AF215" s="88" t="str">
        <f t="shared" si="106"/>
        <v>"C:\Program Files (x86)\AstroGrep\AstroGrep.exe" /spath="%USERPROFILE%\AppData\Local\Temp\OnboardLogs" /stypes="app*4042*19700101*" /stext=" 00:.+((SYSTEM_STATE.+slice.+state.+changed )|(ment ac)|(multiple cpu faults)|(system.+state.+changed )|(\[timeout)|(PRM\|1\|D)|(kpr)|(kdp)|(\|lc)|(penalty))" /e /r /s</v>
      </c>
      <c r="AG215" s="1" t="str">
        <f t="shared" si="107"/>
        <v>Other</v>
      </c>
      <c r="AH215" s="92" t="str">
        <f t="shared" si="97"/>
        <v>"%USERPROFILE%\Documents\GitHub\eaglep3\Utilities\RefineRTDCRunTimes.py" --tripid 75-10 --locoid 4042 --swversion DE.1.0.8.0 --startMP 204:1162 --initTime 2016-12-10T17:07:55 --startdatetime 1969-12-31T17:00:00 --delay 2 --endMP 300:23087 --enddatetime 1969-12-31T17:00:00 --enforcementcount 1 &gt;&gt;C:\Users\stu\Documents\GitHub\eaglep3-reporting\EC\2016-12-10-refined-times.txt</v>
      </c>
      <c r="AI215" s="119" t="str">
        <f t="shared" si="98"/>
        <v>echo {"issue":{"subject":"","project_id":79,"tracker_id":40,"status_id":1,"priority_id":2,"assigned_to_id":23,"start_date":"1969-12-31","description":"","custom_fields":[{"id":1,"name":"Subdivision","value":"Other"},{"id":4,"name":"Milepost","value":"2.3087"},{"id":17,"name":"Train ID","value":"75-10"},{"id":16,"name":"Locomotive ID","value":"4042"},{"id":130,"name":"Impact","value":""},{"id":150,"name":"Time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5" s="53"/>
      <c r="AK215" s="53"/>
      <c r="AL215" s="53"/>
    </row>
    <row r="216" spans="1:38" x14ac:dyDescent="0.25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S216"/>
      <c r="U216"/>
      <c r="V216"/>
      <c r="W216"/>
      <c r="X216"/>
      <c r="Y216"/>
      <c r="Z216"/>
      <c r="AA216"/>
      <c r="AB216"/>
      <c r="AC216"/>
      <c r="AD216"/>
      <c r="AE216"/>
      <c r="AF216"/>
      <c r="AH216"/>
      <c r="AI216"/>
    </row>
    <row r="217" spans="1:38" x14ac:dyDescent="0.25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S217"/>
      <c r="U217"/>
      <c r="V217"/>
      <c r="W217"/>
      <c r="X217"/>
      <c r="Y217"/>
      <c r="Z217"/>
      <c r="AA217"/>
      <c r="AB217"/>
      <c r="AC217"/>
      <c r="AD217"/>
      <c r="AE217"/>
      <c r="AF217"/>
      <c r="AH217"/>
      <c r="AI217"/>
    </row>
    <row r="218" spans="1:38" x14ac:dyDescent="0.25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S218"/>
      <c r="U218"/>
      <c r="V218"/>
      <c r="W218"/>
      <c r="X218"/>
      <c r="Y218"/>
      <c r="Z218"/>
      <c r="AA218"/>
      <c r="AB218"/>
      <c r="AC218"/>
      <c r="AD218"/>
      <c r="AE218"/>
      <c r="AF218"/>
      <c r="AH218"/>
      <c r="AI218"/>
    </row>
    <row r="219" spans="1:38" x14ac:dyDescent="0.25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S219"/>
      <c r="U219"/>
      <c r="V219"/>
      <c r="W219"/>
      <c r="X219"/>
      <c r="Y219"/>
      <c r="Z219"/>
      <c r="AA219"/>
      <c r="AB219"/>
      <c r="AC219"/>
      <c r="AD219"/>
      <c r="AE219"/>
      <c r="AF219"/>
      <c r="AH219"/>
      <c r="AI219"/>
    </row>
    <row r="220" spans="1:38" x14ac:dyDescent="0.25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S220"/>
      <c r="U220"/>
      <c r="V220"/>
      <c r="W220"/>
      <c r="X220"/>
      <c r="Y220"/>
      <c r="Z220"/>
      <c r="AA220"/>
      <c r="AB220"/>
      <c r="AC220"/>
      <c r="AD220"/>
      <c r="AE220"/>
      <c r="AF220"/>
      <c r="AH220"/>
      <c r="AI220"/>
    </row>
    <row r="221" spans="1:38" x14ac:dyDescent="0.25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S221"/>
      <c r="U221"/>
      <c r="V221"/>
      <c r="W221"/>
      <c r="X221"/>
      <c r="Y221"/>
      <c r="Z221"/>
      <c r="AA221"/>
      <c r="AB221"/>
      <c r="AC221"/>
      <c r="AD221"/>
      <c r="AE221"/>
      <c r="AF221"/>
      <c r="AH221"/>
      <c r="AI221"/>
    </row>
    <row r="222" spans="1:38" x14ac:dyDescent="0.25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S222"/>
      <c r="U222"/>
      <c r="V222"/>
      <c r="W222"/>
      <c r="X222"/>
      <c r="Y222"/>
      <c r="Z222"/>
      <c r="AA222"/>
      <c r="AB222"/>
      <c r="AC222"/>
      <c r="AD222"/>
      <c r="AE222"/>
      <c r="AF222"/>
      <c r="AH222"/>
      <c r="AI222"/>
    </row>
    <row r="223" spans="1:38" x14ac:dyDescent="0.25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S223"/>
      <c r="U223"/>
      <c r="V223"/>
      <c r="W223"/>
      <c r="X223"/>
      <c r="Y223"/>
      <c r="Z223"/>
      <c r="AA223"/>
      <c r="AB223"/>
      <c r="AC223"/>
      <c r="AD223"/>
      <c r="AE223"/>
      <c r="AF223"/>
      <c r="AH223"/>
      <c r="AI223"/>
    </row>
    <row r="224" spans="1:38" x14ac:dyDescent="0.25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S224"/>
      <c r="U224"/>
      <c r="V224"/>
      <c r="W224"/>
      <c r="X224"/>
      <c r="Y224"/>
      <c r="Z224"/>
      <c r="AA224"/>
      <c r="AB224"/>
      <c r="AC224"/>
      <c r="AD224"/>
      <c r="AE224"/>
      <c r="AF224"/>
      <c r="AH224"/>
      <c r="AI224"/>
    </row>
    <row r="225" spans="1:35" x14ac:dyDescent="0.25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S225"/>
      <c r="U225"/>
      <c r="V225"/>
      <c r="W225"/>
      <c r="X225"/>
      <c r="Y225"/>
      <c r="Z225"/>
      <c r="AA225"/>
      <c r="AB225"/>
      <c r="AC225"/>
      <c r="AD225"/>
      <c r="AE225"/>
      <c r="AF225"/>
      <c r="AH225"/>
      <c r="AI225"/>
    </row>
    <row r="226" spans="1:35" x14ac:dyDescent="0.2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S226"/>
      <c r="U226"/>
      <c r="V226"/>
      <c r="W226"/>
      <c r="X226"/>
      <c r="Y226"/>
      <c r="Z226"/>
      <c r="AA226"/>
      <c r="AB226"/>
      <c r="AC226"/>
      <c r="AD226"/>
      <c r="AE226"/>
      <c r="AF226"/>
      <c r="AH226"/>
      <c r="AI226"/>
    </row>
    <row r="227" spans="1:35" x14ac:dyDescent="0.2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S227"/>
      <c r="U227"/>
      <c r="V227"/>
      <c r="W227"/>
      <c r="X227"/>
      <c r="Y227"/>
      <c r="Z227"/>
      <c r="AA227"/>
      <c r="AB227"/>
      <c r="AC227"/>
      <c r="AD227"/>
      <c r="AE227"/>
      <c r="AF227"/>
      <c r="AH227"/>
      <c r="AI227"/>
    </row>
    <row r="228" spans="1:35" x14ac:dyDescent="0.2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S228"/>
      <c r="U228"/>
      <c r="V228"/>
      <c r="W228"/>
      <c r="X228"/>
      <c r="Y228"/>
      <c r="Z228"/>
      <c r="AA228"/>
      <c r="AB228"/>
      <c r="AC228"/>
      <c r="AD228"/>
      <c r="AE228"/>
      <c r="AF228"/>
      <c r="AH228"/>
      <c r="AI228"/>
    </row>
    <row r="229" spans="1:35" x14ac:dyDescent="0.2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S229"/>
      <c r="U229"/>
      <c r="V229"/>
      <c r="W229"/>
      <c r="X229"/>
      <c r="Y229"/>
      <c r="Z229"/>
      <c r="AA229"/>
      <c r="AB229"/>
      <c r="AC229"/>
      <c r="AD229"/>
      <c r="AE229"/>
      <c r="AF229"/>
      <c r="AH229"/>
      <c r="AI229"/>
    </row>
    <row r="230" spans="1:35" x14ac:dyDescent="0.2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S230"/>
      <c r="U230"/>
      <c r="V230"/>
      <c r="W230"/>
      <c r="X230"/>
      <c r="Y230"/>
      <c r="Z230"/>
      <c r="AA230"/>
      <c r="AB230"/>
      <c r="AC230"/>
      <c r="AD230"/>
      <c r="AE230"/>
      <c r="AF230"/>
      <c r="AH230"/>
      <c r="AI230"/>
    </row>
    <row r="231" spans="1:35" x14ac:dyDescent="0.2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S231"/>
      <c r="U231"/>
      <c r="V231"/>
      <c r="W231"/>
      <c r="X231"/>
      <c r="Y231"/>
      <c r="Z231"/>
      <c r="AA231"/>
      <c r="AB231"/>
      <c r="AC231"/>
      <c r="AD231"/>
      <c r="AE231"/>
      <c r="AF231"/>
      <c r="AH231"/>
      <c r="AI231"/>
    </row>
    <row r="232" spans="1:35" x14ac:dyDescent="0.2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S232"/>
      <c r="U232"/>
      <c r="V232"/>
      <c r="W232"/>
      <c r="X232"/>
      <c r="Y232"/>
      <c r="Z232"/>
      <c r="AA232"/>
      <c r="AB232"/>
      <c r="AC232"/>
      <c r="AD232"/>
      <c r="AE232"/>
      <c r="AF232"/>
      <c r="AH232"/>
      <c r="AI232"/>
    </row>
    <row r="233" spans="1:35" x14ac:dyDescent="0.2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S233"/>
      <c r="U233"/>
      <c r="V233"/>
      <c r="W233"/>
      <c r="X233"/>
      <c r="Y233"/>
      <c r="Z233"/>
      <c r="AA233"/>
      <c r="AB233"/>
      <c r="AC233"/>
      <c r="AD233"/>
      <c r="AE233"/>
      <c r="AF233"/>
      <c r="AH233"/>
      <c r="AI233"/>
    </row>
    <row r="234" spans="1:35" x14ac:dyDescent="0.2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S234"/>
      <c r="U234"/>
      <c r="V234"/>
      <c r="W234"/>
      <c r="X234"/>
      <c r="Y234"/>
      <c r="Z234"/>
      <c r="AA234"/>
      <c r="AB234"/>
      <c r="AC234"/>
      <c r="AD234"/>
      <c r="AE234"/>
      <c r="AF234"/>
      <c r="AH234"/>
      <c r="AI234"/>
    </row>
    <row r="235" spans="1:35" x14ac:dyDescent="0.2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S235"/>
      <c r="U235"/>
      <c r="V235"/>
      <c r="W235"/>
      <c r="X235"/>
      <c r="Y235"/>
      <c r="Z235"/>
      <c r="AA235"/>
      <c r="AB235"/>
      <c r="AC235"/>
      <c r="AD235"/>
      <c r="AE235"/>
      <c r="AF235"/>
      <c r="AH235"/>
      <c r="AI235"/>
    </row>
    <row r="236" spans="1:35" x14ac:dyDescent="0.2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S236"/>
      <c r="U236"/>
      <c r="V236"/>
      <c r="W236"/>
      <c r="X236"/>
      <c r="Y236"/>
      <c r="Z236"/>
      <c r="AA236"/>
      <c r="AB236"/>
      <c r="AC236"/>
      <c r="AD236"/>
      <c r="AE236"/>
      <c r="AF236"/>
      <c r="AH236"/>
      <c r="AI236"/>
    </row>
    <row r="237" spans="1:35" x14ac:dyDescent="0.2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S237"/>
      <c r="U237"/>
      <c r="V237"/>
      <c r="W237"/>
      <c r="X237"/>
      <c r="Y237"/>
      <c r="Z237"/>
      <c r="AA237"/>
      <c r="AB237"/>
      <c r="AC237"/>
      <c r="AD237"/>
      <c r="AE237"/>
      <c r="AF237"/>
      <c r="AH237"/>
      <c r="AI237"/>
    </row>
  </sheetData>
  <autoFilter ref="A12:AG228"/>
  <sortState ref="A13:AH200">
    <sortCondition ref="AG13:AG200"/>
    <sortCondition ref="AD13:AD200"/>
  </sortState>
  <mergeCells count="1">
    <mergeCell ref="A11:P11"/>
  </mergeCells>
  <conditionalFormatting sqref="W11:W12 W238:X1048576 W13:X215">
    <cfRule type="cellIs" dxfId="10" priority="344" operator="equal">
      <formula>"Y"</formula>
    </cfRule>
  </conditionalFormatting>
  <conditionalFormatting sqref="X238:X1048576 X13:X215">
    <cfRule type="cellIs" dxfId="9" priority="327" operator="greaterThan">
      <formula>1</formula>
    </cfRule>
  </conditionalFormatting>
  <conditionalFormatting sqref="X238:X1048576 X12:X215">
    <cfRule type="cellIs" dxfId="8" priority="324" operator="equal">
      <formula>0</formula>
    </cfRule>
  </conditionalFormatting>
  <conditionalFormatting sqref="A13:S215">
    <cfRule type="expression" dxfId="7" priority="318" stopIfTrue="1">
      <formula>$P13&gt;0</formula>
    </cfRule>
    <cfRule type="expression" dxfId="6" priority="319" stopIfTrue="1">
      <formula>$O13&gt;0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2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20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A13:S215</xm:sqref>
        </x14:conditionalFormatting>
        <x14:conditionalFormatting xmlns:xm="http://schemas.microsoft.com/office/excel/2006/main">
          <x14:cfRule type="expression" priority="3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A13:S215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AK13:AK215</xm:sqref>
        </x14:dataValidation>
        <x14:dataValidation type="list" allowBlank="1" showInputMessage="1" showErrorMessage="1">
          <x14:formula1>
            <xm:f>'Redmine List Values'!$C$2:$C$15</xm:f>
          </x14:formula1>
          <xm:sqref>AL13:AL215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D75"/>
  <sheetViews>
    <sheetView topLeftCell="A2" zoomScaleNormal="100" workbookViewId="0">
      <selection activeCell="P23" sqref="P23"/>
    </sheetView>
  </sheetViews>
  <sheetFormatPr defaultRowHeight="15" x14ac:dyDescent="0.25"/>
  <cols>
    <col min="1" max="1" width="18.28515625" style="8" bestFit="1" customWidth="1"/>
    <col min="2" max="2" width="15" customWidth="1"/>
    <col min="3" max="3" width="8.28515625" customWidth="1"/>
    <col min="4" max="4" width="13.140625" style="136" customWidth="1"/>
    <col min="5" max="5" width="18.5703125" style="136" customWidth="1"/>
    <col min="6" max="6" width="5.7109375" style="136" customWidth="1"/>
    <col min="7" max="7" width="5.85546875" style="136" customWidth="1"/>
    <col min="8" max="8" width="7.85546875" style="136" customWidth="1"/>
    <col min="9" max="9" width="9" style="136" customWidth="1"/>
    <col min="10" max="10" width="11.5703125" style="136" hidden="1" customWidth="1"/>
    <col min="11" max="11" width="9.140625" style="136" customWidth="1"/>
    <col min="12" max="12" width="7.85546875" style="136" customWidth="1"/>
    <col min="13" max="13" width="7.85546875" style="2" customWidth="1"/>
    <col min="14" max="14" width="12.140625" style="135" customWidth="1"/>
    <col min="15" max="15" width="5.140625" style="165" customWidth="1"/>
    <col min="16" max="16" width="31" style="136" customWidth="1"/>
    <col min="17" max="17" width="5" hidden="1" customWidth="1"/>
    <col min="18" max="18" width="5.5703125" style="89" customWidth="1"/>
    <col min="19" max="19" width="5.5703125" style="101" customWidth="1"/>
    <col min="20" max="20" width="6" style="86" customWidth="1"/>
    <col min="21" max="21" width="5.140625" customWidth="1"/>
    <col min="22" max="22" width="21.7109375" style="48" bestFit="1" customWidth="1"/>
    <col min="23" max="23" width="5.28515625" customWidth="1"/>
    <col min="24" max="24" width="6.7109375" hidden="1" customWidth="1"/>
    <col min="25" max="25" width="4.28515625" customWidth="1"/>
    <col min="26" max="26" width="6.85546875" customWidth="1"/>
    <col min="27" max="27" width="6.42578125" customWidth="1"/>
    <col min="28" max="28" width="7.140625" customWidth="1"/>
    <col min="29" max="29" width="5.28515625" style="138" customWidth="1"/>
    <col min="31" max="16384" width="9.140625" style="1"/>
  </cols>
  <sheetData>
    <row r="1" spans="1:30" s="21" customFormat="1" ht="15.75" hidden="1" thickBot="1" x14ac:dyDescent="0.3">
      <c r="A1" s="8"/>
      <c r="D1" s="136"/>
      <c r="E1" s="136"/>
      <c r="F1" s="136"/>
      <c r="G1" s="136"/>
      <c r="H1" s="136"/>
      <c r="I1" s="136"/>
      <c r="J1" s="136"/>
      <c r="K1" s="136"/>
      <c r="L1" s="136"/>
      <c r="M1" s="2"/>
      <c r="N1" s="135"/>
      <c r="O1" s="165"/>
      <c r="P1" s="136"/>
      <c r="R1" s="89"/>
      <c r="S1" s="101"/>
      <c r="T1" s="86"/>
      <c r="V1" s="48"/>
      <c r="AC1" s="138"/>
    </row>
    <row r="2" spans="1:30" s="21" customFormat="1" x14ac:dyDescent="0.25">
      <c r="A2" s="8"/>
      <c r="D2" s="136"/>
      <c r="E2" s="136"/>
      <c r="F2" s="136"/>
      <c r="G2" s="136"/>
      <c r="H2" s="136"/>
      <c r="I2" s="136"/>
      <c r="J2" s="136"/>
      <c r="K2" s="136"/>
      <c r="L2" s="147" t="s">
        <v>80</v>
      </c>
      <c r="M2" s="131"/>
      <c r="N2" s="148"/>
      <c r="O2" s="179">
        <f>COUNTIF($O$7:$O$334,"=Y")</f>
        <v>8</v>
      </c>
      <c r="P2" s="133"/>
      <c r="R2" s="89"/>
      <c r="S2" s="101"/>
      <c r="T2" s="86"/>
      <c r="V2" s="48"/>
      <c r="AC2" s="139"/>
    </row>
    <row r="3" spans="1:30" s="21" customFormat="1" ht="15.75" thickBot="1" x14ac:dyDescent="0.3">
      <c r="A3" s="8"/>
      <c r="D3" s="136"/>
      <c r="E3" s="136"/>
      <c r="F3" s="136"/>
      <c r="G3" s="136"/>
      <c r="H3" s="136"/>
      <c r="I3" s="136"/>
      <c r="J3" s="136"/>
      <c r="K3" s="136"/>
      <c r="L3" s="149" t="s">
        <v>81</v>
      </c>
      <c r="M3" s="132"/>
      <c r="N3" s="150"/>
      <c r="O3" s="180">
        <f>COUNTA($O$7:$O$334)-O2</f>
        <v>24</v>
      </c>
      <c r="P3" s="133"/>
      <c r="R3" s="89"/>
      <c r="S3" s="101"/>
      <c r="T3" s="86"/>
      <c r="V3" s="48"/>
      <c r="AC3" s="139"/>
    </row>
    <row r="4" spans="1:30" s="21" customFormat="1" x14ac:dyDescent="0.25">
      <c r="A4" s="8"/>
      <c r="D4" s="136"/>
      <c r="E4" s="136"/>
      <c r="F4" s="136"/>
      <c r="G4" s="136"/>
      <c r="H4" s="136"/>
      <c r="I4" s="136"/>
      <c r="J4" s="136"/>
      <c r="K4" s="136"/>
      <c r="L4" s="136"/>
      <c r="M4" s="2"/>
      <c r="N4" s="135"/>
      <c r="O4" s="165"/>
      <c r="P4" s="136"/>
      <c r="R4" s="89"/>
      <c r="S4" s="101"/>
      <c r="T4" s="86"/>
      <c r="V4" s="48"/>
      <c r="AC4" s="139"/>
    </row>
    <row r="5" spans="1:30" s="10" customFormat="1" ht="15" customHeight="1" x14ac:dyDescent="0.25">
      <c r="A5" s="183" t="str">
        <f>"Eagle P3 Braking Events - "&amp;TEXT(Variables!$A$2,"YYYY-mm-dd")</f>
        <v>Eagle P3 Braking Events - 2016-12-10</v>
      </c>
      <c r="B5" s="183"/>
      <c r="C5" s="183"/>
      <c r="D5" s="183"/>
      <c r="E5" s="183"/>
      <c r="F5" s="183"/>
      <c r="G5" s="183"/>
      <c r="H5" s="183"/>
      <c r="I5" s="183"/>
      <c r="J5" s="183"/>
      <c r="K5" s="183"/>
      <c r="L5" s="183"/>
      <c r="M5" s="183"/>
      <c r="N5" s="183"/>
      <c r="O5" s="183"/>
      <c r="P5" s="151"/>
      <c r="R5" s="99"/>
      <c r="S5" s="102"/>
      <c r="T5" s="104"/>
      <c r="V5" s="49"/>
      <c r="AC5" s="140"/>
    </row>
    <row r="6" spans="1:30" s="130" customFormat="1" ht="69.75" customHeight="1" x14ac:dyDescent="0.2">
      <c r="A6" s="120" t="s">
        <v>38</v>
      </c>
      <c r="B6" s="121" t="s">
        <v>37</v>
      </c>
      <c r="C6" s="121" t="s">
        <v>36</v>
      </c>
      <c r="D6" s="137" t="s">
        <v>35</v>
      </c>
      <c r="E6" s="137" t="s">
        <v>34</v>
      </c>
      <c r="F6" s="137" t="s">
        <v>33</v>
      </c>
      <c r="G6" s="137" t="s">
        <v>32</v>
      </c>
      <c r="H6" s="137" t="s">
        <v>31</v>
      </c>
      <c r="I6" s="137" t="s">
        <v>156</v>
      </c>
      <c r="J6" s="137" t="s">
        <v>30</v>
      </c>
      <c r="K6" s="137" t="s">
        <v>29</v>
      </c>
      <c r="L6" s="137" t="s">
        <v>28</v>
      </c>
      <c r="M6" s="122" t="s">
        <v>157</v>
      </c>
      <c r="N6" s="152" t="s">
        <v>47</v>
      </c>
      <c r="O6" s="181" t="s">
        <v>27</v>
      </c>
      <c r="P6" s="137" t="s">
        <v>24</v>
      </c>
      <c r="Q6" s="123"/>
      <c r="R6" s="124" t="s">
        <v>89</v>
      </c>
      <c r="S6" s="125" t="s">
        <v>55</v>
      </c>
      <c r="T6" s="126" t="s">
        <v>88</v>
      </c>
      <c r="U6" s="121" t="s">
        <v>83</v>
      </c>
      <c r="V6" s="127" t="s">
        <v>84</v>
      </c>
      <c r="W6" s="123" t="s">
        <v>96</v>
      </c>
      <c r="X6" s="123" t="s">
        <v>97</v>
      </c>
      <c r="Y6" s="128" t="s">
        <v>148</v>
      </c>
      <c r="Z6" s="129" t="s">
        <v>149</v>
      </c>
      <c r="AA6" s="129" t="s">
        <v>122</v>
      </c>
      <c r="AB6" s="129" t="s">
        <v>150</v>
      </c>
      <c r="AC6" s="141" t="s">
        <v>176</v>
      </c>
      <c r="AD6" s="130" t="s">
        <v>231</v>
      </c>
    </row>
    <row r="7" spans="1:30" x14ac:dyDescent="0.25">
      <c r="A7" s="36">
        <v>42714.235324074078</v>
      </c>
      <c r="B7" s="31" t="s">
        <v>229</v>
      </c>
      <c r="C7" s="31" t="s">
        <v>407</v>
      </c>
      <c r="D7" s="31" t="s">
        <v>98</v>
      </c>
      <c r="E7" s="31" t="s">
        <v>272</v>
      </c>
      <c r="F7" s="47">
        <v>310</v>
      </c>
      <c r="G7" s="47">
        <v>360</v>
      </c>
      <c r="H7" s="47">
        <v>33173</v>
      </c>
      <c r="I7" s="47">
        <v>0</v>
      </c>
      <c r="J7" s="31" t="s">
        <v>273</v>
      </c>
      <c r="K7" s="47">
        <v>33137</v>
      </c>
      <c r="L7" s="154" t="s">
        <v>50</v>
      </c>
      <c r="M7" s="155">
        <f t="shared" ref="M7:M38" si="0">CONVERT((I7-K7)/10000,"mi","ft")*IF(L7="Increasing Mileposts (1)",-1,1)</f>
        <v>17496.335999999999</v>
      </c>
      <c r="N7" s="156" t="str">
        <f>VLOOKUP(C7,'Trips&amp;Operators'!$C$1:$G$99999,5,FALSE)</f>
        <v>ISHMAEL JOSEPH</v>
      </c>
      <c r="O7" s="182" t="s">
        <v>196</v>
      </c>
      <c r="P7" s="157" t="s">
        <v>804</v>
      </c>
      <c r="Q7" s="31"/>
      <c r="R7" s="100" t="str">
        <f>VLOOKUP(C7,'Train Runs'!$A$13:$AE$9972,31,0)</f>
        <v>aws s3 cp s3://rtdc.mdm.uploadarchive.raw/RTDC4014/ "%USERPROFILE%\AppData\Local\Temp\OnboardLogs"\RTDC4014\2016-12-10 --exclude "*" --recursive --include "*20161210*" &amp; "%USERPROFILE%\Documents\GitHub\mrs-test-scripts\Headless Mode &amp; Sideloading\WalkAndUnGZ.bat" "%USERPROFILE%\AppData\Local\Temp\OnboardLogs"\RTDC4014\2016-12-10 &amp; aws s3 cp s3://rtdc.mdm.uploadarchive.raw/RTDC4014/ "%USERPROFILE%\AppData\Local\Temp\OnboardLogs"\RTDC4014\2016-12-11 --exclude "*" --recursive --include "*20161211*" &amp; "%USERPROFILE%\Documents\GitHub\mrs-test-scripts\Headless Mode &amp; Sideloading\WalkAndUnGZ.bat" "%USERPROFILE%\AppData\Local\Temp\OnboardLogs"\RTDC4014\2016-12-11</v>
      </c>
      <c r="S7" s="103" t="str">
        <f>VLOOKUP(C7,'Train Runs'!$A$13:$AE$9972,22,0)</f>
        <v>https://search-rtdc-monitor-bjffxe2xuh6vdkpspy63sjmuny.us-east-1.es.amazonaws.com/_plugin/kibana/#/discover/Steve-Slow-Train-Analysis-(2080s-and-2083s)?_g=(refreshInterval:(display:Off,section:0,value:0),time:(from:'2016-12-10 04:27:03-700',mode:absolute,to:'2016-12-10 06:37:33-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201053%20OR%202087)%20AND%20%22rtdc.l.rtdc.4014%22')),sort:!(Time,asc))</v>
      </c>
      <c r="T7" s="105" t="str">
        <f t="shared" ref="T7:T38" si="1">astrogrep_path&amp;" /spath="&amp;search_path&amp;" /stypes=""*"&amp;U7&amp;"*"&amp;TEXT(A7-utc_offset/24,"YYYYMMDD")&amp;LEFT(TEXT(A7-utc_offset/24,"HH"),1)&amp;"*"" /stext="" "&amp;TEXT(A7-utc_offset/24,"HH")&amp;search_regexp&amp;""" /e /r /s"</f>
        <v>"C:\Program Files (x86)\AstroGrep\AstroGrep.exe" /spath="%USERPROFILE%\AppData\Local\Temp\OnboardLogs" /stypes="*4014*201612101*" /stext=" 12:.+((SYSTEM_STATE.+slice.+state.+changed )|(ment ac)|(multiple cpu faults)|(system.+state.+changed )|(\[timeout)|(PRM\|1\|D)|(kpr)|(kdp)|(\|lc)|(penalty))" /e /r /s</v>
      </c>
      <c r="U7" s="9" t="str">
        <f t="shared" ref="U7:U38" si="2">MID(B7,13,4)</f>
        <v>4014</v>
      </c>
      <c r="V7" s="36">
        <f t="shared" ref="V7:V38" si="3">A7-utc_offset/24</f>
        <v>42714.526990740742</v>
      </c>
      <c r="W7" s="50" t="str">
        <f t="shared" ref="W7:W38" si="4">IF(VALUE(LEFT(IF(LEN(C7)=6,"0"&amp;C7,C7),2))&lt;=2,"EC",IF(OR(VALUE(LEFT(IF(LEN(C7)=6,"0"&amp;C7,C7),2))=8,VALUE(LEFT(IF(LEN(C7)=6,"0"&amp;C7,C7),2))=18),"NW","Other"))</f>
        <v>EC</v>
      </c>
      <c r="X7" s="50" t="str">
        <f t="shared" ref="X7:X38" si="5">IF(AND(E7="TRACK WARRANT AUTHORITY",G7&lt;10),"OMIT","KEEP")</f>
        <v>KEEP</v>
      </c>
      <c r="Y7" s="119" t="str">
        <f t="shared" ref="Y7:Y38" si="6"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arrival","project_id":79,"tracker_id":40,"status_id":1,"priority_id":2,"assigned_to_id":23,"start_date":"2016-12-10","description":"","custom_fields":[{"id":1,"name":"Subdivision","value":"EC"},{"id":4,"name":"Milepost","value":"3.3137"},{"id":17,"name":"Train ID","value":"115-10"},{"id":16,"name":"Locomotive ID","value":"4014"},{"id":130,"name":"Impact","value":""},{"id":150,"name":"Time of Event (Mountain Time)","value":"05:38:52"},{"id":151,"name":"Denver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" s="53"/>
      <c r="AA7" s="53"/>
      <c r="AB7" s="53"/>
      <c r="AC7" s="138" t="str">
        <f t="shared" ref="AC7:AC38" si="7">"grep -hSE -A100 ""Enforcement Action"" "&amp;search_path&amp;"\RTDC"&amp;U7&amp;"\*"&amp;U7&amp;"*"&amp;TEXT(A7-utc_offset/24,"YYYYMMDD")&amp;LEFT(TEXT(A7-utc_offset/24,"HH"),1)&amp;"* | grep -SE ""((Enforcement Ac)|(PRM))"" -"</f>
        <v>grep -hSE -A100 "Enforcement Action" "%USERPROFILE%\AppData\Local\Temp\OnboardLogs"\RTDC4014\*4014*201612101* | grep -SE "((Enforcement Ac)|(PRM))" -</v>
      </c>
      <c r="AD7" s="1" t="str">
        <f>"grep -hSE ""Enforcement Action"" "&amp;search_path&amp;"\RTDC"&amp;U7&amp;"\*"&amp;U7&amp;"*"&amp;TEXT(A7-utc_offset/24,"YYYYMMDD")&amp;LEFT(TEXT(A7-utc_offset/24,"HH"),1)&amp;"* &gt;&gt; "&amp;Variables!$A$2&amp;"-slicedisagreementcheck.txt"</f>
        <v>grep -hSE "Enforcement Action" "%USERPROFILE%\AppData\Local\Temp\OnboardLogs"\RTDC4014\*4014*201612101* &gt;&gt; 42714-slicedisagreementcheck.txt</v>
      </c>
    </row>
    <row r="8" spans="1:30" ht="0" hidden="1" x14ac:dyDescent="0">
      <c r="A8" s="36">
        <v>42714.944050925929</v>
      </c>
      <c r="B8" s="31" t="s">
        <v>208</v>
      </c>
      <c r="C8" s="31" t="s">
        <v>436</v>
      </c>
      <c r="D8" s="31" t="s">
        <v>98</v>
      </c>
      <c r="E8" s="31" t="s">
        <v>272</v>
      </c>
      <c r="F8" s="47">
        <v>80</v>
      </c>
      <c r="G8" s="47">
        <v>139</v>
      </c>
      <c r="H8" s="47">
        <v>33285</v>
      </c>
      <c r="I8" s="47">
        <v>33637</v>
      </c>
      <c r="J8" s="31" t="s">
        <v>273</v>
      </c>
      <c r="K8" s="47">
        <v>33137</v>
      </c>
      <c r="L8" s="154" t="s">
        <v>50</v>
      </c>
      <c r="M8" s="155">
        <f t="shared" si="0"/>
        <v>-264</v>
      </c>
      <c r="N8" s="156" t="str">
        <f>VLOOKUP(C8,'Trips&amp;Operators'!$C$1:$G$99999,5,FALSE)</f>
        <v>STAMBAUGH JAMES</v>
      </c>
      <c r="O8" s="182" t="s">
        <v>196</v>
      </c>
      <c r="P8" s="157" t="s">
        <v>804</v>
      </c>
      <c r="Q8" s="31"/>
      <c r="R8" s="100" t="str">
        <f>VLOOKUP(C8,'Train Runs'!$A$13:$AE$9972,31,0)</f>
        <v>aws s3 cp s3://rtdc.mdm.uploadarchive.raw/RTDC4040/ "%USERPROFILE%\AppData\Local\Temp\OnboardLogs"\RTDC4040\2016-12-10 --exclude "*" --recursive --include "*20161210*" &amp; "%USERPROFILE%\Documents\GitHub\mrs-test-scripts\Headless Mode &amp; Sideloading\WalkAndUnGZ.bat" "%USERPROFILE%\AppData\Local\Temp\OnboardLogs"\RTDC4040\2016-12-10 &amp; aws s3 cp s3://rtdc.mdm.uploadarchive.raw/RTDC4040/ "%USERPROFILE%\AppData\Local\Temp\OnboardLogs"\RTDC4040\2016-12-11 --exclude "*" --recursive --include "*20161211*" &amp; "%USERPROFILE%\Documents\GitHub\mrs-test-scripts\Headless Mode &amp; Sideloading\WalkAndUnGZ.bat" "%USERPROFILE%\AppData\Local\Temp\OnboardLogs"\RTDC4040\2016-12-11</v>
      </c>
      <c r="S8" s="103" t="str">
        <f>VLOOKUP(C8,'Train Runs'!$A$13:$AE$9972,22,0)</f>
        <v>https://search-rtdc-monitor-bjffxe2xuh6vdkpspy63sjmuny.us-east-1.es.amazonaws.com/_plugin/kibana/#/discover/Steve-Slow-Train-Analysis-(2080s-and-2083s)?_g=(refreshInterval:(display:Off,section:0,value:0),time:(from:'2016-12-10 21:09:02-700',mode:absolute,to:'2016-12-11 00:05:57-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201053%20OR%202087)%20AND%20%22rtdc.l.rtdc.4040%22')),sort:!(Time,asc))</v>
      </c>
      <c r="T8" s="105" t="str">
        <f t="shared" si="1"/>
        <v>"C:\Program Files (x86)\AstroGrep\AstroGrep.exe" /spath="%USERPROFILE%\AppData\Local\Temp\OnboardLogs" /stypes="*4040*201612110*" /stext=" 05:.+((SYSTEM_STATE.+slice.+state.+changed )|(ment ac)|(multiple cpu faults)|(system.+state.+changed )|(\[timeout)|(PRM\|1\|D)|(kpr)|(kdp)|(\|lc)|(penalty))" /e /r /s</v>
      </c>
      <c r="U8" s="9" t="str">
        <f t="shared" si="2"/>
        <v>4040</v>
      </c>
      <c r="V8" s="36">
        <f t="shared" si="3"/>
        <v>42715.235717592594</v>
      </c>
      <c r="W8" s="50" t="str">
        <f t="shared" si="4"/>
        <v>EC</v>
      </c>
      <c r="X8" s="50" t="str">
        <f t="shared" si="5"/>
        <v>KEEP</v>
      </c>
      <c r="Y8" s="119" t="str">
        <f t="shared" si="6"/>
        <v>echo {"issue":{"subject":"Early arrival","project_id":79,"tracker_id":40,"status_id":1,"priority_id":2,"assigned_to_id":23,"start_date":"2016-12-10","description":"","custom_fields":[{"id":1,"name":"Subdivision","value":"EC"},{"id":4,"name":"Milepost","value":"3.3137"},{"id":17,"name":"Train ID","value":"235-10"},{"id":16,"name":"Locomotive ID","value":"4040"},{"id":130,"name":"Impact","value":""},{"id":150,"name":"Time of Event (Mountain Time)","value":"22:39:26"},{"id":151,"name":"Denver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8" s="53"/>
      <c r="AA8" s="53"/>
      <c r="AB8" s="53"/>
      <c r="AC8" s="138" t="str">
        <f t="shared" si="7"/>
        <v>grep -hSE -A100 "Enforcement Action" "%USERPROFILE%\AppData\Local\Temp\OnboardLogs"\RTDC4040\*4040*201612110* | grep -SE "((Enforcement Ac)|(PRM))" -</v>
      </c>
      <c r="AD8" s="1" t="str">
        <f>"grep -hSE ""Enforcement Action"" "&amp;search_path&amp;"\RTDC"&amp;U8&amp;"\*"&amp;U8&amp;"*"&amp;TEXT(A8-utc_offset/24,"YYYYMMDD")&amp;LEFT(TEXT(A8-utc_offset/24,"HH"),1)&amp;"* &gt;&gt; "&amp;Variables!$A$2&amp;"-slicedisagreementcheck.txt"</f>
        <v>grep -hSE "Enforcement Action" "%USERPROFILE%\AppData\Local\Temp\OnboardLogs"\RTDC4040\*4040*201612110* &gt;&gt; 42714-slicedisagreementcheck.txt</v>
      </c>
    </row>
    <row r="9" spans="1:30" x14ac:dyDescent="0.25">
      <c r="A9" s="36">
        <v>42714.595810185187</v>
      </c>
      <c r="B9" s="31" t="s">
        <v>229</v>
      </c>
      <c r="C9" s="31" t="s">
        <v>424</v>
      </c>
      <c r="D9" s="31" t="s">
        <v>98</v>
      </c>
      <c r="E9" s="31" t="s">
        <v>197</v>
      </c>
      <c r="F9" s="47">
        <v>200</v>
      </c>
      <c r="G9" s="47">
        <v>252</v>
      </c>
      <c r="H9" s="47">
        <v>5505</v>
      </c>
      <c r="I9" s="47">
        <v>6077</v>
      </c>
      <c r="J9" s="31" t="s">
        <v>198</v>
      </c>
      <c r="K9" s="47">
        <v>4677</v>
      </c>
      <c r="L9" s="154" t="s">
        <v>50</v>
      </c>
      <c r="M9" s="155">
        <f t="shared" si="0"/>
        <v>-739.2</v>
      </c>
      <c r="N9" s="156" t="str">
        <f>VLOOKUP(C9,'Trips&amp;Operators'!$C$1:$G$99999,5,FALSE)</f>
        <v>STORY SAMANTHA</v>
      </c>
      <c r="O9" s="182" t="s">
        <v>232</v>
      </c>
      <c r="P9" s="157" t="s">
        <v>885</v>
      </c>
      <c r="Q9" s="31"/>
      <c r="R9" s="100" t="str">
        <f>VLOOKUP(C9,'Train Runs'!$A$13:$AE$9972,31,0)</f>
        <v>aws s3 cp s3://rtdc.mdm.uploadarchive.raw/RTDC4014/ "%USERPROFILE%\AppData\Local\Temp\OnboardLogs"\RTDC4014\2016-12-10 --exclude "*" --recursive --include "*20161210*" &amp; "%USERPROFILE%\Documents\GitHub\mrs-test-scripts\Headless Mode &amp; Sideloading\WalkAndUnGZ.bat" "%USERPROFILE%\AppData\Local\Temp\OnboardLogs"\RTDC4014\2016-12-10 &amp; aws s3 cp s3://rtdc.mdm.uploadarchive.raw/RTDC4014/ "%USERPROFILE%\AppData\Local\Temp\OnboardLogs"\RTDC4014\2016-12-11 --exclude "*" --recursive --include "*20161211*" &amp; "%USERPROFILE%\Documents\GitHub\mrs-test-scripts\Headless Mode &amp; Sideloading\WalkAndUnGZ.bat" "%USERPROFILE%\AppData\Local\Temp\OnboardLogs"\RTDC4014\2016-12-11</v>
      </c>
      <c r="S9" s="103" t="str">
        <f>VLOOKUP(C9,'Train Runs'!$A$13:$AE$9972,22,0)</f>
        <v>https://search-rtdc-monitor-bjffxe2xuh6vdkpspy63sjmuny.us-east-1.es.amazonaws.com/_plugin/kibana/#/discover/Steve-Slow-Train-Analysis-(2080s-and-2083s)?_g=(refreshInterval:(display:Off,section:0,value:0),time:(from:'2016-12-10 13:10:10-700',mode:absolute,to:'2016-12-10 15:52:51-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201053%20OR%202087)%20AND%20%22rtdc.l.rtdc.4014%22')),sort:!(Time,asc))</v>
      </c>
      <c r="T9" s="105" t="str">
        <f t="shared" si="1"/>
        <v>"C:\Program Files (x86)\AstroGrep\AstroGrep.exe" /spath="%USERPROFILE%\AppData\Local\Temp\OnboardLogs" /stypes="*4014*201612102*" /stext=" 21:.+((SYSTEM_STATE.+slice.+state.+changed )|(ment ac)|(multiple cpu faults)|(system.+state.+changed )|(\[timeout)|(PRM\|1\|D)|(kpr)|(kdp)|(\|lc)|(penalty))" /e /r /s</v>
      </c>
      <c r="U9" s="9" t="str">
        <f t="shared" si="2"/>
        <v>4014</v>
      </c>
      <c r="V9" s="36">
        <f t="shared" si="3"/>
        <v>42714.887476851851</v>
      </c>
      <c r="W9" s="50" t="str">
        <f t="shared" si="4"/>
        <v>EC</v>
      </c>
      <c r="X9" s="50" t="str">
        <f t="shared" si="5"/>
        <v>KEEP</v>
      </c>
      <c r="Y9" s="119" t="str">
        <f t="shared" si="6"/>
        <v>echo {"issue":{"subject":"Banner without braking","project_id":79,"tracker_id":40,"status_id":1,"priority_id":2,"assigned_to_id":23,"start_date":"2016-12-10","description":"","custom_fields":[{"id":1,"name":"Subdivision","value":"EC"},{"id":4,"name":"Milepost","value":"0.4677"},{"id":17,"name":"Train ID","value":"185-10"},{"id":16,"name":"Locomotive ID","value":"4014"},{"id":130,"name":"Impact","value":""},{"id":150,"name":"Time of Event (Mountain Time)","value":"14:17:58"},{"id":151,"name":"Denver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9" s="53"/>
      <c r="AA9" s="53"/>
      <c r="AB9" s="53"/>
      <c r="AC9" s="138" t="str">
        <f t="shared" si="7"/>
        <v>grep -hSE -A100 "Enforcement Action" "%USERPROFILE%\AppData\Local\Temp\OnboardLogs"\RTDC4014\*4014*201612102* | grep -SE "((Enforcement Ac)|(PRM))" -</v>
      </c>
      <c r="AD9" s="1" t="str">
        <f>"grep -hSE ""Enforcement Action"" "&amp;search_path&amp;"\RTDC"&amp;U9&amp;"\*"&amp;U9&amp;"*"&amp;TEXT(A9-utc_offset/24,"YYYYMMDD")&amp;LEFT(TEXT(A9-utc_offset/24,"HH"),1)&amp;"* &gt;&gt; "&amp;Variables!$A$2&amp;"-slicedisagreementcheck.txt"</f>
        <v>grep -hSE "Enforcement Action" "%USERPROFILE%\AppData\Local\Temp\OnboardLogs"\RTDC4014\*4014*201612102* &gt;&gt; 42714-slicedisagreementcheck.txt</v>
      </c>
    </row>
    <row r="10" spans="1:30" x14ac:dyDescent="0.25">
      <c r="A10" s="36">
        <v>42715.022824074076</v>
      </c>
      <c r="B10" s="31" t="s">
        <v>208</v>
      </c>
      <c r="C10" s="31" t="s">
        <v>220</v>
      </c>
      <c r="D10" s="31" t="s">
        <v>98</v>
      </c>
      <c r="E10" s="31" t="s">
        <v>197</v>
      </c>
      <c r="F10" s="47">
        <v>200</v>
      </c>
      <c r="G10" s="47">
        <v>253</v>
      </c>
      <c r="H10" s="47">
        <v>5385</v>
      </c>
      <c r="I10" s="47">
        <v>5948</v>
      </c>
      <c r="J10" s="31" t="s">
        <v>198</v>
      </c>
      <c r="K10" s="47">
        <v>4677</v>
      </c>
      <c r="L10" s="154" t="s">
        <v>50</v>
      </c>
      <c r="M10" s="155">
        <f t="shared" si="0"/>
        <v>-671.08799999999997</v>
      </c>
      <c r="N10" s="156" t="str">
        <f>VLOOKUP(C10,'Trips&amp;Operators'!$C$1:$G$99999,5,FALSE)</f>
        <v>STAMBAUGH JAMES</v>
      </c>
      <c r="O10" s="182" t="s">
        <v>196</v>
      </c>
      <c r="P10" s="157"/>
      <c r="Q10" s="31"/>
      <c r="R10" s="100" t="str">
        <f>VLOOKUP(C10,'Train Runs'!$A$13:$AE$9972,31,0)</f>
        <v>aws s3 cp s3://rtdc.mdm.uploadarchive.raw/RTDC4040/ "%USERPROFILE%\AppData\Local\Temp\OnboardLogs"\RTDC4040\2016-12-11 --exclude "*" --recursive --include "*20161211*" &amp; "%USERPROFILE%\Documents\GitHub\mrs-test-scripts\Headless Mode &amp; Sideloading\WalkAndUnGZ.bat" "%USERPROFILE%\AppData\Local\Temp\OnboardLogs"\RTDC4040\2016-12-11 &amp; aws s3 cp s3://rtdc.mdm.uploadarchive.raw/RTDC4040/ "%USERPROFILE%\AppData\Local\Temp\OnboardLogs"\RTDC4040\2016-12-12 --exclude "*" --recursive --include "*20161212*" &amp; "%USERPROFILE%\Documents\GitHub\mrs-test-scripts\Headless Mode &amp; Sideloading\WalkAndUnGZ.bat" "%USERPROFILE%\AppData\Local\Temp\OnboardLogs"\RTDC4040\2016-12-12</v>
      </c>
      <c r="S10" s="103" t="str">
        <f>VLOOKUP(C10,'Train Runs'!$A$13:$AE$9972,22,0)</f>
        <v>https://search-rtdc-monitor-bjffxe2xuh6vdkpspy63sjmuny.us-east-1.es.amazonaws.com/_plugin/kibana/#/discover/Steve-Slow-Train-Analysis-(2080s-and-2083s)?_g=(refreshInterval:(display:Off,section:0,value:0),time:(from:'2016-12-10 23:07:15-700',mode:absolute,to:'2016-12-11 02:06:19-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201053%20OR%202087)%20AND%20%22rtdc.l.rtdc.4040%22')),sort:!(Time,asc))</v>
      </c>
      <c r="T10" s="105" t="str">
        <f t="shared" si="1"/>
        <v>"C:\Program Files (x86)\AstroGrep\AstroGrep.exe" /spath="%USERPROFILE%\AppData\Local\Temp\OnboardLogs" /stypes="*4040*201612110*" /stext=" 07:.+((SYSTEM_STATE.+slice.+state.+changed )|(ment ac)|(multiple cpu faults)|(system.+state.+changed )|(\[timeout)|(PRM\|1\|D)|(kpr)|(kdp)|(\|lc)|(penalty))" /e /r /s</v>
      </c>
      <c r="U10" s="9" t="str">
        <f t="shared" si="2"/>
        <v>4040</v>
      </c>
      <c r="V10" s="36">
        <f t="shared" si="3"/>
        <v>42715.31449074074</v>
      </c>
      <c r="W10" s="50" t="str">
        <f t="shared" si="4"/>
        <v>EC</v>
      </c>
      <c r="X10" s="50" t="str">
        <f t="shared" si="5"/>
        <v>KEEP</v>
      </c>
      <c r="Y10" s="119" t="str">
        <f t="shared" si="6"/>
        <v>echo {"issue":{"subject":"","project_id":79,"tracker_id":40,"status_id":1,"priority_id":2,"assigned_to_id":23,"start_date":"2016-12-11","description":"","custom_fields":[{"id":1,"name":"Subdivision","value":"EC"},{"id":4,"name":"Milepost","value":"0.4677"},{"id":17,"name":"Train ID","value":"243-10"},{"id":16,"name":"Locomotive ID","value":"4040"},{"id":130,"name":"Impact","value":""},{"id":150,"name":"Time of Event (Mountain Time)","value":"00:32:52"},{"id":151,"name":"Denver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0" s="53"/>
      <c r="AA10" s="53"/>
      <c r="AB10" s="53"/>
      <c r="AC10" s="138" t="str">
        <f t="shared" si="7"/>
        <v>grep -hSE -A100 "Enforcement Action" "%USERPROFILE%\AppData\Local\Temp\OnboardLogs"\RTDC4040\*4040*201612110* | grep -SE "((Enforcement Ac)|(PRM))" -</v>
      </c>
      <c r="AD10" s="1" t="str">
        <f>"grep -hSE ""Enforcement Action"" "&amp;search_path&amp;"\RTDC"&amp;U10&amp;"\*"&amp;U10&amp;"*"&amp;TEXT(A10-utc_offset/24,"YYYYMMDD")&amp;LEFT(TEXT(A10-utc_offset/24,"HH"),1)&amp;"* &gt;&gt; "&amp;Variables!$A$2&amp;"-slicedisagreementcheck.txt"</f>
        <v>grep -hSE "Enforcement Action" "%USERPROFILE%\AppData\Local\Temp\OnboardLogs"\RTDC4040\*4040*201612110* &gt;&gt; 42714-slicedisagreementcheck.txt</v>
      </c>
    </row>
    <row r="11" spans="1:30" x14ac:dyDescent="0.25">
      <c r="A11" s="36">
        <v>42714.294386574074</v>
      </c>
      <c r="B11" s="31" t="s">
        <v>230</v>
      </c>
      <c r="C11" s="31" t="s">
        <v>410</v>
      </c>
      <c r="D11" s="31" t="s">
        <v>49</v>
      </c>
      <c r="E11" s="31" t="s">
        <v>197</v>
      </c>
      <c r="F11" s="47">
        <v>200</v>
      </c>
      <c r="G11" s="47">
        <v>273</v>
      </c>
      <c r="H11" s="47">
        <v>6157</v>
      </c>
      <c r="I11" s="47">
        <v>5669</v>
      </c>
      <c r="J11" s="31" t="s">
        <v>198</v>
      </c>
      <c r="K11" s="47">
        <v>5457</v>
      </c>
      <c r="L11" s="154" t="s">
        <v>51</v>
      </c>
      <c r="M11" s="155">
        <f t="shared" si="0"/>
        <v>111.93600000000001</v>
      </c>
      <c r="N11" s="156" t="str">
        <f>VLOOKUP(C11,'Trips&amp;Operators'!$C$1:$G$99999,5,FALSE)</f>
        <v>ISHMAEL JOSEPH</v>
      </c>
      <c r="O11" s="182" t="s">
        <v>196</v>
      </c>
      <c r="P11" s="157"/>
      <c r="Q11" s="31"/>
      <c r="R11" s="100" t="str">
        <f>VLOOKUP(C11,'Train Runs'!$A$13:$AE$9972,31,0)</f>
        <v>aws s3 cp s3://rtdc.mdm.uploadarchive.raw/RTDC4013/ "%USERPROFILE%\AppData\Local\Temp\OnboardLogs"\RTDC4013\2016-12-10 --exclude "*" --recursive --include "*20161210*" &amp; "%USERPROFILE%\Documents\GitHub\mrs-test-scripts\Headless Mode &amp; Sideloading\WalkAndUnGZ.bat" "%USERPROFILE%\AppData\Local\Temp\OnboardLogs"\RTDC4013\2016-12-10 &amp; aws s3 cp s3://rtdc.mdm.uploadarchive.raw/RTDC4013/ "%USERPROFILE%\AppData\Local\Temp\OnboardLogs"\RTDC4013\2016-12-11 --exclude "*" --recursive --include "*20161211*" &amp; "%USERPROFILE%\Documents\GitHub\mrs-test-scripts\Headless Mode &amp; Sideloading\WalkAndUnGZ.bat" "%USERPROFILE%\AppData\Local\Temp\OnboardLogs"\RTDC4013\2016-12-11</v>
      </c>
      <c r="S11" s="103" t="str">
        <f>VLOOKUP(C11,'Train Runs'!$A$13:$AE$9972,22,0)</f>
        <v>https://search-rtdc-monitor-bjffxe2xuh6vdkpspy63sjmuny.us-east-1.es.amazonaws.com/_plugin/kibana/#/discover/Steve-Slow-Train-Analysis-(2080s-and-2083s)?_g=(refreshInterval:(display:Off,section:0,value:0),time:(from:'2016-12-10 05:11:38-700',mode:absolute,to:'2016-12-10 08:07:07-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201053%20OR%202087)%20AND%20%22rtdc.l.rtdc.4013%22')),sort:!(Time,asc))</v>
      </c>
      <c r="T11" s="105" t="str">
        <f t="shared" si="1"/>
        <v>"C:\Program Files (x86)\AstroGrep\AstroGrep.exe" /spath="%USERPROFILE%\AppData\Local\Temp\OnboardLogs" /stypes="*4013*201612101*" /stext=" 14:.+((SYSTEM_STATE.+slice.+state.+changed )|(ment ac)|(multiple cpu faults)|(system.+state.+changed )|(\[timeout)|(PRM\|1\|D)|(kpr)|(kdp)|(\|lc)|(penalty))" /e /r /s</v>
      </c>
      <c r="U11" s="9" t="str">
        <f t="shared" si="2"/>
        <v>4013</v>
      </c>
      <c r="V11" s="36">
        <f t="shared" si="3"/>
        <v>42714.586053240739</v>
      </c>
      <c r="W11" s="50" t="str">
        <f t="shared" si="4"/>
        <v>EC</v>
      </c>
      <c r="X11" s="50" t="str">
        <f t="shared" si="5"/>
        <v>KEEP</v>
      </c>
      <c r="Y11" s="119" t="str">
        <f t="shared" si="6"/>
        <v>echo {"issue":{"subject":"","project_id":79,"tracker_id":40,"status_id":1,"priority_id":2,"assigned_to_id":23,"start_date":"2016-12-10","description":"","custom_fields":[{"id":1,"name":"Subdivision","value":"EC"},{"id":4,"name":"Milepost","value":"0.5457"},{"id":17,"name":"Train ID","value":"116-10"},{"id":16,"name":"Locomotive ID","value":"4013"},{"id":130,"name":"Impact","value":""},{"id":150,"name":"Time of Event (Mountain Time)","value":"07:03:55"},{"id":151,"name":"Denver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1" s="53"/>
      <c r="AA11" s="53"/>
      <c r="AB11" s="53"/>
      <c r="AC11" s="138" t="str">
        <f t="shared" si="7"/>
        <v>grep -hSE -A100 "Enforcement Action" "%USERPROFILE%\AppData\Local\Temp\OnboardLogs"\RTDC4013\*4013*201612101* | grep -SE "((Enforcement Ac)|(PRM))" -</v>
      </c>
      <c r="AD11" s="1" t="str">
        <f>"grep -hSE ""Enforcement Action"" "&amp;search_path&amp;"\RTDC"&amp;U11&amp;"\*"&amp;U11&amp;"*"&amp;TEXT(A11-utc_offset/24,"YYYYMMDD")&amp;LEFT(TEXT(A11-utc_offset/24,"HH"),1)&amp;"* &gt;&gt; "&amp;Variables!$A$2&amp;"-slicedisagreementcheck.txt"</f>
        <v>grep -hSE "Enforcement Action" "%USERPROFILE%\AppData\Local\Temp\OnboardLogs"\RTDC4013\*4013*201612101* &gt;&gt; 42714-slicedisagreementcheck.txt</v>
      </c>
    </row>
    <row r="12" spans="1:30" x14ac:dyDescent="0.25">
      <c r="A12" s="36">
        <v>42714.436898148146</v>
      </c>
      <c r="B12" s="31" t="s">
        <v>230</v>
      </c>
      <c r="C12" s="31" t="s">
        <v>418</v>
      </c>
      <c r="D12" s="31" t="s">
        <v>49</v>
      </c>
      <c r="E12" s="31" t="s">
        <v>197</v>
      </c>
      <c r="F12" s="47">
        <v>300</v>
      </c>
      <c r="G12" s="47">
        <v>357</v>
      </c>
      <c r="H12" s="47">
        <v>22699</v>
      </c>
      <c r="I12" s="47">
        <v>21678</v>
      </c>
      <c r="J12" s="31" t="s">
        <v>198</v>
      </c>
      <c r="K12" s="47">
        <v>21848</v>
      </c>
      <c r="L12" s="154" t="s">
        <v>51</v>
      </c>
      <c r="M12" s="155">
        <f t="shared" si="0"/>
        <v>-89.76</v>
      </c>
      <c r="N12" s="156" t="str">
        <f>VLOOKUP(C12,'Trips&amp;Operators'!$C$1:$G$99999,5,FALSE)</f>
        <v>ISHMAEL JOSEPH</v>
      </c>
      <c r="O12" s="182" t="s">
        <v>196</v>
      </c>
      <c r="P12" s="157"/>
      <c r="Q12" s="31"/>
      <c r="R12" s="100" t="str">
        <f>VLOOKUP(C12,'Train Runs'!$A$13:$AE$9972,31,0)</f>
        <v>aws s3 cp s3://rtdc.mdm.uploadarchive.raw/RTDC4013/ "%USERPROFILE%\AppData\Local\Temp\OnboardLogs"\RTDC4013\2016-12-10 --exclude "*" --recursive --include "*20161210*" &amp; "%USERPROFILE%\Documents\GitHub\mrs-test-scripts\Headless Mode &amp; Sideloading\WalkAndUnGZ.bat" "%USERPROFILE%\AppData\Local\Temp\OnboardLogs"\RTDC4013\2016-12-10 &amp; aws s3 cp s3://rtdc.mdm.uploadarchive.raw/RTDC4013/ "%USERPROFILE%\AppData\Local\Temp\OnboardLogs"\RTDC4013\2016-12-11 --exclude "*" --recursive --include "*20161211*" &amp; "%USERPROFILE%\Documents\GitHub\mrs-test-scripts\Headless Mode &amp; Sideloading\WalkAndUnGZ.bat" "%USERPROFILE%\AppData\Local\Temp\OnboardLogs"\RTDC4013\2016-12-11</v>
      </c>
      <c r="S12" s="103" t="str">
        <f>VLOOKUP(C12,'Train Runs'!$A$13:$AE$9972,22,0)</f>
        <v>https://search-rtdc-monitor-bjffxe2xuh6vdkpspy63sjmuny.us-east-1.es.amazonaws.com/_plugin/kibana/#/discover/Steve-Slow-Train-Analysis-(2080s-and-2083s)?_g=(refreshInterval:(display:Off,section:0,value:0),time:(from:'2016-12-10 08:51:43-700',mode:absolute,to:'2016-12-10 11:35:34-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201053%20OR%202087)%20AND%20%22rtdc.l.rtdc.4013%22')),sort:!(Time,asc))</v>
      </c>
      <c r="T12" s="105" t="str">
        <f t="shared" si="1"/>
        <v>"C:\Program Files (x86)\AstroGrep\AstroGrep.exe" /spath="%USERPROFILE%\AppData\Local\Temp\OnboardLogs" /stypes="*4013*201612101*" /stext=" 17:.+((SYSTEM_STATE.+slice.+state.+changed )|(ment ac)|(multiple cpu faults)|(system.+state.+changed )|(\[timeout)|(PRM\|1\|D)|(kpr)|(kdp)|(\|lc)|(penalty))" /e /r /s</v>
      </c>
      <c r="U12" s="9" t="str">
        <f t="shared" si="2"/>
        <v>4013</v>
      </c>
      <c r="V12" s="36">
        <f t="shared" si="3"/>
        <v>42714.72856481481</v>
      </c>
      <c r="W12" s="50" t="str">
        <f t="shared" si="4"/>
        <v>EC</v>
      </c>
      <c r="X12" s="50" t="str">
        <f t="shared" si="5"/>
        <v>KEEP</v>
      </c>
      <c r="Y12" s="119" t="str">
        <f t="shared" si="6"/>
        <v>echo {"issue":{"subject":"","project_id":79,"tracker_id":40,"status_id":1,"priority_id":2,"assigned_to_id":23,"start_date":"2016-12-10","description":"","custom_fields":[{"id":1,"name":"Subdivision","value":"EC"},{"id":4,"name":"Milepost","value":"2.1848"},{"id":17,"name":"Train ID","value":"144-10"},{"id":16,"name":"Locomotive ID","value":"4013"},{"id":130,"name":"Impact","value":""},{"id":150,"name":"Time of Event (Mountain Time)","value":"10:29:08"},{"id":151,"name":"Denver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2" s="53"/>
      <c r="AA12" s="53"/>
      <c r="AB12" s="53"/>
      <c r="AC12" s="138" t="str">
        <f t="shared" si="7"/>
        <v>grep -hSE -A100 "Enforcement Action" "%USERPROFILE%\AppData\Local\Temp\OnboardLogs"\RTDC4013\*4013*201612101* | grep -SE "((Enforcement Ac)|(PRM))" -</v>
      </c>
      <c r="AD12" s="1" t="str">
        <f>"grep -hSE ""Enforcement Action"" "&amp;search_path&amp;"\RTDC"&amp;U12&amp;"\*"&amp;U12&amp;"*"&amp;TEXT(A12-utc_offset/24,"YYYYMMDD")&amp;LEFT(TEXT(A12-utc_offset/24,"HH"),1)&amp;"* &gt;&gt; "&amp;Variables!$A$2&amp;"-slicedisagreementcheck.txt"</f>
        <v>grep -hSE "Enforcement Action" "%USERPROFILE%\AppData\Local\Temp\OnboardLogs"\RTDC4013\*4013*201612101* &gt;&gt; 42714-slicedisagreementcheck.txt</v>
      </c>
    </row>
    <row r="13" spans="1:30" x14ac:dyDescent="0.25">
      <c r="A13" s="36">
        <v>42714.691921296297</v>
      </c>
      <c r="B13" s="31" t="s">
        <v>237</v>
      </c>
      <c r="C13" s="31" t="s">
        <v>429</v>
      </c>
      <c r="D13" s="31" t="s">
        <v>49</v>
      </c>
      <c r="E13" s="31" t="s">
        <v>197</v>
      </c>
      <c r="F13" s="47">
        <v>400</v>
      </c>
      <c r="G13" s="47">
        <v>536</v>
      </c>
      <c r="H13" s="47">
        <v>115867</v>
      </c>
      <c r="I13" s="47">
        <v>117269</v>
      </c>
      <c r="J13" s="31" t="s">
        <v>198</v>
      </c>
      <c r="K13" s="47">
        <v>116838</v>
      </c>
      <c r="L13" s="154" t="s">
        <v>50</v>
      </c>
      <c r="M13" s="155">
        <f t="shared" si="0"/>
        <v>-227.56800000000001</v>
      </c>
      <c r="N13" s="156" t="str">
        <f>VLOOKUP(C13,'Trips&amp;Operators'!$C$1:$G$99999,5,FALSE)</f>
        <v>HILLS DUSTIN</v>
      </c>
      <c r="O13" s="182" t="s">
        <v>196</v>
      </c>
      <c r="P13" s="157"/>
      <c r="Q13" s="31"/>
      <c r="R13" s="100" t="str">
        <f>VLOOKUP(C13,'Train Runs'!$A$13:$AE$9972,31,0)</f>
        <v>aws s3 cp s3://rtdc.mdm.uploadarchive.raw/RTDC4046/ "%USERPROFILE%\AppData\Local\Temp\OnboardLogs"\RTDC4046\2016-12-10 --exclude "*" --recursive --include "*20161210*" &amp; "%USERPROFILE%\Documents\GitHub\mrs-test-scripts\Headless Mode &amp; Sideloading\WalkAndUnGZ.bat" "%USERPROFILE%\AppData\Local\Temp\OnboardLogs"\RTDC4046\2016-12-10 &amp; aws s3 cp s3://rtdc.mdm.uploadarchive.raw/RTDC4046/ "%USERPROFILE%\AppData\Local\Temp\OnboardLogs"\RTDC4046\2016-12-11 --exclude "*" --recursive --include "*20161211*" &amp; "%USERPROFILE%\Documents\GitHub\mrs-test-scripts\Headless Mode &amp; Sideloading\WalkAndUnGZ.bat" "%USERPROFILE%\AppData\Local\Temp\OnboardLogs"\RTDC4046\2016-12-11</v>
      </c>
      <c r="S13" s="103" t="str">
        <f>VLOOKUP(C13,'Train Runs'!$A$13:$AE$9972,22,0)</f>
        <v>https://search-rtdc-monitor-bjffxe2xuh6vdkpspy63sjmuny.us-east-1.es.amazonaws.com/_plugin/kibana/#/discover/Steve-Slow-Train-Analysis-(2080s-and-2083s)?_g=(refreshInterval:(display:Off,section:0,value:0),time:(from:'2016-12-10 15:10:49-700',mode:absolute,to:'2016-12-10 17:51:25-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201053%20OR%202087)%20AND%20%22rtdc.l.rtdc.4046%22')),sort:!(Time,asc))</v>
      </c>
      <c r="T13" s="105" t="str">
        <f t="shared" si="1"/>
        <v>"C:\Program Files (x86)\AstroGrep\AstroGrep.exe" /spath="%USERPROFILE%\AppData\Local\Temp\OnboardLogs" /stypes="*4046*201612102*" /stext=" 23:.+((SYSTEM_STATE.+slice.+state.+changed )|(ment ac)|(multiple cpu faults)|(system.+state.+changed )|(\[timeout)|(PRM\|1\|D)|(kpr)|(kdp)|(\|lc)|(penalty))" /e /r /s</v>
      </c>
      <c r="U13" s="9" t="str">
        <f t="shared" si="2"/>
        <v>4046</v>
      </c>
      <c r="V13" s="36">
        <f t="shared" si="3"/>
        <v>42714.983587962961</v>
      </c>
      <c r="W13" s="50" t="str">
        <f t="shared" si="4"/>
        <v>EC</v>
      </c>
      <c r="X13" s="50" t="str">
        <f t="shared" si="5"/>
        <v>KEEP</v>
      </c>
      <c r="Y13" s="119" t="str">
        <f t="shared" si="6"/>
        <v>echo {"issue":{"subject":"","project_id":79,"tracker_id":40,"status_id":1,"priority_id":2,"assigned_to_id":23,"start_date":"2016-12-10","description":"","custom_fields":[{"id":1,"name":"Subdivision","value":"EC"},{"id":4,"name":"Milepost","value":"11.6838"},{"id":17,"name":"Train ID","value":"201-10"},{"id":16,"name":"Locomotive ID","value":"4046"},{"id":130,"name":"Impact","value":""},{"id":150,"name":"Time of Event (Mountain Time)","value":"16:36:22"},{"id":151,"name":"Denver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3" s="53"/>
      <c r="AA13" s="53"/>
      <c r="AB13" s="53"/>
      <c r="AC13" s="138" t="str">
        <f t="shared" si="7"/>
        <v>grep -hSE -A100 "Enforcement Action" "%USERPROFILE%\AppData\Local\Temp\OnboardLogs"\RTDC4046\*4046*201612102* | grep -SE "((Enforcement Ac)|(PRM))" -</v>
      </c>
      <c r="AD13" s="1" t="str">
        <f>"grep -hSE ""Enforcement Action"" "&amp;search_path&amp;"\RTDC"&amp;U13&amp;"\*"&amp;U13&amp;"*"&amp;TEXT(A13-utc_offset/24,"YYYYMMDD")&amp;LEFT(TEXT(A13-utc_offset/24,"HH"),1)&amp;"* &gt;&gt; "&amp;Variables!$A$2&amp;"-slicedisagreementcheck.txt"</f>
        <v>grep -hSE "Enforcement Action" "%USERPROFILE%\AppData\Local\Temp\OnboardLogs"\RTDC4046\*4046*201612102* &gt;&gt; 42714-slicedisagreementcheck.txt</v>
      </c>
    </row>
    <row r="14" spans="1:30" x14ac:dyDescent="0.25">
      <c r="A14" s="36">
        <v>42714.159768518519</v>
      </c>
      <c r="B14" s="31" t="s">
        <v>287</v>
      </c>
      <c r="C14" s="31" t="s">
        <v>406</v>
      </c>
      <c r="D14" s="31" t="s">
        <v>49</v>
      </c>
      <c r="E14" s="31" t="s">
        <v>197</v>
      </c>
      <c r="F14" s="47">
        <v>150</v>
      </c>
      <c r="G14" s="47">
        <v>207</v>
      </c>
      <c r="H14" s="47">
        <v>229645</v>
      </c>
      <c r="I14" s="47">
        <v>229996</v>
      </c>
      <c r="J14" s="31" t="s">
        <v>198</v>
      </c>
      <c r="K14" s="47">
        <v>230436</v>
      </c>
      <c r="L14" s="154" t="s">
        <v>50</v>
      </c>
      <c r="M14" s="155">
        <f t="shared" si="0"/>
        <v>232.32</v>
      </c>
      <c r="N14" s="156" t="str">
        <f>VLOOKUP(C14,'Trips&amp;Operators'!$C$1:$G$99999,5,FALSE)</f>
        <v>MAELZER KURT</v>
      </c>
      <c r="O14" s="182" t="s">
        <v>196</v>
      </c>
      <c r="P14" s="157"/>
      <c r="Q14" s="31"/>
      <c r="R14" s="100" t="str">
        <f>VLOOKUP(C14,'Train Runs'!$A$13:$AE$9972,31,0)</f>
        <v>aws s3 cp s3://rtdc.mdm.uploadarchive.raw/RTDC4020/ "%USERPROFILE%\AppData\Local\Temp\OnboardLogs"\RTDC4020\2016-12-10 --exclude "*" --recursive --include "*20161210*" &amp; "%USERPROFILE%\Documents\GitHub\mrs-test-scripts\Headless Mode &amp; Sideloading\WalkAndUnGZ.bat" "%USERPROFILE%\AppData\Local\Temp\OnboardLogs"\RTDC4020\2016-12-10 &amp; aws s3 cp s3://rtdc.mdm.uploadarchive.raw/RTDC4020/ "%USERPROFILE%\AppData\Local\Temp\OnboardLogs"\RTDC4020\2016-12-11 --exclude "*" --recursive --include "*20161211*" &amp; "%USERPROFILE%\Documents\GitHub\mrs-test-scripts\Headless Mode &amp; Sideloading\WalkAndUnGZ.bat" "%USERPROFILE%\AppData\Local\Temp\OnboardLogs"\RTDC4020\2016-12-11</v>
      </c>
      <c r="S14" s="103" t="str">
        <f>VLOOKUP(C14,'Train Runs'!$A$13:$AE$9972,22,0)</f>
        <v>https://search-rtdc-monitor-bjffxe2xuh6vdkpspy63sjmuny.us-east-1.es.amazonaws.com/_plugin/kibana/#/discover/Steve-Slow-Train-Analysis-(2080s-and-2083s)?_g=(refreshInterval:(display:Off,section:0,value:0),time:(from:'2016-12-10 02:08:30-700',mode:absolute,to:'2016-12-10 04:51:30-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201053%20OR%202087)%20AND%20%22rtdc.l.rtdc.4020%22')),sort:!(Time,asc))</v>
      </c>
      <c r="T14" s="105" t="str">
        <f t="shared" si="1"/>
        <v>"C:\Program Files (x86)\AstroGrep\AstroGrep.exe" /spath="%USERPROFILE%\AppData\Local\Temp\OnboardLogs" /stypes="*4020*201612101*" /stext=" 10:.+((SYSTEM_STATE.+slice.+state.+changed )|(ment ac)|(multiple cpu faults)|(system.+state.+changed )|(\[timeout)|(PRM\|1\|D)|(kpr)|(kdp)|(\|lc)|(penalty))" /e /r /s</v>
      </c>
      <c r="U14" s="9" t="str">
        <f t="shared" si="2"/>
        <v>4020</v>
      </c>
      <c r="V14" s="36">
        <f t="shared" si="3"/>
        <v>42714.451435185183</v>
      </c>
      <c r="W14" s="50" t="str">
        <f t="shared" si="4"/>
        <v>EC</v>
      </c>
      <c r="X14" s="50" t="str">
        <f t="shared" si="5"/>
        <v>KEEP</v>
      </c>
      <c r="Y14" s="119" t="str">
        <f t="shared" si="6"/>
        <v>echo {"issue":{"subject":"","project_id":79,"tracker_id":40,"status_id":1,"priority_id":2,"assigned_to_id":23,"start_date":"2016-12-10","description":"","custom_fields":[{"id":1,"name":"Subdivision","value":"EC"},{"id":4,"name":"Milepost","value":"23.0436"},{"id":17,"name":"Train ID","value":"101-10"},{"id":16,"name":"Locomotive ID","value":"4020"},{"id":130,"name":"Impact","value":""},{"id":150,"name":"Time of Event (Mountain Time)","value":"03:50:04"},{"id":151,"name":"Denver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4" s="53"/>
      <c r="AA14" s="53"/>
      <c r="AB14" s="53"/>
      <c r="AC14" s="138" t="str">
        <f t="shared" si="7"/>
        <v>grep -hSE -A100 "Enforcement Action" "%USERPROFILE%\AppData\Local\Temp\OnboardLogs"\RTDC4020\*4020*201612101* | grep -SE "((Enforcement Ac)|(PRM))" -</v>
      </c>
      <c r="AD14" s="1" t="str">
        <f>"grep -hSE ""Enforcement Action"" "&amp;search_path&amp;"\RTDC"&amp;U14&amp;"\*"&amp;U14&amp;"*"&amp;TEXT(A14-utc_offset/24,"YYYYMMDD")&amp;LEFT(TEXT(A14-utc_offset/24,"HH"),1)&amp;"* &gt;&gt; "&amp;Variables!$A$2&amp;"-slicedisagreementcheck.txt"</f>
        <v>grep -hSE "Enforcement Action" "%USERPROFILE%\AppData\Local\Temp\OnboardLogs"\RTDC4020\*4020*201612101* &gt;&gt; 42714-slicedisagreementcheck.txt</v>
      </c>
    </row>
    <row r="15" spans="1:30" x14ac:dyDescent="0.25">
      <c r="A15" s="36">
        <v>42714.72216435185</v>
      </c>
      <c r="B15" s="31" t="s">
        <v>208</v>
      </c>
      <c r="C15" s="31" t="s">
        <v>430</v>
      </c>
      <c r="D15" s="31" t="s">
        <v>49</v>
      </c>
      <c r="E15" s="31" t="s">
        <v>197</v>
      </c>
      <c r="F15" s="47">
        <v>150</v>
      </c>
      <c r="G15" s="47">
        <v>211</v>
      </c>
      <c r="H15" s="47">
        <v>229898</v>
      </c>
      <c r="I15" s="47">
        <v>230544</v>
      </c>
      <c r="J15" s="31" t="s">
        <v>198</v>
      </c>
      <c r="K15" s="47">
        <v>230436</v>
      </c>
      <c r="L15" s="154" t="s">
        <v>50</v>
      </c>
      <c r="M15" s="155">
        <f t="shared" si="0"/>
        <v>-57.024000000000001</v>
      </c>
      <c r="N15" s="156" t="str">
        <f>VLOOKUP(C15,'Trips&amp;Operators'!$C$1:$G$99999,5,FALSE)</f>
        <v>MOSES BRADLEY</v>
      </c>
      <c r="O15" s="182" t="s">
        <v>196</v>
      </c>
      <c r="P15" s="157"/>
      <c r="Q15" s="31"/>
      <c r="R15" s="100" t="str">
        <f>VLOOKUP(C15,'Train Runs'!$A$13:$AE$9972,31,0)</f>
        <v>aws s3 cp s3://rtdc.mdm.uploadarchive.raw/RTDC4040/ "%USERPROFILE%\AppData\Local\Temp\OnboardLogs"\RTDC4040\2016-12-10 --exclude "*" --recursive --include "*20161210*" &amp; "%USERPROFILE%\Documents\GitHub\mrs-test-scripts\Headless Mode &amp; Sideloading\WalkAndUnGZ.bat" "%USERPROFILE%\AppData\Local\Temp\OnboardLogs"\RTDC4040\2016-12-10 &amp; aws s3 cp s3://rtdc.mdm.uploadarchive.raw/RTDC4040/ "%USERPROFILE%\AppData\Local\Temp\OnboardLogs"\RTDC4040\2016-12-11 --exclude "*" --recursive --include "*20161211*" &amp; "%USERPROFILE%\Documents\GitHub\mrs-test-scripts\Headless Mode &amp; Sideloading\WalkAndUnGZ.bat" "%USERPROFILE%\AppData\Local\Temp\OnboardLogs"\RTDC4040\2016-12-11</v>
      </c>
      <c r="S15" s="103" t="str">
        <f>VLOOKUP(C15,'Train Runs'!$A$13:$AE$9972,22,0)</f>
        <v>https://search-rtdc-monitor-bjffxe2xuh6vdkpspy63sjmuny.us-east-1.es.amazonaws.com/_plugin/kibana/#/discover/Steve-Slow-Train-Analysis-(2080s-and-2083s)?_g=(refreshInterval:(display:Off,section:0,value:0),time:(from:'2016-12-10 15:41:44-700',mode:absolute,to:'2016-12-10 19:21:29-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201053%20OR%202087)%20AND%20%22rtdc.l.rtdc.4040%22')),sort:!(Time,asc))</v>
      </c>
      <c r="T15" s="105" t="str">
        <f t="shared" si="1"/>
        <v>"C:\Program Files (x86)\AstroGrep\AstroGrep.exe" /spath="%USERPROFILE%\AppData\Local\Temp\OnboardLogs" /stypes="*4040*201612110*" /stext=" 00:.+((SYSTEM_STATE.+slice.+state.+changed )|(ment ac)|(multiple cpu faults)|(system.+state.+changed )|(\[timeout)|(PRM\|1\|D)|(kpr)|(kdp)|(\|lc)|(penalty))" /e /r /s</v>
      </c>
      <c r="U15" s="9" t="str">
        <f t="shared" si="2"/>
        <v>4040</v>
      </c>
      <c r="V15" s="36">
        <f t="shared" si="3"/>
        <v>42715.013831018514</v>
      </c>
      <c r="W15" s="50" t="str">
        <f t="shared" si="4"/>
        <v>EC</v>
      </c>
      <c r="X15" s="50" t="str">
        <f t="shared" si="5"/>
        <v>KEEP</v>
      </c>
      <c r="Y15" s="119" t="str">
        <f t="shared" si="6"/>
        <v>echo {"issue":{"subject":"","project_id":79,"tracker_id":40,"status_id":1,"priority_id":2,"assigned_to_id":23,"start_date":"2016-12-10","description":"","custom_fields":[{"id":1,"name":"Subdivision","value":"EC"},{"id":4,"name":"Milepost","value":"23.0436"},{"id":17,"name":"Train ID","value":"205-10"},{"id":16,"name":"Locomotive ID","value":"4040"},{"id":130,"name":"Impact","value":""},{"id":150,"name":"Time of Event (Mountain Time)","value":"17:19:55"},{"id":151,"name":"Denver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5" s="53"/>
      <c r="AA15" s="53"/>
      <c r="AB15" s="53"/>
      <c r="AC15" s="138" t="str">
        <f t="shared" si="7"/>
        <v>grep -hSE -A100 "Enforcement Action" "%USERPROFILE%\AppData\Local\Temp\OnboardLogs"\RTDC4040\*4040*201612110* | grep -SE "((Enforcement Ac)|(PRM))" -</v>
      </c>
      <c r="AD15" s="1" t="str">
        <f>"grep -hSE ""Enforcement Action"" "&amp;search_path&amp;"\RTDC"&amp;U15&amp;"\*"&amp;U15&amp;"*"&amp;TEXT(A15-utc_offset/24,"YYYYMMDD")&amp;LEFT(TEXT(A15-utc_offset/24,"HH"),1)&amp;"* &gt;&gt; "&amp;Variables!$A$2&amp;"-slicedisagreementcheck.txt"</f>
        <v>grep -hSE "Enforcement Action" "%USERPROFILE%\AppData\Local\Temp\OnboardLogs"\RTDC4040\*4040*201612110* &gt;&gt; 42714-slicedisagreementcheck.txt</v>
      </c>
    </row>
    <row r="16" spans="1:30" x14ac:dyDescent="0.25">
      <c r="A16" s="36">
        <v>42715.021655092591</v>
      </c>
      <c r="B16" s="31" t="s">
        <v>286</v>
      </c>
      <c r="C16" s="31" t="s">
        <v>437</v>
      </c>
      <c r="D16" s="31" t="s">
        <v>49</v>
      </c>
      <c r="E16" s="31" t="s">
        <v>199</v>
      </c>
      <c r="F16" s="47">
        <v>0</v>
      </c>
      <c r="G16" s="47">
        <v>311</v>
      </c>
      <c r="H16" s="47">
        <v>22317</v>
      </c>
      <c r="I16" s="47">
        <v>21709</v>
      </c>
      <c r="J16" s="31" t="s">
        <v>200</v>
      </c>
      <c r="K16" s="47">
        <v>20632</v>
      </c>
      <c r="L16" s="154" t="s">
        <v>51</v>
      </c>
      <c r="M16" s="155">
        <f t="shared" si="0"/>
        <v>568.65599999999995</v>
      </c>
      <c r="N16" s="156" t="str">
        <f>VLOOKUP(C16,'Trips&amp;Operators'!$C$1:$G$99999,5,FALSE)</f>
        <v>BADERTSCHER DIANE</v>
      </c>
      <c r="O16" s="182" t="s">
        <v>232</v>
      </c>
      <c r="P16" s="157" t="s">
        <v>802</v>
      </c>
      <c r="Q16" s="31"/>
      <c r="R16" s="100" t="str">
        <f>VLOOKUP(C16,'Train Runs'!$A$13:$AE$9972,31,0)</f>
        <v>aws s3 cp s3://rtdc.mdm.uploadarchive.raw/RTDC4019/ "%USERPROFILE%\AppData\Local\Temp\OnboardLogs"\RTDC4019\2016-12-11 --exclude "*" --recursive --include "*20161211*" &amp; "%USERPROFILE%\Documents\GitHub\mrs-test-scripts\Headless Mode &amp; Sideloading\WalkAndUnGZ.bat" "%USERPROFILE%\AppData\Local\Temp\OnboardLogs"\RTDC4019\2016-12-11 &amp; aws s3 cp s3://rtdc.mdm.uploadarchive.raw/RTDC4019/ "%USERPROFILE%\AppData\Local\Temp\OnboardLogs"\RTDC4019\2016-12-12 --exclude "*" --recursive --include "*20161212*" &amp; "%USERPROFILE%\Documents\GitHub\mrs-test-scripts\Headless Mode &amp; Sideloading\WalkAndUnGZ.bat" "%USERPROFILE%\AppData\Local\Temp\OnboardLogs"\RTDC4019\2016-12-12</v>
      </c>
      <c r="S16" s="103" t="str">
        <f>VLOOKUP(C16,'Train Runs'!$A$13:$AE$9972,22,0)</f>
        <v>https://search-rtdc-monitor-bjffxe2xuh6vdkpspy63sjmuny.us-east-1.es.amazonaws.com/_plugin/kibana/#/discover/Steve-Slow-Train-Analysis-(2080s-and-2083s)?_g=(refreshInterval:(display:Off,section:0,value:0),time:(from:'2016-12-10 22:50:27-700',mode:absolute,to:'2016-12-11 02:38:47-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201053%20OR%202087)%20AND%20%22rtdc.l.rtdc.4019%22')),sort:!(Time,asc))</v>
      </c>
      <c r="T16" s="105" t="str">
        <f t="shared" si="1"/>
        <v>"C:\Program Files (x86)\AstroGrep\AstroGrep.exe" /spath="%USERPROFILE%\AppData\Local\Temp\OnboardLogs" /stypes="*4019*201612110*" /stext=" 07:.+((SYSTEM_STATE.+slice.+state.+changed )|(ment ac)|(multiple cpu faults)|(system.+state.+changed )|(\[timeout)|(PRM\|1\|D)|(kpr)|(kdp)|(\|lc)|(penalty))" /e /r /s</v>
      </c>
      <c r="U16" s="9" t="str">
        <f t="shared" si="2"/>
        <v>4019</v>
      </c>
      <c r="V16" s="36">
        <f t="shared" si="3"/>
        <v>42715.313321759255</v>
      </c>
      <c r="W16" s="50" t="str">
        <f t="shared" si="4"/>
        <v>EC</v>
      </c>
      <c r="X16" s="50" t="str">
        <f t="shared" si="5"/>
        <v>KEEP</v>
      </c>
      <c r="Y16" s="119" t="str">
        <f t="shared" si="6"/>
        <v>echo {"issue":{"subject":"Windows update locked virtual machine responsible for passing WSM's","project_id":79,"tracker_id":40,"status_id":1,"priority_id":2,"assigned_to_id":23,"start_date":"2016-12-11","description":"","custom_fields":[{"id":1,"name":"Subdivision","value":"EC"},{"id":4,"name":"Milepost","value":"2.0632"},{"id":17,"name":"Train ID","value":"238-10"},{"id":16,"name":"Locomotive ID","value":"4019"},{"id":130,"name":"Impact","value":""},{"id":150,"name":"Time of Event (Mountain Time)","value":"00:31:11"},{"id":151,"name":"Denver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6" s="53"/>
      <c r="AA16" s="53"/>
      <c r="AB16" s="53"/>
      <c r="AC16" s="138" t="str">
        <f t="shared" si="7"/>
        <v>grep -hSE -A100 "Enforcement Action" "%USERPROFILE%\AppData\Local\Temp\OnboardLogs"\RTDC4019\*4019*201612110* | grep -SE "((Enforcement Ac)|(PRM))" -</v>
      </c>
      <c r="AD16" s="1" t="str">
        <f>"grep -hSE ""Enforcement Action"" "&amp;search_path&amp;"\RTDC"&amp;U16&amp;"\*"&amp;U16&amp;"*"&amp;TEXT(A16-utc_offset/24,"YYYYMMDD")&amp;LEFT(TEXT(A16-utc_offset/24,"HH"),1)&amp;"* &gt;&gt; "&amp;Variables!$A$2&amp;"-slicedisagreementcheck.txt"</f>
        <v>grep -hSE "Enforcement Action" "%USERPROFILE%\AppData\Local\Temp\OnboardLogs"\RTDC4019\*4019*201612110* &gt;&gt; 42714-slicedisagreementcheck.txt</v>
      </c>
    </row>
    <row r="17" spans="1:30" x14ac:dyDescent="0.25">
      <c r="A17" s="36">
        <v>42714.280798611115</v>
      </c>
      <c r="B17" s="31" t="s">
        <v>408</v>
      </c>
      <c r="C17" s="31" t="s">
        <v>409</v>
      </c>
      <c r="D17" s="31" t="s">
        <v>98</v>
      </c>
      <c r="E17" s="31" t="s">
        <v>199</v>
      </c>
      <c r="F17" s="47">
        <v>200</v>
      </c>
      <c r="G17" s="47">
        <v>269</v>
      </c>
      <c r="H17" s="47">
        <v>24009</v>
      </c>
      <c r="I17" s="47">
        <v>23552</v>
      </c>
      <c r="J17" s="31" t="s">
        <v>200</v>
      </c>
      <c r="K17" s="47">
        <v>28061</v>
      </c>
      <c r="L17" s="154" t="s">
        <v>51</v>
      </c>
      <c r="M17" s="155">
        <f t="shared" si="0"/>
        <v>-2380.752</v>
      </c>
      <c r="N17" s="156" t="str">
        <f>VLOOKUP(C17,'Trips&amp;Operators'!$C$1:$G$99999,5,FALSE)</f>
        <v>MAELZER KURT</v>
      </c>
      <c r="O17" s="182" t="s">
        <v>196</v>
      </c>
      <c r="P17" s="157" t="s">
        <v>807</v>
      </c>
      <c r="Q17" s="31"/>
      <c r="R17" s="100" t="str">
        <f>VLOOKUP(C17,'Train Runs'!$A$13:$AE$9972,31,0)</f>
        <v>aws s3 cp s3://rtdc.mdm.uploadarchive.raw/RTDC4004/ "%USERPROFILE%\AppData\Local\Temp\OnboardLogs"\RTDC4004\2016-12-10 --exclude "*" --recursive --include "*20161210*" &amp; "%USERPROFILE%\Documents\GitHub\mrs-test-scripts\Headless Mode &amp; Sideloading\WalkAndUnGZ.bat" "%USERPROFILE%\AppData\Local\Temp\OnboardLogs"\RTDC4004\2016-12-10 &amp; aws s3 cp s3://rtdc.mdm.uploadarchive.raw/RTDC4004/ "%USERPROFILE%\AppData\Local\Temp\OnboardLogs"\RTDC4004\2016-12-11 --exclude "*" --recursive --include "*20161211*" &amp; "%USERPROFILE%\Documents\GitHub\mrs-test-scripts\Headless Mode &amp; Sideloading\WalkAndUnGZ.bat" "%USERPROFILE%\AppData\Local\Temp\OnboardLogs"\RTDC4004\2016-12-11</v>
      </c>
      <c r="S17" s="103" t="str">
        <f>VLOOKUP(C17,'Train Runs'!$A$13:$AE$9972,22,0)</f>
        <v>https://search-rtdc-monitor-bjffxe2xuh6vdkpspy63sjmuny.us-east-1.es.amazonaws.com/_plugin/kibana/#/discover/Steve-Slow-Train-Analysis-(2080s-and-2083s)?_g=(refreshInterval:(display:Off,section:0,value:0),time:(from:'2016-12-10 05:09:16-700',mode:absolute,to:'2016-12-10 07:44:21-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201053%20OR%202087)%20AND%20%22rtdc.l.rtdc.4004%22')),sort:!(Time,asc))</v>
      </c>
      <c r="T17" s="105" t="str">
        <f t="shared" si="1"/>
        <v>"C:\Program Files (x86)\AstroGrep\AstroGrep.exe" /spath="%USERPROFILE%\AppData\Local\Temp\OnboardLogs" /stypes="*4004*201612101*" /stext=" 13:.+((SYSTEM_STATE.+slice.+state.+changed )|(ment ac)|(multiple cpu faults)|(system.+state.+changed )|(\[timeout)|(PRM\|1\|D)|(kpr)|(kdp)|(\|lc)|(penalty))" /e /r /s</v>
      </c>
      <c r="U17" s="9" t="str">
        <f t="shared" si="2"/>
        <v>4004</v>
      </c>
      <c r="V17" s="36">
        <f t="shared" si="3"/>
        <v>42714.572465277779</v>
      </c>
      <c r="W17" s="50" t="str">
        <f t="shared" si="4"/>
        <v>EC</v>
      </c>
      <c r="X17" s="50" t="str">
        <f t="shared" si="5"/>
        <v>KEEP</v>
      </c>
      <c r="Y17" s="119" t="str">
        <f t="shared" si="6"/>
        <v>echo {"issue":{"subject":"Overspeed","project_id":79,"tracker_id":40,"status_id":1,"priority_id":2,"assigned_to_id":23,"start_date":"2016-12-10","description":"","custom_fields":[{"id":1,"name":"Subdivision","value":"EC"},{"id":4,"name":"Milepost","value":"2.8061"},{"id":17,"name":"Train ID","value":"114-10"},{"id":16,"name":"Locomotive ID","value":"4004"},{"id":130,"name":"Impact","value":""},{"id":150,"name":"Time of Event (Mountain Time)","value":"06:44:21"},{"id":151,"name":"Denver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7" s="53"/>
      <c r="AA17" s="53"/>
      <c r="AB17" s="53"/>
      <c r="AC17" s="138" t="str">
        <f t="shared" si="7"/>
        <v>grep -hSE -A100 "Enforcement Action" "%USERPROFILE%\AppData\Local\Temp\OnboardLogs"\RTDC4004\*4004*201612101* | grep -SE "((Enforcement Ac)|(PRM))" -</v>
      </c>
      <c r="AD17" s="1" t="str">
        <f>"grep -hSE ""Enforcement Action"" "&amp;search_path&amp;"\RTDC"&amp;U17&amp;"\*"&amp;U17&amp;"*"&amp;TEXT(A17-utc_offset/24,"YYYYMMDD")&amp;LEFT(TEXT(A17-utc_offset/24,"HH"),1)&amp;"* &gt;&gt; "&amp;Variables!$A$2&amp;"-slicedisagreementcheck.txt"</f>
        <v>grep -hSE "Enforcement Action" "%USERPROFILE%\AppData\Local\Temp\OnboardLogs"\RTDC4004\*4004*201612101* &gt;&gt; 42714-slicedisagreementcheck.txt</v>
      </c>
    </row>
    <row r="18" spans="1:30" x14ac:dyDescent="0.25">
      <c r="A18" s="36">
        <v>42714.311874999999</v>
      </c>
      <c r="B18" s="31" t="s">
        <v>301</v>
      </c>
      <c r="C18" s="31" t="s">
        <v>411</v>
      </c>
      <c r="D18" s="31" t="s">
        <v>98</v>
      </c>
      <c r="E18" s="31" t="s">
        <v>199</v>
      </c>
      <c r="F18" s="47">
        <v>0</v>
      </c>
      <c r="G18" s="47">
        <v>139</v>
      </c>
      <c r="H18" s="47">
        <v>28038</v>
      </c>
      <c r="I18" s="47">
        <v>27601</v>
      </c>
      <c r="J18" s="31" t="s">
        <v>200</v>
      </c>
      <c r="K18" s="47">
        <v>28061</v>
      </c>
      <c r="L18" s="154" t="s">
        <v>51</v>
      </c>
      <c r="M18" s="155">
        <f t="shared" si="0"/>
        <v>-242.88</v>
      </c>
      <c r="N18" s="156" t="str">
        <f>VLOOKUP(C18,'Trips&amp;Operators'!$C$1:$G$99999,5,FALSE)</f>
        <v>DE LA ROSA ALEX</v>
      </c>
      <c r="O18" s="182" t="s">
        <v>232</v>
      </c>
      <c r="P18" s="157" t="s">
        <v>808</v>
      </c>
      <c r="Q18" s="31"/>
      <c r="R18" s="100" t="str">
        <f>VLOOKUP(C18,'Train Runs'!$A$13:$AE$9972,31,0)</f>
        <v>aws s3 cp s3://rtdc.mdm.uploadarchive.raw/RTDC4015/ "%USERPROFILE%\AppData\Local\Temp\OnboardLogs"\RTDC4015\2016-12-10 --exclude "*" --recursive --include "*20161210*" &amp; "%USERPROFILE%\Documents\GitHub\mrs-test-scripts\Headless Mode &amp; Sideloading\WalkAndUnGZ.bat" "%USERPROFILE%\AppData\Local\Temp\OnboardLogs"\RTDC4015\2016-12-10 &amp; aws s3 cp s3://rtdc.mdm.uploadarchive.raw/RTDC4015/ "%USERPROFILE%\AppData\Local\Temp\OnboardLogs"\RTDC4015\2016-12-11 --exclude "*" --recursive --include "*20161211*" &amp; "%USERPROFILE%\Documents\GitHub\mrs-test-scripts\Headless Mode &amp; Sideloading\WalkAndUnGZ.bat" "%USERPROFILE%\AppData\Local\Temp\OnboardLogs"\RTDC4015\2016-12-11</v>
      </c>
      <c r="S18" s="103" t="str">
        <f>VLOOKUP(C18,'Train Runs'!$A$13:$AE$9972,22,0)</f>
        <v>https://search-rtdc-monitor-bjffxe2xuh6vdkpspy63sjmuny.us-east-1.es.amazonaws.com/_plugin/kibana/#/discover/Steve-Slow-Train-Analysis-(2080s-and-2083s)?_g=(refreshInterval:(display:Off,section:0,value:0),time:(from:'2016-12-10 05:48:41-700',mode:absolute,to:'2016-12-10 08:31:21-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201053%20OR%202087)%20AND%20%22rtdc.l.rtdc.4015%22')),sort:!(Time,asc))</v>
      </c>
      <c r="T18" s="105" t="str">
        <f t="shared" si="1"/>
        <v>"C:\Program Files (x86)\AstroGrep\AstroGrep.exe" /spath="%USERPROFILE%\AppData\Local\Temp\OnboardLogs" /stypes="*4015*201612101*" /stext=" 14:.+((SYSTEM_STATE.+slice.+state.+changed )|(ment ac)|(multiple cpu faults)|(system.+state.+changed )|(\[timeout)|(PRM\|1\|D)|(kpr)|(kdp)|(\|lc)|(penalty))" /e /r /s</v>
      </c>
      <c r="U18" s="9" t="str">
        <f t="shared" si="2"/>
        <v>4015</v>
      </c>
      <c r="V18" s="36">
        <f t="shared" si="3"/>
        <v>42714.603541666664</v>
      </c>
      <c r="W18" s="50" t="str">
        <f t="shared" si="4"/>
        <v>EC</v>
      </c>
      <c r="X18" s="50" t="str">
        <f t="shared" si="5"/>
        <v>KEEP</v>
      </c>
      <c r="Y18" s="119" t="str">
        <f t="shared" si="6"/>
        <v>echo {"issue":{"subject":"Premature downgrade at EC0286RH 38-2T 2S","project_id":79,"tracker_id":40,"status_id":1,"priority_id":2,"assigned_to_id":23,"start_date":"2016-12-10","description":"At 07:28:44, EC0286RH 38-2T 2S seems to have dropped from 270 to STOP &amp; PROCEED. Do logs show anything unusual at this time?","custom_fields":[{"id":1,"name":"Subdivision","value":"EC"},{"id":4,"name":"Milepost","value":"2.8061"},{"id":17,"name":"Train ID","value":"120-10"},{"id":16,"name":"Locomotive ID","value":"4015"},{"id":130,"name":"Impact","value":"Enforcement"},{"id":150,"name":"Time of Event (Mountain Time)","value":"07:29:06"},{"id":151,"name":"Denver Issue ID","value":""},{"id":178,"name":"Operational Impact","value":"Yes"},{"id":179,"name":"Denver Segment Assigned","value":"Signal"}]}} | curl -X POST -H "Content-Type: application/json" -H "X-Redmine-API-Key: d6333d4a04012a730768444271f8ca06482dae87" https://secure.xorail.net/redmine/issues.json --data @-</v>
      </c>
      <c r="Z18" s="53" t="s">
        <v>809</v>
      </c>
      <c r="AA18" s="53" t="s">
        <v>125</v>
      </c>
      <c r="AB18" s="53" t="s">
        <v>130</v>
      </c>
      <c r="AC18" s="138" t="str">
        <f t="shared" si="7"/>
        <v>grep -hSE -A100 "Enforcement Action" "%USERPROFILE%\AppData\Local\Temp\OnboardLogs"\RTDC4015\*4015*201612101* | grep -SE "((Enforcement Ac)|(PRM))" -</v>
      </c>
      <c r="AD18" s="1" t="str">
        <f>"grep -hSE ""Enforcement Action"" "&amp;search_path&amp;"\RTDC"&amp;U18&amp;"\*"&amp;U18&amp;"*"&amp;TEXT(A18-utc_offset/24,"YYYYMMDD")&amp;LEFT(TEXT(A18-utc_offset/24,"HH"),1)&amp;"* &gt;&gt; "&amp;Variables!$A$2&amp;"-slicedisagreementcheck.txt"</f>
        <v>grep -hSE "Enforcement Action" "%USERPROFILE%\AppData\Local\Temp\OnboardLogs"\RTDC4015\*4015*201612101* &gt;&gt; 42714-slicedisagreementcheck.txt</v>
      </c>
    </row>
    <row r="19" spans="1:30" x14ac:dyDescent="0.25">
      <c r="A19" s="36">
        <v>42715.021817129629</v>
      </c>
      <c r="B19" s="31" t="s">
        <v>262</v>
      </c>
      <c r="C19" s="31" t="s">
        <v>438</v>
      </c>
      <c r="D19" s="31" t="s">
        <v>49</v>
      </c>
      <c r="E19" s="31" t="s">
        <v>199</v>
      </c>
      <c r="F19" s="47">
        <v>0</v>
      </c>
      <c r="G19" s="47">
        <v>689</v>
      </c>
      <c r="H19" s="47">
        <v>196027</v>
      </c>
      <c r="I19" s="47">
        <v>199497</v>
      </c>
      <c r="J19" s="31" t="s">
        <v>200</v>
      </c>
      <c r="K19" s="47">
        <v>198242</v>
      </c>
      <c r="L19" s="154" t="s">
        <v>50</v>
      </c>
      <c r="M19" s="155">
        <f t="shared" si="0"/>
        <v>-662.64</v>
      </c>
      <c r="N19" s="156" t="str">
        <f>VLOOKUP(C19,'Trips&amp;Operators'!$C$1:$G$99999,5,FALSE)</f>
        <v>CHANDLER KELVIN</v>
      </c>
      <c r="O19" s="182" t="s">
        <v>232</v>
      </c>
      <c r="P19" s="157" t="s">
        <v>802</v>
      </c>
      <c r="Q19" s="31"/>
      <c r="R19" s="100" t="str">
        <f>VLOOKUP(C19,'Train Runs'!$A$13:$AE$9972,31,0)</f>
        <v>aws s3 cp s3://rtdc.mdm.uploadarchive.raw/RTDC4016/ "%USERPROFILE%\AppData\Local\Temp\OnboardLogs"\RTDC4016\2016-12-11 --exclude "*" --recursive --include "*20161211*" &amp; "%USERPROFILE%\Documents\GitHub\mrs-test-scripts\Headless Mode &amp; Sideloading\WalkAndUnGZ.bat" "%USERPROFILE%\AppData\Local\Temp\OnboardLogs"\RTDC4016\2016-12-11 &amp; aws s3 cp s3://rtdc.mdm.uploadarchive.raw/RTDC4016/ "%USERPROFILE%\AppData\Local\Temp\OnboardLogs"\RTDC4016\2016-12-12 --exclude "*" --recursive --include "*20161212*" &amp; "%USERPROFILE%\Documents\GitHub\mrs-test-scripts\Headless Mode &amp; Sideloading\WalkAndUnGZ.bat" "%USERPROFILE%\AppData\Local\Temp\OnboardLogs"\RTDC4016\2016-12-12</v>
      </c>
      <c r="S19" s="103" t="str">
        <f>VLOOKUP(C19,'Train Runs'!$A$13:$AE$9972,22,0)</f>
        <v>https://search-rtdc-monitor-bjffxe2xuh6vdkpspy63sjmuny.us-east-1.es.amazonaws.com/_plugin/kibana/#/discover/Steve-Slow-Train-Analysis-(2080s-and-2083s)?_g=(refreshInterval:(display:Off,section:0,value:0),time:(from:'2016-12-10 22:57:32-700',mode:absolute,to:'2016-12-11 01:31:24-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201053%20OR%202087)%20AND%20%22rtdc.l.rtdc.4016%22')),sort:!(Time,asc))</v>
      </c>
      <c r="T19" s="105" t="str">
        <f t="shared" si="1"/>
        <v>"C:\Program Files (x86)\AstroGrep\AstroGrep.exe" /spath="%USERPROFILE%\AppData\Local\Temp\OnboardLogs" /stypes="*4016*201612110*" /stext=" 07:.+((SYSTEM_STATE.+slice.+state.+changed )|(ment ac)|(multiple cpu faults)|(system.+state.+changed )|(\[timeout)|(PRM\|1\|D)|(kpr)|(kdp)|(\|lc)|(penalty))" /e /r /s</v>
      </c>
      <c r="U19" s="9" t="str">
        <f t="shared" si="2"/>
        <v>4016</v>
      </c>
      <c r="V19" s="36">
        <f t="shared" si="3"/>
        <v>42715.313483796293</v>
      </c>
      <c r="W19" s="50" t="str">
        <f t="shared" si="4"/>
        <v>EC</v>
      </c>
      <c r="X19" s="50" t="str">
        <f t="shared" si="5"/>
        <v>KEEP</v>
      </c>
      <c r="Y19" s="119" t="str">
        <f t="shared" si="6"/>
        <v>echo {"issue":{"subject":"Windows update locked virtual machine responsible for passing WSM's","project_id":79,"tracker_id":40,"status_id":1,"priority_id":2,"assigned_to_id":23,"start_date":"2016-12-11","description":"","custom_fields":[{"id":1,"name":"Subdivision","value":"EC"},{"id":4,"name":"Milepost","value":"19.8242"},{"id":17,"name":"Train ID","value":"241-10"},{"id":16,"name":"Locomotive ID","value":"4016"},{"id":130,"name":"Impact","value":""},{"id":150,"name":"Time of Event (Mountain Time)","value":"00:31:25"},{"id":151,"name":"Denver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9" s="53"/>
      <c r="AA19" s="53"/>
      <c r="AB19" s="53"/>
      <c r="AC19" s="138" t="str">
        <f t="shared" si="7"/>
        <v>grep -hSE -A100 "Enforcement Action" "%USERPROFILE%\AppData\Local\Temp\OnboardLogs"\RTDC4016\*4016*201612110* | grep -SE "((Enforcement Ac)|(PRM))" -</v>
      </c>
      <c r="AD19" s="1" t="str">
        <f>"grep -hSE ""Enforcement Action"" "&amp;search_path&amp;"\RTDC"&amp;U19&amp;"\*"&amp;U19&amp;"*"&amp;TEXT(A19-utc_offset/24,"YYYYMMDD")&amp;LEFT(TEXT(A19-utc_offset/24,"HH"),1)&amp;"* &gt;&gt; "&amp;Variables!$A$2&amp;"-slicedisagreementcheck.txt"</f>
        <v>grep -hSE "Enforcement Action" "%USERPROFILE%\AppData\Local\Temp\OnboardLogs"\RTDC4016\*4016*201612110* &gt;&gt; 42714-slicedisagreementcheck.txt</v>
      </c>
    </row>
    <row r="20" spans="1:30" x14ac:dyDescent="0.25">
      <c r="A20" s="36">
        <v>42714.636041666665</v>
      </c>
      <c r="B20" s="31" t="s">
        <v>208</v>
      </c>
      <c r="C20" s="31" t="s">
        <v>425</v>
      </c>
      <c r="D20" s="31" t="s">
        <v>98</v>
      </c>
      <c r="E20" s="31" t="s">
        <v>302</v>
      </c>
      <c r="F20" s="47">
        <v>0</v>
      </c>
      <c r="G20" s="47">
        <v>603</v>
      </c>
      <c r="H20" s="47">
        <v>69096</v>
      </c>
      <c r="I20" s="47">
        <v>71586</v>
      </c>
      <c r="J20" s="31" t="s">
        <v>303</v>
      </c>
      <c r="K20" s="47">
        <v>68372</v>
      </c>
      <c r="L20" s="154" t="s">
        <v>50</v>
      </c>
      <c r="M20" s="155">
        <f t="shared" si="0"/>
        <v>-1696.992</v>
      </c>
      <c r="N20" s="156" t="str">
        <f>VLOOKUP(C20,'Trips&amp;Operators'!$C$1:$G$99999,5,FALSE)</f>
        <v>MOSES BRADLEY</v>
      </c>
      <c r="O20" s="182" t="s">
        <v>232</v>
      </c>
      <c r="P20" s="157" t="s">
        <v>806</v>
      </c>
      <c r="Q20" s="31"/>
      <c r="R20" s="100" t="str">
        <f>VLOOKUP(C20,'Train Runs'!$A$13:$AE$9972,31,0)</f>
        <v>aws s3 cp s3://rtdc.mdm.uploadarchive.raw/RTDC4040/ "%USERPROFILE%\AppData\Local\Temp\OnboardLogs"\RTDC4040\2016-12-10 --exclude "*" --recursive --include "*20161210*" &amp; "%USERPROFILE%\Documents\GitHub\mrs-test-scripts\Headless Mode &amp; Sideloading\WalkAndUnGZ.bat" "%USERPROFILE%\AppData\Local\Temp\OnboardLogs"\RTDC4040\2016-12-10 &amp; aws s3 cp s3://rtdc.mdm.uploadarchive.raw/RTDC4040/ "%USERPROFILE%\AppData\Local\Temp\OnboardLogs"\RTDC4040\2016-12-11 --exclude "*" --recursive --include "*20161211*" &amp; "%USERPROFILE%\Documents\GitHub\mrs-test-scripts\Headless Mode &amp; Sideloading\WalkAndUnGZ.bat" "%USERPROFILE%\AppData\Local\Temp\OnboardLogs"\RTDC4040\2016-12-11</v>
      </c>
      <c r="S20" s="103" t="str">
        <f>VLOOKUP(C20,'Train Runs'!$A$13:$AE$9972,22,0)</f>
        <v>https://search-rtdc-monitor-bjffxe2xuh6vdkpspy63sjmuny.us-east-1.es.amazonaws.com/_plugin/kibana/#/discover/Steve-Slow-Train-Analysis-(2080s-and-2083s)?_g=(refreshInterval:(display:Off,section:0,value:0),time:(from:'2016-12-10 13:56:29-700',mode:absolute,to:'2016-12-10 16:37:06-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201053%20OR%202087)%20AND%20%22rtdc.l.rtdc.4040%22')),sort:!(Time,asc))</v>
      </c>
      <c r="T20" s="105" t="str">
        <f t="shared" si="1"/>
        <v>"C:\Program Files (x86)\AstroGrep\AstroGrep.exe" /spath="%USERPROFILE%\AppData\Local\Temp\OnboardLogs" /stypes="*4040*201612102*" /stext=" 22:.+((SYSTEM_STATE.+slice.+state.+changed )|(ment ac)|(multiple cpu faults)|(system.+state.+changed )|(\[timeout)|(PRM\|1\|D)|(kpr)|(kdp)|(\|lc)|(penalty))" /e /r /s</v>
      </c>
      <c r="U20" s="9" t="str">
        <f t="shared" si="2"/>
        <v>4040</v>
      </c>
      <c r="V20" s="36">
        <f t="shared" si="3"/>
        <v>42714.927708333329</v>
      </c>
      <c r="W20" s="50" t="str">
        <f t="shared" si="4"/>
        <v>EC</v>
      </c>
      <c r="X20" s="50" t="str">
        <f t="shared" si="5"/>
        <v>KEEP</v>
      </c>
      <c r="Y20" s="119" t="str">
        <f t="shared" si="6"/>
        <v>echo {"issue":{"subject":"Wi-MAX data drop","project_id":79,"tracker_id":40,"status_id":1,"priority_id":2,"assigned_to_id":23,"start_date":"2016-12-10","description":"","custom_fields":[{"id":1,"name":"Subdivision","value":"EC"},{"id":4,"name":"Milepost","value":"6.8372"},{"id":17,"name":"Train ID","value":"191-10"},{"id":16,"name":"Locomotive ID","value":"4040"},{"id":130,"name":"Impact","value":""},{"id":150,"name":"Time of Event (Mountain Time)","value":"15:15:54"},{"id":151,"name":"Denver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0" s="53"/>
      <c r="AA20" s="53"/>
      <c r="AB20" s="53"/>
      <c r="AC20" s="138" t="str">
        <f t="shared" si="7"/>
        <v>grep -hSE -A100 "Enforcement Action" "%USERPROFILE%\AppData\Local\Temp\OnboardLogs"\RTDC4040\*4040*201612102* | grep -SE "((Enforcement Ac)|(PRM))" -</v>
      </c>
      <c r="AD20" s="1" t="str">
        <f>"grep -hSE ""Enforcement Action"" "&amp;search_path&amp;"\RTDC"&amp;U20&amp;"\*"&amp;U20&amp;"*"&amp;TEXT(A20-utc_offset/24,"YYYYMMDD")&amp;LEFT(TEXT(A20-utc_offset/24,"HH"),1)&amp;"* &gt;&gt; "&amp;Variables!$A$2&amp;"-slicedisagreementcheck.txt"</f>
        <v>grep -hSE "Enforcement Action" "%USERPROFILE%\AppData\Local\Temp\OnboardLogs"\RTDC4040\*4040*201612102* &gt;&gt; 42714-slicedisagreementcheck.txt</v>
      </c>
    </row>
    <row r="21" spans="1:30" x14ac:dyDescent="0.25">
      <c r="A21" s="36">
        <v>42714.383159722223</v>
      </c>
      <c r="B21" s="31" t="s">
        <v>415</v>
      </c>
      <c r="C21" s="31" t="s">
        <v>416</v>
      </c>
      <c r="D21" s="31" t="s">
        <v>98</v>
      </c>
      <c r="E21" s="31" t="s">
        <v>302</v>
      </c>
      <c r="F21" s="47">
        <v>0</v>
      </c>
      <c r="G21" s="47">
        <v>4</v>
      </c>
      <c r="H21" s="47">
        <v>155771</v>
      </c>
      <c r="I21" s="47">
        <v>155771</v>
      </c>
      <c r="J21" s="31" t="s">
        <v>303</v>
      </c>
      <c r="K21" s="47">
        <v>155600</v>
      </c>
      <c r="L21" s="154" t="s">
        <v>50</v>
      </c>
      <c r="M21" s="155">
        <f t="shared" si="0"/>
        <v>-90.287999999999997</v>
      </c>
      <c r="N21" s="156" t="str">
        <f>VLOOKUP(C21,'Trips&amp;Operators'!$C$1:$G$99999,5,FALSE)</f>
        <v>MAELZER KURT</v>
      </c>
      <c r="O21" s="182" t="s">
        <v>232</v>
      </c>
      <c r="P21" s="157" t="s">
        <v>800</v>
      </c>
      <c r="Q21" s="31"/>
      <c r="R21" s="100" t="str">
        <f>VLOOKUP(C21,'Train Runs'!$A$13:$AE$9972,31,0)</f>
        <v>aws s3 cp s3://rtdc.mdm.uploadarchive.raw/RTDC4003/ "%USERPROFILE%\AppData\Local\Temp\OnboardLogs"\RTDC4003\2016-12-10 --exclude "*" --recursive --include "*20161210*" &amp; "%USERPROFILE%\Documents\GitHub\mrs-test-scripts\Headless Mode &amp; Sideloading\WalkAndUnGZ.bat" "%USERPROFILE%\AppData\Local\Temp\OnboardLogs"\RTDC4003\2016-12-10 &amp; aws s3 cp s3://rtdc.mdm.uploadarchive.raw/RTDC4003/ "%USERPROFILE%\AppData\Local\Temp\OnboardLogs"\RTDC4003\2016-12-11 --exclude "*" --recursive --include "*20161211*" &amp; "%USERPROFILE%\Documents\GitHub\mrs-test-scripts\Headless Mode &amp; Sideloading\WalkAndUnGZ.bat" "%USERPROFILE%\AppData\Local\Temp\OnboardLogs"\RTDC4003\2016-12-11</v>
      </c>
      <c r="S21" s="103" t="str">
        <f>VLOOKUP(C21,'Train Runs'!$A$13:$AE$9972,22,0)</f>
        <v>https://search-rtdc-monitor-bjffxe2xuh6vdkpspy63sjmuny.us-east-1.es.amazonaws.com/_plugin/kibana/#/discover/Steve-Slow-Train-Analysis-(2080s-and-2083s)?_g=(refreshInterval:(display:Off,section:0,value:0),time:(from:'2016-12-10 07:39:05-700',mode:absolute,to:'2016-12-10 10:11:46-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201053%20OR%202087)%20AND%20%22rtdc.l.rtdc.4003%22')),sort:!(Time,asc))</v>
      </c>
      <c r="T21" s="105" t="str">
        <f t="shared" si="1"/>
        <v>"C:\Program Files (x86)\AstroGrep\AstroGrep.exe" /spath="%USERPROFILE%\AppData\Local\Temp\OnboardLogs" /stypes="*4003*201612101*" /stext=" 16:.+((SYSTEM_STATE.+slice.+state.+changed )|(ment ac)|(multiple cpu faults)|(system.+state.+changed )|(\[timeout)|(PRM\|1\|D)|(kpr)|(kdp)|(\|lc)|(penalty))" /e /r /s</v>
      </c>
      <c r="U21" s="9" t="str">
        <f t="shared" si="2"/>
        <v>4003</v>
      </c>
      <c r="V21" s="36">
        <f t="shared" si="3"/>
        <v>42714.674826388888</v>
      </c>
      <c r="W21" s="50" t="str">
        <f t="shared" si="4"/>
        <v>EC</v>
      </c>
      <c r="X21" s="50" t="str">
        <f t="shared" si="5"/>
        <v>KEEP</v>
      </c>
      <c r="Y21" s="119" t="str">
        <f t="shared" si="6"/>
        <v>echo {"issue":{"subject":"CP Pena ELXS failure","project_id":79,"tracker_id":40,"status_id":1,"priority_id":2,"assigned_to_id":23,"start_date":"2016-12-10","description":"","custom_fields":[{"id":1,"name":"Subdivision","value":"EC"},{"id":4,"name":"Milepost","value":"15.56"},{"id":17,"name":"Train ID","value":"141-10"},{"id":16,"name":"Locomotive ID","value":"4003"},{"id":130,"name":"Impact","value":""},{"id":150,"name":"Time of Event (Mountain Time)","value":"09:11:45"},{"id":151,"name":"Denver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1" s="53"/>
      <c r="AA21" s="53"/>
      <c r="AB21" s="53"/>
      <c r="AC21" s="138" t="str">
        <f t="shared" si="7"/>
        <v>grep -hSE -A100 "Enforcement Action" "%USERPROFILE%\AppData\Local\Temp\OnboardLogs"\RTDC4003\*4003*201612101* | grep -SE "((Enforcement Ac)|(PRM))" -</v>
      </c>
      <c r="AD21" s="1" t="str">
        <f>"grep -hSE ""Enforcement Action"" "&amp;search_path&amp;"\RTDC"&amp;U21&amp;"\*"&amp;U21&amp;"*"&amp;TEXT(A21-utc_offset/24,"YYYYMMDD")&amp;LEFT(TEXT(A21-utc_offset/24,"HH"),1)&amp;"* &gt;&gt; "&amp;Variables!$A$2&amp;"-slicedisagreementcheck.txt"</f>
        <v>grep -hSE "Enforcement Action" "%USERPROFILE%\AppData\Local\Temp\OnboardLogs"\RTDC4003\*4003*201612101* &gt;&gt; 42714-slicedisagreementcheck.txt</v>
      </c>
    </row>
    <row r="22" spans="1:30" x14ac:dyDescent="0.25">
      <c r="A22" s="36">
        <v>42714.367361111108</v>
      </c>
      <c r="B22" s="31" t="s">
        <v>245</v>
      </c>
      <c r="C22" s="31" t="s">
        <v>414</v>
      </c>
      <c r="D22" s="31" t="s">
        <v>49</v>
      </c>
      <c r="E22" s="31" t="s">
        <v>306</v>
      </c>
      <c r="F22" s="47">
        <v>100</v>
      </c>
      <c r="G22" s="47">
        <v>248</v>
      </c>
      <c r="H22" s="47">
        <v>67124</v>
      </c>
      <c r="I22" s="47">
        <v>66653</v>
      </c>
      <c r="J22" s="31" t="s">
        <v>273</v>
      </c>
      <c r="K22" s="47">
        <v>66500</v>
      </c>
      <c r="L22" s="154" t="s">
        <v>51</v>
      </c>
      <c r="M22" s="155">
        <f t="shared" si="0"/>
        <v>80.784000000000006</v>
      </c>
      <c r="N22" s="156" t="str">
        <f>VLOOKUP(C22,'Trips&amp;Operators'!$C$1:$G$99999,5,FALSE)</f>
        <v>ROBINSON KADDIBA</v>
      </c>
      <c r="O22" s="182" t="s">
        <v>196</v>
      </c>
      <c r="P22" s="157"/>
      <c r="Q22" s="31"/>
      <c r="R22" s="100" t="str">
        <f>VLOOKUP(C22,'Train Runs'!$A$13:$AE$9972,31,0)</f>
        <v>aws s3 cp s3://rtdc.mdm.uploadarchive.raw/RTDC4010/ "%USERPROFILE%\AppData\Local\Temp\OnboardLogs"\RTDC4010\2016-12-10 --exclude "*" --recursive --include "*20161210*" &amp; "%USERPROFILE%\Documents\GitHub\mrs-test-scripts\Headless Mode &amp; Sideloading\WalkAndUnGZ.bat" "%USERPROFILE%\AppData\Local\Temp\OnboardLogs"\RTDC4010\2016-12-10 &amp; aws s3 cp s3://rtdc.mdm.uploadarchive.raw/RTDC4010/ "%USERPROFILE%\AppData\Local\Temp\OnboardLogs"\RTDC4010\2016-12-11 --exclude "*" --recursive --include "*20161211*" &amp; "%USERPROFILE%\Documents\GitHub\mrs-test-scripts\Headless Mode &amp; Sideloading\WalkAndUnGZ.bat" "%USERPROFILE%\AppData\Local\Temp\OnboardLogs"\RTDC4010\2016-12-11</v>
      </c>
      <c r="S22" s="103" t="str">
        <f>VLOOKUP(C22,'Train Runs'!$A$13:$AE$9972,22,0)</f>
        <v>https://search-rtdc-monitor-bjffxe2xuh6vdkpspy63sjmuny.us-east-1.es.amazonaws.com/_plugin/kibana/#/discover/Steve-Slow-Train-Analysis-(2080s-and-2083s)?_g=(refreshInterval:(display:Off,section:0,value:0),time:(from:'2016-12-10 07:17:00-700',mode:absolute,to:'2016-12-10 10:05:48-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201053%20OR%202087)%20AND%20%22rtdc.l.rtdc.4010%22')),sort:!(Time,asc))</v>
      </c>
      <c r="T22" s="105" t="str">
        <f t="shared" si="1"/>
        <v>"C:\Program Files (x86)\AstroGrep\AstroGrep.exe" /spath="%USERPROFILE%\AppData\Local\Temp\OnboardLogs" /stypes="*4010*201612101*" /stext=" 15:.+((SYSTEM_STATE.+slice.+state.+changed )|(ment ac)|(multiple cpu faults)|(system.+state.+changed )|(\[timeout)|(PRM\|1\|D)|(kpr)|(kdp)|(\|lc)|(penalty))" /e /r /s</v>
      </c>
      <c r="U22" s="9" t="str">
        <f t="shared" si="2"/>
        <v>4010</v>
      </c>
      <c r="V22" s="36">
        <f t="shared" si="3"/>
        <v>42714.659027777772</v>
      </c>
      <c r="W22" s="50" t="str">
        <f t="shared" si="4"/>
        <v>EC</v>
      </c>
      <c r="X22" s="50" t="str">
        <f t="shared" si="5"/>
        <v>KEEP</v>
      </c>
      <c r="Y22" s="119" t="str">
        <f t="shared" si="6"/>
        <v>echo {"issue":{"subject":"","project_id":79,"tracker_id":40,"status_id":1,"priority_id":2,"assigned_to_id":23,"start_date":"2016-12-10","description":"","custom_fields":[{"id":1,"name":"Subdivision","value":"EC"},{"id":4,"name":"Milepost","value":"6.65"},{"id":17,"name":"Train ID","value":"132-10"},{"id":16,"name":"Locomotive ID","value":"4010"},{"id":130,"name":"Impact","value":""},{"id":150,"name":"Time of Event (Mountain Time)","value":"08:49:00"},{"id":151,"name":"Denver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2" s="53"/>
      <c r="AA22" s="53"/>
      <c r="AB22" s="53"/>
      <c r="AC22" s="138" t="str">
        <f t="shared" si="7"/>
        <v>grep -hSE -A100 "Enforcement Action" "%USERPROFILE%\AppData\Local\Temp\OnboardLogs"\RTDC4010\*4010*201612101* | grep -SE "((Enforcement Ac)|(PRM))" -</v>
      </c>
      <c r="AD22" s="1" t="str">
        <f>"grep -hSE ""Enforcement Action"" "&amp;search_path&amp;"\RTDC"&amp;U22&amp;"\*"&amp;U22&amp;"*"&amp;TEXT(A22-utc_offset/24,"YYYYMMDD")&amp;LEFT(TEXT(A22-utc_offset/24,"HH"),1)&amp;"* &gt;&gt; "&amp;Variables!$A$2&amp;"-slicedisagreementcheck.txt"</f>
        <v>grep -hSE "Enforcement Action" "%USERPROFILE%\AppData\Local\Temp\OnboardLogs"\RTDC4010\*4010*201612101* &gt;&gt; 42714-slicedisagreementcheck.txt</v>
      </c>
    </row>
    <row r="23" spans="1:30" x14ac:dyDescent="0.25">
      <c r="A23" s="36">
        <v>42714.401134259257</v>
      </c>
      <c r="B23" s="31" t="s">
        <v>412</v>
      </c>
      <c r="C23" s="31" t="s">
        <v>417</v>
      </c>
      <c r="D23" s="31" t="s">
        <v>98</v>
      </c>
      <c r="E23" s="31" t="s">
        <v>306</v>
      </c>
      <c r="F23" s="47">
        <v>100</v>
      </c>
      <c r="G23" s="47">
        <v>158</v>
      </c>
      <c r="H23" s="47">
        <v>64718</v>
      </c>
      <c r="I23" s="47">
        <v>64415</v>
      </c>
      <c r="J23" s="31" t="s">
        <v>273</v>
      </c>
      <c r="K23" s="47">
        <v>66500</v>
      </c>
      <c r="L23" s="154" t="s">
        <v>51</v>
      </c>
      <c r="M23" s="155">
        <f t="shared" si="0"/>
        <v>-1100.8800000000001</v>
      </c>
      <c r="N23" s="156" t="str">
        <f>VLOOKUP(C23,'Trips&amp;Operators'!$C$1:$G$99999,5,FALSE)</f>
        <v>KILLION DAVID</v>
      </c>
      <c r="O23" s="182" t="s">
        <v>196</v>
      </c>
      <c r="P23" s="157"/>
      <c r="Q23" s="31"/>
      <c r="R23" s="100" t="str">
        <f>VLOOKUP(C23,'Train Runs'!$A$13:$AE$9972,31,0)</f>
        <v>aws s3 cp s3://rtdc.mdm.uploadarchive.raw/RTDC4026/ "%USERPROFILE%\AppData\Local\Temp\OnboardLogs"\RTDC4026\2016-12-10 --exclude "*" --recursive --include "*20161210*" &amp; "%USERPROFILE%\Documents\GitHub\mrs-test-scripts\Headless Mode &amp; Sideloading\WalkAndUnGZ.bat" "%USERPROFILE%\AppData\Local\Temp\OnboardLogs"\RTDC4026\2016-12-10 &amp; aws s3 cp s3://rtdc.mdm.uploadarchive.raw/RTDC4026/ "%USERPROFILE%\AppData\Local\Temp\OnboardLogs"\RTDC4026\2016-12-11 --exclude "*" --recursive --include "*20161211*" &amp; "%USERPROFILE%\Documents\GitHub\mrs-test-scripts\Headless Mode &amp; Sideloading\WalkAndUnGZ.bat" "%USERPROFILE%\AppData\Local\Temp\OnboardLogs"\RTDC4026\2016-12-11</v>
      </c>
      <c r="S23" s="103" t="str">
        <f>VLOOKUP(C23,'Train Runs'!$A$13:$AE$9972,22,0)</f>
        <v>https://search-rtdc-monitor-bjffxe2xuh6vdkpspy63sjmuny.us-east-1.es.amazonaws.com/_plugin/kibana/#/discover/Steve-Slow-Train-Analysis-(2080s-and-2083s)?_g=(refreshInterval:(display:Off,section:0,value:0),time:(from:'2016-12-10 08:04:34-700',mode:absolute,to:'2016-12-10 10:54:42-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201053%20OR%202087)%20AND%20%22rtdc.l.rtdc.4026%22')),sort:!(Time,asc))</v>
      </c>
      <c r="T23" s="105" t="str">
        <f t="shared" si="1"/>
        <v>"C:\Program Files (x86)\AstroGrep\AstroGrep.exe" /spath="%USERPROFILE%\AppData\Local\Temp\OnboardLogs" /stypes="*4026*201612101*" /stext=" 16:.+((SYSTEM_STATE.+slice.+state.+changed )|(ment ac)|(multiple cpu faults)|(system.+state.+changed )|(\[timeout)|(PRM\|1\|D)|(kpr)|(kdp)|(\|lc)|(penalty))" /e /r /s</v>
      </c>
      <c r="U23" s="9" t="str">
        <f t="shared" si="2"/>
        <v>4026</v>
      </c>
      <c r="V23" s="36">
        <f t="shared" si="3"/>
        <v>42714.692800925921</v>
      </c>
      <c r="W23" s="50" t="str">
        <f t="shared" si="4"/>
        <v>EC</v>
      </c>
      <c r="X23" s="50" t="str">
        <f t="shared" si="5"/>
        <v>KEEP</v>
      </c>
      <c r="Y23" s="119" t="str">
        <f t="shared" si="6"/>
        <v>echo {"issue":{"subject":"","project_id":79,"tracker_id":40,"status_id":1,"priority_id":2,"assigned_to_id":23,"start_date":"2016-12-10","description":"","custom_fields":[{"id":1,"name":"Subdivision","value":"EC"},{"id":4,"name":"Milepost","value":"6.65"},{"id":17,"name":"Train ID","value":"138-10"},{"id":16,"name":"Locomotive ID","value":"4026"},{"id":130,"name":"Impact","value":""},{"id":150,"name":"Time of Event (Mountain Time)","value":"09:37:38"},{"id":151,"name":"Denver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3" s="53"/>
      <c r="AA23" s="53"/>
      <c r="AB23" s="53"/>
      <c r="AC23" s="138" t="str">
        <f t="shared" si="7"/>
        <v>grep -hSE -A100 "Enforcement Action" "%USERPROFILE%\AppData\Local\Temp\OnboardLogs"\RTDC4026\*4026*201612101* | grep -SE "((Enforcement Ac)|(PRM))" -</v>
      </c>
      <c r="AD23" s="1" t="str">
        <f>"grep -hSE ""Enforcement Action"" "&amp;search_path&amp;"\RTDC"&amp;U23&amp;"\*"&amp;U23&amp;"*"&amp;TEXT(A23-utc_offset/24,"YYYYMMDD")&amp;LEFT(TEXT(A23-utc_offset/24,"HH"),1)&amp;"* &gt;&gt; "&amp;Variables!$A$2&amp;"-slicedisagreementcheck.txt"</f>
        <v>grep -hSE "Enforcement Action" "%USERPROFILE%\AppData\Local\Temp\OnboardLogs"\RTDC4026\*4026*201612101* &gt;&gt; 42714-slicedisagreementcheck.txt</v>
      </c>
    </row>
    <row r="24" spans="1:30" ht="15" customHeight="1" x14ac:dyDescent="0.25">
      <c r="A24" s="36">
        <v>42714.523506944446</v>
      </c>
      <c r="B24" s="31" t="s">
        <v>301</v>
      </c>
      <c r="C24" s="31" t="s">
        <v>420</v>
      </c>
      <c r="D24" s="31" t="s">
        <v>49</v>
      </c>
      <c r="E24" s="31" t="s">
        <v>306</v>
      </c>
      <c r="F24" s="47">
        <v>100</v>
      </c>
      <c r="G24" s="47">
        <v>360</v>
      </c>
      <c r="H24" s="47">
        <v>67960</v>
      </c>
      <c r="I24" s="47">
        <v>67170</v>
      </c>
      <c r="J24" s="31" t="s">
        <v>273</v>
      </c>
      <c r="K24" s="47">
        <v>66500</v>
      </c>
      <c r="L24" s="154" t="s">
        <v>51</v>
      </c>
      <c r="M24" s="155">
        <f t="shared" si="0"/>
        <v>353.76000000000005</v>
      </c>
      <c r="N24" s="156" t="str">
        <f>VLOOKUP(C24,'Trips&amp;Operators'!$C$1:$G$99999,5,FALSE)</f>
        <v>BARTLETT KIANDRA</v>
      </c>
      <c r="O24" s="182" t="s">
        <v>196</v>
      </c>
      <c r="P24" s="157"/>
      <c r="Q24" s="31"/>
      <c r="R24" s="100" t="str">
        <f>VLOOKUP(C24,'Train Runs'!$A$13:$AE$9972,31,0)</f>
        <v>aws s3 cp s3://rtdc.mdm.uploadarchive.raw/RTDC4015/ "%USERPROFILE%\AppData\Local\Temp\OnboardLogs"\RTDC4015\2016-12-10 --exclude "*" --recursive --include "*20161210*" &amp; "%USERPROFILE%\Documents\GitHub\mrs-test-scripts\Headless Mode &amp; Sideloading\WalkAndUnGZ.bat" "%USERPROFILE%\AppData\Local\Temp\OnboardLogs"\RTDC4015\2016-12-10 &amp; aws s3 cp s3://rtdc.mdm.uploadarchive.raw/RTDC4015/ "%USERPROFILE%\AppData\Local\Temp\OnboardLogs"\RTDC4015\2016-12-11 --exclude "*" --recursive --include "*20161211*" &amp; "%USERPROFILE%\Documents\GitHub\mrs-test-scripts\Headless Mode &amp; Sideloading\WalkAndUnGZ.bat" "%USERPROFILE%\AppData\Local\Temp\OnboardLogs"\RTDC4015\2016-12-11</v>
      </c>
      <c r="S24" s="103" t="str">
        <f>VLOOKUP(C24,'Train Runs'!$A$13:$AE$9972,22,0)</f>
        <v>https://search-rtdc-monitor-bjffxe2xuh6vdkpspy63sjmuny.us-east-1.es.amazonaws.com/_plugin/kibana/#/discover/Steve-Slow-Train-Analysis-(2080s-and-2083s)?_g=(refreshInterval:(display:Off,section:0,value:0),time:(from:'2016-12-10 10:54:57-700',mode:absolute,to:'2016-12-10 13:50:08-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201053%20OR%202087)%20AND%20%22rtdc.l.rtdc.4015%22')),sort:!(Time,asc))</v>
      </c>
      <c r="T24" s="105" t="str">
        <f t="shared" si="1"/>
        <v>"C:\Program Files (x86)\AstroGrep\AstroGrep.exe" /spath="%USERPROFILE%\AppData\Local\Temp\OnboardLogs" /stypes="*4015*201612101*" /stext=" 19:.+((SYSTEM_STATE.+slice.+state.+changed )|(ment ac)|(multiple cpu faults)|(system.+state.+changed )|(\[timeout)|(PRM\|1\|D)|(kpr)|(kdp)|(\|lc)|(penalty))" /e /r /s</v>
      </c>
      <c r="U24" s="9" t="str">
        <f t="shared" si="2"/>
        <v>4015</v>
      </c>
      <c r="V24" s="36">
        <f t="shared" si="3"/>
        <v>42714.81517361111</v>
      </c>
      <c r="W24" s="50" t="str">
        <f t="shared" si="4"/>
        <v>EC</v>
      </c>
      <c r="X24" s="50" t="str">
        <f t="shared" si="5"/>
        <v>KEEP</v>
      </c>
      <c r="Y24" s="119" t="str">
        <f t="shared" si="6"/>
        <v>echo {"issue":{"subject":"","project_id":79,"tracker_id":40,"status_id":1,"priority_id":2,"assigned_to_id":23,"start_date":"2016-12-10","description":"","custom_fields":[{"id":1,"name":"Subdivision","value":"EC"},{"id":4,"name":"Milepost","value":"6.65"},{"id":17,"name":"Train ID","value":"162-10"},{"id":16,"name":"Locomotive ID","value":"4015"},{"id":130,"name":"Impact","value":""},{"id":150,"name":"Time of Event (Mountain Time)","value":"12:33:51"},{"id":151,"name":"Denver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4" s="53"/>
      <c r="AA24" s="53"/>
      <c r="AB24" s="53"/>
      <c r="AC24" s="138" t="str">
        <f t="shared" si="7"/>
        <v>grep -hSE -A100 "Enforcement Action" "%USERPROFILE%\AppData\Local\Temp\OnboardLogs"\RTDC4015\*4015*201612101* | grep -SE "((Enforcement Ac)|(PRM))" -</v>
      </c>
      <c r="AD24" s="1" t="str">
        <f>"grep -hSE ""Enforcement Action"" "&amp;search_path&amp;"\RTDC"&amp;U24&amp;"\*"&amp;U24&amp;"*"&amp;TEXT(A24-utc_offset/24,"YYYYMMDD")&amp;LEFT(TEXT(A24-utc_offset/24,"HH"),1)&amp;"* &gt;&gt; "&amp;Variables!$A$2&amp;"-slicedisagreementcheck.txt"</f>
        <v>grep -hSE "Enforcement Action" "%USERPROFILE%\AppData\Local\Temp\OnboardLogs"\RTDC4015\*4015*201612101* &gt;&gt; 42714-slicedisagreementcheck.txt</v>
      </c>
    </row>
    <row r="25" spans="1:30" x14ac:dyDescent="0.25">
      <c r="A25" s="36">
        <v>42714.533877314818</v>
      </c>
      <c r="B25" s="31" t="s">
        <v>209</v>
      </c>
      <c r="C25" s="31" t="s">
        <v>421</v>
      </c>
      <c r="D25" s="31" t="s">
        <v>49</v>
      </c>
      <c r="E25" s="31" t="s">
        <v>306</v>
      </c>
      <c r="F25" s="47">
        <v>100</v>
      </c>
      <c r="G25" s="47">
        <v>337</v>
      </c>
      <c r="H25" s="47">
        <v>67710</v>
      </c>
      <c r="I25" s="47">
        <v>67012</v>
      </c>
      <c r="J25" s="31" t="s">
        <v>273</v>
      </c>
      <c r="K25" s="47">
        <v>66500</v>
      </c>
      <c r="L25" s="154" t="s">
        <v>51</v>
      </c>
      <c r="M25" s="155">
        <f t="shared" si="0"/>
        <v>270.33600000000001</v>
      </c>
      <c r="N25" s="156" t="str">
        <f>VLOOKUP(C25,'Trips&amp;Operators'!$C$1:$G$99999,5,FALSE)</f>
        <v>MOSES BRADLEY</v>
      </c>
      <c r="O25" s="182" t="s">
        <v>196</v>
      </c>
      <c r="P25" s="157"/>
      <c r="Q25" s="31"/>
      <c r="R25" s="100" t="str">
        <f>VLOOKUP(C25,'Train Runs'!$A$13:$AE$9972,31,0)</f>
        <v>aws s3 cp s3://rtdc.mdm.uploadarchive.raw/RTDC4039/ "%USERPROFILE%\AppData\Local\Temp\OnboardLogs"\RTDC4039\2016-12-10 --exclude "*" --recursive --include "*20161210*" &amp; "%USERPROFILE%\Documents\GitHub\mrs-test-scripts\Headless Mode &amp; Sideloading\WalkAndUnGZ.bat" "%USERPROFILE%\AppData\Local\Temp\OnboardLogs"\RTDC4039\2016-12-10 &amp; aws s3 cp s3://rtdc.mdm.uploadarchive.raw/RTDC4039/ "%USERPROFILE%\AppData\Local\Temp\OnboardLogs"\RTDC4039\2016-12-11 --exclude "*" --recursive --include "*20161211*" &amp; "%USERPROFILE%\Documents\GitHub\mrs-test-scripts\Headless Mode &amp; Sideloading\WalkAndUnGZ.bat" "%USERPROFILE%\AppData\Local\Temp\OnboardLogs"\RTDC4039\2016-12-11</v>
      </c>
      <c r="S25" s="103" t="str">
        <f>VLOOKUP(C25,'Train Runs'!$A$13:$AE$9972,22,0)</f>
        <v>https://search-rtdc-monitor-bjffxe2xuh6vdkpspy63sjmuny.us-east-1.es.amazonaws.com/_plugin/kibana/#/discover/Steve-Slow-Train-Analysis-(2080s-and-2083s)?_g=(refreshInterval:(display:Off,section:0,value:0),time:(from:'2016-12-10 11:19:55-700',mode:absolute,to:'2016-12-10 14:06:53-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201053%20OR%202087)%20AND%20%22rtdc.l.rtdc.4039%22')),sort:!(Time,asc))</v>
      </c>
      <c r="T25" s="105" t="str">
        <f t="shared" si="1"/>
        <v>"C:\Program Files (x86)\AstroGrep\AstroGrep.exe" /spath="%USERPROFILE%\AppData\Local\Temp\OnboardLogs" /stypes="*4039*201612101*" /stext=" 19:.+((SYSTEM_STATE.+slice.+state.+changed )|(ment ac)|(multiple cpu faults)|(system.+state.+changed )|(\[timeout)|(PRM\|1\|D)|(kpr)|(kdp)|(\|lc)|(penalty))" /e /r /s</v>
      </c>
      <c r="U25" s="9" t="str">
        <f t="shared" si="2"/>
        <v>4039</v>
      </c>
      <c r="V25" s="36">
        <f t="shared" si="3"/>
        <v>42714.825543981482</v>
      </c>
      <c r="W25" s="50" t="str">
        <f t="shared" si="4"/>
        <v>EC</v>
      </c>
      <c r="X25" s="50" t="str">
        <f t="shared" si="5"/>
        <v>KEEP</v>
      </c>
      <c r="Y25" s="119" t="str">
        <f t="shared" si="6"/>
        <v>echo {"issue":{"subject":"","project_id":79,"tracker_id":40,"status_id":1,"priority_id":2,"assigned_to_id":23,"start_date":"2016-12-10","description":"","custom_fields":[{"id":1,"name":"Subdivision","value":"EC"},{"id":4,"name":"Milepost","value":"6.65"},{"id":17,"name":"Train ID","value":"164-10"},{"id":16,"name":"Locomotive ID","value":"4039"},{"id":130,"name":"Impact","value":""},{"id":150,"name":"Time of Event (Mountain Time)","value":"12:48:47"},{"id":151,"name":"Denver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5" s="53"/>
      <c r="AA25" s="53"/>
      <c r="AB25" s="53"/>
      <c r="AC25" s="138" t="str">
        <f t="shared" si="7"/>
        <v>grep -hSE -A100 "Enforcement Action" "%USERPROFILE%\AppData\Local\Temp\OnboardLogs"\RTDC4039\*4039*201612101* | grep -SE "((Enforcement Ac)|(PRM))" -</v>
      </c>
      <c r="AD25" s="1" t="str">
        <f>"grep -hSE ""Enforcement Action"" "&amp;search_path&amp;"\RTDC"&amp;U25&amp;"\*"&amp;U25&amp;"*"&amp;TEXT(A25-utc_offset/24,"YYYYMMDD")&amp;LEFT(TEXT(A25-utc_offset/24,"HH"),1)&amp;"* &gt;&gt; "&amp;Variables!$A$2&amp;"-slicedisagreementcheck.txt"</f>
        <v>grep -hSE "Enforcement Action" "%USERPROFILE%\AppData\Local\Temp\OnboardLogs"\RTDC4039\*4039*201612101* &gt;&gt; 42714-slicedisagreementcheck.txt</v>
      </c>
    </row>
    <row r="26" spans="1:30" x14ac:dyDescent="0.25">
      <c r="A26" s="36">
        <v>42714.543969907405</v>
      </c>
      <c r="B26" s="31" t="s">
        <v>412</v>
      </c>
      <c r="C26" s="31" t="s">
        <v>423</v>
      </c>
      <c r="D26" s="31" t="s">
        <v>49</v>
      </c>
      <c r="E26" s="31" t="s">
        <v>306</v>
      </c>
      <c r="F26" s="47">
        <v>100</v>
      </c>
      <c r="G26" s="47">
        <v>468</v>
      </c>
      <c r="H26" s="47">
        <v>68647</v>
      </c>
      <c r="I26" s="47">
        <v>67204</v>
      </c>
      <c r="J26" s="31" t="s">
        <v>273</v>
      </c>
      <c r="K26" s="47">
        <v>66500</v>
      </c>
      <c r="L26" s="154" t="s">
        <v>51</v>
      </c>
      <c r="M26" s="155">
        <f t="shared" si="0"/>
        <v>371.71199999999999</v>
      </c>
      <c r="N26" s="156" t="str">
        <f>VLOOKUP(C26,'Trips&amp;Operators'!$C$1:$G$99999,5,FALSE)</f>
        <v>SHOOK JOHN</v>
      </c>
      <c r="O26" s="182" t="s">
        <v>196</v>
      </c>
      <c r="P26" s="157"/>
      <c r="Q26" s="31"/>
      <c r="R26" s="100" t="str">
        <f>VLOOKUP(C26,'Train Runs'!$A$13:$AE$9972,31,0)</f>
        <v>aws s3 cp s3://rtdc.mdm.uploadarchive.raw/RTDC4026/ "%USERPROFILE%\AppData\Local\Temp\OnboardLogs"\RTDC4026\2016-12-10 --exclude "*" --recursive --include "*20161210*" &amp; "%USERPROFILE%\Documents\GitHub\mrs-test-scripts\Headless Mode &amp; Sideloading\WalkAndUnGZ.bat" "%USERPROFILE%\AppData\Local\Temp\OnboardLogs"\RTDC4026\2016-12-10 &amp; aws s3 cp s3://rtdc.mdm.uploadarchive.raw/RTDC4026/ "%USERPROFILE%\AppData\Local\Temp\OnboardLogs"\RTDC4026\2016-12-11 --exclude "*" --recursive --include "*20161211*" &amp; "%USERPROFILE%\Documents\GitHub\mrs-test-scripts\Headless Mode &amp; Sideloading\WalkAndUnGZ.bat" "%USERPROFILE%\AppData\Local\Temp\OnboardLogs"\RTDC4026\2016-12-11</v>
      </c>
      <c r="S26" s="103" t="str">
        <f>VLOOKUP(C26,'Train Runs'!$A$13:$AE$9972,22,0)</f>
        <v>https://search-rtdc-monitor-bjffxe2xuh6vdkpspy63sjmuny.us-east-1.es.amazonaws.com/_plugin/kibana/#/discover/Steve-Slow-Train-Analysis-(2080s-and-2083s)?_g=(refreshInterval:(display:Off,section:0,value:0),time:(from:'2016-12-10 11:34:53-700',mode:absolute,to:'2016-12-10 14:21:03-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201053%20OR%202087)%20AND%20%22rtdc.l.rtdc.4026%22')),sort:!(Time,asc))</v>
      </c>
      <c r="T26" s="105" t="str">
        <f t="shared" si="1"/>
        <v>"C:\Program Files (x86)\AstroGrep\AstroGrep.exe" /spath="%USERPROFILE%\AppData\Local\Temp\OnboardLogs" /stypes="*4026*201612102*" /stext=" 20:.+((SYSTEM_STATE.+slice.+state.+changed )|(ment ac)|(multiple cpu faults)|(system.+state.+changed )|(\[timeout)|(PRM\|1\|D)|(kpr)|(kdp)|(\|lc)|(penalty))" /e /r /s</v>
      </c>
      <c r="U26" s="9" t="str">
        <f t="shared" si="2"/>
        <v>4026</v>
      </c>
      <c r="V26" s="36">
        <f t="shared" si="3"/>
        <v>42714.835636574069</v>
      </c>
      <c r="W26" s="50" t="str">
        <f t="shared" si="4"/>
        <v>EC</v>
      </c>
      <c r="X26" s="50" t="str">
        <f t="shared" si="5"/>
        <v>KEEP</v>
      </c>
      <c r="Y26" s="119" t="str">
        <f t="shared" si="6"/>
        <v>echo {"issue":{"subject":"","project_id":79,"tracker_id":40,"status_id":1,"priority_id":2,"assigned_to_id":23,"start_date":"2016-12-10","description":"","custom_fields":[{"id":1,"name":"Subdivision","value":"EC"},{"id":4,"name":"Milepost","value":"6.65"},{"id":17,"name":"Train ID","value":"166-10"},{"id":16,"name":"Locomotive ID","value":"4026"},{"id":130,"name":"Impact","value":""},{"id":150,"name":"Time of Event (Mountain Time)","value":"13:03:19"},{"id":151,"name":"Denver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6" s="53"/>
      <c r="AA26" s="53"/>
      <c r="AB26" s="53"/>
      <c r="AC26" s="138" t="str">
        <f t="shared" si="7"/>
        <v>grep -hSE -A100 "Enforcement Action" "%USERPROFILE%\AppData\Local\Temp\OnboardLogs"\RTDC4026\*4026*201612102* | grep -SE "((Enforcement Ac)|(PRM))" -</v>
      </c>
      <c r="AD26" s="1" t="str">
        <f>"grep -hSE ""Enforcement Action"" "&amp;search_path&amp;"\RTDC"&amp;U26&amp;"\*"&amp;U26&amp;"*"&amp;TEXT(A26-utc_offset/24,"YYYYMMDD")&amp;LEFT(TEXT(A26-utc_offset/24,"HH"),1)&amp;"* &gt;&gt; "&amp;Variables!$A$2&amp;"-slicedisagreementcheck.txt"</f>
        <v>grep -hSE "Enforcement Action" "%USERPROFILE%\AppData\Local\Temp\OnboardLogs"\RTDC4026\*4026*201612102* &gt;&gt; 42714-slicedisagreementcheck.txt</v>
      </c>
    </row>
    <row r="27" spans="1:30" x14ac:dyDescent="0.25">
      <c r="A27" s="36">
        <v>42714.815185185187</v>
      </c>
      <c r="B27" s="31" t="s">
        <v>301</v>
      </c>
      <c r="C27" s="31" t="s">
        <v>433</v>
      </c>
      <c r="D27" s="31" t="s">
        <v>49</v>
      </c>
      <c r="E27" s="31" t="s">
        <v>306</v>
      </c>
      <c r="F27" s="47">
        <v>100</v>
      </c>
      <c r="G27" s="47">
        <v>323</v>
      </c>
      <c r="H27" s="47">
        <v>67712</v>
      </c>
      <c r="I27" s="47">
        <v>67020</v>
      </c>
      <c r="J27" s="31" t="s">
        <v>273</v>
      </c>
      <c r="K27" s="47">
        <v>66500</v>
      </c>
      <c r="L27" s="154" t="s">
        <v>51</v>
      </c>
      <c r="M27" s="155">
        <f t="shared" si="0"/>
        <v>274.56</v>
      </c>
      <c r="N27" s="156" t="str">
        <f>VLOOKUP(C27,'Trips&amp;Operators'!$C$1:$G$99999,5,FALSE)</f>
        <v>CHANDLER KELVIN</v>
      </c>
      <c r="O27" s="182" t="s">
        <v>196</v>
      </c>
      <c r="P27" s="157"/>
      <c r="Q27" s="31"/>
      <c r="R27" s="100" t="str">
        <f>VLOOKUP(C27,'Train Runs'!$A$13:$AE$9972,31,0)</f>
        <v>aws s3 cp s3://rtdc.mdm.uploadarchive.raw/RTDC4015/ "%USERPROFILE%\AppData\Local\Temp\OnboardLogs"\RTDC4015\2016-12-10 --exclude "*" --recursive --include "*20161210*" &amp; "%USERPROFILE%\Documents\GitHub\mrs-test-scripts\Headless Mode &amp; Sideloading\WalkAndUnGZ.bat" "%USERPROFILE%\AppData\Local\Temp\OnboardLogs"\RTDC4015\2016-12-10 &amp; aws s3 cp s3://rtdc.mdm.uploadarchive.raw/RTDC4015/ "%USERPROFILE%\AppData\Local\Temp\OnboardLogs"\RTDC4015\2016-12-11 --exclude "*" --recursive --include "*20161211*" &amp; "%USERPROFILE%\Documents\GitHub\mrs-test-scripts\Headless Mode &amp; Sideloading\WalkAndUnGZ.bat" "%USERPROFILE%\AppData\Local\Temp\OnboardLogs"\RTDC4015\2016-12-11</v>
      </c>
      <c r="S27" s="103" t="str">
        <f>VLOOKUP(C27,'Train Runs'!$A$13:$AE$9972,22,0)</f>
        <v>https://search-rtdc-monitor-bjffxe2xuh6vdkpspy63sjmuny.us-east-1.es.amazonaws.com/_plugin/kibana/#/discover/Steve-Slow-Train-Analysis-(2080s-and-2083s)?_g=(refreshInterval:(display:Off,section:0,value:0),time:(from:'2016-12-10 18:09:48-700',mode:absolute,to:'2016-12-10 20:53:06-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201053%20OR%202087)%20AND%20%22rtdc.l.rtdc.4015%22')),sort:!(Time,asc))</v>
      </c>
      <c r="T27" s="105" t="str">
        <f t="shared" si="1"/>
        <v>"C:\Program Files (x86)\AstroGrep\AstroGrep.exe" /spath="%USERPROFILE%\AppData\Local\Temp\OnboardLogs" /stypes="*4015*201612110*" /stext=" 02:.+((SYSTEM_STATE.+slice.+state.+changed )|(ment ac)|(multiple cpu faults)|(system.+state.+changed )|(\[timeout)|(PRM\|1\|D)|(kpr)|(kdp)|(\|lc)|(penalty))" /e /r /s</v>
      </c>
      <c r="U27" s="9" t="str">
        <f t="shared" si="2"/>
        <v>4015</v>
      </c>
      <c r="V27" s="36">
        <f t="shared" si="3"/>
        <v>42715.106851851851</v>
      </c>
      <c r="W27" s="50" t="str">
        <f t="shared" si="4"/>
        <v>EC</v>
      </c>
      <c r="X27" s="50" t="str">
        <f t="shared" si="5"/>
        <v>KEEP</v>
      </c>
      <c r="Y27" s="119" t="str">
        <f t="shared" si="6"/>
        <v>echo {"issue":{"subject":"","project_id":79,"tracker_id":40,"status_id":1,"priority_id":2,"assigned_to_id":23,"start_date":"2016-12-10","description":"","custom_fields":[{"id":1,"name":"Subdivision","value":"EC"},{"id":4,"name":"Milepost","value":"6.65"},{"id":17,"name":"Train ID","value":"218-10"},{"id":16,"name":"Locomotive ID","value":"4015"},{"id":130,"name":"Impact","value":""},{"id":150,"name":"Time of Event (Mountain Time)","value":"19:33:52"},{"id":151,"name":"Denver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7" s="53"/>
      <c r="AA27" s="53"/>
      <c r="AB27" s="53"/>
      <c r="AC27" s="138" t="str">
        <f t="shared" si="7"/>
        <v>grep -hSE -A100 "Enforcement Action" "%USERPROFILE%\AppData\Local\Temp\OnboardLogs"\RTDC4015\*4015*201612110* | grep -SE "((Enforcement Ac)|(PRM))" -</v>
      </c>
      <c r="AD27" s="1" t="str">
        <f>"grep -hSE ""Enforcement Action"" "&amp;search_path&amp;"\RTDC"&amp;U27&amp;"\*"&amp;U27&amp;"*"&amp;TEXT(A27-utc_offset/24,"YYYYMMDD")&amp;LEFT(TEXT(A27-utc_offset/24,"HH"),1)&amp;"* &gt;&gt; "&amp;Variables!$A$2&amp;"-slicedisagreementcheck.txt"</f>
        <v>grep -hSE "Enforcement Action" "%USERPROFILE%\AppData\Local\Temp\OnboardLogs"\RTDC4015\*4015*201612110* &gt;&gt; 42714-slicedisagreementcheck.txt</v>
      </c>
    </row>
    <row r="28" spans="1:30" x14ac:dyDescent="0.25">
      <c r="A28" s="36">
        <v>42714.825335648151</v>
      </c>
      <c r="B28" s="31" t="s">
        <v>209</v>
      </c>
      <c r="C28" s="31" t="s">
        <v>434</v>
      </c>
      <c r="D28" s="31" t="s">
        <v>49</v>
      </c>
      <c r="E28" s="31" t="s">
        <v>306</v>
      </c>
      <c r="F28" s="47">
        <v>100</v>
      </c>
      <c r="G28" s="47">
        <v>617</v>
      </c>
      <c r="H28" s="47">
        <v>70232</v>
      </c>
      <c r="I28" s="47">
        <v>68239</v>
      </c>
      <c r="J28" s="31" t="s">
        <v>273</v>
      </c>
      <c r="K28" s="47">
        <v>66500</v>
      </c>
      <c r="L28" s="154" t="s">
        <v>51</v>
      </c>
      <c r="M28" s="155">
        <f t="shared" si="0"/>
        <v>918.19200000000001</v>
      </c>
      <c r="N28" s="156" t="str">
        <f>VLOOKUP(C28,'Trips&amp;Operators'!$C$1:$G$99999,5,FALSE)</f>
        <v>STAMBAUGH JAMES</v>
      </c>
      <c r="O28" s="182" t="s">
        <v>196</v>
      </c>
      <c r="P28" s="157"/>
      <c r="Q28" s="31"/>
      <c r="R28" s="100" t="str">
        <f>VLOOKUP(C28,'Train Runs'!$A$13:$AE$9972,31,0)</f>
        <v>aws s3 cp s3://rtdc.mdm.uploadarchive.raw/RTDC4039/ "%USERPROFILE%\AppData\Local\Temp\OnboardLogs"\RTDC4039\2016-12-10 --exclude "*" --recursive --include "*20161210*" &amp; "%USERPROFILE%\Documents\GitHub\mrs-test-scripts\Headless Mode &amp; Sideloading\WalkAndUnGZ.bat" "%USERPROFILE%\AppData\Local\Temp\OnboardLogs"\RTDC4039\2016-12-10 &amp; aws s3 cp s3://rtdc.mdm.uploadarchive.raw/RTDC4039/ "%USERPROFILE%\AppData\Local\Temp\OnboardLogs"\RTDC4039\2016-12-11 --exclude "*" --recursive --include "*20161211*" &amp; "%USERPROFILE%\Documents\GitHub\mrs-test-scripts\Headless Mode &amp; Sideloading\WalkAndUnGZ.bat" "%USERPROFILE%\AppData\Local\Temp\OnboardLogs"\RTDC4039\2016-12-11</v>
      </c>
      <c r="S28" s="103" t="str">
        <f>VLOOKUP(C28,'Train Runs'!$A$13:$AE$9972,22,0)</f>
        <v>https://search-rtdc-monitor-bjffxe2xuh6vdkpspy63sjmuny.us-east-1.es.amazonaws.com/_plugin/kibana/#/discover/Steve-Slow-Train-Analysis-(2080s-and-2083s)?_g=(refreshInterval:(display:Off,section:0,value:0),time:(from:'2016-12-10 18:21:39-700',mode:absolute,to:'2016-12-10 21:06:07-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201053%20OR%202087)%20AND%20%22rtdc.l.rtdc.4039%22')),sort:!(Time,asc))</v>
      </c>
      <c r="T28" s="105" t="str">
        <f t="shared" si="1"/>
        <v>"C:\Program Files (x86)\AstroGrep\AstroGrep.exe" /spath="%USERPROFILE%\AppData\Local\Temp\OnboardLogs" /stypes="*4039*201612110*" /stext=" 02:.+((SYSTEM_STATE.+slice.+state.+changed )|(ment ac)|(multiple cpu faults)|(system.+state.+changed )|(\[timeout)|(PRM\|1\|D)|(kpr)|(kdp)|(\|lc)|(penalty))" /e /r /s</v>
      </c>
      <c r="U28" s="9" t="str">
        <f t="shared" si="2"/>
        <v>4039</v>
      </c>
      <c r="V28" s="36">
        <f t="shared" si="3"/>
        <v>42715.117002314815</v>
      </c>
      <c r="W28" s="50" t="str">
        <f t="shared" si="4"/>
        <v>EC</v>
      </c>
      <c r="X28" s="50" t="str">
        <f t="shared" si="5"/>
        <v>KEEP</v>
      </c>
      <c r="Y28" s="119" t="str">
        <f t="shared" si="6"/>
        <v>echo {"issue":{"subject":"","project_id":79,"tracker_id":40,"status_id":1,"priority_id":2,"assigned_to_id":23,"start_date":"2016-12-10","description":"","custom_fields":[{"id":1,"name":"Subdivision","value":"EC"},{"id":4,"name":"Milepost","value":"6.65"},{"id":17,"name":"Train ID","value":"220-10"},{"id":16,"name":"Locomotive ID","value":"4039"},{"id":130,"name":"Impact","value":""},{"id":150,"name":"Time of Event (Mountain Time)","value":"19:48:29"},{"id":151,"name":"Denver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8" s="53"/>
      <c r="AA28" s="53"/>
      <c r="AB28" s="53"/>
      <c r="AC28" s="138" t="str">
        <f t="shared" si="7"/>
        <v>grep -hSE -A100 "Enforcement Action" "%USERPROFILE%\AppData\Local\Temp\OnboardLogs"\RTDC4039\*4039*201612110* | grep -SE "((Enforcement Ac)|(PRM))" -</v>
      </c>
      <c r="AD28" s="1" t="str">
        <f>"grep -hSE ""Enforcement Action"" "&amp;search_path&amp;"\RTDC"&amp;U28&amp;"\*"&amp;U28&amp;"*"&amp;TEXT(A28-utc_offset/24,"YYYYMMDD")&amp;LEFT(TEXT(A28-utc_offset/24,"HH"),1)&amp;"* &gt;&gt; "&amp;Variables!$A$2&amp;"-slicedisagreementcheck.txt"</f>
        <v>grep -hSE "Enforcement Action" "%USERPROFILE%\AppData\Local\Temp\OnboardLogs"\RTDC4039\*4039*201612110* &gt;&gt; 42714-slicedisagreementcheck.txt</v>
      </c>
    </row>
    <row r="29" spans="1:30" x14ac:dyDescent="0.25">
      <c r="A29" s="36">
        <v>42714.33797453704</v>
      </c>
      <c r="B29" s="31" t="s">
        <v>412</v>
      </c>
      <c r="C29" s="31" t="s">
        <v>413</v>
      </c>
      <c r="D29" s="31" t="s">
        <v>49</v>
      </c>
      <c r="E29" s="31" t="s">
        <v>201</v>
      </c>
      <c r="F29" s="47">
        <v>0</v>
      </c>
      <c r="G29" s="47">
        <v>49</v>
      </c>
      <c r="H29" s="47">
        <v>156</v>
      </c>
      <c r="I29" s="47">
        <v>114</v>
      </c>
      <c r="J29" s="31" t="s">
        <v>202</v>
      </c>
      <c r="K29" s="47">
        <v>1</v>
      </c>
      <c r="L29" s="154" t="s">
        <v>51</v>
      </c>
      <c r="M29" s="155">
        <f t="shared" si="0"/>
        <v>59.664000000000001</v>
      </c>
      <c r="N29" s="156" t="str">
        <f>VLOOKUP(C29,'Trips&amp;Operators'!$C$1:$G$99999,5,FALSE)</f>
        <v>KILLION DAVID</v>
      </c>
      <c r="O29" s="182" t="s">
        <v>196</v>
      </c>
      <c r="P29" s="157"/>
      <c r="Q29" s="31"/>
      <c r="R29" s="100" t="str">
        <f>VLOOKUP(C29,'Train Runs'!$A$13:$AE$9972,31,0)</f>
        <v>aws s3 cp s3://rtdc.mdm.uploadarchive.raw/RTDC4026/ "%USERPROFILE%\AppData\Local\Temp\OnboardLogs"\RTDC4026\2016-12-10 --exclude "*" --recursive --include "*20161210*" &amp; "%USERPROFILE%\Documents\GitHub\mrs-test-scripts\Headless Mode &amp; Sideloading\WalkAndUnGZ.bat" "%USERPROFILE%\AppData\Local\Temp\OnboardLogs"\RTDC4026\2016-12-10 &amp; aws s3 cp s3://rtdc.mdm.uploadarchive.raw/RTDC4026/ "%USERPROFILE%\AppData\Local\Temp\OnboardLogs"\RTDC4026\2016-12-11 --exclude "*" --recursive --include "*20161211*" &amp; "%USERPROFILE%\Documents\GitHub\mrs-test-scripts\Headless Mode &amp; Sideloading\WalkAndUnGZ.bat" "%USERPROFILE%\AppData\Local\Temp\OnboardLogs"\RTDC4026\2016-12-11</v>
      </c>
      <c r="S29" s="103" t="str">
        <f>VLOOKUP(C29,'Train Runs'!$A$13:$AE$9972,22,0)</f>
        <v>https://search-rtdc-monitor-bjffxe2xuh6vdkpspy63sjmuny.us-east-1.es.amazonaws.com/_plugin/kibana/#/discover/Steve-Slow-Train-Analysis-(2080s-and-2083s)?_g=(refreshInterval:(display:Off,section:0,value:0),time:(from:'2016-12-10 06:19:11-700',mode:absolute,to:'2016-12-10 09:06:40-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201053%20OR%202087)%20AND%20%22rtdc.l.rtdc.4026%22')),sort:!(Time,asc))</v>
      </c>
      <c r="T29" s="105" t="str">
        <f t="shared" si="1"/>
        <v>"C:\Program Files (x86)\AstroGrep\AstroGrep.exe" /spath="%USERPROFILE%\AppData\Local\Temp\OnboardLogs" /stypes="*4026*201612101*" /stext=" 15:.+((SYSTEM_STATE.+slice.+state.+changed )|(ment ac)|(multiple cpu faults)|(system.+state.+changed )|(\[timeout)|(PRM\|1\|D)|(kpr)|(kdp)|(\|lc)|(penalty))" /e /r /s</v>
      </c>
      <c r="U29" s="9" t="str">
        <f t="shared" si="2"/>
        <v>4026</v>
      </c>
      <c r="V29" s="36">
        <f t="shared" si="3"/>
        <v>42714.629641203705</v>
      </c>
      <c r="W29" s="50" t="str">
        <f t="shared" si="4"/>
        <v>EC</v>
      </c>
      <c r="X29" s="50" t="str">
        <f t="shared" si="5"/>
        <v>KEEP</v>
      </c>
      <c r="Y29" s="119" t="str">
        <f t="shared" si="6"/>
        <v>echo {"issue":{"subject":"","project_id":79,"tracker_id":40,"status_id":1,"priority_id":2,"assigned_to_id":23,"start_date":"2016-12-10","description":"","custom_fields":[{"id":1,"name":"Subdivision","value":"EC"},{"id":4,"name":"Milepost","value":"0.0001"},{"id":17,"name":"Train ID","value":"124-10"},{"id":16,"name":"Locomotive ID","value":"4026"},{"id":130,"name":"Impact","value":""},{"id":150,"name":"Time of Event (Mountain Time)","value":"08:06:41"},{"id":151,"name":"Denver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9" s="53"/>
      <c r="AA29" s="53"/>
      <c r="AB29" s="53"/>
      <c r="AC29" s="138" t="str">
        <f t="shared" si="7"/>
        <v>grep -hSE -A100 "Enforcement Action" "%USERPROFILE%\AppData\Local\Temp\OnboardLogs"\RTDC4026\*4026*201612101* | grep -SE "((Enforcement Ac)|(PRM))" -</v>
      </c>
      <c r="AD29" s="1" t="str">
        <f>"grep -hSE ""Enforcement Action"" "&amp;search_path&amp;"\RTDC"&amp;U29&amp;"\*"&amp;U29&amp;"*"&amp;TEXT(A29-utc_offset/24,"YYYYMMDD")&amp;LEFT(TEXT(A29-utc_offset/24,"HH"),1)&amp;"* &gt;&gt; "&amp;Variables!$A$2&amp;"-slicedisagreementcheck.txt"</f>
        <v>grep -hSE "Enforcement Action" "%USERPROFILE%\AppData\Local\Temp\OnboardLogs"\RTDC4026\*4026*201612101* &gt;&gt; 42714-slicedisagreementcheck.txt</v>
      </c>
    </row>
    <row r="30" spans="1:30" ht="15" customHeight="1" x14ac:dyDescent="0.25">
      <c r="A30" s="36">
        <v>42714.483958333331</v>
      </c>
      <c r="B30" s="31" t="s">
        <v>412</v>
      </c>
      <c r="C30" s="31" t="s">
        <v>419</v>
      </c>
      <c r="D30" s="31" t="s">
        <v>49</v>
      </c>
      <c r="E30" s="31" t="s">
        <v>201</v>
      </c>
      <c r="F30" s="47">
        <v>0</v>
      </c>
      <c r="G30" s="47">
        <v>104</v>
      </c>
      <c r="H30" s="47">
        <v>409</v>
      </c>
      <c r="I30" s="47">
        <v>282</v>
      </c>
      <c r="J30" s="31" t="s">
        <v>202</v>
      </c>
      <c r="K30" s="47">
        <v>1</v>
      </c>
      <c r="L30" s="154" t="s">
        <v>51</v>
      </c>
      <c r="M30" s="155">
        <f t="shared" si="0"/>
        <v>148.36799999999999</v>
      </c>
      <c r="N30" s="156" t="str">
        <f>VLOOKUP(C30,'Trips&amp;Operators'!$C$1:$G$99999,5,FALSE)</f>
        <v>KILLION DAVID</v>
      </c>
      <c r="O30" s="182" t="s">
        <v>196</v>
      </c>
      <c r="P30" s="157"/>
      <c r="Q30" s="31"/>
      <c r="R30" s="100" t="str">
        <f>VLOOKUP(C30,'Train Runs'!$A$13:$AE$9972,31,0)</f>
        <v>aws s3 cp s3://rtdc.mdm.uploadarchive.raw/RTDC4026/ "%USERPROFILE%\AppData\Local\Temp\OnboardLogs"\RTDC4026\2016-12-10 --exclude "*" --recursive --include "*20161210*" &amp; "%USERPROFILE%\Documents\GitHub\mrs-test-scripts\Headless Mode &amp; Sideloading\WalkAndUnGZ.bat" "%USERPROFILE%\AppData\Local\Temp\OnboardLogs"\RTDC4026\2016-12-10 &amp; aws s3 cp s3://rtdc.mdm.uploadarchive.raw/RTDC4026/ "%USERPROFILE%\AppData\Local\Temp\OnboardLogs"\RTDC4026\2016-12-11 --exclude "*" --recursive --include "*20161211*" &amp; "%USERPROFILE%\Documents\GitHub\mrs-test-scripts\Headless Mode &amp; Sideloading\WalkAndUnGZ.bat" "%USERPROFILE%\AppData\Local\Temp\OnboardLogs"\RTDC4026\2016-12-11</v>
      </c>
      <c r="S30" s="103" t="str">
        <f>VLOOKUP(C30,'Train Runs'!$A$13:$AE$9972,22,0)</f>
        <v>https://search-rtdc-monitor-bjffxe2xuh6vdkpspy63sjmuny.us-east-1.es.amazonaws.com/_plugin/kibana/#/discover/Steve-Slow-Train-Analysis-(2080s-and-2083s)?_g=(refreshInterval:(display:Off,section:0,value:0),time:(from:'2016-12-10 09:44:54-700',mode:absolute,to:'2016-12-10 12:36:53-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201053%20OR%202087)%20AND%20%22rtdc.l.rtdc.4026%22')),sort:!(Time,asc))</v>
      </c>
      <c r="T30" s="105" t="str">
        <f t="shared" si="1"/>
        <v>"C:\Program Files (x86)\AstroGrep\AstroGrep.exe" /spath="%USERPROFILE%\AppData\Local\Temp\OnboardLogs" /stypes="*4026*201612101*" /stext=" 18:.+((SYSTEM_STATE.+slice.+state.+changed )|(ment ac)|(multiple cpu faults)|(system.+state.+changed )|(\[timeout)|(PRM\|1\|D)|(kpr)|(kdp)|(\|lc)|(penalty))" /e /r /s</v>
      </c>
      <c r="U30" s="9" t="str">
        <f t="shared" si="2"/>
        <v>4026</v>
      </c>
      <c r="V30" s="36">
        <f t="shared" si="3"/>
        <v>42714.775624999995</v>
      </c>
      <c r="W30" s="50" t="str">
        <f t="shared" si="4"/>
        <v>EC</v>
      </c>
      <c r="X30" s="50" t="str">
        <f t="shared" si="5"/>
        <v>KEEP</v>
      </c>
      <c r="Y30" s="119" t="str">
        <f t="shared" si="6"/>
        <v>echo {"issue":{"subject":"","project_id":79,"tracker_id":40,"status_id":1,"priority_id":2,"assigned_to_id":23,"start_date":"2016-12-10","description":"","custom_fields":[{"id":1,"name":"Subdivision","value":"EC"},{"id":4,"name":"Milepost","value":"0.0001"},{"id":17,"name":"Train ID","value":"152-10"},{"id":16,"name":"Locomotive ID","value":"4026"},{"id":130,"name":"Impact","value":""},{"id":150,"name":"Time of Event (Mountain Time)","value":"11:36:54"},{"id":151,"name":"Denver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0" s="53"/>
      <c r="AA30" s="53"/>
      <c r="AB30" s="53"/>
      <c r="AC30" s="138" t="str">
        <f t="shared" si="7"/>
        <v>grep -hSE -A100 "Enforcement Action" "%USERPROFILE%\AppData\Local\Temp\OnboardLogs"\RTDC4026\*4026*201612101* | grep -SE "((Enforcement Ac)|(PRM))" -</v>
      </c>
      <c r="AD30" s="1" t="str">
        <f>"grep -hSE ""Enforcement Action"" "&amp;search_path&amp;"\RTDC"&amp;U30&amp;"\*"&amp;U30&amp;"*"&amp;TEXT(A30-utc_offset/24,"YYYYMMDD")&amp;LEFT(TEXT(A30-utc_offset/24,"HH"),1)&amp;"* &gt;&gt; "&amp;Variables!$A$2&amp;"-slicedisagreementcheck.txt"</f>
        <v>grep -hSE "Enforcement Action" "%USERPROFILE%\AppData\Local\Temp\OnboardLogs"\RTDC4026\*4026*201612101* &gt;&gt; 42714-slicedisagreementcheck.txt</v>
      </c>
    </row>
    <row r="31" spans="1:30" ht="15" customHeight="1" x14ac:dyDescent="0.25">
      <c r="A31" s="36">
        <v>42714.674756944441</v>
      </c>
      <c r="B31" s="31" t="s">
        <v>245</v>
      </c>
      <c r="C31" s="31" t="s">
        <v>427</v>
      </c>
      <c r="D31" s="31" t="s">
        <v>49</v>
      </c>
      <c r="E31" s="31" t="s">
        <v>201</v>
      </c>
      <c r="F31" s="47">
        <v>0</v>
      </c>
      <c r="G31" s="47">
        <v>23</v>
      </c>
      <c r="H31" s="47">
        <v>874</v>
      </c>
      <c r="I31" s="47">
        <v>852</v>
      </c>
      <c r="J31" s="31" t="s">
        <v>202</v>
      </c>
      <c r="K31" s="47">
        <v>826</v>
      </c>
      <c r="L31" s="154" t="s">
        <v>51</v>
      </c>
      <c r="M31" s="155">
        <f t="shared" si="0"/>
        <v>13.728</v>
      </c>
      <c r="N31" s="156" t="str">
        <f>VLOOKUP(C31,'Trips&amp;Operators'!$C$1:$G$99999,5,FALSE)</f>
        <v>STEWART MICHAEL</v>
      </c>
      <c r="O31" s="182" t="s">
        <v>232</v>
      </c>
      <c r="P31" s="157" t="s">
        <v>885</v>
      </c>
      <c r="Q31" s="31"/>
      <c r="R31" s="100" t="str">
        <f>VLOOKUP(C31,'Train Runs'!$A$13:$AE$9972,31,0)</f>
        <v>aws s3 cp s3://rtdc.mdm.uploadarchive.raw/RTDC4010/ "%USERPROFILE%\AppData\Local\Temp\OnboardLogs"\RTDC4010\2016-12-10 --exclude "*" --recursive --include "*20161210*" &amp; "%USERPROFILE%\Documents\GitHub\mrs-test-scripts\Headless Mode &amp; Sideloading\WalkAndUnGZ.bat" "%USERPROFILE%\AppData\Local\Temp\OnboardLogs"\RTDC4010\2016-12-10 &amp; aws s3 cp s3://rtdc.mdm.uploadarchive.raw/RTDC4010/ "%USERPROFILE%\AppData\Local\Temp\OnboardLogs"\RTDC4010\2016-12-11 --exclude "*" --recursive --include "*20161211*" &amp; "%USERPROFILE%\Documents\GitHub\mrs-test-scripts\Headless Mode &amp; Sideloading\WalkAndUnGZ.bat" "%USERPROFILE%\AppData\Local\Temp\OnboardLogs"\RTDC4010\2016-12-11</v>
      </c>
      <c r="S31" s="103" t="str">
        <f>VLOOKUP(C31,'Train Runs'!$A$13:$AE$9972,22,0)</f>
        <v>https://search-rtdc-monitor-bjffxe2xuh6vdkpspy63sjmuny.us-east-1.es.amazonaws.com/_plugin/kibana/#/discover/Steve-Slow-Train-Analysis-(2080s-and-2083s)?_g=(refreshInterval:(display:Off,section:0,value:0),time:(from:'2016-12-10 14:22:51-700',mode:absolute,to:'2016-12-10 17:11:39-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201053%20OR%202087)%20AND%20%22rtdc.l.rtdc.4010%22')),sort:!(Time,asc))</v>
      </c>
      <c r="T31" s="105" t="str">
        <f t="shared" si="1"/>
        <v>"C:\Program Files (x86)\AstroGrep\AstroGrep.exe" /spath="%USERPROFILE%\AppData\Local\Temp\OnboardLogs" /stypes="*4010*201612102*" /stext=" 23:.+((SYSTEM_STATE.+slice.+state.+changed )|(ment ac)|(multiple cpu faults)|(system.+state.+changed )|(\[timeout)|(PRM\|1\|D)|(kpr)|(kdp)|(\|lc)|(penalty))" /e /r /s</v>
      </c>
      <c r="U31" s="9" t="str">
        <f t="shared" si="2"/>
        <v>4010</v>
      </c>
      <c r="V31" s="36">
        <f t="shared" si="3"/>
        <v>42714.966423611106</v>
      </c>
      <c r="W31" s="50" t="str">
        <f t="shared" si="4"/>
        <v>EC</v>
      </c>
      <c r="X31" s="50" t="str">
        <f t="shared" si="5"/>
        <v>KEEP</v>
      </c>
      <c r="Y31" s="119" t="str">
        <f t="shared" si="6"/>
        <v>echo {"issue":{"subject":"Banner without braking","project_id":79,"tracker_id":40,"status_id":1,"priority_id":2,"assigned_to_id":23,"start_date":"2016-12-10","description":"","custom_fields":[{"id":1,"name":"Subdivision","value":"EC"},{"id":4,"name":"Milepost","value":"0.0826"},{"id":17,"name":"Train ID","value":"188-10"},{"id":16,"name":"Locomotive ID","value":"4010"},{"id":130,"name":"Impact","value":""},{"id":150,"name":"Time of Event (Mountain Time)","value":"16:11:39"},{"id":151,"name":"Denver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1" s="53"/>
      <c r="AA31" s="53"/>
      <c r="AB31" s="53"/>
      <c r="AC31" s="138" t="str">
        <f t="shared" si="7"/>
        <v>grep -hSE -A100 "Enforcement Action" "%USERPROFILE%\AppData\Local\Temp\OnboardLogs"\RTDC4010\*4010*201612102* | grep -SE "((Enforcement Ac)|(PRM))" -</v>
      </c>
      <c r="AD31" s="1" t="str">
        <f>"grep -hSE ""Enforcement Action"" "&amp;search_path&amp;"\RTDC"&amp;U31&amp;"\*"&amp;U31&amp;"*"&amp;TEXT(A31-utc_offset/24,"YYYYMMDD")&amp;LEFT(TEXT(A31-utc_offset/24,"HH"),1)&amp;"* &gt;&gt; "&amp;Variables!$A$2&amp;"-slicedisagreementcheck.txt"</f>
        <v>grep -hSE "Enforcement Action" "%USERPROFILE%\AppData\Local\Temp\OnboardLogs"\RTDC4010\*4010*201612102* &gt;&gt; 42714-slicedisagreementcheck.txt</v>
      </c>
    </row>
    <row r="32" spans="1:30" x14ac:dyDescent="0.25">
      <c r="A32" s="36">
        <v>42714.53707175926</v>
      </c>
      <c r="B32" s="31" t="s">
        <v>415</v>
      </c>
      <c r="C32" s="31" t="s">
        <v>422</v>
      </c>
      <c r="D32" s="31" t="s">
        <v>49</v>
      </c>
      <c r="E32" s="31" t="s">
        <v>201</v>
      </c>
      <c r="F32" s="47">
        <v>0</v>
      </c>
      <c r="G32" s="47">
        <v>163</v>
      </c>
      <c r="H32" s="47">
        <v>232781</v>
      </c>
      <c r="I32" s="47">
        <v>232949</v>
      </c>
      <c r="J32" s="31" t="s">
        <v>202</v>
      </c>
      <c r="K32" s="47">
        <v>233491</v>
      </c>
      <c r="L32" s="154" t="s">
        <v>50</v>
      </c>
      <c r="M32" s="155">
        <f t="shared" si="0"/>
        <v>286.17599999999999</v>
      </c>
      <c r="N32" s="156" t="str">
        <f>VLOOKUP(C32,'Trips&amp;Operators'!$C$1:$G$99999,5,FALSE)</f>
        <v>HILLS DUSTIN</v>
      </c>
      <c r="O32" s="182" t="s">
        <v>232</v>
      </c>
      <c r="P32" s="157" t="s">
        <v>885</v>
      </c>
      <c r="Q32" s="31"/>
      <c r="R32" s="100" t="str">
        <f>VLOOKUP(C32,'Train Runs'!$A$13:$AE$9972,31,0)</f>
        <v>aws s3 cp s3://rtdc.mdm.uploadarchive.raw/RTDC4003/ "%USERPROFILE%\AppData\Local\Temp\OnboardLogs"\RTDC4003\2016-12-10 --exclude "*" --recursive --include "*20161210*" &amp; "%USERPROFILE%\Documents\GitHub\mrs-test-scripts\Headless Mode &amp; Sideloading\WalkAndUnGZ.bat" "%USERPROFILE%\AppData\Local\Temp\OnboardLogs"\RTDC4003\2016-12-10 &amp; aws s3 cp s3://rtdc.mdm.uploadarchive.raw/RTDC4003/ "%USERPROFILE%\AppData\Local\Temp\OnboardLogs"\RTDC4003\2016-12-11 --exclude "*" --recursive --include "*20161211*" &amp; "%USERPROFILE%\Documents\GitHub\mrs-test-scripts\Headless Mode &amp; Sideloading\WalkAndUnGZ.bat" "%USERPROFILE%\AppData\Local\Temp\OnboardLogs"\RTDC4003\2016-12-11</v>
      </c>
      <c r="S32" s="103" t="str">
        <f>VLOOKUP(C32,'Train Runs'!$A$13:$AE$9972,22,0)</f>
        <v>https://search-rtdc-monitor-bjffxe2xuh6vdkpspy63sjmuny.us-east-1.es.amazonaws.com/_plugin/kibana/#/discover/Steve-Slow-Train-Analysis-(2080s-and-2083s)?_g=(refreshInterval:(display:Off,section:0,value:0),time:(from:'2016-12-10 11:11:57-700',mode:absolute,to:'2016-12-10 13:53:24-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201053%20OR%202087)%20AND%20%22rtdc.l.rtdc.4003%22')),sort:!(Time,asc))</v>
      </c>
      <c r="T32" s="105" t="str">
        <f t="shared" si="1"/>
        <v>"C:\Program Files (x86)\AstroGrep\AstroGrep.exe" /spath="%USERPROFILE%\AppData\Local\Temp\OnboardLogs" /stypes="*4003*201612101*" /stext=" 19:.+((SYSTEM_STATE.+slice.+state.+changed )|(ment ac)|(multiple cpu faults)|(system.+state.+changed )|(\[timeout)|(PRM\|1\|D)|(kpr)|(kdp)|(\|lc)|(penalty))" /e /r /s</v>
      </c>
      <c r="U32" s="9" t="str">
        <f t="shared" si="2"/>
        <v>4003</v>
      </c>
      <c r="V32" s="36">
        <f t="shared" si="3"/>
        <v>42714.828738425924</v>
      </c>
      <c r="W32" s="50" t="str">
        <f t="shared" si="4"/>
        <v>EC</v>
      </c>
      <c r="X32" s="50" t="str">
        <f t="shared" si="5"/>
        <v>KEEP</v>
      </c>
      <c r="Y32" s="119" t="str">
        <f t="shared" si="6"/>
        <v>echo {"issue":{"subject":"Banner without braking","project_id":79,"tracker_id":40,"status_id":1,"priority_id":2,"assigned_to_id":23,"start_date":"2016-12-10","description":"","custom_fields":[{"id":1,"name":"Subdivision","value":"EC"},{"id":4,"name":"Milepost","value":"23.3491"},{"id":17,"name":"Train ID","value":"169-10"},{"id":16,"name":"Locomotive ID","value":"4003"},{"id":130,"name":"Impact","value":""},{"id":150,"name":"Time of Event (Mountain Time)","value":"12:53:23"},{"id":151,"name":"Denver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2" s="53"/>
      <c r="AA32" s="53"/>
      <c r="AB32" s="53"/>
      <c r="AC32" s="138" t="str">
        <f t="shared" si="7"/>
        <v>grep -hSE -A100 "Enforcement Action" "%USERPROFILE%\AppData\Local\Temp\OnboardLogs"\RTDC4003\*4003*201612101* | grep -SE "((Enforcement Ac)|(PRM))" -</v>
      </c>
      <c r="AD32" s="1" t="str">
        <f>"grep -hSE ""Enforcement Action"" "&amp;search_path&amp;"\RTDC"&amp;U32&amp;"\*"&amp;U32&amp;"*"&amp;TEXT(A32-utc_offset/24,"YYYYMMDD")&amp;LEFT(TEXT(A32-utc_offset/24,"HH"),1)&amp;"* &gt;&gt; "&amp;Variables!$A$2&amp;"-slicedisagreementcheck.txt"</f>
        <v>grep -hSE "Enforcement Action" "%USERPROFILE%\AppData\Local\Temp\OnboardLogs"\RTDC4003\*4003*201612101* &gt;&gt; 42714-slicedisagreementcheck.txt</v>
      </c>
    </row>
    <row r="33" spans="1:30" x14ac:dyDescent="0.25">
      <c r="A33" s="36">
        <v>42714.933599537035</v>
      </c>
      <c r="B33" s="31" t="s">
        <v>235</v>
      </c>
      <c r="C33" s="31" t="s">
        <v>435</v>
      </c>
      <c r="D33" s="31" t="s">
        <v>49</v>
      </c>
      <c r="E33" s="31" t="s">
        <v>272</v>
      </c>
      <c r="F33" s="47">
        <v>90</v>
      </c>
      <c r="G33" s="47">
        <v>146</v>
      </c>
      <c r="H33" s="47">
        <v>10307</v>
      </c>
      <c r="I33" s="47">
        <v>10523</v>
      </c>
      <c r="J33" s="31" t="s">
        <v>273</v>
      </c>
      <c r="K33" s="47">
        <v>10716</v>
      </c>
      <c r="L33" s="154" t="s">
        <v>50</v>
      </c>
      <c r="M33" s="155">
        <f t="shared" si="0"/>
        <v>101.904</v>
      </c>
      <c r="N33" s="156" t="str">
        <f>VLOOKUP(C33,'Trips&amp;Operators'!$C$1:$G$99999,5,FALSE)</f>
        <v>LOPES KIMBERLY</v>
      </c>
      <c r="O33" s="182" t="s">
        <v>196</v>
      </c>
      <c r="P33" s="157" t="s">
        <v>804</v>
      </c>
      <c r="Q33" s="31"/>
      <c r="R33" s="100" t="str">
        <f>VLOOKUP(C33,'Train Runs'!$A$13:$AE$9972,31,0)</f>
        <v>aws s3 cp s3://rtdc.mdm.uploadarchive.raw/RTDC4031/ "%USERPROFILE%\AppData\Local\Temp\OnboardLogs"\RTDC4031\2016-12-10 --exclude "*" --recursive --include "*20161210*" &amp; "%USERPROFILE%\Documents\GitHub\mrs-test-scripts\Headless Mode &amp; Sideloading\WalkAndUnGZ.bat" "%USERPROFILE%\AppData\Local\Temp\OnboardLogs"\RTDC4031\2016-12-10 &amp; aws s3 cp s3://rtdc.mdm.uploadarchive.raw/RTDC4031/ "%USERPROFILE%\AppData\Local\Temp\OnboardLogs"\RTDC4031\2016-12-11 --exclude "*" --recursive --include "*20161211*" &amp; "%USERPROFILE%\Documents\GitHub\mrs-test-scripts\Headless Mode &amp; Sideloading\WalkAndUnGZ.bat" "%USERPROFILE%\AppData\Local\Temp\OnboardLogs"\RTDC4031\2016-12-11</v>
      </c>
      <c r="S33" s="103" t="str">
        <f>VLOOKUP(C33,'Train Runs'!$A$13:$AE$9972,22,0)</f>
        <v>https://search-rtdc-monitor-bjffxe2xuh6vdkpspy63sjmuny.us-east-1.es.amazonaws.com/_plugin/kibana/#/discover/Steve-Slow-Train-Analysis-(2080s-and-2083s)?_g=(refreshInterval:(display:Off,section:0,value:0),time:(from:'2016-12-10 20:56:57-700',mode:absolute,to:'2016-12-10 23:35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201053%20OR%202087)%20AND%20%22rtdc.l.rtdc.4031%22')),sort:!(Time,asc))</v>
      </c>
      <c r="T33" s="105" t="str">
        <f t="shared" si="1"/>
        <v>"C:\Program Files (x86)\AstroGrep\AstroGrep.exe" /spath="%USERPROFILE%\AppData\Local\Temp\OnboardLogs" /stypes="*4031*201612110*" /stext=" 05:.+((SYSTEM_STATE.+slice.+state.+changed )|(ment ac)|(multiple cpu faults)|(system.+state.+changed )|(\[timeout)|(PRM\|1\|D)|(kpr)|(kdp)|(\|lc)|(penalty))" /e /r /s</v>
      </c>
      <c r="U33" s="9" t="str">
        <f t="shared" si="2"/>
        <v>4031</v>
      </c>
      <c r="V33" s="36">
        <f t="shared" si="3"/>
        <v>42715.225266203699</v>
      </c>
      <c r="W33" s="50" t="str">
        <f t="shared" si="4"/>
        <v>NW</v>
      </c>
      <c r="X33" s="50" t="str">
        <f t="shared" si="5"/>
        <v>KEEP</v>
      </c>
      <c r="Y33" s="119" t="str">
        <f t="shared" si="6"/>
        <v>echo {"issue":{"subject":"Early arrival","project_id":79,"tracker_id":40,"status_id":1,"priority_id":2,"assigned_to_id":23,"start_date":"2016-12-10","description":"","custom_fields":[{"id":1,"name":"Subdivision","value":"NW"},{"id":4,"name":"Milepost","value":"1.0716"},{"id":17,"name":"Train ID","value":"1833-10"},{"id":16,"name":"Locomotive ID","value":"4031"},{"id":130,"name":"Impact","value":""},{"id":150,"name":"Time of Event (Mountain Time)","value":"22:24:23"},{"id":151,"name":"Denver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3" s="53"/>
      <c r="AA33" s="53"/>
      <c r="AB33" s="53"/>
      <c r="AC33" s="138" t="str">
        <f t="shared" si="7"/>
        <v>grep -hSE -A100 "Enforcement Action" "%USERPROFILE%\AppData\Local\Temp\OnboardLogs"\RTDC4031\*4031*201612110* | grep -SE "((Enforcement Ac)|(PRM))" -</v>
      </c>
      <c r="AD33" s="1" t="str">
        <f>"grep -hSE ""Enforcement Action"" "&amp;search_path&amp;"\RTDC"&amp;U33&amp;"\*"&amp;U33&amp;"*"&amp;TEXT(A33-utc_offset/24,"YYYYMMDD")&amp;LEFT(TEXT(A33-utc_offset/24,"HH"),1)&amp;"* &gt;&gt; "&amp;Variables!$A$2&amp;"-slicedisagreementcheck.txt"</f>
        <v>grep -hSE "Enforcement Action" "%USERPROFILE%\AppData\Local\Temp\OnboardLogs"\RTDC4031\*4031*201612110* &gt;&gt; 42714-slicedisagreementcheck.txt</v>
      </c>
    </row>
    <row r="34" spans="1:30" x14ac:dyDescent="0.25">
      <c r="A34" s="36">
        <v>42714.786504629628</v>
      </c>
      <c r="B34" s="31" t="s">
        <v>248</v>
      </c>
      <c r="C34" s="31" t="s">
        <v>432</v>
      </c>
      <c r="D34" s="31" t="s">
        <v>49</v>
      </c>
      <c r="E34" s="31" t="s">
        <v>197</v>
      </c>
      <c r="F34" s="47">
        <v>150</v>
      </c>
      <c r="G34" s="47">
        <v>202</v>
      </c>
      <c r="H34" s="47">
        <v>15660</v>
      </c>
      <c r="I34" s="47">
        <v>15168</v>
      </c>
      <c r="J34" s="31" t="s">
        <v>198</v>
      </c>
      <c r="K34" s="47">
        <v>14977</v>
      </c>
      <c r="L34" s="154" t="s">
        <v>51</v>
      </c>
      <c r="M34" s="155">
        <f t="shared" si="0"/>
        <v>100.848</v>
      </c>
      <c r="N34" s="156" t="str">
        <f>VLOOKUP(C34,'Trips&amp;Operators'!$C$1:$G$99999,5,FALSE)</f>
        <v>LOPES KIMBERLY</v>
      </c>
      <c r="O34" s="182" t="s">
        <v>196</v>
      </c>
      <c r="P34" s="157"/>
      <c r="Q34" s="31"/>
      <c r="R34" s="100" t="str">
        <f>VLOOKUP(C34,'Train Runs'!$A$13:$AE$9972,31,0)</f>
        <v>aws s3 cp s3://rtdc.mdm.uploadarchive.raw/RTDC4032/ "%USERPROFILE%\AppData\Local\Temp\OnboardLogs"\RTDC4032\2016-12-10 --exclude "*" --recursive --include "*20161210*" &amp; "%USERPROFILE%\Documents\GitHub\mrs-test-scripts\Headless Mode &amp; Sideloading\WalkAndUnGZ.bat" "%USERPROFILE%\AppData\Local\Temp\OnboardLogs"\RTDC4032\2016-12-10 &amp; aws s3 cp s3://rtdc.mdm.uploadarchive.raw/RTDC4032/ "%USERPROFILE%\AppData\Local\Temp\OnboardLogs"\RTDC4032\2016-12-11 --exclude "*" --recursive --include "*20161211*" &amp; "%USERPROFILE%\Documents\GitHub\mrs-test-scripts\Headless Mode &amp; Sideloading\WalkAndUnGZ.bat" "%USERPROFILE%\AppData\Local\Temp\OnboardLogs"\RTDC4032\2016-12-11</v>
      </c>
      <c r="S34" s="103" t="str">
        <f>VLOOKUP(C34,'Train Runs'!$A$13:$AE$9972,22,0)</f>
        <v>https://search-rtdc-monitor-bjffxe2xuh6vdkpspy63sjmuny.us-east-1.es.amazonaws.com/_plugin/kibana/#/discover/Steve-Slow-Train-Analysis-(2080s-and-2083s)?_g=(refreshInterval:(display:Off,section:0,value:0),time:(from:'2016-12-10 17:39:11-700',mode:absolute,to:'2016-12-10 19:58:39-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201053%20OR%202087)%20AND%20%22rtdc.l.rtdc.4032%22')),sort:!(Time,asc))</v>
      </c>
      <c r="T34" s="105" t="str">
        <f t="shared" si="1"/>
        <v>"C:\Program Files (x86)\AstroGrep\AstroGrep.exe" /spath="%USERPROFILE%\AppData\Local\Temp\OnboardLogs" /stypes="*4032*201612110*" /stext=" 01:.+((SYSTEM_STATE.+slice.+state.+changed )|(ment ac)|(multiple cpu faults)|(system.+state.+changed )|(\[timeout)|(PRM\|1\|D)|(kpr)|(kdp)|(\|lc)|(penalty))" /e /r /s</v>
      </c>
      <c r="U34" s="9" t="str">
        <f t="shared" si="2"/>
        <v>4032</v>
      </c>
      <c r="V34" s="36">
        <f t="shared" si="3"/>
        <v>42715.078171296293</v>
      </c>
      <c r="W34" s="50" t="str">
        <f t="shared" si="4"/>
        <v>NW</v>
      </c>
      <c r="X34" s="50" t="str">
        <f t="shared" si="5"/>
        <v>KEEP</v>
      </c>
      <c r="Y34" s="119" t="str">
        <f t="shared" si="6"/>
        <v>echo {"issue":{"subject":"","project_id":79,"tracker_id":40,"status_id":1,"priority_id":2,"assigned_to_id":23,"start_date":"2016-12-10","description":"","custom_fields":[{"id":1,"name":"Subdivision","value":"NW"},{"id":4,"name":"Milepost","value":"1.4977"},{"id":17,"name":"Train ID","value":"1826-10"},{"id":16,"name":"Locomotive ID","value":"4032"},{"id":130,"name":"Impact","value":""},{"id":150,"name":"Time of Event (Mountain Time)","value":"18:52:34"},{"id":151,"name":"Denver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4" s="53"/>
      <c r="AA34" s="53"/>
      <c r="AB34" s="53"/>
      <c r="AC34" s="138" t="str">
        <f t="shared" si="7"/>
        <v>grep -hSE -A100 "Enforcement Action" "%USERPROFILE%\AppData\Local\Temp\OnboardLogs"\RTDC4032\*4032*201612110* | grep -SE "((Enforcement Ac)|(PRM))" -</v>
      </c>
      <c r="AD34" s="1" t="str">
        <f>"grep -hSE ""Enforcement Action"" "&amp;search_path&amp;"\RTDC"&amp;U34&amp;"\*"&amp;U34&amp;"*"&amp;TEXT(A34-utc_offset/24,"YYYYMMDD")&amp;LEFT(TEXT(A34-utc_offset/24,"HH"),1)&amp;"* &gt;&gt; "&amp;Variables!$A$2&amp;"-slicedisagreementcheck.txt"</f>
        <v>grep -hSE "Enforcement Action" "%USERPROFILE%\AppData\Local\Temp\OnboardLogs"\RTDC4032\*4032*201612110* &gt;&gt; 42714-slicedisagreementcheck.txt</v>
      </c>
    </row>
    <row r="35" spans="1:30" x14ac:dyDescent="0.25">
      <c r="A35" s="36">
        <v>42714.784375000003</v>
      </c>
      <c r="B35" s="31" t="s">
        <v>248</v>
      </c>
      <c r="C35" s="31" t="s">
        <v>432</v>
      </c>
      <c r="D35" s="31" t="s">
        <v>49</v>
      </c>
      <c r="E35" s="31" t="s">
        <v>199</v>
      </c>
      <c r="F35" s="47">
        <v>0</v>
      </c>
      <c r="G35" s="47">
        <v>250</v>
      </c>
      <c r="H35" s="47">
        <v>20148</v>
      </c>
      <c r="I35" s="47">
        <v>19825</v>
      </c>
      <c r="J35" s="31" t="s">
        <v>200</v>
      </c>
      <c r="K35" s="47">
        <v>19000</v>
      </c>
      <c r="L35" s="154" t="s">
        <v>51</v>
      </c>
      <c r="M35" s="155">
        <f t="shared" si="0"/>
        <v>435.6</v>
      </c>
      <c r="N35" s="156" t="str">
        <f>VLOOKUP(C35,'Trips&amp;Operators'!$C$1:$G$99999,5,FALSE)</f>
        <v>LOPES KIMBERLY</v>
      </c>
      <c r="O35" s="182" t="s">
        <v>196</v>
      </c>
      <c r="P35" s="157" t="s">
        <v>805</v>
      </c>
      <c r="Q35" s="31"/>
      <c r="R35" s="100" t="str">
        <f>VLOOKUP(C35,'Train Runs'!$A$13:$AE$9972,31,0)</f>
        <v>aws s3 cp s3://rtdc.mdm.uploadarchive.raw/RTDC4032/ "%USERPROFILE%\AppData\Local\Temp\OnboardLogs"\RTDC4032\2016-12-10 --exclude "*" --recursive --include "*20161210*" &amp; "%USERPROFILE%\Documents\GitHub\mrs-test-scripts\Headless Mode &amp; Sideloading\WalkAndUnGZ.bat" "%USERPROFILE%\AppData\Local\Temp\OnboardLogs"\RTDC4032\2016-12-10 &amp; aws s3 cp s3://rtdc.mdm.uploadarchive.raw/RTDC4032/ "%USERPROFILE%\AppData\Local\Temp\OnboardLogs"\RTDC4032\2016-12-11 --exclude "*" --recursive --include "*20161211*" &amp; "%USERPROFILE%\Documents\GitHub\mrs-test-scripts\Headless Mode &amp; Sideloading\WalkAndUnGZ.bat" "%USERPROFILE%\AppData\Local\Temp\OnboardLogs"\RTDC4032\2016-12-11</v>
      </c>
      <c r="S35" s="103" t="str">
        <f>VLOOKUP(C35,'Train Runs'!$A$13:$AE$9972,22,0)</f>
        <v>https://search-rtdc-monitor-bjffxe2xuh6vdkpspy63sjmuny.us-east-1.es.amazonaws.com/_plugin/kibana/#/discover/Steve-Slow-Train-Analysis-(2080s-and-2083s)?_g=(refreshInterval:(display:Off,section:0,value:0),time:(from:'2016-12-10 17:39:11-700',mode:absolute,to:'2016-12-10 19:58:39-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201053%20OR%202087)%20AND%20%22rtdc.l.rtdc.4032%22')),sort:!(Time,asc))</v>
      </c>
      <c r="T35" s="105" t="str">
        <f t="shared" si="1"/>
        <v>"C:\Program Files (x86)\AstroGrep\AstroGrep.exe" /spath="%USERPROFILE%\AppData\Local\Temp\OnboardLogs" /stypes="*4032*201612110*" /stext=" 01:.+((SYSTEM_STATE.+slice.+state.+changed )|(ment ac)|(multiple cpu faults)|(system.+state.+changed )|(\[timeout)|(PRM\|1\|D)|(kpr)|(kdp)|(\|lc)|(penalty))" /e /r /s</v>
      </c>
      <c r="U35" s="9" t="str">
        <f t="shared" si="2"/>
        <v>4032</v>
      </c>
      <c r="V35" s="36">
        <f t="shared" si="3"/>
        <v>42715.076041666667</v>
      </c>
      <c r="W35" s="50" t="str">
        <f t="shared" si="4"/>
        <v>NW</v>
      </c>
      <c r="X35" s="50" t="str">
        <f t="shared" si="5"/>
        <v>KEEP</v>
      </c>
      <c r="Y35" s="119" t="str">
        <f t="shared" si="6"/>
        <v>echo {"issue":{"subject":"RESTRICTED aspect","project_id":79,"tracker_id":40,"status_id":1,"priority_id":2,"assigned_to_id":23,"start_date":"2016-12-10","description":"","custom_fields":[{"id":1,"name":"Subdivision","value":"NW"},{"id":4,"name":"Milepost","value":"1.9"},{"id":17,"name":"Train ID","value":"1826-10"},{"id":16,"name":"Locomotive ID","value":"4032"},{"id":130,"name":"Impact","value":""},{"id":150,"name":"Time of Event (Mountain Time)","value":"18:49:30"},{"id":151,"name":"Denver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5" s="53"/>
      <c r="AA35" s="53"/>
      <c r="AB35" s="53"/>
      <c r="AC35" s="138" t="str">
        <f t="shared" si="7"/>
        <v>grep -hSE -A100 "Enforcement Action" "%USERPROFILE%\AppData\Local\Temp\OnboardLogs"\RTDC4032\*4032*201612110* | grep -SE "((Enforcement Ac)|(PRM))" -</v>
      </c>
      <c r="AD35" s="1" t="str">
        <f>"grep -hSE ""Enforcement Action"" "&amp;search_path&amp;"\RTDC"&amp;U35&amp;"\*"&amp;U35&amp;"*"&amp;TEXT(A35-utc_offset/24,"YYYYMMDD")&amp;LEFT(TEXT(A35-utc_offset/24,"HH"),1)&amp;"* &gt;&gt; "&amp;Variables!$A$2&amp;"-slicedisagreementcheck.txt"</f>
        <v>grep -hSE "Enforcement Action" "%USERPROFILE%\AppData\Local\Temp\OnboardLogs"\RTDC4032\*4032*201612110* &gt;&gt; 42714-slicedisagreementcheck.txt</v>
      </c>
    </row>
    <row r="36" spans="1:30" x14ac:dyDescent="0.25">
      <c r="A36" s="36">
        <v>42714.663194444445</v>
      </c>
      <c r="B36" s="31" t="s">
        <v>248</v>
      </c>
      <c r="C36" s="31" t="s">
        <v>426</v>
      </c>
      <c r="D36" s="31" t="s">
        <v>49</v>
      </c>
      <c r="E36" s="31" t="s">
        <v>201</v>
      </c>
      <c r="F36" s="47">
        <v>0</v>
      </c>
      <c r="G36" s="47">
        <v>38</v>
      </c>
      <c r="H36" s="47">
        <v>701</v>
      </c>
      <c r="I36" s="47">
        <v>671</v>
      </c>
      <c r="J36" s="31" t="s">
        <v>202</v>
      </c>
      <c r="K36" s="47">
        <v>575</v>
      </c>
      <c r="L36" s="154" t="s">
        <v>51</v>
      </c>
      <c r="M36" s="155">
        <f t="shared" si="0"/>
        <v>50.688000000000002</v>
      </c>
      <c r="N36" s="156" t="str">
        <f>VLOOKUP(C36,'Trips&amp;Operators'!$C$1:$G$99999,5,FALSE)</f>
        <v>LOPES KIMBERLY</v>
      </c>
      <c r="O36" s="182" t="s">
        <v>196</v>
      </c>
      <c r="P36" s="157"/>
      <c r="Q36" s="31"/>
      <c r="R36" s="100" t="str">
        <f>VLOOKUP(C36,'Train Runs'!$A$13:$AE$9972,31,0)</f>
        <v>aws s3 cp s3://rtdc.mdm.uploadarchive.raw/RTDC4032/ "%USERPROFILE%\AppData\Local\Temp\OnboardLogs"\RTDC4032\2016-12-10 --exclude "*" --recursive --include "*20161210*" &amp; "%USERPROFILE%\Documents\GitHub\mrs-test-scripts\Headless Mode &amp; Sideloading\WalkAndUnGZ.bat" "%USERPROFILE%\AppData\Local\Temp\OnboardLogs"\RTDC4032\2016-12-10 &amp; aws s3 cp s3://rtdc.mdm.uploadarchive.raw/RTDC4032/ "%USERPROFILE%\AppData\Local\Temp\OnboardLogs"\RTDC4032\2016-12-11 --exclude "*" --recursive --include "*20161211*" &amp; "%USERPROFILE%\Documents\GitHub\mrs-test-scripts\Headless Mode &amp; Sideloading\WalkAndUnGZ.bat" "%USERPROFILE%\AppData\Local\Temp\OnboardLogs"\RTDC4032\2016-12-11</v>
      </c>
      <c r="S36" s="103" t="str">
        <f>VLOOKUP(C36,'Train Runs'!$A$13:$AE$9972,22,0)</f>
        <v>https://search-rtdc-monitor-bjffxe2xuh6vdkpspy63sjmuny.us-east-1.es.amazonaws.com/_plugin/kibana/#/discover/Steve-Slow-Train-Analysis-(2080s-and-2083s)?_g=(refreshInterval:(display:Off,section:0,value:0),time:(from:'2016-12-10 14:35:45-700',mode:absolute,to:'2016-12-10 16:55:01-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201053%20OR%202087)%20AND%20%22rtdc.l.rtdc.4032%22')),sort:!(Time,asc))</v>
      </c>
      <c r="T36" s="105" t="str">
        <f t="shared" si="1"/>
        <v>"C:\Program Files (x86)\AstroGrep\AstroGrep.exe" /spath="%USERPROFILE%\AppData\Local\Temp\OnboardLogs" /stypes="*4032*201612102*" /stext=" 22:.+((SYSTEM_STATE.+slice.+state.+changed )|(ment ac)|(multiple cpu faults)|(system.+state.+changed )|(\[timeout)|(PRM\|1\|D)|(kpr)|(kdp)|(\|lc)|(penalty))" /e /r /s</v>
      </c>
      <c r="U36" s="9" t="str">
        <f t="shared" si="2"/>
        <v>4032</v>
      </c>
      <c r="V36" s="36">
        <f t="shared" si="3"/>
        <v>42714.954861111109</v>
      </c>
      <c r="W36" s="50" t="str">
        <f t="shared" si="4"/>
        <v>NW</v>
      </c>
      <c r="X36" s="50" t="str">
        <f t="shared" si="5"/>
        <v>KEEP</v>
      </c>
      <c r="Y36" s="119" t="str">
        <f t="shared" si="6"/>
        <v>echo {"issue":{"subject":"","project_id":79,"tracker_id":40,"status_id":1,"priority_id":2,"assigned_to_id":23,"start_date":"2016-12-10","description":"","custom_fields":[{"id":1,"name":"Subdivision","value":"NW"},{"id":4,"name":"Milepost","value":"0.0575"},{"id":17,"name":"Train ID","value":"1820-10"},{"id":16,"name":"Locomotive ID","value":"4032"},{"id":130,"name":"Impact","value":""},{"id":150,"name":"Time of Event (Mountain Time)","value":"15:55:00"},{"id":151,"name":"Denver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6" s="53"/>
      <c r="AA36" s="53"/>
      <c r="AB36" s="53"/>
      <c r="AC36" s="138" t="str">
        <f t="shared" si="7"/>
        <v>grep -hSE -A100 "Enforcement Action" "%USERPROFILE%\AppData\Local\Temp\OnboardLogs"\RTDC4032\*4032*201612102* | grep -SE "((Enforcement Ac)|(PRM))" -</v>
      </c>
      <c r="AD36" s="1" t="str">
        <f>"grep -hSE ""Enforcement Action"" "&amp;search_path&amp;"\RTDC"&amp;U36&amp;"\*"&amp;U36&amp;"*"&amp;TEXT(A36-utc_offset/24,"YYYYMMDD")&amp;LEFT(TEXT(A36-utc_offset/24,"HH"),1)&amp;"* &gt;&gt; "&amp;Variables!$A$2&amp;"-slicedisagreementcheck.txt"</f>
        <v>grep -hSE "Enforcement Action" "%USERPROFILE%\AppData\Local\Temp\OnboardLogs"\RTDC4032\*4032*201612102* &gt;&gt; 42714-slicedisagreementcheck.txt</v>
      </c>
    </row>
    <row r="37" spans="1:30" x14ac:dyDescent="0.25">
      <c r="A37" s="36">
        <v>42714.690775462965</v>
      </c>
      <c r="B37" s="31" t="s">
        <v>235</v>
      </c>
      <c r="C37" s="31" t="s">
        <v>428</v>
      </c>
      <c r="D37" s="31" t="s">
        <v>49</v>
      </c>
      <c r="E37" s="31" t="s">
        <v>201</v>
      </c>
      <c r="F37" s="47">
        <v>0</v>
      </c>
      <c r="G37" s="47">
        <v>45</v>
      </c>
      <c r="H37" s="47">
        <v>58935</v>
      </c>
      <c r="I37" s="47">
        <v>58971</v>
      </c>
      <c r="J37" s="31" t="s">
        <v>202</v>
      </c>
      <c r="K37" s="47">
        <v>59048</v>
      </c>
      <c r="L37" s="154" t="s">
        <v>50</v>
      </c>
      <c r="M37" s="155">
        <f t="shared" si="0"/>
        <v>40.655999999999999</v>
      </c>
      <c r="N37" s="156" t="str">
        <f>VLOOKUP(C37,'Trips&amp;Operators'!$C$1:$G$99999,5,FALSE)</f>
        <v>LOPES KIMBERLY</v>
      </c>
      <c r="O37" s="182" t="s">
        <v>196</v>
      </c>
      <c r="P37" s="157"/>
      <c r="Q37" s="31"/>
      <c r="R37" s="100" t="str">
        <f>VLOOKUP(C37,'Train Runs'!$A$13:$AE$9972,31,0)</f>
        <v>aws s3 cp s3://rtdc.mdm.uploadarchive.raw/RTDC4031/ "%USERPROFILE%\AppData\Local\Temp\OnboardLogs"\RTDC4031\2016-12-10 --exclude "*" --recursive --include "*20161210*" &amp; "%USERPROFILE%\Documents\GitHub\mrs-test-scripts\Headless Mode &amp; Sideloading\WalkAndUnGZ.bat" "%USERPROFILE%\AppData\Local\Temp\OnboardLogs"\RTDC4031\2016-12-10 &amp; aws s3 cp s3://rtdc.mdm.uploadarchive.raw/RTDC4031/ "%USERPROFILE%\AppData\Local\Temp\OnboardLogs"\RTDC4031\2016-12-11 --exclude "*" --recursive --include "*20161211*" &amp; "%USERPROFILE%\Documents\GitHub\mrs-test-scripts\Headless Mode &amp; Sideloading\WalkAndUnGZ.bat" "%USERPROFILE%\AppData\Local\Temp\OnboardLogs"\RTDC4031\2016-12-11</v>
      </c>
      <c r="S37" s="103" t="str">
        <f>VLOOKUP(C37,'Train Runs'!$A$13:$AE$9972,22,0)</f>
        <v>https://search-rtdc-monitor-bjffxe2xuh6vdkpspy63sjmuny.us-east-1.es.amazonaws.com/_plugin/kibana/#/discover/Steve-Slow-Train-Analysis-(2080s-and-2083s)?_g=(refreshInterval:(display:Off,section:0,value:0),time:(from:'2016-12-10 14:56:35-700',mode:absolute,to:'2016-12-10 17:34:43-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201053%20OR%202087)%20AND%20%22rtdc.l.rtdc.4031%22')),sort:!(Time,asc))</v>
      </c>
      <c r="T37" s="105" t="str">
        <f t="shared" si="1"/>
        <v>"C:\Program Files (x86)\AstroGrep\AstroGrep.exe" /spath="%USERPROFILE%\AppData\Local\Temp\OnboardLogs" /stypes="*4031*201612102*" /stext=" 23:.+((SYSTEM_STATE.+slice.+state.+changed )|(ment ac)|(multiple cpu faults)|(system.+state.+changed )|(\[timeout)|(PRM\|1\|D)|(kpr)|(kdp)|(\|lc)|(penalty))" /e /r /s</v>
      </c>
      <c r="U37" s="9" t="str">
        <f t="shared" si="2"/>
        <v>4031</v>
      </c>
      <c r="V37" s="36">
        <f t="shared" si="3"/>
        <v>42714.982442129629</v>
      </c>
      <c r="W37" s="50" t="str">
        <f t="shared" si="4"/>
        <v>NW</v>
      </c>
      <c r="X37" s="50" t="str">
        <f t="shared" si="5"/>
        <v>KEEP</v>
      </c>
      <c r="Y37" s="119" t="str">
        <f t="shared" si="6"/>
        <v>echo {"issue":{"subject":"","project_id":79,"tracker_id":40,"status_id":1,"priority_id":2,"assigned_to_id":23,"start_date":"2016-12-10","description":"","custom_fields":[{"id":1,"name":"Subdivision","value":"NW"},{"id":4,"name":"Milepost","value":"5.9048"},{"id":17,"name":"Train ID","value":"1821-10"},{"id":16,"name":"Locomotive ID","value":"4031"},{"id":130,"name":"Impact","value":""},{"id":150,"name":"Time of Event (Mountain Time)","value":"16:34:43"},{"id":151,"name":"Denver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7" s="53"/>
      <c r="AA37" s="53"/>
      <c r="AB37" s="53"/>
      <c r="AC37" s="138" t="str">
        <f t="shared" si="7"/>
        <v>grep -hSE -A100 "Enforcement Action" "%USERPROFILE%\AppData\Local\Temp\OnboardLogs"\RTDC4031\*4031*201612102* | grep -SE "((Enforcement Ac)|(PRM))" -</v>
      </c>
      <c r="AD37" s="1" t="str">
        <f>"grep -hSE ""Enforcement Action"" "&amp;search_path&amp;"\RTDC"&amp;U37&amp;"\*"&amp;U37&amp;"*"&amp;TEXT(A37-utc_offset/24,"YYYYMMDD")&amp;LEFT(TEXT(A37-utc_offset/24,"HH"),1)&amp;"* &gt;&gt; "&amp;Variables!$A$2&amp;"-slicedisagreementcheck.txt"</f>
        <v>grep -hSE "Enforcement Action" "%USERPROFILE%\AppData\Local\Temp\OnboardLogs"\RTDC4031\*4031*201612102* &gt;&gt; 42714-slicedisagreementcheck.txt</v>
      </c>
    </row>
    <row r="38" spans="1:30" x14ac:dyDescent="0.25">
      <c r="A38" s="36">
        <v>42714.750185185185</v>
      </c>
      <c r="B38" s="31" t="s">
        <v>275</v>
      </c>
      <c r="C38" s="31" t="s">
        <v>431</v>
      </c>
      <c r="D38" s="31" t="s">
        <v>49</v>
      </c>
      <c r="E38" s="31" t="s">
        <v>201</v>
      </c>
      <c r="F38" s="47">
        <v>0</v>
      </c>
      <c r="G38" s="47">
        <v>33</v>
      </c>
      <c r="H38" s="47">
        <v>84</v>
      </c>
      <c r="I38" s="47">
        <v>63</v>
      </c>
      <c r="J38" s="31" t="s">
        <v>202</v>
      </c>
      <c r="K38" s="47">
        <v>1</v>
      </c>
      <c r="L38" s="154" t="s">
        <v>51</v>
      </c>
      <c r="M38" s="155">
        <f t="shared" si="0"/>
        <v>32.735999999999997</v>
      </c>
      <c r="N38" s="156" t="str">
        <f>VLOOKUP(C38,'Trips&amp;Operators'!$C$1:$G$99999,5,FALSE)</f>
        <v>STAMBAUGH JAMES</v>
      </c>
      <c r="O38" s="182" t="s">
        <v>196</v>
      </c>
      <c r="P38" s="157"/>
      <c r="Q38" s="31"/>
      <c r="R38" s="100" t="str">
        <f>VLOOKUP(C38,'Train Runs'!$A$13:$AE$9972,31,0)</f>
        <v>aws s3 cp s3://rtdc.mdm.uploadarchive.raw/RTDC4043/ "%USERPROFILE%\AppData\Local\Temp\OnboardLogs"\RTDC4043\2016-12-10 --exclude "*" --recursive --include "*20161210*" &amp; "%USERPROFILE%\Documents\GitHub\mrs-test-scripts\Headless Mode &amp; Sideloading\WalkAndUnGZ.bat" "%USERPROFILE%\AppData\Local\Temp\OnboardLogs"\RTDC4043\2016-12-10 &amp; aws s3 cp s3://rtdc.mdm.uploadarchive.raw/RTDC4043/ "%USERPROFILE%\AppData\Local\Temp\OnboardLogs"\RTDC4043\2016-12-11 --exclude "*" --recursive --include "*20161211*" &amp; "%USERPROFILE%\Documents\GitHub\mrs-test-scripts\Headless Mode &amp; Sideloading\WalkAndUnGZ.bat" "%USERPROFILE%\AppData\Local\Temp\OnboardLogs"\RTDC4043\2016-12-11</v>
      </c>
      <c r="S38" s="103" t="str">
        <f>VLOOKUP(C38,'Train Runs'!$A$13:$AE$9972,22,0)</f>
        <v>https://search-rtdc-monitor-bjffxe2xuh6vdkpspy63sjmuny.us-east-1.es.amazonaws.com/_plugin/kibana/#/discover/Steve-Slow-Train-Analysis-(2080s-and-2083s)?_g=(refreshInterval:(display:Off,section:0,value:0),time:(from:'2016-12-10 16:50:45-700',mode:absolute,to:'2016-12-10 19:00:16-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201053%20OR%202087)%20AND%20%22rtdc.l.rtdc.4043%22')),sort:!(Time,asc))</v>
      </c>
      <c r="T38" s="105" t="str">
        <f t="shared" si="1"/>
        <v>"C:\Program Files (x86)\AstroGrep\AstroGrep.exe" /spath="%USERPROFILE%\AppData\Local\Temp\OnboardLogs" /stypes="*4043*201612110*" /stext=" 01:.+((SYSTEM_STATE.+slice.+state.+changed )|(ment ac)|(multiple cpu faults)|(system.+state.+changed )|(\[timeout)|(PRM\|1\|D)|(kpr)|(kdp)|(\|lc)|(penalty))" /e /r /s</v>
      </c>
      <c r="U38" s="9" t="str">
        <f t="shared" si="2"/>
        <v>4043</v>
      </c>
      <c r="V38" s="36">
        <f t="shared" si="3"/>
        <v>42715.041851851849</v>
      </c>
      <c r="W38" s="50" t="str">
        <f t="shared" si="4"/>
        <v>Other</v>
      </c>
      <c r="X38" s="50" t="str">
        <f t="shared" si="5"/>
        <v>KEEP</v>
      </c>
      <c r="Y38" s="119" t="str">
        <f t="shared" si="6"/>
        <v>echo {"issue":{"subject":"","project_id":79,"tracker_id":40,"status_id":1,"priority_id":2,"assigned_to_id":23,"start_date":"2016-12-10","description":"","custom_fields":[{"id":1,"name":"Subdivision","value":"Other"},{"id":4,"name":"Milepost","value":"0.0001"},{"id":17,"name":"Train ID","value":"72-10"},{"id":16,"name":"Locomotive ID","value":"4043"},{"id":130,"name":"Impact","value":""},{"id":150,"name":"Time of Event (Mountain Time)","value":"18:00:16"},{"id":151,"name":"Denver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8" s="53"/>
      <c r="AA38" s="53"/>
      <c r="AB38" s="53"/>
      <c r="AC38" s="138" t="str">
        <f t="shared" si="7"/>
        <v>grep -hSE -A100 "Enforcement Action" "%USERPROFILE%\AppData\Local\Temp\OnboardLogs"\RTDC4043\*4043*201612110* | grep -SE "((Enforcement Ac)|(PRM))" -</v>
      </c>
      <c r="AD38" s="1" t="str">
        <f>"grep -hSE ""Enforcement Action"" "&amp;search_path&amp;"\RTDC"&amp;U38&amp;"\*"&amp;U38&amp;"*"&amp;TEXT(A38-utc_offset/24,"YYYYMMDD")&amp;LEFT(TEXT(A38-utc_offset/24,"HH"),1)&amp;"* &gt;&gt; "&amp;Variables!$A$2&amp;"-slicedisagreementcheck.txt"</f>
        <v>grep -hSE "Enforcement Action" "%USERPROFILE%\AppData\Local\Temp\OnboardLogs"\RTDC4043\*4043*201612110* &gt;&gt; 42714-slicedisagreementcheck.txt</v>
      </c>
    </row>
    <row r="39" spans="1:30" x14ac:dyDescent="0.25">
      <c r="A39"/>
      <c r="D39"/>
      <c r="E39"/>
      <c r="F39"/>
      <c r="G39"/>
      <c r="H39"/>
      <c r="I39"/>
      <c r="J39"/>
      <c r="K39"/>
      <c r="L39"/>
      <c r="M39"/>
      <c r="N39"/>
      <c r="O39"/>
      <c r="P39"/>
      <c r="R39"/>
      <c r="S39"/>
      <c r="T39"/>
      <c r="V39"/>
      <c r="AC39"/>
    </row>
    <row r="40" spans="1:30" x14ac:dyDescent="0.25">
      <c r="A40"/>
      <c r="D40"/>
      <c r="E40"/>
      <c r="F40"/>
      <c r="G40"/>
      <c r="H40"/>
      <c r="I40"/>
      <c r="J40"/>
      <c r="K40"/>
      <c r="L40"/>
      <c r="M40"/>
      <c r="N40"/>
      <c r="O40"/>
      <c r="P40"/>
      <c r="R40"/>
      <c r="S40"/>
      <c r="T40"/>
      <c r="V40"/>
      <c r="AC40"/>
    </row>
    <row r="41" spans="1:30" x14ac:dyDescent="0.25">
      <c r="A41"/>
      <c r="D41"/>
      <c r="E41"/>
      <c r="F41"/>
      <c r="G41"/>
      <c r="H41"/>
      <c r="I41"/>
      <c r="J41"/>
      <c r="K41"/>
      <c r="L41"/>
      <c r="M41"/>
      <c r="N41"/>
      <c r="O41"/>
      <c r="P41"/>
      <c r="R41"/>
      <c r="S41"/>
      <c r="T41"/>
      <c r="V41"/>
      <c r="AC41"/>
    </row>
    <row r="42" spans="1:30" x14ac:dyDescent="0.25">
      <c r="A42"/>
      <c r="D42"/>
      <c r="E42"/>
      <c r="F42"/>
      <c r="G42"/>
      <c r="H42"/>
      <c r="I42"/>
      <c r="J42"/>
      <c r="K42"/>
      <c r="L42"/>
      <c r="M42"/>
      <c r="N42"/>
      <c r="O42"/>
      <c r="P42"/>
      <c r="R42"/>
      <c r="S42"/>
      <c r="T42"/>
      <c r="V42"/>
      <c r="AC42"/>
    </row>
    <row r="43" spans="1:30" x14ac:dyDescent="0.25">
      <c r="A43"/>
      <c r="D43"/>
      <c r="E43"/>
      <c r="F43"/>
      <c r="G43"/>
      <c r="H43"/>
      <c r="I43"/>
      <c r="J43"/>
      <c r="K43"/>
      <c r="L43"/>
      <c r="M43"/>
      <c r="N43"/>
      <c r="O43"/>
      <c r="P43"/>
      <c r="R43"/>
      <c r="S43"/>
      <c r="T43"/>
      <c r="V43"/>
      <c r="AC43"/>
    </row>
    <row r="44" spans="1:30" x14ac:dyDescent="0.25">
      <c r="A44"/>
      <c r="D44"/>
      <c r="E44"/>
      <c r="F44"/>
      <c r="G44"/>
      <c r="H44"/>
      <c r="I44"/>
      <c r="J44"/>
      <c r="K44"/>
      <c r="L44"/>
      <c r="M44"/>
      <c r="N44"/>
      <c r="O44"/>
      <c r="P44"/>
      <c r="R44"/>
      <c r="S44"/>
      <c r="T44"/>
      <c r="V44"/>
      <c r="AC44"/>
    </row>
    <row r="45" spans="1:30" x14ac:dyDescent="0.25">
      <c r="A45"/>
      <c r="D45"/>
      <c r="E45"/>
      <c r="F45"/>
      <c r="G45"/>
      <c r="H45"/>
      <c r="I45"/>
      <c r="J45"/>
      <c r="K45"/>
      <c r="L45"/>
      <c r="M45"/>
      <c r="N45"/>
      <c r="O45"/>
      <c r="P45"/>
      <c r="R45"/>
      <c r="S45"/>
      <c r="T45"/>
      <c r="V45"/>
      <c r="AC45"/>
    </row>
    <row r="46" spans="1:30" x14ac:dyDescent="0.25">
      <c r="A46"/>
      <c r="D46"/>
      <c r="E46"/>
      <c r="F46"/>
      <c r="G46"/>
      <c r="H46"/>
      <c r="I46"/>
      <c r="J46"/>
      <c r="K46"/>
      <c r="L46"/>
      <c r="M46"/>
      <c r="N46"/>
      <c r="O46"/>
      <c r="P46"/>
      <c r="R46"/>
      <c r="S46"/>
      <c r="T46"/>
      <c r="V46"/>
      <c r="AC46"/>
    </row>
    <row r="47" spans="1:30" x14ac:dyDescent="0.25">
      <c r="A47"/>
      <c r="D47"/>
      <c r="E47"/>
      <c r="F47"/>
      <c r="G47"/>
      <c r="H47"/>
      <c r="I47"/>
      <c r="J47"/>
      <c r="K47"/>
      <c r="L47"/>
      <c r="M47"/>
      <c r="N47"/>
      <c r="O47"/>
      <c r="P47"/>
      <c r="R47"/>
      <c r="S47"/>
      <c r="T47"/>
      <c r="V47"/>
      <c r="AC47"/>
    </row>
    <row r="48" spans="1:30" x14ac:dyDescent="0.25">
      <c r="A48"/>
      <c r="D48"/>
      <c r="E48"/>
      <c r="F48"/>
      <c r="G48"/>
      <c r="H48"/>
      <c r="I48"/>
      <c r="J48"/>
      <c r="K48"/>
      <c r="L48"/>
      <c r="M48"/>
      <c r="N48"/>
      <c r="O48"/>
      <c r="P48"/>
      <c r="R48"/>
      <c r="S48"/>
      <c r="T48"/>
      <c r="V48"/>
      <c r="AC48"/>
    </row>
    <row r="49" spans="1:29" x14ac:dyDescent="0.25">
      <c r="A49"/>
      <c r="D49"/>
      <c r="E49"/>
      <c r="F49"/>
      <c r="G49"/>
      <c r="H49"/>
      <c r="I49"/>
      <c r="J49"/>
      <c r="K49"/>
      <c r="L49"/>
      <c r="M49"/>
      <c r="N49"/>
      <c r="O49"/>
      <c r="P49"/>
      <c r="R49"/>
      <c r="S49"/>
      <c r="T49"/>
      <c r="V49"/>
      <c r="AC49"/>
    </row>
    <row r="50" spans="1:29" x14ac:dyDescent="0.25">
      <c r="A50"/>
      <c r="D50"/>
      <c r="E50"/>
      <c r="F50"/>
      <c r="G50"/>
      <c r="H50"/>
      <c r="I50"/>
      <c r="J50"/>
      <c r="K50"/>
      <c r="L50"/>
      <c r="M50"/>
      <c r="N50"/>
      <c r="O50"/>
      <c r="P50"/>
      <c r="R50"/>
      <c r="S50"/>
      <c r="T50"/>
      <c r="V50"/>
      <c r="AC50"/>
    </row>
    <row r="51" spans="1:29" x14ac:dyDescent="0.25">
      <c r="A51"/>
      <c r="D51"/>
      <c r="E51"/>
      <c r="F51"/>
      <c r="G51"/>
      <c r="H51"/>
      <c r="I51"/>
      <c r="J51"/>
      <c r="K51"/>
      <c r="L51"/>
      <c r="M51"/>
      <c r="N51"/>
      <c r="O51"/>
      <c r="P51"/>
      <c r="R51"/>
      <c r="S51"/>
      <c r="T51"/>
      <c r="V51"/>
      <c r="AC51"/>
    </row>
    <row r="52" spans="1:29" x14ac:dyDescent="0.25">
      <c r="A52"/>
      <c r="D52"/>
      <c r="E52"/>
      <c r="F52"/>
      <c r="G52"/>
      <c r="H52"/>
      <c r="I52"/>
      <c r="J52"/>
      <c r="K52"/>
      <c r="L52"/>
      <c r="M52"/>
      <c r="N52"/>
      <c r="O52"/>
      <c r="P52"/>
      <c r="R52"/>
      <c r="S52"/>
      <c r="T52"/>
      <c r="V52"/>
      <c r="AC52"/>
    </row>
    <row r="53" spans="1:29" x14ac:dyDescent="0.25">
      <c r="A53"/>
      <c r="D53"/>
      <c r="E53"/>
      <c r="F53"/>
      <c r="G53"/>
      <c r="H53"/>
      <c r="I53"/>
      <c r="J53"/>
      <c r="K53"/>
      <c r="L53"/>
      <c r="M53"/>
      <c r="N53"/>
      <c r="O53"/>
      <c r="P53"/>
      <c r="R53"/>
      <c r="S53"/>
      <c r="T53"/>
      <c r="V53"/>
      <c r="AC53"/>
    </row>
    <row r="54" spans="1:29" x14ac:dyDescent="0.25">
      <c r="A54"/>
      <c r="D54"/>
      <c r="E54"/>
      <c r="F54"/>
      <c r="G54"/>
      <c r="H54"/>
      <c r="I54"/>
      <c r="J54"/>
      <c r="K54"/>
      <c r="L54"/>
      <c r="M54"/>
      <c r="N54"/>
      <c r="O54"/>
      <c r="P54"/>
      <c r="R54"/>
      <c r="S54"/>
      <c r="T54"/>
      <c r="V54"/>
      <c r="AC54"/>
    </row>
    <row r="55" spans="1:29" x14ac:dyDescent="0.25">
      <c r="A55"/>
      <c r="D55"/>
      <c r="E55"/>
      <c r="F55"/>
      <c r="G55"/>
      <c r="H55"/>
      <c r="I55"/>
      <c r="J55"/>
      <c r="K55"/>
      <c r="L55"/>
      <c r="M55"/>
      <c r="N55"/>
      <c r="O55"/>
      <c r="P55"/>
      <c r="R55"/>
      <c r="S55"/>
      <c r="T55"/>
      <c r="V55"/>
      <c r="AC55"/>
    </row>
    <row r="56" spans="1:29" x14ac:dyDescent="0.25">
      <c r="A56"/>
      <c r="D56"/>
      <c r="E56"/>
      <c r="F56"/>
      <c r="G56"/>
      <c r="H56"/>
      <c r="I56"/>
      <c r="J56"/>
      <c r="K56"/>
      <c r="L56"/>
      <c r="M56"/>
      <c r="N56"/>
      <c r="O56"/>
      <c r="P56"/>
      <c r="R56"/>
      <c r="S56"/>
      <c r="T56"/>
      <c r="V56"/>
      <c r="AC56"/>
    </row>
    <row r="57" spans="1:29" x14ac:dyDescent="0.25">
      <c r="A57"/>
      <c r="D57"/>
      <c r="E57"/>
      <c r="F57"/>
      <c r="G57"/>
      <c r="H57"/>
      <c r="I57"/>
      <c r="J57"/>
      <c r="K57"/>
      <c r="L57"/>
      <c r="M57"/>
      <c r="N57"/>
      <c r="O57"/>
      <c r="P57"/>
      <c r="R57"/>
      <c r="S57"/>
      <c r="T57"/>
      <c r="V57"/>
      <c r="AC57"/>
    </row>
    <row r="58" spans="1:29" x14ac:dyDescent="0.25">
      <c r="A58"/>
      <c r="D58"/>
      <c r="E58"/>
      <c r="F58"/>
      <c r="G58"/>
      <c r="H58"/>
      <c r="I58"/>
      <c r="J58"/>
      <c r="K58"/>
      <c r="L58"/>
      <c r="M58"/>
      <c r="N58"/>
      <c r="O58"/>
      <c r="P58"/>
      <c r="R58"/>
      <c r="S58"/>
      <c r="T58"/>
      <c r="V58"/>
      <c r="AC58"/>
    </row>
    <row r="59" spans="1:29" x14ac:dyDescent="0.25">
      <c r="A59"/>
      <c r="D59"/>
      <c r="E59"/>
      <c r="F59"/>
      <c r="G59"/>
      <c r="H59"/>
      <c r="I59"/>
      <c r="J59"/>
      <c r="K59"/>
      <c r="L59"/>
      <c r="M59"/>
      <c r="N59"/>
      <c r="O59"/>
      <c r="P59"/>
      <c r="R59"/>
      <c r="S59"/>
      <c r="T59"/>
      <c r="V59"/>
      <c r="AC59"/>
    </row>
    <row r="60" spans="1:29" x14ac:dyDescent="0.25">
      <c r="A60"/>
      <c r="D60"/>
      <c r="E60"/>
      <c r="F60"/>
      <c r="G60"/>
      <c r="H60"/>
      <c r="I60"/>
      <c r="J60"/>
      <c r="K60"/>
      <c r="L60"/>
      <c r="M60"/>
      <c r="N60"/>
      <c r="O60"/>
      <c r="P60"/>
      <c r="R60"/>
      <c r="S60"/>
      <c r="T60"/>
      <c r="V60"/>
      <c r="AC60"/>
    </row>
    <row r="61" spans="1:29" x14ac:dyDescent="0.25">
      <c r="A61"/>
      <c r="D61"/>
      <c r="E61"/>
      <c r="F61"/>
      <c r="G61"/>
      <c r="H61"/>
      <c r="I61"/>
      <c r="J61"/>
      <c r="K61"/>
      <c r="L61"/>
      <c r="M61"/>
      <c r="N61"/>
      <c r="O61"/>
      <c r="P61"/>
      <c r="R61"/>
      <c r="S61"/>
      <c r="T61"/>
      <c r="V61"/>
      <c r="AC61"/>
    </row>
    <row r="62" spans="1:29" x14ac:dyDescent="0.25">
      <c r="A62"/>
      <c r="D62"/>
      <c r="E62"/>
      <c r="F62"/>
      <c r="G62"/>
      <c r="H62"/>
      <c r="I62"/>
      <c r="J62"/>
      <c r="K62"/>
      <c r="L62"/>
      <c r="M62"/>
      <c r="N62"/>
      <c r="O62"/>
      <c r="P62"/>
      <c r="R62"/>
      <c r="S62"/>
      <c r="T62"/>
      <c r="V62"/>
      <c r="AC62"/>
    </row>
    <row r="63" spans="1:29" x14ac:dyDescent="0.25">
      <c r="A63"/>
      <c r="D63"/>
      <c r="E63"/>
      <c r="F63"/>
      <c r="G63"/>
      <c r="H63"/>
      <c r="I63"/>
      <c r="J63"/>
      <c r="K63"/>
      <c r="L63"/>
      <c r="M63"/>
      <c r="N63"/>
      <c r="O63"/>
      <c r="P63"/>
      <c r="R63"/>
      <c r="S63"/>
      <c r="T63"/>
      <c r="V63"/>
      <c r="AC63"/>
    </row>
    <row r="64" spans="1:29" x14ac:dyDescent="0.25">
      <c r="A64"/>
      <c r="D64"/>
      <c r="E64"/>
      <c r="F64"/>
      <c r="G64"/>
      <c r="H64"/>
      <c r="I64"/>
      <c r="J64"/>
      <c r="K64"/>
      <c r="L64"/>
      <c r="M64"/>
      <c r="N64"/>
      <c r="O64"/>
      <c r="P64"/>
      <c r="R64"/>
      <c r="S64"/>
      <c r="T64"/>
      <c r="V64"/>
      <c r="AC64"/>
    </row>
    <row r="65" spans="1:29" x14ac:dyDescent="0.25">
      <c r="A65"/>
      <c r="D65"/>
      <c r="E65"/>
      <c r="F65"/>
      <c r="G65"/>
      <c r="H65"/>
      <c r="I65"/>
      <c r="J65"/>
      <c r="K65"/>
      <c r="L65"/>
      <c r="M65"/>
      <c r="N65"/>
      <c r="O65"/>
      <c r="P65"/>
      <c r="R65"/>
      <c r="S65"/>
      <c r="T65"/>
      <c r="V65"/>
      <c r="AC65"/>
    </row>
    <row r="66" spans="1:29" x14ac:dyDescent="0.25">
      <c r="A66"/>
      <c r="D66"/>
      <c r="E66"/>
      <c r="F66"/>
      <c r="G66"/>
      <c r="H66"/>
      <c r="I66"/>
      <c r="J66"/>
      <c r="K66"/>
      <c r="L66"/>
      <c r="M66"/>
      <c r="N66"/>
      <c r="O66"/>
      <c r="P66"/>
      <c r="R66"/>
      <c r="S66"/>
      <c r="T66"/>
      <c r="V66"/>
      <c r="AC66"/>
    </row>
    <row r="67" spans="1:29" x14ac:dyDescent="0.25">
      <c r="A67"/>
      <c r="D67"/>
      <c r="E67"/>
      <c r="F67"/>
      <c r="G67"/>
      <c r="H67"/>
      <c r="I67"/>
      <c r="J67"/>
      <c r="K67"/>
      <c r="L67"/>
      <c r="M67"/>
      <c r="N67"/>
      <c r="O67"/>
      <c r="P67"/>
      <c r="R67"/>
      <c r="S67"/>
      <c r="T67"/>
      <c r="V67"/>
      <c r="AC67"/>
    </row>
    <row r="68" spans="1:29" x14ac:dyDescent="0.25">
      <c r="A68"/>
      <c r="D68"/>
      <c r="E68"/>
      <c r="F68"/>
      <c r="G68"/>
      <c r="H68"/>
      <c r="I68"/>
      <c r="J68"/>
      <c r="K68"/>
      <c r="L68"/>
      <c r="M68"/>
      <c r="N68"/>
      <c r="O68"/>
      <c r="P68"/>
      <c r="R68"/>
      <c r="S68"/>
      <c r="T68"/>
      <c r="V68"/>
      <c r="AC68"/>
    </row>
    <row r="69" spans="1:29" x14ac:dyDescent="0.25">
      <c r="A69"/>
      <c r="D69"/>
      <c r="E69"/>
      <c r="F69"/>
      <c r="G69"/>
      <c r="H69"/>
      <c r="I69"/>
      <c r="J69"/>
      <c r="K69"/>
      <c r="L69"/>
      <c r="M69"/>
      <c r="N69"/>
      <c r="O69"/>
      <c r="P69"/>
      <c r="R69"/>
      <c r="S69"/>
      <c r="T69"/>
      <c r="V69"/>
      <c r="AC69"/>
    </row>
    <row r="70" spans="1:29" x14ac:dyDescent="0.25">
      <c r="A70"/>
      <c r="D70"/>
      <c r="E70"/>
      <c r="F70"/>
      <c r="G70"/>
      <c r="H70"/>
      <c r="I70"/>
      <c r="J70"/>
      <c r="K70"/>
      <c r="L70"/>
      <c r="M70"/>
      <c r="N70"/>
      <c r="O70"/>
      <c r="P70"/>
      <c r="R70"/>
      <c r="S70"/>
      <c r="T70"/>
      <c r="V70"/>
      <c r="AC70"/>
    </row>
    <row r="71" spans="1:29" x14ac:dyDescent="0.25">
      <c r="A71"/>
      <c r="D71"/>
      <c r="E71"/>
      <c r="F71"/>
      <c r="G71"/>
      <c r="H71"/>
      <c r="I71"/>
      <c r="J71"/>
      <c r="K71"/>
      <c r="L71"/>
      <c r="M71"/>
      <c r="N71"/>
      <c r="O71"/>
      <c r="P71"/>
      <c r="R71"/>
      <c r="S71"/>
      <c r="T71"/>
      <c r="V71"/>
      <c r="AC71"/>
    </row>
    <row r="72" spans="1:29" x14ac:dyDescent="0.25">
      <c r="A72"/>
      <c r="D72"/>
      <c r="E72"/>
      <c r="F72"/>
      <c r="G72"/>
      <c r="H72"/>
      <c r="I72"/>
      <c r="J72"/>
      <c r="K72"/>
      <c r="L72"/>
      <c r="M72"/>
      <c r="N72"/>
      <c r="O72"/>
      <c r="P72"/>
      <c r="R72"/>
      <c r="S72"/>
      <c r="T72"/>
      <c r="V72"/>
      <c r="AC72"/>
    </row>
    <row r="73" spans="1:29" x14ac:dyDescent="0.25">
      <c r="A73"/>
      <c r="D73"/>
      <c r="E73"/>
      <c r="F73"/>
      <c r="G73"/>
      <c r="H73"/>
      <c r="I73"/>
      <c r="J73"/>
      <c r="K73"/>
      <c r="L73"/>
      <c r="M73"/>
      <c r="N73"/>
      <c r="O73"/>
      <c r="P73"/>
      <c r="R73"/>
      <c r="S73"/>
      <c r="T73"/>
      <c r="V73"/>
      <c r="AC73"/>
    </row>
    <row r="74" spans="1:29" x14ac:dyDescent="0.25">
      <c r="A74"/>
      <c r="D74"/>
      <c r="E74"/>
      <c r="F74"/>
      <c r="G74"/>
      <c r="H74"/>
      <c r="I74"/>
      <c r="J74"/>
      <c r="K74"/>
      <c r="L74"/>
      <c r="M74"/>
      <c r="N74"/>
      <c r="O74"/>
      <c r="P74"/>
      <c r="R74"/>
      <c r="S74"/>
      <c r="T74"/>
      <c r="V74"/>
      <c r="AC74"/>
    </row>
    <row r="75" spans="1:29" x14ac:dyDescent="0.25">
      <c r="A75"/>
      <c r="D75"/>
      <c r="E75"/>
      <c r="F75"/>
      <c r="G75"/>
      <c r="H75"/>
      <c r="I75"/>
      <c r="J75"/>
      <c r="K75"/>
      <c r="L75"/>
      <c r="M75"/>
      <c r="N75"/>
      <c r="O75"/>
      <c r="P75"/>
      <c r="R75"/>
      <c r="S75"/>
      <c r="T75"/>
      <c r="V75"/>
      <c r="AC75"/>
    </row>
  </sheetData>
  <autoFilter ref="A6:AC46">
    <sortState ref="A7:AC46">
      <sortCondition ref="V6:V46"/>
    </sortState>
  </autoFilter>
  <sortState ref="A7:AD39">
    <sortCondition ref="W7:W39"/>
    <sortCondition ref="E7:E39"/>
    <sortCondition ref="K7:K39"/>
    <sortCondition ref="C7:C39"/>
    <sortCondition ref="F7:F39"/>
  </sortState>
  <mergeCells count="1">
    <mergeCell ref="A5:O5"/>
  </mergeCells>
  <conditionalFormatting sqref="O6:P6 R6 O76:O1048576 O7:O38">
    <cfRule type="cellIs" dxfId="3" priority="36" operator="equal">
      <formula>"Y"</formula>
    </cfRule>
  </conditionalFormatting>
  <conditionalFormatting sqref="O2:O3">
    <cfRule type="cellIs" dxfId="2" priority="27" operator="equal">
      <formula>"Y"</formula>
    </cfRule>
  </conditionalFormatting>
  <conditionalFormatting sqref="A7:P38">
    <cfRule type="expression" dxfId="1" priority="20">
      <formula>$O7="Y"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2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AA7:AA38</xm:sqref>
        </x14:dataValidation>
        <x14:dataValidation type="list" allowBlank="1" showInputMessage="1" showErrorMessage="1">
          <x14:formula1>
            <xm:f>'Redmine List Values'!$C$2:$C$15</xm:f>
          </x14:formula1>
          <xm:sqref>AB7:AB38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15"/>
  <sheetViews>
    <sheetView workbookViewId="0"/>
  </sheetViews>
  <sheetFormatPr defaultRowHeight="15" x14ac:dyDescent="0.25"/>
  <cols>
    <col min="1" max="1" width="9.140625" style="165"/>
    <col min="2" max="2" width="9.140625" style="2" customWidth="1"/>
    <col min="3" max="3" width="8" style="108" bestFit="1" customWidth="1"/>
    <col min="4" max="4" width="9.85546875" style="161" bestFit="1" customWidth="1"/>
    <col min="5" max="5" width="50.85546875" bestFit="1" customWidth="1"/>
    <col min="6" max="6" width="8.7109375" customWidth="1"/>
    <col min="7" max="7" width="13.5703125" customWidth="1"/>
    <col min="8" max="8" width="14.7109375" customWidth="1"/>
    <col min="9" max="10" width="9.140625" customWidth="1"/>
  </cols>
  <sheetData>
    <row r="1" spans="1:11" s="21" customFormat="1" x14ac:dyDescent="0.25">
      <c r="A1" s="165"/>
      <c r="B1" s="184" t="str">
        <f>"Trips that did not appear in PTC Data "&amp;TEXT(Variables!$A$2,"YYYY-mm-dd")</f>
        <v>Trips that did not appear in PTC Data 2016-12-10</v>
      </c>
      <c r="C1" s="184"/>
      <c r="D1" s="184"/>
      <c r="E1" s="184"/>
      <c r="F1" s="184"/>
    </row>
    <row r="2" spans="1:11" s="24" customFormat="1" ht="45" x14ac:dyDescent="0.25">
      <c r="A2" s="178" t="s">
        <v>153</v>
      </c>
      <c r="B2" s="110" t="s">
        <v>58</v>
      </c>
      <c r="C2" s="107" t="s">
        <v>59</v>
      </c>
      <c r="D2" s="162" t="s">
        <v>60</v>
      </c>
      <c r="E2" s="24" t="s">
        <v>56</v>
      </c>
      <c r="F2" s="24" t="s">
        <v>57</v>
      </c>
      <c r="G2" s="24" t="s">
        <v>61</v>
      </c>
      <c r="H2" s="29" t="s">
        <v>62</v>
      </c>
      <c r="I2" s="29" t="s">
        <v>104</v>
      </c>
    </row>
    <row r="3" spans="1:11" x14ac:dyDescent="0.25">
      <c r="A3" s="171">
        <v>827</v>
      </c>
      <c r="B3" s="47" t="str">
        <f>A3&amp;"-"&amp;IF(DAY(Variables!$A$2)&lt;10,0,"")&amp;DAY(Variables!$A$2)</f>
        <v>827-10</v>
      </c>
      <c r="C3" s="158"/>
      <c r="D3" s="163"/>
      <c r="E3" s="31" t="s">
        <v>405</v>
      </c>
      <c r="F3" s="22" t="e">
        <f>VLOOKUP(B3,'Trips&amp;Operators'!$C$2:$E$10000,3,FALSE)</f>
        <v>#N/A</v>
      </c>
      <c r="G3" s="22" t="e">
        <f>VLOOKUP(B3,'Trips&amp;Operators'!$C$1:$F$10000,4,FALSE)</f>
        <v>#N/A</v>
      </c>
      <c r="H3" s="30" t="e">
        <f>VLOOKUP(B3,'Trips&amp;Operators'!$C$1:$H$10000,5,FALSE)</f>
        <v>#N/A</v>
      </c>
      <c r="I3" s="50" t="str">
        <f t="shared" ref="I3:I6" si="0">"https://search-rtdc-monitor-bjffxe2xuh6vdkpspy63sjmuny.us-east-1.es.amazonaws.com/_plugin/kibana/#/discover/Missing-Trains-search-by-trip-ID?"&amp;"_g=(refreshInterval:(display:Off,section:0,value:0),time:(from:now-7d,mode:relative,to:now))"&amp;"&amp;_a=(columns:!(Source,'Message%20ID',Destination,'Data.Number%20of%20Train%20IDs'),filters:!(),index:'emp_*',interval:auto,query:(query_string:(analyze_wildcard:!t,query:%22"&amp;B3&amp;"%22)),sort:!(Time,asc))"</f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22827-10%22)),sort:!(Time,asc))</v>
      </c>
      <c r="J3" s="31" t="e">
        <f>VLOOKUP(B3,'Train Runs'!$A$13:$A$99969,1,FALSE)</f>
        <v>#N/A</v>
      </c>
      <c r="K3" s="31" t="e">
        <f>IF(VLOOKUP(A3,$K$36:$K$59,1,FALSE),"Cancelled")</f>
        <v>#N/A</v>
      </c>
    </row>
    <row r="4" spans="1:11" x14ac:dyDescent="0.25">
      <c r="A4" s="171">
        <v>828</v>
      </c>
      <c r="B4" s="47" t="str">
        <f>A4&amp;"-"&amp;IF(DAY(Variables!$A$2)&lt;10,0,"")&amp;DAY(Variables!$A$2)</f>
        <v>828-10</v>
      </c>
      <c r="C4" s="158"/>
      <c r="D4" s="163"/>
      <c r="E4" s="31" t="s">
        <v>405</v>
      </c>
      <c r="F4" s="22" t="e">
        <f>VLOOKUP(B4,'Trips&amp;Operators'!$C$2:$E$10000,3,FALSE)</f>
        <v>#N/A</v>
      </c>
      <c r="G4" s="22" t="e">
        <f>VLOOKUP(B4,'Trips&amp;Operators'!$C$1:$F$10000,4,FALSE)</f>
        <v>#N/A</v>
      </c>
      <c r="H4" s="30" t="e">
        <f>VLOOKUP(B4,'Trips&amp;Operators'!$C$1:$H$10000,5,FALSE)</f>
        <v>#N/A</v>
      </c>
      <c r="I4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22828-10%22)),sort:!(Time,asc))</v>
      </c>
      <c r="J4" s="31" t="e">
        <f>VLOOKUP(B4,'Train Runs'!$A$13:$A$99969,1,FALSE)</f>
        <v>#N/A</v>
      </c>
      <c r="K4" s="31" t="e">
        <f>IF(VLOOKUP(A4,$K$36:$K$59,1,FALSE),"Cancelled")</f>
        <v>#N/A</v>
      </c>
    </row>
    <row r="5" spans="1:11" x14ac:dyDescent="0.25">
      <c r="A5" s="171">
        <v>831</v>
      </c>
      <c r="B5" s="47" t="str">
        <f>A5&amp;"-"&amp;IF(DAY(Variables!$A$2)&lt;10,0,"")&amp;DAY(Variables!$A$2)</f>
        <v>831-10</v>
      </c>
      <c r="C5" s="158"/>
      <c r="D5" s="163"/>
      <c r="E5" s="31" t="s">
        <v>405</v>
      </c>
      <c r="F5" s="22" t="e">
        <f>VLOOKUP(B5,'Trips&amp;Operators'!$C$2:$E$10000,3,FALSE)</f>
        <v>#N/A</v>
      </c>
      <c r="G5" s="22" t="e">
        <f>VLOOKUP(B5,'Trips&amp;Operators'!$C$1:$F$10000,4,FALSE)</f>
        <v>#N/A</v>
      </c>
      <c r="H5" s="30" t="e">
        <f>VLOOKUP(B5,'Trips&amp;Operators'!$C$1:$H$10000,5,FALSE)</f>
        <v>#N/A</v>
      </c>
      <c r="I5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22831-10%22)),sort:!(Time,asc))</v>
      </c>
      <c r="J5" s="31" t="e">
        <f>VLOOKUP(B5,'Train Runs'!$A$13:$A$99969,1,FALSE)</f>
        <v>#N/A</v>
      </c>
      <c r="K5" s="31" t="e">
        <f>IF(VLOOKUP(A5,$K$36:$K$59,1,FALSE),"Cancelled")</f>
        <v>#N/A</v>
      </c>
    </row>
    <row r="6" spans="1:11" x14ac:dyDescent="0.25">
      <c r="A6" s="171">
        <v>832</v>
      </c>
      <c r="B6" s="47" t="str">
        <f>A6&amp;"-"&amp;IF(DAY(Variables!$A$2)&lt;10,0,"")&amp;DAY(Variables!$A$2)</f>
        <v>832-10</v>
      </c>
      <c r="C6" s="158"/>
      <c r="D6" s="163"/>
      <c r="E6" s="31" t="s">
        <v>405</v>
      </c>
      <c r="F6" s="22" t="e">
        <f>VLOOKUP(B6,'Trips&amp;Operators'!$C$2:$E$10000,3,FALSE)</f>
        <v>#N/A</v>
      </c>
      <c r="G6" s="22" t="e">
        <f>VLOOKUP(B6,'Trips&amp;Operators'!$C$1:$F$10000,4,FALSE)</f>
        <v>#N/A</v>
      </c>
      <c r="H6" s="30" t="e">
        <f>VLOOKUP(B6,'Trips&amp;Operators'!$C$1:$H$10000,5,FALSE)</f>
        <v>#N/A</v>
      </c>
      <c r="I6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22832-10%22)),sort:!(Time,asc))</v>
      </c>
      <c r="J6" s="31" t="e">
        <f>VLOOKUP(B6,'Train Runs'!$A$13:$A$99969,1,FALSE)</f>
        <v>#N/A</v>
      </c>
      <c r="K6" s="31" t="e">
        <f>IF(VLOOKUP(A6,$K$36:$K$59,1,FALSE),"Cancelled")</f>
        <v>#N/A</v>
      </c>
    </row>
    <row r="7" spans="1:11" x14ac:dyDescent="0.25">
      <c r="A7" s="171">
        <v>835</v>
      </c>
      <c r="B7" s="47" t="str">
        <f>A7&amp;"-"&amp;IF(DAY(Variables!$A$2)&lt;10,0,"")&amp;DAY(Variables!$A$2)</f>
        <v>835-10</v>
      </c>
      <c r="C7" s="158"/>
      <c r="D7" s="163"/>
      <c r="E7" s="31" t="s">
        <v>405</v>
      </c>
      <c r="F7" s="22" t="e">
        <f>VLOOKUP(B7,'Trips&amp;Operators'!$C$2:$E$10000,3,FALSE)</f>
        <v>#N/A</v>
      </c>
      <c r="G7" s="22" t="e">
        <f>VLOOKUP(B7,'Trips&amp;Operators'!$C$1:$F$10000,4,FALSE)</f>
        <v>#N/A</v>
      </c>
      <c r="H7" s="30" t="e">
        <f>VLOOKUP(B7,'Trips&amp;Operators'!$C$1:$H$10000,5,FALSE)</f>
        <v>#N/A</v>
      </c>
      <c r="I7" s="50" t="str">
        <f t="shared" ref="I7:I15" si="1">"https://search-rtdc-monitor-bjffxe2xuh6vdkpspy63sjmuny.us-east-1.es.amazonaws.com/_plugin/kibana/#/discover/Missing-Trains-search-by-trip-ID?"&amp;"_g=(refreshInterval:(display:Off,section:0,value:0),time:(from:now-7d,mode:relative,to:now))"&amp;"&amp;_a=(columns:!(Source,'Message%20ID',Destination,'Data.Number%20of%20Train%20IDs'),filters:!(),index:'emp_*',interval:auto,query:(query_string:(analyze_wildcard:!t,query:%22"&amp;B7&amp;"%22)),sort:!(Time,asc))"</f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22835-10%22)),sort:!(Time,asc))</v>
      </c>
      <c r="J7" s="31" t="e">
        <f>VLOOKUP(B7,'Train Runs'!$A$13:$A$99969,1,FALSE)</f>
        <v>#N/A</v>
      </c>
      <c r="K7" s="31" t="e">
        <f t="shared" ref="K7:K15" si="2">IF(VLOOKUP(A7,$K$36:$K$59,1,FALSE),"Cancelled")</f>
        <v>#N/A</v>
      </c>
    </row>
    <row r="8" spans="1:11" x14ac:dyDescent="0.25">
      <c r="A8" s="171">
        <v>836</v>
      </c>
      <c r="B8" s="47" t="str">
        <f>A8&amp;"-"&amp;IF(DAY(Variables!$A$2)&lt;10,0,"")&amp;DAY(Variables!$A$2)</f>
        <v>836-10</v>
      </c>
      <c r="C8" s="158"/>
      <c r="D8" s="163"/>
      <c r="E8" s="31" t="s">
        <v>405</v>
      </c>
      <c r="F8" s="22" t="e">
        <f>VLOOKUP(B8,'Trips&amp;Operators'!$C$2:$E$10000,3,FALSE)</f>
        <v>#N/A</v>
      </c>
      <c r="G8" s="22" t="e">
        <f>VLOOKUP(B8,'Trips&amp;Operators'!$C$1:$F$10000,4,FALSE)</f>
        <v>#N/A</v>
      </c>
      <c r="H8" s="30" t="e">
        <f>VLOOKUP(B8,'Trips&amp;Operators'!$C$1:$H$10000,5,FALSE)</f>
        <v>#N/A</v>
      </c>
      <c r="I8" s="50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22836-10%22)),sort:!(Time,asc))</v>
      </c>
      <c r="J8" s="31" t="e">
        <f>VLOOKUP(B8,'Train Runs'!$A$13:$A$99969,1,FALSE)</f>
        <v>#N/A</v>
      </c>
      <c r="K8" s="31" t="e">
        <f t="shared" si="2"/>
        <v>#N/A</v>
      </c>
    </row>
    <row r="9" spans="1:11" x14ac:dyDescent="0.25">
      <c r="A9" s="171">
        <v>839</v>
      </c>
      <c r="B9" s="47" t="str">
        <f>A9&amp;"-"&amp;IF(DAY(Variables!$A$2)&lt;10,0,"")&amp;DAY(Variables!$A$2)</f>
        <v>839-10</v>
      </c>
      <c r="C9" s="158"/>
      <c r="D9" s="163"/>
      <c r="E9" s="31" t="s">
        <v>405</v>
      </c>
      <c r="F9" s="22" t="e">
        <f>VLOOKUP(B9,'Trips&amp;Operators'!$C$2:$E$10000,3,FALSE)</f>
        <v>#N/A</v>
      </c>
      <c r="G9" s="22" t="e">
        <f>VLOOKUP(B9,'Trips&amp;Operators'!$C$1:$F$10000,4,FALSE)</f>
        <v>#N/A</v>
      </c>
      <c r="H9" s="30" t="e">
        <f>VLOOKUP(B9,'Trips&amp;Operators'!$C$1:$H$10000,5,FALSE)</f>
        <v>#N/A</v>
      </c>
      <c r="I9" s="50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22839-10%22)),sort:!(Time,asc))</v>
      </c>
      <c r="J9" s="31" t="e">
        <f>VLOOKUP(B9,'Train Runs'!$A$13:$A$99969,1,FALSE)</f>
        <v>#N/A</v>
      </c>
      <c r="K9" s="31" t="e">
        <f t="shared" si="2"/>
        <v>#N/A</v>
      </c>
    </row>
    <row r="10" spans="1:11" x14ac:dyDescent="0.25">
      <c r="A10" s="171"/>
      <c r="B10" s="47" t="str">
        <f>A10&amp;"-"&amp;IF(DAY(Variables!$A$2)&lt;10,0,"")&amp;DAY(Variables!$A$2)</f>
        <v>-10</v>
      </c>
      <c r="C10" s="158"/>
      <c r="D10" s="163"/>
      <c r="E10" s="31"/>
      <c r="F10" s="22" t="e">
        <f>VLOOKUP(B10,'Trips&amp;Operators'!$C$2:$E$10000,3,FALSE)</f>
        <v>#N/A</v>
      </c>
      <c r="G10" s="22" t="e">
        <f>VLOOKUP(B10,'Trips&amp;Operators'!$C$1:$F$10000,4,FALSE)</f>
        <v>#N/A</v>
      </c>
      <c r="H10" s="30" t="e">
        <f>VLOOKUP(B10,'Trips&amp;Operators'!$C$1:$H$10000,5,FALSE)</f>
        <v>#N/A</v>
      </c>
      <c r="I10" s="50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-10%22)),sort:!(Time,asc))</v>
      </c>
      <c r="J10" s="31" t="e">
        <f>VLOOKUP(B10,'Train Runs'!$A$13:$A$99969,1,FALSE)</f>
        <v>#N/A</v>
      </c>
      <c r="K10" s="31" t="e">
        <f t="shared" si="2"/>
        <v>#N/A</v>
      </c>
    </row>
    <row r="11" spans="1:11" x14ac:dyDescent="0.25">
      <c r="A11" s="171"/>
      <c r="B11" s="47" t="str">
        <f>A11&amp;"-"&amp;IF(DAY(Variables!$A$2)&lt;10,0,"")&amp;DAY(Variables!$A$2)</f>
        <v>-10</v>
      </c>
      <c r="C11" s="158"/>
      <c r="D11" s="163"/>
      <c r="E11" s="31"/>
      <c r="F11" s="22" t="e">
        <f>VLOOKUP(B11,'Trips&amp;Operators'!$C$2:$E$10000,3,FALSE)</f>
        <v>#N/A</v>
      </c>
      <c r="G11" s="22" t="e">
        <f>VLOOKUP(B11,'Trips&amp;Operators'!$C$1:$F$10000,4,FALSE)</f>
        <v>#N/A</v>
      </c>
      <c r="H11" s="30" t="e">
        <f>VLOOKUP(B11,'Trips&amp;Operators'!$C$1:$H$10000,5,FALSE)</f>
        <v>#N/A</v>
      </c>
      <c r="I11" s="50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-10%22)),sort:!(Time,asc))</v>
      </c>
      <c r="J11" s="31" t="e">
        <f>VLOOKUP(B11,'Train Runs'!$A$13:$A$99969,1,FALSE)</f>
        <v>#N/A</v>
      </c>
      <c r="K11" s="31" t="e">
        <f t="shared" si="2"/>
        <v>#N/A</v>
      </c>
    </row>
    <row r="12" spans="1:11" x14ac:dyDescent="0.25">
      <c r="A12" s="171"/>
      <c r="B12" s="47" t="str">
        <f>A12&amp;"-"&amp;IF(DAY(Variables!$A$2)&lt;10,0,"")&amp;DAY(Variables!$A$2)</f>
        <v>-10</v>
      </c>
      <c r="C12" s="158"/>
      <c r="D12" s="163"/>
      <c r="E12" s="31"/>
      <c r="F12" s="22" t="e">
        <f>VLOOKUP(B12,'Trips&amp;Operators'!$C$2:$E$10000,3,FALSE)</f>
        <v>#N/A</v>
      </c>
      <c r="G12" s="22" t="e">
        <f>VLOOKUP(B12,'Trips&amp;Operators'!$C$1:$F$10000,4,FALSE)</f>
        <v>#N/A</v>
      </c>
      <c r="H12" s="30" t="e">
        <f>VLOOKUP(B12,'Trips&amp;Operators'!$C$1:$H$10000,5,FALSE)</f>
        <v>#N/A</v>
      </c>
      <c r="I12" s="50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-10%22)),sort:!(Time,asc))</v>
      </c>
      <c r="J12" s="31" t="e">
        <f>VLOOKUP(B12,'Train Runs'!$A$13:$A$99969,1,FALSE)</f>
        <v>#N/A</v>
      </c>
      <c r="K12" s="31" t="e">
        <f t="shared" si="2"/>
        <v>#N/A</v>
      </c>
    </row>
    <row r="13" spans="1:11" x14ac:dyDescent="0.25">
      <c r="A13" s="171"/>
      <c r="B13" s="47" t="str">
        <f>A13&amp;"-"&amp;IF(DAY(Variables!$A$2)&lt;10,0,"")&amp;DAY(Variables!$A$2)</f>
        <v>-10</v>
      </c>
      <c r="C13" s="158"/>
      <c r="D13" s="163"/>
      <c r="E13" s="31"/>
      <c r="F13" s="22" t="e">
        <f>VLOOKUP(B13,'Trips&amp;Operators'!$C$2:$E$10000,3,FALSE)</f>
        <v>#N/A</v>
      </c>
      <c r="G13" s="22" t="e">
        <f>VLOOKUP(B13,'Trips&amp;Operators'!$C$1:$F$10000,4,FALSE)</f>
        <v>#N/A</v>
      </c>
      <c r="H13" s="30" t="e">
        <f>VLOOKUP(B13,'Trips&amp;Operators'!$C$1:$H$10000,5,FALSE)</f>
        <v>#N/A</v>
      </c>
      <c r="I13" s="50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-10%22)),sort:!(Time,asc))</v>
      </c>
      <c r="J13" s="31" t="e">
        <f>VLOOKUP(B13,'Train Runs'!$A$13:$A$99969,1,FALSE)</f>
        <v>#N/A</v>
      </c>
      <c r="K13" s="31" t="e">
        <f t="shared" si="2"/>
        <v>#N/A</v>
      </c>
    </row>
    <row r="14" spans="1:11" x14ac:dyDescent="0.25">
      <c r="A14" s="171"/>
      <c r="B14" s="47" t="str">
        <f>A14&amp;"-"&amp;IF(DAY(Variables!$A$2)&lt;10,0,"")&amp;DAY(Variables!$A$2)</f>
        <v>-10</v>
      </c>
      <c r="C14" s="158"/>
      <c r="D14" s="163"/>
      <c r="E14" s="31"/>
      <c r="F14" s="22" t="e">
        <f>VLOOKUP(B14,'Trips&amp;Operators'!$C$2:$E$10000,3,FALSE)</f>
        <v>#N/A</v>
      </c>
      <c r="G14" s="22" t="e">
        <f>VLOOKUP(B14,'Trips&amp;Operators'!$C$1:$F$10000,4,FALSE)</f>
        <v>#N/A</v>
      </c>
      <c r="H14" s="30" t="e">
        <f>VLOOKUP(B14,'Trips&amp;Operators'!$C$1:$H$10000,5,FALSE)</f>
        <v>#N/A</v>
      </c>
      <c r="I14" s="50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-10%22)),sort:!(Time,asc))</v>
      </c>
      <c r="J14" s="31" t="e">
        <f>VLOOKUP(B14,'Train Runs'!$A$13:$A$99969,1,FALSE)</f>
        <v>#N/A</v>
      </c>
      <c r="K14" s="31" t="e">
        <f t="shared" si="2"/>
        <v>#N/A</v>
      </c>
    </row>
    <row r="15" spans="1:11" x14ac:dyDescent="0.25">
      <c r="A15" s="171"/>
      <c r="B15" s="47" t="str">
        <f>A15&amp;"-"&amp;IF(DAY(Variables!$A$2)&lt;10,0,"")&amp;DAY(Variables!$A$2)</f>
        <v>-10</v>
      </c>
      <c r="C15" s="158"/>
      <c r="D15" s="163"/>
      <c r="E15" s="31"/>
      <c r="F15" s="22" t="e">
        <f>VLOOKUP(B15,'Trips&amp;Operators'!$C$2:$E$10000,3,FALSE)</f>
        <v>#N/A</v>
      </c>
      <c r="G15" s="22" t="e">
        <f>VLOOKUP(B15,'Trips&amp;Operators'!$C$1:$F$10000,4,FALSE)</f>
        <v>#N/A</v>
      </c>
      <c r="H15" s="30" t="e">
        <f>VLOOKUP(B15,'Trips&amp;Operators'!$C$1:$H$10000,5,FALSE)</f>
        <v>#N/A</v>
      </c>
      <c r="I15" s="50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-10%22)),sort:!(Time,asc))</v>
      </c>
      <c r="J15" s="31" t="e">
        <f>VLOOKUP(B15,'Train Runs'!$A$13:$A$99969,1,FALSE)</f>
        <v>#N/A</v>
      </c>
      <c r="K15" s="31" t="e">
        <f t="shared" si="2"/>
        <v>#N/A</v>
      </c>
    </row>
  </sheetData>
  <autoFilter ref="B2:I2"/>
  <mergeCells count="1">
    <mergeCell ref="B1:F1"/>
  </mergeCells>
  <pageMargins left="0.7" right="0.7" top="0.75" bottom="0.75" header="0.3" footer="0.3"/>
  <pageSetup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G543"/>
  <sheetViews>
    <sheetView workbookViewId="0">
      <selection sqref="A1:F217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9.28515625" style="165" customWidth="1"/>
    <col min="5" max="5" width="19.7109375" bestFit="1" customWidth="1"/>
    <col min="6" max="6" width="17" style="21" bestFit="1" customWidth="1"/>
    <col min="7" max="7" width="18.28515625" style="8" bestFit="1" customWidth="1"/>
  </cols>
  <sheetData>
    <row r="1" spans="1:7" s="21" customFormat="1" x14ac:dyDescent="0.25">
      <c r="A1" s="8" t="s">
        <v>177</v>
      </c>
      <c r="B1" s="21" t="s">
        <v>178</v>
      </c>
      <c r="C1" s="21" t="s">
        <v>0</v>
      </c>
      <c r="D1" s="165" t="s">
        <v>179</v>
      </c>
      <c r="E1" s="21" t="s">
        <v>180</v>
      </c>
      <c r="F1" s="21" t="s">
        <v>284</v>
      </c>
      <c r="G1" s="8" t="s">
        <v>283</v>
      </c>
    </row>
    <row r="2" spans="1:7" x14ac:dyDescent="0.25">
      <c r="A2" s="8">
        <v>42714.034513888888</v>
      </c>
      <c r="B2" s="21" t="s">
        <v>439</v>
      </c>
      <c r="C2" s="21" t="s">
        <v>440</v>
      </c>
      <c r="D2" s="165">
        <v>1800000</v>
      </c>
      <c r="E2" s="21" t="s">
        <v>249</v>
      </c>
      <c r="F2" s="21" t="s">
        <v>291</v>
      </c>
      <c r="G2" s="8" t="str">
        <f>E2&amp;" "&amp;F2</f>
        <v>CHANDLER KELVIN</v>
      </c>
    </row>
    <row r="3" spans="1:7" x14ac:dyDescent="0.25">
      <c r="A3" s="8">
        <v>42714.037627314814</v>
      </c>
      <c r="B3" s="21" t="s">
        <v>206</v>
      </c>
      <c r="C3" s="21" t="s">
        <v>441</v>
      </c>
      <c r="D3" s="165">
        <v>1300000</v>
      </c>
      <c r="E3" s="21" t="s">
        <v>113</v>
      </c>
      <c r="F3" s="21" t="s">
        <v>281</v>
      </c>
      <c r="G3" s="8" t="str">
        <f t="shared" ref="G3:G66" si="0">E3&amp;" "&amp;F3</f>
        <v>LEVIN SCOTT</v>
      </c>
    </row>
    <row r="4" spans="1:7" x14ac:dyDescent="0.25">
      <c r="A4" s="8">
        <v>42714.047696759262</v>
      </c>
      <c r="B4" s="21" t="s">
        <v>154</v>
      </c>
      <c r="C4" s="21" t="s">
        <v>442</v>
      </c>
      <c r="D4" s="165">
        <v>1230000</v>
      </c>
      <c r="E4" s="21" t="s">
        <v>268</v>
      </c>
      <c r="F4" s="21" t="s">
        <v>278</v>
      </c>
      <c r="G4" s="8" t="str">
        <f t="shared" si="0"/>
        <v>YANAI IAN</v>
      </c>
    </row>
    <row r="5" spans="1:7" x14ac:dyDescent="0.25">
      <c r="A5" s="8">
        <v>42714.057800925926</v>
      </c>
      <c r="B5" s="21" t="s">
        <v>443</v>
      </c>
      <c r="C5" s="21" t="s">
        <v>444</v>
      </c>
      <c r="D5" s="165">
        <v>2000000</v>
      </c>
      <c r="E5" s="21" t="s">
        <v>211</v>
      </c>
      <c r="F5" s="21" t="s">
        <v>282</v>
      </c>
      <c r="G5" s="8" t="str">
        <f t="shared" si="0"/>
        <v>STAMBAUGH JAMES</v>
      </c>
    </row>
    <row r="6" spans="1:7" x14ac:dyDescent="0.25">
      <c r="A6" s="8">
        <v>42714.070983796293</v>
      </c>
      <c r="B6" s="21" t="s">
        <v>216</v>
      </c>
      <c r="C6" s="21" t="s">
        <v>445</v>
      </c>
      <c r="D6" s="165">
        <v>1800000</v>
      </c>
      <c r="E6" s="21" t="s">
        <v>249</v>
      </c>
      <c r="F6" s="21" t="s">
        <v>291</v>
      </c>
      <c r="G6" s="8" t="str">
        <f t="shared" si="0"/>
        <v>CHANDLER KELVIN</v>
      </c>
    </row>
    <row r="7" spans="1:7" x14ac:dyDescent="0.25">
      <c r="A7" s="8">
        <v>42714.073622685188</v>
      </c>
      <c r="B7" s="21" t="s">
        <v>212</v>
      </c>
      <c r="C7" s="21" t="s">
        <v>446</v>
      </c>
      <c r="D7" s="165">
        <v>1300000</v>
      </c>
      <c r="E7" s="21" t="s">
        <v>113</v>
      </c>
      <c r="F7" s="21" t="s">
        <v>281</v>
      </c>
      <c r="G7" s="8" t="str">
        <f t="shared" si="0"/>
        <v>LEVIN SCOTT</v>
      </c>
    </row>
    <row r="8" spans="1:7" x14ac:dyDescent="0.25">
      <c r="A8" s="8">
        <v>42714.087916666664</v>
      </c>
      <c r="B8" s="21" t="s">
        <v>214</v>
      </c>
      <c r="C8" s="21" t="s">
        <v>447</v>
      </c>
      <c r="D8" s="165">
        <v>2000000</v>
      </c>
      <c r="E8" s="21" t="s">
        <v>211</v>
      </c>
      <c r="F8" s="21" t="s">
        <v>282</v>
      </c>
      <c r="G8" s="8" t="str">
        <f t="shared" si="0"/>
        <v>STAMBAUGH JAMES</v>
      </c>
    </row>
    <row r="9" spans="1:7" ht="15.75" thickBot="1" x14ac:dyDescent="0.3">
      <c r="A9" s="25">
        <v>42714.098668981482</v>
      </c>
      <c r="B9" s="21" t="s">
        <v>212</v>
      </c>
      <c r="C9" s="21" t="s">
        <v>446</v>
      </c>
      <c r="D9" s="165">
        <v>1300000</v>
      </c>
      <c r="E9" s="21" t="s">
        <v>113</v>
      </c>
      <c r="F9" s="21" t="s">
        <v>281</v>
      </c>
      <c r="G9" s="8" t="str">
        <f t="shared" si="0"/>
        <v>LEVIN SCOTT</v>
      </c>
    </row>
    <row r="10" spans="1:7" x14ac:dyDescent="0.25">
      <c r="A10" s="8">
        <v>42714.111562500002</v>
      </c>
      <c r="B10" s="21" t="s">
        <v>206</v>
      </c>
      <c r="C10" s="21" t="s">
        <v>448</v>
      </c>
      <c r="D10" s="165">
        <v>1300000</v>
      </c>
      <c r="E10" s="21" t="s">
        <v>113</v>
      </c>
      <c r="F10" s="21" t="s">
        <v>281</v>
      </c>
      <c r="G10" s="8" t="str">
        <f t="shared" si="0"/>
        <v>LEVIN SCOTT</v>
      </c>
    </row>
    <row r="11" spans="1:7" x14ac:dyDescent="0.25">
      <c r="A11" s="8">
        <v>42714.120752314811</v>
      </c>
      <c r="B11" s="21" t="s">
        <v>408</v>
      </c>
      <c r="C11" s="21" t="s">
        <v>449</v>
      </c>
      <c r="D11" s="165">
        <v>2010000</v>
      </c>
      <c r="E11" s="21" t="s">
        <v>343</v>
      </c>
      <c r="F11" s="21" t="s">
        <v>344</v>
      </c>
      <c r="G11" s="8" t="str">
        <f t="shared" si="0"/>
        <v>MAELZER KURT</v>
      </c>
    </row>
    <row r="12" spans="1:7" x14ac:dyDescent="0.25">
      <c r="A12" s="8">
        <v>42714.121493055558</v>
      </c>
      <c r="B12" s="21" t="s">
        <v>408</v>
      </c>
      <c r="C12" s="21" t="s">
        <v>449</v>
      </c>
      <c r="D12" s="165">
        <v>2010000</v>
      </c>
      <c r="E12" s="21" t="s">
        <v>343</v>
      </c>
      <c r="F12" s="21" t="s">
        <v>344</v>
      </c>
      <c r="G12" s="8" t="str">
        <f t="shared" si="0"/>
        <v>MAELZER KURT</v>
      </c>
    </row>
    <row r="13" spans="1:7" x14ac:dyDescent="0.25">
      <c r="A13" s="8">
        <v>42714.131412037037</v>
      </c>
      <c r="B13" s="21" t="s">
        <v>287</v>
      </c>
      <c r="C13" s="21" t="s">
        <v>406</v>
      </c>
      <c r="D13" s="165">
        <v>2010000</v>
      </c>
      <c r="E13" s="21" t="s">
        <v>343</v>
      </c>
      <c r="F13" s="21" t="s">
        <v>344</v>
      </c>
      <c r="G13" s="8" t="str">
        <f t="shared" si="0"/>
        <v>MAELZER KURT</v>
      </c>
    </row>
    <row r="14" spans="1:7" x14ac:dyDescent="0.25">
      <c r="A14" s="8">
        <v>42714.135868055557</v>
      </c>
      <c r="B14" s="21" t="s">
        <v>245</v>
      </c>
      <c r="C14" s="21" t="s">
        <v>450</v>
      </c>
      <c r="D14" s="165">
        <v>2140000</v>
      </c>
      <c r="E14" s="21" t="s">
        <v>374</v>
      </c>
      <c r="F14" s="21" t="s">
        <v>375</v>
      </c>
      <c r="G14" s="8" t="str">
        <f t="shared" si="0"/>
        <v>ROBINSON KADDIBA</v>
      </c>
    </row>
    <row r="15" spans="1:7" x14ac:dyDescent="0.25">
      <c r="A15" s="8">
        <v>42714.147326388891</v>
      </c>
      <c r="B15" s="21" t="s">
        <v>229</v>
      </c>
      <c r="C15" s="21" t="s">
        <v>451</v>
      </c>
      <c r="D15" s="165">
        <v>2140000</v>
      </c>
      <c r="E15" s="21" t="s">
        <v>374</v>
      </c>
      <c r="F15" s="21" t="s">
        <v>375</v>
      </c>
      <c r="G15" s="8" t="str">
        <f t="shared" si="0"/>
        <v>ROBINSON KADDIBA</v>
      </c>
    </row>
    <row r="16" spans="1:7" x14ac:dyDescent="0.25">
      <c r="A16" s="8">
        <v>42714.156342592592</v>
      </c>
      <c r="B16" s="21" t="s">
        <v>307</v>
      </c>
      <c r="C16" s="21" t="s">
        <v>452</v>
      </c>
      <c r="D16" s="165">
        <v>1780000</v>
      </c>
      <c r="E16" s="21" t="s">
        <v>453</v>
      </c>
      <c r="F16" s="21" t="s">
        <v>454</v>
      </c>
      <c r="G16" s="8" t="str">
        <f t="shared" si="0"/>
        <v>DE LA ROSA ALEX</v>
      </c>
    </row>
    <row r="17" spans="1:7" x14ac:dyDescent="0.25">
      <c r="A17" s="8">
        <v>42714.157754629632</v>
      </c>
      <c r="B17" s="21" t="s">
        <v>307</v>
      </c>
      <c r="C17" s="21" t="s">
        <v>452</v>
      </c>
      <c r="D17" s="165">
        <v>1780000</v>
      </c>
      <c r="E17" s="21" t="s">
        <v>453</v>
      </c>
      <c r="F17" s="21" t="s">
        <v>454</v>
      </c>
      <c r="G17" s="8" t="str">
        <f t="shared" si="0"/>
        <v>DE LA ROSA ALEX</v>
      </c>
    </row>
    <row r="18" spans="1:7" x14ac:dyDescent="0.25">
      <c r="A18" s="8">
        <v>42714.168009259258</v>
      </c>
      <c r="B18" s="21" t="s">
        <v>262</v>
      </c>
      <c r="C18" s="21" t="s">
        <v>455</v>
      </c>
      <c r="D18" s="165">
        <v>1780000</v>
      </c>
      <c r="E18" s="21" t="s">
        <v>453</v>
      </c>
      <c r="F18" s="21" t="s">
        <v>454</v>
      </c>
      <c r="G18" s="8" t="str">
        <f t="shared" si="0"/>
        <v>DE LA ROSA ALEX</v>
      </c>
    </row>
    <row r="19" spans="1:7" x14ac:dyDescent="0.25">
      <c r="A19" s="8">
        <v>42714.168506944443</v>
      </c>
      <c r="B19" s="21" t="s">
        <v>408</v>
      </c>
      <c r="C19" s="21" t="s">
        <v>456</v>
      </c>
      <c r="D19" s="165">
        <v>2010000</v>
      </c>
      <c r="E19" s="21" t="s">
        <v>343</v>
      </c>
      <c r="F19" s="21" t="s">
        <v>344</v>
      </c>
      <c r="G19" s="8" t="str">
        <f t="shared" si="0"/>
        <v>MAELZER KURT</v>
      </c>
    </row>
    <row r="20" spans="1:7" x14ac:dyDescent="0.25">
      <c r="A20" s="8">
        <v>42714.176666666666</v>
      </c>
      <c r="B20" s="21" t="s">
        <v>209</v>
      </c>
      <c r="C20" s="21" t="s">
        <v>457</v>
      </c>
      <c r="D20" s="165">
        <v>1990000</v>
      </c>
      <c r="E20" s="21" t="s">
        <v>385</v>
      </c>
      <c r="F20" s="21" t="s">
        <v>458</v>
      </c>
      <c r="G20" s="8" t="str">
        <f t="shared" si="0"/>
        <v>DAVIS WENDY</v>
      </c>
    </row>
    <row r="21" spans="1:7" x14ac:dyDescent="0.25">
      <c r="A21" s="8">
        <v>42714.180277777778</v>
      </c>
      <c r="B21" s="21" t="s">
        <v>412</v>
      </c>
      <c r="C21" s="21" t="s">
        <v>459</v>
      </c>
      <c r="D21" s="165">
        <v>2030000</v>
      </c>
      <c r="E21" s="21" t="s">
        <v>460</v>
      </c>
      <c r="F21" s="21" t="s">
        <v>279</v>
      </c>
      <c r="G21" s="8" t="str">
        <f t="shared" si="0"/>
        <v>KILLION DAVID</v>
      </c>
    </row>
    <row r="22" spans="1:7" x14ac:dyDescent="0.25">
      <c r="A22" s="27">
        <v>42714.185902777775</v>
      </c>
      <c r="B22" s="21" t="s">
        <v>208</v>
      </c>
      <c r="C22" s="21" t="s">
        <v>461</v>
      </c>
      <c r="D22" s="165">
        <v>1990000</v>
      </c>
      <c r="E22" s="21" t="s">
        <v>385</v>
      </c>
      <c r="F22" s="21" t="s">
        <v>458</v>
      </c>
      <c r="G22" s="8" t="str">
        <f t="shared" si="0"/>
        <v>DAVIS WENDY</v>
      </c>
    </row>
    <row r="23" spans="1:7" x14ac:dyDescent="0.25">
      <c r="A23" s="8">
        <v>42714.188125000001</v>
      </c>
      <c r="B23" s="21" t="s">
        <v>245</v>
      </c>
      <c r="C23" s="21" t="s">
        <v>462</v>
      </c>
      <c r="D23" s="165">
        <v>2140000</v>
      </c>
      <c r="E23" s="21" t="s">
        <v>374</v>
      </c>
      <c r="F23" s="21" t="s">
        <v>375</v>
      </c>
      <c r="G23" s="8" t="str">
        <f t="shared" si="0"/>
        <v>ROBINSON KADDIBA</v>
      </c>
    </row>
    <row r="24" spans="1:7" x14ac:dyDescent="0.25">
      <c r="A24" s="8">
        <v>42714.193680555552</v>
      </c>
      <c r="B24" s="21" t="s">
        <v>463</v>
      </c>
      <c r="C24" s="21" t="s">
        <v>464</v>
      </c>
      <c r="D24" s="165">
        <v>2030000</v>
      </c>
      <c r="E24" s="21" t="s">
        <v>460</v>
      </c>
      <c r="F24" s="21" t="s">
        <v>279</v>
      </c>
      <c r="G24" s="8" t="str">
        <f t="shared" si="0"/>
        <v>KILLION DAVID</v>
      </c>
    </row>
    <row r="25" spans="1:7" x14ac:dyDescent="0.25">
      <c r="A25" s="8">
        <v>42714.204780092594</v>
      </c>
      <c r="B25" s="21" t="s">
        <v>287</v>
      </c>
      <c r="C25" s="21" t="s">
        <v>465</v>
      </c>
      <c r="D25" s="165">
        <v>1100000</v>
      </c>
      <c r="E25" s="21" t="s">
        <v>466</v>
      </c>
      <c r="F25" s="21" t="s">
        <v>467</v>
      </c>
      <c r="G25" s="8" t="str">
        <f t="shared" si="0"/>
        <v>GEBRETEKLE DAGNEW</v>
      </c>
    </row>
    <row r="26" spans="1:7" x14ac:dyDescent="0.25">
      <c r="A26" s="8">
        <v>42714.209305555552</v>
      </c>
      <c r="B26" s="21" t="s">
        <v>415</v>
      </c>
      <c r="C26" s="21" t="s">
        <v>468</v>
      </c>
      <c r="D26" s="165">
        <v>2010000</v>
      </c>
      <c r="E26" s="21" t="s">
        <v>343</v>
      </c>
      <c r="F26" s="21" t="s">
        <v>344</v>
      </c>
      <c r="G26" s="8" t="str">
        <f t="shared" si="0"/>
        <v>MAELZER KURT</v>
      </c>
    </row>
    <row r="27" spans="1:7" x14ac:dyDescent="0.25">
      <c r="A27" s="8">
        <v>42714.21162037037</v>
      </c>
      <c r="B27" s="21" t="s">
        <v>307</v>
      </c>
      <c r="C27" s="21" t="s">
        <v>469</v>
      </c>
      <c r="D27" s="165">
        <v>1780000</v>
      </c>
      <c r="E27" s="21" t="s">
        <v>453</v>
      </c>
      <c r="F27" s="21" t="s">
        <v>454</v>
      </c>
      <c r="G27" s="8" t="str">
        <f t="shared" si="0"/>
        <v>DE LA ROSA ALEX</v>
      </c>
    </row>
    <row r="28" spans="1:7" x14ac:dyDescent="0.25">
      <c r="A28" s="8">
        <v>42714.226342592592</v>
      </c>
      <c r="B28" s="21" t="s">
        <v>235</v>
      </c>
      <c r="C28" s="21" t="s">
        <v>470</v>
      </c>
      <c r="D28" s="165">
        <v>1830000</v>
      </c>
      <c r="E28" s="21" t="s">
        <v>471</v>
      </c>
      <c r="F28" s="21" t="s">
        <v>472</v>
      </c>
      <c r="G28" s="8" t="str">
        <f t="shared" si="0"/>
        <v>YORK EDGAR</v>
      </c>
    </row>
    <row r="29" spans="1:7" x14ac:dyDescent="0.25">
      <c r="A29" s="8">
        <v>42714.226701388892</v>
      </c>
      <c r="B29" s="21" t="s">
        <v>209</v>
      </c>
      <c r="C29" s="21" t="s">
        <v>473</v>
      </c>
      <c r="D29" s="165">
        <v>1990000</v>
      </c>
      <c r="E29" s="21" t="s">
        <v>385</v>
      </c>
      <c r="F29" s="21" t="s">
        <v>458</v>
      </c>
      <c r="G29" s="8" t="str">
        <f t="shared" si="0"/>
        <v>DAVIS WENDY</v>
      </c>
    </row>
    <row r="30" spans="1:7" x14ac:dyDescent="0.25">
      <c r="A30" s="8">
        <v>42714.22760416667</v>
      </c>
      <c r="B30" s="21" t="s">
        <v>229</v>
      </c>
      <c r="C30" s="21" t="s">
        <v>407</v>
      </c>
      <c r="D30" s="165">
        <v>2100000</v>
      </c>
      <c r="E30" s="21" t="s">
        <v>376</v>
      </c>
      <c r="F30" s="21" t="s">
        <v>377</v>
      </c>
      <c r="G30" s="8" t="str">
        <f t="shared" si="0"/>
        <v>ISHMAEL JOSEPH</v>
      </c>
    </row>
    <row r="31" spans="1:7" x14ac:dyDescent="0.25">
      <c r="A31" s="8">
        <v>42714.228576388887</v>
      </c>
      <c r="B31" s="21" t="s">
        <v>183</v>
      </c>
      <c r="C31" s="21" t="s">
        <v>474</v>
      </c>
      <c r="D31" s="165">
        <v>2140000</v>
      </c>
      <c r="E31" s="21" t="s">
        <v>374</v>
      </c>
      <c r="F31" s="21" t="s">
        <v>375</v>
      </c>
      <c r="G31" s="8" t="str">
        <f t="shared" si="0"/>
        <v>ROBINSON KADDIBA</v>
      </c>
    </row>
    <row r="32" spans="1:7" x14ac:dyDescent="0.25">
      <c r="A32" s="8">
        <v>42714.234270833331</v>
      </c>
      <c r="B32" s="21" t="s">
        <v>248</v>
      </c>
      <c r="C32" s="21" t="s">
        <v>475</v>
      </c>
      <c r="D32" s="165">
        <v>1830000</v>
      </c>
      <c r="E32" s="21" t="s">
        <v>471</v>
      </c>
      <c r="F32" s="21" t="s">
        <v>472</v>
      </c>
      <c r="G32" s="8" t="str">
        <f t="shared" si="0"/>
        <v>YORK EDGAR</v>
      </c>
    </row>
    <row r="33" spans="1:7" x14ac:dyDescent="0.25">
      <c r="A33" s="8">
        <v>42714.23542824074</v>
      </c>
      <c r="B33" s="21" t="s">
        <v>412</v>
      </c>
      <c r="C33" s="21" t="s">
        <v>476</v>
      </c>
      <c r="D33" s="165">
        <v>2030000</v>
      </c>
      <c r="E33" s="21" t="s">
        <v>460</v>
      </c>
      <c r="F33" s="21" t="s">
        <v>279</v>
      </c>
      <c r="G33" s="8" t="str">
        <f t="shared" si="0"/>
        <v>KILLION DAVID</v>
      </c>
    </row>
    <row r="34" spans="1:7" x14ac:dyDescent="0.25">
      <c r="A34" s="8">
        <v>42714.243900462963</v>
      </c>
      <c r="B34" s="21" t="s">
        <v>286</v>
      </c>
      <c r="C34" s="21" t="s">
        <v>477</v>
      </c>
      <c r="D34" s="165">
        <v>1100000</v>
      </c>
      <c r="E34" s="21" t="s">
        <v>466</v>
      </c>
      <c r="F34" s="21" t="s">
        <v>467</v>
      </c>
      <c r="G34" s="8" t="str">
        <f t="shared" si="0"/>
        <v>GEBRETEKLE DAGNEW</v>
      </c>
    </row>
    <row r="35" spans="1:7" x14ac:dyDescent="0.25">
      <c r="A35" s="8">
        <v>42714.247881944444</v>
      </c>
      <c r="B35" s="21" t="s">
        <v>262</v>
      </c>
      <c r="C35" s="21" t="s">
        <v>478</v>
      </c>
      <c r="D35" s="165">
        <v>1780000</v>
      </c>
      <c r="E35" s="21" t="s">
        <v>453</v>
      </c>
      <c r="F35" s="21" t="s">
        <v>454</v>
      </c>
      <c r="G35" s="8" t="str">
        <f t="shared" si="0"/>
        <v>DE LA ROSA ALEX</v>
      </c>
    </row>
    <row r="36" spans="1:7" x14ac:dyDescent="0.25">
      <c r="A36" s="8">
        <v>42714.248437499999</v>
      </c>
      <c r="B36" s="21" t="s">
        <v>235</v>
      </c>
      <c r="C36" s="21" t="s">
        <v>479</v>
      </c>
      <c r="D36" s="165">
        <v>1830000</v>
      </c>
      <c r="E36" s="21" t="s">
        <v>471</v>
      </c>
      <c r="F36" s="21" t="s">
        <v>472</v>
      </c>
      <c r="G36" s="8" t="str">
        <f t="shared" si="0"/>
        <v>YORK EDGAR</v>
      </c>
    </row>
    <row r="37" spans="1:7" x14ac:dyDescent="0.25">
      <c r="A37" s="8">
        <v>42714.256724537037</v>
      </c>
      <c r="B37" s="21" t="s">
        <v>408</v>
      </c>
      <c r="C37" s="21" t="s">
        <v>409</v>
      </c>
      <c r="D37" s="165">
        <v>2010000</v>
      </c>
      <c r="E37" s="21" t="s">
        <v>343</v>
      </c>
      <c r="F37" s="21" t="s">
        <v>344</v>
      </c>
      <c r="G37" s="8" t="str">
        <f t="shared" si="0"/>
        <v>MAELZER KURT</v>
      </c>
    </row>
    <row r="38" spans="1:7" x14ac:dyDescent="0.25">
      <c r="A38" s="8">
        <v>42714.257731481484</v>
      </c>
      <c r="B38" s="21" t="s">
        <v>208</v>
      </c>
      <c r="C38" s="21" t="s">
        <v>480</v>
      </c>
      <c r="D38" s="165">
        <v>1990000</v>
      </c>
      <c r="E38" s="21" t="s">
        <v>385</v>
      </c>
      <c r="F38" s="21" t="s">
        <v>458</v>
      </c>
      <c r="G38" s="8" t="str">
        <f t="shared" si="0"/>
        <v>DAVIS WENDY</v>
      </c>
    </row>
    <row r="39" spans="1:7" x14ac:dyDescent="0.25">
      <c r="A39" s="8">
        <v>42714.258634259262</v>
      </c>
      <c r="B39" s="21" t="s">
        <v>230</v>
      </c>
      <c r="C39" s="21" t="s">
        <v>410</v>
      </c>
      <c r="D39" s="165">
        <v>2100000</v>
      </c>
      <c r="E39" s="21" t="s">
        <v>376</v>
      </c>
      <c r="F39" s="21" t="s">
        <v>377</v>
      </c>
      <c r="G39" s="8" t="str">
        <f t="shared" si="0"/>
        <v>ISHMAEL JOSEPH</v>
      </c>
    </row>
    <row r="40" spans="1:7" x14ac:dyDescent="0.25">
      <c r="A40" s="8">
        <v>42714.266898148147</v>
      </c>
      <c r="B40" s="26" t="s">
        <v>463</v>
      </c>
      <c r="C40" s="21" t="s">
        <v>481</v>
      </c>
      <c r="D40" s="165">
        <v>2030000</v>
      </c>
      <c r="E40" s="21" t="s">
        <v>460</v>
      </c>
      <c r="F40" s="21" t="s">
        <v>279</v>
      </c>
      <c r="G40" s="8" t="str">
        <f t="shared" si="0"/>
        <v>KILLION DAVID</v>
      </c>
    </row>
    <row r="41" spans="1:7" x14ac:dyDescent="0.25">
      <c r="A41" s="8">
        <v>42714.267800925925</v>
      </c>
      <c r="B41" s="21" t="s">
        <v>245</v>
      </c>
      <c r="C41" s="21" t="s">
        <v>482</v>
      </c>
      <c r="D41" s="165">
        <v>2140000</v>
      </c>
      <c r="E41" s="21" t="s">
        <v>374</v>
      </c>
      <c r="F41" s="21" t="s">
        <v>375</v>
      </c>
      <c r="G41" s="8" t="str">
        <f t="shared" si="0"/>
        <v>ROBINSON KADDIBA</v>
      </c>
    </row>
    <row r="42" spans="1:7" x14ac:dyDescent="0.25">
      <c r="A42" s="8">
        <v>42714.275555555556</v>
      </c>
      <c r="B42" s="21" t="s">
        <v>248</v>
      </c>
      <c r="C42" s="21" t="s">
        <v>483</v>
      </c>
      <c r="D42" s="165">
        <v>1830000</v>
      </c>
      <c r="E42" s="21" t="s">
        <v>471</v>
      </c>
      <c r="F42" s="21" t="s">
        <v>472</v>
      </c>
      <c r="G42" s="8" t="str">
        <f t="shared" si="0"/>
        <v>YORK EDGAR</v>
      </c>
    </row>
    <row r="43" spans="1:7" x14ac:dyDescent="0.25">
      <c r="A43" s="8">
        <v>42714.278136574074</v>
      </c>
      <c r="B43" s="21" t="s">
        <v>287</v>
      </c>
      <c r="C43" s="21" t="s">
        <v>484</v>
      </c>
      <c r="D43" s="165">
        <v>1100000</v>
      </c>
      <c r="E43" s="21" t="s">
        <v>466</v>
      </c>
      <c r="F43" s="21" t="s">
        <v>467</v>
      </c>
      <c r="G43" s="8" t="str">
        <f t="shared" si="0"/>
        <v>GEBRETEKLE DAGNEW</v>
      </c>
    </row>
    <row r="44" spans="1:7" x14ac:dyDescent="0.25">
      <c r="A44" s="8">
        <v>42714.284780092596</v>
      </c>
      <c r="B44" s="21" t="s">
        <v>301</v>
      </c>
      <c r="C44" s="21" t="s">
        <v>411</v>
      </c>
      <c r="D44" s="165">
        <v>1780000</v>
      </c>
      <c r="E44" s="21" t="s">
        <v>453</v>
      </c>
      <c r="F44" s="21" t="s">
        <v>454</v>
      </c>
      <c r="G44" s="8" t="str">
        <f t="shared" si="0"/>
        <v>DE LA ROSA ALEX</v>
      </c>
    </row>
    <row r="45" spans="1:7" x14ac:dyDescent="0.25">
      <c r="A45" s="8">
        <v>42714.288854166669</v>
      </c>
      <c r="B45" s="21" t="s">
        <v>235</v>
      </c>
      <c r="C45" s="21" t="s">
        <v>485</v>
      </c>
      <c r="D45" s="165">
        <v>1830000</v>
      </c>
      <c r="E45" s="21" t="s">
        <v>471</v>
      </c>
      <c r="F45" s="21" t="s">
        <v>472</v>
      </c>
      <c r="G45" s="8" t="str">
        <f t="shared" si="0"/>
        <v>YORK EDGAR</v>
      </c>
    </row>
    <row r="46" spans="1:7" x14ac:dyDescent="0.25">
      <c r="A46" s="8">
        <v>42714.289467592593</v>
      </c>
      <c r="B46" s="21" t="s">
        <v>415</v>
      </c>
      <c r="C46" s="21" t="s">
        <v>486</v>
      </c>
      <c r="D46" s="165">
        <v>2010000</v>
      </c>
      <c r="E46" s="21" t="s">
        <v>343</v>
      </c>
      <c r="F46" s="21" t="s">
        <v>344</v>
      </c>
      <c r="G46" s="8" t="str">
        <f t="shared" si="0"/>
        <v>MAELZER KURT</v>
      </c>
    </row>
    <row r="47" spans="1:7" x14ac:dyDescent="0.25">
      <c r="A47" s="8">
        <v>42714.294120370374</v>
      </c>
      <c r="B47" s="21" t="s">
        <v>209</v>
      </c>
      <c r="C47" s="21" t="s">
        <v>487</v>
      </c>
      <c r="D47" s="165">
        <v>1990000</v>
      </c>
      <c r="E47" s="21" t="s">
        <v>385</v>
      </c>
      <c r="F47" s="21" t="s">
        <v>458</v>
      </c>
      <c r="G47" s="8" t="str">
        <f t="shared" si="0"/>
        <v>DAVIS WENDY</v>
      </c>
    </row>
    <row r="48" spans="1:7" x14ac:dyDescent="0.25">
      <c r="A48" s="8">
        <v>42714.297986111109</v>
      </c>
      <c r="B48" s="21" t="s">
        <v>229</v>
      </c>
      <c r="C48" s="21" t="s">
        <v>488</v>
      </c>
      <c r="D48" s="165">
        <v>2100000</v>
      </c>
      <c r="E48" s="21" t="s">
        <v>376</v>
      </c>
      <c r="F48" s="21" t="s">
        <v>377</v>
      </c>
      <c r="G48" s="8" t="str">
        <f t="shared" si="0"/>
        <v>ISHMAEL JOSEPH</v>
      </c>
    </row>
    <row r="49" spans="1:7" x14ac:dyDescent="0.25">
      <c r="A49" s="8">
        <v>42714.305509259262</v>
      </c>
      <c r="B49" s="21" t="s">
        <v>412</v>
      </c>
      <c r="C49" s="21" t="s">
        <v>413</v>
      </c>
      <c r="D49" s="165">
        <v>2030000</v>
      </c>
      <c r="E49" s="21" t="s">
        <v>460</v>
      </c>
      <c r="F49" s="21" t="s">
        <v>279</v>
      </c>
      <c r="G49" s="8" t="str">
        <f t="shared" si="0"/>
        <v>KILLION DAVID</v>
      </c>
    </row>
    <row r="50" spans="1:7" x14ac:dyDescent="0.25">
      <c r="A50" s="8">
        <v>42714.309247685182</v>
      </c>
      <c r="B50" s="21" t="s">
        <v>183</v>
      </c>
      <c r="C50" s="21" t="s">
        <v>489</v>
      </c>
      <c r="D50" s="165">
        <v>2140000</v>
      </c>
      <c r="E50" s="21" t="s">
        <v>374</v>
      </c>
      <c r="F50" s="21" t="s">
        <v>375</v>
      </c>
      <c r="G50" s="8" t="str">
        <f t="shared" si="0"/>
        <v>ROBINSON KADDIBA</v>
      </c>
    </row>
    <row r="51" spans="1:7" x14ac:dyDescent="0.25">
      <c r="A51" s="8">
        <v>42714.317083333335</v>
      </c>
      <c r="B51" s="21" t="s">
        <v>286</v>
      </c>
      <c r="C51" s="21" t="s">
        <v>490</v>
      </c>
      <c r="D51" s="165">
        <v>1100000</v>
      </c>
      <c r="E51" s="21" t="s">
        <v>466</v>
      </c>
      <c r="F51" s="21" t="s">
        <v>467</v>
      </c>
      <c r="G51" s="8" t="str">
        <f t="shared" si="0"/>
        <v>GEBRETEKLE DAGNEW</v>
      </c>
    </row>
    <row r="52" spans="1:7" x14ac:dyDescent="0.25">
      <c r="A52" s="8">
        <v>42714.317453703705</v>
      </c>
      <c r="B52" s="21" t="s">
        <v>248</v>
      </c>
      <c r="C52" s="21" t="s">
        <v>491</v>
      </c>
      <c r="D52" s="165">
        <v>1830000</v>
      </c>
      <c r="E52" s="21" t="s">
        <v>471</v>
      </c>
      <c r="F52" s="21" t="s">
        <v>472</v>
      </c>
      <c r="G52" s="8" t="str">
        <f t="shared" si="0"/>
        <v>YORK EDGAR</v>
      </c>
    </row>
    <row r="53" spans="1:7" x14ac:dyDescent="0.25">
      <c r="A53" s="8">
        <v>42714.322974537034</v>
      </c>
      <c r="B53" s="21" t="s">
        <v>262</v>
      </c>
      <c r="C53" s="21" t="s">
        <v>492</v>
      </c>
      <c r="D53" s="165">
        <v>1780000</v>
      </c>
      <c r="E53" s="21" t="s">
        <v>453</v>
      </c>
      <c r="F53" s="21" t="s">
        <v>454</v>
      </c>
      <c r="G53" s="8" t="str">
        <f t="shared" si="0"/>
        <v>DE LA ROSA ALEX</v>
      </c>
    </row>
    <row r="54" spans="1:7" x14ac:dyDescent="0.25">
      <c r="A54" s="8">
        <v>42714.327326388891</v>
      </c>
      <c r="B54" s="21" t="s">
        <v>408</v>
      </c>
      <c r="C54" s="21" t="s">
        <v>493</v>
      </c>
      <c r="D54" s="165">
        <v>2010000</v>
      </c>
      <c r="E54" s="21" t="s">
        <v>343</v>
      </c>
      <c r="F54" s="21" t="s">
        <v>344</v>
      </c>
      <c r="G54" s="8" t="str">
        <f t="shared" si="0"/>
        <v>MAELZER KURT</v>
      </c>
    </row>
    <row r="55" spans="1:7" x14ac:dyDescent="0.25">
      <c r="A55" s="8">
        <v>42714.330601851849</v>
      </c>
      <c r="B55" s="21" t="s">
        <v>235</v>
      </c>
      <c r="C55" s="21" t="s">
        <v>494</v>
      </c>
      <c r="D55" s="165">
        <v>1830000</v>
      </c>
      <c r="E55" s="21" t="s">
        <v>471</v>
      </c>
      <c r="F55" s="21" t="s">
        <v>472</v>
      </c>
      <c r="G55" s="8" t="str">
        <f t="shared" si="0"/>
        <v>YORK EDGAR</v>
      </c>
    </row>
    <row r="56" spans="1:7" x14ac:dyDescent="0.25">
      <c r="A56" s="8">
        <v>42714.330914351849</v>
      </c>
      <c r="B56" s="21" t="s">
        <v>208</v>
      </c>
      <c r="C56" s="21" t="s">
        <v>495</v>
      </c>
      <c r="D56" s="165">
        <v>1990000</v>
      </c>
      <c r="E56" s="21" t="s">
        <v>385</v>
      </c>
      <c r="F56" s="21" t="s">
        <v>458</v>
      </c>
      <c r="G56" s="8" t="str">
        <f t="shared" si="0"/>
        <v>DAVIS WENDY</v>
      </c>
    </row>
    <row r="57" spans="1:7" x14ac:dyDescent="0.25">
      <c r="A57" s="8">
        <v>42714.33489583333</v>
      </c>
      <c r="B57" s="21" t="s">
        <v>230</v>
      </c>
      <c r="C57" s="21" t="s">
        <v>496</v>
      </c>
      <c r="D57" s="165">
        <v>2100000</v>
      </c>
      <c r="E57" s="21" t="s">
        <v>376</v>
      </c>
      <c r="F57" s="21" t="s">
        <v>377</v>
      </c>
      <c r="G57" s="8" t="str">
        <f t="shared" si="0"/>
        <v>ISHMAEL JOSEPH</v>
      </c>
    </row>
    <row r="58" spans="1:7" x14ac:dyDescent="0.25">
      <c r="A58" s="8">
        <v>42714.34003472222</v>
      </c>
      <c r="B58" s="21" t="s">
        <v>463</v>
      </c>
      <c r="C58" s="21" t="s">
        <v>497</v>
      </c>
      <c r="D58" s="165">
        <v>2030000</v>
      </c>
      <c r="E58" s="21" t="s">
        <v>460</v>
      </c>
      <c r="F58" s="21" t="s">
        <v>279</v>
      </c>
      <c r="G58" s="8" t="str">
        <f t="shared" si="0"/>
        <v>KILLION DAVID</v>
      </c>
    </row>
    <row r="59" spans="1:7" x14ac:dyDescent="0.25">
      <c r="A59" s="8">
        <v>42714.345486111109</v>
      </c>
      <c r="B59" s="21" t="s">
        <v>245</v>
      </c>
      <c r="C59" s="21" t="s">
        <v>414</v>
      </c>
      <c r="D59" s="165">
        <v>2140000</v>
      </c>
      <c r="E59" s="21" t="s">
        <v>374</v>
      </c>
      <c r="F59" s="21" t="s">
        <v>375</v>
      </c>
      <c r="G59" s="8" t="str">
        <f t="shared" si="0"/>
        <v>ROBINSON KADDIBA</v>
      </c>
    </row>
    <row r="60" spans="1:7" x14ac:dyDescent="0.25">
      <c r="A60" s="8">
        <v>42714.350277777776</v>
      </c>
      <c r="B60" s="21" t="s">
        <v>287</v>
      </c>
      <c r="C60" s="21" t="s">
        <v>498</v>
      </c>
      <c r="D60" s="165">
        <v>1100000</v>
      </c>
      <c r="E60" s="21" t="s">
        <v>466</v>
      </c>
      <c r="F60" s="21" t="s">
        <v>467</v>
      </c>
      <c r="G60" s="8" t="str">
        <f t="shared" si="0"/>
        <v>GEBRETEKLE DAGNEW</v>
      </c>
    </row>
    <row r="61" spans="1:7" x14ac:dyDescent="0.25">
      <c r="A61" s="8">
        <v>42714.359212962961</v>
      </c>
      <c r="B61" s="21" t="s">
        <v>301</v>
      </c>
      <c r="C61" s="21" t="s">
        <v>499</v>
      </c>
      <c r="D61" s="165">
        <v>1780000</v>
      </c>
      <c r="E61" s="21" t="s">
        <v>453</v>
      </c>
      <c r="F61" s="21" t="s">
        <v>454</v>
      </c>
      <c r="G61" s="8" t="str">
        <f t="shared" si="0"/>
        <v>DE LA ROSA ALEX</v>
      </c>
    </row>
    <row r="62" spans="1:7" x14ac:dyDescent="0.25">
      <c r="A62" s="8">
        <v>42714.360023148147</v>
      </c>
      <c r="B62" s="21" t="s">
        <v>248</v>
      </c>
      <c r="C62" s="21" t="s">
        <v>500</v>
      </c>
      <c r="D62" s="165">
        <v>1830000</v>
      </c>
      <c r="E62" s="21" t="s">
        <v>471</v>
      </c>
      <c r="F62" s="21" t="s">
        <v>472</v>
      </c>
      <c r="G62" s="8" t="str">
        <f t="shared" si="0"/>
        <v>YORK EDGAR</v>
      </c>
    </row>
    <row r="63" spans="1:7" x14ac:dyDescent="0.25">
      <c r="A63" s="8">
        <v>42714.360833333332</v>
      </c>
      <c r="B63" s="21" t="s">
        <v>415</v>
      </c>
      <c r="C63" s="21" t="s">
        <v>416</v>
      </c>
      <c r="D63" s="165">
        <v>2010000</v>
      </c>
      <c r="E63" s="21" t="s">
        <v>343</v>
      </c>
      <c r="F63" s="21" t="s">
        <v>344</v>
      </c>
      <c r="G63" s="8" t="str">
        <f t="shared" si="0"/>
        <v>MAELZER KURT</v>
      </c>
    </row>
    <row r="64" spans="1:7" x14ac:dyDescent="0.25">
      <c r="A64" s="27">
        <v>42714.370138888888</v>
      </c>
      <c r="B64" s="21" t="s">
        <v>209</v>
      </c>
      <c r="C64" s="21" t="s">
        <v>501</v>
      </c>
      <c r="D64" s="165">
        <v>1990000</v>
      </c>
      <c r="E64" s="21" t="s">
        <v>385</v>
      </c>
      <c r="F64" s="21" t="s">
        <v>458</v>
      </c>
      <c r="G64" s="8" t="str">
        <f t="shared" si="0"/>
        <v>DAVIS WENDY</v>
      </c>
    </row>
    <row r="65" spans="1:7" x14ac:dyDescent="0.25">
      <c r="A65" s="8">
        <v>42714.372314814813</v>
      </c>
      <c r="B65" s="21" t="s">
        <v>229</v>
      </c>
      <c r="C65" s="21" t="s">
        <v>502</v>
      </c>
      <c r="D65" s="165">
        <v>2100000</v>
      </c>
      <c r="E65" s="21" t="s">
        <v>376</v>
      </c>
      <c r="F65" s="21" t="s">
        <v>377</v>
      </c>
      <c r="G65" s="8" t="str">
        <f t="shared" si="0"/>
        <v>ISHMAEL JOSEPH</v>
      </c>
    </row>
    <row r="66" spans="1:7" x14ac:dyDescent="0.25">
      <c r="A66" s="8">
        <v>42714.372928240744</v>
      </c>
      <c r="B66" s="21" t="s">
        <v>235</v>
      </c>
      <c r="C66" s="21" t="s">
        <v>503</v>
      </c>
      <c r="D66" s="165">
        <v>1830000</v>
      </c>
      <c r="E66" s="21" t="s">
        <v>471</v>
      </c>
      <c r="F66" s="21" t="s">
        <v>472</v>
      </c>
      <c r="G66" s="8" t="str">
        <f t="shared" si="0"/>
        <v>YORK EDGAR</v>
      </c>
    </row>
    <row r="67" spans="1:7" x14ac:dyDescent="0.25">
      <c r="A67" s="8">
        <v>42714.378564814811</v>
      </c>
      <c r="B67" s="21" t="s">
        <v>412</v>
      </c>
      <c r="C67" s="21" t="s">
        <v>417</v>
      </c>
      <c r="D67" s="165">
        <v>2030000</v>
      </c>
      <c r="E67" s="21" t="s">
        <v>460</v>
      </c>
      <c r="F67" s="21" t="s">
        <v>279</v>
      </c>
      <c r="G67" s="8" t="str">
        <f t="shared" ref="G67:G130" si="1">E67&amp;" "&amp;F67</f>
        <v>KILLION DAVID</v>
      </c>
    </row>
    <row r="68" spans="1:7" x14ac:dyDescent="0.25">
      <c r="A68" s="8">
        <v>42714.382164351853</v>
      </c>
      <c r="B68" s="21" t="s">
        <v>183</v>
      </c>
      <c r="C68" s="21" t="s">
        <v>504</v>
      </c>
      <c r="D68" s="165">
        <v>2140000</v>
      </c>
      <c r="E68" s="21" t="s">
        <v>374</v>
      </c>
      <c r="F68" s="21" t="s">
        <v>375</v>
      </c>
      <c r="G68" s="8" t="str">
        <f t="shared" si="1"/>
        <v>ROBINSON KADDIBA</v>
      </c>
    </row>
    <row r="69" spans="1:7" x14ac:dyDescent="0.25">
      <c r="A69" s="8">
        <v>42714.388414351852</v>
      </c>
      <c r="B69" s="21" t="s">
        <v>286</v>
      </c>
      <c r="C69" s="21" t="s">
        <v>505</v>
      </c>
      <c r="D69" s="165">
        <v>1100000</v>
      </c>
      <c r="E69" s="21" t="s">
        <v>466</v>
      </c>
      <c r="F69" s="21" t="s">
        <v>467</v>
      </c>
      <c r="G69" s="8" t="str">
        <f t="shared" si="1"/>
        <v>GEBRETEKLE DAGNEW</v>
      </c>
    </row>
    <row r="70" spans="1:7" x14ac:dyDescent="0.25">
      <c r="A70" s="8">
        <v>42714.39298611111</v>
      </c>
      <c r="B70" s="21" t="s">
        <v>262</v>
      </c>
      <c r="C70" s="21" t="s">
        <v>506</v>
      </c>
      <c r="D70" s="165">
        <v>1360000</v>
      </c>
      <c r="E70" s="21" t="s">
        <v>378</v>
      </c>
      <c r="F70" s="21" t="s">
        <v>379</v>
      </c>
      <c r="G70" s="8" t="str">
        <f t="shared" si="1"/>
        <v>SANTIZO D. EDY</v>
      </c>
    </row>
    <row r="71" spans="1:7" x14ac:dyDescent="0.25">
      <c r="A71" s="8">
        <v>42714.400081018517</v>
      </c>
      <c r="B71" s="21" t="s">
        <v>248</v>
      </c>
      <c r="C71" s="21" t="s">
        <v>507</v>
      </c>
      <c r="D71" s="165">
        <v>1830000</v>
      </c>
      <c r="E71" s="21" t="s">
        <v>471</v>
      </c>
      <c r="F71" s="21" t="s">
        <v>472</v>
      </c>
      <c r="G71" s="8" t="str">
        <f t="shared" si="1"/>
        <v>YORK EDGAR</v>
      </c>
    </row>
    <row r="72" spans="1:7" x14ac:dyDescent="0.25">
      <c r="A72" s="8">
        <v>42714.40215277778</v>
      </c>
      <c r="B72" s="21" t="s">
        <v>208</v>
      </c>
      <c r="C72" s="21" t="s">
        <v>508</v>
      </c>
      <c r="D72" s="165">
        <v>1990000</v>
      </c>
      <c r="E72" s="21" t="s">
        <v>385</v>
      </c>
      <c r="F72" s="21" t="s">
        <v>458</v>
      </c>
      <c r="G72" s="8" t="str">
        <f t="shared" si="1"/>
        <v>DAVIS WENDY</v>
      </c>
    </row>
    <row r="73" spans="1:7" x14ac:dyDescent="0.25">
      <c r="A73" s="8">
        <v>42714.403310185182</v>
      </c>
      <c r="B73" s="21" t="s">
        <v>408</v>
      </c>
      <c r="C73" s="21" t="s">
        <v>509</v>
      </c>
      <c r="D73" s="165">
        <v>2010000</v>
      </c>
      <c r="E73" s="21" t="s">
        <v>343</v>
      </c>
      <c r="F73" s="21" t="s">
        <v>344</v>
      </c>
      <c r="G73" s="8" t="str">
        <f t="shared" si="1"/>
        <v>MAELZER KURT</v>
      </c>
    </row>
    <row r="74" spans="1:7" x14ac:dyDescent="0.25">
      <c r="A74" s="8">
        <v>42714.411261574074</v>
      </c>
      <c r="B74" s="21" t="s">
        <v>230</v>
      </c>
      <c r="C74" s="21" t="s">
        <v>418</v>
      </c>
      <c r="D74" s="165">
        <v>2100000</v>
      </c>
      <c r="E74" s="21" t="s">
        <v>376</v>
      </c>
      <c r="F74" s="21" t="s">
        <v>377</v>
      </c>
      <c r="G74" s="8" t="str">
        <f t="shared" si="1"/>
        <v>ISHMAEL JOSEPH</v>
      </c>
    </row>
    <row r="75" spans="1:7" x14ac:dyDescent="0.25">
      <c r="A75" s="8">
        <v>42714.414583333331</v>
      </c>
      <c r="B75" s="21" t="s">
        <v>463</v>
      </c>
      <c r="C75" s="21" t="s">
        <v>510</v>
      </c>
      <c r="D75" s="165">
        <v>2030000</v>
      </c>
      <c r="E75" s="21" t="s">
        <v>460</v>
      </c>
      <c r="F75" s="21" t="s">
        <v>279</v>
      </c>
      <c r="G75" s="8" t="str">
        <f t="shared" si="1"/>
        <v>KILLION DAVID</v>
      </c>
    </row>
    <row r="76" spans="1:7" x14ac:dyDescent="0.25">
      <c r="A76" s="8">
        <v>42714.415092592593</v>
      </c>
      <c r="B76" s="21" t="s">
        <v>235</v>
      </c>
      <c r="C76" s="21" t="s">
        <v>511</v>
      </c>
      <c r="D76" s="165">
        <v>1830000</v>
      </c>
      <c r="E76" s="21" t="s">
        <v>471</v>
      </c>
      <c r="F76" s="21" t="s">
        <v>472</v>
      </c>
      <c r="G76" s="8" t="str">
        <f t="shared" si="1"/>
        <v>YORK EDGAR</v>
      </c>
    </row>
    <row r="77" spans="1:7" x14ac:dyDescent="0.25">
      <c r="A77" s="8">
        <v>42714.420763888891</v>
      </c>
      <c r="B77" s="21" t="s">
        <v>245</v>
      </c>
      <c r="C77" s="21" t="s">
        <v>512</v>
      </c>
      <c r="D77" s="165">
        <v>2140000</v>
      </c>
      <c r="E77" s="21" t="s">
        <v>374</v>
      </c>
      <c r="F77" s="21" t="s">
        <v>375</v>
      </c>
      <c r="G77" s="8" t="str">
        <f t="shared" si="1"/>
        <v>ROBINSON KADDIBA</v>
      </c>
    </row>
    <row r="78" spans="1:7" x14ac:dyDescent="0.25">
      <c r="A78" s="8">
        <v>42714.423518518517</v>
      </c>
      <c r="B78" s="21" t="s">
        <v>287</v>
      </c>
      <c r="C78" s="21" t="s">
        <v>513</v>
      </c>
      <c r="D78" s="165">
        <v>1100000</v>
      </c>
      <c r="E78" s="21" t="s">
        <v>466</v>
      </c>
      <c r="F78" s="21" t="s">
        <v>467</v>
      </c>
      <c r="G78" s="8" t="str">
        <f t="shared" si="1"/>
        <v>GEBRETEKLE DAGNEW</v>
      </c>
    </row>
    <row r="79" spans="1:7" x14ac:dyDescent="0.25">
      <c r="A79" s="8">
        <v>42714.432372685187</v>
      </c>
      <c r="B79" s="21" t="s">
        <v>301</v>
      </c>
      <c r="C79" s="21" t="s">
        <v>514</v>
      </c>
      <c r="D79" s="165">
        <v>1360000</v>
      </c>
      <c r="E79" s="21" t="s">
        <v>378</v>
      </c>
      <c r="F79" s="21" t="s">
        <v>379</v>
      </c>
      <c r="G79" s="8" t="str">
        <f t="shared" si="1"/>
        <v>SANTIZO D. EDY</v>
      </c>
    </row>
    <row r="80" spans="1:7" x14ac:dyDescent="0.25">
      <c r="A80" s="8">
        <v>42714.433263888888</v>
      </c>
      <c r="B80" s="21" t="s">
        <v>415</v>
      </c>
      <c r="C80" s="21" t="s">
        <v>515</v>
      </c>
      <c r="D80" s="165">
        <v>930000</v>
      </c>
      <c r="E80" s="21" t="s">
        <v>516</v>
      </c>
      <c r="F80" s="21" t="s">
        <v>517</v>
      </c>
      <c r="G80" s="8" t="str">
        <f t="shared" si="1"/>
        <v>CLARK KATHLEEN</v>
      </c>
    </row>
    <row r="81" spans="1:7" x14ac:dyDescent="0.25">
      <c r="A81" s="8">
        <v>42714.440763888888</v>
      </c>
      <c r="B81" s="21" t="s">
        <v>209</v>
      </c>
      <c r="C81" s="21" t="s">
        <v>518</v>
      </c>
      <c r="D81" s="165">
        <v>1990000</v>
      </c>
      <c r="E81" s="21" t="s">
        <v>385</v>
      </c>
      <c r="F81" s="21" t="s">
        <v>458</v>
      </c>
      <c r="G81" s="8" t="str">
        <f t="shared" si="1"/>
        <v>DAVIS WENDY</v>
      </c>
    </row>
    <row r="82" spans="1:7" x14ac:dyDescent="0.25">
      <c r="A82" s="8">
        <v>42714.442199074074</v>
      </c>
      <c r="B82" s="21" t="s">
        <v>248</v>
      </c>
      <c r="C82" s="21" t="s">
        <v>519</v>
      </c>
      <c r="D82" s="165">
        <v>1830000</v>
      </c>
      <c r="E82" s="21" t="s">
        <v>471</v>
      </c>
      <c r="F82" s="21" t="s">
        <v>472</v>
      </c>
      <c r="G82" s="8" t="str">
        <f t="shared" si="1"/>
        <v>YORK EDGAR</v>
      </c>
    </row>
    <row r="83" spans="1:7" x14ac:dyDescent="0.25">
      <c r="A83" s="8">
        <v>42714.443194444444</v>
      </c>
      <c r="B83" s="21" t="s">
        <v>229</v>
      </c>
      <c r="C83" s="21" t="s">
        <v>520</v>
      </c>
      <c r="D83" s="165">
        <v>2100000</v>
      </c>
      <c r="E83" s="21" t="s">
        <v>376</v>
      </c>
      <c r="F83" s="21" t="s">
        <v>377</v>
      </c>
      <c r="G83" s="8" t="str">
        <f t="shared" si="1"/>
        <v>ISHMAEL JOSEPH</v>
      </c>
    </row>
    <row r="84" spans="1:7" x14ac:dyDescent="0.25">
      <c r="A84" s="8">
        <v>42714.448344907411</v>
      </c>
      <c r="B84" s="21" t="s">
        <v>412</v>
      </c>
      <c r="C84" s="21" t="s">
        <v>419</v>
      </c>
      <c r="D84" s="165">
        <v>2030000</v>
      </c>
      <c r="E84" s="21" t="s">
        <v>460</v>
      </c>
      <c r="F84" s="21" t="s">
        <v>279</v>
      </c>
      <c r="G84" s="8" t="str">
        <f t="shared" si="1"/>
        <v>KILLION DAVID</v>
      </c>
    </row>
    <row r="85" spans="1:7" x14ac:dyDescent="0.25">
      <c r="A85" s="8">
        <v>42714.454155092593</v>
      </c>
      <c r="B85" s="21" t="s">
        <v>183</v>
      </c>
      <c r="C85" s="21" t="s">
        <v>521</v>
      </c>
      <c r="D85" s="165">
        <v>880000</v>
      </c>
      <c r="E85" s="21" t="s">
        <v>522</v>
      </c>
      <c r="F85" s="21" t="s">
        <v>373</v>
      </c>
      <c r="G85" s="8" t="str">
        <f t="shared" si="1"/>
        <v>STEWART MICHAEL</v>
      </c>
    </row>
    <row r="86" spans="1:7" x14ac:dyDescent="0.25">
      <c r="A86" s="8">
        <v>42714.455347222225</v>
      </c>
      <c r="B86" s="21" t="s">
        <v>235</v>
      </c>
      <c r="C86" s="21" t="s">
        <v>523</v>
      </c>
      <c r="D86" s="165">
        <v>1830000</v>
      </c>
      <c r="E86" s="21" t="s">
        <v>471</v>
      </c>
      <c r="F86" s="21" t="s">
        <v>472</v>
      </c>
      <c r="G86" s="8" t="str">
        <f t="shared" si="1"/>
        <v>YORK EDGAR</v>
      </c>
    </row>
    <row r="87" spans="1:7" x14ac:dyDescent="0.25">
      <c r="A87" s="8">
        <v>42714.462164351855</v>
      </c>
      <c r="B87" s="21" t="s">
        <v>286</v>
      </c>
      <c r="C87" s="21" t="s">
        <v>524</v>
      </c>
      <c r="D87" s="165">
        <v>1100000</v>
      </c>
      <c r="E87" s="21" t="s">
        <v>466</v>
      </c>
      <c r="F87" s="21" t="s">
        <v>467</v>
      </c>
      <c r="G87" s="8" t="str">
        <f t="shared" si="1"/>
        <v>GEBRETEKLE DAGNEW</v>
      </c>
    </row>
    <row r="88" spans="1:7" x14ac:dyDescent="0.25">
      <c r="A88" s="8">
        <v>42714.465937499997</v>
      </c>
      <c r="B88" s="21" t="s">
        <v>262</v>
      </c>
      <c r="C88" s="21" t="s">
        <v>525</v>
      </c>
      <c r="D88" s="165">
        <v>1280000</v>
      </c>
      <c r="E88" s="21" t="s">
        <v>526</v>
      </c>
      <c r="F88" s="21" t="s">
        <v>527</v>
      </c>
      <c r="G88" s="8" t="str">
        <f t="shared" si="1"/>
        <v>BARTLETT KIANDRA</v>
      </c>
    </row>
    <row r="89" spans="1:7" x14ac:dyDescent="0.25">
      <c r="A89" s="8">
        <v>42714.471087962964</v>
      </c>
      <c r="B89" s="21" t="s">
        <v>408</v>
      </c>
      <c r="C89" s="21" t="s">
        <v>528</v>
      </c>
      <c r="D89" s="165">
        <v>930000</v>
      </c>
      <c r="E89" s="21" t="s">
        <v>516</v>
      </c>
      <c r="F89" s="21" t="s">
        <v>517</v>
      </c>
      <c r="G89" s="8" t="str">
        <f t="shared" si="1"/>
        <v>CLARK KATHLEEN</v>
      </c>
    </row>
    <row r="90" spans="1:7" x14ac:dyDescent="0.25">
      <c r="A90" s="8">
        <v>42714.477627314816</v>
      </c>
      <c r="B90" s="21" t="s">
        <v>208</v>
      </c>
      <c r="C90" s="21" t="s">
        <v>529</v>
      </c>
      <c r="D90" s="165">
        <v>2040000</v>
      </c>
      <c r="E90" s="21" t="s">
        <v>347</v>
      </c>
      <c r="F90" s="21" t="s">
        <v>348</v>
      </c>
      <c r="G90" s="8" t="str">
        <f t="shared" si="1"/>
        <v>MOSES BRADLEY</v>
      </c>
    </row>
    <row r="91" spans="1:7" x14ac:dyDescent="0.25">
      <c r="A91" s="8">
        <v>42714.481666666667</v>
      </c>
      <c r="B91" s="21" t="s">
        <v>230</v>
      </c>
      <c r="C91" s="21" t="s">
        <v>530</v>
      </c>
      <c r="D91" s="165">
        <v>2100000</v>
      </c>
      <c r="E91" s="21" t="s">
        <v>376</v>
      </c>
      <c r="F91" s="21" t="s">
        <v>377</v>
      </c>
      <c r="G91" s="8" t="str">
        <f t="shared" si="1"/>
        <v>ISHMAEL JOSEPH</v>
      </c>
    </row>
    <row r="92" spans="1:7" x14ac:dyDescent="0.25">
      <c r="A92" s="8">
        <v>42714.484456018516</v>
      </c>
      <c r="B92" s="21" t="s">
        <v>248</v>
      </c>
      <c r="C92" s="21" t="s">
        <v>531</v>
      </c>
      <c r="D92" s="165">
        <v>1830000</v>
      </c>
      <c r="E92" s="21" t="s">
        <v>471</v>
      </c>
      <c r="F92" s="21" t="s">
        <v>472</v>
      </c>
      <c r="G92" s="8" t="str">
        <f t="shared" si="1"/>
        <v>YORK EDGAR</v>
      </c>
    </row>
    <row r="93" spans="1:7" x14ac:dyDescent="0.25">
      <c r="A93" s="8">
        <v>42714.487187500003</v>
      </c>
      <c r="B93" s="21" t="s">
        <v>463</v>
      </c>
      <c r="C93" s="21" t="s">
        <v>532</v>
      </c>
      <c r="D93" s="165">
        <v>2020000</v>
      </c>
      <c r="E93" s="21" t="s">
        <v>381</v>
      </c>
      <c r="F93" s="21" t="s">
        <v>277</v>
      </c>
      <c r="G93" s="8" t="str">
        <f t="shared" si="1"/>
        <v>SHOOK JOHN</v>
      </c>
    </row>
    <row r="94" spans="1:7" x14ac:dyDescent="0.25">
      <c r="A94" s="8">
        <v>42714.495868055557</v>
      </c>
      <c r="B94" s="21" t="s">
        <v>245</v>
      </c>
      <c r="C94" s="21" t="s">
        <v>533</v>
      </c>
      <c r="D94" s="165">
        <v>880000</v>
      </c>
      <c r="E94" s="21" t="s">
        <v>522</v>
      </c>
      <c r="F94" s="21" t="s">
        <v>373</v>
      </c>
      <c r="G94" s="8" t="str">
        <f t="shared" si="1"/>
        <v>STEWART MICHAEL</v>
      </c>
    </row>
    <row r="95" spans="1:7" x14ac:dyDescent="0.25">
      <c r="A95" s="8">
        <v>42714.497476851851</v>
      </c>
      <c r="B95" s="21" t="s">
        <v>301</v>
      </c>
      <c r="C95" s="21" t="s">
        <v>420</v>
      </c>
      <c r="D95" s="165">
        <v>1280000</v>
      </c>
      <c r="E95" s="21" t="s">
        <v>526</v>
      </c>
      <c r="F95" s="21" t="s">
        <v>527</v>
      </c>
      <c r="G95" s="8" t="str">
        <f t="shared" si="1"/>
        <v>BARTLETT KIANDRA</v>
      </c>
    </row>
    <row r="96" spans="1:7" x14ac:dyDescent="0.25">
      <c r="A96" s="8">
        <v>42714.497939814813</v>
      </c>
      <c r="B96" s="21" t="s">
        <v>287</v>
      </c>
      <c r="C96" s="21" t="s">
        <v>534</v>
      </c>
      <c r="D96" s="165">
        <v>1770000</v>
      </c>
      <c r="E96" s="21" t="s">
        <v>535</v>
      </c>
      <c r="F96" s="21" t="s">
        <v>536</v>
      </c>
      <c r="G96" s="8" t="str">
        <f t="shared" si="1"/>
        <v>BRUDER RICHARD</v>
      </c>
    </row>
    <row r="97" spans="1:7" x14ac:dyDescent="0.25">
      <c r="A97" s="8">
        <v>42714.500150462962</v>
      </c>
      <c r="B97" s="21" t="s">
        <v>235</v>
      </c>
      <c r="C97" s="21" t="s">
        <v>537</v>
      </c>
      <c r="D97" s="165">
        <v>1830000</v>
      </c>
      <c r="E97" s="21" t="s">
        <v>471</v>
      </c>
      <c r="F97" s="21" t="s">
        <v>472</v>
      </c>
      <c r="G97" s="8" t="str">
        <f t="shared" si="1"/>
        <v>YORK EDGAR</v>
      </c>
    </row>
    <row r="98" spans="1:7" x14ac:dyDescent="0.25">
      <c r="A98" s="8">
        <v>42714.508946759262</v>
      </c>
      <c r="B98" s="21" t="s">
        <v>415</v>
      </c>
      <c r="C98" s="21" t="s">
        <v>422</v>
      </c>
      <c r="D98" s="165">
        <v>2220000</v>
      </c>
      <c r="E98" s="21" t="s">
        <v>382</v>
      </c>
      <c r="F98" s="21" t="s">
        <v>383</v>
      </c>
      <c r="G98" s="8" t="str">
        <f t="shared" si="1"/>
        <v>HILLS DUSTIN</v>
      </c>
    </row>
    <row r="99" spans="1:7" x14ac:dyDescent="0.25">
      <c r="A99" s="8">
        <v>42714.514479166668</v>
      </c>
      <c r="B99" s="21" t="s">
        <v>209</v>
      </c>
      <c r="C99" s="21" t="s">
        <v>421</v>
      </c>
      <c r="D99" s="165">
        <v>2040000</v>
      </c>
      <c r="E99" s="21" t="s">
        <v>347</v>
      </c>
      <c r="F99" s="21" t="s">
        <v>348</v>
      </c>
      <c r="G99" s="8" t="str">
        <f t="shared" si="1"/>
        <v>MOSES BRADLEY</v>
      </c>
    </row>
    <row r="100" spans="1:7" x14ac:dyDescent="0.25">
      <c r="A100" s="8">
        <v>42714.516712962963</v>
      </c>
      <c r="B100" s="21" t="s">
        <v>229</v>
      </c>
      <c r="C100" s="21" t="s">
        <v>538</v>
      </c>
      <c r="D100" s="165">
        <v>1740000</v>
      </c>
      <c r="E100" s="21" t="s">
        <v>312</v>
      </c>
      <c r="F100" s="21" t="s">
        <v>313</v>
      </c>
      <c r="G100" s="8" t="str">
        <f t="shared" si="1"/>
        <v>STORY SAMANTHA</v>
      </c>
    </row>
    <row r="101" spans="1:7" x14ac:dyDescent="0.25">
      <c r="A101" s="8">
        <v>42714.524988425925</v>
      </c>
      <c r="B101" s="21" t="s">
        <v>412</v>
      </c>
      <c r="C101" s="21" t="s">
        <v>423</v>
      </c>
      <c r="D101" s="165">
        <v>2020000</v>
      </c>
      <c r="E101" s="21" t="s">
        <v>381</v>
      </c>
      <c r="F101" s="21" t="s">
        <v>277</v>
      </c>
      <c r="G101" s="8" t="str">
        <f t="shared" si="1"/>
        <v>SHOOK JOHN</v>
      </c>
    </row>
    <row r="102" spans="1:7" x14ac:dyDescent="0.25">
      <c r="A102" s="8">
        <v>42714.525231481479</v>
      </c>
      <c r="B102" s="21" t="s">
        <v>248</v>
      </c>
      <c r="C102" s="21" t="s">
        <v>539</v>
      </c>
      <c r="D102" s="165">
        <v>1830000</v>
      </c>
      <c r="E102" s="21" t="s">
        <v>471</v>
      </c>
      <c r="F102" s="21" t="s">
        <v>472</v>
      </c>
      <c r="G102" s="8" t="str">
        <f t="shared" si="1"/>
        <v>YORK EDGAR</v>
      </c>
    </row>
    <row r="103" spans="1:7" x14ac:dyDescent="0.25">
      <c r="A103" s="8">
        <v>42714.527291666665</v>
      </c>
      <c r="B103" s="21" t="s">
        <v>183</v>
      </c>
      <c r="C103" s="21" t="s">
        <v>540</v>
      </c>
      <c r="D103" s="165">
        <v>880000</v>
      </c>
      <c r="E103" s="21" t="s">
        <v>522</v>
      </c>
      <c r="F103" s="21" t="s">
        <v>373</v>
      </c>
      <c r="G103" s="8" t="str">
        <f t="shared" si="1"/>
        <v>STEWART MICHAEL</v>
      </c>
    </row>
    <row r="104" spans="1:7" x14ac:dyDescent="0.25">
      <c r="A104" s="8">
        <v>42714.527361111112</v>
      </c>
      <c r="B104" s="21" t="s">
        <v>248</v>
      </c>
      <c r="C104" s="21" t="s">
        <v>539</v>
      </c>
      <c r="D104" s="165">
        <v>1830000</v>
      </c>
      <c r="E104" s="21" t="s">
        <v>471</v>
      </c>
      <c r="F104" s="21" t="s">
        <v>472</v>
      </c>
      <c r="G104" s="8" t="str">
        <f t="shared" si="1"/>
        <v>YORK EDGAR</v>
      </c>
    </row>
    <row r="105" spans="1:7" x14ac:dyDescent="0.25">
      <c r="A105" s="8">
        <v>42714.535671296297</v>
      </c>
      <c r="B105" s="21" t="s">
        <v>286</v>
      </c>
      <c r="C105" s="21" t="s">
        <v>541</v>
      </c>
      <c r="D105" s="165">
        <v>1770000</v>
      </c>
      <c r="E105" s="21" t="s">
        <v>535</v>
      </c>
      <c r="F105" s="21" t="s">
        <v>536</v>
      </c>
      <c r="G105" s="8" t="str">
        <f t="shared" si="1"/>
        <v>BRUDER RICHARD</v>
      </c>
    </row>
    <row r="106" spans="1:7" x14ac:dyDescent="0.25">
      <c r="A106" s="8">
        <v>42714.537430555552</v>
      </c>
      <c r="B106" s="21" t="s">
        <v>262</v>
      </c>
      <c r="C106" s="21" t="s">
        <v>542</v>
      </c>
      <c r="D106" s="165">
        <v>1280000</v>
      </c>
      <c r="E106" s="21" t="s">
        <v>526</v>
      </c>
      <c r="F106" s="21" t="s">
        <v>527</v>
      </c>
      <c r="G106" s="8" t="str">
        <f t="shared" si="1"/>
        <v>BARTLETT KIANDRA</v>
      </c>
    </row>
    <row r="107" spans="1:7" x14ac:dyDescent="0.25">
      <c r="A107" s="8">
        <v>42714.540567129632</v>
      </c>
      <c r="B107" s="21" t="s">
        <v>408</v>
      </c>
      <c r="C107" s="21" t="s">
        <v>543</v>
      </c>
      <c r="D107" s="165">
        <v>2220000</v>
      </c>
      <c r="E107" s="21" t="s">
        <v>382</v>
      </c>
      <c r="F107" s="21" t="s">
        <v>383</v>
      </c>
      <c r="G107" s="8" t="str">
        <f t="shared" si="1"/>
        <v>HILLS DUSTIN</v>
      </c>
    </row>
    <row r="108" spans="1:7" x14ac:dyDescent="0.25">
      <c r="A108" s="8">
        <v>42714.549710648149</v>
      </c>
      <c r="B108" s="21" t="s">
        <v>208</v>
      </c>
      <c r="C108" s="21" t="s">
        <v>544</v>
      </c>
      <c r="D108" s="165">
        <v>2040000</v>
      </c>
      <c r="E108" s="21" t="s">
        <v>347</v>
      </c>
      <c r="F108" s="21" t="s">
        <v>348</v>
      </c>
      <c r="G108" s="8" t="str">
        <f t="shared" si="1"/>
        <v>MOSES BRADLEY</v>
      </c>
    </row>
    <row r="109" spans="1:7" x14ac:dyDescent="0.25">
      <c r="A109" s="8">
        <v>42714.552268518521</v>
      </c>
      <c r="B109" s="21" t="s">
        <v>230</v>
      </c>
      <c r="C109" s="21" t="s">
        <v>545</v>
      </c>
      <c r="D109" s="165">
        <v>1740000</v>
      </c>
      <c r="E109" s="21" t="s">
        <v>312</v>
      </c>
      <c r="F109" s="21" t="s">
        <v>313</v>
      </c>
      <c r="G109" s="8" t="str">
        <f t="shared" si="1"/>
        <v>STORY SAMANTHA</v>
      </c>
    </row>
    <row r="110" spans="1:7" x14ac:dyDescent="0.25">
      <c r="A110" s="8">
        <v>42714.555625000001</v>
      </c>
      <c r="B110" s="21" t="s">
        <v>235</v>
      </c>
      <c r="C110" s="21" t="s">
        <v>546</v>
      </c>
      <c r="D110" s="165">
        <v>1830000</v>
      </c>
      <c r="E110" s="21" t="s">
        <v>471</v>
      </c>
      <c r="F110" s="21" t="s">
        <v>472</v>
      </c>
      <c r="G110" s="8" t="str">
        <f t="shared" si="1"/>
        <v>YORK EDGAR</v>
      </c>
    </row>
    <row r="111" spans="1:7" x14ac:dyDescent="0.25">
      <c r="A111" s="8">
        <v>42714.558831018519</v>
      </c>
      <c r="B111" s="21" t="s">
        <v>463</v>
      </c>
      <c r="C111" s="21" t="s">
        <v>547</v>
      </c>
      <c r="D111" s="165">
        <v>2020000</v>
      </c>
      <c r="E111" s="21" t="s">
        <v>381</v>
      </c>
      <c r="F111" s="21" t="s">
        <v>277</v>
      </c>
      <c r="G111" s="8" t="str">
        <f t="shared" si="1"/>
        <v>SHOOK JOHN</v>
      </c>
    </row>
    <row r="112" spans="1:7" x14ac:dyDescent="0.25">
      <c r="A112" s="8">
        <v>42714.56726851852</v>
      </c>
      <c r="B112" s="21" t="s">
        <v>248</v>
      </c>
      <c r="C112" s="21" t="s">
        <v>548</v>
      </c>
      <c r="D112" s="165">
        <v>1830000</v>
      </c>
      <c r="E112" s="21" t="s">
        <v>471</v>
      </c>
      <c r="F112" s="21" t="s">
        <v>472</v>
      </c>
      <c r="G112" s="8" t="str">
        <f t="shared" si="1"/>
        <v>YORK EDGAR</v>
      </c>
    </row>
    <row r="113" spans="1:7" x14ac:dyDescent="0.25">
      <c r="A113" s="8">
        <v>42714.568437499998</v>
      </c>
      <c r="B113" s="21" t="s">
        <v>245</v>
      </c>
      <c r="C113" s="21" t="s">
        <v>549</v>
      </c>
      <c r="D113" s="165">
        <v>880000</v>
      </c>
      <c r="E113" s="21" t="s">
        <v>522</v>
      </c>
      <c r="F113" s="21" t="s">
        <v>373</v>
      </c>
      <c r="G113" s="8" t="str">
        <f t="shared" si="1"/>
        <v>STEWART MICHAEL</v>
      </c>
    </row>
    <row r="114" spans="1:7" x14ac:dyDescent="0.25">
      <c r="A114" s="8">
        <v>42714.568564814814</v>
      </c>
      <c r="B114" s="21" t="s">
        <v>287</v>
      </c>
      <c r="C114" s="21" t="s">
        <v>550</v>
      </c>
      <c r="D114" s="165">
        <v>1770000</v>
      </c>
      <c r="E114" s="21" t="s">
        <v>535</v>
      </c>
      <c r="F114" s="21" t="s">
        <v>536</v>
      </c>
      <c r="G114" s="8" t="str">
        <f t="shared" si="1"/>
        <v>BRUDER RICHARD</v>
      </c>
    </row>
    <row r="115" spans="1:7" x14ac:dyDescent="0.25">
      <c r="A115" s="8">
        <v>42714.577465277776</v>
      </c>
      <c r="B115" s="21" t="s">
        <v>301</v>
      </c>
      <c r="C115" s="21" t="s">
        <v>551</v>
      </c>
      <c r="D115" s="165">
        <v>1280000</v>
      </c>
      <c r="E115" s="21" t="s">
        <v>526</v>
      </c>
      <c r="F115" s="21" t="s">
        <v>527</v>
      </c>
      <c r="G115" s="8" t="str">
        <f t="shared" si="1"/>
        <v>BARTLETT KIANDRA</v>
      </c>
    </row>
    <row r="116" spans="1:7" x14ac:dyDescent="0.25">
      <c r="A116" s="8">
        <v>42714.578981481478</v>
      </c>
      <c r="B116" s="21" t="s">
        <v>415</v>
      </c>
      <c r="C116" s="21" t="s">
        <v>552</v>
      </c>
      <c r="D116" s="165">
        <v>930000</v>
      </c>
      <c r="E116" s="21" t="s">
        <v>516</v>
      </c>
      <c r="F116" s="21" t="s">
        <v>517</v>
      </c>
      <c r="G116" s="8" t="str">
        <f t="shared" si="1"/>
        <v>CLARK KATHLEEN</v>
      </c>
    </row>
    <row r="117" spans="1:7" x14ac:dyDescent="0.25">
      <c r="A117" s="8">
        <v>42714.585949074077</v>
      </c>
      <c r="B117" s="21" t="s">
        <v>235</v>
      </c>
      <c r="C117" s="21" t="s">
        <v>553</v>
      </c>
      <c r="D117" s="165">
        <v>2440000</v>
      </c>
      <c r="E117" s="21" t="s">
        <v>554</v>
      </c>
      <c r="F117" s="21" t="s">
        <v>555</v>
      </c>
      <c r="G117" s="8" t="str">
        <f t="shared" si="1"/>
        <v>LOPES KIMBERLY</v>
      </c>
    </row>
    <row r="118" spans="1:7" x14ac:dyDescent="0.25">
      <c r="A118" s="8">
        <v>42714.58798611111</v>
      </c>
      <c r="B118" s="21" t="s">
        <v>209</v>
      </c>
      <c r="C118" s="21" t="s">
        <v>556</v>
      </c>
      <c r="D118" s="165">
        <v>2040000</v>
      </c>
      <c r="E118" s="21" t="s">
        <v>347</v>
      </c>
      <c r="F118" s="21" t="s">
        <v>348</v>
      </c>
      <c r="G118" s="8" t="str">
        <f t="shared" si="1"/>
        <v>MOSES BRADLEY</v>
      </c>
    </row>
    <row r="119" spans="1:7" x14ac:dyDescent="0.25">
      <c r="A119" s="8">
        <v>42714.590717592589</v>
      </c>
      <c r="B119" s="21" t="s">
        <v>229</v>
      </c>
      <c r="C119" s="21" t="s">
        <v>424</v>
      </c>
      <c r="D119" s="165">
        <v>1740000</v>
      </c>
      <c r="E119" s="21" t="s">
        <v>312</v>
      </c>
      <c r="F119" s="21" t="s">
        <v>313</v>
      </c>
      <c r="G119" s="8" t="str">
        <f t="shared" si="1"/>
        <v>STORY SAMANTHA</v>
      </c>
    </row>
    <row r="120" spans="1:7" x14ac:dyDescent="0.25">
      <c r="A120" s="8">
        <v>42714.595729166664</v>
      </c>
      <c r="B120" s="21" t="s">
        <v>412</v>
      </c>
      <c r="C120" s="21" t="s">
        <v>557</v>
      </c>
      <c r="D120" s="165">
        <v>2020000</v>
      </c>
      <c r="E120" s="21" t="s">
        <v>381</v>
      </c>
      <c r="F120" s="21" t="s">
        <v>277</v>
      </c>
      <c r="G120" s="8" t="str">
        <f t="shared" si="1"/>
        <v>SHOOK JOHN</v>
      </c>
    </row>
    <row r="121" spans="1:7" x14ac:dyDescent="0.25">
      <c r="A121" s="8">
        <v>42714.601261574076</v>
      </c>
      <c r="B121" s="21" t="s">
        <v>183</v>
      </c>
      <c r="C121" s="21" t="s">
        <v>558</v>
      </c>
      <c r="D121" s="165">
        <v>880000</v>
      </c>
      <c r="E121" s="21" t="s">
        <v>522</v>
      </c>
      <c r="F121" s="21" t="s">
        <v>373</v>
      </c>
      <c r="G121" s="8" t="str">
        <f t="shared" si="1"/>
        <v>STEWART MICHAEL</v>
      </c>
    </row>
    <row r="122" spans="1:7" x14ac:dyDescent="0.25">
      <c r="A122" s="8">
        <v>42714.608240740738</v>
      </c>
      <c r="B122" s="26" t="s">
        <v>286</v>
      </c>
      <c r="C122" s="21" t="s">
        <v>559</v>
      </c>
      <c r="D122" s="165">
        <v>1770000</v>
      </c>
      <c r="E122" s="21" t="s">
        <v>535</v>
      </c>
      <c r="F122" s="21" t="s">
        <v>536</v>
      </c>
      <c r="G122" s="8" t="str">
        <f t="shared" si="1"/>
        <v>BRUDER RICHARD</v>
      </c>
    </row>
    <row r="123" spans="1:7" x14ac:dyDescent="0.25">
      <c r="A123" s="8">
        <v>42714.609027777777</v>
      </c>
      <c r="B123" s="21" t="s">
        <v>248</v>
      </c>
      <c r="C123" s="21" t="s">
        <v>560</v>
      </c>
      <c r="D123" s="165">
        <v>2440000</v>
      </c>
      <c r="E123" s="21" t="s">
        <v>554</v>
      </c>
      <c r="F123" s="21" t="s">
        <v>555</v>
      </c>
      <c r="G123" s="8" t="str">
        <f t="shared" si="1"/>
        <v>LOPES KIMBERLY</v>
      </c>
    </row>
    <row r="124" spans="1:7" x14ac:dyDescent="0.25">
      <c r="A124" s="8">
        <v>42714.61210648148</v>
      </c>
      <c r="B124" s="21" t="s">
        <v>262</v>
      </c>
      <c r="C124" s="21" t="s">
        <v>561</v>
      </c>
      <c r="D124" s="165">
        <v>1280000</v>
      </c>
      <c r="E124" s="21" t="s">
        <v>526</v>
      </c>
      <c r="F124" s="21" t="s">
        <v>527</v>
      </c>
      <c r="G124" s="8" t="str">
        <f t="shared" si="1"/>
        <v>BARTLETT KIANDRA</v>
      </c>
    </row>
    <row r="125" spans="1:7" x14ac:dyDescent="0.25">
      <c r="A125" s="8">
        <v>42714.616701388892</v>
      </c>
      <c r="B125" s="21" t="s">
        <v>408</v>
      </c>
      <c r="C125" s="21" t="s">
        <v>562</v>
      </c>
      <c r="D125" s="165">
        <v>930000</v>
      </c>
      <c r="E125" s="21" t="s">
        <v>516</v>
      </c>
      <c r="F125" s="21" t="s">
        <v>517</v>
      </c>
      <c r="G125" s="8" t="str">
        <f t="shared" si="1"/>
        <v>CLARK KATHLEEN</v>
      </c>
    </row>
    <row r="126" spans="1:7" x14ac:dyDescent="0.25">
      <c r="A126" s="8">
        <v>42714.62300925926</v>
      </c>
      <c r="B126" s="21" t="s">
        <v>208</v>
      </c>
      <c r="C126" s="21" t="s">
        <v>425</v>
      </c>
      <c r="D126" s="165">
        <v>2040000</v>
      </c>
      <c r="E126" s="21" t="s">
        <v>347</v>
      </c>
      <c r="F126" s="21" t="s">
        <v>348</v>
      </c>
      <c r="G126" s="8" t="str">
        <f t="shared" si="1"/>
        <v>MOSES BRADLEY</v>
      </c>
    </row>
    <row r="127" spans="1:7" x14ac:dyDescent="0.25">
      <c r="A127" s="8">
        <v>42714.623159722221</v>
      </c>
      <c r="B127" s="21" t="s">
        <v>235</v>
      </c>
      <c r="C127" s="21" t="s">
        <v>563</v>
      </c>
      <c r="D127" s="165">
        <v>2440000</v>
      </c>
      <c r="E127" s="21" t="s">
        <v>554</v>
      </c>
      <c r="F127" s="21" t="s">
        <v>555</v>
      </c>
      <c r="G127" s="8" t="str">
        <f t="shared" si="1"/>
        <v>LOPES KIMBERLY</v>
      </c>
    </row>
    <row r="128" spans="1:7" x14ac:dyDescent="0.25">
      <c r="A128" s="8">
        <v>42714.628969907404</v>
      </c>
      <c r="B128" s="21" t="s">
        <v>230</v>
      </c>
      <c r="C128" s="21" t="s">
        <v>564</v>
      </c>
      <c r="D128" s="165">
        <v>1740000</v>
      </c>
      <c r="E128" s="21" t="s">
        <v>312</v>
      </c>
      <c r="F128" s="21" t="s">
        <v>313</v>
      </c>
      <c r="G128" s="8" t="str">
        <f t="shared" si="1"/>
        <v>STORY SAMANTHA</v>
      </c>
    </row>
    <row r="129" spans="1:7" x14ac:dyDescent="0.25">
      <c r="A129" s="8">
        <v>42714.6325</v>
      </c>
      <c r="B129" s="21" t="s">
        <v>463</v>
      </c>
      <c r="C129" s="21" t="s">
        <v>565</v>
      </c>
      <c r="D129" s="165">
        <v>2020000</v>
      </c>
      <c r="E129" s="21" t="s">
        <v>381</v>
      </c>
      <c r="F129" s="21" t="s">
        <v>277</v>
      </c>
      <c r="G129" s="8" t="str">
        <f t="shared" si="1"/>
        <v>SHOOK JOHN</v>
      </c>
    </row>
    <row r="130" spans="1:7" x14ac:dyDescent="0.25">
      <c r="A130" s="8">
        <v>42714.641481481478</v>
      </c>
      <c r="B130" s="21" t="s">
        <v>287</v>
      </c>
      <c r="C130" s="21" t="s">
        <v>566</v>
      </c>
      <c r="D130" s="165">
        <v>1770000</v>
      </c>
      <c r="E130" s="21" t="s">
        <v>535</v>
      </c>
      <c r="F130" s="21" t="s">
        <v>536</v>
      </c>
      <c r="G130" s="8" t="str">
        <f t="shared" si="1"/>
        <v>BRUDER RICHARD</v>
      </c>
    </row>
    <row r="131" spans="1:7" x14ac:dyDescent="0.25">
      <c r="A131" s="8">
        <v>42714.641516203701</v>
      </c>
      <c r="B131" s="21" t="s">
        <v>245</v>
      </c>
      <c r="C131" s="21" t="s">
        <v>427</v>
      </c>
      <c r="D131" s="165">
        <v>880000</v>
      </c>
      <c r="E131" s="21" t="s">
        <v>522</v>
      </c>
      <c r="F131" s="21" t="s">
        <v>373</v>
      </c>
      <c r="G131" s="8" t="str">
        <f t="shared" ref="G131:G194" si="2">E131&amp;" "&amp;F131</f>
        <v>STEWART MICHAEL</v>
      </c>
    </row>
    <row r="132" spans="1:7" x14ac:dyDescent="0.25">
      <c r="A132" s="8">
        <v>42714.643541666665</v>
      </c>
      <c r="B132" s="21" t="s">
        <v>301</v>
      </c>
      <c r="C132" s="21" t="s">
        <v>567</v>
      </c>
      <c r="D132" s="165">
        <v>1280000</v>
      </c>
      <c r="E132" s="21" t="s">
        <v>526</v>
      </c>
      <c r="F132" s="21" t="s">
        <v>527</v>
      </c>
      <c r="G132" s="8" t="str">
        <f t="shared" si="2"/>
        <v>BARTLETT KIANDRA</v>
      </c>
    </row>
    <row r="133" spans="1:7" x14ac:dyDescent="0.25">
      <c r="A133" s="8">
        <v>42714.650104166663</v>
      </c>
      <c r="B133" s="21" t="s">
        <v>248</v>
      </c>
      <c r="C133" s="21" t="s">
        <v>426</v>
      </c>
      <c r="D133" s="165">
        <v>2440000</v>
      </c>
      <c r="E133" s="21" t="s">
        <v>554</v>
      </c>
      <c r="F133" s="21" t="s">
        <v>555</v>
      </c>
      <c r="G133" s="8" t="str">
        <f t="shared" si="2"/>
        <v>LOPES KIMBERLY</v>
      </c>
    </row>
    <row r="134" spans="1:7" x14ac:dyDescent="0.25">
      <c r="A134" s="8">
        <v>42714.653541666667</v>
      </c>
      <c r="B134" s="21" t="s">
        <v>415</v>
      </c>
      <c r="C134" s="21" t="s">
        <v>568</v>
      </c>
      <c r="D134" s="165">
        <v>930000</v>
      </c>
      <c r="E134" s="21" t="s">
        <v>516</v>
      </c>
      <c r="F134" s="21" t="s">
        <v>517</v>
      </c>
      <c r="G134" s="8" t="str">
        <f t="shared" si="2"/>
        <v>CLARK KATHLEEN</v>
      </c>
    </row>
    <row r="135" spans="1:7" x14ac:dyDescent="0.25">
      <c r="A135" s="8">
        <v>42714.66133101852</v>
      </c>
      <c r="B135" s="21" t="s">
        <v>209</v>
      </c>
      <c r="C135" s="21" t="s">
        <v>569</v>
      </c>
      <c r="D135" s="165">
        <v>2040000</v>
      </c>
      <c r="E135" s="21" t="s">
        <v>347</v>
      </c>
      <c r="F135" s="21" t="s">
        <v>348</v>
      </c>
      <c r="G135" s="8" t="str">
        <f t="shared" si="2"/>
        <v>MOSES BRADLEY</v>
      </c>
    </row>
    <row r="136" spans="1:7" x14ac:dyDescent="0.25">
      <c r="A136" s="8">
        <v>42714.664641203701</v>
      </c>
      <c r="B136" s="21" t="s">
        <v>235</v>
      </c>
      <c r="C136" s="21" t="s">
        <v>428</v>
      </c>
      <c r="D136" s="165">
        <v>2440000</v>
      </c>
      <c r="E136" s="21" t="s">
        <v>554</v>
      </c>
      <c r="F136" s="21" t="s">
        <v>555</v>
      </c>
      <c r="G136" s="8" t="str">
        <f t="shared" si="2"/>
        <v>LOPES KIMBERLY</v>
      </c>
    </row>
    <row r="137" spans="1:7" x14ac:dyDescent="0.25">
      <c r="A137" s="8">
        <v>42714.66511574074</v>
      </c>
      <c r="B137" s="21" t="s">
        <v>229</v>
      </c>
      <c r="C137" s="21" t="s">
        <v>570</v>
      </c>
      <c r="D137" s="165">
        <v>2230000</v>
      </c>
      <c r="E137" s="21" t="s">
        <v>380</v>
      </c>
      <c r="F137" s="21" t="s">
        <v>373</v>
      </c>
      <c r="G137" s="8" t="str">
        <f t="shared" si="2"/>
        <v>SMITH MICHAEL</v>
      </c>
    </row>
    <row r="138" spans="1:7" x14ac:dyDescent="0.25">
      <c r="A138" s="8">
        <v>42714.670011574075</v>
      </c>
      <c r="B138" s="21" t="s">
        <v>412</v>
      </c>
      <c r="C138" s="21" t="s">
        <v>571</v>
      </c>
      <c r="D138" s="165">
        <v>2020000</v>
      </c>
      <c r="E138" s="21" t="s">
        <v>381</v>
      </c>
      <c r="F138" s="21" t="s">
        <v>277</v>
      </c>
      <c r="G138" s="8" t="str">
        <f t="shared" si="2"/>
        <v>SHOOK JOHN</v>
      </c>
    </row>
    <row r="139" spans="1:7" x14ac:dyDescent="0.25">
      <c r="A139" s="8">
        <v>42714.674884259257</v>
      </c>
      <c r="B139" s="21" t="s">
        <v>237</v>
      </c>
      <c r="C139" s="21" t="s">
        <v>429</v>
      </c>
      <c r="D139" s="165">
        <v>2220000</v>
      </c>
      <c r="E139" s="21" t="s">
        <v>382</v>
      </c>
      <c r="F139" s="21" t="s">
        <v>383</v>
      </c>
      <c r="G139" s="8" t="str">
        <f t="shared" si="2"/>
        <v>HILLS DUSTIN</v>
      </c>
    </row>
    <row r="140" spans="1:7" x14ac:dyDescent="0.25">
      <c r="A140" s="8">
        <v>42714.681273148148</v>
      </c>
      <c r="B140" s="21" t="s">
        <v>286</v>
      </c>
      <c r="C140" s="21" t="s">
        <v>572</v>
      </c>
      <c r="D140" s="165">
        <v>1770000</v>
      </c>
      <c r="E140" s="21" t="s">
        <v>535</v>
      </c>
      <c r="F140" s="21" t="s">
        <v>536</v>
      </c>
      <c r="G140" s="8" t="str">
        <f t="shared" si="2"/>
        <v>BRUDER RICHARD</v>
      </c>
    </row>
    <row r="141" spans="1:7" x14ac:dyDescent="0.25">
      <c r="A141" s="8">
        <v>42714.683391203704</v>
      </c>
      <c r="B141" s="21" t="s">
        <v>262</v>
      </c>
      <c r="C141" s="21" t="s">
        <v>573</v>
      </c>
      <c r="D141" s="165">
        <v>1280000</v>
      </c>
      <c r="E141" s="21" t="s">
        <v>526</v>
      </c>
      <c r="F141" s="21" t="s">
        <v>527</v>
      </c>
      <c r="G141" s="8" t="str">
        <f t="shared" si="2"/>
        <v>BARTLETT KIANDRA</v>
      </c>
    </row>
    <row r="142" spans="1:7" x14ac:dyDescent="0.25">
      <c r="A142" s="8">
        <v>42714.689629629633</v>
      </c>
      <c r="B142" s="21" t="s">
        <v>408</v>
      </c>
      <c r="C142" s="21" t="s">
        <v>574</v>
      </c>
      <c r="D142" s="165">
        <v>930000</v>
      </c>
      <c r="E142" s="21" t="s">
        <v>516</v>
      </c>
      <c r="F142" s="21" t="s">
        <v>517</v>
      </c>
      <c r="G142" s="8" t="str">
        <f t="shared" si="2"/>
        <v>CLARK KATHLEEN</v>
      </c>
    </row>
    <row r="143" spans="1:7" x14ac:dyDescent="0.25">
      <c r="A143" s="8">
        <v>42714.692037037035</v>
      </c>
      <c r="B143" s="21" t="s">
        <v>248</v>
      </c>
      <c r="C143" s="21" t="s">
        <v>575</v>
      </c>
      <c r="D143" s="165">
        <v>2440000</v>
      </c>
      <c r="E143" s="21" t="s">
        <v>554</v>
      </c>
      <c r="F143" s="21" t="s">
        <v>555</v>
      </c>
      <c r="G143" s="8" t="str">
        <f t="shared" si="2"/>
        <v>LOPES KIMBERLY</v>
      </c>
    </row>
    <row r="144" spans="1:7" x14ac:dyDescent="0.25">
      <c r="A144" s="8">
        <v>42714.695208333331</v>
      </c>
      <c r="B144" s="21" t="s">
        <v>230</v>
      </c>
      <c r="C144" s="21" t="s">
        <v>576</v>
      </c>
      <c r="D144" s="165">
        <v>2230000</v>
      </c>
      <c r="E144" s="21" t="s">
        <v>380</v>
      </c>
      <c r="F144" s="21" t="s">
        <v>373</v>
      </c>
      <c r="G144" s="8" t="str">
        <f t="shared" si="2"/>
        <v>SMITH MICHAEL</v>
      </c>
    </row>
    <row r="145" spans="1:7" x14ac:dyDescent="0.25">
      <c r="A145" s="8">
        <v>42714.696238425924</v>
      </c>
      <c r="B145" s="21" t="s">
        <v>208</v>
      </c>
      <c r="C145" s="21" t="s">
        <v>430</v>
      </c>
      <c r="D145" s="165">
        <v>2040000</v>
      </c>
      <c r="E145" s="21" t="s">
        <v>347</v>
      </c>
      <c r="F145" s="21" t="s">
        <v>348</v>
      </c>
      <c r="G145" s="8" t="str">
        <f t="shared" si="2"/>
        <v>MOSES BRADLEY</v>
      </c>
    </row>
    <row r="146" spans="1:7" x14ac:dyDescent="0.25">
      <c r="A146" s="8">
        <v>42714.704687500001</v>
      </c>
      <c r="B146" s="21" t="s">
        <v>463</v>
      </c>
      <c r="C146" s="21" t="s">
        <v>577</v>
      </c>
      <c r="D146" s="165">
        <v>2020000</v>
      </c>
      <c r="E146" s="21" t="s">
        <v>381</v>
      </c>
      <c r="F146" s="21" t="s">
        <v>277</v>
      </c>
      <c r="G146" s="8" t="str">
        <f t="shared" si="2"/>
        <v>SHOOK JOHN</v>
      </c>
    </row>
    <row r="147" spans="1:7" x14ac:dyDescent="0.25">
      <c r="A147" s="8">
        <v>42714.705034722225</v>
      </c>
      <c r="B147" s="21" t="s">
        <v>307</v>
      </c>
      <c r="C147" s="21" t="s">
        <v>578</v>
      </c>
      <c r="D147" s="165">
        <v>2220000</v>
      </c>
      <c r="E147" s="21" t="s">
        <v>382</v>
      </c>
      <c r="F147" s="21" t="s">
        <v>383</v>
      </c>
      <c r="G147" s="8" t="str">
        <f t="shared" si="2"/>
        <v>HILLS DUSTIN</v>
      </c>
    </row>
    <row r="148" spans="1:7" x14ac:dyDescent="0.25">
      <c r="A148" s="8">
        <v>42714.707152777781</v>
      </c>
      <c r="B148" s="21" t="s">
        <v>235</v>
      </c>
      <c r="C148" s="21" t="s">
        <v>579</v>
      </c>
      <c r="D148" s="165">
        <v>2440000</v>
      </c>
      <c r="E148" s="21" t="s">
        <v>554</v>
      </c>
      <c r="F148" s="21" t="s">
        <v>555</v>
      </c>
      <c r="G148" s="8" t="str">
        <f t="shared" si="2"/>
        <v>LOPES KIMBERLY</v>
      </c>
    </row>
    <row r="149" spans="1:7" x14ac:dyDescent="0.25">
      <c r="A149" s="8">
        <v>42714.714733796296</v>
      </c>
      <c r="B149" s="21" t="s">
        <v>287</v>
      </c>
      <c r="C149" s="21" t="s">
        <v>580</v>
      </c>
      <c r="D149" s="165">
        <v>1770000</v>
      </c>
      <c r="E149" s="21" t="s">
        <v>535</v>
      </c>
      <c r="F149" s="21" t="s">
        <v>536</v>
      </c>
      <c r="G149" s="8" t="str">
        <f t="shared" si="2"/>
        <v>BRUDER RICHARD</v>
      </c>
    </row>
    <row r="150" spans="1:7" x14ac:dyDescent="0.25">
      <c r="A150" s="8">
        <v>42714.714861111112</v>
      </c>
      <c r="B150" s="21" t="s">
        <v>241</v>
      </c>
      <c r="C150" s="21" t="s">
        <v>581</v>
      </c>
      <c r="D150" s="165">
        <v>2270000</v>
      </c>
      <c r="E150" s="21" t="s">
        <v>345</v>
      </c>
      <c r="F150" s="21" t="s">
        <v>346</v>
      </c>
      <c r="G150" s="8" t="str">
        <f t="shared" si="2"/>
        <v>BROWN JACOB</v>
      </c>
    </row>
    <row r="151" spans="1:7" x14ac:dyDescent="0.25">
      <c r="A151" s="8">
        <v>42714.716932870368</v>
      </c>
      <c r="B151" s="21" t="s">
        <v>301</v>
      </c>
      <c r="C151" s="21" t="s">
        <v>573</v>
      </c>
      <c r="D151" s="165">
        <v>1280000</v>
      </c>
      <c r="E151" s="21" t="s">
        <v>526</v>
      </c>
      <c r="F151" s="21" t="s">
        <v>527</v>
      </c>
      <c r="G151" s="8" t="str">
        <f t="shared" si="2"/>
        <v>BARTLETT KIANDRA</v>
      </c>
    </row>
    <row r="152" spans="1:7" x14ac:dyDescent="0.25">
      <c r="A152" s="8">
        <v>42714.718518518515</v>
      </c>
      <c r="B152" s="21" t="s">
        <v>301</v>
      </c>
      <c r="C152" s="21" t="s">
        <v>582</v>
      </c>
      <c r="D152" s="165">
        <v>1280000</v>
      </c>
      <c r="E152" s="21" t="s">
        <v>526</v>
      </c>
      <c r="F152" s="21" t="s">
        <v>527</v>
      </c>
      <c r="G152" s="8" t="str">
        <f t="shared" si="2"/>
        <v>BARTLETT KIANDRA</v>
      </c>
    </row>
    <row r="153" spans="1:7" x14ac:dyDescent="0.25">
      <c r="A153" s="8">
        <v>42714.727835648147</v>
      </c>
      <c r="B153" s="21" t="s">
        <v>415</v>
      </c>
      <c r="C153" s="21" t="s">
        <v>583</v>
      </c>
      <c r="D153" s="165">
        <v>930000</v>
      </c>
      <c r="E153" s="21" t="s">
        <v>516</v>
      </c>
      <c r="F153" s="21" t="s">
        <v>517</v>
      </c>
      <c r="G153" s="8" t="str">
        <f t="shared" si="2"/>
        <v>CLARK KATHLEEN</v>
      </c>
    </row>
    <row r="154" spans="1:7" x14ac:dyDescent="0.25">
      <c r="A154" s="8">
        <v>42714.730138888888</v>
      </c>
      <c r="B154" s="21" t="s">
        <v>183</v>
      </c>
      <c r="C154" s="21" t="s">
        <v>584</v>
      </c>
      <c r="D154" s="165">
        <v>880000</v>
      </c>
      <c r="E154" s="21" t="s">
        <v>522</v>
      </c>
      <c r="F154" s="21" t="s">
        <v>373</v>
      </c>
      <c r="G154" s="8" t="str">
        <f t="shared" si="2"/>
        <v>STEWART MICHAEL</v>
      </c>
    </row>
    <row r="155" spans="1:7" x14ac:dyDescent="0.25">
      <c r="A155" s="8">
        <v>42714.734317129631</v>
      </c>
      <c r="B155" s="21" t="s">
        <v>248</v>
      </c>
      <c r="C155" s="21" t="s">
        <v>585</v>
      </c>
      <c r="D155" s="165">
        <v>2440000</v>
      </c>
      <c r="E155" s="21" t="s">
        <v>554</v>
      </c>
      <c r="F155" s="21" t="s">
        <v>555</v>
      </c>
      <c r="G155" s="8" t="str">
        <f t="shared" si="2"/>
        <v>LOPES KIMBERLY</v>
      </c>
    </row>
    <row r="156" spans="1:7" x14ac:dyDescent="0.25">
      <c r="A156" s="8">
        <v>42714.734606481485</v>
      </c>
      <c r="B156" s="21" t="s">
        <v>209</v>
      </c>
      <c r="C156" s="21" t="s">
        <v>430</v>
      </c>
      <c r="D156" s="165">
        <v>2040000</v>
      </c>
      <c r="E156" s="21" t="s">
        <v>347</v>
      </c>
      <c r="F156" s="21" t="s">
        <v>348</v>
      </c>
      <c r="G156" s="8" t="str">
        <f t="shared" si="2"/>
        <v>MOSES BRADLEY</v>
      </c>
    </row>
    <row r="157" spans="1:7" x14ac:dyDescent="0.25">
      <c r="A157" s="8">
        <v>42714.736875000002</v>
      </c>
      <c r="B157" s="21" t="s">
        <v>209</v>
      </c>
      <c r="C157" s="21" t="s">
        <v>586</v>
      </c>
      <c r="D157" s="165">
        <v>2040000</v>
      </c>
      <c r="E157" s="21" t="s">
        <v>347</v>
      </c>
      <c r="F157" s="21" t="s">
        <v>348</v>
      </c>
      <c r="G157" s="8" t="str">
        <f t="shared" si="2"/>
        <v>MOSES BRADLEY</v>
      </c>
    </row>
    <row r="158" spans="1:7" x14ac:dyDescent="0.25">
      <c r="A158" s="8">
        <v>42714.739039351851</v>
      </c>
      <c r="B158" s="21" t="s">
        <v>229</v>
      </c>
      <c r="C158" s="21" t="s">
        <v>587</v>
      </c>
      <c r="D158" s="165">
        <v>2480000</v>
      </c>
      <c r="E158" s="21" t="s">
        <v>386</v>
      </c>
      <c r="F158" s="21" t="s">
        <v>383</v>
      </c>
      <c r="G158" s="8" t="str">
        <f t="shared" si="2"/>
        <v>WHITED DUSTIN</v>
      </c>
    </row>
    <row r="159" spans="1:7" x14ac:dyDescent="0.25">
      <c r="A159" s="8">
        <v>42714.740810185183</v>
      </c>
      <c r="B159" s="21" t="s">
        <v>412</v>
      </c>
      <c r="C159" s="21" t="s">
        <v>588</v>
      </c>
      <c r="D159" s="165">
        <v>2020000</v>
      </c>
      <c r="E159" s="21" t="s">
        <v>381</v>
      </c>
      <c r="F159" s="21" t="s">
        <v>277</v>
      </c>
      <c r="G159" s="8" t="str">
        <f t="shared" si="2"/>
        <v>SHOOK JOHN</v>
      </c>
    </row>
    <row r="160" spans="1:7" x14ac:dyDescent="0.25">
      <c r="A160" s="8">
        <v>42714.744004629632</v>
      </c>
      <c r="B160" s="21" t="s">
        <v>275</v>
      </c>
      <c r="C160" s="21" t="s">
        <v>431</v>
      </c>
      <c r="D160" s="165">
        <v>2000000</v>
      </c>
      <c r="E160" s="21" t="s">
        <v>211</v>
      </c>
      <c r="F160" s="21" t="s">
        <v>282</v>
      </c>
      <c r="G160" s="8" t="str">
        <f t="shared" si="2"/>
        <v>STAMBAUGH JAMES</v>
      </c>
    </row>
    <row r="161" spans="1:7" x14ac:dyDescent="0.25">
      <c r="A161" s="8">
        <v>42714.747650462959</v>
      </c>
      <c r="B161" s="21" t="s">
        <v>237</v>
      </c>
      <c r="C161" s="21" t="s">
        <v>589</v>
      </c>
      <c r="D161" s="165">
        <v>1740000</v>
      </c>
      <c r="E161" s="21" t="s">
        <v>312</v>
      </c>
      <c r="F161" s="21" t="s">
        <v>313</v>
      </c>
      <c r="G161" s="8" t="str">
        <f t="shared" si="2"/>
        <v>STORY SAMANTHA</v>
      </c>
    </row>
    <row r="162" spans="1:7" x14ac:dyDescent="0.25">
      <c r="A162" s="8">
        <v>42714.747835648152</v>
      </c>
      <c r="B162" s="21" t="s">
        <v>439</v>
      </c>
      <c r="C162" s="21" t="s">
        <v>590</v>
      </c>
      <c r="D162" s="165">
        <v>2560000</v>
      </c>
      <c r="E162" s="21" t="s">
        <v>591</v>
      </c>
      <c r="F162" s="21" t="s">
        <v>592</v>
      </c>
      <c r="G162" s="8" t="str">
        <f t="shared" si="2"/>
        <v>MACDONALD THOMAS</v>
      </c>
    </row>
    <row r="163" spans="1:7" x14ac:dyDescent="0.25">
      <c r="A163" s="8">
        <v>42714.748530092591</v>
      </c>
      <c r="B163" s="21" t="s">
        <v>235</v>
      </c>
      <c r="C163" s="21" t="s">
        <v>585</v>
      </c>
      <c r="D163" s="165">
        <v>2440000</v>
      </c>
      <c r="E163" s="21" t="s">
        <v>554</v>
      </c>
      <c r="F163" s="21" t="s">
        <v>555</v>
      </c>
      <c r="G163" s="8" t="str">
        <f t="shared" si="2"/>
        <v>LOPES KIMBERLY</v>
      </c>
    </row>
    <row r="164" spans="1:7" x14ac:dyDescent="0.25">
      <c r="A164" s="8">
        <v>42714.750636574077</v>
      </c>
      <c r="B164" s="21" t="s">
        <v>235</v>
      </c>
      <c r="C164" s="21" t="s">
        <v>593</v>
      </c>
      <c r="D164" s="165">
        <v>2440000</v>
      </c>
      <c r="E164" s="21" t="s">
        <v>554</v>
      </c>
      <c r="F164" s="21" t="s">
        <v>555</v>
      </c>
      <c r="G164" s="8" t="str">
        <f t="shared" si="2"/>
        <v>LOPES KIMBERLY</v>
      </c>
    </row>
    <row r="165" spans="1:7" x14ac:dyDescent="0.25">
      <c r="A165" s="8">
        <v>42714.754224537035</v>
      </c>
      <c r="B165" s="21" t="s">
        <v>286</v>
      </c>
      <c r="C165" s="21" t="s">
        <v>594</v>
      </c>
      <c r="D165" s="165">
        <v>1770000</v>
      </c>
      <c r="E165" s="21" t="s">
        <v>535</v>
      </c>
      <c r="F165" s="21" t="s">
        <v>536</v>
      </c>
      <c r="G165" s="8" t="str">
        <f t="shared" si="2"/>
        <v>BRUDER RICHARD</v>
      </c>
    </row>
    <row r="166" spans="1:7" x14ac:dyDescent="0.25">
      <c r="A166" s="8">
        <v>42714.760358796295</v>
      </c>
      <c r="B166" s="21" t="s">
        <v>262</v>
      </c>
      <c r="C166" s="21" t="s">
        <v>595</v>
      </c>
      <c r="D166" s="165">
        <v>1800000</v>
      </c>
      <c r="E166" s="21" t="s">
        <v>249</v>
      </c>
      <c r="F166" s="21" t="s">
        <v>291</v>
      </c>
      <c r="G166" s="8" t="str">
        <f t="shared" si="2"/>
        <v>CHANDLER KELVIN</v>
      </c>
    </row>
    <row r="167" spans="1:7" x14ac:dyDescent="0.25">
      <c r="A167" s="8">
        <v>42714.763622685183</v>
      </c>
      <c r="B167" s="21" t="s">
        <v>408</v>
      </c>
      <c r="C167" s="21" t="s">
        <v>596</v>
      </c>
      <c r="D167" s="165">
        <v>930000</v>
      </c>
      <c r="E167" s="21" t="s">
        <v>516</v>
      </c>
      <c r="F167" s="21" t="s">
        <v>517</v>
      </c>
      <c r="G167" s="8" t="str">
        <f t="shared" si="2"/>
        <v>CLARK KATHLEEN</v>
      </c>
    </row>
    <row r="168" spans="1:7" x14ac:dyDescent="0.25">
      <c r="A168" s="8">
        <v>42714.767754629633</v>
      </c>
      <c r="B168" s="21" t="s">
        <v>208</v>
      </c>
      <c r="C168" s="21" t="s">
        <v>597</v>
      </c>
      <c r="D168" s="165">
        <v>2000000</v>
      </c>
      <c r="E168" s="21" t="s">
        <v>211</v>
      </c>
      <c r="F168" s="21" t="s">
        <v>282</v>
      </c>
      <c r="G168" s="8" t="str">
        <f t="shared" si="2"/>
        <v>STAMBAUGH JAMES</v>
      </c>
    </row>
    <row r="169" spans="1:7" x14ac:dyDescent="0.25">
      <c r="A169" s="8">
        <v>42714.774062500001</v>
      </c>
      <c r="B169" s="21" t="s">
        <v>184</v>
      </c>
      <c r="C169" s="21" t="s">
        <v>598</v>
      </c>
      <c r="D169" s="165">
        <v>2040000</v>
      </c>
      <c r="E169" s="21" t="s">
        <v>347</v>
      </c>
      <c r="F169" s="21" t="s">
        <v>348</v>
      </c>
      <c r="G169" s="8" t="str">
        <f t="shared" si="2"/>
        <v>MOSES BRADLEY</v>
      </c>
    </row>
    <row r="170" spans="1:7" x14ac:dyDescent="0.25">
      <c r="A170" s="8">
        <v>42714.774247685185</v>
      </c>
      <c r="B170" s="21" t="s">
        <v>230</v>
      </c>
      <c r="C170" s="21" t="s">
        <v>599</v>
      </c>
      <c r="D170" s="165">
        <v>2480000</v>
      </c>
      <c r="E170" s="21" t="s">
        <v>386</v>
      </c>
      <c r="F170" s="21" t="s">
        <v>383</v>
      </c>
      <c r="G170" s="8" t="str">
        <f t="shared" si="2"/>
        <v>WHITED DUSTIN</v>
      </c>
    </row>
    <row r="171" spans="1:7" x14ac:dyDescent="0.25">
      <c r="A171" s="8">
        <v>42714.77753472222</v>
      </c>
      <c r="B171" s="21" t="s">
        <v>248</v>
      </c>
      <c r="C171" s="21" t="s">
        <v>432</v>
      </c>
      <c r="D171" s="165">
        <v>2440000</v>
      </c>
      <c r="E171" s="21" t="s">
        <v>554</v>
      </c>
      <c r="F171" s="21" t="s">
        <v>555</v>
      </c>
      <c r="G171" s="8" t="str">
        <f t="shared" si="2"/>
        <v>LOPES KIMBERLY</v>
      </c>
    </row>
    <row r="172" spans="1:7" x14ac:dyDescent="0.25">
      <c r="A172" s="8">
        <v>42714.779537037037</v>
      </c>
      <c r="B172" s="21" t="s">
        <v>463</v>
      </c>
      <c r="C172" s="21" t="s">
        <v>600</v>
      </c>
      <c r="D172" s="165">
        <v>2020000</v>
      </c>
      <c r="E172" s="21" t="s">
        <v>381</v>
      </c>
      <c r="F172" s="21" t="s">
        <v>277</v>
      </c>
      <c r="G172" s="8" t="str">
        <f t="shared" si="2"/>
        <v>SHOOK JOHN</v>
      </c>
    </row>
    <row r="173" spans="1:7" x14ac:dyDescent="0.25">
      <c r="A173" s="8">
        <v>42714.786805555559</v>
      </c>
      <c r="B173" s="21" t="s">
        <v>307</v>
      </c>
      <c r="C173" s="21" t="s">
        <v>601</v>
      </c>
      <c r="D173" s="165">
        <v>1740000</v>
      </c>
      <c r="E173" s="21" t="s">
        <v>312</v>
      </c>
      <c r="F173" s="21" t="s">
        <v>313</v>
      </c>
      <c r="G173" s="8" t="str">
        <f t="shared" si="2"/>
        <v>STORY SAMANTHA</v>
      </c>
    </row>
    <row r="174" spans="1:7" x14ac:dyDescent="0.25">
      <c r="A174" s="8">
        <v>42714.789861111109</v>
      </c>
      <c r="B174" s="21" t="s">
        <v>287</v>
      </c>
      <c r="C174" s="21" t="s">
        <v>602</v>
      </c>
      <c r="D174" s="165">
        <v>2550000</v>
      </c>
      <c r="E174" s="21" t="s">
        <v>215</v>
      </c>
      <c r="F174" s="21" t="s">
        <v>603</v>
      </c>
      <c r="G174" s="8" t="str">
        <f t="shared" si="2"/>
        <v>BADERTSCHER DIANE</v>
      </c>
    </row>
    <row r="175" spans="1:7" x14ac:dyDescent="0.25">
      <c r="A175" s="8">
        <v>42714.792546296296</v>
      </c>
      <c r="B175" s="21" t="s">
        <v>235</v>
      </c>
      <c r="C175" s="21" t="s">
        <v>604</v>
      </c>
      <c r="D175" s="165">
        <v>2440000</v>
      </c>
      <c r="E175" s="21" t="s">
        <v>554</v>
      </c>
      <c r="F175" s="21" t="s">
        <v>555</v>
      </c>
      <c r="G175" s="8" t="str">
        <f t="shared" si="2"/>
        <v>LOPES KIMBERLY</v>
      </c>
    </row>
    <row r="176" spans="1:7" x14ac:dyDescent="0.25">
      <c r="A176" s="8">
        <v>42714.79886574074</v>
      </c>
      <c r="B176" s="21" t="s">
        <v>301</v>
      </c>
      <c r="C176" s="21" t="s">
        <v>433</v>
      </c>
      <c r="D176" s="165">
        <v>1800000</v>
      </c>
      <c r="E176" s="21" t="s">
        <v>249</v>
      </c>
      <c r="F176" s="21" t="s">
        <v>291</v>
      </c>
      <c r="G176" s="8" t="str">
        <f t="shared" si="2"/>
        <v>CHANDLER KELVIN</v>
      </c>
    </row>
    <row r="177" spans="1:7" x14ac:dyDescent="0.25">
      <c r="A177" s="8">
        <v>42714.803148148145</v>
      </c>
      <c r="B177" s="21" t="s">
        <v>415</v>
      </c>
      <c r="C177" s="21" t="s">
        <v>605</v>
      </c>
      <c r="D177" s="165">
        <v>930000</v>
      </c>
      <c r="E177" s="21" t="s">
        <v>516</v>
      </c>
      <c r="F177" s="21" t="s">
        <v>517</v>
      </c>
      <c r="G177" s="8" t="str">
        <f t="shared" si="2"/>
        <v>CLARK KATHLEEN</v>
      </c>
    </row>
    <row r="178" spans="1:7" x14ac:dyDescent="0.25">
      <c r="A178" s="8">
        <v>42714.807175925926</v>
      </c>
      <c r="B178" s="21" t="s">
        <v>209</v>
      </c>
      <c r="C178" s="21" t="s">
        <v>434</v>
      </c>
      <c r="D178" s="165">
        <v>2000000</v>
      </c>
      <c r="E178" s="21" t="s">
        <v>211</v>
      </c>
      <c r="F178" s="21" t="s">
        <v>282</v>
      </c>
      <c r="G178" s="8" t="str">
        <f t="shared" si="2"/>
        <v>STAMBAUGH JAMES</v>
      </c>
    </row>
    <row r="179" spans="1:7" x14ac:dyDescent="0.25">
      <c r="A179" s="8">
        <v>42714.810648148145</v>
      </c>
      <c r="B179" s="21" t="s">
        <v>229</v>
      </c>
      <c r="C179" s="21" t="s">
        <v>606</v>
      </c>
      <c r="D179" s="165">
        <v>2480000</v>
      </c>
      <c r="E179" s="21" t="s">
        <v>386</v>
      </c>
      <c r="F179" s="21" t="s">
        <v>383</v>
      </c>
      <c r="G179" s="8" t="str">
        <f t="shared" si="2"/>
        <v>WHITED DUSTIN</v>
      </c>
    </row>
    <row r="180" spans="1:7" x14ac:dyDescent="0.25">
      <c r="A180" s="8">
        <v>42714.81863425926</v>
      </c>
      <c r="B180" s="21" t="s">
        <v>248</v>
      </c>
      <c r="C180" s="21" t="s">
        <v>607</v>
      </c>
      <c r="D180" s="165">
        <v>2440000</v>
      </c>
      <c r="E180" s="21" t="s">
        <v>554</v>
      </c>
      <c r="F180" s="21" t="s">
        <v>555</v>
      </c>
      <c r="G180" s="8" t="str">
        <f t="shared" si="2"/>
        <v>LOPES KIMBERLY</v>
      </c>
    </row>
    <row r="181" spans="1:7" x14ac:dyDescent="0.25">
      <c r="A181" s="8">
        <v>42714.820960648147</v>
      </c>
      <c r="B181" s="21" t="s">
        <v>286</v>
      </c>
      <c r="C181" s="21" t="s">
        <v>608</v>
      </c>
      <c r="D181" s="165">
        <v>2550000</v>
      </c>
      <c r="E181" s="21" t="s">
        <v>215</v>
      </c>
      <c r="F181" s="21" t="s">
        <v>603</v>
      </c>
      <c r="G181" s="8" t="str">
        <f t="shared" si="2"/>
        <v>BADERTSCHER DIANE</v>
      </c>
    </row>
    <row r="182" spans="1:7" x14ac:dyDescent="0.25">
      <c r="A182" s="8">
        <v>42714.821643518517</v>
      </c>
      <c r="B182" s="21" t="s">
        <v>237</v>
      </c>
      <c r="C182" s="21" t="s">
        <v>609</v>
      </c>
      <c r="D182" s="165">
        <v>1740000</v>
      </c>
      <c r="E182" s="21" t="s">
        <v>312</v>
      </c>
      <c r="F182" s="21" t="s">
        <v>313</v>
      </c>
      <c r="G182" s="8" t="str">
        <f t="shared" si="2"/>
        <v>STORY SAMANTHA</v>
      </c>
    </row>
    <row r="183" spans="1:7" x14ac:dyDescent="0.25">
      <c r="A183" s="8">
        <v>42714.831770833334</v>
      </c>
      <c r="B183" s="21" t="s">
        <v>262</v>
      </c>
      <c r="C183" s="21" t="s">
        <v>610</v>
      </c>
      <c r="D183" s="165">
        <v>1800000</v>
      </c>
      <c r="E183" s="21" t="s">
        <v>249</v>
      </c>
      <c r="F183" s="21" t="s">
        <v>291</v>
      </c>
      <c r="G183" s="8" t="str">
        <f t="shared" si="2"/>
        <v>CHANDLER KELVIN</v>
      </c>
    </row>
    <row r="184" spans="1:7" x14ac:dyDescent="0.25">
      <c r="A184" s="8">
        <v>42714.835682870369</v>
      </c>
      <c r="B184" s="21" t="s">
        <v>235</v>
      </c>
      <c r="C184" s="21" t="s">
        <v>611</v>
      </c>
      <c r="D184" s="165">
        <v>2440000</v>
      </c>
      <c r="E184" s="21" t="s">
        <v>554</v>
      </c>
      <c r="F184" s="21" t="s">
        <v>555</v>
      </c>
      <c r="G184" s="8" t="str">
        <f t="shared" si="2"/>
        <v>LOPES KIMBERLY</v>
      </c>
    </row>
    <row r="185" spans="1:7" x14ac:dyDescent="0.25">
      <c r="A185" s="8">
        <v>42714.839375000003</v>
      </c>
      <c r="B185" s="21" t="s">
        <v>208</v>
      </c>
      <c r="C185" s="21" t="s">
        <v>612</v>
      </c>
      <c r="D185" s="165">
        <v>2000000</v>
      </c>
      <c r="E185" s="21" t="s">
        <v>211</v>
      </c>
      <c r="F185" s="21" t="s">
        <v>282</v>
      </c>
      <c r="G185" s="8" t="str">
        <f t="shared" si="2"/>
        <v>STAMBAUGH JAMES</v>
      </c>
    </row>
    <row r="186" spans="1:7" x14ac:dyDescent="0.25">
      <c r="A186" s="8">
        <v>42714.848020833335</v>
      </c>
      <c r="B186" s="21" t="s">
        <v>230</v>
      </c>
      <c r="C186" s="21" t="s">
        <v>613</v>
      </c>
      <c r="D186" s="165">
        <v>2480000</v>
      </c>
      <c r="E186" s="21" t="s">
        <v>386</v>
      </c>
      <c r="F186" s="21" t="s">
        <v>383</v>
      </c>
      <c r="G186" s="8" t="str">
        <f t="shared" si="2"/>
        <v>WHITED DUSTIN</v>
      </c>
    </row>
    <row r="187" spans="1:7" x14ac:dyDescent="0.25">
      <c r="A187" s="8">
        <v>42714.859097222223</v>
      </c>
      <c r="B187" s="21" t="s">
        <v>248</v>
      </c>
      <c r="C187" s="21" t="s">
        <v>614</v>
      </c>
      <c r="D187" s="165">
        <v>2440000</v>
      </c>
      <c r="E187" s="21" t="s">
        <v>554</v>
      </c>
      <c r="F187" s="21" t="s">
        <v>555</v>
      </c>
      <c r="G187" s="8" t="str">
        <f t="shared" si="2"/>
        <v>LOPES KIMBERLY</v>
      </c>
    </row>
    <row r="188" spans="1:7" x14ac:dyDescent="0.25">
      <c r="A188" s="8">
        <v>42714.866597222222</v>
      </c>
      <c r="B188" s="21" t="s">
        <v>287</v>
      </c>
      <c r="C188" s="21" t="s">
        <v>615</v>
      </c>
      <c r="D188" s="165">
        <v>2550000</v>
      </c>
      <c r="E188" s="21" t="s">
        <v>215</v>
      </c>
      <c r="F188" s="21" t="s">
        <v>603</v>
      </c>
      <c r="G188" s="8" t="str">
        <f t="shared" si="2"/>
        <v>BADERTSCHER DIANE</v>
      </c>
    </row>
    <row r="189" spans="1:7" x14ac:dyDescent="0.25">
      <c r="A189" s="8">
        <v>42714.869421296295</v>
      </c>
      <c r="B189" s="21" t="s">
        <v>301</v>
      </c>
      <c r="C189" s="21" t="s">
        <v>616</v>
      </c>
      <c r="D189" s="165">
        <v>1800000</v>
      </c>
      <c r="E189" s="21" t="s">
        <v>249</v>
      </c>
      <c r="F189" s="21" t="s">
        <v>291</v>
      </c>
      <c r="G189" s="8" t="str">
        <f t="shared" si="2"/>
        <v>CHANDLER KELVIN</v>
      </c>
    </row>
    <row r="190" spans="1:7" x14ac:dyDescent="0.25">
      <c r="A190" s="8">
        <v>42714.874293981484</v>
      </c>
      <c r="B190" s="21" t="s">
        <v>235</v>
      </c>
      <c r="C190" s="21" t="s">
        <v>617</v>
      </c>
      <c r="D190" s="165">
        <v>2440000</v>
      </c>
      <c r="E190" s="21" t="s">
        <v>554</v>
      </c>
      <c r="F190" s="21" t="s">
        <v>555</v>
      </c>
      <c r="G190" s="8" t="str">
        <f t="shared" si="2"/>
        <v>LOPES KIMBERLY</v>
      </c>
    </row>
    <row r="191" spans="1:7" x14ac:dyDescent="0.25">
      <c r="A191" s="8">
        <v>42714.890370370369</v>
      </c>
      <c r="B191" s="21" t="s">
        <v>209</v>
      </c>
      <c r="C191" s="21" t="s">
        <v>618</v>
      </c>
      <c r="D191" s="165">
        <v>2000000</v>
      </c>
      <c r="E191" s="21" t="s">
        <v>211</v>
      </c>
      <c r="F191" s="21" t="s">
        <v>282</v>
      </c>
      <c r="G191" s="8" t="str">
        <f t="shared" si="2"/>
        <v>STAMBAUGH JAMES</v>
      </c>
    </row>
    <row r="192" spans="1:7" x14ac:dyDescent="0.25">
      <c r="A192" s="8">
        <v>42714.891203703701</v>
      </c>
      <c r="B192" s="21" t="s">
        <v>229</v>
      </c>
      <c r="C192" s="21" t="s">
        <v>619</v>
      </c>
      <c r="D192" s="165">
        <v>1810000</v>
      </c>
      <c r="E192" s="21" t="s">
        <v>384</v>
      </c>
      <c r="F192" s="21" t="s">
        <v>282</v>
      </c>
      <c r="G192" s="8" t="str">
        <f t="shared" si="2"/>
        <v>NEWELL JAMES</v>
      </c>
    </row>
    <row r="193" spans="1:7" x14ac:dyDescent="0.25">
      <c r="A193" s="8">
        <v>42714.900856481479</v>
      </c>
      <c r="B193" s="21" t="s">
        <v>248</v>
      </c>
      <c r="C193" s="21" t="s">
        <v>620</v>
      </c>
      <c r="D193" s="165">
        <v>2440000</v>
      </c>
      <c r="E193" s="21" t="s">
        <v>554</v>
      </c>
      <c r="F193" s="21" t="s">
        <v>555</v>
      </c>
      <c r="G193" s="8" t="str">
        <f t="shared" si="2"/>
        <v>LOPES KIMBERLY</v>
      </c>
    </row>
    <row r="194" spans="1:7" x14ac:dyDescent="0.25">
      <c r="A194" s="8">
        <v>42714.906608796293</v>
      </c>
      <c r="B194" s="21" t="s">
        <v>286</v>
      </c>
      <c r="C194" s="21" t="s">
        <v>621</v>
      </c>
      <c r="D194" s="165">
        <v>2550000</v>
      </c>
      <c r="E194" s="21" t="s">
        <v>215</v>
      </c>
      <c r="F194" s="21" t="s">
        <v>603</v>
      </c>
      <c r="G194" s="8" t="str">
        <f t="shared" si="2"/>
        <v>BADERTSCHER DIANE</v>
      </c>
    </row>
    <row r="195" spans="1:7" x14ac:dyDescent="0.25">
      <c r="A195" s="8">
        <v>42714.914618055554</v>
      </c>
      <c r="B195" s="21" t="s">
        <v>262</v>
      </c>
      <c r="C195" s="21" t="s">
        <v>622</v>
      </c>
      <c r="D195" s="165">
        <v>1800000</v>
      </c>
      <c r="E195" s="21" t="s">
        <v>249</v>
      </c>
      <c r="F195" s="21" t="s">
        <v>291</v>
      </c>
      <c r="G195" s="8" t="str">
        <f t="shared" ref="G195:G258" si="3">E195&amp;" "&amp;F195</f>
        <v>CHANDLER KELVIN</v>
      </c>
    </row>
    <row r="196" spans="1:7" x14ac:dyDescent="0.25">
      <c r="A196" s="8">
        <v>42714.914861111109</v>
      </c>
      <c r="B196" s="21" t="s">
        <v>235</v>
      </c>
      <c r="C196" s="21" t="s">
        <v>435</v>
      </c>
      <c r="D196" s="165">
        <v>2440000</v>
      </c>
      <c r="E196" s="21" t="s">
        <v>554</v>
      </c>
      <c r="F196" s="21" t="s">
        <v>555</v>
      </c>
      <c r="G196" s="8" t="str">
        <f t="shared" si="3"/>
        <v>LOPES KIMBERLY</v>
      </c>
    </row>
    <row r="197" spans="1:7" x14ac:dyDescent="0.25">
      <c r="A197" s="8">
        <v>42714.923310185186</v>
      </c>
      <c r="B197" s="21" t="s">
        <v>208</v>
      </c>
      <c r="C197" s="21" t="s">
        <v>436</v>
      </c>
      <c r="D197" s="165">
        <v>2000000</v>
      </c>
      <c r="E197" s="21" t="s">
        <v>211</v>
      </c>
      <c r="F197" s="21" t="s">
        <v>282</v>
      </c>
      <c r="G197" s="8" t="str">
        <f t="shared" si="3"/>
        <v>STAMBAUGH JAMES</v>
      </c>
    </row>
    <row r="198" spans="1:7" x14ac:dyDescent="0.25">
      <c r="A198" s="8">
        <v>42714.930208333331</v>
      </c>
      <c r="B198" s="21" t="s">
        <v>230</v>
      </c>
      <c r="C198" s="21" t="s">
        <v>623</v>
      </c>
      <c r="D198" s="165">
        <v>1810000</v>
      </c>
      <c r="E198" s="21" t="s">
        <v>384</v>
      </c>
      <c r="F198" s="21" t="s">
        <v>282</v>
      </c>
      <c r="G198" s="8" t="str">
        <f t="shared" si="3"/>
        <v>NEWELL JAMES</v>
      </c>
    </row>
    <row r="199" spans="1:7" x14ac:dyDescent="0.25">
      <c r="A199" s="8">
        <v>42714.942303240743</v>
      </c>
      <c r="B199" s="21" t="s">
        <v>248</v>
      </c>
      <c r="C199" s="21" t="s">
        <v>624</v>
      </c>
      <c r="D199" s="165">
        <v>2440000</v>
      </c>
      <c r="E199" s="21" t="s">
        <v>554</v>
      </c>
      <c r="F199" s="21" t="s">
        <v>555</v>
      </c>
      <c r="G199" s="8" t="str">
        <f t="shared" si="3"/>
        <v>LOPES KIMBERLY</v>
      </c>
    </row>
    <row r="200" spans="1:7" x14ac:dyDescent="0.25">
      <c r="A200" s="8">
        <v>42714.94902777778</v>
      </c>
      <c r="B200" s="21" t="s">
        <v>301</v>
      </c>
      <c r="C200" s="21" t="s">
        <v>625</v>
      </c>
      <c r="D200" s="165">
        <v>1800000</v>
      </c>
      <c r="E200" s="21" t="s">
        <v>249</v>
      </c>
      <c r="F200" s="21" t="s">
        <v>291</v>
      </c>
      <c r="G200" s="8" t="str">
        <f t="shared" si="3"/>
        <v>CHANDLER KELVIN</v>
      </c>
    </row>
    <row r="201" spans="1:7" x14ac:dyDescent="0.25">
      <c r="A201" s="8">
        <v>42714.949050925927</v>
      </c>
      <c r="B201" s="21" t="s">
        <v>235</v>
      </c>
      <c r="C201" s="21" t="s">
        <v>624</v>
      </c>
      <c r="D201" s="165">
        <v>2440000</v>
      </c>
      <c r="E201" s="21" t="s">
        <v>554</v>
      </c>
      <c r="F201" s="21" t="s">
        <v>555</v>
      </c>
      <c r="G201" s="8" t="str">
        <f t="shared" si="3"/>
        <v>LOPES KIMBERLY</v>
      </c>
    </row>
    <row r="202" spans="1:7" x14ac:dyDescent="0.25">
      <c r="A202" s="27">
        <v>42714.949525462966</v>
      </c>
      <c r="B202" s="21" t="s">
        <v>287</v>
      </c>
      <c r="C202" s="21" t="s">
        <v>626</v>
      </c>
      <c r="D202" s="165">
        <v>2550000</v>
      </c>
      <c r="E202" s="21" t="s">
        <v>215</v>
      </c>
      <c r="F202" s="21" t="s">
        <v>603</v>
      </c>
      <c r="G202" s="8" t="str">
        <f t="shared" si="3"/>
        <v>BADERTSCHER DIANE</v>
      </c>
    </row>
    <row r="203" spans="1:7" x14ac:dyDescent="0.25">
      <c r="A203" s="8">
        <v>42714.97315972222</v>
      </c>
      <c r="B203" s="21" t="s">
        <v>229</v>
      </c>
      <c r="C203" s="21" t="s">
        <v>627</v>
      </c>
      <c r="D203" s="165">
        <v>1810000</v>
      </c>
      <c r="E203" s="21" t="s">
        <v>384</v>
      </c>
      <c r="F203" s="21" t="s">
        <v>282</v>
      </c>
      <c r="G203" s="8" t="str">
        <f t="shared" si="3"/>
        <v>NEWELL JAMES</v>
      </c>
    </row>
    <row r="204" spans="1:7" x14ac:dyDescent="0.25">
      <c r="A204" s="8">
        <v>42714.97415509259</v>
      </c>
      <c r="B204" s="21" t="s">
        <v>209</v>
      </c>
      <c r="C204" s="21" t="s">
        <v>628</v>
      </c>
      <c r="D204" s="165">
        <v>2000000</v>
      </c>
      <c r="E204" s="21" t="s">
        <v>211</v>
      </c>
      <c r="F204" s="21" t="s">
        <v>282</v>
      </c>
      <c r="G204" s="8" t="str">
        <f t="shared" si="3"/>
        <v>STAMBAUGH JAMES</v>
      </c>
    </row>
    <row r="205" spans="1:7" x14ac:dyDescent="0.25">
      <c r="A205" s="8">
        <v>42714.99417824074</v>
      </c>
      <c r="B205" s="21" t="s">
        <v>286</v>
      </c>
      <c r="C205" s="21" t="s">
        <v>437</v>
      </c>
      <c r="D205" s="165">
        <v>2550000</v>
      </c>
      <c r="E205" s="21" t="s">
        <v>215</v>
      </c>
      <c r="F205" s="21" t="s">
        <v>603</v>
      </c>
      <c r="G205" s="8" t="str">
        <f t="shared" si="3"/>
        <v>BADERTSCHER DIANE</v>
      </c>
    </row>
    <row r="206" spans="1:7" x14ac:dyDescent="0.25">
      <c r="A206" s="8">
        <v>42714.998784722222</v>
      </c>
      <c r="B206" s="21" t="s">
        <v>262</v>
      </c>
      <c r="C206" s="21" t="s">
        <v>438</v>
      </c>
      <c r="D206" s="165">
        <v>1800000</v>
      </c>
      <c r="E206" s="21" t="s">
        <v>249</v>
      </c>
      <c r="F206" s="21" t="s">
        <v>291</v>
      </c>
      <c r="G206" s="8" t="str">
        <f t="shared" si="3"/>
        <v>CHANDLER KELVIN</v>
      </c>
    </row>
    <row r="207" spans="1:7" x14ac:dyDescent="0.25">
      <c r="A207" s="8">
        <v>42715.005439814813</v>
      </c>
      <c r="B207" s="21" t="s">
        <v>208</v>
      </c>
      <c r="C207" s="21" t="s">
        <v>220</v>
      </c>
      <c r="D207" s="165">
        <v>2000000</v>
      </c>
      <c r="E207" s="21" t="s">
        <v>211</v>
      </c>
      <c r="F207" s="21" t="s">
        <v>282</v>
      </c>
      <c r="G207" s="8" t="str">
        <f t="shared" si="3"/>
        <v>STAMBAUGH JAMES</v>
      </c>
    </row>
    <row r="208" spans="1:7" x14ac:dyDescent="0.25">
      <c r="A208" s="8">
        <v>42715.008402777778</v>
      </c>
      <c r="B208" s="21" t="s">
        <v>230</v>
      </c>
      <c r="C208" s="21" t="s">
        <v>629</v>
      </c>
      <c r="D208" s="165">
        <v>1810000</v>
      </c>
      <c r="E208" s="21" t="s">
        <v>384</v>
      </c>
      <c r="F208" s="21" t="s">
        <v>282</v>
      </c>
      <c r="G208" s="8" t="str">
        <f t="shared" si="3"/>
        <v>NEWELL JAMES</v>
      </c>
    </row>
    <row r="209" spans="1:7" x14ac:dyDescent="0.25">
      <c r="A209" s="8">
        <v>42715.030844907407</v>
      </c>
      <c r="B209" s="21" t="s">
        <v>287</v>
      </c>
      <c r="C209" s="21" t="s">
        <v>437</v>
      </c>
      <c r="D209" s="165">
        <v>2550000</v>
      </c>
      <c r="E209" s="21" t="s">
        <v>215</v>
      </c>
      <c r="F209" s="21" t="s">
        <v>603</v>
      </c>
      <c r="G209" s="8" t="str">
        <f t="shared" si="3"/>
        <v>BADERTSCHER DIANE</v>
      </c>
    </row>
    <row r="210" spans="1:7" x14ac:dyDescent="0.25">
      <c r="A210" s="8">
        <v>42715.032175925924</v>
      </c>
      <c r="B210" s="21" t="s">
        <v>287</v>
      </c>
      <c r="C210" s="21" t="s">
        <v>630</v>
      </c>
      <c r="D210" s="165">
        <v>2550000</v>
      </c>
      <c r="E210" s="21" t="s">
        <v>215</v>
      </c>
      <c r="F210" s="21" t="s">
        <v>603</v>
      </c>
      <c r="G210" s="8" t="str">
        <f t="shared" si="3"/>
        <v>BADERTSCHER DIANE</v>
      </c>
    </row>
    <row r="211" spans="1:7" x14ac:dyDescent="0.25">
      <c r="A211" s="8">
        <v>42715.035821759258</v>
      </c>
      <c r="B211" s="21" t="s">
        <v>301</v>
      </c>
      <c r="C211" s="21" t="s">
        <v>222</v>
      </c>
      <c r="D211" s="165">
        <v>1800000</v>
      </c>
      <c r="E211" s="21" t="s">
        <v>249</v>
      </c>
      <c r="F211" s="21" t="s">
        <v>291</v>
      </c>
      <c r="G211" s="8" t="str">
        <f t="shared" si="3"/>
        <v>CHANDLER KELVIN</v>
      </c>
    </row>
    <row r="212" spans="1:7" x14ac:dyDescent="0.25">
      <c r="A212" s="8">
        <v>42715.047719907408</v>
      </c>
      <c r="B212" s="21" t="s">
        <v>229</v>
      </c>
      <c r="C212" s="21" t="s">
        <v>221</v>
      </c>
      <c r="D212" s="165">
        <v>1810000</v>
      </c>
      <c r="E212" s="21" t="s">
        <v>384</v>
      </c>
      <c r="F212" s="21" t="s">
        <v>282</v>
      </c>
      <c r="G212" s="8" t="str">
        <f t="shared" si="3"/>
        <v>NEWELL JAMES</v>
      </c>
    </row>
    <row r="213" spans="1:7" x14ac:dyDescent="0.25">
      <c r="A213" s="8">
        <v>42715.057534722226</v>
      </c>
      <c r="B213" s="21" t="s">
        <v>209</v>
      </c>
      <c r="C213" s="21" t="s">
        <v>224</v>
      </c>
      <c r="D213" s="165">
        <v>2000000</v>
      </c>
      <c r="E213" s="21" t="s">
        <v>211</v>
      </c>
      <c r="F213" s="21" t="s">
        <v>282</v>
      </c>
      <c r="G213" s="8" t="str">
        <f t="shared" si="3"/>
        <v>STAMBAUGH JAMES</v>
      </c>
    </row>
    <row r="214" spans="1:7" x14ac:dyDescent="0.25">
      <c r="A214" s="8">
        <v>42715.069930555554</v>
      </c>
      <c r="B214" s="21" t="s">
        <v>262</v>
      </c>
      <c r="C214" s="21" t="s">
        <v>223</v>
      </c>
      <c r="D214" s="165">
        <v>1800000</v>
      </c>
      <c r="E214" s="21" t="s">
        <v>249</v>
      </c>
      <c r="F214" s="21" t="s">
        <v>291</v>
      </c>
      <c r="G214" s="8" t="str">
        <f t="shared" si="3"/>
        <v>CHANDLER KELVIN</v>
      </c>
    </row>
    <row r="215" spans="1:7" x14ac:dyDescent="0.25">
      <c r="A215" s="8">
        <v>42715.071527777778</v>
      </c>
      <c r="B215" s="21" t="s">
        <v>286</v>
      </c>
      <c r="C215" s="21" t="s">
        <v>631</v>
      </c>
      <c r="D215" s="165">
        <v>2550000</v>
      </c>
      <c r="E215" s="21" t="s">
        <v>215</v>
      </c>
      <c r="F215" s="21" t="s">
        <v>603</v>
      </c>
      <c r="G215" s="8" t="str">
        <f t="shared" si="3"/>
        <v>BADERTSCHER DIANE</v>
      </c>
    </row>
    <row r="216" spans="1:7" x14ac:dyDescent="0.25">
      <c r="A216" s="8">
        <v>42715.088148148148</v>
      </c>
      <c r="B216" s="21" t="s">
        <v>208</v>
      </c>
      <c r="C216" s="21" t="s">
        <v>225</v>
      </c>
      <c r="D216" s="165">
        <v>2000000</v>
      </c>
      <c r="E216" s="21" t="s">
        <v>211</v>
      </c>
      <c r="F216" s="21" t="s">
        <v>282</v>
      </c>
      <c r="G216" s="8" t="str">
        <f t="shared" si="3"/>
        <v>STAMBAUGH JAMES</v>
      </c>
    </row>
    <row r="217" spans="1:7" x14ac:dyDescent="0.25">
      <c r="A217" s="8">
        <v>42715.111689814818</v>
      </c>
      <c r="B217" s="21" t="s">
        <v>287</v>
      </c>
      <c r="C217" s="21" t="s">
        <v>632</v>
      </c>
      <c r="D217" s="165">
        <v>2550000</v>
      </c>
      <c r="E217" s="21" t="s">
        <v>215</v>
      </c>
      <c r="F217" s="21" t="s">
        <v>603</v>
      </c>
      <c r="G217" s="8" t="str">
        <f t="shared" si="3"/>
        <v>BADERTSCHER DIANE</v>
      </c>
    </row>
    <row r="218" spans="1:7" x14ac:dyDescent="0.25">
      <c r="A218" s="8">
        <v>42711.954212962963</v>
      </c>
      <c r="B218" s="21" t="s">
        <v>184</v>
      </c>
      <c r="C218" s="21" t="s">
        <v>349</v>
      </c>
      <c r="D218" s="165">
        <v>2000000</v>
      </c>
      <c r="E218" s="21" t="s">
        <v>211</v>
      </c>
      <c r="F218" s="21" t="s">
        <v>282</v>
      </c>
      <c r="G218" s="8" t="str">
        <f t="shared" si="3"/>
        <v>STAMBAUGH JAMES</v>
      </c>
    </row>
    <row r="219" spans="1:7" x14ac:dyDescent="0.25">
      <c r="A219" s="8">
        <v>42711.96292824074</v>
      </c>
      <c r="B219" s="21" t="s">
        <v>262</v>
      </c>
      <c r="C219" s="21" t="s">
        <v>342</v>
      </c>
      <c r="D219" s="165">
        <v>1230000</v>
      </c>
      <c r="E219" s="21" t="s">
        <v>268</v>
      </c>
      <c r="F219" s="21" t="s">
        <v>278</v>
      </c>
      <c r="G219" s="8" t="str">
        <f t="shared" si="3"/>
        <v>YANAI IAN</v>
      </c>
    </row>
    <row r="220" spans="1:7" x14ac:dyDescent="0.25">
      <c r="A220" s="8">
        <v>42711.971956018519</v>
      </c>
      <c r="B220" s="21" t="s">
        <v>245</v>
      </c>
      <c r="C220" s="21" t="s">
        <v>350</v>
      </c>
      <c r="D220" s="165">
        <v>1290000</v>
      </c>
      <c r="E220" s="21" t="s">
        <v>264</v>
      </c>
      <c r="F220" s="21" t="s">
        <v>277</v>
      </c>
      <c r="G220" s="8" t="str">
        <f t="shared" si="3"/>
        <v>COOLAHAN JOHN</v>
      </c>
    </row>
    <row r="221" spans="1:7" x14ac:dyDescent="0.25">
      <c r="A221" s="8">
        <v>42711.994189814817</v>
      </c>
      <c r="B221" s="21" t="s">
        <v>275</v>
      </c>
      <c r="C221" s="21" t="s">
        <v>351</v>
      </c>
      <c r="D221" s="165">
        <v>2000000</v>
      </c>
      <c r="E221" s="21" t="s">
        <v>211</v>
      </c>
      <c r="F221" s="21" t="s">
        <v>282</v>
      </c>
      <c r="G221" s="8" t="str">
        <f t="shared" si="3"/>
        <v>STAMBAUGH JAMES</v>
      </c>
    </row>
    <row r="222" spans="1:7" x14ac:dyDescent="0.25">
      <c r="A222" s="8">
        <v>42711.996365740742</v>
      </c>
      <c r="B222" s="21" t="s">
        <v>235</v>
      </c>
      <c r="C222" s="21" t="s">
        <v>352</v>
      </c>
      <c r="D222" s="165">
        <v>1300000</v>
      </c>
      <c r="E222" s="21" t="s">
        <v>113</v>
      </c>
      <c r="F222" s="21" t="s">
        <v>281</v>
      </c>
      <c r="G222" s="8" t="str">
        <f t="shared" si="3"/>
        <v>LEVIN SCOTT</v>
      </c>
    </row>
    <row r="223" spans="1:7" x14ac:dyDescent="0.25">
      <c r="A223" s="8">
        <v>42712.015729166669</v>
      </c>
      <c r="B223" s="21" t="s">
        <v>301</v>
      </c>
      <c r="C223" s="21" t="s">
        <v>353</v>
      </c>
      <c r="D223" s="165">
        <v>1230000</v>
      </c>
      <c r="E223" s="21" t="s">
        <v>268</v>
      </c>
      <c r="F223" s="21" t="s">
        <v>278</v>
      </c>
      <c r="G223" s="8" t="str">
        <f t="shared" si="3"/>
        <v>YANAI IAN</v>
      </c>
    </row>
    <row r="224" spans="1:7" x14ac:dyDescent="0.25">
      <c r="A224" s="8">
        <v>42712.018240740741</v>
      </c>
      <c r="B224" t="s">
        <v>183</v>
      </c>
      <c r="C224" t="s">
        <v>354</v>
      </c>
      <c r="D224" s="165">
        <v>1290000</v>
      </c>
      <c r="E224" t="s">
        <v>264</v>
      </c>
      <c r="F224" s="21" t="s">
        <v>277</v>
      </c>
      <c r="G224" s="8" t="str">
        <f t="shared" si="3"/>
        <v>COOLAHAN JOHN</v>
      </c>
    </row>
    <row r="225" spans="1:7" x14ac:dyDescent="0.25">
      <c r="A225" s="8">
        <v>42712.026701388888</v>
      </c>
      <c r="B225" t="s">
        <v>184</v>
      </c>
      <c r="C225" t="s">
        <v>355</v>
      </c>
      <c r="D225" s="165">
        <v>2000000</v>
      </c>
      <c r="E225" t="s">
        <v>211</v>
      </c>
      <c r="F225" s="21" t="s">
        <v>282</v>
      </c>
      <c r="G225" s="8" t="str">
        <f t="shared" si="3"/>
        <v>STAMBAUGH JAMES</v>
      </c>
    </row>
    <row r="226" spans="1:7" x14ac:dyDescent="0.25">
      <c r="A226" s="8">
        <v>42712.030902777777</v>
      </c>
      <c r="B226" t="s">
        <v>248</v>
      </c>
      <c r="C226" t="s">
        <v>356</v>
      </c>
      <c r="D226" s="165">
        <v>1300000</v>
      </c>
      <c r="E226" t="s">
        <v>113</v>
      </c>
      <c r="F226" s="21" t="s">
        <v>281</v>
      </c>
      <c r="G226" s="8" t="str">
        <f t="shared" si="3"/>
        <v>LEVIN SCOTT</v>
      </c>
    </row>
    <row r="227" spans="1:7" x14ac:dyDescent="0.25">
      <c r="A227" s="8">
        <v>42712.039756944447</v>
      </c>
      <c r="B227" t="s">
        <v>183</v>
      </c>
      <c r="C227" t="s">
        <v>354</v>
      </c>
      <c r="D227" s="165">
        <v>1290000</v>
      </c>
      <c r="E227" t="s">
        <v>264</v>
      </c>
      <c r="F227" s="21" t="s">
        <v>277</v>
      </c>
      <c r="G227" s="8" t="str">
        <f t="shared" si="3"/>
        <v>COOLAHAN JOHN</v>
      </c>
    </row>
    <row r="228" spans="1:7" x14ac:dyDescent="0.25">
      <c r="A228" s="8">
        <v>42712.048078703701</v>
      </c>
      <c r="B228" t="s">
        <v>262</v>
      </c>
      <c r="C228" t="s">
        <v>357</v>
      </c>
      <c r="D228" s="165">
        <v>1230000</v>
      </c>
      <c r="E228" t="s">
        <v>268</v>
      </c>
      <c r="F228" s="21" t="s">
        <v>278</v>
      </c>
      <c r="G228" s="8" t="str">
        <f t="shared" si="3"/>
        <v>YANAI IAN</v>
      </c>
    </row>
    <row r="229" spans="1:7" x14ac:dyDescent="0.25">
      <c r="A229" s="8">
        <v>42712.048773148148</v>
      </c>
      <c r="B229" t="s">
        <v>262</v>
      </c>
      <c r="C229" t="s">
        <v>357</v>
      </c>
      <c r="D229" s="165">
        <v>1230000</v>
      </c>
      <c r="E229" t="s">
        <v>268</v>
      </c>
      <c r="F229" s="21" t="s">
        <v>278</v>
      </c>
      <c r="G229" s="8" t="str">
        <f t="shared" si="3"/>
        <v>YANAI IAN</v>
      </c>
    </row>
    <row r="230" spans="1:7" x14ac:dyDescent="0.25">
      <c r="A230" s="8">
        <v>42712.054328703707</v>
      </c>
      <c r="B230" t="s">
        <v>245</v>
      </c>
      <c r="C230" t="s">
        <v>358</v>
      </c>
      <c r="D230" s="165">
        <v>1290000</v>
      </c>
      <c r="E230" t="s">
        <v>264</v>
      </c>
      <c r="F230" s="21" t="s">
        <v>277</v>
      </c>
      <c r="G230" s="8" t="str">
        <f t="shared" si="3"/>
        <v>COOLAHAN JOHN</v>
      </c>
    </row>
    <row r="231" spans="1:7" x14ac:dyDescent="0.25">
      <c r="A231" s="8">
        <v>42712.068402777775</v>
      </c>
      <c r="B231" t="s">
        <v>235</v>
      </c>
      <c r="C231" t="s">
        <v>359</v>
      </c>
      <c r="D231" s="165">
        <v>1300000</v>
      </c>
      <c r="E231" t="s">
        <v>113</v>
      </c>
      <c r="F231" s="21" t="s">
        <v>281</v>
      </c>
      <c r="G231" s="8" t="str">
        <f t="shared" si="3"/>
        <v>LEVIN SCOTT</v>
      </c>
    </row>
    <row r="232" spans="1:7" x14ac:dyDescent="0.25">
      <c r="A232" s="8">
        <v>42712.089166666665</v>
      </c>
      <c r="B232" t="s">
        <v>183</v>
      </c>
      <c r="C232" t="s">
        <v>360</v>
      </c>
      <c r="D232" s="165">
        <v>1290000</v>
      </c>
      <c r="E232" t="s">
        <v>264</v>
      </c>
      <c r="F232" s="21" t="s">
        <v>277</v>
      </c>
      <c r="G232" s="8" t="str">
        <f t="shared" si="3"/>
        <v>COOLAHAN JOHN</v>
      </c>
    </row>
    <row r="233" spans="1:7" x14ac:dyDescent="0.25">
      <c r="A233" s="8">
        <v>42710.900254629632</v>
      </c>
      <c r="B233" t="s">
        <v>245</v>
      </c>
      <c r="C233" t="s">
        <v>308</v>
      </c>
      <c r="D233" s="165">
        <v>2000000</v>
      </c>
      <c r="E233" t="s">
        <v>211</v>
      </c>
      <c r="F233" s="21" t="s">
        <v>282</v>
      </c>
      <c r="G233" s="8" t="str">
        <f t="shared" si="3"/>
        <v>STAMBAUGH JAMES</v>
      </c>
    </row>
    <row r="234" spans="1:7" x14ac:dyDescent="0.25">
      <c r="A234" s="8">
        <v>42710.906898148147</v>
      </c>
      <c r="B234" t="s">
        <v>271</v>
      </c>
      <c r="C234" t="s">
        <v>314</v>
      </c>
      <c r="D234" s="165">
        <v>1180000</v>
      </c>
      <c r="E234" t="s">
        <v>263</v>
      </c>
      <c r="F234" s="21" t="s">
        <v>280</v>
      </c>
      <c r="G234" s="8" t="str">
        <f t="shared" si="3"/>
        <v>LEVERE CRAIG</v>
      </c>
    </row>
    <row r="235" spans="1:7" x14ac:dyDescent="0.25">
      <c r="A235" s="8">
        <v>42710.914652777778</v>
      </c>
      <c r="B235" t="s">
        <v>183</v>
      </c>
      <c r="C235" t="s">
        <v>315</v>
      </c>
      <c r="D235" s="165">
        <v>2000000</v>
      </c>
      <c r="E235" t="s">
        <v>211</v>
      </c>
      <c r="F235" s="21" t="s">
        <v>282</v>
      </c>
      <c r="G235" s="8" t="str">
        <f t="shared" si="3"/>
        <v>STAMBAUGH JAMES</v>
      </c>
    </row>
    <row r="236" spans="1:7" x14ac:dyDescent="0.25">
      <c r="A236" s="8">
        <v>42710.931018518517</v>
      </c>
      <c r="B236" t="s">
        <v>285</v>
      </c>
      <c r="C236" t="s">
        <v>316</v>
      </c>
      <c r="D236" s="165">
        <v>1290000</v>
      </c>
      <c r="E236" t="s">
        <v>264</v>
      </c>
      <c r="F236" s="21" t="s">
        <v>277</v>
      </c>
      <c r="G236" s="8" t="str">
        <f t="shared" si="3"/>
        <v>COOLAHAN JOHN</v>
      </c>
    </row>
    <row r="237" spans="1:7" x14ac:dyDescent="0.25">
      <c r="A237" s="8">
        <v>42710.933738425927</v>
      </c>
      <c r="B237" t="s">
        <v>206</v>
      </c>
      <c r="C237" t="s">
        <v>317</v>
      </c>
      <c r="D237" s="165">
        <v>1800000</v>
      </c>
      <c r="E237" t="s">
        <v>249</v>
      </c>
      <c r="F237" s="21" t="s">
        <v>291</v>
      </c>
      <c r="G237" s="8" t="str">
        <f t="shared" si="3"/>
        <v>CHANDLER KELVIN</v>
      </c>
    </row>
    <row r="238" spans="1:7" x14ac:dyDescent="0.25">
      <c r="A238" s="8">
        <v>42710.942199074074</v>
      </c>
      <c r="B238" t="s">
        <v>245</v>
      </c>
      <c r="C238" t="s">
        <v>318</v>
      </c>
      <c r="D238" s="165">
        <v>2000000</v>
      </c>
      <c r="E238" t="s">
        <v>211</v>
      </c>
      <c r="F238" s="21" t="s">
        <v>282</v>
      </c>
      <c r="G238" s="8" t="str">
        <f t="shared" si="3"/>
        <v>STAMBAUGH JAMES</v>
      </c>
    </row>
    <row r="239" spans="1:7" x14ac:dyDescent="0.25">
      <c r="A239" s="8">
        <v>42710.943599537037</v>
      </c>
      <c r="B239" t="s">
        <v>286</v>
      </c>
      <c r="C239" t="s">
        <v>319</v>
      </c>
      <c r="D239" s="165">
        <v>1230000</v>
      </c>
      <c r="E239" t="s">
        <v>268</v>
      </c>
      <c r="F239" s="21" t="s">
        <v>278</v>
      </c>
      <c r="G239" s="8" t="str">
        <f t="shared" si="3"/>
        <v>YANAI IAN</v>
      </c>
    </row>
    <row r="240" spans="1:7" x14ac:dyDescent="0.25">
      <c r="A240" s="8">
        <v>42710.949293981481</v>
      </c>
      <c r="B240" t="s">
        <v>274</v>
      </c>
      <c r="C240" t="s">
        <v>320</v>
      </c>
      <c r="D240" s="165">
        <v>1180000</v>
      </c>
      <c r="E240" t="s">
        <v>263</v>
      </c>
      <c r="F240" s="21" t="s">
        <v>280</v>
      </c>
      <c r="G240" s="8" t="str">
        <f t="shared" si="3"/>
        <v>LEVERE CRAIG</v>
      </c>
    </row>
    <row r="241" spans="1:7" x14ac:dyDescent="0.25">
      <c r="A241" s="8">
        <v>42710.973136574074</v>
      </c>
      <c r="B241" t="s">
        <v>212</v>
      </c>
      <c r="C241" t="s">
        <v>321</v>
      </c>
      <c r="D241" s="165">
        <v>1800000</v>
      </c>
      <c r="E241" t="s">
        <v>249</v>
      </c>
      <c r="F241" s="21" t="s">
        <v>291</v>
      </c>
      <c r="G241" s="8" t="str">
        <f t="shared" si="3"/>
        <v>CHANDLER KELVIN</v>
      </c>
    </row>
    <row r="242" spans="1:7" x14ac:dyDescent="0.25">
      <c r="A242" s="8">
        <v>42710.976597222223</v>
      </c>
      <c r="B242" t="s">
        <v>288</v>
      </c>
      <c r="C242" t="s">
        <v>322</v>
      </c>
      <c r="D242" s="165">
        <v>1290000</v>
      </c>
      <c r="E242" t="s">
        <v>264</v>
      </c>
      <c r="F242" s="21" t="s">
        <v>277</v>
      </c>
      <c r="G242" s="8" t="str">
        <f t="shared" si="3"/>
        <v>COOLAHAN JOHN</v>
      </c>
    </row>
    <row r="243" spans="1:7" x14ac:dyDescent="0.25">
      <c r="A243" s="8">
        <v>42710.986574074072</v>
      </c>
      <c r="B243" t="s">
        <v>287</v>
      </c>
      <c r="C243" t="s">
        <v>309</v>
      </c>
      <c r="D243" s="165">
        <v>1230000</v>
      </c>
      <c r="E243" t="s">
        <v>268</v>
      </c>
      <c r="F243" s="21" t="s">
        <v>278</v>
      </c>
      <c r="G243" s="8" t="str">
        <f t="shared" si="3"/>
        <v>YANAI IAN</v>
      </c>
    </row>
    <row r="244" spans="1:7" x14ac:dyDescent="0.25">
      <c r="A244" s="8">
        <v>42710.993564814817</v>
      </c>
      <c r="B244" t="s">
        <v>271</v>
      </c>
      <c r="C244" t="s">
        <v>323</v>
      </c>
      <c r="D244" s="165">
        <v>1180000</v>
      </c>
      <c r="E244" t="s">
        <v>263</v>
      </c>
      <c r="F244" s="21" t="s">
        <v>280</v>
      </c>
      <c r="G244" s="8" t="str">
        <f t="shared" si="3"/>
        <v>LEVERE CRAIG</v>
      </c>
    </row>
    <row r="245" spans="1:7" x14ac:dyDescent="0.25">
      <c r="A245" s="8">
        <v>42711.01425925926</v>
      </c>
      <c r="B245" t="s">
        <v>285</v>
      </c>
      <c r="C245" t="s">
        <v>310</v>
      </c>
      <c r="D245" s="165">
        <v>1290000</v>
      </c>
      <c r="E245" t="s">
        <v>264</v>
      </c>
      <c r="F245" s="21" t="s">
        <v>277</v>
      </c>
      <c r="G245" s="8" t="str">
        <f t="shared" si="3"/>
        <v>COOLAHAN JOHN</v>
      </c>
    </row>
    <row r="246" spans="1:7" x14ac:dyDescent="0.25">
      <c r="A246" s="8">
        <v>42711.019074074073</v>
      </c>
      <c r="B246" t="s">
        <v>206</v>
      </c>
      <c r="C246" t="s">
        <v>324</v>
      </c>
      <c r="D246" s="165">
        <v>1800000</v>
      </c>
      <c r="E246" t="s">
        <v>249</v>
      </c>
      <c r="F246" s="21" t="s">
        <v>291</v>
      </c>
      <c r="G246" s="8" t="str">
        <f t="shared" si="3"/>
        <v>CHANDLER KELVIN</v>
      </c>
    </row>
    <row r="247" spans="1:7" x14ac:dyDescent="0.25">
      <c r="A247" s="8">
        <v>42711.031099537038</v>
      </c>
      <c r="B247" t="s">
        <v>286</v>
      </c>
      <c r="C247" t="s">
        <v>311</v>
      </c>
      <c r="D247" s="165">
        <v>1230000</v>
      </c>
      <c r="E247" t="s">
        <v>268</v>
      </c>
      <c r="F247" s="21" t="s">
        <v>278</v>
      </c>
      <c r="G247" s="8" t="str">
        <f t="shared" si="3"/>
        <v>YANAI IAN</v>
      </c>
    </row>
    <row r="248" spans="1:7" x14ac:dyDescent="0.25">
      <c r="A248" s="8">
        <v>42711.03497685185</v>
      </c>
      <c r="B248" t="s">
        <v>274</v>
      </c>
      <c r="C248" t="s">
        <v>325</v>
      </c>
      <c r="D248" s="165">
        <v>1180000</v>
      </c>
      <c r="E248" t="s">
        <v>263</v>
      </c>
      <c r="F248" s="21" t="s">
        <v>280</v>
      </c>
      <c r="G248" s="8" t="str">
        <f t="shared" si="3"/>
        <v>LEVERE CRAIG</v>
      </c>
    </row>
    <row r="249" spans="1:7" x14ac:dyDescent="0.25">
      <c r="A249" s="8">
        <v>42711.048715277779</v>
      </c>
      <c r="B249" t="s">
        <v>288</v>
      </c>
      <c r="C249" t="s">
        <v>326</v>
      </c>
      <c r="D249" s="165">
        <v>1290000</v>
      </c>
      <c r="E249" t="s">
        <v>264</v>
      </c>
      <c r="F249" s="21" t="s">
        <v>277</v>
      </c>
      <c r="G249" s="8" t="str">
        <f t="shared" si="3"/>
        <v>COOLAHAN JOHN</v>
      </c>
    </row>
    <row r="250" spans="1:7" x14ac:dyDescent="0.25">
      <c r="A250" s="8">
        <v>42711.05877314815</v>
      </c>
      <c r="B250" t="s">
        <v>212</v>
      </c>
      <c r="C250" t="s">
        <v>327</v>
      </c>
      <c r="D250" s="165">
        <v>1800000</v>
      </c>
      <c r="E250" t="s">
        <v>249</v>
      </c>
      <c r="F250" s="21" t="s">
        <v>291</v>
      </c>
      <c r="G250" s="8" t="str">
        <f t="shared" si="3"/>
        <v>CHANDLER KELVIN</v>
      </c>
    </row>
    <row r="251" spans="1:7" x14ac:dyDescent="0.25">
      <c r="A251" s="8">
        <v>42711.068078703705</v>
      </c>
      <c r="B251" t="s">
        <v>287</v>
      </c>
      <c r="C251" t="s">
        <v>328</v>
      </c>
      <c r="D251" s="165">
        <v>1230000</v>
      </c>
      <c r="E251" t="s">
        <v>268</v>
      </c>
      <c r="F251" s="21" t="s">
        <v>278</v>
      </c>
      <c r="G251" s="8" t="str">
        <f t="shared" si="3"/>
        <v>YANAI IAN</v>
      </c>
    </row>
    <row r="252" spans="1:7" x14ac:dyDescent="0.25">
      <c r="A252" s="8">
        <v>42711.082199074073</v>
      </c>
      <c r="B252" t="s">
        <v>212</v>
      </c>
      <c r="C252" t="s">
        <v>327</v>
      </c>
      <c r="D252" s="165">
        <v>1800000</v>
      </c>
      <c r="E252" t="s">
        <v>249</v>
      </c>
      <c r="F252" s="21" t="s">
        <v>291</v>
      </c>
      <c r="G252" s="8" t="str">
        <f t="shared" si="3"/>
        <v>CHANDLER KELVIN</v>
      </c>
    </row>
    <row r="253" spans="1:7" x14ac:dyDescent="0.25">
      <c r="A253" s="8">
        <v>42711.093726851854</v>
      </c>
      <c r="B253" t="s">
        <v>206</v>
      </c>
      <c r="C253" t="s">
        <v>186</v>
      </c>
      <c r="D253" s="165">
        <v>1800000</v>
      </c>
      <c r="E253" t="s">
        <v>249</v>
      </c>
      <c r="F253" s="21" t="s">
        <v>291</v>
      </c>
      <c r="G253" s="8" t="str">
        <f t="shared" si="3"/>
        <v>CHANDLER KELVIN</v>
      </c>
    </row>
    <row r="254" spans="1:7" x14ac:dyDescent="0.25">
      <c r="A254" s="8">
        <v>42700.045347222222</v>
      </c>
      <c r="B254" t="s">
        <v>237</v>
      </c>
      <c r="C254" t="s">
        <v>253</v>
      </c>
      <c r="D254" s="165">
        <v>2630000</v>
      </c>
      <c r="E254" t="s">
        <v>244</v>
      </c>
      <c r="F254" s="21" t="str">
        <f t="shared" ref="F254:F265" si="4">B254</f>
        <v>rtdc.l.rtdc.4046:itc</v>
      </c>
      <c r="G254" s="8" t="str">
        <f t="shared" si="3"/>
        <v>SAFIEF rtdc.l.rtdc.4046:itc</v>
      </c>
    </row>
    <row r="255" spans="1:7" x14ac:dyDescent="0.25">
      <c r="A255" s="8">
        <v>42700.053495370368</v>
      </c>
      <c r="B255" t="s">
        <v>242</v>
      </c>
      <c r="C255" t="s">
        <v>254</v>
      </c>
      <c r="D255" s="165">
        <v>2000000</v>
      </c>
      <c r="E255" t="s">
        <v>211</v>
      </c>
      <c r="F255" s="21" t="str">
        <f t="shared" si="4"/>
        <v>rtdc.l.rtdc.4041:itc</v>
      </c>
      <c r="G255" s="8" t="str">
        <f t="shared" si="3"/>
        <v>STAMBAUGH rtdc.l.rtdc.4041:itc</v>
      </c>
    </row>
    <row r="256" spans="1:7" x14ac:dyDescent="0.25">
      <c r="A256" s="8">
        <v>42700.064895833333</v>
      </c>
      <c r="B256" t="s">
        <v>154</v>
      </c>
      <c r="C256" t="s">
        <v>251</v>
      </c>
      <c r="D256" s="165">
        <v>2530000</v>
      </c>
      <c r="E256" t="s">
        <v>250</v>
      </c>
      <c r="F256" s="21" t="str">
        <f t="shared" si="4"/>
        <v>rtdc.l.rtdc.4051:itc</v>
      </c>
      <c r="G256" s="8" t="str">
        <f t="shared" si="3"/>
        <v>LALONDE rtdc.l.rtdc.4051:itc</v>
      </c>
    </row>
    <row r="257" spans="1:7" x14ac:dyDescent="0.25">
      <c r="A257" s="8">
        <v>42700.072881944441</v>
      </c>
      <c r="B257" t="s">
        <v>229</v>
      </c>
      <c r="C257" t="s">
        <v>255</v>
      </c>
      <c r="D257" s="165">
        <v>1800000</v>
      </c>
      <c r="E257" t="s">
        <v>249</v>
      </c>
      <c r="F257" s="21" t="str">
        <f t="shared" si="4"/>
        <v>rtdc.l.rtdc.4014:itc</v>
      </c>
      <c r="G257" s="8" t="str">
        <f t="shared" si="3"/>
        <v>CHANDLER rtdc.l.rtdc.4014:itc</v>
      </c>
    </row>
    <row r="258" spans="1:7" x14ac:dyDescent="0.25">
      <c r="A258" s="8">
        <v>42700.07576388889</v>
      </c>
      <c r="B258" t="s">
        <v>209</v>
      </c>
      <c r="C258" t="s">
        <v>256</v>
      </c>
      <c r="D258" s="165">
        <v>2600000</v>
      </c>
      <c r="E258" t="s">
        <v>243</v>
      </c>
      <c r="F258" s="21" t="str">
        <f t="shared" si="4"/>
        <v>rtdc.l.rtdc.4039:itc</v>
      </c>
      <c r="G258" s="8" t="str">
        <f t="shared" si="3"/>
        <v>DAVIDSON rtdc.l.rtdc.4039:itc</v>
      </c>
    </row>
    <row r="259" spans="1:7" x14ac:dyDescent="0.25">
      <c r="A259" s="8">
        <v>42700.083275462966</v>
      </c>
      <c r="B259" t="s">
        <v>155</v>
      </c>
      <c r="C259" t="s">
        <v>252</v>
      </c>
      <c r="D259" s="165">
        <v>2530000</v>
      </c>
      <c r="E259" t="s">
        <v>250</v>
      </c>
      <c r="F259" s="21" t="str">
        <f t="shared" si="4"/>
        <v>rtdc.l.rtdc.4052:itc</v>
      </c>
      <c r="G259" s="8" t="str">
        <f t="shared" ref="G259:G322" si="5">E259&amp;" "&amp;F259</f>
        <v>LALONDE rtdc.l.rtdc.4052:itc</v>
      </c>
    </row>
    <row r="260" spans="1:7" x14ac:dyDescent="0.25">
      <c r="A260" s="8">
        <v>42700.08734953704</v>
      </c>
      <c r="B260" t="s">
        <v>241</v>
      </c>
      <c r="C260" t="s">
        <v>257</v>
      </c>
      <c r="D260" s="165">
        <v>2000000</v>
      </c>
      <c r="E260" t="s">
        <v>211</v>
      </c>
      <c r="F260" s="21" t="str">
        <f t="shared" si="4"/>
        <v>rtdc.l.rtdc.4042:itc</v>
      </c>
      <c r="G260" s="8" t="str">
        <f t="shared" si="5"/>
        <v>STAMBAUGH rtdc.l.rtdc.4042:itc</v>
      </c>
    </row>
    <row r="261" spans="1:7" x14ac:dyDescent="0.25">
      <c r="A261" s="8">
        <v>42700.106736111113</v>
      </c>
      <c r="B261" t="s">
        <v>154</v>
      </c>
      <c r="C261" t="s">
        <v>251</v>
      </c>
      <c r="D261" s="165">
        <v>2530000</v>
      </c>
      <c r="E261" t="s">
        <v>250</v>
      </c>
      <c r="F261" s="21" t="str">
        <f t="shared" si="4"/>
        <v>rtdc.l.rtdc.4051:itc</v>
      </c>
      <c r="G261" s="8" t="str">
        <f t="shared" si="5"/>
        <v>LALONDE rtdc.l.rtdc.4051:itc</v>
      </c>
    </row>
    <row r="262" spans="1:7" x14ac:dyDescent="0.25">
      <c r="A262" s="8">
        <v>42700.111076388886</v>
      </c>
      <c r="B262" t="s">
        <v>208</v>
      </c>
      <c r="C262" t="s">
        <v>258</v>
      </c>
      <c r="D262" s="165">
        <v>2600000</v>
      </c>
      <c r="E262" t="s">
        <v>243</v>
      </c>
      <c r="F262" s="21" t="str">
        <f t="shared" si="4"/>
        <v>rtdc.l.rtdc.4040:itc</v>
      </c>
      <c r="G262" s="8" t="str">
        <f t="shared" si="5"/>
        <v>DAVIDSON rtdc.l.rtdc.4040:itc</v>
      </c>
    </row>
    <row r="263" spans="1:7" x14ac:dyDescent="0.25">
      <c r="A263" s="8">
        <v>42685.016226851854</v>
      </c>
      <c r="B263" t="s">
        <v>206</v>
      </c>
      <c r="C263" t="s">
        <v>220</v>
      </c>
      <c r="D263" s="165">
        <v>2000000</v>
      </c>
      <c r="E263" t="s">
        <v>211</v>
      </c>
      <c r="F263" s="21" t="str">
        <f t="shared" si="4"/>
        <v>rtdc.l.rtdc.4011:itc</v>
      </c>
      <c r="G263" s="8" t="str">
        <f t="shared" si="5"/>
        <v>STAMBAUGH rtdc.l.rtdc.4011:itc</v>
      </c>
    </row>
    <row r="264" spans="1:7" x14ac:dyDescent="0.25">
      <c r="A264" s="8">
        <v>42685.029282407406</v>
      </c>
      <c r="B264" t="s">
        <v>216</v>
      </c>
      <c r="C264" t="s">
        <v>221</v>
      </c>
      <c r="D264" s="165">
        <v>2550000</v>
      </c>
      <c r="E264" t="s">
        <v>215</v>
      </c>
      <c r="F264" s="21" t="str">
        <f t="shared" si="4"/>
        <v>rtdc.l.rtdc.4022:itc</v>
      </c>
      <c r="G264" s="8" t="str">
        <f t="shared" si="5"/>
        <v>BADERTSCHER rtdc.l.rtdc.4022:itc</v>
      </c>
    </row>
    <row r="265" spans="1:7" x14ac:dyDescent="0.25">
      <c r="A265" s="8">
        <v>42685.039282407408</v>
      </c>
      <c r="B265" t="s">
        <v>219</v>
      </c>
      <c r="C265" t="s">
        <v>222</v>
      </c>
      <c r="D265" s="165">
        <v>1300000</v>
      </c>
      <c r="E265" t="s">
        <v>113</v>
      </c>
      <c r="F265" s="21" t="str">
        <f t="shared" si="4"/>
        <v>rtdc.l.rtdc.4037:itc</v>
      </c>
      <c r="G265" s="8" t="str">
        <f t="shared" si="5"/>
        <v>LEVIN rtdc.l.rtdc.4037:itc</v>
      </c>
    </row>
    <row r="266" spans="1:7" x14ac:dyDescent="0.25">
      <c r="A266" s="8">
        <v>42685.049375000002</v>
      </c>
      <c r="B266" t="s">
        <v>214</v>
      </c>
      <c r="C266" t="s">
        <v>223</v>
      </c>
      <c r="D266" s="165">
        <v>2420000</v>
      </c>
      <c r="E266" t="s">
        <v>217</v>
      </c>
      <c r="F266" s="21" t="str">
        <f t="shared" ref="F266:F281" si="6">B266</f>
        <v>rtdc.l.rtdc.4002:itc</v>
      </c>
      <c r="G266" s="8" t="str">
        <f t="shared" si="5"/>
        <v>HOLCOMB rtdc.l.rtdc.4002:itc</v>
      </c>
    </row>
    <row r="267" spans="1:7" x14ac:dyDescent="0.25">
      <c r="A267" s="8">
        <v>42685.056481481479</v>
      </c>
      <c r="B267" t="s">
        <v>212</v>
      </c>
      <c r="C267" t="s">
        <v>224</v>
      </c>
      <c r="D267" s="165">
        <v>2000000</v>
      </c>
      <c r="E267" t="s">
        <v>211</v>
      </c>
      <c r="F267" s="21" t="str">
        <f t="shared" si="6"/>
        <v>rtdc.l.rtdc.4012:itc</v>
      </c>
      <c r="G267" s="8" t="str">
        <f t="shared" si="5"/>
        <v>STAMBAUGH rtdc.l.rtdc.4012:itc</v>
      </c>
    </row>
    <row r="268" spans="1:7" x14ac:dyDescent="0.25">
      <c r="A268" s="8">
        <v>42685.071712962963</v>
      </c>
      <c r="B268" t="s">
        <v>218</v>
      </c>
      <c r="C268" t="s">
        <v>225</v>
      </c>
      <c r="D268" s="165">
        <v>1300000</v>
      </c>
      <c r="E268" t="s">
        <v>113</v>
      </c>
      <c r="F268" s="21" t="str">
        <f t="shared" si="6"/>
        <v>rtdc.l.rtdc.4038:itc</v>
      </c>
      <c r="G268" s="8" t="str">
        <f t="shared" si="5"/>
        <v>LEVIN rtdc.l.rtdc.4038:itc</v>
      </c>
    </row>
    <row r="269" spans="1:7" x14ac:dyDescent="0.25">
      <c r="A269" s="8">
        <v>42650.082824074074</v>
      </c>
      <c r="B269" t="s">
        <v>154</v>
      </c>
      <c r="C269" t="s">
        <v>185</v>
      </c>
      <c r="D269" s="165">
        <v>630000</v>
      </c>
      <c r="E269" t="b">
        <v>1</v>
      </c>
      <c r="F269" s="21" t="str">
        <f t="shared" si="6"/>
        <v>rtdc.l.rtdc.4051:itc</v>
      </c>
      <c r="G269" s="8" t="str">
        <f t="shared" si="5"/>
        <v>TRUE rtdc.l.rtdc.4051:itc</v>
      </c>
    </row>
    <row r="270" spans="1:7" x14ac:dyDescent="0.25">
      <c r="A270" s="8">
        <v>42650.090624999997</v>
      </c>
      <c r="B270" t="s">
        <v>183</v>
      </c>
      <c r="C270" t="s">
        <v>186</v>
      </c>
      <c r="D270" s="165">
        <v>1480000</v>
      </c>
      <c r="E270" t="s">
        <v>181</v>
      </c>
      <c r="F270" s="21" t="str">
        <f t="shared" si="6"/>
        <v>rtdc.l.rtdc.4009:itc</v>
      </c>
      <c r="G270" s="8" t="str">
        <f t="shared" si="5"/>
        <v>STURGEON rtdc.l.rtdc.4009:itc</v>
      </c>
    </row>
    <row r="271" spans="1:7" x14ac:dyDescent="0.25">
      <c r="A271" s="8">
        <v>42650.101805555554</v>
      </c>
      <c r="B271" t="s">
        <v>155</v>
      </c>
      <c r="C271" t="s">
        <v>185</v>
      </c>
      <c r="D271" s="165">
        <v>630000</v>
      </c>
      <c r="E271" t="b">
        <v>1</v>
      </c>
      <c r="F271" s="21" t="str">
        <f t="shared" si="6"/>
        <v>rtdc.l.rtdc.4052:itc</v>
      </c>
      <c r="G271" s="8" t="str">
        <f t="shared" si="5"/>
        <v>TRUE rtdc.l.rtdc.4052:itc</v>
      </c>
    </row>
    <row r="272" spans="1:7" x14ac:dyDescent="0.25">
      <c r="A272" s="8">
        <v>42650.102453703701</v>
      </c>
      <c r="B272" t="s">
        <v>155</v>
      </c>
      <c r="C272" t="s">
        <v>185</v>
      </c>
      <c r="D272" s="165">
        <v>630000</v>
      </c>
      <c r="E272" t="b">
        <v>1</v>
      </c>
      <c r="F272" s="21" t="str">
        <f t="shared" si="6"/>
        <v>rtdc.l.rtdc.4052:itc</v>
      </c>
      <c r="G272" s="8" t="str">
        <f t="shared" si="5"/>
        <v>TRUE rtdc.l.rtdc.4052:itc</v>
      </c>
    </row>
    <row r="273" spans="1:7" x14ac:dyDescent="0.25">
      <c r="A273" s="8">
        <v>42650.103645833333</v>
      </c>
      <c r="B273" t="s">
        <v>155</v>
      </c>
      <c r="C273" t="s">
        <v>185</v>
      </c>
      <c r="D273" s="165">
        <v>630000</v>
      </c>
      <c r="E273" t="b">
        <v>1</v>
      </c>
      <c r="F273" s="21" t="str">
        <f t="shared" si="6"/>
        <v>rtdc.l.rtdc.4052:itc</v>
      </c>
      <c r="G273" s="8" t="str">
        <f t="shared" si="5"/>
        <v>TRUE rtdc.l.rtdc.4052:itc</v>
      </c>
    </row>
    <row r="274" spans="1:7" x14ac:dyDescent="0.25">
      <c r="F274" s="21">
        <f t="shared" si="6"/>
        <v>0</v>
      </c>
      <c r="G274" s="8" t="str">
        <f t="shared" si="5"/>
        <v xml:space="preserve"> 0</v>
      </c>
    </row>
    <row r="275" spans="1:7" x14ac:dyDescent="0.25">
      <c r="F275" s="21">
        <f t="shared" si="6"/>
        <v>0</v>
      </c>
      <c r="G275" s="8" t="str">
        <f t="shared" si="5"/>
        <v xml:space="preserve"> 0</v>
      </c>
    </row>
    <row r="276" spans="1:7" x14ac:dyDescent="0.25">
      <c r="F276" s="21">
        <f t="shared" si="6"/>
        <v>0</v>
      </c>
      <c r="G276" s="8" t="str">
        <f t="shared" si="5"/>
        <v xml:space="preserve"> 0</v>
      </c>
    </row>
    <row r="277" spans="1:7" x14ac:dyDescent="0.25">
      <c r="F277" s="21">
        <f t="shared" si="6"/>
        <v>0</v>
      </c>
      <c r="G277" s="8" t="str">
        <f t="shared" si="5"/>
        <v xml:space="preserve"> 0</v>
      </c>
    </row>
    <row r="278" spans="1:7" x14ac:dyDescent="0.25">
      <c r="F278" s="21">
        <f t="shared" si="6"/>
        <v>0</v>
      </c>
      <c r="G278" s="8" t="str">
        <f t="shared" si="5"/>
        <v xml:space="preserve"> 0</v>
      </c>
    </row>
    <row r="279" spans="1:7" x14ac:dyDescent="0.25">
      <c r="F279" s="21">
        <f t="shared" si="6"/>
        <v>0</v>
      </c>
      <c r="G279" s="8" t="str">
        <f t="shared" si="5"/>
        <v xml:space="preserve"> 0</v>
      </c>
    </row>
    <row r="280" spans="1:7" x14ac:dyDescent="0.25">
      <c r="F280" s="21">
        <f t="shared" si="6"/>
        <v>0</v>
      </c>
      <c r="G280" s="8" t="str">
        <f t="shared" si="5"/>
        <v xml:space="preserve"> 0</v>
      </c>
    </row>
    <row r="281" spans="1:7" x14ac:dyDescent="0.25">
      <c r="F281" s="21">
        <f t="shared" si="6"/>
        <v>0</v>
      </c>
      <c r="G281" s="8" t="str">
        <f t="shared" si="5"/>
        <v xml:space="preserve"> 0</v>
      </c>
    </row>
    <row r="282" spans="1:7" x14ac:dyDescent="0.25">
      <c r="F282" s="21">
        <f t="shared" ref="F282:F345" si="7">B282</f>
        <v>0</v>
      </c>
      <c r="G282" s="8" t="str">
        <f t="shared" si="5"/>
        <v xml:space="preserve"> 0</v>
      </c>
    </row>
    <row r="283" spans="1:7" x14ac:dyDescent="0.25">
      <c r="F283" s="21">
        <f t="shared" si="7"/>
        <v>0</v>
      </c>
      <c r="G283" s="8" t="str">
        <f t="shared" si="5"/>
        <v xml:space="preserve"> 0</v>
      </c>
    </row>
    <row r="284" spans="1:7" x14ac:dyDescent="0.25">
      <c r="F284" s="21">
        <f t="shared" si="7"/>
        <v>0</v>
      </c>
      <c r="G284" s="8" t="str">
        <f t="shared" si="5"/>
        <v xml:space="preserve"> 0</v>
      </c>
    </row>
    <row r="285" spans="1:7" x14ac:dyDescent="0.25">
      <c r="F285" s="21">
        <f t="shared" si="7"/>
        <v>0</v>
      </c>
      <c r="G285" s="8" t="str">
        <f t="shared" si="5"/>
        <v xml:space="preserve"> 0</v>
      </c>
    </row>
    <row r="286" spans="1:7" x14ac:dyDescent="0.25">
      <c r="F286" s="21">
        <f t="shared" si="7"/>
        <v>0</v>
      </c>
      <c r="G286" s="8" t="str">
        <f t="shared" si="5"/>
        <v xml:space="preserve"> 0</v>
      </c>
    </row>
    <row r="287" spans="1:7" x14ac:dyDescent="0.25">
      <c r="F287" s="21">
        <f t="shared" si="7"/>
        <v>0</v>
      </c>
      <c r="G287" s="8" t="str">
        <f t="shared" si="5"/>
        <v xml:space="preserve"> 0</v>
      </c>
    </row>
    <row r="288" spans="1:7" x14ac:dyDescent="0.25">
      <c r="F288" s="21">
        <f t="shared" si="7"/>
        <v>0</v>
      </c>
      <c r="G288" s="8" t="str">
        <f t="shared" si="5"/>
        <v xml:space="preserve"> 0</v>
      </c>
    </row>
    <row r="289" spans="6:7" x14ac:dyDescent="0.25">
      <c r="F289" s="21">
        <f t="shared" si="7"/>
        <v>0</v>
      </c>
      <c r="G289" s="8" t="str">
        <f t="shared" si="5"/>
        <v xml:space="preserve"> 0</v>
      </c>
    </row>
    <row r="290" spans="6:7" x14ac:dyDescent="0.25">
      <c r="F290" s="21">
        <f t="shared" si="7"/>
        <v>0</v>
      </c>
      <c r="G290" s="8" t="str">
        <f t="shared" si="5"/>
        <v xml:space="preserve"> 0</v>
      </c>
    </row>
    <row r="291" spans="6:7" x14ac:dyDescent="0.25">
      <c r="F291" s="21">
        <f t="shared" si="7"/>
        <v>0</v>
      </c>
      <c r="G291" s="8" t="str">
        <f t="shared" si="5"/>
        <v xml:space="preserve"> 0</v>
      </c>
    </row>
    <row r="292" spans="6:7" x14ac:dyDescent="0.25">
      <c r="F292" s="21">
        <f t="shared" si="7"/>
        <v>0</v>
      </c>
      <c r="G292" s="8" t="str">
        <f t="shared" si="5"/>
        <v xml:space="preserve"> 0</v>
      </c>
    </row>
    <row r="293" spans="6:7" x14ac:dyDescent="0.25">
      <c r="F293" s="21">
        <f t="shared" si="7"/>
        <v>0</v>
      </c>
      <c r="G293" s="8" t="str">
        <f t="shared" si="5"/>
        <v xml:space="preserve"> 0</v>
      </c>
    </row>
    <row r="294" spans="6:7" x14ac:dyDescent="0.25">
      <c r="F294" s="21">
        <f t="shared" si="7"/>
        <v>0</v>
      </c>
      <c r="G294" s="8" t="str">
        <f t="shared" si="5"/>
        <v xml:space="preserve"> 0</v>
      </c>
    </row>
    <row r="295" spans="6:7" x14ac:dyDescent="0.25">
      <c r="F295" s="21">
        <f t="shared" si="7"/>
        <v>0</v>
      </c>
      <c r="G295" s="8" t="str">
        <f t="shared" si="5"/>
        <v xml:space="preserve"> 0</v>
      </c>
    </row>
    <row r="296" spans="6:7" x14ac:dyDescent="0.25">
      <c r="F296" s="21">
        <f t="shared" si="7"/>
        <v>0</v>
      </c>
      <c r="G296" s="8" t="str">
        <f t="shared" si="5"/>
        <v xml:space="preserve"> 0</v>
      </c>
    </row>
    <row r="297" spans="6:7" x14ac:dyDescent="0.25">
      <c r="F297" s="21">
        <f t="shared" si="7"/>
        <v>0</v>
      </c>
      <c r="G297" s="8" t="str">
        <f t="shared" si="5"/>
        <v xml:space="preserve"> 0</v>
      </c>
    </row>
    <row r="298" spans="6:7" x14ac:dyDescent="0.25">
      <c r="F298" s="21">
        <f t="shared" si="7"/>
        <v>0</v>
      </c>
      <c r="G298" s="8" t="str">
        <f t="shared" si="5"/>
        <v xml:space="preserve"> 0</v>
      </c>
    </row>
    <row r="299" spans="6:7" x14ac:dyDescent="0.25">
      <c r="F299" s="21">
        <f t="shared" si="7"/>
        <v>0</v>
      </c>
      <c r="G299" s="8" t="str">
        <f t="shared" si="5"/>
        <v xml:space="preserve"> 0</v>
      </c>
    </row>
    <row r="300" spans="6:7" x14ac:dyDescent="0.25">
      <c r="F300" s="21">
        <f t="shared" si="7"/>
        <v>0</v>
      </c>
      <c r="G300" s="8" t="str">
        <f t="shared" si="5"/>
        <v xml:space="preserve"> 0</v>
      </c>
    </row>
    <row r="301" spans="6:7" x14ac:dyDescent="0.25">
      <c r="F301" s="21">
        <f t="shared" si="7"/>
        <v>0</v>
      </c>
      <c r="G301" s="8" t="str">
        <f t="shared" si="5"/>
        <v xml:space="preserve"> 0</v>
      </c>
    </row>
    <row r="302" spans="6:7" x14ac:dyDescent="0.25">
      <c r="F302" s="21">
        <f t="shared" si="7"/>
        <v>0</v>
      </c>
      <c r="G302" s="8" t="str">
        <f t="shared" si="5"/>
        <v xml:space="preserve"> 0</v>
      </c>
    </row>
    <row r="303" spans="6:7" x14ac:dyDescent="0.25">
      <c r="F303" s="21">
        <f t="shared" si="7"/>
        <v>0</v>
      </c>
      <c r="G303" s="8" t="str">
        <f t="shared" si="5"/>
        <v xml:space="preserve"> 0</v>
      </c>
    </row>
    <row r="304" spans="6:7" x14ac:dyDescent="0.25">
      <c r="F304" s="21">
        <f t="shared" si="7"/>
        <v>0</v>
      </c>
      <c r="G304" s="8" t="str">
        <f t="shared" si="5"/>
        <v xml:space="preserve"> 0</v>
      </c>
    </row>
    <row r="305" spans="6:7" x14ac:dyDescent="0.25">
      <c r="F305" s="21">
        <f t="shared" si="7"/>
        <v>0</v>
      </c>
      <c r="G305" s="8" t="str">
        <f t="shared" si="5"/>
        <v xml:space="preserve"> 0</v>
      </c>
    </row>
    <row r="306" spans="6:7" x14ac:dyDescent="0.25">
      <c r="F306" s="21">
        <f t="shared" si="7"/>
        <v>0</v>
      </c>
      <c r="G306" s="8" t="str">
        <f t="shared" si="5"/>
        <v xml:space="preserve"> 0</v>
      </c>
    </row>
    <row r="307" spans="6:7" x14ac:dyDescent="0.25">
      <c r="F307" s="21">
        <f t="shared" si="7"/>
        <v>0</v>
      </c>
      <c r="G307" s="8" t="str">
        <f t="shared" si="5"/>
        <v xml:space="preserve"> 0</v>
      </c>
    </row>
    <row r="308" spans="6:7" x14ac:dyDescent="0.25">
      <c r="F308" s="21">
        <f t="shared" si="7"/>
        <v>0</v>
      </c>
      <c r="G308" s="8" t="str">
        <f t="shared" si="5"/>
        <v xml:space="preserve"> 0</v>
      </c>
    </row>
    <row r="309" spans="6:7" x14ac:dyDescent="0.25">
      <c r="F309" s="21">
        <f t="shared" si="7"/>
        <v>0</v>
      </c>
      <c r="G309" s="8" t="str">
        <f t="shared" si="5"/>
        <v xml:space="preserve"> 0</v>
      </c>
    </row>
    <row r="310" spans="6:7" x14ac:dyDescent="0.25">
      <c r="F310" s="21">
        <f t="shared" si="7"/>
        <v>0</v>
      </c>
      <c r="G310" s="8" t="str">
        <f t="shared" si="5"/>
        <v xml:space="preserve"> 0</v>
      </c>
    </row>
    <row r="311" spans="6:7" x14ac:dyDescent="0.25">
      <c r="F311" s="21">
        <f t="shared" si="7"/>
        <v>0</v>
      </c>
      <c r="G311" s="8" t="str">
        <f t="shared" si="5"/>
        <v xml:space="preserve"> 0</v>
      </c>
    </row>
    <row r="312" spans="6:7" x14ac:dyDescent="0.25">
      <c r="F312" s="21">
        <f t="shared" si="7"/>
        <v>0</v>
      </c>
      <c r="G312" s="8" t="str">
        <f t="shared" si="5"/>
        <v xml:space="preserve"> 0</v>
      </c>
    </row>
    <row r="313" spans="6:7" x14ac:dyDescent="0.25">
      <c r="F313" s="21">
        <f t="shared" si="7"/>
        <v>0</v>
      </c>
      <c r="G313" s="8" t="str">
        <f t="shared" si="5"/>
        <v xml:space="preserve"> 0</v>
      </c>
    </row>
    <row r="314" spans="6:7" x14ac:dyDescent="0.25">
      <c r="F314" s="21">
        <f t="shared" si="7"/>
        <v>0</v>
      </c>
      <c r="G314" s="8" t="str">
        <f t="shared" si="5"/>
        <v xml:space="preserve"> 0</v>
      </c>
    </row>
    <row r="315" spans="6:7" x14ac:dyDescent="0.25">
      <c r="F315" s="21">
        <f t="shared" si="7"/>
        <v>0</v>
      </c>
      <c r="G315" s="8" t="str">
        <f t="shared" si="5"/>
        <v xml:space="preserve"> 0</v>
      </c>
    </row>
    <row r="316" spans="6:7" x14ac:dyDescent="0.25">
      <c r="F316" s="21">
        <f t="shared" si="7"/>
        <v>0</v>
      </c>
      <c r="G316" s="8" t="str">
        <f t="shared" si="5"/>
        <v xml:space="preserve"> 0</v>
      </c>
    </row>
    <row r="317" spans="6:7" x14ac:dyDescent="0.25">
      <c r="F317" s="21">
        <f t="shared" si="7"/>
        <v>0</v>
      </c>
      <c r="G317" s="8" t="str">
        <f t="shared" si="5"/>
        <v xml:space="preserve"> 0</v>
      </c>
    </row>
    <row r="318" spans="6:7" x14ac:dyDescent="0.25">
      <c r="F318" s="21">
        <f t="shared" si="7"/>
        <v>0</v>
      </c>
      <c r="G318" s="8" t="str">
        <f t="shared" si="5"/>
        <v xml:space="preserve"> 0</v>
      </c>
    </row>
    <row r="319" spans="6:7" x14ac:dyDescent="0.25">
      <c r="F319" s="21">
        <f t="shared" si="7"/>
        <v>0</v>
      </c>
      <c r="G319" s="8" t="str">
        <f t="shared" si="5"/>
        <v xml:space="preserve"> 0</v>
      </c>
    </row>
    <row r="320" spans="6:7" x14ac:dyDescent="0.25">
      <c r="F320" s="21">
        <f t="shared" si="7"/>
        <v>0</v>
      </c>
      <c r="G320" s="8" t="str">
        <f t="shared" si="5"/>
        <v xml:space="preserve"> 0</v>
      </c>
    </row>
    <row r="321" spans="6:7" x14ac:dyDescent="0.25">
      <c r="F321" s="21">
        <f t="shared" si="7"/>
        <v>0</v>
      </c>
      <c r="G321" s="8" t="str">
        <f t="shared" si="5"/>
        <v xml:space="preserve"> 0</v>
      </c>
    </row>
    <row r="322" spans="6:7" x14ac:dyDescent="0.25">
      <c r="F322" s="21">
        <f t="shared" si="7"/>
        <v>0</v>
      </c>
      <c r="G322" s="8" t="str">
        <f t="shared" si="5"/>
        <v xml:space="preserve"> 0</v>
      </c>
    </row>
    <row r="323" spans="6:7" x14ac:dyDescent="0.25">
      <c r="F323" s="21">
        <f t="shared" si="7"/>
        <v>0</v>
      </c>
      <c r="G323" s="8" t="str">
        <f t="shared" ref="G323:G386" si="8">E323&amp;" "&amp;F323</f>
        <v xml:space="preserve"> 0</v>
      </c>
    </row>
    <row r="324" spans="6:7" x14ac:dyDescent="0.25">
      <c r="F324" s="21">
        <f t="shared" si="7"/>
        <v>0</v>
      </c>
      <c r="G324" s="8" t="str">
        <f t="shared" si="8"/>
        <v xml:space="preserve"> 0</v>
      </c>
    </row>
    <row r="325" spans="6:7" x14ac:dyDescent="0.25">
      <c r="F325" s="21">
        <f t="shared" si="7"/>
        <v>0</v>
      </c>
      <c r="G325" s="8" t="str">
        <f t="shared" si="8"/>
        <v xml:space="preserve"> 0</v>
      </c>
    </row>
    <row r="326" spans="6:7" x14ac:dyDescent="0.25">
      <c r="F326" s="21">
        <f t="shared" si="7"/>
        <v>0</v>
      </c>
      <c r="G326" s="8" t="str">
        <f t="shared" si="8"/>
        <v xml:space="preserve"> 0</v>
      </c>
    </row>
    <row r="327" spans="6:7" x14ac:dyDescent="0.25">
      <c r="F327" s="21">
        <f t="shared" si="7"/>
        <v>0</v>
      </c>
      <c r="G327" s="8" t="str">
        <f t="shared" si="8"/>
        <v xml:space="preserve"> 0</v>
      </c>
    </row>
    <row r="328" spans="6:7" x14ac:dyDescent="0.25">
      <c r="F328" s="21">
        <f t="shared" si="7"/>
        <v>0</v>
      </c>
      <c r="G328" s="8" t="str">
        <f t="shared" si="8"/>
        <v xml:space="preserve"> 0</v>
      </c>
    </row>
    <row r="329" spans="6:7" x14ac:dyDescent="0.25">
      <c r="F329" s="21">
        <f t="shared" si="7"/>
        <v>0</v>
      </c>
      <c r="G329" s="8" t="str">
        <f t="shared" si="8"/>
        <v xml:space="preserve"> 0</v>
      </c>
    </row>
    <row r="330" spans="6:7" x14ac:dyDescent="0.25">
      <c r="F330" s="21">
        <f t="shared" si="7"/>
        <v>0</v>
      </c>
      <c r="G330" s="8" t="str">
        <f t="shared" si="8"/>
        <v xml:space="preserve"> 0</v>
      </c>
    </row>
    <row r="331" spans="6:7" x14ac:dyDescent="0.25">
      <c r="F331" s="21">
        <f t="shared" si="7"/>
        <v>0</v>
      </c>
      <c r="G331" s="8" t="str">
        <f t="shared" si="8"/>
        <v xml:space="preserve"> 0</v>
      </c>
    </row>
    <row r="332" spans="6:7" x14ac:dyDescent="0.25">
      <c r="F332" s="21">
        <f t="shared" si="7"/>
        <v>0</v>
      </c>
      <c r="G332" s="8" t="str">
        <f t="shared" si="8"/>
        <v xml:space="preserve"> 0</v>
      </c>
    </row>
    <row r="333" spans="6:7" x14ac:dyDescent="0.25">
      <c r="F333" s="21">
        <f t="shared" si="7"/>
        <v>0</v>
      </c>
      <c r="G333" s="8" t="str">
        <f t="shared" si="8"/>
        <v xml:space="preserve"> 0</v>
      </c>
    </row>
    <row r="334" spans="6:7" x14ac:dyDescent="0.25">
      <c r="F334" s="21">
        <f t="shared" si="7"/>
        <v>0</v>
      </c>
      <c r="G334" s="8" t="str">
        <f t="shared" si="8"/>
        <v xml:space="preserve"> 0</v>
      </c>
    </row>
    <row r="335" spans="6:7" x14ac:dyDescent="0.25">
      <c r="F335" s="21">
        <f t="shared" si="7"/>
        <v>0</v>
      </c>
      <c r="G335" s="8" t="str">
        <f t="shared" si="8"/>
        <v xml:space="preserve"> 0</v>
      </c>
    </row>
    <row r="336" spans="6:7" x14ac:dyDescent="0.25">
      <c r="F336" s="21">
        <f t="shared" si="7"/>
        <v>0</v>
      </c>
      <c r="G336" s="8" t="str">
        <f t="shared" si="8"/>
        <v xml:space="preserve"> 0</v>
      </c>
    </row>
    <row r="337" spans="6:7" x14ac:dyDescent="0.25">
      <c r="F337" s="21">
        <f t="shared" si="7"/>
        <v>0</v>
      </c>
      <c r="G337" s="8" t="str">
        <f t="shared" si="8"/>
        <v xml:space="preserve"> 0</v>
      </c>
    </row>
    <row r="338" spans="6:7" x14ac:dyDescent="0.25">
      <c r="F338" s="21">
        <f t="shared" si="7"/>
        <v>0</v>
      </c>
      <c r="G338" s="8" t="str">
        <f t="shared" si="8"/>
        <v xml:space="preserve"> 0</v>
      </c>
    </row>
    <row r="339" spans="6:7" x14ac:dyDescent="0.25">
      <c r="F339" s="21">
        <f t="shared" si="7"/>
        <v>0</v>
      </c>
      <c r="G339" s="8" t="str">
        <f t="shared" si="8"/>
        <v xml:space="preserve"> 0</v>
      </c>
    </row>
    <row r="340" spans="6:7" x14ac:dyDescent="0.25">
      <c r="F340" s="21">
        <f t="shared" si="7"/>
        <v>0</v>
      </c>
      <c r="G340" s="8" t="str">
        <f t="shared" si="8"/>
        <v xml:space="preserve"> 0</v>
      </c>
    </row>
    <row r="341" spans="6:7" x14ac:dyDescent="0.25">
      <c r="F341" s="21">
        <f t="shared" si="7"/>
        <v>0</v>
      </c>
      <c r="G341" s="8" t="str">
        <f t="shared" si="8"/>
        <v xml:space="preserve"> 0</v>
      </c>
    </row>
    <row r="342" spans="6:7" x14ac:dyDescent="0.25">
      <c r="F342" s="21">
        <f t="shared" si="7"/>
        <v>0</v>
      </c>
      <c r="G342" s="8" t="str">
        <f t="shared" si="8"/>
        <v xml:space="preserve"> 0</v>
      </c>
    </row>
    <row r="343" spans="6:7" x14ac:dyDescent="0.25">
      <c r="F343" s="21">
        <f t="shared" si="7"/>
        <v>0</v>
      </c>
      <c r="G343" s="8" t="str">
        <f t="shared" si="8"/>
        <v xml:space="preserve"> 0</v>
      </c>
    </row>
    <row r="344" spans="6:7" x14ac:dyDescent="0.25">
      <c r="F344" s="21">
        <f t="shared" si="7"/>
        <v>0</v>
      </c>
      <c r="G344" s="8" t="str">
        <f t="shared" si="8"/>
        <v xml:space="preserve"> 0</v>
      </c>
    </row>
    <row r="345" spans="6:7" x14ac:dyDescent="0.25">
      <c r="F345" s="21">
        <f t="shared" si="7"/>
        <v>0</v>
      </c>
      <c r="G345" s="8" t="str">
        <f t="shared" si="8"/>
        <v xml:space="preserve"> 0</v>
      </c>
    </row>
    <row r="346" spans="6:7" x14ac:dyDescent="0.25">
      <c r="F346" s="21">
        <f t="shared" ref="F346:F409" si="9">B346</f>
        <v>0</v>
      </c>
      <c r="G346" s="8" t="str">
        <f t="shared" si="8"/>
        <v xml:space="preserve"> 0</v>
      </c>
    </row>
    <row r="347" spans="6:7" x14ac:dyDescent="0.25">
      <c r="F347" s="21">
        <f t="shared" si="9"/>
        <v>0</v>
      </c>
      <c r="G347" s="8" t="str">
        <f t="shared" si="8"/>
        <v xml:space="preserve"> 0</v>
      </c>
    </row>
    <row r="348" spans="6:7" x14ac:dyDescent="0.25">
      <c r="F348" s="21">
        <f t="shared" si="9"/>
        <v>0</v>
      </c>
      <c r="G348" s="8" t="str">
        <f t="shared" si="8"/>
        <v xml:space="preserve"> 0</v>
      </c>
    </row>
    <row r="349" spans="6:7" x14ac:dyDescent="0.25">
      <c r="F349" s="21">
        <f t="shared" si="9"/>
        <v>0</v>
      </c>
      <c r="G349" s="8" t="str">
        <f t="shared" si="8"/>
        <v xml:space="preserve"> 0</v>
      </c>
    </row>
    <row r="350" spans="6:7" x14ac:dyDescent="0.25">
      <c r="F350" s="21">
        <f t="shared" si="9"/>
        <v>0</v>
      </c>
      <c r="G350" s="8" t="str">
        <f t="shared" si="8"/>
        <v xml:space="preserve"> 0</v>
      </c>
    </row>
    <row r="351" spans="6:7" x14ac:dyDescent="0.25">
      <c r="F351" s="21">
        <f t="shared" si="9"/>
        <v>0</v>
      </c>
      <c r="G351" s="8" t="str">
        <f t="shared" si="8"/>
        <v xml:space="preserve"> 0</v>
      </c>
    </row>
    <row r="352" spans="6:7" x14ac:dyDescent="0.25">
      <c r="F352" s="21">
        <f t="shared" si="9"/>
        <v>0</v>
      </c>
      <c r="G352" s="8" t="str">
        <f t="shared" si="8"/>
        <v xml:space="preserve"> 0</v>
      </c>
    </row>
    <row r="353" spans="6:7" x14ac:dyDescent="0.25">
      <c r="F353" s="21">
        <f t="shared" si="9"/>
        <v>0</v>
      </c>
      <c r="G353" s="8" t="str">
        <f t="shared" si="8"/>
        <v xml:space="preserve"> 0</v>
      </c>
    </row>
    <row r="354" spans="6:7" x14ac:dyDescent="0.25">
      <c r="F354" s="21">
        <f t="shared" si="9"/>
        <v>0</v>
      </c>
      <c r="G354" s="8" t="str">
        <f t="shared" si="8"/>
        <v xml:space="preserve"> 0</v>
      </c>
    </row>
    <row r="355" spans="6:7" x14ac:dyDescent="0.25">
      <c r="F355" s="21">
        <f t="shared" si="9"/>
        <v>0</v>
      </c>
      <c r="G355" s="8" t="str">
        <f t="shared" si="8"/>
        <v xml:space="preserve"> 0</v>
      </c>
    </row>
    <row r="356" spans="6:7" x14ac:dyDescent="0.25">
      <c r="F356" s="21">
        <f t="shared" si="9"/>
        <v>0</v>
      </c>
      <c r="G356" s="8" t="str">
        <f t="shared" si="8"/>
        <v xml:space="preserve"> 0</v>
      </c>
    </row>
    <row r="357" spans="6:7" x14ac:dyDescent="0.25">
      <c r="F357" s="21">
        <f t="shared" si="9"/>
        <v>0</v>
      </c>
      <c r="G357" s="8" t="str">
        <f t="shared" si="8"/>
        <v xml:space="preserve"> 0</v>
      </c>
    </row>
    <row r="358" spans="6:7" x14ac:dyDescent="0.25">
      <c r="F358" s="21">
        <f t="shared" si="9"/>
        <v>0</v>
      </c>
      <c r="G358" s="8" t="str">
        <f t="shared" si="8"/>
        <v xml:space="preserve"> 0</v>
      </c>
    </row>
    <row r="359" spans="6:7" x14ac:dyDescent="0.25">
      <c r="F359" s="21">
        <f t="shared" si="9"/>
        <v>0</v>
      </c>
      <c r="G359" s="8" t="str">
        <f t="shared" si="8"/>
        <v xml:space="preserve"> 0</v>
      </c>
    </row>
    <row r="360" spans="6:7" x14ac:dyDescent="0.25">
      <c r="F360" s="21">
        <f t="shared" si="9"/>
        <v>0</v>
      </c>
      <c r="G360" s="8" t="str">
        <f t="shared" si="8"/>
        <v xml:space="preserve"> 0</v>
      </c>
    </row>
    <row r="361" spans="6:7" x14ac:dyDescent="0.25">
      <c r="F361" s="21">
        <f t="shared" si="9"/>
        <v>0</v>
      </c>
      <c r="G361" s="8" t="str">
        <f t="shared" si="8"/>
        <v xml:space="preserve"> 0</v>
      </c>
    </row>
    <row r="362" spans="6:7" x14ac:dyDescent="0.25">
      <c r="F362" s="21">
        <f t="shared" si="9"/>
        <v>0</v>
      </c>
      <c r="G362" s="8" t="str">
        <f t="shared" si="8"/>
        <v xml:space="preserve"> 0</v>
      </c>
    </row>
    <row r="363" spans="6:7" x14ac:dyDescent="0.25">
      <c r="F363" s="21">
        <f t="shared" si="9"/>
        <v>0</v>
      </c>
      <c r="G363" s="8" t="str">
        <f t="shared" si="8"/>
        <v xml:space="preserve"> 0</v>
      </c>
    </row>
    <row r="364" spans="6:7" x14ac:dyDescent="0.25">
      <c r="F364" s="21">
        <f t="shared" si="9"/>
        <v>0</v>
      </c>
      <c r="G364" s="8" t="str">
        <f t="shared" si="8"/>
        <v xml:space="preserve"> 0</v>
      </c>
    </row>
    <row r="365" spans="6:7" x14ac:dyDescent="0.25">
      <c r="F365" s="21">
        <f t="shared" si="9"/>
        <v>0</v>
      </c>
      <c r="G365" s="8" t="str">
        <f t="shared" si="8"/>
        <v xml:space="preserve"> 0</v>
      </c>
    </row>
    <row r="366" spans="6:7" x14ac:dyDescent="0.25">
      <c r="F366" s="21">
        <f t="shared" si="9"/>
        <v>0</v>
      </c>
      <c r="G366" s="8" t="str">
        <f t="shared" si="8"/>
        <v xml:space="preserve"> 0</v>
      </c>
    </row>
    <row r="367" spans="6:7" x14ac:dyDescent="0.25">
      <c r="F367" s="21">
        <f t="shared" si="9"/>
        <v>0</v>
      </c>
      <c r="G367" s="8" t="str">
        <f t="shared" si="8"/>
        <v xml:space="preserve"> 0</v>
      </c>
    </row>
    <row r="368" spans="6:7" x14ac:dyDescent="0.25">
      <c r="F368" s="21">
        <f t="shared" si="9"/>
        <v>0</v>
      </c>
      <c r="G368" s="8" t="str">
        <f t="shared" si="8"/>
        <v xml:space="preserve"> 0</v>
      </c>
    </row>
    <row r="369" spans="6:7" x14ac:dyDescent="0.25">
      <c r="F369" s="21">
        <f t="shared" si="9"/>
        <v>0</v>
      </c>
      <c r="G369" s="8" t="str">
        <f t="shared" si="8"/>
        <v xml:space="preserve"> 0</v>
      </c>
    </row>
    <row r="370" spans="6:7" x14ac:dyDescent="0.25">
      <c r="F370" s="21">
        <f t="shared" si="9"/>
        <v>0</v>
      </c>
      <c r="G370" s="8" t="str">
        <f t="shared" si="8"/>
        <v xml:space="preserve"> 0</v>
      </c>
    </row>
    <row r="371" spans="6:7" x14ac:dyDescent="0.25">
      <c r="F371" s="21">
        <f t="shared" si="9"/>
        <v>0</v>
      </c>
      <c r="G371" s="8" t="str">
        <f t="shared" si="8"/>
        <v xml:space="preserve"> 0</v>
      </c>
    </row>
    <row r="372" spans="6:7" x14ac:dyDescent="0.25">
      <c r="F372" s="21">
        <f t="shared" si="9"/>
        <v>0</v>
      </c>
      <c r="G372" s="8" t="str">
        <f t="shared" si="8"/>
        <v xml:space="preserve"> 0</v>
      </c>
    </row>
    <row r="373" spans="6:7" x14ac:dyDescent="0.25">
      <c r="F373" s="21">
        <f t="shared" si="9"/>
        <v>0</v>
      </c>
      <c r="G373" s="8" t="str">
        <f t="shared" si="8"/>
        <v xml:space="preserve"> 0</v>
      </c>
    </row>
    <row r="374" spans="6:7" x14ac:dyDescent="0.25">
      <c r="F374" s="21">
        <f t="shared" si="9"/>
        <v>0</v>
      </c>
      <c r="G374" s="8" t="str">
        <f t="shared" si="8"/>
        <v xml:space="preserve"> 0</v>
      </c>
    </row>
    <row r="375" spans="6:7" x14ac:dyDescent="0.25">
      <c r="F375" s="21">
        <f t="shared" si="9"/>
        <v>0</v>
      </c>
      <c r="G375" s="8" t="str">
        <f t="shared" si="8"/>
        <v xml:space="preserve"> 0</v>
      </c>
    </row>
    <row r="376" spans="6:7" x14ac:dyDescent="0.25">
      <c r="F376" s="21">
        <f t="shared" si="9"/>
        <v>0</v>
      </c>
      <c r="G376" s="8" t="str">
        <f t="shared" si="8"/>
        <v xml:space="preserve"> 0</v>
      </c>
    </row>
    <row r="377" spans="6:7" x14ac:dyDescent="0.25">
      <c r="F377" s="21">
        <f t="shared" si="9"/>
        <v>0</v>
      </c>
      <c r="G377" s="8" t="str">
        <f t="shared" si="8"/>
        <v xml:space="preserve"> 0</v>
      </c>
    </row>
    <row r="378" spans="6:7" x14ac:dyDescent="0.25">
      <c r="F378" s="21">
        <f t="shared" si="9"/>
        <v>0</v>
      </c>
      <c r="G378" s="8" t="str">
        <f t="shared" si="8"/>
        <v xml:space="preserve"> 0</v>
      </c>
    </row>
    <row r="379" spans="6:7" x14ac:dyDescent="0.25">
      <c r="F379" s="21">
        <f t="shared" si="9"/>
        <v>0</v>
      </c>
      <c r="G379" s="8" t="str">
        <f t="shared" si="8"/>
        <v xml:space="preserve"> 0</v>
      </c>
    </row>
    <row r="380" spans="6:7" x14ac:dyDescent="0.25">
      <c r="F380" s="21">
        <f t="shared" si="9"/>
        <v>0</v>
      </c>
      <c r="G380" s="8" t="str">
        <f t="shared" si="8"/>
        <v xml:space="preserve"> 0</v>
      </c>
    </row>
    <row r="381" spans="6:7" x14ac:dyDescent="0.25">
      <c r="F381" s="21">
        <f t="shared" si="9"/>
        <v>0</v>
      </c>
      <c r="G381" s="8" t="str">
        <f t="shared" si="8"/>
        <v xml:space="preserve"> 0</v>
      </c>
    </row>
    <row r="382" spans="6:7" x14ac:dyDescent="0.25">
      <c r="F382" s="21">
        <f t="shared" si="9"/>
        <v>0</v>
      </c>
      <c r="G382" s="8" t="str">
        <f t="shared" si="8"/>
        <v xml:space="preserve"> 0</v>
      </c>
    </row>
    <row r="383" spans="6:7" x14ac:dyDescent="0.25">
      <c r="F383" s="21">
        <f t="shared" si="9"/>
        <v>0</v>
      </c>
      <c r="G383" s="8" t="str">
        <f t="shared" si="8"/>
        <v xml:space="preserve"> 0</v>
      </c>
    </row>
    <row r="384" spans="6:7" x14ac:dyDescent="0.25">
      <c r="F384" s="21">
        <f t="shared" si="9"/>
        <v>0</v>
      </c>
      <c r="G384" s="8" t="str">
        <f t="shared" si="8"/>
        <v xml:space="preserve"> 0</v>
      </c>
    </row>
    <row r="385" spans="6:7" x14ac:dyDescent="0.25">
      <c r="F385" s="21">
        <f t="shared" si="9"/>
        <v>0</v>
      </c>
      <c r="G385" s="8" t="str">
        <f t="shared" si="8"/>
        <v xml:space="preserve"> 0</v>
      </c>
    </row>
    <row r="386" spans="6:7" x14ac:dyDescent="0.25">
      <c r="F386" s="21">
        <f t="shared" si="9"/>
        <v>0</v>
      </c>
      <c r="G386" s="8" t="str">
        <f t="shared" si="8"/>
        <v xml:space="preserve"> 0</v>
      </c>
    </row>
    <row r="387" spans="6:7" x14ac:dyDescent="0.25">
      <c r="F387" s="21">
        <f t="shared" si="9"/>
        <v>0</v>
      </c>
      <c r="G387" s="8" t="str">
        <f t="shared" ref="G387:G450" si="10">E387&amp;" "&amp;F387</f>
        <v xml:space="preserve"> 0</v>
      </c>
    </row>
    <row r="388" spans="6:7" x14ac:dyDescent="0.25">
      <c r="F388" s="21">
        <f t="shared" si="9"/>
        <v>0</v>
      </c>
      <c r="G388" s="8" t="str">
        <f t="shared" si="10"/>
        <v xml:space="preserve"> 0</v>
      </c>
    </row>
    <row r="389" spans="6:7" x14ac:dyDescent="0.25">
      <c r="F389" s="21">
        <f t="shared" si="9"/>
        <v>0</v>
      </c>
      <c r="G389" s="8" t="str">
        <f t="shared" si="10"/>
        <v xml:space="preserve"> 0</v>
      </c>
    </row>
    <row r="390" spans="6:7" x14ac:dyDescent="0.25">
      <c r="F390" s="21">
        <f t="shared" si="9"/>
        <v>0</v>
      </c>
      <c r="G390" s="8" t="str">
        <f t="shared" si="10"/>
        <v xml:space="preserve"> 0</v>
      </c>
    </row>
    <row r="391" spans="6:7" x14ac:dyDescent="0.25">
      <c r="F391" s="21">
        <f t="shared" si="9"/>
        <v>0</v>
      </c>
      <c r="G391" s="8" t="str">
        <f t="shared" si="10"/>
        <v xml:space="preserve"> 0</v>
      </c>
    </row>
    <row r="392" spans="6:7" x14ac:dyDescent="0.25">
      <c r="F392" s="21">
        <f t="shared" si="9"/>
        <v>0</v>
      </c>
      <c r="G392" s="8" t="str">
        <f t="shared" si="10"/>
        <v xml:space="preserve"> 0</v>
      </c>
    </row>
    <row r="393" spans="6:7" x14ac:dyDescent="0.25">
      <c r="F393" s="21">
        <f t="shared" si="9"/>
        <v>0</v>
      </c>
      <c r="G393" s="8" t="str">
        <f t="shared" si="10"/>
        <v xml:space="preserve"> 0</v>
      </c>
    </row>
    <row r="394" spans="6:7" x14ac:dyDescent="0.25">
      <c r="F394" s="21">
        <f t="shared" si="9"/>
        <v>0</v>
      </c>
      <c r="G394" s="8" t="str">
        <f t="shared" si="10"/>
        <v xml:space="preserve"> 0</v>
      </c>
    </row>
    <row r="395" spans="6:7" x14ac:dyDescent="0.25">
      <c r="F395" s="21">
        <f t="shared" si="9"/>
        <v>0</v>
      </c>
      <c r="G395" s="8" t="str">
        <f t="shared" si="10"/>
        <v xml:space="preserve"> 0</v>
      </c>
    </row>
    <row r="396" spans="6:7" x14ac:dyDescent="0.25">
      <c r="F396" s="21">
        <f t="shared" si="9"/>
        <v>0</v>
      </c>
      <c r="G396" s="8" t="str">
        <f t="shared" si="10"/>
        <v xml:space="preserve"> 0</v>
      </c>
    </row>
    <row r="397" spans="6:7" x14ac:dyDescent="0.25">
      <c r="F397" s="21">
        <f t="shared" si="9"/>
        <v>0</v>
      </c>
      <c r="G397" s="8" t="str">
        <f t="shared" si="10"/>
        <v xml:space="preserve"> 0</v>
      </c>
    </row>
    <row r="398" spans="6:7" x14ac:dyDescent="0.25">
      <c r="F398" s="21">
        <f t="shared" si="9"/>
        <v>0</v>
      </c>
      <c r="G398" s="8" t="str">
        <f t="shared" si="10"/>
        <v xml:space="preserve"> 0</v>
      </c>
    </row>
    <row r="399" spans="6:7" x14ac:dyDescent="0.25">
      <c r="F399" s="21">
        <f t="shared" si="9"/>
        <v>0</v>
      </c>
      <c r="G399" s="8" t="str">
        <f t="shared" si="10"/>
        <v xml:space="preserve"> 0</v>
      </c>
    </row>
    <row r="400" spans="6:7" x14ac:dyDescent="0.25">
      <c r="F400" s="21">
        <f t="shared" si="9"/>
        <v>0</v>
      </c>
      <c r="G400" s="8" t="str">
        <f t="shared" si="10"/>
        <v xml:space="preserve"> 0</v>
      </c>
    </row>
    <row r="401" spans="6:7" x14ac:dyDescent="0.25">
      <c r="F401" s="21">
        <f t="shared" si="9"/>
        <v>0</v>
      </c>
      <c r="G401" s="8" t="str">
        <f t="shared" si="10"/>
        <v xml:space="preserve"> 0</v>
      </c>
    </row>
    <row r="402" spans="6:7" x14ac:dyDescent="0.25">
      <c r="F402" s="21">
        <f t="shared" si="9"/>
        <v>0</v>
      </c>
      <c r="G402" s="8" t="str">
        <f t="shared" si="10"/>
        <v xml:space="preserve"> 0</v>
      </c>
    </row>
    <row r="403" spans="6:7" x14ac:dyDescent="0.25">
      <c r="F403" s="21">
        <f t="shared" si="9"/>
        <v>0</v>
      </c>
      <c r="G403" s="8" t="str">
        <f t="shared" si="10"/>
        <v xml:space="preserve"> 0</v>
      </c>
    </row>
    <row r="404" spans="6:7" x14ac:dyDescent="0.25">
      <c r="F404" s="21">
        <f t="shared" si="9"/>
        <v>0</v>
      </c>
      <c r="G404" s="8" t="str">
        <f t="shared" si="10"/>
        <v xml:space="preserve"> 0</v>
      </c>
    </row>
    <row r="405" spans="6:7" x14ac:dyDescent="0.25">
      <c r="F405" s="21">
        <f t="shared" si="9"/>
        <v>0</v>
      </c>
      <c r="G405" s="8" t="str">
        <f t="shared" si="10"/>
        <v xml:space="preserve"> 0</v>
      </c>
    </row>
    <row r="406" spans="6:7" x14ac:dyDescent="0.25">
      <c r="F406" s="21">
        <f t="shared" si="9"/>
        <v>0</v>
      </c>
      <c r="G406" s="8" t="str">
        <f t="shared" si="10"/>
        <v xml:space="preserve"> 0</v>
      </c>
    </row>
    <row r="407" spans="6:7" x14ac:dyDescent="0.25">
      <c r="F407" s="21">
        <f t="shared" si="9"/>
        <v>0</v>
      </c>
      <c r="G407" s="8" t="str">
        <f t="shared" si="10"/>
        <v xml:space="preserve"> 0</v>
      </c>
    </row>
    <row r="408" spans="6:7" x14ac:dyDescent="0.25">
      <c r="F408" s="21">
        <f t="shared" si="9"/>
        <v>0</v>
      </c>
      <c r="G408" s="8" t="str">
        <f t="shared" si="10"/>
        <v xml:space="preserve"> 0</v>
      </c>
    </row>
    <row r="409" spans="6:7" x14ac:dyDescent="0.25">
      <c r="F409" s="21">
        <f t="shared" si="9"/>
        <v>0</v>
      </c>
      <c r="G409" s="8" t="str">
        <f t="shared" si="10"/>
        <v xml:space="preserve"> 0</v>
      </c>
    </row>
    <row r="410" spans="6:7" x14ac:dyDescent="0.25">
      <c r="F410" s="21">
        <f t="shared" ref="F410:F473" si="11">B410</f>
        <v>0</v>
      </c>
      <c r="G410" s="8" t="str">
        <f t="shared" si="10"/>
        <v xml:space="preserve"> 0</v>
      </c>
    </row>
    <row r="411" spans="6:7" x14ac:dyDescent="0.25">
      <c r="F411" s="21">
        <f t="shared" si="11"/>
        <v>0</v>
      </c>
      <c r="G411" s="8" t="str">
        <f t="shared" si="10"/>
        <v xml:space="preserve"> 0</v>
      </c>
    </row>
    <row r="412" spans="6:7" x14ac:dyDescent="0.25">
      <c r="F412" s="21">
        <f t="shared" si="11"/>
        <v>0</v>
      </c>
      <c r="G412" s="8" t="str">
        <f t="shared" si="10"/>
        <v xml:space="preserve"> 0</v>
      </c>
    </row>
    <row r="413" spans="6:7" x14ac:dyDescent="0.25">
      <c r="F413" s="21">
        <f t="shared" si="11"/>
        <v>0</v>
      </c>
      <c r="G413" s="8" t="str">
        <f t="shared" si="10"/>
        <v xml:space="preserve"> 0</v>
      </c>
    </row>
    <row r="414" spans="6:7" x14ac:dyDescent="0.25">
      <c r="F414" s="21">
        <f t="shared" si="11"/>
        <v>0</v>
      </c>
      <c r="G414" s="8" t="str">
        <f t="shared" si="10"/>
        <v xml:space="preserve"> 0</v>
      </c>
    </row>
    <row r="415" spans="6:7" x14ac:dyDescent="0.25">
      <c r="F415" s="21">
        <f t="shared" si="11"/>
        <v>0</v>
      </c>
      <c r="G415" s="8" t="str">
        <f t="shared" si="10"/>
        <v xml:space="preserve"> 0</v>
      </c>
    </row>
    <row r="416" spans="6:7" x14ac:dyDescent="0.25">
      <c r="F416" s="21">
        <f t="shared" si="11"/>
        <v>0</v>
      </c>
      <c r="G416" s="8" t="str">
        <f t="shared" si="10"/>
        <v xml:space="preserve"> 0</v>
      </c>
    </row>
    <row r="417" spans="6:7" x14ac:dyDescent="0.25">
      <c r="F417" s="21">
        <f t="shared" si="11"/>
        <v>0</v>
      </c>
      <c r="G417" s="8" t="str">
        <f t="shared" si="10"/>
        <v xml:space="preserve"> 0</v>
      </c>
    </row>
    <row r="418" spans="6:7" x14ac:dyDescent="0.25">
      <c r="F418" s="21">
        <f t="shared" si="11"/>
        <v>0</v>
      </c>
      <c r="G418" s="8" t="str">
        <f t="shared" si="10"/>
        <v xml:space="preserve"> 0</v>
      </c>
    </row>
    <row r="419" spans="6:7" x14ac:dyDescent="0.25">
      <c r="F419" s="21">
        <f t="shared" si="11"/>
        <v>0</v>
      </c>
      <c r="G419" s="8" t="str">
        <f t="shared" si="10"/>
        <v xml:space="preserve"> 0</v>
      </c>
    </row>
    <row r="420" spans="6:7" x14ac:dyDescent="0.25">
      <c r="F420" s="21">
        <f t="shared" si="11"/>
        <v>0</v>
      </c>
      <c r="G420" s="8" t="str">
        <f t="shared" si="10"/>
        <v xml:space="preserve"> 0</v>
      </c>
    </row>
    <row r="421" spans="6:7" x14ac:dyDescent="0.25">
      <c r="F421" s="21">
        <f t="shared" si="11"/>
        <v>0</v>
      </c>
      <c r="G421" s="8" t="str">
        <f t="shared" si="10"/>
        <v xml:space="preserve"> 0</v>
      </c>
    </row>
    <row r="422" spans="6:7" x14ac:dyDescent="0.25">
      <c r="F422" s="21">
        <f t="shared" si="11"/>
        <v>0</v>
      </c>
      <c r="G422" s="8" t="str">
        <f t="shared" si="10"/>
        <v xml:space="preserve"> 0</v>
      </c>
    </row>
    <row r="423" spans="6:7" x14ac:dyDescent="0.25">
      <c r="F423" s="21">
        <f t="shared" si="11"/>
        <v>0</v>
      </c>
      <c r="G423" s="8" t="str">
        <f t="shared" si="10"/>
        <v xml:space="preserve"> 0</v>
      </c>
    </row>
    <row r="424" spans="6:7" x14ac:dyDescent="0.25">
      <c r="F424" s="21">
        <f t="shared" si="11"/>
        <v>0</v>
      </c>
      <c r="G424" s="8" t="str">
        <f t="shared" si="10"/>
        <v xml:space="preserve"> 0</v>
      </c>
    </row>
    <row r="425" spans="6:7" x14ac:dyDescent="0.25">
      <c r="F425" s="21">
        <f t="shared" si="11"/>
        <v>0</v>
      </c>
      <c r="G425" s="8" t="str">
        <f t="shared" si="10"/>
        <v xml:space="preserve"> 0</v>
      </c>
    </row>
    <row r="426" spans="6:7" x14ac:dyDescent="0.25">
      <c r="F426" s="21">
        <f t="shared" si="11"/>
        <v>0</v>
      </c>
      <c r="G426" s="8" t="str">
        <f t="shared" si="10"/>
        <v xml:space="preserve"> 0</v>
      </c>
    </row>
    <row r="427" spans="6:7" x14ac:dyDescent="0.25">
      <c r="F427" s="21">
        <f t="shared" si="11"/>
        <v>0</v>
      </c>
      <c r="G427" s="8" t="str">
        <f t="shared" si="10"/>
        <v xml:space="preserve"> 0</v>
      </c>
    </row>
    <row r="428" spans="6:7" x14ac:dyDescent="0.25">
      <c r="F428" s="21">
        <f t="shared" si="11"/>
        <v>0</v>
      </c>
      <c r="G428" s="8" t="str">
        <f t="shared" si="10"/>
        <v xml:space="preserve"> 0</v>
      </c>
    </row>
    <row r="429" spans="6:7" x14ac:dyDescent="0.25">
      <c r="F429" s="21">
        <f t="shared" si="11"/>
        <v>0</v>
      </c>
      <c r="G429" s="8" t="str">
        <f t="shared" si="10"/>
        <v xml:space="preserve"> 0</v>
      </c>
    </row>
    <row r="430" spans="6:7" x14ac:dyDescent="0.25">
      <c r="F430" s="21">
        <f t="shared" si="11"/>
        <v>0</v>
      </c>
      <c r="G430" s="8" t="str">
        <f t="shared" si="10"/>
        <v xml:space="preserve"> 0</v>
      </c>
    </row>
    <row r="431" spans="6:7" x14ac:dyDescent="0.25">
      <c r="F431" s="21">
        <f t="shared" si="11"/>
        <v>0</v>
      </c>
      <c r="G431" s="8" t="str">
        <f t="shared" si="10"/>
        <v xml:space="preserve"> 0</v>
      </c>
    </row>
    <row r="432" spans="6:7" x14ac:dyDescent="0.25">
      <c r="F432" s="21">
        <f t="shared" si="11"/>
        <v>0</v>
      </c>
      <c r="G432" s="8" t="str">
        <f t="shared" si="10"/>
        <v xml:space="preserve"> 0</v>
      </c>
    </row>
    <row r="433" spans="6:7" x14ac:dyDescent="0.25">
      <c r="F433" s="21">
        <f t="shared" si="11"/>
        <v>0</v>
      </c>
      <c r="G433" s="8" t="str">
        <f t="shared" si="10"/>
        <v xml:space="preserve"> 0</v>
      </c>
    </row>
    <row r="434" spans="6:7" x14ac:dyDescent="0.25">
      <c r="F434" s="21">
        <f t="shared" si="11"/>
        <v>0</v>
      </c>
      <c r="G434" s="8" t="str">
        <f t="shared" si="10"/>
        <v xml:space="preserve"> 0</v>
      </c>
    </row>
    <row r="435" spans="6:7" x14ac:dyDescent="0.25">
      <c r="F435" s="21">
        <f t="shared" si="11"/>
        <v>0</v>
      </c>
      <c r="G435" s="8" t="str">
        <f t="shared" si="10"/>
        <v xml:space="preserve"> 0</v>
      </c>
    </row>
    <row r="436" spans="6:7" x14ac:dyDescent="0.25">
      <c r="F436" s="21">
        <f t="shared" si="11"/>
        <v>0</v>
      </c>
      <c r="G436" s="8" t="str">
        <f t="shared" si="10"/>
        <v xml:space="preserve"> 0</v>
      </c>
    </row>
    <row r="437" spans="6:7" x14ac:dyDescent="0.25">
      <c r="F437" s="21">
        <f t="shared" si="11"/>
        <v>0</v>
      </c>
      <c r="G437" s="8" t="str">
        <f t="shared" si="10"/>
        <v xml:space="preserve"> 0</v>
      </c>
    </row>
    <row r="438" spans="6:7" x14ac:dyDescent="0.25">
      <c r="F438" s="21">
        <f t="shared" si="11"/>
        <v>0</v>
      </c>
      <c r="G438" s="8" t="str">
        <f t="shared" si="10"/>
        <v xml:space="preserve"> 0</v>
      </c>
    </row>
    <row r="439" spans="6:7" x14ac:dyDescent="0.25">
      <c r="F439" s="21">
        <f t="shared" si="11"/>
        <v>0</v>
      </c>
      <c r="G439" s="8" t="str">
        <f t="shared" si="10"/>
        <v xml:space="preserve"> 0</v>
      </c>
    </row>
    <row r="440" spans="6:7" x14ac:dyDescent="0.25">
      <c r="F440" s="21">
        <f t="shared" si="11"/>
        <v>0</v>
      </c>
      <c r="G440" s="8" t="str">
        <f t="shared" si="10"/>
        <v xml:space="preserve"> 0</v>
      </c>
    </row>
    <row r="441" spans="6:7" x14ac:dyDescent="0.25">
      <c r="F441" s="21">
        <f t="shared" si="11"/>
        <v>0</v>
      </c>
      <c r="G441" s="8" t="str">
        <f t="shared" si="10"/>
        <v xml:space="preserve"> 0</v>
      </c>
    </row>
    <row r="442" spans="6:7" x14ac:dyDescent="0.25">
      <c r="F442" s="21">
        <f t="shared" si="11"/>
        <v>0</v>
      </c>
      <c r="G442" s="8" t="str">
        <f t="shared" si="10"/>
        <v xml:space="preserve"> 0</v>
      </c>
    </row>
    <row r="443" spans="6:7" x14ac:dyDescent="0.25">
      <c r="F443" s="21">
        <f t="shared" si="11"/>
        <v>0</v>
      </c>
      <c r="G443" s="8" t="str">
        <f t="shared" si="10"/>
        <v xml:space="preserve"> 0</v>
      </c>
    </row>
    <row r="444" spans="6:7" x14ac:dyDescent="0.25">
      <c r="F444" s="21">
        <f t="shared" si="11"/>
        <v>0</v>
      </c>
      <c r="G444" s="8" t="str">
        <f t="shared" si="10"/>
        <v xml:space="preserve"> 0</v>
      </c>
    </row>
    <row r="445" spans="6:7" x14ac:dyDescent="0.25">
      <c r="F445" s="21">
        <f t="shared" si="11"/>
        <v>0</v>
      </c>
      <c r="G445" s="8" t="str">
        <f t="shared" si="10"/>
        <v xml:space="preserve"> 0</v>
      </c>
    </row>
    <row r="446" spans="6:7" x14ac:dyDescent="0.25">
      <c r="F446" s="21">
        <f t="shared" si="11"/>
        <v>0</v>
      </c>
      <c r="G446" s="8" t="str">
        <f t="shared" si="10"/>
        <v xml:space="preserve"> 0</v>
      </c>
    </row>
    <row r="447" spans="6:7" x14ac:dyDescent="0.25">
      <c r="F447" s="21">
        <f t="shared" si="11"/>
        <v>0</v>
      </c>
      <c r="G447" s="8" t="str">
        <f t="shared" si="10"/>
        <v xml:space="preserve"> 0</v>
      </c>
    </row>
    <row r="448" spans="6:7" x14ac:dyDescent="0.25">
      <c r="F448" s="21">
        <f t="shared" si="11"/>
        <v>0</v>
      </c>
      <c r="G448" s="8" t="str">
        <f t="shared" si="10"/>
        <v xml:space="preserve"> 0</v>
      </c>
    </row>
    <row r="449" spans="6:7" x14ac:dyDescent="0.25">
      <c r="F449" s="21">
        <f t="shared" si="11"/>
        <v>0</v>
      </c>
      <c r="G449" s="8" t="str">
        <f t="shared" si="10"/>
        <v xml:space="preserve"> 0</v>
      </c>
    </row>
    <row r="450" spans="6:7" x14ac:dyDescent="0.25">
      <c r="F450" s="21">
        <f t="shared" si="11"/>
        <v>0</v>
      </c>
      <c r="G450" s="8" t="str">
        <f t="shared" si="10"/>
        <v xml:space="preserve"> 0</v>
      </c>
    </row>
    <row r="451" spans="6:7" x14ac:dyDescent="0.25">
      <c r="F451" s="21">
        <f t="shared" si="11"/>
        <v>0</v>
      </c>
      <c r="G451" s="8" t="str">
        <f t="shared" ref="G451:G514" si="12">E451&amp;" "&amp;F451</f>
        <v xml:space="preserve"> 0</v>
      </c>
    </row>
    <row r="452" spans="6:7" x14ac:dyDescent="0.25">
      <c r="F452" s="21">
        <f t="shared" si="11"/>
        <v>0</v>
      </c>
      <c r="G452" s="8" t="str">
        <f t="shared" si="12"/>
        <v xml:space="preserve"> 0</v>
      </c>
    </row>
    <row r="453" spans="6:7" x14ac:dyDescent="0.25">
      <c r="F453" s="21">
        <f t="shared" si="11"/>
        <v>0</v>
      </c>
      <c r="G453" s="8" t="str">
        <f t="shared" si="12"/>
        <v xml:space="preserve"> 0</v>
      </c>
    </row>
    <row r="454" spans="6:7" x14ac:dyDescent="0.25">
      <c r="F454" s="21">
        <f t="shared" si="11"/>
        <v>0</v>
      </c>
      <c r="G454" s="8" t="str">
        <f t="shared" si="12"/>
        <v xml:space="preserve"> 0</v>
      </c>
    </row>
    <row r="455" spans="6:7" x14ac:dyDescent="0.25">
      <c r="F455" s="21">
        <f t="shared" si="11"/>
        <v>0</v>
      </c>
      <c r="G455" s="8" t="str">
        <f t="shared" si="12"/>
        <v xml:space="preserve"> 0</v>
      </c>
    </row>
    <row r="456" spans="6:7" x14ac:dyDescent="0.25">
      <c r="F456" s="21">
        <f t="shared" si="11"/>
        <v>0</v>
      </c>
      <c r="G456" s="8" t="str">
        <f t="shared" si="12"/>
        <v xml:space="preserve"> 0</v>
      </c>
    </row>
    <row r="457" spans="6:7" x14ac:dyDescent="0.25">
      <c r="F457" s="21">
        <f t="shared" si="11"/>
        <v>0</v>
      </c>
      <c r="G457" s="8" t="str">
        <f t="shared" si="12"/>
        <v xml:space="preserve"> 0</v>
      </c>
    </row>
    <row r="458" spans="6:7" x14ac:dyDescent="0.25">
      <c r="F458" s="21">
        <f t="shared" si="11"/>
        <v>0</v>
      </c>
      <c r="G458" s="8" t="str">
        <f t="shared" si="12"/>
        <v xml:space="preserve"> 0</v>
      </c>
    </row>
    <row r="459" spans="6:7" x14ac:dyDescent="0.25">
      <c r="F459" s="21">
        <f t="shared" si="11"/>
        <v>0</v>
      </c>
      <c r="G459" s="8" t="str">
        <f t="shared" si="12"/>
        <v xml:space="preserve"> 0</v>
      </c>
    </row>
    <row r="460" spans="6:7" x14ac:dyDescent="0.25">
      <c r="F460" s="21">
        <f t="shared" si="11"/>
        <v>0</v>
      </c>
      <c r="G460" s="8" t="str">
        <f t="shared" si="12"/>
        <v xml:space="preserve"> 0</v>
      </c>
    </row>
    <row r="461" spans="6:7" x14ac:dyDescent="0.25">
      <c r="F461" s="21">
        <f t="shared" si="11"/>
        <v>0</v>
      </c>
      <c r="G461" s="8" t="str">
        <f t="shared" si="12"/>
        <v xml:space="preserve"> 0</v>
      </c>
    </row>
    <row r="462" spans="6:7" x14ac:dyDescent="0.25">
      <c r="F462" s="21">
        <f t="shared" si="11"/>
        <v>0</v>
      </c>
      <c r="G462" s="8" t="str">
        <f t="shared" si="12"/>
        <v xml:space="preserve"> 0</v>
      </c>
    </row>
    <row r="463" spans="6:7" x14ac:dyDescent="0.25">
      <c r="F463" s="21">
        <f t="shared" si="11"/>
        <v>0</v>
      </c>
      <c r="G463" s="8" t="str">
        <f t="shared" si="12"/>
        <v xml:space="preserve"> 0</v>
      </c>
    </row>
    <row r="464" spans="6:7" x14ac:dyDescent="0.25">
      <c r="F464" s="21">
        <f t="shared" si="11"/>
        <v>0</v>
      </c>
      <c r="G464" s="8" t="str">
        <f t="shared" si="12"/>
        <v xml:space="preserve"> 0</v>
      </c>
    </row>
    <row r="465" spans="6:7" x14ac:dyDescent="0.25">
      <c r="F465" s="21">
        <f t="shared" si="11"/>
        <v>0</v>
      </c>
      <c r="G465" s="8" t="str">
        <f t="shared" si="12"/>
        <v xml:space="preserve"> 0</v>
      </c>
    </row>
    <row r="466" spans="6:7" x14ac:dyDescent="0.25">
      <c r="F466" s="21">
        <f t="shared" si="11"/>
        <v>0</v>
      </c>
      <c r="G466" s="8" t="str">
        <f t="shared" si="12"/>
        <v xml:space="preserve"> 0</v>
      </c>
    </row>
    <row r="467" spans="6:7" x14ac:dyDescent="0.25">
      <c r="F467" s="21">
        <f t="shared" si="11"/>
        <v>0</v>
      </c>
      <c r="G467" s="8" t="str">
        <f t="shared" si="12"/>
        <v xml:space="preserve"> 0</v>
      </c>
    </row>
    <row r="468" spans="6:7" x14ac:dyDescent="0.25">
      <c r="F468" s="21">
        <f t="shared" si="11"/>
        <v>0</v>
      </c>
      <c r="G468" s="8" t="str">
        <f t="shared" si="12"/>
        <v xml:space="preserve"> 0</v>
      </c>
    </row>
    <row r="469" spans="6:7" x14ac:dyDescent="0.25">
      <c r="F469" s="21">
        <f t="shared" si="11"/>
        <v>0</v>
      </c>
      <c r="G469" s="8" t="str">
        <f t="shared" si="12"/>
        <v xml:space="preserve"> 0</v>
      </c>
    </row>
    <row r="470" spans="6:7" x14ac:dyDescent="0.25">
      <c r="F470" s="21">
        <f t="shared" si="11"/>
        <v>0</v>
      </c>
      <c r="G470" s="8" t="str">
        <f t="shared" si="12"/>
        <v xml:space="preserve"> 0</v>
      </c>
    </row>
    <row r="471" spans="6:7" x14ac:dyDescent="0.25">
      <c r="F471" s="21">
        <f t="shared" si="11"/>
        <v>0</v>
      </c>
      <c r="G471" s="8" t="str">
        <f t="shared" si="12"/>
        <v xml:space="preserve"> 0</v>
      </c>
    </row>
    <row r="472" spans="6:7" x14ac:dyDescent="0.25">
      <c r="F472" s="21">
        <f t="shared" si="11"/>
        <v>0</v>
      </c>
      <c r="G472" s="8" t="str">
        <f t="shared" si="12"/>
        <v xml:space="preserve"> 0</v>
      </c>
    </row>
    <row r="473" spans="6:7" x14ac:dyDescent="0.25">
      <c r="F473" s="21">
        <f t="shared" si="11"/>
        <v>0</v>
      </c>
      <c r="G473" s="8" t="str">
        <f t="shared" si="12"/>
        <v xml:space="preserve"> 0</v>
      </c>
    </row>
    <row r="474" spans="6:7" x14ac:dyDescent="0.25">
      <c r="F474" s="21">
        <f t="shared" ref="F474:F537" si="13">B474</f>
        <v>0</v>
      </c>
      <c r="G474" s="8" t="str">
        <f t="shared" si="12"/>
        <v xml:space="preserve"> 0</v>
      </c>
    </row>
    <row r="475" spans="6:7" x14ac:dyDescent="0.25">
      <c r="F475" s="21">
        <f t="shared" si="13"/>
        <v>0</v>
      </c>
      <c r="G475" s="8" t="str">
        <f t="shared" si="12"/>
        <v xml:space="preserve"> 0</v>
      </c>
    </row>
    <row r="476" spans="6:7" x14ac:dyDescent="0.25">
      <c r="F476" s="21">
        <f t="shared" si="13"/>
        <v>0</v>
      </c>
      <c r="G476" s="8" t="str">
        <f t="shared" si="12"/>
        <v xml:space="preserve"> 0</v>
      </c>
    </row>
    <row r="477" spans="6:7" x14ac:dyDescent="0.25">
      <c r="F477" s="21">
        <f t="shared" si="13"/>
        <v>0</v>
      </c>
      <c r="G477" s="8" t="str">
        <f t="shared" si="12"/>
        <v xml:space="preserve"> 0</v>
      </c>
    </row>
    <row r="478" spans="6:7" x14ac:dyDescent="0.25">
      <c r="F478" s="21">
        <f t="shared" si="13"/>
        <v>0</v>
      </c>
      <c r="G478" s="8" t="str">
        <f t="shared" si="12"/>
        <v xml:space="preserve"> 0</v>
      </c>
    </row>
    <row r="479" spans="6:7" x14ac:dyDescent="0.25">
      <c r="F479" s="21">
        <f t="shared" si="13"/>
        <v>0</v>
      </c>
      <c r="G479" s="8" t="str">
        <f t="shared" si="12"/>
        <v xml:space="preserve"> 0</v>
      </c>
    </row>
    <row r="480" spans="6:7" x14ac:dyDescent="0.25">
      <c r="F480" s="21">
        <f t="shared" si="13"/>
        <v>0</v>
      </c>
      <c r="G480" s="8" t="str">
        <f t="shared" si="12"/>
        <v xml:space="preserve"> 0</v>
      </c>
    </row>
    <row r="481" spans="6:7" x14ac:dyDescent="0.25">
      <c r="F481" s="21">
        <f t="shared" si="13"/>
        <v>0</v>
      </c>
      <c r="G481" s="8" t="str">
        <f t="shared" si="12"/>
        <v xml:space="preserve"> 0</v>
      </c>
    </row>
    <row r="482" spans="6:7" x14ac:dyDescent="0.25">
      <c r="F482" s="21">
        <f t="shared" si="13"/>
        <v>0</v>
      </c>
      <c r="G482" s="8" t="str">
        <f t="shared" si="12"/>
        <v xml:space="preserve"> 0</v>
      </c>
    </row>
    <row r="483" spans="6:7" x14ac:dyDescent="0.25">
      <c r="F483" s="21">
        <f t="shared" si="13"/>
        <v>0</v>
      </c>
      <c r="G483" s="8" t="str">
        <f t="shared" si="12"/>
        <v xml:space="preserve"> 0</v>
      </c>
    </row>
    <row r="484" spans="6:7" x14ac:dyDescent="0.25">
      <c r="F484" s="21">
        <f t="shared" si="13"/>
        <v>0</v>
      </c>
      <c r="G484" s="8" t="str">
        <f t="shared" si="12"/>
        <v xml:space="preserve"> 0</v>
      </c>
    </row>
    <row r="485" spans="6:7" x14ac:dyDescent="0.25">
      <c r="F485" s="21">
        <f t="shared" si="13"/>
        <v>0</v>
      </c>
      <c r="G485" s="8" t="str">
        <f t="shared" si="12"/>
        <v xml:space="preserve"> 0</v>
      </c>
    </row>
    <row r="486" spans="6:7" x14ac:dyDescent="0.25">
      <c r="F486" s="21">
        <f t="shared" si="13"/>
        <v>0</v>
      </c>
      <c r="G486" s="8" t="str">
        <f t="shared" si="12"/>
        <v xml:space="preserve"> 0</v>
      </c>
    </row>
    <row r="487" spans="6:7" x14ac:dyDescent="0.25">
      <c r="F487" s="21">
        <f t="shared" si="13"/>
        <v>0</v>
      </c>
      <c r="G487" s="8" t="str">
        <f t="shared" si="12"/>
        <v xml:space="preserve"> 0</v>
      </c>
    </row>
    <row r="488" spans="6:7" x14ac:dyDescent="0.25">
      <c r="F488" s="21">
        <f t="shared" si="13"/>
        <v>0</v>
      </c>
      <c r="G488" s="8" t="str">
        <f t="shared" si="12"/>
        <v xml:space="preserve"> 0</v>
      </c>
    </row>
    <row r="489" spans="6:7" x14ac:dyDescent="0.25">
      <c r="F489" s="21">
        <f t="shared" si="13"/>
        <v>0</v>
      </c>
      <c r="G489" s="8" t="str">
        <f t="shared" si="12"/>
        <v xml:space="preserve"> 0</v>
      </c>
    </row>
    <row r="490" spans="6:7" x14ac:dyDescent="0.25">
      <c r="F490" s="21">
        <f t="shared" si="13"/>
        <v>0</v>
      </c>
      <c r="G490" s="8" t="str">
        <f t="shared" si="12"/>
        <v xml:space="preserve"> 0</v>
      </c>
    </row>
    <row r="491" spans="6:7" x14ac:dyDescent="0.25">
      <c r="F491" s="21">
        <f t="shared" si="13"/>
        <v>0</v>
      </c>
      <c r="G491" s="8" t="str">
        <f t="shared" si="12"/>
        <v xml:space="preserve"> 0</v>
      </c>
    </row>
    <row r="492" spans="6:7" x14ac:dyDescent="0.25">
      <c r="F492" s="21">
        <f t="shared" si="13"/>
        <v>0</v>
      </c>
      <c r="G492" s="8" t="str">
        <f t="shared" si="12"/>
        <v xml:space="preserve"> 0</v>
      </c>
    </row>
    <row r="493" spans="6:7" x14ac:dyDescent="0.25">
      <c r="F493" s="21">
        <f t="shared" si="13"/>
        <v>0</v>
      </c>
      <c r="G493" s="8" t="str">
        <f t="shared" si="12"/>
        <v xml:space="preserve"> 0</v>
      </c>
    </row>
    <row r="494" spans="6:7" x14ac:dyDescent="0.25">
      <c r="F494" s="21">
        <f t="shared" si="13"/>
        <v>0</v>
      </c>
      <c r="G494" s="8" t="str">
        <f t="shared" si="12"/>
        <v xml:space="preserve"> 0</v>
      </c>
    </row>
    <row r="495" spans="6:7" x14ac:dyDescent="0.25">
      <c r="F495" s="21">
        <f t="shared" si="13"/>
        <v>0</v>
      </c>
      <c r="G495" s="8" t="str">
        <f t="shared" si="12"/>
        <v xml:space="preserve"> 0</v>
      </c>
    </row>
    <row r="496" spans="6:7" x14ac:dyDescent="0.25">
      <c r="F496" s="21">
        <f t="shared" si="13"/>
        <v>0</v>
      </c>
      <c r="G496" s="8" t="str">
        <f t="shared" si="12"/>
        <v xml:space="preserve"> 0</v>
      </c>
    </row>
    <row r="497" spans="6:7" x14ac:dyDescent="0.25">
      <c r="F497" s="21">
        <f t="shared" si="13"/>
        <v>0</v>
      </c>
      <c r="G497" s="8" t="str">
        <f t="shared" si="12"/>
        <v xml:space="preserve"> 0</v>
      </c>
    </row>
    <row r="498" spans="6:7" x14ac:dyDescent="0.25">
      <c r="F498" s="21">
        <f t="shared" si="13"/>
        <v>0</v>
      </c>
      <c r="G498" s="8" t="str">
        <f t="shared" si="12"/>
        <v xml:space="preserve"> 0</v>
      </c>
    </row>
    <row r="499" spans="6:7" x14ac:dyDescent="0.25">
      <c r="F499" s="21">
        <f t="shared" si="13"/>
        <v>0</v>
      </c>
      <c r="G499" s="8" t="str">
        <f t="shared" si="12"/>
        <v xml:space="preserve"> 0</v>
      </c>
    </row>
    <row r="500" spans="6:7" x14ac:dyDescent="0.25">
      <c r="F500" s="21">
        <f t="shared" si="13"/>
        <v>0</v>
      </c>
      <c r="G500" s="8" t="str">
        <f t="shared" si="12"/>
        <v xml:space="preserve"> 0</v>
      </c>
    </row>
    <row r="501" spans="6:7" x14ac:dyDescent="0.25">
      <c r="F501" s="21">
        <f t="shared" si="13"/>
        <v>0</v>
      </c>
      <c r="G501" s="8" t="str">
        <f t="shared" si="12"/>
        <v xml:space="preserve"> 0</v>
      </c>
    </row>
    <row r="502" spans="6:7" x14ac:dyDescent="0.25">
      <c r="F502" s="21">
        <f t="shared" si="13"/>
        <v>0</v>
      </c>
      <c r="G502" s="8" t="str">
        <f t="shared" si="12"/>
        <v xml:space="preserve"> 0</v>
      </c>
    </row>
    <row r="503" spans="6:7" x14ac:dyDescent="0.25">
      <c r="F503" s="21">
        <f t="shared" si="13"/>
        <v>0</v>
      </c>
      <c r="G503" s="8" t="str">
        <f t="shared" si="12"/>
        <v xml:space="preserve"> 0</v>
      </c>
    </row>
    <row r="504" spans="6:7" x14ac:dyDescent="0.25">
      <c r="F504" s="21">
        <f t="shared" si="13"/>
        <v>0</v>
      </c>
      <c r="G504" s="8" t="str">
        <f t="shared" si="12"/>
        <v xml:space="preserve"> 0</v>
      </c>
    </row>
    <row r="505" spans="6:7" x14ac:dyDescent="0.25">
      <c r="F505" s="21">
        <f t="shared" si="13"/>
        <v>0</v>
      </c>
      <c r="G505" s="8" t="str">
        <f t="shared" si="12"/>
        <v xml:space="preserve"> 0</v>
      </c>
    </row>
    <row r="506" spans="6:7" x14ac:dyDescent="0.25">
      <c r="F506" s="21">
        <f t="shared" si="13"/>
        <v>0</v>
      </c>
      <c r="G506" s="8" t="str">
        <f t="shared" si="12"/>
        <v xml:space="preserve"> 0</v>
      </c>
    </row>
    <row r="507" spans="6:7" x14ac:dyDescent="0.25">
      <c r="F507" s="21">
        <f t="shared" si="13"/>
        <v>0</v>
      </c>
      <c r="G507" s="8" t="str">
        <f t="shared" si="12"/>
        <v xml:space="preserve"> 0</v>
      </c>
    </row>
    <row r="508" spans="6:7" x14ac:dyDescent="0.25">
      <c r="F508" s="21">
        <f t="shared" si="13"/>
        <v>0</v>
      </c>
      <c r="G508" s="8" t="str">
        <f t="shared" si="12"/>
        <v xml:space="preserve"> 0</v>
      </c>
    </row>
    <row r="509" spans="6:7" x14ac:dyDescent="0.25">
      <c r="F509" s="21">
        <f t="shared" si="13"/>
        <v>0</v>
      </c>
      <c r="G509" s="8" t="str">
        <f t="shared" si="12"/>
        <v xml:space="preserve"> 0</v>
      </c>
    </row>
    <row r="510" spans="6:7" x14ac:dyDescent="0.25">
      <c r="F510" s="21">
        <f t="shared" si="13"/>
        <v>0</v>
      </c>
      <c r="G510" s="8" t="str">
        <f t="shared" si="12"/>
        <v xml:space="preserve"> 0</v>
      </c>
    </row>
    <row r="511" spans="6:7" x14ac:dyDescent="0.25">
      <c r="F511" s="21">
        <f t="shared" si="13"/>
        <v>0</v>
      </c>
      <c r="G511" s="8" t="str">
        <f t="shared" si="12"/>
        <v xml:space="preserve"> 0</v>
      </c>
    </row>
    <row r="512" spans="6:7" x14ac:dyDescent="0.25">
      <c r="F512" s="21">
        <f t="shared" si="13"/>
        <v>0</v>
      </c>
      <c r="G512" s="8" t="str">
        <f t="shared" si="12"/>
        <v xml:space="preserve"> 0</v>
      </c>
    </row>
    <row r="513" spans="6:7" x14ac:dyDescent="0.25">
      <c r="F513" s="21">
        <f t="shared" si="13"/>
        <v>0</v>
      </c>
      <c r="G513" s="8" t="str">
        <f t="shared" si="12"/>
        <v xml:space="preserve"> 0</v>
      </c>
    </row>
    <row r="514" spans="6:7" x14ac:dyDescent="0.25">
      <c r="F514" s="21">
        <f t="shared" si="13"/>
        <v>0</v>
      </c>
      <c r="G514" s="8" t="str">
        <f t="shared" si="12"/>
        <v xml:space="preserve"> 0</v>
      </c>
    </row>
    <row r="515" spans="6:7" x14ac:dyDescent="0.25">
      <c r="F515" s="21">
        <f t="shared" si="13"/>
        <v>0</v>
      </c>
      <c r="G515" s="8" t="str">
        <f t="shared" ref="G515:G543" si="14">E515&amp;" "&amp;F515</f>
        <v xml:space="preserve"> 0</v>
      </c>
    </row>
    <row r="516" spans="6:7" x14ac:dyDescent="0.25">
      <c r="F516" s="21">
        <f t="shared" si="13"/>
        <v>0</v>
      </c>
      <c r="G516" s="8" t="str">
        <f t="shared" si="14"/>
        <v xml:space="preserve"> 0</v>
      </c>
    </row>
    <row r="517" spans="6:7" x14ac:dyDescent="0.25">
      <c r="F517" s="21">
        <f t="shared" si="13"/>
        <v>0</v>
      </c>
      <c r="G517" s="8" t="str">
        <f t="shared" si="14"/>
        <v xml:space="preserve"> 0</v>
      </c>
    </row>
    <row r="518" spans="6:7" x14ac:dyDescent="0.25">
      <c r="F518" s="21">
        <f t="shared" si="13"/>
        <v>0</v>
      </c>
      <c r="G518" s="8" t="str">
        <f t="shared" si="14"/>
        <v xml:space="preserve"> 0</v>
      </c>
    </row>
    <row r="519" spans="6:7" x14ac:dyDescent="0.25">
      <c r="F519" s="21">
        <f t="shared" si="13"/>
        <v>0</v>
      </c>
      <c r="G519" s="8" t="str">
        <f t="shared" si="14"/>
        <v xml:space="preserve"> 0</v>
      </c>
    </row>
    <row r="520" spans="6:7" x14ac:dyDescent="0.25">
      <c r="F520" s="21">
        <f t="shared" si="13"/>
        <v>0</v>
      </c>
      <c r="G520" s="8" t="str">
        <f t="shared" si="14"/>
        <v xml:space="preserve"> 0</v>
      </c>
    </row>
    <row r="521" spans="6:7" x14ac:dyDescent="0.25">
      <c r="F521" s="21">
        <f t="shared" si="13"/>
        <v>0</v>
      </c>
      <c r="G521" s="8" t="str">
        <f t="shared" si="14"/>
        <v xml:space="preserve"> 0</v>
      </c>
    </row>
    <row r="522" spans="6:7" x14ac:dyDescent="0.25">
      <c r="F522" s="21">
        <f t="shared" si="13"/>
        <v>0</v>
      </c>
      <c r="G522" s="8" t="str">
        <f t="shared" si="14"/>
        <v xml:space="preserve"> 0</v>
      </c>
    </row>
    <row r="523" spans="6:7" x14ac:dyDescent="0.25">
      <c r="F523" s="21">
        <f t="shared" si="13"/>
        <v>0</v>
      </c>
      <c r="G523" s="8" t="str">
        <f t="shared" si="14"/>
        <v xml:space="preserve"> 0</v>
      </c>
    </row>
    <row r="524" spans="6:7" x14ac:dyDescent="0.25">
      <c r="F524" s="21">
        <f t="shared" si="13"/>
        <v>0</v>
      </c>
      <c r="G524" s="8" t="str">
        <f t="shared" si="14"/>
        <v xml:space="preserve"> 0</v>
      </c>
    </row>
    <row r="525" spans="6:7" x14ac:dyDescent="0.25">
      <c r="F525" s="21">
        <f t="shared" si="13"/>
        <v>0</v>
      </c>
      <c r="G525" s="8" t="str">
        <f t="shared" si="14"/>
        <v xml:space="preserve"> 0</v>
      </c>
    </row>
    <row r="526" spans="6:7" x14ac:dyDescent="0.25">
      <c r="F526" s="21">
        <f t="shared" si="13"/>
        <v>0</v>
      </c>
      <c r="G526" s="8" t="str">
        <f t="shared" si="14"/>
        <v xml:space="preserve"> 0</v>
      </c>
    </row>
    <row r="527" spans="6:7" x14ac:dyDescent="0.25">
      <c r="F527" s="21">
        <f t="shared" si="13"/>
        <v>0</v>
      </c>
      <c r="G527" s="8" t="str">
        <f t="shared" si="14"/>
        <v xml:space="preserve"> 0</v>
      </c>
    </row>
    <row r="528" spans="6:7" x14ac:dyDescent="0.25">
      <c r="F528" s="21">
        <f t="shared" si="13"/>
        <v>0</v>
      </c>
      <c r="G528" s="8" t="str">
        <f t="shared" si="14"/>
        <v xml:space="preserve"> 0</v>
      </c>
    </row>
    <row r="529" spans="6:7" x14ac:dyDescent="0.25">
      <c r="F529" s="21">
        <f t="shared" si="13"/>
        <v>0</v>
      </c>
      <c r="G529" s="8" t="str">
        <f t="shared" si="14"/>
        <v xml:space="preserve"> 0</v>
      </c>
    </row>
    <row r="530" spans="6:7" x14ac:dyDescent="0.25">
      <c r="F530" s="21">
        <f t="shared" si="13"/>
        <v>0</v>
      </c>
      <c r="G530" s="8" t="str">
        <f t="shared" si="14"/>
        <v xml:space="preserve"> 0</v>
      </c>
    </row>
    <row r="531" spans="6:7" x14ac:dyDescent="0.25">
      <c r="F531" s="21">
        <f t="shared" si="13"/>
        <v>0</v>
      </c>
      <c r="G531" s="8" t="str">
        <f t="shared" si="14"/>
        <v xml:space="preserve"> 0</v>
      </c>
    </row>
    <row r="532" spans="6:7" x14ac:dyDescent="0.25">
      <c r="F532" s="21">
        <f t="shared" si="13"/>
        <v>0</v>
      </c>
      <c r="G532" s="8" t="str">
        <f t="shared" si="14"/>
        <v xml:space="preserve"> 0</v>
      </c>
    </row>
    <row r="533" spans="6:7" x14ac:dyDescent="0.25">
      <c r="F533" s="21">
        <f t="shared" si="13"/>
        <v>0</v>
      </c>
      <c r="G533" s="8" t="str">
        <f t="shared" si="14"/>
        <v xml:space="preserve"> 0</v>
      </c>
    </row>
    <row r="534" spans="6:7" x14ac:dyDescent="0.25">
      <c r="F534" s="21">
        <f t="shared" si="13"/>
        <v>0</v>
      </c>
      <c r="G534" s="8" t="str">
        <f t="shared" si="14"/>
        <v xml:space="preserve"> 0</v>
      </c>
    </row>
    <row r="535" spans="6:7" x14ac:dyDescent="0.25">
      <c r="F535" s="21">
        <f t="shared" si="13"/>
        <v>0</v>
      </c>
      <c r="G535" s="8" t="str">
        <f t="shared" si="14"/>
        <v xml:space="preserve"> 0</v>
      </c>
    </row>
    <row r="536" spans="6:7" x14ac:dyDescent="0.25">
      <c r="F536" s="21">
        <f t="shared" si="13"/>
        <v>0</v>
      </c>
      <c r="G536" s="8" t="str">
        <f t="shared" si="14"/>
        <v xml:space="preserve"> 0</v>
      </c>
    </row>
    <row r="537" spans="6:7" x14ac:dyDescent="0.25">
      <c r="F537" s="21">
        <f t="shared" si="13"/>
        <v>0</v>
      </c>
      <c r="G537" s="8" t="str">
        <f t="shared" si="14"/>
        <v xml:space="preserve"> 0</v>
      </c>
    </row>
    <row r="538" spans="6:7" x14ac:dyDescent="0.25">
      <c r="F538" s="21">
        <f t="shared" ref="F538:F543" si="15">B538</f>
        <v>0</v>
      </c>
      <c r="G538" s="8" t="str">
        <f t="shared" si="14"/>
        <v xml:space="preserve"> 0</v>
      </c>
    </row>
    <row r="539" spans="6:7" x14ac:dyDescent="0.25">
      <c r="F539" s="21">
        <f t="shared" si="15"/>
        <v>0</v>
      </c>
      <c r="G539" s="8" t="str">
        <f t="shared" si="14"/>
        <v xml:space="preserve"> 0</v>
      </c>
    </row>
    <row r="540" spans="6:7" x14ac:dyDescent="0.25">
      <c r="F540" s="21">
        <f t="shared" si="15"/>
        <v>0</v>
      </c>
      <c r="G540" s="8" t="str">
        <f t="shared" si="14"/>
        <v xml:space="preserve"> 0</v>
      </c>
    </row>
    <row r="541" spans="6:7" x14ac:dyDescent="0.25">
      <c r="F541" s="21">
        <f t="shared" si="15"/>
        <v>0</v>
      </c>
      <c r="G541" s="8" t="str">
        <f t="shared" si="14"/>
        <v xml:space="preserve"> 0</v>
      </c>
    </row>
    <row r="542" spans="6:7" x14ac:dyDescent="0.25">
      <c r="F542" s="21">
        <f t="shared" si="15"/>
        <v>0</v>
      </c>
      <c r="G542" s="8" t="str">
        <f t="shared" si="14"/>
        <v xml:space="preserve"> 0</v>
      </c>
    </row>
    <row r="543" spans="6:7" x14ac:dyDescent="0.25">
      <c r="F543" s="21">
        <f t="shared" si="15"/>
        <v>0</v>
      </c>
      <c r="G543" s="8" t="str">
        <f t="shared" si="14"/>
        <v xml:space="preserve"> 0</v>
      </c>
    </row>
  </sheetData>
  <sortState ref="A1:E291">
    <sortCondition ref="C1:C291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R33"/>
  <sheetViews>
    <sheetView workbookViewId="0">
      <selection sqref="A1:R29"/>
    </sheetView>
  </sheetViews>
  <sheetFormatPr defaultRowHeight="15" x14ac:dyDescent="0.25"/>
  <cols>
    <col min="1" max="1" width="22.5703125" style="133" customWidth="1"/>
    <col min="2" max="2" width="8.42578125" style="133" bestFit="1" customWidth="1"/>
    <col min="3" max="3" width="12.5703125" style="133" bestFit="1" customWidth="1"/>
    <col min="4" max="4" width="18.5703125" style="153" bestFit="1" customWidth="1"/>
    <col min="5" max="5" width="9.85546875" style="133" bestFit="1" customWidth="1"/>
    <col min="6" max="6" width="9" style="133" bestFit="1" customWidth="1"/>
    <col min="7" max="7" width="8.85546875" style="133" bestFit="1" customWidth="1"/>
    <col min="8" max="8" width="14" style="133" bestFit="1" customWidth="1"/>
    <col min="9" max="9" width="21.140625" style="133" bestFit="1" customWidth="1"/>
    <col min="10" max="10" width="8.7109375" style="133" bestFit="1" customWidth="1"/>
    <col min="11" max="11" width="11.28515625" style="133" bestFit="1" customWidth="1"/>
    <col min="12" max="12" width="11" style="133" bestFit="1" customWidth="1"/>
    <col min="13" max="13" width="11.28515625" style="133" bestFit="1" customWidth="1"/>
    <col min="14" max="14" width="13.7109375" style="133" bestFit="1" customWidth="1"/>
    <col min="15" max="15" width="14.85546875" style="133" bestFit="1" customWidth="1"/>
    <col min="16" max="16" width="16.7109375" style="133" bestFit="1" customWidth="1"/>
    <col min="17" max="17" width="9.42578125" style="133" bestFit="1" customWidth="1"/>
    <col min="18" max="16384" width="9.140625" style="133"/>
  </cols>
  <sheetData>
    <row r="1" spans="1:18" s="134" customFormat="1" x14ac:dyDescent="0.25">
      <c r="A1" s="164" t="s">
        <v>165</v>
      </c>
      <c r="B1" s="164" t="s">
        <v>168</v>
      </c>
      <c r="C1" s="164" t="s">
        <v>161</v>
      </c>
      <c r="D1" s="159" t="s">
        <v>173</v>
      </c>
      <c r="E1" s="164" t="s">
        <v>162</v>
      </c>
      <c r="F1" s="164" t="s">
        <v>160</v>
      </c>
      <c r="G1" s="164" t="s">
        <v>158</v>
      </c>
      <c r="H1" s="164" t="s">
        <v>329</v>
      </c>
      <c r="I1" s="164" t="s">
        <v>171</v>
      </c>
      <c r="J1" s="164" t="s">
        <v>172</v>
      </c>
      <c r="K1" s="164" t="s">
        <v>330</v>
      </c>
      <c r="L1" s="164" t="s">
        <v>166</v>
      </c>
      <c r="M1" s="164" t="s">
        <v>164</v>
      </c>
      <c r="N1" s="164" t="s">
        <v>159</v>
      </c>
      <c r="O1" s="164" t="s">
        <v>169</v>
      </c>
      <c r="P1" s="164" t="s">
        <v>163</v>
      </c>
      <c r="Q1" s="164" t="s">
        <v>170</v>
      </c>
      <c r="R1" s="164" t="s">
        <v>167</v>
      </c>
    </row>
    <row r="2" spans="1:18" x14ac:dyDescent="0.25">
      <c r="A2" s="165">
        <v>27.71</v>
      </c>
      <c r="B2" s="165">
        <v>0.67</v>
      </c>
      <c r="C2" s="165">
        <v>21.04</v>
      </c>
      <c r="D2" s="8">
        <v>42714</v>
      </c>
      <c r="E2" s="165">
        <v>0.76</v>
      </c>
      <c r="F2" s="165" t="s">
        <v>259</v>
      </c>
      <c r="G2" s="165">
        <v>262.2</v>
      </c>
      <c r="H2" s="165"/>
      <c r="I2" s="165">
        <v>0</v>
      </c>
      <c r="J2" s="165">
        <v>0</v>
      </c>
      <c r="K2" s="165"/>
      <c r="L2" s="165">
        <v>1022.98</v>
      </c>
      <c r="M2" s="165" t="s">
        <v>633</v>
      </c>
      <c r="N2" s="165">
        <v>27.71</v>
      </c>
      <c r="O2" s="165">
        <v>1481353200</v>
      </c>
      <c r="P2" s="165">
        <v>5.42</v>
      </c>
      <c r="Q2" s="165">
        <v>315</v>
      </c>
      <c r="R2" s="165">
        <v>0.98</v>
      </c>
    </row>
    <row r="3" spans="1:18" x14ac:dyDescent="0.25">
      <c r="A3" s="165">
        <v>26.16</v>
      </c>
      <c r="B3" s="165">
        <v>0.7</v>
      </c>
      <c r="C3" s="165">
        <v>19.88</v>
      </c>
      <c r="D3" s="8">
        <v>42714.041666666664</v>
      </c>
      <c r="E3" s="165">
        <v>0.77</v>
      </c>
      <c r="F3" s="165" t="s">
        <v>259</v>
      </c>
      <c r="G3" s="165">
        <v>260.94</v>
      </c>
      <c r="H3" s="165"/>
      <c r="I3" s="165">
        <v>0</v>
      </c>
      <c r="J3" s="165">
        <v>0</v>
      </c>
      <c r="K3" s="165"/>
      <c r="L3" s="165">
        <v>1022.27</v>
      </c>
      <c r="M3" s="165" t="s">
        <v>633</v>
      </c>
      <c r="N3" s="165">
        <v>26.16</v>
      </c>
      <c r="O3" s="165">
        <v>1481356800</v>
      </c>
      <c r="P3" s="165">
        <v>5.71</v>
      </c>
      <c r="Q3" s="165">
        <v>245</v>
      </c>
      <c r="R3" s="165">
        <v>1.18</v>
      </c>
    </row>
    <row r="4" spans="1:18" x14ac:dyDescent="0.25">
      <c r="A4" s="165">
        <v>25.51</v>
      </c>
      <c r="B4" s="165">
        <v>0.74</v>
      </c>
      <c r="C4" s="165">
        <v>19.59</v>
      </c>
      <c r="D4" s="8">
        <v>42714.083333333336</v>
      </c>
      <c r="E4" s="165">
        <v>0.78</v>
      </c>
      <c r="F4" s="165" t="s">
        <v>259</v>
      </c>
      <c r="G4" s="165">
        <v>259.67</v>
      </c>
      <c r="H4" s="165"/>
      <c r="I4" s="165">
        <v>0</v>
      </c>
      <c r="J4" s="165">
        <v>0</v>
      </c>
      <c r="K4" s="165"/>
      <c r="L4" s="165">
        <v>1021.56</v>
      </c>
      <c r="M4" s="165" t="s">
        <v>633</v>
      </c>
      <c r="N4" s="165">
        <v>25.51</v>
      </c>
      <c r="O4" s="165">
        <v>1481360400</v>
      </c>
      <c r="P4" s="165">
        <v>5.87</v>
      </c>
      <c r="Q4" s="165">
        <v>248</v>
      </c>
      <c r="R4" s="165">
        <v>1.92</v>
      </c>
    </row>
    <row r="5" spans="1:18" x14ac:dyDescent="0.25">
      <c r="A5" s="165">
        <v>24.75</v>
      </c>
      <c r="B5" s="165">
        <v>0.72</v>
      </c>
      <c r="C5" s="165">
        <v>19.38</v>
      </c>
      <c r="D5" s="8">
        <v>42714.125</v>
      </c>
      <c r="E5" s="165">
        <v>0.8</v>
      </c>
      <c r="F5" s="165" t="s">
        <v>259</v>
      </c>
      <c r="G5" s="165">
        <v>258.64999999999998</v>
      </c>
      <c r="H5" s="165"/>
      <c r="I5" s="165">
        <v>0</v>
      </c>
      <c r="J5" s="165">
        <v>0</v>
      </c>
      <c r="K5" s="165"/>
      <c r="L5" s="165">
        <v>1020.89</v>
      </c>
      <c r="M5" s="165" t="s">
        <v>633</v>
      </c>
      <c r="N5" s="165">
        <v>24.75</v>
      </c>
      <c r="O5" s="165">
        <v>1481364000</v>
      </c>
      <c r="P5" s="165">
        <v>5.19</v>
      </c>
      <c r="Q5" s="165">
        <v>283</v>
      </c>
      <c r="R5" s="165">
        <v>1.4</v>
      </c>
    </row>
    <row r="6" spans="1:18" x14ac:dyDescent="0.25">
      <c r="A6" s="165">
        <v>23.66</v>
      </c>
      <c r="B6" s="165">
        <v>0.69</v>
      </c>
      <c r="C6" s="165">
        <v>18.14</v>
      </c>
      <c r="D6" s="8">
        <v>42714.166666666664</v>
      </c>
      <c r="E6" s="165">
        <v>0.79</v>
      </c>
      <c r="F6" s="165" t="s">
        <v>259</v>
      </c>
      <c r="G6" s="165">
        <v>257.76</v>
      </c>
      <c r="H6" s="165"/>
      <c r="I6" s="165">
        <v>0</v>
      </c>
      <c r="J6" s="165">
        <v>0</v>
      </c>
      <c r="K6" s="165"/>
      <c r="L6" s="165">
        <v>1020.19</v>
      </c>
      <c r="M6" s="165" t="s">
        <v>633</v>
      </c>
      <c r="N6" s="165">
        <v>23.66</v>
      </c>
      <c r="O6" s="165">
        <v>1481367600</v>
      </c>
      <c r="P6" s="165">
        <v>5.4</v>
      </c>
      <c r="Q6" s="165">
        <v>257</v>
      </c>
      <c r="R6" s="165">
        <v>0.95</v>
      </c>
    </row>
    <row r="7" spans="1:18" x14ac:dyDescent="0.25">
      <c r="A7" s="165">
        <v>22.65</v>
      </c>
      <c r="B7" s="165">
        <v>0.68</v>
      </c>
      <c r="C7" s="165">
        <v>17.43</v>
      </c>
      <c r="D7" s="8">
        <v>42714.208333333336</v>
      </c>
      <c r="E7" s="165">
        <v>0.8</v>
      </c>
      <c r="F7" s="165" t="s">
        <v>259</v>
      </c>
      <c r="G7" s="165">
        <v>257.12</v>
      </c>
      <c r="H7" s="165"/>
      <c r="I7" s="165">
        <v>0</v>
      </c>
      <c r="J7" s="165">
        <v>0</v>
      </c>
      <c r="K7" s="165"/>
      <c r="L7" s="165">
        <v>1019.37</v>
      </c>
      <c r="M7" s="165" t="s">
        <v>633</v>
      </c>
      <c r="N7" s="165">
        <v>22.65</v>
      </c>
      <c r="O7" s="165">
        <v>1481371200</v>
      </c>
      <c r="P7" s="165">
        <v>9.59</v>
      </c>
      <c r="Q7" s="165">
        <v>207</v>
      </c>
      <c r="R7" s="165">
        <v>2.39</v>
      </c>
    </row>
    <row r="8" spans="1:18" x14ac:dyDescent="0.25">
      <c r="A8" s="165">
        <v>22.25</v>
      </c>
      <c r="B8" s="165">
        <v>0.7</v>
      </c>
      <c r="C8" s="165">
        <v>17.88</v>
      </c>
      <c r="D8" s="8">
        <v>42714.25</v>
      </c>
      <c r="E8" s="165">
        <v>0.83</v>
      </c>
      <c r="F8" s="165" t="s">
        <v>259</v>
      </c>
      <c r="G8" s="165">
        <v>256.77</v>
      </c>
      <c r="H8" s="165"/>
      <c r="I8" s="165">
        <v>0</v>
      </c>
      <c r="J8" s="165">
        <v>0</v>
      </c>
      <c r="K8" s="165"/>
      <c r="L8" s="165">
        <v>1018.59</v>
      </c>
      <c r="M8" s="165" t="s">
        <v>633</v>
      </c>
      <c r="N8" s="165">
        <v>22.25</v>
      </c>
      <c r="O8" s="165">
        <v>1481374800</v>
      </c>
      <c r="P8" s="165">
        <v>9.68</v>
      </c>
      <c r="Q8" s="165">
        <v>208</v>
      </c>
      <c r="R8" s="165">
        <v>2.83</v>
      </c>
    </row>
    <row r="9" spans="1:18" x14ac:dyDescent="0.25">
      <c r="A9" s="165">
        <v>22.56</v>
      </c>
      <c r="B9" s="165">
        <v>0.74</v>
      </c>
      <c r="C9" s="165">
        <v>17.68</v>
      </c>
      <c r="D9" s="8">
        <v>42714.291666666664</v>
      </c>
      <c r="E9" s="165">
        <v>0.81</v>
      </c>
      <c r="F9" s="165" t="s">
        <v>259</v>
      </c>
      <c r="G9" s="165">
        <v>256.67</v>
      </c>
      <c r="H9" s="165"/>
      <c r="I9" s="165">
        <v>0</v>
      </c>
      <c r="J9" s="165">
        <v>0</v>
      </c>
      <c r="K9" s="165"/>
      <c r="L9" s="165">
        <v>1017.68</v>
      </c>
      <c r="M9" s="165" t="s">
        <v>633</v>
      </c>
      <c r="N9" s="165">
        <v>22.56</v>
      </c>
      <c r="O9" s="165">
        <v>1481378400</v>
      </c>
      <c r="P9" s="165">
        <v>4.78</v>
      </c>
      <c r="Q9" s="165">
        <v>227</v>
      </c>
      <c r="R9" s="165">
        <v>1.68</v>
      </c>
    </row>
    <row r="10" spans="1:18" x14ac:dyDescent="0.25">
      <c r="A10" s="165">
        <v>24.52</v>
      </c>
      <c r="B10" s="165">
        <v>0.72</v>
      </c>
      <c r="C10" s="165">
        <v>19.239999999999998</v>
      </c>
      <c r="D10" s="8">
        <v>42714.333333333336</v>
      </c>
      <c r="E10" s="165">
        <v>0.8</v>
      </c>
      <c r="F10" s="165" t="s">
        <v>260</v>
      </c>
      <c r="G10" s="165">
        <v>256.82</v>
      </c>
      <c r="H10" s="165"/>
      <c r="I10" s="165">
        <v>0</v>
      </c>
      <c r="J10" s="165">
        <v>0</v>
      </c>
      <c r="K10" s="165"/>
      <c r="L10" s="165">
        <v>1016.22</v>
      </c>
      <c r="M10" s="165" t="s">
        <v>633</v>
      </c>
      <c r="N10" s="165">
        <v>24.52</v>
      </c>
      <c r="O10" s="165">
        <v>1481382000</v>
      </c>
      <c r="P10" s="165">
        <v>4.4400000000000004</v>
      </c>
      <c r="Q10" s="165">
        <v>253</v>
      </c>
      <c r="R10" s="165">
        <v>2.23</v>
      </c>
    </row>
    <row r="11" spans="1:18" x14ac:dyDescent="0.25">
      <c r="A11" s="165">
        <v>29.52</v>
      </c>
      <c r="B11" s="165">
        <v>0.69</v>
      </c>
      <c r="C11" s="165">
        <v>22.71</v>
      </c>
      <c r="D11" s="8">
        <v>42714.375</v>
      </c>
      <c r="E11" s="165">
        <v>0.75</v>
      </c>
      <c r="F11" s="165" t="s">
        <v>260</v>
      </c>
      <c r="G11" s="165">
        <v>257.44</v>
      </c>
      <c r="H11" s="165"/>
      <c r="I11" s="165">
        <v>0</v>
      </c>
      <c r="J11" s="165">
        <v>0</v>
      </c>
      <c r="K11" s="165"/>
      <c r="L11" s="165">
        <v>1013.84</v>
      </c>
      <c r="M11" s="165" t="s">
        <v>633</v>
      </c>
      <c r="N11" s="165">
        <v>29.52</v>
      </c>
      <c r="O11" s="165">
        <v>1481385600</v>
      </c>
      <c r="P11" s="165">
        <v>4.43</v>
      </c>
      <c r="Q11" s="165">
        <v>265</v>
      </c>
      <c r="R11" s="165">
        <v>1.46</v>
      </c>
    </row>
    <row r="12" spans="1:18" x14ac:dyDescent="0.25">
      <c r="A12" s="165">
        <v>32.97</v>
      </c>
      <c r="B12" s="165">
        <v>0.62</v>
      </c>
      <c r="C12" s="165">
        <v>23.45</v>
      </c>
      <c r="D12" s="8">
        <v>42714.416666666664</v>
      </c>
      <c r="E12" s="165">
        <v>0.68</v>
      </c>
      <c r="F12" s="165" t="s">
        <v>260</v>
      </c>
      <c r="G12" s="165">
        <v>258.31</v>
      </c>
      <c r="H12" s="165"/>
      <c r="I12" s="165">
        <v>0</v>
      </c>
      <c r="J12" s="165">
        <v>0</v>
      </c>
      <c r="K12" s="165"/>
      <c r="L12" s="165">
        <v>1011.15</v>
      </c>
      <c r="M12" s="165" t="s">
        <v>633</v>
      </c>
      <c r="N12" s="165">
        <v>32.97</v>
      </c>
      <c r="O12" s="165">
        <v>1481389200</v>
      </c>
      <c r="P12" s="165">
        <v>4.47</v>
      </c>
      <c r="Q12" s="165">
        <v>279</v>
      </c>
      <c r="R12" s="165">
        <v>1.0900000000000001</v>
      </c>
    </row>
    <row r="13" spans="1:18" x14ac:dyDescent="0.25">
      <c r="A13" s="165">
        <v>35.74</v>
      </c>
      <c r="B13" s="165">
        <v>0.51</v>
      </c>
      <c r="C13" s="165">
        <v>24.23</v>
      </c>
      <c r="D13" s="8">
        <v>42714.458333333336</v>
      </c>
      <c r="E13" s="165">
        <v>0.63</v>
      </c>
      <c r="F13" s="165" t="s">
        <v>260</v>
      </c>
      <c r="G13" s="165">
        <v>258.77999999999997</v>
      </c>
      <c r="H13" s="165"/>
      <c r="I13" s="165">
        <v>0</v>
      </c>
      <c r="J13" s="165">
        <v>0</v>
      </c>
      <c r="K13" s="165"/>
      <c r="L13" s="165">
        <v>1008.94</v>
      </c>
      <c r="M13" s="165" t="s">
        <v>269</v>
      </c>
      <c r="N13" s="165">
        <v>35.74</v>
      </c>
      <c r="O13" s="165">
        <v>1481392800</v>
      </c>
      <c r="P13" s="165">
        <v>4.57</v>
      </c>
      <c r="Q13" s="165">
        <v>308</v>
      </c>
      <c r="R13" s="165">
        <v>2.04</v>
      </c>
    </row>
    <row r="14" spans="1:18" x14ac:dyDescent="0.25">
      <c r="A14" s="165">
        <v>41.86</v>
      </c>
      <c r="B14" s="165">
        <v>0.51</v>
      </c>
      <c r="C14" s="165">
        <v>28.09</v>
      </c>
      <c r="D14" s="8">
        <v>42714.5</v>
      </c>
      <c r="E14" s="165">
        <v>0.57999999999999996</v>
      </c>
      <c r="F14" s="165" t="s">
        <v>260</v>
      </c>
      <c r="G14" s="165">
        <v>258.47000000000003</v>
      </c>
      <c r="H14" s="165"/>
      <c r="I14" s="165">
        <v>0</v>
      </c>
      <c r="J14" s="165">
        <v>0</v>
      </c>
      <c r="K14" s="165"/>
      <c r="L14" s="165">
        <v>1007.38</v>
      </c>
      <c r="M14" s="165" t="s">
        <v>269</v>
      </c>
      <c r="N14" s="165">
        <v>41.86</v>
      </c>
      <c r="O14" s="165">
        <v>1481396400</v>
      </c>
      <c r="P14" s="165">
        <v>4.62</v>
      </c>
      <c r="Q14" s="165">
        <v>313</v>
      </c>
      <c r="R14" s="165">
        <v>2.84</v>
      </c>
    </row>
    <row r="15" spans="1:18" x14ac:dyDescent="0.25">
      <c r="A15" s="165">
        <v>46.22</v>
      </c>
      <c r="B15" s="165">
        <v>0.53</v>
      </c>
      <c r="C15" s="165">
        <v>26.75</v>
      </c>
      <c r="D15" s="8">
        <v>42714.541666666664</v>
      </c>
      <c r="E15" s="165">
        <v>0.43</v>
      </c>
      <c r="F15" s="165" t="s">
        <v>260</v>
      </c>
      <c r="G15" s="165">
        <v>257.77</v>
      </c>
      <c r="H15" s="165"/>
      <c r="I15" s="165">
        <v>0</v>
      </c>
      <c r="J15" s="165">
        <v>0</v>
      </c>
      <c r="K15" s="165"/>
      <c r="L15" s="165">
        <v>1006.21</v>
      </c>
      <c r="M15" s="165" t="s">
        <v>269</v>
      </c>
      <c r="N15" s="165">
        <v>47.88</v>
      </c>
      <c r="O15" s="165">
        <v>1481400000</v>
      </c>
      <c r="P15" s="165">
        <v>10</v>
      </c>
      <c r="Q15" s="165">
        <v>273</v>
      </c>
      <c r="R15" s="165">
        <v>4.26</v>
      </c>
    </row>
    <row r="16" spans="1:18" x14ac:dyDescent="0.25">
      <c r="A16" s="165">
        <v>51.93</v>
      </c>
      <c r="B16" s="165">
        <v>0.43</v>
      </c>
      <c r="C16" s="165">
        <v>25.89</v>
      </c>
      <c r="D16" s="8">
        <v>42714.583333333336</v>
      </c>
      <c r="E16" s="165">
        <v>0.36</v>
      </c>
      <c r="F16" s="165" t="s">
        <v>260</v>
      </c>
      <c r="G16" s="165">
        <v>257.18</v>
      </c>
      <c r="H16" s="165"/>
      <c r="I16" s="165">
        <v>1.1999999999999999E-3</v>
      </c>
      <c r="J16" s="165">
        <v>0.02</v>
      </c>
      <c r="K16" s="165" t="s">
        <v>634</v>
      </c>
      <c r="L16" s="165">
        <v>1005.44</v>
      </c>
      <c r="M16" s="165" t="s">
        <v>269</v>
      </c>
      <c r="N16" s="165">
        <v>51.93</v>
      </c>
      <c r="O16" s="165">
        <v>1481403600</v>
      </c>
      <c r="P16" s="165">
        <v>6.06</v>
      </c>
      <c r="Q16" s="165">
        <v>265</v>
      </c>
      <c r="R16" s="165">
        <v>2.25</v>
      </c>
    </row>
    <row r="17" spans="1:18" x14ac:dyDescent="0.25">
      <c r="A17" s="165">
        <v>52.04</v>
      </c>
      <c r="B17" s="165">
        <v>0.49</v>
      </c>
      <c r="C17" s="165">
        <v>27.5</v>
      </c>
      <c r="D17" s="8">
        <v>42714.625</v>
      </c>
      <c r="E17" s="165">
        <v>0.38</v>
      </c>
      <c r="F17" s="165" t="s">
        <v>260</v>
      </c>
      <c r="G17" s="165">
        <v>257.01</v>
      </c>
      <c r="H17" s="165"/>
      <c r="I17" s="165">
        <v>1.1000000000000001E-3</v>
      </c>
      <c r="J17" s="165">
        <v>0.01</v>
      </c>
      <c r="K17" s="165" t="s">
        <v>634</v>
      </c>
      <c r="L17" s="165">
        <v>1005.13</v>
      </c>
      <c r="M17" s="165" t="s">
        <v>269</v>
      </c>
      <c r="N17" s="165">
        <v>52.04</v>
      </c>
      <c r="O17" s="165">
        <v>1481407200</v>
      </c>
      <c r="P17" s="165">
        <v>6.2</v>
      </c>
      <c r="Q17" s="165">
        <v>281</v>
      </c>
      <c r="R17" s="165">
        <v>2.84</v>
      </c>
    </row>
    <row r="18" spans="1:18" x14ac:dyDescent="0.25">
      <c r="A18" s="165">
        <v>48.02</v>
      </c>
      <c r="B18" s="165">
        <v>0.56000000000000005</v>
      </c>
      <c r="C18" s="165">
        <v>25.84</v>
      </c>
      <c r="D18" s="8">
        <v>42714.666666666664</v>
      </c>
      <c r="E18" s="165">
        <v>0.39</v>
      </c>
      <c r="F18" s="165" t="s">
        <v>260</v>
      </c>
      <c r="G18" s="165">
        <v>256.95</v>
      </c>
      <c r="H18" s="165"/>
      <c r="I18" s="165">
        <v>8.9999999999999998E-4</v>
      </c>
      <c r="J18" s="165">
        <v>0.01</v>
      </c>
      <c r="K18" s="165" t="s">
        <v>634</v>
      </c>
      <c r="L18" s="165">
        <v>1005.19</v>
      </c>
      <c r="M18" s="165" t="s">
        <v>269</v>
      </c>
      <c r="N18" s="165">
        <v>49.87</v>
      </c>
      <c r="O18" s="165">
        <v>1481410800</v>
      </c>
      <c r="P18" s="165">
        <v>6.51</v>
      </c>
      <c r="Q18" s="165">
        <v>287</v>
      </c>
      <c r="R18" s="165">
        <v>5.07</v>
      </c>
    </row>
    <row r="19" spans="1:18" x14ac:dyDescent="0.25">
      <c r="A19" s="165">
        <v>45.54</v>
      </c>
      <c r="B19" s="165">
        <v>0.54</v>
      </c>
      <c r="C19" s="165">
        <v>25.28</v>
      </c>
      <c r="D19" s="8">
        <v>42714.708333333336</v>
      </c>
      <c r="E19" s="165">
        <v>0.42</v>
      </c>
      <c r="F19" s="165" t="s">
        <v>259</v>
      </c>
      <c r="G19" s="165">
        <v>256.58</v>
      </c>
      <c r="H19" s="165"/>
      <c r="I19" s="165">
        <v>0</v>
      </c>
      <c r="J19" s="165">
        <v>0</v>
      </c>
      <c r="K19" s="165"/>
      <c r="L19" s="165">
        <v>1005.26</v>
      </c>
      <c r="M19" s="165" t="s">
        <v>269</v>
      </c>
      <c r="N19" s="165">
        <v>47.16</v>
      </c>
      <c r="O19" s="165">
        <v>1481414400</v>
      </c>
      <c r="P19" s="165">
        <v>10</v>
      </c>
      <c r="Q19" s="165">
        <v>308</v>
      </c>
      <c r="R19" s="165">
        <v>4.07</v>
      </c>
    </row>
    <row r="20" spans="1:18" x14ac:dyDescent="0.25">
      <c r="A20" s="165">
        <v>47.04</v>
      </c>
      <c r="B20" s="165">
        <v>0.62</v>
      </c>
      <c r="C20" s="165">
        <v>27.87</v>
      </c>
      <c r="D20" s="8">
        <v>42714.75</v>
      </c>
      <c r="E20" s="165">
        <v>0.44</v>
      </c>
      <c r="F20" s="165" t="s">
        <v>259</v>
      </c>
      <c r="G20" s="165">
        <v>255.51</v>
      </c>
      <c r="H20" s="165"/>
      <c r="I20" s="165">
        <v>0</v>
      </c>
      <c r="J20" s="165">
        <v>0</v>
      </c>
      <c r="K20" s="165"/>
      <c r="L20" s="165">
        <v>1004.66</v>
      </c>
      <c r="M20" s="165" t="s">
        <v>633</v>
      </c>
      <c r="N20" s="165">
        <v>48.84</v>
      </c>
      <c r="O20" s="165">
        <v>1481418000</v>
      </c>
      <c r="P20" s="165">
        <v>10</v>
      </c>
      <c r="Q20" s="165">
        <v>276</v>
      </c>
      <c r="R20" s="165">
        <v>4.72</v>
      </c>
    </row>
    <row r="21" spans="1:18" x14ac:dyDescent="0.25">
      <c r="A21" s="165">
        <v>45.44</v>
      </c>
      <c r="B21" s="165">
        <v>0.45</v>
      </c>
      <c r="C21" s="165">
        <v>28.23</v>
      </c>
      <c r="D21" s="8">
        <v>42714.791666666664</v>
      </c>
      <c r="E21" s="165">
        <v>0.49</v>
      </c>
      <c r="F21" s="165" t="s">
        <v>259</v>
      </c>
      <c r="G21" s="165">
        <v>254.13</v>
      </c>
      <c r="H21" s="165"/>
      <c r="I21" s="165">
        <v>8.9999999999999998E-4</v>
      </c>
      <c r="J21" s="165">
        <v>0.01</v>
      </c>
      <c r="K21" s="165" t="s">
        <v>634</v>
      </c>
      <c r="L21" s="165">
        <v>1004.52</v>
      </c>
      <c r="M21" s="165" t="s">
        <v>269</v>
      </c>
      <c r="N21" s="165">
        <v>46.36</v>
      </c>
      <c r="O21" s="165">
        <v>1481421600</v>
      </c>
      <c r="P21" s="165">
        <v>8.56</v>
      </c>
      <c r="Q21" s="165">
        <v>241</v>
      </c>
      <c r="R21" s="165">
        <v>3.12</v>
      </c>
    </row>
    <row r="22" spans="1:18" x14ac:dyDescent="0.25">
      <c r="A22" s="165">
        <v>44.2</v>
      </c>
      <c r="B22" s="165">
        <v>0.37</v>
      </c>
      <c r="C22" s="165">
        <v>28.39</v>
      </c>
      <c r="D22" s="8">
        <v>42714.833333333336</v>
      </c>
      <c r="E22" s="165">
        <v>0.51</v>
      </c>
      <c r="F22" s="165" t="s">
        <v>259</v>
      </c>
      <c r="G22" s="165">
        <v>253.18</v>
      </c>
      <c r="H22" s="165"/>
      <c r="I22" s="165">
        <v>0</v>
      </c>
      <c r="J22" s="165">
        <v>0</v>
      </c>
      <c r="K22" s="165"/>
      <c r="L22" s="165">
        <v>1004.58</v>
      </c>
      <c r="M22" s="165" t="s">
        <v>269</v>
      </c>
      <c r="N22" s="165">
        <v>45.7</v>
      </c>
      <c r="O22" s="165">
        <v>1481425200</v>
      </c>
      <c r="P22" s="165">
        <v>7.9</v>
      </c>
      <c r="Q22" s="165">
        <v>245</v>
      </c>
      <c r="R22" s="165">
        <v>3.64</v>
      </c>
    </row>
    <row r="23" spans="1:18" x14ac:dyDescent="0.25">
      <c r="A23" s="165">
        <v>43.35</v>
      </c>
      <c r="B23" s="165">
        <v>0.42</v>
      </c>
      <c r="C23" s="165">
        <v>27.12</v>
      </c>
      <c r="D23" s="8">
        <v>42714.875</v>
      </c>
      <c r="E23" s="165">
        <v>0.5</v>
      </c>
      <c r="F23" s="165" t="s">
        <v>259</v>
      </c>
      <c r="G23" s="165">
        <v>252.9</v>
      </c>
      <c r="H23" s="165"/>
      <c r="I23" s="165">
        <v>0</v>
      </c>
      <c r="J23" s="165">
        <v>0</v>
      </c>
      <c r="K23" s="165"/>
      <c r="L23" s="165">
        <v>1004.54</v>
      </c>
      <c r="M23" s="165" t="s">
        <v>269</v>
      </c>
      <c r="N23" s="165">
        <v>44.69</v>
      </c>
      <c r="O23" s="165">
        <v>1481428800</v>
      </c>
      <c r="P23" s="165">
        <v>7.25</v>
      </c>
      <c r="Q23" s="165">
        <v>232</v>
      </c>
      <c r="R23" s="165">
        <v>3.32</v>
      </c>
    </row>
    <row r="24" spans="1:18" x14ac:dyDescent="0.25">
      <c r="A24" s="165">
        <v>41.57</v>
      </c>
      <c r="B24" s="165">
        <v>0.44</v>
      </c>
      <c r="C24" s="165">
        <v>25.96</v>
      </c>
      <c r="D24" s="8">
        <v>42714.916666666664</v>
      </c>
      <c r="E24" s="165">
        <v>0.51</v>
      </c>
      <c r="F24" s="165" t="s">
        <v>259</v>
      </c>
      <c r="G24" s="165">
        <v>253.06</v>
      </c>
      <c r="H24" s="165"/>
      <c r="I24" s="165">
        <v>0</v>
      </c>
      <c r="J24" s="165">
        <v>0</v>
      </c>
      <c r="K24" s="165"/>
      <c r="L24" s="165">
        <v>1004.44</v>
      </c>
      <c r="M24" s="165" t="s">
        <v>269</v>
      </c>
      <c r="N24" s="165">
        <v>42.98</v>
      </c>
      <c r="O24" s="165">
        <v>1481432400</v>
      </c>
      <c r="P24" s="165">
        <v>10</v>
      </c>
      <c r="Q24" s="165">
        <v>203</v>
      </c>
      <c r="R24" s="165">
        <v>3.16</v>
      </c>
    </row>
    <row r="25" spans="1:18" x14ac:dyDescent="0.25">
      <c r="A25" s="165">
        <v>40.86</v>
      </c>
      <c r="B25" s="165">
        <v>0.47</v>
      </c>
      <c r="C25" s="165">
        <v>25.43</v>
      </c>
      <c r="D25" s="8">
        <v>42714.958333333336</v>
      </c>
      <c r="E25" s="165">
        <v>0.54</v>
      </c>
      <c r="F25" s="165" t="s">
        <v>259</v>
      </c>
      <c r="G25" s="165">
        <v>253.74</v>
      </c>
      <c r="H25" s="165"/>
      <c r="I25" s="165">
        <v>8.0000000000000004E-4</v>
      </c>
      <c r="J25" s="165">
        <v>0.01</v>
      </c>
      <c r="K25" s="165" t="s">
        <v>634</v>
      </c>
      <c r="L25" s="165">
        <v>1004.41</v>
      </c>
      <c r="M25" s="165" t="s">
        <v>269</v>
      </c>
      <c r="N25" s="165">
        <v>40.86</v>
      </c>
      <c r="O25" s="165">
        <v>1481436000</v>
      </c>
      <c r="P25" s="165">
        <v>7.92</v>
      </c>
      <c r="Q25" s="165">
        <v>231</v>
      </c>
      <c r="R25" s="165">
        <v>0.75</v>
      </c>
    </row>
    <row r="26" spans="1:18" x14ac:dyDescent="0.25">
      <c r="A26" s="165">
        <v>39.17</v>
      </c>
      <c r="B26" s="165">
        <v>0.6</v>
      </c>
      <c r="C26" s="165">
        <v>26.02</v>
      </c>
      <c r="D26" s="8">
        <v>42715</v>
      </c>
      <c r="E26" s="165">
        <v>0.59</v>
      </c>
      <c r="F26" s="165" t="s">
        <v>259</v>
      </c>
      <c r="G26" s="165">
        <v>255.48</v>
      </c>
      <c r="H26" s="165"/>
      <c r="I26" s="165">
        <v>1.1000000000000001E-3</v>
      </c>
      <c r="J26" s="165">
        <v>0.01</v>
      </c>
      <c r="K26" s="165" t="s">
        <v>634</v>
      </c>
      <c r="L26" s="165">
        <v>1004.77</v>
      </c>
      <c r="M26" s="165" t="s">
        <v>633</v>
      </c>
      <c r="N26" s="165">
        <v>39.17</v>
      </c>
      <c r="O26" s="165">
        <v>1481439600</v>
      </c>
      <c r="P26" s="165">
        <v>8.23</v>
      </c>
      <c r="Q26" s="165">
        <v>302</v>
      </c>
      <c r="R26" s="165">
        <v>1.3</v>
      </c>
    </row>
    <row r="27" spans="1:18" x14ac:dyDescent="0.25">
      <c r="A27" s="165">
        <v>37.79</v>
      </c>
      <c r="B27" s="165">
        <v>0.66</v>
      </c>
      <c r="C27" s="165">
        <v>26.5</v>
      </c>
      <c r="D27" s="8">
        <v>42715.041666666664</v>
      </c>
      <c r="E27" s="165">
        <v>0.63</v>
      </c>
      <c r="F27" s="165" t="s">
        <v>259</v>
      </c>
      <c r="G27" s="165">
        <v>257.23</v>
      </c>
      <c r="H27" s="165"/>
      <c r="I27" s="165">
        <v>2.3E-3</v>
      </c>
      <c r="J27" s="165">
        <v>0.06</v>
      </c>
      <c r="K27" s="165" t="s">
        <v>634</v>
      </c>
      <c r="L27" s="165">
        <v>1005.14</v>
      </c>
      <c r="M27" s="165" t="s">
        <v>633</v>
      </c>
      <c r="N27" s="165">
        <v>37.79</v>
      </c>
      <c r="O27" s="165">
        <v>1481443200</v>
      </c>
      <c r="P27" s="165">
        <v>8.02</v>
      </c>
      <c r="Q27" s="165">
        <v>335</v>
      </c>
      <c r="R27" s="165">
        <v>1.84</v>
      </c>
    </row>
    <row r="28" spans="1:18" x14ac:dyDescent="0.25">
      <c r="A28" s="165">
        <v>37.909999999999997</v>
      </c>
      <c r="B28" s="165">
        <v>0.71</v>
      </c>
      <c r="C28" s="165">
        <v>26.92</v>
      </c>
      <c r="D28" s="8">
        <v>42715.083333333336</v>
      </c>
      <c r="E28" s="165">
        <v>0.64</v>
      </c>
      <c r="F28" s="165" t="s">
        <v>259</v>
      </c>
      <c r="G28" s="165">
        <v>258.98</v>
      </c>
      <c r="H28" s="165"/>
      <c r="I28" s="165">
        <v>2.3E-3</v>
      </c>
      <c r="J28" s="165">
        <v>0.06</v>
      </c>
      <c r="K28" s="165" t="s">
        <v>634</v>
      </c>
      <c r="L28" s="165">
        <v>1005.44</v>
      </c>
      <c r="M28" s="165" t="s">
        <v>633</v>
      </c>
      <c r="N28" s="165">
        <v>37.909999999999997</v>
      </c>
      <c r="O28" s="165">
        <v>1481446800</v>
      </c>
      <c r="P28" s="165">
        <v>6.24</v>
      </c>
      <c r="Q28" s="165">
        <v>359</v>
      </c>
      <c r="R28" s="165">
        <v>1.79</v>
      </c>
    </row>
    <row r="29" spans="1:18" x14ac:dyDescent="0.25">
      <c r="A29" s="165">
        <v>34.33</v>
      </c>
      <c r="B29" s="165">
        <v>0.8</v>
      </c>
      <c r="C29" s="165">
        <v>24.97</v>
      </c>
      <c r="D29" s="8">
        <v>42715.125</v>
      </c>
      <c r="E29" s="165">
        <v>0.68</v>
      </c>
      <c r="F29" s="165" t="s">
        <v>331</v>
      </c>
      <c r="G29" s="165">
        <v>261.36</v>
      </c>
      <c r="H29" s="165">
        <v>2.4E-2</v>
      </c>
      <c r="I29" s="165">
        <v>3.2000000000000002E-3</v>
      </c>
      <c r="J29" s="165">
        <v>0.11</v>
      </c>
      <c r="K29" s="165" t="s">
        <v>331</v>
      </c>
      <c r="L29" s="165">
        <v>1006.46</v>
      </c>
      <c r="M29" s="165" t="s">
        <v>635</v>
      </c>
      <c r="N29" s="165">
        <v>34.33</v>
      </c>
      <c r="O29" s="165">
        <v>1481450400</v>
      </c>
      <c r="P29" s="165">
        <v>7.4</v>
      </c>
      <c r="Q29" s="165">
        <v>6</v>
      </c>
      <c r="R29" s="165">
        <v>1.58</v>
      </c>
    </row>
    <row r="30" spans="1:18" x14ac:dyDescent="0.25">
      <c r="A30"/>
      <c r="B30"/>
      <c r="C30"/>
      <c r="D30" s="8"/>
      <c r="E30"/>
      <c r="F30"/>
      <c r="G30"/>
      <c r="H30"/>
      <c r="I30"/>
      <c r="J30"/>
      <c r="K30"/>
      <c r="L30"/>
      <c r="M30"/>
      <c r="N30"/>
      <c r="O30"/>
      <c r="P30"/>
    </row>
    <row r="31" spans="1:18" x14ac:dyDescent="0.25">
      <c r="A31" s="133" t="s">
        <v>203</v>
      </c>
    </row>
    <row r="33" spans="1:1" x14ac:dyDescent="0.25">
      <c r="A33" s="133" t="s">
        <v>187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P34"/>
  <sheetViews>
    <sheetView workbookViewId="0">
      <selection activeCell="M28" sqref="M28"/>
    </sheetView>
  </sheetViews>
  <sheetFormatPr defaultRowHeight="15" x14ac:dyDescent="0.25"/>
  <cols>
    <col min="1" max="1" width="32.140625" customWidth="1"/>
    <col min="3" max="3" width="24" customWidth="1"/>
    <col min="4" max="4" width="19.140625" style="69" customWidth="1"/>
    <col min="10" max="10" width="24.28515625" bestFit="1" customWidth="1"/>
    <col min="11" max="11" width="15.28515625" hidden="1" customWidth="1"/>
    <col min="12" max="12" width="13.5703125" hidden="1" customWidth="1"/>
    <col min="13" max="13" width="9" style="165" bestFit="1" customWidth="1"/>
    <col min="16" max="16" width="9.140625" style="165"/>
  </cols>
  <sheetData>
    <row r="1" spans="1:16" ht="45.75" x14ac:dyDescent="0.3">
      <c r="A1" s="11" t="s">
        <v>25</v>
      </c>
      <c r="C1" s="142" t="s">
        <v>99</v>
      </c>
      <c r="D1" s="143" t="s">
        <v>100</v>
      </c>
      <c r="J1" s="32" t="s">
        <v>101</v>
      </c>
      <c r="K1" s="32" t="s">
        <v>66</v>
      </c>
      <c r="L1" s="32" t="s">
        <v>67</v>
      </c>
      <c r="O1" s="70" t="s">
        <v>102</v>
      </c>
    </row>
    <row r="2" spans="1:16" ht="15.75" thickBot="1" x14ac:dyDescent="0.3">
      <c r="A2" s="12">
        <v>42714</v>
      </c>
      <c r="B2" s="4"/>
      <c r="C2" s="144">
        <v>50</v>
      </c>
      <c r="D2" s="145">
        <v>25</v>
      </c>
      <c r="F2" t="s">
        <v>114</v>
      </c>
      <c r="J2" s="32"/>
      <c r="K2" s="32" t="s">
        <v>66</v>
      </c>
      <c r="L2" s="32" t="s">
        <v>67</v>
      </c>
    </row>
    <row r="3" spans="1:16" x14ac:dyDescent="0.25">
      <c r="C3" s="69"/>
      <c r="F3" t="s">
        <v>52</v>
      </c>
      <c r="J3" s="33" t="s">
        <v>68</v>
      </c>
      <c r="K3" s="34">
        <v>2.7052</v>
      </c>
      <c r="L3" s="34">
        <v>2.7349999999999999</v>
      </c>
      <c r="M3" s="165">
        <f t="shared" ref="M3:M14" si="0">AVERAGE(K3:L3)</f>
        <v>2.7201</v>
      </c>
      <c r="O3" t="s">
        <v>103</v>
      </c>
      <c r="P3" s="165">
        <f>AVERAGE(1.0714,1.1016)</f>
        <v>1.0865</v>
      </c>
    </row>
    <row r="4" spans="1:16" ht="45" x14ac:dyDescent="0.25">
      <c r="C4" s="142" t="s">
        <v>99</v>
      </c>
      <c r="D4" s="143" t="s">
        <v>100</v>
      </c>
      <c r="F4" t="s">
        <v>53</v>
      </c>
      <c r="J4" s="33" t="s">
        <v>69</v>
      </c>
      <c r="K4" s="34">
        <v>3.0830000000000002</v>
      </c>
      <c r="L4" s="34">
        <v>3.097</v>
      </c>
      <c r="M4" s="165">
        <f t="shared" si="0"/>
        <v>3.09</v>
      </c>
    </row>
    <row r="5" spans="1:16" x14ac:dyDescent="0.25">
      <c r="C5" s="69">
        <v>30</v>
      </c>
      <c r="D5" s="69">
        <v>9</v>
      </c>
      <c r="J5" s="33" t="s">
        <v>70</v>
      </c>
      <c r="K5" s="34">
        <v>3.3136000000000001</v>
      </c>
      <c r="L5" s="34">
        <v>3.3256999999999999</v>
      </c>
      <c r="M5" s="165">
        <f t="shared" si="0"/>
        <v>3.3196500000000002</v>
      </c>
    </row>
    <row r="6" spans="1:16" x14ac:dyDescent="0.25">
      <c r="C6" s="69"/>
      <c r="F6" t="s">
        <v>115</v>
      </c>
      <c r="J6" s="33" t="s">
        <v>71</v>
      </c>
      <c r="K6" s="34">
        <v>4.2778999999999998</v>
      </c>
      <c r="L6" s="34">
        <v>4.2961</v>
      </c>
      <c r="M6" s="165">
        <f t="shared" si="0"/>
        <v>4.2869999999999999</v>
      </c>
    </row>
    <row r="7" spans="1:16" x14ac:dyDescent="0.25">
      <c r="C7" s="69"/>
      <c r="F7" t="s">
        <v>116</v>
      </c>
      <c r="J7" s="33" t="s">
        <v>72</v>
      </c>
      <c r="K7" s="34">
        <v>4.7865000000000002</v>
      </c>
      <c r="L7" s="34">
        <v>4.8048000000000002</v>
      </c>
      <c r="M7" s="165">
        <f t="shared" si="0"/>
        <v>4.7956500000000002</v>
      </c>
    </row>
    <row r="8" spans="1:16" x14ac:dyDescent="0.25">
      <c r="C8" s="69"/>
      <c r="F8" t="s">
        <v>117</v>
      </c>
      <c r="J8" s="33" t="s">
        <v>73</v>
      </c>
      <c r="K8" s="34">
        <v>5.3155000000000001</v>
      </c>
      <c r="L8" s="34">
        <v>5.3277000000000001</v>
      </c>
      <c r="M8" s="165">
        <f t="shared" si="0"/>
        <v>5.3216000000000001</v>
      </c>
    </row>
    <row r="9" spans="1:16" x14ac:dyDescent="0.25">
      <c r="C9" s="69"/>
      <c r="J9" s="33" t="s">
        <v>74</v>
      </c>
      <c r="K9" s="34">
        <v>5.8117000000000001</v>
      </c>
      <c r="L9" s="34">
        <v>5.8300999999999998</v>
      </c>
      <c r="M9" s="165">
        <f t="shared" si="0"/>
        <v>5.8209</v>
      </c>
    </row>
    <row r="10" spans="1:16" x14ac:dyDescent="0.25">
      <c r="C10" s="69"/>
      <c r="J10" s="33" t="s">
        <v>75</v>
      </c>
      <c r="K10" s="34">
        <v>5.8783000000000003</v>
      </c>
      <c r="L10" s="34">
        <v>5.8903999999999996</v>
      </c>
      <c r="M10" s="165">
        <f t="shared" si="0"/>
        <v>5.8843499999999995</v>
      </c>
    </row>
    <row r="11" spans="1:16" x14ac:dyDescent="0.25">
      <c r="C11" s="69"/>
      <c r="J11" s="33" t="s">
        <v>76</v>
      </c>
      <c r="K11" s="34">
        <v>6.3068</v>
      </c>
      <c r="L11" s="34">
        <v>6.3308999999999997</v>
      </c>
      <c r="M11" s="165">
        <f t="shared" si="0"/>
        <v>6.3188499999999994</v>
      </c>
    </row>
    <row r="12" spans="1:16" x14ac:dyDescent="0.25">
      <c r="C12" s="69"/>
      <c r="J12" s="33" t="s">
        <v>77</v>
      </c>
      <c r="K12" s="34">
        <v>7.8349000000000002</v>
      </c>
      <c r="L12" s="34">
        <v>7.8468999999999998</v>
      </c>
      <c r="M12" s="165">
        <f t="shared" si="0"/>
        <v>7.8408999999999995</v>
      </c>
    </row>
    <row r="13" spans="1:16" x14ac:dyDescent="0.25">
      <c r="C13" s="69"/>
      <c r="J13" s="33" t="s">
        <v>78</v>
      </c>
      <c r="K13" s="34">
        <v>10.373799999999999</v>
      </c>
      <c r="L13" s="34">
        <v>10.38</v>
      </c>
      <c r="M13" s="165">
        <f t="shared" si="0"/>
        <v>10.376899999999999</v>
      </c>
    </row>
    <row r="14" spans="1:16" x14ac:dyDescent="0.25">
      <c r="C14" s="69"/>
      <c r="J14" s="33" t="s">
        <v>79</v>
      </c>
      <c r="K14" s="34">
        <v>10.8954</v>
      </c>
      <c r="L14" s="34">
        <v>10.913500000000001</v>
      </c>
      <c r="M14" s="165">
        <f t="shared" si="0"/>
        <v>10.904450000000001</v>
      </c>
    </row>
    <row r="15" spans="1:16" x14ac:dyDescent="0.25">
      <c r="C15" s="69"/>
      <c r="J15" s="33"/>
      <c r="K15" s="34"/>
      <c r="L15" s="34"/>
    </row>
    <row r="16" spans="1:16" x14ac:dyDescent="0.25">
      <c r="C16" s="69"/>
      <c r="J16" s="33"/>
      <c r="K16" s="34"/>
      <c r="L16" s="34"/>
    </row>
    <row r="17" spans="3:13" x14ac:dyDescent="0.25">
      <c r="C17" s="160" t="s">
        <v>204</v>
      </c>
      <c r="J17" s="33"/>
      <c r="K17" s="34"/>
      <c r="L17" s="34"/>
    </row>
    <row r="18" spans="3:13" x14ac:dyDescent="0.25">
      <c r="C18" t="s">
        <v>781</v>
      </c>
      <c r="J18" s="33" t="s">
        <v>85</v>
      </c>
      <c r="K18" s="34"/>
      <c r="L18" s="34"/>
      <c r="M18" s="165" t="str">
        <f>"""C:\Program Files (x86)\AstroGrep\AstroGrep.exe"""</f>
        <v>"C:\Program Files (x86)\AstroGrep\AstroGrep.exe"</v>
      </c>
    </row>
    <row r="19" spans="3:13" x14ac:dyDescent="0.25">
      <c r="C19" t="s">
        <v>782</v>
      </c>
      <c r="J19" s="33" t="s">
        <v>86</v>
      </c>
      <c r="K19" s="34"/>
      <c r="L19" s="34"/>
      <c r="M19" s="165" t="s">
        <v>112</v>
      </c>
    </row>
    <row r="20" spans="3:13" x14ac:dyDescent="0.25">
      <c r="C20" t="s">
        <v>796</v>
      </c>
      <c r="J20" t="s">
        <v>87</v>
      </c>
      <c r="M20" s="165" t="s">
        <v>267</v>
      </c>
    </row>
    <row r="21" spans="3:13" x14ac:dyDescent="0.25">
      <c r="C21" t="s">
        <v>783</v>
      </c>
      <c r="J21" s="21" t="s">
        <v>90</v>
      </c>
      <c r="K21" s="21" t="s">
        <v>91</v>
      </c>
      <c r="M21" s="165" t="s">
        <v>182</v>
      </c>
    </row>
    <row r="22" spans="3:13" x14ac:dyDescent="0.25">
      <c r="C22" t="s">
        <v>784</v>
      </c>
      <c r="J22" s="21" t="s">
        <v>92</v>
      </c>
      <c r="K22" s="21" t="s">
        <v>93</v>
      </c>
      <c r="M22" s="165" t="s">
        <v>111</v>
      </c>
    </row>
    <row r="23" spans="3:13" x14ac:dyDescent="0.25">
      <c r="C23" t="s">
        <v>785</v>
      </c>
      <c r="J23" s="29" t="s">
        <v>95</v>
      </c>
      <c r="K23" s="21"/>
      <c r="M23" s="165">
        <v>-7</v>
      </c>
    </row>
    <row r="24" spans="3:13" x14ac:dyDescent="0.25">
      <c r="C24" t="s">
        <v>786</v>
      </c>
      <c r="J24" s="21" t="s">
        <v>108</v>
      </c>
      <c r="K24" s="21"/>
      <c r="M24" s="165" t="s">
        <v>110</v>
      </c>
    </row>
    <row r="25" spans="3:13" x14ac:dyDescent="0.25">
      <c r="C25" t="s">
        <v>787</v>
      </c>
      <c r="J25" t="s">
        <v>151</v>
      </c>
      <c r="M25" s="165" t="b">
        <v>1</v>
      </c>
    </row>
    <row r="26" spans="3:13" x14ac:dyDescent="0.25">
      <c r="C26" t="s">
        <v>788</v>
      </c>
      <c r="J26" t="s">
        <v>152</v>
      </c>
      <c r="M26" s="165" t="str">
        <f>"C:\Users\stu\Documents\GitHub\eaglep3-reporting\EC\"&amp;TEXT(A2,"yyyy-mm-dd")&amp;"-refined-times.txt"</f>
        <v>C:\Users\stu\Documents\GitHub\eaglep3-reporting\EC\2016-12-10-refined-times.txt</v>
      </c>
    </row>
    <row r="27" spans="3:13" x14ac:dyDescent="0.25">
      <c r="C27" t="s">
        <v>797</v>
      </c>
      <c r="J27" t="s">
        <v>188</v>
      </c>
      <c r="M27" s="165" t="str">
        <f>"C:\Users\stu\Documents\GitHub\eaglep3-reporting\EC\"&amp;TEXT(A2,"YYYY-MM-DD")&amp;"-Enforcements.txt"</f>
        <v>C:\Users\stu\Documents\GitHub\eaglep3-reporting\EC\2016-12-10-Enforcements.txt</v>
      </c>
    </row>
    <row r="28" spans="3:13" x14ac:dyDescent="0.25">
      <c r="C28" t="s">
        <v>789</v>
      </c>
      <c r="J28" t="s">
        <v>189</v>
      </c>
      <c r="M28" s="165" t="str">
        <f>"C:\Users\stu\Documents\GitHub\eaglep3-reporting\EC\"&amp;TEXT(A2,"YYYY-MM-DD")&amp;"-Runs-refined.txt"</f>
        <v>C:\Users\stu\Documents\GitHub\eaglep3-reporting\EC\2016-12-10-Runs-refined.txt</v>
      </c>
    </row>
    <row r="29" spans="3:13" x14ac:dyDescent="0.25">
      <c r="C29" t="s">
        <v>790</v>
      </c>
      <c r="J29" t="s">
        <v>190</v>
      </c>
      <c r="M29" s="165" t="str">
        <f>"C:\Users\stu\Documents\GitHub\eaglep3-reporting\EC\"&amp;TEXT(A2,"YYYY-MM-DD")&amp;"-Trips.txt"</f>
        <v>C:\Users\stu\Documents\GitHub\eaglep3-reporting\EC\2016-12-10-Trips.txt</v>
      </c>
    </row>
    <row r="30" spans="3:13" x14ac:dyDescent="0.25">
      <c r="C30" t="s">
        <v>791</v>
      </c>
      <c r="J30" t="s">
        <v>191</v>
      </c>
      <c r="M30" s="165" t="str">
        <f>"C:\Users\stu\Documents\GitHub\eaglep3-reporting\EC\"&amp;TEXT(A2,"YYYY-MM-DD")&amp;"-Weather.txt"</f>
        <v>C:\Users\stu\Documents\GitHub\eaglep3-reporting\EC\2016-12-10-Weather.txt</v>
      </c>
    </row>
    <row r="31" spans="3:13" x14ac:dyDescent="0.25">
      <c r="C31" t="s">
        <v>792</v>
      </c>
    </row>
    <row r="32" spans="3:13" x14ac:dyDescent="0.25">
      <c r="C32" t="s">
        <v>793</v>
      </c>
    </row>
    <row r="33" spans="3:3" x14ac:dyDescent="0.25">
      <c r="C33" t="s">
        <v>794</v>
      </c>
    </row>
    <row r="34" spans="3:3" x14ac:dyDescent="0.25">
      <c r="C34" t="s">
        <v>795</v>
      </c>
    </row>
  </sheetData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2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2]!ImportRawText">
                <anchor moveWithCells="1" sizeWithCells="1">
                  <from>
                    <xdr:col>0</xdr:col>
                    <xdr:colOff>304800</xdr:colOff>
                    <xdr:row>9</xdr:row>
                    <xdr:rowOff>85725</xdr:rowOff>
                  </from>
                  <to>
                    <xdr:col>0</xdr:col>
                    <xdr:colOff>1552575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2]!SetTodaysDate">
                <anchor moveWithCells="1" sizeWithCells="1">
                  <from>
                    <xdr:col>0</xdr:col>
                    <xdr:colOff>295275</xdr:colOff>
                    <xdr:row>12</xdr:row>
                    <xdr:rowOff>142875</xdr:rowOff>
                  </from>
                  <to>
                    <xdr:col>0</xdr:col>
                    <xdr:colOff>1543050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/>
  </sheetViews>
  <sheetFormatPr defaultRowHeight="15" x14ac:dyDescent="0.25"/>
  <cols>
    <col min="1" max="1" width="32.85546875" style="113" bestFit="1" customWidth="1"/>
    <col min="2" max="7" width="9.140625" style="113"/>
    <col min="8" max="8" width="17.7109375" style="113" bestFit="1" customWidth="1"/>
    <col min="9" max="9" width="9.140625" style="115"/>
    <col min="10" max="16384" width="9.140625" style="113"/>
  </cols>
  <sheetData>
    <row r="1" spans="1:11" x14ac:dyDescent="0.25">
      <c r="A1" s="112" t="s">
        <v>122</v>
      </c>
      <c r="B1" s="112" t="s">
        <v>123</v>
      </c>
      <c r="C1" s="113" t="s">
        <v>124</v>
      </c>
      <c r="H1" t="s">
        <v>118</v>
      </c>
      <c r="I1" s="114" t="s">
        <v>120</v>
      </c>
      <c r="J1"/>
    </row>
    <row r="2" spans="1:11" x14ac:dyDescent="0.25">
      <c r="A2" s="113" t="s">
        <v>125</v>
      </c>
      <c r="B2" s="113" t="s">
        <v>126</v>
      </c>
      <c r="C2" s="113" t="s">
        <v>127</v>
      </c>
      <c r="H2" t="s">
        <v>119</v>
      </c>
      <c r="I2" s="106" t="s">
        <v>121</v>
      </c>
      <c r="J2"/>
    </row>
    <row r="3" spans="1:11" x14ac:dyDescent="0.25">
      <c r="A3" s="113" t="s">
        <v>128</v>
      </c>
      <c r="B3" s="113" t="s">
        <v>129</v>
      </c>
      <c r="C3" s="113" t="s">
        <v>130</v>
      </c>
      <c r="H3" t="s">
        <v>144</v>
      </c>
      <c r="I3" s="106">
        <v>1</v>
      </c>
      <c r="J3"/>
      <c r="K3" s="68"/>
    </row>
    <row r="4" spans="1:11" x14ac:dyDescent="0.25">
      <c r="A4" s="113" t="s">
        <v>131</v>
      </c>
      <c r="C4" s="113" t="s">
        <v>132</v>
      </c>
      <c r="H4" t="s">
        <v>145</v>
      </c>
      <c r="I4" s="106">
        <v>2</v>
      </c>
      <c r="J4"/>
      <c r="K4" s="68"/>
    </row>
    <row r="5" spans="1:11" x14ac:dyDescent="0.25">
      <c r="A5" s="113" t="s">
        <v>133</v>
      </c>
      <c r="C5" s="113" t="s">
        <v>134</v>
      </c>
      <c r="H5" t="s">
        <v>146</v>
      </c>
      <c r="I5" s="106">
        <v>23</v>
      </c>
      <c r="J5"/>
      <c r="K5" s="68"/>
    </row>
    <row r="6" spans="1:11" x14ac:dyDescent="0.25">
      <c r="A6" s="113" t="s">
        <v>135</v>
      </c>
      <c r="C6" s="113" t="s">
        <v>136</v>
      </c>
      <c r="H6" s="116" t="s">
        <v>147</v>
      </c>
      <c r="I6" s="117" t="s">
        <v>126</v>
      </c>
    </row>
    <row r="7" spans="1:11" x14ac:dyDescent="0.25">
      <c r="A7" s="113" t="s">
        <v>137</v>
      </c>
      <c r="C7" s="113" t="s">
        <v>138</v>
      </c>
    </row>
    <row r="8" spans="1:11" x14ac:dyDescent="0.25">
      <c r="C8" s="113" t="s">
        <v>139</v>
      </c>
    </row>
    <row r="9" spans="1:11" x14ac:dyDescent="0.25">
      <c r="C9" s="116" t="s">
        <v>174</v>
      </c>
    </row>
    <row r="10" spans="1:11" x14ac:dyDescent="0.25">
      <c r="C10" s="113" t="s">
        <v>140</v>
      </c>
    </row>
    <row r="11" spans="1:11" x14ac:dyDescent="0.25">
      <c r="C11" s="113" t="s">
        <v>141</v>
      </c>
    </row>
    <row r="12" spans="1:11" x14ac:dyDescent="0.25">
      <c r="C12" s="113" t="s">
        <v>142</v>
      </c>
    </row>
    <row r="13" spans="1:11" x14ac:dyDescent="0.25">
      <c r="C13" s="113" t="s">
        <v>143</v>
      </c>
    </row>
    <row r="14" spans="1:11" x14ac:dyDescent="0.25">
      <c r="C14" s="116" t="s">
        <v>175</v>
      </c>
    </row>
    <row r="15" spans="1:11" x14ac:dyDescent="0.25">
      <c r="C15" s="116" t="s">
        <v>210</v>
      </c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81"/>
  <sheetViews>
    <sheetView workbookViewId="0">
      <selection activeCell="G11" sqref="G11"/>
    </sheetView>
  </sheetViews>
  <sheetFormatPr defaultRowHeight="15" x14ac:dyDescent="0.25"/>
  <cols>
    <col min="2" max="2" width="22.28515625" bestFit="1" customWidth="1"/>
    <col min="3" max="3" width="9.7109375" customWidth="1"/>
  </cols>
  <sheetData>
    <row r="1" spans="1:3" x14ac:dyDescent="0.25">
      <c r="A1" t="s">
        <v>810</v>
      </c>
      <c r="B1" t="str">
        <f t="shared" ref="B1:B52" si="0">MID(A1,6,23)</f>
        <v>2016/12/10 10:49:52.682</v>
      </c>
      <c r="C1" t="e">
        <f>ABS(B1-#REF!)</f>
        <v>#REF!</v>
      </c>
    </row>
    <row r="2" spans="1:3" x14ac:dyDescent="0.25">
      <c r="A2" t="s">
        <v>811</v>
      </c>
      <c r="B2" s="21" t="str">
        <f t="shared" si="0"/>
        <v>2016/12/10 10:49:52.827</v>
      </c>
      <c r="C2">
        <f>ABS(B2-B1)</f>
        <v>1.6782360034994781E-6</v>
      </c>
    </row>
    <row r="3" spans="1:3" x14ac:dyDescent="0.25">
      <c r="A3" t="s">
        <v>812</v>
      </c>
      <c r="B3" s="21" t="str">
        <f t="shared" si="0"/>
        <v>2016/12/10 12:38:37.717</v>
      </c>
      <c r="C3" s="21">
        <f t="shared" ref="C3:C52" si="1">ABS(B3-B2)</f>
        <v>7.5519560188695323E-2</v>
      </c>
    </row>
    <row r="4" spans="1:3" x14ac:dyDescent="0.25">
      <c r="A4" t="s">
        <v>813</v>
      </c>
      <c r="B4" s="21" t="str">
        <f t="shared" si="0"/>
        <v>2016/12/10 12:38:38.666</v>
      </c>
      <c r="C4" s="21">
        <f t="shared" si="1"/>
        <v>1.0983792890328914E-5</v>
      </c>
    </row>
    <row r="5" spans="1:3" x14ac:dyDescent="0.25">
      <c r="A5" t="s">
        <v>814</v>
      </c>
      <c r="B5" s="21" t="str">
        <f t="shared" si="0"/>
        <v>2016/12/10 13:44:09.023</v>
      </c>
      <c r="C5" s="21">
        <f t="shared" si="1"/>
        <v>4.5490243057429325E-2</v>
      </c>
    </row>
    <row r="6" spans="1:3" x14ac:dyDescent="0.25">
      <c r="A6" t="s">
        <v>815</v>
      </c>
      <c r="B6" s="21" t="str">
        <f t="shared" si="0"/>
        <v>2016/12/10 13:44:09.410</v>
      </c>
      <c r="C6" s="21">
        <f t="shared" si="1"/>
        <v>4.4791668187826872E-6</v>
      </c>
    </row>
    <row r="7" spans="1:3" x14ac:dyDescent="0.25">
      <c r="A7" t="s">
        <v>816</v>
      </c>
      <c r="B7" s="21" t="str">
        <f t="shared" si="0"/>
        <v>2016/12/10 13:44:09.500</v>
      </c>
      <c r="C7" s="21">
        <f t="shared" si="1"/>
        <v>1.0416697477921844E-6</v>
      </c>
    </row>
    <row r="8" spans="1:3" x14ac:dyDescent="0.25">
      <c r="A8" t="s">
        <v>817</v>
      </c>
      <c r="B8" s="21" t="str">
        <f t="shared" si="0"/>
        <v>2016/12/10 14:03:42.046</v>
      </c>
      <c r="C8" s="21">
        <f t="shared" si="1"/>
        <v>1.3571134259109385E-2</v>
      </c>
    </row>
    <row r="9" spans="1:3" x14ac:dyDescent="0.25">
      <c r="A9" t="s">
        <v>818</v>
      </c>
      <c r="B9" s="21" t="str">
        <f t="shared" si="0"/>
        <v>2016/12/10 14:03:42.060</v>
      </c>
      <c r="C9" s="21">
        <f t="shared" si="1"/>
        <v>1.6203557606786489E-7</v>
      </c>
    </row>
    <row r="10" spans="1:3" x14ac:dyDescent="0.25">
      <c r="A10" t="s">
        <v>819</v>
      </c>
      <c r="B10" s="21" t="str">
        <f t="shared" si="0"/>
        <v>2016/12/10 14:03:42.321</v>
      </c>
      <c r="C10" s="21">
        <f t="shared" si="1"/>
        <v>3.0208320822566748E-6</v>
      </c>
    </row>
    <row r="11" spans="1:3" x14ac:dyDescent="0.25">
      <c r="A11" t="s">
        <v>820</v>
      </c>
      <c r="B11" s="21" t="str">
        <f t="shared" si="0"/>
        <v>2016/12/10 14:19:18.578</v>
      </c>
      <c r="C11" s="21">
        <f t="shared" si="1"/>
        <v>1.0836307868885342E-2</v>
      </c>
    </row>
    <row r="12" spans="1:3" x14ac:dyDescent="0.25">
      <c r="A12" t="s">
        <v>821</v>
      </c>
      <c r="B12" s="21" t="str">
        <f t="shared" si="0"/>
        <v>2016/12/10 14:28:45.764</v>
      </c>
      <c r="C12" s="21">
        <f t="shared" si="1"/>
        <v>6.5646527800709009E-3</v>
      </c>
    </row>
    <row r="13" spans="1:3" x14ac:dyDescent="0.25">
      <c r="A13" t="s">
        <v>822</v>
      </c>
      <c r="B13" s="21" t="str">
        <f t="shared" si="0"/>
        <v>2016/12/10 15:06:34.431</v>
      </c>
      <c r="C13" s="21">
        <f t="shared" si="1"/>
        <v>2.6257719910063315E-2</v>
      </c>
    </row>
    <row r="14" spans="1:3" x14ac:dyDescent="0.25">
      <c r="A14" t="s">
        <v>823</v>
      </c>
      <c r="B14" s="21" t="str">
        <f t="shared" si="0"/>
        <v>2016/12/10 15:06:34.934</v>
      </c>
      <c r="C14" s="21">
        <f t="shared" si="1"/>
        <v>5.8217556215822697E-6</v>
      </c>
    </row>
    <row r="15" spans="1:3" x14ac:dyDescent="0.25">
      <c r="A15" t="s">
        <v>824</v>
      </c>
      <c r="B15" s="21" t="str">
        <f t="shared" si="0"/>
        <v>2016/12/10 15:06:35.226</v>
      </c>
      <c r="C15" s="21">
        <f t="shared" si="1"/>
        <v>3.379631380084902E-6</v>
      </c>
    </row>
    <row r="16" spans="1:3" x14ac:dyDescent="0.25">
      <c r="A16" t="s">
        <v>825</v>
      </c>
      <c r="B16" s="21" t="str">
        <f t="shared" si="0"/>
        <v>2016/12/10 15:48:46.548</v>
      </c>
      <c r="C16" s="21">
        <f t="shared" si="1"/>
        <v>2.9297708329977468E-2</v>
      </c>
    </row>
    <row r="17" spans="1:3" x14ac:dyDescent="0.25">
      <c r="A17" t="s">
        <v>826</v>
      </c>
      <c r="B17" s="21" t="str">
        <f t="shared" si="0"/>
        <v>2016/12/10 15:48:46.823</v>
      </c>
      <c r="C17" s="21">
        <f t="shared" si="1"/>
        <v>3.1828749342821538E-6</v>
      </c>
    </row>
    <row r="18" spans="1:3" x14ac:dyDescent="0.25">
      <c r="A18" t="s">
        <v>827</v>
      </c>
      <c r="B18" s="21" t="str">
        <f t="shared" si="0"/>
        <v>2016/12/10 15:48:47.581</v>
      </c>
      <c r="C18" s="21">
        <f t="shared" si="1"/>
        <v>8.7731459643691778E-6</v>
      </c>
    </row>
    <row r="19" spans="1:3" x14ac:dyDescent="0.25">
      <c r="A19" t="s">
        <v>828</v>
      </c>
      <c r="B19" s="21" t="str">
        <f t="shared" si="0"/>
        <v>2016/12/10 16:11:44.904</v>
      </c>
      <c r="C19" s="21">
        <f t="shared" si="1"/>
        <v>1.5941238423692994E-2</v>
      </c>
    </row>
    <row r="20" spans="1:3" x14ac:dyDescent="0.25">
      <c r="A20" t="s">
        <v>829</v>
      </c>
      <c r="B20" s="21" t="str">
        <f t="shared" si="0"/>
        <v>2016/12/10 16:37:25.461</v>
      </c>
      <c r="C20" s="21">
        <f t="shared" si="1"/>
        <v>1.7830520831921604E-2</v>
      </c>
    </row>
    <row r="21" spans="1:3" x14ac:dyDescent="0.25">
      <c r="A21" t="s">
        <v>830</v>
      </c>
      <c r="B21" s="21" t="str">
        <f t="shared" si="0"/>
        <v>2016/12/10 16:37:25.964</v>
      </c>
      <c r="C21" s="21">
        <f t="shared" si="1"/>
        <v>5.8217628975398839E-6</v>
      </c>
    </row>
    <row r="22" spans="1:3" x14ac:dyDescent="0.25">
      <c r="A22" t="s">
        <v>831</v>
      </c>
      <c r="B22" s="21" t="str">
        <f t="shared" si="0"/>
        <v>2016/12/10 16:37:26.239</v>
      </c>
      <c r="C22" s="21">
        <f t="shared" si="1"/>
        <v>3.1828676583245397E-6</v>
      </c>
    </row>
    <row r="23" spans="1:3" x14ac:dyDescent="0.25">
      <c r="A23" t="s">
        <v>832</v>
      </c>
      <c r="B23" s="21" t="str">
        <f t="shared" si="0"/>
        <v>2016/12/10 17:28:49.053</v>
      </c>
      <c r="C23" s="21">
        <f t="shared" si="1"/>
        <v>3.5680717592185829E-2</v>
      </c>
    </row>
    <row r="24" spans="1:3" x14ac:dyDescent="0.25">
      <c r="A24" t="s">
        <v>833</v>
      </c>
      <c r="B24" s="21" t="str">
        <f t="shared" si="0"/>
        <v>2016/12/10 17:28:49.065</v>
      </c>
      <c r="C24" s="21">
        <f t="shared" si="1"/>
        <v>1.3889075489714742E-7</v>
      </c>
    </row>
    <row r="25" spans="1:3" x14ac:dyDescent="0.25">
      <c r="A25" t="s">
        <v>834</v>
      </c>
      <c r="B25" s="21" t="str">
        <f t="shared" si="0"/>
        <v>2016/12/10 17:28:49.321</v>
      </c>
      <c r="C25" s="21">
        <f t="shared" si="1"/>
        <v>2.962966391351074E-6</v>
      </c>
    </row>
    <row r="26" spans="1:3" x14ac:dyDescent="0.25">
      <c r="A26" t="s">
        <v>835</v>
      </c>
      <c r="B26" s="21" t="str">
        <f t="shared" si="0"/>
        <v>2016/12/10 18:36:45.439</v>
      </c>
      <c r="C26" s="21">
        <f t="shared" si="1"/>
        <v>4.7177291664411314E-2</v>
      </c>
    </row>
    <row r="27" spans="1:3" x14ac:dyDescent="0.25">
      <c r="A27" t="s">
        <v>836</v>
      </c>
      <c r="B27" s="21" t="str">
        <f t="shared" si="0"/>
        <v>2016/12/10 18:36:45.941</v>
      </c>
      <c r="C27" s="21">
        <f t="shared" si="1"/>
        <v>5.810186848975718E-6</v>
      </c>
    </row>
    <row r="28" spans="1:3" x14ac:dyDescent="0.25">
      <c r="A28" t="s">
        <v>837</v>
      </c>
      <c r="B28" s="21" t="str">
        <f t="shared" si="0"/>
        <v>2016/12/10 18:36:46.230</v>
      </c>
      <c r="C28" s="21">
        <f t="shared" si="1"/>
        <v>3.3449032343924046E-6</v>
      </c>
    </row>
    <row r="29" spans="1:3" x14ac:dyDescent="0.25">
      <c r="A29" t="s">
        <v>838</v>
      </c>
      <c r="B29" s="21" t="str">
        <f t="shared" si="0"/>
        <v>2016/12/10 19:07:35.411</v>
      </c>
      <c r="C29" s="21">
        <f t="shared" si="1"/>
        <v>2.1402557875262573E-2</v>
      </c>
    </row>
    <row r="30" spans="1:3" x14ac:dyDescent="0.25">
      <c r="A30" t="s">
        <v>839</v>
      </c>
      <c r="B30" s="21" t="str">
        <f t="shared" si="0"/>
        <v>2016/12/10 19:33:34.752</v>
      </c>
      <c r="C30" s="21">
        <f t="shared" si="1"/>
        <v>1.8047928235318977E-2</v>
      </c>
    </row>
    <row r="31" spans="1:3" x14ac:dyDescent="0.25">
      <c r="A31" t="s">
        <v>840</v>
      </c>
      <c r="B31" s="21" t="str">
        <f t="shared" si="0"/>
        <v>2016/12/10 19:33:35.438</v>
      </c>
      <c r="C31" s="21">
        <f t="shared" si="1"/>
        <v>7.9398159869015217E-6</v>
      </c>
    </row>
    <row r="32" spans="1:3" x14ac:dyDescent="0.25">
      <c r="A32" t="s">
        <v>841</v>
      </c>
      <c r="B32" s="21" t="str">
        <f t="shared" si="0"/>
        <v>2016/12/10 19:48:30.997</v>
      </c>
      <c r="C32" s="21">
        <f t="shared" si="1"/>
        <v>1.036526620737277E-2</v>
      </c>
    </row>
    <row r="33" spans="1:3" x14ac:dyDescent="0.25">
      <c r="A33" t="s">
        <v>842</v>
      </c>
      <c r="B33" s="21" t="str">
        <f t="shared" si="0"/>
        <v>2016/12/10 19:48:31.458</v>
      </c>
      <c r="C33" s="21">
        <f t="shared" si="1"/>
        <v>5.335648893378675E-6</v>
      </c>
    </row>
    <row r="34" spans="1:3" x14ac:dyDescent="0.25">
      <c r="A34" t="s">
        <v>843</v>
      </c>
      <c r="B34" s="21" t="str">
        <f t="shared" si="0"/>
        <v>2016/12/10 19:48:31.793</v>
      </c>
      <c r="C34" s="21">
        <f t="shared" si="1"/>
        <v>3.8773141568526626E-6</v>
      </c>
    </row>
    <row r="35" spans="1:3" x14ac:dyDescent="0.25">
      <c r="A35" t="s">
        <v>844</v>
      </c>
      <c r="B35" s="21" t="str">
        <f t="shared" si="0"/>
        <v>2016/12/10 19:53:14.886</v>
      </c>
      <c r="C35" s="21">
        <f t="shared" si="1"/>
        <v>3.2765393480076455E-3</v>
      </c>
    </row>
    <row r="36" spans="1:3" x14ac:dyDescent="0.25">
      <c r="A36" t="s">
        <v>845</v>
      </c>
      <c r="B36" s="21" t="str">
        <f t="shared" si="0"/>
        <v>2016/12/10 20:02:55.456</v>
      </c>
      <c r="C36" s="21">
        <f t="shared" si="1"/>
        <v>6.7195601877756417E-3</v>
      </c>
    </row>
    <row r="37" spans="1:3" x14ac:dyDescent="0.25">
      <c r="A37" t="s">
        <v>846</v>
      </c>
      <c r="B37" s="21" t="str">
        <f t="shared" si="0"/>
        <v>2016/12/10 20:02:57.252</v>
      </c>
      <c r="C37" s="21">
        <f t="shared" si="1"/>
        <v>2.078703255392611E-5</v>
      </c>
    </row>
    <row r="38" spans="1:3" x14ac:dyDescent="0.25">
      <c r="A38" t="s">
        <v>847</v>
      </c>
      <c r="B38" s="21" t="str">
        <f t="shared" si="0"/>
        <v>2016/12/10 21:17:44.676</v>
      </c>
      <c r="C38" s="21">
        <f t="shared" si="1"/>
        <v>5.193777778185904E-2</v>
      </c>
    </row>
    <row r="39" spans="1:3" x14ac:dyDescent="0.25">
      <c r="A39" t="s">
        <v>848</v>
      </c>
      <c r="B39" s="21" t="str">
        <f t="shared" si="0"/>
        <v>2016/12/10 22:15:26.384</v>
      </c>
      <c r="C39" s="21">
        <f t="shared" si="1"/>
        <v>4.0066064815619029E-2</v>
      </c>
    </row>
    <row r="40" spans="1:3" x14ac:dyDescent="0.25">
      <c r="A40" t="s">
        <v>849</v>
      </c>
      <c r="B40" s="21" t="str">
        <f t="shared" si="0"/>
        <v>2016/12/10 22:15:26.452</v>
      </c>
      <c r="C40" s="21">
        <f t="shared" si="1"/>
        <v>7.87033059168607E-7</v>
      </c>
    </row>
    <row r="41" spans="1:3" x14ac:dyDescent="0.25">
      <c r="A41" t="s">
        <v>850</v>
      </c>
      <c r="B41" s="21" t="str">
        <f t="shared" si="0"/>
        <v>2016/12/10 22:15:26.523</v>
      </c>
      <c r="C41" s="21">
        <f t="shared" si="1"/>
        <v>8.2176120486110449E-7</v>
      </c>
    </row>
    <row r="42" spans="1:3" x14ac:dyDescent="0.25">
      <c r="A42" t="s">
        <v>851</v>
      </c>
      <c r="B42" s="21" t="str">
        <f t="shared" si="0"/>
        <v>2016/12/10 22:54:54.545</v>
      </c>
      <c r="C42" s="21">
        <f t="shared" si="1"/>
        <v>2.7407662040786818E-2</v>
      </c>
    </row>
    <row r="43" spans="1:3" x14ac:dyDescent="0.25">
      <c r="A43" t="s">
        <v>852</v>
      </c>
      <c r="B43" s="21" t="str">
        <f t="shared" si="0"/>
        <v>2016/12/10 22:54:54.885</v>
      </c>
      <c r="C43" s="21">
        <f t="shared" si="1"/>
        <v>3.9351798477582633E-6</v>
      </c>
    </row>
    <row r="44" spans="1:3" x14ac:dyDescent="0.25">
      <c r="A44" t="s">
        <v>853</v>
      </c>
      <c r="B44" s="21" t="str">
        <f t="shared" si="0"/>
        <v>2016/12/10 22:54:54.998</v>
      </c>
      <c r="C44" s="21">
        <f t="shared" si="1"/>
        <v>1.3078752090223134E-6</v>
      </c>
    </row>
    <row r="45" spans="1:3" x14ac:dyDescent="0.25">
      <c r="A45" t="s">
        <v>854</v>
      </c>
      <c r="B45" s="21" t="str">
        <f t="shared" si="0"/>
        <v>2016/12/10 23:11:33.572</v>
      </c>
      <c r="C45" s="21">
        <f t="shared" si="1"/>
        <v>1.1557569443539251E-2</v>
      </c>
    </row>
    <row r="46" spans="1:3" x14ac:dyDescent="0.25">
      <c r="A46" t="s">
        <v>855</v>
      </c>
      <c r="B46" s="21" t="str">
        <f t="shared" si="0"/>
        <v>2016/12/10 23:34:37.810</v>
      </c>
      <c r="C46" s="21">
        <f t="shared" si="1"/>
        <v>1.6021273149817716E-2</v>
      </c>
    </row>
    <row r="47" spans="1:3" x14ac:dyDescent="0.25">
      <c r="A47" t="s">
        <v>856</v>
      </c>
      <c r="B47" s="21" t="str">
        <f t="shared" si="0"/>
        <v>2016/12/10 23:34:37.920</v>
      </c>
      <c r="C47" s="21">
        <f t="shared" si="1"/>
        <v>1.2731470633298159E-6</v>
      </c>
    </row>
    <row r="48" spans="1:3" x14ac:dyDescent="0.25">
      <c r="A48" t="s">
        <v>857</v>
      </c>
      <c r="B48" s="21" t="str">
        <f t="shared" si="0"/>
        <v>2016/12/10 23:34:37.928</v>
      </c>
      <c r="C48" s="21">
        <f t="shared" si="1"/>
        <v>9.2586560640484095E-8</v>
      </c>
    </row>
    <row r="49" spans="1:3" x14ac:dyDescent="0.25">
      <c r="A49" t="s">
        <v>858</v>
      </c>
      <c r="B49" s="21" t="str">
        <f t="shared" si="0"/>
        <v>2016/12/10 23:36:03.332</v>
      </c>
      <c r="C49" s="21">
        <f t="shared" si="1"/>
        <v>9.8847222398035228E-4</v>
      </c>
    </row>
    <row r="50" spans="1:3" x14ac:dyDescent="0.25">
      <c r="A50" t="s">
        <v>859</v>
      </c>
      <c r="B50" s="21" t="str">
        <f t="shared" si="0"/>
        <v>2016/12/10 23:36:03.622</v>
      </c>
      <c r="C50" s="21">
        <f t="shared" si="1"/>
        <v>3.3564865589141846E-6</v>
      </c>
    </row>
    <row r="51" spans="1:3" x14ac:dyDescent="0.25">
      <c r="A51" t="s">
        <v>860</v>
      </c>
      <c r="B51" s="21" t="str">
        <f t="shared" si="0"/>
        <v>2016/12/11 00:19:43.357</v>
      </c>
      <c r="C51" s="21">
        <f t="shared" si="1"/>
        <v>3.0321006939630024E-2</v>
      </c>
    </row>
    <row r="52" spans="1:3" x14ac:dyDescent="0.25">
      <c r="A52" t="s">
        <v>861</v>
      </c>
      <c r="B52" s="21" t="str">
        <f t="shared" si="0"/>
        <v>2016/12/11 00:19:43.426</v>
      </c>
      <c r="C52" s="21">
        <f t="shared" si="1"/>
        <v>7.9860910773277283E-7</v>
      </c>
    </row>
    <row r="53" spans="1:3" x14ac:dyDescent="0.25">
      <c r="A53" t="s">
        <v>862</v>
      </c>
      <c r="B53" s="21" t="str">
        <f t="shared" ref="B53:B75" si="2">MID(A53,6,23)</f>
        <v>2016/12/11 00:19:43.500</v>
      </c>
      <c r="C53" s="21">
        <f t="shared" ref="C53:C75" si="3">ABS(B53-B52)</f>
        <v>8.564820745959878E-7</v>
      </c>
    </row>
    <row r="54" spans="1:3" x14ac:dyDescent="0.25">
      <c r="A54" t="s">
        <v>863</v>
      </c>
      <c r="B54" s="21" t="str">
        <f t="shared" si="2"/>
        <v>2016/12/11 01:49:20.553</v>
      </c>
      <c r="C54" s="21">
        <f t="shared" si="3"/>
        <v>6.2234409728262108E-2</v>
      </c>
    </row>
    <row r="55" spans="1:3" x14ac:dyDescent="0.25">
      <c r="A55" t="s">
        <v>864</v>
      </c>
      <c r="B55" s="21" t="str">
        <f t="shared" si="2"/>
        <v>2016/12/11 01:49:21.001</v>
      </c>
      <c r="C55" s="21">
        <f t="shared" si="3"/>
        <v>5.1851820899173617E-6</v>
      </c>
    </row>
    <row r="56" spans="1:3" x14ac:dyDescent="0.25">
      <c r="A56" t="s">
        <v>865</v>
      </c>
      <c r="B56" s="21" t="str">
        <f t="shared" si="2"/>
        <v>2016/12/11 01:52:20.556</v>
      </c>
      <c r="C56" s="21">
        <f t="shared" si="3"/>
        <v>2.078182871628087E-3</v>
      </c>
    </row>
    <row r="57" spans="1:3" x14ac:dyDescent="0.25">
      <c r="A57" t="s">
        <v>866</v>
      </c>
      <c r="B57" s="21" t="str">
        <f t="shared" si="2"/>
        <v>2016/12/11 01:52:20.908</v>
      </c>
      <c r="C57" s="21">
        <f t="shared" si="3"/>
        <v>4.0740706026554108E-6</v>
      </c>
    </row>
    <row r="58" spans="1:3" x14ac:dyDescent="0.25">
      <c r="A58" t="s">
        <v>867</v>
      </c>
      <c r="B58" s="21" t="str">
        <f t="shared" si="2"/>
        <v>2016/12/11 01:52:21.009</v>
      </c>
      <c r="C58" s="21">
        <f t="shared" si="3"/>
        <v>1.1689844541251659E-6</v>
      </c>
    </row>
    <row r="59" spans="1:3" x14ac:dyDescent="0.25">
      <c r="A59" t="s">
        <v>868</v>
      </c>
      <c r="B59" s="21" t="str">
        <f t="shared" si="2"/>
        <v>2016/12/11 02:33:36.444</v>
      </c>
      <c r="C59" s="21">
        <f t="shared" si="3"/>
        <v>2.8650868058321066E-2</v>
      </c>
    </row>
    <row r="60" spans="1:3" x14ac:dyDescent="0.25">
      <c r="A60" t="s">
        <v>869</v>
      </c>
      <c r="B60" s="21" t="str">
        <f t="shared" si="2"/>
        <v>2016/12/11 02:33:37.168</v>
      </c>
      <c r="C60" s="21">
        <f t="shared" si="3"/>
        <v>8.3796257968060672E-6</v>
      </c>
    </row>
    <row r="61" spans="1:3" x14ac:dyDescent="0.25">
      <c r="A61" t="s">
        <v>870</v>
      </c>
      <c r="B61" s="21" t="str">
        <f t="shared" si="2"/>
        <v>2016/12/11 02:33:37.436</v>
      </c>
      <c r="C61" s="21">
        <f t="shared" si="3"/>
        <v>3.1018498702906072E-6</v>
      </c>
    </row>
    <row r="62" spans="1:3" x14ac:dyDescent="0.25">
      <c r="A62" t="s">
        <v>871</v>
      </c>
      <c r="B62" s="21" t="str">
        <f t="shared" si="2"/>
        <v>2016/12/11 02:48:03.476</v>
      </c>
      <c r="C62" s="21">
        <f t="shared" si="3"/>
        <v>1.0023611110227648E-2</v>
      </c>
    </row>
    <row r="63" spans="1:3" x14ac:dyDescent="0.25">
      <c r="A63" t="s">
        <v>872</v>
      </c>
      <c r="B63" s="21" t="str">
        <f t="shared" si="2"/>
        <v>2016/12/11 02:48:04.003</v>
      </c>
      <c r="C63" s="21">
        <f t="shared" si="3"/>
        <v>6.0995371313765645E-6</v>
      </c>
    </row>
    <row r="64" spans="1:3" x14ac:dyDescent="0.25">
      <c r="A64" t="s">
        <v>873</v>
      </c>
      <c r="B64" s="21" t="str">
        <f t="shared" si="2"/>
        <v>2016/12/11 05:24:13.831</v>
      </c>
      <c r="C64" s="21">
        <f t="shared" si="3"/>
        <v>0.10844708333752351</v>
      </c>
    </row>
    <row r="65" spans="1:3" x14ac:dyDescent="0.25">
      <c r="A65" t="s">
        <v>874</v>
      </c>
      <c r="B65" s="21" t="str">
        <f t="shared" si="2"/>
        <v>2016/12/11 05:24:13.948</v>
      </c>
      <c r="C65" s="21">
        <f t="shared" si="3"/>
        <v>1.3541648513637483E-6</v>
      </c>
    </row>
    <row r="66" spans="1:3" x14ac:dyDescent="0.25">
      <c r="A66" t="s">
        <v>875</v>
      </c>
      <c r="B66" s="21" t="str">
        <f t="shared" si="2"/>
        <v>2016/12/11 05:24:13.949</v>
      </c>
      <c r="C66" s="21">
        <f t="shared" si="3"/>
        <v>1.1576048564165831E-8</v>
      </c>
    </row>
    <row r="67" spans="1:3" x14ac:dyDescent="0.25">
      <c r="A67" t="s">
        <v>876</v>
      </c>
      <c r="B67" s="21" t="str">
        <f t="shared" si="2"/>
        <v>2016/12/11 05:39:14.363</v>
      </c>
      <c r="C67" s="21">
        <f t="shared" si="3"/>
        <v>1.0421458333439659E-2</v>
      </c>
    </row>
    <row r="68" spans="1:3" x14ac:dyDescent="0.25">
      <c r="A68" t="s">
        <v>877</v>
      </c>
      <c r="B68" s="21" t="str">
        <f t="shared" si="2"/>
        <v>2016/12/11 05:39:15.514</v>
      </c>
      <c r="C68" s="21">
        <f t="shared" si="3"/>
        <v>1.3321754522621632E-5</v>
      </c>
    </row>
    <row r="69" spans="1:3" x14ac:dyDescent="0.25">
      <c r="A69" t="s">
        <v>878</v>
      </c>
      <c r="B69" s="21" t="str">
        <f t="shared" si="2"/>
        <v>2016/12/11 07:30:53.184</v>
      </c>
      <c r="C69" s="21">
        <f t="shared" si="3"/>
        <v>7.7519328704511281E-2</v>
      </c>
    </row>
    <row r="70" spans="1:3" x14ac:dyDescent="0.25">
      <c r="A70" t="s">
        <v>879</v>
      </c>
      <c r="B70" s="21" t="str">
        <f t="shared" si="2"/>
        <v>2016/12/11 07:30:53.347</v>
      </c>
      <c r="C70" s="21">
        <f t="shared" si="3"/>
        <v>1.8865757738240063E-6</v>
      </c>
    </row>
    <row r="71" spans="1:3" x14ac:dyDescent="0.25">
      <c r="A71" t="s">
        <v>880</v>
      </c>
      <c r="B71" s="21" t="str">
        <f t="shared" si="2"/>
        <v>2016/12/11 07:30:53.975</v>
      </c>
      <c r="C71" s="21">
        <f t="shared" si="3"/>
        <v>7.2685215855017304E-6</v>
      </c>
    </row>
    <row r="72" spans="1:3" x14ac:dyDescent="0.25">
      <c r="A72" t="s">
        <v>881</v>
      </c>
      <c r="B72" s="21" t="str">
        <f t="shared" si="2"/>
        <v>2016/12/11 07:30:56.504</v>
      </c>
      <c r="C72" s="21">
        <f t="shared" si="3"/>
        <v>2.9270828235894442E-5</v>
      </c>
    </row>
    <row r="73" spans="1:3" x14ac:dyDescent="0.25">
      <c r="A73" t="s">
        <v>882</v>
      </c>
      <c r="B73" s="21" t="str">
        <f t="shared" si="2"/>
        <v>2016/12/11 07:32:36.382</v>
      </c>
      <c r="C73" s="21">
        <f t="shared" si="3"/>
        <v>1.15599537093658E-3</v>
      </c>
    </row>
    <row r="74" spans="1:3" x14ac:dyDescent="0.25">
      <c r="A74" t="s">
        <v>883</v>
      </c>
      <c r="B74" s="21" t="str">
        <f t="shared" si="2"/>
        <v>2016/12/11 07:32:37.544</v>
      </c>
      <c r="C74" s="21">
        <f t="shared" si="3"/>
        <v>1.3449076504912227E-5</v>
      </c>
    </row>
    <row r="75" spans="1:3" x14ac:dyDescent="0.25">
      <c r="A75" t="s">
        <v>884</v>
      </c>
      <c r="B75" s="21" t="str">
        <f t="shared" si="2"/>
        <v>2016/12/11 07:32:37.549</v>
      </c>
      <c r="C75" s="21">
        <f t="shared" si="3"/>
        <v>5.787296686321497E-8</v>
      </c>
    </row>
    <row r="76" spans="1:3" x14ac:dyDescent="0.25">
      <c r="B76" s="21"/>
      <c r="C76" s="21"/>
    </row>
    <row r="77" spans="1:3" x14ac:dyDescent="0.25">
      <c r="B77" s="21"/>
      <c r="C77" s="21"/>
    </row>
    <row r="78" spans="1:3" x14ac:dyDescent="0.25">
      <c r="B78" s="21"/>
      <c r="C78" s="21"/>
    </row>
    <row r="79" spans="1:3" x14ac:dyDescent="0.25">
      <c r="B79" s="21"/>
      <c r="C79" s="21"/>
    </row>
    <row r="80" spans="1:3" x14ac:dyDescent="0.25">
      <c r="B80" s="21"/>
      <c r="C80" s="21"/>
    </row>
    <row r="81" spans="2:3" x14ac:dyDescent="0.25">
      <c r="B81" s="21"/>
      <c r="C81" s="21"/>
    </row>
    <row r="82" spans="2:3" x14ac:dyDescent="0.25">
      <c r="B82" s="21"/>
      <c r="C82" s="21"/>
    </row>
    <row r="83" spans="2:3" x14ac:dyDescent="0.25">
      <c r="B83" s="21"/>
      <c r="C83" s="21"/>
    </row>
    <row r="84" spans="2:3" x14ac:dyDescent="0.25">
      <c r="B84" s="21"/>
      <c r="C84" s="21"/>
    </row>
    <row r="85" spans="2:3" x14ac:dyDescent="0.25">
      <c r="B85" s="21"/>
      <c r="C85" s="21"/>
    </row>
    <row r="86" spans="2:3" x14ac:dyDescent="0.25">
      <c r="B86" s="21"/>
      <c r="C86" s="21"/>
    </row>
    <row r="87" spans="2:3" x14ac:dyDescent="0.25">
      <c r="B87" s="21"/>
      <c r="C87" s="21"/>
    </row>
    <row r="88" spans="2:3" x14ac:dyDescent="0.25">
      <c r="B88" s="21"/>
      <c r="C88" s="21"/>
    </row>
    <row r="89" spans="2:3" x14ac:dyDescent="0.25">
      <c r="B89" s="21"/>
      <c r="C89" s="21"/>
    </row>
    <row r="90" spans="2:3" x14ac:dyDescent="0.25">
      <c r="B90" s="21"/>
      <c r="C90" s="21"/>
    </row>
    <row r="91" spans="2:3" x14ac:dyDescent="0.25">
      <c r="B91" s="21"/>
      <c r="C91" s="21"/>
    </row>
    <row r="92" spans="2:3" x14ac:dyDescent="0.25">
      <c r="B92" s="21"/>
      <c r="C92" s="21"/>
    </row>
    <row r="93" spans="2:3" x14ac:dyDescent="0.25">
      <c r="B93" s="21"/>
      <c r="C93" s="21"/>
    </row>
    <row r="94" spans="2:3" x14ac:dyDescent="0.25">
      <c r="B94" s="21"/>
      <c r="C94" s="21"/>
    </row>
    <row r="95" spans="2:3" x14ac:dyDescent="0.25">
      <c r="B95" s="21"/>
      <c r="C95" s="21"/>
    </row>
    <row r="96" spans="2:3" x14ac:dyDescent="0.25">
      <c r="B96" s="21"/>
      <c r="C96" s="21"/>
    </row>
    <row r="97" spans="2:3" x14ac:dyDescent="0.25">
      <c r="B97" s="21"/>
      <c r="C97" s="21"/>
    </row>
    <row r="98" spans="2:3" x14ac:dyDescent="0.25">
      <c r="B98" s="21"/>
      <c r="C98" s="21"/>
    </row>
    <row r="99" spans="2:3" x14ac:dyDescent="0.25">
      <c r="B99" s="21"/>
      <c r="C99" s="21"/>
    </row>
    <row r="100" spans="2:3" x14ac:dyDescent="0.25">
      <c r="B100" s="21"/>
      <c r="C100" s="21"/>
    </row>
    <row r="101" spans="2:3" x14ac:dyDescent="0.25">
      <c r="B101" s="21"/>
      <c r="C101" s="21"/>
    </row>
    <row r="102" spans="2:3" x14ac:dyDescent="0.25">
      <c r="B102" s="21"/>
      <c r="C102" s="21"/>
    </row>
    <row r="103" spans="2:3" x14ac:dyDescent="0.25">
      <c r="B103" s="21"/>
      <c r="C103" s="21"/>
    </row>
    <row r="104" spans="2:3" x14ac:dyDescent="0.25">
      <c r="B104" s="21"/>
      <c r="C104" s="21"/>
    </row>
    <row r="105" spans="2:3" x14ac:dyDescent="0.25">
      <c r="B105" s="21"/>
      <c r="C105" s="21"/>
    </row>
    <row r="106" spans="2:3" x14ac:dyDescent="0.25">
      <c r="B106" s="21"/>
      <c r="C106" s="21"/>
    </row>
    <row r="107" spans="2:3" x14ac:dyDescent="0.25">
      <c r="B107" s="21"/>
      <c r="C107" s="21"/>
    </row>
    <row r="108" spans="2:3" x14ac:dyDescent="0.25">
      <c r="B108" s="21"/>
      <c r="C108" s="21"/>
    </row>
    <row r="109" spans="2:3" x14ac:dyDescent="0.25">
      <c r="B109" s="21"/>
      <c r="C109" s="21"/>
    </row>
    <row r="110" spans="2:3" x14ac:dyDescent="0.25">
      <c r="B110" s="21"/>
      <c r="C110" s="21"/>
    </row>
    <row r="111" spans="2:3" x14ac:dyDescent="0.25">
      <c r="B111" s="21"/>
      <c r="C111" s="21"/>
    </row>
    <row r="112" spans="2:3" x14ac:dyDescent="0.25">
      <c r="B112" s="21"/>
      <c r="C112" s="21"/>
    </row>
    <row r="113" spans="2:3" x14ac:dyDescent="0.25">
      <c r="B113" s="21"/>
      <c r="C113" s="21"/>
    </row>
    <row r="114" spans="2:3" x14ac:dyDescent="0.25">
      <c r="B114" s="21"/>
      <c r="C114" s="21"/>
    </row>
    <row r="115" spans="2:3" x14ac:dyDescent="0.25">
      <c r="B115" s="21"/>
      <c r="C115" s="21"/>
    </row>
    <row r="116" spans="2:3" x14ac:dyDescent="0.25">
      <c r="B116" s="21"/>
      <c r="C116" s="21"/>
    </row>
    <row r="117" spans="2:3" x14ac:dyDescent="0.25">
      <c r="B117" s="21"/>
      <c r="C117" s="21"/>
    </row>
    <row r="118" spans="2:3" x14ac:dyDescent="0.25">
      <c r="B118" s="21"/>
      <c r="C118" s="21"/>
    </row>
    <row r="119" spans="2:3" x14ac:dyDescent="0.25">
      <c r="B119" s="21"/>
      <c r="C119" s="21"/>
    </row>
    <row r="120" spans="2:3" x14ac:dyDescent="0.25">
      <c r="B120" s="21"/>
      <c r="C120" s="21"/>
    </row>
    <row r="121" spans="2:3" x14ac:dyDescent="0.25">
      <c r="B121" s="21"/>
      <c r="C121" s="21"/>
    </row>
    <row r="122" spans="2:3" x14ac:dyDescent="0.25">
      <c r="B122" s="21"/>
      <c r="C122" s="21"/>
    </row>
    <row r="123" spans="2:3" x14ac:dyDescent="0.25">
      <c r="B123" s="21"/>
      <c r="C123" s="21"/>
    </row>
    <row r="124" spans="2:3" x14ac:dyDescent="0.25">
      <c r="B124" s="21"/>
      <c r="C124" s="21"/>
    </row>
    <row r="125" spans="2:3" x14ac:dyDescent="0.25">
      <c r="B125" s="21"/>
      <c r="C125" s="21"/>
    </row>
    <row r="126" spans="2:3" x14ac:dyDescent="0.25">
      <c r="B126" s="21"/>
      <c r="C126" s="21"/>
    </row>
    <row r="127" spans="2:3" x14ac:dyDescent="0.25">
      <c r="B127" s="21"/>
      <c r="C127" s="21"/>
    </row>
    <row r="128" spans="2:3" x14ac:dyDescent="0.25">
      <c r="B128" s="21"/>
      <c r="C128" s="21"/>
    </row>
    <row r="129" spans="2:3" x14ac:dyDescent="0.25">
      <c r="B129" s="21"/>
      <c r="C129" s="21"/>
    </row>
    <row r="130" spans="2:3" x14ac:dyDescent="0.25">
      <c r="B130" s="21"/>
      <c r="C130" s="21"/>
    </row>
    <row r="131" spans="2:3" x14ac:dyDescent="0.25">
      <c r="B131" s="21"/>
      <c r="C131" s="21"/>
    </row>
    <row r="132" spans="2:3" x14ac:dyDescent="0.25">
      <c r="B132" s="21"/>
      <c r="C132" s="21"/>
    </row>
    <row r="133" spans="2:3" x14ac:dyDescent="0.25">
      <c r="B133" s="21"/>
      <c r="C133" s="21"/>
    </row>
    <row r="134" spans="2:3" x14ac:dyDescent="0.25">
      <c r="B134" s="21"/>
      <c r="C134" s="21"/>
    </row>
    <row r="135" spans="2:3" x14ac:dyDescent="0.25">
      <c r="B135" s="21"/>
      <c r="C135" s="21"/>
    </row>
    <row r="136" spans="2:3" x14ac:dyDescent="0.25">
      <c r="B136" s="21"/>
      <c r="C136" s="21"/>
    </row>
    <row r="137" spans="2:3" x14ac:dyDescent="0.25">
      <c r="B137" s="21"/>
      <c r="C137" s="21"/>
    </row>
    <row r="138" spans="2:3" x14ac:dyDescent="0.25">
      <c r="B138" s="21"/>
      <c r="C138" s="21"/>
    </row>
    <row r="139" spans="2:3" x14ac:dyDescent="0.25">
      <c r="B139" s="21"/>
      <c r="C139" s="21"/>
    </row>
    <row r="140" spans="2:3" x14ac:dyDescent="0.25">
      <c r="B140" s="21"/>
      <c r="C140" s="21"/>
    </row>
    <row r="141" spans="2:3" x14ac:dyDescent="0.25">
      <c r="B141" s="21"/>
      <c r="C141" s="21"/>
    </row>
    <row r="142" spans="2:3" x14ac:dyDescent="0.25">
      <c r="B142" s="21"/>
      <c r="C142" s="21"/>
    </row>
    <row r="143" spans="2:3" x14ac:dyDescent="0.25">
      <c r="B143" s="21"/>
      <c r="C143" s="21"/>
    </row>
    <row r="144" spans="2:3" x14ac:dyDescent="0.25">
      <c r="B144" s="21"/>
      <c r="C144" s="21"/>
    </row>
    <row r="145" spans="2:3" x14ac:dyDescent="0.25">
      <c r="B145" s="21"/>
      <c r="C145" s="21"/>
    </row>
    <row r="146" spans="2:3" x14ac:dyDescent="0.25">
      <c r="B146" s="21"/>
      <c r="C146" s="21"/>
    </row>
    <row r="147" spans="2:3" x14ac:dyDescent="0.25">
      <c r="B147" s="21"/>
      <c r="C147" s="21"/>
    </row>
    <row r="148" spans="2:3" x14ac:dyDescent="0.25">
      <c r="B148" s="21"/>
      <c r="C148" s="21"/>
    </row>
    <row r="149" spans="2:3" x14ac:dyDescent="0.25">
      <c r="B149" s="21"/>
      <c r="C149" s="21"/>
    </row>
    <row r="150" spans="2:3" x14ac:dyDescent="0.25">
      <c r="B150" s="21"/>
      <c r="C150" s="21"/>
    </row>
    <row r="151" spans="2:3" x14ac:dyDescent="0.25">
      <c r="B151" s="21"/>
      <c r="C151" s="21"/>
    </row>
    <row r="152" spans="2:3" x14ac:dyDescent="0.25">
      <c r="B152" s="21"/>
      <c r="C152" s="21"/>
    </row>
    <row r="153" spans="2:3" x14ac:dyDescent="0.25">
      <c r="B153" s="21"/>
      <c r="C153" s="21"/>
    </row>
    <row r="154" spans="2:3" x14ac:dyDescent="0.25">
      <c r="B154" s="21"/>
      <c r="C154" s="21"/>
    </row>
    <row r="155" spans="2:3" x14ac:dyDescent="0.25">
      <c r="B155" s="21"/>
      <c r="C155" s="21"/>
    </row>
    <row r="156" spans="2:3" x14ac:dyDescent="0.25">
      <c r="B156" s="21"/>
      <c r="C156" s="21"/>
    </row>
    <row r="157" spans="2:3" x14ac:dyDescent="0.25">
      <c r="B157" s="21"/>
      <c r="C157" s="21"/>
    </row>
    <row r="158" spans="2:3" x14ac:dyDescent="0.25">
      <c r="B158" s="21"/>
      <c r="C158" s="21"/>
    </row>
    <row r="159" spans="2:3" x14ac:dyDescent="0.25">
      <c r="B159" s="21"/>
      <c r="C159" s="21"/>
    </row>
    <row r="160" spans="2:3" x14ac:dyDescent="0.25">
      <c r="B160" s="21"/>
      <c r="C160" s="21"/>
    </row>
    <row r="161" spans="2:3" x14ac:dyDescent="0.25">
      <c r="B161" s="21"/>
      <c r="C161" s="21"/>
    </row>
    <row r="162" spans="2:3" x14ac:dyDescent="0.25">
      <c r="B162" s="21"/>
      <c r="C162" s="21"/>
    </row>
    <row r="163" spans="2:3" x14ac:dyDescent="0.25">
      <c r="B163" s="21"/>
      <c r="C163" s="21"/>
    </row>
    <row r="164" spans="2:3" x14ac:dyDescent="0.25">
      <c r="B164" s="21"/>
      <c r="C164" s="21"/>
    </row>
    <row r="165" spans="2:3" x14ac:dyDescent="0.25">
      <c r="B165" s="21"/>
      <c r="C165" s="21"/>
    </row>
    <row r="166" spans="2:3" x14ac:dyDescent="0.25">
      <c r="B166" s="21"/>
      <c r="C166" s="21"/>
    </row>
    <row r="167" spans="2:3" x14ac:dyDescent="0.25">
      <c r="B167" s="21"/>
      <c r="C167" s="21"/>
    </row>
    <row r="168" spans="2:3" x14ac:dyDescent="0.25">
      <c r="B168" s="21"/>
      <c r="C168" s="21"/>
    </row>
    <row r="169" spans="2:3" x14ac:dyDescent="0.25">
      <c r="B169" s="21"/>
      <c r="C169" s="21"/>
    </row>
    <row r="170" spans="2:3" x14ac:dyDescent="0.25">
      <c r="B170" s="21"/>
      <c r="C170" s="21"/>
    </row>
    <row r="171" spans="2:3" x14ac:dyDescent="0.25">
      <c r="B171" s="21"/>
      <c r="C171" s="21"/>
    </row>
    <row r="172" spans="2:3" x14ac:dyDescent="0.25">
      <c r="B172" s="21"/>
      <c r="C172" s="21"/>
    </row>
    <row r="173" spans="2:3" x14ac:dyDescent="0.25">
      <c r="B173" s="21"/>
      <c r="C173" s="21"/>
    </row>
    <row r="174" spans="2:3" x14ac:dyDescent="0.25">
      <c r="B174" s="21"/>
      <c r="C174" s="21"/>
    </row>
    <row r="175" spans="2:3" x14ac:dyDescent="0.25">
      <c r="B175" s="21"/>
      <c r="C175" s="21"/>
    </row>
    <row r="176" spans="2:3" x14ac:dyDescent="0.25">
      <c r="B176" s="21"/>
      <c r="C176" s="21"/>
    </row>
    <row r="177" spans="2:3" x14ac:dyDescent="0.25">
      <c r="B177" s="21"/>
      <c r="C177" s="21"/>
    </row>
    <row r="178" spans="2:3" x14ac:dyDescent="0.25">
      <c r="B178" s="21"/>
      <c r="C178" s="21"/>
    </row>
    <row r="179" spans="2:3" x14ac:dyDescent="0.25">
      <c r="B179" s="21"/>
      <c r="C179" s="21"/>
    </row>
    <row r="180" spans="2:3" x14ac:dyDescent="0.25">
      <c r="B180" s="21"/>
      <c r="C180" s="21"/>
    </row>
    <row r="181" spans="2:3" x14ac:dyDescent="0.25">
      <c r="B181" s="21"/>
      <c r="C181" s="21"/>
    </row>
    <row r="182" spans="2:3" x14ac:dyDescent="0.25">
      <c r="B182" s="21"/>
      <c r="C182" s="21"/>
    </row>
    <row r="183" spans="2:3" x14ac:dyDescent="0.25">
      <c r="B183" s="21"/>
      <c r="C183" s="21"/>
    </row>
    <row r="184" spans="2:3" x14ac:dyDescent="0.25">
      <c r="B184" s="21"/>
      <c r="C184" s="21"/>
    </row>
    <row r="185" spans="2:3" x14ac:dyDescent="0.25">
      <c r="B185" s="21"/>
      <c r="C185" s="21"/>
    </row>
    <row r="186" spans="2:3" x14ac:dyDescent="0.25">
      <c r="B186" s="21"/>
      <c r="C186" s="21"/>
    </row>
    <row r="187" spans="2:3" x14ac:dyDescent="0.25">
      <c r="B187" s="21"/>
      <c r="C187" s="21"/>
    </row>
    <row r="188" spans="2:3" x14ac:dyDescent="0.25">
      <c r="B188" s="21"/>
      <c r="C188" s="21"/>
    </row>
    <row r="189" spans="2:3" x14ac:dyDescent="0.25">
      <c r="B189" s="21"/>
      <c r="C189" s="21"/>
    </row>
    <row r="190" spans="2:3" x14ac:dyDescent="0.25">
      <c r="B190" s="21"/>
      <c r="C190" s="21"/>
    </row>
    <row r="191" spans="2:3" x14ac:dyDescent="0.25">
      <c r="B191" s="21"/>
      <c r="C191" s="21"/>
    </row>
    <row r="192" spans="2:3" x14ac:dyDescent="0.25">
      <c r="B192" s="21"/>
      <c r="C192" s="21"/>
    </row>
    <row r="193" spans="2:3" x14ac:dyDescent="0.25">
      <c r="B193" s="21"/>
      <c r="C193" s="21"/>
    </row>
    <row r="194" spans="2:3" x14ac:dyDescent="0.25">
      <c r="B194" s="21"/>
      <c r="C194" s="21"/>
    </row>
    <row r="195" spans="2:3" x14ac:dyDescent="0.25">
      <c r="B195" s="21"/>
      <c r="C195" s="21"/>
    </row>
    <row r="196" spans="2:3" x14ac:dyDescent="0.25">
      <c r="B196" s="21"/>
      <c r="C196" s="21"/>
    </row>
    <row r="197" spans="2:3" x14ac:dyDescent="0.25">
      <c r="B197" s="21"/>
      <c r="C197" s="21"/>
    </row>
    <row r="198" spans="2:3" x14ac:dyDescent="0.25">
      <c r="B198" s="21"/>
      <c r="C198" s="21"/>
    </row>
    <row r="199" spans="2:3" x14ac:dyDescent="0.25">
      <c r="B199" s="21"/>
      <c r="C199" s="21"/>
    </row>
    <row r="200" spans="2:3" x14ac:dyDescent="0.25">
      <c r="B200" s="21"/>
      <c r="C200" s="21"/>
    </row>
    <row r="201" spans="2:3" x14ac:dyDescent="0.25">
      <c r="B201" s="21"/>
      <c r="C201" s="21"/>
    </row>
    <row r="202" spans="2:3" x14ac:dyDescent="0.25">
      <c r="B202" s="21"/>
      <c r="C202" s="21"/>
    </row>
    <row r="203" spans="2:3" x14ac:dyDescent="0.25">
      <c r="B203" s="21"/>
      <c r="C203" s="21"/>
    </row>
    <row r="204" spans="2:3" x14ac:dyDescent="0.25">
      <c r="B204" s="21"/>
      <c r="C204" s="21"/>
    </row>
    <row r="205" spans="2:3" x14ac:dyDescent="0.25">
      <c r="B205" s="21"/>
      <c r="C205" s="21"/>
    </row>
    <row r="206" spans="2:3" x14ac:dyDescent="0.25">
      <c r="B206" s="21"/>
      <c r="C206" s="21"/>
    </row>
    <row r="207" spans="2:3" x14ac:dyDescent="0.25">
      <c r="B207" s="21"/>
      <c r="C207" s="21"/>
    </row>
    <row r="208" spans="2:3" x14ac:dyDescent="0.25">
      <c r="B208" s="21"/>
      <c r="C208" s="21"/>
    </row>
    <row r="209" spans="2:3" x14ac:dyDescent="0.25">
      <c r="B209" s="21"/>
      <c r="C209" s="21"/>
    </row>
    <row r="210" spans="2:3" x14ac:dyDescent="0.25">
      <c r="B210" s="21"/>
      <c r="C210" s="21"/>
    </row>
    <row r="211" spans="2:3" x14ac:dyDescent="0.25">
      <c r="B211" s="21"/>
      <c r="C211" s="21"/>
    </row>
    <row r="212" spans="2:3" x14ac:dyDescent="0.25">
      <c r="B212" s="21"/>
      <c r="C212" s="21"/>
    </row>
    <row r="213" spans="2:3" x14ac:dyDescent="0.25">
      <c r="B213" s="21"/>
      <c r="C213" s="21"/>
    </row>
    <row r="214" spans="2:3" x14ac:dyDescent="0.25">
      <c r="B214" s="21"/>
      <c r="C214" s="21"/>
    </row>
    <row r="215" spans="2:3" x14ac:dyDescent="0.25">
      <c r="B215" s="21"/>
      <c r="C215" s="21"/>
    </row>
    <row r="216" spans="2:3" x14ac:dyDescent="0.25">
      <c r="B216" s="21"/>
      <c r="C216" s="21"/>
    </row>
    <row r="217" spans="2:3" x14ac:dyDescent="0.25">
      <c r="B217" s="21"/>
      <c r="C217" s="21"/>
    </row>
    <row r="218" spans="2:3" x14ac:dyDescent="0.25">
      <c r="B218" s="21"/>
      <c r="C218" s="21"/>
    </row>
    <row r="219" spans="2:3" x14ac:dyDescent="0.25">
      <c r="B219" s="21"/>
      <c r="C219" s="21"/>
    </row>
    <row r="220" spans="2:3" x14ac:dyDescent="0.25">
      <c r="B220" s="21"/>
      <c r="C220" s="21"/>
    </row>
    <row r="221" spans="2:3" x14ac:dyDescent="0.25">
      <c r="B221" s="21"/>
      <c r="C221" s="21"/>
    </row>
    <row r="222" spans="2:3" x14ac:dyDescent="0.25">
      <c r="B222" s="21"/>
      <c r="C222" s="21"/>
    </row>
    <row r="223" spans="2:3" x14ac:dyDescent="0.25">
      <c r="B223" s="21"/>
      <c r="C223" s="21"/>
    </row>
    <row r="224" spans="2:3" x14ac:dyDescent="0.25">
      <c r="B224" s="21"/>
      <c r="C224" s="21"/>
    </row>
    <row r="225" spans="2:3" x14ac:dyDescent="0.25">
      <c r="B225" s="21"/>
      <c r="C225" s="21"/>
    </row>
    <row r="226" spans="2:3" x14ac:dyDescent="0.25">
      <c r="B226" s="21"/>
      <c r="C226" s="21"/>
    </row>
    <row r="227" spans="2:3" x14ac:dyDescent="0.25">
      <c r="B227" s="21"/>
      <c r="C227" s="21"/>
    </row>
    <row r="228" spans="2:3" x14ac:dyDescent="0.25">
      <c r="B228" s="21"/>
      <c r="C228" s="21"/>
    </row>
    <row r="229" spans="2:3" x14ac:dyDescent="0.25">
      <c r="B229" s="21"/>
      <c r="C229" s="21"/>
    </row>
    <row r="230" spans="2:3" x14ac:dyDescent="0.25">
      <c r="B230" s="21"/>
      <c r="C230" s="21"/>
    </row>
    <row r="231" spans="2:3" x14ac:dyDescent="0.25">
      <c r="B231" s="21"/>
      <c r="C231" s="21"/>
    </row>
    <row r="232" spans="2:3" x14ac:dyDescent="0.25">
      <c r="B232" s="21"/>
      <c r="C232" s="21"/>
    </row>
    <row r="233" spans="2:3" x14ac:dyDescent="0.25">
      <c r="B233" s="21"/>
      <c r="C233" s="21"/>
    </row>
    <row r="234" spans="2:3" x14ac:dyDescent="0.25">
      <c r="B234" s="21"/>
      <c r="C234" s="21"/>
    </row>
    <row r="235" spans="2:3" x14ac:dyDescent="0.25">
      <c r="B235" s="21"/>
      <c r="C235" s="21"/>
    </row>
    <row r="236" spans="2:3" x14ac:dyDescent="0.25">
      <c r="B236" s="21"/>
      <c r="C236" s="21"/>
    </row>
    <row r="237" spans="2:3" x14ac:dyDescent="0.25">
      <c r="B237" s="21"/>
      <c r="C237" s="21"/>
    </row>
    <row r="238" spans="2:3" x14ac:dyDescent="0.25">
      <c r="B238" s="21"/>
      <c r="C238" s="21"/>
    </row>
    <row r="239" spans="2:3" x14ac:dyDescent="0.25">
      <c r="B239" s="21"/>
      <c r="C239" s="21"/>
    </row>
    <row r="240" spans="2:3" x14ac:dyDescent="0.25">
      <c r="B240" s="21"/>
      <c r="C240" s="21"/>
    </row>
    <row r="241" spans="2:3" x14ac:dyDescent="0.25">
      <c r="B241" s="21"/>
      <c r="C241" s="21"/>
    </row>
    <row r="242" spans="2:3" x14ac:dyDescent="0.25">
      <c r="B242" s="21"/>
      <c r="C242" s="21"/>
    </row>
    <row r="243" spans="2:3" x14ac:dyDescent="0.25">
      <c r="B243" s="21"/>
      <c r="C243" s="21"/>
    </row>
    <row r="244" spans="2:3" x14ac:dyDescent="0.25">
      <c r="B244" s="21"/>
      <c r="C244" s="21"/>
    </row>
    <row r="245" spans="2:3" x14ac:dyDescent="0.25">
      <c r="B245" s="21"/>
      <c r="C245" s="21"/>
    </row>
    <row r="246" spans="2:3" x14ac:dyDescent="0.25">
      <c r="B246" s="21"/>
      <c r="C246" s="21"/>
    </row>
    <row r="247" spans="2:3" x14ac:dyDescent="0.25">
      <c r="B247" s="21"/>
      <c r="C247" s="21"/>
    </row>
    <row r="248" spans="2:3" x14ac:dyDescent="0.25">
      <c r="B248" s="21"/>
      <c r="C248" s="21"/>
    </row>
    <row r="249" spans="2:3" x14ac:dyDescent="0.25">
      <c r="B249" s="21"/>
      <c r="C249" s="21"/>
    </row>
    <row r="250" spans="2:3" x14ac:dyDescent="0.25">
      <c r="B250" s="21"/>
      <c r="C250" s="21"/>
    </row>
    <row r="251" spans="2:3" x14ac:dyDescent="0.25">
      <c r="B251" s="21"/>
      <c r="C251" s="21"/>
    </row>
    <row r="252" spans="2:3" x14ac:dyDescent="0.25">
      <c r="B252" s="21"/>
      <c r="C252" s="21"/>
    </row>
    <row r="253" spans="2:3" x14ac:dyDescent="0.25">
      <c r="B253" s="21"/>
      <c r="C253" s="21"/>
    </row>
    <row r="254" spans="2:3" x14ac:dyDescent="0.25">
      <c r="B254" s="21"/>
      <c r="C254" s="21"/>
    </row>
    <row r="255" spans="2:3" x14ac:dyDescent="0.25">
      <c r="B255" s="21"/>
      <c r="C255" s="21"/>
    </row>
    <row r="256" spans="2:3" x14ac:dyDescent="0.25">
      <c r="B256" s="21"/>
      <c r="C256" s="21"/>
    </row>
    <row r="257" spans="2:3" x14ac:dyDescent="0.25">
      <c r="B257" s="21"/>
      <c r="C257" s="21"/>
    </row>
    <row r="258" spans="2:3" x14ac:dyDescent="0.25">
      <c r="B258" s="21"/>
      <c r="C258" s="21"/>
    </row>
    <row r="259" spans="2:3" x14ac:dyDescent="0.25">
      <c r="B259" s="21"/>
      <c r="C259" s="21"/>
    </row>
    <row r="260" spans="2:3" x14ac:dyDescent="0.25">
      <c r="B260" s="21"/>
      <c r="C260" s="21"/>
    </row>
    <row r="261" spans="2:3" x14ac:dyDescent="0.25">
      <c r="B261" s="21"/>
      <c r="C261" s="21"/>
    </row>
    <row r="262" spans="2:3" x14ac:dyDescent="0.25">
      <c r="B262" s="21"/>
      <c r="C262" s="21"/>
    </row>
    <row r="263" spans="2:3" x14ac:dyDescent="0.25">
      <c r="B263" s="21"/>
      <c r="C263" s="21"/>
    </row>
    <row r="264" spans="2:3" x14ac:dyDescent="0.25">
      <c r="B264" s="21"/>
      <c r="C264" s="21"/>
    </row>
    <row r="265" spans="2:3" x14ac:dyDescent="0.25">
      <c r="B265" s="21"/>
      <c r="C265" s="21"/>
    </row>
    <row r="266" spans="2:3" x14ac:dyDescent="0.25">
      <c r="B266" s="21"/>
      <c r="C266" s="21"/>
    </row>
    <row r="267" spans="2:3" x14ac:dyDescent="0.25">
      <c r="B267" s="21"/>
      <c r="C267" s="21"/>
    </row>
    <row r="268" spans="2:3" x14ac:dyDescent="0.25">
      <c r="B268" s="21"/>
      <c r="C268" s="21"/>
    </row>
    <row r="269" spans="2:3" x14ac:dyDescent="0.25">
      <c r="B269" s="21"/>
      <c r="C269" s="21"/>
    </row>
    <row r="270" spans="2:3" x14ac:dyDescent="0.25">
      <c r="B270" s="21"/>
      <c r="C270" s="21"/>
    </row>
    <row r="271" spans="2:3" x14ac:dyDescent="0.25">
      <c r="B271" s="21"/>
      <c r="C271" s="21"/>
    </row>
    <row r="272" spans="2:3" x14ac:dyDescent="0.25">
      <c r="B272" s="21"/>
      <c r="C272" s="21"/>
    </row>
    <row r="273" spans="2:3" x14ac:dyDescent="0.25">
      <c r="B273" s="21"/>
      <c r="C273" s="21"/>
    </row>
    <row r="274" spans="2:3" x14ac:dyDescent="0.25">
      <c r="B274" s="21"/>
      <c r="C274" s="21"/>
    </row>
    <row r="275" spans="2:3" x14ac:dyDescent="0.25">
      <c r="B275" s="21"/>
      <c r="C275" s="21"/>
    </row>
    <row r="276" spans="2:3" x14ac:dyDescent="0.25">
      <c r="B276" s="21"/>
      <c r="C276" s="21"/>
    </row>
    <row r="277" spans="2:3" x14ac:dyDescent="0.25">
      <c r="B277" s="21"/>
      <c r="C277" s="21"/>
    </row>
    <row r="278" spans="2:3" x14ac:dyDescent="0.25">
      <c r="B278" s="21"/>
      <c r="C278" s="21"/>
    </row>
    <row r="279" spans="2:3" x14ac:dyDescent="0.25">
      <c r="B279" s="21"/>
      <c r="C279" s="21"/>
    </row>
    <row r="280" spans="2:3" x14ac:dyDescent="0.25">
      <c r="B280" s="21"/>
      <c r="C280" s="21"/>
    </row>
    <row r="281" spans="2:3" x14ac:dyDescent="0.25">
      <c r="B281" s="21"/>
      <c r="C281" s="21"/>
    </row>
  </sheetData>
  <sortState ref="A1:A281">
    <sortCondition ref="A1:A281"/>
  </sortState>
  <conditionalFormatting sqref="C1:C1048576">
    <cfRule type="cellIs" dxfId="0" priority="1" operator="greaterThan">
      <formula>0.000115740740740741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20</vt:i4>
      </vt:variant>
    </vt:vector>
  </HeadingPairs>
  <TitlesOfParts>
    <vt:vector size="28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Slice Disagreement Check</vt:lpstr>
      <vt:lpstr>astrogrep_path</vt:lpstr>
      <vt:lpstr>'Train Runs'!Denver_Train_Runs_04122016</vt:lpstr>
      <vt:lpstr>enforcements_txt</vt:lpstr>
      <vt:lpstr>outputrefinedruntimes</vt:lpstr>
      <vt:lpstr>redmine_api</vt:lpstr>
      <vt:lpstr>redmine_assignee</vt:lpstr>
      <vt:lpstr>redmine_op_impact</vt:lpstr>
      <vt:lpstr>redmine_priority</vt:lpstr>
      <vt:lpstr>redmine_status</vt:lpstr>
      <vt:lpstr>redmine_url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2016-12-12T16:57:47Z</dcterms:modified>
</cp:coreProperties>
</file>