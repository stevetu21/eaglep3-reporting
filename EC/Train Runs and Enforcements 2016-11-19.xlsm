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Enforcements!$A$6:$AC$47</definedName>
    <definedName name="_xlnm._FilterDatabase" localSheetId="2" hidden="1">'Missing Trips'!$B$2:$I$2</definedName>
    <definedName name="_xlnm._FilterDatabase" localSheetId="0" hidden="1">'Train Runs'!$A$12:$AG$251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97" i="1" l="1"/>
  <c r="S162" i="1"/>
  <c r="P162" i="1"/>
  <c r="X154" i="1"/>
  <c r="X155" i="1"/>
  <c r="X156" i="1"/>
  <c r="X157" i="1"/>
  <c r="X158" i="1"/>
  <c r="X159" i="1"/>
  <c r="X160" i="1"/>
  <c r="X161" i="1"/>
  <c r="X165" i="1"/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G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K20" i="1"/>
  <c r="L20" i="1"/>
  <c r="M20" i="1"/>
  <c r="N20" i="1" s="1"/>
  <c r="V20" i="1"/>
  <c r="Y20" i="1"/>
  <c r="Z20" i="1"/>
  <c r="AI20" i="1" s="1"/>
  <c r="AB20" i="1"/>
  <c r="AC20" i="1"/>
  <c r="AD20" i="1"/>
  <c r="AG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AH22" i="1"/>
  <c r="K23" i="1"/>
  <c r="L23" i="1"/>
  <c r="M23" i="1"/>
  <c r="N23" i="1" s="1"/>
  <c r="T23" i="1"/>
  <c r="V23" i="1"/>
  <c r="Y23" i="1"/>
  <c r="Z23" i="1"/>
  <c r="AB23" i="1"/>
  <c r="AC23" i="1"/>
  <c r="AD23" i="1"/>
  <c r="AG23" i="1" s="1"/>
  <c r="AE23" i="1"/>
  <c r="AF23" i="1"/>
  <c r="AH23" i="1"/>
  <c r="K24" i="1"/>
  <c r="L24" i="1"/>
  <c r="M24" i="1"/>
  <c r="N24" i="1" s="1"/>
  <c r="V24" i="1"/>
  <c r="Y24" i="1"/>
  <c r="Z24" i="1"/>
  <c r="AA24" i="1" s="1"/>
  <c r="W24" i="1" s="1"/>
  <c r="AB24" i="1"/>
  <c r="AC24" i="1"/>
  <c r="AD24" i="1"/>
  <c r="AG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X26" i="1" s="1"/>
  <c r="AE26" i="1"/>
  <c r="AF26" i="1"/>
  <c r="AH26" i="1"/>
  <c r="K27" i="1"/>
  <c r="L27" i="1"/>
  <c r="M27" i="1"/>
  <c r="V27" i="1"/>
  <c r="Y27" i="1"/>
  <c r="Z27" i="1"/>
  <c r="AB27" i="1"/>
  <c r="AC27" i="1"/>
  <c r="AD27" i="1"/>
  <c r="AG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X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X29" i="1" s="1"/>
  <c r="AE29" i="1"/>
  <c r="AF29" i="1"/>
  <c r="AH29" i="1"/>
  <c r="K30" i="1"/>
  <c r="L30" i="1"/>
  <c r="M30" i="1"/>
  <c r="N30" i="1" s="1"/>
  <c r="V30" i="1"/>
  <c r="Y30" i="1"/>
  <c r="Z30" i="1"/>
  <c r="AA30" i="1" s="1"/>
  <c r="AB30" i="1"/>
  <c r="AC30" i="1"/>
  <c r="AD30" i="1"/>
  <c r="AE30" i="1"/>
  <c r="AF30" i="1"/>
  <c r="AH30" i="1"/>
  <c r="K31" i="1"/>
  <c r="L31" i="1"/>
  <c r="M31" i="1"/>
  <c r="N31" i="1"/>
  <c r="V31" i="1"/>
  <c r="Y31" i="1"/>
  <c r="Z31" i="1"/>
  <c r="AI31" i="1" s="1"/>
  <c r="AB31" i="1"/>
  <c r="AC31" i="1"/>
  <c r="AD31" i="1"/>
  <c r="AG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R8" i="3" s="1"/>
  <c r="AF37" i="1"/>
  <c r="AH37" i="1"/>
  <c r="K38" i="1"/>
  <c r="L38" i="1"/>
  <c r="M38" i="1"/>
  <c r="N38" i="1" s="1"/>
  <c r="V38" i="1"/>
  <c r="S16" i="3" s="1"/>
  <c r="Y38" i="1"/>
  <c r="Z38" i="1"/>
  <c r="AB38" i="1"/>
  <c r="AC38" i="1"/>
  <c r="AD38" i="1"/>
  <c r="AG38" i="1" s="1"/>
  <c r="AI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K43" i="1"/>
  <c r="L43" i="1"/>
  <c r="M43" i="1"/>
  <c r="P43" i="1" s="1"/>
  <c r="V43" i="1"/>
  <c r="Y43" i="1"/>
  <c r="Z43" i="1"/>
  <c r="AB43" i="1"/>
  <c r="AC43" i="1"/>
  <c r="AD43" i="1"/>
  <c r="X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X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K50" i="1"/>
  <c r="L50" i="1"/>
  <c r="M50" i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V51" i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K61" i="1"/>
  <c r="L61" i="1"/>
  <c r="M61" i="1"/>
  <c r="N61" i="1"/>
  <c r="V61" i="1"/>
  <c r="S19" i="3" s="1"/>
  <c r="Y61" i="1"/>
  <c r="Z61" i="1"/>
  <c r="AB61" i="1"/>
  <c r="AC61" i="1"/>
  <c r="AD61" i="1"/>
  <c r="T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G62" i="1"/>
  <c r="AH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K67" i="1"/>
  <c r="L67" i="1"/>
  <c r="M67" i="1"/>
  <c r="N67" i="1" s="1"/>
  <c r="V67" i="1"/>
  <c r="S17" i="3" s="1"/>
  <c r="Y67" i="1"/>
  <c r="Z67" i="1"/>
  <c r="AB67" i="1"/>
  <c r="AC67" i="1"/>
  <c r="AD67" i="1"/>
  <c r="AE67" i="1"/>
  <c r="R17" i="3" s="1"/>
  <c r="AF67" i="1"/>
  <c r="AH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R21" i="3" s="1"/>
  <c r="AF70" i="1"/>
  <c r="AH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R13" i="3" s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S11" i="3" s="1"/>
  <c r="Y87" i="1"/>
  <c r="Z87" i="1"/>
  <c r="AB87" i="1"/>
  <c r="AC87" i="1"/>
  <c r="AD87" i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K91" i="1"/>
  <c r="L91" i="1"/>
  <c r="M91" i="1"/>
  <c r="N91" i="1"/>
  <c r="V91" i="1"/>
  <c r="Y91" i="1"/>
  <c r="Z91" i="1"/>
  <c r="AB91" i="1"/>
  <c r="AC91" i="1"/>
  <c r="AD91" i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4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95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96" i="1"/>
  <c r="K167" i="1"/>
  <c r="L167" i="1"/>
  <c r="M167" i="1"/>
  <c r="N167" i="1" s="1"/>
  <c r="V167" i="1"/>
  <c r="Y167" i="1"/>
  <c r="Z167" i="1"/>
  <c r="AA167" i="1" s="1"/>
  <c r="W167" i="1" s="1"/>
  <c r="AB167" i="1"/>
  <c r="AC167" i="1"/>
  <c r="AD167" i="1"/>
  <c r="AG167" i="1" s="1"/>
  <c r="AE167" i="1"/>
  <c r="AF167" i="1"/>
  <c r="AH97" i="1"/>
  <c r="K168" i="1"/>
  <c r="L168" i="1"/>
  <c r="M168" i="1"/>
  <c r="N168" i="1" s="1"/>
  <c r="V168" i="1"/>
  <c r="Y168" i="1"/>
  <c r="Z168" i="1"/>
  <c r="AA168" i="1" s="1"/>
  <c r="AB168" i="1"/>
  <c r="AC168" i="1"/>
  <c r="AD168" i="1"/>
  <c r="T168" i="1" s="1"/>
  <c r="AE168" i="1"/>
  <c r="AF168" i="1"/>
  <c r="AH98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9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0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0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104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05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06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07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08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09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0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11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2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13" i="1"/>
  <c r="K183" i="1"/>
  <c r="L183" i="1"/>
  <c r="M183" i="1"/>
  <c r="N183" i="1" s="1"/>
  <c r="V183" i="1"/>
  <c r="Y183" i="1"/>
  <c r="Z183" i="1"/>
  <c r="AB183" i="1"/>
  <c r="AC183" i="1"/>
  <c r="AD183" i="1"/>
  <c r="AE183" i="1"/>
  <c r="R25" i="3" s="1"/>
  <c r="AF183" i="1"/>
  <c r="AH11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115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16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17" i="1"/>
  <c r="K186" i="1"/>
  <c r="L186" i="1"/>
  <c r="M186" i="1"/>
  <c r="N186" i="1"/>
  <c r="V186" i="1"/>
  <c r="Y186" i="1"/>
  <c r="Z186" i="1"/>
  <c r="AB186" i="1"/>
  <c r="AC186" i="1"/>
  <c r="AD186" i="1"/>
  <c r="AE186" i="1"/>
  <c r="AF186" i="1"/>
  <c r="AH118" i="1"/>
  <c r="K187" i="1"/>
  <c r="L187" i="1"/>
  <c r="M187" i="1"/>
  <c r="N187" i="1" s="1"/>
  <c r="V187" i="1"/>
  <c r="Y187" i="1"/>
  <c r="Z187" i="1"/>
  <c r="AB187" i="1"/>
  <c r="AC187" i="1"/>
  <c r="AD187" i="1"/>
  <c r="AG187" i="1" s="1"/>
  <c r="AI187" i="1" s="1"/>
  <c r="AE187" i="1"/>
  <c r="AF187" i="1"/>
  <c r="AH119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120" i="1"/>
  <c r="K189" i="1"/>
  <c r="L189" i="1"/>
  <c r="M189" i="1"/>
  <c r="N189" i="1" s="1"/>
  <c r="V189" i="1"/>
  <c r="S23" i="3" s="1"/>
  <c r="Y189" i="1"/>
  <c r="Z189" i="1"/>
  <c r="AB189" i="1"/>
  <c r="AC189" i="1"/>
  <c r="AD189" i="1"/>
  <c r="AG189" i="1" s="1"/>
  <c r="AE189" i="1"/>
  <c r="AF189" i="1"/>
  <c r="AH121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122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23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4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12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26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27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28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29" i="1"/>
  <c r="K197" i="1"/>
  <c r="L197" i="1"/>
  <c r="M197" i="1"/>
  <c r="V197" i="1"/>
  <c r="S26" i="3" s="1"/>
  <c r="Y197" i="1"/>
  <c r="Z197" i="1"/>
  <c r="AB197" i="1"/>
  <c r="AC197" i="1"/>
  <c r="AD197" i="1"/>
  <c r="T197" i="1" s="1"/>
  <c r="AE197" i="1"/>
  <c r="AF197" i="1"/>
  <c r="AH130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1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2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3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34" i="1"/>
  <c r="K101" i="1"/>
  <c r="L101" i="1"/>
  <c r="M101" i="1"/>
  <c r="N101" i="1" s="1"/>
  <c r="V101" i="1"/>
  <c r="Y101" i="1"/>
  <c r="Z101" i="1"/>
  <c r="AA101" i="1" s="1"/>
  <c r="AB101" i="1"/>
  <c r="AC101" i="1"/>
  <c r="AD101" i="1"/>
  <c r="AE101" i="1"/>
  <c r="AF101" i="1"/>
  <c r="AH135" i="1"/>
  <c r="K102" i="1"/>
  <c r="L102" i="1"/>
  <c r="M102" i="1"/>
  <c r="N102" i="1" s="1"/>
  <c r="V102" i="1"/>
  <c r="Y102" i="1"/>
  <c r="Z102" i="1"/>
  <c r="AA102" i="1" s="1"/>
  <c r="AB102" i="1"/>
  <c r="AC102" i="1"/>
  <c r="AD102" i="1"/>
  <c r="T102" i="1" s="1"/>
  <c r="AE102" i="1"/>
  <c r="AF102" i="1"/>
  <c r="AH136" i="1"/>
  <c r="K103" i="1"/>
  <c r="L103" i="1"/>
  <c r="M103" i="1"/>
  <c r="N103" i="1" s="1"/>
  <c r="V103" i="1"/>
  <c r="Y103" i="1"/>
  <c r="Z103" i="1"/>
  <c r="AA103" i="1" s="1"/>
  <c r="AB103" i="1"/>
  <c r="AC103" i="1"/>
  <c r="AD103" i="1"/>
  <c r="X103" i="1" s="1"/>
  <c r="AE103" i="1"/>
  <c r="AF103" i="1"/>
  <c r="AH137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38" i="1"/>
  <c r="K211" i="1"/>
  <c r="L211" i="1"/>
  <c r="M211" i="1"/>
  <c r="N211" i="1" s="1"/>
  <c r="V211" i="1"/>
  <c r="S27" i="3" s="1"/>
  <c r="Y211" i="1"/>
  <c r="Z211" i="1"/>
  <c r="AB211" i="1"/>
  <c r="AC211" i="1"/>
  <c r="AD211" i="1"/>
  <c r="AE211" i="1"/>
  <c r="AF211" i="1"/>
  <c r="AH139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G104" i="1"/>
  <c r="AH140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1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2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3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44" i="1"/>
  <c r="K109" i="1"/>
  <c r="L109" i="1"/>
  <c r="M109" i="1"/>
  <c r="N109" i="1" s="1"/>
  <c r="V109" i="1"/>
  <c r="Y109" i="1"/>
  <c r="Z109" i="1"/>
  <c r="AB109" i="1"/>
  <c r="AC109" i="1"/>
  <c r="AD109" i="1"/>
  <c r="X109" i="1" s="1"/>
  <c r="AE109" i="1"/>
  <c r="AF109" i="1"/>
  <c r="AH145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6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47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48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49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50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1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52" i="1"/>
  <c r="K117" i="1"/>
  <c r="L117" i="1"/>
  <c r="M117" i="1"/>
  <c r="N117" i="1" s="1"/>
  <c r="V117" i="1"/>
  <c r="Y117" i="1"/>
  <c r="Z117" i="1"/>
  <c r="AB117" i="1"/>
  <c r="AC117" i="1"/>
  <c r="AD117" i="1"/>
  <c r="X117" i="1" s="1"/>
  <c r="AE117" i="1"/>
  <c r="AF117" i="1"/>
  <c r="AH153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4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5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6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7" i="1"/>
  <c r="K122" i="1"/>
  <c r="L122" i="1"/>
  <c r="M122" i="1"/>
  <c r="N122" i="1" s="1"/>
  <c r="V122" i="1"/>
  <c r="Y122" i="1"/>
  <c r="AA122" i="1" s="1"/>
  <c r="Z122" i="1"/>
  <c r="AB122" i="1"/>
  <c r="AC122" i="1"/>
  <c r="AD122" i="1"/>
  <c r="X122" i="1" s="1"/>
  <c r="AE122" i="1"/>
  <c r="AF122" i="1"/>
  <c r="AH158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59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60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1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2" i="1"/>
  <c r="K128" i="1"/>
  <c r="L128" i="1"/>
  <c r="M128" i="1"/>
  <c r="N128" i="1" s="1"/>
  <c r="V128" i="1"/>
  <c r="Y128" i="1"/>
  <c r="Z128" i="1"/>
  <c r="AB128" i="1"/>
  <c r="AC128" i="1"/>
  <c r="AD128" i="1"/>
  <c r="X128" i="1" s="1"/>
  <c r="AE128" i="1"/>
  <c r="AF128" i="1"/>
  <c r="AH163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4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65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6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67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8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69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0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71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2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73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74" i="1"/>
  <c r="K140" i="1"/>
  <c r="L140" i="1"/>
  <c r="M140" i="1"/>
  <c r="N140" i="1"/>
  <c r="V140" i="1"/>
  <c r="Y140" i="1"/>
  <c r="Z140" i="1"/>
  <c r="AB140" i="1"/>
  <c r="AC140" i="1"/>
  <c r="AD140" i="1"/>
  <c r="AE140" i="1"/>
  <c r="AF140" i="1"/>
  <c r="AH175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6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77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R7" i="3" s="1"/>
  <c r="AF143" i="1"/>
  <c r="AH178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79" i="1"/>
  <c r="K145" i="1"/>
  <c r="L145" i="1"/>
  <c r="M145" i="1"/>
  <c r="N145" i="1"/>
  <c r="V145" i="1"/>
  <c r="Y145" i="1"/>
  <c r="Z145" i="1"/>
  <c r="AB145" i="1"/>
  <c r="AC145" i="1"/>
  <c r="AD145" i="1"/>
  <c r="AE145" i="1"/>
  <c r="AF145" i="1"/>
  <c r="AH180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1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2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83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4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5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6" i="1"/>
  <c r="K152" i="1"/>
  <c r="L152" i="1"/>
  <c r="M152" i="1"/>
  <c r="N152" i="1" s="1"/>
  <c r="V152" i="1"/>
  <c r="Y152" i="1"/>
  <c r="Z152" i="1"/>
  <c r="AA152" i="1" s="1"/>
  <c r="W152" i="1" s="1"/>
  <c r="AB152" i="1"/>
  <c r="AC152" i="1"/>
  <c r="AD152" i="1"/>
  <c r="AG152" i="1" s="1"/>
  <c r="AE152" i="1"/>
  <c r="AF152" i="1"/>
  <c r="AH187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88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89" i="1"/>
  <c r="K155" i="1"/>
  <c r="L155" i="1"/>
  <c r="M155" i="1"/>
  <c r="V155" i="1"/>
  <c r="Y155" i="1"/>
  <c r="Z155" i="1"/>
  <c r="AB155" i="1"/>
  <c r="AC155" i="1"/>
  <c r="AD155" i="1"/>
  <c r="T155" i="1" s="1"/>
  <c r="AE155" i="1"/>
  <c r="AF155" i="1"/>
  <c r="AH190" i="1"/>
  <c r="K156" i="1"/>
  <c r="L156" i="1"/>
  <c r="M156" i="1"/>
  <c r="V156" i="1"/>
  <c r="Y156" i="1"/>
  <c r="Z156" i="1"/>
  <c r="AB156" i="1"/>
  <c r="AC156" i="1"/>
  <c r="AD156" i="1"/>
  <c r="T156" i="1" s="1"/>
  <c r="AE156" i="1"/>
  <c r="AF156" i="1"/>
  <c r="AH191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92" i="1"/>
  <c r="K158" i="1"/>
  <c r="L158" i="1"/>
  <c r="M158" i="1"/>
  <c r="V158" i="1"/>
  <c r="Y158" i="1"/>
  <c r="Z158" i="1"/>
  <c r="AB158" i="1"/>
  <c r="AC158" i="1"/>
  <c r="AD158" i="1"/>
  <c r="T158" i="1" s="1"/>
  <c r="AE158" i="1"/>
  <c r="AF158" i="1"/>
  <c r="AH193" i="1"/>
  <c r="K159" i="1"/>
  <c r="L159" i="1"/>
  <c r="M159" i="1"/>
  <c r="V159" i="1"/>
  <c r="Y159" i="1"/>
  <c r="Z159" i="1"/>
  <c r="AB159" i="1"/>
  <c r="AC159" i="1"/>
  <c r="AD159" i="1"/>
  <c r="T159" i="1" s="1"/>
  <c r="AE159" i="1"/>
  <c r="AF159" i="1"/>
  <c r="AH194" i="1"/>
  <c r="K160" i="1"/>
  <c r="L160" i="1"/>
  <c r="M160" i="1"/>
  <c r="V160" i="1"/>
  <c r="Y160" i="1"/>
  <c r="Z160" i="1"/>
  <c r="AB160" i="1"/>
  <c r="AC160" i="1"/>
  <c r="AD160" i="1"/>
  <c r="AG160" i="1" s="1"/>
  <c r="AE160" i="1"/>
  <c r="AF160" i="1"/>
  <c r="AH195" i="1"/>
  <c r="K161" i="1"/>
  <c r="L161" i="1"/>
  <c r="M161" i="1"/>
  <c r="V161" i="1"/>
  <c r="Y161" i="1"/>
  <c r="Z161" i="1"/>
  <c r="AB161" i="1"/>
  <c r="AC161" i="1"/>
  <c r="AD161" i="1"/>
  <c r="AE161" i="1"/>
  <c r="AF161" i="1"/>
  <c r="AH196" i="1"/>
  <c r="AH197" i="1"/>
  <c r="K162" i="1"/>
  <c r="L162" i="1"/>
  <c r="M162" i="1"/>
  <c r="V162" i="1"/>
  <c r="Y162" i="1"/>
  <c r="Z162" i="1"/>
  <c r="AB162" i="1"/>
  <c r="AC162" i="1"/>
  <c r="AD162" i="1"/>
  <c r="AE162" i="1"/>
  <c r="AF162" i="1"/>
  <c r="AH198" i="1"/>
  <c r="K163" i="1"/>
  <c r="L163" i="1"/>
  <c r="M163" i="1"/>
  <c r="V163" i="1"/>
  <c r="Y163" i="1"/>
  <c r="Z163" i="1"/>
  <c r="AB163" i="1"/>
  <c r="AC163" i="1"/>
  <c r="AD163" i="1"/>
  <c r="AE163" i="1"/>
  <c r="AF163" i="1"/>
  <c r="AH199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K201" i="1"/>
  <c r="L201" i="1"/>
  <c r="M201" i="1"/>
  <c r="N201" i="1" s="1"/>
  <c r="V201" i="1"/>
  <c r="S28" i="3" s="1"/>
  <c r="X201" i="1"/>
  <c r="Y201" i="1"/>
  <c r="Z201" i="1"/>
  <c r="AB201" i="1"/>
  <c r="AC201" i="1"/>
  <c r="AD201" i="1"/>
  <c r="AG201" i="1" s="1"/>
  <c r="AE201" i="1"/>
  <c r="R28" i="3" s="1"/>
  <c r="AF201" i="1"/>
  <c r="AH20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4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05" i="1"/>
  <c r="K204" i="1"/>
  <c r="L204" i="1"/>
  <c r="M204" i="1"/>
  <c r="N204" i="1" s="1"/>
  <c r="V204" i="1"/>
  <c r="Y204" i="1"/>
  <c r="Z204" i="1"/>
  <c r="AB204" i="1"/>
  <c r="AC204" i="1"/>
  <c r="AD204" i="1"/>
  <c r="X204" i="1" s="1"/>
  <c r="AE204" i="1"/>
  <c r="AF204" i="1"/>
  <c r="AH206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07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08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209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10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211" i="1"/>
  <c r="K212" i="1"/>
  <c r="L212" i="1"/>
  <c r="M212" i="1"/>
  <c r="N212" i="1" s="1"/>
  <c r="V212" i="1"/>
  <c r="S29" i="3" s="1"/>
  <c r="Y212" i="1"/>
  <c r="Z212" i="1"/>
  <c r="AB212" i="1"/>
  <c r="AC212" i="1"/>
  <c r="AD212" i="1"/>
  <c r="AE212" i="1"/>
  <c r="R29" i="3" s="1"/>
  <c r="AF212" i="1"/>
  <c r="AH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13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214" i="1"/>
  <c r="K215" i="1"/>
  <c r="L215" i="1"/>
  <c r="M215" i="1"/>
  <c r="N215" i="1" s="1"/>
  <c r="V215" i="1"/>
  <c r="Y215" i="1"/>
  <c r="Z215" i="1"/>
  <c r="AI215" i="1" s="1"/>
  <c r="AB215" i="1"/>
  <c r="AC215" i="1"/>
  <c r="AD215" i="1"/>
  <c r="AG215" i="1" s="1"/>
  <c r="AE215" i="1"/>
  <c r="AF215" i="1"/>
  <c r="AH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16" i="1"/>
  <c r="M12" i="3"/>
  <c r="N12" i="3"/>
  <c r="R12" i="3"/>
  <c r="S12" i="3"/>
  <c r="U12" i="3"/>
  <c r="T12" i="3" s="1"/>
  <c r="V12" i="3"/>
  <c r="W12" i="3"/>
  <c r="X12" i="3"/>
  <c r="AC12" i="3"/>
  <c r="M8" i="3"/>
  <c r="N8" i="3"/>
  <c r="S8" i="3"/>
  <c r="T8" i="3"/>
  <c r="U8" i="3"/>
  <c r="V8" i="3"/>
  <c r="W8" i="3"/>
  <c r="X8" i="3"/>
  <c r="AC8" i="3"/>
  <c r="M18" i="3"/>
  <c r="N18" i="3"/>
  <c r="R18" i="3"/>
  <c r="S18" i="3"/>
  <c r="U18" i="3"/>
  <c r="V18" i="3"/>
  <c r="W18" i="3"/>
  <c r="Y18" i="3" s="1"/>
  <c r="X18" i="3"/>
  <c r="AC18" i="3"/>
  <c r="M10" i="3"/>
  <c r="N10" i="3"/>
  <c r="R10" i="3"/>
  <c r="S10" i="3"/>
  <c r="U10" i="3"/>
  <c r="T10" i="3" s="1"/>
  <c r="V10" i="3"/>
  <c r="W10" i="3"/>
  <c r="X10" i="3"/>
  <c r="AC10" i="3"/>
  <c r="M14" i="3"/>
  <c r="N14" i="3"/>
  <c r="R14" i="3"/>
  <c r="S14" i="3"/>
  <c r="U14" i="3"/>
  <c r="T14" i="3" s="1"/>
  <c r="V14" i="3"/>
  <c r="W14" i="3"/>
  <c r="X14" i="3"/>
  <c r="AC14" i="3"/>
  <c r="M16" i="3"/>
  <c r="N16" i="3"/>
  <c r="R16" i="3"/>
  <c r="U16" i="3"/>
  <c r="T16" i="3" s="1"/>
  <c r="V16" i="3"/>
  <c r="W16" i="3"/>
  <c r="X16" i="3"/>
  <c r="AC16" i="3"/>
  <c r="M19" i="3"/>
  <c r="N19" i="3"/>
  <c r="R19" i="3"/>
  <c r="U19" i="3"/>
  <c r="AD19" i="3" s="1"/>
  <c r="V19" i="3"/>
  <c r="W19" i="3"/>
  <c r="X19" i="3"/>
  <c r="AC19" i="3"/>
  <c r="M17" i="3"/>
  <c r="N17" i="3"/>
  <c r="U17" i="3"/>
  <c r="V17" i="3"/>
  <c r="W17" i="3"/>
  <c r="X17" i="3"/>
  <c r="AC17" i="3"/>
  <c r="M21" i="3"/>
  <c r="N21" i="3"/>
  <c r="S21" i="3"/>
  <c r="U21" i="3"/>
  <c r="T21" i="3" s="1"/>
  <c r="V21" i="3"/>
  <c r="W21" i="3"/>
  <c r="X21" i="3"/>
  <c r="AC21" i="3"/>
  <c r="M13" i="3"/>
  <c r="N13" i="3"/>
  <c r="S13" i="3"/>
  <c r="U13" i="3"/>
  <c r="V13" i="3"/>
  <c r="W13" i="3"/>
  <c r="X13" i="3"/>
  <c r="M9" i="3"/>
  <c r="N9" i="3"/>
  <c r="S9" i="3"/>
  <c r="U9" i="3"/>
  <c r="AD9" i="3" s="1"/>
  <c r="V9" i="3"/>
  <c r="W9" i="3"/>
  <c r="X9" i="3"/>
  <c r="AC9" i="3"/>
  <c r="M22" i="3"/>
  <c r="N22" i="3"/>
  <c r="R22" i="3"/>
  <c r="S22" i="3"/>
  <c r="U22" i="3"/>
  <c r="T22" i="3" s="1"/>
  <c r="V22" i="3"/>
  <c r="W22" i="3"/>
  <c r="X22" i="3"/>
  <c r="AC22" i="3"/>
  <c r="AD22" i="3"/>
  <c r="M11" i="3"/>
  <c r="N11" i="3"/>
  <c r="R11" i="3"/>
  <c r="U11" i="3"/>
  <c r="T11" i="3" s="1"/>
  <c r="V11" i="3"/>
  <c r="W11" i="3"/>
  <c r="X11" i="3"/>
  <c r="AC11" i="3"/>
  <c r="M25" i="3"/>
  <c r="N25" i="3"/>
  <c r="S25" i="3"/>
  <c r="U25" i="3"/>
  <c r="V25" i="3"/>
  <c r="W25" i="3"/>
  <c r="X25" i="3"/>
  <c r="AC25" i="3"/>
  <c r="M15" i="3"/>
  <c r="N15" i="3"/>
  <c r="R15" i="3"/>
  <c r="S15" i="3"/>
  <c r="U15" i="3"/>
  <c r="AD15" i="3" s="1"/>
  <c r="V15" i="3"/>
  <c r="W15" i="3"/>
  <c r="X15" i="3"/>
  <c r="AC15" i="3"/>
  <c r="M29" i="3"/>
  <c r="N29" i="3"/>
  <c r="U29" i="3"/>
  <c r="V29" i="3"/>
  <c r="W29" i="3"/>
  <c r="X29" i="3"/>
  <c r="AC29" i="3"/>
  <c r="M23" i="3"/>
  <c r="N23" i="3"/>
  <c r="R23" i="3"/>
  <c r="U23" i="3"/>
  <c r="T23" i="3" s="1"/>
  <c r="V23" i="3"/>
  <c r="W23" i="3"/>
  <c r="X23" i="3"/>
  <c r="AC23" i="3"/>
  <c r="M28" i="3"/>
  <c r="N28" i="3"/>
  <c r="U28" i="3"/>
  <c r="T28" i="3" s="1"/>
  <c r="V28" i="3"/>
  <c r="W28" i="3"/>
  <c r="X28" i="3"/>
  <c r="M24" i="3"/>
  <c r="N24" i="3"/>
  <c r="R24" i="3"/>
  <c r="S24" i="3"/>
  <c r="U24" i="3"/>
  <c r="V24" i="3"/>
  <c r="W24" i="3"/>
  <c r="X24" i="3"/>
  <c r="AC24" i="3"/>
  <c r="M7" i="3"/>
  <c r="N7" i="3"/>
  <c r="S7" i="3"/>
  <c r="U7" i="3"/>
  <c r="T7" i="3" s="1"/>
  <c r="V7" i="3"/>
  <c r="W7" i="3"/>
  <c r="X7" i="3"/>
  <c r="AC7" i="3"/>
  <c r="M26" i="3"/>
  <c r="N26" i="3"/>
  <c r="R26" i="3"/>
  <c r="U26" i="3"/>
  <c r="T26" i="3" s="1"/>
  <c r="V26" i="3"/>
  <c r="W26" i="3"/>
  <c r="X26" i="3"/>
  <c r="AC26" i="3"/>
  <c r="M27" i="3"/>
  <c r="N27" i="3"/>
  <c r="R27" i="3"/>
  <c r="U27" i="3"/>
  <c r="AD7" i="3" s="1"/>
  <c r="V27" i="3"/>
  <c r="W27" i="3"/>
  <c r="X27" i="3"/>
  <c r="AC27" i="3"/>
  <c r="AD28" i="3" l="1"/>
  <c r="AD16" i="3"/>
  <c r="Y27" i="3"/>
  <c r="Y25" i="3"/>
  <c r="Y19" i="3"/>
  <c r="Y14" i="3"/>
  <c r="Y12" i="3"/>
  <c r="AD13" i="3"/>
  <c r="Y28" i="3"/>
  <c r="AD27" i="3"/>
  <c r="AD25" i="3"/>
  <c r="Y13" i="3"/>
  <c r="Y21" i="3"/>
  <c r="AD12" i="3"/>
  <c r="AG163" i="1"/>
  <c r="X163" i="1"/>
  <c r="X164" i="1"/>
  <c r="T162" i="1"/>
  <c r="X162" i="1"/>
  <c r="P160" i="1"/>
  <c r="P158" i="1"/>
  <c r="P155" i="1"/>
  <c r="AA133" i="1"/>
  <c r="AA132" i="1"/>
  <c r="AA124" i="1"/>
  <c r="W124" i="1" s="1"/>
  <c r="AA182" i="1"/>
  <c r="T167" i="1"/>
  <c r="AA60" i="1"/>
  <c r="AA53" i="1"/>
  <c r="AA46" i="1"/>
  <c r="AA43" i="1"/>
  <c r="AA39" i="1"/>
  <c r="W39" i="1" s="1"/>
  <c r="AI35" i="1"/>
  <c r="AA15" i="1"/>
  <c r="T45" i="1"/>
  <c r="X45" i="1"/>
  <c r="AG199" i="1"/>
  <c r="AI199" i="1" s="1"/>
  <c r="AG46" i="1"/>
  <c r="X46" i="1"/>
  <c r="AA172" i="1"/>
  <c r="AG76" i="1"/>
  <c r="U76" i="1" s="1"/>
  <c r="S76" i="1" s="1"/>
  <c r="X34" i="1"/>
  <c r="AG16" i="1"/>
  <c r="AI207" i="1"/>
  <c r="AA148" i="1"/>
  <c r="W148" i="1" s="1"/>
  <c r="T112" i="1"/>
  <c r="AA197" i="1"/>
  <c r="AA196" i="1"/>
  <c r="AA194" i="1"/>
  <c r="W194" i="1" s="1"/>
  <c r="AA96" i="1"/>
  <c r="AA189" i="1"/>
  <c r="W189" i="1" s="1"/>
  <c r="AG94" i="1"/>
  <c r="AI94" i="1" s="1"/>
  <c r="AG70" i="1"/>
  <c r="AI70" i="1" s="1"/>
  <c r="N50" i="1"/>
  <c r="AA31" i="1"/>
  <c r="W31" i="1" s="1"/>
  <c r="AI24" i="1"/>
  <c r="AI23" i="1"/>
  <c r="AA162" i="1"/>
  <c r="AG150" i="1"/>
  <c r="U150" i="1" s="1"/>
  <c r="AA110" i="1"/>
  <c r="AA107" i="1"/>
  <c r="AG98" i="1"/>
  <c r="AI98" i="1" s="1"/>
  <c r="AI39" i="1"/>
  <c r="AA38" i="1"/>
  <c r="W38" i="1" s="1"/>
  <c r="T27" i="1"/>
  <c r="U27" i="1" s="1"/>
  <c r="S27" i="1" s="1"/>
  <c r="X27" i="1"/>
  <c r="AA19" i="1"/>
  <c r="X205" i="1"/>
  <c r="AG159" i="1"/>
  <c r="AG141" i="1"/>
  <c r="AI141" i="1" s="1"/>
  <c r="AA139" i="1"/>
  <c r="T132" i="1"/>
  <c r="AA118" i="1"/>
  <c r="AA117" i="1"/>
  <c r="AA116" i="1"/>
  <c r="AA115" i="1"/>
  <c r="AA114" i="1"/>
  <c r="T188" i="1"/>
  <c r="AA183" i="1"/>
  <c r="AA175" i="1"/>
  <c r="AA165" i="1"/>
  <c r="AA164" i="1"/>
  <c r="AG78" i="1"/>
  <c r="AA74" i="1"/>
  <c r="AA71" i="1"/>
  <c r="W71" i="1" s="1"/>
  <c r="AG68" i="1"/>
  <c r="AI68" i="1" s="1"/>
  <c r="AA66" i="1"/>
  <c r="T54" i="1"/>
  <c r="AA50" i="1"/>
  <c r="W50" i="1" s="1"/>
  <c r="AI47" i="1"/>
  <c r="AA47" i="1"/>
  <c r="AA35" i="1"/>
  <c r="W35" i="1" s="1"/>
  <c r="AI34" i="1"/>
  <c r="T30" i="1"/>
  <c r="X30" i="1"/>
  <c r="AI46" i="1"/>
  <c r="AA216" i="1"/>
  <c r="AA209" i="1"/>
  <c r="W209" i="1" s="1"/>
  <c r="AI203" i="1"/>
  <c r="AG162" i="1"/>
  <c r="U162" i="1" s="1"/>
  <c r="AA160" i="1"/>
  <c r="W160" i="1" s="1"/>
  <c r="AG155" i="1"/>
  <c r="U155" i="1" s="1"/>
  <c r="X144" i="1"/>
  <c r="T178" i="1"/>
  <c r="AG170" i="1"/>
  <c r="T89" i="1"/>
  <c r="X63" i="1"/>
  <c r="AA58" i="1"/>
  <c r="W58" i="1" s="1"/>
  <c r="AA56" i="1"/>
  <c r="P27" i="1"/>
  <c r="AG26" i="1"/>
  <c r="AG18" i="1"/>
  <c r="U18" i="1" s="1"/>
  <c r="S18" i="1" s="1"/>
  <c r="R9" i="3"/>
  <c r="T214" i="1"/>
  <c r="T204" i="1"/>
  <c r="U204" i="1" s="1"/>
  <c r="S204" i="1" s="1"/>
  <c r="AA163" i="1"/>
  <c r="W163" i="1" s="1"/>
  <c r="AA156" i="1"/>
  <c r="AA145" i="1"/>
  <c r="AA137" i="1"/>
  <c r="AA136" i="1"/>
  <c r="AG125" i="1"/>
  <c r="AI125" i="1" s="1"/>
  <c r="X125" i="1"/>
  <c r="AA121" i="1"/>
  <c r="T108" i="1"/>
  <c r="AA97" i="1"/>
  <c r="X193" i="1"/>
  <c r="AA186" i="1"/>
  <c r="AA181" i="1"/>
  <c r="AA178" i="1"/>
  <c r="W178" i="1" s="1"/>
  <c r="AG175" i="1"/>
  <c r="U175" i="1" s="1"/>
  <c r="S175" i="1" s="1"/>
  <c r="T166" i="1"/>
  <c r="U166" i="1" s="1"/>
  <c r="S166" i="1" s="1"/>
  <c r="AA92" i="1"/>
  <c r="AA89" i="1"/>
  <c r="W89" i="1" s="1"/>
  <c r="T82" i="1"/>
  <c r="AG72" i="1"/>
  <c r="AI72" i="1" s="1"/>
  <c r="AA45" i="1"/>
  <c r="AG37" i="1"/>
  <c r="AG30" i="1"/>
  <c r="AI30" i="1" s="1"/>
  <c r="AA27" i="1"/>
  <c r="W27" i="1" s="1"/>
  <c r="AA215" i="1"/>
  <c r="W215" i="1" s="1"/>
  <c r="AA134" i="1"/>
  <c r="AA126" i="1"/>
  <c r="W126" i="1" s="1"/>
  <c r="AA109" i="1"/>
  <c r="AA108" i="1"/>
  <c r="AA210" i="1"/>
  <c r="X167" i="1"/>
  <c r="AA87" i="1"/>
  <c r="AA86" i="1"/>
  <c r="AA83" i="1"/>
  <c r="AA82" i="1"/>
  <c r="AG129" i="1"/>
  <c r="AI129" i="1" s="1"/>
  <c r="U37" i="1"/>
  <c r="AA200" i="1"/>
  <c r="U199" i="1"/>
  <c r="S199" i="1" s="1"/>
  <c r="AG158" i="1"/>
  <c r="AA143" i="1"/>
  <c r="AG113" i="1"/>
  <c r="AI113" i="1" s="1"/>
  <c r="X113" i="1"/>
  <c r="AA214" i="1"/>
  <c r="AA212" i="1"/>
  <c r="X208" i="1"/>
  <c r="AA208" i="1"/>
  <c r="AA206" i="1"/>
  <c r="AA205" i="1"/>
  <c r="W205" i="1" s="1"/>
  <c r="AG204" i="1"/>
  <c r="AA202" i="1"/>
  <c r="AG200" i="1"/>
  <c r="U200" i="1" s="1"/>
  <c r="X200" i="1"/>
  <c r="AA159" i="1"/>
  <c r="AA151" i="1"/>
  <c r="AG147" i="1"/>
  <c r="AG143" i="1"/>
  <c r="U143" i="1" s="1"/>
  <c r="AG131" i="1"/>
  <c r="U131" i="1" s="1"/>
  <c r="S131" i="1" s="1"/>
  <c r="AG124" i="1"/>
  <c r="X124" i="1"/>
  <c r="AG105" i="1"/>
  <c r="X105" i="1"/>
  <c r="AG99" i="1"/>
  <c r="X99" i="1"/>
  <c r="AG195" i="1"/>
  <c r="AI195" i="1" s="1"/>
  <c r="X195" i="1"/>
  <c r="AG184" i="1"/>
  <c r="U184" i="1" s="1"/>
  <c r="X184" i="1"/>
  <c r="AA179" i="1"/>
  <c r="AG177" i="1"/>
  <c r="AI177" i="1" s="1"/>
  <c r="AG172" i="1"/>
  <c r="AI172" i="1" s="1"/>
  <c r="X171" i="1"/>
  <c r="AA90" i="1"/>
  <c r="AG88" i="1"/>
  <c r="U88" i="1" s="1"/>
  <c r="S88" i="1" s="1"/>
  <c r="T79" i="1"/>
  <c r="T58" i="1"/>
  <c r="AA54" i="1"/>
  <c r="T50" i="1"/>
  <c r="U50" i="1" s="1"/>
  <c r="S50" i="1" s="1"/>
  <c r="AG45" i="1"/>
  <c r="U45" i="1" s="1"/>
  <c r="S45" i="1" s="1"/>
  <c r="AA42" i="1"/>
  <c r="AG41" i="1"/>
  <c r="U41" i="1" s="1"/>
  <c r="S41" i="1" s="1"/>
  <c r="X38" i="1"/>
  <c r="AA34" i="1"/>
  <c r="T33" i="1"/>
  <c r="AG29" i="1"/>
  <c r="T26" i="1"/>
  <c r="U26" i="1" s="1"/>
  <c r="S26" i="1" s="1"/>
  <c r="T22" i="1"/>
  <c r="AA20" i="1"/>
  <c r="W20" i="1" s="1"/>
  <c r="AA16" i="1"/>
  <c r="W16" i="1" s="1"/>
  <c r="X15" i="1"/>
  <c r="AA157" i="1"/>
  <c r="AA153" i="1"/>
  <c r="AA138" i="1"/>
  <c r="T136" i="1"/>
  <c r="X132" i="1"/>
  <c r="AA125" i="1"/>
  <c r="W125" i="1" s="1"/>
  <c r="AG121" i="1"/>
  <c r="AI121" i="1" s="1"/>
  <c r="T116" i="1"/>
  <c r="AA113" i="1"/>
  <c r="W113" i="1" s="1"/>
  <c r="AA106" i="1"/>
  <c r="AA100" i="1"/>
  <c r="AG196" i="1"/>
  <c r="W196" i="1" s="1"/>
  <c r="AA193" i="1"/>
  <c r="W193" i="1" s="1"/>
  <c r="AA192" i="1"/>
  <c r="AA185" i="1"/>
  <c r="W185" i="1" s="1"/>
  <c r="AG179" i="1"/>
  <c r="U179" i="1" s="1"/>
  <c r="S179" i="1" s="1"/>
  <c r="X178" i="1"/>
  <c r="T174" i="1"/>
  <c r="U174" i="1" s="1"/>
  <c r="S174" i="1" s="1"/>
  <c r="X174" i="1"/>
  <c r="AG168" i="1"/>
  <c r="AG90" i="1"/>
  <c r="X89" i="1"/>
  <c r="AA80" i="1"/>
  <c r="AA79" i="1"/>
  <c r="W79" i="1" s="1"/>
  <c r="AA78" i="1"/>
  <c r="AA75" i="1"/>
  <c r="AA68" i="1"/>
  <c r="AA65" i="1"/>
  <c r="AA64" i="1"/>
  <c r="AA63" i="1"/>
  <c r="W63" i="1" s="1"/>
  <c r="T63" i="1"/>
  <c r="AG60" i="1"/>
  <c r="W60" i="1" s="1"/>
  <c r="AA52" i="1"/>
  <c r="AA37" i="1"/>
  <c r="W37" i="1" s="1"/>
  <c r="T29" i="1"/>
  <c r="AI27" i="1"/>
  <c r="X23" i="1"/>
  <c r="AA22" i="1"/>
  <c r="W22" i="1" s="1"/>
  <c r="X19" i="1"/>
  <c r="AA18" i="1"/>
  <c r="U16" i="1"/>
  <c r="S16" i="1" s="1"/>
  <c r="AA105" i="1"/>
  <c r="W105" i="1" s="1"/>
  <c r="AA99" i="1"/>
  <c r="W99" i="1" s="1"/>
  <c r="X196" i="1"/>
  <c r="AA174" i="1"/>
  <c r="W174" i="1" s="1"/>
  <c r="AA171" i="1"/>
  <c r="W171" i="1" s="1"/>
  <c r="T171" i="1"/>
  <c r="AA57" i="1"/>
  <c r="AA49" i="1"/>
  <c r="X42" i="1"/>
  <c r="AA36" i="1"/>
  <c r="AA32" i="1"/>
  <c r="AA29" i="1"/>
  <c r="W29" i="1" s="1"/>
  <c r="AA21" i="1"/>
  <c r="T215" i="1"/>
  <c r="U215" i="1" s="1"/>
  <c r="S215" i="1" s="1"/>
  <c r="T209" i="1"/>
  <c r="U209" i="1" s="1"/>
  <c r="S209" i="1" s="1"/>
  <c r="T208" i="1"/>
  <c r="U214" i="1"/>
  <c r="S214" i="1" s="1"/>
  <c r="W214" i="1"/>
  <c r="AA201" i="1"/>
  <c r="W201" i="1" s="1"/>
  <c r="T201" i="1"/>
  <c r="U201" i="1" s="1"/>
  <c r="S201" i="1" s="1"/>
  <c r="T151" i="1"/>
  <c r="X151" i="1"/>
  <c r="AG151" i="1"/>
  <c r="X152" i="1"/>
  <c r="AA141" i="1"/>
  <c r="W141" i="1" s="1"/>
  <c r="AG156" i="1"/>
  <c r="AI156" i="1" s="1"/>
  <c r="T139" i="1"/>
  <c r="AG139" i="1"/>
  <c r="W139" i="1"/>
  <c r="X215" i="1"/>
  <c r="X209" i="1"/>
  <c r="AG208" i="1"/>
  <c r="T205" i="1"/>
  <c r="W200" i="1"/>
  <c r="AG140" i="1"/>
  <c r="AI140" i="1" s="1"/>
  <c r="T140" i="1"/>
  <c r="X140" i="1"/>
  <c r="T160" i="1"/>
  <c r="U160" i="1" s="1"/>
  <c r="T148" i="1"/>
  <c r="U148" i="1" s="1"/>
  <c r="S148" i="1" s="1"/>
  <c r="AG137" i="1"/>
  <c r="AA135" i="1"/>
  <c r="X121" i="1"/>
  <c r="AG120" i="1"/>
  <c r="U120" i="1" s="1"/>
  <c r="S120" i="1" s="1"/>
  <c r="T117" i="1"/>
  <c r="T109" i="1"/>
  <c r="T103" i="1"/>
  <c r="U98" i="1"/>
  <c r="AG192" i="1"/>
  <c r="AA188" i="1"/>
  <c r="W188" i="1" s="1"/>
  <c r="AG182" i="1"/>
  <c r="W182" i="1" s="1"/>
  <c r="X182" i="1"/>
  <c r="T164" i="1"/>
  <c r="AG164" i="1"/>
  <c r="W164" i="1" s="1"/>
  <c r="AA204" i="1"/>
  <c r="AA199" i="1"/>
  <c r="W199" i="1" s="1"/>
  <c r="T163" i="1"/>
  <c r="U163" i="1" s="1"/>
  <c r="AA161" i="1"/>
  <c r="AA155" i="1"/>
  <c r="W155" i="1" s="1"/>
  <c r="AG154" i="1"/>
  <c r="AA150" i="1"/>
  <c r="W150" i="1" s="1"/>
  <c r="AA147" i="1"/>
  <c r="W147" i="1" s="1"/>
  <c r="AG146" i="1"/>
  <c r="U146" i="1" s="1"/>
  <c r="AA144" i="1"/>
  <c r="T144" i="1"/>
  <c r="X136" i="1"/>
  <c r="AG135" i="1"/>
  <c r="U135" i="1" s="1"/>
  <c r="AG133" i="1"/>
  <c r="AI133" i="1" s="1"/>
  <c r="AA131" i="1"/>
  <c r="AA130" i="1"/>
  <c r="AA129" i="1"/>
  <c r="W129" i="1" s="1"/>
  <c r="AA127" i="1"/>
  <c r="AA123" i="1"/>
  <c r="W123" i="1" s="1"/>
  <c r="AG117" i="1"/>
  <c r="W117" i="1" s="1"/>
  <c r="AA112" i="1"/>
  <c r="W112" i="1" s="1"/>
  <c r="AG109" i="1"/>
  <c r="AA104" i="1"/>
  <c r="W104" i="1" s="1"/>
  <c r="AG103" i="1"/>
  <c r="AG102" i="1"/>
  <c r="AI102" i="1" s="1"/>
  <c r="AA98" i="1"/>
  <c r="W98" i="1" s="1"/>
  <c r="AA195" i="1"/>
  <c r="AG194" i="1"/>
  <c r="U194" i="1" s="1"/>
  <c r="S194" i="1" s="1"/>
  <c r="T193" i="1"/>
  <c r="X192" i="1"/>
  <c r="AA191" i="1"/>
  <c r="X185" i="1"/>
  <c r="U90" i="1"/>
  <c r="S90" i="1" s="1"/>
  <c r="AI90" i="1"/>
  <c r="AG85" i="1"/>
  <c r="T85" i="1"/>
  <c r="X85" i="1"/>
  <c r="W82" i="1"/>
  <c r="W42" i="1"/>
  <c r="W34" i="1"/>
  <c r="AA198" i="1"/>
  <c r="T152" i="1"/>
  <c r="U152" i="1" s="1"/>
  <c r="S152" i="1" s="1"/>
  <c r="AA149" i="1"/>
  <c r="X148" i="1"/>
  <c r="U147" i="1"/>
  <c r="X147" i="1"/>
  <c r="W143" i="1"/>
  <c r="AA142" i="1"/>
  <c r="W142" i="1" s="1"/>
  <c r="AA140" i="1"/>
  <c r="U124" i="1"/>
  <c r="S124" i="1" s="1"/>
  <c r="AA111" i="1"/>
  <c r="AA211" i="1"/>
  <c r="U196" i="1"/>
  <c r="S196" i="1" s="1"/>
  <c r="AI124" i="1"/>
  <c r="X191" i="1"/>
  <c r="AA190" i="1"/>
  <c r="W190" i="1" s="1"/>
  <c r="U172" i="1"/>
  <c r="S172" i="1" s="1"/>
  <c r="T84" i="1"/>
  <c r="AG84" i="1"/>
  <c r="U82" i="1"/>
  <c r="S82" i="1" s="1"/>
  <c r="AI82" i="1"/>
  <c r="W78" i="1"/>
  <c r="W68" i="1"/>
  <c r="AG67" i="1"/>
  <c r="T67" i="1"/>
  <c r="X67" i="1"/>
  <c r="AI42" i="1"/>
  <c r="U125" i="1"/>
  <c r="U121" i="1"/>
  <c r="S121" i="1" s="1"/>
  <c r="U113" i="1"/>
  <c r="S113" i="1" s="1"/>
  <c r="U105" i="1"/>
  <c r="S105" i="1" s="1"/>
  <c r="W103" i="1"/>
  <c r="T185" i="1"/>
  <c r="X181" i="1"/>
  <c r="AG181" i="1"/>
  <c r="U181" i="1" s="1"/>
  <c r="U78" i="1"/>
  <c r="S78" i="1" s="1"/>
  <c r="AI78" i="1"/>
  <c r="T74" i="1"/>
  <c r="AG74" i="1"/>
  <c r="W74" i="1" s="1"/>
  <c r="T66" i="1"/>
  <c r="AG66" i="1"/>
  <c r="W66" i="1" s="1"/>
  <c r="T64" i="1"/>
  <c r="AG64" i="1"/>
  <c r="W64" i="1" s="1"/>
  <c r="AA184" i="1"/>
  <c r="W184" i="1" s="1"/>
  <c r="AA177" i="1"/>
  <c r="AA176" i="1"/>
  <c r="AA170" i="1"/>
  <c r="W170" i="1" s="1"/>
  <c r="AA169" i="1"/>
  <c r="AA93" i="1"/>
  <c r="W93" i="1" s="1"/>
  <c r="T93" i="1"/>
  <c r="T92" i="1"/>
  <c r="U92" i="1" s="1"/>
  <c r="S92" i="1" s="1"/>
  <c r="AA88" i="1"/>
  <c r="AA77" i="1"/>
  <c r="AA76" i="1"/>
  <c r="W76" i="1" s="1"/>
  <c r="AA73" i="1"/>
  <c r="AA72" i="1"/>
  <c r="AA62" i="1"/>
  <c r="W62" i="1" s="1"/>
  <c r="AA61" i="1"/>
  <c r="AA59" i="1"/>
  <c r="W59" i="1" s="1"/>
  <c r="T59" i="1"/>
  <c r="AA55" i="1"/>
  <c r="W55" i="1" s="1"/>
  <c r="T55" i="1"/>
  <c r="U55" i="1" s="1"/>
  <c r="S55" i="1" s="1"/>
  <c r="AA51" i="1"/>
  <c r="W51" i="1" s="1"/>
  <c r="T51" i="1"/>
  <c r="AG48" i="1"/>
  <c r="X48" i="1"/>
  <c r="T46" i="1"/>
  <c r="T38" i="1"/>
  <c r="U38" i="1" s="1"/>
  <c r="S38" i="1" s="1"/>
  <c r="AA23" i="1"/>
  <c r="W23" i="1" s="1"/>
  <c r="W18" i="1"/>
  <c r="AI16" i="1"/>
  <c r="U14" i="1"/>
  <c r="W92" i="1"/>
  <c r="U72" i="1"/>
  <c r="S72" i="1" s="1"/>
  <c r="W54" i="1"/>
  <c r="AI45" i="1"/>
  <c r="T42" i="1"/>
  <c r="U42" i="1" s="1"/>
  <c r="S42" i="1" s="1"/>
  <c r="T34" i="1"/>
  <c r="U30" i="1"/>
  <c r="S30" i="1" s="1"/>
  <c r="AA28" i="1"/>
  <c r="AA25" i="1"/>
  <c r="T19" i="1"/>
  <c r="AA17" i="1"/>
  <c r="AG15" i="1"/>
  <c r="W15" i="1" s="1"/>
  <c r="AA180" i="1"/>
  <c r="W180" i="1" s="1"/>
  <c r="AA94" i="1"/>
  <c r="W94" i="1" s="1"/>
  <c r="AA173" i="1"/>
  <c r="AA166" i="1"/>
  <c r="W166" i="1" s="1"/>
  <c r="X93" i="1"/>
  <c r="AA91" i="1"/>
  <c r="AG86" i="1"/>
  <c r="AA85" i="1"/>
  <c r="W85" i="1" s="1"/>
  <c r="AA84" i="1"/>
  <c r="AG80" i="1"/>
  <c r="AI80" i="1" s="1"/>
  <c r="X77" i="1"/>
  <c r="AA70" i="1"/>
  <c r="W70" i="1" s="1"/>
  <c r="AA69" i="1"/>
  <c r="AA67" i="1"/>
  <c r="X59" i="1"/>
  <c r="AG56" i="1"/>
  <c r="W56" i="1" s="1"/>
  <c r="X55" i="1"/>
  <c r="AG52" i="1"/>
  <c r="X51" i="1"/>
  <c r="AA48" i="1"/>
  <c r="W47" i="1"/>
  <c r="U22" i="1"/>
  <c r="AG19" i="1"/>
  <c r="AI19" i="1" s="1"/>
  <c r="T216" i="1"/>
  <c r="X216" i="1"/>
  <c r="AG216" i="1"/>
  <c r="AI193" i="1"/>
  <c r="T157" i="1"/>
  <c r="AG157" i="1"/>
  <c r="AI157" i="1" s="1"/>
  <c r="AA207" i="1"/>
  <c r="W207" i="1" s="1"/>
  <c r="T206" i="1"/>
  <c r="X206" i="1"/>
  <c r="AG206" i="1"/>
  <c r="AI206" i="1" s="1"/>
  <c r="W204" i="1"/>
  <c r="T203" i="1"/>
  <c r="U203" i="1" s="1"/>
  <c r="X203" i="1"/>
  <c r="AI201" i="1"/>
  <c r="T198" i="1"/>
  <c r="X198" i="1"/>
  <c r="AG198" i="1"/>
  <c r="AI198" i="1" s="1"/>
  <c r="AA158" i="1"/>
  <c r="W158" i="1" s="1"/>
  <c r="S150" i="1"/>
  <c r="AI185" i="1"/>
  <c r="T149" i="1"/>
  <c r="X149" i="1"/>
  <c r="AG149" i="1"/>
  <c r="AI149" i="1" s="1"/>
  <c r="AI171" i="1"/>
  <c r="U136" i="1"/>
  <c r="S136" i="1" s="1"/>
  <c r="W134" i="1"/>
  <c r="W132" i="1"/>
  <c r="T213" i="1"/>
  <c r="X213" i="1"/>
  <c r="AI209" i="1"/>
  <c r="AA213" i="1"/>
  <c r="T212" i="1"/>
  <c r="X212" i="1"/>
  <c r="AG212" i="1"/>
  <c r="W212" i="1" s="1"/>
  <c r="T207" i="1"/>
  <c r="X207" i="1"/>
  <c r="U205" i="1"/>
  <c r="S205" i="1" s="1"/>
  <c r="S203" i="1"/>
  <c r="AI205" i="1"/>
  <c r="T161" i="1"/>
  <c r="AG161" i="1"/>
  <c r="W161" i="1" s="1"/>
  <c r="AA154" i="1"/>
  <c r="S146" i="1"/>
  <c r="AI181" i="1"/>
  <c r="T145" i="1"/>
  <c r="X145" i="1"/>
  <c r="AG145" i="1"/>
  <c r="AI145" i="1" s="1"/>
  <c r="W144" i="1"/>
  <c r="AI167" i="1"/>
  <c r="U132" i="1"/>
  <c r="S132" i="1" s="1"/>
  <c r="W130" i="1"/>
  <c r="U144" i="1"/>
  <c r="S144" i="1" s="1"/>
  <c r="AI179" i="1"/>
  <c r="AI214" i="1"/>
  <c r="X214" i="1"/>
  <c r="AG213" i="1"/>
  <c r="U207" i="1"/>
  <c r="S207" i="1" s="1"/>
  <c r="AA203" i="1"/>
  <c r="W203" i="1" s="1"/>
  <c r="T202" i="1"/>
  <c r="X202" i="1"/>
  <c r="AG202" i="1"/>
  <c r="AI202" i="1" s="1"/>
  <c r="U159" i="1"/>
  <c r="U158" i="1"/>
  <c r="AI189" i="1"/>
  <c r="T153" i="1"/>
  <c r="X153" i="1"/>
  <c r="AG153" i="1"/>
  <c r="AI153" i="1" s="1"/>
  <c r="AA146" i="1"/>
  <c r="W146" i="1" s="1"/>
  <c r="U141" i="1"/>
  <c r="S141" i="1" s="1"/>
  <c r="AI175" i="1"/>
  <c r="W138" i="1"/>
  <c r="W136" i="1"/>
  <c r="X199" i="1"/>
  <c r="AI194" i="1"/>
  <c r="AI190" i="1"/>
  <c r="X150" i="1"/>
  <c r="AI182" i="1"/>
  <c r="S147" i="1"/>
  <c r="X146" i="1"/>
  <c r="AI178" i="1"/>
  <c r="S143" i="1"/>
  <c r="X142" i="1"/>
  <c r="T142" i="1"/>
  <c r="U142" i="1" s="1"/>
  <c r="S142" i="1" s="1"/>
  <c r="AI174" i="1"/>
  <c r="X138" i="1"/>
  <c r="T138" i="1"/>
  <c r="U138" i="1" s="1"/>
  <c r="S138" i="1" s="1"/>
  <c r="AI170" i="1"/>
  <c r="S135" i="1"/>
  <c r="X134" i="1"/>
  <c r="T134" i="1"/>
  <c r="U134" i="1" s="1"/>
  <c r="S134" i="1" s="1"/>
  <c r="AI166" i="1"/>
  <c r="X130" i="1"/>
  <c r="T130" i="1"/>
  <c r="U130" i="1" s="1"/>
  <c r="S130" i="1" s="1"/>
  <c r="U129" i="1"/>
  <c r="S129" i="1" s="1"/>
  <c r="T127" i="1"/>
  <c r="X127" i="1"/>
  <c r="X126" i="1"/>
  <c r="AI152" i="1"/>
  <c r="AI144" i="1"/>
  <c r="AI136" i="1"/>
  <c r="S200" i="1"/>
  <c r="X141" i="1"/>
  <c r="X137" i="1"/>
  <c r="X133" i="1"/>
  <c r="X129" i="1"/>
  <c r="AA128" i="1"/>
  <c r="AG127" i="1"/>
  <c r="W127" i="1" s="1"/>
  <c r="S125" i="1"/>
  <c r="T122" i="1"/>
  <c r="AG122" i="1"/>
  <c r="W122" i="1" s="1"/>
  <c r="AA120" i="1"/>
  <c r="W120" i="1" s="1"/>
  <c r="AA119" i="1"/>
  <c r="T118" i="1"/>
  <c r="X118" i="1"/>
  <c r="AG118" i="1"/>
  <c r="U116" i="1"/>
  <c r="S116" i="1" s="1"/>
  <c r="T115" i="1"/>
  <c r="X115" i="1"/>
  <c r="AG115" i="1"/>
  <c r="AI115" i="1" s="1"/>
  <c r="X116" i="1"/>
  <c r="U108" i="1"/>
  <c r="S108" i="1" s="1"/>
  <c r="T107" i="1"/>
  <c r="X107" i="1"/>
  <c r="AG107" i="1"/>
  <c r="X108" i="1"/>
  <c r="U102" i="1"/>
  <c r="S102" i="1" s="1"/>
  <c r="T101" i="1"/>
  <c r="X101" i="1"/>
  <c r="AG101" i="1"/>
  <c r="W101" i="1" s="1"/>
  <c r="X102" i="1"/>
  <c r="U192" i="1"/>
  <c r="S192" i="1" s="1"/>
  <c r="T128" i="1"/>
  <c r="AI160" i="1"/>
  <c r="T119" i="1"/>
  <c r="X119" i="1"/>
  <c r="W116" i="1"/>
  <c r="AI148" i="1"/>
  <c r="W108" i="1"/>
  <c r="W102" i="1"/>
  <c r="U99" i="1"/>
  <c r="S99" i="1" s="1"/>
  <c r="S98" i="1"/>
  <c r="AI132" i="1"/>
  <c r="U195" i="1"/>
  <c r="S195" i="1" s="1"/>
  <c r="X143" i="1"/>
  <c r="X139" i="1"/>
  <c r="X135" i="1"/>
  <c r="X131" i="1"/>
  <c r="AG128" i="1"/>
  <c r="AI128" i="1" s="1"/>
  <c r="T126" i="1"/>
  <c r="U126" i="1" s="1"/>
  <c r="S126" i="1" s="1"/>
  <c r="T123" i="1"/>
  <c r="U123" i="1" s="1"/>
  <c r="S123" i="1" s="1"/>
  <c r="X123" i="1"/>
  <c r="X120" i="1"/>
  <c r="AG119" i="1"/>
  <c r="AI119" i="1" s="1"/>
  <c r="U112" i="1"/>
  <c r="S112" i="1" s="1"/>
  <c r="T111" i="1"/>
  <c r="X111" i="1"/>
  <c r="AG111" i="1"/>
  <c r="X112" i="1"/>
  <c r="U104" i="1"/>
  <c r="S104" i="1" s="1"/>
  <c r="T211" i="1"/>
  <c r="X211" i="1"/>
  <c r="AG211" i="1"/>
  <c r="X104" i="1"/>
  <c r="T97" i="1"/>
  <c r="X97" i="1"/>
  <c r="AG97" i="1"/>
  <c r="AI97" i="1" s="1"/>
  <c r="X98" i="1"/>
  <c r="W195" i="1"/>
  <c r="T96" i="1"/>
  <c r="X96" i="1"/>
  <c r="X194" i="1"/>
  <c r="AG96" i="1"/>
  <c r="W96" i="1" s="1"/>
  <c r="T191" i="1"/>
  <c r="X188" i="1"/>
  <c r="U178" i="1"/>
  <c r="S178" i="1" s="1"/>
  <c r="AI105" i="1"/>
  <c r="U171" i="1"/>
  <c r="S171" i="1" s="1"/>
  <c r="U167" i="1"/>
  <c r="S167" i="1" s="1"/>
  <c r="AI93" i="1"/>
  <c r="U93" i="1"/>
  <c r="S93" i="1" s="1"/>
  <c r="AI89" i="1"/>
  <c r="U89" i="1"/>
  <c r="S89" i="1" s="1"/>
  <c r="AI85" i="1"/>
  <c r="U85" i="1"/>
  <c r="S85" i="1" s="1"/>
  <c r="X81" i="1"/>
  <c r="AG81" i="1"/>
  <c r="T81" i="1"/>
  <c r="X82" i="1"/>
  <c r="AG75" i="1"/>
  <c r="X75" i="1"/>
  <c r="T75" i="1"/>
  <c r="AG114" i="1"/>
  <c r="AG110" i="1"/>
  <c r="AI110" i="1" s="1"/>
  <c r="AG106" i="1"/>
  <c r="AG210" i="1"/>
  <c r="AI210" i="1" s="1"/>
  <c r="AG100" i="1"/>
  <c r="AI100" i="1" s="1"/>
  <c r="AG197" i="1"/>
  <c r="W197" i="1" s="1"/>
  <c r="U193" i="1"/>
  <c r="S193" i="1" s="1"/>
  <c r="AG191" i="1"/>
  <c r="T189" i="1"/>
  <c r="U189" i="1" s="1"/>
  <c r="S189" i="1" s="1"/>
  <c r="AA95" i="1"/>
  <c r="W95" i="1" s="1"/>
  <c r="T183" i="1"/>
  <c r="X183" i="1"/>
  <c r="AG183" i="1"/>
  <c r="AI183" i="1" s="1"/>
  <c r="T180" i="1"/>
  <c r="U180" i="1" s="1"/>
  <c r="S180" i="1" s="1"/>
  <c r="X180" i="1"/>
  <c r="AI108" i="1"/>
  <c r="AI104" i="1"/>
  <c r="AI92" i="1"/>
  <c r="AI84" i="1"/>
  <c r="AG83" i="1"/>
  <c r="W83" i="1" s="1"/>
  <c r="T83" i="1"/>
  <c r="X83" i="1"/>
  <c r="X114" i="1"/>
  <c r="X110" i="1"/>
  <c r="X106" i="1"/>
  <c r="X210" i="1"/>
  <c r="X100" i="1"/>
  <c r="X197" i="1"/>
  <c r="T190" i="1"/>
  <c r="U190" i="1" s="1"/>
  <c r="S190" i="1" s="1"/>
  <c r="X190" i="1"/>
  <c r="X189" i="1"/>
  <c r="U188" i="1"/>
  <c r="S188" i="1" s="1"/>
  <c r="AA187" i="1"/>
  <c r="W187" i="1" s="1"/>
  <c r="T186" i="1"/>
  <c r="X186" i="1"/>
  <c r="AG186" i="1"/>
  <c r="AI186" i="1" s="1"/>
  <c r="T95" i="1"/>
  <c r="U95" i="1" s="1"/>
  <c r="S95" i="1" s="1"/>
  <c r="X95" i="1"/>
  <c r="U182" i="1"/>
  <c r="S182" i="1" s="1"/>
  <c r="S181" i="1"/>
  <c r="AI112" i="1"/>
  <c r="AI111" i="1"/>
  <c r="AG176" i="1"/>
  <c r="AI176" i="1" s="1"/>
  <c r="X177" i="1"/>
  <c r="T176" i="1"/>
  <c r="X176" i="1"/>
  <c r="U94" i="1"/>
  <c r="S94" i="1" s="1"/>
  <c r="AG173" i="1"/>
  <c r="AI173" i="1" s="1"/>
  <c r="X94" i="1"/>
  <c r="T173" i="1"/>
  <c r="X173" i="1"/>
  <c r="U170" i="1"/>
  <c r="S170" i="1" s="1"/>
  <c r="AG169" i="1"/>
  <c r="X170" i="1"/>
  <c r="T169" i="1"/>
  <c r="X169" i="1"/>
  <c r="AG165" i="1"/>
  <c r="AI165" i="1" s="1"/>
  <c r="X166" i="1"/>
  <c r="T165" i="1"/>
  <c r="AG91" i="1"/>
  <c r="W91" i="1" s="1"/>
  <c r="X92" i="1"/>
  <c r="T91" i="1"/>
  <c r="X91" i="1"/>
  <c r="AG87" i="1"/>
  <c r="X88" i="1"/>
  <c r="T87" i="1"/>
  <c r="X87" i="1"/>
  <c r="T187" i="1"/>
  <c r="U187" i="1" s="1"/>
  <c r="S187" i="1" s="1"/>
  <c r="X187" i="1"/>
  <c r="U185" i="1"/>
  <c r="S185" i="1" s="1"/>
  <c r="S184" i="1"/>
  <c r="AI116" i="1"/>
  <c r="W84" i="1"/>
  <c r="X79" i="1"/>
  <c r="AI71" i="1"/>
  <c r="U63" i="1"/>
  <c r="S63" i="1" s="1"/>
  <c r="AI63" i="1"/>
  <c r="X179" i="1"/>
  <c r="X175" i="1"/>
  <c r="X172" i="1"/>
  <c r="X168" i="1"/>
  <c r="X90" i="1"/>
  <c r="X86" i="1"/>
  <c r="AA81" i="1"/>
  <c r="AG77" i="1"/>
  <c r="W77" i="1" s="1"/>
  <c r="X78" i="1"/>
  <c r="U59" i="1"/>
  <c r="S59" i="1" s="1"/>
  <c r="AI59" i="1"/>
  <c r="AI55" i="1"/>
  <c r="U51" i="1"/>
  <c r="AI51" i="1"/>
  <c r="X84" i="1"/>
  <c r="U79" i="1"/>
  <c r="S79" i="1" s="1"/>
  <c r="AI79" i="1"/>
  <c r="U68" i="1"/>
  <c r="S68" i="1" s="1"/>
  <c r="U67" i="1"/>
  <c r="S67" i="1" s="1"/>
  <c r="AI67" i="1"/>
  <c r="X71" i="1"/>
  <c r="T71" i="1"/>
  <c r="U71" i="1" s="1"/>
  <c r="S71" i="1" s="1"/>
  <c r="U62" i="1"/>
  <c r="S62" i="1" s="1"/>
  <c r="U58" i="1"/>
  <c r="S58" i="1" s="1"/>
  <c r="U54" i="1"/>
  <c r="S54" i="1" s="1"/>
  <c r="AI48" i="1"/>
  <c r="S37" i="1"/>
  <c r="AI37" i="1"/>
  <c r="AA33" i="1"/>
  <c r="W33" i="1" s="1"/>
  <c r="AI29" i="1"/>
  <c r="AA26" i="1"/>
  <c r="W26" i="1" s="1"/>
  <c r="T21" i="1"/>
  <c r="X21" i="1"/>
  <c r="AG21" i="1"/>
  <c r="X22" i="1"/>
  <c r="T17" i="1"/>
  <c r="X17" i="1"/>
  <c r="AG17" i="1"/>
  <c r="X74" i="1"/>
  <c r="AG73" i="1"/>
  <c r="W73" i="1" s="1"/>
  <c r="X70" i="1"/>
  <c r="AG69" i="1"/>
  <c r="W69" i="1" s="1"/>
  <c r="X66" i="1"/>
  <c r="AG65" i="1"/>
  <c r="W65" i="1" s="1"/>
  <c r="X62" i="1"/>
  <c r="AG61" i="1"/>
  <c r="X58" i="1"/>
  <c r="AG57" i="1"/>
  <c r="X54" i="1"/>
  <c r="AG53" i="1"/>
  <c r="X50" i="1"/>
  <c r="AG49" i="1"/>
  <c r="T47" i="1"/>
  <c r="U47" i="1" s="1"/>
  <c r="S47" i="1" s="1"/>
  <c r="X47" i="1"/>
  <c r="AA44" i="1"/>
  <c r="AA41" i="1"/>
  <c r="W41" i="1" s="1"/>
  <c r="AA40" i="1"/>
  <c r="T36" i="1"/>
  <c r="X36" i="1"/>
  <c r="AG36" i="1"/>
  <c r="W36" i="1" s="1"/>
  <c r="X37" i="1"/>
  <c r="T28" i="1"/>
  <c r="AG28" i="1"/>
  <c r="AA14" i="1"/>
  <c r="W14" i="1" s="1"/>
  <c r="X73" i="1"/>
  <c r="X69" i="1"/>
  <c r="X65" i="1"/>
  <c r="AI62" i="1"/>
  <c r="X61" i="1"/>
  <c r="AI58" i="1"/>
  <c r="X57" i="1"/>
  <c r="AI54" i="1"/>
  <c r="X53" i="1"/>
  <c r="AI50" i="1"/>
  <c r="X49" i="1"/>
  <c r="W48" i="1"/>
  <c r="U48" i="1"/>
  <c r="S48" i="1" s="1"/>
  <c r="T44" i="1"/>
  <c r="AG43" i="1"/>
  <c r="W43" i="1" s="1"/>
  <c r="T43" i="1"/>
  <c r="T40" i="1"/>
  <c r="X40" i="1"/>
  <c r="U34" i="1"/>
  <c r="S34" i="1" s="1"/>
  <c r="AI33" i="1"/>
  <c r="AI26" i="1"/>
  <c r="X80" i="1"/>
  <c r="X76" i="1"/>
  <c r="X72" i="1"/>
  <c r="X68" i="1"/>
  <c r="X64" i="1"/>
  <c r="X60" i="1"/>
  <c r="X56" i="1"/>
  <c r="X52" i="1"/>
  <c r="U46" i="1"/>
  <c r="S46" i="1" s="1"/>
  <c r="AG44" i="1"/>
  <c r="AI41" i="1"/>
  <c r="X41" i="1"/>
  <c r="AG40" i="1"/>
  <c r="U33" i="1"/>
  <c r="S33" i="1" s="1"/>
  <c r="T32" i="1"/>
  <c r="X32" i="1"/>
  <c r="AG32" i="1"/>
  <c r="X33" i="1"/>
  <c r="T25" i="1"/>
  <c r="X25" i="1"/>
  <c r="AG25" i="1"/>
  <c r="S22" i="1"/>
  <c r="AI22" i="1"/>
  <c r="W17" i="1"/>
  <c r="S14" i="1"/>
  <c r="AI14" i="1"/>
  <c r="X39" i="1"/>
  <c r="T39" i="1"/>
  <c r="U39" i="1" s="1"/>
  <c r="S39" i="1" s="1"/>
  <c r="X35" i="1"/>
  <c r="T35" i="1"/>
  <c r="U35" i="1" s="1"/>
  <c r="S35" i="1" s="1"/>
  <c r="X31" i="1"/>
  <c r="T31" i="1"/>
  <c r="U31" i="1" s="1"/>
  <c r="S31" i="1" s="1"/>
  <c r="X24" i="1"/>
  <c r="T24" i="1"/>
  <c r="U24" i="1" s="1"/>
  <c r="S24" i="1" s="1"/>
  <c r="U23" i="1"/>
  <c r="S23" i="1" s="1"/>
  <c r="X20" i="1"/>
  <c r="T20" i="1"/>
  <c r="U20" i="1" s="1"/>
  <c r="S20" i="1" s="1"/>
  <c r="X16" i="1"/>
  <c r="X18" i="1"/>
  <c r="Y26" i="3"/>
  <c r="Y23" i="3"/>
  <c r="Y11" i="3"/>
  <c r="Y9" i="3"/>
  <c r="AC28" i="3"/>
  <c r="AC13" i="3"/>
  <c r="T27" i="3"/>
  <c r="T29" i="3"/>
  <c r="T25" i="3"/>
  <c r="T13" i="3"/>
  <c r="T17" i="3"/>
  <c r="Y16" i="3"/>
  <c r="AD18" i="3"/>
  <c r="Y8" i="3"/>
  <c r="AD24" i="3"/>
  <c r="AD29" i="3"/>
  <c r="AD17" i="3"/>
  <c r="AD10" i="3"/>
  <c r="AD8" i="3"/>
  <c r="AD26" i="3"/>
  <c r="T24" i="3"/>
  <c r="AD23" i="3"/>
  <c r="T15" i="3"/>
  <c r="T9" i="3"/>
  <c r="AD21" i="3"/>
  <c r="T19" i="3"/>
  <c r="AD14" i="3"/>
  <c r="T18" i="3"/>
  <c r="Y24" i="3"/>
  <c r="Y15" i="3"/>
  <c r="Y7" i="3"/>
  <c r="Y29" i="3"/>
  <c r="Y22" i="3"/>
  <c r="Y17" i="3"/>
  <c r="Y10" i="3"/>
  <c r="M20" i="3"/>
  <c r="N20" i="3"/>
  <c r="R20" i="3"/>
  <c r="S20" i="3"/>
  <c r="U20" i="3"/>
  <c r="T20" i="3" s="1"/>
  <c r="V20" i="3"/>
  <c r="W20" i="3"/>
  <c r="Y20" i="3" s="1"/>
  <c r="X20" i="3"/>
  <c r="AC20" i="3"/>
  <c r="W162" i="1" l="1"/>
  <c r="AI76" i="1"/>
  <c r="U177" i="1"/>
  <c r="S177" i="1" s="1"/>
  <c r="W28" i="1"/>
  <c r="AI88" i="1"/>
  <c r="AI96" i="1"/>
  <c r="AI120" i="1"/>
  <c r="U140" i="1"/>
  <c r="S140" i="1" s="1"/>
  <c r="W72" i="1"/>
  <c r="W177" i="1"/>
  <c r="W133" i="1"/>
  <c r="W159" i="1"/>
  <c r="AI18" i="1"/>
  <c r="U70" i="1"/>
  <c r="S70" i="1" s="1"/>
  <c r="AI15" i="1"/>
  <c r="U19" i="1"/>
  <c r="S19" i="1" s="1"/>
  <c r="W61" i="1"/>
  <c r="W181" i="1"/>
  <c r="W75" i="1"/>
  <c r="W88" i="1"/>
  <c r="S158" i="1"/>
  <c r="W157" i="1"/>
  <c r="W140" i="1"/>
  <c r="W131" i="1"/>
  <c r="W192" i="1"/>
  <c r="W175" i="1"/>
  <c r="W46" i="1"/>
  <c r="U15" i="1"/>
  <c r="S15" i="1" s="1"/>
  <c r="W21" i="1"/>
  <c r="S160" i="1"/>
  <c r="AI159" i="1"/>
  <c r="U208" i="1"/>
  <c r="U109" i="1"/>
  <c r="S109" i="1" s="1"/>
  <c r="U151" i="1"/>
  <c r="W30" i="1"/>
  <c r="W19" i="1"/>
  <c r="W67" i="1"/>
  <c r="U139" i="1"/>
  <c r="S139" i="1" s="1"/>
  <c r="U29" i="1"/>
  <c r="S29" i="1" s="1"/>
  <c r="W172" i="1"/>
  <c r="AI101" i="1"/>
  <c r="W186" i="1"/>
  <c r="W156" i="1"/>
  <c r="W90" i="1"/>
  <c r="W179" i="1"/>
  <c r="W45" i="1"/>
  <c r="W121" i="1"/>
  <c r="U60" i="1"/>
  <c r="S60" i="1" s="1"/>
  <c r="AI60" i="1"/>
  <c r="U168" i="1"/>
  <c r="S168" i="1" s="1"/>
  <c r="AI168" i="1"/>
  <c r="W168" i="1"/>
  <c r="W106" i="1"/>
  <c r="AI106" i="1"/>
  <c r="U86" i="1"/>
  <c r="S86" i="1" s="1"/>
  <c r="AI86" i="1"/>
  <c r="W86" i="1"/>
  <c r="U66" i="1"/>
  <c r="W176" i="1"/>
  <c r="W110" i="1"/>
  <c r="W149" i="1"/>
  <c r="S208" i="1"/>
  <c r="U52" i="1"/>
  <c r="S52" i="1" s="1"/>
  <c r="AI52" i="1"/>
  <c r="U64" i="1"/>
  <c r="S64" i="1" s="1"/>
  <c r="AI64" i="1"/>
  <c r="U84" i="1"/>
  <c r="S84" i="1" s="1"/>
  <c r="W135" i="1"/>
  <c r="U154" i="1"/>
  <c r="S154" i="1" s="1"/>
  <c r="W169" i="1"/>
  <c r="W211" i="1"/>
  <c r="AI211" i="1"/>
  <c r="U133" i="1"/>
  <c r="S133" i="1" s="1"/>
  <c r="W154" i="1"/>
  <c r="W52" i="1"/>
  <c r="AI74" i="1"/>
  <c r="U74" i="1"/>
  <c r="S74" i="1" s="1"/>
  <c r="W109" i="1"/>
  <c r="W80" i="1"/>
  <c r="U103" i="1"/>
  <c r="S103" i="1" s="1"/>
  <c r="U117" i="1"/>
  <c r="S117" i="1" s="1"/>
  <c r="AI117" i="1"/>
  <c r="U137" i="1"/>
  <c r="S137" i="1" s="1"/>
  <c r="AI137" i="1"/>
  <c r="W151" i="1"/>
  <c r="U164" i="1"/>
  <c r="S164" i="1" s="1"/>
  <c r="AI164" i="1"/>
  <c r="U156" i="1"/>
  <c r="S155" i="1" s="1"/>
  <c r="AI66" i="1"/>
  <c r="S66" i="1"/>
  <c r="AI127" i="1"/>
  <c r="W81" i="1"/>
  <c r="W191" i="1"/>
  <c r="AI191" i="1"/>
  <c r="AI109" i="1"/>
  <c r="AI122" i="1"/>
  <c r="AI161" i="1"/>
  <c r="S151" i="1"/>
  <c r="AI169" i="1"/>
  <c r="AI197" i="1"/>
  <c r="W208" i="1"/>
  <c r="W213" i="1"/>
  <c r="U56" i="1"/>
  <c r="S56" i="1" s="1"/>
  <c r="AI56" i="1"/>
  <c r="U80" i="1"/>
  <c r="S80" i="1" s="1"/>
  <c r="W137" i="1"/>
  <c r="U173" i="1"/>
  <c r="S173" i="1" s="1"/>
  <c r="AI103" i="1"/>
  <c r="AI147" i="1"/>
  <c r="U111" i="1"/>
  <c r="S111" i="1" s="1"/>
  <c r="AI155" i="1"/>
  <c r="U119" i="1"/>
  <c r="S119" i="1" s="1"/>
  <c r="AI180" i="1"/>
  <c r="U145" i="1"/>
  <c r="S145" i="1" s="1"/>
  <c r="W40" i="1"/>
  <c r="AI49" i="1"/>
  <c r="U49" i="1"/>
  <c r="S49" i="1" s="1"/>
  <c r="AI57" i="1"/>
  <c r="U57" i="1"/>
  <c r="S57" i="1" s="1"/>
  <c r="AI65" i="1"/>
  <c r="U65" i="1"/>
  <c r="S65" i="1" s="1"/>
  <c r="AI73" i="1"/>
  <c r="U73" i="1"/>
  <c r="S73" i="1" s="1"/>
  <c r="U83" i="1"/>
  <c r="S83" i="1" s="1"/>
  <c r="AI83" i="1"/>
  <c r="U183" i="1"/>
  <c r="S183" i="1" s="1"/>
  <c r="W183" i="1"/>
  <c r="AI114" i="1"/>
  <c r="U100" i="1"/>
  <c r="S100" i="1" s="1"/>
  <c r="AI134" i="1"/>
  <c r="W100" i="1"/>
  <c r="U114" i="1"/>
  <c r="S114" i="1" s="1"/>
  <c r="AI150" i="1"/>
  <c r="AI81" i="1"/>
  <c r="U81" i="1"/>
  <c r="S81" i="1" s="1"/>
  <c r="W111" i="1"/>
  <c r="AI143" i="1"/>
  <c r="U107" i="1"/>
  <c r="S107" i="1" s="1"/>
  <c r="W119" i="1"/>
  <c r="W107" i="1"/>
  <c r="AI188" i="1"/>
  <c r="U153" i="1"/>
  <c r="S153" i="1" s="1"/>
  <c r="AI213" i="1"/>
  <c r="U213" i="1"/>
  <c r="S213" i="1" s="1"/>
  <c r="AI192" i="1"/>
  <c r="U157" i="1"/>
  <c r="S157" i="1" s="1"/>
  <c r="U32" i="1"/>
  <c r="S32" i="1" s="1"/>
  <c r="AI32" i="1"/>
  <c r="U28" i="1"/>
  <c r="S28" i="1" s="1"/>
  <c r="AI28" i="1"/>
  <c r="U21" i="1"/>
  <c r="S21" i="1" s="1"/>
  <c r="AI21" i="1"/>
  <c r="U87" i="1"/>
  <c r="S87" i="1" s="1"/>
  <c r="AI87" i="1"/>
  <c r="U91" i="1"/>
  <c r="S91" i="1" s="1"/>
  <c r="AI91" i="1"/>
  <c r="U165" i="1"/>
  <c r="S165" i="1" s="1"/>
  <c r="AI95" i="1"/>
  <c r="U169" i="1"/>
  <c r="S169" i="1" s="1"/>
  <c r="AI99" i="1"/>
  <c r="U186" i="1"/>
  <c r="S186" i="1" s="1"/>
  <c r="AI118" i="1"/>
  <c r="W165" i="1"/>
  <c r="AI123" i="1"/>
  <c r="U191" i="1"/>
  <c r="S191" i="1" s="1"/>
  <c r="U210" i="1"/>
  <c r="S210" i="1" s="1"/>
  <c r="AI138" i="1"/>
  <c r="AI131" i="1"/>
  <c r="U97" i="1"/>
  <c r="S97" i="1" s="1"/>
  <c r="AI139" i="1"/>
  <c r="U211" i="1"/>
  <c r="S211" i="1" s="1"/>
  <c r="AI163" i="1"/>
  <c r="U128" i="1"/>
  <c r="S128" i="1" s="1"/>
  <c r="AI151" i="1"/>
  <c r="U115" i="1"/>
  <c r="S115" i="1" s="1"/>
  <c r="U118" i="1"/>
  <c r="S118" i="1" s="1"/>
  <c r="AI154" i="1"/>
  <c r="W210" i="1"/>
  <c r="U202" i="1"/>
  <c r="S202" i="1" s="1"/>
  <c r="AI204" i="1"/>
  <c r="AI196" i="1"/>
  <c r="U161" i="1"/>
  <c r="AI184" i="1"/>
  <c r="U149" i="1"/>
  <c r="S149" i="1" s="1"/>
  <c r="W202" i="1"/>
  <c r="U25" i="1"/>
  <c r="S25" i="1" s="1"/>
  <c r="AI25" i="1"/>
  <c r="AI53" i="1"/>
  <c r="U53" i="1"/>
  <c r="S53" i="1" s="1"/>
  <c r="AI61" i="1"/>
  <c r="U61" i="1"/>
  <c r="S61" i="1" s="1"/>
  <c r="AI69" i="1"/>
  <c r="U69" i="1"/>
  <c r="S69" i="1" s="1"/>
  <c r="U106" i="1"/>
  <c r="S106" i="1" s="1"/>
  <c r="AI142" i="1"/>
  <c r="U122" i="1"/>
  <c r="S122" i="1" s="1"/>
  <c r="AI158" i="1"/>
  <c r="AI162" i="1"/>
  <c r="U127" i="1"/>
  <c r="S127" i="1" s="1"/>
  <c r="U212" i="1"/>
  <c r="S212" i="1" s="1"/>
  <c r="AI212" i="1"/>
  <c r="AI200" i="1"/>
  <c r="U198" i="1"/>
  <c r="S198" i="1" s="1"/>
  <c r="U206" i="1"/>
  <c r="S206" i="1" s="1"/>
  <c r="AI208" i="1"/>
  <c r="U216" i="1"/>
  <c r="S216" i="1" s="1"/>
  <c r="AI216" i="1"/>
  <c r="W216" i="1"/>
  <c r="AI40" i="1"/>
  <c r="U40" i="1"/>
  <c r="S40" i="1" s="1"/>
  <c r="AI44" i="1"/>
  <c r="U44" i="1"/>
  <c r="S44" i="1" s="1"/>
  <c r="W25" i="1"/>
  <c r="W32" i="1"/>
  <c r="U43" i="1"/>
  <c r="S43" i="1" s="1"/>
  <c r="AI43" i="1"/>
  <c r="U36" i="1"/>
  <c r="S36" i="1" s="1"/>
  <c r="AI36" i="1"/>
  <c r="W44" i="1"/>
  <c r="U17" i="1"/>
  <c r="S17" i="1" s="1"/>
  <c r="AI17" i="1"/>
  <c r="W49" i="1"/>
  <c r="W53" i="1"/>
  <c r="W57" i="1"/>
  <c r="AI77" i="1"/>
  <c r="U77" i="1"/>
  <c r="S77" i="1" s="1"/>
  <c r="U176" i="1"/>
  <c r="S176" i="1"/>
  <c r="AI107" i="1"/>
  <c r="W87" i="1"/>
  <c r="W173" i="1"/>
  <c r="U197" i="1"/>
  <c r="S197" i="1" s="1"/>
  <c r="AI130" i="1"/>
  <c r="U110" i="1"/>
  <c r="S110" i="1" s="1"/>
  <c r="AI146" i="1"/>
  <c r="U75" i="1"/>
  <c r="S75" i="1" s="1"/>
  <c r="AI75" i="1"/>
  <c r="AI126" i="1"/>
  <c r="U96" i="1"/>
  <c r="S96" i="1" s="1"/>
  <c r="W97" i="1"/>
  <c r="AI135" i="1"/>
  <c r="U101" i="1"/>
  <c r="S101" i="1" s="1"/>
  <c r="W128" i="1"/>
  <c r="W115" i="1"/>
  <c r="W118" i="1"/>
  <c r="W198" i="1"/>
  <c r="W114" i="1"/>
  <c r="W145" i="1"/>
  <c r="W153" i="1"/>
  <c r="W206" i="1"/>
  <c r="AD11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AD20" i="3" l="1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U13" i="1"/>
  <c r="S13" i="1" s="1"/>
  <c r="B3" i="6" l="1"/>
  <c r="K3" i="6"/>
  <c r="B4" i="6"/>
  <c r="F4" i="6" s="1"/>
  <c r="K4" i="6"/>
  <c r="B5" i="6"/>
  <c r="F5" i="6" s="1"/>
  <c r="K5" i="6"/>
  <c r="B6" i="6"/>
  <c r="K6" i="6"/>
  <c r="B7" i="6"/>
  <c r="K7" i="6"/>
  <c r="I7" i="6" l="1"/>
  <c r="F6" i="6"/>
  <c r="I3" i="6"/>
  <c r="J6" i="6"/>
  <c r="I4" i="6"/>
  <c r="J7" i="6"/>
  <c r="F7" i="6"/>
  <c r="I6" i="6"/>
  <c r="I5" i="6"/>
  <c r="J3" i="6"/>
  <c r="F3" i="6"/>
  <c r="J4" i="6"/>
  <c r="J5" i="6"/>
  <c r="M30" i="5" l="1"/>
  <c r="M29" i="5"/>
  <c r="M28" i="5"/>
  <c r="M27" i="5"/>
  <c r="F6" i="4" l="1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6" i="6" s="1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G7" i="6" l="1"/>
  <c r="G3" i="6"/>
  <c r="G5" i="6"/>
  <c r="H6" i="6"/>
  <c r="H5" i="6"/>
  <c r="H7" i="6"/>
  <c r="H3" i="6"/>
  <c r="H4" i="6"/>
  <c r="G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<sst xmlns="http://schemas.openxmlformats.org/spreadsheetml/2006/main" count="2177" uniqueCount="858">
  <si>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</si>
  <si>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</si>
  <si>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</si>
  <si>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</si>
  <si>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</si>
  <si>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</si>
  <si>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</si>
  <si>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</si>
  <si>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</si>
  <si>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</si>
  <si>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</si>
  <si>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</si>
  <si>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</si>
  <si>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</si>
  <si>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</si>
  <si>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</si>
  <si>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</si>
  <si>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</si>
  <si>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</si>
  <si>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</si>
  <si>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</si>
  <si>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</si>
  <si>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</si>
  <si>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</si>
  <si>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</si>
  <si>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</si>
  <si>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</si>
  <si>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</si>
  <si>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</si>
  <si>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</si>
  <si>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</si>
  <si>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</si>
  <si>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</si>
  <si>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</si>
  <si>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</si>
  <si>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</si>
  <si>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</si>
  <si>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</si>
  <si>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</si>
  <si>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</si>
  <si>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</si>
  <si>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</si>
  <si>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</si>
  <si>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</si>
  <si>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</si>
  <si>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</si>
  <si>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</si>
  <si>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</si>
  <si>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</si>
  <si>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</si>
  <si>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</si>
  <si>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</si>
  <si>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</si>
  <si>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</si>
  <si>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</si>
  <si>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</si>
  <si>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</si>
  <si>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</si>
  <si>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</si>
  <si>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</si>
  <si>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</si>
  <si>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</si>
  <si>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</si>
  <si>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</si>
  <si>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</si>
  <si>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</si>
  <si>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</si>
  <si>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</si>
  <si>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</si>
  <si>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</si>
  <si>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</si>
  <si>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</si>
  <si>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</si>
  <si>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</si>
  <si>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</si>
  <si>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</si>
  <si>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</si>
  <si>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</si>
  <si>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</si>
  <si>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</si>
  <si>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</si>
  <si>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</si>
  <si>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</si>
  <si>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</si>
  <si>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</si>
  <si>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</si>
  <si>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</si>
  <si>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</si>
  <si>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</si>
  <si>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</si>
  <si>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</si>
  <si>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</si>
  <si>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</si>
  <si>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</si>
  <si>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</si>
  <si>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</si>
  <si>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</si>
  <si>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</si>
  <si>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</si>
  <si>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</si>
  <si>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</si>
  <si>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</si>
  <si>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</si>
  <si>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</si>
  <si>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</si>
  <si>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</si>
  <si>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</si>
  <si>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</si>
  <si>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</si>
  <si>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</si>
  <si>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</si>
  <si>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</si>
  <si>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</si>
  <si>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</si>
  <si>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</si>
  <si>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</si>
  <si>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</si>
  <si>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</si>
  <si>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</si>
  <si>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</si>
  <si>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</si>
  <si>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</si>
  <si>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</si>
  <si>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</si>
  <si>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</si>
  <si>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</si>
  <si>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</si>
  <si>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</si>
  <si>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</si>
  <si>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</si>
  <si>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</si>
  <si>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</si>
  <si>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</si>
  <si>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</si>
  <si>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</si>
  <si>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</si>
  <si>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</si>
  <si>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</si>
  <si>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</si>
  <si>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</si>
  <si>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</si>
  <si>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</si>
  <si>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</si>
  <si>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</si>
  <si>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</si>
  <si>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</si>
  <si>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</si>
  <si>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</si>
  <si>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</si>
  <si>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</si>
  <si>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</si>
  <si>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</si>
  <si>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</si>
  <si>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</si>
  <si>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</si>
  <si>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</si>
  <si>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</si>
  <si>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</si>
  <si>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</si>
  <si>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</si>
  <si>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</si>
  <si>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</si>
  <si>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</si>
  <si>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</si>
  <si>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</si>
  <si>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</si>
  <si>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</si>
  <si>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</si>
  <si>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</si>
  <si>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</si>
  <si>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</si>
  <si>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</si>
  <si>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</si>
  <si>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</si>
  <si>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</si>
  <si>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204:152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</si>
  <si>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</si>
  <si>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</si>
  <si>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</si>
  <si>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</si>
  <si>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</si>
  <si>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</si>
  <si>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</si>
  <si>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</si>
  <si>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</si>
  <si>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</si>
  <si>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</si>
  <si>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204:233297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</si>
  <si>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</si>
  <si>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</si>
  <si>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</si>
  <si>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</si>
  <si>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</si>
  <si>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</si>
  <si>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</si>
  <si>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</si>
  <si>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</si>
  <si>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</si>
  <si>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</si>
  <si>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204:453</t>
  </si>
  <si>
    <t>204:233295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</si>
  <si>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</si>
  <si>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</si>
  <si>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</si>
  <si>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</si>
  <si>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</si>
  <si>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</si>
  <si>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</si>
  <si>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</si>
  <si>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</si>
  <si>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</si>
  <si>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</si>
  <si>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</si>
  <si>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rtdc.l.rtdc.4029:itc</t>
  </si>
  <si>
    <t>rtdc.l.rtdc.4030:itc</t>
  </si>
  <si>
    <t>204:462</t>
  </si>
  <si>
    <t>rtdc.l.rtdc.4011:itc</t>
  </si>
  <si>
    <t>204:464</t>
  </si>
  <si>
    <t>DE.1.0.8.0</t>
  </si>
  <si>
    <t>rtdc.l.rtdc.4040:itc</t>
  </si>
  <si>
    <t>204:458</t>
  </si>
  <si>
    <t>Partly Cloudy</t>
  </si>
  <si>
    <t>204:158</t>
  </si>
  <si>
    <t>rtdc.l.rtdc.4039:itc</t>
  </si>
  <si>
    <t>rtdc.l.rtdc.4004:itc</t>
  </si>
  <si>
    <t>204:233312</t>
  </si>
  <si>
    <t>Human Factors</t>
  </si>
  <si>
    <t>STAMBAUGH</t>
  </si>
  <si>
    <t>204:469</t>
  </si>
  <si>
    <t>rtdc.l.rtdc.4012:itc</t>
  </si>
  <si>
    <t>204:160</t>
  </si>
  <si>
    <t>204:150</t>
  </si>
  <si>
    <t>rtdc.l.rtdc.4001:itc</t>
  </si>
  <si>
    <t>rtdc.l.rtdc.4002:itc</t>
  </si>
  <si>
    <t>BADERTSCHER</t>
  </si>
  <si>
    <t>MAGEE</t>
  </si>
  <si>
    <t>rtdc.l.rtdc.4016:itc</t>
  </si>
  <si>
    <t>rtdc.l.rtdc.4015:itc</t>
  </si>
  <si>
    <t>rtdc.l.rtdc.4043:itc</t>
  </si>
  <si>
    <t>204:438</t>
  </si>
  <si>
    <t>:.+((SYSTEM_STATE.+slice.+state.+changed )|(ment ac)|(system.+state.+changed )|(\[timeout)|(PRM\|1\|D)|(kpr)|(kdp)|(\|lc)|(penalty))</t>
  </si>
  <si>
    <t>rtdc.l.rtdc.4010:itc</t>
  </si>
  <si>
    <t>rtdc.l.rtdc.4022:itc</t>
  </si>
  <si>
    <t>rtdc.l.rtdc.4021:itc</t>
  </si>
  <si>
    <t>HOLCOMB</t>
  </si>
  <si>
    <t>204:473</t>
  </si>
  <si>
    <t>204:480</t>
  </si>
  <si>
    <t>rtdc.l.rtdc.4038:itc</t>
  </si>
  <si>
    <t>232-10</t>
  </si>
  <si>
    <t>236-10</t>
  </si>
  <si>
    <t>239-10</t>
  </si>
  <si>
    <t>rtdc.l.rtdc.4037:itc</t>
  </si>
  <si>
    <t>847-10</t>
  </si>
  <si>
    <t>235-10</t>
  </si>
  <si>
    <t>908-10</t>
  </si>
  <si>
    <t>234-10</t>
  </si>
  <si>
    <t>237-10</t>
  </si>
  <si>
    <t>238-10</t>
  </si>
  <si>
    <t>241-10</t>
  </si>
  <si>
    <t>240-10</t>
  </si>
  <si>
    <t>243-10</t>
  </si>
  <si>
    <t>309-10</t>
  </si>
  <si>
    <t>242-10</t>
  </si>
  <si>
    <t>311-10</t>
  </si>
  <si>
    <t>244-10</t>
  </si>
  <si>
    <t>313-10</t>
  </si>
  <si>
    <t>204:154</t>
  </si>
  <si>
    <t>204:466</t>
  </si>
  <si>
    <t>204:232980</t>
  </si>
  <si>
    <t>204:449</t>
  </si>
  <si>
    <t>204:141</t>
  </si>
  <si>
    <t>CHANDLER</t>
  </si>
  <si>
    <t>204:444</t>
  </si>
  <si>
    <t>204:232987</t>
  </si>
  <si>
    <t>rtdc.l.rtdc.4014:itc</t>
  </si>
  <si>
    <t>rtdc.l.rtdc.4013:itc</t>
  </si>
  <si>
    <t>204:233301</t>
  </si>
  <si>
    <t>204:232989</t>
  </si>
  <si>
    <t>204:232975</t>
  </si>
  <si>
    <t>CRAYTON</t>
  </si>
  <si>
    <t>204:233000</t>
  </si>
  <si>
    <t>204:232994</t>
  </si>
  <si>
    <t>204:233289</t>
  </si>
  <si>
    <t>300:58929</t>
  </si>
  <si>
    <t>204:233308</t>
  </si>
  <si>
    <t>rtdc.l.rtdc.4018:itc</t>
  </si>
  <si>
    <t>MCREYNOLDS</t>
  </si>
  <si>
    <t>NELSON</t>
  </si>
  <si>
    <t>PERKINS</t>
  </si>
  <si>
    <t>204:132</t>
  </si>
  <si>
    <t>204:440</t>
  </si>
  <si>
    <t>CLI Grep2 (for slice disagreement)</t>
  </si>
  <si>
    <t>rtdc.l.rtdc.4003:itc</t>
  </si>
  <si>
    <t>rtdc.l.rtdc.4041:itc</t>
  </si>
  <si>
    <t>rtdc.l.rtdc.4042:itc</t>
  </si>
  <si>
    <t>309-15</t>
  </si>
  <si>
    <t>243-15</t>
  </si>
  <si>
    <t>242-15</t>
  </si>
  <si>
    <t>311-15</t>
  </si>
  <si>
    <t>244-15</t>
  </si>
  <si>
    <t>313-15</t>
  </si>
  <si>
    <t>204:435</t>
  </si>
  <si>
    <t>204:145</t>
  </si>
  <si>
    <t>204:233307</t>
  </si>
  <si>
    <t>204:429</t>
  </si>
  <si>
    <t>204:232998</t>
  </si>
  <si>
    <t>300:58623</t>
  </si>
  <si>
    <t>Y</t>
  </si>
  <si>
    <t>TEMPORARY SPEED RESTRICTION</t>
  </si>
  <si>
    <t>MAELZER</t>
  </si>
  <si>
    <t>STRICKLAND</t>
  </si>
  <si>
    <t>BERLING</t>
  </si>
  <si>
    <t>LOPES</t>
  </si>
  <si>
    <t>237-16</t>
  </si>
  <si>
    <t>236-16</t>
  </si>
  <si>
    <t>241-16</t>
  </si>
  <si>
    <t>238-16</t>
  </si>
  <si>
    <t>240-16</t>
  </si>
  <si>
    <t>243-16</t>
  </si>
  <si>
    <t>309-16</t>
  </si>
  <si>
    <t>242-16</t>
  </si>
  <si>
    <t>244-16</t>
  </si>
  <si>
    <t>311-16</t>
  </si>
  <si>
    <t>partly-cloudy-night</t>
  </si>
  <si>
    <t>204:734</t>
  </si>
  <si>
    <t>204:232996</t>
  </si>
  <si>
    <t>204:147</t>
  </si>
  <si>
    <t>204:233304</t>
  </si>
  <si>
    <t>204:232993</t>
  </si>
  <si>
    <t>204:233318</t>
  </si>
  <si>
    <t>204:437</t>
  </si>
  <si>
    <t>204:232978</t>
  </si>
  <si>
    <t>204:467</t>
  </si>
  <si>
    <t>204:165</t>
  </si>
  <si>
    <t>204:232982</t>
  </si>
  <si>
    <t>204:233314</t>
  </si>
  <si>
    <t>204:233015</t>
  </si>
  <si>
    <t>204:455</t>
  </si>
  <si>
    <t>204:233300</t>
  </si>
  <si>
    <t>204:232983</t>
  </si>
  <si>
    <t>300:58613</t>
  </si>
  <si>
    <t>rtdc.l.rtdc.4031:itc</t>
  </si>
  <si>
    <t>rtdc.l.rtdc.4017:itc</t>
  </si>
  <si>
    <t>rtdc.l.rtdc.4032:itc</t>
  </si>
  <si>
    <t>SHOOK</t>
  </si>
  <si>
    <t>SMITH</t>
  </si>
  <si>
    <t>DELGADO</t>
  </si>
  <si>
    <t>240-17</t>
  </si>
  <si>
    <t>309-17</t>
  </si>
  <si>
    <t>242-17</t>
  </si>
  <si>
    <t>311-17</t>
  </si>
  <si>
    <t>244-17</t>
  </si>
  <si>
    <t>204:233332</t>
  </si>
  <si>
    <t>204:232991</t>
  </si>
  <si>
    <t>204:233282</t>
  </si>
  <si>
    <t>204:475</t>
  </si>
  <si>
    <t>204:442</t>
  </si>
  <si>
    <t>204:446</t>
  </si>
  <si>
    <t>204:176</t>
  </si>
  <si>
    <t>204:233316</t>
  </si>
  <si>
    <t>204:134</t>
  </si>
  <si>
    <t>204:232981</t>
  </si>
  <si>
    <t>204:482</t>
  </si>
  <si>
    <t>204:233287</t>
  </si>
  <si>
    <t>204:233364</t>
  </si>
  <si>
    <t>204:233305</t>
  </si>
  <si>
    <t>204:233019</t>
  </si>
  <si>
    <t>204:233334</t>
  </si>
  <si>
    <t>204:431</t>
  </si>
  <si>
    <t>300:23306</t>
  </si>
  <si>
    <t>204:684</t>
  </si>
  <si>
    <t>204:983</t>
  </si>
  <si>
    <t>204:1021</t>
  </si>
  <si>
    <t>204:720</t>
  </si>
  <si>
    <t>300:58621</t>
  </si>
  <si>
    <t>300:58928</t>
  </si>
  <si>
    <t>204:689</t>
  </si>
  <si>
    <t>rtdc.l.rtdc.4026:itc</t>
  </si>
  <si>
    <t>rtdc.l.rtdc.4045:itc</t>
  </si>
  <si>
    <t>rtdc.l.rtdc.4025:itc</t>
  </si>
  <si>
    <t>rtdc.l.rtdc.4046:itc</t>
  </si>
  <si>
    <t>DAVIS</t>
  </si>
  <si>
    <t>ROBINSON</t>
  </si>
  <si>
    <t>STEWART</t>
  </si>
  <si>
    <t>CLARK</t>
  </si>
  <si>
    <t>HAITHCOX</t>
  </si>
  <si>
    <t>YANAI</t>
  </si>
  <si>
    <t>237-18</t>
  </si>
  <si>
    <t>239-18</t>
  </si>
  <si>
    <t>236-18</t>
  </si>
  <si>
    <t>238-18</t>
  </si>
  <si>
    <t>241-18</t>
  </si>
  <si>
    <t>240-18</t>
  </si>
  <si>
    <t>243-18</t>
  </si>
  <si>
    <t>245-18</t>
  </si>
  <si>
    <t>242-18</t>
  </si>
  <si>
    <t>309-18</t>
  </si>
  <si>
    <t>244-18</t>
  </si>
  <si>
    <t>Clear</t>
  </si>
  <si>
    <t>clear-night</t>
  </si>
  <si>
    <t>204:161</t>
  </si>
  <si>
    <t>204:232986</t>
  </si>
  <si>
    <t>204:233323</t>
  </si>
  <si>
    <t>204:233310</t>
  </si>
  <si>
    <t>204:233299</t>
  </si>
  <si>
    <t>204:232988</t>
  </si>
  <si>
    <t>204:233320</t>
  </si>
  <si>
    <t>204:127</t>
  </si>
  <si>
    <t>204:232955</t>
  </si>
  <si>
    <t>204:136</t>
  </si>
  <si>
    <t>204:478</t>
  </si>
  <si>
    <t>204:460</t>
  </si>
  <si>
    <t>204:232992</t>
  </si>
  <si>
    <t>204:233004</t>
  </si>
  <si>
    <t>204:233023</t>
  </si>
  <si>
    <t>204:232973</t>
  </si>
  <si>
    <t>204:233311</t>
  </si>
  <si>
    <t>204:233046</t>
  </si>
  <si>
    <t>204:232979</t>
  </si>
  <si>
    <t>204:233001</t>
  </si>
  <si>
    <t>204:163</t>
  </si>
  <si>
    <t>204:232976</t>
  </si>
  <si>
    <t>246-18</t>
  </si>
  <si>
    <t>300:23302</t>
  </si>
  <si>
    <t>300:23310</t>
  </si>
  <si>
    <t>311-18</t>
  </si>
  <si>
    <t>300:22833</t>
  </si>
  <si>
    <t>313-18</t>
  </si>
  <si>
    <t>300:23304</t>
  </si>
  <si>
    <t>204:64161</t>
  </si>
  <si>
    <t>204:1020</t>
  </si>
  <si>
    <t>204:733</t>
  </si>
  <si>
    <t>300:58933</t>
  </si>
  <si>
    <t>300:58611</t>
  </si>
  <si>
    <t>300:58606</t>
  </si>
  <si>
    <t>300:58922</t>
  </si>
  <si>
    <t>300:58617</t>
  </si>
  <si>
    <t>300:58920</t>
  </si>
  <si>
    <t>204:696</t>
  </si>
  <si>
    <t>300:58619</t>
  </si>
  <si>
    <t>300:58939</t>
  </si>
  <si>
    <t>300:58600</t>
  </si>
  <si>
    <t>113-19</t>
  </si>
  <si>
    <t>115-19</t>
  </si>
  <si>
    <t>125-19</t>
  </si>
  <si>
    <t>116-19</t>
  </si>
  <si>
    <t>129-19</t>
  </si>
  <si>
    <t>126-19</t>
  </si>
  <si>
    <t>148-19</t>
  </si>
  <si>
    <t>154-19</t>
  </si>
  <si>
    <t>157-19</t>
  </si>
  <si>
    <t>158-19</t>
  </si>
  <si>
    <t>177-19</t>
  </si>
  <si>
    <t>174-19</t>
  </si>
  <si>
    <t>1819-19</t>
  </si>
  <si>
    <t>194-19</t>
  </si>
  <si>
    <t>64-19</t>
  </si>
  <si>
    <t>1825-19</t>
  </si>
  <si>
    <t>305-19</t>
  </si>
  <si>
    <t>1831-19</t>
  </si>
  <si>
    <t>230-19</t>
  </si>
  <si>
    <t>1833-19</t>
  </si>
  <si>
    <t>1902-19</t>
  </si>
  <si>
    <t>302-19</t>
  </si>
  <si>
    <t>101-19</t>
  </si>
  <si>
    <t>304-19</t>
  </si>
  <si>
    <t>103-19</t>
  </si>
  <si>
    <t>306-19</t>
  </si>
  <si>
    <t>ACKERMAN</t>
  </si>
  <si>
    <t>102-19</t>
  </si>
  <si>
    <t>105-19</t>
  </si>
  <si>
    <t>308-19</t>
  </si>
  <si>
    <t>310-19</t>
  </si>
  <si>
    <t>KILLION</t>
  </si>
  <si>
    <t>107-19</t>
  </si>
  <si>
    <t>104-19</t>
  </si>
  <si>
    <t>109-19</t>
  </si>
  <si>
    <t>111-19</t>
  </si>
  <si>
    <t>GEBRETEKLE</t>
  </si>
  <si>
    <t>106-19</t>
  </si>
  <si>
    <t>108-19</t>
  </si>
  <si>
    <t>1901-19</t>
  </si>
  <si>
    <t>YORK</t>
  </si>
  <si>
    <t>117-19</t>
  </si>
  <si>
    <t>1800-19</t>
  </si>
  <si>
    <t>110-19</t>
  </si>
  <si>
    <t>112-19</t>
  </si>
  <si>
    <t>119-19</t>
  </si>
  <si>
    <t>1801-19</t>
  </si>
  <si>
    <t>114-19</t>
  </si>
  <si>
    <t>121-19</t>
  </si>
  <si>
    <t>123-19</t>
  </si>
  <si>
    <t>118-19</t>
  </si>
  <si>
    <t>1802-19</t>
  </si>
  <si>
    <t>120-19</t>
  </si>
  <si>
    <t>127-19</t>
  </si>
  <si>
    <t>1803-19</t>
  </si>
  <si>
    <t>122-19</t>
  </si>
  <si>
    <t>124-19</t>
  </si>
  <si>
    <t>131-19</t>
  </si>
  <si>
    <t>1804-19</t>
  </si>
  <si>
    <t>133-19</t>
  </si>
  <si>
    <t>128-19</t>
  </si>
  <si>
    <t>135-19</t>
  </si>
  <si>
    <t>130-19</t>
  </si>
  <si>
    <t>137-19</t>
  </si>
  <si>
    <t>1805-19</t>
  </si>
  <si>
    <t>132-19</t>
  </si>
  <si>
    <t>139-19</t>
  </si>
  <si>
    <t>134-19</t>
  </si>
  <si>
    <t>1806-19</t>
  </si>
  <si>
    <t>141-19</t>
  </si>
  <si>
    <t>136-19</t>
  </si>
  <si>
    <t>143-19</t>
  </si>
  <si>
    <t>1807-19</t>
  </si>
  <si>
    <t>138-19</t>
  </si>
  <si>
    <t>145-19</t>
  </si>
  <si>
    <t>140-19</t>
  </si>
  <si>
    <t>147-19</t>
  </si>
  <si>
    <t>142-19</t>
  </si>
  <si>
    <t>1808-19</t>
  </si>
  <si>
    <t>149-19</t>
  </si>
  <si>
    <t>144-19</t>
  </si>
  <si>
    <t>151-19</t>
  </si>
  <si>
    <t>146-19</t>
  </si>
  <si>
    <t>1809-19</t>
  </si>
  <si>
    <t>153-19</t>
  </si>
  <si>
    <t>155-19</t>
  </si>
  <si>
    <t>150-19</t>
  </si>
  <si>
    <t>1810-19</t>
  </si>
  <si>
    <t>152-19</t>
  </si>
  <si>
    <t>159-19</t>
  </si>
  <si>
    <t>1811-19</t>
  </si>
  <si>
    <t>161-19</t>
  </si>
  <si>
    <t>BARTLETT</t>
  </si>
  <si>
    <t>156-19</t>
  </si>
  <si>
    <t>163-19</t>
  </si>
  <si>
    <t>MOSES</t>
  </si>
  <si>
    <t>165-19</t>
  </si>
  <si>
    <t>1812-19</t>
  </si>
  <si>
    <t>160-19</t>
  </si>
  <si>
    <t>162-19</t>
  </si>
  <si>
    <t>167-19</t>
  </si>
  <si>
    <t>BRUDER</t>
  </si>
  <si>
    <t>1813-19</t>
  </si>
  <si>
    <t>169-19</t>
  </si>
  <si>
    <t>164-19</t>
  </si>
  <si>
    <t>171-19</t>
  </si>
  <si>
    <t>STORY</t>
  </si>
  <si>
    <t>166-19</t>
  </si>
  <si>
    <t>1814-19</t>
  </si>
  <si>
    <t>173-19</t>
  </si>
  <si>
    <t>168-19</t>
  </si>
  <si>
    <t>175-19</t>
  </si>
  <si>
    <t>170-19</t>
  </si>
  <si>
    <t>1815-19</t>
  </si>
  <si>
    <t>172-19</t>
  </si>
  <si>
    <t>179-19</t>
  </si>
  <si>
    <t>1816-19</t>
  </si>
  <si>
    <t>181-19</t>
  </si>
  <si>
    <t>176-19</t>
  </si>
  <si>
    <t>183-19</t>
  </si>
  <si>
    <t>178-19</t>
  </si>
  <si>
    <t>1817-19</t>
  </si>
  <si>
    <t>185-19</t>
  </si>
  <si>
    <t>180-19</t>
  </si>
  <si>
    <t>187-19</t>
  </si>
  <si>
    <t>182-19</t>
  </si>
  <si>
    <t>1818-19</t>
  </si>
  <si>
    <t>189-19</t>
  </si>
  <si>
    <t>184-19</t>
  </si>
  <si>
    <t>191-19</t>
  </si>
  <si>
    <t>186-19</t>
  </si>
  <si>
    <t>193-19</t>
  </si>
  <si>
    <t>195-19</t>
  </si>
  <si>
    <t>188-19</t>
  </si>
  <si>
    <t>190-19</t>
  </si>
  <si>
    <t>1820-19</t>
  </si>
  <si>
    <t>197-19</t>
  </si>
  <si>
    <t>192-19</t>
  </si>
  <si>
    <t>199-19</t>
  </si>
  <si>
    <t>1821-19</t>
  </si>
  <si>
    <t>201-19</t>
  </si>
  <si>
    <t>196-19</t>
  </si>
  <si>
    <t>203-19</t>
  </si>
  <si>
    <t>198-19</t>
  </si>
  <si>
    <t>1822-19</t>
  </si>
  <si>
    <t>205-19</t>
  </si>
  <si>
    <t>200-19</t>
  </si>
  <si>
    <t>207-19</t>
  </si>
  <si>
    <t>65-19</t>
  </si>
  <si>
    <t>1823-19</t>
  </si>
  <si>
    <t>209-19</t>
  </si>
  <si>
    <t>202-19</t>
  </si>
  <si>
    <t>204-19</t>
  </si>
  <si>
    <t>211-19</t>
  </si>
  <si>
    <t>75-19</t>
  </si>
  <si>
    <t>MAHAN</t>
  </si>
  <si>
    <t>206-19</t>
  </si>
  <si>
    <t>1824-19</t>
  </si>
  <si>
    <t>213-19</t>
  </si>
  <si>
    <t>NEWELL</t>
  </si>
  <si>
    <t>74-19</t>
  </si>
  <si>
    <t>208-19</t>
  </si>
  <si>
    <t>215-19</t>
  </si>
  <si>
    <t>210-19</t>
  </si>
  <si>
    <t>217-19</t>
  </si>
  <si>
    <t>212-19</t>
  </si>
  <si>
    <t>219-19</t>
  </si>
  <si>
    <t>214-19</t>
  </si>
  <si>
    <t>73-19</t>
  </si>
  <si>
    <t>303-19</t>
  </si>
  <si>
    <t>1826-19</t>
  </si>
  <si>
    <t>216-19</t>
  </si>
  <si>
    <t>221-19</t>
  </si>
  <si>
    <t>218-19</t>
  </si>
  <si>
    <t>1827-19</t>
  </si>
  <si>
    <t>220-19</t>
  </si>
  <si>
    <t>223-19</t>
  </si>
  <si>
    <t>1828-19</t>
  </si>
  <si>
    <t>307-19</t>
  </si>
  <si>
    <t>222-19</t>
  </si>
  <si>
    <t>225-19</t>
  </si>
  <si>
    <t>224-19</t>
  </si>
  <si>
    <t>1829-19</t>
  </si>
  <si>
    <t>227-19</t>
  </si>
  <si>
    <t>1830-19</t>
  </si>
  <si>
    <t>226-19</t>
  </si>
  <si>
    <t>229-19</t>
  </si>
  <si>
    <t>228-19</t>
  </si>
  <si>
    <t>231-19</t>
  </si>
  <si>
    <t>1832-19</t>
  </si>
  <si>
    <t>233-19</t>
  </si>
  <si>
    <t>235-19</t>
  </si>
  <si>
    <t>232-19</t>
  </si>
  <si>
    <t>234-19</t>
  </si>
  <si>
    <t>237-19</t>
  </si>
  <si>
    <t>236-19</t>
  </si>
  <si>
    <t>239-19</t>
  </si>
  <si>
    <t>238-19</t>
  </si>
  <si>
    <t>241-19</t>
  </si>
  <si>
    <t>243-19</t>
  </si>
  <si>
    <t>240-19</t>
  </si>
  <si>
    <t>245-19</t>
  </si>
  <si>
    <t>242-19</t>
  </si>
  <si>
    <t>309-19</t>
  </si>
  <si>
    <t>244-19</t>
  </si>
  <si>
    <t>partly-cloudy-day</t>
  </si>
  <si>
    <t>Mostly Cloudy</t>
  </si>
  <si>
    <t>204:728</t>
  </si>
  <si>
    <t>204:232692</t>
  </si>
  <si>
    <t>204:692</t>
  </si>
  <si>
    <t>204:233189</t>
  </si>
  <si>
    <t>204:232390</t>
  </si>
  <si>
    <t>204:88</t>
  </si>
  <si>
    <t>204:232264</t>
  </si>
  <si>
    <t>204:232738</t>
  </si>
  <si>
    <t>204:109</t>
  </si>
  <si>
    <t>204:233005</t>
  </si>
  <si>
    <t>204:759</t>
  </si>
  <si>
    <t>204:232969</t>
  </si>
  <si>
    <t>204:233298</t>
  </si>
  <si>
    <t>204:169</t>
  </si>
  <si>
    <t>204:19134</t>
  </si>
  <si>
    <t>204:233286</t>
  </si>
  <si>
    <t>204:232959</t>
  </si>
  <si>
    <t>204:384</t>
  </si>
  <si>
    <t>204:232985</t>
  </si>
  <si>
    <t>204:233284</t>
  </si>
  <si>
    <t>204:233302</t>
  </si>
  <si>
    <t>204:139</t>
  </si>
  <si>
    <t>204:154430</t>
  </si>
  <si>
    <t>204:232963</t>
  </si>
  <si>
    <t>204:29870</t>
  </si>
  <si>
    <t>204:457</t>
  </si>
  <si>
    <t>204:233389</t>
  </si>
  <si>
    <t>204:233355</t>
  </si>
  <si>
    <t>204:233021</t>
  </si>
  <si>
    <t>204:232971</t>
  </si>
  <si>
    <t>204:232961</t>
  </si>
  <si>
    <t>204:233128</t>
  </si>
  <si>
    <t>204:232809</t>
  </si>
  <si>
    <t>204:233303</t>
  </si>
  <si>
    <t>204:233003</t>
  </si>
  <si>
    <t>204:495</t>
  </si>
  <si>
    <t>204:233049</t>
  </si>
  <si>
    <t>204:471</t>
  </si>
  <si>
    <t>204:504</t>
  </si>
  <si>
    <t>204:233272</t>
  </si>
  <si>
    <t>204:232947</t>
  </si>
  <si>
    <t>204:233385</t>
  </si>
  <si>
    <t>204:233051</t>
  </si>
  <si>
    <t>204:745</t>
  </si>
  <si>
    <t>204:1023</t>
  </si>
  <si>
    <t>204:738</t>
  </si>
  <si>
    <t>204:1018</t>
  </si>
  <si>
    <t>204:731</t>
  </si>
  <si>
    <t>204:1011</t>
  </si>
  <si>
    <t>204:1016</t>
  </si>
  <si>
    <t>300:58608</t>
  </si>
  <si>
    <t>204:963</t>
  </si>
  <si>
    <t>204:887</t>
  </si>
  <si>
    <t>300:58918</t>
  </si>
  <si>
    <t>204:233306</t>
  </si>
  <si>
    <t>204:736</t>
  </si>
  <si>
    <t>300:58615</t>
  </si>
  <si>
    <t>204:722</t>
  </si>
  <si>
    <t>204:843</t>
  </si>
  <si>
    <t>204:1121</t>
  </si>
  <si>
    <t>204:698</t>
  </si>
  <si>
    <t>204:969</t>
  </si>
  <si>
    <t>300:58912</t>
  </si>
  <si>
    <t>204:1897</t>
  </si>
  <si>
    <t>204:981</t>
  </si>
  <si>
    <t>204:985</t>
  </si>
  <si>
    <t>300:58946</t>
  </si>
  <si>
    <t>300:58638</t>
  </si>
  <si>
    <t>204:967</t>
  </si>
  <si>
    <t>300:58628</t>
  </si>
  <si>
    <t>204:699</t>
  </si>
  <si>
    <t>300:58954</t>
  </si>
  <si>
    <t>204:719</t>
  </si>
  <si>
    <t>204:988</t>
  </si>
  <si>
    <t>204:680</t>
  </si>
  <si>
    <t>204:972</t>
  </si>
  <si>
    <t>204:953</t>
  </si>
  <si>
    <t>300:38282</t>
  </si>
  <si>
    <t>204:233331</t>
  </si>
  <si>
    <t>204:233280</t>
  </si>
  <si>
    <t>204:233002</t>
  </si>
  <si>
    <t>300:30004</t>
  </si>
  <si>
    <t>300:21733</t>
  </si>
  <si>
    <t>204:233387</t>
  </si>
  <si>
    <t>204:233040</t>
  </si>
  <si>
    <t>204:232953</t>
  </si>
  <si>
    <t>204:174</t>
  </si>
  <si>
    <t>204:233291</t>
  </si>
  <si>
    <t>204:1169</t>
  </si>
  <si>
    <t>204:187</t>
  </si>
  <si>
    <t>204:170</t>
  </si>
  <si>
    <t>204:233368</t>
  </si>
  <si>
    <t>204:233045</t>
  </si>
  <si>
    <t>204:486</t>
  </si>
  <si>
    <t>204:233341</t>
  </si>
  <si>
    <t>204:129</t>
  </si>
  <si>
    <t>204:233327</t>
  </si>
  <si>
    <t>204:233011</t>
  </si>
  <si>
    <t>204:233006</t>
  </si>
  <si>
    <t>204:233025</t>
  </si>
  <si>
    <t>204:64159</t>
  </si>
  <si>
    <t>204:36810</t>
  </si>
  <si>
    <t>204:60465</t>
  </si>
  <si>
    <t>204:36788</t>
  </si>
  <si>
    <t>204:262</t>
  </si>
  <si>
    <t>204:56721</t>
  </si>
  <si>
    <t>204:64675</t>
  </si>
  <si>
    <t>246-19</t>
  </si>
  <si>
    <t>204:36794</t>
  </si>
  <si>
    <t>300:19726</t>
  </si>
  <si>
    <t>300:23308</t>
  </si>
  <si>
    <t>300:23232</t>
  </si>
  <si>
    <t>204:70</t>
  </si>
  <si>
    <t>300:22333</t>
  </si>
  <si>
    <t>300:23374</t>
  </si>
  <si>
    <t>300:22987</t>
  </si>
  <si>
    <t>311-19</t>
  </si>
  <si>
    <t>300:22234</t>
  </si>
  <si>
    <t>300:22174</t>
  </si>
  <si>
    <t>204:1643</t>
  </si>
  <si>
    <t>204:1136</t>
  </si>
  <si>
    <t>300:23299</t>
  </si>
  <si>
    <t>204:432</t>
  </si>
  <si>
    <t>300:23500</t>
  </si>
  <si>
    <t>204:137</t>
  </si>
  <si>
    <t>300:23312</t>
  </si>
  <si>
    <t>aws s3 cp s3://rtdc.mdm.uploadarchive.raw/RTDC4014/ "%USERPROFILE%\AppData\Local\Temp\OnboardLogs"\RTDC4014\2016-11-19 --exclude "*" --recursive --include "*20161119*" &amp; "%USERPROFILE%\Documents\GitHub\mrs-test-scripts\Headless Mode &amp; Sideloading\WalkAndUnGZ.bat" "%USERPROFILE%\AppData\Local\Temp\OnboardLogs"\RTDC4014\2016-11-19 &amp; aws s3 cp s3://rtdc.mdm.uploadarchive.raw/RTDC4014/ "%USERPROFILE%\AppData\Local\Temp\OnboardLogs"\RTDC4014\2016-11-20 --exclude "*" --recursive --include "*20161120*" &amp; "%USERPROFILE%\Documents\GitHub\mrs-test-scripts\Headless Mode &amp; Sideloading\WalkAndUnGZ.bat" "%USERPROFILE%\AppData\Local\Temp\OnboardLogs"\RTDC4014\2016-11-20</t>
  </si>
  <si>
    <t>aws s3 cp s3://rtdc.mdm.uploadarchive.raw/RTDC4003/ "%USERPROFILE%\AppData\Local\Temp\OnboardLogs"\RTDC4003\2016-11-19 --exclude "*" --recursive --include "*20161119*" &amp; "%USERPROFILE%\Documents\GitHub\mrs-test-scripts\Headless Mode &amp; Sideloading\WalkAndUnGZ.bat" "%USERPROFILE%\AppData\Local\Temp\OnboardLogs"\RTDC4003\2016-11-19 &amp; aws s3 cp s3://rtdc.mdm.uploadarchive.raw/RTDC4003/ "%USERPROFILE%\AppData\Local\Temp\OnboardLogs"\RTDC4003\2016-11-20 --exclude "*" --recursive --include "*20161120*" &amp; "%USERPROFILE%\Documents\GitHub\mrs-test-scripts\Headless Mode &amp; Sideloading\WalkAndUnGZ.bat" "%USERPROFILE%\AppData\Local\Temp\OnboardLogs"\RTDC4003\2016-11-20</t>
  </si>
  <si>
    <t>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 &amp; 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</t>
  </si>
  <si>
    <t>aws s3 cp s3://rtdc.mdm.uploadarchive.raw/RTDC4001/ "%USERPROFILE%\AppData\Local\Temp\OnboardLogs"\RTDC4001\2016-11-20 --exclude "*" --recursive --include "*20161120*" &amp; "%USERPROFILE%\Documents\GitHub\mrs-test-scripts\Headless Mode &amp; Sideloading\WalkAndUnGZ.bat" "%USERPROFILE%\AppData\Local\Temp\OnboardLogs"\RTDC4001\2016-11-20 &amp; 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</t>
  </si>
  <si>
    <t>aws s3 cp s3://rtdc.mdm.uploadarchive.raw/RTDC4045/ "%USERPROFILE%\AppData\Local\Temp\OnboardLogs"\RTDC4045\2016-11-20 --exclude "*" --recursive --include "*20161120*" &amp; "%USERPROFILE%\Documents\GitHub\mrs-test-scripts\Headless Mode &amp; Sideloading\WalkAndUnGZ.bat" "%USERPROFILE%\AppData\Local\Temp\OnboardLogs"\RTDC4045\2016-11-20 &amp; aws s3 cp s3://rtdc.mdm.uploadarchive.raw/RTDC4045/ "%USERPROFILE%\AppData\Local\Temp\OnboardLogs"\RTDC4045\2016-11-21 --exclude "*" --recursive --include "*20161121*" &amp; "%USERPROFILE%\Documents\GitHub\mrs-test-scripts\Headless Mode &amp; Sideloading\WalkAndUnGZ.bat" "%USERPROFILE%\AppData\Local\Temp\OnboardLogs"\RTDC4045\2016-11-21</t>
  </si>
  <si>
    <t>aws s3 cp s3://rtdc.mdm.uploadarchive.raw/RTDC4038/ "%USERPROFILE%\AppData\Local\Temp\OnboardLogs"\RTDC4038\2016-11-20 --exclude "*" --recursive --include "*20161120*" &amp; "%USERPROFILE%\Documents\GitHub\mrs-test-scripts\Headless Mode &amp; Sideloading\WalkAndUnGZ.bat" "%USERPROFILE%\AppData\Local\Temp\OnboardLogs"\RTDC4038\2016-11-20 &amp; aws s3 cp s3://rtdc.mdm.uploadarchive.raw/RTDC4038/ "%USERPROFILE%\AppData\Local\Temp\OnboardLogs"\RTDC4038\2016-11-21 --exclude "*" --recursive --include "*20161121*" &amp; "%USERPROFILE%\Documents\GitHub\mrs-test-scripts\Headless Mode &amp; Sideloading\WalkAndUnGZ.bat" "%USERPROFILE%\AppData\Local\Temp\OnboardLogs"\RTDC4038\2016-11-21</t>
  </si>
  <si>
    <t>aws s3 cp s3://rtdc.mdm.uploadarchive.raw/RTDC4037/ "%USERPROFILE%\AppData\Local\Temp\OnboardLogs"\RTDC4037\2016-11-20 --exclude "*" --recursive --include "*20161120*" &amp; "%USERPROFILE%\Documents\GitHub\mrs-test-scripts\Headless Mode &amp; Sideloading\WalkAndUnGZ.bat" "%USERPROFILE%\AppData\Local\Temp\OnboardLogs"\RTDC4037\2016-11-20 &amp; aws s3 cp s3://rtdc.mdm.uploadarchive.raw/RTDC4037/ "%USERPROFILE%\AppData\Local\Temp\OnboardLogs"\RTDC4037\2016-11-21 --exclude "*" --recursive --include "*20161121*" &amp; "%USERPROFILE%\Documents\GitHub\mrs-test-scripts\Headless Mode &amp; Sideloading\WalkAndUnGZ.bat" "%USERPROFILE%\AppData\Local\Temp\OnboardLogs"\RTDC4037\2016-11-21</t>
  </si>
  <si>
    <t>aws s3 cp s3://rtdc.mdm.uploadarchive.raw/RTDC4022/ "%USERPROFILE%\AppData\Local\Temp\OnboardLogs"\RTDC4022\2016-11-19 --exclude "*" --recursive --include "*20161119*" &amp; "%USERPROFILE%\Documents\GitHub\mrs-test-scripts\Headless Mode &amp; Sideloading\WalkAndUnGZ.bat" "%USERPROFILE%\AppData\Local\Temp\OnboardLogs"\RTDC4022\2016-11-19 &amp; 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</t>
  </si>
  <si>
    <t>aws s3 cp s3://rtdc.mdm.uploadarchive.raw/RTDC4037/ "%USERPROFILE%\AppData\Local\Temp\OnboardLogs"\RTDC4037\2016-11-19 --exclude "*" --recursive --include "*20161119*" &amp; "%USERPROFILE%\Documents\GitHub\mrs-test-scripts\Headless Mode &amp; Sideloading\WalkAndUnGZ.bat" "%USERPROFILE%\AppData\Local\Temp\OnboardLogs"\RTDC4037\2016-11-19 &amp; aws s3 cp s3://rtdc.mdm.uploadarchive.raw/RTDC4037/ "%USERPROFILE%\AppData\Local\Temp\OnboardLogs"\RTDC4037\2016-11-20 --exclude "*" --recursive --include "*20161120*" &amp; "%USERPROFILE%\Documents\GitHub\mrs-test-scripts\Headless Mode &amp; Sideloading\WalkAndUnGZ.bat" "%USERPROFILE%\AppData\Local\Temp\OnboardLogs"\RTDC4037\2016-11-20</t>
  </si>
  <si>
    <t>aws s3 cp s3://rtdc.mdm.uploadarchive.raw/RTDC4038/ "%USERPROFILE%\AppData\Local\Temp\OnboardLogs"\RTDC4038\2016-11-19 --exclude "*" --recursive --include "*20161119*" &amp; "%USERPROFILE%\Documents\GitHub\mrs-test-scripts\Headless Mode &amp; Sideloading\WalkAndUnGZ.bat" "%USERPROFILE%\AppData\Local\Temp\OnboardLogs"\RTDC4038\2016-11-19 &amp; aws s3 cp s3://rtdc.mdm.uploadarchive.raw/RTDC4038/ "%USERPROFILE%\AppData\Local\Temp\OnboardLogs"\RTDC4038\2016-11-20 --exclude "*" --recursive --include "*20161120*" &amp; "%USERPROFILE%\Documents\GitHub\mrs-test-scripts\Headless Mode &amp; Sideloading\WalkAndUnGZ.bat" "%USERPROFILE%\AppData\Local\Temp\OnboardLogs"\RTDC4038\2016-11-20</t>
  </si>
  <si>
    <t>aws s3 cp s3://rtdc.mdm.uploadarchive.raw/RTDC4013/ "%USERPROFILE%\AppData\Local\Temp\OnboardLogs"\RTDC4013\2016-11-19 --exclude "*" --recursive --include "*20161119*" &amp; "%USERPROFILE%\Documents\GitHub\mrs-test-scripts\Headless Mode &amp; Sideloading\WalkAndUnGZ.bat" "%USERPROFILE%\AppData\Local\Temp\OnboardLogs"\RTDC4013\2016-11-19 &amp; aws s3 cp s3://rtdc.mdm.uploadarchive.raw/RTDC4013/ "%USERPROFILE%\AppData\Local\Temp\OnboardLogs"\RTDC4013\2016-11-20 --exclude "*" --recursive --include "*20161120*" &amp; "%USERPROFILE%\Documents\GitHub\mrs-test-scripts\Headless Mode &amp; Sideloading\WalkAndUnGZ.bat" "%USERPROFILE%\AppData\Local\Temp\OnboardLogs"\RTDC4013\2016-11-20</t>
  </si>
  <si>
    <t>aws s3 cp s3://rtdc.mdm.uploadarchive.raw/RTDC4004/ "%USERPROFILE%\AppData\Local\Temp\OnboardLogs"\RTDC4004\2016-11-19 --exclude "*" --recursive --include "*20161119*" &amp; "%USERPROFILE%\Documents\GitHub\mrs-test-scripts\Headless Mode &amp; Sideloading\WalkAndUnGZ.bat" "%USERPROFILE%\AppData\Local\Temp\OnboardLogs"\RTDC4004\2016-11-19 &amp; 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</t>
  </si>
  <si>
    <t>aws s3 cp s3://rtdc.mdm.uploadarchive.raw/RTDC4012/ "%USERPROFILE%\AppData\Local\Temp\OnboardLogs"\RTDC4012\2016-11-19 --exclude "*" --recursive --include "*20161119*" &amp; "%USERPROFILE%\Documents\GitHub\mrs-test-scripts\Headless Mode &amp; Sideloading\WalkAndUnGZ.bat" "%USERPROFILE%\AppData\Local\Temp\OnboardLogs"\RTDC4012\2016-11-19 &amp; 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</t>
  </si>
  <si>
    <t>aws s3 cp s3://rtdc.mdm.uploadarchive.raw/RTDC4040/ "%USERPROFILE%\AppData\Local\Temp\OnboardLogs"\RTDC4040\2016-11-19 --exclude "*" --recursive --include "*20161119*" &amp; "%USERPROFILE%\Documents\GitHub\mrs-test-scripts\Headless Mode &amp; Sideloading\WalkAndUnGZ.bat" "%USERPROFILE%\AppData\Local\Temp\OnboardLogs"\RTDC4040\2016-11-19 &amp; 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</t>
  </si>
  <si>
    <t>aws s3 cp s3://rtdc.mdm.uploadarchive.raw/RTDC4046/ "%USERPROFILE%\AppData\Local\Temp\OnboardLogs"\RTDC4046\2016-11-19 --exclude "*" --recursive --include "*20161119*" &amp; "%USERPROFILE%\Documents\GitHub\mrs-test-scripts\Headless Mode &amp; Sideloading\WalkAndUnGZ.bat" "%USERPROFILE%\AppData\Local\Temp\OnboardLogs"\RTDC4046\2016-11-19 &amp; aws s3 cp s3://rtdc.mdm.uploadarchive.raw/RTDC4046/ "%USERPROFILE%\AppData\Local\Temp\OnboardLogs"\RTDC4046\2016-11-20 --exclude "*" --recursive --include "*20161120*" &amp; "%USERPROFILE%\Documents\GitHub\mrs-test-scripts\Headless Mode &amp; Sideloading\WalkAndUnGZ.bat" "%USERPROFILE%\AppData\Local\Temp\OnboardLogs"\RTDC4046\2016-11-20</t>
  </si>
  <si>
    <t>DUS 4N STOP due to 22N STOP</t>
  </si>
  <si>
    <t>Onboard in-route failure</t>
  </si>
  <si>
    <t>SYS :2016/11/19 14:26:03.765:FAULT_MGR:Object: COMPARATOR on CPU3 has changed fault: 702 (TMC: Multiple CPU Faults) on TMC from CLEAR to ACTIVE</t>
  </si>
  <si>
    <t>BI-1: Penalty Open coincident with CPU2 vote out</t>
  </si>
  <si>
    <t>Need help getting to the bottom of this one. I think the Onboard did not command a penalty, merely detected one. Coincident with the event was CPU2 being voted out, therefore I can't entirely rule out an Onboard issue. Any insights appreciated, thanks!</t>
  </si>
  <si>
    <t>Due to known work taking place</t>
  </si>
  <si>
    <t>Wi-MAX data drop</t>
  </si>
  <si>
    <t>http://stevetu21.github.io/eaglep3/load_kml.html?kml=http://rtdc.gmaps-snips.s3.amazonaws.com/845b9768-2025-4afb-a10f-13d49dee9d92.kml</t>
  </si>
  <si>
    <t>Form C</t>
  </si>
  <si>
    <t>Early arrival</t>
  </si>
  <si>
    <t>40th 4S STOP</t>
  </si>
  <si>
    <t>Pena 4S STOP</t>
  </si>
  <si>
    <t>http://stevetu21.github.io/eaglep3/load_kml.html?kml=http://rtdc.gmaps-snips.s3.amazonaws.com/c45fc70c-4dd9-4631-836d-14c360adf375.kml</t>
  </si>
  <si>
    <t>Planned XING ADT / Subdiv work</t>
  </si>
  <si>
    <t>SYS :2016/11/19 11:21:36.437:ENFORCEMENT:Predictive Enforcement Action:  Target Number: 00001002  Target Speed:   0.0  Current Speed:   9.1</t>
  </si>
  <si>
    <t>SYS :2016/11/19 12:50:55.857:ENFORCEMENT:Predictive Enforcement Action:  Target Number: 00001003  Target Speed:   0.0  Current Speed:  15.5</t>
  </si>
  <si>
    <t>SYS :2016/11/19 12:50:56.301:ENFORCEMENT:Predictive Enforcement Action:  Target Number: 00001003  Target Speed:   0.0  Current Speed:  15.3</t>
  </si>
  <si>
    <t>SYS :2016/11/19 12:50:56.433:ENFORCEMENT:Predictive Enforcement Action:  Target Number: 00001003  Target Speed:   0.0  Current Speed:  15.5</t>
  </si>
  <si>
    <t>SYS :2016/11/19 12:53:56.457:ENFORCEMENT:Predictive Enforcement Action:  Target Number: 00010049  Target Speed:  40.0  Current Speed:  60.6</t>
  </si>
  <si>
    <t>SYS :2016/11/19 12:53:57.205:ENFORCEMENT:Predictive Enforcement Action:  Target Number: 00010049  Target Speed:  40.0  Current Speed:  60.6</t>
  </si>
  <si>
    <t>SYS :2016/11/19 13:53:21.581:ENFORCEMENT:Reactive Enforcement Action:  Target Number: 00017028  Target Speed:  35.0  Current Speed:  40.0</t>
  </si>
  <si>
    <t>SYS :2016/11/19 13:53:22.622:ENFORCEMENT:Reactive Enforcement Action:  Target Number: 00017028  Target Speed:  35.0  Current Speed:  40.0</t>
  </si>
  <si>
    <t>SYS :2016/11/19 14:45:19.457:ENFORCEMENT:Predictive Enforcement Action:  Target Number: 0001006A  Target Speed:  60.0  Current Speed:  67.2</t>
  </si>
  <si>
    <t>SYS :2016/11/19 14:45:20.206:ENFORCEMENT:Predictive Enforcement Action:  Target Number: 0001006A  Target Speed:  60.0  Current Speed:  67.2</t>
  </si>
  <si>
    <t>SYS :2016/11/19 14:55:12.761:ENFORCEMENT:Predictive Enforcement Action:  Target Number: 00006066  Target Speed:   0.0  Current Speed:  35.1</t>
  </si>
  <si>
    <t>SYS :2016/11/19 14:55:13.239:ENFORCEMENT:Predictive Enforcement Action:  Target Number: 00006066  Target Speed:   0.0  Current Speed:  34.5</t>
  </si>
  <si>
    <t>SYS :2016/11/19 14:55:13.497:ENFORCEMENT:Predictive Enforcement Action:  Target Number: 0000606D  Target Speed:   0.0  Current Speed:  34.5</t>
  </si>
  <si>
    <t>SYS :2016/11/19 18:04:16.805:ENFORCEMENT:Predictive Enforcement Action:  Target Number: 00001006  Target Speed:   0.0  Current Speed:   4.3</t>
  </si>
  <si>
    <t>SYS :2016/11/19 18:04:16.935:ENFORCEMENT:Predictive Enforcement Action:  Target Number: 00001006  Target Speed:   0.0  Current Speed:   4.3</t>
  </si>
  <si>
    <t>SYS :2016/11/19 18:04:17.691:ENFORCEMENT:Predictive Enforcement Action:  Target Number: 00001006  Target Speed:   0.0  Current Speed:   4.3</t>
  </si>
  <si>
    <t>SYS :2016/11/19 18:15:48.750:ENFORCEMENT:Predictive Enforcement Action:  Target Number: 000060E6  Target Speed:   0.0  Current Speed:  36.6</t>
  </si>
  <si>
    <t>SYS :2016/11/19 18:15:49.018:ENFORCEMENT:Predictive Enforcement Action:  Target Number: 0000605B  Target Speed:   0.0  Current Speed:  36.6</t>
  </si>
  <si>
    <t>SYS :2016/11/19 18:15:49.393:ENFORCEMENT:Predictive Enforcement Action:  Target Number: 000060ED  Target Speed:   0.0  Current Speed:  36.0</t>
  </si>
  <si>
    <t>SYS :2016/11/19 18:22:26.436:ENFORCEMENT:Predictive Enforcement Action:  Target Number: 0000100B  Target Speed:   0.0  Current Speed:   8.6</t>
  </si>
  <si>
    <t>SYS :2016/11/19 18:22:27.184:ENFORCEMENT:Predictive Enforcement Action:  Target Number: 0000100B  Target Speed:   0.0  Current Speed:   8.6</t>
  </si>
  <si>
    <t>SYS :2016/11/19 21:17:46.818:ENFORCEMENT:Predictive Enforcement Action:  Target Number: 000100DA  Target Speed:  20.0  Current Speed:  29.6</t>
  </si>
  <si>
    <t>SYS :2016/11/19 21:17:47.159:ENFORCEMENT:Predictive Enforcement Action:  Target Number: 0001006F  Target Speed:  20.0  Current Speed:  29.6</t>
  </si>
  <si>
    <t>SYS :2016/11/19 21:17:47.537:ENFORCEMENT:Predictive Enforcement Action:  Target Number: 0001004A  Target Speed:  20.0  Current Speed:  29.6</t>
  </si>
  <si>
    <t>SYS :2016/11/19 22:33:20.008:ENFORCEMENT:Predictive Enforcement Action:  Target Number: 000100B0  Target Speed:  15.0  Current Speed:  34.7</t>
  </si>
  <si>
    <t>SYS :2016/11/19 22:33:20.478:ENFORCEMENT:Predictive Enforcement Action:  Target Number: 000100AC  Target Speed:  15.0  Current Speed:  33.9</t>
  </si>
  <si>
    <t>SYS :2016/11/19 22:33:20.831:ENFORCEMENT:Predictive Enforcement Action:  Target Number: 000100B0  Target Speed:  15.0  Current Speed:  33.9</t>
  </si>
  <si>
    <t>SYS :2016/11/19 23:27:07.302:ENFORCEMENT:Predictive Enforcement Action:  Target Number: 000061A9  Target Speed:   0.0  Current Speed:  32.3</t>
  </si>
  <si>
    <t>SYS :2016/11/19 23:27:07.475:ENFORCEMENT:Predictive Enforcement Action:  Target Number: 000060D2  Target Speed:   0.0  Current Speed:  32.3</t>
  </si>
  <si>
    <t>SYS :2016/11/19 23:27:08.491:ENFORCEMENT:Predictive Enforcement Action:  Target Number: 00006163  Target Speed:   0.0  Current Speed:  32.3</t>
  </si>
  <si>
    <t>SYS :2016/11/20 01:23:26.480:ENFORCEMENT:Reactive Enforcement Action:  Target Number: 000100F9  Target Speed:  20.0  Current Speed:  25.0</t>
  </si>
  <si>
    <t>SYS :2016/11/20 01:23:26.832:ENFORCEMENT:Reactive Enforcement Action:  Target Number: 000100FD  Target Speed:  20.0  Current Speed:  25.0</t>
  </si>
  <si>
    <t>SYS :2016/11/20 01:23:27.005:ENFORCEMENT:Reactive Enforcement Action:  Target Number: 000100FD  Target Speed:  20.0  Current Speed:  25.0</t>
  </si>
  <si>
    <t>SYS :2016/11/20 02:18:55.474:ENFORCEMENT:Predictive Enforcement Action:  Target Number: 00006297  Target Speed:   0.0  Current Speed:  42.9</t>
  </si>
  <si>
    <t>SYS :2016/11/20 02:18:55.622:ENFORCEMENT:Predictive Enforcement Action:  Target Number: 0000626F  Target Speed:   0.0  Current Speed:  42.6</t>
  </si>
  <si>
    <t>SYS :2016/11/20 02:18:56.874:ENFORCEMENT:Predictive Enforcement Action:  Target Number: 00006265  Target Speed:   0.0  Current Speed:  42.5</t>
  </si>
  <si>
    <t>SYS :2016/11/20 04:26:37.495:ENFORCEMENT:Predictive Enforcement Action:  Target Number: 0001016A  Target Speed:  30.0  Current Speed:  35.2</t>
  </si>
  <si>
    <t>SYS :2016/11/20 04:26:37.847:ENFORCEMENT:Predictive Enforcement Action:  Target Number: 0001016E  Target Speed:  30.0  Current Speed:  35.2</t>
  </si>
  <si>
    <t>SYS :2016/11/20 04:26:38.024:ENFORCEMENT:Predictive Enforcement Action:  Target Number: 0001016F  Target Speed:  30.0  Current Speed:  35.2</t>
  </si>
  <si>
    <t>SYS :2016/11/20 04:27:46.487:ENFORCEMENT:Reactive Enforcement Action:  Target Number: 0000616C  Target Speed:   0.0  Current Speed:  24.6</t>
  </si>
  <si>
    <t>SYS :2016/11/20 05:26:24.401:ENFORCEMENT:Predictive Enforcement Action:  Target Number: 000170E9  Target Speed:   0.0  Current Speed:  16.1</t>
  </si>
  <si>
    <t>SYS :2016/11/20 05:26:25.022:ENFORCEMENT:Predictive Enforcement Action:  Target Number: 000170B4  Target Speed:   0.0  Current Speed:  16.0</t>
  </si>
  <si>
    <t>SYS :2016/11/20 05:26:25.747:ENFORCEMENT:Reactive Enforcement Action:  Target Number: 000170E9  Target Speed:   0.0  Current Speed:  15.9</t>
  </si>
  <si>
    <t>SYS :2016/11/20 05:29:11.844:ENFORCEMENT:Predictive Enforcement Action:  Target Number: 000061C4  Target Speed:   0.0  Current Speed:  36.5</t>
  </si>
  <si>
    <t>SYS :2016/11/20 05:29:13.009:ENFORCEMENT:Predictive Enforcement Action:  Target Number: 000061B2  Target Speed:   0.0  Current Speed:  36.7</t>
  </si>
  <si>
    <t>SYS :2016/11/20 05:29:13.107:ENFORCEMENT:Predictive Enforcement Action:  Target Number: 0000602D  Target Speed:   0.0  Current Speed:  36.7</t>
  </si>
  <si>
    <t>SYS :2016/11/20 05:43:28.629:ENFORCEMENT:Reactive Enforcement Action:  Target Number: 00010164  Target Speed:  15.0  Current Speed:  20.2</t>
  </si>
  <si>
    <t>SYS :2016/11/20 05:43:28.727:ENFORCEMENT:Reactive Enforcement Action:  Target Number: 00010163  Target Speed:  15.0  Current Speed:  20.2</t>
  </si>
  <si>
    <t>SYS :2016/11/20 05:43:29.641:ENFORCEMENT:Reactive Enforcement Action:  Target Number: 00010163  Target Speed:  15.0  Current Speed:  20.2</t>
  </si>
  <si>
    <t>SYS :2016/11/20 09:18:10.756:ENFORCEMENT:Predictive Enforcement Action:  Target Number: 00006330  Target Speed:   0.0  Current Speed:   6.3</t>
  </si>
  <si>
    <t>SYS :2016/11/20 09:18:11.014:ENFORCEMENT:Predictive Enforcement Action:  Target Number: 000062A6  Target Speed:   0.0  Current Speed:   6.3</t>
  </si>
  <si>
    <t>SYS :2016/11/20 09:18:11.395:ENFORCEMENT:Predictive Enforcement Action:  Target Number: 00006337  Target Speed:   0.0  Current Speed:   6.4</t>
  </si>
  <si>
    <t>Banner without braking</t>
  </si>
  <si>
    <t>CPU2 commanded penalty, others did not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</si>
</sst>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stevetu21.github.io/eaglep3/load_kml.html?kml=http://rtdc.gmaps-snips.s3.amazonaws.com/c45fc70c-4dd9-4631-836d-14c360adf375.kml" TargetMode="External"/><Relationship Id="rId1" Type="http://schemas.openxmlformats.org/officeDocument/2006/relationships/hyperlink" Target="http://stevetu21.github.io/eaglep3/load_kml.html?kml=http://rtdc.gmaps-snips.s3.amazonaws.com/845b9768-2025-4afb-a10f-13d49dee9d92.kml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1"/>
  <sheetViews>
    <sheetView tabSelected="1"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42693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42693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146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34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COUNTIFS($N$13:$N$9384,"&gt;0",$AG$13:$AG$9384,I1)</f>
        <v>140</v>
      </c>
      <c r="K5" s="44"/>
      <c r="L5" s="44"/>
      <c r="M5" s="45">
        <f>AVERAGEIFS($N$13:$N$9384,$AG$13:$AG$9384,I1)</f>
        <v>37.851190475464264</v>
      </c>
      <c r="N5" s="43">
        <f t="array" ref="N5">MIN(IF($AG$13:$AG$9384=I1,IF(ISNUMBER($N$13:$N$9384),IF($N$13:$N$9384&gt;0,$N$13:$N$9384))))</f>
        <v>34.033333326224238</v>
      </c>
      <c r="O5" s="3">
        <f t="array" ref="O5">MAX(IF($AG$13:$AG$9384=I1,IF(ISNUMBER($N$13:$N$9384),IF($N$13:$N$9384&gt;0,$N$13:$N$9384))))</f>
        <v>46.166666666977108</v>
      </c>
      <c r="P5" s="2"/>
      <c r="R5" s="80" t="s">
        <v>17</v>
      </c>
      <c r="S5" s="55">
        <f>COUNTIFS($N$13:$N$9384,"&gt;0",$AG$13:$AG$9384,R1)</f>
        <v>33</v>
      </c>
      <c r="T5" s="44"/>
      <c r="U5" s="169"/>
      <c r="V5" s="45">
        <f>AVERAGEIFS($N$13:$N$9384,$AG$13:$AG$9384,R1)</f>
        <v>14.265656565125523</v>
      </c>
      <c r="W5" s="43">
        <f t="array" ref="W5">MIN(IF($AG$13:$AG$9384=R1,IF(ISNUMBER($N$13:$N$9384),IF($N$13:$N$9384&gt;0,$N$13:$N$9384))))</f>
        <v>11.850000004051253</v>
      </c>
      <c r="X5" s="173">
        <f t="array" ref="X5">MAX(IF($AG$13:$AG$9384=R1,IF(ISNUMBER($N$13:$N$9384),IF($N$13:$N$9384&gt;0,$N$13:$N$9384))))</f>
        <v>16.416666669538245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COUNT($O$13:$O$159)</f>
        <v>0</v>
      </c>
      <c r="K6" s="44"/>
      <c r="L6" s="44"/>
      <c r="M6" s="45">
        <f>IFERROR(AVERAGE($O$13:$O$159),0)</f>
        <v>0</v>
      </c>
      <c r="N6" s="43">
        <f>MIN($O$13:$O$159)</f>
        <v>0</v>
      </c>
      <c r="O6" s="3">
        <f>MAX($O$13:$O$159)</f>
        <v>0</v>
      </c>
      <c r="P6" s="2"/>
      <c r="R6" s="81" t="s">
        <v>43</v>
      </c>
      <c r="S6" s="55">
        <f>COUNT($O$13:$O$159)</f>
        <v>0</v>
      </c>
      <c r="T6" s="44"/>
      <c r="U6" s="169"/>
      <c r="V6" s="45">
        <f>IFERROR(AVERAGE($O$13:$O$159),0)</f>
        <v>0</v>
      </c>
      <c r="W6" s="43">
        <f>MIN($O$13:$O$159)</f>
        <v>0</v>
      </c>
      <c r="X6" s="173">
        <f>MAX($O$13:$O$159)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COUNTIFS($P$13:$P$9384,"&gt;0",$AG$13:$AG$9384,I1)</f>
        <v>6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COUNTIFS($P$13:$P$9384,"&gt;0",$AG$13:$AG$9384,R1)</f>
        <v>1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140</v>
      </c>
      <c r="K8" s="44"/>
      <c r="L8" s="44"/>
      <c r="M8" s="45">
        <f>M5</f>
        <v>37.851190475464264</v>
      </c>
      <c r="N8" s="43">
        <f>N5</f>
        <v>34.033333326224238</v>
      </c>
      <c r="O8" s="3">
        <f>O5</f>
        <v>46.166666666977108</v>
      </c>
      <c r="P8" s="2"/>
      <c r="R8" s="80" t="s">
        <v>16</v>
      </c>
      <c r="S8" s="55">
        <f>S5</f>
        <v>33</v>
      </c>
      <c r="T8" s="44"/>
      <c r="U8" s="169"/>
      <c r="V8" s="45">
        <f>V5</f>
        <v>14.265656565125523</v>
      </c>
      <c r="W8" s="43">
        <f>W5</f>
        <v>11.850000004051253</v>
      </c>
      <c r="X8" s="173">
        <f>X5</f>
        <v>16.416666669538245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0.95890410958904104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0.97058823529411764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- 2016-11-19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AVERAGE(S13:S104)</f>
        <v>0.98901098901098905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464</v>
      </c>
      <c r="B13" s="7">
        <v>4038</v>
      </c>
      <c r="C13" s="22" t="s">
        <v>218</v>
      </c>
      <c r="D13" s="22" t="s">
        <v>649</v>
      </c>
      <c r="E13" s="13">
        <v>42693.13208333333</v>
      </c>
      <c r="F13" s="13">
        <v>42693.135682870372</v>
      </c>
      <c r="G13" s="7">
        <v>1</v>
      </c>
      <c r="H13" s="22" t="s">
        <v>335</v>
      </c>
      <c r="I13" s="13">
        <v>42693.160937499997</v>
      </c>
      <c r="J13" s="7">
        <v>0</v>
      </c>
      <c r="K13" s="109" t="str">
        <f t="shared" ref="K13:K74" si="0">IF(ISEVEN(B13),(B13-1)&amp;"/"&amp;B13,B13&amp;"/"&amp;(B13+1))</f>
        <v>4037/4038</v>
      </c>
      <c r="L13" s="22" t="str">
        <f>VLOOKUP(A13,'Trips&amp;Operators'!$C$1:$E$10000,3,FALSE)</f>
        <v>MAELZER</v>
      </c>
      <c r="M13" s="6">
        <f t="shared" ref="M13:M74" si="1">I13-F13</f>
        <v>2.5254629625123926E-2</v>
      </c>
      <c r="N13" s="7">
        <f t="shared" ref="N13:P74" si="2">24*60*SUM($M13:$M13)</f>
        <v>36.366666660178453</v>
      </c>
      <c r="O13" s="7"/>
      <c r="P13" s="7"/>
      <c r="Q13" s="23"/>
      <c r="R13" s="23"/>
      <c r="S13" s="35">
        <f t="shared" ref="S13:S74" si="3">SUM(U13:U13)/IF(AG13="EC",12,1)</f>
        <v>1</v>
      </c>
      <c r="T13" s="50" t="str">
        <f t="shared" ref="T13:T74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4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https://search-rtdc-monitor-bjffxe2xuh6vdkpspy63sjmuny.us-east-1.es.amazonaws.com/_plugin/kibana/#/discover/Steve-Slow-Train-Analysis-(2080s-and-2083s)?_g=(refreshInterval:(display:Off,section:0,value:0),time:(from:'2016-11-19 02:10:12-700',mode:absolute,to:'2016-11-19 04:51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" s="52" t="str">
        <f t="shared" ref="W13:W74" si="6">IF(AA13&lt;IF(AG13="EC",23,5.65),"Y","N")</f>
        <v>N</v>
      </c>
      <c r="X13" s="177" t="e">
        <f t="shared" ref="X13:X74" si="7">VALUE(LEFT(AD13,4))-VALUE(LEFT(AD12,4))</f>
        <v>#VALUE!</v>
      </c>
      <c r="Y13" s="67">
        <f t="shared" ref="Y13:Y74" si="8">RIGHT(D13,LEN(D13)-4)/10000</f>
        <v>7.2800000000000004E-2</v>
      </c>
      <c r="Z13" s="67">
        <f t="shared" ref="Z13:Z74" si="9">RIGHT(H13,LEN(H13)-4)/10000</f>
        <v>23.331399999999999</v>
      </c>
      <c r="AA13" s="67">
        <f t="shared" ref="AA13:AA74" si="10">ABS(Z13-Y13)</f>
        <v>23.258599999999998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 t="shared" ref="AD13:AD74" si="11">IF(LEN(A13)=6,"0"&amp;A13,A13)</f>
        <v>0101-19</v>
      </c>
      <c r="AE13" s="91" t="str">
        <f t="shared" ref="AE13:AE74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s3://rtdc.mdm.uploadarchive.raw/RTDC4038/ "%USERPROFILE%\AppData\Local\Temp\OnboardLogs"\RTDC4038\2016-11-19 --exclude "*" --recursive --include "*20161119*" &amp; "%USERPROFILE%\Documents\GitHub\mrs-test-scripts\Headless Mode &amp; Sideloading\WalkAndUnGZ.bat" "%USERPROFILE%\AppData\Local\Temp\OnboardLogs"\RTDC4038\2016-11-19 &amp; aws s3 cp s3://rtdc.mdm.uploadarchive.raw/RTDC4038/ "%USERPROFILE%\AppData\Local\Temp\OnboardLogs"\RTDC4038\2016-11-20 --exclude "*" --recursive --include "*20161120*" &amp; "%USERPROFILE%\Documents\GitHub\mrs-test-scripts\Headless Mode &amp; Sideloading\WalkAndUnGZ.bat" "%USERPROFILE%\AppData\Local\Temp\OnboardLogs"\RTDC4038\2016-11-20</v>
      </c>
      <c r="AF13" s="88" t="str">
        <f t="shared" ref="AF13:AF74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/stypes="app*4038*20161119*" /stext=" 10:.+((SYSTEM_STATE.+slice.+state.+changed )|(ment ac)|(system.+state.+changed )|(\[timeout)|(PRM\|1\|D)|(kpr)|(kdp)|(\|lc)|(penalty))" /e /r /s</v>
      </c>
      <c r="AG13" s="1" t="str">
        <f t="shared" ref="AG13:AG74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101-19 --locoid 4038 --swversion DE.1.0.8.0 --startMP 204:728 --initTime 2016-11-19T03:10:12 --startdatetime 2016-11-19T03:15:23 --delay 1 --endMP 204:233314 --enddatetime 2016-11-19T03:51:45 --enforcementcount 0 &gt;&gt;C:\Users\stu\Documents\GitHub\eaglep3-reporting\EC\2016-11-19-refined-times.txt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{"issue":{"subject":"","project_id":79,"tracker_id":40,"status_id":1,"priority_id":2,"assigned_to_id":23,"start_date":"2016-11-19","description":"","custom_fields":[{"id":1,"name":"Subdivision","value":"EC"},{"id":4,"name":"Milepost","value":"23.3314"},{"id":17,"name":"Train ID","value":"101-19"},{"id":16,"name":"Locomotive ID","value":"4038"},{"id":130,"name":"Impact","value":""},{"id":150,"name":"Time of Event (Mountain Time)","value":"03:51:45"},{"id":151,"name":"Denver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469</v>
      </c>
      <c r="B14" s="7">
        <v>4039</v>
      </c>
      <c r="C14" s="22" t="s">
        <v>218</v>
      </c>
      <c r="D14" s="22" t="s">
        <v>650</v>
      </c>
      <c r="E14" s="13">
        <v>42693.16710648148</v>
      </c>
      <c r="F14" s="13">
        <v>42693.174664351849</v>
      </c>
      <c r="G14" s="7">
        <v>1</v>
      </c>
      <c r="H14" s="22" t="s">
        <v>196</v>
      </c>
      <c r="I14" s="13">
        <v>42693.200358796297</v>
      </c>
      <c r="J14" s="7">
        <v>0</v>
      </c>
      <c r="K14" s="109" t="str">
        <f t="shared" si="0"/>
        <v>4039/4040</v>
      </c>
      <c r="L14" s="22" t="str">
        <f>VLOOKUP(A14,'Trips&amp;Operators'!$C$1:$E$10000,3,FALSE)</f>
        <v>MAELZER</v>
      </c>
      <c r="M14" s="6">
        <f t="shared" si="1"/>
        <v>2.5694444448163267E-2</v>
      </c>
      <c r="N14" s="7">
        <f t="shared" si="2"/>
        <v>37.000000005355105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03:00:38-700',mode:absolute,to:'2016-11-19 05:48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23.269200000000001</v>
      </c>
      <c r="Z14" s="67">
        <f t="shared" si="9"/>
        <v>1.49E-2</v>
      </c>
      <c r="AA14" s="67">
        <f t="shared" si="10"/>
        <v>23.254300000000001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11"/>
        <v>0102-19</v>
      </c>
      <c r="AE14" s="91" t="str">
        <f t="shared" si="12"/>
        <v>aws s3 cp s3://rtdc.mdm.uploadarchive.raw/RTDC4039/ "%USERPROFILE%\AppData\Local\Temp\OnboardLogs"\RTDC4039\2016-11-19 --exclude "*" --recursive --include "*20161119*" &amp; "%USERPROFILE%\Documents\GitHub\mrs-test-scripts\Headless Mode &amp; Sideloading\WalkAndUnGZ.bat" "%USERPROFILE%\AppData\Local\Temp\OnboardLogs"\RTDC4039\2016-11-19 &amp; 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</v>
      </c>
      <c r="AF14" s="88" t="str">
        <f t="shared" si="13"/>
        <v>"C:\Program Files (x86)\AstroGrep\AstroGrep.exe" /spath="%USERPROFILE%\AppData\Local\Temp\OnboardLogs" /stypes="app*4039*20161119*" /stext=" 11:.+((SYSTEM_STATE.+slice.+state.+changed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5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102-19 --locoid 4039 --swversion DE.1.0.8.0 --startMP 204:232692 --initTime 2016-11-19T04:00:38 --startdatetime 2016-11-19T04:11:31 --delay 1 --endMP 204:149 --enddatetime 2016-11-19T04:48:31 --enforcementcount 0 &gt;&gt;C:\Users\stu\Documents\GitHub\eaglep3-reporting\EC\2016-11-19-refined-times.txt</v>
      </c>
      <c r="AI14" s="119" t="str">
        <f t="shared" ref="AI14:AI75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{"issue":{"subject":"","project_id":79,"tracker_id":40,"status_id":1,"priority_id":2,"assigned_to_id":23,"start_date":"2016-11-19","description":"","custom_fields":[{"id":1,"name":"Subdivision","value":"EC"},{"id":4,"name":"Milepost","value":"0.0149"},{"id":17,"name":"Train ID","value":"102-19"},{"id":16,"name":"Locomotive ID","value":"4039"},{"id":130,"name":"Impact","value":""},{"id":150,"name":"Time of Event (Mountain Time)","value":"04:48:31"},{"id":151,"name":"Denver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466</v>
      </c>
      <c r="B15" s="7">
        <v>4014</v>
      </c>
      <c r="C15" s="22" t="s">
        <v>218</v>
      </c>
      <c r="D15" s="22" t="s">
        <v>651</v>
      </c>
      <c r="E15" s="13">
        <v>42693.150219907409</v>
      </c>
      <c r="F15" s="13">
        <v>42693.156469907408</v>
      </c>
      <c r="G15" s="7">
        <v>1</v>
      </c>
      <c r="H15" s="22" t="s">
        <v>652</v>
      </c>
      <c r="I15" s="13">
        <v>42693.181238425925</v>
      </c>
      <c r="J15" s="7">
        <v>0</v>
      </c>
      <c r="K15" s="109" t="str">
        <f t="shared" si="0"/>
        <v>4013/4014</v>
      </c>
      <c r="L15" s="22" t="str">
        <f>VLOOKUP(A15,'Trips&amp;Operators'!$C$1:$E$10000,3,FALSE)</f>
        <v>ROBINSON</v>
      </c>
      <c r="M15" s="6">
        <f t="shared" si="1"/>
        <v>2.4768518516793847E-2</v>
      </c>
      <c r="N15" s="7">
        <f t="shared" si="2"/>
        <v>35.66666666418314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02:36:19-700',mode:absolute,to:'2016-11-19 05:20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6.9199999999999998E-2</v>
      </c>
      <c r="Z15" s="67">
        <f t="shared" si="9"/>
        <v>23.318899999999999</v>
      </c>
      <c r="AA15" s="67">
        <f t="shared" si="10"/>
        <v>23.249700000000001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11"/>
        <v>0103-19</v>
      </c>
      <c r="AE15" s="91" t="str">
        <f t="shared" si="12"/>
        <v>aws s3 cp s3://rtdc.mdm.uploadarchive.raw/RTDC4014/ "%USERPROFILE%\AppData\Local\Temp\OnboardLogs"\RTDC4014\2016-11-19 --exclude "*" --recursive --include "*20161119*" &amp; "%USERPROFILE%\Documents\GitHub\mrs-test-scripts\Headless Mode &amp; Sideloading\WalkAndUnGZ.bat" "%USERPROFILE%\AppData\Local\Temp\OnboardLogs"\RTDC4014\2016-11-19 &amp; aws s3 cp s3://rtdc.mdm.uploadarchive.raw/RTDC4014/ "%USERPROFILE%\AppData\Local\Temp\OnboardLogs"\RTDC4014\2016-11-20 --exclude "*" --recursive --include "*20161120*" &amp; "%USERPROFILE%\Documents\GitHub\mrs-test-scripts\Headless Mode &amp; Sideloading\WalkAndUnGZ.bat" "%USERPROFILE%\AppData\Local\Temp\OnboardLogs"\RTDC4014\2016-11-20</v>
      </c>
      <c r="AF15" s="88" t="str">
        <f t="shared" si="13"/>
        <v>"C:\Program Files (x86)\AstroGrep\AstroGrep.exe" /spath="%USERPROFILE%\AppData\Local\Temp\OnboardLogs" /stypes="app*4014*20161119*" /stext=" 11:.+((SYSTEM_STATE.+slice.+state.+changed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103-19 --locoid 4014 --swversion DE.1.0.8.0 --startMP 204:692 --initTime 2016-11-19T03:36:19 --startdatetime 2016-11-19T03:45:19 --delay 1 --endMP 204:233189 --enddatetime 2016-11-19T04:20:59 --enforcementcount 0 &gt;&gt;C:\Users\stu\Documents\GitHub\eaglep3-reporting\EC\2016-11-19-refined-times.txt</v>
      </c>
      <c r="AI15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{"issue":{"subject":"","project_id":79,"tracker_id":40,"status_id":1,"priority_id":2,"assigned_to_id":23,"start_date":"2016-11-19","description":"","custom_fields":[{"id":1,"name":"Subdivision","value":"EC"},{"id":4,"name":"Milepost","value":"23.3189"},{"id":17,"name":"Train ID","value":"103-19"},{"id":16,"name":"Locomotive ID","value":"4014"},{"id":130,"name":"Impact","value":""},{"id":150,"name":"Time of Event (Mountain Time)","value":"04:20:59"},{"id":151,"name":"Denver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475</v>
      </c>
      <c r="B16" s="7">
        <v>4004</v>
      </c>
      <c r="C16" s="22" t="s">
        <v>218</v>
      </c>
      <c r="D16" s="22" t="s">
        <v>653</v>
      </c>
      <c r="E16" s="13">
        <v>42693.184282407405</v>
      </c>
      <c r="F16" s="13">
        <v>42693.1953125</v>
      </c>
      <c r="G16" s="7">
        <v>1</v>
      </c>
      <c r="H16" s="22" t="s">
        <v>654</v>
      </c>
      <c r="I16" s="13">
        <v>42693.22384259259</v>
      </c>
      <c r="J16" s="7">
        <v>0</v>
      </c>
      <c r="K16" s="109" t="str">
        <f t="shared" si="0"/>
        <v>4003/4004</v>
      </c>
      <c r="L16" s="22" t="str">
        <f>VLOOKUP(A16,'Trips&amp;Operators'!$C$1:$E$10000,3,FALSE)</f>
        <v>ROBINSON</v>
      </c>
      <c r="M16" s="6">
        <f t="shared" si="1"/>
        <v>2.8530092589790002E-2</v>
      </c>
      <c r="N16" s="7">
        <f t="shared" si="2"/>
        <v>41.083333329297602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03:25:22-700',mode:absolute,to:'2016-11-19 06:22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23.239000000000001</v>
      </c>
      <c r="Z16" s="67">
        <f t="shared" si="9"/>
        <v>8.8000000000000005E-3</v>
      </c>
      <c r="AA16" s="67">
        <f t="shared" si="10"/>
        <v>23.2302</v>
      </c>
      <c r="AB16" s="64" t="e">
        <f>VLOOKUP(A16,Enforcements!$C$7:$K$20,8,0)</f>
        <v>#N/A</v>
      </c>
      <c r="AC16" s="60" t="e">
        <f>VLOOKUP(A16,Enforcements!$C$7:$E$20,3,0)</f>
        <v>#N/A</v>
      </c>
      <c r="AD16" s="61" t="str">
        <f t="shared" si="11"/>
        <v>0104-19</v>
      </c>
      <c r="AE16" s="91" t="str">
        <f t="shared" si="12"/>
        <v>aws s3 cp s3://rtdc.mdm.uploadarchive.raw/RTDC4004/ "%USERPROFILE%\AppData\Local\Temp\OnboardLogs"\RTDC4004\2016-11-19 --exclude "*" --recursive --include "*20161119*" &amp; "%USERPROFILE%\Documents\GitHub\mrs-test-scripts\Headless Mode &amp; Sideloading\WalkAndUnGZ.bat" "%USERPROFILE%\AppData\Local\Temp\OnboardLogs"\RTDC4004\2016-11-19 &amp; 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</v>
      </c>
      <c r="AF16" s="88" t="str">
        <f t="shared" si="13"/>
        <v>"C:\Program Files (x86)\AstroGrep\AstroGrep.exe" /spath="%USERPROFILE%\AppData\Local\Temp\OnboardLogs" /stypes="app*4004*20161119*" /stext=" 12:.+((SYSTEM_STATE.+slice.+state.+changed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104-19 --locoid 4004 --swversion DE.1.0.8.0 --startMP 204:232390 --initTime 2016-11-19T04:25:22 --startdatetime 2016-11-19T04:41:15 --delay 1 --endMP 204:88 --enddatetime 2016-11-19T05:22:20 --enforcementcount 0 &gt;&gt;C:\Users\stu\Documents\GitHub\eaglep3-reporting\EC\2016-11-19-refined-times.txt</v>
      </c>
      <c r="AI16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{"issue":{"subject":"","project_id":79,"tracker_id":40,"status_id":1,"priority_id":2,"assigned_to_id":23,"start_date":"2016-11-19","description":"","custom_fields":[{"id":1,"name":"Subdivision","value":"EC"},{"id":4,"name":"Milepost","value":"0.0088"},{"id":17,"name":"Train ID","value":"104-19"},{"id":16,"name":"Locomotive ID","value":"4004"},{"id":130,"name":"Impact","value":""},{"id":150,"name":"Time of Event (Mountain Time)","value":"05:22:20"},{"id":151,"name":"Denver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470</v>
      </c>
      <c r="B17" s="7">
        <v>4011</v>
      </c>
      <c r="C17" s="22" t="s">
        <v>218</v>
      </c>
      <c r="D17" s="22" t="s">
        <v>651</v>
      </c>
      <c r="E17" s="13">
        <v>42693.173125000001</v>
      </c>
      <c r="F17" s="13">
        <v>42693.177291666667</v>
      </c>
      <c r="G17" s="7">
        <v>2</v>
      </c>
      <c r="H17" s="22" t="s">
        <v>655</v>
      </c>
      <c r="I17" s="13">
        <v>42693.202870370369</v>
      </c>
      <c r="J17" s="7">
        <v>0</v>
      </c>
      <c r="K17" s="109" t="str">
        <f t="shared" si="0"/>
        <v>4011/4012</v>
      </c>
      <c r="L17" s="22" t="str">
        <f>VLOOKUP(A17,'Trips&amp;Operators'!$C$1:$E$10000,3,FALSE)</f>
        <v>ACKERMAN</v>
      </c>
      <c r="M17" s="6">
        <f t="shared" si="1"/>
        <v>2.5578703702194616E-2</v>
      </c>
      <c r="N17" s="7">
        <f t="shared" si="2"/>
        <v>36.833333331160247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03:09:18-700',mode:absolute,to:'2016-11-19 05:52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6.9199999999999998E-2</v>
      </c>
      <c r="Z17" s="67">
        <f t="shared" si="9"/>
        <v>23.226400000000002</v>
      </c>
      <c r="AA17" s="67">
        <f t="shared" si="10"/>
        <v>23.157200000000003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 t="shared" si="11"/>
        <v>0105-19</v>
      </c>
      <c r="AE17" s="91" t="str">
        <f t="shared" si="12"/>
        <v>aws s3 cp s3://rtdc.mdm.uploadarchive.raw/RTDC4011/ "%USERPROFILE%\AppData\Local\Temp\OnboardLogs"\RTDC4011\2016-11-19 --exclude "*" --recursive --include "*20161119*" &amp; "%USERPROFILE%\Documents\GitHub\mrs-test-scripts\Headless Mode &amp; Sideloading\WalkAndUnGZ.bat" "%USERPROFILE%\AppData\Local\Temp\OnboardLogs"\RTDC4011\2016-11-19 &amp; 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</v>
      </c>
      <c r="AF17" s="88" t="str">
        <f t="shared" si="13"/>
        <v>"C:\Program Files (x86)\AstroGrep\AstroGrep.exe" /spath="%USERPROFILE%\AppData\Local\Temp\OnboardLogs" /stypes="app*4011*20161119*" /stext=" 11:.+((SYSTEM_STATE.+slice.+state.+changed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105-19 --locoid 4011 --swversion DE.1.0.8.0 --startMP 204:692 --initTime 2016-11-19T04:09:18 --startdatetime 2016-11-19T04:15:18 --delay 2 --endMP 204:232264 --enddatetime 2016-11-19T04:52:08 --enforcementcount 0 &gt;&gt;C:\Users\stu\Documents\GitHub\eaglep3-reporting\EC\2016-11-19-refined-times.txt</v>
      </c>
      <c r="AI17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{"issue":{"subject":"","project_id":79,"tracker_id":40,"status_id":1,"priority_id":2,"assigned_to_id":23,"start_date":"2016-11-19","description":"","custom_fields":[{"id":1,"name":"Subdivision","value":"EC"},{"id":4,"name":"Milepost","value":"23.2264"},{"id":17,"name":"Train ID","value":"105-19"},{"id":16,"name":"Locomotive ID","value":"4011"},{"id":130,"name":"Impact","value":""},{"id":150,"name":"Time of Event (Mountain Time)","value":"04:52:08"},{"id":151,"name":"Denver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479</v>
      </c>
      <c r="B18" s="7">
        <v>4021</v>
      </c>
      <c r="C18" s="22" t="s">
        <v>218</v>
      </c>
      <c r="D18" s="22" t="s">
        <v>656</v>
      </c>
      <c r="E18" s="13">
        <v>42693.209548611114</v>
      </c>
      <c r="F18" s="13">
        <v>42693.216215277775</v>
      </c>
      <c r="G18" s="7">
        <v>2</v>
      </c>
      <c r="H18" s="22" t="s">
        <v>657</v>
      </c>
      <c r="I18" s="13">
        <v>42693.24318287037</v>
      </c>
      <c r="J18" s="7">
        <v>0</v>
      </c>
      <c r="K18" s="109" t="str">
        <f t="shared" si="0"/>
        <v>4021/4022</v>
      </c>
      <c r="L18" s="22" t="str">
        <f>VLOOKUP(A18,'Trips&amp;Operators'!$C$1:$E$10000,3,FALSE)</f>
        <v>ACKERMAN</v>
      </c>
      <c r="M18" s="6">
        <f t="shared" si="1"/>
        <v>2.6967592595610768E-2</v>
      </c>
      <c r="N18" s="7">
        <f t="shared" si="2"/>
        <v>38.833333337679505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04:01:45-700',mode:absolute,to:'2016-11-19 06:50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23.273800000000001</v>
      </c>
      <c r="Z18" s="67">
        <f t="shared" si="9"/>
        <v>1.09E-2</v>
      </c>
      <c r="AA18" s="67">
        <f t="shared" si="10"/>
        <v>23.262900000000002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 t="shared" si="11"/>
        <v>0106-19</v>
      </c>
      <c r="AE18" s="91" t="str">
        <f t="shared" si="12"/>
        <v>aws s3 cp s3://rtdc.mdm.uploadarchive.raw/RTDC4021/ "%USERPROFILE%\AppData\Local\Temp\OnboardLogs"\RTDC4021\2016-11-19 --exclude "*" --recursive --include "*20161119*" &amp; "%USERPROFILE%\Documents\GitHub\mrs-test-scripts\Headless Mode &amp; Sideloading\WalkAndUnGZ.bat" "%USERPROFILE%\AppData\Local\Temp\OnboardLogs"\RTDC4021\2016-11-19 &amp; 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</v>
      </c>
      <c r="AF18" s="88" t="str">
        <f t="shared" si="13"/>
        <v>"C:\Program Files (x86)\AstroGrep\AstroGrep.exe" /spath="%USERPROFILE%\AppData\Local\Temp\OnboardLogs" /stypes="app*4021*20161119*" /stext=" 12:.+((SYSTEM_STATE.+slice.+state.+changed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106-19 --locoid 4021 --swversion DE.1.0.8.0 --startMP 204:232738 --initTime 2016-11-19T05:01:45 --startdatetime 2016-11-19T05:11:21 --delay 2 --endMP 204:109 --enddatetime 2016-11-19T05:50:11 --enforcementcount 0 &gt;&gt;C:\Users\stu\Documents\GitHub\eaglep3-reporting\EC\2016-11-19-refined-times.txt</v>
      </c>
      <c r="AI18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{"issue":{"subject":"","project_id":79,"tracker_id":40,"status_id":1,"priority_id":2,"assigned_to_id":23,"start_date":"2016-11-19","description":"","custom_fields":[{"id":1,"name":"Subdivision","value":"EC"},{"id":4,"name":"Milepost","value":"0.0109"},{"id":17,"name":"Train ID","value":"106-19"},{"id":16,"name":"Locomotive ID","value":"4021"},{"id":130,"name":"Impact","value":""},{"id":150,"name":"Time of Event (Mountain Time)","value":"05:50:11"},{"id":151,"name":"Denver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474</v>
      </c>
      <c r="B19" s="7">
        <v>4046</v>
      </c>
      <c r="C19" s="22" t="s">
        <v>218</v>
      </c>
      <c r="D19" s="22" t="s">
        <v>411</v>
      </c>
      <c r="E19" s="13">
        <v>42693.183969907404</v>
      </c>
      <c r="F19" s="13">
        <v>42693.187800925924</v>
      </c>
      <c r="G19" s="7">
        <v>1</v>
      </c>
      <c r="H19" s="22" t="s">
        <v>276</v>
      </c>
      <c r="I19" s="13">
        <v>42693.215960648151</v>
      </c>
      <c r="J19" s="7">
        <v>0</v>
      </c>
      <c r="K19" s="109" t="str">
        <f t="shared" si="0"/>
        <v>4045/4046</v>
      </c>
      <c r="L19" s="22" t="str">
        <f>VLOOKUP(A19,'Trips&amp;Operators'!$C$1:$E$10000,3,FALSE)</f>
        <v>DAVIS</v>
      </c>
      <c r="M19" s="6">
        <f t="shared" si="1"/>
        <v>2.8159722227428574E-2</v>
      </c>
      <c r="N19" s="7">
        <f t="shared" si="2"/>
        <v>40.550000007497147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03:24:55-700',mode:absolute,to:'2016-11-19 06:10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4.5999999999999999E-2</v>
      </c>
      <c r="Z19" s="67">
        <f t="shared" si="9"/>
        <v>23.330100000000002</v>
      </c>
      <c r="AA19" s="67">
        <f t="shared" si="10"/>
        <v>23.284100000000002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 t="shared" si="11"/>
        <v>0107-19</v>
      </c>
      <c r="AE19" s="91" t="str">
        <f t="shared" si="12"/>
        <v>aws s3 cp s3://rtdc.mdm.uploadarchive.raw/RTDC4046/ "%USERPROFILE%\AppData\Local\Temp\OnboardLogs"\RTDC4046\2016-11-19 --exclude "*" --recursive --include "*20161119*" &amp; "%USERPROFILE%\Documents\GitHub\mrs-test-scripts\Headless Mode &amp; Sideloading\WalkAndUnGZ.bat" "%USERPROFILE%\AppData\Local\Temp\OnboardLogs"\RTDC4046\2016-11-19 &amp; aws s3 cp s3://rtdc.mdm.uploadarchive.raw/RTDC4046/ "%USERPROFILE%\AppData\Local\Temp\OnboardLogs"\RTDC4046\2016-11-20 --exclude "*" --recursive --include "*20161120*" &amp; "%USERPROFILE%\Documents\GitHub\mrs-test-scripts\Headless Mode &amp; Sideloading\WalkAndUnGZ.bat" "%USERPROFILE%\AppData\Local\Temp\OnboardLogs"\RTDC4046\2016-11-20</v>
      </c>
      <c r="AF19" s="88" t="str">
        <f t="shared" si="13"/>
        <v>"C:\Program Files (x86)\AstroGrep\AstroGrep.exe" /spath="%USERPROFILE%\AppData\Local\Temp\OnboardLogs" /stypes="app*4046*20161119*" /stext=" 12:.+((SYSTEM_STATE.+slice.+state.+changed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107-19 --locoid 4046 --swversion DE.1.0.8.0 --startMP 204:460 --initTime 2016-11-19T04:24:55 --startdatetime 2016-11-19T04:30:26 --delay 1 --endMP 204:233301 --enddatetime 2016-11-19T05:10:59 --enforcementcount 0 &gt;&gt;C:\Users\stu\Documents\GitHub\eaglep3-reporting\EC\2016-11-19-refined-times.txt</v>
      </c>
      <c r="AI19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{"issue":{"subject":"","project_id":79,"tracker_id":40,"status_id":1,"priority_id":2,"assigned_to_id":23,"start_date":"2016-11-19","description":"","custom_fields":[{"id":1,"name":"Subdivision","value":"EC"},{"id":4,"name":"Milepost","value":"23.3301"},{"id":17,"name":"Train ID","value":"107-19"},{"id":16,"name":"Locomotive ID","value":"4046"},{"id":130,"name":"Impact","value":""},{"id":150,"name":"Time of Event (Mountain Time)","value":"05:10:59"},{"id":151,"name":"Denver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480</v>
      </c>
      <c r="B20" s="7">
        <v>4045</v>
      </c>
      <c r="C20" s="22" t="s">
        <v>218</v>
      </c>
      <c r="D20" s="22" t="s">
        <v>658</v>
      </c>
      <c r="E20" s="13">
        <v>42693.222303240742</v>
      </c>
      <c r="F20" s="13">
        <v>42693.226840277777</v>
      </c>
      <c r="G20" s="7">
        <v>0</v>
      </c>
      <c r="H20" s="22" t="s">
        <v>212</v>
      </c>
      <c r="I20" s="13">
        <v>42693.256226851852</v>
      </c>
      <c r="J20" s="7">
        <v>0</v>
      </c>
      <c r="K20" s="109" t="str">
        <f t="shared" si="0"/>
        <v>4045/4046</v>
      </c>
      <c r="L20" s="22" t="str">
        <f>VLOOKUP(A20,'Trips&amp;Operators'!$C$1:$E$10000,3,FALSE)</f>
        <v>DAVIS</v>
      </c>
      <c r="M20" s="6">
        <f t="shared" si="1"/>
        <v>2.9386574075033423E-2</v>
      </c>
      <c r="N20" s="7">
        <f t="shared" si="2"/>
        <v>42.316666668048128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04:20:07-700',mode:absolute,to:'2016-11-19 07:08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23.3005</v>
      </c>
      <c r="Z20" s="67">
        <f t="shared" si="9"/>
        <v>1.5599999999999999E-2</v>
      </c>
      <c r="AA20" s="67">
        <f t="shared" si="10"/>
        <v>23.2849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 t="shared" si="11"/>
        <v>0108-19</v>
      </c>
      <c r="AE20" s="91" t="str">
        <f t="shared" si="12"/>
        <v>aws s3 cp s3://rtdc.mdm.uploadarchive.raw/RTDC4045/ "%USERPROFILE%\AppData\Local\Temp\OnboardLogs"\RTDC4045\2016-11-19 --exclude "*" --recursive --include "*20161119*" &amp; "%USERPROFILE%\Documents\GitHub\mrs-test-scripts\Headless Mode &amp; Sideloading\WalkAndUnGZ.bat" "%USERPROFILE%\AppData\Local\Temp\OnboardLogs"\RTDC4045\2016-11-19 &amp; aws s3 cp s3://rtdc.mdm.uploadarchive.raw/RTDC4045/ "%USERPROFILE%\AppData\Local\Temp\OnboardLogs"\RTDC4045\2016-11-20 --exclude "*" --recursive --include "*20161120*" &amp; "%USERPROFILE%\Documents\GitHub\mrs-test-scripts\Headless Mode &amp; Sideloading\WalkAndUnGZ.bat" "%USERPROFILE%\AppData\Local\Temp\OnboardLogs"\RTDC4045\2016-11-20</v>
      </c>
      <c r="AF20" s="88" t="str">
        <f t="shared" si="13"/>
        <v>"C:\Program Files (x86)\AstroGrep\AstroGrep.exe" /spath="%USERPROFILE%\AppData\Local\Temp\OnboardLogs" /stypes="app*4045*20161119*" /stext=" 13:.+((SYSTEM_STATE.+slice.+state.+changed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108-19 --locoid 4045 --swversion DE.1.0.8.0 --startMP 204:233005 --initTime 2016-11-19T05:20:07 --startdatetime 2016-11-19T05:26:39 --delay 0 --endMP 204:156 --enddatetime 2016-11-19T06:08:58 --enforcementcount 0 &gt;&gt;C:\Users\stu\Documents\GitHub\eaglep3-reporting\EC\2016-11-19-refined-times.txt</v>
      </c>
      <c r="AI20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{"issue":{"subject":"","project_id":79,"tracker_id":40,"status_id":1,"priority_id":2,"assigned_to_id":23,"start_date":"2016-11-19","description":"","custom_fields":[{"id":1,"name":"Subdivision","value":"EC"},{"id":4,"name":"Milepost","value":"0.0156"},{"id":17,"name":"Train ID","value":"108-19"},{"id":16,"name":"Locomotive ID","value":"4045"},{"id":130,"name":"Impact","value":""},{"id":150,"name":"Time of Event (Mountain Time)","value":"06:08:58"},{"id":151,"name":"Denver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476</v>
      </c>
      <c r="B21" s="7">
        <v>4031</v>
      </c>
      <c r="C21" s="22" t="s">
        <v>218</v>
      </c>
      <c r="D21" s="22" t="s">
        <v>217</v>
      </c>
      <c r="E21" s="13">
        <v>42693.190081018518</v>
      </c>
      <c r="F21" s="13">
        <v>42693.198275462964</v>
      </c>
      <c r="G21" s="7">
        <v>1</v>
      </c>
      <c r="H21" s="22" t="s">
        <v>284</v>
      </c>
      <c r="I21" s="13">
        <v>42693.223356481481</v>
      </c>
      <c r="J21" s="7">
        <v>0</v>
      </c>
      <c r="K21" s="109" t="str">
        <f t="shared" si="0"/>
        <v>4031/4032</v>
      </c>
      <c r="L21" s="22" t="str">
        <f>VLOOKUP(A21,'Trips&amp;Operators'!$C$1:$E$10000,3,FALSE)</f>
        <v>KILLION</v>
      </c>
      <c r="M21" s="6">
        <f t="shared" si="1"/>
        <v>2.5081018517084885E-2</v>
      </c>
      <c r="N21" s="7">
        <f t="shared" si="2"/>
        <v>36.116666664602235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03:33:43-700',mode:absolute,to:'2016-11-19 06:21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4.6399999999999997E-2</v>
      </c>
      <c r="Z21" s="67">
        <f t="shared" si="9"/>
        <v>23.3308</v>
      </c>
      <c r="AA21" s="67">
        <f t="shared" si="10"/>
        <v>23.284400000000002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11"/>
        <v>0109-19</v>
      </c>
      <c r="AE21" s="91" t="str">
        <f t="shared" si="12"/>
        <v>aws s3 cp s3://rtdc.mdm.uploadarchive.raw/RTDC4031/ "%USERPROFILE%\AppData\Local\Temp\OnboardLogs"\RTDC4031\2016-11-19 --exclude "*" --recursive --include "*20161119*" &amp; "%USERPROFILE%\Documents\GitHub\mrs-test-scripts\Headless Mode &amp; Sideloading\WalkAndUnGZ.bat" "%USERPROFILE%\AppData\Local\Temp\OnboardLogs"\RTDC4031\2016-11-19 &amp; aws s3 cp s3://rtdc.mdm.uploadarchive.raw/RTDC4031/ "%USERPROFILE%\AppData\Local\Temp\OnboardLogs"\RTDC4031\2016-11-20 --exclude "*" --recursive --include "*20161120*" &amp; "%USERPROFILE%\Documents\GitHub\mrs-test-scripts\Headless Mode &amp; Sideloading\WalkAndUnGZ.bat" "%USERPROFILE%\AppData\Local\Temp\OnboardLogs"\RTDC4031\2016-11-20</v>
      </c>
      <c r="AF21" s="88" t="str">
        <f t="shared" si="13"/>
        <v>"C:\Program Files (x86)\AstroGrep\AstroGrep.exe" /spath="%USERPROFILE%\AppData\Local\Temp\OnboardLogs" /stypes="app*4031*20161119*" /stext=" 12:.+((SYSTEM_STATE.+slice.+state.+changed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109-19 --locoid 4031 --swversion DE.1.0.8.0 --startMP 204:464 --initTime 2016-11-19T04:33:43 --startdatetime 2016-11-19T04:45:31 --delay 1 --endMP 204:233308 --enddatetime 2016-11-19T05:21:38 --enforcementcount 0 &gt;&gt;C:\Users\stu\Documents\GitHub\eaglep3-reporting\EC\2016-11-19-refined-times.txt</v>
      </c>
      <c r="AI21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{"issue":{"subject":"","project_id":79,"tracker_id":40,"status_id":1,"priority_id":2,"assigned_to_id":23,"start_date":"2016-11-19","description":"","custom_fields":[{"id":1,"name":"Subdivision","value":"EC"},{"id":4,"name":"Milepost","value":"23.3308"},{"id":17,"name":"Train ID","value":"109-19"},{"id":16,"name":"Locomotive ID","value":"4031"},{"id":130,"name":"Impact","value":""},{"id":150,"name":"Time of Event (Mountain Time)","value":"05:21:38"},{"id":151,"name":"Denver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485</v>
      </c>
      <c r="B22" s="7">
        <v>4032</v>
      </c>
      <c r="C22" s="22" t="s">
        <v>218</v>
      </c>
      <c r="D22" s="22" t="s">
        <v>418</v>
      </c>
      <c r="E22" s="13">
        <v>42693.230092592596</v>
      </c>
      <c r="F22" s="13">
        <v>42693.23704861111</v>
      </c>
      <c r="G22" s="7">
        <v>1</v>
      </c>
      <c r="H22" s="22" t="s">
        <v>197</v>
      </c>
      <c r="I22" s="13">
        <v>42693.264479166668</v>
      </c>
      <c r="J22" s="7">
        <v>0</v>
      </c>
      <c r="K22" s="109" t="str">
        <f t="shared" si="0"/>
        <v>4031/4032</v>
      </c>
      <c r="L22" s="22" t="str">
        <f>VLOOKUP(A22,'Trips&amp;Operators'!$C$1:$E$10000,3,FALSE)</f>
        <v>KILLION</v>
      </c>
      <c r="M22" s="6">
        <f t="shared" si="1"/>
        <v>2.7430555557657499E-2</v>
      </c>
      <c r="N22" s="7">
        <f t="shared" si="2"/>
        <v>39.500000003026798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04:31:20-700',mode:absolute,to:'2016-11-19 07:20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23.297899999999998</v>
      </c>
      <c r="Z22" s="67">
        <f t="shared" si="9"/>
        <v>1.43E-2</v>
      </c>
      <c r="AA22" s="67">
        <f t="shared" si="10"/>
        <v>23.2836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11"/>
        <v>0110-19</v>
      </c>
      <c r="AE22" s="91" t="str">
        <f t="shared" si="12"/>
        <v>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 &amp; 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</v>
      </c>
      <c r="AF22" s="88" t="str">
        <f t="shared" si="13"/>
        <v>"C:\Program Files (x86)\AstroGrep\AstroGrep.exe" /spath="%USERPROFILE%\AppData\Local\Temp\OnboardLogs" /stypes="app*4032*20161119*" /stext=" 13:.+((SYSTEM_STATE.+slice.+state.+changed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110-19 --locoid 4032 --swversion DE.1.0.8.0 --startMP 204:232979 --initTime 2016-11-19T05:31:20 --startdatetime 2016-11-19T05:41:21 --delay 1 --endMP 204:143 --enddatetime 2016-11-19T06:20:51 --enforcementcount 0 &gt;&gt;C:\Users\stu\Documents\GitHub\eaglep3-reporting\EC\2016-11-19-refined-times.txt</v>
      </c>
      <c r="AI22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{"issue":{"subject":"","project_id":79,"tracker_id":40,"status_id":1,"priority_id":2,"assigned_to_id":23,"start_date":"2016-11-19","description":"","custom_fields":[{"id":1,"name":"Subdivision","value":"EC"},{"id":4,"name":"Milepost","value":"0.0143"},{"id":17,"name":"Train ID","value":"110-19"},{"id":16,"name":"Locomotive ID","value":"4032"},{"id":130,"name":"Impact","value":""},{"id":150,"name":"Time of Event (Mountain Time)","value":"06:20:51"},{"id":151,"name":"Denver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477</v>
      </c>
      <c r="B23" s="7">
        <v>4038</v>
      </c>
      <c r="C23" s="22" t="s">
        <v>218</v>
      </c>
      <c r="D23" s="22" t="s">
        <v>659</v>
      </c>
      <c r="E23" s="13">
        <v>42693.2028125</v>
      </c>
      <c r="F23" s="13">
        <v>42693.20857638889</v>
      </c>
      <c r="G23" s="7">
        <v>6</v>
      </c>
      <c r="H23" s="22" t="s">
        <v>354</v>
      </c>
      <c r="I23" s="13">
        <v>42693.233124999999</v>
      </c>
      <c r="J23" s="7">
        <v>0</v>
      </c>
      <c r="K23" s="109" t="str">
        <f t="shared" si="0"/>
        <v>4037/4038</v>
      </c>
      <c r="L23" s="22" t="str">
        <f>VLOOKUP(A23,'Trips&amp;Operators'!$C$1:$E$10000,3,FALSE)</f>
        <v>GEBRETEKLE</v>
      </c>
      <c r="M23" s="6">
        <f t="shared" si="1"/>
        <v>2.4548611108912155E-2</v>
      </c>
      <c r="N23" s="7">
        <f t="shared" si="2"/>
        <v>35.349999996833503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03:52:03-700',mode:absolute,to:'2016-11-19 06:35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7.5899999999999995E-2</v>
      </c>
      <c r="Z23" s="67">
        <f t="shared" si="9"/>
        <v>23.328199999999999</v>
      </c>
      <c r="AA23" s="67">
        <f t="shared" si="10"/>
        <v>23.252299999999998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11"/>
        <v>0111-19</v>
      </c>
      <c r="AE23" s="91" t="str">
        <f t="shared" si="12"/>
        <v>aws s3 cp s3://rtdc.mdm.uploadarchive.raw/RTDC4038/ "%USERPROFILE%\AppData\Local\Temp\OnboardLogs"\RTDC4038\2016-11-19 --exclude "*" --recursive --include "*20161119*" &amp; "%USERPROFILE%\Documents\GitHub\mrs-test-scripts\Headless Mode &amp; Sideloading\WalkAndUnGZ.bat" "%USERPROFILE%\AppData\Local\Temp\OnboardLogs"\RTDC4038\2016-11-19 &amp; aws s3 cp s3://rtdc.mdm.uploadarchive.raw/RTDC4038/ "%USERPROFILE%\AppData\Local\Temp\OnboardLogs"\RTDC4038\2016-11-20 --exclude "*" --recursive --include "*20161120*" &amp; "%USERPROFILE%\Documents\GitHub\mrs-test-scripts\Headless Mode &amp; Sideloading\WalkAndUnGZ.bat" "%USERPROFILE%\AppData\Local\Temp\OnboardLogs"\RTDC4038\2016-11-20</v>
      </c>
      <c r="AF23" s="88" t="str">
        <f t="shared" si="13"/>
        <v>"C:\Program Files (x86)\AstroGrep\AstroGrep.exe" /spath="%USERPROFILE%\AppData\Local\Temp\OnboardLogs" /stypes="app*4038*20161119*" /stext=" 12:.+((SYSTEM_STATE.+slice.+state.+changed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111-19 --locoid 4038 --swversion DE.1.0.8.0 --startMP 204:759 --initTime 2016-11-19T04:52:03 --startdatetime 2016-11-19T05:00:21 --delay 6 --endMP 204:233282 --enddatetime 2016-11-19T05:35:42 --enforcementcount 0 &gt;&gt;C:\Users\stu\Documents\GitHub\eaglep3-reporting\EC\2016-11-19-refined-times.txt</v>
      </c>
      <c r="AI23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{"issue":{"subject":"","project_id":79,"tracker_id":40,"status_id":1,"priority_id":2,"assigned_to_id":23,"start_date":"2016-11-19","description":"","custom_fields":[{"id":1,"name":"Subdivision","value":"EC"},{"id":4,"name":"Milepost","value":"23.3282"},{"id":17,"name":"Train ID","value":"111-19"},{"id":16,"name":"Locomotive ID","value":"4038"},{"id":130,"name":"Impact","value":""},{"id":150,"name":"Time of Event (Mountain Time)","value":"05:35:42"},{"id":151,"name":"Denver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486</v>
      </c>
      <c r="B24" s="7">
        <v>4037</v>
      </c>
      <c r="C24" s="22" t="s">
        <v>218</v>
      </c>
      <c r="D24" s="22" t="s">
        <v>660</v>
      </c>
      <c r="E24" s="13">
        <v>42693.242766203701</v>
      </c>
      <c r="F24" s="13">
        <v>42693.247442129628</v>
      </c>
      <c r="G24" s="7">
        <v>1</v>
      </c>
      <c r="H24" s="22" t="s">
        <v>400</v>
      </c>
      <c r="I24" s="13">
        <v>42693.275972222225</v>
      </c>
      <c r="J24" s="7">
        <v>0</v>
      </c>
      <c r="K24" s="109" t="str">
        <f t="shared" si="0"/>
        <v>4037/4038</v>
      </c>
      <c r="L24" s="22" t="str">
        <f>VLOOKUP(A24,'Trips&amp;Operators'!$C$1:$E$10000,3,FALSE)</f>
        <v>GEBRETEKLE</v>
      </c>
      <c r="M24" s="6">
        <f t="shared" si="1"/>
        <v>2.8530092597065959E-2</v>
      </c>
      <c r="N24" s="7">
        <f t="shared" si="2"/>
        <v>41.083333339774981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04:49:35-700',mode:absolute,to:'2016-11-19 07:37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23.296900000000001</v>
      </c>
      <c r="Z24" s="67">
        <f t="shared" si="9"/>
        <v>1.61E-2</v>
      </c>
      <c r="AA24" s="67">
        <f t="shared" si="10"/>
        <v>23.280799999999999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 t="shared" si="11"/>
        <v>0112-19</v>
      </c>
      <c r="AE24" s="91" t="str">
        <f t="shared" si="12"/>
        <v>aws s3 cp s3://rtdc.mdm.uploadarchive.raw/RTDC4037/ "%USERPROFILE%\AppData\Local\Temp\OnboardLogs"\RTDC4037\2016-11-19 --exclude "*" --recursive --include "*20161119*" &amp; "%USERPROFILE%\Documents\GitHub\mrs-test-scripts\Headless Mode &amp; Sideloading\WalkAndUnGZ.bat" "%USERPROFILE%\AppData\Local\Temp\OnboardLogs"\RTDC4037\2016-11-19 &amp; aws s3 cp s3://rtdc.mdm.uploadarchive.raw/RTDC4037/ "%USERPROFILE%\AppData\Local\Temp\OnboardLogs"\RTDC4037\2016-11-20 --exclude "*" --recursive --include "*20161120*" &amp; "%USERPROFILE%\Documents\GitHub\mrs-test-scripts\Headless Mode &amp; Sideloading\WalkAndUnGZ.bat" "%USERPROFILE%\AppData\Local\Temp\OnboardLogs"\RTDC4037\2016-11-20</v>
      </c>
      <c r="AF24" s="88" t="str">
        <f t="shared" si="13"/>
        <v>"C:\Program Files (x86)\AstroGrep\AstroGrep.exe" /spath="%USERPROFILE%\AppData\Local\Temp\OnboardLogs" /stypes="app*4037*20161119*" /stext=" 13:.+((SYSTEM_STATE.+slice.+state.+changed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112-19 --locoid 4037 --swversion DE.1.0.8.0 --startMP 204:232969 --initTime 2016-11-19T05:49:35 --startdatetime 2016-11-19T05:56:19 --delay 1 --endMP 204:161 --enddatetime 2016-11-19T06:37:24 --enforcementcount 0 &gt;&gt;C:\Users\stu\Documents\GitHub\eaglep3-reporting\EC\2016-11-19-refined-times.txt</v>
      </c>
      <c r="AI24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{"issue":{"subject":"","project_id":79,"tracker_id":40,"status_id":1,"priority_id":2,"assigned_to_id":23,"start_date":"2016-11-19","description":"","custom_fields":[{"id":1,"name":"Subdivision","value":"EC"},{"id":4,"name":"Milepost","value":"0.0161"},{"id":17,"name":"Train ID","value":"112-19"},{"id":16,"name":"Locomotive ID","value":"4037"},{"id":130,"name":"Impact","value":""},{"id":150,"name":"Time of Event (Mountain Time)","value":"06:37:24"},{"id":151,"name":"Denver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442</v>
      </c>
      <c r="B25" s="7">
        <v>4040</v>
      </c>
      <c r="C25" s="22" t="s">
        <v>218</v>
      </c>
      <c r="D25" s="22" t="s">
        <v>290</v>
      </c>
      <c r="E25" s="13">
        <v>42693.210659722223</v>
      </c>
      <c r="F25" s="13">
        <v>42693.219027777777</v>
      </c>
      <c r="G25" s="7">
        <v>1</v>
      </c>
      <c r="H25" s="22" t="s">
        <v>661</v>
      </c>
      <c r="I25" s="13">
        <v>42693.243819444448</v>
      </c>
      <c r="J25" s="7">
        <v>0</v>
      </c>
      <c r="K25" s="109" t="str">
        <f t="shared" si="0"/>
        <v>4039/4040</v>
      </c>
      <c r="L25" s="22" t="str">
        <f>VLOOKUP(A25,'Trips&amp;Operators'!$C$1:$E$10000,3,FALSE)</f>
        <v>MAELZER</v>
      </c>
      <c r="M25" s="6">
        <f t="shared" si="1"/>
        <v>2.4791666670353152E-2</v>
      </c>
      <c r="N25" s="7">
        <f t="shared" si="2"/>
        <v>35.700000005308539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04:03:21-700',mode:absolute,to:'2016-11-19 06:51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4.3999999999999997E-2</v>
      </c>
      <c r="Z25" s="67">
        <f t="shared" si="9"/>
        <v>23.329799999999999</v>
      </c>
      <c r="AA25" s="67">
        <f t="shared" si="10"/>
        <v>23.285799999999998</v>
      </c>
      <c r="AB25" s="64" t="str">
        <f>VLOOKUP(A25,Enforcements!$C$7:$K$20,8,0)</f>
        <v>Form based authority (4)</v>
      </c>
      <c r="AC25" s="60" t="str">
        <f>VLOOKUP(A25,Enforcements!$C$7:$E$20,3,0)</f>
        <v>TRACK WARRANT AUTHORITY</v>
      </c>
      <c r="AD25" s="61" t="str">
        <f t="shared" si="11"/>
        <v>0113-19</v>
      </c>
      <c r="AE25" s="91" t="str">
        <f t="shared" si="12"/>
        <v>aws s3 cp s3://rtdc.mdm.uploadarchive.raw/RTDC4040/ "%USERPROFILE%\AppData\Local\Temp\OnboardLogs"\RTDC4040\2016-11-19 --exclude "*" --recursive --include "*20161119*" &amp; "%USERPROFILE%\Documents\GitHub\mrs-test-scripts\Headless Mode &amp; Sideloading\WalkAndUnGZ.bat" "%USERPROFILE%\AppData\Local\Temp\OnboardLogs"\RTDC4040\2016-11-19 &amp; 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</v>
      </c>
      <c r="AF25" s="88" t="str">
        <f t="shared" si="13"/>
        <v>"C:\Program Files (x86)\AstroGrep\AstroGrep.exe" /spath="%USERPROFILE%\AppData\Local\Temp\OnboardLogs" /stypes="app*4040*20161119*" /stext=" 12:.+((SYSTEM_STATE.+slice.+state.+changed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113-19 --locoid 4040 --swversion DE.1.0.8.0 --startMP 204:440 --initTime 2016-11-19T05:03:21 --startdatetime 2016-11-19T05:15:24 --delay 1 --endMP 204:233298 --enddatetime 2016-11-19T05:51:06 --enforcementcount 0 &gt;&gt;C:\Users\stu\Documents\GitHub\eaglep3-reporting\EC\2016-11-19-refined-times.txt</v>
      </c>
      <c r="AI25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{"issue":{"subject":"","project_id":79,"tracker_id":40,"status_id":1,"priority_id":2,"assigned_to_id":23,"start_date":"2016-11-19","description":"","custom_fields":[{"id":1,"name":"Subdivision","value":"EC"},{"id":4,"name":"Milepost","value":"23.3298"},{"id":17,"name":"Train ID","value":"113-19"},{"id":16,"name":"Locomotive ID","value":"4040"},{"id":130,"name":"Impact","value":""},{"id":150,"name":"Time of Event (Mountain Time)","value":"05:51:06"},{"id":151,"name":"Denver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489</v>
      </c>
      <c r="B26" s="7">
        <v>4039</v>
      </c>
      <c r="C26" s="22" t="s">
        <v>218</v>
      </c>
      <c r="D26" s="22" t="s">
        <v>339</v>
      </c>
      <c r="E26" s="13">
        <v>42693.254467592589</v>
      </c>
      <c r="F26" s="13">
        <v>42693.258113425924</v>
      </c>
      <c r="G26" s="7">
        <v>0</v>
      </c>
      <c r="H26" s="22" t="s">
        <v>662</v>
      </c>
      <c r="I26" s="13">
        <v>42693.284143518518</v>
      </c>
      <c r="J26" s="7">
        <v>0</v>
      </c>
      <c r="K26" s="109" t="str">
        <f t="shared" si="0"/>
        <v>4039/4040</v>
      </c>
      <c r="L26" s="22" t="str">
        <f>VLOOKUP(A26,'Trips&amp;Operators'!$C$1:$E$10000,3,FALSE)</f>
        <v>MAELZER</v>
      </c>
      <c r="M26" s="6">
        <f t="shared" si="1"/>
        <v>2.6030092594737653E-2</v>
      </c>
      <c r="N26" s="7">
        <f t="shared" si="2"/>
        <v>37.48333333642222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05:06:26-700',mode:absolute,to:'2016-11-19 07:49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23.298300000000001</v>
      </c>
      <c r="Z26" s="67">
        <f t="shared" si="9"/>
        <v>1.6899999999999998E-2</v>
      </c>
      <c r="AA26" s="67">
        <f t="shared" si="10"/>
        <v>23.281400000000001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 t="shared" si="11"/>
        <v>0114-19</v>
      </c>
      <c r="AE26" s="91" t="str">
        <f t="shared" si="12"/>
        <v>aws s3 cp s3://rtdc.mdm.uploadarchive.raw/RTDC4039/ "%USERPROFILE%\AppData\Local\Temp\OnboardLogs"\RTDC4039\2016-11-19 --exclude "*" --recursive --include "*20161119*" &amp; "%USERPROFILE%\Documents\GitHub\mrs-test-scripts\Headless Mode &amp; Sideloading\WalkAndUnGZ.bat" "%USERPROFILE%\AppData\Local\Temp\OnboardLogs"\RTDC4039\2016-11-19 &amp; 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</v>
      </c>
      <c r="AF26" s="88" t="str">
        <f t="shared" si="13"/>
        <v>"C:\Program Files (x86)\AstroGrep\AstroGrep.exe" /spath="%USERPROFILE%\AppData\Local\Temp\OnboardLogs" /stypes="app*4039*20161119*" /stext=" 13:.+((SYSTEM_STATE.+slice.+state.+changed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114-19 --locoid 4039 --swversion DE.1.0.8.0 --startMP 204:232983 --initTime 2016-11-19T06:06:26 --startdatetime 2016-11-19T06:11:41 --delay 0 --endMP 204:169 --enddatetime 2016-11-19T06:49:10 --enforcementcount 0 &gt;&gt;C:\Users\stu\Documents\GitHub\eaglep3-reporting\EC\2016-11-19-refined-times.txt</v>
      </c>
      <c r="AI26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{"issue":{"subject":"","project_id":79,"tracker_id":40,"status_id":1,"priority_id":2,"assigned_to_id":23,"start_date":"2016-11-19","description":"","custom_fields":[{"id":1,"name":"Subdivision","value":"EC"},{"id":4,"name":"Milepost","value":"0.0169"},{"id":17,"name":"Train ID","value":"114-19"},{"id":16,"name":"Locomotive ID","value":"4039"},{"id":130,"name":"Impact","value":""},{"id":150,"name":"Time of Event (Mountain Time)","value":"06:49:10"},{"id":151,"name":"Denver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443</v>
      </c>
      <c r="B27" s="7">
        <v>4014</v>
      </c>
      <c r="C27" s="22" t="s">
        <v>218</v>
      </c>
      <c r="D27" s="22" t="s">
        <v>663</v>
      </c>
      <c r="E27" s="13">
        <v>42693.233148148145</v>
      </c>
      <c r="F27" s="13">
        <v>42693.234178240738</v>
      </c>
      <c r="G27" s="7">
        <v>1</v>
      </c>
      <c r="H27" s="22" t="s">
        <v>664</v>
      </c>
      <c r="I27" s="13">
        <v>42693.257407407407</v>
      </c>
      <c r="J27" s="7">
        <v>0</v>
      </c>
      <c r="K27" s="109" t="str">
        <f t="shared" si="0"/>
        <v>4013/4014</v>
      </c>
      <c r="L27" s="22" t="str">
        <f>VLOOKUP(A27,'Trips&amp;Operators'!$C$1:$E$10000,3,FALSE)</f>
        <v>STRICKLAND</v>
      </c>
      <c r="M27" s="6">
        <f t="shared" si="1"/>
        <v>2.322916666889796E-2</v>
      </c>
      <c r="N27" s="7"/>
      <c r="O27" s="7"/>
      <c r="P27" s="7">
        <f t="shared" si="2"/>
        <v>33.450000003213063</v>
      </c>
      <c r="Q27" s="23"/>
      <c r="R27" s="23" t="s">
        <v>790</v>
      </c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04:35:44-700',mode:absolute,to:'2016-11-19 07:10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7" s="52" t="str">
        <f t="shared" si="6"/>
        <v>Y</v>
      </c>
      <c r="X27" s="177">
        <f t="shared" si="7"/>
        <v>1</v>
      </c>
      <c r="Y27" s="67">
        <f t="shared" si="8"/>
        <v>1.9134</v>
      </c>
      <c r="Z27" s="67">
        <f t="shared" si="9"/>
        <v>23.328600000000002</v>
      </c>
      <c r="AA27" s="67">
        <f t="shared" si="10"/>
        <v>21.415200000000002</v>
      </c>
      <c r="AB27" s="64" t="str">
        <f>VLOOKUP(A27,Enforcements!$C$7:$K$20,8,0)</f>
        <v>Speed (6)</v>
      </c>
      <c r="AC27" s="60" t="str">
        <f>VLOOKUP(A27,Enforcements!$C$7:$E$20,3,0)</f>
        <v>PERMANENT SPEED RESTRICTION</v>
      </c>
      <c r="AD27" s="61" t="str">
        <f t="shared" si="11"/>
        <v>0115-19</v>
      </c>
      <c r="AE27" s="91" t="str">
        <f t="shared" si="12"/>
        <v>aws s3 cp s3://rtdc.mdm.uploadarchive.raw/RTDC4014/ "%USERPROFILE%\AppData\Local\Temp\OnboardLogs"\RTDC4014\2016-11-19 --exclude "*" --recursive --include "*20161119*" &amp; "%USERPROFILE%\Documents\GitHub\mrs-test-scripts\Headless Mode &amp; Sideloading\WalkAndUnGZ.bat" "%USERPROFILE%\AppData\Local\Temp\OnboardLogs"\RTDC4014\2016-11-19 &amp; aws s3 cp s3://rtdc.mdm.uploadarchive.raw/RTDC4014/ "%USERPROFILE%\AppData\Local\Temp\OnboardLogs"\RTDC4014\2016-11-20 --exclude "*" --recursive --include "*20161120*" &amp; "%USERPROFILE%\Documents\GitHub\mrs-test-scripts\Headless Mode &amp; Sideloading\WalkAndUnGZ.bat" "%USERPROFILE%\AppData\Local\Temp\OnboardLogs"\RTDC4014\2016-11-20</v>
      </c>
      <c r="AF27" s="88" t="str">
        <f t="shared" si="13"/>
        <v>"C:\Program Files (x86)\AstroGrep\AstroGrep.exe" /spath="%USERPROFILE%\AppData\Local\Temp\OnboardLogs" /stypes="app*4014*20161119*" /stext=" 13:.+((SYSTEM_STATE.+slice.+state.+changed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115-19 --locoid 4014 --swversion DE.1.0.8.0 --startMP 204:19134 --initTime 2016-11-19T05:35:44 --startdatetime 2016-11-19T05:37:13 --delay 1 --endMP 204:233286 --enddatetime 2016-11-19T06:10:40 --enforcementcount 0 &gt;&gt;C:\Users\stu\Documents\GitHub\eaglep3-reporting\EC\2016-11-19-refined-times.txt</v>
      </c>
      <c r="AI27" s="119" t="str">
        <f t="shared" si="18"/>
        <v>echo {"issue":{"subject":"DUS 4N STOP due to 22N STOP","project_id":79,"tracker_id":40,"status_id":1,"priority_id":2,"assigned_to_id":23,"start_date":"2016-11-19","description":"","custom_fields":[{"id":1,"name":"Subdivision","value":"EC"},{"id":4,"name":"Milepost","value":"23.3286"},{"id":17,"name":"Train ID","value":"115-19"},{"id":16,"name":"Locomotive ID","value":"4014"},{"id":130,"name":"Impact","value":""},{"id":150,"name":"Time of Event (Mountain Time)","value":"06:10:40"},{"id":151,"name":"Denver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445</v>
      </c>
      <c r="B28" s="7">
        <v>4013</v>
      </c>
      <c r="C28" s="22" t="s">
        <v>218</v>
      </c>
      <c r="D28" s="22" t="s">
        <v>665</v>
      </c>
      <c r="E28" s="13">
        <v>42693.258935185186</v>
      </c>
      <c r="F28" s="13">
        <v>42693.268506944441</v>
      </c>
      <c r="G28" s="7">
        <v>1</v>
      </c>
      <c r="H28" s="22" t="s">
        <v>222</v>
      </c>
      <c r="I28" s="13">
        <v>42693.297361111108</v>
      </c>
      <c r="J28" s="7">
        <v>0</v>
      </c>
      <c r="K28" s="109" t="str">
        <f t="shared" si="0"/>
        <v>4013/4014</v>
      </c>
      <c r="L28" s="22" t="str">
        <f>VLOOKUP(A28,'Trips&amp;Operators'!$C$1:$E$10000,3,FALSE)</f>
        <v>STRICKLAND</v>
      </c>
      <c r="M28" s="6">
        <f t="shared" si="1"/>
        <v>2.8854166666860692E-2</v>
      </c>
      <c r="N28" s="7">
        <f t="shared" si="2"/>
        <v>41.550000000279397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05:12:52-700',mode:absolute,to:'2016-11-19 08:08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23.2959</v>
      </c>
      <c r="Z28" s="67">
        <f t="shared" si="9"/>
        <v>1.5800000000000002E-2</v>
      </c>
      <c r="AA28" s="67">
        <f t="shared" si="10"/>
        <v>23.280100000000001</v>
      </c>
      <c r="AB28" s="64" t="str">
        <f>VLOOKUP(A28,Enforcements!$C$7:$K$20,8,0)</f>
        <v>Speed (6)</v>
      </c>
      <c r="AC28" s="60" t="str">
        <f>VLOOKUP(A28,Enforcements!$C$7:$E$20,3,0)</f>
        <v>PERMANENT SPEED RESTRICTION</v>
      </c>
      <c r="AD28" s="61" t="str">
        <f t="shared" si="11"/>
        <v>0116-19</v>
      </c>
      <c r="AE28" s="91" t="str">
        <f t="shared" si="12"/>
        <v>aws s3 cp s3://rtdc.mdm.uploadarchive.raw/RTDC4013/ "%USERPROFILE%\AppData\Local\Temp\OnboardLogs"\RTDC4013\2016-11-19 --exclude "*" --recursive --include "*20161119*" &amp; "%USERPROFILE%\Documents\GitHub\mrs-test-scripts\Headless Mode &amp; Sideloading\WalkAndUnGZ.bat" "%USERPROFILE%\AppData\Local\Temp\OnboardLogs"\RTDC4013\2016-11-19 &amp; aws s3 cp s3://rtdc.mdm.uploadarchive.raw/RTDC4013/ "%USERPROFILE%\AppData\Local\Temp\OnboardLogs"\RTDC4013\2016-11-20 --exclude "*" --recursive --include "*20161120*" &amp; "%USERPROFILE%\Documents\GitHub\mrs-test-scripts\Headless Mode &amp; Sideloading\WalkAndUnGZ.bat" "%USERPROFILE%\AppData\Local\Temp\OnboardLogs"\RTDC4013\2016-11-20</v>
      </c>
      <c r="AF28" s="88" t="str">
        <f t="shared" si="13"/>
        <v>"C:\Program Files (x86)\AstroGrep\AstroGrep.exe" /spath="%USERPROFILE%\AppData\Local\Temp\OnboardLogs" /stypes="app*4013*20161119*" /stext=" 14:.+((SYSTEM_STATE.+slice.+state.+changed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116-19 --locoid 4013 --swversion DE.1.0.8.0 --startMP 204:232959 --initTime 2016-11-19T06:12:52 --startdatetime 2016-11-19T06:26:39 --delay 1 --endMP 204:158 --enddatetime 2016-11-19T07:08:12 --enforcementcount 0 &gt;&gt;C:\Users\stu\Documents\GitHub\eaglep3-reporting\EC\2016-11-19-refined-times.txt</v>
      </c>
      <c r="AI28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{"issue":{"subject":"","project_id":79,"tracker_id":40,"status_id":1,"priority_id":2,"assigned_to_id":23,"start_date":"2016-11-19","description":"","custom_fields":[{"id":1,"name":"Subdivision","value":"EC"},{"id":4,"name":"Milepost","value":"0.0158"},{"id":17,"name":"Train ID","value":"116-19"},{"id":16,"name":"Locomotive ID","value":"4013"},{"id":130,"name":"Impact","value":""},{"id":150,"name":"Time of Event (Mountain Time)","value":"07:08:12"},{"id":151,"name":"Denver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483</v>
      </c>
      <c r="B29" s="7">
        <v>4003</v>
      </c>
      <c r="C29" s="22" t="s">
        <v>218</v>
      </c>
      <c r="D29" s="22" t="s">
        <v>666</v>
      </c>
      <c r="E29" s="13">
        <v>42693.228263888886</v>
      </c>
      <c r="F29" s="13">
        <v>42693.239907407406</v>
      </c>
      <c r="G29" s="7">
        <v>1</v>
      </c>
      <c r="H29" s="22" t="s">
        <v>200</v>
      </c>
      <c r="I29" s="13">
        <v>42693.264861111114</v>
      </c>
      <c r="J29" s="7">
        <v>0</v>
      </c>
      <c r="K29" s="109" t="str">
        <f t="shared" si="0"/>
        <v>4003/4004</v>
      </c>
      <c r="L29" s="22" t="str">
        <f>VLOOKUP(A29,'Trips&amp;Operators'!$C$1:$E$10000,3,FALSE)</f>
        <v>ROBINSON</v>
      </c>
      <c r="M29" s="6">
        <f t="shared" si="1"/>
        <v>2.4953703708888497E-2</v>
      </c>
      <c r="N29" s="7">
        <f t="shared" si="2"/>
        <v>35.933333340799436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04:28:42-700',mode:absolute,to:'2016-11-19 07:21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3.8399999999999997E-2</v>
      </c>
      <c r="Z29" s="67">
        <f t="shared" si="9"/>
        <v>23.329499999999999</v>
      </c>
      <c r="AA29" s="67">
        <f t="shared" si="10"/>
        <v>23.2911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11"/>
        <v>0117-19</v>
      </c>
      <c r="AE29" s="91" t="str">
        <f t="shared" si="12"/>
        <v>aws s3 cp s3://rtdc.mdm.uploadarchive.raw/RTDC4003/ "%USERPROFILE%\AppData\Local\Temp\OnboardLogs"\RTDC4003\2016-11-19 --exclude "*" --recursive --include "*20161119*" &amp; "%USERPROFILE%\Documents\GitHub\mrs-test-scripts\Headless Mode &amp; Sideloading\WalkAndUnGZ.bat" "%USERPROFILE%\AppData\Local\Temp\OnboardLogs"\RTDC4003\2016-11-19 &amp; aws s3 cp s3://rtdc.mdm.uploadarchive.raw/RTDC4003/ "%USERPROFILE%\AppData\Local\Temp\OnboardLogs"\RTDC4003\2016-11-20 --exclude "*" --recursive --include "*20161120*" &amp; "%USERPROFILE%\Documents\GitHub\mrs-test-scripts\Headless Mode &amp; Sideloading\WalkAndUnGZ.bat" "%USERPROFILE%\AppData\Local\Temp\OnboardLogs"\RTDC4003\2016-11-20</v>
      </c>
      <c r="AF29" s="88" t="str">
        <f t="shared" si="13"/>
        <v>"C:\Program Files (x86)\AstroGrep\AstroGrep.exe" /spath="%USERPROFILE%\AppData\Local\Temp\OnboardLogs" /stypes="app*4003*20161119*" /stext=" 13:.+((SYSTEM_STATE.+slice.+state.+changed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117-19 --locoid 4003 --swversion DE.1.0.8.0 --startMP 204:384 --initTime 2016-11-19T05:28:42 --startdatetime 2016-11-19T05:45:28 --delay 1 --endMP 204:233295 --enddatetime 2016-11-19T06:21:24 --enforcementcount 0 &gt;&gt;C:\Users\stu\Documents\GitHub\eaglep3-reporting\EC\2016-11-19-refined-times.txt</v>
      </c>
      <c r="AI29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{"issue":{"subject":"","project_id":79,"tracker_id":40,"status_id":1,"priority_id":2,"assigned_to_id":23,"start_date":"2016-11-19","description":"","custom_fields":[{"id":1,"name":"Subdivision","value":"EC"},{"id":4,"name":"Milepost","value":"23.3295"},{"id":17,"name":"Train ID","value":"117-19"},{"id":16,"name":"Locomotive ID","value":"4003"},{"id":130,"name":"Impact","value":""},{"id":150,"name":"Time of Event (Mountain Time)","value":"06:21:24"},{"id":151,"name":"Denver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492</v>
      </c>
      <c r="B30" s="7">
        <v>4004</v>
      </c>
      <c r="C30" s="22" t="s">
        <v>218</v>
      </c>
      <c r="D30" s="22" t="s">
        <v>667</v>
      </c>
      <c r="E30" s="13">
        <v>42693.271793981483</v>
      </c>
      <c r="F30" s="13">
        <v>42693.278726851851</v>
      </c>
      <c r="G30" s="7">
        <v>1</v>
      </c>
      <c r="H30" s="22" t="s">
        <v>360</v>
      </c>
      <c r="I30" s="13">
        <v>42693.305706018517</v>
      </c>
      <c r="J30" s="7">
        <v>0</v>
      </c>
      <c r="K30" s="109" t="str">
        <f t="shared" si="0"/>
        <v>4003/4004</v>
      </c>
      <c r="L30" s="22" t="str">
        <f>VLOOKUP(A30,'Trips&amp;Operators'!$C$1:$E$10000,3,FALSE)</f>
        <v>ROBINSON</v>
      </c>
      <c r="M30" s="6">
        <f t="shared" si="1"/>
        <v>2.6979166665114462E-2</v>
      </c>
      <c r="N30" s="7">
        <f t="shared" si="2"/>
        <v>38.849999997764826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05:31:23-700',mode:absolute,to:'2016-11-19 08:20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23.298500000000001</v>
      </c>
      <c r="Z30" s="67">
        <f t="shared" si="9"/>
        <v>1.34E-2</v>
      </c>
      <c r="AA30" s="67">
        <f t="shared" si="10"/>
        <v>23.2851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 t="shared" si="11"/>
        <v>0118-19</v>
      </c>
      <c r="AE30" s="91" t="str">
        <f t="shared" si="12"/>
        <v>aws s3 cp s3://rtdc.mdm.uploadarchive.raw/RTDC4004/ "%USERPROFILE%\AppData\Local\Temp\OnboardLogs"\RTDC4004\2016-11-19 --exclude "*" --recursive --include "*20161119*" &amp; "%USERPROFILE%\Documents\GitHub\mrs-test-scripts\Headless Mode &amp; Sideloading\WalkAndUnGZ.bat" "%USERPROFILE%\AppData\Local\Temp\OnboardLogs"\RTDC4004\2016-11-19 &amp; 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</v>
      </c>
      <c r="AF30" s="88" t="str">
        <f t="shared" si="13"/>
        <v>"C:\Program Files (x86)\AstroGrep\AstroGrep.exe" /spath="%USERPROFILE%\AppData\Local\Temp\OnboardLogs" /stypes="app*4004*20161119*" /stext=" 14:.+((SYSTEM_STATE.+slice.+state.+changed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118-19 --locoid 4004 --swversion DE.1.0.8.0 --startMP 204:232985 --initTime 2016-11-19T06:31:23 --startdatetime 2016-11-19T06:41:22 --delay 1 --endMP 204:134 --enddatetime 2016-11-19T07:20:13 --enforcementcount 0 &gt;&gt;C:\Users\stu\Documents\GitHub\eaglep3-reporting\EC\2016-11-19-refined-times.txt</v>
      </c>
      <c r="AI30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{"issue":{"subject":"","project_id":79,"tracker_id":40,"status_id":1,"priority_id":2,"assigned_to_id":23,"start_date":"2016-11-19","description":"","custom_fields":[{"id":1,"name":"Subdivision","value":"EC"},{"id":4,"name":"Milepost","value":"0.0134"},{"id":17,"name":"Train ID","value":"118-19"},{"id":16,"name":"Locomotive ID","value":"4004"},{"id":130,"name":"Impact","value":""},{"id":150,"name":"Time of Event (Mountain Time)","value":"07:20:13"},{"id":151,"name":"Denver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487</v>
      </c>
      <c r="B31" s="7">
        <v>4011</v>
      </c>
      <c r="C31" s="22" t="s">
        <v>218</v>
      </c>
      <c r="D31" s="22" t="s">
        <v>324</v>
      </c>
      <c r="E31" s="13">
        <v>42693.247777777775</v>
      </c>
      <c r="F31" s="13">
        <v>42693.250300925924</v>
      </c>
      <c r="G31" s="7">
        <v>2</v>
      </c>
      <c r="H31" s="22" t="s">
        <v>668</v>
      </c>
      <c r="I31" s="13">
        <v>42693.274837962963</v>
      </c>
      <c r="J31" s="7">
        <v>0</v>
      </c>
      <c r="K31" s="109" t="str">
        <f t="shared" si="0"/>
        <v>4011/4012</v>
      </c>
      <c r="L31" s="22" t="str">
        <f>VLOOKUP(A31,'Trips&amp;Operators'!$C$1:$E$10000,3,FALSE)</f>
        <v>ACKERMAN</v>
      </c>
      <c r="M31" s="6">
        <f t="shared" si="1"/>
        <v>2.453703703940846E-2</v>
      </c>
      <c r="N31" s="7">
        <f t="shared" si="2"/>
        <v>35.333333336748183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04:56:48-700',mode:absolute,to:'2016-11-19 07:35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7.3400000000000007E-2</v>
      </c>
      <c r="Z31" s="67">
        <f t="shared" si="9"/>
        <v>23.328399999999998</v>
      </c>
      <c r="AA31" s="67">
        <f t="shared" si="10"/>
        <v>23.254999999999999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 t="shared" si="11"/>
        <v>0119-19</v>
      </c>
      <c r="AE31" s="91" t="str">
        <f t="shared" si="12"/>
        <v>aws s3 cp s3://rtdc.mdm.uploadarchive.raw/RTDC4011/ "%USERPROFILE%\AppData\Local\Temp\OnboardLogs"\RTDC4011\2016-11-19 --exclude "*" --recursive --include "*20161119*" &amp; "%USERPROFILE%\Documents\GitHub\mrs-test-scripts\Headless Mode &amp; Sideloading\WalkAndUnGZ.bat" "%USERPROFILE%\AppData\Local\Temp\OnboardLogs"\RTDC4011\2016-11-19 &amp; 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</v>
      </c>
      <c r="AF31" s="88" t="str">
        <f t="shared" si="13"/>
        <v>"C:\Program Files (x86)\AstroGrep\AstroGrep.exe" /spath="%USERPROFILE%\AppData\Local\Temp\OnboardLogs" /stypes="app*4011*20161119*" /stext=" 13:.+((SYSTEM_STATE.+slice.+state.+changed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119-19 --locoid 4011 --swversion DE.1.0.8.0 --startMP 204:734 --initTime 2016-11-19T05:56:48 --startdatetime 2016-11-19T06:00:26 --delay 2 --endMP 204:233284 --enddatetime 2016-11-19T06:35:46 --enforcementcount 0 &gt;&gt;C:\Users\stu\Documents\GitHub\eaglep3-reporting\EC\2016-11-19-refined-times.txt</v>
      </c>
      <c r="AI31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{"issue":{"subject":"","project_id":79,"tracker_id":40,"status_id":1,"priority_id":2,"assigned_to_id":23,"start_date":"2016-11-19","description":"","custom_fields":[{"id":1,"name":"Subdivision","value":"EC"},{"id":4,"name":"Milepost","value":"23.3284"},{"id":17,"name":"Train ID","value":"119-19"},{"id":16,"name":"Locomotive ID","value":"4011"},{"id":130,"name":"Impact","value":""},{"id":150,"name":"Time of Event (Mountain Time)","value":"06:35:46"},{"id":151,"name":"Denver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494</v>
      </c>
      <c r="B32" s="7">
        <v>4012</v>
      </c>
      <c r="C32" s="22" t="s">
        <v>218</v>
      </c>
      <c r="D32" s="22" t="s">
        <v>660</v>
      </c>
      <c r="E32" s="13">
        <v>42693.281724537039</v>
      </c>
      <c r="F32" s="13">
        <v>42693.289097222223</v>
      </c>
      <c r="G32" s="7">
        <v>2</v>
      </c>
      <c r="H32" s="22" t="s">
        <v>230</v>
      </c>
      <c r="I32" s="13">
        <v>42693.315451388888</v>
      </c>
      <c r="J32" s="7">
        <v>0</v>
      </c>
      <c r="K32" s="109" t="str">
        <f t="shared" si="0"/>
        <v>4011/4012</v>
      </c>
      <c r="L32" s="22" t="str">
        <f>VLOOKUP(A32,'Trips&amp;Operators'!$C$1:$E$10000,3,FALSE)</f>
        <v>ACKERMAN</v>
      </c>
      <c r="M32" s="6">
        <f t="shared" si="1"/>
        <v>2.6354166664532386E-2</v>
      </c>
      <c r="N32" s="7">
        <f t="shared" si="2"/>
        <v>37.949999996926636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05:45:41-700',mode:absolute,to:'2016-11-19 08:34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23.296900000000001</v>
      </c>
      <c r="Z32" s="67">
        <f t="shared" si="9"/>
        <v>1.6E-2</v>
      </c>
      <c r="AA32" s="67">
        <f t="shared" si="10"/>
        <v>23.280900000000003</v>
      </c>
      <c r="AB32" s="64" t="e">
        <f>VLOOKUP(A32,Enforcements!$C$7:$K$20,8,0)</f>
        <v>#N/A</v>
      </c>
      <c r="AC32" s="60" t="e">
        <f>VLOOKUP(A32,Enforcements!$C$7:$E$20,3,0)</f>
        <v>#N/A</v>
      </c>
      <c r="AD32" s="61" t="str">
        <f t="shared" si="11"/>
        <v>0120-19</v>
      </c>
      <c r="AE32" s="91" t="str">
        <f t="shared" si="12"/>
        <v>aws s3 cp s3://rtdc.mdm.uploadarchive.raw/RTDC4012/ "%USERPROFILE%\AppData\Local\Temp\OnboardLogs"\RTDC4012\2016-11-19 --exclude "*" --recursive --include "*20161119*" &amp; "%USERPROFILE%\Documents\GitHub\mrs-test-scripts\Headless Mode &amp; Sideloading\WalkAndUnGZ.bat" "%USERPROFILE%\AppData\Local\Temp\OnboardLogs"\RTDC4012\2016-11-19 &amp; 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</v>
      </c>
      <c r="AF32" s="88" t="str">
        <f t="shared" si="13"/>
        <v>"C:\Program Files (x86)\AstroGrep\AstroGrep.exe" /spath="%USERPROFILE%\AppData\Local\Temp\OnboardLogs" /stypes="app*4012*20161119*" /stext=" 14:.+((SYSTEM_STATE.+slice.+state.+changed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120-19 --locoid 4012 --swversion DE.1.0.8.0 --startMP 204:232969 --initTime 2016-11-19T06:45:41 --startdatetime 2016-11-19T06:56:18 --delay 2 --endMP 204:160 --enddatetime 2016-11-19T07:34:15 --enforcementcount 0 &gt;&gt;C:\Users\stu\Documents\GitHub\eaglep3-reporting\EC\2016-11-19-refined-times.txt</v>
      </c>
      <c r="AI32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{"issue":{"subject":"","project_id":79,"tracker_id":40,"status_id":1,"priority_id":2,"assigned_to_id":23,"start_date":"2016-11-19","description":"","custom_fields":[{"id":1,"name":"Subdivision","value":"EC"},{"id":4,"name":"Milepost","value":"0.016"},{"id":17,"name":"Train ID","value":"120-19"},{"id":16,"name":"Locomotive ID","value":"4012"},{"id":130,"name":"Impact","value":""},{"id":150,"name":"Time of Event (Mountain Time)","value":"07:34:15"},{"id":151,"name":"Denver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490</v>
      </c>
      <c r="B33" s="7">
        <v>4046</v>
      </c>
      <c r="C33" s="22" t="s">
        <v>218</v>
      </c>
      <c r="D33" s="22" t="s">
        <v>245</v>
      </c>
      <c r="E33" s="13">
        <v>42693.258217592593</v>
      </c>
      <c r="F33" s="13">
        <v>42693.260601851849</v>
      </c>
      <c r="G33" s="7">
        <v>1</v>
      </c>
      <c r="H33" s="22" t="s">
        <v>669</v>
      </c>
      <c r="I33" s="13">
        <v>42693.286736111113</v>
      </c>
      <c r="J33" s="7">
        <v>0</v>
      </c>
      <c r="K33" s="109" t="str">
        <f t="shared" si="0"/>
        <v>4045/4046</v>
      </c>
      <c r="L33" s="22" t="str">
        <f>VLOOKUP(A33,'Trips&amp;Operators'!$C$1:$E$10000,3,FALSE)</f>
        <v>DAVIS</v>
      </c>
      <c r="M33" s="6">
        <f t="shared" si="1"/>
        <v>2.6134259263926651E-2</v>
      </c>
      <c r="N33" s="7">
        <f t="shared" si="2"/>
        <v>37.633333340054378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05:11:50-700',mode:absolute,to:'2016-11-19 07:52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4.7300000000000002E-2</v>
      </c>
      <c r="Z33" s="67">
        <f t="shared" si="9"/>
        <v>23.330200000000001</v>
      </c>
      <c r="AA33" s="67">
        <f t="shared" si="10"/>
        <v>23.282900000000001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11"/>
        <v>0121-19</v>
      </c>
      <c r="AE33" s="91" t="str">
        <f t="shared" si="12"/>
        <v>aws s3 cp s3://rtdc.mdm.uploadarchive.raw/RTDC4046/ "%USERPROFILE%\AppData\Local\Temp\OnboardLogs"\RTDC4046\2016-11-19 --exclude "*" --recursive --include "*20161119*" &amp; "%USERPROFILE%\Documents\GitHub\mrs-test-scripts\Headless Mode &amp; Sideloading\WalkAndUnGZ.bat" "%USERPROFILE%\AppData\Local\Temp\OnboardLogs"\RTDC4046\2016-11-19 &amp; aws s3 cp s3://rtdc.mdm.uploadarchive.raw/RTDC4046/ "%USERPROFILE%\AppData\Local\Temp\OnboardLogs"\RTDC4046\2016-11-20 --exclude "*" --recursive --include "*20161120*" &amp; "%USERPROFILE%\Documents\GitHub\mrs-test-scripts\Headless Mode &amp; Sideloading\WalkAndUnGZ.bat" "%USERPROFILE%\AppData\Local\Temp\OnboardLogs"\RTDC4046\2016-11-20</v>
      </c>
      <c r="AF33" s="88" t="str">
        <f t="shared" si="13"/>
        <v>"C:\Program Files (x86)\AstroGrep\AstroGrep.exe" /spath="%USERPROFILE%\AppData\Local\Temp\OnboardLogs" /stypes="app*4046*20161119*" /stext=" 13:.+((SYSTEM_STATE.+slice.+state.+changed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121-19 --locoid 4046 --swversion DE.1.0.8.0 --startMP 204:473 --initTime 2016-11-19T06:11:50 --startdatetime 2016-11-19T06:15:16 --delay 1 --endMP 204:233302 --enddatetime 2016-11-19T06:52:54 --enforcementcount 0 &gt;&gt;C:\Users\stu\Documents\GitHub\eaglep3-reporting\EC\2016-11-19-refined-times.txt</v>
      </c>
      <c r="AI33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{"issue":{"subject":"","project_id":79,"tracker_id":40,"status_id":1,"priority_id":2,"assigned_to_id":23,"start_date":"2016-11-19","description":"","custom_fields":[{"id":1,"name":"Subdivision","value":"EC"},{"id":4,"name":"Milepost","value":"23.3302"},{"id":17,"name":"Train ID","value":"121-19"},{"id":16,"name":"Locomotive ID","value":"4046"},{"id":130,"name":"Impact","value":""},{"id":150,"name":"Time of Event (Mountain Time)","value":"06:52:54"},{"id":151,"name":"Denver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497</v>
      </c>
      <c r="B34" s="7">
        <v>4045</v>
      </c>
      <c r="C34" s="22" t="s">
        <v>218</v>
      </c>
      <c r="D34" s="22" t="s">
        <v>328</v>
      </c>
      <c r="E34" s="13">
        <v>42693.294062499997</v>
      </c>
      <c r="F34" s="13">
        <v>42693.299456018518</v>
      </c>
      <c r="G34" s="7">
        <v>1</v>
      </c>
      <c r="H34" s="22" t="s">
        <v>670</v>
      </c>
      <c r="I34" s="13">
        <v>42693.327488425923</v>
      </c>
      <c r="J34" s="7">
        <v>0</v>
      </c>
      <c r="K34" s="109" t="str">
        <f t="shared" si="0"/>
        <v>4045/4046</v>
      </c>
      <c r="L34" s="22" t="str">
        <f>VLOOKUP(A34,'Trips&amp;Operators'!$C$1:$E$10000,3,FALSE)</f>
        <v>DAVIS</v>
      </c>
      <c r="M34" s="6">
        <f t="shared" si="1"/>
        <v>2.8032407404680271E-2</v>
      </c>
      <c r="N34" s="7">
        <f t="shared" si="2"/>
        <v>40.36666666273959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06:03:27-700',mode:absolute,to:'2016-11-19 08:51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23.299299999999999</v>
      </c>
      <c r="Z34" s="67">
        <f t="shared" si="9"/>
        <v>1.3899999999999999E-2</v>
      </c>
      <c r="AA34" s="67">
        <f t="shared" si="10"/>
        <v>23.285399999999999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 t="shared" si="11"/>
        <v>0122-19</v>
      </c>
      <c r="AE34" s="91" t="str">
        <f t="shared" si="12"/>
        <v>aws s3 cp s3://rtdc.mdm.uploadarchive.raw/RTDC4045/ "%USERPROFILE%\AppData\Local\Temp\OnboardLogs"\RTDC4045\2016-11-19 --exclude "*" --recursive --include "*20161119*" &amp; "%USERPROFILE%\Documents\GitHub\mrs-test-scripts\Headless Mode &amp; Sideloading\WalkAndUnGZ.bat" "%USERPROFILE%\AppData\Local\Temp\OnboardLogs"\RTDC4045\2016-11-19 &amp; aws s3 cp s3://rtdc.mdm.uploadarchive.raw/RTDC4045/ "%USERPROFILE%\AppData\Local\Temp\OnboardLogs"\RTDC4045\2016-11-20 --exclude "*" --recursive --include "*20161120*" &amp; "%USERPROFILE%\Documents\GitHub\mrs-test-scripts\Headless Mode &amp; Sideloading\WalkAndUnGZ.bat" "%USERPROFILE%\AppData\Local\Temp\OnboardLogs"\RTDC4045\2016-11-20</v>
      </c>
      <c r="AF34" s="88" t="str">
        <f t="shared" si="13"/>
        <v>"C:\Program Files (x86)\AstroGrep\AstroGrep.exe" /spath="%USERPROFILE%\AppData\Local\Temp\OnboardLogs" /stypes="app*4045*20161119*" /stext=" 14:.+((SYSTEM_STATE.+slice.+state.+changed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122-19 --locoid 4045 --swversion DE.1.0.8.0 --startMP 204:232993 --initTime 2016-11-19T07:03:27 --startdatetime 2016-11-19T07:11:13 --delay 1 --endMP 204:139 --enddatetime 2016-11-19T07:51:35 --enforcementcount 0 &gt;&gt;C:\Users\stu\Documents\GitHub\eaglep3-reporting\EC\2016-11-19-refined-times.txt</v>
      </c>
      <c r="AI34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{"issue":{"subject":"","project_id":79,"tracker_id":40,"status_id":1,"priority_id":2,"assigned_to_id":23,"start_date":"2016-11-19","description":"","custom_fields":[{"id":1,"name":"Subdivision","value":"EC"},{"id":4,"name":"Milepost","value":"0.0139"},{"id":17,"name":"Train ID","value":"122-19"},{"id":16,"name":"Locomotive ID","value":"4045"},{"id":130,"name":"Impact","value":""},{"id":150,"name":"Time of Event (Mountain Time)","value":"07:51:35"},{"id":151,"name":"Denver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491</v>
      </c>
      <c r="B35" s="7">
        <v>4031</v>
      </c>
      <c r="C35" s="22" t="s">
        <v>218</v>
      </c>
      <c r="D35" s="22" t="s">
        <v>217</v>
      </c>
      <c r="E35" s="13">
        <v>42693.265775462962</v>
      </c>
      <c r="F35" s="13">
        <v>42693.271516203706</v>
      </c>
      <c r="G35" s="7">
        <v>1</v>
      </c>
      <c r="H35" s="22" t="s">
        <v>416</v>
      </c>
      <c r="I35" s="13">
        <v>42693.295856481483</v>
      </c>
      <c r="J35" s="7">
        <v>0</v>
      </c>
      <c r="K35" s="109" t="str">
        <f t="shared" si="0"/>
        <v>4031/4032</v>
      </c>
      <c r="L35" s="22" t="str">
        <f>VLOOKUP(A35,'Trips&amp;Operators'!$C$1:$E$10000,3,FALSE)</f>
        <v>KILLION</v>
      </c>
      <c r="M35" s="6">
        <f t="shared" si="1"/>
        <v>2.4340277777810115E-2</v>
      </c>
      <c r="N35" s="7">
        <f t="shared" si="2"/>
        <v>35.050000000046566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05:22:43-700',mode:absolute,to:'2016-11-19 08:06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4.6399999999999997E-2</v>
      </c>
      <c r="Z35" s="67">
        <f t="shared" si="9"/>
        <v>23.331099999999999</v>
      </c>
      <c r="AA35" s="67">
        <f t="shared" si="10"/>
        <v>23.284700000000001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 t="shared" si="11"/>
        <v>0123-19</v>
      </c>
      <c r="AE35" s="91" t="str">
        <f t="shared" si="12"/>
        <v>aws s3 cp s3://rtdc.mdm.uploadarchive.raw/RTDC4031/ "%USERPROFILE%\AppData\Local\Temp\OnboardLogs"\RTDC4031\2016-11-19 --exclude "*" --recursive --include "*20161119*" &amp; "%USERPROFILE%\Documents\GitHub\mrs-test-scripts\Headless Mode &amp; Sideloading\WalkAndUnGZ.bat" "%USERPROFILE%\AppData\Local\Temp\OnboardLogs"\RTDC4031\2016-11-19 &amp; aws s3 cp s3://rtdc.mdm.uploadarchive.raw/RTDC4031/ "%USERPROFILE%\AppData\Local\Temp\OnboardLogs"\RTDC4031\2016-11-20 --exclude "*" --recursive --include "*20161120*" &amp; "%USERPROFILE%\Documents\GitHub\mrs-test-scripts\Headless Mode &amp; Sideloading\WalkAndUnGZ.bat" "%USERPROFILE%\AppData\Local\Temp\OnboardLogs"\RTDC4031\2016-11-20</v>
      </c>
      <c r="AF35" s="88" t="str">
        <f t="shared" si="13"/>
        <v>"C:\Program Files (x86)\AstroGrep\AstroGrep.exe" /spath="%USERPROFILE%\AppData\Local\Temp\OnboardLogs" /stypes="app*4031*20161119*" /stext=" 14:.+((SYSTEM_STATE.+slice.+state.+changed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123-19 --locoid 4031 --swversion DE.1.0.8.0 --startMP 204:464 --initTime 2016-11-19T06:22:43 --startdatetime 2016-11-19T06:30:59 --delay 1 --endMP 204:233311 --enddatetime 2016-11-19T07:06:02 --enforcementcount 0 &gt;&gt;C:\Users\stu\Documents\GitHub\eaglep3-reporting\EC\2016-11-19-refined-times.txt</v>
      </c>
      <c r="AI35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{"issue":{"subject":"","project_id":79,"tracker_id":40,"status_id":1,"priority_id":2,"assigned_to_id":23,"start_date":"2016-11-19","description":"","custom_fields":[{"id":1,"name":"Subdivision","value":"EC"},{"id":4,"name":"Milepost","value":"23.3311"},{"id":17,"name":"Train ID","value":"123-19"},{"id":16,"name":"Locomotive ID","value":"4031"},{"id":130,"name":"Impact","value":""},{"id":150,"name":"Time of Event (Mountain Time)","value":"07:06:02"},{"id":151,"name":"Denver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498</v>
      </c>
      <c r="B36" s="7">
        <v>4032</v>
      </c>
      <c r="C36" s="22" t="s">
        <v>218</v>
      </c>
      <c r="D36" s="22" t="s">
        <v>408</v>
      </c>
      <c r="E36" s="13">
        <v>42693.304872685185</v>
      </c>
      <c r="F36" s="13">
        <v>42693.309907407405</v>
      </c>
      <c r="G36" s="7">
        <v>1</v>
      </c>
      <c r="H36" s="22" t="s">
        <v>222</v>
      </c>
      <c r="I36" s="13">
        <v>42693.336562500001</v>
      </c>
      <c r="J36" s="7">
        <v>0</v>
      </c>
      <c r="K36" s="109" t="str">
        <f t="shared" si="0"/>
        <v>4031/4032</v>
      </c>
      <c r="L36" s="22" t="str">
        <f>VLOOKUP(A36,'Trips&amp;Operators'!$C$1:$E$10000,3,FALSE)</f>
        <v>KILLION</v>
      </c>
      <c r="M36" s="6">
        <f t="shared" si="1"/>
        <v>2.6655092595319729E-2</v>
      </c>
      <c r="N36" s="7">
        <f t="shared" si="2"/>
        <v>38.38333333726041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06:19:01-700',mode:absolute,to:'2016-11-19 09:04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23.295500000000001</v>
      </c>
      <c r="Z36" s="67">
        <f t="shared" si="9"/>
        <v>1.5800000000000002E-2</v>
      </c>
      <c r="AA36" s="67">
        <f t="shared" si="10"/>
        <v>23.279700000000002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11"/>
        <v>0124-19</v>
      </c>
      <c r="AE36" s="91" t="str">
        <f t="shared" si="12"/>
        <v>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 &amp; 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</v>
      </c>
      <c r="AF36" s="88" t="str">
        <f t="shared" si="13"/>
        <v>"C:\Program Files (x86)\AstroGrep\AstroGrep.exe" /spath="%USERPROFILE%\AppData\Local\Temp\OnboardLogs" /stypes="app*4032*20161119*" /stext=" 15:.+((SYSTEM_STATE.+slice.+state.+changed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124-19 --locoid 4032 --swversion DE.1.0.8.0 --startMP 204:232955 --initTime 2016-11-19T07:19:01 --startdatetime 2016-11-19T07:26:16 --delay 1 --endMP 204:158 --enddatetime 2016-11-19T08:04:39 --enforcementcount 0 &gt;&gt;C:\Users\stu\Documents\GitHub\eaglep3-reporting\EC\2016-11-19-refined-times.txt</v>
      </c>
      <c r="AI36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{"issue":{"subject":"","project_id":79,"tracker_id":40,"status_id":1,"priority_id":2,"assigned_to_id":23,"start_date":"2016-11-19","description":"","custom_fields":[{"id":1,"name":"Subdivision","value":"EC"},{"id":4,"name":"Milepost","value":"0.0158"},{"id":17,"name":"Train ID","value":"124-19"},{"id":16,"name":"Locomotive ID","value":"4032"},{"id":130,"name":"Impact","value":""},{"id":150,"name":"Time of Event (Mountain Time)","value":"08:04:39"},{"id":151,"name":"Denver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444</v>
      </c>
      <c r="B37" s="7">
        <v>4038</v>
      </c>
      <c r="C37" s="22" t="s">
        <v>218</v>
      </c>
      <c r="D37" s="22" t="s">
        <v>357</v>
      </c>
      <c r="E37" s="13">
        <v>42693.277638888889</v>
      </c>
      <c r="F37" s="13">
        <v>42693.281435185185</v>
      </c>
      <c r="G37" s="7">
        <v>1</v>
      </c>
      <c r="H37" s="22" t="s">
        <v>363</v>
      </c>
      <c r="I37" s="13">
        <v>42693.306111111109</v>
      </c>
      <c r="J37" s="7">
        <v>0</v>
      </c>
      <c r="K37" s="109" t="str">
        <f t="shared" si="0"/>
        <v>4037/4038</v>
      </c>
      <c r="L37" s="22" t="str">
        <f>VLOOKUP(A37,'Trips&amp;Operators'!$C$1:$E$10000,3,FALSE)</f>
        <v>GEBRETEKLE</v>
      </c>
      <c r="M37" s="6">
        <f t="shared" si="1"/>
        <v>2.4675925924384501E-2</v>
      </c>
      <c r="N37" s="7">
        <f t="shared" si="2"/>
        <v>35.533333331113681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05:39:48-700',mode:absolute,to:'2016-11-19 08:20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4.4600000000000001E-2</v>
      </c>
      <c r="Z37" s="67">
        <f t="shared" si="9"/>
        <v>23.328700000000001</v>
      </c>
      <c r="AA37" s="67">
        <f t="shared" si="10"/>
        <v>23.284100000000002</v>
      </c>
      <c r="AB37" s="64" t="str">
        <f>VLOOKUP(A37,Enforcements!$C$7:$K$20,8,0)</f>
        <v>Bulletin (2)</v>
      </c>
      <c r="AC37" s="60" t="str">
        <f>VLOOKUP(A37,Enforcements!$C$7:$E$20,3,0)</f>
        <v>GRADE CROSSING</v>
      </c>
      <c r="AD37" s="61" t="str">
        <f t="shared" si="11"/>
        <v>0125-19</v>
      </c>
      <c r="AE37" s="91" t="str">
        <f t="shared" si="12"/>
        <v>aws s3 cp s3://rtdc.mdm.uploadarchive.raw/RTDC4038/ "%USERPROFILE%\AppData\Local\Temp\OnboardLogs"\RTDC4038\2016-11-19 --exclude "*" --recursive --include "*20161119*" &amp; "%USERPROFILE%\Documents\GitHub\mrs-test-scripts\Headless Mode &amp; Sideloading\WalkAndUnGZ.bat" "%USERPROFILE%\AppData\Local\Temp\OnboardLogs"\RTDC4038\2016-11-19 &amp; aws s3 cp s3://rtdc.mdm.uploadarchive.raw/RTDC4038/ "%USERPROFILE%\AppData\Local\Temp\OnboardLogs"\RTDC4038\2016-11-20 --exclude "*" --recursive --include "*20161120*" &amp; "%USERPROFILE%\Documents\GitHub\mrs-test-scripts\Headless Mode &amp; Sideloading\WalkAndUnGZ.bat" "%USERPROFILE%\AppData\Local\Temp\OnboardLogs"\RTDC4038\2016-11-20</v>
      </c>
      <c r="AF37" s="88" t="str">
        <f t="shared" si="13"/>
        <v>"C:\Program Files (x86)\AstroGrep\AstroGrep.exe" /spath="%USERPROFILE%\AppData\Local\Temp\OnboardLogs" /stypes="app*4038*20161119*" /stext=" 14:.+((SYSTEM_STATE.+slice.+state.+changed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125-19 --locoid 4038 --swversion DE.1.0.8.0 --startMP 204:446 --initTime 2016-11-19T06:39:48 --startdatetime 2016-11-19T06:45:16 --delay 1 --endMP 204:233287 --enddatetime 2016-11-19T07:20:48 --enforcementcount 0 &gt;&gt;C:\Users\stu\Documents\GitHub\eaglep3-reporting\EC\2016-11-19-refined-times.txt</v>
      </c>
      <c r="AI37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{"issue":{"subject":"","project_id":79,"tracker_id":40,"status_id":1,"priority_id":2,"assigned_to_id":23,"start_date":"2016-11-19","description":"","custom_fields":[{"id":1,"name":"Subdivision","value":"EC"},{"id":4,"name":"Milepost","value":"23.3287"},{"id":17,"name":"Train ID","value":"125-19"},{"id":16,"name":"Locomotive ID","value":"4038"},{"id":130,"name":"Impact","value":""},{"id":150,"name":"Time of Event (Mountain Time)","value":"07:20:48"},{"id":151,"name":"Denver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447</v>
      </c>
      <c r="B38" s="7">
        <v>4037</v>
      </c>
      <c r="C38" s="22" t="s">
        <v>218</v>
      </c>
      <c r="D38" s="22" t="s">
        <v>421</v>
      </c>
      <c r="E38" s="13">
        <v>42693.315706018519</v>
      </c>
      <c r="F38" s="13">
        <v>42693.320416666669</v>
      </c>
      <c r="G38" s="7">
        <v>1</v>
      </c>
      <c r="H38" s="22" t="s">
        <v>196</v>
      </c>
      <c r="I38" s="13">
        <v>42693.347557870373</v>
      </c>
      <c r="J38" s="7">
        <v>0</v>
      </c>
      <c r="K38" s="109" t="str">
        <f t="shared" si="0"/>
        <v>4037/4038</v>
      </c>
      <c r="L38" s="22" t="str">
        <f>VLOOKUP(A38,'Trips&amp;Operators'!$C$1:$E$10000,3,FALSE)</f>
        <v>GEBRETEKLE</v>
      </c>
      <c r="M38" s="6">
        <f t="shared" si="1"/>
        <v>2.7141203703649808E-2</v>
      </c>
      <c r="N38" s="7">
        <f t="shared" si="2"/>
        <v>39.083333333255723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06:34:37-700',mode:absolute,to:'2016-11-19 09:20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23.297599999999999</v>
      </c>
      <c r="Z38" s="67">
        <f t="shared" si="9"/>
        <v>1.49E-2</v>
      </c>
      <c r="AA38" s="67">
        <f t="shared" si="10"/>
        <v>23.282699999999998</v>
      </c>
      <c r="AB38" s="64" t="str">
        <f>VLOOKUP(A38,Enforcements!$C$7:$K$20,8,0)</f>
        <v>Signal based authority (5)</v>
      </c>
      <c r="AC38" s="60" t="str">
        <f>VLOOKUP(A38,Enforcements!$C$7:$E$20,3,0)</f>
        <v>SIGNAL</v>
      </c>
      <c r="AD38" s="61" t="str">
        <f t="shared" si="11"/>
        <v>0126-19</v>
      </c>
      <c r="AE38" s="91" t="str">
        <f t="shared" si="12"/>
        <v>aws s3 cp s3://rtdc.mdm.uploadarchive.raw/RTDC4037/ "%USERPROFILE%\AppData\Local\Temp\OnboardLogs"\RTDC4037\2016-11-19 --exclude "*" --recursive --include "*20161119*" &amp; "%USERPROFILE%\Documents\GitHub\mrs-test-scripts\Headless Mode &amp; Sideloading\WalkAndUnGZ.bat" "%USERPROFILE%\AppData\Local\Temp\OnboardLogs"\RTDC4037\2016-11-19 &amp; aws s3 cp s3://rtdc.mdm.uploadarchive.raw/RTDC4037/ "%USERPROFILE%\AppData\Local\Temp\OnboardLogs"\RTDC4037\2016-11-20 --exclude "*" --recursive --include "*20161120*" &amp; "%USERPROFILE%\Documents\GitHub\mrs-test-scripts\Headless Mode &amp; Sideloading\WalkAndUnGZ.bat" "%USERPROFILE%\AppData\Local\Temp\OnboardLogs"\RTDC4037\2016-11-20</v>
      </c>
      <c r="AF38" s="88" t="str">
        <f t="shared" si="13"/>
        <v>"C:\Program Files (x86)\AstroGrep\AstroGrep.exe" /spath="%USERPROFILE%\AppData\Local\Temp\OnboardLogs" /stypes="app*4037*20161119*" /stext=" 15:.+((SYSTEM_STATE.+slice.+state.+changed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126-19 --locoid 4037 --swversion DE.1.0.8.0 --startMP 204:232976 --initTime 2016-11-19T07:34:37 --startdatetime 2016-11-19T07:41:24 --delay 1 --endMP 204:149 --enddatetime 2016-11-19T08:20:29 --enforcementcount 0 &gt;&gt;C:\Users\stu\Documents\GitHub\eaglep3-reporting\EC\2016-11-19-refined-times.txt</v>
      </c>
      <c r="AI38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{"issue":{"subject":"","project_id":79,"tracker_id":40,"status_id":1,"priority_id":2,"assigned_to_id":23,"start_date":"2016-11-19","description":"","custom_fields":[{"id":1,"name":"Subdivision","value":"EC"},{"id":4,"name":"Milepost","value":"0.0149"},{"id":17,"name":"Train ID","value":"126-19"},{"id":16,"name":"Locomotive ID","value":"4037"},{"id":130,"name":"Impact","value":""},{"id":150,"name":"Time of Event (Mountain Time)","value":"08:20:29"},{"id":151,"name":"Denver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495</v>
      </c>
      <c r="B39" s="7">
        <v>4040</v>
      </c>
      <c r="C39" s="22" t="s">
        <v>218</v>
      </c>
      <c r="D39" s="22" t="s">
        <v>220</v>
      </c>
      <c r="E39" s="13">
        <v>42693.288055555553</v>
      </c>
      <c r="F39" s="13">
        <v>42693.292245370372</v>
      </c>
      <c r="G39" s="7">
        <v>1</v>
      </c>
      <c r="H39" s="22" t="s">
        <v>303</v>
      </c>
      <c r="I39" s="13">
        <v>42693.316851851851</v>
      </c>
      <c r="J39" s="7">
        <v>0</v>
      </c>
      <c r="K39" s="109" t="str">
        <f t="shared" si="0"/>
        <v>4039/4040</v>
      </c>
      <c r="L39" s="22" t="str">
        <f>VLOOKUP(A39,'Trips&amp;Operators'!$C$1:$E$10000,3,FALSE)</f>
        <v>MAELZER</v>
      </c>
      <c r="M39" s="6">
        <f t="shared" si="1"/>
        <v>2.4606481478258502E-2</v>
      </c>
      <c r="N39" s="7">
        <f t="shared" si="2"/>
        <v>35.433333328692243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05:54:48-700',mode:absolute,to:'2016-11-19 08:36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4.58E-2</v>
      </c>
      <c r="Z39" s="67">
        <f t="shared" si="9"/>
        <v>23.3307</v>
      </c>
      <c r="AA39" s="67">
        <f t="shared" si="10"/>
        <v>23.2849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 t="shared" si="11"/>
        <v>0127-19</v>
      </c>
      <c r="AE39" s="91" t="str">
        <f t="shared" si="12"/>
        <v>aws s3 cp s3://rtdc.mdm.uploadarchive.raw/RTDC4040/ "%USERPROFILE%\AppData\Local\Temp\OnboardLogs"\RTDC4040\2016-11-19 --exclude "*" --recursive --include "*20161119*" &amp; "%USERPROFILE%\Documents\GitHub\mrs-test-scripts\Headless Mode &amp; Sideloading\WalkAndUnGZ.bat" "%USERPROFILE%\AppData\Local\Temp\OnboardLogs"\RTDC4040\2016-11-19 &amp; 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</v>
      </c>
      <c r="AF39" s="88" t="str">
        <f t="shared" si="13"/>
        <v>"C:\Program Files (x86)\AstroGrep\AstroGrep.exe" /spath="%USERPROFILE%\AppData\Local\Temp\OnboardLogs" /stypes="app*4040*20161119*" /stext=" 14:.+((SYSTEM_STATE.+slice.+state.+changed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127-19 --locoid 4040 --swversion DE.1.0.8.0 --startMP 204:458 --initTime 2016-11-19T06:54:48 --startdatetime 2016-11-19T07:00:50 --delay 1 --endMP 204:233307 --enddatetime 2016-11-19T07:36:16 --enforcementcount 0 &gt;&gt;C:\Users\stu\Documents\GitHub\eaglep3-reporting\EC\2016-11-19-refined-times.txt</v>
      </c>
      <c r="AI39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{"issue":{"subject":"","project_id":79,"tracker_id":40,"status_id":1,"priority_id":2,"assigned_to_id":23,"start_date":"2016-11-19","description":"","custom_fields":[{"id":1,"name":"Subdivision","value":"EC"},{"id":4,"name":"Milepost","value":"23.3307"},{"id":17,"name":"Train ID","value":"127-19"},{"id":16,"name":"Locomotive ID","value":"4040"},{"id":130,"name":"Impact","value":""},{"id":150,"name":"Time of Event (Mountain Time)","value":"07:36:16"},{"id":151,"name":"Denver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502</v>
      </c>
      <c r="B40" s="7">
        <v>4039</v>
      </c>
      <c r="C40" s="22" t="s">
        <v>218</v>
      </c>
      <c r="D40" s="22" t="s">
        <v>325</v>
      </c>
      <c r="E40" s="13">
        <v>42693.322847222225</v>
      </c>
      <c r="F40" s="13">
        <v>42693.330937500003</v>
      </c>
      <c r="G40" s="7">
        <v>0</v>
      </c>
      <c r="H40" s="22" t="s">
        <v>175</v>
      </c>
      <c r="I40" s="13">
        <v>42693.356874999998</v>
      </c>
      <c r="J40" s="7">
        <v>0</v>
      </c>
      <c r="K40" s="109" t="str">
        <f t="shared" si="0"/>
        <v>4039/4040</v>
      </c>
      <c r="L40" s="22" t="str">
        <f>VLOOKUP(A40,'Trips&amp;Operators'!$C$1:$E$10000,3,FALSE)</f>
        <v>MAELZER</v>
      </c>
      <c r="M40" s="6">
        <f t="shared" si="1"/>
        <v>2.5937499995052349E-2</v>
      </c>
      <c r="N40" s="7">
        <f t="shared" si="2"/>
        <v>37.349999992875382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06:44:54-700',mode:absolute,to:'2016-11-19 09:33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23.299600000000002</v>
      </c>
      <c r="Z40" s="67">
        <f t="shared" si="9"/>
        <v>1.52E-2</v>
      </c>
      <c r="AA40" s="67">
        <f t="shared" si="10"/>
        <v>23.284400000000002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11"/>
        <v>0128-19</v>
      </c>
      <c r="AE40" s="91" t="str">
        <f t="shared" si="12"/>
        <v>aws s3 cp s3://rtdc.mdm.uploadarchive.raw/RTDC4039/ "%USERPROFILE%\AppData\Local\Temp\OnboardLogs"\RTDC4039\2016-11-19 --exclude "*" --recursive --include "*20161119*" &amp; "%USERPROFILE%\Documents\GitHub\mrs-test-scripts\Headless Mode &amp; Sideloading\WalkAndUnGZ.bat" "%USERPROFILE%\AppData\Local\Temp\OnboardLogs"\RTDC4039\2016-11-19 &amp; 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</v>
      </c>
      <c r="AF40" s="88" t="str">
        <f t="shared" si="13"/>
        <v>"C:\Program Files (x86)\AstroGrep\AstroGrep.exe" /spath="%USERPROFILE%\AppData\Local\Temp\OnboardLogs" /stypes="app*4039*20161119*" /stext=" 15:.+((SYSTEM_STATE.+slice.+state.+changed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128-19 --locoid 4039 --swversion DE.1.0.8.0 --startMP 204:232996 --initTime 2016-11-19T07:44:54 --startdatetime 2016-11-19T07:56:33 --delay 0 --endMP 204:152 --enddatetime 2016-11-19T08:33:54 --enforcementcount 0 &gt;&gt;C:\Users\stu\Documents\GitHub\eaglep3-reporting\EC\2016-11-19-refined-times.txt</v>
      </c>
      <c r="AI40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{"issue":{"subject":"","project_id":79,"tracker_id":40,"status_id":1,"priority_id":2,"assigned_to_id":23,"start_date":"2016-11-19","description":"","custom_fields":[{"id":1,"name":"Subdivision","value":"EC"},{"id":4,"name":"Milepost","value":"0.0152"},{"id":17,"name":"Train ID","value":"128-19"},{"id":16,"name":"Locomotive ID","value":"4039"},{"id":130,"name":"Impact","value":""},{"id":150,"name":"Time of Event (Mountain Time)","value":"08:33:54"},{"id":151,"name":"Denver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446</v>
      </c>
      <c r="B41" s="7">
        <v>4014</v>
      </c>
      <c r="C41" s="22" t="s">
        <v>218</v>
      </c>
      <c r="D41" s="22" t="s">
        <v>330</v>
      </c>
      <c r="E41" s="13">
        <v>42693.299074074072</v>
      </c>
      <c r="F41" s="13">
        <v>42693.302314814813</v>
      </c>
      <c r="G41" s="7">
        <v>1</v>
      </c>
      <c r="H41" s="22" t="s">
        <v>335</v>
      </c>
      <c r="I41" s="13">
        <v>42693.328402777777</v>
      </c>
      <c r="J41" s="7">
        <v>0</v>
      </c>
      <c r="K41" s="109" t="str">
        <f t="shared" si="0"/>
        <v>4013/4014</v>
      </c>
      <c r="L41" s="22" t="str">
        <f>VLOOKUP(A41,'Trips&amp;Operators'!$C$1:$E$10000,3,FALSE)</f>
        <v>STRICKLAND</v>
      </c>
      <c r="M41" s="6">
        <f t="shared" si="1"/>
        <v>2.6087962964083999E-2</v>
      </c>
      <c r="N41" s="7">
        <f t="shared" si="2"/>
        <v>37.566666668280959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06:10:40-700',mode:absolute,to:'2016-11-19 08:52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4.3700000000000003E-2</v>
      </c>
      <c r="Z41" s="67">
        <f t="shared" si="9"/>
        <v>23.331399999999999</v>
      </c>
      <c r="AA41" s="67">
        <f t="shared" si="10"/>
        <v>23.287699999999997</v>
      </c>
      <c r="AB41" s="64" t="str">
        <f>VLOOKUP(A41,Enforcements!$C$7:$K$20,8,0)</f>
        <v>Speed (6)</v>
      </c>
      <c r="AC41" s="60" t="str">
        <f>VLOOKUP(A41,Enforcements!$C$7:$E$20,3,0)</f>
        <v>PERMANENT SPEED RESTRICTION</v>
      </c>
      <c r="AD41" s="61" t="str">
        <f t="shared" si="11"/>
        <v>0129-19</v>
      </c>
      <c r="AE41" s="91" t="str">
        <f t="shared" si="12"/>
        <v>aws s3 cp s3://rtdc.mdm.uploadarchive.raw/RTDC4014/ "%USERPROFILE%\AppData\Local\Temp\OnboardLogs"\RTDC4014\2016-11-19 --exclude "*" --recursive --include "*20161119*" &amp; "%USERPROFILE%\Documents\GitHub\mrs-test-scripts\Headless Mode &amp; Sideloading\WalkAndUnGZ.bat" "%USERPROFILE%\AppData\Local\Temp\OnboardLogs"\RTDC4014\2016-11-19 &amp; aws s3 cp s3://rtdc.mdm.uploadarchive.raw/RTDC4014/ "%USERPROFILE%\AppData\Local\Temp\OnboardLogs"\RTDC4014\2016-11-20 --exclude "*" --recursive --include "*20161120*" &amp; "%USERPROFILE%\Documents\GitHub\mrs-test-scripts\Headless Mode &amp; Sideloading\WalkAndUnGZ.bat" "%USERPROFILE%\AppData\Local\Temp\OnboardLogs"\RTDC4014\2016-11-20</v>
      </c>
      <c r="AF41" s="88" t="str">
        <f t="shared" si="13"/>
        <v>"C:\Program Files (x86)\AstroGrep\AstroGrep.exe" /spath="%USERPROFILE%\AppData\Local\Temp\OnboardLogs" /stypes="app*4014*20161119*" /stext=" 14:.+((SYSTEM_STATE.+slice.+state.+changed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129-19 --locoid 4014 --swversion DE.1.0.8.0 --startMP 204:437 --initTime 2016-11-19T07:10:40 --startdatetime 2016-11-19T07:15:20 --delay 1 --endMP 204:233314 --enddatetime 2016-11-19T07:52:54 --enforcementcount 0 &gt;&gt;C:\Users\stu\Documents\GitHub\eaglep3-reporting\EC\2016-11-19-refined-times.txt</v>
      </c>
      <c r="AI41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{"issue":{"subject":"","project_id":79,"tracker_id":40,"status_id":1,"priority_id":2,"assigned_to_id":23,"start_date":"2016-11-19","description":"","custom_fields":[{"id":1,"name":"Subdivision","value":"EC"},{"id":4,"name":"Milepost","value":"23.3314"},{"id":17,"name":"Train ID","value":"129-19"},{"id":16,"name":"Locomotive ID","value":"4014"},{"id":130,"name":"Impact","value":""},{"id":150,"name":"Time of Event (Mountain Time)","value":"07:52:54"},{"id":151,"name":"Denver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504</v>
      </c>
      <c r="B42" s="7">
        <v>4013</v>
      </c>
      <c r="C42" s="22" t="s">
        <v>218</v>
      </c>
      <c r="D42" s="22" t="s">
        <v>305</v>
      </c>
      <c r="E42" s="13">
        <v>42693.331122685187</v>
      </c>
      <c r="F42" s="13">
        <v>42693.341180555559</v>
      </c>
      <c r="G42" s="7">
        <v>1</v>
      </c>
      <c r="H42" s="22" t="s">
        <v>326</v>
      </c>
      <c r="I42" s="13">
        <v>42693.369305555556</v>
      </c>
      <c r="J42" s="7">
        <v>0</v>
      </c>
      <c r="K42" s="109" t="str">
        <f t="shared" si="0"/>
        <v>4013/4014</v>
      </c>
      <c r="L42" s="22" t="str">
        <f>VLOOKUP(A42,'Trips&amp;Operators'!$C$1:$E$10000,3,FALSE)</f>
        <v>STRICKLAND</v>
      </c>
      <c r="M42" s="6">
        <f t="shared" si="1"/>
        <v>2.8124999997089617E-2</v>
      </c>
      <c r="N42" s="7">
        <f t="shared" si="2"/>
        <v>40.499999995809048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06:56:49-700',mode:absolute,to:'2016-11-19 09:51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23.299800000000001</v>
      </c>
      <c r="Z42" s="67">
        <f t="shared" si="9"/>
        <v>1.47E-2</v>
      </c>
      <c r="AA42" s="67">
        <f t="shared" si="10"/>
        <v>23.2851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 t="shared" si="11"/>
        <v>0130-19</v>
      </c>
      <c r="AE42" s="91" t="str">
        <f t="shared" si="12"/>
        <v>aws s3 cp s3://rtdc.mdm.uploadarchive.raw/RTDC4013/ "%USERPROFILE%\AppData\Local\Temp\OnboardLogs"\RTDC4013\2016-11-19 --exclude "*" --recursive --include "*20161119*" &amp; "%USERPROFILE%\Documents\GitHub\mrs-test-scripts\Headless Mode &amp; Sideloading\WalkAndUnGZ.bat" "%USERPROFILE%\AppData\Local\Temp\OnboardLogs"\RTDC4013\2016-11-19 &amp; aws s3 cp s3://rtdc.mdm.uploadarchive.raw/RTDC4013/ "%USERPROFILE%\AppData\Local\Temp\OnboardLogs"\RTDC4013\2016-11-20 --exclude "*" --recursive --include "*20161120*" &amp; "%USERPROFILE%\Documents\GitHub\mrs-test-scripts\Headless Mode &amp; Sideloading\WalkAndUnGZ.bat" "%USERPROFILE%\AppData\Local\Temp\OnboardLogs"\RTDC4013\2016-11-20</v>
      </c>
      <c r="AF42" s="88" t="str">
        <f t="shared" si="13"/>
        <v>"C:\Program Files (x86)\AstroGrep\AstroGrep.exe" /spath="%USERPROFILE%\AppData\Local\Temp\OnboardLogs" /stypes="app*4013*20161119*" /stext=" 15:.+((SYSTEM_STATE.+slice.+state.+changed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130-19 --locoid 4013 --swversion DE.1.0.8.0 --startMP 204:232998 --initTime 2016-11-19T07:56:49 --startdatetime 2016-11-19T08:11:18 --delay 1 --endMP 204:147 --enddatetime 2016-11-19T08:51:48 --enforcementcount 0 &gt;&gt;C:\Users\stu\Documents\GitHub\eaglep3-reporting\EC\2016-11-19-refined-times.txt</v>
      </c>
      <c r="AI42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{"issue":{"subject":"","project_id":79,"tracker_id":40,"status_id":1,"priority_id":2,"assigned_to_id":23,"start_date":"2016-11-19","description":"","custom_fields":[{"id":1,"name":"Subdivision","value":"EC"},{"id":4,"name":"Milepost","value":"0.0147"},{"id":17,"name":"Train ID","value":"130-19"},{"id":16,"name":"Locomotive ID","value":"4013"},{"id":130,"name":"Impact","value":""},{"id":150,"name":"Time of Event (Mountain Time)","value":"08:51:48"},{"id":151,"name":"Denver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499</v>
      </c>
      <c r="B43" s="7">
        <v>4003</v>
      </c>
      <c r="C43" s="22" t="s">
        <v>218</v>
      </c>
      <c r="D43" s="22" t="s">
        <v>671</v>
      </c>
      <c r="E43" s="13">
        <v>42693.337893518517</v>
      </c>
      <c r="F43" s="13">
        <v>42693.33934027778</v>
      </c>
      <c r="G43" s="7">
        <v>1</v>
      </c>
      <c r="H43" s="22" t="s">
        <v>404</v>
      </c>
      <c r="I43" s="13">
        <v>42693.34642361111</v>
      </c>
      <c r="J43" s="7">
        <v>0</v>
      </c>
      <c r="K43" s="109" t="str">
        <f t="shared" si="0"/>
        <v>4003/4004</v>
      </c>
      <c r="L43" s="22" t="str">
        <f>VLOOKUP(A43,'Trips&amp;Operators'!$C$1:$E$10000,3,FALSE)</f>
        <v>ROBINSON</v>
      </c>
      <c r="M43" s="6">
        <f t="shared" si="1"/>
        <v>7.0833333302289248E-3</v>
      </c>
      <c r="N43" s="7"/>
      <c r="O43" s="7"/>
      <c r="P43" s="7">
        <f t="shared" si="2"/>
        <v>10.199999995529652</v>
      </c>
      <c r="Q43" s="23"/>
      <c r="R43" s="23" t="s">
        <v>791</v>
      </c>
      <c r="S43" s="35">
        <f t="shared" si="3"/>
        <v>0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0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07:06:34-700',mode:absolute,to:'2016-11-19 09:18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43" s="52" t="str">
        <f t="shared" si="6"/>
        <v>Y</v>
      </c>
      <c r="X43" s="177">
        <f t="shared" si="7"/>
        <v>1</v>
      </c>
      <c r="Y43" s="67">
        <f t="shared" si="8"/>
        <v>15.443</v>
      </c>
      <c r="Z43" s="67">
        <f t="shared" si="9"/>
        <v>23.329899999999999</v>
      </c>
      <c r="AA43" s="67">
        <f t="shared" si="10"/>
        <v>7.8868999999999989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11"/>
        <v>0131-19</v>
      </c>
      <c r="AE43" s="91" t="str">
        <f t="shared" si="12"/>
        <v>aws s3 cp s3://rtdc.mdm.uploadarchive.raw/RTDC4003/ "%USERPROFILE%\AppData\Local\Temp\OnboardLogs"\RTDC4003\2016-11-19 --exclude "*" --recursive --include "*20161119*" &amp; "%USERPROFILE%\Documents\GitHub\mrs-test-scripts\Headless Mode &amp; Sideloading\WalkAndUnGZ.bat" "%USERPROFILE%\AppData\Local\Temp\OnboardLogs"\RTDC4003\2016-11-19 &amp; aws s3 cp s3://rtdc.mdm.uploadarchive.raw/RTDC4003/ "%USERPROFILE%\AppData\Local\Temp\OnboardLogs"\RTDC4003\2016-11-20 --exclude "*" --recursive --include "*20161120*" &amp; "%USERPROFILE%\Documents\GitHub\mrs-test-scripts\Headless Mode &amp; Sideloading\WalkAndUnGZ.bat" "%USERPROFILE%\AppData\Local\Temp\OnboardLogs"\RTDC4003\2016-11-20</v>
      </c>
      <c r="AF43" s="88" t="str">
        <f t="shared" si="13"/>
        <v>"C:\Program Files (x86)\AstroGrep\AstroGrep.exe" /spath="%USERPROFILE%\AppData\Local\Temp\OnboardLogs" /stypes="app*4003*20161119*" /stext=" 15:.+((SYSTEM_STATE.+slice.+state.+changed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131-19 --locoid 4003 --swversion DE.1.0.8.0 --startMP 204:154430 --initTime 2016-11-19T08:06:34 --startdatetime 2016-11-19T08:08:39 --delay 1 --endMP 204:233299 --enddatetime 2016-11-19T08:18:51 --enforcementcount 0 &gt;&gt;C:\Users\stu\Documents\GitHub\eaglep3-reporting\EC\2016-11-19-refined-times.txt</v>
      </c>
      <c r="AI43" s="119" t="str">
        <f t="shared" si="18"/>
        <v>echo {"issue":{"subject":"Onboard in-route failure","project_id":79,"tracker_id":40,"status_id":1,"priority_id":2,"assigned_to_id":23,"start_date":"2016-11-19","description":"SYS :2016/11/19 14:26:03.765:FAULT_MGR:Object: COMPARATOR on CPU3 has changed fault: 702 (TMC: Multiple CPU Faults) on TMC from CLEAR to ACTIVE","custom_fields":[{"id":1,"name":"Subdivision","value":"EC"},{"id":4,"name":"Milepost","value":"23.3299"},{"id":17,"name":"Train ID","value":"131-19"},{"id":16,"name":"Locomotive ID","value":"4003"},{"id":130,"name":"Impact","value":"Failed State"},{"id":150,"name":"Time of Event (Mountain Time)","value":"08:18:51"},{"id":151,"name":"Denver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43" s="53" t="s">
        <v>792</v>
      </c>
      <c r="AK43" s="53" t="s">
        <v>128</v>
      </c>
      <c r="AL43" s="53" t="s">
        <v>177</v>
      </c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507</v>
      </c>
      <c r="B44" s="7">
        <v>4004</v>
      </c>
      <c r="C44" s="22" t="s">
        <v>218</v>
      </c>
      <c r="D44" s="22" t="s">
        <v>672</v>
      </c>
      <c r="E44" s="13">
        <v>42693.348240740743</v>
      </c>
      <c r="F44" s="13">
        <v>42693.3515625</v>
      </c>
      <c r="G44" s="7">
        <v>1</v>
      </c>
      <c r="H44" s="22" t="s">
        <v>266</v>
      </c>
      <c r="I44" s="13">
        <v>42693.378055555557</v>
      </c>
      <c r="J44" s="7">
        <v>0</v>
      </c>
      <c r="K44" s="109" t="str">
        <f t="shared" si="0"/>
        <v>4003/4004</v>
      </c>
      <c r="L44" s="22" t="str">
        <f>VLOOKUP(A44,'Trips&amp;Operators'!$C$1:$E$10000,3,FALSE)</f>
        <v>ROBINSON</v>
      </c>
      <c r="M44" s="6">
        <f t="shared" si="1"/>
        <v>2.6493055556784384E-2</v>
      </c>
      <c r="N44" s="7">
        <f t="shared" si="2"/>
        <v>38.150000001769513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07:21:28-700',mode:absolute,to:'2016-11-19 10:04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23.296299999999999</v>
      </c>
      <c r="Z44" s="67">
        <f t="shared" si="9"/>
        <v>1.54E-2</v>
      </c>
      <c r="AA44" s="67">
        <f t="shared" si="10"/>
        <v>23.280899999999999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si="11"/>
        <v>0132-19</v>
      </c>
      <c r="AE44" s="91" t="str">
        <f t="shared" si="12"/>
        <v>aws s3 cp s3://rtdc.mdm.uploadarchive.raw/RTDC4004/ "%USERPROFILE%\AppData\Local\Temp\OnboardLogs"\RTDC4004\2016-11-19 --exclude "*" --recursive --include "*20161119*" &amp; "%USERPROFILE%\Documents\GitHub\mrs-test-scripts\Headless Mode &amp; Sideloading\WalkAndUnGZ.bat" "%USERPROFILE%\AppData\Local\Temp\OnboardLogs"\RTDC4004\2016-11-19 &amp; 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</v>
      </c>
      <c r="AF44" s="88" t="str">
        <f t="shared" si="13"/>
        <v>"C:\Program Files (x86)\AstroGrep\AstroGrep.exe" /spath="%USERPROFILE%\AppData\Local\Temp\OnboardLogs" /stypes="app*4004*20161119*" /stext=" 16:.+((SYSTEM_STATE.+slice.+state.+changed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132-19 --locoid 4004 --swversion DE.1.0.8.0 --startMP 204:232963 --initTime 2016-11-19T08:21:28 --startdatetime 2016-11-19T08:26:15 --delay 1 --endMP 204:154 --enddatetime 2016-11-19T09:04:24 --enforcementcount 0 &gt;&gt;C:\Users\stu\Documents\GitHub\eaglep3-reporting\EC\2016-11-19-refined-times.txt</v>
      </c>
      <c r="AI44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{"issue":{"subject":"","project_id":79,"tracker_id":40,"status_id":1,"priority_id":2,"assigned_to_id":23,"start_date":"2016-11-19","description":"","custom_fields":[{"id":1,"name":"Subdivision","value":"EC"},{"id":4,"name":"Milepost","value":"0.0154"},{"id":17,"name":"Train ID","value":"132-19"},{"id":16,"name":"Locomotive ID","value":"4004"},{"id":130,"name":"Impact","value":""},{"id":150,"name":"Time of Event (Mountain Time)","value":"09:04:24"},{"id":151,"name":"Denver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501</v>
      </c>
      <c r="B45" s="7">
        <v>4011</v>
      </c>
      <c r="C45" s="22" t="s">
        <v>218</v>
      </c>
      <c r="D45" s="22" t="s">
        <v>215</v>
      </c>
      <c r="E45" s="13">
        <v>42693.317453703705</v>
      </c>
      <c r="F45" s="13">
        <v>42693.323078703703</v>
      </c>
      <c r="G45" s="7">
        <v>1</v>
      </c>
      <c r="H45" s="22" t="s">
        <v>327</v>
      </c>
      <c r="I45" s="13">
        <v>42693.347627314812</v>
      </c>
      <c r="J45" s="7">
        <v>0</v>
      </c>
      <c r="K45" s="109" t="str">
        <f t="shared" si="0"/>
        <v>4011/4012</v>
      </c>
      <c r="L45" s="22" t="str">
        <f>VLOOKUP(A45,'Trips&amp;Operators'!$C$1:$E$10000,3,FALSE)</f>
        <v>ACKERMAN</v>
      </c>
      <c r="M45" s="6">
        <f t="shared" si="1"/>
        <v>2.4548611108912155E-2</v>
      </c>
      <c r="N45" s="7">
        <f t="shared" si="2"/>
        <v>35.349999996833503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06:37:08-700',mode:absolute,to:'2016-11-19 09:20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5" s="52" t="str">
        <f t="shared" si="6"/>
        <v>N</v>
      </c>
      <c r="X45" s="177">
        <f t="shared" si="7"/>
        <v>1</v>
      </c>
      <c r="Y45" s="67">
        <f t="shared" si="8"/>
        <v>4.6199999999999998E-2</v>
      </c>
      <c r="Z45" s="67">
        <f t="shared" si="9"/>
        <v>23.330400000000001</v>
      </c>
      <c r="AA45" s="67">
        <f t="shared" si="10"/>
        <v>23.284200000000002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11"/>
        <v>0133-19</v>
      </c>
      <c r="AE45" s="91" t="str">
        <f t="shared" si="12"/>
        <v>aws s3 cp s3://rtdc.mdm.uploadarchive.raw/RTDC4011/ "%USERPROFILE%\AppData\Local\Temp\OnboardLogs"\RTDC4011\2016-11-19 --exclude "*" --recursive --include "*20161119*" &amp; "%USERPROFILE%\Documents\GitHub\mrs-test-scripts\Headless Mode &amp; Sideloading\WalkAndUnGZ.bat" "%USERPROFILE%\AppData\Local\Temp\OnboardLogs"\RTDC4011\2016-11-19 &amp; 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</v>
      </c>
      <c r="AF45" s="88" t="str">
        <f t="shared" si="13"/>
        <v>"C:\Program Files (x86)\AstroGrep\AstroGrep.exe" /spath="%USERPROFILE%\AppData\Local\Temp\OnboardLogs" /stypes="app*4011*20161119*" /stext=" 15:.+((SYSTEM_STATE.+slice.+state.+changed )|(ment ac)|(system.+state.+changed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133-19 --locoid 4011 --swversion DE.1.0.8.0 --startMP 204:462 --initTime 2016-11-19T07:37:08 --startdatetime 2016-11-19T07:45:14 --delay 1 --endMP 204:233304 --enddatetime 2016-11-19T08:20:35 --enforcementcount 0 &gt;&gt;C:\Users\stu\Documents\GitHub\eaglep3-reporting\EC\2016-11-19-refined-times.txt</v>
      </c>
      <c r="AI45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{"issue":{"subject":"","project_id":79,"tracker_id":40,"status_id":1,"priority_id":2,"assigned_to_id":23,"start_date":"2016-11-19","description":"","custom_fields":[{"id":1,"name":"Subdivision","value":"EC"},{"id":4,"name":"Milepost","value":"23.3304"},{"id":17,"name":"Train ID","value":"133-19"},{"id":16,"name":"Locomotive ID","value":"4011"},{"id":130,"name":"Impact","value":""},{"id":150,"name":"Time of Event (Mountain Time)","value":"08:20:35"},{"id":151,"name":"Denver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509</v>
      </c>
      <c r="B46" s="7">
        <v>4012</v>
      </c>
      <c r="C46" s="22" t="s">
        <v>218</v>
      </c>
      <c r="D46" s="22" t="s">
        <v>339</v>
      </c>
      <c r="E46" s="13">
        <v>42693.356064814812</v>
      </c>
      <c r="F46" s="13">
        <v>42693.361979166664</v>
      </c>
      <c r="G46" s="7">
        <v>1</v>
      </c>
      <c r="H46" s="22" t="s">
        <v>409</v>
      </c>
      <c r="I46" s="13">
        <v>42693.388611111113</v>
      </c>
      <c r="J46" s="7">
        <v>0</v>
      </c>
      <c r="K46" s="109" t="str">
        <f t="shared" si="0"/>
        <v>4011/4012</v>
      </c>
      <c r="L46" s="22" t="str">
        <f>VLOOKUP(A46,'Trips&amp;Operators'!$C$1:$E$10000,3,FALSE)</f>
        <v>ACKERMAN</v>
      </c>
      <c r="M46" s="6">
        <f t="shared" si="1"/>
        <v>2.6631944449036382E-2</v>
      </c>
      <c r="N46" s="7">
        <f t="shared" si="2"/>
        <v>38.35000000661239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07:32:44-700',mode:absolute,to:'2016-11-19 10:19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6" s="52" t="str">
        <f t="shared" si="6"/>
        <v>N</v>
      </c>
      <c r="X46" s="177">
        <f t="shared" si="7"/>
        <v>1</v>
      </c>
      <c r="Y46" s="67">
        <f t="shared" si="8"/>
        <v>23.298300000000001</v>
      </c>
      <c r="Z46" s="67">
        <f t="shared" si="9"/>
        <v>1.3599999999999999E-2</v>
      </c>
      <c r="AA46" s="67">
        <f t="shared" si="10"/>
        <v>23.284700000000001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 t="shared" si="11"/>
        <v>0134-19</v>
      </c>
      <c r="AE46" s="91" t="str">
        <f t="shared" si="12"/>
        <v>aws s3 cp s3://rtdc.mdm.uploadarchive.raw/RTDC4012/ "%USERPROFILE%\AppData\Local\Temp\OnboardLogs"\RTDC4012\2016-11-19 --exclude "*" --recursive --include "*20161119*" &amp; "%USERPROFILE%\Documents\GitHub\mrs-test-scripts\Headless Mode &amp; Sideloading\WalkAndUnGZ.bat" "%USERPROFILE%\AppData\Local\Temp\OnboardLogs"\RTDC4012\2016-11-19 &amp; 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</v>
      </c>
      <c r="AF46" s="88" t="str">
        <f t="shared" si="13"/>
        <v>"C:\Program Files (x86)\AstroGrep\AstroGrep.exe" /spath="%USERPROFILE%\AppData\Local\Temp\OnboardLogs" /stypes="app*4012*20161119*" /stext=" 16:.+((SYSTEM_STATE.+slice.+state.+changed )|(ment ac)|(system.+state.+changed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134-19 --locoid 4012 --swversion DE.1.0.8.0 --startMP 204:232983 --initTime 2016-11-19T08:32:44 --startdatetime 2016-11-19T08:41:15 --delay 1 --endMP 204:136 --enddatetime 2016-11-19T09:19:36 --enforcementcount 0 &gt;&gt;C:\Users\stu\Documents\GitHub\eaglep3-reporting\EC\2016-11-19-refined-times.txt</v>
      </c>
      <c r="AI46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{"issue":{"subject":"","project_id":79,"tracker_id":40,"status_id":1,"priority_id":2,"assigned_to_id":23,"start_date":"2016-11-19","description":"","custom_fields":[{"id":1,"name":"Subdivision","value":"EC"},{"id":4,"name":"Milepost","value":"0.0136"},{"id":17,"name":"Train ID","value":"134-19"},{"id":16,"name":"Locomotive ID","value":"4012"},{"id":130,"name":"Impact","value":""},{"id":150,"name":"Time of Event (Mountain Time)","value":"09:19:36"},{"id":151,"name":"Denver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503</v>
      </c>
      <c r="B47" s="7">
        <v>4046</v>
      </c>
      <c r="C47" s="22" t="s">
        <v>218</v>
      </c>
      <c r="D47" s="22" t="s">
        <v>330</v>
      </c>
      <c r="E47" s="13">
        <v>42693.329039351855</v>
      </c>
      <c r="F47" s="13">
        <v>42693.33353009259</v>
      </c>
      <c r="G47" s="7">
        <v>1</v>
      </c>
      <c r="H47" s="22" t="s">
        <v>365</v>
      </c>
      <c r="I47" s="13">
        <v>42693.360185185185</v>
      </c>
      <c r="J47" s="7">
        <v>0</v>
      </c>
      <c r="K47" s="109" t="str">
        <f t="shared" si="0"/>
        <v>4045/4046</v>
      </c>
      <c r="L47" s="22" t="str">
        <f>VLOOKUP(A47,'Trips&amp;Operators'!$C$1:$E$10000,3,FALSE)</f>
        <v>DAVIS</v>
      </c>
      <c r="M47" s="6">
        <f t="shared" si="1"/>
        <v>2.6655092595319729E-2</v>
      </c>
      <c r="N47" s="7">
        <f t="shared" si="2"/>
        <v>38.38333333726041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06:53:49-700',mode:absolute,to:'2016-11-19 09:38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7" s="52" t="str">
        <f t="shared" si="6"/>
        <v>N</v>
      </c>
      <c r="X47" s="177">
        <f t="shared" si="7"/>
        <v>1</v>
      </c>
      <c r="Y47" s="67">
        <f t="shared" si="8"/>
        <v>4.3700000000000003E-2</v>
      </c>
      <c r="Z47" s="67">
        <f t="shared" si="9"/>
        <v>23.330500000000001</v>
      </c>
      <c r="AA47" s="67">
        <f t="shared" si="10"/>
        <v>23.286799999999999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 t="shared" si="11"/>
        <v>0135-19</v>
      </c>
      <c r="AE47" s="91" t="str">
        <f t="shared" si="12"/>
        <v>aws s3 cp s3://rtdc.mdm.uploadarchive.raw/RTDC4046/ "%USERPROFILE%\AppData\Local\Temp\OnboardLogs"\RTDC4046\2016-11-19 --exclude "*" --recursive --include "*20161119*" &amp; "%USERPROFILE%\Documents\GitHub\mrs-test-scripts\Headless Mode &amp; Sideloading\WalkAndUnGZ.bat" "%USERPROFILE%\AppData\Local\Temp\OnboardLogs"\RTDC4046\2016-11-19 &amp; aws s3 cp s3://rtdc.mdm.uploadarchive.raw/RTDC4046/ "%USERPROFILE%\AppData\Local\Temp\OnboardLogs"\RTDC4046\2016-11-20 --exclude "*" --recursive --include "*20161120*" &amp; "%USERPROFILE%\Documents\GitHub\mrs-test-scripts\Headless Mode &amp; Sideloading\WalkAndUnGZ.bat" "%USERPROFILE%\AppData\Local\Temp\OnboardLogs"\RTDC4046\2016-11-20</v>
      </c>
      <c r="AF47" s="88" t="str">
        <f t="shared" si="13"/>
        <v>"C:\Program Files (x86)\AstroGrep\AstroGrep.exe" /spath="%USERPROFILE%\AppData\Local\Temp\OnboardLogs" /stypes="app*4046*20161119*" /stext=" 15:.+((SYSTEM_STATE.+slice.+state.+changed )|(ment ac)|(system.+state.+changed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135-19 --locoid 4046 --swversion DE.1.0.8.0 --startMP 204:437 --initTime 2016-11-19T07:53:49 --startdatetime 2016-11-19T08:00:17 --delay 1 --endMP 204:233305 --enddatetime 2016-11-19T08:38:40 --enforcementcount 0 &gt;&gt;C:\Users\stu\Documents\GitHub\eaglep3-reporting\EC\2016-11-19-refined-times.txt</v>
      </c>
      <c r="AI47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{"issue":{"subject":"","project_id":79,"tracker_id":40,"status_id":1,"priority_id":2,"assigned_to_id":23,"start_date":"2016-11-19","description":"","custom_fields":[{"id":1,"name":"Subdivision","value":"EC"},{"id":4,"name":"Milepost","value":"23.3305"},{"id":17,"name":"Train ID","value":"135-19"},{"id":16,"name":"Locomotive ID","value":"4046"},{"id":130,"name":"Impact","value":""},{"id":150,"name":"Time of Event (Mountain Time)","value":"08:38:40"},{"id":151,"name":"Denver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512</v>
      </c>
      <c r="B48" s="7">
        <v>4045</v>
      </c>
      <c r="C48" s="22" t="s">
        <v>218</v>
      </c>
      <c r="D48" s="22" t="s">
        <v>305</v>
      </c>
      <c r="E48" s="13">
        <v>42693.370868055557</v>
      </c>
      <c r="F48" s="13">
        <v>42693.372476851851</v>
      </c>
      <c r="G48" s="7">
        <v>1</v>
      </c>
      <c r="H48" s="22" t="s">
        <v>197</v>
      </c>
      <c r="I48" s="13">
        <v>42693.400949074072</v>
      </c>
      <c r="J48" s="7">
        <v>0</v>
      </c>
      <c r="K48" s="109" t="str">
        <f t="shared" si="0"/>
        <v>4045/4046</v>
      </c>
      <c r="L48" s="22" t="str">
        <f>VLOOKUP(A48,'Trips&amp;Operators'!$C$1:$E$10000,3,FALSE)</f>
        <v>DAVIS</v>
      </c>
      <c r="M48" s="6">
        <f t="shared" si="1"/>
        <v>2.8472222220443655E-2</v>
      </c>
      <c r="N48" s="7">
        <f t="shared" si="2"/>
        <v>40.999999997438863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07:54:03-700',mode:absolute,to:'2016-11-19 10:37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8" s="52" t="str">
        <f t="shared" si="6"/>
        <v>N</v>
      </c>
      <c r="X48" s="177">
        <f t="shared" si="7"/>
        <v>1</v>
      </c>
      <c r="Y48" s="67">
        <f t="shared" si="8"/>
        <v>23.299800000000001</v>
      </c>
      <c r="Z48" s="67">
        <f t="shared" si="9"/>
        <v>1.43E-2</v>
      </c>
      <c r="AA48" s="67">
        <f t="shared" si="10"/>
        <v>23.285500000000003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 t="shared" si="11"/>
        <v>0136-19</v>
      </c>
      <c r="AE48" s="91" t="str">
        <f t="shared" si="12"/>
        <v>aws s3 cp s3://rtdc.mdm.uploadarchive.raw/RTDC4045/ "%USERPROFILE%\AppData\Local\Temp\OnboardLogs"\RTDC4045\2016-11-19 --exclude "*" --recursive --include "*20161119*" &amp; "%USERPROFILE%\Documents\GitHub\mrs-test-scripts\Headless Mode &amp; Sideloading\WalkAndUnGZ.bat" "%USERPROFILE%\AppData\Local\Temp\OnboardLogs"\RTDC4045\2016-11-19 &amp; aws s3 cp s3://rtdc.mdm.uploadarchive.raw/RTDC4045/ "%USERPROFILE%\AppData\Local\Temp\OnboardLogs"\RTDC4045\2016-11-20 --exclude "*" --recursive --include "*20161120*" &amp; "%USERPROFILE%\Documents\GitHub\mrs-test-scripts\Headless Mode &amp; Sideloading\WalkAndUnGZ.bat" "%USERPROFILE%\AppData\Local\Temp\OnboardLogs"\RTDC4045\2016-11-20</v>
      </c>
      <c r="AF48" s="88" t="str">
        <f t="shared" si="13"/>
        <v>"C:\Program Files (x86)\AstroGrep\AstroGrep.exe" /spath="%USERPROFILE%\AppData\Local\Temp\OnboardLogs" /stypes="app*4045*20161119*" /stext=" 16:.+((SYSTEM_STATE.+slice.+state.+changed )|(ment ac)|(system.+state.+changed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136-19 --locoid 4045 --swversion DE.1.0.8.0 --startMP 204:232998 --initTime 2016-11-19T08:54:03 --startdatetime 2016-11-19T08:56:22 --delay 1 --endMP 204:143 --enddatetime 2016-11-19T09:37:22 --enforcementcount 0 &gt;&gt;C:\Users\stu\Documents\GitHub\eaglep3-reporting\EC\2016-11-19-refined-times.txt</v>
      </c>
      <c r="AI48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{"issue":{"subject":"","project_id":79,"tracker_id":40,"status_id":1,"priority_id":2,"assigned_to_id":23,"start_date":"2016-11-19","description":"","custom_fields":[{"id":1,"name":"Subdivision","value":"EC"},{"id":4,"name":"Milepost","value":"0.0143"},{"id":17,"name":"Train ID","value":"136-19"},{"id":16,"name":"Locomotive ID","value":"4045"},{"id":130,"name":"Impact","value":""},{"id":150,"name":"Time of Event (Mountain Time)","value":"09:37:22"},{"id":151,"name":"Denver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505</v>
      </c>
      <c r="B49" s="7">
        <v>4031</v>
      </c>
      <c r="C49" s="22" t="s">
        <v>218</v>
      </c>
      <c r="D49" s="22" t="s">
        <v>217</v>
      </c>
      <c r="E49" s="13">
        <v>42693.340451388889</v>
      </c>
      <c r="F49" s="13">
        <v>42693.343946759262</v>
      </c>
      <c r="G49" s="7">
        <v>1</v>
      </c>
      <c r="H49" s="22" t="s">
        <v>338</v>
      </c>
      <c r="I49" s="13">
        <v>42693.368530092594</v>
      </c>
      <c r="J49" s="7">
        <v>0</v>
      </c>
      <c r="K49" s="109" t="str">
        <f t="shared" si="0"/>
        <v>4031/4032</v>
      </c>
      <c r="L49" s="22" t="str">
        <f>VLOOKUP(A49,'Trips&amp;Operators'!$C$1:$E$10000,3,FALSE)</f>
        <v>KILLION</v>
      </c>
      <c r="M49" s="6">
        <f t="shared" si="1"/>
        <v>2.4583333331975155E-2</v>
      </c>
      <c r="N49" s="7">
        <f t="shared" si="2"/>
        <v>35.399999998044223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07:10:15-700',mode:absolute,to:'2016-11-19 09:50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9" s="52" t="str">
        <f t="shared" si="6"/>
        <v>N</v>
      </c>
      <c r="X49" s="177">
        <f t="shared" si="7"/>
        <v>1</v>
      </c>
      <c r="Y49" s="67">
        <f t="shared" si="8"/>
        <v>4.6399999999999997E-2</v>
      </c>
      <c r="Z49" s="67">
        <f t="shared" si="9"/>
        <v>23.33</v>
      </c>
      <c r="AA49" s="67">
        <f t="shared" si="10"/>
        <v>23.2836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 t="shared" si="11"/>
        <v>0137-19</v>
      </c>
      <c r="AE49" s="91" t="str">
        <f t="shared" si="12"/>
        <v>aws s3 cp s3://rtdc.mdm.uploadarchive.raw/RTDC4031/ "%USERPROFILE%\AppData\Local\Temp\OnboardLogs"\RTDC4031\2016-11-19 --exclude "*" --recursive --include "*20161119*" &amp; "%USERPROFILE%\Documents\GitHub\mrs-test-scripts\Headless Mode &amp; Sideloading\WalkAndUnGZ.bat" "%USERPROFILE%\AppData\Local\Temp\OnboardLogs"\RTDC4031\2016-11-19 &amp; aws s3 cp s3://rtdc.mdm.uploadarchive.raw/RTDC4031/ "%USERPROFILE%\AppData\Local\Temp\OnboardLogs"\RTDC4031\2016-11-20 --exclude "*" --recursive --include "*20161120*" &amp; "%USERPROFILE%\Documents\GitHub\mrs-test-scripts\Headless Mode &amp; Sideloading\WalkAndUnGZ.bat" "%USERPROFILE%\AppData\Local\Temp\OnboardLogs"\RTDC4031\2016-11-20</v>
      </c>
      <c r="AF49" s="88" t="str">
        <f t="shared" si="13"/>
        <v>"C:\Program Files (x86)\AstroGrep\AstroGrep.exe" /spath="%USERPROFILE%\AppData\Local\Temp\OnboardLogs" /stypes="app*4031*20161119*" /stext=" 15:.+((SYSTEM_STATE.+slice.+state.+changed )|(ment ac)|(system.+state.+changed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137-19 --locoid 4031 --swversion DE.1.0.8.0 --startMP 204:464 --initTime 2016-11-19T08:10:15 --startdatetime 2016-11-19T08:15:17 --delay 1 --endMP 204:233300 --enddatetime 2016-11-19T08:50:41 --enforcementcount 0 &gt;&gt;C:\Users\stu\Documents\GitHub\eaglep3-reporting\EC\2016-11-19-refined-times.txt</v>
      </c>
      <c r="AI49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{"issue":{"subject":"","project_id":79,"tracker_id":40,"status_id":1,"priority_id":2,"assigned_to_id":23,"start_date":"2016-11-19","description":"","custom_fields":[{"id":1,"name":"Subdivision","value":"EC"},{"id":4,"name":"Milepost","value":"23.33"},{"id":17,"name":"Train ID","value":"137-19"},{"id":16,"name":"Locomotive ID","value":"4031"},{"id":130,"name":"Impact","value":""},{"id":150,"name":"Time of Event (Mountain Time)","value":"08:50:41"},{"id":151,"name":"Denver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515</v>
      </c>
      <c r="B50" s="7">
        <v>4032</v>
      </c>
      <c r="C50" s="22" t="s">
        <v>218</v>
      </c>
      <c r="D50" s="22" t="s">
        <v>667</v>
      </c>
      <c r="E50" s="13">
        <v>42693.374537037038</v>
      </c>
      <c r="F50" s="13">
        <v>42693.382870370369</v>
      </c>
      <c r="G50" s="7">
        <v>1</v>
      </c>
      <c r="H50" s="22" t="s">
        <v>673</v>
      </c>
      <c r="I50" s="13">
        <v>42693.406400462962</v>
      </c>
      <c r="J50" s="7">
        <v>0</v>
      </c>
      <c r="K50" s="109" t="str">
        <f t="shared" si="0"/>
        <v>4031/4032</v>
      </c>
      <c r="L50" s="22" t="str">
        <f>VLOOKUP(A50,'Trips&amp;Operators'!$C$1:$E$10000,3,FALSE)</f>
        <v>KILLION</v>
      </c>
      <c r="M50" s="6">
        <f t="shared" si="1"/>
        <v>2.3530092592409346E-2</v>
      </c>
      <c r="N50" s="7">
        <f>24*60*SUM($M50:$M51)</f>
        <v>42.016666671261191</v>
      </c>
      <c r="O50" s="7"/>
      <c r="P50" s="7"/>
      <c r="Q50" s="23"/>
      <c r="R50" s="23" t="s">
        <v>793</v>
      </c>
      <c r="S50" s="35">
        <f>SUM(U50:U51)/IF(AG50="EC",12,1)</f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11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07:59:20-700',mode:absolute,to:'2016-11-19 10:45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0" s="52" t="str">
        <f t="shared" si="6"/>
        <v>Y</v>
      </c>
      <c r="X50" s="177">
        <f t="shared" si="7"/>
        <v>1</v>
      </c>
      <c r="Y50" s="67">
        <f t="shared" si="8"/>
        <v>23.298500000000001</v>
      </c>
      <c r="Z50" s="67">
        <f t="shared" si="9"/>
        <v>2.9870000000000001</v>
      </c>
      <c r="AA50" s="67">
        <f t="shared" si="10"/>
        <v>20.311500000000002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 t="shared" si="11"/>
        <v>0138-19</v>
      </c>
      <c r="AE50" s="91" t="str">
        <f t="shared" si="12"/>
        <v>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 &amp; 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</v>
      </c>
      <c r="AF50" s="88" t="str">
        <f t="shared" si="13"/>
        <v>"C:\Program Files (x86)\AstroGrep\AstroGrep.exe" /spath="%USERPROFILE%\AppData\Local\Temp\OnboardLogs" /stypes="app*4032*20161119*" /stext=" 16:.+((SYSTEM_STATE.+slice.+state.+changed )|(ment ac)|(system.+state.+changed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138-19 --locoid 4032 --swversion DE.1.0.8.0 --startMP 204:232985 --initTime 2016-11-19T08:59:20 --startdatetime 2016-11-19T09:11:20 --delay 1 --endMP 204:29870 --enddatetime 2016-11-19T09:45:13 --enforcementcount 0 &gt;&gt;C:\Users\stu\Documents\GitHub\eaglep3-reporting\EC\2016-11-19-refined-times.txt</v>
      </c>
      <c r="AI50" s="119" t="str">
        <f t="shared" si="18"/>
        <v>echo {"issue":{"subject":"BI-1: Penalty Open coincident with CPU2 vote out","project_id":79,"tracker_id":40,"status_id":1,"priority_id":2,"assigned_to_id":23,"start_date":"2016-11-19","description":"Need help getting to the bottom of this one. I think the Onboard did not command a penalty, merely detected one. Coincident with the event was CPU2 being voted out, therefore I can't entirely rule out an Onboard issue. Any insights appreciated, thanks!","custom_fields":[{"id":1,"name":"Subdivision","value":"EC"},{"id":4,"name":"Milepost","value":"2.987"},{"id":17,"name":"Train ID","value":"138-19"},{"id":16,"name":"Locomotive ID","value":"4032"},{"id":130,"name":"Impact","value":"Enforcement"},{"id":150,"name":"Time of Event (Mountain Time)","value":"09:45:13"},{"id":151,"name":"Denver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50" s="53" t="s">
        <v>794</v>
      </c>
      <c r="AK50" s="53" t="s">
        <v>125</v>
      </c>
      <c r="AL50" s="53" t="s">
        <v>177</v>
      </c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515</v>
      </c>
      <c r="B51" s="7">
        <v>4032</v>
      </c>
      <c r="C51" s="22" t="s">
        <v>218</v>
      </c>
      <c r="D51" s="22" t="s">
        <v>673</v>
      </c>
      <c r="E51" s="13">
        <v>42693.407349537039</v>
      </c>
      <c r="F51" s="13">
        <v>42693.408668981479</v>
      </c>
      <c r="G51" s="7">
        <v>1</v>
      </c>
      <c r="H51" s="22" t="s">
        <v>266</v>
      </c>
      <c r="I51" s="13">
        <v>42693.414317129631</v>
      </c>
      <c r="J51" s="7">
        <v>0</v>
      </c>
      <c r="K51" s="109" t="str">
        <f t="shared" si="0"/>
        <v>4031/4032</v>
      </c>
      <c r="L51" s="22" t="str">
        <f>VLOOKUP(A51,'Trips&amp;Operators'!$C$1:$E$10000,3,FALSE)</f>
        <v>KILLION</v>
      </c>
      <c r="M51" s="6">
        <f t="shared" si="1"/>
        <v>5.6481481515220366E-3</v>
      </c>
      <c r="N51" s="7"/>
      <c r="O51" s="7"/>
      <c r="P51" s="7"/>
      <c r="Q51" s="23"/>
      <c r="R51" s="23"/>
      <c r="S51" s="35"/>
      <c r="T51" s="50" t="str">
        <f t="shared" si="4"/>
        <v>Southbound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08:46:35-700',mode:absolute,to:'2016-11-19 10:56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1" s="52" t="str">
        <f t="shared" si="6"/>
        <v>Y</v>
      </c>
      <c r="X51" s="177">
        <f t="shared" si="7"/>
        <v>0</v>
      </c>
      <c r="Y51" s="67">
        <f t="shared" si="8"/>
        <v>2.9870000000000001</v>
      </c>
      <c r="Z51" s="67">
        <f t="shared" si="9"/>
        <v>1.54E-2</v>
      </c>
      <c r="AA51" s="67">
        <f t="shared" si="10"/>
        <v>2.9716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 t="shared" si="11"/>
        <v>0138-19</v>
      </c>
      <c r="AE51" s="91" t="str">
        <f t="shared" si="12"/>
        <v>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 &amp; 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</v>
      </c>
      <c r="AF51" s="88" t="str">
        <f t="shared" si="13"/>
        <v>"C:\Program Files (x86)\AstroGrep\AstroGrep.exe" /spath="%USERPROFILE%\AppData\Local\Temp\OnboardLogs" /stypes="app*4032*20161119*" /stext=" 16:.+((SYSTEM_STATE.+slice.+state.+changed )|(ment ac)|(system.+state.+changed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138-19 --locoid 4032 --swversion DE.1.0.8.0 --startMP 204:29870 --initTime 2016-11-19T09:46:35 --startdatetime 2016-11-19T09:48:29 --delay 1 --endMP 204:154 --enddatetime 2016-11-19T09:56:37 --enforcementcount 0 &gt;&gt;C:\Users\stu\Documents\GitHub\eaglep3-reporting\EC\2016-11-19-refined-times.txt</v>
      </c>
      <c r="AI51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{"issue":{"subject":"","project_id":79,"tracker_id":40,"status_id":1,"priority_id":2,"assigned_to_id":23,"start_date":"2016-11-19","description":"","custom_fields":[{"id":1,"name":"Subdivision","value":"EC"},{"id":4,"name":"Milepost","value":"0.0154"},{"id":17,"name":"Train ID","value":"138-19"},{"id":16,"name":"Locomotive ID","value":"4032"},{"id":130,"name":"Impact","value":""},{"id":150,"name":"Time of Event (Mountain Time)","value":"09:56:37"},{"id":151,"name":"Denver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508</v>
      </c>
      <c r="B52" s="7">
        <v>4038</v>
      </c>
      <c r="C52" s="22" t="s">
        <v>218</v>
      </c>
      <c r="D52" s="22" t="s">
        <v>357</v>
      </c>
      <c r="E52" s="13">
        <v>42693.349699074075</v>
      </c>
      <c r="F52" s="13">
        <v>42693.354375000003</v>
      </c>
      <c r="G52" s="7">
        <v>5</v>
      </c>
      <c r="H52" s="22" t="s">
        <v>365</v>
      </c>
      <c r="I52" s="13">
        <v>42693.37909722222</v>
      </c>
      <c r="J52" s="7">
        <v>0</v>
      </c>
      <c r="K52" s="109" t="str">
        <f t="shared" si="0"/>
        <v>4037/4038</v>
      </c>
      <c r="L52" s="22" t="str">
        <f>VLOOKUP(A52,'Trips&amp;Operators'!$C$1:$E$10000,3,FALSE)</f>
        <v>GEBRETEKLE</v>
      </c>
      <c r="M52" s="6">
        <f t="shared" si="1"/>
        <v>2.4722222216951195E-2</v>
      </c>
      <c r="N52" s="7">
        <f t="shared" si="2"/>
        <v>35.599999992409721</v>
      </c>
      <c r="O52" s="7"/>
      <c r="P52" s="7"/>
      <c r="Q52" s="23"/>
      <c r="R52" s="23"/>
      <c r="S52" s="35">
        <f t="shared" si="3"/>
        <v>1</v>
      </c>
      <c r="T52" s="50" t="str">
        <f t="shared" si="4"/>
        <v>NorthBound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07:23:34-700',mode:absolute,to:'2016-11-19 10:05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2" s="52" t="str">
        <f t="shared" si="6"/>
        <v>N</v>
      </c>
      <c r="X52" s="177">
        <f t="shared" si="7"/>
        <v>1</v>
      </c>
      <c r="Y52" s="67">
        <f t="shared" si="8"/>
        <v>4.4600000000000001E-2</v>
      </c>
      <c r="Z52" s="67">
        <f t="shared" si="9"/>
        <v>23.330500000000001</v>
      </c>
      <c r="AA52" s="67">
        <f t="shared" si="10"/>
        <v>23.285900000000002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 t="shared" si="11"/>
        <v>0139-19</v>
      </c>
      <c r="AE52" s="91" t="str">
        <f t="shared" si="12"/>
        <v>aws s3 cp s3://rtdc.mdm.uploadarchive.raw/RTDC4038/ "%USERPROFILE%\AppData\Local\Temp\OnboardLogs"\RTDC4038\2016-11-19 --exclude "*" --recursive --include "*20161119*" &amp; "%USERPROFILE%\Documents\GitHub\mrs-test-scripts\Headless Mode &amp; Sideloading\WalkAndUnGZ.bat" "%USERPROFILE%\AppData\Local\Temp\OnboardLogs"\RTDC4038\2016-11-19 &amp; aws s3 cp s3://rtdc.mdm.uploadarchive.raw/RTDC4038/ "%USERPROFILE%\AppData\Local\Temp\OnboardLogs"\RTDC4038\2016-11-20 --exclude "*" --recursive --include "*20161120*" &amp; "%USERPROFILE%\Documents\GitHub\mrs-test-scripts\Headless Mode &amp; Sideloading\WalkAndUnGZ.bat" "%USERPROFILE%\AppData\Local\Temp\OnboardLogs"\RTDC4038\2016-11-20</v>
      </c>
      <c r="AF52" s="88" t="str">
        <f t="shared" si="13"/>
        <v>"C:\Program Files (x86)\AstroGrep\AstroGrep.exe" /spath="%USERPROFILE%\AppData\Local\Temp\OnboardLogs" /stypes="app*4038*20161119*" /stext=" 16:.+((SYSTEM_STATE.+slice.+state.+changed )|(ment ac)|(system.+state.+changed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139-19 --locoid 4038 --swversion DE.1.0.8.0 --startMP 204:446 --initTime 2016-11-19T08:23:34 --startdatetime 2016-11-19T08:30:18 --delay 5 --endMP 204:233305 --enddatetime 2016-11-19T09:05:54 --enforcementcount 0 &gt;&gt;C:\Users\stu\Documents\GitHub\eaglep3-reporting\EC\2016-11-19-refined-times.txt</v>
      </c>
      <c r="AI52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{"issue":{"subject":"","project_id":79,"tracker_id":40,"status_id":1,"priority_id":2,"assigned_to_id":23,"start_date":"2016-11-19","description":"","custom_fields":[{"id":1,"name":"Subdivision","value":"EC"},{"id":4,"name":"Milepost","value":"23.3305"},{"id":17,"name":"Train ID","value":"139-19"},{"id":16,"name":"Locomotive ID","value":"4038"},{"id":130,"name":"Impact","value":""},{"id":150,"name":"Time of Event (Mountain Time)","value":"09:05:54"},{"id":151,"name":"Denver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517</v>
      </c>
      <c r="B53" s="7">
        <v>4037</v>
      </c>
      <c r="C53" s="22" t="s">
        <v>218</v>
      </c>
      <c r="D53" s="22" t="s">
        <v>325</v>
      </c>
      <c r="E53" s="13">
        <v>42693.388391203705</v>
      </c>
      <c r="F53" s="13">
        <v>42693.393275462964</v>
      </c>
      <c r="G53" s="7">
        <v>1</v>
      </c>
      <c r="H53" s="22" t="s">
        <v>270</v>
      </c>
      <c r="I53" s="13">
        <v>42693.420300925929</v>
      </c>
      <c r="J53" s="7">
        <v>0</v>
      </c>
      <c r="K53" s="109" t="str">
        <f t="shared" si="0"/>
        <v>4037/4038</v>
      </c>
      <c r="L53" s="22" t="str">
        <f>VLOOKUP(A53,'Trips&amp;Operators'!$C$1:$E$10000,3,FALSE)</f>
        <v>GEBRETEKLE</v>
      </c>
      <c r="M53" s="6">
        <f t="shared" si="1"/>
        <v>2.7025462964957114E-2</v>
      </c>
      <c r="N53" s="7">
        <f t="shared" si="2"/>
        <v>38.916666669538245</v>
      </c>
      <c r="O53" s="7"/>
      <c r="P53" s="7"/>
      <c r="Q53" s="23"/>
      <c r="R53" s="23"/>
      <c r="S53" s="35">
        <f t="shared" si="3"/>
        <v>1</v>
      </c>
      <c r="T53" s="50" t="str">
        <f t="shared" si="4"/>
        <v>Southbound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08:19:17-700',mode:absolute,to:'2016-11-19 11:05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3" s="52" t="str">
        <f t="shared" si="6"/>
        <v>N</v>
      </c>
      <c r="X53" s="177">
        <f t="shared" si="7"/>
        <v>1</v>
      </c>
      <c r="Y53" s="67">
        <f t="shared" si="8"/>
        <v>23.299600000000002</v>
      </c>
      <c r="Z53" s="67">
        <f t="shared" si="9"/>
        <v>1.41E-2</v>
      </c>
      <c r="AA53" s="67">
        <f t="shared" si="10"/>
        <v>23.285500000000003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11"/>
        <v>0140-19</v>
      </c>
      <c r="AE53" s="91" t="str">
        <f t="shared" si="12"/>
        <v>aws s3 cp s3://rtdc.mdm.uploadarchive.raw/RTDC4037/ "%USERPROFILE%\AppData\Local\Temp\OnboardLogs"\RTDC4037\2016-11-19 --exclude "*" --recursive --include "*20161119*" &amp; "%USERPROFILE%\Documents\GitHub\mrs-test-scripts\Headless Mode &amp; Sideloading\WalkAndUnGZ.bat" "%USERPROFILE%\AppData\Local\Temp\OnboardLogs"\RTDC4037\2016-11-19 &amp; aws s3 cp s3://rtdc.mdm.uploadarchive.raw/RTDC4037/ "%USERPROFILE%\AppData\Local\Temp\OnboardLogs"\RTDC4037\2016-11-20 --exclude "*" --recursive --include "*20161120*" &amp; "%USERPROFILE%\Documents\GitHub\mrs-test-scripts\Headless Mode &amp; Sideloading\WalkAndUnGZ.bat" "%USERPROFILE%\AppData\Local\Temp\OnboardLogs"\RTDC4037\2016-11-20</v>
      </c>
      <c r="AF53" s="88" t="str">
        <f t="shared" si="13"/>
        <v>"C:\Program Files (x86)\AstroGrep\AstroGrep.exe" /spath="%USERPROFILE%\AppData\Local\Temp\OnboardLogs" /stypes="app*4037*20161119*" /stext=" 17:.+((SYSTEM_STATE.+slice.+state.+changed )|(ment ac)|(system.+state.+changed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140-19 --locoid 4037 --swversion DE.1.0.8.0 --startMP 204:232996 --initTime 2016-11-19T09:19:17 --startdatetime 2016-11-19T09:26:19 --delay 1 --endMP 204:141 --enddatetime 2016-11-19T10:05:14 --enforcementcount 0 &gt;&gt;C:\Users\stu\Documents\GitHub\eaglep3-reporting\EC\2016-11-19-refined-times.txt</v>
      </c>
      <c r="AI53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{"issue":{"subject":"","project_id":79,"tracker_id":40,"status_id":1,"priority_id":2,"assigned_to_id":23,"start_date":"2016-11-19","description":"","custom_fields":[{"id":1,"name":"Subdivision","value":"EC"},{"id":4,"name":"Milepost","value":"0.0141"},{"id":17,"name":"Train ID","value":"140-19"},{"id":16,"name":"Locomotive ID","value":"4037"},{"id":130,"name":"Impact","value":""},{"id":150,"name":"Time of Event (Mountain Time)","value":"10:05:14"},{"id":151,"name":"Denver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511</v>
      </c>
      <c r="B54" s="7">
        <v>4040</v>
      </c>
      <c r="C54" s="22" t="s">
        <v>218</v>
      </c>
      <c r="D54" s="22" t="s">
        <v>304</v>
      </c>
      <c r="E54" s="13">
        <v>42693.361273148148</v>
      </c>
      <c r="F54" s="13">
        <v>42693.365590277775</v>
      </c>
      <c r="G54" s="7">
        <v>1</v>
      </c>
      <c r="H54" s="22" t="s">
        <v>367</v>
      </c>
      <c r="I54" s="13">
        <v>42693.3903587963</v>
      </c>
      <c r="J54" s="7">
        <v>0</v>
      </c>
      <c r="K54" s="109" t="str">
        <f t="shared" si="0"/>
        <v>4039/4040</v>
      </c>
      <c r="L54" s="22" t="str">
        <f>VLOOKUP(A54,'Trips&amp;Operators'!$C$1:$E$10000,3,FALSE)</f>
        <v>MAELZER</v>
      </c>
      <c r="M54" s="6">
        <f t="shared" si="1"/>
        <v>2.4768518524069805E-2</v>
      </c>
      <c r="N54" s="7">
        <f t="shared" si="2"/>
        <v>35.666666674660519</v>
      </c>
      <c r="O54" s="7"/>
      <c r="P54" s="7"/>
      <c r="Q54" s="23"/>
      <c r="R54" s="23"/>
      <c r="S54" s="35">
        <f t="shared" si="3"/>
        <v>1</v>
      </c>
      <c r="T54" s="50" t="str">
        <f t="shared" si="4"/>
        <v>NorthBound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07:40:14-700',mode:absolute,to:'2016-11-19 10:22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4" s="52" t="str">
        <f t="shared" si="6"/>
        <v>N</v>
      </c>
      <c r="X54" s="177">
        <f t="shared" si="7"/>
        <v>1</v>
      </c>
      <c r="Y54" s="67">
        <f t="shared" si="8"/>
        <v>4.2900000000000001E-2</v>
      </c>
      <c r="Z54" s="67">
        <f t="shared" si="9"/>
        <v>23.333400000000001</v>
      </c>
      <c r="AA54" s="67">
        <f t="shared" si="10"/>
        <v>23.290500000000002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11"/>
        <v>0141-19</v>
      </c>
      <c r="AE54" s="91" t="str">
        <f t="shared" si="12"/>
        <v>aws s3 cp s3://rtdc.mdm.uploadarchive.raw/RTDC4040/ "%USERPROFILE%\AppData\Local\Temp\OnboardLogs"\RTDC4040\2016-11-19 --exclude "*" --recursive --include "*20161119*" &amp; "%USERPROFILE%\Documents\GitHub\mrs-test-scripts\Headless Mode &amp; Sideloading\WalkAndUnGZ.bat" "%USERPROFILE%\AppData\Local\Temp\OnboardLogs"\RTDC4040\2016-11-19 &amp; 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</v>
      </c>
      <c r="AF54" s="88" t="str">
        <f t="shared" si="13"/>
        <v>"C:\Program Files (x86)\AstroGrep\AstroGrep.exe" /spath="%USERPROFILE%\AppData\Local\Temp\OnboardLogs" /stypes="app*4040*20161119*" /stext=" 16:.+((SYSTEM_STATE.+slice.+state.+changed )|(ment ac)|(system.+state.+changed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141-19 --locoid 4040 --swversion DE.1.0.8.0 --startMP 204:429 --initTime 2016-11-19T08:40:14 --startdatetime 2016-11-19T08:46:27 --delay 1 --endMP 204:233334 --enddatetime 2016-11-19T09:22:07 --enforcementcount 0 &gt;&gt;C:\Users\stu\Documents\GitHub\eaglep3-reporting\EC\2016-11-19-refined-times.txt</v>
      </c>
      <c r="AI54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{"issue":{"subject":"","project_id":79,"tracker_id":40,"status_id":1,"priority_id":2,"assigned_to_id":23,"start_date":"2016-11-19","description":"","custom_fields":[{"id":1,"name":"Subdivision","value":"EC"},{"id":4,"name":"Milepost","value":"23.3334"},{"id":17,"name":"Train ID","value":"141-19"},{"id":16,"name":"Locomotive ID","value":"4040"},{"id":130,"name":"Impact","value":""},{"id":150,"name":"Time of Event (Mountain Time)","value":"09:22:07"},{"id":151,"name":"Denver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29" customFormat="1" x14ac:dyDescent="0.25">
      <c r="A55" s="37" t="s">
        <v>519</v>
      </c>
      <c r="B55" s="7">
        <v>4039</v>
      </c>
      <c r="C55" s="22" t="s">
        <v>218</v>
      </c>
      <c r="D55" s="22" t="s">
        <v>414</v>
      </c>
      <c r="E55" s="13">
        <v>42693.398020833331</v>
      </c>
      <c r="F55" s="13">
        <v>42693.403993055559</v>
      </c>
      <c r="G55" s="7">
        <v>1</v>
      </c>
      <c r="H55" s="22" t="s">
        <v>197</v>
      </c>
      <c r="I55" s="13">
        <v>42693.429560185185</v>
      </c>
      <c r="J55" s="7">
        <v>0</v>
      </c>
      <c r="K55" s="109" t="str">
        <f t="shared" si="0"/>
        <v>4039/4040</v>
      </c>
      <c r="L55" s="22" t="str">
        <f>VLOOKUP(A55,'Trips&amp;Operators'!$C$1:$E$10000,3,FALSE)</f>
        <v>MAELZER</v>
      </c>
      <c r="M55" s="6">
        <f t="shared" si="1"/>
        <v>2.5567129625414964E-2</v>
      </c>
      <c r="N55" s="7">
        <f t="shared" si="2"/>
        <v>36.816666660597548</v>
      </c>
      <c r="O55" s="7"/>
      <c r="P55" s="7"/>
      <c r="Q55" s="23"/>
      <c r="R55" s="23"/>
      <c r="S55" s="35">
        <f t="shared" si="3"/>
        <v>1</v>
      </c>
      <c r="T55" s="50" t="str">
        <f t="shared" si="4"/>
        <v>Southbound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08:33:09-700',mode:absolute,to:'2016-11-19 11:18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5" s="52" t="str">
        <f t="shared" si="6"/>
        <v>N</v>
      </c>
      <c r="X55" s="177">
        <f t="shared" si="7"/>
        <v>1</v>
      </c>
      <c r="Y55" s="67">
        <f t="shared" si="8"/>
        <v>23.302299999999999</v>
      </c>
      <c r="Z55" s="67">
        <f t="shared" si="9"/>
        <v>1.43E-2</v>
      </c>
      <c r="AA55" s="67">
        <f t="shared" si="10"/>
        <v>23.288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11"/>
        <v>0142-19</v>
      </c>
      <c r="AE55" s="91" t="str">
        <f t="shared" si="12"/>
        <v>aws s3 cp s3://rtdc.mdm.uploadarchive.raw/RTDC4039/ "%USERPROFILE%\AppData\Local\Temp\OnboardLogs"\RTDC4039\2016-11-19 --exclude "*" --recursive --include "*20161119*" &amp; "%USERPROFILE%\Documents\GitHub\mrs-test-scripts\Headless Mode &amp; Sideloading\WalkAndUnGZ.bat" "%USERPROFILE%\AppData\Local\Temp\OnboardLogs"\RTDC4039\2016-11-19 &amp; 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</v>
      </c>
      <c r="AF55" s="88" t="str">
        <f t="shared" si="13"/>
        <v>"C:\Program Files (x86)\AstroGrep\AstroGrep.exe" /spath="%USERPROFILE%\AppData\Local\Temp\OnboardLogs" /stypes="app*4039*20161119*" /stext=" 17:.+((SYSTEM_STATE.+slice.+state.+changed )|(ment ac)|(system.+state.+changed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142-19 --locoid 4039 --swversion DE.1.0.8.0 --startMP 204:233023 --initTime 2016-11-19T09:33:09 --startdatetime 2016-11-19T09:41:45 --delay 1 --endMP 204:143 --enddatetime 2016-11-19T10:18:34 --enforcementcount 0 &gt;&gt;C:\Users\stu\Documents\GitHub\eaglep3-reporting\EC\2016-11-19-refined-times.txt</v>
      </c>
      <c r="AI55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{"issue":{"subject":"","project_id":79,"tracker_id":40,"status_id":1,"priority_id":2,"assigned_to_id":23,"start_date":"2016-11-19","description":"","custom_fields":[{"id":1,"name":"Subdivision","value":"EC"},{"id":4,"name":"Milepost","value":"0.0143"},{"id":17,"name":"Train ID","value":"142-19"},{"id":16,"name":"Locomotive ID","value":"4039"},{"id":130,"name":"Impact","value":""},{"id":150,"name":"Time of Event (Mountain Time)","value":"10:18:34"},{"id":151,"name":"Denver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513</v>
      </c>
      <c r="B56" s="7">
        <v>4014</v>
      </c>
      <c r="C56" s="22" t="s">
        <v>218</v>
      </c>
      <c r="D56" s="22" t="s">
        <v>674</v>
      </c>
      <c r="E56" s="13">
        <v>42693.371006944442</v>
      </c>
      <c r="F56" s="13">
        <v>42693.375231481485</v>
      </c>
      <c r="G56" s="7">
        <v>1</v>
      </c>
      <c r="H56" s="22" t="s">
        <v>675</v>
      </c>
      <c r="I56" s="13">
        <v>42693.401944444442</v>
      </c>
      <c r="J56" s="7">
        <v>0</v>
      </c>
      <c r="K56" s="109" t="str">
        <f t="shared" si="0"/>
        <v>4013/4014</v>
      </c>
      <c r="L56" s="22" t="str">
        <f>VLOOKUP(A56,'Trips&amp;Operators'!$C$1:$E$10000,3,FALSE)</f>
        <v>STRICKLAND</v>
      </c>
      <c r="M56" s="6">
        <f t="shared" si="1"/>
        <v>2.6712962957390118E-2</v>
      </c>
      <c r="N56" s="7">
        <f t="shared" si="2"/>
        <v>38.46666665864177</v>
      </c>
      <c r="O56" s="7"/>
      <c r="P56" s="7"/>
      <c r="Q56" s="23"/>
      <c r="R56" s="23"/>
      <c r="S56" s="35">
        <f t="shared" si="3"/>
        <v>1</v>
      </c>
      <c r="T56" s="50" t="str">
        <f t="shared" si="4"/>
        <v>NorthBound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07:54:15-700',mode:absolute,to:'2016-11-19 10:38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6" s="52" t="str">
        <f t="shared" si="6"/>
        <v>N</v>
      </c>
      <c r="X56" s="177">
        <f t="shared" si="7"/>
        <v>1</v>
      </c>
      <c r="Y56" s="67">
        <f t="shared" si="8"/>
        <v>4.5699999999999998E-2</v>
      </c>
      <c r="Z56" s="67">
        <f t="shared" si="9"/>
        <v>23.338899999999999</v>
      </c>
      <c r="AA56" s="67">
        <f t="shared" si="10"/>
        <v>23.293199999999999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 t="shared" si="11"/>
        <v>0143-19</v>
      </c>
      <c r="AE56" s="91" t="str">
        <f t="shared" si="12"/>
        <v>aws s3 cp s3://rtdc.mdm.uploadarchive.raw/RTDC4014/ "%USERPROFILE%\AppData\Local\Temp\OnboardLogs"\RTDC4014\2016-11-19 --exclude "*" --recursive --include "*20161119*" &amp; "%USERPROFILE%\Documents\GitHub\mrs-test-scripts\Headless Mode &amp; Sideloading\WalkAndUnGZ.bat" "%USERPROFILE%\AppData\Local\Temp\OnboardLogs"\RTDC4014\2016-11-19 &amp; aws s3 cp s3://rtdc.mdm.uploadarchive.raw/RTDC4014/ "%USERPROFILE%\AppData\Local\Temp\OnboardLogs"\RTDC4014\2016-11-20 --exclude "*" --recursive --include "*20161120*" &amp; "%USERPROFILE%\Documents\GitHub\mrs-test-scripts\Headless Mode &amp; Sideloading\WalkAndUnGZ.bat" "%USERPROFILE%\AppData\Local\Temp\OnboardLogs"\RTDC4014\2016-11-20</v>
      </c>
      <c r="AF56" s="88" t="str">
        <f t="shared" si="13"/>
        <v>"C:\Program Files (x86)\AstroGrep\AstroGrep.exe" /spath="%USERPROFILE%\AppData\Local\Temp\OnboardLogs" /stypes="app*4014*20161119*" /stext=" 16:.+((SYSTEM_STATE.+slice.+state.+changed )|(ment ac)|(system.+state.+changed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143-19 --locoid 4014 --swversion DE.1.0.8.0 --startMP 204:457 --initTime 2016-11-19T08:54:15 --startdatetime 2016-11-19T09:00:20 --delay 1 --endMP 204:233389 --enddatetime 2016-11-19T09:38:48 --enforcementcount 0 &gt;&gt;C:\Users\stu\Documents\GitHub\eaglep3-reporting\EC\2016-11-19-refined-times.txt</v>
      </c>
      <c r="AI56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{"issue":{"subject":"","project_id":79,"tracker_id":40,"status_id":1,"priority_id":2,"assigned_to_id":23,"start_date":"2016-11-19","description":"","custom_fields":[{"id":1,"name":"Subdivision","value":"EC"},{"id":4,"name":"Milepost","value":"23.3389"},{"id":17,"name":"Train ID","value":"143-19"},{"id":16,"name":"Locomotive ID","value":"4014"},{"id":130,"name":"Impact","value":""},{"id":150,"name":"Time of Event (Mountain Time)","value":"09:38:48"},{"id":151,"name":"Denver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522</v>
      </c>
      <c r="B57" s="7">
        <v>4013</v>
      </c>
      <c r="C57" s="22" t="s">
        <v>218</v>
      </c>
      <c r="D57" s="22" t="s">
        <v>412</v>
      </c>
      <c r="E57" s="13">
        <v>42693.410405092596</v>
      </c>
      <c r="F57" s="13">
        <v>42693.414155092592</v>
      </c>
      <c r="G57" s="7">
        <v>1</v>
      </c>
      <c r="H57" s="22" t="s">
        <v>230</v>
      </c>
      <c r="I57" s="13">
        <v>42693.441666666666</v>
      </c>
      <c r="J57" s="7">
        <v>0</v>
      </c>
      <c r="K57" s="109" t="str">
        <f t="shared" si="0"/>
        <v>4013/4014</v>
      </c>
      <c r="L57" s="22" t="str">
        <f>VLOOKUP(A57,'Trips&amp;Operators'!$C$1:$E$10000,3,FALSE)</f>
        <v>STRICKLAND</v>
      </c>
      <c r="M57" s="6">
        <f t="shared" si="1"/>
        <v>2.7511574073287193E-2</v>
      </c>
      <c r="N57" s="7">
        <f t="shared" si="2"/>
        <v>39.616666665533558</v>
      </c>
      <c r="O57" s="7"/>
      <c r="P57" s="7"/>
      <c r="Q57" s="23"/>
      <c r="R57" s="23"/>
      <c r="S57" s="35">
        <f t="shared" si="3"/>
        <v>1</v>
      </c>
      <c r="T57" s="50" t="str">
        <f t="shared" si="4"/>
        <v>Southbound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08:50:59-700',mode:absolute,to:'2016-11-19 11:36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7" s="52" t="str">
        <f t="shared" si="6"/>
        <v>N</v>
      </c>
      <c r="X57" s="177">
        <f t="shared" si="7"/>
        <v>1</v>
      </c>
      <c r="Y57" s="67">
        <f t="shared" si="8"/>
        <v>23.299199999999999</v>
      </c>
      <c r="Z57" s="67">
        <f t="shared" si="9"/>
        <v>1.6E-2</v>
      </c>
      <c r="AA57" s="67">
        <f t="shared" si="10"/>
        <v>23.283200000000001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11"/>
        <v>0144-19</v>
      </c>
      <c r="AE57" s="91" t="str">
        <f t="shared" si="12"/>
        <v>aws s3 cp s3://rtdc.mdm.uploadarchive.raw/RTDC4013/ "%USERPROFILE%\AppData\Local\Temp\OnboardLogs"\RTDC4013\2016-11-19 --exclude "*" --recursive --include "*20161119*" &amp; "%USERPROFILE%\Documents\GitHub\mrs-test-scripts\Headless Mode &amp; Sideloading\WalkAndUnGZ.bat" "%USERPROFILE%\AppData\Local\Temp\OnboardLogs"\RTDC4013\2016-11-19 &amp; aws s3 cp s3://rtdc.mdm.uploadarchive.raw/RTDC4013/ "%USERPROFILE%\AppData\Local\Temp\OnboardLogs"\RTDC4013\2016-11-20 --exclude "*" --recursive --include "*20161120*" &amp; "%USERPROFILE%\Documents\GitHub\mrs-test-scripts\Headless Mode &amp; Sideloading\WalkAndUnGZ.bat" "%USERPROFILE%\AppData\Local\Temp\OnboardLogs"\RTDC4013\2016-11-20</v>
      </c>
      <c r="AF57" s="88" t="str">
        <f t="shared" si="13"/>
        <v>"C:\Program Files (x86)\AstroGrep\AstroGrep.exe" /spath="%USERPROFILE%\AppData\Local\Temp\OnboardLogs" /stypes="app*4013*20161119*" /stext=" 17:.+((SYSTEM_STATE.+slice.+state.+changed )|(ment ac)|(system.+state.+changed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144-19 --locoid 4013 --swversion DE.1.0.8.0 --startMP 204:232992 --initTime 2016-11-19T09:50:59 --startdatetime 2016-11-19T09:56:23 --delay 1 --endMP 204:160 --enddatetime 2016-11-19T10:36:00 --enforcementcount 0 &gt;&gt;C:\Users\stu\Documents\GitHub\eaglep3-reporting\EC\2016-11-19-refined-times.txt</v>
      </c>
      <c r="AI57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{"issue":{"subject":"","project_id":79,"tracker_id":40,"status_id":1,"priority_id":2,"assigned_to_id":23,"start_date":"2016-11-19","description":"","custom_fields":[{"id":1,"name":"Subdivision","value":"EC"},{"id":4,"name":"Milepost","value":"0.016"},{"id":17,"name":"Train ID","value":"144-19"},{"id":16,"name":"Locomotive ID","value":"4013"},{"id":130,"name":"Impact","value":""},{"id":150,"name":"Time of Event (Mountain Time)","value":"10:36:00"},{"id":151,"name":"Denver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516</v>
      </c>
      <c r="B58" s="7">
        <v>4003</v>
      </c>
      <c r="C58" s="22" t="s">
        <v>218</v>
      </c>
      <c r="D58" s="22" t="s">
        <v>301</v>
      </c>
      <c r="E58" s="13">
        <v>42693.381898148145</v>
      </c>
      <c r="F58" s="13">
        <v>42693.385578703703</v>
      </c>
      <c r="G58" s="7">
        <v>1</v>
      </c>
      <c r="H58" s="22" t="s">
        <v>676</v>
      </c>
      <c r="I58" s="13">
        <v>42693.411863425928</v>
      </c>
      <c r="J58" s="7">
        <v>0</v>
      </c>
      <c r="K58" s="109" t="str">
        <f t="shared" si="0"/>
        <v>4003/4004</v>
      </c>
      <c r="L58" s="22" t="str">
        <f>VLOOKUP(A58,'Trips&amp;Operators'!$C$1:$E$10000,3,FALSE)</f>
        <v>ROBINSON</v>
      </c>
      <c r="M58" s="6">
        <f t="shared" si="1"/>
        <v>2.6284722225682344E-2</v>
      </c>
      <c r="N58" s="7">
        <f t="shared" si="2"/>
        <v>37.850000004982576</v>
      </c>
      <c r="O58" s="7"/>
      <c r="P58" s="7"/>
      <c r="Q58" s="23"/>
      <c r="R58" s="23"/>
      <c r="S58" s="35">
        <f t="shared" si="3"/>
        <v>1</v>
      </c>
      <c r="T58" s="50" t="str">
        <f t="shared" si="4"/>
        <v>NorthBound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08:09:56-700',mode:absolute,to:'2016-11-19 10:53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8" s="52" t="str">
        <f t="shared" si="6"/>
        <v>N</v>
      </c>
      <c r="X58" s="177">
        <f t="shared" si="7"/>
        <v>1</v>
      </c>
      <c r="Y58" s="67">
        <f t="shared" si="8"/>
        <v>4.3499999999999997E-2</v>
      </c>
      <c r="Z58" s="67">
        <f t="shared" si="9"/>
        <v>23.3355</v>
      </c>
      <c r="AA58" s="67">
        <f t="shared" si="10"/>
        <v>23.291999999999998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11"/>
        <v>0145-19</v>
      </c>
      <c r="AE58" s="91" t="str">
        <f t="shared" si="12"/>
        <v>aws s3 cp s3://rtdc.mdm.uploadarchive.raw/RTDC4003/ "%USERPROFILE%\AppData\Local\Temp\OnboardLogs"\RTDC4003\2016-11-19 --exclude "*" --recursive --include "*20161119*" &amp; "%USERPROFILE%\Documents\GitHub\mrs-test-scripts\Headless Mode &amp; Sideloading\WalkAndUnGZ.bat" "%USERPROFILE%\AppData\Local\Temp\OnboardLogs"\RTDC4003\2016-11-19 &amp; aws s3 cp s3://rtdc.mdm.uploadarchive.raw/RTDC4003/ "%USERPROFILE%\AppData\Local\Temp\OnboardLogs"\RTDC4003\2016-11-20 --exclude "*" --recursive --include "*20161120*" &amp; "%USERPROFILE%\Documents\GitHub\mrs-test-scripts\Headless Mode &amp; Sideloading\WalkAndUnGZ.bat" "%USERPROFILE%\AppData\Local\Temp\OnboardLogs"\RTDC4003\2016-11-20</v>
      </c>
      <c r="AF58" s="88" t="str">
        <f t="shared" si="13"/>
        <v>"C:\Program Files (x86)\AstroGrep\AstroGrep.exe" /spath="%USERPROFILE%\AppData\Local\Temp\OnboardLogs" /stypes="app*4003*20161119*" /stext=" 16:.+((SYSTEM_STATE.+slice.+state.+changed )|(ment ac)|(system.+state.+changed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145-19 --locoid 4003 --swversion DE.1.0.8.0 --startMP 204:435 --initTime 2016-11-19T09:09:56 --startdatetime 2016-11-19T09:15:14 --delay 1 --endMP 204:233355 --enddatetime 2016-11-19T09:53:05 --enforcementcount 0 &gt;&gt;C:\Users\stu\Documents\GitHub\eaglep3-reporting\EC\2016-11-19-refined-times.txt</v>
      </c>
      <c r="AI58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{"issue":{"subject":"","project_id":79,"tracker_id":40,"status_id":1,"priority_id":2,"assigned_to_id":23,"start_date":"2016-11-19","description":"","custom_fields":[{"id":1,"name":"Subdivision","value":"EC"},{"id":4,"name":"Milepost","value":"23.3355"},{"id":17,"name":"Train ID","value":"145-19"},{"id":16,"name":"Locomotive ID","value":"4003"},{"id":130,"name":"Impact","value":""},{"id":150,"name":"Time of Event (Mountain Time)","value":"09:53:05"},{"id":151,"name":"Denver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524</v>
      </c>
      <c r="B59" s="7">
        <v>4004</v>
      </c>
      <c r="C59" s="22" t="s">
        <v>218</v>
      </c>
      <c r="D59" s="22" t="s">
        <v>677</v>
      </c>
      <c r="E59" s="13">
        <v>42693.418715277781</v>
      </c>
      <c r="F59" s="13">
        <v>42693.424467592595</v>
      </c>
      <c r="G59" s="7">
        <v>1</v>
      </c>
      <c r="H59" s="22" t="s">
        <v>360</v>
      </c>
      <c r="I59" s="13">
        <v>42693.450995370367</v>
      </c>
      <c r="J59" s="7">
        <v>0</v>
      </c>
      <c r="K59" s="109" t="str">
        <f t="shared" si="0"/>
        <v>4003/4004</v>
      </c>
      <c r="L59" s="22" t="str">
        <f>VLOOKUP(A59,'Trips&amp;Operators'!$C$1:$E$10000,3,FALSE)</f>
        <v>ROBINSON</v>
      </c>
      <c r="M59" s="6">
        <f t="shared" si="1"/>
        <v>2.6527777772571426E-2</v>
      </c>
      <c r="N59" s="7">
        <f t="shared" si="2"/>
        <v>38.199999992502853</v>
      </c>
      <c r="O59" s="7"/>
      <c r="P59" s="7"/>
      <c r="Q59" s="23"/>
      <c r="R59" s="23"/>
      <c r="S59" s="35">
        <f t="shared" si="3"/>
        <v>1</v>
      </c>
      <c r="T59" s="50" t="str">
        <f t="shared" si="4"/>
        <v>Southbound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09:02:57-700',mode:absolute,to:'2016-11-19 11:49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9" s="52" t="str">
        <f t="shared" si="6"/>
        <v>N</v>
      </c>
      <c r="X59" s="177">
        <f t="shared" si="7"/>
        <v>1</v>
      </c>
      <c r="Y59" s="67">
        <f t="shared" si="8"/>
        <v>23.302099999999999</v>
      </c>
      <c r="Z59" s="67">
        <f t="shared" si="9"/>
        <v>1.34E-2</v>
      </c>
      <c r="AA59" s="67">
        <f t="shared" si="10"/>
        <v>23.288699999999999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 t="shared" si="11"/>
        <v>0146-19</v>
      </c>
      <c r="AE59" s="91" t="str">
        <f t="shared" si="12"/>
        <v>aws s3 cp s3://rtdc.mdm.uploadarchive.raw/RTDC4004/ "%USERPROFILE%\AppData\Local\Temp\OnboardLogs"\RTDC4004\2016-11-19 --exclude "*" --recursive --include "*20161119*" &amp; "%USERPROFILE%\Documents\GitHub\mrs-test-scripts\Headless Mode &amp; Sideloading\WalkAndUnGZ.bat" "%USERPROFILE%\AppData\Local\Temp\OnboardLogs"\RTDC4004\2016-11-19 &amp; 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</v>
      </c>
      <c r="AF59" s="88" t="str">
        <f t="shared" si="13"/>
        <v>"C:\Program Files (x86)\AstroGrep\AstroGrep.exe" /spath="%USERPROFILE%\AppData\Local\Temp\OnboardLogs" /stypes="app*4004*20161119*" /stext=" 17:.+((SYSTEM_STATE.+slice.+state.+changed )|(ment ac)|(system.+state.+changed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146-19 --locoid 4004 --swversion DE.1.0.8.0 --startMP 204:233021 --initTime 2016-11-19T10:02:57 --startdatetime 2016-11-19T10:11:14 --delay 1 --endMP 204:134 --enddatetime 2016-11-19T10:49:26 --enforcementcount 0 &gt;&gt;C:\Users\stu\Documents\GitHub\eaglep3-reporting\EC\2016-11-19-refined-times.txt</v>
      </c>
      <c r="AI59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{"issue":{"subject":"","project_id":79,"tracker_id":40,"status_id":1,"priority_id":2,"assigned_to_id":23,"start_date":"2016-11-19","description":"","custom_fields":[{"id":1,"name":"Subdivision","value":"EC"},{"id":4,"name":"Milepost","value":"0.0134"},{"id":17,"name":"Train ID","value":"146-19"},{"id":16,"name":"Locomotive ID","value":"4004"},{"id":130,"name":"Impact","value":""},{"id":150,"name":"Time of Event (Mountain Time)","value":"10:49:26"},{"id":151,"name":"Denver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518</v>
      </c>
      <c r="B60" s="7">
        <v>4011</v>
      </c>
      <c r="C60" s="22" t="s">
        <v>218</v>
      </c>
      <c r="D60" s="22" t="s">
        <v>337</v>
      </c>
      <c r="E60" s="13">
        <v>42693.3906712963</v>
      </c>
      <c r="F60" s="13">
        <v>42693.396099537036</v>
      </c>
      <c r="G60" s="7">
        <v>1</v>
      </c>
      <c r="H60" s="22" t="s">
        <v>354</v>
      </c>
      <c r="I60" s="13">
        <v>42693.421377314815</v>
      </c>
      <c r="J60" s="7">
        <v>0</v>
      </c>
      <c r="K60" s="109" t="str">
        <f t="shared" si="0"/>
        <v>4011/4012</v>
      </c>
      <c r="L60" s="22" t="str">
        <f>VLOOKUP(A60,'Trips&amp;Operators'!$C$1:$E$10000,3,FALSE)</f>
        <v>ACKERMAN</v>
      </c>
      <c r="M60" s="6">
        <f t="shared" si="1"/>
        <v>2.527777777868323E-2</v>
      </c>
      <c r="N60" s="7">
        <f t="shared" si="2"/>
        <v>36.400000001303852</v>
      </c>
      <c r="O60" s="7"/>
      <c r="P60" s="7"/>
      <c r="Q60" s="23"/>
      <c r="R60" s="23"/>
      <c r="S60" s="35">
        <f t="shared" si="3"/>
        <v>1</v>
      </c>
      <c r="T60" s="50" t="str">
        <f t="shared" si="4"/>
        <v>NorthBound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08:22:34-700',mode:absolute,to:'2016-11-19 11:06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0" s="52" t="str">
        <f t="shared" si="6"/>
        <v>N</v>
      </c>
      <c r="X60" s="177">
        <f t="shared" si="7"/>
        <v>1</v>
      </c>
      <c r="Y60" s="67">
        <f t="shared" si="8"/>
        <v>4.5499999999999999E-2</v>
      </c>
      <c r="Z60" s="67">
        <f t="shared" si="9"/>
        <v>23.328199999999999</v>
      </c>
      <c r="AA60" s="67">
        <f t="shared" si="10"/>
        <v>23.282699999999998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 t="shared" si="11"/>
        <v>0147-19</v>
      </c>
      <c r="AE60" s="91" t="str">
        <f t="shared" si="12"/>
        <v>aws s3 cp s3://rtdc.mdm.uploadarchive.raw/RTDC4011/ "%USERPROFILE%\AppData\Local\Temp\OnboardLogs"\RTDC4011\2016-11-19 --exclude "*" --recursive --include "*20161119*" &amp; "%USERPROFILE%\Documents\GitHub\mrs-test-scripts\Headless Mode &amp; Sideloading\WalkAndUnGZ.bat" "%USERPROFILE%\AppData\Local\Temp\OnboardLogs"\RTDC4011\2016-11-19 &amp; 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</v>
      </c>
      <c r="AF60" s="88" t="str">
        <f t="shared" si="13"/>
        <v>"C:\Program Files (x86)\AstroGrep\AstroGrep.exe" /spath="%USERPROFILE%\AppData\Local\Temp\OnboardLogs" /stypes="app*4011*20161119*" /stext=" 17:.+((SYSTEM_STATE.+slice.+state.+changed )|(ment ac)|(system.+state.+changed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147-19 --locoid 4011 --swversion DE.1.0.8.0 --startMP 204:455 --initTime 2016-11-19T09:22:34 --startdatetime 2016-11-19T09:30:23 --delay 1 --endMP 204:233282 --enddatetime 2016-11-19T10:06:47 --enforcementcount 0 &gt;&gt;C:\Users\stu\Documents\GitHub\eaglep3-reporting\EC\2016-11-19-refined-times.txt</v>
      </c>
      <c r="AI60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{"issue":{"subject":"","project_id":79,"tracker_id":40,"status_id":1,"priority_id":2,"assigned_to_id":23,"start_date":"2016-11-19","description":"","custom_fields":[{"id":1,"name":"Subdivision","value":"EC"},{"id":4,"name":"Milepost","value":"23.3282"},{"id":17,"name":"Train ID","value":"147-19"},{"id":16,"name":"Locomotive ID","value":"4011"},{"id":130,"name":"Impact","value":""},{"id":150,"name":"Time of Event (Mountain Time)","value":"10:06:47"},{"id":151,"name":"Denver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448</v>
      </c>
      <c r="B61" s="7">
        <v>4012</v>
      </c>
      <c r="C61" s="22" t="s">
        <v>218</v>
      </c>
      <c r="D61" s="22" t="s">
        <v>678</v>
      </c>
      <c r="E61" s="13">
        <v>42693.429872685185</v>
      </c>
      <c r="F61" s="13">
        <v>42693.434918981482</v>
      </c>
      <c r="G61" s="7">
        <v>1</v>
      </c>
      <c r="H61" s="22" t="s">
        <v>231</v>
      </c>
      <c r="I61" s="13">
        <v>42693.461377314816</v>
      </c>
      <c r="J61" s="7">
        <v>0</v>
      </c>
      <c r="K61" s="109" t="str">
        <f t="shared" si="0"/>
        <v>4011/4012</v>
      </c>
      <c r="L61" s="22" t="str">
        <f>VLOOKUP(A61,'Trips&amp;Operators'!$C$1:$E$10000,3,FALSE)</f>
        <v>ACKERMAN</v>
      </c>
      <c r="M61" s="6">
        <f t="shared" si="1"/>
        <v>2.6458333333721384E-2</v>
      </c>
      <c r="N61" s="7">
        <f t="shared" si="2"/>
        <v>38.100000000558794</v>
      </c>
      <c r="O61" s="7"/>
      <c r="P61" s="7"/>
      <c r="Q61" s="23"/>
      <c r="R61" s="23"/>
      <c r="S61" s="35">
        <f t="shared" si="3"/>
        <v>1</v>
      </c>
      <c r="T61" s="50" t="str">
        <f t="shared" si="4"/>
        <v>Southbound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09:19:01-700',mode:absolute,to:'2016-11-19 12:04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1" s="52" t="str">
        <f t="shared" si="6"/>
        <v>N</v>
      </c>
      <c r="X61" s="177">
        <f t="shared" si="7"/>
        <v>1</v>
      </c>
      <c r="Y61" s="67">
        <f t="shared" si="8"/>
        <v>23.2971</v>
      </c>
      <c r="Z61" s="67">
        <f t="shared" si="9"/>
        <v>1.4999999999999999E-2</v>
      </c>
      <c r="AA61" s="67">
        <f t="shared" si="10"/>
        <v>23.2821</v>
      </c>
      <c r="AB61" s="64" t="str">
        <f>VLOOKUP(A61,Enforcements!$C$7:$K$20,8,0)</f>
        <v>Form based authority (4)</v>
      </c>
      <c r="AC61" s="60" t="str">
        <f>VLOOKUP(A61,Enforcements!$C$7:$E$20,3,0)</f>
        <v>TRACK WARRANT AUTHORITY</v>
      </c>
      <c r="AD61" s="61" t="str">
        <f t="shared" si="11"/>
        <v>0148-19</v>
      </c>
      <c r="AE61" s="91" t="str">
        <f t="shared" si="12"/>
        <v>aws s3 cp s3://rtdc.mdm.uploadarchive.raw/RTDC4012/ "%USERPROFILE%\AppData\Local\Temp\OnboardLogs"\RTDC4012\2016-11-19 --exclude "*" --recursive --include "*20161119*" &amp; "%USERPROFILE%\Documents\GitHub\mrs-test-scripts\Headless Mode &amp; Sideloading\WalkAndUnGZ.bat" "%USERPROFILE%\AppData\Local\Temp\OnboardLogs"\RTDC4012\2016-11-19 &amp; 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</v>
      </c>
      <c r="AF61" s="88" t="str">
        <f t="shared" si="13"/>
        <v>"C:\Program Files (x86)\AstroGrep\AstroGrep.exe" /spath="%USERPROFILE%\AppData\Local\Temp\OnboardLogs" /stypes="app*4012*20161119*" /stext=" 18:.+((SYSTEM_STATE.+slice.+state.+changed )|(ment ac)|(system.+state.+changed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148-19 --locoid 4012 --swversion DE.1.0.8.0 --startMP 204:232971 --initTime 2016-11-19T10:19:01 --startdatetime 2016-11-19T10:26:17 --delay 1 --endMP 204:150 --enddatetime 2016-11-19T11:04:23 --enforcementcount 0 &gt;&gt;C:\Users\stu\Documents\GitHub\eaglep3-reporting\EC\2016-11-19-refined-times.txt</v>
      </c>
      <c r="AI61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{"issue":{"subject":"","project_id":79,"tracker_id":40,"status_id":1,"priority_id":2,"assigned_to_id":23,"start_date":"2016-11-19","description":"","custom_fields":[{"id":1,"name":"Subdivision","value":"EC"},{"id":4,"name":"Milepost","value":"0.015"},{"id":17,"name":"Train ID","value":"148-19"},{"id":16,"name":"Locomotive ID","value":"4012"},{"id":130,"name":"Impact","value":""},{"id":150,"name":"Time of Event (Mountain Time)","value":"11:04:23"},{"id":151,"name":"Denver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521</v>
      </c>
      <c r="B62" s="7">
        <v>4046</v>
      </c>
      <c r="C62" s="22" t="s">
        <v>218</v>
      </c>
      <c r="D62" s="22" t="s">
        <v>411</v>
      </c>
      <c r="E62" s="13">
        <v>42693.402870370373</v>
      </c>
      <c r="F62" s="13">
        <v>42693.406481481485</v>
      </c>
      <c r="G62" s="7">
        <v>1</v>
      </c>
      <c r="H62" s="22" t="s">
        <v>225</v>
      </c>
      <c r="I62" s="13">
        <v>42693.431944444441</v>
      </c>
      <c r="J62" s="7">
        <v>0</v>
      </c>
      <c r="K62" s="109" t="str">
        <f t="shared" si="0"/>
        <v>4045/4046</v>
      </c>
      <c r="L62" s="22" t="str">
        <f>VLOOKUP(A62,'Trips&amp;Operators'!$C$1:$E$10000,3,FALSE)</f>
        <v>DAVIS</v>
      </c>
      <c r="M62" s="6">
        <f t="shared" si="1"/>
        <v>2.5462962956225965E-2</v>
      </c>
      <c r="N62" s="7">
        <f t="shared" si="2"/>
        <v>36.66666665696539</v>
      </c>
      <c r="O62" s="7"/>
      <c r="P62" s="7"/>
      <c r="Q62" s="23"/>
      <c r="R62" s="23"/>
      <c r="S62" s="35">
        <f t="shared" si="3"/>
        <v>1</v>
      </c>
      <c r="T62" s="50" t="str">
        <f t="shared" si="4"/>
        <v>NorthBound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08:40:08-700',mode:absolute,to:'2016-11-19 11:22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2" s="52" t="str">
        <f t="shared" si="6"/>
        <v>N</v>
      </c>
      <c r="X62" s="177">
        <f t="shared" si="7"/>
        <v>1</v>
      </c>
      <c r="Y62" s="67">
        <f t="shared" si="8"/>
        <v>4.5999999999999999E-2</v>
      </c>
      <c r="Z62" s="67">
        <f t="shared" si="9"/>
        <v>23.331199999999999</v>
      </c>
      <c r="AA62" s="67">
        <f t="shared" si="10"/>
        <v>23.2852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 t="shared" si="11"/>
        <v>0149-19</v>
      </c>
      <c r="AE62" s="91" t="str">
        <f t="shared" si="12"/>
        <v>aws s3 cp s3://rtdc.mdm.uploadarchive.raw/RTDC4046/ "%USERPROFILE%\AppData\Local\Temp\OnboardLogs"\RTDC4046\2016-11-19 --exclude "*" --recursive --include "*20161119*" &amp; "%USERPROFILE%\Documents\GitHub\mrs-test-scripts\Headless Mode &amp; Sideloading\WalkAndUnGZ.bat" "%USERPROFILE%\AppData\Local\Temp\OnboardLogs"\RTDC4046\2016-11-19 &amp; aws s3 cp s3://rtdc.mdm.uploadarchive.raw/RTDC4046/ "%USERPROFILE%\AppData\Local\Temp\OnboardLogs"\RTDC4046\2016-11-20 --exclude "*" --recursive --include "*20161120*" &amp; "%USERPROFILE%\Documents\GitHub\mrs-test-scripts\Headless Mode &amp; Sideloading\WalkAndUnGZ.bat" "%USERPROFILE%\AppData\Local\Temp\OnboardLogs"\RTDC4046\2016-11-20</v>
      </c>
      <c r="AF62" s="88" t="str">
        <f t="shared" si="13"/>
        <v>"C:\Program Files (x86)\AstroGrep\AstroGrep.exe" /spath="%USERPROFILE%\AppData\Local\Temp\OnboardLogs" /stypes="app*4046*20161119*" /stext=" 17:.+((SYSTEM_STATE.+slice.+state.+changed )|(ment ac)|(system.+state.+changed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149-19 --locoid 4046 --swversion DE.1.0.8.0 --startMP 204:460 --initTime 2016-11-19T09:40:08 --startdatetime 2016-11-19T09:45:20 --delay 1 --endMP 204:233312 --enddatetime 2016-11-19T10:22:00 --enforcementcount 0 &gt;&gt;C:\Users\stu\Documents\GitHub\eaglep3-reporting\EC\2016-11-19-refined-times.txt</v>
      </c>
      <c r="AI62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{"issue":{"subject":"","project_id":79,"tracker_id":40,"status_id":1,"priority_id":2,"assigned_to_id":23,"start_date":"2016-11-19","description":"","custom_fields":[{"id":1,"name":"Subdivision","value":"EC"},{"id":4,"name":"Milepost","value":"23.3312"},{"id":17,"name":"Train ID","value":"149-19"},{"id":16,"name":"Locomotive ID","value":"4046"},{"id":130,"name":"Impact","value":""},{"id":150,"name":"Time of Event (Mountain Time)","value":"10:22:00"},{"id":151,"name":"Denver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528</v>
      </c>
      <c r="B63" s="7">
        <v>4045</v>
      </c>
      <c r="C63" s="22" t="s">
        <v>218</v>
      </c>
      <c r="D63" s="22" t="s">
        <v>353</v>
      </c>
      <c r="E63" s="13">
        <v>42693.439837962964</v>
      </c>
      <c r="F63" s="13">
        <v>42693.4453587963</v>
      </c>
      <c r="G63" s="7">
        <v>1</v>
      </c>
      <c r="H63" s="22" t="s">
        <v>360</v>
      </c>
      <c r="I63" s="13">
        <v>42693.473009259258</v>
      </c>
      <c r="J63" s="7">
        <v>0</v>
      </c>
      <c r="K63" s="109" t="str">
        <f t="shared" si="0"/>
        <v>4045/4046</v>
      </c>
      <c r="L63" s="22" t="str">
        <f>VLOOKUP(A63,'Trips&amp;Operators'!$C$1:$E$10000,3,FALSE)</f>
        <v>DAVIS</v>
      </c>
      <c r="M63" s="6">
        <f t="shared" si="1"/>
        <v>2.7650462958263233E-2</v>
      </c>
      <c r="N63" s="7">
        <f t="shared" si="2"/>
        <v>39.816666659899056</v>
      </c>
      <c r="O63" s="7"/>
      <c r="P63" s="7"/>
      <c r="Q63" s="23"/>
      <c r="R63" s="23"/>
      <c r="S63" s="35">
        <f t="shared" si="3"/>
        <v>1</v>
      </c>
      <c r="T63" s="50" t="str">
        <f t="shared" si="4"/>
        <v>Southbound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09:33:22-700',mode:absolute,to:'2016-11-19 12:21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3" s="52" t="str">
        <f t="shared" si="6"/>
        <v>N</v>
      </c>
      <c r="X63" s="177">
        <f t="shared" si="7"/>
        <v>1</v>
      </c>
      <c r="Y63" s="67">
        <f t="shared" si="8"/>
        <v>23.299099999999999</v>
      </c>
      <c r="Z63" s="67">
        <f t="shared" si="9"/>
        <v>1.34E-2</v>
      </c>
      <c r="AA63" s="67">
        <f t="shared" si="10"/>
        <v>23.285699999999999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11"/>
        <v>0150-19</v>
      </c>
      <c r="AE63" s="91" t="str">
        <f t="shared" si="12"/>
        <v>aws s3 cp s3://rtdc.mdm.uploadarchive.raw/RTDC4045/ "%USERPROFILE%\AppData\Local\Temp\OnboardLogs"\RTDC4045\2016-11-19 --exclude "*" --recursive --include "*20161119*" &amp; "%USERPROFILE%\Documents\GitHub\mrs-test-scripts\Headless Mode &amp; Sideloading\WalkAndUnGZ.bat" "%USERPROFILE%\AppData\Local\Temp\OnboardLogs"\RTDC4045\2016-11-19 &amp; aws s3 cp s3://rtdc.mdm.uploadarchive.raw/RTDC4045/ "%USERPROFILE%\AppData\Local\Temp\OnboardLogs"\RTDC4045\2016-11-20 --exclude "*" --recursive --include "*20161120*" &amp; "%USERPROFILE%\Documents\GitHub\mrs-test-scripts\Headless Mode &amp; Sideloading\WalkAndUnGZ.bat" "%USERPROFILE%\AppData\Local\Temp\OnboardLogs"\RTDC4045\2016-11-20</v>
      </c>
      <c r="AF63" s="88" t="str">
        <f t="shared" si="13"/>
        <v>"C:\Program Files (x86)\AstroGrep\AstroGrep.exe" /spath="%USERPROFILE%\AppData\Local\Temp\OnboardLogs" /stypes="app*4045*20161119*" /stext=" 18:.+((SYSTEM_STATE.+slice.+state.+changed )|(ment ac)|(system.+state.+changed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150-19 --locoid 4045 --swversion DE.1.0.8.0 --startMP 204:232991 --initTime 2016-11-19T10:33:22 --startdatetime 2016-11-19T10:41:19 --delay 1 --endMP 204:134 --enddatetime 2016-11-19T11:21:08 --enforcementcount 0 &gt;&gt;C:\Users\stu\Documents\GitHub\eaglep3-reporting\EC\2016-11-19-refined-times.txt</v>
      </c>
      <c r="AI63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{"issue":{"subject":"","project_id":79,"tracker_id":40,"status_id":1,"priority_id":2,"assigned_to_id":23,"start_date":"2016-11-19","description":"","custom_fields":[{"id":1,"name":"Subdivision","value":"EC"},{"id":4,"name":"Milepost","value":"0.0134"},{"id":17,"name":"Train ID","value":"150-19"},{"id":16,"name":"Locomotive ID","value":"4045"},{"id":130,"name":"Impact","value":""},{"id":150,"name":"Time of Event (Mountain Time)","value":"11:21:08"},{"id":151,"name":"Denver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523</v>
      </c>
      <c r="B64" s="7">
        <v>4031</v>
      </c>
      <c r="C64" s="22" t="s">
        <v>218</v>
      </c>
      <c r="D64" s="22" t="s">
        <v>228</v>
      </c>
      <c r="E64" s="13">
        <v>42693.415509259263</v>
      </c>
      <c r="F64" s="13">
        <v>42693.41684027778</v>
      </c>
      <c r="G64" s="7">
        <v>1</v>
      </c>
      <c r="H64" s="22" t="s">
        <v>303</v>
      </c>
      <c r="I64" s="13">
        <v>42693.441446759258</v>
      </c>
      <c r="J64" s="7">
        <v>0</v>
      </c>
      <c r="K64" s="109" t="str">
        <f t="shared" si="0"/>
        <v>4031/4032</v>
      </c>
      <c r="L64" s="22" t="str">
        <f>VLOOKUP(A64,'Trips&amp;Operators'!$C$1:$E$10000,3,FALSE)</f>
        <v>KILLION</v>
      </c>
      <c r="M64" s="6">
        <f t="shared" si="1"/>
        <v>2.4606481478258502E-2</v>
      </c>
      <c r="N64" s="7">
        <f t="shared" si="2"/>
        <v>35.433333328692243</v>
      </c>
      <c r="O64" s="7"/>
      <c r="P64" s="7"/>
      <c r="Q64" s="23"/>
      <c r="R64" s="23"/>
      <c r="S64" s="35">
        <f t="shared" si="3"/>
        <v>1</v>
      </c>
      <c r="T64" s="50" t="str">
        <f t="shared" si="4"/>
        <v>NorthBound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08:58:20-700',mode:absolute,to:'2016-11-19 11:35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4" s="52" t="str">
        <f t="shared" si="6"/>
        <v>N</v>
      </c>
      <c r="X64" s="177">
        <f t="shared" si="7"/>
        <v>1</v>
      </c>
      <c r="Y64" s="67">
        <f t="shared" si="8"/>
        <v>4.6899999999999997E-2</v>
      </c>
      <c r="Z64" s="67">
        <f t="shared" si="9"/>
        <v>23.3307</v>
      </c>
      <c r="AA64" s="67">
        <f t="shared" si="10"/>
        <v>23.283799999999999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 t="shared" si="11"/>
        <v>0151-19</v>
      </c>
      <c r="AE64" s="91" t="str">
        <f t="shared" si="12"/>
        <v>aws s3 cp s3://rtdc.mdm.uploadarchive.raw/RTDC4031/ "%USERPROFILE%\AppData\Local\Temp\OnboardLogs"\RTDC4031\2016-11-19 --exclude "*" --recursive --include "*20161119*" &amp; "%USERPROFILE%\Documents\GitHub\mrs-test-scripts\Headless Mode &amp; Sideloading\WalkAndUnGZ.bat" "%USERPROFILE%\AppData\Local\Temp\OnboardLogs"\RTDC4031\2016-11-19 &amp; aws s3 cp s3://rtdc.mdm.uploadarchive.raw/RTDC4031/ "%USERPROFILE%\AppData\Local\Temp\OnboardLogs"\RTDC4031\2016-11-20 --exclude "*" --recursive --include "*20161120*" &amp; "%USERPROFILE%\Documents\GitHub\mrs-test-scripts\Headless Mode &amp; Sideloading\WalkAndUnGZ.bat" "%USERPROFILE%\AppData\Local\Temp\OnboardLogs"\RTDC4031\2016-11-20</v>
      </c>
      <c r="AF64" s="88" t="str">
        <f t="shared" si="13"/>
        <v>"C:\Program Files (x86)\AstroGrep\AstroGrep.exe" /spath="%USERPROFILE%\AppData\Local\Temp\OnboardLogs" /stypes="app*4031*20161119*" /stext=" 17:.+((SYSTEM_STATE.+slice.+state.+changed )|(ment ac)|(system.+state.+changed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151-19 --locoid 4031 --swversion DE.1.0.8.0 --startMP 204:469 --initTime 2016-11-19T09:58:20 --startdatetime 2016-11-19T10:00:15 --delay 1 --endMP 204:233307 --enddatetime 2016-11-19T10:35:41 --enforcementcount 0 &gt;&gt;C:\Users\stu\Documents\GitHub\eaglep3-reporting\EC\2016-11-19-refined-times.txt</v>
      </c>
      <c r="AI64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{"issue":{"subject":"","project_id":79,"tracker_id":40,"status_id":1,"priority_id":2,"assigned_to_id":23,"start_date":"2016-11-19","description":"","custom_fields":[{"id":1,"name":"Subdivision","value":"EC"},{"id":4,"name":"Milepost","value":"23.3307"},{"id":17,"name":"Train ID","value":"151-19"},{"id":16,"name":"Locomotive ID","value":"4031"},{"id":130,"name":"Impact","value":""},{"id":150,"name":"Time of Event (Mountain Time)","value":"10:35:41"},{"id":151,"name":"Denver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530</v>
      </c>
      <c r="B65" s="7">
        <v>4032</v>
      </c>
      <c r="C65" s="22" t="s">
        <v>218</v>
      </c>
      <c r="D65" s="22" t="s">
        <v>679</v>
      </c>
      <c r="E65" s="13">
        <v>42693.447476851848</v>
      </c>
      <c r="F65" s="13">
        <v>42693.45579861111</v>
      </c>
      <c r="G65" s="7">
        <v>1</v>
      </c>
      <c r="H65" s="22" t="s">
        <v>231</v>
      </c>
      <c r="I65" s="13">
        <v>42693.481874999998</v>
      </c>
      <c r="J65" s="7">
        <v>0</v>
      </c>
      <c r="K65" s="109" t="str">
        <f t="shared" si="0"/>
        <v>4031/4032</v>
      </c>
      <c r="L65" s="22" t="str">
        <f>VLOOKUP(A65,'Trips&amp;Operators'!$C$1:$E$10000,3,FALSE)</f>
        <v>KILLION</v>
      </c>
      <c r="M65" s="6">
        <f t="shared" si="1"/>
        <v>2.6076388887304347E-2</v>
      </c>
      <c r="N65" s="7">
        <f t="shared" si="2"/>
        <v>37.54999999771826</v>
      </c>
      <c r="O65" s="7"/>
      <c r="P65" s="7"/>
      <c r="Q65" s="23"/>
      <c r="R65" s="23"/>
      <c r="S65" s="35">
        <f t="shared" si="3"/>
        <v>1</v>
      </c>
      <c r="T65" s="50" t="str">
        <f t="shared" si="4"/>
        <v>Southbound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09:44:22-700',mode:absolute,to:'2016-11-19 12:33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65" s="52" t="str">
        <f t="shared" si="6"/>
        <v>N</v>
      </c>
      <c r="X65" s="177">
        <f t="shared" si="7"/>
        <v>1</v>
      </c>
      <c r="Y65" s="67">
        <f t="shared" si="8"/>
        <v>23.296099999999999</v>
      </c>
      <c r="Z65" s="67">
        <f t="shared" si="9"/>
        <v>1.4999999999999999E-2</v>
      </c>
      <c r="AA65" s="67">
        <f t="shared" si="10"/>
        <v>23.281099999999999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11"/>
        <v>0152-19</v>
      </c>
      <c r="AE65" s="91" t="str">
        <f t="shared" si="12"/>
        <v>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 &amp; 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</v>
      </c>
      <c r="AF65" s="88" t="str">
        <f t="shared" si="13"/>
        <v>"C:\Program Files (x86)\AstroGrep\AstroGrep.exe" /spath="%USERPROFILE%\AppData\Local\Temp\OnboardLogs" /stypes="app*4032*20161119*" /stext=" 18:.+((SYSTEM_STATE.+slice.+state.+changed )|(ment ac)|(system.+state.+changed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152-19 --locoid 4032 --swversion DE.1.0.8.0 --startMP 204:232961 --initTime 2016-11-19T10:44:22 --startdatetime 2016-11-19T10:56:21 --delay 1 --endMP 204:150 --enddatetime 2016-11-19T11:33:54 --enforcementcount 0 &gt;&gt;C:\Users\stu\Documents\GitHub\eaglep3-reporting\EC\2016-11-19-refined-times.txt</v>
      </c>
      <c r="AI65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{"issue":{"subject":"","project_id":79,"tracker_id":40,"status_id":1,"priority_id":2,"assigned_to_id":23,"start_date":"2016-11-19","description":"","custom_fields":[{"id":1,"name":"Subdivision","value":"EC"},{"id":4,"name":"Milepost","value":"0.015"},{"id":17,"name":"Train ID","value":"152-19"},{"id":16,"name":"Locomotive ID","value":"4032"},{"id":130,"name":"Impact","value":""},{"id":150,"name":"Time of Event (Mountain Time)","value":"11:33:54"},{"id":151,"name":"Denver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526</v>
      </c>
      <c r="B66" s="7">
        <v>4038</v>
      </c>
      <c r="C66" s="22" t="s">
        <v>218</v>
      </c>
      <c r="D66" s="22" t="s">
        <v>215</v>
      </c>
      <c r="E66" s="13">
        <v>42693.423854166664</v>
      </c>
      <c r="F66" s="13">
        <v>42693.427268518521</v>
      </c>
      <c r="G66" s="7">
        <v>4</v>
      </c>
      <c r="H66" s="22" t="s">
        <v>338</v>
      </c>
      <c r="I66" s="13">
        <v>42693.451388888891</v>
      </c>
      <c r="J66" s="7">
        <v>0</v>
      </c>
      <c r="K66" s="109" t="str">
        <f t="shared" si="0"/>
        <v>4037/4038</v>
      </c>
      <c r="L66" s="22" t="str">
        <f>VLOOKUP(A66,'Trips&amp;Operators'!$C$1:$E$10000,3,FALSE)</f>
        <v>GEBRETEKLE</v>
      </c>
      <c r="M66" s="6">
        <f t="shared" si="1"/>
        <v>2.4120370369928423E-2</v>
      </c>
      <c r="N66" s="7">
        <f t="shared" si="2"/>
        <v>34.73333333269693</v>
      </c>
      <c r="O66" s="7"/>
      <c r="P66" s="7"/>
      <c r="Q66" s="23"/>
      <c r="R66" s="23"/>
      <c r="S66" s="35">
        <f t="shared" si="3"/>
        <v>1</v>
      </c>
      <c r="T66" s="50" t="str">
        <f t="shared" si="4"/>
        <v>NorthBound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09:10:21-700',mode:absolute,to:'2016-11-19 11:50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66" s="52" t="str">
        <f t="shared" si="6"/>
        <v>N</v>
      </c>
      <c r="X66" s="177">
        <f t="shared" si="7"/>
        <v>1</v>
      </c>
      <c r="Y66" s="67">
        <f t="shared" si="8"/>
        <v>4.6199999999999998E-2</v>
      </c>
      <c r="Z66" s="67">
        <f t="shared" si="9"/>
        <v>23.33</v>
      </c>
      <c r="AA66" s="67">
        <f t="shared" si="10"/>
        <v>23.283799999999999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 t="shared" si="11"/>
        <v>0153-19</v>
      </c>
      <c r="AE66" s="91" t="str">
        <f t="shared" si="12"/>
        <v>aws s3 cp s3://rtdc.mdm.uploadarchive.raw/RTDC4038/ "%USERPROFILE%\AppData\Local\Temp\OnboardLogs"\RTDC4038\2016-11-19 --exclude "*" --recursive --include "*20161119*" &amp; "%USERPROFILE%\Documents\GitHub\mrs-test-scripts\Headless Mode &amp; Sideloading\WalkAndUnGZ.bat" "%USERPROFILE%\AppData\Local\Temp\OnboardLogs"\RTDC4038\2016-11-19 &amp; aws s3 cp s3://rtdc.mdm.uploadarchive.raw/RTDC4038/ "%USERPROFILE%\AppData\Local\Temp\OnboardLogs"\RTDC4038\2016-11-20 --exclude "*" --recursive --include "*20161120*" &amp; "%USERPROFILE%\Documents\GitHub\mrs-test-scripts\Headless Mode &amp; Sideloading\WalkAndUnGZ.bat" "%USERPROFILE%\AppData\Local\Temp\OnboardLogs"\RTDC4038\2016-11-20</v>
      </c>
      <c r="AF66" s="88" t="str">
        <f t="shared" si="13"/>
        <v>"C:\Program Files (x86)\AstroGrep\AstroGrep.exe" /spath="%USERPROFILE%\AppData\Local\Temp\OnboardLogs" /stypes="app*4038*20161119*" /stext=" 17:.+((SYSTEM_STATE.+slice.+state.+changed )|(ment ac)|(system.+state.+changed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153-19 --locoid 4038 --swversion DE.1.0.8.0 --startMP 204:462 --initTime 2016-11-19T10:10:21 --startdatetime 2016-11-19T10:15:16 --delay 4 --endMP 204:233300 --enddatetime 2016-11-19T10:50:00 --enforcementcount 0 &gt;&gt;C:\Users\stu\Documents\GitHub\eaglep3-reporting\EC\2016-11-19-refined-times.txt</v>
      </c>
      <c r="AI66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{"issue":{"subject":"","project_id":79,"tracker_id":40,"status_id":1,"priority_id":2,"assigned_to_id":23,"start_date":"2016-11-19","description":"","custom_fields":[{"id":1,"name":"Subdivision","value":"EC"},{"id":4,"name":"Milepost","value":"23.33"},{"id":17,"name":"Train ID","value":"153-19"},{"id":16,"name":"Locomotive ID","value":"4038"},{"id":130,"name":"Impact","value":""},{"id":150,"name":"Time of Event (Mountain Time)","value":"10:50:00"},{"id":151,"name":"Denver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449</v>
      </c>
      <c r="B67" s="7">
        <v>4037</v>
      </c>
      <c r="C67" s="22" t="s">
        <v>218</v>
      </c>
      <c r="D67" s="22" t="s">
        <v>421</v>
      </c>
      <c r="E67" s="13">
        <v>42693.464247685188</v>
      </c>
      <c r="F67" s="13">
        <v>42693.466180555559</v>
      </c>
      <c r="G67" s="7">
        <v>1</v>
      </c>
      <c r="H67" s="22" t="s">
        <v>222</v>
      </c>
      <c r="I67" s="13">
        <v>42693.492037037038</v>
      </c>
      <c r="J67" s="7">
        <v>0</v>
      </c>
      <c r="K67" s="109" t="str">
        <f t="shared" si="0"/>
        <v>4037/4038</v>
      </c>
      <c r="L67" s="22" t="str">
        <f>VLOOKUP(A67,'Trips&amp;Operators'!$C$1:$E$10000,3,FALSE)</f>
        <v>GEBRETEKLE</v>
      </c>
      <c r="M67" s="6">
        <f t="shared" si="1"/>
        <v>2.5856481479422655E-2</v>
      </c>
      <c r="N67" s="7">
        <f t="shared" si="2"/>
        <v>37.233333330368623</v>
      </c>
      <c r="O67" s="7"/>
      <c r="P67" s="7"/>
      <c r="Q67" s="23"/>
      <c r="R67" s="23"/>
      <c r="S67" s="35">
        <f t="shared" si="3"/>
        <v>1</v>
      </c>
      <c r="T67" s="50" t="str">
        <f t="shared" si="4"/>
        <v>Southbound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10:08:31-700',mode:absolute,to:'2016-11-19 12:48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67" s="52" t="str">
        <f t="shared" si="6"/>
        <v>N</v>
      </c>
      <c r="X67" s="177">
        <f t="shared" si="7"/>
        <v>1</v>
      </c>
      <c r="Y67" s="67">
        <f t="shared" si="8"/>
        <v>23.297599999999999</v>
      </c>
      <c r="Z67" s="67">
        <f t="shared" si="9"/>
        <v>1.5800000000000002E-2</v>
      </c>
      <c r="AA67" s="67">
        <f t="shared" si="10"/>
        <v>23.2818</v>
      </c>
      <c r="AB67" s="64" t="str">
        <f>VLOOKUP(A67,Enforcements!$C$7:$K$20,8,0)</f>
        <v>Signal based authority (5)</v>
      </c>
      <c r="AC67" s="60" t="str">
        <f>VLOOKUP(A67,Enforcements!$C$7:$E$20,3,0)</f>
        <v>SIGNAL</v>
      </c>
      <c r="AD67" s="61" t="str">
        <f t="shared" si="11"/>
        <v>0154-19</v>
      </c>
      <c r="AE67" s="91" t="str">
        <f t="shared" si="12"/>
        <v>aws s3 cp s3://rtdc.mdm.uploadarchive.raw/RTDC4037/ "%USERPROFILE%\AppData\Local\Temp\OnboardLogs"\RTDC4037\2016-11-19 --exclude "*" --recursive --include "*20161119*" &amp; "%USERPROFILE%\Documents\GitHub\mrs-test-scripts\Headless Mode &amp; Sideloading\WalkAndUnGZ.bat" "%USERPROFILE%\AppData\Local\Temp\OnboardLogs"\RTDC4037\2016-11-19 &amp; aws s3 cp s3://rtdc.mdm.uploadarchive.raw/RTDC4037/ "%USERPROFILE%\AppData\Local\Temp\OnboardLogs"\RTDC4037\2016-11-20 --exclude "*" --recursive --include "*20161120*" &amp; "%USERPROFILE%\Documents\GitHub\mrs-test-scripts\Headless Mode &amp; Sideloading\WalkAndUnGZ.bat" "%USERPROFILE%\AppData\Local\Temp\OnboardLogs"\RTDC4037\2016-11-20</v>
      </c>
      <c r="AF67" s="88" t="str">
        <f t="shared" si="13"/>
        <v>"C:\Program Files (x86)\AstroGrep\AstroGrep.exe" /spath="%USERPROFILE%\AppData\Local\Temp\OnboardLogs" /stypes="app*4037*20161119*" /stext=" 18:.+((SYSTEM_STATE.+slice.+state.+changed )|(ment ac)|(system.+state.+changed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154-19 --locoid 4037 --swversion DE.1.0.8.0 --startMP 204:232976 --initTime 2016-11-19T11:08:31 --startdatetime 2016-11-19T11:11:18 --delay 1 --endMP 204:158 --enddatetime 2016-11-19T11:48:32 --enforcementcount 0 &gt;&gt;C:\Users\stu\Documents\GitHub\eaglep3-reporting\EC\2016-11-19-refined-times.txt</v>
      </c>
      <c r="AI67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{"issue":{"subject":"","project_id":79,"tracker_id":40,"status_id":1,"priority_id":2,"assigned_to_id":23,"start_date":"2016-11-19","description":"","custom_fields":[{"id":1,"name":"Subdivision","value":"EC"},{"id":4,"name":"Milepost","value":"0.0158"},{"id":17,"name":"Train ID","value":"154-19"},{"id":16,"name":"Locomotive ID","value":"4037"},{"id":130,"name":"Impact","value":""},{"id":150,"name":"Time of Event (Mountain Time)","value":"11:48:32"},{"id":151,"name":"Denver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527</v>
      </c>
      <c r="B68" s="7">
        <v>4040</v>
      </c>
      <c r="C68" s="22" t="s">
        <v>218</v>
      </c>
      <c r="D68" s="22" t="s">
        <v>201</v>
      </c>
      <c r="E68" s="13">
        <v>42693.431805555556</v>
      </c>
      <c r="F68" s="13">
        <v>42693.438032407408</v>
      </c>
      <c r="G68" s="7">
        <v>1</v>
      </c>
      <c r="H68" s="22" t="s">
        <v>282</v>
      </c>
      <c r="I68" s="13">
        <v>42693.463761574072</v>
      </c>
      <c r="J68" s="7">
        <v>0</v>
      </c>
      <c r="K68" s="109" t="str">
        <f t="shared" si="0"/>
        <v>4039/4040</v>
      </c>
      <c r="L68" s="22" t="str">
        <f>VLOOKUP(A68,'Trips&amp;Operators'!$C$1:$E$10000,3,FALSE)</f>
        <v>CLARK</v>
      </c>
      <c r="M68" s="6">
        <f t="shared" si="1"/>
        <v>2.5729166663950309E-2</v>
      </c>
      <c r="N68" s="7">
        <f t="shared" si="2"/>
        <v>37.049999996088445</v>
      </c>
      <c r="O68" s="7"/>
      <c r="P68" s="7"/>
      <c r="Q68" s="23"/>
      <c r="R68" s="23"/>
      <c r="S68" s="35">
        <f t="shared" si="3"/>
        <v>1</v>
      </c>
      <c r="T68" s="50" t="str">
        <f t="shared" si="4"/>
        <v>NorthBound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09:21:48-700',mode:absolute,to:'2016-11-19 12:07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8" s="52" t="str">
        <f t="shared" si="6"/>
        <v>N</v>
      </c>
      <c r="X68" s="177">
        <f t="shared" si="7"/>
        <v>1</v>
      </c>
      <c r="Y68" s="67">
        <f t="shared" si="8"/>
        <v>4.5100000000000001E-2</v>
      </c>
      <c r="Z68" s="67">
        <f t="shared" si="9"/>
        <v>23.328900000000001</v>
      </c>
      <c r="AA68" s="67">
        <f t="shared" si="10"/>
        <v>23.283799999999999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11"/>
        <v>0155-19</v>
      </c>
      <c r="AE68" s="91" t="str">
        <f t="shared" si="12"/>
        <v>aws s3 cp s3://rtdc.mdm.uploadarchive.raw/RTDC4040/ "%USERPROFILE%\AppData\Local\Temp\OnboardLogs"\RTDC4040\2016-11-19 --exclude "*" --recursive --include "*20161119*" &amp; "%USERPROFILE%\Documents\GitHub\mrs-test-scripts\Headless Mode &amp; Sideloading\WalkAndUnGZ.bat" "%USERPROFILE%\AppData\Local\Temp\OnboardLogs"\RTDC4040\2016-11-19 &amp; 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</v>
      </c>
      <c r="AF68" s="88" t="str">
        <f t="shared" si="13"/>
        <v>"C:\Program Files (x86)\AstroGrep\AstroGrep.exe" /spath="%USERPROFILE%\AppData\Local\Temp\OnboardLogs" /stypes="app*4040*20161119*" /stext=" 18:.+((SYSTEM_STATE.+slice.+state.+changed )|(ment ac)|(system.+state.+changed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155-19 --locoid 4040 --swversion DE.1.0.8.0 --startMP 204:451 --initTime 2016-11-19T10:21:48 --startdatetime 2016-11-19T10:30:46 --delay 1 --endMP 204:233289 --enddatetime 2016-11-19T11:07:49 --enforcementcount 0 &gt;&gt;C:\Users\stu\Documents\GitHub\eaglep3-reporting\EC\2016-11-19-refined-times.txt</v>
      </c>
      <c r="AI68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{"issue":{"subject":"","project_id":79,"tracker_id":40,"status_id":1,"priority_id":2,"assigned_to_id":23,"start_date":"2016-11-19","description":"","custom_fields":[{"id":1,"name":"Subdivision","value":"EC"},{"id":4,"name":"Milepost","value":"23.3289"},{"id":17,"name":"Train ID","value":"155-19"},{"id":16,"name":"Locomotive ID","value":"4040"},{"id":130,"name":"Impact","value":""},{"id":150,"name":"Time of Event (Mountain Time)","value":"11:07:49"},{"id":151,"name":"Denver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535</v>
      </c>
      <c r="B69" s="7">
        <v>4039</v>
      </c>
      <c r="C69" s="22" t="s">
        <v>218</v>
      </c>
      <c r="D69" s="22" t="s">
        <v>672</v>
      </c>
      <c r="E69" s="13">
        <v>42693.472037037034</v>
      </c>
      <c r="F69" s="13">
        <v>42693.476631944446</v>
      </c>
      <c r="G69" s="7">
        <v>1</v>
      </c>
      <c r="H69" s="22" t="s">
        <v>333</v>
      </c>
      <c r="I69" s="13">
        <v>42693.506550925929</v>
      </c>
      <c r="J69" s="7">
        <v>0</v>
      </c>
      <c r="K69" s="109" t="str">
        <f t="shared" si="0"/>
        <v>4039/4040</v>
      </c>
      <c r="L69" s="22" t="str">
        <f>VLOOKUP(A69,'Trips&amp;Operators'!$C$1:$E$10000,3,FALSE)</f>
        <v>CLARK</v>
      </c>
      <c r="M69" s="6">
        <f t="shared" si="1"/>
        <v>2.9918981483206153E-2</v>
      </c>
      <c r="N69" s="7">
        <f t="shared" si="2"/>
        <v>43.08333333581686</v>
      </c>
      <c r="O69" s="7"/>
      <c r="P69" s="7"/>
      <c r="Q69" s="23"/>
      <c r="R69" s="23"/>
      <c r="S69" s="35">
        <f t="shared" si="3"/>
        <v>1</v>
      </c>
      <c r="T69" s="50" t="str">
        <f t="shared" si="4"/>
        <v>Southbound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10:19:44-700',mode:absolute,to:'2016-11-19 13:09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9" s="52" t="str">
        <f t="shared" si="6"/>
        <v>N</v>
      </c>
      <c r="X69" s="177">
        <f t="shared" si="7"/>
        <v>1</v>
      </c>
      <c r="Y69" s="67">
        <f t="shared" si="8"/>
        <v>23.296299999999999</v>
      </c>
      <c r="Z69" s="67">
        <f t="shared" si="9"/>
        <v>1.6500000000000001E-2</v>
      </c>
      <c r="AA69" s="67">
        <f t="shared" si="10"/>
        <v>23.279799999999998</v>
      </c>
      <c r="AB69" s="64" t="e">
        <f>VLOOKUP(A69,Enforcements!$C$7:$K$20,8,0)</f>
        <v>#N/A</v>
      </c>
      <c r="AC69" s="60" t="e">
        <f>VLOOKUP(A69,Enforcements!$C$7:$E$20,3,0)</f>
        <v>#N/A</v>
      </c>
      <c r="AD69" s="61" t="str">
        <f t="shared" si="11"/>
        <v>0156-19</v>
      </c>
      <c r="AE69" s="91" t="str">
        <f t="shared" si="12"/>
        <v>aws s3 cp s3://rtdc.mdm.uploadarchive.raw/RTDC4039/ "%USERPROFILE%\AppData\Local\Temp\OnboardLogs"\RTDC4039\2016-11-19 --exclude "*" --recursive --include "*20161119*" &amp; "%USERPROFILE%\Documents\GitHub\mrs-test-scripts\Headless Mode &amp; Sideloading\WalkAndUnGZ.bat" "%USERPROFILE%\AppData\Local\Temp\OnboardLogs"\RTDC4039\2016-11-19 &amp; 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</v>
      </c>
      <c r="AF69" s="88" t="str">
        <f t="shared" si="13"/>
        <v>"C:\Program Files (x86)\AstroGrep\AstroGrep.exe" /spath="%USERPROFILE%\AppData\Local\Temp\OnboardLogs" /stypes="app*4039*20161119*" /stext=" 19:.+((SYSTEM_STATE.+slice.+state.+changed )|(ment ac)|(system.+state.+changed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156-19 --locoid 4039 --swversion DE.1.0.8.0 --startMP 204:232963 --initTime 2016-11-19T11:19:44 --startdatetime 2016-11-19T11:26:21 --delay 1 --endMP 204:165 --enddatetime 2016-11-19T12:09:26 --enforcementcount 0 &gt;&gt;C:\Users\stu\Documents\GitHub\eaglep3-reporting\EC\2016-11-19-refined-times.txt</v>
      </c>
      <c r="AI69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{"issue":{"subject":"","project_id":79,"tracker_id":40,"status_id":1,"priority_id":2,"assigned_to_id":23,"start_date":"2016-11-19","description":"","custom_fields":[{"id":1,"name":"Subdivision","value":"EC"},{"id":4,"name":"Milepost","value":"0.0165"},{"id":17,"name":"Train ID","value":"156-19"},{"id":16,"name":"Locomotive ID","value":"4039"},{"id":130,"name":"Impact","value":""},{"id":150,"name":"Time of Event (Mountain Time)","value":"12:09:26"},{"id":151,"name":"Denver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450</v>
      </c>
      <c r="B70" s="7">
        <v>4014</v>
      </c>
      <c r="C70" s="22" t="s">
        <v>218</v>
      </c>
      <c r="D70" s="22" t="s">
        <v>228</v>
      </c>
      <c r="E70" s="13">
        <v>42693.443229166667</v>
      </c>
      <c r="F70" s="13">
        <v>42693.448159722226</v>
      </c>
      <c r="G70" s="7">
        <v>1</v>
      </c>
      <c r="H70" s="22" t="s">
        <v>680</v>
      </c>
      <c r="I70" s="13">
        <v>42693.474027777775</v>
      </c>
      <c r="J70" s="7">
        <v>0</v>
      </c>
      <c r="K70" s="109" t="str">
        <f t="shared" si="0"/>
        <v>4013/4014</v>
      </c>
      <c r="L70" s="22" t="str">
        <f>VLOOKUP(A70,'Trips&amp;Operators'!$C$1:$E$10000,3,FALSE)</f>
        <v>STRICKLAND</v>
      </c>
      <c r="M70" s="6">
        <f t="shared" si="1"/>
        <v>2.586805554892635E-2</v>
      </c>
      <c r="N70" s="7">
        <f t="shared" si="2"/>
        <v>37.249999990453944</v>
      </c>
      <c r="O70" s="7"/>
      <c r="P70" s="7"/>
      <c r="Q70" s="23"/>
      <c r="R70" s="23"/>
      <c r="S70" s="35">
        <f t="shared" si="3"/>
        <v>1</v>
      </c>
      <c r="T70" s="50" t="str">
        <f t="shared" si="4"/>
        <v>NorthBound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09:38:15-700',mode:absolute,to:'2016-11-19 12:22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0" s="52" t="str">
        <f t="shared" si="6"/>
        <v>N</v>
      </c>
      <c r="X70" s="177">
        <f t="shared" si="7"/>
        <v>1</v>
      </c>
      <c r="Y70" s="67">
        <f t="shared" si="8"/>
        <v>4.6899999999999997E-2</v>
      </c>
      <c r="Z70" s="67">
        <f t="shared" si="9"/>
        <v>23.312799999999999</v>
      </c>
      <c r="AA70" s="67">
        <f t="shared" si="10"/>
        <v>23.265899999999998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 t="shared" si="11"/>
        <v>0157-19</v>
      </c>
      <c r="AE70" s="91" t="str">
        <f t="shared" si="12"/>
        <v>aws s3 cp s3://rtdc.mdm.uploadarchive.raw/RTDC4014/ "%USERPROFILE%\AppData\Local\Temp\OnboardLogs"\RTDC4014\2016-11-19 --exclude "*" --recursive --include "*20161119*" &amp; "%USERPROFILE%\Documents\GitHub\mrs-test-scripts\Headless Mode &amp; Sideloading\WalkAndUnGZ.bat" "%USERPROFILE%\AppData\Local\Temp\OnboardLogs"\RTDC4014\2016-11-19 &amp; aws s3 cp s3://rtdc.mdm.uploadarchive.raw/RTDC4014/ "%USERPROFILE%\AppData\Local\Temp\OnboardLogs"\RTDC4014\2016-11-20 --exclude "*" --recursive --include "*20161120*" &amp; "%USERPROFILE%\Documents\GitHub\mrs-test-scripts\Headless Mode &amp; Sideloading\WalkAndUnGZ.bat" "%USERPROFILE%\AppData\Local\Temp\OnboardLogs"\RTDC4014\2016-11-20</v>
      </c>
      <c r="AF70" s="88" t="str">
        <f t="shared" si="13"/>
        <v>"C:\Program Files (x86)\AstroGrep\AstroGrep.exe" /spath="%USERPROFILE%\AppData\Local\Temp\OnboardLogs" /stypes="app*4014*20161119*" /stext=" 18:.+((SYSTEM_STATE.+slice.+state.+changed )|(ment ac)|(system.+state.+changed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157-19 --locoid 4014 --swversion DE.1.0.8.0 --startMP 204:469 --initTime 2016-11-19T10:38:15 --startdatetime 2016-11-19T10:45:21 --delay 1 --endMP 204:233128 --enddatetime 2016-11-19T11:22:36 --enforcementcount 0 &gt;&gt;C:\Users\stu\Documents\GitHub\eaglep3-reporting\EC\2016-11-19-refined-times.txt</v>
      </c>
      <c r="AI70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{"issue":{"subject":"","project_id":79,"tracker_id":40,"status_id":1,"priority_id":2,"assigned_to_id":23,"start_date":"2016-11-19","description":"","custom_fields":[{"id":1,"name":"Subdivision","value":"EC"},{"id":4,"name":"Milepost","value":"23.3128"},{"id":17,"name":"Train ID","value":"157-19"},{"id":16,"name":"Locomotive ID","value":"4014"},{"id":130,"name":"Impact","value":""},{"id":150,"name":"Time of Event (Mountain Time)","value":"11:22:36"},{"id":151,"name":"Denver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451</v>
      </c>
      <c r="B71" s="7">
        <v>4013</v>
      </c>
      <c r="C71" s="22" t="s">
        <v>218</v>
      </c>
      <c r="D71" s="22" t="s">
        <v>681</v>
      </c>
      <c r="E71" s="13">
        <v>42693.480787037035</v>
      </c>
      <c r="F71" s="13">
        <v>42693.487118055556</v>
      </c>
      <c r="G71" s="7">
        <v>1</v>
      </c>
      <c r="H71" s="22" t="s">
        <v>222</v>
      </c>
      <c r="I71" s="13">
        <v>42693.517395833333</v>
      </c>
      <c r="J71" s="7">
        <v>0</v>
      </c>
      <c r="K71" s="109" t="str">
        <f t="shared" si="0"/>
        <v>4013/4014</v>
      </c>
      <c r="L71" s="22" t="str">
        <f>VLOOKUP(A71,'Trips&amp;Operators'!$C$1:$E$10000,3,FALSE)</f>
        <v>STRICKLAND</v>
      </c>
      <c r="M71" s="6">
        <f t="shared" si="1"/>
        <v>3.0277777776063886E-2</v>
      </c>
      <c r="N71" s="7">
        <f t="shared" si="2"/>
        <v>43.599999997531995</v>
      </c>
      <c r="O71" s="7"/>
      <c r="P71" s="7"/>
      <c r="Q71" s="23"/>
      <c r="R71" s="23"/>
      <c r="S71" s="35">
        <f t="shared" si="3"/>
        <v>1</v>
      </c>
      <c r="T71" s="50" t="str">
        <f t="shared" si="4"/>
        <v>Southbound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10:32:20-700',mode:absolute,to:'2016-11-19 13:25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1" s="52" t="str">
        <f t="shared" si="6"/>
        <v>N</v>
      </c>
      <c r="X71" s="177">
        <f t="shared" si="7"/>
        <v>1</v>
      </c>
      <c r="Y71" s="67">
        <f t="shared" si="8"/>
        <v>23.280899999999999</v>
      </c>
      <c r="Z71" s="67">
        <f t="shared" si="9"/>
        <v>1.5800000000000002E-2</v>
      </c>
      <c r="AA71" s="67">
        <f t="shared" si="10"/>
        <v>23.2651</v>
      </c>
      <c r="AB71" s="64" t="str">
        <f>VLOOKUP(A71,Enforcements!$C$7:$K$20,8,0)</f>
        <v>Bulletin (2)</v>
      </c>
      <c r="AC71" s="60" t="str">
        <f>VLOOKUP(A71,Enforcements!$C$7:$E$20,3,0)</f>
        <v>GRADE CROSSING</v>
      </c>
      <c r="AD71" s="61" t="str">
        <f t="shared" si="11"/>
        <v>0158-19</v>
      </c>
      <c r="AE71" s="91" t="str">
        <f t="shared" si="12"/>
        <v>aws s3 cp s3://rtdc.mdm.uploadarchive.raw/RTDC4013/ "%USERPROFILE%\AppData\Local\Temp\OnboardLogs"\RTDC4013\2016-11-19 --exclude "*" --recursive --include "*20161119*" &amp; "%USERPROFILE%\Documents\GitHub\mrs-test-scripts\Headless Mode &amp; Sideloading\WalkAndUnGZ.bat" "%USERPROFILE%\AppData\Local\Temp\OnboardLogs"\RTDC4013\2016-11-19 &amp; aws s3 cp s3://rtdc.mdm.uploadarchive.raw/RTDC4013/ "%USERPROFILE%\AppData\Local\Temp\OnboardLogs"\RTDC4013\2016-11-20 --exclude "*" --recursive --include "*20161120*" &amp; "%USERPROFILE%\Documents\GitHub\mrs-test-scripts\Headless Mode &amp; Sideloading\WalkAndUnGZ.bat" "%USERPROFILE%\AppData\Local\Temp\OnboardLogs"\RTDC4013\2016-11-20</v>
      </c>
      <c r="AF71" s="88" t="str">
        <f t="shared" si="13"/>
        <v>"C:\Program Files (x86)\AstroGrep\AstroGrep.exe" /spath="%USERPROFILE%\AppData\Local\Temp\OnboardLogs" /stypes="app*4013*20161119*" /stext=" 19:.+((SYSTEM_STATE.+slice.+state.+changed )|(ment ac)|(system.+state.+changed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158-19 --locoid 4013 --swversion DE.1.0.8.0 --startMP 204:232809 --initTime 2016-11-19T11:32:20 --startdatetime 2016-11-19T11:41:27 --delay 1 --endMP 204:158 --enddatetime 2016-11-19T12:25:03 --enforcementcount 0 &gt;&gt;C:\Users\stu\Documents\GitHub\eaglep3-reporting\EC\2016-11-19-refined-times.txt</v>
      </c>
      <c r="AI71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{"issue":{"subject":"","project_id":79,"tracker_id":40,"status_id":1,"priority_id":2,"assigned_to_id":23,"start_date":"2016-11-19","description":"","custom_fields":[{"id":1,"name":"Subdivision","value":"EC"},{"id":4,"name":"Milepost","value":"0.0158"},{"id":17,"name":"Train ID","value":"158-19"},{"id":16,"name":"Locomotive ID","value":"4013"},{"id":130,"name":"Impact","value":""},{"id":150,"name":"Time of Event (Mountain Time)","value":"12:25:03"},{"id":151,"name":"Denver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531</v>
      </c>
      <c r="B72" s="7">
        <v>4003</v>
      </c>
      <c r="C72" s="22" t="s">
        <v>218</v>
      </c>
      <c r="D72" s="22" t="s">
        <v>272</v>
      </c>
      <c r="E72" s="13">
        <v>42693.453483796293</v>
      </c>
      <c r="F72" s="13">
        <v>42693.458587962959</v>
      </c>
      <c r="G72" s="7">
        <v>2</v>
      </c>
      <c r="H72" s="22" t="s">
        <v>682</v>
      </c>
      <c r="I72" s="13">
        <v>42693.483344907407</v>
      </c>
      <c r="J72" s="7">
        <v>0</v>
      </c>
      <c r="K72" s="109" t="str">
        <f t="shared" si="0"/>
        <v>4003/4004</v>
      </c>
      <c r="L72" s="22" t="str">
        <f>VLOOKUP(A72,'Trips&amp;Operators'!$C$1:$E$10000,3,FALSE)</f>
        <v>STEWART</v>
      </c>
      <c r="M72" s="6">
        <f t="shared" si="1"/>
        <v>2.4756944447290152E-2</v>
      </c>
      <c r="N72" s="7">
        <f t="shared" si="2"/>
        <v>35.650000004097819</v>
      </c>
      <c r="O72" s="7"/>
      <c r="P72" s="7"/>
      <c r="Q72" s="23"/>
      <c r="R72" s="23"/>
      <c r="S72" s="35">
        <f t="shared" si="3"/>
        <v>1</v>
      </c>
      <c r="T72" s="50" t="str">
        <f t="shared" si="4"/>
        <v>NorthBound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09:53:01-700',mode:absolute,to:'2016-11-19 12:36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72" s="52" t="str">
        <f t="shared" si="6"/>
        <v>N</v>
      </c>
      <c r="X72" s="177">
        <f t="shared" si="7"/>
        <v>1</v>
      </c>
      <c r="Y72" s="67">
        <f t="shared" si="8"/>
        <v>4.4400000000000002E-2</v>
      </c>
      <c r="Z72" s="67">
        <f t="shared" si="9"/>
        <v>23.330300000000001</v>
      </c>
      <c r="AA72" s="67">
        <f t="shared" si="10"/>
        <v>23.285900000000002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si="11"/>
        <v>0159-19</v>
      </c>
      <c r="AE72" s="91" t="str">
        <f t="shared" si="12"/>
        <v>aws s3 cp s3://rtdc.mdm.uploadarchive.raw/RTDC4003/ "%USERPROFILE%\AppData\Local\Temp\OnboardLogs"\RTDC4003\2016-11-19 --exclude "*" --recursive --include "*20161119*" &amp; "%USERPROFILE%\Documents\GitHub\mrs-test-scripts\Headless Mode &amp; Sideloading\WalkAndUnGZ.bat" "%USERPROFILE%\AppData\Local\Temp\OnboardLogs"\RTDC4003\2016-11-19 &amp; aws s3 cp s3://rtdc.mdm.uploadarchive.raw/RTDC4003/ "%USERPROFILE%\AppData\Local\Temp\OnboardLogs"\RTDC4003\2016-11-20 --exclude "*" --recursive --include "*20161120*" &amp; "%USERPROFILE%\Documents\GitHub\mrs-test-scripts\Headless Mode &amp; Sideloading\WalkAndUnGZ.bat" "%USERPROFILE%\AppData\Local\Temp\OnboardLogs"\RTDC4003\2016-11-20</v>
      </c>
      <c r="AF72" s="88" t="str">
        <f t="shared" si="13"/>
        <v>"C:\Program Files (x86)\AstroGrep\AstroGrep.exe" /spath="%USERPROFILE%\AppData\Local\Temp\OnboardLogs" /stypes="app*4003*20161119*" /stext=" 18:.+((SYSTEM_STATE.+slice.+state.+changed )|(ment ac)|(system.+state.+changed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159-19 --locoid 4003 --swversion DE.1.0.8.0 --startMP 204:444 --initTime 2016-11-19T10:53:01 --startdatetime 2016-11-19T11:00:22 --delay 2 --endMP 204:233303 --enddatetime 2016-11-19T11:36:01 --enforcementcount 0 &gt;&gt;C:\Users\stu\Documents\GitHub\eaglep3-reporting\EC\2016-11-19-refined-times.txt</v>
      </c>
      <c r="AI72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{"issue":{"subject":"","project_id":79,"tracker_id":40,"status_id":1,"priority_id":2,"assigned_to_id":23,"start_date":"2016-11-19","description":"","custom_fields":[{"id":1,"name":"Subdivision","value":"EC"},{"id":4,"name":"Milepost","value":"23.3303"},{"id":17,"name":"Train ID","value":"159-19"},{"id":16,"name":"Locomotive ID","value":"4003"},{"id":130,"name":"Impact","value":""},{"id":150,"name":"Time of Event (Mountain Time)","value":"11:36:01"},{"id":151,"name":"Denver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540</v>
      </c>
      <c r="B73" s="7">
        <v>4004</v>
      </c>
      <c r="C73" s="22" t="s">
        <v>218</v>
      </c>
      <c r="D73" s="22" t="s">
        <v>331</v>
      </c>
      <c r="E73" s="13">
        <v>42693.495023148149</v>
      </c>
      <c r="F73" s="13">
        <v>42693.497442129628</v>
      </c>
      <c r="G73" s="7">
        <v>1</v>
      </c>
      <c r="H73" s="22" t="s">
        <v>266</v>
      </c>
      <c r="I73" s="13">
        <v>42693.526886574073</v>
      </c>
      <c r="J73" s="7">
        <v>0</v>
      </c>
      <c r="K73" s="109" t="str">
        <f t="shared" si="0"/>
        <v>4003/4004</v>
      </c>
      <c r="L73" s="22" t="str">
        <f>VLOOKUP(A73,'Trips&amp;Operators'!$C$1:$E$10000,3,FALSE)</f>
        <v>STEWART</v>
      </c>
      <c r="M73" s="6">
        <f t="shared" si="1"/>
        <v>2.9444444444379769E-2</v>
      </c>
      <c r="N73" s="7">
        <f t="shared" si="2"/>
        <v>42.399999999906868</v>
      </c>
      <c r="O73" s="7"/>
      <c r="P73" s="7"/>
      <c r="Q73" s="23"/>
      <c r="R73" s="23"/>
      <c r="S73" s="35">
        <f t="shared" si="3"/>
        <v>1</v>
      </c>
      <c r="T73" s="50" t="str">
        <f t="shared" si="4"/>
        <v>Southbound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10:52:50-700',mode:absolute,to:'2016-11-19 13:38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73" s="52" t="str">
        <f t="shared" si="6"/>
        <v>N</v>
      </c>
      <c r="X73" s="177">
        <f t="shared" si="7"/>
        <v>1</v>
      </c>
      <c r="Y73" s="67">
        <f t="shared" si="8"/>
        <v>23.297799999999999</v>
      </c>
      <c r="Z73" s="67">
        <f t="shared" si="9"/>
        <v>1.54E-2</v>
      </c>
      <c r="AA73" s="67">
        <f t="shared" si="10"/>
        <v>23.282399999999999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11"/>
        <v>0160-19</v>
      </c>
      <c r="AE73" s="91" t="str">
        <f t="shared" si="12"/>
        <v>aws s3 cp s3://rtdc.mdm.uploadarchive.raw/RTDC4004/ "%USERPROFILE%\AppData\Local\Temp\OnboardLogs"\RTDC4004\2016-11-19 --exclude "*" --recursive --include "*20161119*" &amp; "%USERPROFILE%\Documents\GitHub\mrs-test-scripts\Headless Mode &amp; Sideloading\WalkAndUnGZ.bat" "%USERPROFILE%\AppData\Local\Temp\OnboardLogs"\RTDC4004\2016-11-19 &amp; 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</v>
      </c>
      <c r="AF73" s="88" t="str">
        <f t="shared" si="13"/>
        <v>"C:\Program Files (x86)\AstroGrep\AstroGrep.exe" /spath="%USERPROFILE%\AppData\Local\Temp\OnboardLogs" /stypes="app*4004*20161119*" /stext=" 19:.+((SYSTEM_STATE.+slice.+state.+changed )|(ment ac)|(system.+state.+changed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160-19 --locoid 4004 --swversion DE.1.0.8.0 --startMP 204:232978 --initTime 2016-11-19T11:52:50 --startdatetime 2016-11-19T11:56:19 --delay 1 --endMP 204:154 --enddatetime 2016-11-19T12:38:43 --enforcementcount 0 &gt;&gt;C:\Users\stu\Documents\GitHub\eaglep3-reporting\EC\2016-11-19-refined-times.txt</v>
      </c>
      <c r="AI73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{"issue":{"subject":"","project_id":79,"tracker_id":40,"status_id":1,"priority_id":2,"assigned_to_id":23,"start_date":"2016-11-19","description":"","custom_fields":[{"id":1,"name":"Subdivision","value":"EC"},{"id":4,"name":"Milepost","value":"0.0154"},{"id":17,"name":"Train ID","value":"160-19"},{"id":16,"name":"Locomotive ID","value":"4004"},{"id":130,"name":"Impact","value":""},{"id":150,"name":"Time of Event (Mountain Time)","value":"12:38:43"},{"id":151,"name":"Denver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533</v>
      </c>
      <c r="B74" s="7">
        <v>4011</v>
      </c>
      <c r="C74" s="22" t="s">
        <v>218</v>
      </c>
      <c r="D74" s="22" t="s">
        <v>410</v>
      </c>
      <c r="E74" s="13">
        <v>42693.463564814818</v>
      </c>
      <c r="F74" s="13">
        <v>42693.468912037039</v>
      </c>
      <c r="G74" s="7">
        <v>1</v>
      </c>
      <c r="H74" s="22" t="s">
        <v>200</v>
      </c>
      <c r="I74" s="13">
        <v>42693.493900462963</v>
      </c>
      <c r="J74" s="7">
        <v>0</v>
      </c>
      <c r="K74" s="109" t="str">
        <f t="shared" si="0"/>
        <v>4011/4012</v>
      </c>
      <c r="L74" s="22" t="str">
        <f>VLOOKUP(A74,'Trips&amp;Operators'!$C$1:$E$10000,3,FALSE)</f>
        <v>BARTLETT</v>
      </c>
      <c r="M74" s="6">
        <f t="shared" si="1"/>
        <v>2.4988425924675539E-2</v>
      </c>
      <c r="N74" s="7">
        <f t="shared" si="2"/>
        <v>35.983333331532776</v>
      </c>
      <c r="O74" s="7"/>
      <c r="P74" s="7"/>
      <c r="Q74" s="23"/>
      <c r="R74" s="23"/>
      <c r="S74" s="35">
        <f t="shared" si="3"/>
        <v>1</v>
      </c>
      <c r="T74" s="50" t="str">
        <f t="shared" si="4"/>
        <v>NorthBound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https://search-rtdc-monitor-bjffxe2xuh6vdkpspy63sjmuny.us-east-1.es.amazonaws.com/_plugin/kibana/#/discover/Steve-Slow-Train-Analysis-(2080s-and-2083s)?_g=(refreshInterval:(display:Off,section:0,value:0),time:(from:'2016-11-19 10:07:32-700',mode:absolute,to:'2016-11-19 12:51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4" s="52" t="str">
        <f t="shared" si="6"/>
        <v>N</v>
      </c>
      <c r="X74" s="177">
        <f t="shared" si="7"/>
        <v>1</v>
      </c>
      <c r="Y74" s="67">
        <f t="shared" si="8"/>
        <v>4.7800000000000002E-2</v>
      </c>
      <c r="Z74" s="67">
        <f t="shared" si="9"/>
        <v>23.329499999999999</v>
      </c>
      <c r="AA74" s="67">
        <f t="shared" si="10"/>
        <v>23.281700000000001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11"/>
        <v>0161-19</v>
      </c>
      <c r="AE74" s="91" t="str">
        <f t="shared" si="12"/>
        <v>aws s3 cp s3://rtdc.mdm.uploadarchive.raw/RTDC4011/ "%USERPROFILE%\AppData\Local\Temp\OnboardLogs"\RTDC4011\2016-11-19 --exclude "*" --recursive --include "*20161119*" &amp; "%USERPROFILE%\Documents\GitHub\mrs-test-scripts\Headless Mode &amp; Sideloading\WalkAndUnGZ.bat" "%USERPROFILE%\AppData\Local\Temp\OnboardLogs"\RTDC4011\2016-11-19 &amp; 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</v>
      </c>
      <c r="AF74" s="88" t="str">
        <f t="shared" si="13"/>
        <v>"C:\Program Files (x86)\AstroGrep\AstroGrep.exe" /spath="%USERPROFILE%\AppData\Local\Temp\OnboardLogs" /stypes="app*4011*20161119*" /stext=" 18:.+((SYSTEM_STATE.+slice.+state.+changed )|(ment ac)|(system.+state.+changed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161-19 --locoid 4011 --swversion DE.1.0.8.0 --startMP 204:478 --initTime 2016-11-19T11:07:32 --startdatetime 2016-11-19T11:15:14 --delay 1 --endMP 204:233295 --enddatetime 2016-11-19T11:51:13 --enforcementcount 0 &gt;&gt;C:\Users\stu\Documents\GitHub\eaglep3-reporting\EC\2016-11-19-refined-times.txt</v>
      </c>
      <c r="AI74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{"issue":{"subject":"","project_id":79,"tracker_id":40,"status_id":1,"priority_id":2,"assigned_to_id":23,"start_date":"2016-11-19","description":"","custom_fields":[{"id":1,"name":"Subdivision","value":"EC"},{"id":4,"name":"Milepost","value":"23.3295"},{"id":17,"name":"Train ID","value":"161-19"},{"id":16,"name":"Locomotive ID","value":"4011"},{"id":130,"name":"Impact","value":""},{"id":150,"name":"Time of Event (Mountain Time)","value":"11:51:13"},{"id":151,"name":"Denver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541</v>
      </c>
      <c r="B75" s="7">
        <v>4012</v>
      </c>
      <c r="C75" s="22" t="s">
        <v>218</v>
      </c>
      <c r="D75" s="22" t="s">
        <v>277</v>
      </c>
      <c r="E75" s="13">
        <v>42693.496446759258</v>
      </c>
      <c r="F75" s="13">
        <v>42693.508055555554</v>
      </c>
      <c r="G75" s="7">
        <v>1</v>
      </c>
      <c r="H75" s="22" t="s">
        <v>230</v>
      </c>
      <c r="I75" s="13">
        <v>42693.537395833337</v>
      </c>
      <c r="J75" s="7">
        <v>0</v>
      </c>
      <c r="K75" s="109" t="str">
        <f t="shared" ref="K75:K138" si="19">IF(ISEVEN(B75),(B75-1)&amp;"/"&amp;B75,B75&amp;"/"&amp;(B75+1))</f>
        <v>4011/4012</v>
      </c>
      <c r="L75" s="22" t="str">
        <f>VLOOKUP(A75,'Trips&amp;Operators'!$C$1:$E$10000,3,FALSE)</f>
        <v>BARTLETT</v>
      </c>
      <c r="M75" s="6">
        <f t="shared" ref="M75:M138" si="20">I75-F75</f>
        <v>2.9340277782466728E-2</v>
      </c>
      <c r="N75" s="7">
        <f t="shared" ref="N75:N138" si="21">24*60*SUM($M75:$M75)</f>
        <v>42.250000006752089</v>
      </c>
      <c r="O75" s="7"/>
      <c r="P75" s="7"/>
      <c r="Q75" s="23"/>
      <c r="R75" s="23"/>
      <c r="S75" s="35">
        <f t="shared" ref="S75:S138" si="22">SUM(U75:U75)/IF(AG75="EC",12,1)</f>
        <v>1</v>
      </c>
      <c r="T75" s="50" t="str">
        <f t="shared" ref="T75:T138" si="23">IF(ISEVEN(LEFT(AD75,4)),"Southbound","NorthBound")</f>
        <v>Southbound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ref="V75:V138" si="24">"https://search-rtdc-monitor-bjffxe2xuh6vdkpspy63sjmuny.us-east-1.es.amazonaws.com/_plugin/kibana/#/discover/Steve-Slow-Train-Analysis-(2080s-and-2083s)?_g=(refreshInterval:(display:Off,section:0,value:0),time:(from:'"&amp;TEXT(E75-1/24,"yyyy-MM-DD hh:mm:ss")&amp;utc_offset&amp;"00',mode:absolute,to:'"&amp;TEXT(I75+1/24,"yyyy-MM-DD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75&amp;"%22')),sort:!(Time,asc))"</f>
        <v>https://search-rtdc-monitor-bjffxe2xuh6vdkpspy63sjmuny.us-east-1.es.amazonaws.com/_plugin/kibana/#/discover/Steve-Slow-Train-Analysis-(2080s-and-2083s)?_g=(refreshInterval:(display:Off,section:0,value:0),time:(from:'2016-11-19 10:54:53-700',mode:absolute,to:'2016-11-19 13:53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5" s="52" t="str">
        <f t="shared" ref="W75:W138" si="25">IF(AA75&lt;IF(AG75="EC",23,5.65),"Y","N")</f>
        <v>N</v>
      </c>
      <c r="X75" s="177">
        <f t="shared" ref="X75:X138" si="26">VALUE(LEFT(AD75,4))-VALUE(LEFT(AD74,4))</f>
        <v>1</v>
      </c>
      <c r="Y75" s="67">
        <f t="shared" ref="Y75:Y138" si="27">RIGHT(D75,LEN(D75)-4)/10000</f>
        <v>23.2989</v>
      </c>
      <c r="Z75" s="67">
        <f t="shared" ref="Z75:Z138" si="28">RIGHT(H75,LEN(H75)-4)/10000</f>
        <v>1.6E-2</v>
      </c>
      <c r="AA75" s="67">
        <f t="shared" ref="AA75:AA138" si="29">ABS(Z75-Y75)</f>
        <v>23.282900000000001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ref="AD75:AD138" si="30">IF(LEN(A75)=6,"0"&amp;A75,A75)</f>
        <v>0162-19</v>
      </c>
      <c r="AE75" s="91" t="str">
        <f t="shared" ref="AE75:AE138" si="31"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s3://rtdc.mdm.uploadarchive.raw/RTDC4012/ "%USERPROFILE%\AppData\Local\Temp\OnboardLogs"\RTDC4012\2016-11-19 --exclude "*" --recursive --include "*20161119*" &amp; "%USERPROFILE%\Documents\GitHub\mrs-test-scripts\Headless Mode &amp; Sideloading\WalkAndUnGZ.bat" "%USERPROFILE%\AppData\Local\Temp\OnboardLogs"\RTDC4012\2016-11-19 &amp; 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</v>
      </c>
      <c r="AF75" s="88" t="str">
        <f t="shared" ref="AF75:AF138" si="32"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/stypes="app*4012*20161119*" /stext=" 19:.+((SYSTEM_STATE.+slice.+state.+changed )|(ment ac)|(system.+state.+changed )|(\[timeout)|(PRM\|1\|D)|(kpr)|(kdp)|(\|lc)|(penalty))" /e /r /s</v>
      </c>
      <c r="AG75" s="1" t="str">
        <f t="shared" ref="AG75:AG138" si="33">IFERROR(IF(VALUE(LEFT(AD75,2))&lt;=2,"EC",IF(OR(VALUE(LEFT(AD75,2))=8,VALUE(LEFT(AD75,2))=18),"NW","Other")),"Other")</f>
        <v>EC</v>
      </c>
      <c r="AH75" s="92" t="str">
        <f t="shared" si="17"/>
        <v>"%USERPROFILE%\Documents\GitHub\eaglep3\Utilities\RefineRTDCRunTimes.py" --tripid 162-19 --locoid 4012 --swversion DE.1.0.8.0 --startMP 204:232989 --initTime 2016-11-19T11:54:53 --startdatetime 2016-11-19T12:11:36 --delay 1 --endMP 204:160 --enddatetime 2016-11-19T12:53:51 --enforcementcount 0 &gt;&gt;C:\Users\stu\Documents\GitHub\eaglep3-reporting\EC\2016-11-19-refined-times.txt</v>
      </c>
      <c r="AI75" s="119" t="str">
        <f t="shared" si="18"/>
        <v>echo {"issue":{"subject":"","project_id":79,"tracker_id":40,"status_id":1,"priority_id":2,"assigned_to_id":23,"start_date":"2016-11-19","description":"","custom_fields":[{"id":1,"name":"Subdivision","value":"EC"},{"id":4,"name":"Milepost","value":"0.016"},{"id":17,"name":"Train ID","value":"162-19"},{"id":16,"name":"Locomotive ID","value":"4012"},{"id":130,"name":"Impact","value":""},{"id":150,"name":"Time of Event (Mountain Time)","value":"12:53:51"},{"id":151,"name":"Denver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536</v>
      </c>
      <c r="B76" s="7">
        <v>4046</v>
      </c>
      <c r="C76" s="22" t="s">
        <v>218</v>
      </c>
      <c r="D76" s="22" t="s">
        <v>267</v>
      </c>
      <c r="E76" s="13">
        <v>42693.476087962961</v>
      </c>
      <c r="F76" s="13">
        <v>42693.479502314818</v>
      </c>
      <c r="G76" s="7">
        <v>2</v>
      </c>
      <c r="H76" s="22" t="s">
        <v>406</v>
      </c>
      <c r="I76" s="13">
        <v>42693.505057870374</v>
      </c>
      <c r="J76" s="7">
        <v>0</v>
      </c>
      <c r="K76" s="109" t="str">
        <f t="shared" si="19"/>
        <v>4045/4046</v>
      </c>
      <c r="L76" s="22" t="str">
        <f>VLOOKUP(A76,'Trips&amp;Operators'!$C$1:$E$10000,3,FALSE)</f>
        <v>MOSES</v>
      </c>
      <c r="M76" s="6">
        <f t="shared" si="20"/>
        <v>2.5555555555911269E-2</v>
      </c>
      <c r="N76" s="7">
        <f t="shared" si="21"/>
        <v>36.800000000512227</v>
      </c>
      <c r="O76" s="7"/>
      <c r="P76" s="7"/>
      <c r="Q76" s="23"/>
      <c r="R76" s="23"/>
      <c r="S76" s="35">
        <f t="shared" si="22"/>
        <v>1</v>
      </c>
      <c r="T76" s="50" t="str">
        <f t="shared" si="23"/>
        <v>NorthBound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10:25:34-700',mode:absolute,to:'2016-11-19 13:07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6" s="52" t="str">
        <f t="shared" si="25"/>
        <v>N</v>
      </c>
      <c r="X76" s="177">
        <f t="shared" si="26"/>
        <v>1</v>
      </c>
      <c r="Y76" s="67">
        <f t="shared" si="27"/>
        <v>4.6600000000000003E-2</v>
      </c>
      <c r="Z76" s="67">
        <f t="shared" si="28"/>
        <v>23.332000000000001</v>
      </c>
      <c r="AA76" s="67">
        <f t="shared" si="29"/>
        <v>23.285399999999999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30"/>
        <v>0163-19</v>
      </c>
      <c r="AE76" s="91" t="str">
        <f t="shared" si="31"/>
        <v>aws s3 cp s3://rtdc.mdm.uploadarchive.raw/RTDC4046/ "%USERPROFILE%\AppData\Local\Temp\OnboardLogs"\RTDC4046\2016-11-19 --exclude "*" --recursive --include "*20161119*" &amp; "%USERPROFILE%\Documents\GitHub\mrs-test-scripts\Headless Mode &amp; Sideloading\WalkAndUnGZ.bat" "%USERPROFILE%\AppData\Local\Temp\OnboardLogs"\RTDC4046\2016-11-19 &amp; aws s3 cp s3://rtdc.mdm.uploadarchive.raw/RTDC4046/ "%USERPROFILE%\AppData\Local\Temp\OnboardLogs"\RTDC4046\2016-11-20 --exclude "*" --recursive --include "*20161120*" &amp; "%USERPROFILE%\Documents\GitHub\mrs-test-scripts\Headless Mode &amp; Sideloading\WalkAndUnGZ.bat" "%USERPROFILE%\AppData\Local\Temp\OnboardLogs"\RTDC4046\2016-11-20</v>
      </c>
      <c r="AF76" s="88" t="str">
        <f t="shared" si="32"/>
        <v>"C:\Program Files (x86)\AstroGrep\AstroGrep.exe" /spath="%USERPROFILE%\AppData\Local\Temp\OnboardLogs" /stypes="app*4046*20161119*" /stext=" 19:.+((SYSTEM_STATE.+slice.+state.+changed )|(ment ac)|(system.+state.+changed )|(\[timeout)|(PRM\|1\|D)|(kpr)|(kdp)|(\|lc)|(penalty))" /e /r /s</v>
      </c>
      <c r="AG76" s="1" t="str">
        <f t="shared" si="33"/>
        <v>EC</v>
      </c>
      <c r="AH76" s="92" t="str">
        <f t="shared" ref="AH76:AH139" si="34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163-19 --locoid 4046 --swversion DE.1.0.8.0 --startMP 204:466 --initTime 2016-11-19T11:25:34 --startdatetime 2016-11-19T11:30:29 --delay 2 --endMP 204:233320 --enddatetime 2016-11-19T12:07:17 --enforcementcount 0 &gt;&gt;C:\Users\stu\Documents\GitHub\eaglep3-reporting\EC\2016-11-19-refined-times.txt</v>
      </c>
      <c r="AI76" s="119" t="str">
        <f t="shared" ref="AI76:AI139" si="35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{"issue":{"subject":"","project_id":79,"tracker_id":40,"status_id":1,"priority_id":2,"assigned_to_id":23,"start_date":"2016-11-19","description":"","custom_fields":[{"id":1,"name":"Subdivision","value":"EC"},{"id":4,"name":"Milepost","value":"23.332"},{"id":17,"name":"Train ID","value":"163-19"},{"id":16,"name":"Locomotive ID","value":"4046"},{"id":130,"name":"Impact","value":""},{"id":150,"name":"Time of Event (Mountain Time)","value":"12:07:17"},{"id":151,"name":"Denver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546</v>
      </c>
      <c r="B77" s="7">
        <v>4045</v>
      </c>
      <c r="C77" s="22" t="s">
        <v>218</v>
      </c>
      <c r="D77" s="22" t="s">
        <v>683</v>
      </c>
      <c r="E77" s="13">
        <v>42693.51321759259</v>
      </c>
      <c r="F77" s="13">
        <v>42693.518425925926</v>
      </c>
      <c r="G77" s="7">
        <v>1</v>
      </c>
      <c r="H77" s="22" t="s">
        <v>266</v>
      </c>
      <c r="I77" s="13">
        <v>42693.549537037034</v>
      </c>
      <c r="J77" s="7">
        <v>0</v>
      </c>
      <c r="K77" s="109" t="str">
        <f t="shared" si="19"/>
        <v>4045/4046</v>
      </c>
      <c r="L77" s="22" t="str">
        <f>VLOOKUP(A77,'Trips&amp;Operators'!$C$1:$E$10000,3,FALSE)</f>
        <v>MOSES</v>
      </c>
      <c r="M77" s="6">
        <f t="shared" si="20"/>
        <v>3.1111111107748002E-2</v>
      </c>
      <c r="N77" s="7">
        <f t="shared" si="21"/>
        <v>44.799999995157123</v>
      </c>
      <c r="O77" s="7"/>
      <c r="P77" s="7"/>
      <c r="Q77" s="23"/>
      <c r="R77" s="23"/>
      <c r="S77" s="35">
        <f t="shared" si="22"/>
        <v>1</v>
      </c>
      <c r="T77" s="50" t="str">
        <f t="shared" si="23"/>
        <v>Southbound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11:19:02-700',mode:absolute,to:'2016-11-19 14:11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7" s="52" t="str">
        <f t="shared" si="25"/>
        <v>N</v>
      </c>
      <c r="X77" s="177">
        <f t="shared" si="26"/>
        <v>1</v>
      </c>
      <c r="Y77" s="67">
        <f t="shared" si="27"/>
        <v>23.3003</v>
      </c>
      <c r="Z77" s="67">
        <f t="shared" si="28"/>
        <v>1.54E-2</v>
      </c>
      <c r="AA77" s="67">
        <f t="shared" si="29"/>
        <v>23.2849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 t="shared" si="30"/>
        <v>0164-19</v>
      </c>
      <c r="AE77" s="91" t="str">
        <f t="shared" si="31"/>
        <v>aws s3 cp s3://rtdc.mdm.uploadarchive.raw/RTDC4045/ "%USERPROFILE%\AppData\Local\Temp\OnboardLogs"\RTDC4045\2016-11-19 --exclude "*" --recursive --include "*20161119*" &amp; "%USERPROFILE%\Documents\GitHub\mrs-test-scripts\Headless Mode &amp; Sideloading\WalkAndUnGZ.bat" "%USERPROFILE%\AppData\Local\Temp\OnboardLogs"\RTDC4045\2016-11-19 &amp; aws s3 cp s3://rtdc.mdm.uploadarchive.raw/RTDC4045/ "%USERPROFILE%\AppData\Local\Temp\OnboardLogs"\RTDC4045\2016-11-20 --exclude "*" --recursive --include "*20161120*" &amp; "%USERPROFILE%\Documents\GitHub\mrs-test-scripts\Headless Mode &amp; Sideloading\WalkAndUnGZ.bat" "%USERPROFILE%\AppData\Local\Temp\OnboardLogs"\RTDC4045\2016-11-20</v>
      </c>
      <c r="AF77" s="88" t="str">
        <f t="shared" si="32"/>
        <v>"C:\Program Files (x86)\AstroGrep\AstroGrep.exe" /spath="%USERPROFILE%\AppData\Local\Temp\OnboardLogs" /stypes="app*4045*20161119*" /stext=" 20:.+((SYSTEM_STATE.+slice.+state.+changed )|(ment ac)|(system.+state.+changed )|(\[timeout)|(PRM\|1\|D)|(kpr)|(kdp)|(\|lc)|(penalty))" /e /r /s</v>
      </c>
      <c r="AG77" s="1" t="str">
        <f t="shared" si="33"/>
        <v>EC</v>
      </c>
      <c r="AH77" s="92" t="str">
        <f t="shared" si="34"/>
        <v>"%USERPROFILE%\Documents\GitHub\eaglep3\Utilities\RefineRTDCRunTimes.py" --tripid 164-19 --locoid 4045 --swversion DE.1.0.8.0 --startMP 204:233003 --initTime 2016-11-19T12:19:02 --startdatetime 2016-11-19T12:26:32 --delay 1 --endMP 204:154 --enddatetime 2016-11-19T13:11:20 --enforcementcount 0 &gt;&gt;C:\Users\stu\Documents\GitHub\eaglep3-reporting\EC\2016-11-19-refined-times.txt</v>
      </c>
      <c r="AI77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{"issue":{"subject":"","project_id":79,"tracker_id":40,"status_id":1,"priority_id":2,"assigned_to_id":23,"start_date":"2016-11-19","description":"","custom_fields":[{"id":1,"name":"Subdivision","value":"EC"},{"id":4,"name":"Milepost","value":"0.0154"},{"id":17,"name":"Train ID","value":"164-19"},{"id":16,"name":"Locomotive ID","value":"4045"},{"id":130,"name":"Impact","value":""},{"id":150,"name":"Time of Event (Mountain Time)","value":"13:11:20"},{"id":151,"name":"Denver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538</v>
      </c>
      <c r="B78" s="7">
        <v>4031</v>
      </c>
      <c r="C78" s="22" t="s">
        <v>218</v>
      </c>
      <c r="D78" s="22" t="s">
        <v>684</v>
      </c>
      <c r="E78" s="13">
        <v>42693.483935185184</v>
      </c>
      <c r="F78" s="13">
        <v>42693.48978009259</v>
      </c>
      <c r="G78" s="7">
        <v>6</v>
      </c>
      <c r="H78" s="22" t="s">
        <v>367</v>
      </c>
      <c r="I78" s="13">
        <v>42693.518125000002</v>
      </c>
      <c r="J78" s="7">
        <v>0</v>
      </c>
      <c r="K78" s="109" t="str">
        <f t="shared" si="19"/>
        <v>4031/4032</v>
      </c>
      <c r="L78" s="22" t="str">
        <f>VLOOKUP(A78,'Trips&amp;Operators'!$C$1:$E$10000,3,FALSE)</f>
        <v>SHOOK</v>
      </c>
      <c r="M78" s="6">
        <f t="shared" si="20"/>
        <v>2.8344907412247267E-2</v>
      </c>
      <c r="N78" s="7">
        <f t="shared" si="21"/>
        <v>40.816666673636064</v>
      </c>
      <c r="O78" s="7"/>
      <c r="P78" s="7"/>
      <c r="Q78" s="23"/>
      <c r="R78" s="23"/>
      <c r="S78" s="35">
        <f t="shared" si="22"/>
        <v>1</v>
      </c>
      <c r="T78" s="50" t="str">
        <f t="shared" si="23"/>
        <v>NorthBound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10:36:52-700',mode:absolute,to:'2016-11-19 13:26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8" s="52" t="str">
        <f t="shared" si="25"/>
        <v>N</v>
      </c>
      <c r="X78" s="177">
        <f t="shared" si="26"/>
        <v>1</v>
      </c>
      <c r="Y78" s="67">
        <f t="shared" si="27"/>
        <v>4.9500000000000002E-2</v>
      </c>
      <c r="Z78" s="67">
        <f t="shared" si="28"/>
        <v>23.333400000000001</v>
      </c>
      <c r="AA78" s="67">
        <f t="shared" si="29"/>
        <v>23.283900000000003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si="30"/>
        <v>0165-19</v>
      </c>
      <c r="AE78" s="91" t="str">
        <f t="shared" si="31"/>
        <v>aws s3 cp s3://rtdc.mdm.uploadarchive.raw/RTDC4031/ "%USERPROFILE%\AppData\Local\Temp\OnboardLogs"\RTDC4031\2016-11-19 --exclude "*" --recursive --include "*20161119*" &amp; "%USERPROFILE%\Documents\GitHub\mrs-test-scripts\Headless Mode &amp; Sideloading\WalkAndUnGZ.bat" "%USERPROFILE%\AppData\Local\Temp\OnboardLogs"\RTDC4031\2016-11-19 &amp; aws s3 cp s3://rtdc.mdm.uploadarchive.raw/RTDC4031/ "%USERPROFILE%\AppData\Local\Temp\OnboardLogs"\RTDC4031\2016-11-20 --exclude "*" --recursive --include "*20161120*" &amp; "%USERPROFILE%\Documents\GitHub\mrs-test-scripts\Headless Mode &amp; Sideloading\WalkAndUnGZ.bat" "%USERPROFILE%\AppData\Local\Temp\OnboardLogs"\RTDC4031\2016-11-20</v>
      </c>
      <c r="AF78" s="88" t="str">
        <f t="shared" si="32"/>
        <v>"C:\Program Files (x86)\AstroGrep\AstroGrep.exe" /spath="%USERPROFILE%\AppData\Local\Temp\OnboardLogs" /stypes="app*4031*20161119*" /stext=" 19:.+((SYSTEM_STATE.+slice.+state.+changed )|(ment ac)|(system.+state.+changed )|(\[timeout)|(PRM\|1\|D)|(kpr)|(kdp)|(\|lc)|(penalty))" /e /r /s</v>
      </c>
      <c r="AG78" s="1" t="str">
        <f t="shared" si="33"/>
        <v>EC</v>
      </c>
      <c r="AH78" s="92" t="str">
        <f t="shared" si="34"/>
        <v>"%USERPROFILE%\Documents\GitHub\eaglep3\Utilities\RefineRTDCRunTimes.py" --tripid 165-19 --locoid 4031 --swversion DE.1.0.8.0 --startMP 204:495 --initTime 2016-11-19T11:36:52 --startdatetime 2016-11-19T11:45:17 --delay 6 --endMP 204:233334 --enddatetime 2016-11-19T12:26:06 --enforcementcount 0 &gt;&gt;C:\Users\stu\Documents\GitHub\eaglep3-reporting\EC\2016-11-19-refined-times.txt</v>
      </c>
      <c r="AI78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{"issue":{"subject":"","project_id":79,"tracker_id":40,"status_id":1,"priority_id":2,"assigned_to_id":23,"start_date":"2016-11-19","description":"","custom_fields":[{"id":1,"name":"Subdivision","value":"EC"},{"id":4,"name":"Milepost","value":"23.3334"},{"id":17,"name":"Train ID","value":"165-19"},{"id":16,"name":"Locomotive ID","value":"4031"},{"id":130,"name":"Impact","value":""},{"id":150,"name":"Time of Event (Mountain Time)","value":"12:26:06"},{"id":151,"name":"Denver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549</v>
      </c>
      <c r="B79" s="7">
        <v>4032</v>
      </c>
      <c r="C79" s="22" t="s">
        <v>218</v>
      </c>
      <c r="D79" s="22" t="s">
        <v>685</v>
      </c>
      <c r="E79" s="13">
        <v>42693.523726851854</v>
      </c>
      <c r="F79" s="13">
        <v>42693.528726851851</v>
      </c>
      <c r="G79" s="7">
        <v>1</v>
      </c>
      <c r="H79" s="22" t="s">
        <v>231</v>
      </c>
      <c r="I79" s="13">
        <v>42693.556805555556</v>
      </c>
      <c r="J79" s="7">
        <v>0</v>
      </c>
      <c r="K79" s="109" t="str">
        <f t="shared" si="19"/>
        <v>4031/4032</v>
      </c>
      <c r="L79" s="22" t="str">
        <f>VLOOKUP(A79,'Trips&amp;Operators'!$C$1:$E$10000,3,FALSE)</f>
        <v>SHOOK</v>
      </c>
      <c r="M79" s="6">
        <f t="shared" si="20"/>
        <v>2.8078703704522923E-2</v>
      </c>
      <c r="N79" s="7">
        <f t="shared" si="21"/>
        <v>40.433333334513009</v>
      </c>
      <c r="O79" s="7"/>
      <c r="P79" s="7"/>
      <c r="Q79" s="23"/>
      <c r="R79" s="23"/>
      <c r="S79" s="35">
        <f t="shared" si="22"/>
        <v>1</v>
      </c>
      <c r="T79" s="50" t="str">
        <f t="shared" si="23"/>
        <v>Southbound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11:34:10-700',mode:absolute,to:'2016-11-19 14:21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9" s="52" t="str">
        <f t="shared" si="25"/>
        <v>N</v>
      </c>
      <c r="X79" s="177">
        <f t="shared" si="26"/>
        <v>1</v>
      </c>
      <c r="Y79" s="67">
        <f t="shared" si="27"/>
        <v>23.3049</v>
      </c>
      <c r="Z79" s="67">
        <f t="shared" si="28"/>
        <v>1.4999999999999999E-2</v>
      </c>
      <c r="AA79" s="67">
        <f t="shared" si="29"/>
        <v>23.289899999999999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30"/>
        <v>0166-19</v>
      </c>
      <c r="AE79" s="91" t="str">
        <f t="shared" si="31"/>
        <v>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 &amp; 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</v>
      </c>
      <c r="AF79" s="88" t="str">
        <f t="shared" si="32"/>
        <v>"C:\Program Files (x86)\AstroGrep\AstroGrep.exe" /spath="%USERPROFILE%\AppData\Local\Temp\OnboardLogs" /stypes="app*4032*20161119*" /stext=" 20:.+((SYSTEM_STATE.+slice.+state.+changed )|(ment ac)|(system.+state.+changed )|(\[timeout)|(PRM\|1\|D)|(kpr)|(kdp)|(\|lc)|(penalty))" /e /r /s</v>
      </c>
      <c r="AG79" s="1" t="str">
        <f t="shared" si="33"/>
        <v>EC</v>
      </c>
      <c r="AH79" s="92" t="str">
        <f t="shared" si="34"/>
        <v>"%USERPROFILE%\Documents\GitHub\eaglep3\Utilities\RefineRTDCRunTimes.py" --tripid 166-19 --locoid 4032 --swversion DE.1.0.8.0 --startMP 204:233049 --initTime 2016-11-19T12:34:10 --startdatetime 2016-11-19T12:41:22 --delay 1 --endMP 204:150 --enddatetime 2016-11-19T13:21:48 --enforcementcount 0 &gt;&gt;C:\Users\stu\Documents\GitHub\eaglep3-reporting\EC\2016-11-19-refined-times.txt</v>
      </c>
      <c r="AI79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{"issue":{"subject":"","project_id":79,"tracker_id":40,"status_id":1,"priority_id":2,"assigned_to_id":23,"start_date":"2016-11-19","description":"","custom_fields":[{"id":1,"name":"Subdivision","value":"EC"},{"id":4,"name":"Milepost","value":"0.015"},{"id":17,"name":"Train ID","value":"166-19"},{"id":16,"name":"Locomotive ID","value":"4032"},{"id":130,"name":"Impact","value":""},{"id":150,"name":"Time of Event (Mountain Time)","value":"13:21:48"},{"id":151,"name":"Denver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542</v>
      </c>
      <c r="B80" s="7">
        <v>4038</v>
      </c>
      <c r="C80" s="22" t="s">
        <v>218</v>
      </c>
      <c r="D80" s="22" t="s">
        <v>686</v>
      </c>
      <c r="E80" s="13">
        <v>42693.496574074074</v>
      </c>
      <c r="F80" s="13">
        <v>42693.500740740739</v>
      </c>
      <c r="G80" s="7">
        <v>2</v>
      </c>
      <c r="H80" s="22" t="s">
        <v>200</v>
      </c>
      <c r="I80" s="13">
        <v>42693.527222222219</v>
      </c>
      <c r="J80" s="7">
        <v>0</v>
      </c>
      <c r="K80" s="109" t="str">
        <f t="shared" si="19"/>
        <v>4037/4038</v>
      </c>
      <c r="L80" s="22" t="str">
        <f>VLOOKUP(A80,'Trips&amp;Operators'!$C$1:$E$10000,3,FALSE)</f>
        <v>BRUDER</v>
      </c>
      <c r="M80" s="6">
        <f t="shared" si="20"/>
        <v>2.6481481480004732E-2</v>
      </c>
      <c r="N80" s="7">
        <f t="shared" si="21"/>
        <v>38.133333331206813</v>
      </c>
      <c r="O80" s="7"/>
      <c r="P80" s="7"/>
      <c r="Q80" s="23"/>
      <c r="R80" s="23"/>
      <c r="S80" s="35">
        <f t="shared" si="22"/>
        <v>1</v>
      </c>
      <c r="T80" s="50" t="str">
        <f t="shared" si="23"/>
        <v>NorthBound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10:55:04-700',mode:absolute,to:'2016-11-19 13:39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0" s="52" t="str">
        <f t="shared" si="25"/>
        <v>N</v>
      </c>
      <c r="X80" s="177">
        <f t="shared" si="26"/>
        <v>1</v>
      </c>
      <c r="Y80" s="67">
        <f t="shared" si="27"/>
        <v>4.7100000000000003E-2</v>
      </c>
      <c r="Z80" s="67">
        <f t="shared" si="28"/>
        <v>23.329499999999999</v>
      </c>
      <c r="AA80" s="67">
        <f t="shared" si="29"/>
        <v>23.282399999999999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30"/>
        <v>0167-19</v>
      </c>
      <c r="AE80" s="91" t="str">
        <f t="shared" si="31"/>
        <v>aws s3 cp s3://rtdc.mdm.uploadarchive.raw/RTDC4038/ "%USERPROFILE%\AppData\Local\Temp\OnboardLogs"\RTDC4038\2016-11-19 --exclude "*" --recursive --include "*20161119*" &amp; "%USERPROFILE%\Documents\GitHub\mrs-test-scripts\Headless Mode &amp; Sideloading\WalkAndUnGZ.bat" "%USERPROFILE%\AppData\Local\Temp\OnboardLogs"\RTDC4038\2016-11-19 &amp; aws s3 cp s3://rtdc.mdm.uploadarchive.raw/RTDC4038/ "%USERPROFILE%\AppData\Local\Temp\OnboardLogs"\RTDC4038\2016-11-20 --exclude "*" --recursive --include "*20161120*" &amp; "%USERPROFILE%\Documents\GitHub\mrs-test-scripts\Headless Mode &amp; Sideloading\WalkAndUnGZ.bat" "%USERPROFILE%\AppData\Local\Temp\OnboardLogs"\RTDC4038\2016-11-20</v>
      </c>
      <c r="AF80" s="88" t="str">
        <f t="shared" si="32"/>
        <v>"C:\Program Files (x86)\AstroGrep\AstroGrep.exe" /spath="%USERPROFILE%\AppData\Local\Temp\OnboardLogs" /stypes="app*4038*20161119*" /stext=" 19:.+((SYSTEM_STATE.+slice.+state.+changed )|(ment ac)|(system.+state.+changed )|(\[timeout)|(PRM\|1\|D)|(kpr)|(kdp)|(\|lc)|(penalty))" /e /r /s</v>
      </c>
      <c r="AG80" s="1" t="str">
        <f t="shared" si="33"/>
        <v>EC</v>
      </c>
      <c r="AH80" s="92" t="str">
        <f t="shared" si="34"/>
        <v>"%USERPROFILE%\Documents\GitHub\eaglep3\Utilities\RefineRTDCRunTimes.py" --tripid 167-19 --locoid 4038 --swversion DE.1.0.8.0 --startMP 204:471 --initTime 2016-11-19T11:55:04 --startdatetime 2016-11-19T12:01:04 --delay 2 --endMP 204:233295 --enddatetime 2016-11-19T12:39:12 --enforcementcount 0 &gt;&gt;C:\Users\stu\Documents\GitHub\eaglep3-reporting\EC\2016-11-19-refined-times.txt</v>
      </c>
      <c r="AI80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{"issue":{"subject":"","project_id":79,"tracker_id":40,"status_id":1,"priority_id":2,"assigned_to_id":23,"start_date":"2016-11-19","description":"","custom_fields":[{"id":1,"name":"Subdivision","value":"EC"},{"id":4,"name":"Milepost","value":"23.3295"},{"id":17,"name":"Train ID","value":"167-19"},{"id":16,"name":"Locomotive ID","value":"4038"},{"id":130,"name":"Impact","value":""},{"id":150,"name":"Time of Event (Mountain Time)","value":"12:39:12"},{"id":151,"name":"Denver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552</v>
      </c>
      <c r="B81" s="7">
        <v>4037</v>
      </c>
      <c r="C81" s="22" t="s">
        <v>218</v>
      </c>
      <c r="D81" s="22" t="s">
        <v>334</v>
      </c>
      <c r="E81" s="13">
        <v>42693.533495370371</v>
      </c>
      <c r="F81" s="13">
        <v>42693.539097222223</v>
      </c>
      <c r="G81" s="7">
        <v>7</v>
      </c>
      <c r="H81" s="22" t="s">
        <v>197</v>
      </c>
      <c r="I81" s="13">
        <v>42693.56554398148</v>
      </c>
      <c r="J81" s="7">
        <v>0</v>
      </c>
      <c r="K81" s="109" t="str">
        <f t="shared" si="19"/>
        <v>4037/4038</v>
      </c>
      <c r="L81" s="22" t="str">
        <f>VLOOKUP(A81,'Trips&amp;Operators'!$C$1:$E$10000,3,FALSE)</f>
        <v>BRUDER</v>
      </c>
      <c r="M81" s="6">
        <f t="shared" si="20"/>
        <v>2.6446759256941732E-2</v>
      </c>
      <c r="N81" s="7">
        <f t="shared" si="21"/>
        <v>38.083333329996094</v>
      </c>
      <c r="O81" s="7"/>
      <c r="P81" s="7"/>
      <c r="Q81" s="23"/>
      <c r="R81" s="23"/>
      <c r="S81" s="35">
        <f t="shared" si="22"/>
        <v>1</v>
      </c>
      <c r="T81" s="50" t="str">
        <f t="shared" si="23"/>
        <v>Southbound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11:48:14-700',mode:absolute,to:'2016-11-19 14:34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1" s="52" t="str">
        <f t="shared" si="25"/>
        <v>N</v>
      </c>
      <c r="X81" s="177">
        <f t="shared" si="26"/>
        <v>1</v>
      </c>
      <c r="Y81" s="67">
        <f t="shared" si="27"/>
        <v>23.298200000000001</v>
      </c>
      <c r="Z81" s="67">
        <f t="shared" si="28"/>
        <v>1.43E-2</v>
      </c>
      <c r="AA81" s="67">
        <f t="shared" si="29"/>
        <v>23.283900000000003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 t="shared" si="30"/>
        <v>0168-19</v>
      </c>
      <c r="AE81" s="91" t="str">
        <f t="shared" si="31"/>
        <v>aws s3 cp s3://rtdc.mdm.uploadarchive.raw/RTDC4037/ "%USERPROFILE%\AppData\Local\Temp\OnboardLogs"\RTDC4037\2016-11-19 --exclude "*" --recursive --include "*20161119*" &amp; "%USERPROFILE%\Documents\GitHub\mrs-test-scripts\Headless Mode &amp; Sideloading\WalkAndUnGZ.bat" "%USERPROFILE%\AppData\Local\Temp\OnboardLogs"\RTDC4037\2016-11-19 &amp; aws s3 cp s3://rtdc.mdm.uploadarchive.raw/RTDC4037/ "%USERPROFILE%\AppData\Local\Temp\OnboardLogs"\RTDC4037\2016-11-20 --exclude "*" --recursive --include "*20161120*" &amp; "%USERPROFILE%\Documents\GitHub\mrs-test-scripts\Headless Mode &amp; Sideloading\WalkAndUnGZ.bat" "%USERPROFILE%\AppData\Local\Temp\OnboardLogs"\RTDC4037\2016-11-20</v>
      </c>
      <c r="AF81" s="88" t="str">
        <f t="shared" si="32"/>
        <v>"C:\Program Files (x86)\AstroGrep\AstroGrep.exe" /spath="%USERPROFILE%\AppData\Local\Temp\OnboardLogs" /stypes="app*4037*20161119*" /stext=" 20:.+((SYSTEM_STATE.+slice.+state.+changed )|(ment ac)|(system.+state.+changed )|(\[timeout)|(PRM\|1\|D)|(kpr)|(kdp)|(\|lc)|(penalty))" /e /r /s</v>
      </c>
      <c r="AG81" s="1" t="str">
        <f t="shared" si="33"/>
        <v>EC</v>
      </c>
      <c r="AH81" s="92" t="str">
        <f t="shared" si="34"/>
        <v>"%USERPROFILE%\Documents\GitHub\eaglep3\Utilities\RefineRTDCRunTimes.py" --tripid 168-19 --locoid 4037 --swversion DE.1.0.8.0 --startMP 204:232982 --initTime 2016-11-19T12:48:14 --startdatetime 2016-11-19T12:56:18 --delay 7 --endMP 204:143 --enddatetime 2016-11-19T13:34:23 --enforcementcount 0 &gt;&gt;C:\Users\stu\Documents\GitHub\eaglep3-reporting\EC\2016-11-19-refined-times.txt</v>
      </c>
      <c r="AI81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{"issue":{"subject":"","project_id":79,"tracker_id":40,"status_id":1,"priority_id":2,"assigned_to_id":23,"start_date":"2016-11-19","description":"","custom_fields":[{"id":1,"name":"Subdivision","value":"EC"},{"id":4,"name":"Milepost","value":"0.0143"},{"id":17,"name":"Train ID","value":"168-19"},{"id":16,"name":"Locomotive ID","value":"4037"},{"id":130,"name":"Impact","value":""},{"id":150,"name":"Time of Event (Mountain Time)","value":"13:34:23"},{"id":151,"name":"Denver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545</v>
      </c>
      <c r="B82" s="7">
        <v>4040</v>
      </c>
      <c r="C82" s="22" t="s">
        <v>218</v>
      </c>
      <c r="D82" s="22" t="s">
        <v>245</v>
      </c>
      <c r="E82" s="13">
        <v>42693.507951388892</v>
      </c>
      <c r="F82" s="13">
        <v>42693.510601851849</v>
      </c>
      <c r="G82" s="7">
        <v>1</v>
      </c>
      <c r="H82" s="22" t="s">
        <v>403</v>
      </c>
      <c r="I82" s="13">
        <v>42693.537511574075</v>
      </c>
      <c r="J82" s="7">
        <v>0</v>
      </c>
      <c r="K82" s="109" t="str">
        <f t="shared" si="19"/>
        <v>4039/4040</v>
      </c>
      <c r="L82" s="22" t="str">
        <f>VLOOKUP(A82,'Trips&amp;Operators'!$C$1:$E$10000,3,FALSE)</f>
        <v>CLARK</v>
      </c>
      <c r="M82" s="6">
        <f t="shared" si="20"/>
        <v>2.6909722226264421E-2</v>
      </c>
      <c r="N82" s="7">
        <f t="shared" si="21"/>
        <v>38.750000005820766</v>
      </c>
      <c r="O82" s="7"/>
      <c r="P82" s="7"/>
      <c r="Q82" s="23"/>
      <c r="R82" s="23"/>
      <c r="S82" s="35">
        <f t="shared" si="22"/>
        <v>1</v>
      </c>
      <c r="T82" s="50" t="str">
        <f t="shared" si="23"/>
        <v>NorthBound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11:11:27-700',mode:absolute,to:'2016-11-19 13:54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2" s="52" t="str">
        <f t="shared" si="25"/>
        <v>N</v>
      </c>
      <c r="X82" s="177">
        <f t="shared" si="26"/>
        <v>1</v>
      </c>
      <c r="Y82" s="67">
        <f t="shared" si="27"/>
        <v>4.7300000000000002E-2</v>
      </c>
      <c r="Z82" s="67">
        <f t="shared" si="28"/>
        <v>23.331</v>
      </c>
      <c r="AA82" s="67">
        <f t="shared" si="29"/>
        <v>23.2837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 t="shared" si="30"/>
        <v>0169-19</v>
      </c>
      <c r="AE82" s="91" t="str">
        <f t="shared" si="31"/>
        <v>aws s3 cp s3://rtdc.mdm.uploadarchive.raw/RTDC4040/ "%USERPROFILE%\AppData\Local\Temp\OnboardLogs"\RTDC4040\2016-11-19 --exclude "*" --recursive --include "*20161119*" &amp; "%USERPROFILE%\Documents\GitHub\mrs-test-scripts\Headless Mode &amp; Sideloading\WalkAndUnGZ.bat" "%USERPROFILE%\AppData\Local\Temp\OnboardLogs"\RTDC4040\2016-11-19 &amp; 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</v>
      </c>
      <c r="AF82" s="88" t="str">
        <f t="shared" si="32"/>
        <v>"C:\Program Files (x86)\AstroGrep\AstroGrep.exe" /spath="%USERPROFILE%\AppData\Local\Temp\OnboardLogs" /stypes="app*4040*20161119*" /stext=" 19:.+((SYSTEM_STATE.+slice.+state.+changed )|(ment ac)|(system.+state.+changed )|(\[timeout)|(PRM\|1\|D)|(kpr)|(kdp)|(\|lc)|(penalty))" /e /r /s</v>
      </c>
      <c r="AG82" s="1" t="str">
        <f t="shared" si="33"/>
        <v>EC</v>
      </c>
      <c r="AH82" s="92" t="str">
        <f t="shared" si="34"/>
        <v>"%USERPROFILE%\Documents\GitHub\eaglep3\Utilities\RefineRTDCRunTimes.py" --tripid 169-19 --locoid 4040 --swversion DE.1.0.8.0 --startMP 204:473 --initTime 2016-11-19T12:11:27 --startdatetime 2016-11-19T12:15:16 --delay 1 --endMP 204:233310 --enddatetime 2016-11-19T12:54:01 --enforcementcount 0 &gt;&gt;C:\Users\stu\Documents\GitHub\eaglep3-reporting\EC\2016-11-19-refined-times.txt</v>
      </c>
      <c r="AI82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{"issue":{"subject":"","project_id":79,"tracker_id":40,"status_id":1,"priority_id":2,"assigned_to_id":23,"start_date":"2016-11-19","description":"","custom_fields":[{"id":1,"name":"Subdivision","value":"EC"},{"id":4,"name":"Milepost","value":"23.331"},{"id":17,"name":"Train ID","value":"169-19"},{"id":16,"name":"Locomotive ID","value":"4040"},{"id":130,"name":"Impact","value":""},{"id":150,"name":"Time of Event (Mountain Time)","value":"12:54:01"},{"id":151,"name":"Denver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554</v>
      </c>
      <c r="B83" s="7">
        <v>4039</v>
      </c>
      <c r="C83" s="22" t="s">
        <v>218</v>
      </c>
      <c r="D83" s="22" t="s">
        <v>325</v>
      </c>
      <c r="E83" s="13">
        <v>42693.545624999999</v>
      </c>
      <c r="F83" s="13">
        <v>42693.549537037034</v>
      </c>
      <c r="G83" s="7">
        <v>1</v>
      </c>
      <c r="H83" s="22" t="s">
        <v>358</v>
      </c>
      <c r="I83" s="13">
        <v>42693.577303240738</v>
      </c>
      <c r="J83" s="7">
        <v>0</v>
      </c>
      <c r="K83" s="109" t="str">
        <f t="shared" si="19"/>
        <v>4039/4040</v>
      </c>
      <c r="L83" s="22" t="str">
        <f>VLOOKUP(A83,'Trips&amp;Operators'!$C$1:$E$10000,3,FALSE)</f>
        <v>CLARK</v>
      </c>
      <c r="M83" s="6">
        <f t="shared" si="20"/>
        <v>2.7766203704231884E-2</v>
      </c>
      <c r="N83" s="7">
        <f t="shared" si="21"/>
        <v>39.983333334093913</v>
      </c>
      <c r="O83" s="7"/>
      <c r="P83" s="7"/>
      <c r="Q83" s="23"/>
      <c r="R83" s="23"/>
      <c r="S83" s="35">
        <f t="shared" si="22"/>
        <v>1</v>
      </c>
      <c r="T83" s="50" t="str">
        <f t="shared" si="23"/>
        <v>Southbound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12:05:42-700',mode:absolute,to:'2016-11-19 14:51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3" s="52" t="str">
        <f t="shared" si="25"/>
        <v>N</v>
      </c>
      <c r="X83" s="177">
        <f t="shared" si="26"/>
        <v>1</v>
      </c>
      <c r="Y83" s="67">
        <f t="shared" si="27"/>
        <v>23.299600000000002</v>
      </c>
      <c r="Z83" s="67">
        <f t="shared" si="28"/>
        <v>1.7600000000000001E-2</v>
      </c>
      <c r="AA83" s="67">
        <f t="shared" si="29"/>
        <v>23.282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30"/>
        <v>0170-19</v>
      </c>
      <c r="AE83" s="91" t="str">
        <f t="shared" si="31"/>
        <v>aws s3 cp s3://rtdc.mdm.uploadarchive.raw/RTDC4039/ "%USERPROFILE%\AppData\Local\Temp\OnboardLogs"\RTDC4039\2016-11-19 --exclude "*" --recursive --include "*20161119*" &amp; "%USERPROFILE%\Documents\GitHub\mrs-test-scripts\Headless Mode &amp; Sideloading\WalkAndUnGZ.bat" "%USERPROFILE%\AppData\Local\Temp\OnboardLogs"\RTDC4039\2016-11-19 &amp; 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</v>
      </c>
      <c r="AF83" s="88" t="str">
        <f t="shared" si="32"/>
        <v>"C:\Program Files (x86)\AstroGrep\AstroGrep.exe" /spath="%USERPROFILE%\AppData\Local\Temp\OnboardLogs" /stypes="app*4039*20161119*" /stext=" 20:.+((SYSTEM_STATE.+slice.+state.+changed )|(ment ac)|(system.+state.+changed )|(\[timeout)|(PRM\|1\|D)|(kpr)|(kdp)|(\|lc)|(penalty))" /e /r /s</v>
      </c>
      <c r="AG83" s="1" t="str">
        <f t="shared" si="33"/>
        <v>EC</v>
      </c>
      <c r="AH83" s="92" t="str">
        <f t="shared" si="34"/>
        <v>"%USERPROFILE%\Documents\GitHub\eaglep3\Utilities\RefineRTDCRunTimes.py" --tripid 170-19 --locoid 4039 --swversion DE.1.0.8.0 --startMP 204:232996 --initTime 2016-11-19T13:05:42 --startdatetime 2016-11-19T13:11:20 --delay 1 --endMP 204:176 --enddatetime 2016-11-19T13:51:19 --enforcementcount 0 &gt;&gt;C:\Users\stu\Documents\GitHub\eaglep3-reporting\EC\2016-11-19-refined-times.txt</v>
      </c>
      <c r="AI83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{"issue":{"subject":"","project_id":79,"tracker_id":40,"status_id":1,"priority_id":2,"assigned_to_id":23,"start_date":"2016-11-19","description":"","custom_fields":[{"id":1,"name":"Subdivision","value":"EC"},{"id":4,"name":"Milepost","value":"0.0176"},{"id":17,"name":"Train ID","value":"170-19"},{"id":16,"name":"Locomotive ID","value":"4039"},{"id":130,"name":"Impact","value":""},{"id":150,"name":"Time of Event (Mountain Time)","value":"13:51:19"},{"id":151,"name":"Denver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547</v>
      </c>
      <c r="B84" s="7">
        <v>4014</v>
      </c>
      <c r="C84" s="22" t="s">
        <v>218</v>
      </c>
      <c r="D84" s="22" t="s">
        <v>687</v>
      </c>
      <c r="E84" s="13">
        <v>42693.520405092589</v>
      </c>
      <c r="F84" s="13">
        <v>42693.52207175926</v>
      </c>
      <c r="G84" s="7">
        <v>2</v>
      </c>
      <c r="H84" s="22" t="s">
        <v>303</v>
      </c>
      <c r="I84" s="13">
        <v>42693.554131944446</v>
      </c>
      <c r="J84" s="7">
        <v>0</v>
      </c>
      <c r="K84" s="109" t="str">
        <f t="shared" si="19"/>
        <v>4013/4014</v>
      </c>
      <c r="L84" s="22" t="str">
        <f>VLOOKUP(A84,'Trips&amp;Operators'!$C$1:$E$10000,3,FALSE)</f>
        <v>STORY</v>
      </c>
      <c r="M84" s="6">
        <f t="shared" si="20"/>
        <v>3.2060185185400769E-2</v>
      </c>
      <c r="N84" s="7">
        <f t="shared" si="21"/>
        <v>46.166666666977108</v>
      </c>
      <c r="O84" s="7"/>
      <c r="P84" s="7"/>
      <c r="Q84" s="23"/>
      <c r="R84" s="23"/>
      <c r="S84" s="35">
        <f t="shared" si="22"/>
        <v>1</v>
      </c>
      <c r="T84" s="50" t="str">
        <f t="shared" si="23"/>
        <v>NorthBound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11:29:23-700',mode:absolute,to:'2016-11-19 14:17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4" s="52" t="str">
        <f t="shared" si="25"/>
        <v>N</v>
      </c>
      <c r="X84" s="177">
        <f t="shared" si="26"/>
        <v>1</v>
      </c>
      <c r="Y84" s="67">
        <f t="shared" si="27"/>
        <v>5.04E-2</v>
      </c>
      <c r="Z84" s="67">
        <f t="shared" si="28"/>
        <v>23.3307</v>
      </c>
      <c r="AA84" s="67">
        <f t="shared" si="29"/>
        <v>23.2803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30"/>
        <v>0171-19</v>
      </c>
      <c r="AE84" s="91" t="str">
        <f t="shared" si="31"/>
        <v>aws s3 cp s3://rtdc.mdm.uploadarchive.raw/RTDC4014/ "%USERPROFILE%\AppData\Local\Temp\OnboardLogs"\RTDC4014\2016-11-19 --exclude "*" --recursive --include "*20161119*" &amp; "%USERPROFILE%\Documents\GitHub\mrs-test-scripts\Headless Mode &amp; Sideloading\WalkAndUnGZ.bat" "%USERPROFILE%\AppData\Local\Temp\OnboardLogs"\RTDC4014\2016-11-19 &amp; aws s3 cp s3://rtdc.mdm.uploadarchive.raw/RTDC4014/ "%USERPROFILE%\AppData\Local\Temp\OnboardLogs"\RTDC4014\2016-11-20 --exclude "*" --recursive --include "*20161120*" &amp; "%USERPROFILE%\Documents\GitHub\mrs-test-scripts\Headless Mode &amp; Sideloading\WalkAndUnGZ.bat" "%USERPROFILE%\AppData\Local\Temp\OnboardLogs"\RTDC4014\2016-11-20</v>
      </c>
      <c r="AF84" s="88" t="str">
        <f t="shared" si="32"/>
        <v>"C:\Program Files (x86)\AstroGrep\AstroGrep.exe" /spath="%USERPROFILE%\AppData\Local\Temp\OnboardLogs" /stypes="app*4014*20161119*" /stext=" 20:.+((SYSTEM_STATE.+slice.+state.+changed )|(ment ac)|(system.+state.+changed )|(\[timeout)|(PRM\|1\|D)|(kpr)|(kdp)|(\|lc)|(penalty))" /e /r /s</v>
      </c>
      <c r="AG84" s="1" t="str">
        <f t="shared" si="33"/>
        <v>EC</v>
      </c>
      <c r="AH84" s="92" t="str">
        <f t="shared" si="34"/>
        <v>"%USERPROFILE%\Documents\GitHub\eaglep3\Utilities\RefineRTDCRunTimes.py" --tripid 171-19 --locoid 4014 --swversion DE.1.0.8.0 --startMP 204:504 --initTime 2016-11-19T12:29:23 --startdatetime 2016-11-19T12:31:47 --delay 2 --endMP 204:233307 --enddatetime 2016-11-19T13:17:57 --enforcementcount 0 &gt;&gt;C:\Users\stu\Documents\GitHub\eaglep3-reporting\EC\2016-11-19-refined-times.txt</v>
      </c>
      <c r="AI84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{"issue":{"subject":"","project_id":79,"tracker_id":40,"status_id":1,"priority_id":2,"assigned_to_id":23,"start_date":"2016-11-19","description":"","custom_fields":[{"id":1,"name":"Subdivision","value":"EC"},{"id":4,"name":"Milepost","value":"23.3307"},{"id":17,"name":"Train ID","value":"171-19"},{"id":16,"name":"Locomotive ID","value":"4014"},{"id":130,"name":"Impact","value":""},{"id":150,"name":"Time of Event (Mountain Time)","value":"13:17:57"},{"id":151,"name":"Denver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556</v>
      </c>
      <c r="B85" s="7">
        <v>4013</v>
      </c>
      <c r="C85" s="22" t="s">
        <v>218</v>
      </c>
      <c r="D85" s="22" t="s">
        <v>415</v>
      </c>
      <c r="E85" s="13">
        <v>42693.555706018517</v>
      </c>
      <c r="F85" s="13">
        <v>42693.559953703705</v>
      </c>
      <c r="G85" s="7">
        <v>1</v>
      </c>
      <c r="H85" s="22" t="s">
        <v>231</v>
      </c>
      <c r="I85" s="13">
        <v>42693.586886574078</v>
      </c>
      <c r="J85" s="7">
        <v>0</v>
      </c>
      <c r="K85" s="109" t="str">
        <f t="shared" si="19"/>
        <v>4013/4014</v>
      </c>
      <c r="L85" s="22" t="str">
        <f>VLOOKUP(A85,'Trips&amp;Operators'!$C$1:$E$10000,3,FALSE)</f>
        <v>STORY</v>
      </c>
      <c r="M85" s="6">
        <f t="shared" si="20"/>
        <v>2.6932870372547768E-2</v>
      </c>
      <c r="N85" s="7">
        <f t="shared" si="21"/>
        <v>38.783333336468786</v>
      </c>
      <c r="O85" s="7"/>
      <c r="P85" s="7"/>
      <c r="Q85" s="23"/>
      <c r="R85" s="23"/>
      <c r="S85" s="35">
        <f t="shared" si="22"/>
        <v>1</v>
      </c>
      <c r="T85" s="50" t="str">
        <f t="shared" si="23"/>
        <v>Southbound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12:20:13-700',mode:absolute,to:'2016-11-19 15:05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5" s="52" t="str">
        <f t="shared" si="25"/>
        <v>N</v>
      </c>
      <c r="X85" s="177">
        <f t="shared" si="26"/>
        <v>1</v>
      </c>
      <c r="Y85" s="67">
        <f t="shared" si="27"/>
        <v>23.2973</v>
      </c>
      <c r="Z85" s="67">
        <f t="shared" si="28"/>
        <v>1.4999999999999999E-2</v>
      </c>
      <c r="AA85" s="67">
        <f t="shared" si="29"/>
        <v>23.282299999999999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 t="shared" si="30"/>
        <v>0172-19</v>
      </c>
      <c r="AE85" s="91" t="str">
        <f t="shared" si="31"/>
        <v>aws s3 cp s3://rtdc.mdm.uploadarchive.raw/RTDC4013/ "%USERPROFILE%\AppData\Local\Temp\OnboardLogs"\RTDC4013\2016-11-19 --exclude "*" --recursive --include "*20161119*" &amp; "%USERPROFILE%\Documents\GitHub\mrs-test-scripts\Headless Mode &amp; Sideloading\WalkAndUnGZ.bat" "%USERPROFILE%\AppData\Local\Temp\OnboardLogs"\RTDC4013\2016-11-19 &amp; aws s3 cp s3://rtdc.mdm.uploadarchive.raw/RTDC4013/ "%USERPROFILE%\AppData\Local\Temp\OnboardLogs"\RTDC4013\2016-11-20 --exclude "*" --recursive --include "*20161120*" &amp; "%USERPROFILE%\Documents\GitHub\mrs-test-scripts\Headless Mode &amp; Sideloading\WalkAndUnGZ.bat" "%USERPROFILE%\AppData\Local\Temp\OnboardLogs"\RTDC4013\2016-11-20</v>
      </c>
      <c r="AF85" s="88" t="str">
        <f t="shared" si="32"/>
        <v>"C:\Program Files (x86)\AstroGrep\AstroGrep.exe" /spath="%USERPROFILE%\AppData\Local\Temp\OnboardLogs" /stypes="app*4013*20161119*" /stext=" 21:.+((SYSTEM_STATE.+slice.+state.+changed )|(ment ac)|(system.+state.+changed )|(\[timeout)|(PRM\|1\|D)|(kpr)|(kdp)|(\|lc)|(penalty))" /e /r /s</v>
      </c>
      <c r="AG85" s="1" t="str">
        <f t="shared" si="33"/>
        <v>EC</v>
      </c>
      <c r="AH85" s="92" t="str">
        <f t="shared" si="34"/>
        <v>"%USERPROFILE%\Documents\GitHub\eaglep3\Utilities\RefineRTDCRunTimes.py" --tripid 172-19 --locoid 4013 --swversion DE.1.0.8.0 --startMP 204:232973 --initTime 2016-11-19T13:20:13 --startdatetime 2016-11-19T13:26:20 --delay 1 --endMP 204:150 --enddatetime 2016-11-19T14:05:07 --enforcementcount 0 &gt;&gt;C:\Users\stu\Documents\GitHub\eaglep3-reporting\EC\2016-11-19-refined-times.txt</v>
      </c>
      <c r="AI85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{"issue":{"subject":"","project_id":79,"tracker_id":40,"status_id":1,"priority_id":2,"assigned_to_id":23,"start_date":"2016-11-19","description":"","custom_fields":[{"id":1,"name":"Subdivision","value":"EC"},{"id":4,"name":"Milepost","value":"0.015"},{"id":17,"name":"Train ID","value":"172-19"},{"id":16,"name":"Locomotive ID","value":"4013"},{"id":130,"name":"Impact","value":""},{"id":150,"name":"Time of Event (Mountain Time)","value":"14:05:07"},{"id":151,"name":"Denver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551</v>
      </c>
      <c r="B86" s="7">
        <v>4003</v>
      </c>
      <c r="C86" s="22" t="s">
        <v>218</v>
      </c>
      <c r="D86" s="22" t="s">
        <v>362</v>
      </c>
      <c r="E86" s="13">
        <v>42693.52851851852</v>
      </c>
      <c r="F86" s="13">
        <v>42693.531481481485</v>
      </c>
      <c r="G86" s="7">
        <v>1</v>
      </c>
      <c r="H86" s="22" t="s">
        <v>669</v>
      </c>
      <c r="I86" s="13">
        <v>42693.556712962964</v>
      </c>
      <c r="J86" s="7">
        <v>0</v>
      </c>
      <c r="K86" s="109" t="str">
        <f t="shared" si="19"/>
        <v>4003/4004</v>
      </c>
      <c r="L86" s="22" t="str">
        <f>VLOOKUP(A86,'Trips&amp;Operators'!$C$1:$E$10000,3,FALSE)</f>
        <v>STEWART</v>
      </c>
      <c r="M86" s="6">
        <f t="shared" si="20"/>
        <v>2.5231481478840578E-2</v>
      </c>
      <c r="N86" s="7">
        <f t="shared" si="21"/>
        <v>36.333333329530433</v>
      </c>
      <c r="O86" s="7"/>
      <c r="P86" s="7"/>
      <c r="Q86" s="23"/>
      <c r="R86" s="23"/>
      <c r="S86" s="35">
        <f t="shared" si="22"/>
        <v>1</v>
      </c>
      <c r="T86" s="50" t="str">
        <f t="shared" si="23"/>
        <v>NorthBound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11:41:04-700',mode:absolute,to:'2016-11-19 14:21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86" s="52" t="str">
        <f t="shared" si="25"/>
        <v>N</v>
      </c>
      <c r="X86" s="177">
        <f t="shared" si="26"/>
        <v>1</v>
      </c>
      <c r="Y86" s="67">
        <f t="shared" si="27"/>
        <v>4.82E-2</v>
      </c>
      <c r="Z86" s="67">
        <f t="shared" si="28"/>
        <v>23.330200000000001</v>
      </c>
      <c r="AA86" s="67">
        <f t="shared" si="29"/>
        <v>23.282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30"/>
        <v>0173-19</v>
      </c>
      <c r="AE86" s="91" t="str">
        <f t="shared" si="31"/>
        <v>aws s3 cp s3://rtdc.mdm.uploadarchive.raw/RTDC4003/ "%USERPROFILE%\AppData\Local\Temp\OnboardLogs"\RTDC4003\2016-11-19 --exclude "*" --recursive --include "*20161119*" &amp; "%USERPROFILE%\Documents\GitHub\mrs-test-scripts\Headless Mode &amp; Sideloading\WalkAndUnGZ.bat" "%USERPROFILE%\AppData\Local\Temp\OnboardLogs"\RTDC4003\2016-11-19 &amp; aws s3 cp s3://rtdc.mdm.uploadarchive.raw/RTDC4003/ "%USERPROFILE%\AppData\Local\Temp\OnboardLogs"\RTDC4003\2016-11-20 --exclude "*" --recursive --include "*20161120*" &amp; "%USERPROFILE%\Documents\GitHub\mrs-test-scripts\Headless Mode &amp; Sideloading\WalkAndUnGZ.bat" "%USERPROFILE%\AppData\Local\Temp\OnboardLogs"\RTDC4003\2016-11-20</v>
      </c>
      <c r="AF86" s="88" t="str">
        <f t="shared" si="32"/>
        <v>"C:\Program Files (x86)\AstroGrep\AstroGrep.exe" /spath="%USERPROFILE%\AppData\Local\Temp\OnboardLogs" /stypes="app*4003*20161119*" /stext=" 20:.+((SYSTEM_STATE.+slice.+state.+changed )|(ment ac)|(system.+state.+changed )|(\[timeout)|(PRM\|1\|D)|(kpr)|(kdp)|(\|lc)|(penalty))" /e /r /s</v>
      </c>
      <c r="AG86" s="1" t="str">
        <f t="shared" si="33"/>
        <v>EC</v>
      </c>
      <c r="AH86" s="92" t="str">
        <f t="shared" si="34"/>
        <v>"%USERPROFILE%\Documents\GitHub\eaglep3\Utilities\RefineRTDCRunTimes.py" --tripid 173-19 --locoid 4003 --swversion DE.1.0.8.0 --startMP 204:482 --initTime 2016-11-19T12:41:04 --startdatetime 2016-11-19T12:45:20 --delay 1 --endMP 204:233302 --enddatetime 2016-11-19T13:21:40 --enforcementcount 0 &gt;&gt;C:\Users\stu\Documents\GitHub\eaglep3-reporting\EC\2016-11-19-refined-times.txt</v>
      </c>
      <c r="AI86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{"issue":{"subject":"","project_id":79,"tracker_id":40,"status_id":1,"priority_id":2,"assigned_to_id":23,"start_date":"2016-11-19","description":"","custom_fields":[{"id":1,"name":"Subdivision","value":"EC"},{"id":4,"name":"Milepost","value":"23.3302"},{"id":17,"name":"Train ID","value":"173-19"},{"id":16,"name":"Locomotive ID","value":"4003"},{"id":130,"name":"Impact","value":""},{"id":150,"name":"Time of Event (Mountain Time)","value":"13:21:40"},{"id":151,"name":"Denver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453</v>
      </c>
      <c r="B87" s="7">
        <v>4004</v>
      </c>
      <c r="C87" s="22" t="s">
        <v>218</v>
      </c>
      <c r="D87" s="22" t="s">
        <v>273</v>
      </c>
      <c r="E87" s="13">
        <v>42693.567650462966</v>
      </c>
      <c r="F87" s="13">
        <v>42693.570416666669</v>
      </c>
      <c r="G87" s="7">
        <v>1</v>
      </c>
      <c r="H87" s="22" t="s">
        <v>231</v>
      </c>
      <c r="I87" s="13">
        <v>42693.597893518519</v>
      </c>
      <c r="J87" s="7">
        <v>0</v>
      </c>
      <c r="K87" s="109" t="str">
        <f t="shared" si="19"/>
        <v>4003/4004</v>
      </c>
      <c r="L87" s="22" t="str">
        <f>VLOOKUP(A87,'Trips&amp;Operators'!$C$1:$E$10000,3,FALSE)</f>
        <v>STEWART</v>
      </c>
      <c r="M87" s="6">
        <f t="shared" si="20"/>
        <v>2.7476851850224193E-2</v>
      </c>
      <c r="N87" s="7">
        <f t="shared" si="21"/>
        <v>39.566666664322838</v>
      </c>
      <c r="O87" s="7"/>
      <c r="P87" s="7"/>
      <c r="Q87" s="23"/>
      <c r="R87" s="23"/>
      <c r="S87" s="35">
        <f t="shared" si="22"/>
        <v>1</v>
      </c>
      <c r="T87" s="50" t="str">
        <f t="shared" si="23"/>
        <v>Southbound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12:37:25-700',mode:absolute,to:'2016-11-19 15:20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7" s="52" t="str">
        <f t="shared" si="25"/>
        <v>N</v>
      </c>
      <c r="X87" s="177">
        <f t="shared" si="26"/>
        <v>1</v>
      </c>
      <c r="Y87" s="67">
        <f t="shared" si="27"/>
        <v>23.2987</v>
      </c>
      <c r="Z87" s="67">
        <f t="shared" si="28"/>
        <v>1.4999999999999999E-2</v>
      </c>
      <c r="AA87" s="67">
        <f t="shared" si="29"/>
        <v>23.2837</v>
      </c>
      <c r="AB87" s="64" t="str">
        <f>VLOOKUP(A87,Enforcements!$C$7:$K$20,8,0)</f>
        <v>Speed (6)</v>
      </c>
      <c r="AC87" s="60" t="str">
        <f>VLOOKUP(A87,Enforcements!$C$7:$E$20,3,0)</f>
        <v>PERMANENT SPEED RESTRICTION</v>
      </c>
      <c r="AD87" s="61" t="str">
        <f t="shared" si="30"/>
        <v>0174-19</v>
      </c>
      <c r="AE87" s="91" t="str">
        <f t="shared" si="31"/>
        <v>aws s3 cp s3://rtdc.mdm.uploadarchive.raw/RTDC4004/ "%USERPROFILE%\AppData\Local\Temp\OnboardLogs"\RTDC4004\2016-11-19 --exclude "*" --recursive --include "*20161119*" &amp; "%USERPROFILE%\Documents\GitHub\mrs-test-scripts\Headless Mode &amp; Sideloading\WalkAndUnGZ.bat" "%USERPROFILE%\AppData\Local\Temp\OnboardLogs"\RTDC4004\2016-11-19 &amp; 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</v>
      </c>
      <c r="AF87" s="88" t="str">
        <f t="shared" si="32"/>
        <v>"C:\Program Files (x86)\AstroGrep\AstroGrep.exe" /spath="%USERPROFILE%\AppData\Local\Temp\OnboardLogs" /stypes="app*4004*20161119*" /stext=" 21:.+((SYSTEM_STATE.+slice.+state.+changed )|(ment ac)|(system.+state.+changed )|(\[timeout)|(PRM\|1\|D)|(kpr)|(kdp)|(\|lc)|(penalty))" /e /r /s</v>
      </c>
      <c r="AG87" s="1" t="str">
        <f t="shared" si="33"/>
        <v>EC</v>
      </c>
      <c r="AH87" s="92" t="str">
        <f t="shared" si="34"/>
        <v>"%USERPROFILE%\Documents\GitHub\eaglep3\Utilities\RefineRTDCRunTimes.py" --tripid 174-19 --locoid 4004 --swversion DE.1.0.8.0 --startMP 204:232987 --initTime 2016-11-19T13:37:25 --startdatetime 2016-11-19T13:41:24 --delay 1 --endMP 204:150 --enddatetime 2016-11-19T14:20:58 --enforcementcount 0 &gt;&gt;C:\Users\stu\Documents\GitHub\eaglep3-reporting\EC\2016-11-19-refined-times.txt</v>
      </c>
      <c r="AI87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{"issue":{"subject":"","project_id":79,"tracker_id":40,"status_id":1,"priority_id":2,"assigned_to_id":23,"start_date":"2016-11-19","description":"","custom_fields":[{"id":1,"name":"Subdivision","value":"EC"},{"id":4,"name":"Milepost","value":"0.015"},{"id":17,"name":"Train ID","value":"174-19"},{"id":16,"name":"Locomotive ID","value":"4004"},{"id":130,"name":"Impact","value":""},{"id":150,"name":"Time of Event (Mountain Time)","value":"14:20:58"},{"id":151,"name":"Denver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553</v>
      </c>
      <c r="B88" s="7">
        <v>4011</v>
      </c>
      <c r="C88" s="22" t="s">
        <v>218</v>
      </c>
      <c r="D88" s="22" t="s">
        <v>684</v>
      </c>
      <c r="E88" s="13">
        <v>42693.5387962963</v>
      </c>
      <c r="F88" s="13">
        <v>42693.541851851849</v>
      </c>
      <c r="G88" s="7">
        <v>1</v>
      </c>
      <c r="H88" s="22" t="s">
        <v>303</v>
      </c>
      <c r="I88" s="13">
        <v>42693.567256944443</v>
      </c>
      <c r="J88" s="7">
        <v>0</v>
      </c>
      <c r="K88" s="109" t="str">
        <f t="shared" si="19"/>
        <v>4011/4012</v>
      </c>
      <c r="L88" s="22" t="str">
        <f>VLOOKUP(A88,'Trips&amp;Operators'!$C$1:$E$10000,3,FALSE)</f>
        <v>BARTLETT</v>
      </c>
      <c r="M88" s="6">
        <f t="shared" si="20"/>
        <v>2.5405092594155576E-2</v>
      </c>
      <c r="N88" s="7">
        <f t="shared" si="21"/>
        <v>36.58333333558403</v>
      </c>
      <c r="O88" s="7"/>
      <c r="P88" s="7"/>
      <c r="Q88" s="23"/>
      <c r="R88" s="23"/>
      <c r="S88" s="35">
        <f t="shared" si="22"/>
        <v>1</v>
      </c>
      <c r="T88" s="50" t="str">
        <f t="shared" si="23"/>
        <v>NorthBound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11:55:52-700',mode:absolute,to:'2016-11-19 14:36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8" s="52" t="str">
        <f t="shared" si="25"/>
        <v>N</v>
      </c>
      <c r="X88" s="177">
        <f t="shared" si="26"/>
        <v>1</v>
      </c>
      <c r="Y88" s="67">
        <f t="shared" si="27"/>
        <v>4.9500000000000002E-2</v>
      </c>
      <c r="Z88" s="67">
        <f t="shared" si="28"/>
        <v>23.3307</v>
      </c>
      <c r="AA88" s="67">
        <f t="shared" si="29"/>
        <v>23.281200000000002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30"/>
        <v>0175-19</v>
      </c>
      <c r="AE88" s="91" t="str">
        <f t="shared" si="31"/>
        <v>aws s3 cp s3://rtdc.mdm.uploadarchive.raw/RTDC4011/ "%USERPROFILE%\AppData\Local\Temp\OnboardLogs"\RTDC4011\2016-11-19 --exclude "*" --recursive --include "*20161119*" &amp; "%USERPROFILE%\Documents\GitHub\mrs-test-scripts\Headless Mode &amp; Sideloading\WalkAndUnGZ.bat" "%USERPROFILE%\AppData\Local\Temp\OnboardLogs"\RTDC4011\2016-11-19 &amp; 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</v>
      </c>
      <c r="AF88" s="88" t="str">
        <f t="shared" si="32"/>
        <v>"C:\Program Files (x86)\AstroGrep\AstroGrep.exe" /spath="%USERPROFILE%\AppData\Local\Temp\OnboardLogs" /stypes="app*4011*20161119*" /stext=" 20:.+((SYSTEM_STATE.+slice.+state.+changed )|(ment ac)|(system.+state.+changed )|(\[timeout)|(PRM\|1\|D)|(kpr)|(kdp)|(\|lc)|(penalty))" /e /r /s</v>
      </c>
      <c r="AG88" s="1" t="str">
        <f t="shared" si="33"/>
        <v>EC</v>
      </c>
      <c r="AH88" s="92" t="str">
        <f t="shared" si="34"/>
        <v>"%USERPROFILE%\Documents\GitHub\eaglep3\Utilities\RefineRTDCRunTimes.py" --tripid 175-19 --locoid 4011 --swversion DE.1.0.8.0 --startMP 204:495 --initTime 2016-11-19T12:55:52 --startdatetime 2016-11-19T13:00:16 --delay 1 --endMP 204:233307 --enddatetime 2016-11-19T13:36:51 --enforcementcount 0 &gt;&gt;C:\Users\stu\Documents\GitHub\eaglep3-reporting\EC\2016-11-19-refined-times.txt</v>
      </c>
      <c r="AI88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{"issue":{"subject":"","project_id":79,"tracker_id":40,"status_id":1,"priority_id":2,"assigned_to_id":23,"start_date":"2016-11-19","description":"","custom_fields":[{"id":1,"name":"Subdivision","value":"EC"},{"id":4,"name":"Milepost","value":"23.3307"},{"id":17,"name":"Train ID","value":"175-19"},{"id":16,"name":"Locomotive ID","value":"4011"},{"id":130,"name":"Impact","value":""},{"id":150,"name":"Time of Event (Mountain Time)","value":"13:36:51"},{"id":151,"name":"Denver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560</v>
      </c>
      <c r="B89" s="7">
        <v>4012</v>
      </c>
      <c r="C89" s="22" t="s">
        <v>218</v>
      </c>
      <c r="D89" s="22" t="s">
        <v>305</v>
      </c>
      <c r="E89" s="13">
        <v>42693.569502314815</v>
      </c>
      <c r="F89" s="13">
        <v>42693.580972222226</v>
      </c>
      <c r="G89" s="7">
        <v>1</v>
      </c>
      <c r="H89" s="22" t="s">
        <v>420</v>
      </c>
      <c r="I89" s="13">
        <v>42693.608206018522</v>
      </c>
      <c r="J89" s="7">
        <v>0</v>
      </c>
      <c r="K89" s="109" t="str">
        <f t="shared" si="19"/>
        <v>4011/4012</v>
      </c>
      <c r="L89" s="22" t="str">
        <f>VLOOKUP(A89,'Trips&amp;Operators'!$C$1:$E$10000,3,FALSE)</f>
        <v>BARTLETT</v>
      </c>
      <c r="M89" s="6">
        <f t="shared" si="20"/>
        <v>2.7233796296059154E-2</v>
      </c>
      <c r="N89" s="7">
        <f t="shared" si="21"/>
        <v>39.216666666325182</v>
      </c>
      <c r="O89" s="7"/>
      <c r="P89" s="7"/>
      <c r="Q89" s="23"/>
      <c r="R89" s="23"/>
      <c r="S89" s="35">
        <f t="shared" si="22"/>
        <v>1</v>
      </c>
      <c r="T89" s="50" t="str">
        <f t="shared" si="23"/>
        <v>Southbound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12:40:05-700',mode:absolute,to:'2016-11-19 15:35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9" s="52" t="str">
        <f t="shared" si="25"/>
        <v>N</v>
      </c>
      <c r="X89" s="177">
        <f t="shared" si="26"/>
        <v>1</v>
      </c>
      <c r="Y89" s="67">
        <f t="shared" si="27"/>
        <v>23.299800000000001</v>
      </c>
      <c r="Z89" s="67">
        <f t="shared" si="28"/>
        <v>1.6299999999999999E-2</v>
      </c>
      <c r="AA89" s="67">
        <f t="shared" si="29"/>
        <v>23.2835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 t="shared" si="30"/>
        <v>0176-19</v>
      </c>
      <c r="AE89" s="91" t="str">
        <f t="shared" si="31"/>
        <v>aws s3 cp s3://rtdc.mdm.uploadarchive.raw/RTDC4012/ "%USERPROFILE%\AppData\Local\Temp\OnboardLogs"\RTDC4012\2016-11-19 --exclude "*" --recursive --include "*20161119*" &amp; "%USERPROFILE%\Documents\GitHub\mrs-test-scripts\Headless Mode &amp; Sideloading\WalkAndUnGZ.bat" "%USERPROFILE%\AppData\Local\Temp\OnboardLogs"\RTDC4012\2016-11-19 &amp; 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</v>
      </c>
      <c r="AF89" s="88" t="str">
        <f t="shared" si="32"/>
        <v>"C:\Program Files (x86)\AstroGrep\AstroGrep.exe" /spath="%USERPROFILE%\AppData\Local\Temp\OnboardLogs" /stypes="app*4012*20161119*" /stext=" 21:.+((SYSTEM_STATE.+slice.+state.+changed )|(ment ac)|(system.+state.+changed )|(\[timeout)|(PRM\|1\|D)|(kpr)|(kdp)|(\|lc)|(penalty))" /e /r /s</v>
      </c>
      <c r="AG89" s="1" t="str">
        <f t="shared" si="33"/>
        <v>EC</v>
      </c>
      <c r="AH89" s="92" t="str">
        <f t="shared" si="34"/>
        <v>"%USERPROFILE%\Documents\GitHub\eaglep3\Utilities\RefineRTDCRunTimes.py" --tripid 176-19 --locoid 4012 --swversion DE.1.0.8.0 --startMP 204:232998 --initTime 2016-11-19T13:40:05 --startdatetime 2016-11-19T13:56:36 --delay 1 --endMP 204:163 --enddatetime 2016-11-19T14:35:49 --enforcementcount 0 &gt;&gt;C:\Users\stu\Documents\GitHub\eaglep3-reporting\EC\2016-11-19-refined-times.txt</v>
      </c>
      <c r="AI89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{"issue":{"subject":"","project_id":79,"tracker_id":40,"status_id":1,"priority_id":2,"assigned_to_id":23,"start_date":"2016-11-19","description":"","custom_fields":[{"id":1,"name":"Subdivision","value":"EC"},{"id":4,"name":"Milepost","value":"0.0163"},{"id":17,"name":"Train ID","value":"176-19"},{"id":16,"name":"Locomotive ID","value":"4012"},{"id":130,"name":"Impact","value":""},{"id":150,"name":"Time of Event (Mountain Time)","value":"14:35:49"},{"id":151,"name":"Denver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452</v>
      </c>
      <c r="B90" s="7">
        <v>4046</v>
      </c>
      <c r="C90" s="22" t="s">
        <v>218</v>
      </c>
      <c r="D90" s="22" t="s">
        <v>368</v>
      </c>
      <c r="E90" s="13">
        <v>42693.551319444443</v>
      </c>
      <c r="F90" s="13">
        <v>42693.553263888891</v>
      </c>
      <c r="G90" s="7">
        <v>1</v>
      </c>
      <c r="H90" s="22" t="s">
        <v>688</v>
      </c>
      <c r="I90" s="13">
        <v>42693.579004629632</v>
      </c>
      <c r="J90" s="7">
        <v>0</v>
      </c>
      <c r="K90" s="109" t="str">
        <f t="shared" si="19"/>
        <v>4045/4046</v>
      </c>
      <c r="L90" s="22" t="str">
        <f>VLOOKUP(A90,'Trips&amp;Operators'!$C$1:$E$10000,3,FALSE)</f>
        <v>MOSES</v>
      </c>
      <c r="M90" s="6">
        <f t="shared" si="20"/>
        <v>2.5740740740729962E-2</v>
      </c>
      <c r="N90" s="7">
        <f t="shared" si="21"/>
        <v>37.066666666651145</v>
      </c>
      <c r="O90" s="7"/>
      <c r="P90" s="7"/>
      <c r="Q90" s="23"/>
      <c r="R90" s="23"/>
      <c r="S90" s="35">
        <f t="shared" si="22"/>
        <v>1</v>
      </c>
      <c r="T90" s="50" t="str">
        <f t="shared" si="23"/>
        <v>NorthBound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12:13:54-700',mode:absolute,to:'2016-11-19 14:53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0" s="52" t="str">
        <f t="shared" si="25"/>
        <v>N</v>
      </c>
      <c r="X90" s="177">
        <f t="shared" si="26"/>
        <v>1</v>
      </c>
      <c r="Y90" s="67">
        <f t="shared" si="27"/>
        <v>4.3099999999999999E-2</v>
      </c>
      <c r="Z90" s="67">
        <f t="shared" si="28"/>
        <v>23.327200000000001</v>
      </c>
      <c r="AA90" s="67">
        <f t="shared" si="29"/>
        <v>23.284100000000002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30"/>
        <v>0177-19</v>
      </c>
      <c r="AE90" s="91" t="str">
        <f t="shared" si="31"/>
        <v>aws s3 cp s3://rtdc.mdm.uploadarchive.raw/RTDC4046/ "%USERPROFILE%\AppData\Local\Temp\OnboardLogs"\RTDC4046\2016-11-19 --exclude "*" --recursive --include "*20161119*" &amp; "%USERPROFILE%\Documents\GitHub\mrs-test-scripts\Headless Mode &amp; Sideloading\WalkAndUnGZ.bat" "%USERPROFILE%\AppData\Local\Temp\OnboardLogs"\RTDC4046\2016-11-19 &amp; aws s3 cp s3://rtdc.mdm.uploadarchive.raw/RTDC4046/ "%USERPROFILE%\AppData\Local\Temp\OnboardLogs"\RTDC4046\2016-11-20 --exclude "*" --recursive --include "*20161120*" &amp; "%USERPROFILE%\Documents\GitHub\mrs-test-scripts\Headless Mode &amp; Sideloading\WalkAndUnGZ.bat" "%USERPROFILE%\AppData\Local\Temp\OnboardLogs"\RTDC4046\2016-11-20</v>
      </c>
      <c r="AF90" s="88" t="str">
        <f t="shared" si="32"/>
        <v>"C:\Program Files (x86)\AstroGrep\AstroGrep.exe" /spath="%USERPROFILE%\AppData\Local\Temp\OnboardLogs" /stypes="app*4046*20161119*" /stext=" 20:.+((SYSTEM_STATE.+slice.+state.+changed )|(ment ac)|(system.+state.+changed )|(\[timeout)|(PRM\|1\|D)|(kpr)|(kdp)|(\|lc)|(penalty))" /e /r /s</v>
      </c>
      <c r="AG90" s="1" t="str">
        <f t="shared" si="33"/>
        <v>EC</v>
      </c>
      <c r="AH90" s="92" t="str">
        <f t="shared" si="34"/>
        <v>"%USERPROFILE%\Documents\GitHub\eaglep3\Utilities\RefineRTDCRunTimes.py" --tripid 177-19 --locoid 4046 --swversion DE.1.0.8.0 --startMP 204:431 --initTime 2016-11-19T13:13:54 --startdatetime 2016-11-19T13:16:42 --delay 1 --endMP 204:233272 --enddatetime 2016-11-19T13:53:46 --enforcementcount 0 &gt;&gt;C:\Users\stu\Documents\GitHub\eaglep3-reporting\EC\2016-11-19-refined-times.txt</v>
      </c>
      <c r="AI90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{"issue":{"subject":"","project_id":79,"tracker_id":40,"status_id":1,"priority_id":2,"assigned_to_id":23,"start_date":"2016-11-19","description":"","custom_fields":[{"id":1,"name":"Subdivision","value":"EC"},{"id":4,"name":"Milepost","value":"23.3272"},{"id":17,"name":"Train ID","value":"177-19"},{"id":16,"name":"Locomotive ID","value":"4046"},{"id":130,"name":"Impact","value":""},{"id":150,"name":"Time of Event (Mountain Time)","value":"13:53:46"},{"id":151,"name":"Denver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562</v>
      </c>
      <c r="B91" s="7">
        <v>4045</v>
      </c>
      <c r="C91" s="22" t="s">
        <v>218</v>
      </c>
      <c r="D91" s="22" t="s">
        <v>689</v>
      </c>
      <c r="E91" s="13">
        <v>42693.588541666664</v>
      </c>
      <c r="F91" s="13">
        <v>42693.591446759259</v>
      </c>
      <c r="G91" s="7">
        <v>1</v>
      </c>
      <c r="H91" s="22" t="s">
        <v>222</v>
      </c>
      <c r="I91" s="13">
        <v>42693.619942129626</v>
      </c>
      <c r="J91" s="7">
        <v>0</v>
      </c>
      <c r="K91" s="109" t="str">
        <f t="shared" si="19"/>
        <v>4045/4046</v>
      </c>
      <c r="L91" s="22" t="str">
        <f>VLOOKUP(A91,'Trips&amp;Operators'!$C$1:$E$10000,3,FALSE)</f>
        <v>MOSES</v>
      </c>
      <c r="M91" s="6">
        <f t="shared" si="20"/>
        <v>2.8495370366727002E-2</v>
      </c>
      <c r="N91" s="7">
        <f t="shared" si="21"/>
        <v>41.033333328086883</v>
      </c>
      <c r="O91" s="7"/>
      <c r="P91" s="7"/>
      <c r="Q91" s="23"/>
      <c r="R91" s="23"/>
      <c r="S91" s="35">
        <f t="shared" si="22"/>
        <v>1</v>
      </c>
      <c r="T91" s="50" t="str">
        <f t="shared" si="23"/>
        <v>Southbound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13:07:30-700',mode:absolute,to:'2016-11-19 15:52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1" s="52" t="str">
        <f t="shared" si="25"/>
        <v>N</v>
      </c>
      <c r="X91" s="177">
        <f t="shared" si="26"/>
        <v>1</v>
      </c>
      <c r="Y91" s="67">
        <f t="shared" si="27"/>
        <v>23.294699999999999</v>
      </c>
      <c r="Z91" s="67">
        <f t="shared" si="28"/>
        <v>1.5800000000000002E-2</v>
      </c>
      <c r="AA91" s="67">
        <f t="shared" si="29"/>
        <v>23.2789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30"/>
        <v>0178-19</v>
      </c>
      <c r="AE91" s="91" t="str">
        <f t="shared" si="31"/>
        <v>aws s3 cp s3://rtdc.mdm.uploadarchive.raw/RTDC4045/ "%USERPROFILE%\AppData\Local\Temp\OnboardLogs"\RTDC4045\2016-11-19 --exclude "*" --recursive --include "*20161119*" &amp; "%USERPROFILE%\Documents\GitHub\mrs-test-scripts\Headless Mode &amp; Sideloading\WalkAndUnGZ.bat" "%USERPROFILE%\AppData\Local\Temp\OnboardLogs"\RTDC4045\2016-11-19 &amp; aws s3 cp s3://rtdc.mdm.uploadarchive.raw/RTDC4045/ "%USERPROFILE%\AppData\Local\Temp\OnboardLogs"\RTDC4045\2016-11-20 --exclude "*" --recursive --include "*20161120*" &amp; "%USERPROFILE%\Documents\GitHub\mrs-test-scripts\Headless Mode &amp; Sideloading\WalkAndUnGZ.bat" "%USERPROFILE%\AppData\Local\Temp\OnboardLogs"\RTDC4045\2016-11-20</v>
      </c>
      <c r="AF91" s="88" t="str">
        <f t="shared" si="32"/>
        <v>"C:\Program Files (x86)\AstroGrep\AstroGrep.exe" /spath="%USERPROFILE%\AppData\Local\Temp\OnboardLogs" /stypes="app*4045*20161119*" /stext=" 21:.+((SYSTEM_STATE.+slice.+state.+changed )|(ment ac)|(system.+state.+changed )|(\[timeout)|(PRM\|1\|D)|(kpr)|(kdp)|(\|lc)|(penalty))" /e /r /s</v>
      </c>
      <c r="AG91" s="1" t="str">
        <f t="shared" si="33"/>
        <v>EC</v>
      </c>
      <c r="AH91" s="92" t="str">
        <f t="shared" si="34"/>
        <v>"%USERPROFILE%\Documents\GitHub\eaglep3\Utilities\RefineRTDCRunTimes.py" --tripid 178-19 --locoid 4045 --swversion DE.1.0.8.0 --startMP 204:232947 --initTime 2016-11-19T14:07:30 --startdatetime 2016-11-19T14:11:41 --delay 1 --endMP 204:158 --enddatetime 2016-11-19T14:52:43 --enforcementcount 0 &gt;&gt;C:\Users\stu\Documents\GitHub\eaglep3-reporting\EC\2016-11-19-refined-times.txt</v>
      </c>
      <c r="AI91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{"issue":{"subject":"","project_id":79,"tracker_id":40,"status_id":1,"priority_id":2,"assigned_to_id":23,"start_date":"2016-11-19","description":"","custom_fields":[{"id":1,"name":"Subdivision","value":"EC"},{"id":4,"name":"Milepost","value":"0.0158"},{"id":17,"name":"Train ID","value":"178-19"},{"id":16,"name":"Locomotive ID","value":"4045"},{"id":130,"name":"Impact","value":""},{"id":150,"name":"Time of Event (Mountain Time)","value":"14:52:43"},{"id":151,"name":"Denver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557</v>
      </c>
      <c r="B92" s="7">
        <v>4031</v>
      </c>
      <c r="C92" s="22" t="s">
        <v>218</v>
      </c>
      <c r="D92" s="22" t="s">
        <v>199</v>
      </c>
      <c r="E92" s="13">
        <v>42693.55872685185</v>
      </c>
      <c r="F92" s="13">
        <v>42693.562719907408</v>
      </c>
      <c r="G92" s="7">
        <v>1</v>
      </c>
      <c r="H92" s="22" t="s">
        <v>690</v>
      </c>
      <c r="I92" s="13">
        <v>42693.588055555556</v>
      </c>
      <c r="J92" s="7">
        <v>0</v>
      </c>
      <c r="K92" s="109" t="str">
        <f t="shared" si="19"/>
        <v>4031/4032</v>
      </c>
      <c r="L92" s="22" t="str">
        <f>VLOOKUP(A92,'Trips&amp;Operators'!$C$1:$E$10000,3,FALSE)</f>
        <v>SHOOK</v>
      </c>
      <c r="M92" s="6">
        <f t="shared" si="20"/>
        <v>2.5335648148029577E-2</v>
      </c>
      <c r="N92" s="7">
        <f t="shared" si="21"/>
        <v>36.483333333162591</v>
      </c>
      <c r="O92" s="7"/>
      <c r="P92" s="7"/>
      <c r="Q92" s="23"/>
      <c r="R92" s="23"/>
      <c r="S92" s="35">
        <f t="shared" si="22"/>
        <v>1</v>
      </c>
      <c r="T92" s="50" t="str">
        <f t="shared" si="23"/>
        <v>NorthBound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12:24:34-700',mode:absolute,to:'2016-11-19 15:06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2" s="52" t="str">
        <f t="shared" si="25"/>
        <v>N</v>
      </c>
      <c r="X92" s="177">
        <f t="shared" si="26"/>
        <v>1</v>
      </c>
      <c r="Y92" s="67">
        <f t="shared" si="27"/>
        <v>4.53E-2</v>
      </c>
      <c r="Z92" s="67">
        <f t="shared" si="28"/>
        <v>23.3385</v>
      </c>
      <c r="AA92" s="67">
        <f t="shared" si="29"/>
        <v>23.293199999999999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30"/>
        <v>0179-19</v>
      </c>
      <c r="AE92" s="91" t="str">
        <f t="shared" si="31"/>
        <v>aws s3 cp s3://rtdc.mdm.uploadarchive.raw/RTDC4031/ "%USERPROFILE%\AppData\Local\Temp\OnboardLogs"\RTDC4031\2016-11-19 --exclude "*" --recursive --include "*20161119*" &amp; "%USERPROFILE%\Documents\GitHub\mrs-test-scripts\Headless Mode &amp; Sideloading\WalkAndUnGZ.bat" "%USERPROFILE%\AppData\Local\Temp\OnboardLogs"\RTDC4031\2016-11-19 &amp; aws s3 cp s3://rtdc.mdm.uploadarchive.raw/RTDC4031/ "%USERPROFILE%\AppData\Local\Temp\OnboardLogs"\RTDC4031\2016-11-20 --exclude "*" --recursive --include "*20161120*" &amp; "%USERPROFILE%\Documents\GitHub\mrs-test-scripts\Headless Mode &amp; Sideloading\WalkAndUnGZ.bat" "%USERPROFILE%\AppData\Local\Temp\OnboardLogs"\RTDC4031\2016-11-20</v>
      </c>
      <c r="AF92" s="88" t="str">
        <f t="shared" si="32"/>
        <v>"C:\Program Files (x86)\AstroGrep\AstroGrep.exe" /spath="%USERPROFILE%\AppData\Local\Temp\OnboardLogs" /stypes="app*4031*20161119*" /stext=" 21:.+((SYSTEM_STATE.+slice.+state.+changed )|(ment ac)|(system.+state.+changed )|(\[timeout)|(PRM\|1\|D)|(kpr)|(kdp)|(\|lc)|(penalty))" /e /r /s</v>
      </c>
      <c r="AG92" s="1" t="str">
        <f t="shared" si="33"/>
        <v>EC</v>
      </c>
      <c r="AH92" s="92" t="str">
        <f t="shared" si="34"/>
        <v>"%USERPROFILE%\Documents\GitHub\eaglep3\Utilities\RefineRTDCRunTimes.py" --tripid 179-19 --locoid 4031 --swversion DE.1.0.8.0 --startMP 204:453 --initTime 2016-11-19T13:24:34 --startdatetime 2016-11-19T13:30:19 --delay 1 --endMP 204:233385 --enddatetime 2016-11-19T14:06:48 --enforcementcount 0 &gt;&gt;C:\Users\stu\Documents\GitHub\eaglep3-reporting\EC\2016-11-19-refined-times.txt</v>
      </c>
      <c r="AI92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{"issue":{"subject":"","project_id":79,"tracker_id":40,"status_id":1,"priority_id":2,"assigned_to_id":23,"start_date":"2016-11-19","description":"","custom_fields":[{"id":1,"name":"Subdivision","value":"EC"},{"id":4,"name":"Milepost","value":"23.3385"},{"id":17,"name":"Train ID","value":"179-19"},{"id":16,"name":"Locomotive ID","value":"4031"},{"id":130,"name":"Impact","value":""},{"id":150,"name":"Time of Event (Mountain Time)","value":"14:06:48"},{"id":151,"name":"Denver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7" t="s">
        <v>565</v>
      </c>
      <c r="B93" s="7">
        <v>4032</v>
      </c>
      <c r="C93" s="22" t="s">
        <v>218</v>
      </c>
      <c r="D93" s="22" t="s">
        <v>691</v>
      </c>
      <c r="E93" s="13">
        <v>42693.597233796296</v>
      </c>
      <c r="F93" s="13">
        <v>42693.6016087963</v>
      </c>
      <c r="G93" s="7">
        <v>1</v>
      </c>
      <c r="H93" s="22" t="s">
        <v>266</v>
      </c>
      <c r="I93" s="13">
        <v>42693.627870370372</v>
      </c>
      <c r="J93" s="7">
        <v>0</v>
      </c>
      <c r="K93" s="109" t="str">
        <f t="shared" si="19"/>
        <v>4031/4032</v>
      </c>
      <c r="L93" s="22" t="str">
        <f>VLOOKUP(A93,'Trips&amp;Operators'!$C$1:$E$10000,3,FALSE)</f>
        <v>SHOOK</v>
      </c>
      <c r="M93" s="6">
        <f t="shared" si="20"/>
        <v>2.626157407212304E-2</v>
      </c>
      <c r="N93" s="7">
        <f t="shared" si="21"/>
        <v>37.816666663857177</v>
      </c>
      <c r="O93" s="7"/>
      <c r="P93" s="7"/>
      <c r="Q93" s="23"/>
      <c r="R93" s="23"/>
      <c r="S93" s="35">
        <f t="shared" si="22"/>
        <v>1</v>
      </c>
      <c r="T93" s="50" t="str">
        <f t="shared" si="23"/>
        <v>Southbound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13:20:01-700',mode:absolute,to:'2016-11-19 16:04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3" s="52" t="str">
        <f t="shared" si="25"/>
        <v>N</v>
      </c>
      <c r="X93" s="177">
        <f t="shared" si="26"/>
        <v>1</v>
      </c>
      <c r="Y93" s="67">
        <f t="shared" si="27"/>
        <v>23.305099999999999</v>
      </c>
      <c r="Z93" s="67">
        <f t="shared" si="28"/>
        <v>1.54E-2</v>
      </c>
      <c r="AA93" s="67">
        <f t="shared" si="29"/>
        <v>23.2897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30"/>
        <v>0180-19</v>
      </c>
      <c r="AE93" s="91" t="str">
        <f t="shared" si="31"/>
        <v>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 &amp; 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</v>
      </c>
      <c r="AF93" s="88" t="str">
        <f t="shared" si="32"/>
        <v>"C:\Program Files (x86)\AstroGrep\AstroGrep.exe" /spath="%USERPROFILE%\AppData\Local\Temp\OnboardLogs" /stypes="app*4032*20161119*" /stext=" 22:.+((SYSTEM_STATE.+slice.+state.+changed )|(ment ac)|(system.+state.+changed )|(\[timeout)|(PRM\|1\|D)|(kpr)|(kdp)|(\|lc)|(penalty))" /e /r /s</v>
      </c>
      <c r="AG93" s="1" t="str">
        <f t="shared" si="33"/>
        <v>EC</v>
      </c>
      <c r="AH93" s="92" t="str">
        <f t="shared" si="34"/>
        <v>"%USERPROFILE%\Documents\GitHub\eaglep3\Utilities\RefineRTDCRunTimes.py" --tripid 180-19 --locoid 4032 --swversion DE.1.0.8.0 --startMP 204:233051 --initTime 2016-11-19T14:20:01 --startdatetime 2016-11-19T14:26:19 --delay 1 --endMP 204:154 --enddatetime 2016-11-19T15:04:08 --enforcementcount 0 &gt;&gt;C:\Users\stu\Documents\GitHub\eaglep3-reporting\EC\2016-11-19-refined-times.txt</v>
      </c>
      <c r="AI93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{"issue":{"subject":"","project_id":79,"tracker_id":40,"status_id":1,"priority_id":2,"assigned_to_id":23,"start_date":"2016-11-19","description":"","custom_fields":[{"id":1,"name":"Subdivision","value":"EC"},{"id":4,"name":"Milepost","value":"0.0154"},{"id":17,"name":"Train ID","value":"180-19"},{"id":16,"name":"Locomotive ID","value":"4032"},{"id":130,"name":"Impact","value":""},{"id":150,"name":"Time of Event (Mountain Time)","value":"15:04:08"},{"id":151,"name":"Denver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559</v>
      </c>
      <c r="B94" s="7">
        <v>4038</v>
      </c>
      <c r="C94" s="22" t="s">
        <v>218</v>
      </c>
      <c r="D94" s="22" t="s">
        <v>215</v>
      </c>
      <c r="E94" s="13">
        <v>42693.567071759258</v>
      </c>
      <c r="F94" s="13">
        <v>42693.573229166665</v>
      </c>
      <c r="G94" s="7">
        <v>1</v>
      </c>
      <c r="H94" s="22" t="s">
        <v>703</v>
      </c>
      <c r="I94" s="13">
        <v>42693.597581018519</v>
      </c>
      <c r="J94" s="7">
        <v>0</v>
      </c>
      <c r="K94" s="109" t="str">
        <f t="shared" si="19"/>
        <v>4037/4038</v>
      </c>
      <c r="L94" s="22" t="str">
        <f>VLOOKUP(A94,'Trips&amp;Operators'!$C$1:$E$10000,3,FALSE)</f>
        <v>BRUDER</v>
      </c>
      <c r="M94" s="6">
        <f t="shared" si="20"/>
        <v>2.4351851854589768E-2</v>
      </c>
      <c r="N94" s="7">
        <f t="shared" si="21"/>
        <v>35.066666670609266</v>
      </c>
      <c r="O94" s="7"/>
      <c r="P94" s="7"/>
      <c r="Q94" s="23"/>
      <c r="R94" s="23"/>
      <c r="S94" s="35">
        <f t="shared" si="22"/>
        <v>1</v>
      </c>
      <c r="T94" s="50" t="str">
        <f t="shared" si="23"/>
        <v>NorthBound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12:36:35-700',mode:absolute,to:'2016-11-19 15:20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94" s="52" t="str">
        <f t="shared" si="25"/>
        <v>N</v>
      </c>
      <c r="X94" s="177">
        <f t="shared" si="26"/>
        <v>1</v>
      </c>
      <c r="Y94" s="67">
        <f t="shared" si="27"/>
        <v>4.6199999999999998E-2</v>
      </c>
      <c r="Z94" s="67">
        <f t="shared" si="28"/>
        <v>23.3306</v>
      </c>
      <c r="AA94" s="67">
        <f t="shared" si="29"/>
        <v>23.284400000000002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30"/>
        <v>0181-19</v>
      </c>
      <c r="AE94" s="91" t="str">
        <f t="shared" si="31"/>
        <v>aws s3 cp s3://rtdc.mdm.uploadarchive.raw/RTDC4038/ "%USERPROFILE%\AppData\Local\Temp\OnboardLogs"\RTDC4038\2016-11-19 --exclude "*" --recursive --include "*20161119*" &amp; "%USERPROFILE%\Documents\GitHub\mrs-test-scripts\Headless Mode &amp; Sideloading\WalkAndUnGZ.bat" "%USERPROFILE%\AppData\Local\Temp\OnboardLogs"\RTDC4038\2016-11-19 &amp; aws s3 cp s3://rtdc.mdm.uploadarchive.raw/RTDC4038/ "%USERPROFILE%\AppData\Local\Temp\OnboardLogs"\RTDC4038\2016-11-20 --exclude "*" --recursive --include "*20161120*" &amp; "%USERPROFILE%\Documents\GitHub\mrs-test-scripts\Headless Mode &amp; Sideloading\WalkAndUnGZ.bat" "%USERPROFILE%\AppData\Local\Temp\OnboardLogs"\RTDC4038\2016-11-20</v>
      </c>
      <c r="AF94" s="88" t="str">
        <f t="shared" si="32"/>
        <v>"C:\Program Files (x86)\AstroGrep\AstroGrep.exe" /spath="%USERPROFILE%\AppData\Local\Temp\OnboardLogs" /stypes="app*4038*20161119*" /stext=" 21:.+((SYSTEM_STATE.+slice.+state.+changed )|(ment ac)|(system.+state.+changed )|(\[timeout)|(PRM\|1\|D)|(kpr)|(kdp)|(\|lc)|(penalty))" /e /r /s</v>
      </c>
      <c r="AG94" s="1" t="str">
        <f t="shared" si="33"/>
        <v>EC</v>
      </c>
      <c r="AH94" s="92" t="str">
        <f t="shared" si="34"/>
        <v>"%USERPROFILE%\Documents\GitHub\eaglep3\Utilities\RefineRTDCRunTimes.py" --tripid 181-19 --locoid 4038 --swversion DE.1.0.8.0 --startMP 204:462 --initTime 2016-11-19T13:36:35 --startdatetime 2016-11-19T13:45:27 --delay 1 --endMP 204:233306 --enddatetime 2016-11-19T14:20:31 --enforcementcount 0 &gt;&gt;C:\Users\stu\Documents\GitHub\eaglep3-reporting\EC\2016-11-19-refined-times.txt</v>
      </c>
      <c r="AI94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{"issue":{"subject":"","project_id":79,"tracker_id":40,"status_id":1,"priority_id":2,"assigned_to_id":23,"start_date":"2016-11-19","description":"","custom_fields":[{"id":1,"name":"Subdivision","value":"EC"},{"id":4,"name":"Milepost","value":"23.3306"},{"id":17,"name":"Train ID","value":"181-19"},{"id":16,"name":"Locomotive ID","value":"4038"},{"id":130,"name":"Impact","value":""},{"id":150,"name":"Time of Event (Mountain Time)","value":"14:20:31"},{"id":151,"name":"Denver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567</v>
      </c>
      <c r="B95" s="7">
        <v>4037</v>
      </c>
      <c r="C95" s="22" t="s">
        <v>218</v>
      </c>
      <c r="D95" s="22" t="s">
        <v>328</v>
      </c>
      <c r="E95" s="13">
        <v>42693.60628472222</v>
      </c>
      <c r="F95" s="13">
        <v>42693.612002314818</v>
      </c>
      <c r="G95" s="7">
        <v>1</v>
      </c>
      <c r="H95" s="22" t="s">
        <v>326</v>
      </c>
      <c r="I95" s="13">
        <v>42693.638310185182</v>
      </c>
      <c r="J95" s="7">
        <v>0</v>
      </c>
      <c r="K95" s="109" t="str">
        <f t="shared" si="19"/>
        <v>4037/4038</v>
      </c>
      <c r="L95" s="22" t="str">
        <f>VLOOKUP(A95,'Trips&amp;Operators'!$C$1:$E$10000,3,FALSE)</f>
        <v>BRUDER</v>
      </c>
      <c r="M95" s="6">
        <f t="shared" si="20"/>
        <v>2.6307870364689734E-2</v>
      </c>
      <c r="N95" s="7">
        <f t="shared" si="21"/>
        <v>37.883333325153217</v>
      </c>
      <c r="O95" s="7"/>
      <c r="P95" s="7"/>
      <c r="Q95" s="23"/>
      <c r="R95" s="23"/>
      <c r="S95" s="35">
        <f t="shared" si="22"/>
        <v>1</v>
      </c>
      <c r="T95" s="50" t="str">
        <f t="shared" si="23"/>
        <v>Southbound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13:33:03-700',mode:absolute,to:'2016-11-19 16:19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95" s="52" t="str">
        <f t="shared" si="25"/>
        <v>N</v>
      </c>
      <c r="X95" s="177">
        <f t="shared" si="26"/>
        <v>1</v>
      </c>
      <c r="Y95" s="67">
        <f t="shared" si="27"/>
        <v>23.299299999999999</v>
      </c>
      <c r="Z95" s="67">
        <f t="shared" si="28"/>
        <v>1.47E-2</v>
      </c>
      <c r="AA95" s="67">
        <f t="shared" si="29"/>
        <v>23.284599999999998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30"/>
        <v>0182-19</v>
      </c>
      <c r="AE95" s="91" t="str">
        <f t="shared" si="31"/>
        <v>aws s3 cp s3://rtdc.mdm.uploadarchive.raw/RTDC4037/ "%USERPROFILE%\AppData\Local\Temp\OnboardLogs"\RTDC4037\2016-11-19 --exclude "*" --recursive --include "*20161119*" &amp; "%USERPROFILE%\Documents\GitHub\mrs-test-scripts\Headless Mode &amp; Sideloading\WalkAndUnGZ.bat" "%USERPROFILE%\AppData\Local\Temp\OnboardLogs"\RTDC4037\2016-11-19 &amp; aws s3 cp s3://rtdc.mdm.uploadarchive.raw/RTDC4037/ "%USERPROFILE%\AppData\Local\Temp\OnboardLogs"\RTDC4037\2016-11-20 --exclude "*" --recursive --include "*20161120*" &amp; "%USERPROFILE%\Documents\GitHub\mrs-test-scripts\Headless Mode &amp; Sideloading\WalkAndUnGZ.bat" "%USERPROFILE%\AppData\Local\Temp\OnboardLogs"\RTDC4037\2016-11-20</v>
      </c>
      <c r="AF95" s="88" t="str">
        <f t="shared" si="32"/>
        <v>"C:\Program Files (x86)\AstroGrep\AstroGrep.exe" /spath="%USERPROFILE%\AppData\Local\Temp\OnboardLogs" /stypes="app*4037*20161119*" /stext=" 22:.+((SYSTEM_STATE.+slice.+state.+changed )|(ment ac)|(system.+state.+changed )|(\[timeout)|(PRM\|1\|D)|(kpr)|(kdp)|(\|lc)|(penalty))" /e /r /s</v>
      </c>
      <c r="AG95" s="1" t="str">
        <f t="shared" si="33"/>
        <v>EC</v>
      </c>
      <c r="AH95" s="92" t="str">
        <f t="shared" si="34"/>
        <v>"%USERPROFILE%\Documents\GitHub\eaglep3\Utilities\RefineRTDCRunTimes.py" --tripid 182-19 --locoid 4037 --swversion DE.1.0.8.0 --startMP 204:232993 --initTime 2016-11-19T14:33:03 --startdatetime 2016-11-19T14:41:17 --delay 1 --endMP 204:147 --enddatetime 2016-11-19T15:19:10 --enforcementcount 0 &gt;&gt;C:\Users\stu\Documents\GitHub\eaglep3-reporting\EC\2016-11-19-refined-times.txt</v>
      </c>
      <c r="AI95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{"issue":{"subject":"","project_id":79,"tracker_id":40,"status_id":1,"priority_id":2,"assigned_to_id":23,"start_date":"2016-11-19","description":"","custom_fields":[{"id":1,"name":"Subdivision","value":"EC"},{"id":4,"name":"Milepost","value":"0.0147"},{"id":17,"name":"Train ID","value":"182-19"},{"id":16,"name":"Locomotive ID","value":"4037"},{"id":130,"name":"Impact","value":""},{"id":150,"name":"Time of Event (Mountain Time)","value":"15:19:10"},{"id":151,"name":"Denver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561</v>
      </c>
      <c r="B96" s="7">
        <v>4040</v>
      </c>
      <c r="C96" s="22" t="s">
        <v>218</v>
      </c>
      <c r="D96" s="22" t="s">
        <v>246</v>
      </c>
      <c r="E96" s="13">
        <v>42693.580312500002</v>
      </c>
      <c r="F96" s="13">
        <v>42693.58353009259</v>
      </c>
      <c r="G96" s="7">
        <v>1</v>
      </c>
      <c r="H96" s="22" t="s">
        <v>303</v>
      </c>
      <c r="I96" s="13">
        <v>42693.609189814815</v>
      </c>
      <c r="J96" s="7">
        <v>0</v>
      </c>
      <c r="K96" s="109" t="str">
        <f t="shared" si="19"/>
        <v>4039/4040</v>
      </c>
      <c r="L96" s="22" t="str">
        <f>VLOOKUP(A96,'Trips&amp;Operators'!$C$1:$E$10000,3,FALSE)</f>
        <v>CLARK</v>
      </c>
      <c r="M96" s="6">
        <f t="shared" si="20"/>
        <v>2.5659722225100268E-2</v>
      </c>
      <c r="N96" s="7">
        <f t="shared" si="21"/>
        <v>36.950000004144385</v>
      </c>
      <c r="O96" s="7"/>
      <c r="P96" s="7"/>
      <c r="Q96" s="23"/>
      <c r="R96" s="23"/>
      <c r="S96" s="35">
        <f t="shared" si="22"/>
        <v>1</v>
      </c>
      <c r="T96" s="50" t="str">
        <f t="shared" si="23"/>
        <v>NorthBound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12:55:39-700',mode:absolute,to:'2016-11-19 15:37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6" s="52" t="str">
        <f t="shared" si="25"/>
        <v>N</v>
      </c>
      <c r="X96" s="177">
        <f t="shared" si="26"/>
        <v>1</v>
      </c>
      <c r="Y96" s="67">
        <f t="shared" si="27"/>
        <v>4.8000000000000001E-2</v>
      </c>
      <c r="Z96" s="67">
        <f t="shared" si="28"/>
        <v>23.3307</v>
      </c>
      <c r="AA96" s="67">
        <f t="shared" si="29"/>
        <v>23.282700000000002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30"/>
        <v>0183-19</v>
      </c>
      <c r="AE96" s="91" t="str">
        <f t="shared" si="31"/>
        <v>aws s3 cp s3://rtdc.mdm.uploadarchive.raw/RTDC4040/ "%USERPROFILE%\AppData\Local\Temp\OnboardLogs"\RTDC4040\2016-11-19 --exclude "*" --recursive --include "*20161119*" &amp; "%USERPROFILE%\Documents\GitHub\mrs-test-scripts\Headless Mode &amp; Sideloading\WalkAndUnGZ.bat" "%USERPROFILE%\AppData\Local\Temp\OnboardLogs"\RTDC4040\2016-11-19 &amp; 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</v>
      </c>
      <c r="AF96" s="88" t="str">
        <f t="shared" si="32"/>
        <v>"C:\Program Files (x86)\AstroGrep\AstroGrep.exe" /spath="%USERPROFILE%\AppData\Local\Temp\OnboardLogs" /stypes="app*4040*20161119*" /stext=" 21:.+((SYSTEM_STATE.+slice.+state.+changed )|(ment ac)|(system.+state.+changed )|(\[timeout)|(PRM\|1\|D)|(kpr)|(kdp)|(\|lc)|(penalty))" /e /r /s</v>
      </c>
      <c r="AG96" s="1" t="str">
        <f t="shared" si="33"/>
        <v>EC</v>
      </c>
      <c r="AH96" s="92" t="str">
        <f t="shared" si="34"/>
        <v>"%USERPROFILE%\Documents\GitHub\eaglep3\Utilities\RefineRTDCRunTimes.py" --tripid 183-19 --locoid 4040 --swversion DE.1.0.8.0 --startMP 204:480 --initTime 2016-11-19T13:55:39 --startdatetime 2016-11-19T14:00:17 --delay 1 --endMP 204:233307 --enddatetime 2016-11-19T14:37:14 --enforcementcount 0 &gt;&gt;C:\Users\stu\Documents\GitHub\eaglep3-reporting\EC\2016-11-19-refined-times.txt</v>
      </c>
      <c r="AI96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{"issue":{"subject":"","project_id":79,"tracker_id":40,"status_id":1,"priority_id":2,"assigned_to_id":23,"start_date":"2016-11-19","description":"","custom_fields":[{"id":1,"name":"Subdivision","value":"EC"},{"id":4,"name":"Milepost","value":"23.3307"},{"id":17,"name":"Train ID","value":"183-19"},{"id":16,"name":"Locomotive ID","value":"4040"},{"id":130,"name":"Impact","value":""},{"id":150,"name":"Time of Event (Mountain Time)","value":"14:37:14"},{"id":151,"name":"Denver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570</v>
      </c>
      <c r="B97" s="7">
        <v>4039</v>
      </c>
      <c r="C97" s="22" t="s">
        <v>218</v>
      </c>
      <c r="D97" s="22" t="s">
        <v>412</v>
      </c>
      <c r="E97" s="13">
        <v>42693.61824074074</v>
      </c>
      <c r="F97" s="13">
        <v>42693.622395833336</v>
      </c>
      <c r="G97" s="7">
        <v>1</v>
      </c>
      <c r="H97" s="22" t="s">
        <v>230</v>
      </c>
      <c r="I97" s="13">
        <v>42693.65084490741</v>
      </c>
      <c r="J97" s="7">
        <v>0</v>
      </c>
      <c r="K97" s="109" t="str">
        <f t="shared" si="19"/>
        <v>4039/4040</v>
      </c>
      <c r="L97" s="22" t="str">
        <f>VLOOKUP(A97,'Trips&amp;Operators'!$C$1:$E$10000,3,FALSE)</f>
        <v>CLARK</v>
      </c>
      <c r="M97" s="6">
        <f t="shared" si="20"/>
        <v>2.8449074074160308E-2</v>
      </c>
      <c r="N97" s="7">
        <f t="shared" si="21"/>
        <v>40.966666666790843</v>
      </c>
      <c r="O97" s="7"/>
      <c r="P97" s="7"/>
      <c r="Q97" s="23"/>
      <c r="R97" s="23"/>
      <c r="S97" s="35">
        <f t="shared" si="22"/>
        <v>1</v>
      </c>
      <c r="T97" s="50" t="str">
        <f t="shared" si="23"/>
        <v>Southbound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13:50:16-700',mode:absolute,to:'2016-11-19 16:37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7" s="52" t="str">
        <f t="shared" si="25"/>
        <v>N</v>
      </c>
      <c r="X97" s="177">
        <f t="shared" si="26"/>
        <v>1</v>
      </c>
      <c r="Y97" s="67">
        <f t="shared" si="27"/>
        <v>23.299199999999999</v>
      </c>
      <c r="Z97" s="67">
        <f t="shared" si="28"/>
        <v>1.6E-2</v>
      </c>
      <c r="AA97" s="67">
        <f t="shared" si="29"/>
        <v>23.283200000000001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30"/>
        <v>0184-19</v>
      </c>
      <c r="AE97" s="91" t="str">
        <f t="shared" si="31"/>
        <v>aws s3 cp s3://rtdc.mdm.uploadarchive.raw/RTDC4039/ "%USERPROFILE%\AppData\Local\Temp\OnboardLogs"\RTDC4039\2016-11-19 --exclude "*" --recursive --include "*20161119*" &amp; "%USERPROFILE%\Documents\GitHub\mrs-test-scripts\Headless Mode &amp; Sideloading\WalkAndUnGZ.bat" "%USERPROFILE%\AppData\Local\Temp\OnboardLogs"\RTDC4039\2016-11-19 &amp; 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</v>
      </c>
      <c r="AF97" s="88" t="str">
        <f t="shared" si="32"/>
        <v>"C:\Program Files (x86)\AstroGrep\AstroGrep.exe" /spath="%USERPROFILE%\AppData\Local\Temp\OnboardLogs" /stypes="app*4039*20161119*" /stext=" 22:.+((SYSTEM_STATE.+slice.+state.+changed )|(ment ac)|(system.+state.+changed )|(\[timeout)|(PRM\|1\|D)|(kpr)|(kdp)|(\|lc)|(penalty))" /e /r /s</v>
      </c>
      <c r="AG97" s="1" t="str">
        <f t="shared" si="33"/>
        <v>EC</v>
      </c>
      <c r="AH97" s="92" t="str">
        <f t="shared" si="34"/>
        <v>"%USERPROFILE%\Documents\GitHub\eaglep3\Utilities\RefineRTDCRunTimes.py" --tripid 184-19 --locoid 4039 --swversion DE.1.0.8.0 --startMP 204:232992 --initTime 2016-11-19T14:50:16 --startdatetime 2016-11-19T14:56:15 --delay 1 --endMP 204:160 --enddatetime 2016-11-19T15:37:13 --enforcementcount 0 &gt;&gt;C:\Users\stu\Documents\GitHub\eaglep3-reporting\EC\2016-11-19-refined-times.txt</v>
      </c>
      <c r="AI97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{"issue":{"subject":"","project_id":79,"tracker_id":40,"status_id":1,"priority_id":2,"assigned_to_id":23,"start_date":"2016-11-19","description":"","custom_fields":[{"id":1,"name":"Subdivision","value":"EC"},{"id":4,"name":"Milepost","value":"0.016"},{"id":17,"name":"Train ID","value":"184-19"},{"id":16,"name":"Locomotive ID","value":"4039"},{"id":130,"name":"Impact","value":""},{"id":150,"name":"Time of Event (Mountain Time)","value":"15:37:13"},{"id":151,"name":"Denver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564</v>
      </c>
      <c r="B98" s="7">
        <v>4014</v>
      </c>
      <c r="C98" s="22" t="s">
        <v>218</v>
      </c>
      <c r="D98" s="22" t="s">
        <v>269</v>
      </c>
      <c r="E98" s="13">
        <v>42693.589895833335</v>
      </c>
      <c r="F98" s="13">
        <v>42693.594155092593</v>
      </c>
      <c r="G98" s="7">
        <v>1</v>
      </c>
      <c r="H98" s="22" t="s">
        <v>727</v>
      </c>
      <c r="I98" s="13">
        <v>42693.618530092594</v>
      </c>
      <c r="J98" s="7">
        <v>0</v>
      </c>
      <c r="K98" s="109" t="str">
        <f t="shared" si="19"/>
        <v>4013/4014</v>
      </c>
      <c r="L98" s="22" t="str">
        <f>VLOOKUP(A98,'Trips&amp;Operators'!$C$1:$E$10000,3,FALSE)</f>
        <v>STORY</v>
      </c>
      <c r="M98" s="6">
        <f t="shared" si="20"/>
        <v>2.4375000000873115E-2</v>
      </c>
      <c r="N98" s="7">
        <f t="shared" si="21"/>
        <v>35.100000001257285</v>
      </c>
      <c r="O98" s="7"/>
      <c r="P98" s="7"/>
      <c r="Q98" s="23"/>
      <c r="R98" s="23"/>
      <c r="S98" s="35">
        <f t="shared" si="22"/>
        <v>1</v>
      </c>
      <c r="T98" s="50" t="str">
        <f t="shared" si="23"/>
        <v>NorthBound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13:09:27-700',mode:absolute,to:'2016-11-19 15:50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98" s="52" t="str">
        <f t="shared" si="25"/>
        <v>N</v>
      </c>
      <c r="X98" s="177">
        <f t="shared" si="26"/>
        <v>1</v>
      </c>
      <c r="Y98" s="67">
        <f t="shared" si="27"/>
        <v>4.4900000000000002E-2</v>
      </c>
      <c r="Z98" s="67">
        <f t="shared" si="28"/>
        <v>23.333100000000002</v>
      </c>
      <c r="AA98" s="67">
        <f t="shared" si="29"/>
        <v>23.288200000000003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30"/>
        <v>0185-19</v>
      </c>
      <c r="AE98" s="91" t="str">
        <f t="shared" si="31"/>
        <v>aws s3 cp s3://rtdc.mdm.uploadarchive.raw/RTDC4014/ "%USERPROFILE%\AppData\Local\Temp\OnboardLogs"\RTDC4014\2016-11-19 --exclude "*" --recursive --include "*20161119*" &amp; "%USERPROFILE%\Documents\GitHub\mrs-test-scripts\Headless Mode &amp; Sideloading\WalkAndUnGZ.bat" "%USERPROFILE%\AppData\Local\Temp\OnboardLogs"\RTDC4014\2016-11-19 &amp; aws s3 cp s3://rtdc.mdm.uploadarchive.raw/RTDC4014/ "%USERPROFILE%\AppData\Local\Temp\OnboardLogs"\RTDC4014\2016-11-20 --exclude "*" --recursive --include "*20161120*" &amp; "%USERPROFILE%\Documents\GitHub\mrs-test-scripts\Headless Mode &amp; Sideloading\WalkAndUnGZ.bat" "%USERPROFILE%\AppData\Local\Temp\OnboardLogs"\RTDC4014\2016-11-20</v>
      </c>
      <c r="AF98" s="88" t="str">
        <f t="shared" si="32"/>
        <v>"C:\Program Files (x86)\AstroGrep\AstroGrep.exe" /spath="%USERPROFILE%\AppData\Local\Temp\OnboardLogs" /stypes="app*4014*20161119*" /stext=" 21:.+((SYSTEM_STATE.+slice.+state.+changed )|(ment ac)|(system.+state.+changed )|(\[timeout)|(PRM\|1\|D)|(kpr)|(kdp)|(\|lc)|(penalty))" /e /r /s</v>
      </c>
      <c r="AG98" s="1" t="str">
        <f t="shared" si="33"/>
        <v>EC</v>
      </c>
      <c r="AH98" s="92" t="str">
        <f t="shared" si="34"/>
        <v>"%USERPROFILE%\Documents\GitHub\eaglep3\Utilities\RefineRTDCRunTimes.py" --tripid 185-19 --locoid 4014 --swversion DE.1.0.8.0 --startMP 204:449 --initTime 2016-11-19T14:09:27 --startdatetime 2016-11-19T14:15:35 --delay 1 --endMP 204:233331 --enddatetime 2016-11-19T14:50:41 --enforcementcount 0 &gt;&gt;C:\Users\stu\Documents\GitHub\eaglep3-reporting\EC\2016-11-19-refined-times.txt</v>
      </c>
      <c r="AI98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{"issue":{"subject":"","project_id":79,"tracker_id":40,"status_id":1,"priority_id":2,"assigned_to_id":23,"start_date":"2016-11-19","description":"","custom_fields":[{"id":1,"name":"Subdivision","value":"EC"},{"id":4,"name":"Milepost","value":"23.3331"},{"id":17,"name":"Train ID","value":"185-19"},{"id":16,"name":"Locomotive ID","value":"4014"},{"id":130,"name":"Impact","value":""},{"id":150,"name":"Time of Event (Mountain Time)","value":"14:50:41"},{"id":151,"name":"Denver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7" t="s">
        <v>572</v>
      </c>
      <c r="B99" s="7">
        <v>4013</v>
      </c>
      <c r="C99" s="22" t="s">
        <v>218</v>
      </c>
      <c r="D99" s="22" t="s">
        <v>336</v>
      </c>
      <c r="E99" s="13">
        <v>42693.629930555559</v>
      </c>
      <c r="F99" s="13">
        <v>42693.632916666669</v>
      </c>
      <c r="G99" s="7">
        <v>1</v>
      </c>
      <c r="H99" s="22" t="s">
        <v>289</v>
      </c>
      <c r="I99" s="13">
        <v>42693.659432870372</v>
      </c>
      <c r="J99" s="7">
        <v>0</v>
      </c>
      <c r="K99" s="109" t="str">
        <f t="shared" si="19"/>
        <v>4013/4014</v>
      </c>
      <c r="L99" s="22" t="str">
        <f>VLOOKUP(A99,'Trips&amp;Operators'!$C$1:$E$10000,3,FALSE)</f>
        <v>STORY</v>
      </c>
      <c r="M99" s="6">
        <f t="shared" si="20"/>
        <v>2.6516203703067731E-2</v>
      </c>
      <c r="N99" s="7">
        <f t="shared" si="21"/>
        <v>38.183333332417533</v>
      </c>
      <c r="O99" s="7"/>
      <c r="P99" s="7"/>
      <c r="Q99" s="23"/>
      <c r="R99" s="23"/>
      <c r="S99" s="35">
        <f t="shared" si="22"/>
        <v>1</v>
      </c>
      <c r="T99" s="50" t="str">
        <f t="shared" si="23"/>
        <v>Southbound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14:07:06-700',mode:absolute,to:'2016-11-19 16:49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99" s="52" t="str">
        <f t="shared" si="25"/>
        <v>N</v>
      </c>
      <c r="X99" s="177">
        <f t="shared" si="26"/>
        <v>1</v>
      </c>
      <c r="Y99" s="67">
        <f t="shared" si="27"/>
        <v>23.301500000000001</v>
      </c>
      <c r="Z99" s="67">
        <f t="shared" si="28"/>
        <v>1.32E-2</v>
      </c>
      <c r="AA99" s="67">
        <f t="shared" si="29"/>
        <v>23.2883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30"/>
        <v>0186-19</v>
      </c>
      <c r="AE99" s="91" t="str">
        <f t="shared" si="31"/>
        <v>aws s3 cp s3://rtdc.mdm.uploadarchive.raw/RTDC4013/ "%USERPROFILE%\AppData\Local\Temp\OnboardLogs"\RTDC4013\2016-11-19 --exclude "*" --recursive --include "*20161119*" &amp; "%USERPROFILE%\Documents\GitHub\mrs-test-scripts\Headless Mode &amp; Sideloading\WalkAndUnGZ.bat" "%USERPROFILE%\AppData\Local\Temp\OnboardLogs"\RTDC4013\2016-11-19 &amp; aws s3 cp s3://rtdc.mdm.uploadarchive.raw/RTDC4013/ "%USERPROFILE%\AppData\Local\Temp\OnboardLogs"\RTDC4013\2016-11-20 --exclude "*" --recursive --include "*20161120*" &amp; "%USERPROFILE%\Documents\GitHub\mrs-test-scripts\Headless Mode &amp; Sideloading\WalkAndUnGZ.bat" "%USERPROFILE%\AppData\Local\Temp\OnboardLogs"\RTDC4013\2016-11-20</v>
      </c>
      <c r="AF99" s="88" t="str">
        <f t="shared" si="32"/>
        <v>"C:\Program Files (x86)\AstroGrep\AstroGrep.exe" /spath="%USERPROFILE%\AppData\Local\Temp\OnboardLogs" /stypes="app*4013*20161119*" /stext=" 22:.+((SYSTEM_STATE.+slice.+state.+changed )|(ment ac)|(system.+state.+changed )|(\[timeout)|(PRM\|1\|D)|(kpr)|(kdp)|(\|lc)|(penalty))" /e /r /s</v>
      </c>
      <c r="AG99" s="1" t="str">
        <f t="shared" si="33"/>
        <v>EC</v>
      </c>
      <c r="AH99" s="92" t="str">
        <f t="shared" si="34"/>
        <v>"%USERPROFILE%\Documents\GitHub\eaglep3\Utilities\RefineRTDCRunTimes.py" --tripid 186-19 --locoid 4013 --swversion DE.1.0.8.0 --startMP 204:233015 --initTime 2016-11-19T15:07:06 --startdatetime 2016-11-19T15:11:24 --delay 1 --endMP 204:132 --enddatetime 2016-11-19T15:49:35 --enforcementcount 0 &gt;&gt;C:\Users\stu\Documents\GitHub\eaglep3-reporting\EC\2016-11-19-refined-times.txt</v>
      </c>
      <c r="AI99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{"issue":{"subject":"","project_id":79,"tracker_id":40,"status_id":1,"priority_id":2,"assigned_to_id":23,"start_date":"2016-11-19","description":"","custom_fields":[{"id":1,"name":"Subdivision","value":"EC"},{"id":4,"name":"Milepost","value":"0.0132"},{"id":17,"name":"Train ID","value":"186-19"},{"id":16,"name":"Locomotive ID","value":"4013"},{"id":130,"name":"Impact","value":""},{"id":150,"name":"Time of Event (Mountain Time)","value":"15:49:35"},{"id":151,"name":"Denver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x14ac:dyDescent="0.25">
      <c r="A100" s="37" t="s">
        <v>566</v>
      </c>
      <c r="B100" s="7">
        <v>4003</v>
      </c>
      <c r="C100" s="22" t="s">
        <v>218</v>
      </c>
      <c r="D100" s="22" t="s">
        <v>686</v>
      </c>
      <c r="E100" s="13">
        <v>42693.599918981483</v>
      </c>
      <c r="F100" s="13">
        <v>42693.604432870372</v>
      </c>
      <c r="G100" s="7">
        <v>1</v>
      </c>
      <c r="H100" s="22" t="s">
        <v>728</v>
      </c>
      <c r="I100" s="13">
        <v>42693.629270833335</v>
      </c>
      <c r="J100" s="7">
        <v>0</v>
      </c>
      <c r="K100" s="109" t="str">
        <f t="shared" si="19"/>
        <v>4003/4004</v>
      </c>
      <c r="L100" s="22" t="str">
        <f>VLOOKUP(A100,'Trips&amp;Operators'!$C$1:$E$10000,3,FALSE)</f>
        <v>STEWART</v>
      </c>
      <c r="M100" s="6">
        <f t="shared" si="20"/>
        <v>2.4837962962919846E-2</v>
      </c>
      <c r="N100" s="7">
        <f t="shared" si="21"/>
        <v>35.766666666604578</v>
      </c>
      <c r="O100" s="7"/>
      <c r="P100" s="7"/>
      <c r="Q100" s="23"/>
      <c r="R100" s="23"/>
      <c r="S100" s="35">
        <f t="shared" si="22"/>
        <v>1</v>
      </c>
      <c r="T100" s="50" t="str">
        <f t="shared" si="23"/>
        <v>NorthBound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13:23:53-700',mode:absolute,to:'2016-11-19 16:06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00" s="52" t="str">
        <f t="shared" si="25"/>
        <v>N</v>
      </c>
      <c r="X100" s="177">
        <f t="shared" si="26"/>
        <v>1</v>
      </c>
      <c r="Y100" s="67">
        <f t="shared" si="27"/>
        <v>4.7100000000000003E-2</v>
      </c>
      <c r="Z100" s="67">
        <f t="shared" si="28"/>
        <v>23.327999999999999</v>
      </c>
      <c r="AA100" s="67">
        <f t="shared" si="29"/>
        <v>23.280899999999999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30"/>
        <v>0187-19</v>
      </c>
      <c r="AE100" s="91" t="str">
        <f t="shared" si="31"/>
        <v>aws s3 cp s3://rtdc.mdm.uploadarchive.raw/RTDC4003/ "%USERPROFILE%\AppData\Local\Temp\OnboardLogs"\RTDC4003\2016-11-19 --exclude "*" --recursive --include "*20161119*" &amp; "%USERPROFILE%\Documents\GitHub\mrs-test-scripts\Headless Mode &amp; Sideloading\WalkAndUnGZ.bat" "%USERPROFILE%\AppData\Local\Temp\OnboardLogs"\RTDC4003\2016-11-19 &amp; aws s3 cp s3://rtdc.mdm.uploadarchive.raw/RTDC4003/ "%USERPROFILE%\AppData\Local\Temp\OnboardLogs"\RTDC4003\2016-11-20 --exclude "*" --recursive --include "*20161120*" &amp; "%USERPROFILE%\Documents\GitHub\mrs-test-scripts\Headless Mode &amp; Sideloading\WalkAndUnGZ.bat" "%USERPROFILE%\AppData\Local\Temp\OnboardLogs"\RTDC4003\2016-11-20</v>
      </c>
      <c r="AF100" s="88" t="str">
        <f t="shared" si="32"/>
        <v>"C:\Program Files (x86)\AstroGrep\AstroGrep.exe" /spath="%USERPROFILE%\AppData\Local\Temp\OnboardLogs" /stypes="app*4003*20161119*" /stext=" 22:.+((SYSTEM_STATE.+slice.+state.+changed )|(ment ac)|(system.+state.+changed )|(\[timeout)|(PRM\|1\|D)|(kpr)|(kdp)|(\|lc)|(penalty))" /e /r /s</v>
      </c>
      <c r="AG100" s="1" t="str">
        <f t="shared" si="33"/>
        <v>EC</v>
      </c>
      <c r="AH100" s="92" t="str">
        <f t="shared" si="34"/>
        <v>"%USERPROFILE%\Documents\GitHub\eaglep3\Utilities\RefineRTDCRunTimes.py" --tripid 187-19 --locoid 4003 --swversion DE.1.0.8.0 --startMP 204:471 --initTime 2016-11-19T14:23:53 --startdatetime 2016-11-19T14:30:23 --delay 1 --endMP 204:233280 --enddatetime 2016-11-19T15:06:09 --enforcementcount 0 &gt;&gt;C:\Users\stu\Documents\GitHub\eaglep3-reporting\EC\2016-11-19-refined-times.txt</v>
      </c>
      <c r="AI100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{"issue":{"subject":"","project_id":79,"tracker_id":40,"status_id":1,"priority_id":2,"assigned_to_id":23,"start_date":"2016-11-19","description":"","custom_fields":[{"id":1,"name":"Subdivision","value":"EC"},{"id":4,"name":"Milepost","value":"23.328"},{"id":17,"name":"Train ID","value":"187-19"},{"id":16,"name":"Locomotive ID","value":"4003"},{"id":130,"name":"Impact","value":""},{"id":150,"name":"Time of Event (Mountain Time)","value":"15:06:09"},{"id":151,"name":"Denver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x14ac:dyDescent="0.25">
      <c r="A101" s="37" t="s">
        <v>575</v>
      </c>
      <c r="B101" s="7">
        <v>4004</v>
      </c>
      <c r="C101" s="22" t="s">
        <v>218</v>
      </c>
      <c r="D101" s="22" t="s">
        <v>210</v>
      </c>
      <c r="E101" s="13">
        <v>42693.640381944446</v>
      </c>
      <c r="F101" s="13">
        <v>42693.643310185187</v>
      </c>
      <c r="G101" s="7">
        <v>3</v>
      </c>
      <c r="H101" s="22" t="s">
        <v>222</v>
      </c>
      <c r="I101" s="13">
        <v>42693.671273148146</v>
      </c>
      <c r="J101" s="7">
        <v>0</v>
      </c>
      <c r="K101" s="109" t="str">
        <f t="shared" si="19"/>
        <v>4003/4004</v>
      </c>
      <c r="L101" s="22" t="str">
        <f>VLOOKUP(A101,'Trips&amp;Operators'!$C$1:$E$10000,3,FALSE)</f>
        <v>STEWART</v>
      </c>
      <c r="M101" s="6">
        <f t="shared" si="20"/>
        <v>2.7962962958554272E-2</v>
      </c>
      <c r="N101" s="7">
        <f t="shared" si="21"/>
        <v>40.266666660318151</v>
      </c>
      <c r="O101" s="7"/>
      <c r="P101" s="7"/>
      <c r="Q101" s="23"/>
      <c r="R101" s="23"/>
      <c r="S101" s="35">
        <f t="shared" si="22"/>
        <v>1</v>
      </c>
      <c r="T101" s="50" t="str">
        <f t="shared" si="23"/>
        <v>Southbound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14:22:09-700',mode:absolute,to:'2016-11-19 17:06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01" s="52" t="str">
        <f t="shared" si="25"/>
        <v>N</v>
      </c>
      <c r="X101" s="177">
        <f t="shared" si="26"/>
        <v>1</v>
      </c>
      <c r="Y101" s="67">
        <f t="shared" si="27"/>
        <v>23.297699999999999</v>
      </c>
      <c r="Z101" s="67">
        <f t="shared" si="28"/>
        <v>1.5800000000000002E-2</v>
      </c>
      <c r="AA101" s="67">
        <f t="shared" si="29"/>
        <v>23.2819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30"/>
        <v>0188-19</v>
      </c>
      <c r="AE101" s="91" t="str">
        <f t="shared" si="31"/>
        <v>aws s3 cp s3://rtdc.mdm.uploadarchive.raw/RTDC4004/ "%USERPROFILE%\AppData\Local\Temp\OnboardLogs"\RTDC4004\2016-11-19 --exclude "*" --recursive --include "*20161119*" &amp; "%USERPROFILE%\Documents\GitHub\mrs-test-scripts\Headless Mode &amp; Sideloading\WalkAndUnGZ.bat" "%USERPROFILE%\AppData\Local\Temp\OnboardLogs"\RTDC4004\2016-11-19 &amp; 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</v>
      </c>
      <c r="AF101" s="88" t="str">
        <f t="shared" si="32"/>
        <v>"C:\Program Files (x86)\AstroGrep\AstroGrep.exe" /spath="%USERPROFILE%\AppData\Local\Temp\OnboardLogs" /stypes="app*4004*20161119*" /stext=" 23:.+((SYSTEM_STATE.+slice.+state.+changed )|(ment ac)|(system.+state.+changed )|(\[timeout)|(PRM\|1\|D)|(kpr)|(kdp)|(\|lc)|(penalty))" /e /r /s</v>
      </c>
      <c r="AG101" s="1" t="str">
        <f t="shared" si="33"/>
        <v>EC</v>
      </c>
      <c r="AH101" s="92" t="str">
        <f t="shared" si="34"/>
        <v>"%USERPROFILE%\Documents\GitHub\eaglep3\Utilities\RefineRTDCRunTimes.py" --tripid 188-19 --locoid 4004 --swversion DE.1.0.8.0 --startMP 204:232977 --initTime 2016-11-19T15:22:09 --startdatetime 2016-11-19T15:26:22 --delay 3 --endMP 204:158 --enddatetime 2016-11-19T16:06:38 --enforcementcount 0 &gt;&gt;C:\Users\stu\Documents\GitHub\eaglep3-reporting\EC\2016-11-19-refined-times.txt</v>
      </c>
      <c r="AI101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{"issue":{"subject":"","project_id":79,"tracker_id":40,"status_id":1,"priority_id":2,"assigned_to_id":23,"start_date":"2016-11-19","description":"","custom_fields":[{"id":1,"name":"Subdivision","value":"EC"},{"id":4,"name":"Milepost","value":"0.0158"},{"id":17,"name":"Train ID","value":"188-19"},{"id":16,"name":"Locomotive ID","value":"4004"},{"id":130,"name":"Impact","value":""},{"id":150,"name":"Time of Event (Mountain Time)","value":"16:06:38"},{"id":151,"name":"Denver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s="21" customFormat="1" x14ac:dyDescent="0.25">
      <c r="A102" s="37" t="s">
        <v>569</v>
      </c>
      <c r="B102" s="7">
        <v>4011</v>
      </c>
      <c r="C102" s="22" t="s">
        <v>218</v>
      </c>
      <c r="D102" s="22" t="s">
        <v>215</v>
      </c>
      <c r="E102" s="13">
        <v>42693.612060185187</v>
      </c>
      <c r="F102" s="13">
        <v>42693.614768518521</v>
      </c>
      <c r="G102" s="7">
        <v>1</v>
      </c>
      <c r="H102" s="22" t="s">
        <v>225</v>
      </c>
      <c r="I102" s="13">
        <v>42693.639872685184</v>
      </c>
      <c r="J102" s="7">
        <v>0</v>
      </c>
      <c r="K102" s="109" t="str">
        <f t="shared" si="19"/>
        <v>4011/4012</v>
      </c>
      <c r="L102" s="22" t="str">
        <f>VLOOKUP(A102,'Trips&amp;Operators'!$C$1:$E$10000,3,FALSE)</f>
        <v>BARTLETT</v>
      </c>
      <c r="M102" s="6">
        <f t="shared" si="20"/>
        <v>2.5104166663368233E-2</v>
      </c>
      <c r="N102" s="7">
        <f t="shared" si="21"/>
        <v>36.149999995250255</v>
      </c>
      <c r="O102" s="7"/>
      <c r="P102" s="7"/>
      <c r="Q102" s="23"/>
      <c r="R102" s="23"/>
      <c r="S102" s="35">
        <f t="shared" si="22"/>
        <v>1</v>
      </c>
      <c r="T102" s="50" t="str">
        <f t="shared" si="23"/>
        <v>NorthBound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13:41:22-700',mode:absolute,to:'2016-11-19 16:21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2" s="52" t="str">
        <f t="shared" si="25"/>
        <v>N</v>
      </c>
      <c r="X102" s="177">
        <f t="shared" si="26"/>
        <v>1</v>
      </c>
      <c r="Y102" s="67">
        <f t="shared" si="27"/>
        <v>4.6199999999999998E-2</v>
      </c>
      <c r="Z102" s="67">
        <f t="shared" si="28"/>
        <v>23.331199999999999</v>
      </c>
      <c r="AA102" s="67">
        <f t="shared" si="29"/>
        <v>23.285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30"/>
        <v>0189-19</v>
      </c>
      <c r="AE102" s="91" t="str">
        <f t="shared" si="31"/>
        <v>aws s3 cp s3://rtdc.mdm.uploadarchive.raw/RTDC4011/ "%USERPROFILE%\AppData\Local\Temp\OnboardLogs"\RTDC4011\2016-11-19 --exclude "*" --recursive --include "*20161119*" &amp; "%USERPROFILE%\Documents\GitHub\mrs-test-scripts\Headless Mode &amp; Sideloading\WalkAndUnGZ.bat" "%USERPROFILE%\AppData\Local\Temp\OnboardLogs"\RTDC4011\2016-11-19 &amp; 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</v>
      </c>
      <c r="AF102" s="88" t="str">
        <f t="shared" si="32"/>
        <v>"C:\Program Files (x86)\AstroGrep\AstroGrep.exe" /spath="%USERPROFILE%\AppData\Local\Temp\OnboardLogs" /stypes="app*4011*20161119*" /stext=" 22:.+((SYSTEM_STATE.+slice.+state.+changed )|(ment ac)|(system.+state.+changed )|(\[timeout)|(PRM\|1\|D)|(kpr)|(kdp)|(\|lc)|(penalty))" /e /r /s</v>
      </c>
      <c r="AG102" s="1" t="str">
        <f t="shared" si="33"/>
        <v>EC</v>
      </c>
      <c r="AH102" s="92" t="str">
        <f t="shared" si="34"/>
        <v>"%USERPROFILE%\Documents\GitHub\eaglep3\Utilities\RefineRTDCRunTimes.py" --tripid 189-19 --locoid 4011 --swversion DE.1.0.8.0 --startMP 204:462 --initTime 2016-11-19T14:41:22 --startdatetime 2016-11-19T14:45:16 --delay 1 --endMP 204:233312 --enddatetime 2016-11-19T15:21:25 --enforcementcount 0 &gt;&gt;C:\Users\stu\Documents\GitHub\eaglep3-reporting\EC\2016-11-19-refined-times.txt</v>
      </c>
      <c r="AI102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{"issue":{"subject":"","project_id":79,"tracker_id":40,"status_id":1,"priority_id":2,"assigned_to_id":23,"start_date":"2016-11-19","description":"","custom_fields":[{"id":1,"name":"Subdivision","value":"EC"},{"id":4,"name":"Milepost","value":"23.3312"},{"id":17,"name":"Train ID","value":"189-19"},{"id":16,"name":"Locomotive ID","value":"4011"},{"id":130,"name":"Impact","value":""},{"id":150,"name":"Time of Event (Mountain Time)","value":"15:21:25"},{"id":151,"name":"Denver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576</v>
      </c>
      <c r="B103" s="7">
        <v>4012</v>
      </c>
      <c r="C103" s="22" t="s">
        <v>218</v>
      </c>
      <c r="D103" s="22" t="s">
        <v>729</v>
      </c>
      <c r="E103" s="13">
        <v>42693.641793981478</v>
      </c>
      <c r="F103" s="13">
        <v>42693.653854166667</v>
      </c>
      <c r="G103" s="7">
        <v>1</v>
      </c>
      <c r="H103" s="22" t="s">
        <v>212</v>
      </c>
      <c r="I103" s="13">
        <v>42693.680046296293</v>
      </c>
      <c r="J103" s="7">
        <v>0</v>
      </c>
      <c r="K103" s="109" t="str">
        <f t="shared" si="19"/>
        <v>4011/4012</v>
      </c>
      <c r="L103" s="22" t="str">
        <f>VLOOKUP(A103,'Trips&amp;Operators'!$C$1:$E$10000,3,FALSE)</f>
        <v>BARTLETT</v>
      </c>
      <c r="M103" s="6">
        <f t="shared" si="20"/>
        <v>2.619212962599704E-2</v>
      </c>
      <c r="N103" s="7">
        <f t="shared" si="21"/>
        <v>37.716666661435738</v>
      </c>
      <c r="O103" s="7"/>
      <c r="P103" s="7"/>
      <c r="Q103" s="23"/>
      <c r="R103" s="23"/>
      <c r="S103" s="35">
        <f t="shared" si="22"/>
        <v>1</v>
      </c>
      <c r="T103" s="50" t="str">
        <f t="shared" si="23"/>
        <v>Southbound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14:24:11-700',mode:absolute,to:'2016-11-19 17:19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3" s="52" t="str">
        <f t="shared" si="25"/>
        <v>N</v>
      </c>
      <c r="X103" s="177">
        <f t="shared" si="26"/>
        <v>1</v>
      </c>
      <c r="Y103" s="67">
        <f t="shared" si="27"/>
        <v>23.3002</v>
      </c>
      <c r="Z103" s="67">
        <f t="shared" si="28"/>
        <v>1.5599999999999999E-2</v>
      </c>
      <c r="AA103" s="67">
        <f t="shared" si="29"/>
        <v>23.284600000000001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30"/>
        <v>0190-19</v>
      </c>
      <c r="AE103" s="91" t="str">
        <f t="shared" si="31"/>
        <v>aws s3 cp s3://rtdc.mdm.uploadarchive.raw/RTDC4012/ "%USERPROFILE%\AppData\Local\Temp\OnboardLogs"\RTDC4012\2016-11-19 --exclude "*" --recursive --include "*20161119*" &amp; "%USERPROFILE%\Documents\GitHub\mrs-test-scripts\Headless Mode &amp; Sideloading\WalkAndUnGZ.bat" "%USERPROFILE%\AppData\Local\Temp\OnboardLogs"\RTDC4012\2016-11-19 &amp; 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</v>
      </c>
      <c r="AF103" s="88" t="str">
        <f t="shared" si="32"/>
        <v>"C:\Program Files (x86)\AstroGrep\AstroGrep.exe" /spath="%USERPROFILE%\AppData\Local\Temp\OnboardLogs" /stypes="app*4012*20161119*" /stext=" 23:.+((SYSTEM_STATE.+slice.+state.+changed )|(ment ac)|(system.+state.+changed )|(\[timeout)|(PRM\|1\|D)|(kpr)|(kdp)|(\|lc)|(penalty))" /e /r /s</v>
      </c>
      <c r="AG103" s="1" t="str">
        <f t="shared" si="33"/>
        <v>EC</v>
      </c>
      <c r="AH103" s="92" t="str">
        <f t="shared" si="34"/>
        <v>"%USERPROFILE%\Documents\GitHub\eaglep3\Utilities\RefineRTDCRunTimes.py" --tripid 190-19 --locoid 4012 --swversion DE.1.0.8.0 --startMP 204:233002 --initTime 2016-11-19T15:24:11 --startdatetime 2016-11-19T15:41:33 --delay 1 --endMP 204:156 --enddatetime 2016-11-19T16:19:16 --enforcementcount 0 &gt;&gt;C:\Users\stu\Documents\GitHub\eaglep3-reporting\EC\2016-11-19-refined-times.txt</v>
      </c>
      <c r="AI103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{"issue":{"subject":"","project_id":79,"tracker_id":40,"status_id":1,"priority_id":2,"assigned_to_id":23,"start_date":"2016-11-19","description":"","custom_fields":[{"id":1,"name":"Subdivision","value":"EC"},{"id":4,"name":"Milepost","value":"0.0156"},{"id":17,"name":"Train ID","value":"190-19"},{"id":16,"name":"Locomotive ID","value":"4012"},{"id":130,"name":"Impact","value":""},{"id":150,"name":"Time of Event (Mountain Time)","value":"16:19:16"},{"id":151,"name":"Denver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571</v>
      </c>
      <c r="B104" s="7">
        <v>4046</v>
      </c>
      <c r="C104" s="22" t="s">
        <v>218</v>
      </c>
      <c r="D104" s="22" t="s">
        <v>290</v>
      </c>
      <c r="E104" s="13">
        <v>42693.623333333337</v>
      </c>
      <c r="F104" s="13">
        <v>42693.625428240739</v>
      </c>
      <c r="G104" s="7">
        <v>1</v>
      </c>
      <c r="H104" s="22" t="s">
        <v>335</v>
      </c>
      <c r="I104" s="13">
        <v>42693.650335648148</v>
      </c>
      <c r="J104" s="7">
        <v>0</v>
      </c>
      <c r="K104" s="109" t="str">
        <f t="shared" si="19"/>
        <v>4045/4046</v>
      </c>
      <c r="L104" s="22" t="str">
        <f>VLOOKUP(A104,'Trips&amp;Operators'!$C$1:$E$10000,3,FALSE)</f>
        <v>MOSES</v>
      </c>
      <c r="M104" s="6">
        <f t="shared" si="20"/>
        <v>2.4907407409045845E-2</v>
      </c>
      <c r="N104" s="7">
        <f t="shared" si="21"/>
        <v>35.866666669026017</v>
      </c>
      <c r="O104" s="7"/>
      <c r="P104" s="7"/>
      <c r="Q104" s="23"/>
      <c r="R104" s="23"/>
      <c r="S104" s="35">
        <f t="shared" si="22"/>
        <v>1</v>
      </c>
      <c r="T104" s="50" t="str">
        <f t="shared" si="23"/>
        <v>NorthBound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13:57:36-700',mode:absolute,to:'2016-11-19 16:36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4" s="52" t="str">
        <f t="shared" si="25"/>
        <v>N</v>
      </c>
      <c r="X104" s="177">
        <f t="shared" si="26"/>
        <v>1</v>
      </c>
      <c r="Y104" s="67">
        <f t="shared" si="27"/>
        <v>4.3999999999999997E-2</v>
      </c>
      <c r="Z104" s="67">
        <f t="shared" si="28"/>
        <v>23.331399999999999</v>
      </c>
      <c r="AA104" s="67">
        <f t="shared" si="29"/>
        <v>23.287399999999998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30"/>
        <v>0191-19</v>
      </c>
      <c r="AE104" s="91" t="str">
        <f t="shared" si="31"/>
        <v>aws s3 cp s3://rtdc.mdm.uploadarchive.raw/RTDC4046/ "%USERPROFILE%\AppData\Local\Temp\OnboardLogs"\RTDC4046\2016-11-19 --exclude "*" --recursive --include "*20161119*" &amp; "%USERPROFILE%\Documents\GitHub\mrs-test-scripts\Headless Mode &amp; Sideloading\WalkAndUnGZ.bat" "%USERPROFILE%\AppData\Local\Temp\OnboardLogs"\RTDC4046\2016-11-19 &amp; aws s3 cp s3://rtdc.mdm.uploadarchive.raw/RTDC4046/ "%USERPROFILE%\AppData\Local\Temp\OnboardLogs"\RTDC4046\2016-11-20 --exclude "*" --recursive --include "*20161120*" &amp; "%USERPROFILE%\Documents\GitHub\mrs-test-scripts\Headless Mode &amp; Sideloading\WalkAndUnGZ.bat" "%USERPROFILE%\AppData\Local\Temp\OnboardLogs"\RTDC4046\2016-11-20</v>
      </c>
      <c r="AF104" s="88" t="str">
        <f t="shared" si="32"/>
        <v>"C:\Program Files (x86)\AstroGrep\AstroGrep.exe" /spath="%USERPROFILE%\AppData\Local\Temp\OnboardLogs" /stypes="app*4046*20161119*" /stext=" 22:.+((SYSTEM_STATE.+slice.+state.+changed )|(ment ac)|(system.+state.+changed )|(\[timeout)|(PRM\|1\|D)|(kpr)|(kdp)|(\|lc)|(penalty))" /e /r /s</v>
      </c>
      <c r="AG104" s="1" t="str">
        <f t="shared" si="33"/>
        <v>EC</v>
      </c>
      <c r="AH104" s="92" t="str">
        <f t="shared" si="34"/>
        <v>"%USERPROFILE%\Documents\GitHub\eaglep3\Utilities\RefineRTDCRunTimes.py" --tripid 191-19 --locoid 4046 --swversion DE.1.0.8.0 --startMP 204:440 --initTime 2016-11-19T14:57:36 --startdatetime 2016-11-19T15:00:37 --delay 1 --endMP 204:233314 --enddatetime 2016-11-19T15:36:29 --enforcementcount 0 &gt;&gt;C:\Users\stu\Documents\GitHub\eaglep3-reporting\EC\2016-11-19-refined-times.txt</v>
      </c>
      <c r="AI104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{"issue":{"subject":"","project_id":79,"tracker_id":40,"status_id":1,"priority_id":2,"assigned_to_id":23,"start_date":"2016-11-19","description":"","custom_fields":[{"id":1,"name":"Subdivision","value":"EC"},{"id":4,"name":"Milepost","value":"23.3314"},{"id":17,"name":"Train ID","value":"191-19"},{"id":16,"name":"Locomotive ID","value":"4046"},{"id":130,"name":"Impact","value":""},{"id":150,"name":"Time of Event (Mountain Time)","value":"15:36:29"},{"id":151,"name":"Denver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579</v>
      </c>
      <c r="B105" s="7">
        <v>4045</v>
      </c>
      <c r="C105" s="22" t="s">
        <v>218</v>
      </c>
      <c r="D105" s="22" t="s">
        <v>419</v>
      </c>
      <c r="E105" s="13">
        <v>42693.659120370372</v>
      </c>
      <c r="F105" s="13">
        <v>42693.6640625</v>
      </c>
      <c r="G105" s="7">
        <v>2</v>
      </c>
      <c r="H105" s="22" t="s">
        <v>196</v>
      </c>
      <c r="I105" s="13">
        <v>42693.691655092596</v>
      </c>
      <c r="J105" s="7">
        <v>0</v>
      </c>
      <c r="K105" s="109" t="str">
        <f t="shared" si="19"/>
        <v>4045/4046</v>
      </c>
      <c r="L105" s="22" t="str">
        <f>VLOOKUP(A105,'Trips&amp;Operators'!$C$1:$E$10000,3,FALSE)</f>
        <v>MOSES</v>
      </c>
      <c r="M105" s="6">
        <f t="shared" si="20"/>
        <v>2.7592592596192844E-2</v>
      </c>
      <c r="N105" s="7">
        <f t="shared" si="21"/>
        <v>39.733333338517696</v>
      </c>
      <c r="O105" s="7"/>
      <c r="P105" s="7"/>
      <c r="Q105" s="23"/>
      <c r="R105" s="23"/>
      <c r="S105" s="35">
        <f t="shared" si="22"/>
        <v>1</v>
      </c>
      <c r="T105" s="50" t="str">
        <f t="shared" si="23"/>
        <v>Southbound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14:49:08-700',mode:absolute,to:'2016-11-19 17:35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5" s="52" t="str">
        <f t="shared" si="25"/>
        <v>N</v>
      </c>
      <c r="X105" s="177">
        <f t="shared" si="26"/>
        <v>1</v>
      </c>
      <c r="Y105" s="67">
        <f t="shared" si="27"/>
        <v>23.3001</v>
      </c>
      <c r="Z105" s="67">
        <f t="shared" si="28"/>
        <v>1.49E-2</v>
      </c>
      <c r="AA105" s="67">
        <f t="shared" si="29"/>
        <v>23.2852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30"/>
        <v>0192-19</v>
      </c>
      <c r="AE105" s="91" t="str">
        <f t="shared" si="31"/>
        <v>aws s3 cp s3://rtdc.mdm.uploadarchive.raw/RTDC4045/ "%USERPROFILE%\AppData\Local\Temp\OnboardLogs"\RTDC4045\2016-11-19 --exclude "*" --recursive --include "*20161119*" &amp; "%USERPROFILE%\Documents\GitHub\mrs-test-scripts\Headless Mode &amp; Sideloading\WalkAndUnGZ.bat" "%USERPROFILE%\AppData\Local\Temp\OnboardLogs"\RTDC4045\2016-11-19 &amp; aws s3 cp s3://rtdc.mdm.uploadarchive.raw/RTDC4045/ "%USERPROFILE%\AppData\Local\Temp\OnboardLogs"\RTDC4045\2016-11-20 --exclude "*" --recursive --include "*20161120*" &amp; "%USERPROFILE%\Documents\GitHub\mrs-test-scripts\Headless Mode &amp; Sideloading\WalkAndUnGZ.bat" "%USERPROFILE%\AppData\Local\Temp\OnboardLogs"\RTDC4045\2016-11-20</v>
      </c>
      <c r="AF105" s="88" t="str">
        <f t="shared" si="32"/>
        <v>"C:\Program Files (x86)\AstroGrep\AstroGrep.exe" /spath="%USERPROFILE%\AppData\Local\Temp\OnboardLogs" /stypes="app*4045*20161119*" /stext=" 23:.+((SYSTEM_STATE.+slice.+state.+changed )|(ment ac)|(system.+state.+changed )|(\[timeout)|(PRM\|1\|D)|(kpr)|(kdp)|(\|lc)|(penalty))" /e /r /s</v>
      </c>
      <c r="AG105" s="1" t="str">
        <f t="shared" si="33"/>
        <v>EC</v>
      </c>
      <c r="AH105" s="92" t="str">
        <f t="shared" si="34"/>
        <v>"%USERPROFILE%\Documents\GitHub\eaglep3\Utilities\RefineRTDCRunTimes.py" --tripid 192-19 --locoid 4045 --swversion DE.1.0.8.0 --startMP 204:233001 --initTime 2016-11-19T15:49:08 --startdatetime 2016-11-19T15:56:15 --delay 2 --endMP 204:149 --enddatetime 2016-11-19T16:35:59 --enforcementcount 0 &gt;&gt;C:\Users\stu\Documents\GitHub\eaglep3-reporting\EC\2016-11-19-refined-times.txt</v>
      </c>
      <c r="AI105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{"issue":{"subject":"","project_id":79,"tracker_id":40,"status_id":1,"priority_id":2,"assigned_to_id":23,"start_date":"2016-11-19","description":"","custom_fields":[{"id":1,"name":"Subdivision","value":"EC"},{"id":4,"name":"Milepost","value":"0.0149"},{"id":17,"name":"Train ID","value":"192-19"},{"id":16,"name":"Locomotive ID","value":"4045"},{"id":130,"name":"Impact","value":""},{"id":150,"name":"Time of Event (Mountain Time)","value":"16:35:59"},{"id":151,"name":"Denver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573</v>
      </c>
      <c r="B106" s="7">
        <v>4031</v>
      </c>
      <c r="C106" s="22" t="s">
        <v>218</v>
      </c>
      <c r="D106" s="22" t="s">
        <v>337</v>
      </c>
      <c r="E106" s="13">
        <v>42693.630462962959</v>
      </c>
      <c r="F106" s="13">
        <v>42693.635648148149</v>
      </c>
      <c r="G106" s="7">
        <v>1</v>
      </c>
      <c r="H106" s="22" t="s">
        <v>732</v>
      </c>
      <c r="I106" s="13">
        <v>42693.66170138889</v>
      </c>
      <c r="J106" s="7">
        <v>0</v>
      </c>
      <c r="K106" s="109" t="str">
        <f t="shared" si="19"/>
        <v>4031/4032</v>
      </c>
      <c r="L106" s="22" t="str">
        <f>VLOOKUP(A106,'Trips&amp;Operators'!$C$1:$E$10000,3,FALSE)</f>
        <v>SHOOK</v>
      </c>
      <c r="M106" s="6">
        <f t="shared" si="20"/>
        <v>2.6053240741021E-2</v>
      </c>
      <c r="N106" s="7">
        <f t="shared" si="21"/>
        <v>37.51666666707024</v>
      </c>
      <c r="O106" s="7"/>
      <c r="P106" s="7"/>
      <c r="Q106" s="23"/>
      <c r="R106" s="23"/>
      <c r="S106" s="35">
        <f t="shared" si="22"/>
        <v>1</v>
      </c>
      <c r="T106" s="50" t="str">
        <f t="shared" si="23"/>
        <v>NorthBound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14:07:52-700',mode:absolute,to:'2016-11-19 16:52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6" s="52" t="str">
        <f t="shared" si="25"/>
        <v>N</v>
      </c>
      <c r="X106" s="177">
        <f t="shared" si="26"/>
        <v>1</v>
      </c>
      <c r="Y106" s="67">
        <f t="shared" si="27"/>
        <v>4.5499999999999999E-2</v>
      </c>
      <c r="Z106" s="67">
        <f t="shared" si="28"/>
        <v>23.338699999999999</v>
      </c>
      <c r="AA106" s="67">
        <f t="shared" si="29"/>
        <v>23.293199999999999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30"/>
        <v>0193-19</v>
      </c>
      <c r="AE106" s="91" t="str">
        <f t="shared" si="31"/>
        <v>aws s3 cp s3://rtdc.mdm.uploadarchive.raw/RTDC4031/ "%USERPROFILE%\AppData\Local\Temp\OnboardLogs"\RTDC4031\2016-11-19 --exclude "*" --recursive --include "*20161119*" &amp; "%USERPROFILE%\Documents\GitHub\mrs-test-scripts\Headless Mode &amp; Sideloading\WalkAndUnGZ.bat" "%USERPROFILE%\AppData\Local\Temp\OnboardLogs"\RTDC4031\2016-11-19 &amp; aws s3 cp s3://rtdc.mdm.uploadarchive.raw/RTDC4031/ "%USERPROFILE%\AppData\Local\Temp\OnboardLogs"\RTDC4031\2016-11-20 --exclude "*" --recursive --include "*20161120*" &amp; "%USERPROFILE%\Documents\GitHub\mrs-test-scripts\Headless Mode &amp; Sideloading\WalkAndUnGZ.bat" "%USERPROFILE%\AppData\Local\Temp\OnboardLogs"\RTDC4031\2016-11-20</v>
      </c>
      <c r="AF106" s="88" t="str">
        <f t="shared" si="32"/>
        <v>"C:\Program Files (x86)\AstroGrep\AstroGrep.exe" /spath="%USERPROFILE%\AppData\Local\Temp\OnboardLogs" /stypes="app*4031*20161119*" /stext=" 22:.+((SYSTEM_STATE.+slice.+state.+changed )|(ment ac)|(system.+state.+changed )|(\[timeout)|(PRM\|1\|D)|(kpr)|(kdp)|(\|lc)|(penalty))" /e /r /s</v>
      </c>
      <c r="AG106" s="1" t="str">
        <f t="shared" si="33"/>
        <v>EC</v>
      </c>
      <c r="AH106" s="92" t="str">
        <f t="shared" si="34"/>
        <v>"%USERPROFILE%\Documents\GitHub\eaglep3\Utilities\RefineRTDCRunTimes.py" --tripid 193-19 --locoid 4031 --swversion DE.1.0.8.0 --startMP 204:455 --initTime 2016-11-19T15:07:52 --startdatetime 2016-11-19T15:15:20 --delay 1 --endMP 204:233387 --enddatetime 2016-11-19T15:52:51 --enforcementcount 0 &gt;&gt;C:\Users\stu\Documents\GitHub\eaglep3-reporting\EC\2016-11-19-refined-times.txt</v>
      </c>
      <c r="AI106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{"issue":{"subject":"","project_id":79,"tracker_id":40,"status_id":1,"priority_id":2,"assigned_to_id":23,"start_date":"2016-11-19","description":"","custom_fields":[{"id":1,"name":"Subdivision","value":"EC"},{"id":4,"name":"Milepost","value":"23.3387"},{"id":17,"name":"Train ID","value":"193-19"},{"id":16,"name":"Locomotive ID","value":"4031"},{"id":130,"name":"Impact","value":""},{"id":150,"name":"Time of Event (Mountain Time)","value":"15:52:51"},{"id":151,"name":"Denver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455</v>
      </c>
      <c r="B107" s="7">
        <v>4032</v>
      </c>
      <c r="C107" s="22" t="s">
        <v>218</v>
      </c>
      <c r="D107" s="22" t="s">
        <v>733</v>
      </c>
      <c r="E107" s="13">
        <v>42693.668263888889</v>
      </c>
      <c r="F107" s="13">
        <v>42693.674560185187</v>
      </c>
      <c r="G107" s="7">
        <v>1</v>
      </c>
      <c r="H107" s="22" t="s">
        <v>197</v>
      </c>
      <c r="I107" s="13">
        <v>42693.702916666669</v>
      </c>
      <c r="J107" s="7">
        <v>0</v>
      </c>
      <c r="K107" s="109" t="str">
        <f t="shared" si="19"/>
        <v>4031/4032</v>
      </c>
      <c r="L107" s="22" t="str">
        <f>VLOOKUP(A107,'Trips&amp;Operators'!$C$1:$E$10000,3,FALSE)</f>
        <v>SHOOK</v>
      </c>
      <c r="M107" s="6">
        <f t="shared" si="20"/>
        <v>2.8356481481750961E-2</v>
      </c>
      <c r="N107" s="7">
        <f t="shared" si="21"/>
        <v>40.833333333721384</v>
      </c>
      <c r="O107" s="7"/>
      <c r="P107" s="7"/>
      <c r="Q107" s="23"/>
      <c r="R107" s="23"/>
      <c r="S107" s="35">
        <f t="shared" si="22"/>
        <v>1</v>
      </c>
      <c r="T107" s="50" t="str">
        <f t="shared" si="23"/>
        <v>Southbound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15:02:18-700',mode:absolute,to:'2016-11-19 17:52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7" s="52" t="str">
        <f t="shared" si="25"/>
        <v>N</v>
      </c>
      <c r="X107" s="177">
        <f t="shared" si="26"/>
        <v>1</v>
      </c>
      <c r="Y107" s="67">
        <f t="shared" si="27"/>
        <v>23.303999999999998</v>
      </c>
      <c r="Z107" s="67">
        <f t="shared" si="28"/>
        <v>1.43E-2</v>
      </c>
      <c r="AA107" s="67">
        <f t="shared" si="29"/>
        <v>23.2897</v>
      </c>
      <c r="AB107" s="64" t="str">
        <f>VLOOKUP(A107,Enforcements!$C$7:$K$20,8,0)</f>
        <v>Signal based authority (5)</v>
      </c>
      <c r="AC107" s="60" t="str">
        <f>VLOOKUP(A107,Enforcements!$C$7:$E$20,3,0)</f>
        <v>SIGNAL</v>
      </c>
      <c r="AD107" s="61" t="str">
        <f t="shared" si="30"/>
        <v>0194-19</v>
      </c>
      <c r="AE107" s="91" t="str">
        <f t="shared" si="31"/>
        <v>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 &amp; 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</v>
      </c>
      <c r="AF107" s="88" t="str">
        <f t="shared" si="32"/>
        <v>"C:\Program Files (x86)\AstroGrep\AstroGrep.exe" /spath="%USERPROFILE%\AppData\Local\Temp\OnboardLogs" /stypes="app*4032*20161119*" /stext=" 23:.+((SYSTEM_STATE.+slice.+state.+changed )|(ment ac)|(system.+state.+changed )|(\[timeout)|(PRM\|1\|D)|(kpr)|(kdp)|(\|lc)|(penalty))" /e /r /s</v>
      </c>
      <c r="AG107" s="1" t="str">
        <f t="shared" si="33"/>
        <v>EC</v>
      </c>
      <c r="AH107" s="92" t="str">
        <f t="shared" si="34"/>
        <v>"%USERPROFILE%\Documents\GitHub\eaglep3\Utilities\RefineRTDCRunTimes.py" --tripid 194-19 --locoid 4032 --swversion DE.1.0.8.0 --startMP 204:233040 --initTime 2016-11-19T16:02:18 --startdatetime 2016-11-19T16:11:22 --delay 1 --endMP 204:143 --enddatetime 2016-11-19T16:52:12 --enforcementcount 0 &gt;&gt;C:\Users\stu\Documents\GitHub\eaglep3-reporting\EC\2016-11-19-refined-times.txt</v>
      </c>
      <c r="AI107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{"issue":{"subject":"","project_id":79,"tracker_id":40,"status_id":1,"priority_id":2,"assigned_to_id":23,"start_date":"2016-11-19","description":"","custom_fields":[{"id":1,"name":"Subdivision","value":"EC"},{"id":4,"name":"Milepost","value":"0.0143"},{"id":17,"name":"Train ID","value":"194-19"},{"id":16,"name":"Locomotive ID","value":"4032"},{"id":130,"name":"Impact","value":""},{"id":150,"name":"Time of Event (Mountain Time)","value":"16:52:12"},{"id":151,"name":"Denver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574</v>
      </c>
      <c r="B108" s="7">
        <v>4038</v>
      </c>
      <c r="C108" s="22" t="s">
        <v>218</v>
      </c>
      <c r="D108" s="22" t="s">
        <v>362</v>
      </c>
      <c r="E108" s="13">
        <v>42693.640428240738</v>
      </c>
      <c r="F108" s="13">
        <v>42693.646041666667</v>
      </c>
      <c r="G108" s="7">
        <v>1</v>
      </c>
      <c r="H108" s="22" t="s">
        <v>664</v>
      </c>
      <c r="I108" s="13">
        <v>42693.670127314814</v>
      </c>
      <c r="J108" s="7">
        <v>0</v>
      </c>
      <c r="K108" s="109" t="str">
        <f t="shared" si="19"/>
        <v>4037/4038</v>
      </c>
      <c r="L108" s="22" t="str">
        <f>VLOOKUP(A108,'Trips&amp;Operators'!$C$1:$E$10000,3,FALSE)</f>
        <v>BRUDER</v>
      </c>
      <c r="M108" s="6">
        <f t="shared" si="20"/>
        <v>2.4085648146865424E-2</v>
      </c>
      <c r="N108" s="7">
        <f t="shared" si="21"/>
        <v>34.68333333148621</v>
      </c>
      <c r="O108" s="7"/>
      <c r="P108" s="7"/>
      <c r="Q108" s="23"/>
      <c r="R108" s="23"/>
      <c r="S108" s="35">
        <f t="shared" si="22"/>
        <v>1</v>
      </c>
      <c r="T108" s="50" t="str">
        <f t="shared" si="23"/>
        <v>NorthBound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14:22:13-700',mode:absolute,to:'2016-11-19 17:04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08" s="52" t="str">
        <f t="shared" si="25"/>
        <v>N</v>
      </c>
      <c r="X108" s="177">
        <f t="shared" si="26"/>
        <v>1</v>
      </c>
      <c r="Y108" s="67">
        <f t="shared" si="27"/>
        <v>4.82E-2</v>
      </c>
      <c r="Z108" s="67">
        <f t="shared" si="28"/>
        <v>23.328600000000002</v>
      </c>
      <c r="AA108" s="67">
        <f t="shared" si="29"/>
        <v>23.2804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30"/>
        <v>0195-19</v>
      </c>
      <c r="AE108" s="91" t="str">
        <f t="shared" si="31"/>
        <v>aws s3 cp s3://rtdc.mdm.uploadarchive.raw/RTDC4038/ "%USERPROFILE%\AppData\Local\Temp\OnboardLogs"\RTDC4038\2016-11-19 --exclude "*" --recursive --include "*20161119*" &amp; "%USERPROFILE%\Documents\GitHub\mrs-test-scripts\Headless Mode &amp; Sideloading\WalkAndUnGZ.bat" "%USERPROFILE%\AppData\Local\Temp\OnboardLogs"\RTDC4038\2016-11-19 &amp; aws s3 cp s3://rtdc.mdm.uploadarchive.raw/RTDC4038/ "%USERPROFILE%\AppData\Local\Temp\OnboardLogs"\RTDC4038\2016-11-20 --exclude "*" --recursive --include "*20161120*" &amp; "%USERPROFILE%\Documents\GitHub\mrs-test-scripts\Headless Mode &amp; Sideloading\WalkAndUnGZ.bat" "%USERPROFILE%\AppData\Local\Temp\OnboardLogs"\RTDC4038\2016-11-20</v>
      </c>
      <c r="AF108" s="88" t="str">
        <f t="shared" si="32"/>
        <v>"C:\Program Files (x86)\AstroGrep\AstroGrep.exe" /spath="%USERPROFILE%\AppData\Local\Temp\OnboardLogs" /stypes="app*4038*20161119*" /stext=" 23:.+((SYSTEM_STATE.+slice.+state.+changed )|(ment ac)|(system.+state.+changed )|(\[timeout)|(PRM\|1\|D)|(kpr)|(kdp)|(\|lc)|(penalty))" /e /r /s</v>
      </c>
      <c r="AG108" s="1" t="str">
        <f t="shared" si="33"/>
        <v>EC</v>
      </c>
      <c r="AH108" s="92" t="str">
        <f t="shared" si="34"/>
        <v>"%USERPROFILE%\Documents\GitHub\eaglep3\Utilities\RefineRTDCRunTimes.py" --tripid 195-19 --locoid 4038 --swversion DE.1.0.8.0 --startMP 204:482 --initTime 2016-11-19T15:22:13 --startdatetime 2016-11-19T15:30:18 --delay 1 --endMP 204:233286 --enddatetime 2016-11-19T16:04:59 --enforcementcount 0 &gt;&gt;C:\Users\stu\Documents\GitHub\eaglep3-reporting\EC\2016-11-19-refined-times.txt</v>
      </c>
      <c r="AI108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{"issue":{"subject":"","project_id":79,"tracker_id":40,"status_id":1,"priority_id":2,"assigned_to_id":23,"start_date":"2016-11-19","description":"","custom_fields":[{"id":1,"name":"Subdivision","value":"EC"},{"id":4,"name":"Milepost","value":"23.3286"},{"id":17,"name":"Train ID","value":"195-19"},{"id":16,"name":"Locomotive ID","value":"4038"},{"id":130,"name":"Impact","value":""},{"id":150,"name":"Time of Event (Mountain Time)","value":"16:04:59"},{"id":151,"name":"Denver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7" t="s">
        <v>583</v>
      </c>
      <c r="B109" s="7">
        <v>4037</v>
      </c>
      <c r="C109" s="22" t="s">
        <v>218</v>
      </c>
      <c r="D109" s="22" t="s">
        <v>734</v>
      </c>
      <c r="E109" s="13">
        <v>42693.677835648145</v>
      </c>
      <c r="F109" s="13">
        <v>42693.684965277775</v>
      </c>
      <c r="G109" s="7">
        <v>1</v>
      </c>
      <c r="H109" s="22" t="s">
        <v>197</v>
      </c>
      <c r="I109" s="13">
        <v>42693.712418981479</v>
      </c>
      <c r="J109" s="7">
        <v>0</v>
      </c>
      <c r="K109" s="109" t="str">
        <f t="shared" si="19"/>
        <v>4037/4038</v>
      </c>
      <c r="L109" s="22" t="str">
        <f>VLOOKUP(A109,'Trips&amp;Operators'!$C$1:$E$10000,3,FALSE)</f>
        <v>BRUDER</v>
      </c>
      <c r="M109" s="6">
        <f t="shared" si="20"/>
        <v>2.7453703703940846E-2</v>
      </c>
      <c r="N109" s="7">
        <f t="shared" si="21"/>
        <v>39.533333333674818</v>
      </c>
      <c r="O109" s="7"/>
      <c r="P109" s="7"/>
      <c r="Q109" s="23"/>
      <c r="R109" s="23"/>
      <c r="S109" s="35">
        <f t="shared" si="22"/>
        <v>1</v>
      </c>
      <c r="T109" s="50" t="str">
        <f t="shared" si="23"/>
        <v>Southbound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15:16:05-700',mode:absolute,to:'2016-11-19 18:05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09" s="52" t="str">
        <f t="shared" si="25"/>
        <v>N</v>
      </c>
      <c r="X109" s="177">
        <f t="shared" si="26"/>
        <v>1</v>
      </c>
      <c r="Y109" s="67">
        <f t="shared" si="27"/>
        <v>23.295300000000001</v>
      </c>
      <c r="Z109" s="67">
        <f t="shared" si="28"/>
        <v>1.43E-2</v>
      </c>
      <c r="AA109" s="67">
        <f t="shared" si="29"/>
        <v>23.281000000000002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si="30"/>
        <v>0196-19</v>
      </c>
      <c r="AE109" s="91" t="str">
        <f t="shared" si="31"/>
        <v>aws s3 cp s3://rtdc.mdm.uploadarchive.raw/RTDC4037/ "%USERPROFILE%\AppData\Local\Temp\OnboardLogs"\RTDC4037\2016-11-19 --exclude "*" --recursive --include "*20161119*" &amp; "%USERPROFILE%\Documents\GitHub\mrs-test-scripts\Headless Mode &amp; Sideloading\WalkAndUnGZ.bat" "%USERPROFILE%\AppData\Local\Temp\OnboardLogs"\RTDC4037\2016-11-19 &amp; aws s3 cp s3://rtdc.mdm.uploadarchive.raw/RTDC4037/ "%USERPROFILE%\AppData\Local\Temp\OnboardLogs"\RTDC4037\2016-11-20 --exclude "*" --recursive --include "*20161120*" &amp; "%USERPROFILE%\Documents\GitHub\mrs-test-scripts\Headless Mode &amp; Sideloading\WalkAndUnGZ.bat" "%USERPROFILE%\AppData\Local\Temp\OnboardLogs"\RTDC4037\2016-11-20</v>
      </c>
      <c r="AF109" s="88" t="str">
        <f t="shared" si="32"/>
        <v>"C:\Program Files (x86)\AstroGrep\AstroGrep.exe" /spath="%USERPROFILE%\AppData\Local\Temp\OnboardLogs" /stypes="app*4037*20161120*" /stext=" 00:.+((SYSTEM_STATE.+slice.+state.+changed )|(ment ac)|(system.+state.+changed )|(\[timeout)|(PRM\|1\|D)|(kpr)|(kdp)|(\|lc)|(penalty))" /e /r /s</v>
      </c>
      <c r="AG109" s="1" t="str">
        <f t="shared" si="33"/>
        <v>EC</v>
      </c>
      <c r="AH109" s="92" t="str">
        <f t="shared" si="34"/>
        <v>"%USERPROFILE%\Documents\GitHub\eaglep3\Utilities\RefineRTDCRunTimes.py" --tripid 196-19 --locoid 4037 --swversion DE.1.0.8.0 --startMP 204:232953 --initTime 2016-11-19T16:16:05 --startdatetime 2016-11-19T16:26:21 --delay 1 --endMP 204:143 --enddatetime 2016-11-19T17:05:53 --enforcementcount 0 &gt;&gt;C:\Users\stu\Documents\GitHub\eaglep3-reporting\EC\2016-11-19-refined-times.txt</v>
      </c>
      <c r="AI109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{"issue":{"subject":"","project_id":79,"tracker_id":40,"status_id":1,"priority_id":2,"assigned_to_id":23,"start_date":"2016-11-19","description":"","custom_fields":[{"id":1,"name":"Subdivision","value":"EC"},{"id":4,"name":"Milepost","value":"0.0143"},{"id":17,"name":"Train ID","value":"196-19"},{"id":16,"name":"Locomotive ID","value":"4037"},{"id":130,"name":"Impact","value":""},{"id":150,"name":"Time of Event (Mountain Time)","value":"17:05:53"},{"id":151,"name":"Denver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s="21" customFormat="1" x14ac:dyDescent="0.25">
      <c r="A110" s="37" t="s">
        <v>578</v>
      </c>
      <c r="B110" s="7">
        <v>4040</v>
      </c>
      <c r="C110" s="22" t="s">
        <v>218</v>
      </c>
      <c r="D110" s="22" t="s">
        <v>410</v>
      </c>
      <c r="E110" s="13">
        <v>42693.652291666665</v>
      </c>
      <c r="F110" s="13">
        <v>42693.656493055554</v>
      </c>
      <c r="G110" s="7">
        <v>1</v>
      </c>
      <c r="H110" s="22" t="s">
        <v>661</v>
      </c>
      <c r="I110" s="13">
        <v>42693.682638888888</v>
      </c>
      <c r="J110" s="7">
        <v>0</v>
      </c>
      <c r="K110" s="109" t="str">
        <f t="shared" si="19"/>
        <v>4039/4040</v>
      </c>
      <c r="L110" s="22" t="str">
        <f>VLOOKUP(A110,'Trips&amp;Operators'!$C$1:$E$10000,3,FALSE)</f>
        <v>CLARK</v>
      </c>
      <c r="M110" s="6">
        <f t="shared" si="20"/>
        <v>2.6145833333430346E-2</v>
      </c>
      <c r="N110" s="7">
        <f t="shared" si="21"/>
        <v>37.650000000139698</v>
      </c>
      <c r="O110" s="7"/>
      <c r="P110" s="7"/>
      <c r="Q110" s="23"/>
      <c r="R110" s="23"/>
      <c r="S110" s="35">
        <f t="shared" si="22"/>
        <v>1</v>
      </c>
      <c r="T110" s="50" t="str">
        <f t="shared" si="23"/>
        <v>NorthBound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14:39:18-700',mode:absolute,to:'2016-11-19 17:23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0" s="52" t="str">
        <f t="shared" si="25"/>
        <v>N</v>
      </c>
      <c r="X110" s="177">
        <f t="shared" si="26"/>
        <v>1</v>
      </c>
      <c r="Y110" s="67">
        <f t="shared" si="27"/>
        <v>4.7800000000000002E-2</v>
      </c>
      <c r="Z110" s="67">
        <f t="shared" si="28"/>
        <v>23.329799999999999</v>
      </c>
      <c r="AA110" s="67">
        <f t="shared" si="29"/>
        <v>23.282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30"/>
        <v>0197-19</v>
      </c>
      <c r="AE110" s="91" t="str">
        <f t="shared" si="31"/>
        <v>aws s3 cp s3://rtdc.mdm.uploadarchive.raw/RTDC4040/ "%USERPROFILE%\AppData\Local\Temp\OnboardLogs"\RTDC4040\2016-11-19 --exclude "*" --recursive --include "*20161119*" &amp; "%USERPROFILE%\Documents\GitHub\mrs-test-scripts\Headless Mode &amp; Sideloading\WalkAndUnGZ.bat" "%USERPROFILE%\AppData\Local\Temp\OnboardLogs"\RTDC4040\2016-11-19 &amp; 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</v>
      </c>
      <c r="AF110" s="88" t="str">
        <f t="shared" si="32"/>
        <v>"C:\Program Files (x86)\AstroGrep\AstroGrep.exe" /spath="%USERPROFILE%\AppData\Local\Temp\OnboardLogs" /stypes="app*4040*20161119*" /stext=" 23:.+((SYSTEM_STATE.+slice.+state.+changed )|(ment ac)|(system.+state.+changed )|(\[timeout)|(PRM\|1\|D)|(kpr)|(kdp)|(\|lc)|(penalty))" /e /r /s</v>
      </c>
      <c r="AG110" s="1" t="str">
        <f t="shared" si="33"/>
        <v>EC</v>
      </c>
      <c r="AH110" s="92" t="str">
        <f t="shared" si="34"/>
        <v>"%USERPROFILE%\Documents\GitHub\eaglep3\Utilities\RefineRTDCRunTimes.py" --tripid 197-19 --locoid 4040 --swversion DE.1.0.8.0 --startMP 204:478 --initTime 2016-11-19T15:39:18 --startdatetime 2016-11-19T15:45:21 --delay 1 --endMP 204:233298 --enddatetime 2016-11-19T16:23:00 --enforcementcount 0 &gt;&gt;C:\Users\stu\Documents\GitHub\eaglep3-reporting\EC\2016-11-19-refined-times.txt</v>
      </c>
      <c r="AI110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{"issue":{"subject":"","project_id":79,"tracker_id":40,"status_id":1,"priority_id":2,"assigned_to_id":23,"start_date":"2016-11-19","description":"","custom_fields":[{"id":1,"name":"Subdivision","value":"EC"},{"id":4,"name":"Milepost","value":"23.3298"},{"id":17,"name":"Train ID","value":"197-19"},{"id":16,"name":"Locomotive ID","value":"4040"},{"id":130,"name":"Impact","value":""},{"id":150,"name":"Time of Event (Mountain Time)","value":"16:23:00"},{"id":151,"name":"Denver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585</v>
      </c>
      <c r="B111" s="7">
        <v>4039</v>
      </c>
      <c r="C111" s="22" t="s">
        <v>218</v>
      </c>
      <c r="D111" s="22" t="s">
        <v>210</v>
      </c>
      <c r="E111" s="13">
        <v>42693.690034722225</v>
      </c>
      <c r="F111" s="13">
        <v>42693.695335648146</v>
      </c>
      <c r="G111" s="7">
        <v>1</v>
      </c>
      <c r="H111" s="22" t="s">
        <v>735</v>
      </c>
      <c r="I111" s="13">
        <v>42693.723425925928</v>
      </c>
      <c r="J111" s="7">
        <v>0</v>
      </c>
      <c r="K111" s="109" t="str">
        <f t="shared" si="19"/>
        <v>4039/4040</v>
      </c>
      <c r="L111" s="22" t="str">
        <f>VLOOKUP(A111,'Trips&amp;Operators'!$C$1:$E$10000,3,FALSE)</f>
        <v>CLARK</v>
      </c>
      <c r="M111" s="6">
        <f t="shared" si="20"/>
        <v>2.8090277781302575E-2</v>
      </c>
      <c r="N111" s="7">
        <f t="shared" si="21"/>
        <v>40.450000005075708</v>
      </c>
      <c r="O111" s="7"/>
      <c r="P111" s="7"/>
      <c r="Q111" s="23"/>
      <c r="R111" s="23"/>
      <c r="S111" s="35">
        <f t="shared" si="22"/>
        <v>1</v>
      </c>
      <c r="T111" s="50" t="str">
        <f t="shared" si="23"/>
        <v>Southbound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15:33:39-700',mode:absolute,to:'2016-11-19 18:21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11" s="52" t="str">
        <f t="shared" si="25"/>
        <v>N</v>
      </c>
      <c r="X111" s="177">
        <f t="shared" si="26"/>
        <v>1</v>
      </c>
      <c r="Y111" s="67">
        <f t="shared" si="27"/>
        <v>23.297699999999999</v>
      </c>
      <c r="Z111" s="67">
        <f t="shared" si="28"/>
        <v>1.7399999999999999E-2</v>
      </c>
      <c r="AA111" s="67">
        <f t="shared" si="29"/>
        <v>23.2803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30"/>
        <v>0198-19</v>
      </c>
      <c r="AE111" s="91" t="str">
        <f t="shared" si="31"/>
        <v>aws s3 cp s3://rtdc.mdm.uploadarchive.raw/RTDC4039/ "%USERPROFILE%\AppData\Local\Temp\OnboardLogs"\RTDC4039\2016-11-19 --exclude "*" --recursive --include "*20161119*" &amp; "%USERPROFILE%\Documents\GitHub\mrs-test-scripts\Headless Mode &amp; Sideloading\WalkAndUnGZ.bat" "%USERPROFILE%\AppData\Local\Temp\OnboardLogs"\RTDC4039\2016-11-19 &amp; 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</v>
      </c>
      <c r="AF111" s="88" t="str">
        <f t="shared" si="32"/>
        <v>"C:\Program Files (x86)\AstroGrep\AstroGrep.exe" /spath="%USERPROFILE%\AppData\Local\Temp\OnboardLogs" /stypes="app*4039*20161120*" /stext=" 00:.+((SYSTEM_STATE.+slice.+state.+changed )|(ment ac)|(system.+state.+changed )|(\[timeout)|(PRM\|1\|D)|(kpr)|(kdp)|(\|lc)|(penalty))" /e /r /s</v>
      </c>
      <c r="AG111" s="1" t="str">
        <f t="shared" si="33"/>
        <v>EC</v>
      </c>
      <c r="AH111" s="92" t="str">
        <f t="shared" si="34"/>
        <v>"%USERPROFILE%\Documents\GitHub\eaglep3\Utilities\RefineRTDCRunTimes.py" --tripid 198-19 --locoid 4039 --swversion DE.1.0.8.0 --startMP 204:232977 --initTime 2016-11-19T16:33:39 --startdatetime 2016-11-19T16:41:17 --delay 1 --endMP 204:174 --enddatetime 2016-11-19T17:21:44 --enforcementcount 0 &gt;&gt;C:\Users\stu\Documents\GitHub\eaglep3-reporting\EC\2016-11-19-refined-times.txt</v>
      </c>
      <c r="AI111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{"issue":{"subject":"","project_id":79,"tracker_id":40,"status_id":1,"priority_id":2,"assigned_to_id":23,"start_date":"2016-11-19","description":"","custom_fields":[{"id":1,"name":"Subdivision","value":"EC"},{"id":4,"name":"Milepost","value":"0.0174"},{"id":17,"name":"Train ID","value":"198-19"},{"id":16,"name":"Locomotive ID","value":"4039"},{"id":130,"name":"Impact","value":""},{"id":150,"name":"Time of Event (Mountain Time)","value":"17:21:44"},{"id":151,"name":"Denver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580</v>
      </c>
      <c r="B112" s="7">
        <v>4014</v>
      </c>
      <c r="C112" s="22" t="s">
        <v>218</v>
      </c>
      <c r="D112" s="22" t="s">
        <v>330</v>
      </c>
      <c r="E112" s="13">
        <v>42693.660775462966</v>
      </c>
      <c r="F112" s="13">
        <v>42693.667118055557</v>
      </c>
      <c r="G112" s="7">
        <v>6</v>
      </c>
      <c r="H112" s="22" t="s">
        <v>335</v>
      </c>
      <c r="I112" s="13">
        <v>42693.692187499997</v>
      </c>
      <c r="J112" s="7">
        <v>0</v>
      </c>
      <c r="K112" s="109" t="str">
        <f t="shared" si="19"/>
        <v>4013/4014</v>
      </c>
      <c r="L112" s="22" t="str">
        <f>VLOOKUP(A112,'Trips&amp;Operators'!$C$1:$E$10000,3,FALSE)</f>
        <v>STORY</v>
      </c>
      <c r="M112" s="6">
        <f t="shared" si="20"/>
        <v>2.5069444440305233E-2</v>
      </c>
      <c r="N112" s="7">
        <f t="shared" si="21"/>
        <v>36.099999994039536</v>
      </c>
      <c r="O112" s="7"/>
      <c r="P112" s="7"/>
      <c r="Q112" s="23"/>
      <c r="R112" s="23"/>
      <c r="S112" s="35">
        <f t="shared" si="22"/>
        <v>1</v>
      </c>
      <c r="T112" s="50" t="str">
        <f t="shared" si="23"/>
        <v>NorthBound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14:51:31-700',mode:absolute,to:'2016-11-19 17:36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2" s="52" t="str">
        <f t="shared" si="25"/>
        <v>N</v>
      </c>
      <c r="X112" s="177">
        <f t="shared" si="26"/>
        <v>1</v>
      </c>
      <c r="Y112" s="67">
        <f t="shared" si="27"/>
        <v>4.3700000000000003E-2</v>
      </c>
      <c r="Z112" s="67">
        <f t="shared" si="28"/>
        <v>23.331399999999999</v>
      </c>
      <c r="AA112" s="67">
        <f t="shared" si="29"/>
        <v>23.287699999999997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 t="shared" si="30"/>
        <v>0199-19</v>
      </c>
      <c r="AE112" s="91" t="str">
        <f t="shared" si="31"/>
        <v>aws s3 cp s3://rtdc.mdm.uploadarchive.raw/RTDC4014/ "%USERPROFILE%\AppData\Local\Temp\OnboardLogs"\RTDC4014\2016-11-19 --exclude "*" --recursive --include "*20161119*" &amp; "%USERPROFILE%\Documents\GitHub\mrs-test-scripts\Headless Mode &amp; Sideloading\WalkAndUnGZ.bat" "%USERPROFILE%\AppData\Local\Temp\OnboardLogs"\RTDC4014\2016-11-19 &amp; aws s3 cp s3://rtdc.mdm.uploadarchive.raw/RTDC4014/ "%USERPROFILE%\AppData\Local\Temp\OnboardLogs"\RTDC4014\2016-11-20 --exclude "*" --recursive --include "*20161120*" &amp; "%USERPROFILE%\Documents\GitHub\mrs-test-scripts\Headless Mode &amp; Sideloading\WalkAndUnGZ.bat" "%USERPROFILE%\AppData\Local\Temp\OnboardLogs"\RTDC4014\2016-11-20</v>
      </c>
      <c r="AF112" s="88" t="str">
        <f t="shared" si="32"/>
        <v>"C:\Program Files (x86)\AstroGrep\AstroGrep.exe" /spath="%USERPROFILE%\AppData\Local\Temp\OnboardLogs" /stypes="app*4014*20161119*" /stext=" 23:.+((SYSTEM_STATE.+slice.+state.+changed )|(ment ac)|(system.+state.+changed )|(\[timeout)|(PRM\|1\|D)|(kpr)|(kdp)|(\|lc)|(penalty))" /e /r /s</v>
      </c>
      <c r="AG112" s="1" t="str">
        <f t="shared" si="33"/>
        <v>EC</v>
      </c>
      <c r="AH112" s="92" t="str">
        <f t="shared" si="34"/>
        <v>"%USERPROFILE%\Documents\GitHub\eaglep3\Utilities\RefineRTDCRunTimes.py" --tripid 199-19 --locoid 4014 --swversion DE.1.0.8.0 --startMP 204:437 --initTime 2016-11-19T15:51:31 --startdatetime 2016-11-19T16:00:39 --delay 6 --endMP 204:233314 --enddatetime 2016-11-19T16:36:45 --enforcementcount 0 &gt;&gt;C:\Users\stu\Documents\GitHub\eaglep3-reporting\EC\2016-11-19-refined-times.txt</v>
      </c>
      <c r="AI112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{"issue":{"subject":"","project_id":79,"tracker_id":40,"status_id":1,"priority_id":2,"assigned_to_id":23,"start_date":"2016-11-19","description":"","custom_fields":[{"id":1,"name":"Subdivision","value":"EC"},{"id":4,"name":"Milepost","value":"23.3314"},{"id":17,"name":"Train ID","value":"199-19"},{"id":16,"name":"Locomotive ID","value":"4014"},{"id":130,"name":"Impact","value":""},{"id":150,"name":"Time of Event (Mountain Time)","value":"16:36:45"},{"id":151,"name":"Denver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588</v>
      </c>
      <c r="B113" s="7">
        <v>4013</v>
      </c>
      <c r="C113" s="22" t="s">
        <v>218</v>
      </c>
      <c r="D113" s="22" t="s">
        <v>280</v>
      </c>
      <c r="E113" s="13">
        <v>42693.699618055558</v>
      </c>
      <c r="F113" s="13">
        <v>42693.70585648148</v>
      </c>
      <c r="G113" s="7">
        <v>1</v>
      </c>
      <c r="H113" s="22" t="s">
        <v>230</v>
      </c>
      <c r="I113" s="13">
        <v>42693.733530092592</v>
      </c>
      <c r="J113" s="7">
        <v>0</v>
      </c>
      <c r="K113" s="109" t="str">
        <f t="shared" si="19"/>
        <v>4013/4014</v>
      </c>
      <c r="L113" s="22" t="str">
        <f>VLOOKUP(A113,'Trips&amp;Operators'!$C$1:$E$10000,3,FALSE)</f>
        <v>STORY</v>
      </c>
      <c r="M113" s="6">
        <f t="shared" si="20"/>
        <v>2.7673611111822538E-2</v>
      </c>
      <c r="N113" s="7">
        <f t="shared" si="21"/>
        <v>39.850000001024455</v>
      </c>
      <c r="O113" s="7"/>
      <c r="P113" s="7"/>
      <c r="Q113" s="23"/>
      <c r="R113" s="23"/>
      <c r="S113" s="35">
        <f t="shared" si="22"/>
        <v>1</v>
      </c>
      <c r="T113" s="50" t="str">
        <f t="shared" si="23"/>
        <v>Southbound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15:47:27-700',mode:absolute,to:'2016-11-19 18:36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3" s="52" t="str">
        <f t="shared" si="25"/>
        <v>N</v>
      </c>
      <c r="X113" s="177">
        <f t="shared" si="26"/>
        <v>1</v>
      </c>
      <c r="Y113" s="67">
        <f t="shared" si="27"/>
        <v>23.3</v>
      </c>
      <c r="Z113" s="67">
        <f t="shared" si="28"/>
        <v>1.6E-2</v>
      </c>
      <c r="AA113" s="67">
        <f t="shared" si="29"/>
        <v>23.284000000000002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30"/>
        <v>0200-19</v>
      </c>
      <c r="AE113" s="91" t="str">
        <f t="shared" si="31"/>
        <v>aws s3 cp s3://rtdc.mdm.uploadarchive.raw/RTDC4013/ "%USERPROFILE%\AppData\Local\Temp\OnboardLogs"\RTDC4013\2016-11-19 --exclude "*" --recursive --include "*20161119*" &amp; "%USERPROFILE%\Documents\GitHub\mrs-test-scripts\Headless Mode &amp; Sideloading\WalkAndUnGZ.bat" "%USERPROFILE%\AppData\Local\Temp\OnboardLogs"\RTDC4013\2016-11-19 &amp; aws s3 cp s3://rtdc.mdm.uploadarchive.raw/RTDC4013/ "%USERPROFILE%\AppData\Local\Temp\OnboardLogs"\RTDC4013\2016-11-20 --exclude "*" --recursive --include "*20161120*" &amp; "%USERPROFILE%\Documents\GitHub\mrs-test-scripts\Headless Mode &amp; Sideloading\WalkAndUnGZ.bat" "%USERPROFILE%\AppData\Local\Temp\OnboardLogs"\RTDC4013\2016-11-20</v>
      </c>
      <c r="AF113" s="88" t="str">
        <f t="shared" si="32"/>
        <v>"C:\Program Files (x86)\AstroGrep\AstroGrep.exe" /spath="%USERPROFILE%\AppData\Local\Temp\OnboardLogs" /stypes="app*4013*20161120*" /stext=" 00:.+((SYSTEM_STATE.+slice.+state.+changed )|(ment ac)|(system.+state.+changed )|(\[timeout)|(PRM\|1\|D)|(kpr)|(kdp)|(\|lc)|(penalty))" /e /r /s</v>
      </c>
      <c r="AG113" s="1" t="str">
        <f t="shared" si="33"/>
        <v>EC</v>
      </c>
      <c r="AH113" s="92" t="str">
        <f t="shared" si="34"/>
        <v>"%USERPROFILE%\Documents\GitHub\eaglep3\Utilities\RefineRTDCRunTimes.py" --tripid 200-19 --locoid 4013 --swversion DE.1.0.8.0 --startMP 204:233000 --initTime 2016-11-19T16:47:27 --startdatetime 2016-11-19T16:56:26 --delay 1 --endMP 204:160 --enddatetime 2016-11-19T17:36:17 --enforcementcount 0 &gt;&gt;C:\Users\stu\Documents\GitHub\eaglep3-reporting\EC\2016-11-19-refined-times.txt</v>
      </c>
      <c r="AI113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{"issue":{"subject":"","project_id":79,"tracker_id":40,"status_id":1,"priority_id":2,"assigned_to_id":23,"start_date":"2016-11-19","description":"","custom_fields":[{"id":1,"name":"Subdivision","value":"EC"},{"id":4,"name":"Milepost","value":"0.016"},{"id":17,"name":"Train ID","value":"200-19"},{"id":16,"name":"Locomotive ID","value":"4013"},{"id":130,"name":"Impact","value":""},{"id":150,"name":"Time of Event (Mountain Time)","value":"17:36:17"},{"id":151,"name":"Denver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582</v>
      </c>
      <c r="B114" s="7">
        <v>4011</v>
      </c>
      <c r="C114" s="22" t="s">
        <v>218</v>
      </c>
      <c r="D114" s="22" t="s">
        <v>410</v>
      </c>
      <c r="E114" s="13">
        <v>42693.68341435185</v>
      </c>
      <c r="F114" s="13">
        <v>42693.685543981483</v>
      </c>
      <c r="G114" s="7">
        <v>2</v>
      </c>
      <c r="H114" s="22" t="s">
        <v>736</v>
      </c>
      <c r="I114" s="13">
        <v>42693.711192129631</v>
      </c>
      <c r="J114" s="7">
        <v>0</v>
      </c>
      <c r="K114" s="109" t="str">
        <f t="shared" si="19"/>
        <v>4011/4012</v>
      </c>
      <c r="L114" s="22" t="str">
        <f>VLOOKUP(A114,'Trips&amp;Operators'!$C$1:$E$10000,3,FALSE)</f>
        <v>STEWART</v>
      </c>
      <c r="M114" s="6">
        <f t="shared" si="20"/>
        <v>2.5648148148320615E-2</v>
      </c>
      <c r="N114" s="7">
        <f t="shared" si="21"/>
        <v>36.933333333581686</v>
      </c>
      <c r="O114" s="7"/>
      <c r="P114" s="7"/>
      <c r="Q114" s="23"/>
      <c r="R114" s="23"/>
      <c r="S114" s="35">
        <f t="shared" si="22"/>
        <v>1</v>
      </c>
      <c r="T114" s="50" t="str">
        <f t="shared" si="23"/>
        <v>NorthBound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15:24:07-700',mode:absolute,to:'2016-11-19 18:04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4" s="52" t="str">
        <f t="shared" si="25"/>
        <v>N</v>
      </c>
      <c r="X114" s="177">
        <f t="shared" si="26"/>
        <v>1</v>
      </c>
      <c r="Y114" s="67">
        <f t="shared" si="27"/>
        <v>4.7800000000000002E-2</v>
      </c>
      <c r="Z114" s="67">
        <f t="shared" si="28"/>
        <v>23.3291</v>
      </c>
      <c r="AA114" s="67">
        <f t="shared" si="29"/>
        <v>23.281300000000002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30"/>
        <v>0201-19</v>
      </c>
      <c r="AE114" s="91" t="str">
        <f t="shared" si="31"/>
        <v>aws s3 cp s3://rtdc.mdm.uploadarchive.raw/RTDC4011/ "%USERPROFILE%\AppData\Local\Temp\OnboardLogs"\RTDC4011\2016-11-19 --exclude "*" --recursive --include "*20161119*" &amp; "%USERPROFILE%\Documents\GitHub\mrs-test-scripts\Headless Mode &amp; Sideloading\WalkAndUnGZ.bat" "%USERPROFILE%\AppData\Local\Temp\OnboardLogs"\RTDC4011\2016-11-19 &amp; 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</v>
      </c>
      <c r="AF114" s="88" t="str">
        <f t="shared" si="32"/>
        <v>"C:\Program Files (x86)\AstroGrep\AstroGrep.exe" /spath="%USERPROFILE%\AppData\Local\Temp\OnboardLogs" /stypes="app*4011*20161120*" /stext=" 00:.+((SYSTEM_STATE.+slice.+state.+changed )|(ment ac)|(system.+state.+changed )|(\[timeout)|(PRM\|1\|D)|(kpr)|(kdp)|(\|lc)|(penalty))" /e /r /s</v>
      </c>
      <c r="AG114" s="1" t="str">
        <f t="shared" si="33"/>
        <v>EC</v>
      </c>
      <c r="AH114" s="92" t="str">
        <f t="shared" si="34"/>
        <v>"%USERPROFILE%\Documents\GitHub\eaglep3\Utilities\RefineRTDCRunTimes.py" --tripid 201-19 --locoid 4011 --swversion DE.1.0.8.0 --startMP 204:478 --initTime 2016-11-19T16:24:07 --startdatetime 2016-11-19T16:27:11 --delay 2 --endMP 204:233291 --enddatetime 2016-11-19T17:04:07 --enforcementcount 0 &gt;&gt;C:\Users\stu\Documents\GitHub\eaglep3-reporting\EC\2016-11-19-refined-times.txt</v>
      </c>
      <c r="AI114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{"issue":{"subject":"","project_id":79,"tracker_id":40,"status_id":1,"priority_id":2,"assigned_to_id":23,"start_date":"2016-11-19","description":"","custom_fields":[{"id":1,"name":"Subdivision","value":"EC"},{"id":4,"name":"Milepost","value":"23.3291"},{"id":17,"name":"Train ID","value":"201-19"},{"id":16,"name":"Locomotive ID","value":"4011"},{"id":130,"name":"Impact","value":""},{"id":150,"name":"Time of Event (Mountain Time)","value":"17:04:07"},{"id":151,"name":"Denver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593</v>
      </c>
      <c r="B115" s="7">
        <v>4012</v>
      </c>
      <c r="C115" s="22" t="s">
        <v>218</v>
      </c>
      <c r="D115" s="22" t="s">
        <v>361</v>
      </c>
      <c r="E115" s="13">
        <v>42693.714513888888</v>
      </c>
      <c r="F115" s="13">
        <v>42693.71638888889</v>
      </c>
      <c r="G115" s="7">
        <v>1</v>
      </c>
      <c r="H115" s="22" t="s">
        <v>230</v>
      </c>
      <c r="I115" s="13">
        <v>42693.744050925925</v>
      </c>
      <c r="J115" s="7">
        <v>0</v>
      </c>
      <c r="K115" s="109" t="str">
        <f t="shared" si="19"/>
        <v>4011/4012</v>
      </c>
      <c r="L115" s="22" t="str">
        <f>VLOOKUP(A115,'Trips&amp;Operators'!$C$1:$E$10000,3,FALSE)</f>
        <v>STEWART</v>
      </c>
      <c r="M115" s="6">
        <f t="shared" si="20"/>
        <v>2.7662037035042886E-2</v>
      </c>
      <c r="N115" s="7">
        <f t="shared" si="21"/>
        <v>39.833333330461755</v>
      </c>
      <c r="O115" s="7"/>
      <c r="P115" s="7"/>
      <c r="Q115" s="23"/>
      <c r="R115" s="23"/>
      <c r="S115" s="35">
        <f t="shared" si="22"/>
        <v>1</v>
      </c>
      <c r="T115" s="50" t="str">
        <f t="shared" si="23"/>
        <v>Southbound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16:08:54-700',mode:absolute,to:'2016-11-19 18:51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5" s="52" t="str">
        <f t="shared" si="25"/>
        <v>N</v>
      </c>
      <c r="X115" s="177">
        <f t="shared" si="26"/>
        <v>1</v>
      </c>
      <c r="Y115" s="67">
        <f t="shared" si="27"/>
        <v>23.298100000000002</v>
      </c>
      <c r="Z115" s="67">
        <f t="shared" si="28"/>
        <v>1.6E-2</v>
      </c>
      <c r="AA115" s="67">
        <f t="shared" si="29"/>
        <v>23.282100000000003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 t="shared" si="30"/>
        <v>0202-19</v>
      </c>
      <c r="AE115" s="91" t="str">
        <f t="shared" si="31"/>
        <v>aws s3 cp s3://rtdc.mdm.uploadarchive.raw/RTDC4012/ "%USERPROFILE%\AppData\Local\Temp\OnboardLogs"\RTDC4012\2016-11-19 --exclude "*" --recursive --include "*20161119*" &amp; "%USERPROFILE%\Documents\GitHub\mrs-test-scripts\Headless Mode &amp; Sideloading\WalkAndUnGZ.bat" "%USERPROFILE%\AppData\Local\Temp\OnboardLogs"\RTDC4012\2016-11-19 &amp; 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</v>
      </c>
      <c r="AF115" s="88" t="str">
        <f t="shared" si="32"/>
        <v>"C:\Program Files (x86)\AstroGrep\AstroGrep.exe" /spath="%USERPROFILE%\AppData\Local\Temp\OnboardLogs" /stypes="app*4012*20161120*" /stext=" 00:.+((SYSTEM_STATE.+slice.+state.+changed )|(ment ac)|(system.+state.+changed )|(\[timeout)|(PRM\|1\|D)|(kpr)|(kdp)|(\|lc)|(penalty))" /e /r /s</v>
      </c>
      <c r="AG115" s="1" t="str">
        <f t="shared" si="33"/>
        <v>EC</v>
      </c>
      <c r="AH115" s="92" t="str">
        <f t="shared" si="34"/>
        <v>"%USERPROFILE%\Documents\GitHub\eaglep3\Utilities\RefineRTDCRunTimes.py" --tripid 202-19 --locoid 4012 --swversion DE.1.0.8.0 --startMP 204:232981 --initTime 2016-11-19T17:08:54 --startdatetime 2016-11-19T17:11:36 --delay 1 --endMP 204:160 --enddatetime 2016-11-19T17:51:26 --enforcementcount 0 &gt;&gt;C:\Users\stu\Documents\GitHub\eaglep3-reporting\EC\2016-11-19-refined-times.txt</v>
      </c>
      <c r="AI115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{"issue":{"subject":"","project_id":79,"tracker_id":40,"status_id":1,"priority_id":2,"assigned_to_id":23,"start_date":"2016-11-19","description":"","custom_fields":[{"id":1,"name":"Subdivision","value":"EC"},{"id":4,"name":"Milepost","value":"0.016"},{"id":17,"name":"Train ID","value":"202-19"},{"id":16,"name":"Locomotive ID","value":"4012"},{"id":130,"name":"Impact","value":""},{"id":150,"name":"Time of Event (Mountain Time)","value":"17:51:26"},{"id":151,"name":"Denver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584</v>
      </c>
      <c r="B116" s="7">
        <v>4002</v>
      </c>
      <c r="C116" s="22" t="s">
        <v>218</v>
      </c>
      <c r="D116" s="22" t="s">
        <v>737</v>
      </c>
      <c r="E116" s="13">
        <v>42693.686041666668</v>
      </c>
      <c r="F116" s="13">
        <v>42693.691759259258</v>
      </c>
      <c r="G116" s="7">
        <v>1</v>
      </c>
      <c r="H116" s="22" t="s">
        <v>359</v>
      </c>
      <c r="I116" s="13">
        <v>42693.720127314817</v>
      </c>
      <c r="J116" s="7">
        <v>0</v>
      </c>
      <c r="K116" s="109" t="str">
        <f t="shared" si="19"/>
        <v>4001/4002</v>
      </c>
      <c r="L116" s="22" t="str">
        <f>VLOOKUP(A116,'Trips&amp;Operators'!$C$1:$E$10000,3,FALSE)</f>
        <v>BARTLETT</v>
      </c>
      <c r="M116" s="6">
        <f t="shared" si="20"/>
        <v>2.8368055558530614E-2</v>
      </c>
      <c r="N116" s="7">
        <f t="shared" si="21"/>
        <v>40.850000004284084</v>
      </c>
      <c r="O116" s="7"/>
      <c r="P116" s="7"/>
      <c r="Q116" s="23"/>
      <c r="R116" s="23"/>
      <c r="S116" s="35">
        <f t="shared" si="22"/>
        <v>1</v>
      </c>
      <c r="T116" s="50" t="str">
        <f t="shared" si="23"/>
        <v>NorthBound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15:27:54-700',mode:absolute,to:'2016-11-19 18:16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6" s="52" t="str">
        <f t="shared" si="25"/>
        <v>N</v>
      </c>
      <c r="X116" s="177">
        <f t="shared" si="26"/>
        <v>1</v>
      </c>
      <c r="Y116" s="67">
        <f t="shared" si="27"/>
        <v>0.1169</v>
      </c>
      <c r="Z116" s="67">
        <f t="shared" si="28"/>
        <v>23.331600000000002</v>
      </c>
      <c r="AA116" s="67">
        <f t="shared" si="29"/>
        <v>23.214700000000001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30"/>
        <v>0203-19</v>
      </c>
      <c r="AE116" s="91" t="str">
        <f t="shared" si="31"/>
        <v>aws s3 cp s3://rtdc.mdm.uploadarchive.raw/RTDC4002/ "%USERPROFILE%\AppData\Local\Temp\OnboardLogs"\RTDC4002\2016-11-19 --exclude "*" --recursive --include "*20161119*" &amp; "%USERPROFILE%\Documents\GitHub\mrs-test-scripts\Headless Mode &amp; Sideloading\WalkAndUnGZ.bat" "%USERPROFILE%\AppData\Local\Temp\OnboardLogs"\RTDC4002\2016-11-19 &amp; aws s3 cp s3://rtdc.mdm.uploadarchive.raw/RTDC4002/ "%USERPROFILE%\AppData\Local\Temp\OnboardLogs"\RTDC4002\2016-11-20 --exclude "*" --recursive --include "*20161120*" &amp; "%USERPROFILE%\Documents\GitHub\mrs-test-scripts\Headless Mode &amp; Sideloading\WalkAndUnGZ.bat" "%USERPROFILE%\AppData\Local\Temp\OnboardLogs"\RTDC4002\2016-11-20</v>
      </c>
      <c r="AF116" s="88" t="str">
        <f t="shared" si="32"/>
        <v>"C:\Program Files (x86)\AstroGrep\AstroGrep.exe" /spath="%USERPROFILE%\AppData\Local\Temp\OnboardLogs" /stypes="app*4002*20161120*" /stext=" 00:.+((SYSTEM_STATE.+slice.+state.+changed )|(ment ac)|(system.+state.+changed )|(\[timeout)|(PRM\|1\|D)|(kpr)|(kdp)|(\|lc)|(penalty))" /e /r /s</v>
      </c>
      <c r="AG116" s="1" t="str">
        <f t="shared" si="33"/>
        <v>EC</v>
      </c>
      <c r="AH116" s="92" t="str">
        <f t="shared" si="34"/>
        <v>"%USERPROFILE%\Documents\GitHub\eaglep3\Utilities\RefineRTDCRunTimes.py" --tripid 203-19 --locoid 4002 --swversion DE.1.0.8.0 --startMP 204:1169 --initTime 2016-11-19T16:27:54 --startdatetime 2016-11-19T16:36:08 --delay 1 --endMP 204:233316 --enddatetime 2016-11-19T17:16:59 --enforcementcount 0 &gt;&gt;C:\Users\stu\Documents\GitHub\eaglep3-reporting\EC\2016-11-19-refined-times.txt</v>
      </c>
      <c r="AI116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{"issue":{"subject":"","project_id":79,"tracker_id":40,"status_id":1,"priority_id":2,"assigned_to_id":23,"start_date":"2016-11-19","description":"","custom_fields":[{"id":1,"name":"Subdivision","value":"EC"},{"id":4,"name":"Milepost","value":"23.3316"},{"id":17,"name":"Train ID","value":"203-19"},{"id":16,"name":"Locomotive ID","value":"4002"},{"id":130,"name":"Impact","value":""},{"id":150,"name":"Time of Event (Mountain Time)","value":"17:16:59"},{"id":151,"name":"Denver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594</v>
      </c>
      <c r="B117" s="7">
        <v>4001</v>
      </c>
      <c r="C117" s="22" t="s">
        <v>218</v>
      </c>
      <c r="D117" s="22" t="s">
        <v>278</v>
      </c>
      <c r="E117" s="13">
        <v>42693.72179398148</v>
      </c>
      <c r="F117" s="13">
        <v>42693.7265625</v>
      </c>
      <c r="G117" s="7">
        <v>1</v>
      </c>
      <c r="H117" s="22" t="s">
        <v>230</v>
      </c>
      <c r="I117" s="13">
        <v>42693.752800925926</v>
      </c>
      <c r="J117" s="7">
        <v>0</v>
      </c>
      <c r="K117" s="109" t="str">
        <f t="shared" si="19"/>
        <v>4001/4002</v>
      </c>
      <c r="L117" s="22" t="str">
        <f>VLOOKUP(A117,'Trips&amp;Operators'!$C$1:$E$10000,3,FALSE)</f>
        <v>BARTLETT</v>
      </c>
      <c r="M117" s="6">
        <f t="shared" si="20"/>
        <v>2.6238425925839692E-2</v>
      </c>
      <c r="N117" s="7">
        <f t="shared" si="21"/>
        <v>37.783333333209157</v>
      </c>
      <c r="O117" s="7"/>
      <c r="P117" s="7"/>
      <c r="Q117" s="23"/>
      <c r="R117" s="23"/>
      <c r="S117" s="35">
        <f t="shared" si="22"/>
        <v>1</v>
      </c>
      <c r="T117" s="50" t="str">
        <f t="shared" si="23"/>
        <v>Southbound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16:19:23-700',mode:absolute,to:'2016-11-19 19:04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17" s="52" t="str">
        <f t="shared" si="25"/>
        <v>N</v>
      </c>
      <c r="X117" s="177">
        <f t="shared" si="26"/>
        <v>1</v>
      </c>
      <c r="Y117" s="67">
        <f t="shared" si="27"/>
        <v>23.297499999999999</v>
      </c>
      <c r="Z117" s="67">
        <f t="shared" si="28"/>
        <v>1.6E-2</v>
      </c>
      <c r="AA117" s="67">
        <f t="shared" si="29"/>
        <v>23.281500000000001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30"/>
        <v>0204-19</v>
      </c>
      <c r="AE117" s="91" t="str">
        <f t="shared" si="31"/>
        <v>aws s3 cp s3://rtdc.mdm.uploadarchive.raw/RTDC4001/ "%USERPROFILE%\AppData\Local\Temp\OnboardLogs"\RTDC4001\2016-11-19 --exclude "*" --recursive --include "*20161119*" &amp; "%USERPROFILE%\Documents\GitHub\mrs-test-scripts\Headless Mode &amp; Sideloading\WalkAndUnGZ.bat" "%USERPROFILE%\AppData\Local\Temp\OnboardLogs"\RTDC4001\2016-11-19 &amp; aws s3 cp s3://rtdc.mdm.uploadarchive.raw/RTDC4001/ "%USERPROFILE%\AppData\Local\Temp\OnboardLogs"\RTDC4001\2016-11-20 --exclude "*" --recursive --include "*20161120*" &amp; "%USERPROFILE%\Documents\GitHub\mrs-test-scripts\Headless Mode &amp; Sideloading\WalkAndUnGZ.bat" "%USERPROFILE%\AppData\Local\Temp\OnboardLogs"\RTDC4001\2016-11-20</v>
      </c>
      <c r="AF117" s="88" t="str">
        <f t="shared" si="32"/>
        <v>"C:\Program Files (x86)\AstroGrep\AstroGrep.exe" /spath="%USERPROFILE%\AppData\Local\Temp\OnboardLogs" /stypes="app*4001*20161120*" /stext=" 01:.+((SYSTEM_STATE.+slice.+state.+changed )|(ment ac)|(system.+state.+changed )|(\[timeout)|(PRM\|1\|D)|(kpr)|(kdp)|(\|lc)|(penalty))" /e /r /s</v>
      </c>
      <c r="AG117" s="1" t="str">
        <f t="shared" si="33"/>
        <v>EC</v>
      </c>
      <c r="AH117" s="92" t="str">
        <f t="shared" si="34"/>
        <v>"%USERPROFILE%\Documents\GitHub\eaglep3\Utilities\RefineRTDCRunTimes.py" --tripid 204-19 --locoid 4001 --swversion DE.1.0.8.0 --startMP 204:232975 --initTime 2016-11-19T17:19:23 --startdatetime 2016-11-19T17:26:15 --delay 1 --endMP 204:160 --enddatetime 2016-11-19T18:04:02 --enforcementcount 0 &gt;&gt;C:\Users\stu\Documents\GitHub\eaglep3-reporting\EC\2016-11-19-refined-times.txt</v>
      </c>
      <c r="AI117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{"issue":{"subject":"","project_id":79,"tracker_id":40,"status_id":1,"priority_id":2,"assigned_to_id":23,"start_date":"2016-11-19","description":"","custom_fields":[{"id":1,"name":"Subdivision","value":"EC"},{"id":4,"name":"Milepost","value":"0.016"},{"id":17,"name":"Train ID","value":"204-19"},{"id":16,"name":"Locomotive ID","value":"4001"},{"id":130,"name":"Impact","value":""},{"id":150,"name":"Time of Event (Mountain Time)","value":"18:04:02"},{"id":151,"name":"Denver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587</v>
      </c>
      <c r="B118" s="7">
        <v>4046</v>
      </c>
      <c r="C118" s="22" t="s">
        <v>218</v>
      </c>
      <c r="D118" s="22" t="s">
        <v>199</v>
      </c>
      <c r="E118" s="13">
        <v>42693.696400462963</v>
      </c>
      <c r="F118" s="13">
        <v>42693.69902777778</v>
      </c>
      <c r="G118" s="7">
        <v>1</v>
      </c>
      <c r="H118" s="22" t="s">
        <v>284</v>
      </c>
      <c r="I118" s="13">
        <v>42693.723900462966</v>
      </c>
      <c r="J118" s="7">
        <v>0</v>
      </c>
      <c r="K118" s="109" t="str">
        <f t="shared" si="19"/>
        <v>4045/4046</v>
      </c>
      <c r="L118" s="22" t="str">
        <f>VLOOKUP(A118,'Trips&amp;Operators'!$C$1:$E$10000,3,FALSE)</f>
        <v>MOSES</v>
      </c>
      <c r="M118" s="6">
        <f t="shared" si="20"/>
        <v>2.4872685185982846E-2</v>
      </c>
      <c r="N118" s="7">
        <f t="shared" si="21"/>
        <v>35.816666667815298</v>
      </c>
      <c r="O118" s="7"/>
      <c r="P118" s="7"/>
      <c r="Q118" s="23"/>
      <c r="R118" s="23"/>
      <c r="S118" s="35">
        <f t="shared" si="22"/>
        <v>1</v>
      </c>
      <c r="T118" s="50" t="str">
        <f t="shared" si="23"/>
        <v>NorthBound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15:42:49-700',mode:absolute,to:'2016-11-19 18:22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8" s="52" t="str">
        <f t="shared" si="25"/>
        <v>N</v>
      </c>
      <c r="X118" s="177">
        <f t="shared" si="26"/>
        <v>1</v>
      </c>
      <c r="Y118" s="67">
        <f t="shared" si="27"/>
        <v>4.53E-2</v>
      </c>
      <c r="Z118" s="67">
        <f t="shared" si="28"/>
        <v>23.3308</v>
      </c>
      <c r="AA118" s="67">
        <f t="shared" si="29"/>
        <v>23.285499999999999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30"/>
        <v>0205-19</v>
      </c>
      <c r="AE118" s="91" t="str">
        <f t="shared" si="31"/>
        <v>aws s3 cp s3://rtdc.mdm.uploadarchive.raw/RTDC4046/ "%USERPROFILE%\AppData\Local\Temp\OnboardLogs"\RTDC4046\2016-11-19 --exclude "*" --recursive --include "*20161119*" &amp; "%USERPROFILE%\Documents\GitHub\mrs-test-scripts\Headless Mode &amp; Sideloading\WalkAndUnGZ.bat" "%USERPROFILE%\AppData\Local\Temp\OnboardLogs"\RTDC4046\2016-11-19 &amp; aws s3 cp s3://rtdc.mdm.uploadarchive.raw/RTDC4046/ "%USERPROFILE%\AppData\Local\Temp\OnboardLogs"\RTDC4046\2016-11-20 --exclude "*" --recursive --include "*20161120*" &amp; "%USERPROFILE%\Documents\GitHub\mrs-test-scripts\Headless Mode &amp; Sideloading\WalkAndUnGZ.bat" "%USERPROFILE%\AppData\Local\Temp\OnboardLogs"\RTDC4046\2016-11-20</v>
      </c>
      <c r="AF118" s="88" t="str">
        <f t="shared" si="32"/>
        <v>"C:\Program Files (x86)\AstroGrep\AstroGrep.exe" /spath="%USERPROFILE%\AppData\Local\Temp\OnboardLogs" /stypes="app*4046*20161120*" /stext=" 00:.+((SYSTEM_STATE.+slice.+state.+changed )|(ment ac)|(system.+state.+changed )|(\[timeout)|(PRM\|1\|D)|(kpr)|(kdp)|(\|lc)|(penalty))" /e /r /s</v>
      </c>
      <c r="AG118" s="1" t="str">
        <f t="shared" si="33"/>
        <v>EC</v>
      </c>
      <c r="AH118" s="92" t="str">
        <f t="shared" si="34"/>
        <v>"%USERPROFILE%\Documents\GitHub\eaglep3\Utilities\RefineRTDCRunTimes.py" --tripid 205-19 --locoid 4046 --swversion DE.1.0.8.0 --startMP 204:453 --initTime 2016-11-19T16:42:49 --startdatetime 2016-11-19T16:46:36 --delay 1 --endMP 204:233308 --enddatetime 2016-11-19T17:22:25 --enforcementcount 0 &gt;&gt;C:\Users\stu\Documents\GitHub\eaglep3-reporting\EC\2016-11-19-refined-times.txt</v>
      </c>
      <c r="AI118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{"issue":{"subject":"","project_id":79,"tracker_id":40,"status_id":1,"priority_id":2,"assigned_to_id":23,"start_date":"2016-11-19","description":"","custom_fields":[{"id":1,"name":"Subdivision","value":"EC"},{"id":4,"name":"Milepost","value":"23.3308"},{"id":17,"name":"Train ID","value":"205-19"},{"id":16,"name":"Locomotive ID","value":"4046"},{"id":130,"name":"Impact","value":""},{"id":150,"name":"Time of Event (Mountain Time)","value":"17:22:25"},{"id":151,"name":"Denver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598</v>
      </c>
      <c r="B119" s="7">
        <v>4045</v>
      </c>
      <c r="C119" s="22" t="s">
        <v>218</v>
      </c>
      <c r="D119" s="22" t="s">
        <v>281</v>
      </c>
      <c r="E119" s="13">
        <v>42693.7344212963</v>
      </c>
      <c r="F119" s="13">
        <v>42693.73710648148</v>
      </c>
      <c r="G119" s="7">
        <v>1</v>
      </c>
      <c r="H119" s="22" t="s">
        <v>230</v>
      </c>
      <c r="I119" s="13">
        <v>42693.764560185184</v>
      </c>
      <c r="J119" s="7">
        <v>0</v>
      </c>
      <c r="K119" s="109" t="str">
        <f t="shared" si="19"/>
        <v>4045/4046</v>
      </c>
      <c r="L119" s="22" t="str">
        <f>VLOOKUP(A119,'Trips&amp;Operators'!$C$1:$E$10000,3,FALSE)</f>
        <v>MOSES</v>
      </c>
      <c r="M119" s="6">
        <f t="shared" si="20"/>
        <v>2.7453703703940846E-2</v>
      </c>
      <c r="N119" s="7">
        <f t="shared" si="21"/>
        <v>39.533333333674818</v>
      </c>
      <c r="O119" s="7"/>
      <c r="P119" s="7"/>
      <c r="Q119" s="23"/>
      <c r="R119" s="23"/>
      <c r="S119" s="35">
        <f t="shared" si="22"/>
        <v>1</v>
      </c>
      <c r="T119" s="50" t="str">
        <f t="shared" si="23"/>
        <v>Southbound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16:37:34-700',mode:absolute,to:'2016-11-19 19:20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9" s="52" t="str">
        <f t="shared" si="25"/>
        <v>N</v>
      </c>
      <c r="X119" s="177">
        <f t="shared" si="26"/>
        <v>1</v>
      </c>
      <c r="Y119" s="67">
        <f t="shared" si="27"/>
        <v>23.299399999999999</v>
      </c>
      <c r="Z119" s="67">
        <f t="shared" si="28"/>
        <v>1.6E-2</v>
      </c>
      <c r="AA119" s="67">
        <f t="shared" si="29"/>
        <v>23.2834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30"/>
        <v>0206-19</v>
      </c>
      <c r="AE119" s="91" t="str">
        <f t="shared" si="31"/>
        <v>aws s3 cp s3://rtdc.mdm.uploadarchive.raw/RTDC4045/ "%USERPROFILE%\AppData\Local\Temp\OnboardLogs"\RTDC4045\2016-11-19 --exclude "*" --recursive --include "*20161119*" &amp; "%USERPROFILE%\Documents\GitHub\mrs-test-scripts\Headless Mode &amp; Sideloading\WalkAndUnGZ.bat" "%USERPROFILE%\AppData\Local\Temp\OnboardLogs"\RTDC4045\2016-11-19 &amp; aws s3 cp s3://rtdc.mdm.uploadarchive.raw/RTDC4045/ "%USERPROFILE%\AppData\Local\Temp\OnboardLogs"\RTDC4045\2016-11-20 --exclude "*" --recursive --include "*20161120*" &amp; "%USERPROFILE%\Documents\GitHub\mrs-test-scripts\Headless Mode &amp; Sideloading\WalkAndUnGZ.bat" "%USERPROFILE%\AppData\Local\Temp\OnboardLogs"\RTDC4045\2016-11-20</v>
      </c>
      <c r="AF119" s="88" t="str">
        <f t="shared" si="32"/>
        <v>"C:\Program Files (x86)\AstroGrep\AstroGrep.exe" /spath="%USERPROFILE%\AppData\Local\Temp\OnboardLogs" /stypes="app*4045*20161120*" /stext=" 01:.+((SYSTEM_STATE.+slice.+state.+changed )|(ment ac)|(system.+state.+changed )|(\[timeout)|(PRM\|1\|D)|(kpr)|(kdp)|(\|lc)|(penalty))" /e /r /s</v>
      </c>
      <c r="AG119" s="1" t="str">
        <f t="shared" si="33"/>
        <v>EC</v>
      </c>
      <c r="AH119" s="92" t="str">
        <f t="shared" si="34"/>
        <v>"%USERPROFILE%\Documents\GitHub\eaglep3\Utilities\RefineRTDCRunTimes.py" --tripid 206-19 --locoid 4045 --swversion DE.1.0.8.0 --startMP 204:232994 --initTime 2016-11-19T17:37:34 --startdatetime 2016-11-19T17:41:26 --delay 1 --endMP 204:160 --enddatetime 2016-11-19T18:20:58 --enforcementcount 0 &gt;&gt;C:\Users\stu\Documents\GitHub\eaglep3-reporting\EC\2016-11-19-refined-times.txt</v>
      </c>
      <c r="AI119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{"issue":{"subject":"","project_id":79,"tracker_id":40,"status_id":1,"priority_id":2,"assigned_to_id":23,"start_date":"2016-11-19","description":"","custom_fields":[{"id":1,"name":"Subdivision","value":"EC"},{"id":4,"name":"Milepost","value":"0.016"},{"id":17,"name":"Train ID","value":"206-19"},{"id":16,"name":"Locomotive ID","value":"4045"},{"id":130,"name":"Impact","value":""},{"id":150,"name":"Time of Event (Mountain Time)","value":"18:20:58"},{"id":151,"name":"Denver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589</v>
      </c>
      <c r="B120" s="7">
        <v>4031</v>
      </c>
      <c r="C120" s="22" t="s">
        <v>218</v>
      </c>
      <c r="D120" s="22" t="s">
        <v>355</v>
      </c>
      <c r="E120" s="13">
        <v>42693.704560185186</v>
      </c>
      <c r="F120" s="13">
        <v>42693.708495370367</v>
      </c>
      <c r="G120" s="7">
        <v>1</v>
      </c>
      <c r="H120" s="22" t="s">
        <v>364</v>
      </c>
      <c r="I120" s="13">
        <v>42693.734027777777</v>
      </c>
      <c r="J120" s="7">
        <v>0</v>
      </c>
      <c r="K120" s="109" t="str">
        <f t="shared" si="19"/>
        <v>4031/4032</v>
      </c>
      <c r="L120" s="22" t="str">
        <f>VLOOKUP(A120,'Trips&amp;Operators'!$C$1:$E$10000,3,FALSE)</f>
        <v>SHOOK</v>
      </c>
      <c r="M120" s="6">
        <f t="shared" si="20"/>
        <v>2.5532407409627922E-2</v>
      </c>
      <c r="N120" s="7">
        <f t="shared" si="21"/>
        <v>36.766666669864208</v>
      </c>
      <c r="O120" s="7"/>
      <c r="P120" s="7"/>
      <c r="Q120" s="23"/>
      <c r="R120" s="23"/>
      <c r="S120" s="35">
        <f t="shared" si="22"/>
        <v>1</v>
      </c>
      <c r="T120" s="50" t="str">
        <f t="shared" si="23"/>
        <v>NorthBound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15:54:34-700',mode:absolute,to:'2016-11-19 18:37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0" s="52" t="str">
        <f t="shared" si="25"/>
        <v>N</v>
      </c>
      <c r="X120" s="177">
        <f t="shared" si="26"/>
        <v>1</v>
      </c>
      <c r="Y120" s="67">
        <f t="shared" si="27"/>
        <v>4.7500000000000001E-2</v>
      </c>
      <c r="Z120" s="67">
        <f t="shared" si="28"/>
        <v>23.336400000000001</v>
      </c>
      <c r="AA120" s="67">
        <f t="shared" si="29"/>
        <v>23.288900000000002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30"/>
        <v>0207-19</v>
      </c>
      <c r="AE120" s="91" t="str">
        <f t="shared" si="31"/>
        <v>aws s3 cp s3://rtdc.mdm.uploadarchive.raw/RTDC4031/ "%USERPROFILE%\AppData\Local\Temp\OnboardLogs"\RTDC4031\2016-11-19 --exclude "*" --recursive --include "*20161119*" &amp; "%USERPROFILE%\Documents\GitHub\mrs-test-scripts\Headless Mode &amp; Sideloading\WalkAndUnGZ.bat" "%USERPROFILE%\AppData\Local\Temp\OnboardLogs"\RTDC4031\2016-11-19 &amp; aws s3 cp s3://rtdc.mdm.uploadarchive.raw/RTDC4031/ "%USERPROFILE%\AppData\Local\Temp\OnboardLogs"\RTDC4031\2016-11-20 --exclude "*" --recursive --include "*20161120*" &amp; "%USERPROFILE%\Documents\GitHub\mrs-test-scripts\Headless Mode &amp; Sideloading\WalkAndUnGZ.bat" "%USERPROFILE%\AppData\Local\Temp\OnboardLogs"\RTDC4031\2016-11-20</v>
      </c>
      <c r="AF120" s="88" t="str">
        <f t="shared" si="32"/>
        <v>"C:\Program Files (x86)\AstroGrep\AstroGrep.exe" /spath="%USERPROFILE%\AppData\Local\Temp\OnboardLogs" /stypes="app*4031*20161120*" /stext=" 00:.+((SYSTEM_STATE.+slice.+state.+changed )|(ment ac)|(system.+state.+changed )|(\[timeout)|(PRM\|1\|D)|(kpr)|(kdp)|(\|lc)|(penalty))" /e /r /s</v>
      </c>
      <c r="AG120" s="1" t="str">
        <f t="shared" si="33"/>
        <v>EC</v>
      </c>
      <c r="AH120" s="92" t="str">
        <f t="shared" si="34"/>
        <v>"%USERPROFILE%\Documents\GitHub\eaglep3\Utilities\RefineRTDCRunTimes.py" --tripid 207-19 --locoid 4031 --swversion DE.1.0.8.0 --startMP 204:475 --initTime 2016-11-19T16:54:34 --startdatetime 2016-11-19T17:00:14 --delay 1 --endMP 204:233364 --enddatetime 2016-11-19T17:37:00 --enforcementcount 0 &gt;&gt;C:\Users\stu\Documents\GitHub\eaglep3-reporting\EC\2016-11-19-refined-times.txt</v>
      </c>
      <c r="AI120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{"issue":{"subject":"","project_id":79,"tracker_id":40,"status_id":1,"priority_id":2,"assigned_to_id":23,"start_date":"2016-11-19","description":"","custom_fields":[{"id":1,"name":"Subdivision","value":"EC"},{"id":4,"name":"Milepost","value":"23.3364"},{"id":17,"name":"Train ID","value":"207-19"},{"id":16,"name":"Locomotive ID","value":"4031"},{"id":130,"name":"Impact","value":""},{"id":150,"name":"Time of Event (Mountain Time)","value":"17:37:00"},{"id":151,"name":"Denver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603</v>
      </c>
      <c r="B121" s="7">
        <v>4032</v>
      </c>
      <c r="C121" s="22" t="s">
        <v>218</v>
      </c>
      <c r="D121" s="22" t="s">
        <v>417</v>
      </c>
      <c r="E121" s="13">
        <v>42693.744155092594</v>
      </c>
      <c r="F121" s="13">
        <v>42693.747476851851</v>
      </c>
      <c r="G121" s="7">
        <v>1</v>
      </c>
      <c r="H121" s="22" t="s">
        <v>231</v>
      </c>
      <c r="I121" s="13">
        <v>42693.773946759262</v>
      </c>
      <c r="J121" s="7">
        <v>0</v>
      </c>
      <c r="K121" s="109" t="str">
        <f t="shared" si="19"/>
        <v>4031/4032</v>
      </c>
      <c r="L121" s="22" t="str">
        <f>VLOOKUP(A121,'Trips&amp;Operators'!$C$1:$E$10000,3,FALSE)</f>
        <v>SHOOK</v>
      </c>
      <c r="M121" s="6">
        <f t="shared" si="20"/>
        <v>2.6469907410501037E-2</v>
      </c>
      <c r="N121" s="7">
        <f t="shared" si="21"/>
        <v>38.116666671121493</v>
      </c>
      <c r="O121" s="7"/>
      <c r="P121" s="7"/>
      <c r="Q121" s="23"/>
      <c r="R121" s="23"/>
      <c r="S121" s="35">
        <f t="shared" si="22"/>
        <v>1</v>
      </c>
      <c r="T121" s="50" t="str">
        <f t="shared" si="23"/>
        <v>Southbound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16:51:35-700',mode:absolute,to:'2016-11-19 19:34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1" s="52" t="str">
        <f t="shared" si="25"/>
        <v>N</v>
      </c>
      <c r="X121" s="177">
        <f t="shared" si="26"/>
        <v>1</v>
      </c>
      <c r="Y121" s="67">
        <f t="shared" si="27"/>
        <v>23.304600000000001</v>
      </c>
      <c r="Z121" s="67">
        <f t="shared" si="28"/>
        <v>1.4999999999999999E-2</v>
      </c>
      <c r="AA121" s="67">
        <f t="shared" si="29"/>
        <v>23.2896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30"/>
        <v>0208-19</v>
      </c>
      <c r="AE121" s="91" t="str">
        <f t="shared" si="31"/>
        <v>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 &amp; 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</v>
      </c>
      <c r="AF121" s="88" t="str">
        <f t="shared" si="32"/>
        <v>"C:\Program Files (x86)\AstroGrep\AstroGrep.exe" /spath="%USERPROFILE%\AppData\Local\Temp\OnboardLogs" /stypes="app*4032*20161120*" /stext=" 01:.+((SYSTEM_STATE.+slice.+state.+changed )|(ment ac)|(system.+state.+changed )|(\[timeout)|(PRM\|1\|D)|(kpr)|(kdp)|(\|lc)|(penalty))" /e /r /s</v>
      </c>
      <c r="AG121" s="1" t="str">
        <f t="shared" si="33"/>
        <v>EC</v>
      </c>
      <c r="AH121" s="92" t="str">
        <f t="shared" si="34"/>
        <v>"%USERPROFILE%\Documents\GitHub\eaglep3\Utilities\RefineRTDCRunTimes.py" --tripid 208-19 --locoid 4032 --swversion DE.1.0.8.0 --startMP 204:233046 --initTime 2016-11-19T17:51:35 --startdatetime 2016-11-19T17:56:22 --delay 1 --endMP 204:150 --enddatetime 2016-11-19T18:34:29 --enforcementcount 0 &gt;&gt;C:\Users\stu\Documents\GitHub\eaglep3-reporting\EC\2016-11-19-refined-times.txt</v>
      </c>
      <c r="AI121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{"issue":{"subject":"","project_id":79,"tracker_id":40,"status_id":1,"priority_id":2,"assigned_to_id":23,"start_date":"2016-11-19","description":"","custom_fields":[{"id":1,"name":"Subdivision","value":"EC"},{"id":4,"name":"Milepost","value":"0.015"},{"id":17,"name":"Train ID","value":"208-19"},{"id":16,"name":"Locomotive ID","value":"4032"},{"id":130,"name":"Impact","value":""},{"id":150,"name":"Time of Event (Mountain Time)","value":"18:34:29"},{"id":151,"name":"Denver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592</v>
      </c>
      <c r="B122" s="7">
        <v>4038</v>
      </c>
      <c r="C122" s="22" t="s">
        <v>218</v>
      </c>
      <c r="D122" s="22" t="s">
        <v>199</v>
      </c>
      <c r="E122" s="13">
        <v>42693.714328703703</v>
      </c>
      <c r="F122" s="13">
        <v>42693.718981481485</v>
      </c>
      <c r="G122" s="7">
        <v>1</v>
      </c>
      <c r="H122" s="22" t="s">
        <v>402</v>
      </c>
      <c r="I122" s="13">
        <v>42693.743703703702</v>
      </c>
      <c r="J122" s="7">
        <v>0</v>
      </c>
      <c r="K122" s="109" t="str">
        <f t="shared" si="19"/>
        <v>4037/4038</v>
      </c>
      <c r="L122" s="22" t="str">
        <f>VLOOKUP(A122,'Trips&amp;Operators'!$C$1:$E$10000,3,FALSE)</f>
        <v>BRUDER</v>
      </c>
      <c r="M122" s="6">
        <f t="shared" si="20"/>
        <v>2.4722222216951195E-2</v>
      </c>
      <c r="N122" s="7">
        <f t="shared" si="21"/>
        <v>35.599999992409721</v>
      </c>
      <c r="O122" s="7"/>
      <c r="P122" s="7"/>
      <c r="Q122" s="23"/>
      <c r="R122" s="23"/>
      <c r="S122" s="35">
        <f t="shared" si="22"/>
        <v>1</v>
      </c>
      <c r="T122" s="50" t="str">
        <f t="shared" si="23"/>
        <v>NorthBound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16:08:38-700',mode:absolute,to:'2016-11-19 18:50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2" s="52" t="str">
        <f t="shared" si="25"/>
        <v>N</v>
      </c>
      <c r="X122" s="177">
        <f t="shared" si="26"/>
        <v>1</v>
      </c>
      <c r="Y122" s="67">
        <f t="shared" si="27"/>
        <v>4.53E-2</v>
      </c>
      <c r="Z122" s="67">
        <f t="shared" si="28"/>
        <v>23.3323</v>
      </c>
      <c r="AA122" s="67">
        <f t="shared" si="29"/>
        <v>23.286999999999999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30"/>
        <v>0209-19</v>
      </c>
      <c r="AE122" s="91" t="str">
        <f t="shared" si="31"/>
        <v>aws s3 cp s3://rtdc.mdm.uploadarchive.raw/RTDC4038/ "%USERPROFILE%\AppData\Local\Temp\OnboardLogs"\RTDC4038\2016-11-19 --exclude "*" --recursive --include "*20161119*" &amp; "%USERPROFILE%\Documents\GitHub\mrs-test-scripts\Headless Mode &amp; Sideloading\WalkAndUnGZ.bat" "%USERPROFILE%\AppData\Local\Temp\OnboardLogs"\RTDC4038\2016-11-19 &amp; aws s3 cp s3://rtdc.mdm.uploadarchive.raw/RTDC4038/ "%USERPROFILE%\AppData\Local\Temp\OnboardLogs"\RTDC4038\2016-11-20 --exclude "*" --recursive --include "*20161120*" &amp; "%USERPROFILE%\Documents\GitHub\mrs-test-scripts\Headless Mode &amp; Sideloading\WalkAndUnGZ.bat" "%USERPROFILE%\AppData\Local\Temp\OnboardLogs"\RTDC4038\2016-11-20</v>
      </c>
      <c r="AF122" s="88" t="str">
        <f t="shared" si="32"/>
        <v>"C:\Program Files (x86)\AstroGrep\AstroGrep.exe" /spath="%USERPROFILE%\AppData\Local\Temp\OnboardLogs" /stypes="app*4038*20161120*" /stext=" 00:.+((SYSTEM_STATE.+slice.+state.+changed )|(ment ac)|(system.+state.+changed )|(\[timeout)|(PRM\|1\|D)|(kpr)|(kdp)|(\|lc)|(penalty))" /e /r /s</v>
      </c>
      <c r="AG122" s="1" t="str">
        <f t="shared" si="33"/>
        <v>EC</v>
      </c>
      <c r="AH122" s="92" t="str">
        <f t="shared" si="34"/>
        <v>"%USERPROFILE%\Documents\GitHub\eaglep3\Utilities\RefineRTDCRunTimes.py" --tripid 209-19 --locoid 4038 --swversion DE.1.0.8.0 --startMP 204:453 --initTime 2016-11-19T17:08:38 --startdatetime 2016-11-19T17:15:20 --delay 1 --endMP 204:233323 --enddatetime 2016-11-19T17:50:56 --enforcementcount 0 &gt;&gt;C:\Users\stu\Documents\GitHub\eaglep3-reporting\EC\2016-11-19-refined-times.txt</v>
      </c>
      <c r="AI122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{"issue":{"subject":"","project_id":79,"tracker_id":40,"status_id":1,"priority_id":2,"assigned_to_id":23,"start_date":"2016-11-19","description":"","custom_fields":[{"id":1,"name":"Subdivision","value":"EC"},{"id":4,"name":"Milepost","value":"23.3323"},{"id":17,"name":"Train ID","value":"209-19"},{"id":16,"name":"Locomotive ID","value":"4038"},{"id":130,"name":"Impact","value":""},{"id":150,"name":"Time of Event (Mountain Time)","value":"17:50:56"},{"id":151,"name":"Denver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605</v>
      </c>
      <c r="B123" s="7">
        <v>4037</v>
      </c>
      <c r="C123" s="22" t="s">
        <v>218</v>
      </c>
      <c r="D123" s="22" t="s">
        <v>273</v>
      </c>
      <c r="E123" s="13">
        <v>42693.752581018518</v>
      </c>
      <c r="F123" s="13">
        <v>42693.7578587963</v>
      </c>
      <c r="G123" s="7">
        <v>1</v>
      </c>
      <c r="H123" s="22" t="s">
        <v>196</v>
      </c>
      <c r="I123" s="13">
        <v>42693.783773148149</v>
      </c>
      <c r="J123" s="7">
        <v>0</v>
      </c>
      <c r="K123" s="109" t="str">
        <f t="shared" si="19"/>
        <v>4037/4038</v>
      </c>
      <c r="L123" s="22" t="str">
        <f>VLOOKUP(A123,'Trips&amp;Operators'!$C$1:$E$10000,3,FALSE)</f>
        <v>BRUDER</v>
      </c>
      <c r="M123" s="6">
        <f t="shared" si="20"/>
        <v>2.5914351848769002E-2</v>
      </c>
      <c r="N123" s="7">
        <f t="shared" si="21"/>
        <v>37.316666662227362</v>
      </c>
      <c r="O123" s="7"/>
      <c r="P123" s="7"/>
      <c r="Q123" s="23"/>
      <c r="R123" s="23"/>
      <c r="S123" s="35">
        <f t="shared" si="22"/>
        <v>1</v>
      </c>
      <c r="T123" s="50" t="str">
        <f t="shared" si="23"/>
        <v>Southbound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17:03:43-700',mode:absolute,to:'2016-11-19 19:48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23" s="52" t="str">
        <f t="shared" si="25"/>
        <v>N</v>
      </c>
      <c r="X123" s="177">
        <f t="shared" si="26"/>
        <v>1</v>
      </c>
      <c r="Y123" s="67">
        <f t="shared" si="27"/>
        <v>23.2987</v>
      </c>
      <c r="Z123" s="67">
        <f t="shared" si="28"/>
        <v>1.49E-2</v>
      </c>
      <c r="AA123" s="67">
        <f t="shared" si="29"/>
        <v>23.283799999999999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30"/>
        <v>0210-19</v>
      </c>
      <c r="AE123" s="91" t="str">
        <f t="shared" si="31"/>
        <v>aws s3 cp s3://rtdc.mdm.uploadarchive.raw/RTDC4037/ "%USERPROFILE%\AppData\Local\Temp\OnboardLogs"\RTDC4037\2016-11-19 --exclude "*" --recursive --include "*20161119*" &amp; "%USERPROFILE%\Documents\GitHub\mrs-test-scripts\Headless Mode &amp; Sideloading\WalkAndUnGZ.bat" "%USERPROFILE%\AppData\Local\Temp\OnboardLogs"\RTDC4037\2016-11-19 &amp; aws s3 cp s3://rtdc.mdm.uploadarchive.raw/RTDC4037/ "%USERPROFILE%\AppData\Local\Temp\OnboardLogs"\RTDC4037\2016-11-20 --exclude "*" --recursive --include "*20161120*" &amp; "%USERPROFILE%\Documents\GitHub\mrs-test-scripts\Headless Mode &amp; Sideloading\WalkAndUnGZ.bat" "%USERPROFILE%\AppData\Local\Temp\OnboardLogs"\RTDC4037\2016-11-20</v>
      </c>
      <c r="AF123" s="88" t="str">
        <f t="shared" si="32"/>
        <v>"C:\Program Files (x86)\AstroGrep\AstroGrep.exe" /spath="%USERPROFILE%\AppData\Local\Temp\OnboardLogs" /stypes="app*4037*20161120*" /stext=" 01:.+((SYSTEM_STATE.+slice.+state.+changed )|(ment ac)|(system.+state.+changed )|(\[timeout)|(PRM\|1\|D)|(kpr)|(kdp)|(\|lc)|(penalty))" /e /r /s</v>
      </c>
      <c r="AG123" s="1" t="str">
        <f t="shared" si="33"/>
        <v>EC</v>
      </c>
      <c r="AH123" s="92" t="str">
        <f t="shared" si="34"/>
        <v>"%USERPROFILE%\Documents\GitHub\eaglep3\Utilities\RefineRTDCRunTimes.py" --tripid 210-19 --locoid 4037 --swversion DE.1.0.8.0 --startMP 204:232987 --initTime 2016-11-19T18:03:43 --startdatetime 2016-11-19T18:11:19 --delay 1 --endMP 204:149 --enddatetime 2016-11-19T18:48:38 --enforcementcount 0 &gt;&gt;C:\Users\stu\Documents\GitHub\eaglep3-reporting\EC\2016-11-19-refined-times.txt</v>
      </c>
      <c r="AI123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{"issue":{"subject":"","project_id":79,"tracker_id":40,"status_id":1,"priority_id":2,"assigned_to_id":23,"start_date":"2016-11-19","description":"","custom_fields":[{"id":1,"name":"Subdivision","value":"EC"},{"id":4,"name":"Milepost","value":"0.0149"},{"id":17,"name":"Train ID","value":"210-19"},{"id":16,"name":"Locomotive ID","value":"4037"},{"id":130,"name":"Impact","value":""},{"id":150,"name":"Time of Event (Mountain Time)","value":"18:48:38"},{"id":151,"name":"Denver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595</v>
      </c>
      <c r="B124" s="7">
        <v>4040</v>
      </c>
      <c r="C124" s="22" t="s">
        <v>218</v>
      </c>
      <c r="D124" s="22" t="s">
        <v>362</v>
      </c>
      <c r="E124" s="13">
        <v>42693.725335648145</v>
      </c>
      <c r="F124" s="13">
        <v>42693.72934027778</v>
      </c>
      <c r="G124" s="7">
        <v>1</v>
      </c>
      <c r="H124" s="22" t="s">
        <v>276</v>
      </c>
      <c r="I124" s="13">
        <v>42693.755173611113</v>
      </c>
      <c r="J124" s="7">
        <v>0</v>
      </c>
      <c r="K124" s="109" t="str">
        <f t="shared" si="19"/>
        <v>4039/4040</v>
      </c>
      <c r="L124" s="22" t="str">
        <f>VLOOKUP(A124,'Trips&amp;Operators'!$C$1:$E$10000,3,FALSE)</f>
        <v>CLARK</v>
      </c>
      <c r="M124" s="6">
        <f t="shared" si="20"/>
        <v>2.5833333333139308E-2</v>
      </c>
      <c r="N124" s="7">
        <f t="shared" si="21"/>
        <v>37.199999999720603</v>
      </c>
      <c r="O124" s="7"/>
      <c r="P124" s="7"/>
      <c r="Q124" s="23"/>
      <c r="R124" s="23"/>
      <c r="S124" s="35">
        <f t="shared" si="22"/>
        <v>1</v>
      </c>
      <c r="T124" s="50" t="str">
        <f t="shared" si="23"/>
        <v>NorthBound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16:24:29-700',mode:absolute,to:'2016-11-19 19:07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24" s="52" t="str">
        <f t="shared" si="25"/>
        <v>N</v>
      </c>
      <c r="X124" s="177">
        <f t="shared" si="26"/>
        <v>1</v>
      </c>
      <c r="Y124" s="67">
        <f t="shared" si="27"/>
        <v>4.82E-2</v>
      </c>
      <c r="Z124" s="67">
        <f t="shared" si="28"/>
        <v>23.330100000000002</v>
      </c>
      <c r="AA124" s="67">
        <f t="shared" si="29"/>
        <v>23.2819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30"/>
        <v>0211-19</v>
      </c>
      <c r="AE124" s="91" t="str">
        <f t="shared" si="31"/>
        <v>aws s3 cp s3://rtdc.mdm.uploadarchive.raw/RTDC4040/ "%USERPROFILE%\AppData\Local\Temp\OnboardLogs"\RTDC4040\2016-11-19 --exclude "*" --recursive --include "*20161119*" &amp; "%USERPROFILE%\Documents\GitHub\mrs-test-scripts\Headless Mode &amp; Sideloading\WalkAndUnGZ.bat" "%USERPROFILE%\AppData\Local\Temp\OnboardLogs"\RTDC4040\2016-11-19 &amp; 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</v>
      </c>
      <c r="AF124" s="88" t="str">
        <f t="shared" si="32"/>
        <v>"C:\Program Files (x86)\AstroGrep\AstroGrep.exe" /spath="%USERPROFILE%\AppData\Local\Temp\OnboardLogs" /stypes="app*4040*20161120*" /stext=" 01:.+((SYSTEM_STATE.+slice.+state.+changed )|(ment ac)|(system.+state.+changed )|(\[timeout)|(PRM\|1\|D)|(kpr)|(kdp)|(\|lc)|(penalty))" /e /r /s</v>
      </c>
      <c r="AG124" s="1" t="str">
        <f t="shared" si="33"/>
        <v>EC</v>
      </c>
      <c r="AH124" s="92" t="str">
        <f t="shared" si="34"/>
        <v>"%USERPROFILE%\Documents\GitHub\eaglep3\Utilities\RefineRTDCRunTimes.py" --tripid 211-19 --locoid 4040 --swversion DE.1.0.8.0 --startMP 204:482 --initTime 2016-11-19T17:24:29 --startdatetime 2016-11-19T17:30:15 --delay 1 --endMP 204:233301 --enddatetime 2016-11-19T18:07:27 --enforcementcount 0 &gt;&gt;C:\Users\stu\Documents\GitHub\eaglep3-reporting\EC\2016-11-19-refined-times.txt</v>
      </c>
      <c r="AI124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{"issue":{"subject":"","project_id":79,"tracker_id":40,"status_id":1,"priority_id":2,"assigned_to_id":23,"start_date":"2016-11-19","description":"","custom_fields":[{"id":1,"name":"Subdivision","value":"EC"},{"id":4,"name":"Milepost","value":"23.3301"},{"id":17,"name":"Train ID","value":"211-19"},{"id":16,"name":"Locomotive ID","value":"4040"},{"id":130,"name":"Impact","value":""},{"id":150,"name":"Time of Event (Mountain Time)","value":"18:07:27"},{"id":151,"name":"Denver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607</v>
      </c>
      <c r="B125" s="7">
        <v>4039</v>
      </c>
      <c r="C125" s="22" t="s">
        <v>218</v>
      </c>
      <c r="D125" s="22" t="s">
        <v>660</v>
      </c>
      <c r="E125" s="13">
        <v>42693.763993055552</v>
      </c>
      <c r="F125" s="13">
        <v>42693.768217592595</v>
      </c>
      <c r="G125" s="7">
        <v>1</v>
      </c>
      <c r="H125" s="22" t="s">
        <v>738</v>
      </c>
      <c r="I125" s="13">
        <v>42693.796944444446</v>
      </c>
      <c r="J125" s="7">
        <v>0</v>
      </c>
      <c r="K125" s="109" t="str">
        <f t="shared" si="19"/>
        <v>4039/4040</v>
      </c>
      <c r="L125" s="22" t="str">
        <f>VLOOKUP(A125,'Trips&amp;Operators'!$C$1:$E$10000,3,FALSE)</f>
        <v>CLARK</v>
      </c>
      <c r="M125" s="6">
        <f t="shared" si="20"/>
        <v>2.8726851851388346E-2</v>
      </c>
      <c r="N125" s="7">
        <f t="shared" si="21"/>
        <v>41.366666665999219</v>
      </c>
      <c r="O125" s="7"/>
      <c r="P125" s="7"/>
      <c r="Q125" s="23"/>
      <c r="R125" s="23"/>
      <c r="S125" s="35">
        <f t="shared" si="22"/>
        <v>1</v>
      </c>
      <c r="T125" s="50" t="str">
        <f t="shared" si="23"/>
        <v>Southbound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17:20:09-700',mode:absolute,to:'2016-11-19 20:07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5" s="52" t="str">
        <f t="shared" si="25"/>
        <v>N</v>
      </c>
      <c r="X125" s="177">
        <f t="shared" si="26"/>
        <v>1</v>
      </c>
      <c r="Y125" s="67">
        <f t="shared" si="27"/>
        <v>23.296900000000001</v>
      </c>
      <c r="Z125" s="67">
        <f t="shared" si="28"/>
        <v>1.8700000000000001E-2</v>
      </c>
      <c r="AA125" s="67">
        <f t="shared" si="29"/>
        <v>23.278200000000002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30"/>
        <v>0212-19</v>
      </c>
      <c r="AE125" s="91" t="str">
        <f t="shared" si="31"/>
        <v>aws s3 cp s3://rtdc.mdm.uploadarchive.raw/RTDC4039/ "%USERPROFILE%\AppData\Local\Temp\OnboardLogs"\RTDC4039\2016-11-19 --exclude "*" --recursive --include "*20161119*" &amp; "%USERPROFILE%\Documents\GitHub\mrs-test-scripts\Headless Mode &amp; Sideloading\WalkAndUnGZ.bat" "%USERPROFILE%\AppData\Local\Temp\OnboardLogs"\RTDC4039\2016-11-19 &amp; 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</v>
      </c>
      <c r="AF125" s="88" t="str">
        <f t="shared" si="32"/>
        <v>"C:\Program Files (x86)\AstroGrep\AstroGrep.exe" /spath="%USERPROFILE%\AppData\Local\Temp\OnboardLogs" /stypes="app*4039*20161120*" /stext=" 02:.+((SYSTEM_STATE.+slice.+state.+changed )|(ment ac)|(system.+state.+changed )|(\[timeout)|(PRM\|1\|D)|(kpr)|(kdp)|(\|lc)|(penalty))" /e /r /s</v>
      </c>
      <c r="AG125" s="1" t="str">
        <f t="shared" si="33"/>
        <v>EC</v>
      </c>
      <c r="AH125" s="92" t="str">
        <f t="shared" si="34"/>
        <v>"%USERPROFILE%\Documents\GitHub\eaglep3\Utilities\RefineRTDCRunTimes.py" --tripid 212-19 --locoid 4039 --swversion DE.1.0.8.0 --startMP 204:232969 --initTime 2016-11-19T18:20:09 --startdatetime 2016-11-19T18:26:14 --delay 1 --endMP 204:187 --enddatetime 2016-11-19T19:07:36 --enforcementcount 0 &gt;&gt;C:\Users\stu\Documents\GitHub\eaglep3-reporting\EC\2016-11-19-refined-times.txt</v>
      </c>
      <c r="AI125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{"issue":{"subject":"","project_id":79,"tracker_id":40,"status_id":1,"priority_id":2,"assigned_to_id":23,"start_date":"2016-11-19","description":"","custom_fields":[{"id":1,"name":"Subdivision","value":"EC"},{"id":4,"name":"Milepost","value":"0.0187"},{"id":17,"name":"Train ID","value":"212-19"},{"id":16,"name":"Locomotive ID","value":"4039"},{"id":130,"name":"Impact","value":""},{"id":150,"name":"Time of Event (Mountain Time)","value":"19:07:36"},{"id":151,"name":"Denver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x14ac:dyDescent="0.25">
      <c r="A126" s="37" t="s">
        <v>600</v>
      </c>
      <c r="B126" s="7">
        <v>4014</v>
      </c>
      <c r="C126" s="22" t="s">
        <v>218</v>
      </c>
      <c r="D126" s="22" t="s">
        <v>674</v>
      </c>
      <c r="E126" s="13">
        <v>42693.735752314817</v>
      </c>
      <c r="F126" s="13">
        <v>42693.740034722221</v>
      </c>
      <c r="G126" s="7">
        <v>1</v>
      </c>
      <c r="H126" s="22" t="s">
        <v>335</v>
      </c>
      <c r="I126" s="13">
        <v>42693.764803240738</v>
      </c>
      <c r="J126" s="7">
        <v>0</v>
      </c>
      <c r="K126" s="109" t="str">
        <f t="shared" si="19"/>
        <v>4013/4014</v>
      </c>
      <c r="L126" s="22" t="str">
        <f>VLOOKUP(A126,'Trips&amp;Operators'!$C$1:$E$10000,3,FALSE)</f>
        <v>NEWELL</v>
      </c>
      <c r="M126" s="6">
        <f t="shared" si="20"/>
        <v>2.4768518516793847E-2</v>
      </c>
      <c r="N126" s="7">
        <f t="shared" si="21"/>
        <v>35.66666666418314</v>
      </c>
      <c r="O126" s="7"/>
      <c r="P126" s="7"/>
      <c r="Q126" s="23"/>
      <c r="R126" s="23"/>
      <c r="S126" s="35">
        <f t="shared" si="22"/>
        <v>1</v>
      </c>
      <c r="T126" s="50" t="str">
        <f t="shared" si="23"/>
        <v>NorthBound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16:39:29-700',mode:absolute,to:'2016-11-19 19:21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6" s="52" t="str">
        <f t="shared" si="25"/>
        <v>N</v>
      </c>
      <c r="X126" s="177">
        <f t="shared" si="26"/>
        <v>1</v>
      </c>
      <c r="Y126" s="67">
        <f t="shared" si="27"/>
        <v>4.5699999999999998E-2</v>
      </c>
      <c r="Z126" s="67">
        <f t="shared" si="28"/>
        <v>23.331399999999999</v>
      </c>
      <c r="AA126" s="67">
        <f t="shared" si="29"/>
        <v>23.285699999999999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30"/>
        <v>0213-19</v>
      </c>
      <c r="AE126" s="91" t="str">
        <f t="shared" si="31"/>
        <v>aws s3 cp s3://rtdc.mdm.uploadarchive.raw/RTDC4014/ "%USERPROFILE%\AppData\Local\Temp\OnboardLogs"\RTDC4014\2016-11-19 --exclude "*" --recursive --include "*20161119*" &amp; "%USERPROFILE%\Documents\GitHub\mrs-test-scripts\Headless Mode &amp; Sideloading\WalkAndUnGZ.bat" "%USERPROFILE%\AppData\Local\Temp\OnboardLogs"\RTDC4014\2016-11-19 &amp; aws s3 cp s3://rtdc.mdm.uploadarchive.raw/RTDC4014/ "%USERPROFILE%\AppData\Local\Temp\OnboardLogs"\RTDC4014\2016-11-20 --exclude "*" --recursive --include "*20161120*" &amp; "%USERPROFILE%\Documents\GitHub\mrs-test-scripts\Headless Mode &amp; Sideloading\WalkAndUnGZ.bat" "%USERPROFILE%\AppData\Local\Temp\OnboardLogs"\RTDC4014\2016-11-20</v>
      </c>
      <c r="AF126" s="88" t="str">
        <f t="shared" si="32"/>
        <v>"C:\Program Files (x86)\AstroGrep\AstroGrep.exe" /spath="%USERPROFILE%\AppData\Local\Temp\OnboardLogs" /stypes="app*4014*20161120*" /stext=" 01:.+((SYSTEM_STATE.+slice.+state.+changed )|(ment ac)|(system.+state.+changed )|(\[timeout)|(PRM\|1\|D)|(kpr)|(kdp)|(\|lc)|(penalty))" /e /r /s</v>
      </c>
      <c r="AG126" s="1" t="str">
        <f t="shared" si="33"/>
        <v>EC</v>
      </c>
      <c r="AH126" s="92" t="str">
        <f t="shared" si="34"/>
        <v>"%USERPROFILE%\Documents\GitHub\eaglep3\Utilities\RefineRTDCRunTimes.py" --tripid 213-19 --locoid 4014 --swversion DE.1.0.8.0 --startMP 204:457 --initTime 2016-11-19T17:39:29 --startdatetime 2016-11-19T17:45:39 --delay 1 --endMP 204:233314 --enddatetime 2016-11-19T18:21:19 --enforcementcount 0 &gt;&gt;C:\Users\stu\Documents\GitHub\eaglep3-reporting\EC\2016-11-19-refined-times.txt</v>
      </c>
      <c r="AI126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{"issue":{"subject":"","project_id":79,"tracker_id":40,"status_id":1,"priority_id":2,"assigned_to_id":23,"start_date":"2016-11-19","description":"","custom_fields":[{"id":1,"name":"Subdivision","value":"EC"},{"id":4,"name":"Milepost","value":"23.3314"},{"id":17,"name":"Train ID","value":"213-19"},{"id":16,"name":"Locomotive ID","value":"4014"},{"id":130,"name":"Impact","value":""},{"id":150,"name":"Time of Event (Mountain Time)","value":"18:21:19"},{"id":151,"name":"Denver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</row>
    <row r="127" spans="1:91" s="21" customFormat="1" x14ac:dyDescent="0.25">
      <c r="A127" s="37" t="s">
        <v>609</v>
      </c>
      <c r="B127" s="7">
        <v>4013</v>
      </c>
      <c r="C127" s="22" t="s">
        <v>218</v>
      </c>
      <c r="D127" s="22" t="s">
        <v>325</v>
      </c>
      <c r="E127" s="13">
        <v>42693.768958333334</v>
      </c>
      <c r="F127" s="13">
        <v>42693.778692129628</v>
      </c>
      <c r="G127" s="7">
        <v>1</v>
      </c>
      <c r="H127" s="22" t="s">
        <v>289</v>
      </c>
      <c r="I127" s="13">
        <v>42693.804212962961</v>
      </c>
      <c r="J127" s="7">
        <v>0</v>
      </c>
      <c r="K127" s="109" t="str">
        <f t="shared" si="19"/>
        <v>4013/4014</v>
      </c>
      <c r="L127" s="22" t="str">
        <f>VLOOKUP(A127,'Trips&amp;Operators'!$C$1:$E$10000,3,FALSE)</f>
        <v>NEWELL</v>
      </c>
      <c r="M127" s="6">
        <f t="shared" si="20"/>
        <v>2.5520833332848269E-2</v>
      </c>
      <c r="N127" s="7">
        <f t="shared" si="21"/>
        <v>36.749999999301508</v>
      </c>
      <c r="O127" s="7"/>
      <c r="P127" s="7"/>
      <c r="Q127" s="23"/>
      <c r="R127" s="23"/>
      <c r="S127" s="35">
        <f t="shared" si="22"/>
        <v>1</v>
      </c>
      <c r="T127" s="50" t="str">
        <f t="shared" si="23"/>
        <v>Southbound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17:27:18-700',mode:absolute,to:'2016-11-19 20:18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27" s="52" t="str">
        <f t="shared" si="25"/>
        <v>N</v>
      </c>
      <c r="X127" s="177">
        <f t="shared" si="26"/>
        <v>1</v>
      </c>
      <c r="Y127" s="67">
        <f t="shared" si="27"/>
        <v>23.299600000000002</v>
      </c>
      <c r="Z127" s="67">
        <f t="shared" si="28"/>
        <v>1.32E-2</v>
      </c>
      <c r="AA127" s="67">
        <f t="shared" si="29"/>
        <v>23.2864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30"/>
        <v>0214-19</v>
      </c>
      <c r="AE127" s="91" t="str">
        <f t="shared" si="31"/>
        <v>aws s3 cp s3://rtdc.mdm.uploadarchive.raw/RTDC4013/ "%USERPROFILE%\AppData\Local\Temp\OnboardLogs"\RTDC4013\2016-11-19 --exclude "*" --recursive --include "*20161119*" &amp; "%USERPROFILE%\Documents\GitHub\mrs-test-scripts\Headless Mode &amp; Sideloading\WalkAndUnGZ.bat" "%USERPROFILE%\AppData\Local\Temp\OnboardLogs"\RTDC4013\2016-11-19 &amp; aws s3 cp s3://rtdc.mdm.uploadarchive.raw/RTDC4013/ "%USERPROFILE%\AppData\Local\Temp\OnboardLogs"\RTDC4013\2016-11-20 --exclude "*" --recursive --include "*20161120*" &amp; "%USERPROFILE%\Documents\GitHub\mrs-test-scripts\Headless Mode &amp; Sideloading\WalkAndUnGZ.bat" "%USERPROFILE%\AppData\Local\Temp\OnboardLogs"\RTDC4013\2016-11-20</v>
      </c>
      <c r="AF127" s="88" t="str">
        <f t="shared" si="32"/>
        <v>"C:\Program Files (x86)\AstroGrep\AstroGrep.exe" /spath="%USERPROFILE%\AppData\Local\Temp\OnboardLogs" /stypes="app*4013*20161120*" /stext=" 02:.+((SYSTEM_STATE.+slice.+state.+changed )|(ment ac)|(system.+state.+changed )|(\[timeout)|(PRM\|1\|D)|(kpr)|(kdp)|(\|lc)|(penalty))" /e /r /s</v>
      </c>
      <c r="AG127" s="1" t="str">
        <f t="shared" si="33"/>
        <v>EC</v>
      </c>
      <c r="AH127" s="92" t="str">
        <f t="shared" si="34"/>
        <v>"%USERPROFILE%\Documents\GitHub\eaglep3\Utilities\RefineRTDCRunTimes.py" --tripid 214-19 --locoid 4013 --swversion DE.1.0.8.0 --startMP 204:232996 --initTime 2016-11-19T18:27:18 --startdatetime 2016-11-19T18:41:19 --delay 1 --endMP 204:132 --enddatetime 2016-11-19T19:18:04 --enforcementcount 0 &gt;&gt;C:\Users\stu\Documents\GitHub\eaglep3-reporting\EC\2016-11-19-refined-times.txt</v>
      </c>
      <c r="AI127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{"issue":{"subject":"","project_id":79,"tracker_id":40,"status_id":1,"priority_id":2,"assigned_to_id":23,"start_date":"2016-11-19","description":"","custom_fields":[{"id":1,"name":"Subdivision","value":"EC"},{"id":4,"name":"Milepost","value":"0.0132"},{"id":17,"name":"Train ID","value":"214-19"},{"id":16,"name":"Locomotive ID","value":"4013"},{"id":130,"name":"Impact","value":""},{"id":150,"name":"Time of Event (Mountain Time)","value":"19:18:04"},{"id":151,"name":"Denver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604</v>
      </c>
      <c r="B128" s="7">
        <v>4011</v>
      </c>
      <c r="C128" s="22" t="s">
        <v>218</v>
      </c>
      <c r="D128" s="22" t="s">
        <v>246</v>
      </c>
      <c r="E128" s="13">
        <v>42693.746354166666</v>
      </c>
      <c r="F128" s="13">
        <v>42693.7891087963</v>
      </c>
      <c r="G128" s="7">
        <v>5</v>
      </c>
      <c r="H128" s="22" t="s">
        <v>200</v>
      </c>
      <c r="I128" s="13">
        <v>42693.816354166665</v>
      </c>
      <c r="J128" s="7">
        <v>0</v>
      </c>
      <c r="K128" s="109" t="str">
        <f t="shared" si="19"/>
        <v>4011/4012</v>
      </c>
      <c r="L128" s="22" t="str">
        <f>VLOOKUP(A128,'Trips&amp;Operators'!$C$1:$E$10000,3,FALSE)</f>
        <v>STORY</v>
      </c>
      <c r="M128" s="6">
        <f t="shared" si="20"/>
        <v>2.7245370365562849E-2</v>
      </c>
      <c r="N128" s="7">
        <f t="shared" si="21"/>
        <v>39.233333326410502</v>
      </c>
      <c r="O128" s="7"/>
      <c r="P128" s="7"/>
      <c r="Q128" s="23"/>
      <c r="R128" s="23"/>
      <c r="S128" s="35">
        <f t="shared" si="22"/>
        <v>1</v>
      </c>
      <c r="T128" s="50" t="str">
        <f t="shared" si="23"/>
        <v>NorthBound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16:54:45-700',mode:absolute,to:'2016-11-19 20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8" s="52" t="str">
        <f t="shared" si="25"/>
        <v>N</v>
      </c>
      <c r="X128" s="177">
        <f t="shared" si="26"/>
        <v>1</v>
      </c>
      <c r="Y128" s="67">
        <f t="shared" si="27"/>
        <v>4.8000000000000001E-2</v>
      </c>
      <c r="Z128" s="67">
        <f t="shared" si="28"/>
        <v>23.329499999999999</v>
      </c>
      <c r="AA128" s="67">
        <f t="shared" si="29"/>
        <v>23.281500000000001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30"/>
        <v>0215-19</v>
      </c>
      <c r="AE128" s="91" t="str">
        <f t="shared" si="31"/>
        <v>aws s3 cp s3://rtdc.mdm.uploadarchive.raw/RTDC4011/ "%USERPROFILE%\AppData\Local\Temp\OnboardLogs"\RTDC4011\2016-11-19 --exclude "*" --recursive --include "*20161119*" &amp; "%USERPROFILE%\Documents\GitHub\mrs-test-scripts\Headless Mode &amp; Sideloading\WalkAndUnGZ.bat" "%USERPROFILE%\AppData\Local\Temp\OnboardLogs"\RTDC4011\2016-11-19 &amp; 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</v>
      </c>
      <c r="AF128" s="88" t="str">
        <f t="shared" si="32"/>
        <v>"C:\Program Files (x86)\AstroGrep\AstroGrep.exe" /spath="%USERPROFILE%\AppData\Local\Temp\OnboardLogs" /stypes="app*4011*20161120*" /stext=" 02:.+((SYSTEM_STATE.+slice.+state.+changed )|(ment ac)|(system.+state.+changed )|(\[timeout)|(PRM\|1\|D)|(kpr)|(kdp)|(\|lc)|(penalty))" /e /r /s</v>
      </c>
      <c r="AG128" s="1" t="str">
        <f t="shared" si="33"/>
        <v>EC</v>
      </c>
      <c r="AH128" s="92" t="str">
        <f t="shared" si="34"/>
        <v>"%USERPROFILE%\Documents\GitHub\eaglep3\Utilities\RefineRTDCRunTimes.py" --tripid 215-19 --locoid 4011 --swversion DE.1.0.8.0 --startMP 204:480 --initTime 2016-11-19T17:54:45 --startdatetime 2016-11-19T18:56:19 --delay 5 --endMP 204:233295 --enddatetime 2016-11-19T19:35:33 --enforcementcount 0 &gt;&gt;C:\Users\stu\Documents\GitHub\eaglep3-reporting\EC\2016-11-19-refined-times.txt</v>
      </c>
      <c r="AI128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{"issue":{"subject":"","project_id":79,"tracker_id":40,"status_id":1,"priority_id":2,"assigned_to_id":23,"start_date":"2016-11-19","description":"","custom_fields":[{"id":1,"name":"Subdivision","value":"EC"},{"id":4,"name":"Milepost","value":"23.3295"},{"id":17,"name":"Train ID","value":"215-19"},{"id":16,"name":"Locomotive ID","value":"4011"},{"id":130,"name":"Impact","value":""},{"id":150,"name":"Time of Event (Mountain Time)","value":"19:35:33"},{"id":151,"name":"Denver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613</v>
      </c>
      <c r="B129" s="7">
        <v>4012</v>
      </c>
      <c r="C129" s="22" t="s">
        <v>218</v>
      </c>
      <c r="D129" s="22" t="s">
        <v>672</v>
      </c>
      <c r="E129" s="13">
        <v>42693.785578703704</v>
      </c>
      <c r="F129" s="13">
        <v>42693.7891087963</v>
      </c>
      <c r="G129" s="7">
        <v>1</v>
      </c>
      <c r="H129" s="22" t="s">
        <v>739</v>
      </c>
      <c r="I129" s="13">
        <v>42693.816354166665</v>
      </c>
      <c r="J129" s="7">
        <v>0</v>
      </c>
      <c r="K129" s="109" t="str">
        <f t="shared" si="19"/>
        <v>4011/4012</v>
      </c>
      <c r="L129" s="22" t="str">
        <f>VLOOKUP(A129,'Trips&amp;Operators'!$C$1:$E$10000,3,FALSE)</f>
        <v>STORY</v>
      </c>
      <c r="M129" s="6">
        <f t="shared" si="20"/>
        <v>2.7245370365562849E-2</v>
      </c>
      <c r="N129" s="7">
        <f t="shared" si="21"/>
        <v>39.233333326410502</v>
      </c>
      <c r="O129" s="7"/>
      <c r="P129" s="7"/>
      <c r="Q129" s="23"/>
      <c r="R129" s="23"/>
      <c r="S129" s="35">
        <f t="shared" si="22"/>
        <v>1</v>
      </c>
      <c r="T129" s="50" t="str">
        <f t="shared" si="23"/>
        <v>Southbound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17:51:14-700',mode:absolute,to:'2016-11-19 20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9" s="52" t="str">
        <f t="shared" si="25"/>
        <v>N</v>
      </c>
      <c r="X129" s="177">
        <f t="shared" si="26"/>
        <v>1</v>
      </c>
      <c r="Y129" s="67">
        <f t="shared" si="27"/>
        <v>23.296299999999999</v>
      </c>
      <c r="Z129" s="67">
        <f t="shared" si="28"/>
        <v>1.7000000000000001E-2</v>
      </c>
      <c r="AA129" s="67">
        <f t="shared" si="29"/>
        <v>23.279299999999999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30"/>
        <v>0216-19</v>
      </c>
      <c r="AE129" s="91" t="str">
        <f t="shared" si="31"/>
        <v>aws s3 cp s3://rtdc.mdm.uploadarchive.raw/RTDC4012/ "%USERPROFILE%\AppData\Local\Temp\OnboardLogs"\RTDC4012\2016-11-19 --exclude "*" --recursive --include "*20161119*" &amp; "%USERPROFILE%\Documents\GitHub\mrs-test-scripts\Headless Mode &amp; Sideloading\WalkAndUnGZ.bat" "%USERPROFILE%\AppData\Local\Temp\OnboardLogs"\RTDC4012\2016-11-19 &amp; 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</v>
      </c>
      <c r="AF129" s="88" t="str">
        <f t="shared" si="32"/>
        <v>"C:\Program Files (x86)\AstroGrep\AstroGrep.exe" /spath="%USERPROFILE%\AppData\Local\Temp\OnboardLogs" /stypes="app*4012*20161120*" /stext=" 02:.+((SYSTEM_STATE.+slice.+state.+changed )|(ment ac)|(system.+state.+changed )|(\[timeout)|(PRM\|1\|D)|(kpr)|(kdp)|(\|lc)|(penalty))" /e /r /s</v>
      </c>
      <c r="AG129" s="1" t="str">
        <f t="shared" si="33"/>
        <v>EC</v>
      </c>
      <c r="AH129" s="92" t="str">
        <f t="shared" si="34"/>
        <v>"%USERPROFILE%\Documents\GitHub\eaglep3\Utilities\RefineRTDCRunTimes.py" --tripid 216-19 --locoid 4012 --swversion DE.1.0.8.0 --startMP 204:232963 --initTime 2016-11-19T18:51:14 --startdatetime 2016-11-19T18:56:19 --delay 1 --endMP 204:170 --enddatetime 2016-11-19T19:35:33 --enforcementcount 0 &gt;&gt;C:\Users\stu\Documents\GitHub\eaglep3-reporting\EC\2016-11-19-refined-times.txt</v>
      </c>
      <c r="AI129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{"issue":{"subject":"","project_id":79,"tracker_id":40,"status_id":1,"priority_id":2,"assigned_to_id":23,"start_date":"2016-11-19","description":"","custom_fields":[{"id":1,"name":"Subdivision","value":"EC"},{"id":4,"name":"Milepost","value":"0.017"},{"id":17,"name":"Train ID","value":"216-19"},{"id":16,"name":"Locomotive ID","value":"4012"},{"id":130,"name":"Impact","value":""},{"id":150,"name":"Time of Event (Mountain Time)","value":"19:35:33"},{"id":151,"name":"Denver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606</v>
      </c>
      <c r="B130" s="7">
        <v>4002</v>
      </c>
      <c r="C130" s="22" t="s">
        <v>218</v>
      </c>
      <c r="D130" s="22" t="s">
        <v>217</v>
      </c>
      <c r="E130" s="13">
        <v>42693.757719907408</v>
      </c>
      <c r="F130" s="13">
        <v>42693.760648148149</v>
      </c>
      <c r="G130" s="7">
        <v>1</v>
      </c>
      <c r="H130" s="22" t="s">
        <v>740</v>
      </c>
      <c r="I130" s="13">
        <v>42693.78634259259</v>
      </c>
      <c r="J130" s="7">
        <v>0</v>
      </c>
      <c r="K130" s="109" t="str">
        <f t="shared" si="19"/>
        <v>4001/4002</v>
      </c>
      <c r="L130" s="22" t="str">
        <f>VLOOKUP(A130,'Trips&amp;Operators'!$C$1:$E$10000,3,FALSE)</f>
        <v>CHANDLER</v>
      </c>
      <c r="M130" s="6">
        <f t="shared" si="20"/>
        <v>2.569444444088731E-2</v>
      </c>
      <c r="N130" s="7">
        <f t="shared" si="21"/>
        <v>36.999999994877726</v>
      </c>
      <c r="O130" s="7"/>
      <c r="P130" s="7"/>
      <c r="Q130" s="23"/>
      <c r="R130" s="23"/>
      <c r="S130" s="35">
        <f t="shared" si="22"/>
        <v>1</v>
      </c>
      <c r="T130" s="50" t="str">
        <f t="shared" si="23"/>
        <v>NorthBound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17:11:07-700',mode:absolute,to:'2016-11-19 19:52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0" s="52" t="str">
        <f t="shared" si="25"/>
        <v>N</v>
      </c>
      <c r="X130" s="177">
        <f t="shared" si="26"/>
        <v>1</v>
      </c>
      <c r="Y130" s="67">
        <f t="shared" si="27"/>
        <v>4.6399999999999997E-2</v>
      </c>
      <c r="Z130" s="67">
        <f t="shared" si="28"/>
        <v>23.3368</v>
      </c>
      <c r="AA130" s="67">
        <f t="shared" si="29"/>
        <v>23.290400000000002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30"/>
        <v>0217-19</v>
      </c>
      <c r="AE130" s="91" t="str">
        <f t="shared" si="31"/>
        <v>aws s3 cp s3://rtdc.mdm.uploadarchive.raw/RTDC4002/ "%USERPROFILE%\AppData\Local\Temp\OnboardLogs"\RTDC4002\2016-11-19 --exclude "*" --recursive --include "*20161119*" &amp; "%USERPROFILE%\Documents\GitHub\mrs-test-scripts\Headless Mode &amp; Sideloading\WalkAndUnGZ.bat" "%USERPROFILE%\AppData\Local\Temp\OnboardLogs"\RTDC4002\2016-11-19 &amp; aws s3 cp s3://rtdc.mdm.uploadarchive.raw/RTDC4002/ "%USERPROFILE%\AppData\Local\Temp\OnboardLogs"\RTDC4002\2016-11-20 --exclude "*" --recursive --include "*20161120*" &amp; "%USERPROFILE%\Documents\GitHub\mrs-test-scripts\Headless Mode &amp; Sideloading\WalkAndUnGZ.bat" "%USERPROFILE%\AppData\Local\Temp\OnboardLogs"\RTDC4002\2016-11-20</v>
      </c>
      <c r="AF130" s="88" t="str">
        <f t="shared" si="32"/>
        <v>"C:\Program Files (x86)\AstroGrep\AstroGrep.exe" /spath="%USERPROFILE%\AppData\Local\Temp\OnboardLogs" /stypes="app*4002*20161120*" /stext=" 01:.+((SYSTEM_STATE.+slice.+state.+changed )|(ment ac)|(system.+state.+changed )|(\[timeout)|(PRM\|1\|D)|(kpr)|(kdp)|(\|lc)|(penalty))" /e /r /s</v>
      </c>
      <c r="AG130" s="1" t="str">
        <f t="shared" si="33"/>
        <v>EC</v>
      </c>
      <c r="AH130" s="92" t="str">
        <f t="shared" si="34"/>
        <v>"%USERPROFILE%\Documents\GitHub\eaglep3\Utilities\RefineRTDCRunTimes.py" --tripid 217-19 --locoid 4002 --swversion DE.1.0.8.0 --startMP 204:464 --initTime 2016-11-19T18:11:07 --startdatetime 2016-11-19T18:15:20 --delay 1 --endMP 204:233368 --enddatetime 2016-11-19T18:52:20 --enforcementcount 0 &gt;&gt;C:\Users\stu\Documents\GitHub\eaglep3-reporting\EC\2016-11-19-refined-times.txt</v>
      </c>
      <c r="AI130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{"issue":{"subject":"","project_id":79,"tracker_id":40,"status_id":1,"priority_id":2,"assigned_to_id":23,"start_date":"2016-11-19","description":"","custom_fields":[{"id":1,"name":"Subdivision","value":"EC"},{"id":4,"name":"Milepost","value":"23.3368"},{"id":17,"name":"Train ID","value":"217-19"},{"id":16,"name":"Locomotive ID","value":"4002"},{"id":130,"name":"Impact","value":""},{"id":150,"name":"Time of Event (Mountain Time)","value":"18:52:20"},{"id":151,"name":"Denver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615</v>
      </c>
      <c r="B131" s="7">
        <v>4001</v>
      </c>
      <c r="C131" s="22" t="s">
        <v>218</v>
      </c>
      <c r="D131" s="22" t="s">
        <v>741</v>
      </c>
      <c r="E131" s="13">
        <v>42693.794756944444</v>
      </c>
      <c r="F131" s="13">
        <v>42693.799618055556</v>
      </c>
      <c r="G131" s="7">
        <v>2</v>
      </c>
      <c r="H131" s="22" t="s">
        <v>302</v>
      </c>
      <c r="I131" s="13">
        <v>42693.827152777776</v>
      </c>
      <c r="J131" s="7">
        <v>0</v>
      </c>
      <c r="K131" s="109" t="str">
        <f t="shared" si="19"/>
        <v>4001/4002</v>
      </c>
      <c r="L131" s="22" t="str">
        <f>VLOOKUP(A131,'Trips&amp;Operators'!$C$1:$E$10000,3,FALSE)</f>
        <v>CHANDLER</v>
      </c>
      <c r="M131" s="6">
        <f t="shared" si="20"/>
        <v>2.753472221957054E-2</v>
      </c>
      <c r="N131" s="7">
        <f t="shared" si="21"/>
        <v>39.649999996181577</v>
      </c>
      <c r="O131" s="7"/>
      <c r="P131" s="7"/>
      <c r="Q131" s="23"/>
      <c r="R131" s="23"/>
      <c r="S131" s="35">
        <f t="shared" si="22"/>
        <v>1</v>
      </c>
      <c r="T131" s="50" t="str">
        <f t="shared" si="23"/>
        <v>Southbound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18:04:27-700',mode:absolute,to:'2016-11-19 20:51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1" s="52" t="str">
        <f t="shared" si="25"/>
        <v>N</v>
      </c>
      <c r="X131" s="177">
        <f t="shared" si="26"/>
        <v>1</v>
      </c>
      <c r="Y131" s="67">
        <f t="shared" si="27"/>
        <v>23.304500000000001</v>
      </c>
      <c r="Z131" s="67">
        <f t="shared" si="28"/>
        <v>1.4500000000000001E-2</v>
      </c>
      <c r="AA131" s="67">
        <f t="shared" si="29"/>
        <v>23.29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30"/>
        <v>0218-19</v>
      </c>
      <c r="AE131" s="91" t="str">
        <f t="shared" si="31"/>
        <v>aws s3 cp s3://rtdc.mdm.uploadarchive.raw/RTDC4001/ "%USERPROFILE%\AppData\Local\Temp\OnboardLogs"\RTDC4001\2016-11-19 --exclude "*" --recursive --include "*20161119*" &amp; "%USERPROFILE%\Documents\GitHub\mrs-test-scripts\Headless Mode &amp; Sideloading\WalkAndUnGZ.bat" "%USERPROFILE%\AppData\Local\Temp\OnboardLogs"\RTDC4001\2016-11-19 &amp; aws s3 cp s3://rtdc.mdm.uploadarchive.raw/RTDC4001/ "%USERPROFILE%\AppData\Local\Temp\OnboardLogs"\RTDC4001\2016-11-20 --exclude "*" --recursive --include "*20161120*" &amp; "%USERPROFILE%\Documents\GitHub\mrs-test-scripts\Headless Mode &amp; Sideloading\WalkAndUnGZ.bat" "%USERPROFILE%\AppData\Local\Temp\OnboardLogs"\RTDC4001\2016-11-20</v>
      </c>
      <c r="AF131" s="88" t="str">
        <f t="shared" si="32"/>
        <v>"C:\Program Files (x86)\AstroGrep\AstroGrep.exe" /spath="%USERPROFILE%\AppData\Local\Temp\OnboardLogs" /stypes="app*4001*20161120*" /stext=" 02:.+((SYSTEM_STATE.+slice.+state.+changed )|(ment ac)|(system.+state.+changed )|(\[timeout)|(PRM\|1\|D)|(kpr)|(kdp)|(\|lc)|(penalty))" /e /r /s</v>
      </c>
      <c r="AG131" s="1" t="str">
        <f t="shared" si="33"/>
        <v>EC</v>
      </c>
      <c r="AH131" s="92" t="str">
        <f t="shared" si="34"/>
        <v>"%USERPROFILE%\Documents\GitHub\eaglep3\Utilities\RefineRTDCRunTimes.py" --tripid 218-19 --locoid 4001 --swversion DE.1.0.8.0 --startMP 204:233045 --initTime 2016-11-19T19:04:27 --startdatetime 2016-11-19T19:11:27 --delay 2 --endMP 204:145 --enddatetime 2016-11-19T19:51:06 --enforcementcount 0 &gt;&gt;C:\Users\stu\Documents\GitHub\eaglep3-reporting\EC\2016-11-19-refined-times.txt</v>
      </c>
      <c r="AI131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{"issue":{"subject":"","project_id":79,"tracker_id":40,"status_id":1,"priority_id":2,"assigned_to_id":23,"start_date":"2016-11-19","description":"","custom_fields":[{"id":1,"name":"Subdivision","value":"EC"},{"id":4,"name":"Milepost","value":"0.0145"},{"id":17,"name":"Train ID","value":"218-19"},{"id":16,"name":"Locomotive ID","value":"4001"},{"id":130,"name":"Impact","value":""},{"id":150,"name":"Time of Event (Mountain Time)","value":"19:51:06"},{"id":151,"name":"Denver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608</v>
      </c>
      <c r="B132" s="7">
        <v>4046</v>
      </c>
      <c r="C132" s="22" t="s">
        <v>218</v>
      </c>
      <c r="D132" s="22" t="s">
        <v>742</v>
      </c>
      <c r="E132" s="13">
        <v>42693.766469907408</v>
      </c>
      <c r="F132" s="13">
        <v>42693.77107638889</v>
      </c>
      <c r="G132" s="7">
        <v>1</v>
      </c>
      <c r="H132" s="22" t="s">
        <v>743</v>
      </c>
      <c r="I132" s="13">
        <v>42693.794965277775</v>
      </c>
      <c r="J132" s="7">
        <v>0</v>
      </c>
      <c r="K132" s="109" t="str">
        <f t="shared" si="19"/>
        <v>4045/4046</v>
      </c>
      <c r="L132" s="22" t="str">
        <f>VLOOKUP(A132,'Trips&amp;Operators'!$C$1:$E$10000,3,FALSE)</f>
        <v>STAMBAUGH</v>
      </c>
      <c r="M132" s="6">
        <f t="shared" si="20"/>
        <v>2.3888888885267079E-2</v>
      </c>
      <c r="N132" s="7">
        <f t="shared" si="21"/>
        <v>34.399999994784594</v>
      </c>
      <c r="O132" s="7"/>
      <c r="P132" s="7"/>
      <c r="Q132" s="23"/>
      <c r="R132" s="23"/>
      <c r="S132" s="35">
        <f t="shared" si="22"/>
        <v>1</v>
      </c>
      <c r="T132" s="50" t="str">
        <f t="shared" si="23"/>
        <v>NorthBound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17:23:43-700',mode:absolute,to:'2016-11-19 20:04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2" s="52" t="str">
        <f t="shared" si="25"/>
        <v>N</v>
      </c>
      <c r="X132" s="177">
        <f t="shared" si="26"/>
        <v>1</v>
      </c>
      <c r="Y132" s="67">
        <f t="shared" si="27"/>
        <v>4.8599999999999997E-2</v>
      </c>
      <c r="Z132" s="67">
        <f t="shared" si="28"/>
        <v>23.334099999999999</v>
      </c>
      <c r="AA132" s="67">
        <f t="shared" si="29"/>
        <v>23.285499999999999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30"/>
        <v>0219-19</v>
      </c>
      <c r="AE132" s="91" t="str">
        <f t="shared" si="31"/>
        <v>aws s3 cp s3://rtdc.mdm.uploadarchive.raw/RTDC4046/ "%USERPROFILE%\AppData\Local\Temp\OnboardLogs"\RTDC4046\2016-11-19 --exclude "*" --recursive --include "*20161119*" &amp; "%USERPROFILE%\Documents\GitHub\mrs-test-scripts\Headless Mode &amp; Sideloading\WalkAndUnGZ.bat" "%USERPROFILE%\AppData\Local\Temp\OnboardLogs"\RTDC4046\2016-11-19 &amp; aws s3 cp s3://rtdc.mdm.uploadarchive.raw/RTDC4046/ "%USERPROFILE%\AppData\Local\Temp\OnboardLogs"\RTDC4046\2016-11-20 --exclude "*" --recursive --include "*20161120*" &amp; "%USERPROFILE%\Documents\GitHub\mrs-test-scripts\Headless Mode &amp; Sideloading\WalkAndUnGZ.bat" "%USERPROFILE%\AppData\Local\Temp\OnboardLogs"\RTDC4046\2016-11-20</v>
      </c>
      <c r="AF132" s="88" t="str">
        <f t="shared" si="32"/>
        <v>"C:\Program Files (x86)\AstroGrep\AstroGrep.exe" /spath="%USERPROFILE%\AppData\Local\Temp\OnboardLogs" /stypes="app*4046*20161120*" /stext=" 02:.+((SYSTEM_STATE.+slice.+state.+changed )|(ment ac)|(system.+state.+changed )|(\[timeout)|(PRM\|1\|D)|(kpr)|(kdp)|(\|lc)|(penalty))" /e /r /s</v>
      </c>
      <c r="AG132" s="1" t="str">
        <f t="shared" si="33"/>
        <v>EC</v>
      </c>
      <c r="AH132" s="92" t="str">
        <f t="shared" si="34"/>
        <v>"%USERPROFILE%\Documents\GitHub\eaglep3\Utilities\RefineRTDCRunTimes.py" --tripid 219-19 --locoid 4046 --swversion DE.1.0.8.0 --startMP 204:486 --initTime 2016-11-19T18:23:43 --startdatetime 2016-11-19T18:30:21 --delay 1 --endMP 204:233341 --enddatetime 2016-11-19T19:04:45 --enforcementcount 0 &gt;&gt;C:\Users\stu\Documents\GitHub\eaglep3-reporting\EC\2016-11-19-refined-times.txt</v>
      </c>
      <c r="AI132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{"issue":{"subject":"","project_id":79,"tracker_id":40,"status_id":1,"priority_id":2,"assigned_to_id":23,"start_date":"2016-11-19","description":"","custom_fields":[{"id":1,"name":"Subdivision","value":"EC"},{"id":4,"name":"Milepost","value":"23.3341"},{"id":17,"name":"Train ID","value":"219-19"},{"id":16,"name":"Locomotive ID","value":"4046"},{"id":130,"name":"Impact","value":""},{"id":150,"name":"Time of Event (Mountain Time)","value":"19:04:45"},{"id":151,"name":"Denver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617</v>
      </c>
      <c r="B133" s="7">
        <v>4045</v>
      </c>
      <c r="C133" s="22" t="s">
        <v>218</v>
      </c>
      <c r="D133" s="22" t="s">
        <v>405</v>
      </c>
      <c r="E133" s="13">
        <v>42693.805173611108</v>
      </c>
      <c r="F133" s="13">
        <v>42693.810439814813</v>
      </c>
      <c r="G133" s="7">
        <v>1</v>
      </c>
      <c r="H133" s="22" t="s">
        <v>231</v>
      </c>
      <c r="I133" s="13">
        <v>42693.83556712963</v>
      </c>
      <c r="J133" s="7">
        <v>0</v>
      </c>
      <c r="K133" s="109" t="str">
        <f t="shared" si="19"/>
        <v>4045/4046</v>
      </c>
      <c r="L133" s="22" t="str">
        <f>VLOOKUP(A133,'Trips&amp;Operators'!$C$1:$E$10000,3,FALSE)</f>
        <v>STAMBAUGH</v>
      </c>
      <c r="M133" s="6">
        <f t="shared" si="20"/>
        <v>2.5127314816927537E-2</v>
      </c>
      <c r="N133" s="7">
        <f t="shared" si="21"/>
        <v>36.183333336375654</v>
      </c>
      <c r="O133" s="7"/>
      <c r="P133" s="7"/>
      <c r="Q133" s="23"/>
      <c r="R133" s="23"/>
      <c r="S133" s="35">
        <f t="shared" si="22"/>
        <v>1</v>
      </c>
      <c r="T133" s="50" t="str">
        <f t="shared" si="23"/>
        <v>Southbound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18:19:27-700',mode:absolute,to:'2016-11-19 21:03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3" s="52" t="str">
        <f t="shared" si="25"/>
        <v>N</v>
      </c>
      <c r="X133" s="177">
        <f t="shared" si="26"/>
        <v>1</v>
      </c>
      <c r="Y133" s="67">
        <f t="shared" si="27"/>
        <v>23.2988</v>
      </c>
      <c r="Z133" s="67">
        <f t="shared" si="28"/>
        <v>1.4999999999999999E-2</v>
      </c>
      <c r="AA133" s="67">
        <f t="shared" si="29"/>
        <v>23.283799999999999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30"/>
        <v>0220-19</v>
      </c>
      <c r="AE133" s="91" t="str">
        <f t="shared" si="31"/>
        <v>aws s3 cp s3://rtdc.mdm.uploadarchive.raw/RTDC4045/ "%USERPROFILE%\AppData\Local\Temp\OnboardLogs"\RTDC4045\2016-11-19 --exclude "*" --recursive --include "*20161119*" &amp; "%USERPROFILE%\Documents\GitHub\mrs-test-scripts\Headless Mode &amp; Sideloading\WalkAndUnGZ.bat" "%USERPROFILE%\AppData\Local\Temp\OnboardLogs"\RTDC4045\2016-11-19 &amp; aws s3 cp s3://rtdc.mdm.uploadarchive.raw/RTDC4045/ "%USERPROFILE%\AppData\Local\Temp\OnboardLogs"\RTDC4045\2016-11-20 --exclude "*" --recursive --include "*20161120*" &amp; "%USERPROFILE%\Documents\GitHub\mrs-test-scripts\Headless Mode &amp; Sideloading\WalkAndUnGZ.bat" "%USERPROFILE%\AppData\Local\Temp\OnboardLogs"\RTDC4045\2016-11-20</v>
      </c>
      <c r="AF133" s="88" t="str">
        <f t="shared" si="32"/>
        <v>"C:\Program Files (x86)\AstroGrep\AstroGrep.exe" /spath="%USERPROFILE%\AppData\Local\Temp\OnboardLogs" /stypes="app*4045*20161120*" /stext=" 03:.+((SYSTEM_STATE.+slice.+state.+changed )|(ment ac)|(system.+state.+changed )|(\[timeout)|(PRM\|1\|D)|(kpr)|(kdp)|(\|lc)|(penalty))" /e /r /s</v>
      </c>
      <c r="AG133" s="1" t="str">
        <f t="shared" si="33"/>
        <v>EC</v>
      </c>
      <c r="AH133" s="92" t="str">
        <f t="shared" si="34"/>
        <v>"%USERPROFILE%\Documents\GitHub\eaglep3\Utilities\RefineRTDCRunTimes.py" --tripid 220-19 --locoid 4045 --swversion DE.1.0.8.0 --startMP 204:232988 --initTime 2016-11-19T19:19:27 --startdatetime 2016-11-19T19:27:02 --delay 1 --endMP 204:150 --enddatetime 2016-11-19T20:03:13 --enforcementcount 0 &gt;&gt;C:\Users\stu\Documents\GitHub\eaglep3-reporting\EC\2016-11-19-refined-times.txt</v>
      </c>
      <c r="AI133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{"issue":{"subject":"","project_id":79,"tracker_id":40,"status_id":1,"priority_id":2,"assigned_to_id":23,"start_date":"2016-11-19","description":"","custom_fields":[{"id":1,"name":"Subdivision","value":"EC"},{"id":4,"name":"Milepost","value":"0.015"},{"id":17,"name":"Train ID","value":"220-19"},{"id":16,"name":"Locomotive ID","value":"4045"},{"id":130,"name":"Impact","value":""},{"id":150,"name":"Time of Event (Mountain Time)","value":"20:03:13"},{"id":151,"name":"Denver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614</v>
      </c>
      <c r="B134" s="7">
        <v>4038</v>
      </c>
      <c r="C134" s="22" t="s">
        <v>218</v>
      </c>
      <c r="D134" s="22" t="s">
        <v>686</v>
      </c>
      <c r="E134" s="13">
        <v>42693.785763888889</v>
      </c>
      <c r="F134" s="13">
        <v>42693.791990740741</v>
      </c>
      <c r="G134" s="7">
        <v>2</v>
      </c>
      <c r="H134" s="22" t="s">
        <v>352</v>
      </c>
      <c r="I134" s="13">
        <v>42693.816631944443</v>
      </c>
      <c r="J134" s="7">
        <v>0</v>
      </c>
      <c r="K134" s="109" t="str">
        <f t="shared" si="19"/>
        <v>4037/4038</v>
      </c>
      <c r="L134" s="22" t="str">
        <f>VLOOKUP(A134,'Trips&amp;Operators'!$C$1:$E$10000,3,FALSE)</f>
        <v>LEVIN</v>
      </c>
      <c r="M134" s="6">
        <f t="shared" si="20"/>
        <v>2.4641203701321501E-2</v>
      </c>
      <c r="N134" s="7">
        <f t="shared" si="21"/>
        <v>35.483333329902962</v>
      </c>
      <c r="O134" s="7"/>
      <c r="P134" s="7"/>
      <c r="Q134" s="23"/>
      <c r="R134" s="23"/>
      <c r="S134" s="35">
        <f t="shared" si="22"/>
        <v>1</v>
      </c>
      <c r="T134" s="50" t="str">
        <f t="shared" si="23"/>
        <v>NorthBound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17:51:30-700',mode:absolute,to:'2016-11-19 20:35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4" s="52" t="str">
        <f t="shared" si="25"/>
        <v>N</v>
      </c>
      <c r="X134" s="177">
        <f t="shared" si="26"/>
        <v>1</v>
      </c>
      <c r="Y134" s="67">
        <f t="shared" si="27"/>
        <v>4.7100000000000003E-2</v>
      </c>
      <c r="Z134" s="67">
        <f t="shared" si="28"/>
        <v>23.333200000000001</v>
      </c>
      <c r="AA134" s="67">
        <f t="shared" si="29"/>
        <v>23.286100000000001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30"/>
        <v>0221-19</v>
      </c>
      <c r="AE134" s="91" t="str">
        <f t="shared" si="31"/>
        <v>aws s3 cp s3://rtdc.mdm.uploadarchive.raw/RTDC4038/ "%USERPROFILE%\AppData\Local\Temp\OnboardLogs"\RTDC4038\2016-11-19 --exclude "*" --recursive --include "*20161119*" &amp; "%USERPROFILE%\Documents\GitHub\mrs-test-scripts\Headless Mode &amp; Sideloading\WalkAndUnGZ.bat" "%USERPROFILE%\AppData\Local\Temp\OnboardLogs"\RTDC4038\2016-11-19 &amp; aws s3 cp s3://rtdc.mdm.uploadarchive.raw/RTDC4038/ "%USERPROFILE%\AppData\Local\Temp\OnboardLogs"\RTDC4038\2016-11-20 --exclude "*" --recursive --include "*20161120*" &amp; "%USERPROFILE%\Documents\GitHub\mrs-test-scripts\Headless Mode &amp; Sideloading\WalkAndUnGZ.bat" "%USERPROFILE%\AppData\Local\Temp\OnboardLogs"\RTDC4038\2016-11-20</v>
      </c>
      <c r="AF134" s="88" t="str">
        <f t="shared" si="32"/>
        <v>"C:\Program Files (x86)\AstroGrep\AstroGrep.exe" /spath="%USERPROFILE%\AppData\Local\Temp\OnboardLogs" /stypes="app*4038*20161120*" /stext=" 02:.+((SYSTEM_STATE.+slice.+state.+changed )|(ment ac)|(system.+state.+changed )|(\[timeout)|(PRM\|1\|D)|(kpr)|(kdp)|(\|lc)|(penalty))" /e /r /s</v>
      </c>
      <c r="AG134" s="1" t="str">
        <f t="shared" si="33"/>
        <v>EC</v>
      </c>
      <c r="AH134" s="92" t="str">
        <f t="shared" si="34"/>
        <v>"%USERPROFILE%\Documents\GitHub\eaglep3\Utilities\RefineRTDCRunTimes.py" --tripid 221-19 --locoid 4038 --swversion DE.1.0.8.0 --startMP 204:471 --initTime 2016-11-19T18:51:30 --startdatetime 2016-11-19T19:00:28 --delay 2 --endMP 204:233332 --enddatetime 2016-11-19T19:35:57 --enforcementcount 0 &gt;&gt;C:\Users\stu\Documents\GitHub\eaglep3-reporting\EC\2016-11-19-refined-times.txt</v>
      </c>
      <c r="AI134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{"issue":{"subject":"","project_id":79,"tracker_id":40,"status_id":1,"priority_id":2,"assigned_to_id":23,"start_date":"2016-11-19","description":"","custom_fields":[{"id":1,"name":"Subdivision","value":"EC"},{"id":4,"name":"Milepost","value":"23.3332"},{"id":17,"name":"Train ID","value":"221-19"},{"id":16,"name":"Locomotive ID","value":"4038"},{"id":130,"name":"Impact","value":""},{"id":150,"name":"Time of Event (Mountain Time)","value":"19:35:57"},{"id":151,"name":"Denver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621</v>
      </c>
      <c r="B135" s="7">
        <v>4037</v>
      </c>
      <c r="C135" s="22" t="s">
        <v>218</v>
      </c>
      <c r="D135" s="22" t="s">
        <v>413</v>
      </c>
      <c r="E135" s="13">
        <v>42693.826354166667</v>
      </c>
      <c r="F135" s="13">
        <v>42693.830833333333</v>
      </c>
      <c r="G135" s="7">
        <v>1</v>
      </c>
      <c r="H135" s="22" t="s">
        <v>407</v>
      </c>
      <c r="I135" s="13">
        <v>42693.856689814813</v>
      </c>
      <c r="J135" s="7">
        <v>0</v>
      </c>
      <c r="K135" s="109" t="str">
        <f t="shared" si="19"/>
        <v>4037/4038</v>
      </c>
      <c r="L135" s="22" t="str">
        <f>VLOOKUP(A135,'Trips&amp;Operators'!$C$1:$E$10000,3,FALSE)</f>
        <v>LEVIN</v>
      </c>
      <c r="M135" s="6">
        <f t="shared" si="20"/>
        <v>2.5856481479422655E-2</v>
      </c>
      <c r="N135" s="7">
        <f t="shared" si="21"/>
        <v>37.233333330368623</v>
      </c>
      <c r="O135" s="7"/>
      <c r="P135" s="7"/>
      <c r="Q135" s="23"/>
      <c r="R135" s="23"/>
      <c r="S135" s="35">
        <f t="shared" si="22"/>
        <v>1</v>
      </c>
      <c r="T135" s="50" t="str">
        <f t="shared" si="23"/>
        <v>Southbound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18:49:57-700',mode:absolute,to:'2016-11-19 21:33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5" s="52" t="str">
        <f t="shared" si="25"/>
        <v>N</v>
      </c>
      <c r="X135" s="177">
        <f t="shared" si="26"/>
        <v>1</v>
      </c>
      <c r="Y135" s="67">
        <f t="shared" si="27"/>
        <v>23.3004</v>
      </c>
      <c r="Z135" s="67">
        <f t="shared" si="28"/>
        <v>1.2699999999999999E-2</v>
      </c>
      <c r="AA135" s="67">
        <f t="shared" si="29"/>
        <v>23.287700000000001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 t="shared" si="30"/>
        <v>0222-19</v>
      </c>
      <c r="AE135" s="91" t="str">
        <f t="shared" si="31"/>
        <v>aws s3 cp s3://rtdc.mdm.uploadarchive.raw/RTDC4037/ "%USERPROFILE%\AppData\Local\Temp\OnboardLogs"\RTDC4037\2016-11-19 --exclude "*" --recursive --include "*20161119*" &amp; "%USERPROFILE%\Documents\GitHub\mrs-test-scripts\Headless Mode &amp; Sideloading\WalkAndUnGZ.bat" "%USERPROFILE%\AppData\Local\Temp\OnboardLogs"\RTDC4037\2016-11-19 &amp; aws s3 cp s3://rtdc.mdm.uploadarchive.raw/RTDC4037/ "%USERPROFILE%\AppData\Local\Temp\OnboardLogs"\RTDC4037\2016-11-20 --exclude "*" --recursive --include "*20161120*" &amp; "%USERPROFILE%\Documents\GitHub\mrs-test-scripts\Headless Mode &amp; Sideloading\WalkAndUnGZ.bat" "%USERPROFILE%\AppData\Local\Temp\OnboardLogs"\RTDC4037\2016-11-20</v>
      </c>
      <c r="AF135" s="88" t="str">
        <f t="shared" si="32"/>
        <v>"C:\Program Files (x86)\AstroGrep\AstroGrep.exe" /spath="%USERPROFILE%\AppData\Local\Temp\OnboardLogs" /stypes="app*4037*20161120*" /stext=" 03:.+((SYSTEM_STATE.+slice.+state.+changed )|(ment ac)|(system.+state.+changed )|(\[timeout)|(PRM\|1\|D)|(kpr)|(kdp)|(\|lc)|(penalty))" /e /r /s</v>
      </c>
      <c r="AG135" s="1" t="str">
        <f t="shared" si="33"/>
        <v>EC</v>
      </c>
      <c r="AH135" s="92" t="str">
        <f t="shared" si="34"/>
        <v>"%USERPROFILE%\Documents\GitHub\eaglep3\Utilities\RefineRTDCRunTimes.py" --tripid 222-19 --locoid 4037 --swversion DE.1.0.8.0 --startMP 204:233004 --initTime 2016-11-19T19:49:57 --startdatetime 2016-11-19T19:56:24 --delay 1 --endMP 204:127 --enddatetime 2016-11-19T20:33:38 --enforcementcount 0 &gt;&gt;C:\Users\stu\Documents\GitHub\eaglep3-reporting\EC\2016-11-19-refined-times.txt</v>
      </c>
      <c r="AI135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{"issue":{"subject":"","project_id":79,"tracker_id":40,"status_id":1,"priority_id":2,"assigned_to_id":23,"start_date":"2016-11-19","description":"","custom_fields":[{"id":1,"name":"Subdivision","value":"EC"},{"id":4,"name":"Milepost","value":"0.0127"},{"id":17,"name":"Train ID","value":"222-19"},{"id":16,"name":"Locomotive ID","value":"4037"},{"id":130,"name":"Impact","value":""},{"id":150,"name":"Time of Event (Mountain Time)","value":"20:33:38"},{"id":151,"name":"Denver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x14ac:dyDescent="0.25">
      <c r="A136" s="37" t="s">
        <v>618</v>
      </c>
      <c r="B136" s="7">
        <v>4014</v>
      </c>
      <c r="C136" s="22" t="s">
        <v>218</v>
      </c>
      <c r="D136" s="22" t="s">
        <v>337</v>
      </c>
      <c r="E136" s="13">
        <v>42693.805578703701</v>
      </c>
      <c r="F136" s="13">
        <v>42693.812824074077</v>
      </c>
      <c r="G136" s="7">
        <v>1</v>
      </c>
      <c r="H136" s="22" t="s">
        <v>682</v>
      </c>
      <c r="I136" s="13">
        <v>42693.836712962962</v>
      </c>
      <c r="J136" s="7">
        <v>0</v>
      </c>
      <c r="K136" s="109" t="str">
        <f t="shared" si="19"/>
        <v>4013/4014</v>
      </c>
      <c r="L136" s="22" t="str">
        <f>VLOOKUP(A136,'Trips&amp;Operators'!$C$1:$E$10000,3,FALSE)</f>
        <v>NEWELL</v>
      </c>
      <c r="M136" s="6">
        <f t="shared" si="20"/>
        <v>2.3888888885267079E-2</v>
      </c>
      <c r="N136" s="7">
        <f t="shared" si="21"/>
        <v>34.399999994784594</v>
      </c>
      <c r="O136" s="7"/>
      <c r="P136" s="7"/>
      <c r="Q136" s="23"/>
      <c r="R136" s="23"/>
      <c r="S136" s="35">
        <f t="shared" si="22"/>
        <v>1</v>
      </c>
      <c r="T136" s="50" t="str">
        <f t="shared" si="23"/>
        <v>NorthBound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18:20:02-700',mode:absolute,to:'2016-11-19 21:04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6" s="52" t="str">
        <f t="shared" si="25"/>
        <v>N</v>
      </c>
      <c r="X136" s="177">
        <f t="shared" si="26"/>
        <v>1</v>
      </c>
      <c r="Y136" s="67">
        <f t="shared" si="27"/>
        <v>4.5499999999999999E-2</v>
      </c>
      <c r="Z136" s="67">
        <f t="shared" si="28"/>
        <v>23.330300000000001</v>
      </c>
      <c r="AA136" s="67">
        <f t="shared" si="29"/>
        <v>23.284800000000001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30"/>
        <v>0223-19</v>
      </c>
      <c r="AE136" s="91" t="str">
        <f t="shared" si="31"/>
        <v>aws s3 cp s3://rtdc.mdm.uploadarchive.raw/RTDC4014/ "%USERPROFILE%\AppData\Local\Temp\OnboardLogs"\RTDC4014\2016-11-19 --exclude "*" --recursive --include "*20161119*" &amp; "%USERPROFILE%\Documents\GitHub\mrs-test-scripts\Headless Mode &amp; Sideloading\WalkAndUnGZ.bat" "%USERPROFILE%\AppData\Local\Temp\OnboardLogs"\RTDC4014\2016-11-19 &amp; aws s3 cp s3://rtdc.mdm.uploadarchive.raw/RTDC4014/ "%USERPROFILE%\AppData\Local\Temp\OnboardLogs"\RTDC4014\2016-11-20 --exclude "*" --recursive --include "*20161120*" &amp; "%USERPROFILE%\Documents\GitHub\mrs-test-scripts\Headless Mode &amp; Sideloading\WalkAndUnGZ.bat" "%USERPROFILE%\AppData\Local\Temp\OnboardLogs"\RTDC4014\2016-11-20</v>
      </c>
      <c r="AF136" s="88" t="str">
        <f t="shared" si="32"/>
        <v>"C:\Program Files (x86)\AstroGrep\AstroGrep.exe" /spath="%USERPROFILE%\AppData\Local\Temp\OnboardLogs" /stypes="app*4014*20161120*" /stext=" 03:.+((SYSTEM_STATE.+slice.+state.+changed )|(ment ac)|(system.+state.+changed )|(\[timeout)|(PRM\|1\|D)|(kpr)|(kdp)|(\|lc)|(penalty))" /e /r /s</v>
      </c>
      <c r="AG136" s="1" t="str">
        <f t="shared" si="33"/>
        <v>EC</v>
      </c>
      <c r="AH136" s="92" t="str">
        <f t="shared" si="34"/>
        <v>"%USERPROFILE%\Documents\GitHub\eaglep3\Utilities\RefineRTDCRunTimes.py" --tripid 223-19 --locoid 4014 --swversion DE.1.0.8.0 --startMP 204:455 --initTime 2016-11-19T19:20:02 --startdatetime 2016-11-19T19:30:28 --delay 1 --endMP 204:233303 --enddatetime 2016-11-19T20:04:52 --enforcementcount 0 &gt;&gt;C:\Users\stu\Documents\GitHub\eaglep3-reporting\EC\2016-11-19-refined-times.txt</v>
      </c>
      <c r="AI136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{"issue":{"subject":"","project_id":79,"tracker_id":40,"status_id":1,"priority_id":2,"assigned_to_id":23,"start_date":"2016-11-19","description":"","custom_fields":[{"id":1,"name":"Subdivision","value":"EC"},{"id":4,"name":"Milepost","value":"23.3303"},{"id":17,"name":"Train ID","value":"223-19"},{"id":16,"name":"Locomotive ID","value":"4014"},{"id":130,"name":"Impact","value":""},{"id":150,"name":"Time of Event (Mountain Time)","value":"20:04:52"},{"id":151,"name":"Denver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</row>
    <row r="137" spans="1:91" x14ac:dyDescent="0.25">
      <c r="A137" s="37" t="s">
        <v>623</v>
      </c>
      <c r="B137" s="7">
        <v>4013</v>
      </c>
      <c r="C137" s="22" t="s">
        <v>218</v>
      </c>
      <c r="D137" s="22" t="s">
        <v>278</v>
      </c>
      <c r="E137" s="13">
        <v>42693.843819444446</v>
      </c>
      <c r="F137" s="13">
        <v>42693.851620370369</v>
      </c>
      <c r="G137" s="7">
        <v>1</v>
      </c>
      <c r="H137" s="22" t="s">
        <v>231</v>
      </c>
      <c r="I137" s="13">
        <v>42693.877199074072</v>
      </c>
      <c r="J137" s="7">
        <v>0</v>
      </c>
      <c r="K137" s="109" t="str">
        <f t="shared" si="19"/>
        <v>4013/4014</v>
      </c>
      <c r="L137" s="22" t="str">
        <f>VLOOKUP(A137,'Trips&amp;Operators'!$C$1:$E$10000,3,FALSE)</f>
        <v>NEWELL</v>
      </c>
      <c r="M137" s="6">
        <f t="shared" si="20"/>
        <v>2.5578703702194616E-2</v>
      </c>
      <c r="N137" s="7">
        <f t="shared" si="21"/>
        <v>36.833333331160247</v>
      </c>
      <c r="O137" s="7"/>
      <c r="P137" s="7"/>
      <c r="Q137" s="23"/>
      <c r="R137" s="23"/>
      <c r="S137" s="35">
        <f t="shared" si="22"/>
        <v>1</v>
      </c>
      <c r="T137" s="50" t="str">
        <f t="shared" si="23"/>
        <v>Southbound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19:15:06-700',mode:absolute,to:'2016-11-19 22:03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7" s="52" t="str">
        <f t="shared" si="25"/>
        <v>N</v>
      </c>
      <c r="X137" s="177">
        <f t="shared" si="26"/>
        <v>1</v>
      </c>
      <c r="Y137" s="67">
        <f t="shared" si="27"/>
        <v>23.297499999999999</v>
      </c>
      <c r="Z137" s="67">
        <f t="shared" si="28"/>
        <v>1.4999999999999999E-2</v>
      </c>
      <c r="AA137" s="67">
        <f t="shared" si="29"/>
        <v>23.282499999999999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si="30"/>
        <v>0224-19</v>
      </c>
      <c r="AE137" s="91" t="str">
        <f t="shared" si="31"/>
        <v>aws s3 cp s3://rtdc.mdm.uploadarchive.raw/RTDC4013/ "%USERPROFILE%\AppData\Local\Temp\OnboardLogs"\RTDC4013\2016-11-19 --exclude "*" --recursive --include "*20161119*" &amp; "%USERPROFILE%\Documents\GitHub\mrs-test-scripts\Headless Mode &amp; Sideloading\WalkAndUnGZ.bat" "%USERPROFILE%\AppData\Local\Temp\OnboardLogs"\RTDC4013\2016-11-19 &amp; aws s3 cp s3://rtdc.mdm.uploadarchive.raw/RTDC4013/ "%USERPROFILE%\AppData\Local\Temp\OnboardLogs"\RTDC4013\2016-11-20 --exclude "*" --recursive --include "*20161120*" &amp; "%USERPROFILE%\Documents\GitHub\mrs-test-scripts\Headless Mode &amp; Sideloading\WalkAndUnGZ.bat" "%USERPROFILE%\AppData\Local\Temp\OnboardLogs"\RTDC4013\2016-11-20</v>
      </c>
      <c r="AF137" s="88" t="str">
        <f t="shared" si="32"/>
        <v>"C:\Program Files (x86)\AstroGrep\AstroGrep.exe" /spath="%USERPROFILE%\AppData\Local\Temp\OnboardLogs" /stypes="app*4013*20161120*" /stext=" 04:.+((SYSTEM_STATE.+slice.+state.+changed )|(ment ac)|(system.+state.+changed )|(\[timeout)|(PRM\|1\|D)|(kpr)|(kdp)|(\|lc)|(penalty))" /e /r /s</v>
      </c>
      <c r="AG137" s="1" t="str">
        <f t="shared" si="33"/>
        <v>EC</v>
      </c>
      <c r="AH137" s="92" t="str">
        <f t="shared" si="34"/>
        <v>"%USERPROFILE%\Documents\GitHub\eaglep3\Utilities\RefineRTDCRunTimes.py" --tripid 224-19 --locoid 4013 --swversion DE.1.0.8.0 --startMP 204:232975 --initTime 2016-11-19T20:15:06 --startdatetime 2016-11-19T20:26:20 --delay 1 --endMP 204:150 --enddatetime 2016-11-19T21:03:10 --enforcementcount 0 &gt;&gt;C:\Users\stu\Documents\GitHub\eaglep3-reporting\EC\2016-11-19-refined-times.txt</v>
      </c>
      <c r="AI137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{"issue":{"subject":"","project_id":79,"tracker_id":40,"status_id":1,"priority_id":2,"assigned_to_id":23,"start_date":"2016-11-19","description":"","custom_fields":[{"id":1,"name":"Subdivision","value":"EC"},{"id":4,"name":"Milepost","value":"0.015"},{"id":17,"name":"Train ID","value":"224-19"},{"id":16,"name":"Locomotive ID","value":"4013"},{"id":130,"name":"Impact","value":""},{"id":150,"name":"Time of Event (Mountain Time)","value":"21:03:10"},{"id":151,"name":"Denver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</row>
    <row r="138" spans="1:91" x14ac:dyDescent="0.25">
      <c r="A138" s="37" t="s">
        <v>622</v>
      </c>
      <c r="B138" s="7">
        <v>4002</v>
      </c>
      <c r="C138" s="22" t="s">
        <v>218</v>
      </c>
      <c r="D138" s="22" t="s">
        <v>215</v>
      </c>
      <c r="E138" s="13">
        <v>42693.830972222226</v>
      </c>
      <c r="F138" s="13">
        <v>42693.83357638889</v>
      </c>
      <c r="G138" s="7">
        <v>1</v>
      </c>
      <c r="H138" s="22" t="s">
        <v>727</v>
      </c>
      <c r="I138" s="13">
        <v>42693.858912037038</v>
      </c>
      <c r="J138" s="7">
        <v>0</v>
      </c>
      <c r="K138" s="109" t="str">
        <f t="shared" si="19"/>
        <v>4001/4002</v>
      </c>
      <c r="L138" s="22" t="str">
        <f>VLOOKUP(A138,'Trips&amp;Operators'!$C$1:$E$10000,3,FALSE)</f>
        <v>CHANDLER</v>
      </c>
      <c r="M138" s="6">
        <f t="shared" si="20"/>
        <v>2.5335648148029577E-2</v>
      </c>
      <c r="N138" s="7">
        <f t="shared" si="21"/>
        <v>36.483333333162591</v>
      </c>
      <c r="O138" s="7"/>
      <c r="P138" s="7"/>
      <c r="Q138" s="23"/>
      <c r="R138" s="23"/>
      <c r="S138" s="35">
        <f t="shared" si="22"/>
        <v>1</v>
      </c>
      <c r="T138" s="50" t="str">
        <f t="shared" si="23"/>
        <v>NorthBound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https://search-rtdc-monitor-bjffxe2xuh6vdkpspy63sjmuny.us-east-1.es.amazonaws.com/_plugin/kibana/#/discover/Steve-Slow-Train-Analysis-(2080s-and-2083s)?_g=(refreshInterval:(display:Off,section:0,value:0),time:(from:'2016-11-19 18:56:36-700',mode:absolute,to:'2016-11-19 21:36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8" s="52" t="str">
        <f t="shared" si="25"/>
        <v>N</v>
      </c>
      <c r="X138" s="177">
        <f t="shared" si="26"/>
        <v>1</v>
      </c>
      <c r="Y138" s="67">
        <f t="shared" si="27"/>
        <v>4.6199999999999998E-2</v>
      </c>
      <c r="Z138" s="67">
        <f t="shared" si="28"/>
        <v>23.333100000000002</v>
      </c>
      <c r="AA138" s="67">
        <f t="shared" si="29"/>
        <v>23.286900000000003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30"/>
        <v>0225-19</v>
      </c>
      <c r="AE138" s="91" t="str">
        <f t="shared" si="31"/>
        <v>aws s3 cp s3://rtdc.mdm.uploadarchive.raw/RTDC4002/ "%USERPROFILE%\AppData\Local\Temp\OnboardLogs"\RTDC4002\2016-11-19 --exclude "*" --recursive --include "*20161119*" &amp; "%USERPROFILE%\Documents\GitHub\mrs-test-scripts\Headless Mode &amp; Sideloading\WalkAndUnGZ.bat" "%USERPROFILE%\AppData\Local\Temp\OnboardLogs"\RTDC4002\2016-11-19 &amp; aws s3 cp s3://rtdc.mdm.uploadarchive.raw/RTDC4002/ "%USERPROFILE%\AppData\Local\Temp\OnboardLogs"\RTDC4002\2016-11-20 --exclude "*" --recursive --include "*20161120*" &amp; "%USERPROFILE%\Documents\GitHub\mrs-test-scripts\Headless Mode &amp; Sideloading\WalkAndUnGZ.bat" "%USERPROFILE%\AppData\Local\Temp\OnboardLogs"\RTDC4002\2016-11-20</v>
      </c>
      <c r="AF138" s="88" t="str">
        <f t="shared" si="32"/>
        <v>"C:\Program Files (x86)\AstroGrep\AstroGrep.exe" /spath="%USERPROFILE%\AppData\Local\Temp\OnboardLogs" /stypes="app*4002*20161120*" /stext=" 03:.+((SYSTEM_STATE.+slice.+state.+changed )|(ment ac)|(system.+state.+changed )|(\[timeout)|(PRM\|1\|D)|(kpr)|(kdp)|(\|lc)|(penalty))" /e /r /s</v>
      </c>
      <c r="AG138" s="1" t="str">
        <f t="shared" si="33"/>
        <v>EC</v>
      </c>
      <c r="AH138" s="92" t="str">
        <f t="shared" si="34"/>
        <v>"%USERPROFILE%\Documents\GitHub\eaglep3\Utilities\RefineRTDCRunTimes.py" --tripid 225-19 --locoid 4002 --swversion DE.1.0.8.0 --startMP 204:462 --initTime 2016-11-19T19:56:36 --startdatetime 2016-11-19T20:00:21 --delay 1 --endMP 204:233331 --enddatetime 2016-11-19T20:36:50 --enforcementcount 0 &gt;&gt;C:\Users\stu\Documents\GitHub\eaglep3-reporting\EC\2016-11-19-refined-times.txt</v>
      </c>
      <c r="AI138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{"issue":{"subject":"","project_id":79,"tracker_id":40,"status_id":1,"priority_id":2,"assigned_to_id":23,"start_date":"2016-11-19","description":"","custom_fields":[{"id":1,"name":"Subdivision","value":"EC"},{"id":4,"name":"Milepost","value":"23.3331"},{"id":17,"name":"Train ID","value":"225-19"},{"id":16,"name":"Locomotive ID","value":"4002"},{"id":130,"name":"Impact","value":""},{"id":150,"name":"Time of Event (Mountain Time)","value":"20:36:50"},{"id":151,"name":"Denver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</row>
    <row r="139" spans="1:91" s="21" customFormat="1" x14ac:dyDescent="0.25">
      <c r="A139" s="37" t="s">
        <v>627</v>
      </c>
      <c r="B139" s="7">
        <v>4001</v>
      </c>
      <c r="C139" s="22" t="s">
        <v>218</v>
      </c>
      <c r="D139" s="22" t="s">
        <v>366</v>
      </c>
      <c r="E139" s="13">
        <v>42693.869560185187</v>
      </c>
      <c r="F139" s="13">
        <v>42693.872685185182</v>
      </c>
      <c r="G139" s="7">
        <v>1</v>
      </c>
      <c r="H139" s="22" t="s">
        <v>360</v>
      </c>
      <c r="I139" s="13">
        <v>42693.900046296294</v>
      </c>
      <c r="J139" s="7">
        <v>0</v>
      </c>
      <c r="K139" s="109" t="str">
        <f t="shared" ref="K139:K201" si="36">IF(ISEVEN(B139),(B139-1)&amp;"/"&amp;B139,B139&amp;"/"&amp;(B139+1))</f>
        <v>4001/4002</v>
      </c>
      <c r="L139" s="22" t="str">
        <f>VLOOKUP(A139,'Trips&amp;Operators'!$C$1:$E$10000,3,FALSE)</f>
        <v>CHANDLER</v>
      </c>
      <c r="M139" s="6">
        <f t="shared" ref="M139:M201" si="37">I139-F139</f>
        <v>2.73611111115315E-2</v>
      </c>
      <c r="N139" s="7">
        <f t="shared" ref="N139:P201" si="38">24*60*SUM($M139:$M139)</f>
        <v>39.40000000060536</v>
      </c>
      <c r="O139" s="7"/>
      <c r="P139" s="7"/>
      <c r="Q139" s="23"/>
      <c r="R139" s="23"/>
      <c r="S139" s="35">
        <f t="shared" ref="S139:S201" si="39">SUM(U139:U139)/IF(AG139="EC",12,1)</f>
        <v>1</v>
      </c>
      <c r="T139" s="50" t="str">
        <f t="shared" ref="T139:T201" si="40">IF(ISEVEN(LEFT(AD139,4)),"Southbound","NorthBound")</f>
        <v>Southbound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ref="V139:V201" si="41">"https://search-rtdc-monitor-bjffxe2xuh6vdkpspy63sjmuny.us-east-1.es.amazonaws.com/_plugin/kibana/#/discover/Steve-Slow-Train-Analysis-(2080s-and-2083s)?_g=(refreshInterval:(display:Off,section:0,value:0),time:(from:'"&amp;TEXT(E139-1/24,"yyyy-MM-DD hh:mm:ss")&amp;utc_offset&amp;"00',mode:absolute,to:'"&amp;TEXT(I139+1/24,"yyyy-MM-DD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https://search-rtdc-monitor-bjffxe2xuh6vdkpspy63sjmuny.us-east-1.es.amazonaws.com/_plugin/kibana/#/discover/Steve-Slow-Train-Analysis-(2080s-and-2083s)?_g=(refreshInterval:(display:Off,section:0,value:0),time:(from:'2016-11-19 19:52:10-700',mode:absolute,to:'2016-11-19 22:36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9" s="52" t="str">
        <f t="shared" ref="W139:W201" si="42">IF(AA139&lt;IF(AG139="EC",23,5.65),"Y","N")</f>
        <v>N</v>
      </c>
      <c r="X139" s="177">
        <f t="shared" ref="X139:X201" si="43">VALUE(LEFT(AD139,4))-VALUE(LEFT(AD138,4))</f>
        <v>1</v>
      </c>
      <c r="Y139" s="67">
        <f t="shared" ref="Y139:Y201" si="44">RIGHT(D139,LEN(D139)-4)/10000</f>
        <v>23.3019</v>
      </c>
      <c r="Z139" s="67">
        <f t="shared" ref="Z139:Z201" si="45">RIGHT(H139,LEN(H139)-4)/10000</f>
        <v>1.34E-2</v>
      </c>
      <c r="AA139" s="67">
        <f t="shared" ref="AA139:AA201" si="46">ABS(Z139-Y139)</f>
        <v>23.288499999999999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ref="AD139:AD201" si="47">IF(LEN(A139)=6,"0"&amp;A139,A139)</f>
        <v>0226-19</v>
      </c>
      <c r="AE139" s="91" t="str">
        <f t="shared" ref="AE139:AE201" si="48"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s3://rtdc.mdm.uploadarchive.raw/RTDC4001/ "%USERPROFILE%\AppData\Local\Temp\OnboardLogs"\RTDC4001\2016-11-19 --exclude "*" --recursive --include "*20161119*" &amp; "%USERPROFILE%\Documents\GitHub\mrs-test-scripts\Headless Mode &amp; Sideloading\WalkAndUnGZ.bat" "%USERPROFILE%\AppData\Local\Temp\OnboardLogs"\RTDC4001\2016-11-19 &amp; aws s3 cp s3://rtdc.mdm.uploadarchive.raw/RTDC4001/ "%USERPROFILE%\AppData\Local\Temp\OnboardLogs"\RTDC4001\2016-11-20 --exclude "*" --recursive --include "*20161120*" &amp; "%USERPROFILE%\Documents\GitHub\mrs-test-scripts\Headless Mode &amp; Sideloading\WalkAndUnGZ.bat" "%USERPROFILE%\AppData\Local\Temp\OnboardLogs"\RTDC4001\2016-11-20</v>
      </c>
      <c r="AF139" s="88" t="str">
        <f t="shared" ref="AF139:AF201" si="49"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/stypes="app*4001*20161120*" /stext=" 04:.+((SYSTEM_STATE.+slice.+state.+changed )|(ment ac)|(system.+state.+changed )|(\[timeout)|(PRM\|1\|D)|(kpr)|(kdp)|(\|lc)|(penalty))" /e /r /s</v>
      </c>
      <c r="AG139" s="1" t="str">
        <f t="shared" ref="AG139:AG201" si="50">IFERROR(IF(VALUE(LEFT(AD139,2))&lt;=2,"EC",IF(OR(VALUE(LEFT(AD139,2))=8,VALUE(LEFT(AD139,2))=18),"NW","Other")),"Other")</f>
        <v>EC</v>
      </c>
      <c r="AH139" s="92" t="str">
        <f t="shared" si="34"/>
        <v>"%USERPROFILE%\Documents\GitHub\eaglep3\Utilities\RefineRTDCRunTimes.py" --tripid 226-19 --locoid 4001 --swversion DE.1.0.8.0 --startMP 204:233019 --initTime 2016-11-19T20:52:10 --startdatetime 2016-11-19T20:56:40 --delay 1 --endMP 204:134 --enddatetime 2016-11-19T21:36:04 --enforcementcount 0 &gt;&gt;C:\Users\stu\Documents\GitHub\eaglep3-reporting\EC\2016-11-19-refined-times.txt</v>
      </c>
      <c r="AI139" s="119" t="str">
        <f t="shared" si="35"/>
        <v>echo {"issue":{"subject":"","project_id":79,"tracker_id":40,"status_id":1,"priority_id":2,"assigned_to_id":23,"start_date":"2016-11-19","description":"","custom_fields":[{"id":1,"name":"Subdivision","value":"EC"},{"id":4,"name":"Milepost","value":"0.0134"},{"id":17,"name":"Train ID","value":"226-19"},{"id":16,"name":"Locomotive ID","value":"4001"},{"id":130,"name":"Impact","value":""},{"id":150,"name":"Time of Event (Mountain Time)","value":"21:36:04"},{"id":151,"name":"Denver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625</v>
      </c>
      <c r="B140" s="7">
        <v>4046</v>
      </c>
      <c r="C140" s="22" t="s">
        <v>218</v>
      </c>
      <c r="D140" s="22" t="s">
        <v>269</v>
      </c>
      <c r="E140" s="13">
        <v>42693.846805555557</v>
      </c>
      <c r="F140" s="13">
        <v>42693.854745370372</v>
      </c>
      <c r="G140" s="7">
        <v>1</v>
      </c>
      <c r="H140" s="22" t="s">
        <v>303</v>
      </c>
      <c r="I140" s="13">
        <v>42693.878379629627</v>
      </c>
      <c r="J140" s="7">
        <v>0</v>
      </c>
      <c r="K140" s="109" t="str">
        <f t="shared" si="36"/>
        <v>4045/4046</v>
      </c>
      <c r="L140" s="22" t="str">
        <f>VLOOKUP(A140,'Trips&amp;Operators'!$C$1:$E$10000,3,FALSE)</f>
        <v>STAMBAUGH</v>
      </c>
      <c r="M140" s="6">
        <f t="shared" si="37"/>
        <v>2.3634259254322387E-2</v>
      </c>
      <c r="N140" s="7">
        <f t="shared" si="38"/>
        <v>34.033333326224238</v>
      </c>
      <c r="O140" s="7"/>
      <c r="P140" s="7"/>
      <c r="Q140" s="23"/>
      <c r="R140" s="23"/>
      <c r="S140" s="35">
        <f t="shared" si="39"/>
        <v>1</v>
      </c>
      <c r="T140" s="50" t="str">
        <f t="shared" si="40"/>
        <v>NorthBound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19:19:24-700',mode:absolute,to:'2016-11-19 22:04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0" s="52" t="str">
        <f t="shared" si="42"/>
        <v>N</v>
      </c>
      <c r="X140" s="177">
        <f t="shared" si="43"/>
        <v>1</v>
      </c>
      <c r="Y140" s="67">
        <f t="shared" si="44"/>
        <v>4.4900000000000002E-2</v>
      </c>
      <c r="Z140" s="67">
        <f t="shared" si="45"/>
        <v>23.3307</v>
      </c>
      <c r="AA140" s="67">
        <f t="shared" si="46"/>
        <v>23.285800000000002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si="47"/>
        <v>0227-19</v>
      </c>
      <c r="AE140" s="91" t="str">
        <f t="shared" si="48"/>
        <v>aws s3 cp s3://rtdc.mdm.uploadarchive.raw/RTDC4046/ "%USERPROFILE%\AppData\Local\Temp\OnboardLogs"\RTDC4046\2016-11-19 --exclude "*" --recursive --include "*20161119*" &amp; "%USERPROFILE%\Documents\GitHub\mrs-test-scripts\Headless Mode &amp; Sideloading\WalkAndUnGZ.bat" "%USERPROFILE%\AppData\Local\Temp\OnboardLogs"\RTDC4046\2016-11-19 &amp; aws s3 cp s3://rtdc.mdm.uploadarchive.raw/RTDC4046/ "%USERPROFILE%\AppData\Local\Temp\OnboardLogs"\RTDC4046\2016-11-20 --exclude "*" --recursive --include "*20161120*" &amp; "%USERPROFILE%\Documents\GitHub\mrs-test-scripts\Headless Mode &amp; Sideloading\WalkAndUnGZ.bat" "%USERPROFILE%\AppData\Local\Temp\OnboardLogs"\RTDC4046\2016-11-20</v>
      </c>
      <c r="AF140" s="88" t="str">
        <f t="shared" si="49"/>
        <v>"C:\Program Files (x86)\AstroGrep\AstroGrep.exe" /spath="%USERPROFILE%\AppData\Local\Temp\OnboardLogs" /stypes="app*4046*20161120*" /stext=" 04:.+((SYSTEM_STATE.+slice.+state.+changed )|(ment ac)|(system.+state.+changed )|(\[timeout)|(PRM\|1\|D)|(kpr)|(kdp)|(\|lc)|(penalty))" /e /r /s</v>
      </c>
      <c r="AG140" s="1" t="str">
        <f t="shared" si="50"/>
        <v>EC</v>
      </c>
      <c r="AH140" s="92" t="str">
        <f t="shared" ref="AH140:AH202" si="51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227-19 --locoid 4046 --swversion DE.1.0.8.0 --startMP 204:449 --initTime 2016-11-19T20:19:24 --startdatetime 2016-11-19T20:30:50 --delay 1 --endMP 204:233307 --enddatetime 2016-11-19T21:04:52 --enforcementcount 0 &gt;&gt;C:\Users\stu\Documents\GitHub\eaglep3-reporting\EC\2016-11-19-refined-times.txt</v>
      </c>
      <c r="AI140" s="119" t="str">
        <f t="shared" ref="AI140:AI202" si="52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{"issue":{"subject":"","project_id":79,"tracker_id":40,"status_id":1,"priority_id":2,"assigned_to_id":23,"start_date":"2016-11-19","description":"","custom_fields":[{"id":1,"name":"Subdivision","value":"EC"},{"id":4,"name":"Milepost","value":"23.3307"},{"id":17,"name":"Train ID","value":"227-19"},{"id":16,"name":"Locomotive ID","value":"4046"},{"id":130,"name":"Impact","value":""},{"id":150,"name":"Time of Event (Mountain Time)","value":"21:04:52"},{"id":151,"name":"Denver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629</v>
      </c>
      <c r="B141" s="7">
        <v>4045</v>
      </c>
      <c r="C141" s="22" t="s">
        <v>218</v>
      </c>
      <c r="D141" s="22" t="s">
        <v>660</v>
      </c>
      <c r="E141" s="13">
        <v>42693.888124999998</v>
      </c>
      <c r="F141" s="13">
        <v>42693.89334490741</v>
      </c>
      <c r="G141" s="7">
        <v>1</v>
      </c>
      <c r="H141" s="22" t="s">
        <v>744</v>
      </c>
      <c r="I141" s="13">
        <v>42693.918865740743</v>
      </c>
      <c r="J141" s="7">
        <v>0</v>
      </c>
      <c r="K141" s="109" t="str">
        <f t="shared" si="36"/>
        <v>4045/4046</v>
      </c>
      <c r="L141" s="22" t="str">
        <f>VLOOKUP(A141,'Trips&amp;Operators'!$C$1:$E$10000,3,FALSE)</f>
        <v>STAMBAUGH</v>
      </c>
      <c r="M141" s="6">
        <f t="shared" si="37"/>
        <v>2.5520833332848269E-2</v>
      </c>
      <c r="N141" s="7">
        <f t="shared" si="38"/>
        <v>36.749999999301508</v>
      </c>
      <c r="O141" s="7"/>
      <c r="P141" s="7"/>
      <c r="Q141" s="23"/>
      <c r="R141" s="23"/>
      <c r="S141" s="35">
        <f t="shared" si="39"/>
        <v>1</v>
      </c>
      <c r="T141" s="50" t="str">
        <f t="shared" si="40"/>
        <v>Southbound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20:18:54-700',mode:absolute,to:'2016-11-19 23:03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1" s="52" t="str">
        <f t="shared" si="42"/>
        <v>N</v>
      </c>
      <c r="X141" s="177">
        <f t="shared" si="43"/>
        <v>1</v>
      </c>
      <c r="Y141" s="67">
        <f t="shared" si="44"/>
        <v>23.296900000000001</v>
      </c>
      <c r="Z141" s="67">
        <f t="shared" si="45"/>
        <v>1.29E-2</v>
      </c>
      <c r="AA141" s="67">
        <f t="shared" si="46"/>
        <v>23.284000000000002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si="47"/>
        <v>0228-19</v>
      </c>
      <c r="AE141" s="91" t="str">
        <f t="shared" si="48"/>
        <v>aws s3 cp s3://rtdc.mdm.uploadarchive.raw/RTDC4045/ "%USERPROFILE%\AppData\Local\Temp\OnboardLogs"\RTDC4045\2016-11-19 --exclude "*" --recursive --include "*20161119*" &amp; "%USERPROFILE%\Documents\GitHub\mrs-test-scripts\Headless Mode &amp; Sideloading\WalkAndUnGZ.bat" "%USERPROFILE%\AppData\Local\Temp\OnboardLogs"\RTDC4045\2016-11-19 &amp; aws s3 cp s3://rtdc.mdm.uploadarchive.raw/RTDC4045/ "%USERPROFILE%\AppData\Local\Temp\OnboardLogs"\RTDC4045\2016-11-20 --exclude "*" --recursive --include "*20161120*" &amp; "%USERPROFILE%\Documents\GitHub\mrs-test-scripts\Headless Mode &amp; Sideloading\WalkAndUnGZ.bat" "%USERPROFILE%\AppData\Local\Temp\OnboardLogs"\RTDC4045\2016-11-20</v>
      </c>
      <c r="AF141" s="88" t="str">
        <f t="shared" si="49"/>
        <v>"C:\Program Files (x86)\AstroGrep\AstroGrep.exe" /spath="%USERPROFILE%\AppData\Local\Temp\OnboardLogs" /stypes="app*4045*20161120*" /stext=" 05:.+((SYSTEM_STATE.+slice.+state.+changed )|(ment ac)|(system.+state.+changed )|(\[timeout)|(PRM\|1\|D)|(kpr)|(kdp)|(\|lc)|(penalty))" /e /r /s</v>
      </c>
      <c r="AG141" s="1" t="str">
        <f t="shared" si="50"/>
        <v>EC</v>
      </c>
      <c r="AH141" s="92" t="str">
        <f t="shared" si="51"/>
        <v>"%USERPROFILE%\Documents\GitHub\eaglep3\Utilities\RefineRTDCRunTimes.py" --tripid 228-19 --locoid 4045 --swversion DE.1.0.8.0 --startMP 204:232969 --initTime 2016-11-19T21:18:54 --startdatetime 2016-11-19T21:26:25 --delay 1 --endMP 204:129 --enddatetime 2016-11-19T22:03:10 --enforcementcount 0 &gt;&gt;C:\Users\stu\Documents\GitHub\eaglep3-reporting\EC\2016-11-19-refined-times.txt</v>
      </c>
      <c r="AI141" s="119" t="str">
        <f t="shared" si="52"/>
        <v>echo {"issue":{"subject":"","project_id":79,"tracker_id":40,"status_id":1,"priority_id":2,"assigned_to_id":23,"start_date":"2016-11-19","description":"","custom_fields":[{"id":1,"name":"Subdivision","value":"EC"},{"id":4,"name":"Milepost","value":"0.0129"},{"id":17,"name":"Train ID","value":"228-19"},{"id":16,"name":"Locomotive ID","value":"4045"},{"id":130,"name":"Impact","value":""},{"id":150,"name":"Time of Event (Mountain Time)","value":"22:03:10"},{"id":151,"name":"Denver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628</v>
      </c>
      <c r="B142" s="7">
        <v>4038</v>
      </c>
      <c r="C142" s="22" t="s">
        <v>218</v>
      </c>
      <c r="D142" s="22" t="s">
        <v>356</v>
      </c>
      <c r="E142" s="13">
        <v>42693.869930555556</v>
      </c>
      <c r="F142" s="13">
        <v>42693.875486111108</v>
      </c>
      <c r="G142" s="7">
        <v>1</v>
      </c>
      <c r="H142" s="22" t="s">
        <v>745</v>
      </c>
      <c r="I142" s="13">
        <v>42693.900034722225</v>
      </c>
      <c r="J142" s="7">
        <v>0</v>
      </c>
      <c r="K142" s="109" t="str">
        <f t="shared" si="36"/>
        <v>4037/4038</v>
      </c>
      <c r="L142" s="22" t="str">
        <f>VLOOKUP(A142,'Trips&amp;Operators'!$C$1:$E$10000,3,FALSE)</f>
        <v>LEVIN</v>
      </c>
      <c r="M142" s="6">
        <f t="shared" si="37"/>
        <v>2.4548611116188113E-2</v>
      </c>
      <c r="N142" s="7">
        <f t="shared" si="38"/>
        <v>35.350000007310882</v>
      </c>
      <c r="O142" s="7"/>
      <c r="P142" s="7"/>
      <c r="Q142" s="23"/>
      <c r="R142" s="23"/>
      <c r="S142" s="35">
        <f t="shared" si="39"/>
        <v>1</v>
      </c>
      <c r="T142" s="50" t="str">
        <f t="shared" si="40"/>
        <v>NorthBound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19:52:42-700',mode:absolute,to:'2016-11-19 22:36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2" s="52" t="str">
        <f t="shared" si="42"/>
        <v>N</v>
      </c>
      <c r="X142" s="177">
        <f t="shared" si="43"/>
        <v>1</v>
      </c>
      <c r="Y142" s="67">
        <f t="shared" si="44"/>
        <v>4.4200000000000003E-2</v>
      </c>
      <c r="Z142" s="67">
        <f t="shared" si="45"/>
        <v>23.332699999999999</v>
      </c>
      <c r="AA142" s="67">
        <f t="shared" si="46"/>
        <v>23.288499999999999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si="47"/>
        <v>0229-19</v>
      </c>
      <c r="AE142" s="91" t="str">
        <f t="shared" si="48"/>
        <v>aws s3 cp s3://rtdc.mdm.uploadarchive.raw/RTDC4038/ "%USERPROFILE%\AppData\Local\Temp\OnboardLogs"\RTDC4038\2016-11-19 --exclude "*" --recursive --include "*20161119*" &amp; "%USERPROFILE%\Documents\GitHub\mrs-test-scripts\Headless Mode &amp; Sideloading\WalkAndUnGZ.bat" "%USERPROFILE%\AppData\Local\Temp\OnboardLogs"\RTDC4038\2016-11-19 &amp; aws s3 cp s3://rtdc.mdm.uploadarchive.raw/RTDC4038/ "%USERPROFILE%\AppData\Local\Temp\OnboardLogs"\RTDC4038\2016-11-20 --exclude "*" --recursive --include "*20161120*" &amp; "%USERPROFILE%\Documents\GitHub\mrs-test-scripts\Headless Mode &amp; Sideloading\WalkAndUnGZ.bat" "%USERPROFILE%\AppData\Local\Temp\OnboardLogs"\RTDC4038\2016-11-20</v>
      </c>
      <c r="AF142" s="88" t="str">
        <f t="shared" si="49"/>
        <v>"C:\Program Files (x86)\AstroGrep\AstroGrep.exe" /spath="%USERPROFILE%\AppData\Local\Temp\OnboardLogs" /stypes="app*4038*20161120*" /stext=" 04:.+((SYSTEM_STATE.+slice.+state.+changed )|(ment ac)|(system.+state.+changed )|(\[timeout)|(PRM\|1\|D)|(kpr)|(kdp)|(\|lc)|(penalty))" /e /r /s</v>
      </c>
      <c r="AG142" s="1" t="str">
        <f t="shared" si="50"/>
        <v>EC</v>
      </c>
      <c r="AH142" s="92" t="str">
        <f t="shared" si="51"/>
        <v>"%USERPROFILE%\Documents\GitHub\eaglep3\Utilities\RefineRTDCRunTimes.py" --tripid 229-19 --locoid 4038 --swversion DE.1.0.8.0 --startMP 204:442 --initTime 2016-11-19T20:52:42 --startdatetime 2016-11-19T21:00:42 --delay 1 --endMP 204:233327 --enddatetime 2016-11-19T21:36:03 --enforcementcount 0 &gt;&gt;C:\Users\stu\Documents\GitHub\eaglep3-reporting\EC\2016-11-19-refined-times.txt</v>
      </c>
      <c r="AI142" s="119" t="str">
        <f t="shared" si="52"/>
        <v>echo {"issue":{"subject":"","project_id":79,"tracker_id":40,"status_id":1,"priority_id":2,"assigned_to_id":23,"start_date":"2016-11-19","description":"","custom_fields":[{"id":1,"name":"Subdivision","value":"EC"},{"id":4,"name":"Milepost","value":"23.3327"},{"id":17,"name":"Train ID","value":"229-19"},{"id":16,"name":"Locomotive ID","value":"4038"},{"id":130,"name":"Impact","value":""},{"id":150,"name":"Time of Event (Mountain Time)","value":"21:36:03"},{"id":151,"name":"Denver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460</v>
      </c>
      <c r="B143" s="7">
        <v>4037</v>
      </c>
      <c r="C143" s="22" t="s">
        <v>218</v>
      </c>
      <c r="D143" s="22" t="s">
        <v>746</v>
      </c>
      <c r="E143" s="13">
        <v>42693.910532407404</v>
      </c>
      <c r="F143" s="13">
        <v>42693.914398148147</v>
      </c>
      <c r="G143" s="7">
        <v>1</v>
      </c>
      <c r="H143" s="22" t="s">
        <v>360</v>
      </c>
      <c r="I143" s="13">
        <v>42693.940405092595</v>
      </c>
      <c r="J143" s="7">
        <v>0</v>
      </c>
      <c r="K143" s="109" t="str">
        <f t="shared" si="36"/>
        <v>4037/4038</v>
      </c>
      <c r="L143" s="22" t="str">
        <f>VLOOKUP(A143,'Trips&amp;Operators'!$C$1:$E$10000,3,FALSE)</f>
        <v>LEVIN</v>
      </c>
      <c r="M143" s="6">
        <f t="shared" si="37"/>
        <v>2.6006944448454306E-2</v>
      </c>
      <c r="N143" s="7">
        <f t="shared" si="38"/>
        <v>37.4500000057742</v>
      </c>
      <c r="O143" s="7"/>
      <c r="P143" s="7"/>
      <c r="Q143" s="23"/>
      <c r="R143" s="23"/>
      <c r="S143" s="35">
        <f t="shared" si="39"/>
        <v>1</v>
      </c>
      <c r="T143" s="50" t="str">
        <f t="shared" si="40"/>
        <v>Southbound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20:51:10-700',mode:absolute,to:'2016-11-19 23:34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3" s="52" t="str">
        <f t="shared" si="42"/>
        <v>N</v>
      </c>
      <c r="X143" s="177">
        <f t="shared" si="43"/>
        <v>1</v>
      </c>
      <c r="Y143" s="67">
        <f t="shared" si="44"/>
        <v>23.301100000000002</v>
      </c>
      <c r="Z143" s="67">
        <f t="shared" si="45"/>
        <v>1.34E-2</v>
      </c>
      <c r="AA143" s="67">
        <f t="shared" si="46"/>
        <v>23.287700000000001</v>
      </c>
      <c r="AB143" s="64" t="str">
        <f>VLOOKUP(A143,Enforcements!$C$7:$K$20,8,0)</f>
        <v>Bulletin (2)</v>
      </c>
      <c r="AC143" s="60" t="str">
        <f>VLOOKUP(A143,Enforcements!$C$7:$E$20,3,0)</f>
        <v>GRADE CROSSING</v>
      </c>
      <c r="AD143" s="61" t="str">
        <f t="shared" si="47"/>
        <v>0230-19</v>
      </c>
      <c r="AE143" s="91" t="str">
        <f t="shared" si="48"/>
        <v>aws s3 cp s3://rtdc.mdm.uploadarchive.raw/RTDC4037/ "%USERPROFILE%\AppData\Local\Temp\OnboardLogs"\RTDC4037\2016-11-19 --exclude "*" --recursive --include "*20161119*" &amp; "%USERPROFILE%\Documents\GitHub\mrs-test-scripts\Headless Mode &amp; Sideloading\WalkAndUnGZ.bat" "%USERPROFILE%\AppData\Local\Temp\OnboardLogs"\RTDC4037\2016-11-19 &amp; aws s3 cp s3://rtdc.mdm.uploadarchive.raw/RTDC4037/ "%USERPROFILE%\AppData\Local\Temp\OnboardLogs"\RTDC4037\2016-11-20 --exclude "*" --recursive --include "*20161120*" &amp; "%USERPROFILE%\Documents\GitHub\mrs-test-scripts\Headless Mode &amp; Sideloading\WalkAndUnGZ.bat" "%USERPROFILE%\AppData\Local\Temp\OnboardLogs"\RTDC4037\2016-11-20</v>
      </c>
      <c r="AF143" s="88" t="str">
        <f t="shared" si="49"/>
        <v>"C:\Program Files (x86)\AstroGrep\AstroGrep.exe" /spath="%USERPROFILE%\AppData\Local\Temp\OnboardLogs" /stypes="app*4037*20161120*" /stext=" 05:.+((SYSTEM_STATE.+slice.+state.+changed )|(ment ac)|(system.+state.+changed )|(\[timeout)|(PRM\|1\|D)|(kpr)|(kdp)|(\|lc)|(penalty))" /e /r /s</v>
      </c>
      <c r="AG143" s="1" t="str">
        <f t="shared" si="50"/>
        <v>EC</v>
      </c>
      <c r="AH143" s="92" t="str">
        <f t="shared" si="51"/>
        <v>"%USERPROFILE%\Documents\GitHub\eaglep3\Utilities\RefineRTDCRunTimes.py" --tripid 230-19 --locoid 4037 --swversion DE.1.0.8.0 --startMP 204:233011 --initTime 2016-11-19T21:51:10 --startdatetime 2016-11-19T21:56:44 --delay 1 --endMP 204:134 --enddatetime 2016-11-19T22:34:11 --enforcementcount 0 &gt;&gt;C:\Users\stu\Documents\GitHub\eaglep3-reporting\EC\2016-11-19-refined-times.txt</v>
      </c>
      <c r="AI143" s="119" t="str">
        <f t="shared" si="52"/>
        <v>echo {"issue":{"subject":"","project_id":79,"tracker_id":40,"status_id":1,"priority_id":2,"assigned_to_id":23,"start_date":"2016-11-19","description":"","custom_fields":[{"id":1,"name":"Subdivision","value":"EC"},{"id":4,"name":"Milepost","value":"0.0134"},{"id":17,"name":"Train ID","value":"230-19"},{"id":16,"name":"Locomotive ID","value":"4037"},{"id":130,"name":"Impact","value":""},{"id":150,"name":"Time of Event (Mountain Time)","value":"22:34:11"},{"id":151,"name":"Denver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630</v>
      </c>
      <c r="B144" s="7">
        <v>4014</v>
      </c>
      <c r="C144" s="22" t="s">
        <v>218</v>
      </c>
      <c r="D144" s="22" t="s">
        <v>228</v>
      </c>
      <c r="E144" s="13">
        <v>42693.890405092592</v>
      </c>
      <c r="F144" s="13">
        <v>42693.896018518521</v>
      </c>
      <c r="G144" s="7">
        <v>3</v>
      </c>
      <c r="H144" s="22" t="s">
        <v>416</v>
      </c>
      <c r="I144" s="13">
        <v>42693.920428240737</v>
      </c>
      <c r="J144" s="7">
        <v>0</v>
      </c>
      <c r="K144" s="109" t="str">
        <f t="shared" si="36"/>
        <v>4013/4014</v>
      </c>
      <c r="L144" s="22" t="str">
        <f>VLOOKUP(A144,'Trips&amp;Operators'!$C$1:$E$10000,3,FALSE)</f>
        <v>NEWELL</v>
      </c>
      <c r="M144" s="6">
        <f t="shared" si="37"/>
        <v>2.4409722216660157E-2</v>
      </c>
      <c r="N144" s="7">
        <f t="shared" si="38"/>
        <v>35.149999991990626</v>
      </c>
      <c r="O144" s="7"/>
      <c r="P144" s="7"/>
      <c r="Q144" s="23"/>
      <c r="R144" s="23"/>
      <c r="S144" s="35">
        <f t="shared" si="39"/>
        <v>1</v>
      </c>
      <c r="T144" s="50" t="str">
        <f t="shared" si="40"/>
        <v>NorthBound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20:22:11-700',mode:absolute,to:'2016-11-19 23:05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4" s="52" t="str">
        <f t="shared" si="42"/>
        <v>N</v>
      </c>
      <c r="X144" s="177">
        <f t="shared" si="43"/>
        <v>1</v>
      </c>
      <c r="Y144" s="67">
        <f t="shared" si="44"/>
        <v>4.6899999999999997E-2</v>
      </c>
      <c r="Z144" s="67">
        <f t="shared" si="45"/>
        <v>23.331099999999999</v>
      </c>
      <c r="AA144" s="67">
        <f t="shared" si="46"/>
        <v>23.284199999999998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si="47"/>
        <v>0231-19</v>
      </c>
      <c r="AE144" s="91" t="str">
        <f t="shared" si="48"/>
        <v>aws s3 cp s3://rtdc.mdm.uploadarchive.raw/RTDC4014/ "%USERPROFILE%\AppData\Local\Temp\OnboardLogs"\RTDC4014\2016-11-19 --exclude "*" --recursive --include "*20161119*" &amp; "%USERPROFILE%\Documents\GitHub\mrs-test-scripts\Headless Mode &amp; Sideloading\WalkAndUnGZ.bat" "%USERPROFILE%\AppData\Local\Temp\OnboardLogs"\RTDC4014\2016-11-19 &amp; aws s3 cp s3://rtdc.mdm.uploadarchive.raw/RTDC4014/ "%USERPROFILE%\AppData\Local\Temp\OnboardLogs"\RTDC4014\2016-11-20 --exclude "*" --recursive --include "*20161120*" &amp; "%USERPROFILE%\Documents\GitHub\mrs-test-scripts\Headless Mode &amp; Sideloading\WalkAndUnGZ.bat" "%USERPROFILE%\AppData\Local\Temp\OnboardLogs"\RTDC4014\2016-11-20</v>
      </c>
      <c r="AF144" s="88" t="str">
        <f t="shared" si="49"/>
        <v>"C:\Program Files (x86)\AstroGrep\AstroGrep.exe" /spath="%USERPROFILE%\AppData\Local\Temp\OnboardLogs" /stypes="app*4014*20161120*" /stext=" 05:.+((SYSTEM_STATE.+slice.+state.+changed )|(ment ac)|(system.+state.+changed )|(\[timeout)|(PRM\|1\|D)|(kpr)|(kdp)|(\|lc)|(penalty))" /e /r /s</v>
      </c>
      <c r="AG144" s="1" t="str">
        <f t="shared" si="50"/>
        <v>EC</v>
      </c>
      <c r="AH144" s="92" t="str">
        <f t="shared" si="51"/>
        <v>"%USERPROFILE%\Documents\GitHub\eaglep3\Utilities\RefineRTDCRunTimes.py" --tripid 231-19 --locoid 4014 --swversion DE.1.0.8.0 --startMP 204:469 --initTime 2016-11-19T21:22:11 --startdatetime 2016-11-19T21:30:16 --delay 3 --endMP 204:233311 --enddatetime 2016-11-19T22:05:25 --enforcementcount 0 &gt;&gt;C:\Users\stu\Documents\GitHub\eaglep3-reporting\EC\2016-11-19-refined-times.txt</v>
      </c>
      <c r="AI144" s="119" t="str">
        <f t="shared" si="52"/>
        <v>echo {"issue":{"subject":"","project_id":79,"tracker_id":40,"status_id":1,"priority_id":2,"assigned_to_id":23,"start_date":"2016-11-19","description":"","custom_fields":[{"id":1,"name":"Subdivision","value":"EC"},{"id":4,"name":"Milepost","value":"23.3311"},{"id":17,"name":"Train ID","value":"231-19"},{"id":16,"name":"Locomotive ID","value":"4014"},{"id":130,"name":"Impact","value":""},{"id":150,"name":"Time of Event (Mountain Time)","value":"22:05:25"},{"id":151,"name":"Denver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634</v>
      </c>
      <c r="B145" s="7">
        <v>4013</v>
      </c>
      <c r="C145" s="22" t="s">
        <v>218</v>
      </c>
      <c r="D145" s="22" t="s">
        <v>268</v>
      </c>
      <c r="E145" s="13">
        <v>42693.922581018516</v>
      </c>
      <c r="F145" s="13">
        <v>42693.934895833336</v>
      </c>
      <c r="G145" s="7">
        <v>1</v>
      </c>
      <c r="H145" s="22" t="s">
        <v>670</v>
      </c>
      <c r="I145" s="13">
        <v>42693.960289351853</v>
      </c>
      <c r="J145" s="7">
        <v>0</v>
      </c>
      <c r="K145" s="109" t="str">
        <f t="shared" si="36"/>
        <v>4013/4014</v>
      </c>
      <c r="L145" s="22" t="str">
        <f>VLOOKUP(A145,'Trips&amp;Operators'!$C$1:$E$10000,3,FALSE)</f>
        <v>NEWELL</v>
      </c>
      <c r="M145" s="6">
        <f t="shared" si="37"/>
        <v>2.5393518517375924E-2</v>
      </c>
      <c r="N145" s="7">
        <f t="shared" si="38"/>
        <v>36.56666666502133</v>
      </c>
      <c r="O145" s="7"/>
      <c r="P145" s="7"/>
      <c r="Q145" s="23"/>
      <c r="R145" s="23"/>
      <c r="S145" s="35">
        <f t="shared" si="39"/>
        <v>1</v>
      </c>
      <c r="T145" s="50" t="str">
        <f t="shared" si="40"/>
        <v>Southbound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21:08:31-700',mode:absolute,to:'2016-11-20 00:02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5" s="52" t="str">
        <f t="shared" si="42"/>
        <v>N</v>
      </c>
      <c r="X145" s="177">
        <f t="shared" si="43"/>
        <v>1</v>
      </c>
      <c r="Y145" s="67">
        <f t="shared" si="44"/>
        <v>23.297999999999998</v>
      </c>
      <c r="Z145" s="67">
        <f t="shared" si="45"/>
        <v>1.3899999999999999E-2</v>
      </c>
      <c r="AA145" s="67">
        <f t="shared" si="46"/>
        <v>23.284099999999999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47"/>
        <v>0232-19</v>
      </c>
      <c r="AE145" s="91" t="str">
        <f t="shared" si="48"/>
        <v>aws s3 cp s3://rtdc.mdm.uploadarchive.raw/RTDC4013/ "%USERPROFILE%\AppData\Local\Temp\OnboardLogs"\RTDC4013\2016-11-19 --exclude "*" --recursive --include "*20161119*" &amp; "%USERPROFILE%\Documents\GitHub\mrs-test-scripts\Headless Mode &amp; Sideloading\WalkAndUnGZ.bat" "%USERPROFILE%\AppData\Local\Temp\OnboardLogs"\RTDC4013\2016-11-19 &amp; aws s3 cp s3://rtdc.mdm.uploadarchive.raw/RTDC4013/ "%USERPROFILE%\AppData\Local\Temp\OnboardLogs"\RTDC4013\2016-11-20 --exclude "*" --recursive --include "*20161120*" &amp; "%USERPROFILE%\Documents\GitHub\mrs-test-scripts\Headless Mode &amp; Sideloading\WalkAndUnGZ.bat" "%USERPROFILE%\AppData\Local\Temp\OnboardLogs"\RTDC4013\2016-11-20</v>
      </c>
      <c r="AF145" s="88" t="str">
        <f t="shared" si="49"/>
        <v>"C:\Program Files (x86)\AstroGrep\AstroGrep.exe" /spath="%USERPROFILE%\AppData\Local\Temp\OnboardLogs" /stypes="app*4013*20161120*" /stext=" 06:.+((SYSTEM_STATE.+slice.+state.+changed )|(ment ac)|(system.+state.+changed )|(\[timeout)|(PRM\|1\|D)|(kpr)|(kdp)|(\|lc)|(penalty))" /e /r /s</v>
      </c>
      <c r="AG145" s="1" t="str">
        <f t="shared" si="50"/>
        <v>EC</v>
      </c>
      <c r="AH145" s="92" t="str">
        <f t="shared" si="51"/>
        <v>"%USERPROFILE%\Documents\GitHub\eaglep3\Utilities\RefineRTDCRunTimes.py" --tripid 232-19 --locoid 4013 --swversion DE.1.0.8.0 --startMP 204:232980 --initTime 2016-11-19T22:08:31 --startdatetime 2016-11-19T22:26:15 --delay 1 --endMP 204:139 --enddatetime 2016-11-19T23:02:49 --enforcementcount 0 &gt;&gt;C:\Users\stu\Documents\GitHub\eaglep3-reporting\EC\2016-11-19-refined-times.txt</v>
      </c>
      <c r="AI145" s="119" t="str">
        <f t="shared" si="52"/>
        <v>echo {"issue":{"subject":"","project_id":79,"tracker_id":40,"status_id":1,"priority_id":2,"assigned_to_id":23,"start_date":"2016-11-19","description":"","custom_fields":[{"id":1,"name":"Subdivision","value":"EC"},{"id":4,"name":"Milepost","value":"0.0139"},{"id":17,"name":"Train ID","value":"232-19"},{"id":16,"name":"Locomotive ID","value":"4013"},{"id":130,"name":"Impact","value":""},{"id":150,"name":"Time of Event (Mountain Time)","value":"23:02:49"},{"id":151,"name":"Denver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632</v>
      </c>
      <c r="B146" s="7">
        <v>4002</v>
      </c>
      <c r="C146" s="22" t="s">
        <v>218</v>
      </c>
      <c r="D146" s="22" t="s">
        <v>332</v>
      </c>
      <c r="E146" s="13">
        <v>42693.912349537037</v>
      </c>
      <c r="F146" s="13">
        <v>42693.916921296295</v>
      </c>
      <c r="G146" s="7">
        <v>1</v>
      </c>
      <c r="H146" s="22" t="s">
        <v>727</v>
      </c>
      <c r="I146" s="13">
        <v>42693.942280092589</v>
      </c>
      <c r="J146" s="7">
        <v>0</v>
      </c>
      <c r="K146" s="109" t="str">
        <f t="shared" si="36"/>
        <v>4001/4002</v>
      </c>
      <c r="L146" s="22" t="str">
        <f>VLOOKUP(A146,'Trips&amp;Operators'!$C$1:$E$10000,3,FALSE)</f>
        <v>CHANDLER</v>
      </c>
      <c r="M146" s="6">
        <f t="shared" si="37"/>
        <v>2.5358796294312924E-2</v>
      </c>
      <c r="N146" s="7">
        <f t="shared" si="38"/>
        <v>36.516666663810611</v>
      </c>
      <c r="O146" s="7"/>
      <c r="P146" s="7"/>
      <c r="Q146" s="23"/>
      <c r="R146" s="23"/>
      <c r="S146" s="35">
        <f t="shared" si="39"/>
        <v>1</v>
      </c>
      <c r="T146" s="50" t="str">
        <f t="shared" si="40"/>
        <v>NorthBound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20:53:47-700',mode:absolute,to:'2016-11-19 23:36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6" s="52" t="str">
        <f t="shared" si="42"/>
        <v>N</v>
      </c>
      <c r="X146" s="177">
        <f t="shared" si="43"/>
        <v>1</v>
      </c>
      <c r="Y146" s="67">
        <f t="shared" si="44"/>
        <v>4.6699999999999998E-2</v>
      </c>
      <c r="Z146" s="67">
        <f t="shared" si="45"/>
        <v>23.333100000000002</v>
      </c>
      <c r="AA146" s="67">
        <f t="shared" si="46"/>
        <v>23.2864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47"/>
        <v>0233-19</v>
      </c>
      <c r="AE146" s="91" t="str">
        <f t="shared" si="48"/>
        <v>aws s3 cp s3://rtdc.mdm.uploadarchive.raw/RTDC4002/ "%USERPROFILE%\AppData\Local\Temp\OnboardLogs"\RTDC4002\2016-11-19 --exclude "*" --recursive --include "*20161119*" &amp; "%USERPROFILE%\Documents\GitHub\mrs-test-scripts\Headless Mode &amp; Sideloading\WalkAndUnGZ.bat" "%USERPROFILE%\AppData\Local\Temp\OnboardLogs"\RTDC4002\2016-11-19 &amp; aws s3 cp s3://rtdc.mdm.uploadarchive.raw/RTDC4002/ "%USERPROFILE%\AppData\Local\Temp\OnboardLogs"\RTDC4002\2016-11-20 --exclude "*" --recursive --include "*20161120*" &amp; "%USERPROFILE%\Documents\GitHub\mrs-test-scripts\Headless Mode &amp; Sideloading\WalkAndUnGZ.bat" "%USERPROFILE%\AppData\Local\Temp\OnboardLogs"\RTDC4002\2016-11-20</v>
      </c>
      <c r="AF146" s="88" t="str">
        <f t="shared" si="49"/>
        <v>"C:\Program Files (x86)\AstroGrep\AstroGrep.exe" /spath="%USERPROFILE%\AppData\Local\Temp\OnboardLogs" /stypes="app*4002*20161120*" /stext=" 05:.+((SYSTEM_STATE.+slice.+state.+changed )|(ment ac)|(system.+state.+changed )|(\[timeout)|(PRM\|1\|D)|(kpr)|(kdp)|(\|lc)|(penalty))" /e /r /s</v>
      </c>
      <c r="AG146" s="1" t="str">
        <f t="shared" si="50"/>
        <v>EC</v>
      </c>
      <c r="AH146" s="92" t="str">
        <f t="shared" si="51"/>
        <v>"%USERPROFILE%\Documents\GitHub\eaglep3\Utilities\RefineRTDCRunTimes.py" --tripid 233-19 --locoid 4002 --swversion DE.1.0.8.0 --startMP 204:467 --initTime 2016-11-19T21:53:47 --startdatetime 2016-11-19T22:00:22 --delay 1 --endMP 204:233331 --enddatetime 2016-11-19T22:36:53 --enforcementcount 0 &gt;&gt;C:\Users\stu\Documents\GitHub\eaglep3-reporting\EC\2016-11-19-refined-times.txt</v>
      </c>
      <c r="AI146" s="119" t="str">
        <f t="shared" si="52"/>
        <v>echo {"issue":{"subject":"","project_id":79,"tracker_id":40,"status_id":1,"priority_id":2,"assigned_to_id":23,"start_date":"2016-11-19","description":"","custom_fields":[{"id":1,"name":"Subdivision","value":"EC"},{"id":4,"name":"Milepost","value":"23.3331"},{"id":17,"name":"Train ID","value":"233-19"},{"id":16,"name":"Locomotive ID","value":"4002"},{"id":130,"name":"Impact","value":""},{"id":150,"name":"Time of Event (Mountain Time)","value":"22:36:53"},{"id":151,"name":"Denver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635</v>
      </c>
      <c r="B147" s="7">
        <v>4001</v>
      </c>
      <c r="C147" s="22" t="s">
        <v>218</v>
      </c>
      <c r="D147" s="22" t="s">
        <v>747</v>
      </c>
      <c r="E147" s="13">
        <v>42693.952268518522</v>
      </c>
      <c r="F147" s="13">
        <v>42693.95585648148</v>
      </c>
      <c r="G147" s="7">
        <v>1</v>
      </c>
      <c r="H147" s="22" t="s">
        <v>670</v>
      </c>
      <c r="I147" s="13">
        <v>42693.983113425929</v>
      </c>
      <c r="J147" s="7">
        <v>0</v>
      </c>
      <c r="K147" s="109" t="str">
        <f t="shared" si="36"/>
        <v>4001/4002</v>
      </c>
      <c r="L147" s="22" t="str">
        <f>VLOOKUP(A147,'Trips&amp;Operators'!$C$1:$E$10000,3,FALSE)</f>
        <v>CHANDLER</v>
      </c>
      <c r="M147" s="6">
        <f t="shared" si="37"/>
        <v>2.7256944449618459E-2</v>
      </c>
      <c r="N147" s="7">
        <f t="shared" si="38"/>
        <v>39.250000007450581</v>
      </c>
      <c r="O147" s="7"/>
      <c r="P147" s="7"/>
      <c r="Q147" s="23"/>
      <c r="R147" s="23"/>
      <c r="S147" s="35">
        <f t="shared" si="39"/>
        <v>1</v>
      </c>
      <c r="T147" s="50" t="str">
        <f t="shared" si="40"/>
        <v>Southbound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21:51:16-700',mode:absolute,to:'2016-11-20 00:35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7" s="52" t="str">
        <f t="shared" si="42"/>
        <v>N</v>
      </c>
      <c r="X147" s="177">
        <f t="shared" si="43"/>
        <v>1</v>
      </c>
      <c r="Y147" s="67">
        <f t="shared" si="44"/>
        <v>23.300599999999999</v>
      </c>
      <c r="Z147" s="67">
        <f t="shared" si="45"/>
        <v>1.3899999999999999E-2</v>
      </c>
      <c r="AA147" s="67">
        <f t="shared" si="46"/>
        <v>23.2867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47"/>
        <v>0234-19</v>
      </c>
      <c r="AE147" s="91" t="str">
        <f t="shared" si="48"/>
        <v>aws s3 cp s3://rtdc.mdm.uploadarchive.raw/RTDC4001/ "%USERPROFILE%\AppData\Local\Temp\OnboardLogs"\RTDC4001\2016-11-19 --exclude "*" --recursive --include "*20161119*" &amp; "%USERPROFILE%\Documents\GitHub\mrs-test-scripts\Headless Mode &amp; Sideloading\WalkAndUnGZ.bat" "%USERPROFILE%\AppData\Local\Temp\OnboardLogs"\RTDC4001\2016-11-19 &amp; aws s3 cp s3://rtdc.mdm.uploadarchive.raw/RTDC4001/ "%USERPROFILE%\AppData\Local\Temp\OnboardLogs"\RTDC4001\2016-11-20 --exclude "*" --recursive --include "*20161120*" &amp; "%USERPROFILE%\Documents\GitHub\mrs-test-scripts\Headless Mode &amp; Sideloading\WalkAndUnGZ.bat" "%USERPROFILE%\AppData\Local\Temp\OnboardLogs"\RTDC4001\2016-11-20</v>
      </c>
      <c r="AF147" s="88" t="str">
        <f t="shared" si="49"/>
        <v>"C:\Program Files (x86)\AstroGrep\AstroGrep.exe" /spath="%USERPROFILE%\AppData\Local\Temp\OnboardLogs" /stypes="app*4001*20161120*" /stext=" 06:.+((SYSTEM_STATE.+slice.+state.+changed )|(ment ac)|(system.+state.+changed )|(\[timeout)|(PRM\|1\|D)|(kpr)|(kdp)|(\|lc)|(penalty))" /e /r /s</v>
      </c>
      <c r="AG147" s="1" t="str">
        <f t="shared" si="50"/>
        <v>EC</v>
      </c>
      <c r="AH147" s="92" t="str">
        <f t="shared" si="51"/>
        <v>"%USERPROFILE%\Documents\GitHub\eaglep3\Utilities\RefineRTDCRunTimes.py" --tripid 234-19 --locoid 4001 --swversion DE.1.0.8.0 --startMP 204:233006 --initTime 2016-11-19T22:51:16 --startdatetime 2016-11-19T22:56:26 --delay 1 --endMP 204:139 --enddatetime 2016-11-19T23:35:41 --enforcementcount 0 &gt;&gt;C:\Users\stu\Documents\GitHub\eaglep3-reporting\EC\2016-11-19-refined-times.txt</v>
      </c>
      <c r="AI147" s="119" t="str">
        <f t="shared" si="52"/>
        <v>echo {"issue":{"subject":"","project_id":79,"tracker_id":40,"status_id":1,"priority_id":2,"assigned_to_id":23,"start_date":"2016-11-19","description":"","custom_fields":[{"id":1,"name":"Subdivision","value":"EC"},{"id":4,"name":"Milepost","value":"0.0139"},{"id":17,"name":"Train ID","value":"234-19"},{"id":16,"name":"Locomotive ID","value":"4001"},{"id":130,"name":"Impact","value":""},{"id":150,"name":"Time of Event (Mountain Time)","value":"23:35:41"},{"id":151,"name":"Denver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633</v>
      </c>
      <c r="B148" s="7">
        <v>4046</v>
      </c>
      <c r="C148" s="22" t="s">
        <v>218</v>
      </c>
      <c r="D148" s="22" t="s">
        <v>269</v>
      </c>
      <c r="E148" s="13">
        <v>42693.920335648145</v>
      </c>
      <c r="F148" s="13">
        <v>42693.93787037037</v>
      </c>
      <c r="G148" s="7">
        <v>2</v>
      </c>
      <c r="H148" s="22" t="s">
        <v>329</v>
      </c>
      <c r="I148" s="13">
        <v>42693.961828703701</v>
      </c>
      <c r="J148" s="7">
        <v>0</v>
      </c>
      <c r="K148" s="109" t="str">
        <f t="shared" si="36"/>
        <v>4045/4046</v>
      </c>
      <c r="L148" s="22" t="str">
        <f>VLOOKUP(A148,'Trips&amp;Operators'!$C$1:$E$10000,3,FALSE)</f>
        <v>STAMBAUGH</v>
      </c>
      <c r="M148" s="6">
        <f t="shared" si="37"/>
        <v>2.3958333331393078E-2</v>
      </c>
      <c r="N148" s="7">
        <f t="shared" si="38"/>
        <v>34.499999997206032</v>
      </c>
      <c r="O148" s="7"/>
      <c r="P148" s="7"/>
      <c r="Q148" s="23"/>
      <c r="R148" s="23"/>
      <c r="S148" s="35">
        <f t="shared" si="39"/>
        <v>1</v>
      </c>
      <c r="T148" s="50" t="str">
        <f t="shared" si="40"/>
        <v>NorthBound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21:05:17-700',mode:absolute,to:'2016-11-20 00:05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8" s="52" t="str">
        <f t="shared" si="42"/>
        <v>N</v>
      </c>
      <c r="X148" s="177">
        <f t="shared" si="43"/>
        <v>1</v>
      </c>
      <c r="Y148" s="67">
        <f t="shared" si="44"/>
        <v>4.4900000000000002E-2</v>
      </c>
      <c r="Z148" s="67">
        <f t="shared" si="45"/>
        <v>23.331800000000001</v>
      </c>
      <c r="AA148" s="67">
        <f t="shared" si="46"/>
        <v>23.286900000000003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 t="shared" si="47"/>
        <v>0235-19</v>
      </c>
      <c r="AE148" s="91" t="str">
        <f t="shared" si="48"/>
        <v>aws s3 cp s3://rtdc.mdm.uploadarchive.raw/RTDC4046/ "%USERPROFILE%\AppData\Local\Temp\OnboardLogs"\RTDC4046\2016-11-19 --exclude "*" --recursive --include "*20161119*" &amp; "%USERPROFILE%\Documents\GitHub\mrs-test-scripts\Headless Mode &amp; Sideloading\WalkAndUnGZ.bat" "%USERPROFILE%\AppData\Local\Temp\OnboardLogs"\RTDC4046\2016-11-19 &amp; aws s3 cp s3://rtdc.mdm.uploadarchive.raw/RTDC4046/ "%USERPROFILE%\AppData\Local\Temp\OnboardLogs"\RTDC4046\2016-11-20 --exclude "*" --recursive --include "*20161120*" &amp; "%USERPROFILE%\Documents\GitHub\mrs-test-scripts\Headless Mode &amp; Sideloading\WalkAndUnGZ.bat" "%USERPROFILE%\AppData\Local\Temp\OnboardLogs"\RTDC4046\2016-11-20</v>
      </c>
      <c r="AF148" s="88" t="str">
        <f t="shared" si="49"/>
        <v>"C:\Program Files (x86)\AstroGrep\AstroGrep.exe" /spath="%USERPROFILE%\AppData\Local\Temp\OnboardLogs" /stypes="app*4046*20161120*" /stext=" 06:.+((SYSTEM_STATE.+slice.+state.+changed )|(ment ac)|(system.+state.+changed )|(\[timeout)|(PRM\|1\|D)|(kpr)|(kdp)|(\|lc)|(penalty))" /e /r /s</v>
      </c>
      <c r="AG148" s="1" t="str">
        <f t="shared" si="50"/>
        <v>EC</v>
      </c>
      <c r="AH148" s="92" t="str">
        <f t="shared" si="51"/>
        <v>"%USERPROFILE%\Documents\GitHub\eaglep3\Utilities\RefineRTDCRunTimes.py" --tripid 235-19 --locoid 4046 --swversion DE.1.0.8.0 --startMP 204:449 --initTime 2016-11-19T22:05:17 --startdatetime 2016-11-19T22:30:32 --delay 2 --endMP 204:233318 --enddatetime 2016-11-19T23:05:02 --enforcementcount 0 &gt;&gt;C:\Users\stu\Documents\GitHub\eaglep3-reporting\EC\2016-11-19-refined-times.txt</v>
      </c>
      <c r="AI148" s="119" t="str">
        <f t="shared" si="52"/>
        <v>echo {"issue":{"subject":"","project_id":79,"tracker_id":40,"status_id":1,"priority_id":2,"assigned_to_id":23,"start_date":"2016-11-19","description":"","custom_fields":[{"id":1,"name":"Subdivision","value":"EC"},{"id":4,"name":"Milepost","value":"23.3318"},{"id":17,"name":"Train ID","value":"235-19"},{"id":16,"name":"Locomotive ID","value":"4046"},{"id":130,"name":"Impact","value":""},{"id":150,"name":"Time of Event (Mountain Time)","value":"23:05:02"},{"id":151,"name":"Denver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637</v>
      </c>
      <c r="B149" s="7">
        <v>4045</v>
      </c>
      <c r="C149" s="22" t="s">
        <v>218</v>
      </c>
      <c r="D149" s="22" t="s">
        <v>658</v>
      </c>
      <c r="E149" s="13">
        <v>42693.969826388886</v>
      </c>
      <c r="F149" s="13">
        <v>42693.976585648146</v>
      </c>
      <c r="G149" s="7">
        <v>1</v>
      </c>
      <c r="H149" s="22" t="s">
        <v>197</v>
      </c>
      <c r="I149" s="13">
        <v>42694.002523148149</v>
      </c>
      <c r="J149" s="7">
        <v>0</v>
      </c>
      <c r="K149" s="109" t="str">
        <f t="shared" si="36"/>
        <v>4045/4046</v>
      </c>
      <c r="L149" s="22" t="str">
        <f>VLOOKUP(A149,'Trips&amp;Operators'!$C$1:$E$10000,3,FALSE)</f>
        <v>STAMBAUGH</v>
      </c>
      <c r="M149" s="6">
        <f t="shared" si="37"/>
        <v>2.5937500002328306E-2</v>
      </c>
      <c r="N149" s="7">
        <f t="shared" si="38"/>
        <v>37.350000003352761</v>
      </c>
      <c r="O149" s="7"/>
      <c r="P149" s="7"/>
      <c r="Q149" s="23"/>
      <c r="R149" s="23"/>
      <c r="S149" s="35">
        <f t="shared" si="39"/>
        <v>1</v>
      </c>
      <c r="T149" s="50" t="str">
        <f t="shared" si="40"/>
        <v>Southbound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22:16:33-700',mode:absolute,to:'2016-11-20 01:03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9" s="52" t="str">
        <f t="shared" si="42"/>
        <v>N</v>
      </c>
      <c r="X149" s="177">
        <f t="shared" si="43"/>
        <v>1</v>
      </c>
      <c r="Y149" s="67">
        <f t="shared" si="44"/>
        <v>23.3005</v>
      </c>
      <c r="Z149" s="67">
        <f t="shared" si="45"/>
        <v>1.43E-2</v>
      </c>
      <c r="AA149" s="67">
        <f t="shared" si="46"/>
        <v>23.286200000000001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si="47"/>
        <v>0236-19</v>
      </c>
      <c r="AE149" s="91" t="str">
        <f t="shared" si="48"/>
        <v>aws s3 cp s3://rtdc.mdm.uploadarchive.raw/RTDC4045/ "%USERPROFILE%\AppData\Local\Temp\OnboardLogs"\RTDC4045\2016-11-19 --exclude "*" --recursive --include "*20161119*" &amp; "%USERPROFILE%\Documents\GitHub\mrs-test-scripts\Headless Mode &amp; Sideloading\WalkAndUnGZ.bat" "%USERPROFILE%\AppData\Local\Temp\OnboardLogs"\RTDC4045\2016-11-19 &amp; aws s3 cp s3://rtdc.mdm.uploadarchive.raw/RTDC4045/ "%USERPROFILE%\AppData\Local\Temp\OnboardLogs"\RTDC4045\2016-11-20 --exclude "*" --recursive --include "*20161120*" &amp; "%USERPROFILE%\Documents\GitHub\mrs-test-scripts\Headless Mode &amp; Sideloading\WalkAndUnGZ.bat" "%USERPROFILE%\AppData\Local\Temp\OnboardLogs"\RTDC4045\2016-11-20</v>
      </c>
      <c r="AF149" s="88" t="str">
        <f t="shared" si="49"/>
        <v>"C:\Program Files (x86)\AstroGrep\AstroGrep.exe" /spath="%USERPROFILE%\AppData\Local\Temp\OnboardLogs" /stypes="app*4045*20161120*" /stext=" 07:.+((SYSTEM_STATE.+slice.+state.+changed )|(ment ac)|(system.+state.+changed )|(\[timeout)|(PRM\|1\|D)|(kpr)|(kdp)|(\|lc)|(penalty))" /e /r /s</v>
      </c>
      <c r="AG149" s="1" t="str">
        <f t="shared" si="50"/>
        <v>EC</v>
      </c>
      <c r="AH149" s="92" t="str">
        <f t="shared" si="51"/>
        <v>"%USERPROFILE%\Documents\GitHub\eaglep3\Utilities\RefineRTDCRunTimes.py" --tripid 236-19 --locoid 4045 --swversion DE.1.0.8.0 --startMP 204:233005 --initTime 2016-11-19T23:16:33 --startdatetime 2016-11-19T23:26:17 --delay 1 --endMP 204:143 --enddatetime 2016-11-20T00:03:38 --enforcementcount 0 &gt;&gt;C:\Users\stu\Documents\GitHub\eaglep3-reporting\EC\2016-11-19-refined-times.txt</v>
      </c>
      <c r="AI149" s="119" t="str">
        <f t="shared" si="52"/>
        <v>echo {"issue":{"subject":"","project_id":79,"tracker_id":40,"status_id":1,"priority_id":2,"assigned_to_id":23,"start_date":"2016-11-20","description":"","custom_fields":[{"id":1,"name":"Subdivision","value":"EC"},{"id":4,"name":"Milepost","value":"0.0143"},{"id":17,"name":"Train ID","value":"236-19"},{"id":16,"name":"Locomotive ID","value":"4045"},{"id":130,"name":"Impact","value":""},{"id":150,"name":"Time of Event (Mountain Time)","value":"00:03:38"},{"id":151,"name":"Denver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636</v>
      </c>
      <c r="B150" s="7">
        <v>4038</v>
      </c>
      <c r="C150" s="22" t="s">
        <v>218</v>
      </c>
      <c r="D150" s="22" t="s">
        <v>239</v>
      </c>
      <c r="E150" s="13">
        <v>42693.952199074076</v>
      </c>
      <c r="F150" s="13">
        <v>42693.958518518521</v>
      </c>
      <c r="G150" s="7">
        <v>1</v>
      </c>
      <c r="H150" s="22" t="s">
        <v>703</v>
      </c>
      <c r="I150" s="13">
        <v>42693.983067129629</v>
      </c>
      <c r="J150" s="7">
        <v>0</v>
      </c>
      <c r="K150" s="109" t="str">
        <f t="shared" si="36"/>
        <v>4037/4038</v>
      </c>
      <c r="L150" s="22" t="str">
        <f>VLOOKUP(A150,'Trips&amp;Operators'!$C$1:$E$10000,3,FALSE)</f>
        <v>LEVIN</v>
      </c>
      <c r="M150" s="6">
        <f t="shared" si="37"/>
        <v>2.4548611108912155E-2</v>
      </c>
      <c r="N150" s="7">
        <f t="shared" si="38"/>
        <v>35.349999996833503</v>
      </c>
      <c r="O150" s="7"/>
      <c r="P150" s="7"/>
      <c r="Q150" s="23"/>
      <c r="R150" s="23"/>
      <c r="S150" s="35">
        <f t="shared" si="39"/>
        <v>1</v>
      </c>
      <c r="T150" s="50" t="str">
        <f t="shared" si="40"/>
        <v>NorthBound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21:51:10-700',mode:absolute,to:'2016-11-20 00:35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0" s="52" t="str">
        <f t="shared" si="42"/>
        <v>N</v>
      </c>
      <c r="X150" s="177">
        <f t="shared" si="43"/>
        <v>1</v>
      </c>
      <c r="Y150" s="67">
        <f t="shared" si="44"/>
        <v>4.3799999999999999E-2</v>
      </c>
      <c r="Z150" s="67">
        <f t="shared" si="45"/>
        <v>23.3306</v>
      </c>
      <c r="AA150" s="67">
        <f t="shared" si="46"/>
        <v>23.286799999999999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 t="shared" si="47"/>
        <v>0237-19</v>
      </c>
      <c r="AE150" s="91" t="str">
        <f t="shared" si="48"/>
        <v>aws s3 cp s3://rtdc.mdm.uploadarchive.raw/RTDC4038/ "%USERPROFILE%\AppData\Local\Temp\OnboardLogs"\RTDC4038\2016-11-19 --exclude "*" --recursive --include "*20161119*" &amp; "%USERPROFILE%\Documents\GitHub\mrs-test-scripts\Headless Mode &amp; Sideloading\WalkAndUnGZ.bat" "%USERPROFILE%\AppData\Local\Temp\OnboardLogs"\RTDC4038\2016-11-19 &amp; aws s3 cp s3://rtdc.mdm.uploadarchive.raw/RTDC4038/ "%USERPROFILE%\AppData\Local\Temp\OnboardLogs"\RTDC4038\2016-11-20 --exclude "*" --recursive --include "*20161120*" &amp; "%USERPROFILE%\Documents\GitHub\mrs-test-scripts\Headless Mode &amp; Sideloading\WalkAndUnGZ.bat" "%USERPROFILE%\AppData\Local\Temp\OnboardLogs"\RTDC4038\2016-11-20</v>
      </c>
      <c r="AF150" s="88" t="str">
        <f t="shared" si="49"/>
        <v>"C:\Program Files (x86)\AstroGrep\AstroGrep.exe" /spath="%USERPROFILE%\AppData\Local\Temp\OnboardLogs" /stypes="app*4038*20161120*" /stext=" 06:.+((SYSTEM_STATE.+slice.+state.+changed )|(ment ac)|(system.+state.+changed )|(\[timeout)|(PRM\|1\|D)|(kpr)|(kdp)|(\|lc)|(penalty))" /e /r /s</v>
      </c>
      <c r="AG150" s="1" t="str">
        <f t="shared" si="50"/>
        <v>EC</v>
      </c>
      <c r="AH150" s="92" t="str">
        <f t="shared" si="51"/>
        <v>"%USERPROFILE%\Documents\GitHub\eaglep3\Utilities\RefineRTDCRunTimes.py" --tripid 237-19 --locoid 4038 --swversion DE.1.0.8.0 --startMP 204:438 --initTime 2016-11-19T22:51:10 --startdatetime 2016-11-19T23:00:16 --delay 1 --endMP 204:233306 --enddatetime 2016-11-19T23:35:37 --enforcementcount 0 &gt;&gt;C:\Users\stu\Documents\GitHub\eaglep3-reporting\EC\2016-11-19-refined-times.txt</v>
      </c>
      <c r="AI150" s="119" t="str">
        <f t="shared" si="52"/>
        <v>echo {"issue":{"subject":"","project_id":79,"tracker_id":40,"status_id":1,"priority_id":2,"assigned_to_id":23,"start_date":"2016-11-19","description":"","custom_fields":[{"id":1,"name":"Subdivision","value":"EC"},{"id":4,"name":"Milepost","value":"23.3306"},{"id":17,"name":"Train ID","value":"237-19"},{"id":16,"name":"Locomotive ID","value":"4038"},{"id":130,"name":"Impact","value":""},{"id":150,"name":"Time of Event (Mountain Time)","value":"23:35:37"},{"id":151,"name":"Denver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7" t="s">
        <v>639</v>
      </c>
      <c r="B151" s="7">
        <v>4037</v>
      </c>
      <c r="C151" s="22" t="s">
        <v>218</v>
      </c>
      <c r="D151" s="22" t="s">
        <v>667</v>
      </c>
      <c r="E151" s="13">
        <v>42693.990960648145</v>
      </c>
      <c r="F151" s="13">
        <v>42693.997476851851</v>
      </c>
      <c r="G151" s="7">
        <v>0</v>
      </c>
      <c r="H151" s="22" t="s">
        <v>409</v>
      </c>
      <c r="I151" s="13">
        <v>42694.023888888885</v>
      </c>
      <c r="J151" s="7">
        <v>0</v>
      </c>
      <c r="K151" s="109" t="str">
        <f t="shared" si="36"/>
        <v>4037/4038</v>
      </c>
      <c r="L151" s="22" t="str">
        <f>VLOOKUP(A151,'Trips&amp;Operators'!$C$1:$E$10000,3,FALSE)</f>
        <v>LEVIN</v>
      </c>
      <c r="M151" s="6">
        <f t="shared" si="37"/>
        <v>2.6412037033878732E-2</v>
      </c>
      <c r="N151" s="7">
        <f t="shared" si="38"/>
        <v>38.033333328785375</v>
      </c>
      <c r="O151" s="7"/>
      <c r="P151" s="7"/>
      <c r="Q151" s="23"/>
      <c r="R151" s="23"/>
      <c r="S151" s="35">
        <f t="shared" si="39"/>
        <v>1</v>
      </c>
      <c r="T151" s="50" t="str">
        <f t="shared" si="40"/>
        <v>Southbound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22:46:59-700',mode:absolute,to:'2016-11-20 01:34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1" s="52" t="str">
        <f t="shared" si="42"/>
        <v>N</v>
      </c>
      <c r="X151" s="177">
        <f t="shared" si="43"/>
        <v>1</v>
      </c>
      <c r="Y151" s="67">
        <f t="shared" si="44"/>
        <v>23.298500000000001</v>
      </c>
      <c r="Z151" s="67">
        <f t="shared" si="45"/>
        <v>1.3599999999999999E-2</v>
      </c>
      <c r="AA151" s="67">
        <f t="shared" si="46"/>
        <v>23.2849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47"/>
        <v>0238-19</v>
      </c>
      <c r="AE151" s="91" t="str">
        <f t="shared" si="48"/>
        <v>aws s3 cp s3://rtdc.mdm.uploadarchive.raw/RTDC4037/ "%USERPROFILE%\AppData\Local\Temp\OnboardLogs"\RTDC4037\2016-11-19 --exclude "*" --recursive --include "*20161119*" &amp; "%USERPROFILE%\Documents\GitHub\mrs-test-scripts\Headless Mode &amp; Sideloading\WalkAndUnGZ.bat" "%USERPROFILE%\AppData\Local\Temp\OnboardLogs"\RTDC4037\2016-11-19 &amp; aws s3 cp s3://rtdc.mdm.uploadarchive.raw/RTDC4037/ "%USERPROFILE%\AppData\Local\Temp\OnboardLogs"\RTDC4037\2016-11-20 --exclude "*" --recursive --include "*20161120*" &amp; "%USERPROFILE%\Documents\GitHub\mrs-test-scripts\Headless Mode &amp; Sideloading\WalkAndUnGZ.bat" "%USERPROFILE%\AppData\Local\Temp\OnboardLogs"\RTDC4037\2016-11-20</v>
      </c>
      <c r="AF151" s="88" t="str">
        <f t="shared" si="49"/>
        <v>"C:\Program Files (x86)\AstroGrep\AstroGrep.exe" /spath="%USERPROFILE%\AppData\Local\Temp\OnboardLogs" /stypes="app*4037*20161120*" /stext=" 07:.+((SYSTEM_STATE.+slice.+state.+changed )|(ment ac)|(system.+state.+changed )|(\[timeout)|(PRM\|1\|D)|(kpr)|(kdp)|(\|lc)|(penalty))" /e /r /s</v>
      </c>
      <c r="AG151" s="1" t="str">
        <f t="shared" si="50"/>
        <v>EC</v>
      </c>
      <c r="AH151" s="92" t="str">
        <f t="shared" si="51"/>
        <v>"%USERPROFILE%\Documents\GitHub\eaglep3\Utilities\RefineRTDCRunTimes.py" --tripid 238-19 --locoid 4037 --swversion DE.1.0.8.0 --startMP 204:232985 --initTime 2016-11-19T23:46:59 --startdatetime 2016-11-19T23:56:22 --delay 0 --endMP 204:136 --enddatetime 2016-11-20T00:34:24 --enforcementcount 0 &gt;&gt;C:\Users\stu\Documents\GitHub\eaglep3-reporting\EC\2016-11-19-refined-times.txt</v>
      </c>
      <c r="AI151" s="119" t="str">
        <f t="shared" si="52"/>
        <v>echo {"issue":{"subject":"","project_id":79,"tracker_id":40,"status_id":1,"priority_id":2,"assigned_to_id":23,"start_date":"2016-11-20","description":"","custom_fields":[{"id":1,"name":"Subdivision","value":"EC"},{"id":4,"name":"Milepost","value":"0.0136"},{"id":17,"name":"Train ID","value":"238-19"},{"id":16,"name":"Locomotive ID","value":"4037"},{"id":130,"name":"Impact","value":""},{"id":150,"name":"Time of Event (Mountain Time)","value":"00:34:24"},{"id":151,"name":"Denver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</row>
    <row r="152" spans="1:91" s="21" customFormat="1" x14ac:dyDescent="0.25">
      <c r="A152" s="37" t="s">
        <v>638</v>
      </c>
      <c r="B152" s="7">
        <v>4014</v>
      </c>
      <c r="C152" s="22" t="s">
        <v>218</v>
      </c>
      <c r="D152" s="22" t="s">
        <v>198</v>
      </c>
      <c r="E152" s="13">
        <v>42693.975046296298</v>
      </c>
      <c r="F152" s="13">
        <v>42693.979351851849</v>
      </c>
      <c r="G152" s="7">
        <v>1</v>
      </c>
      <c r="H152" s="22" t="s">
        <v>187</v>
      </c>
      <c r="I152" s="13">
        <v>42694.003379629627</v>
      </c>
      <c r="J152" s="7">
        <v>0</v>
      </c>
      <c r="K152" s="109" t="str">
        <f t="shared" si="36"/>
        <v>4013/4014</v>
      </c>
      <c r="L152" s="22" t="str">
        <f>VLOOKUP(A152,'Trips&amp;Operators'!$C$1:$E$10000,3,FALSE)</f>
        <v>NEWELL</v>
      </c>
      <c r="M152" s="6">
        <f t="shared" si="37"/>
        <v>2.4027777777519077E-2</v>
      </c>
      <c r="N152" s="7">
        <f t="shared" si="38"/>
        <v>34.599999999627471</v>
      </c>
      <c r="O152" s="7"/>
      <c r="P152" s="7"/>
      <c r="Q152" s="23"/>
      <c r="R152" s="23"/>
      <c r="S152" s="35">
        <f t="shared" si="39"/>
        <v>1</v>
      </c>
      <c r="T152" s="50" t="str">
        <f t="shared" si="40"/>
        <v>NorthBound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22:24:04-700',mode:absolute,to:'2016-11-20 01:04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2" s="52" t="str">
        <f t="shared" si="42"/>
        <v>N</v>
      </c>
      <c r="X152" s="177">
        <f t="shared" si="43"/>
        <v>1</v>
      </c>
      <c r="Y152" s="67">
        <f t="shared" si="44"/>
        <v>4.4699999999999997E-2</v>
      </c>
      <c r="Z152" s="67">
        <f t="shared" si="45"/>
        <v>23.329699999999999</v>
      </c>
      <c r="AA152" s="67">
        <f t="shared" si="46"/>
        <v>23.285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47"/>
        <v>0239-19</v>
      </c>
      <c r="AE152" s="91" t="str">
        <f t="shared" si="48"/>
        <v>aws s3 cp s3://rtdc.mdm.uploadarchive.raw/RTDC4014/ "%USERPROFILE%\AppData\Local\Temp\OnboardLogs"\RTDC4014\2016-11-19 --exclude "*" --recursive --include "*20161119*" &amp; "%USERPROFILE%\Documents\GitHub\mrs-test-scripts\Headless Mode &amp; Sideloading\WalkAndUnGZ.bat" "%USERPROFILE%\AppData\Local\Temp\OnboardLogs"\RTDC4014\2016-11-19 &amp; aws s3 cp s3://rtdc.mdm.uploadarchive.raw/RTDC4014/ "%USERPROFILE%\AppData\Local\Temp\OnboardLogs"\RTDC4014\2016-11-20 --exclude "*" --recursive --include "*20161120*" &amp; "%USERPROFILE%\Documents\GitHub\mrs-test-scripts\Headless Mode &amp; Sideloading\WalkAndUnGZ.bat" "%USERPROFILE%\AppData\Local\Temp\OnboardLogs"\RTDC4014\2016-11-20</v>
      </c>
      <c r="AF152" s="88" t="str">
        <f t="shared" si="49"/>
        <v>"C:\Program Files (x86)\AstroGrep\AstroGrep.exe" /spath="%USERPROFILE%\AppData\Local\Temp\OnboardLogs" /stypes="app*4014*20161120*" /stext=" 07:.+((SYSTEM_STATE.+slice.+state.+changed )|(ment ac)|(system.+state.+changed )|(\[timeout)|(PRM\|1\|D)|(kpr)|(kdp)|(\|lc)|(penalty))" /e /r /s</v>
      </c>
      <c r="AG152" s="1" t="str">
        <f t="shared" si="50"/>
        <v>EC</v>
      </c>
      <c r="AH152" s="92" t="str">
        <f t="shared" si="51"/>
        <v>"%USERPROFILE%\Documents\GitHub\eaglep3\Utilities\RefineRTDCRunTimes.py" --tripid 239-19 --locoid 4014 --swversion DE.1.0.8.0 --startMP 204:447 --initTime 2016-11-19T23:24:04 --startdatetime 2016-11-19T23:30:16 --delay 1 --endMP 204:233297 --enddatetime 2016-11-20T00:04:52 --enforcementcount 0 &gt;&gt;C:\Users\stu\Documents\GitHub\eaglep3-reporting\EC\2016-11-19-refined-times.txt</v>
      </c>
      <c r="AI152" s="119" t="str">
        <f t="shared" si="52"/>
        <v>echo {"issue":{"subject":"","project_id":79,"tracker_id":40,"status_id":1,"priority_id":2,"assigned_to_id":23,"start_date":"2016-11-20","description":"","custom_fields":[{"id":1,"name":"Subdivision","value":"EC"},{"id":4,"name":"Milepost","value":"23.3297"},{"id":17,"name":"Train ID","value":"239-19"},{"id":16,"name":"Locomotive ID","value":"4014"},{"id":130,"name":"Impact","value":""},{"id":150,"name":"Time of Event (Mountain Time)","value":"00:04:52"},{"id":151,"name":"Denver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7" t="s">
        <v>642</v>
      </c>
      <c r="B153" s="7">
        <v>4013</v>
      </c>
      <c r="C153" s="22" t="s">
        <v>218</v>
      </c>
      <c r="D153" s="22" t="s">
        <v>210</v>
      </c>
      <c r="E153" s="13">
        <v>42694.014351851853</v>
      </c>
      <c r="F153" s="13">
        <v>42694.018217592595</v>
      </c>
      <c r="G153" s="7">
        <v>1</v>
      </c>
      <c r="H153" s="22" t="s">
        <v>196</v>
      </c>
      <c r="I153" s="13">
        <v>42694.043564814812</v>
      </c>
      <c r="J153" s="7">
        <v>0</v>
      </c>
      <c r="K153" s="109" t="str">
        <f t="shared" si="36"/>
        <v>4013/4014</v>
      </c>
      <c r="L153" s="22" t="str">
        <f>VLOOKUP(A153,'Trips&amp;Operators'!$C$1:$E$10000,3,FALSE)</f>
        <v>NEWELL</v>
      </c>
      <c r="M153" s="6">
        <f t="shared" si="37"/>
        <v>2.5347222217533272E-2</v>
      </c>
      <c r="N153" s="7">
        <f t="shared" si="38"/>
        <v>36.499999993247911</v>
      </c>
      <c r="O153" s="7"/>
      <c r="P153" s="7"/>
      <c r="Q153" s="23"/>
      <c r="R153" s="23"/>
      <c r="S153" s="35">
        <f t="shared" si="39"/>
        <v>1</v>
      </c>
      <c r="T153" s="50" t="str">
        <f t="shared" si="40"/>
        <v>Southbound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23:20:40-700',mode:absolute,to:'2016-11-20 02:02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3" s="52" t="str">
        <f t="shared" si="42"/>
        <v>N</v>
      </c>
      <c r="X153" s="177">
        <f t="shared" si="43"/>
        <v>1</v>
      </c>
      <c r="Y153" s="67">
        <f t="shared" si="44"/>
        <v>23.297699999999999</v>
      </c>
      <c r="Z153" s="67">
        <f t="shared" si="45"/>
        <v>1.49E-2</v>
      </c>
      <c r="AA153" s="67">
        <f t="shared" si="46"/>
        <v>23.282799999999998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 t="shared" si="47"/>
        <v>0240-19</v>
      </c>
      <c r="AE153" s="91" t="str">
        <f t="shared" si="48"/>
        <v>aws s3 cp s3://rtdc.mdm.uploadarchive.raw/RTDC4013/ "%USERPROFILE%\AppData\Local\Temp\OnboardLogs"\RTDC4013\2016-11-20 --exclude "*" --recursive --include "*20161120*" &amp; "%USERPROFILE%\Documents\GitHub\mrs-test-scripts\Headless Mode &amp; Sideloading\WalkAndUnGZ.bat" "%USERPROFILE%\AppData\Local\Temp\OnboardLogs"\RTDC4013\2016-11-20 &amp; 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</v>
      </c>
      <c r="AF153" s="88" t="str">
        <f t="shared" si="49"/>
        <v>"C:\Program Files (x86)\AstroGrep\AstroGrep.exe" /spath="%USERPROFILE%\AppData\Local\Temp\OnboardLogs" /stypes="app*4013*20161120*" /stext=" 08:.+((SYSTEM_STATE.+slice.+state.+changed )|(ment ac)|(system.+state.+changed )|(\[timeout)|(PRM\|1\|D)|(kpr)|(kdp)|(\|lc)|(penalty))" /e /r /s</v>
      </c>
      <c r="AG153" s="1" t="str">
        <f t="shared" si="50"/>
        <v>EC</v>
      </c>
      <c r="AH153" s="92" t="str">
        <f t="shared" si="51"/>
        <v>"%USERPROFILE%\Documents\GitHub\eaglep3\Utilities\RefineRTDCRunTimes.py" --tripid 240-19 --locoid 4013 --swversion DE.1.0.8.0 --startMP 204:232977 --initTime 2016-11-20T00:20:40 --startdatetime 2016-11-20T00:26:14 --delay 1 --endMP 204:149 --enddatetime 2016-11-20T01:02:44 --enforcementcount 0 &gt;&gt;C:\Users\stu\Documents\GitHub\eaglep3-reporting\EC\2016-11-19-refined-times.txt</v>
      </c>
      <c r="AI153" s="119" t="str">
        <f t="shared" si="52"/>
        <v>echo {"issue":{"subject":"","project_id":79,"tracker_id":40,"status_id":1,"priority_id":2,"assigned_to_id":23,"start_date":"2016-11-20","description":"","custom_fields":[{"id":1,"name":"Subdivision","value":"EC"},{"id":4,"name":"Milepost","value":"0.0149"},{"id":17,"name":"Train ID","value":"240-19"},{"id":16,"name":"Locomotive ID","value":"4013"},{"id":130,"name":"Impact","value":""},{"id":150,"name":"Time of Event (Mountain Time)","value":"01:02:44"},{"id":151,"name":"Denver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91" x14ac:dyDescent="0.25">
      <c r="A154" s="37" t="s">
        <v>640</v>
      </c>
      <c r="B154" s="7">
        <v>4002</v>
      </c>
      <c r="C154" s="22" t="s">
        <v>218</v>
      </c>
      <c r="D154" s="22" t="s">
        <v>217</v>
      </c>
      <c r="E154" s="13">
        <v>42693.994166666664</v>
      </c>
      <c r="F154" s="13">
        <v>42694.000231481485</v>
      </c>
      <c r="G154" s="7">
        <v>1</v>
      </c>
      <c r="H154" s="22" t="s">
        <v>352</v>
      </c>
      <c r="I154" s="13">
        <v>42694.025173611109</v>
      </c>
      <c r="J154" s="7">
        <v>0</v>
      </c>
      <c r="K154" s="109" t="str">
        <f t="shared" si="36"/>
        <v>4001/4002</v>
      </c>
      <c r="L154" s="22" t="str">
        <f>VLOOKUP(A154,'Trips&amp;Operators'!$C$1:$E$10000,3,FALSE)</f>
        <v>CHANDLER</v>
      </c>
      <c r="M154" s="6">
        <f t="shared" si="37"/>
        <v>2.4942129624832887E-2</v>
      </c>
      <c r="N154" s="7">
        <f t="shared" si="38"/>
        <v>35.916666659759358</v>
      </c>
      <c r="O154" s="7"/>
      <c r="P154" s="7"/>
      <c r="Q154" s="23"/>
      <c r="R154" s="23"/>
      <c r="S154" s="35">
        <f t="shared" si="39"/>
        <v>1</v>
      </c>
      <c r="T154" s="50" t="str">
        <f t="shared" si="40"/>
        <v>NorthBound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22:51:36-700',mode:absolute,to:'2016-11-20 01:36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4" s="52" t="str">
        <f t="shared" si="42"/>
        <v>N</v>
      </c>
      <c r="X154" s="177">
        <f t="shared" si="43"/>
        <v>1</v>
      </c>
      <c r="Y154" s="67">
        <f t="shared" si="44"/>
        <v>4.6399999999999997E-2</v>
      </c>
      <c r="Z154" s="67">
        <f t="shared" si="45"/>
        <v>23.333200000000001</v>
      </c>
      <c r="AA154" s="67">
        <f t="shared" si="46"/>
        <v>23.286800000000003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47"/>
        <v>0241-19</v>
      </c>
      <c r="AE154" s="91" t="str">
        <f t="shared" si="48"/>
        <v>aws s3 cp s3://rtdc.mdm.uploadarchive.raw/RTDC4002/ "%USERPROFILE%\AppData\Local\Temp\OnboardLogs"\RTDC4002\2016-11-20 --exclude "*" --recursive --include "*20161120*" &amp; "%USERPROFILE%\Documents\GitHub\mrs-test-scripts\Headless Mode &amp; Sideloading\WalkAndUnGZ.bat" "%USERPROFILE%\AppData\Local\Temp\OnboardLogs"\RTDC4002\2016-11-20 &amp; 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</v>
      </c>
      <c r="AF154" s="88" t="str">
        <f t="shared" si="49"/>
        <v>"C:\Program Files (x86)\AstroGrep\AstroGrep.exe" /spath="%USERPROFILE%\AppData\Local\Temp\OnboardLogs" /stypes="app*4002*20161120*" /stext=" 07:.+((SYSTEM_STATE.+slice.+state.+changed )|(ment ac)|(system.+state.+changed )|(\[timeout)|(PRM\|1\|D)|(kpr)|(kdp)|(\|lc)|(penalty))" /e /r /s</v>
      </c>
      <c r="AG154" s="1" t="str">
        <f t="shared" si="50"/>
        <v>EC</v>
      </c>
      <c r="AH154" s="92" t="str">
        <f t="shared" si="51"/>
        <v>"%USERPROFILE%\Documents\GitHub\eaglep3\Utilities\RefineRTDCRunTimes.py" --tripid 241-19 --locoid 4002 --swversion DE.1.0.8.0 --startMP 204:464 --initTime 2016-11-19T23:51:36 --startdatetime 2016-11-20T00:00:20 --delay 1 --endMP 204:233332 --enddatetime 2016-11-20T00:36:15 --enforcementcount 0 &gt;&gt;C:\Users\stu\Documents\GitHub\eaglep3-reporting\EC\2016-11-19-refined-times.txt</v>
      </c>
      <c r="AI154" s="119" t="str">
        <f t="shared" si="52"/>
        <v>echo {"issue":{"subject":"","project_id":79,"tracker_id":40,"status_id":1,"priority_id":2,"assigned_to_id":23,"start_date":"2016-11-20","description":"","custom_fields":[{"id":1,"name":"Subdivision","value":"EC"},{"id":4,"name":"Milepost","value":"23.3332"},{"id":17,"name":"Train ID","value":"241-19"},{"id":16,"name":"Locomotive ID","value":"4002"},{"id":130,"name":"Impact","value":""},{"id":150,"name":"Time of Event (Mountain Time)","value":"00:36:15"},{"id":151,"name":"Denver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x14ac:dyDescent="0.25">
      <c r="A155" s="37" t="s">
        <v>644</v>
      </c>
      <c r="B155" s="7">
        <v>4001</v>
      </c>
      <c r="C155" s="22" t="s">
        <v>218</v>
      </c>
      <c r="D155" s="22" t="s">
        <v>748</v>
      </c>
      <c r="E155" s="13">
        <v>42694.035000000003</v>
      </c>
      <c r="F155" s="13">
        <v>42694.035740740743</v>
      </c>
      <c r="G155" s="7">
        <v>1</v>
      </c>
      <c r="H155" s="22" t="s">
        <v>749</v>
      </c>
      <c r="I155" s="13">
        <v>42694.060624999998</v>
      </c>
      <c r="J155" s="7">
        <v>0</v>
      </c>
      <c r="K155" s="109" t="str">
        <f t="shared" si="36"/>
        <v>4001/4002</v>
      </c>
      <c r="L155" s="22" t="str">
        <f>VLOOKUP(A155,'Trips&amp;Operators'!$C$1:$E$10000,3,FALSE)</f>
        <v>CHANDLER</v>
      </c>
      <c r="M155" s="6">
        <f t="shared" si="37"/>
        <v>2.488425925548654E-2</v>
      </c>
      <c r="N155" s="7"/>
      <c r="O155" s="7"/>
      <c r="P155" s="7">
        <f>24*60*SUM($M155:$M156)</f>
        <v>48.466666659805924</v>
      </c>
      <c r="Q155" s="23"/>
      <c r="R155" s="23" t="s">
        <v>803</v>
      </c>
      <c r="S155" s="35">
        <f>SUM(U155:U156)/IF(AG155="EC",12,1)</f>
        <v>0.5</v>
      </c>
      <c r="T155" s="50" t="str">
        <f t="shared" si="40"/>
        <v>Southbound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3</v>
      </c>
      <c r="V15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23:50:24-700',mode:absolute,to:'2016-11-20 02:27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5" s="52" t="str">
        <f t="shared" si="42"/>
        <v>Y</v>
      </c>
      <c r="X155" s="177">
        <f t="shared" si="43"/>
        <v>1</v>
      </c>
      <c r="Y155" s="67">
        <f t="shared" si="44"/>
        <v>23.302499999999998</v>
      </c>
      <c r="Z155" s="67">
        <f t="shared" si="45"/>
        <v>6.4158999999999997</v>
      </c>
      <c r="AA155" s="67">
        <f t="shared" si="46"/>
        <v>16.886599999999998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47"/>
        <v>0242-19</v>
      </c>
      <c r="AE155" s="91" t="str">
        <f t="shared" si="48"/>
        <v>aws s3 cp s3://rtdc.mdm.uploadarchive.raw/RTDC4001/ "%USERPROFILE%\AppData\Local\Temp\OnboardLogs"\RTDC4001\2016-11-20 --exclude "*" --recursive --include "*20161120*" &amp; "%USERPROFILE%\Documents\GitHub\mrs-test-scripts\Headless Mode &amp; Sideloading\WalkAndUnGZ.bat" "%USERPROFILE%\AppData\Local\Temp\OnboardLogs"\RTDC4001\2016-11-20 &amp; 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</v>
      </c>
      <c r="AF155" s="88" t="str">
        <f t="shared" si="49"/>
        <v>"C:\Program Files (x86)\AstroGrep\AstroGrep.exe" /spath="%USERPROFILE%\AppData\Local\Temp\OnboardLogs" /stypes="app*4001*20161120*" /stext=" 08:.+((SYSTEM_STATE.+slice.+state.+changed )|(ment ac)|(system.+state.+changed )|(\[timeout)|(PRM\|1\|D)|(kpr)|(kdp)|(\|lc)|(penalty))" /e /r /s</v>
      </c>
      <c r="AG155" s="1" t="str">
        <f t="shared" si="50"/>
        <v>EC</v>
      </c>
      <c r="AH155" s="92" t="str">
        <f t="shared" si="51"/>
        <v>"%USERPROFILE%\Documents\GitHub\eaglep3\Utilities\RefineRTDCRunTimes.py" --tripid 242-19 --locoid 4001 --swversion DE.1.0.8.0 --startMP 204:233025 --initTime 2016-11-20T00:50:24 --startdatetime 2016-11-20T00:51:28 --delay 1 --endMP 204:64159 --enddatetime 2016-11-20T01:27:18 --enforcementcount 0 &gt;&gt;C:\Users\stu\Documents\GitHub\eaglep3-reporting\EC\2016-11-19-refined-times.txt</v>
      </c>
      <c r="AI155" s="119" t="str">
        <f t="shared" si="52"/>
        <v>echo {"issue":{"subject":"Planned XING ADT / Subdiv work","project_id":79,"tracker_id":40,"status_id":1,"priority_id":2,"assigned_to_id":23,"start_date":"2016-11-20","description":"Due to known work taking place","custom_fields":[{"id":1,"name":"Subdivision","value":"EC"},{"id":4,"name":"Milepost","value":"6.4159"},{"id":17,"name":"Train ID","value":"242-19"},{"id":16,"name":"Locomotive ID","value":"4001"},{"id":130,"name":"Impact","value":"Unexpected Cut-Out or Disengaged"},{"id":150,"name":"Time of Event (Mountain Time)","value":"01:27:18"},{"id":151,"name":"Denver Issue ID","value":""},{"id":178,"name":"Operational Impact","value":"Yes"},{"id":179,"name":"Denver Segment Assigned","value":"Crossings"}]}} | curl -X POST -H "Content-Type: application/json" -H "X-Redmine-API-Key: d6333d4a04012a730768444271f8ca06482dae87" https://secure.xorail.net/redmine/issues.json --data @-</v>
      </c>
      <c r="AJ155" s="53" t="s">
        <v>795</v>
      </c>
      <c r="AK155" s="53" t="s">
        <v>131</v>
      </c>
      <c r="AL155" s="53" t="s">
        <v>132</v>
      </c>
    </row>
    <row r="156" spans="1:91" s="21" customFormat="1" x14ac:dyDescent="0.25">
      <c r="A156" s="37" t="s">
        <v>644</v>
      </c>
      <c r="B156" s="7">
        <v>4001</v>
      </c>
      <c r="C156" s="22" t="s">
        <v>218</v>
      </c>
      <c r="D156" s="22" t="s">
        <v>750</v>
      </c>
      <c r="E156" s="13">
        <v>42694.066932870373</v>
      </c>
      <c r="F156" s="13">
        <v>42694.067442129628</v>
      </c>
      <c r="G156" s="7">
        <v>0</v>
      </c>
      <c r="H156" s="22" t="s">
        <v>212</v>
      </c>
      <c r="I156" s="13">
        <v>42694.076215277775</v>
      </c>
      <c r="J156" s="7">
        <v>0</v>
      </c>
      <c r="K156" s="109" t="str">
        <f t="shared" si="36"/>
        <v>4001/4002</v>
      </c>
      <c r="L156" s="22" t="str">
        <f>VLOOKUP(A156,'Trips&amp;Operators'!$C$1:$E$10000,3,FALSE)</f>
        <v>CHANDLER</v>
      </c>
      <c r="M156" s="6">
        <f t="shared" si="37"/>
        <v>8.7731481471564621E-3</v>
      </c>
      <c r="N156" s="7"/>
      <c r="O156" s="7"/>
      <c r="P156" s="7"/>
      <c r="Q156" s="23"/>
      <c r="R156" s="23"/>
      <c r="S156" s="35"/>
      <c r="T156" s="50" t="str">
        <f t="shared" si="40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3</v>
      </c>
      <c r="V15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00:36:23-700',mode:absolute,to:'2016-11-20 02:49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6" s="52" t="str">
        <f t="shared" si="42"/>
        <v>Y</v>
      </c>
      <c r="X156" s="177">
        <f t="shared" si="43"/>
        <v>0</v>
      </c>
      <c r="Y156" s="67">
        <f t="shared" si="44"/>
        <v>3.681</v>
      </c>
      <c r="Z156" s="67">
        <f t="shared" si="45"/>
        <v>1.5599999999999999E-2</v>
      </c>
      <c r="AA156" s="67">
        <f t="shared" si="46"/>
        <v>3.6654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47"/>
        <v>0242-19</v>
      </c>
      <c r="AE156" s="91" t="str">
        <f t="shared" si="48"/>
        <v>aws s3 cp s3://rtdc.mdm.uploadarchive.raw/RTDC4001/ "%USERPROFILE%\AppData\Local\Temp\OnboardLogs"\RTDC4001\2016-11-20 --exclude "*" --recursive --include "*20161120*" &amp; "%USERPROFILE%\Documents\GitHub\mrs-test-scripts\Headless Mode &amp; Sideloading\WalkAndUnGZ.bat" "%USERPROFILE%\AppData\Local\Temp\OnboardLogs"\RTDC4001\2016-11-20 &amp; 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</v>
      </c>
      <c r="AF156" s="88" t="str">
        <f t="shared" si="49"/>
        <v>"C:\Program Files (x86)\AstroGrep\AstroGrep.exe" /spath="%USERPROFILE%\AppData\Local\Temp\OnboardLogs" /stypes="app*4001*20161120*" /stext=" 08:.+((SYSTEM_STATE.+slice.+state.+changed )|(ment ac)|(system.+state.+changed )|(\[timeout)|(PRM\|1\|D)|(kpr)|(kdp)|(\|lc)|(penalty))" /e /r /s</v>
      </c>
      <c r="AG156" s="1" t="str">
        <f t="shared" si="50"/>
        <v>EC</v>
      </c>
      <c r="AH156" s="92" t="str">
        <f t="shared" si="51"/>
        <v>"%USERPROFILE%\Documents\GitHub\eaglep3\Utilities\RefineRTDCRunTimes.py" --tripid 242-19 --locoid 4001 --swversion DE.1.0.8.0 --startMP 204:36810 --initTime 2016-11-20T01:36:23 --startdatetime 2016-11-20T01:37:07 --delay 0 --endMP 204:156 --enddatetime 2016-11-20T01:49:45 --enforcementcount 0 &gt;&gt;C:\Users\stu\Documents\GitHub\eaglep3-reporting\EC\2016-11-19-refined-times.txt</v>
      </c>
      <c r="AI156" s="119" t="str">
        <f t="shared" si="52"/>
        <v>echo {"issue":{"subject":"","project_id":79,"tracker_id":40,"status_id":1,"priority_id":2,"assigned_to_id":23,"start_date":"2016-11-20","description":"","custom_fields":[{"id":1,"name":"Subdivision","value":"EC"},{"id":4,"name":"Milepost","value":"0.0156"},{"id":17,"name":"Train ID","value":"242-19"},{"id":16,"name":"Locomotive ID","value":"4001"},{"id":130,"name":"Impact","value":""},{"id":150,"name":"Time of Event (Mountain Time)","value":"01:49:45"},{"id":151,"name":"Denver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641</v>
      </c>
      <c r="B157" s="7">
        <v>4046</v>
      </c>
      <c r="C157" s="22" t="s">
        <v>218</v>
      </c>
      <c r="D157" s="22" t="s">
        <v>411</v>
      </c>
      <c r="E157" s="13">
        <v>42694.014062499999</v>
      </c>
      <c r="F157" s="13">
        <v>42694.021203703705</v>
      </c>
      <c r="G157" s="7">
        <v>1</v>
      </c>
      <c r="H157" s="22" t="s">
        <v>736</v>
      </c>
      <c r="I157" s="13">
        <v>42694.045011574075</v>
      </c>
      <c r="J157" s="7">
        <v>0</v>
      </c>
      <c r="K157" s="109" t="str">
        <f t="shared" si="36"/>
        <v>4045/4046</v>
      </c>
      <c r="L157" s="22" t="str">
        <f>VLOOKUP(A157,'Trips&amp;Operators'!$C$1:$E$10000,3,FALSE)</f>
        <v>STAMBAUGH</v>
      </c>
      <c r="M157" s="6">
        <f t="shared" si="37"/>
        <v>2.3807870369637385E-2</v>
      </c>
      <c r="N157" s="7">
        <f t="shared" si="38"/>
        <v>34.283333332277834</v>
      </c>
      <c r="O157" s="7"/>
      <c r="P157" s="7"/>
      <c r="Q157" s="23"/>
      <c r="R157" s="23"/>
      <c r="S157" s="35">
        <f t="shared" si="39"/>
        <v>1</v>
      </c>
      <c r="T157" s="50" t="str">
        <f t="shared" si="40"/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23:20:15-700',mode:absolute,to:'2016-11-20 02:04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7" s="52" t="str">
        <f t="shared" si="42"/>
        <v>N</v>
      </c>
      <c r="X157" s="177">
        <f t="shared" si="43"/>
        <v>1</v>
      </c>
      <c r="Y157" s="67">
        <f t="shared" si="44"/>
        <v>4.5999999999999999E-2</v>
      </c>
      <c r="Z157" s="67">
        <f t="shared" si="45"/>
        <v>23.3291</v>
      </c>
      <c r="AA157" s="67">
        <f t="shared" si="46"/>
        <v>23.283100000000001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47"/>
        <v>0243-19</v>
      </c>
      <c r="AE157" s="91" t="str">
        <f t="shared" si="48"/>
        <v>aws s3 cp s3://rtdc.mdm.uploadarchive.raw/RTDC4046/ "%USERPROFILE%\AppData\Local\Temp\OnboardLogs"\RTDC4046\2016-11-20 --exclude "*" --recursive --include "*20161120*" &amp; "%USERPROFILE%\Documents\GitHub\mrs-test-scripts\Headless Mode &amp; Sideloading\WalkAndUnGZ.bat" "%USERPROFILE%\AppData\Local\Temp\OnboardLogs"\RTDC4046\2016-11-20 &amp; aws s3 cp s3://rtdc.mdm.uploadarchive.raw/RTDC4046/ "%USERPROFILE%\AppData\Local\Temp\OnboardLogs"\RTDC4046\2016-11-21 --exclude "*" --recursive --include "*20161121*" &amp; "%USERPROFILE%\Documents\GitHub\mrs-test-scripts\Headless Mode &amp; Sideloading\WalkAndUnGZ.bat" "%USERPROFILE%\AppData\Local\Temp\OnboardLogs"\RTDC4046\2016-11-21</v>
      </c>
      <c r="AF157" s="88" t="str">
        <f t="shared" si="49"/>
        <v>"C:\Program Files (x86)\AstroGrep\AstroGrep.exe" /spath="%USERPROFILE%\AppData\Local\Temp\OnboardLogs" /stypes="app*4046*20161120*" /stext=" 08:.+((SYSTEM_STATE.+slice.+state.+changed )|(ment ac)|(system.+state.+changed )|(\[timeout)|(PRM\|1\|D)|(kpr)|(kdp)|(\|lc)|(penalty))" /e /r /s</v>
      </c>
      <c r="AG157" s="1" t="str">
        <f t="shared" si="50"/>
        <v>EC</v>
      </c>
      <c r="AH157" s="92" t="str">
        <f t="shared" si="51"/>
        <v>"%USERPROFILE%\Documents\GitHub\eaglep3\Utilities\RefineRTDCRunTimes.py" --tripid 243-19 --locoid 4046 --swversion DE.1.0.8.0 --startMP 204:460 --initTime 2016-11-20T00:20:15 --startdatetime 2016-11-20T00:30:32 --delay 1 --endMP 204:233291 --enddatetime 2016-11-20T01:04:49 --enforcementcount 0 &gt;&gt;C:\Users\stu\Documents\GitHub\eaglep3-reporting\EC\2016-11-19-refined-times.txt</v>
      </c>
      <c r="AI157" s="119" t="str">
        <f t="shared" si="52"/>
        <v>echo {"issue":{"subject":"","project_id":79,"tracker_id":40,"status_id":1,"priority_id":2,"assigned_to_id":23,"start_date":"2016-11-20","description":"","custom_fields":[{"id":1,"name":"Subdivision","value":"EC"},{"id":4,"name":"Milepost","value":"23.3291"},{"id":17,"name":"Train ID","value":"243-19"},{"id":16,"name":"Locomotive ID","value":"4046"},{"id":130,"name":"Impact","value":""},{"id":150,"name":"Time of Event (Mountain Time)","value":"01:04:49"},{"id":151,"name":"Denver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646</v>
      </c>
      <c r="B158" s="7">
        <v>4045</v>
      </c>
      <c r="C158" s="22" t="s">
        <v>218</v>
      </c>
      <c r="D158" s="22" t="s">
        <v>678</v>
      </c>
      <c r="E158" s="13">
        <v>42694.053391203706</v>
      </c>
      <c r="F158" s="13">
        <v>42694.054664351854</v>
      </c>
      <c r="G158" s="7">
        <v>1</v>
      </c>
      <c r="H158" s="22" t="s">
        <v>751</v>
      </c>
      <c r="I158" s="13">
        <v>42694.07917824074</v>
      </c>
      <c r="J158" s="7">
        <v>0</v>
      </c>
      <c r="K158" s="109" t="str">
        <f t="shared" si="36"/>
        <v>4045/4046</v>
      </c>
      <c r="L158" s="22" t="str">
        <f>VLOOKUP(A158,'Trips&amp;Operators'!$C$1:$E$10000,3,FALSE)</f>
        <v>STAMBAUGH</v>
      </c>
      <c r="M158" s="6">
        <f t="shared" si="37"/>
        <v>2.4513888885849155E-2</v>
      </c>
      <c r="N158" s="7"/>
      <c r="O158" s="7"/>
      <c r="P158" s="7">
        <f>24*60*SUM($M158:$M159)</f>
        <v>45.316666656872258</v>
      </c>
      <c r="Q158" s="23"/>
      <c r="R158" s="23" t="s">
        <v>803</v>
      </c>
      <c r="S158" s="35">
        <f>SUM(U158:U159)/IF(AG158="EC",12,1)</f>
        <v>0.58333333333333337</v>
      </c>
      <c r="T158" s="50" t="str">
        <f t="shared" si="40"/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4</v>
      </c>
      <c r="V15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00:16:53-700',mode:absolute,to:'2016-11-20 02:54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8" s="52" t="str">
        <f t="shared" si="42"/>
        <v>Y</v>
      </c>
      <c r="X158" s="177">
        <f t="shared" si="43"/>
        <v>1</v>
      </c>
      <c r="Y158" s="67">
        <f t="shared" si="44"/>
        <v>23.2971</v>
      </c>
      <c r="Z158" s="67">
        <f t="shared" si="45"/>
        <v>6.0465</v>
      </c>
      <c r="AA158" s="67">
        <f t="shared" si="46"/>
        <v>17.250599999999999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47"/>
        <v>0244-19</v>
      </c>
      <c r="AE158" s="91" t="str">
        <f t="shared" si="48"/>
        <v>aws s3 cp s3://rtdc.mdm.uploadarchive.raw/RTDC4045/ "%USERPROFILE%\AppData\Local\Temp\OnboardLogs"\RTDC4045\2016-11-20 --exclude "*" --recursive --include "*20161120*" &amp; "%USERPROFILE%\Documents\GitHub\mrs-test-scripts\Headless Mode &amp; Sideloading\WalkAndUnGZ.bat" "%USERPROFILE%\AppData\Local\Temp\OnboardLogs"\RTDC4045\2016-11-20 &amp; aws s3 cp s3://rtdc.mdm.uploadarchive.raw/RTDC4045/ "%USERPROFILE%\AppData\Local\Temp\OnboardLogs"\RTDC4045\2016-11-21 --exclude "*" --recursive --include "*20161121*" &amp; "%USERPROFILE%\Documents\GitHub\mrs-test-scripts\Headless Mode &amp; Sideloading\WalkAndUnGZ.bat" "%USERPROFILE%\AppData\Local\Temp\OnboardLogs"\RTDC4045\2016-11-21</v>
      </c>
      <c r="AF158" s="88" t="str">
        <f t="shared" si="49"/>
        <v>"C:\Program Files (x86)\AstroGrep\AstroGrep.exe" /spath="%USERPROFILE%\AppData\Local\Temp\OnboardLogs" /stypes="app*4045*20161120*" /stext=" 08:.+((SYSTEM_STATE.+slice.+state.+changed )|(ment ac)|(system.+state.+changed )|(\[timeout)|(PRM\|1\|D)|(kpr)|(kdp)|(\|lc)|(penalty))" /e /r /s</v>
      </c>
      <c r="AG158" s="1" t="str">
        <f t="shared" si="50"/>
        <v>EC</v>
      </c>
      <c r="AH158" s="92" t="str">
        <f t="shared" si="51"/>
        <v>"%USERPROFILE%\Documents\GitHub\eaglep3\Utilities\RefineRTDCRunTimes.py" --tripid 244-19 --locoid 4045 --swversion DE.1.0.8.0 --startMP 204:232971 --initTime 2016-11-20T01:16:53 --startdatetime 2016-11-20T01:18:43 --delay 1 --endMP 204:60465 --enddatetime 2016-11-20T01:54:01 --enforcementcount 0 &gt;&gt;C:\Users\stu\Documents\GitHub\eaglep3-reporting\EC\2016-11-19-refined-times.txt</v>
      </c>
      <c r="AI158" s="119" t="str">
        <f t="shared" si="52"/>
        <v>echo {"issue":{"subject":"Planned XING ADT / Subdiv work","project_id":79,"tracker_id":40,"status_id":1,"priority_id":2,"assigned_to_id":23,"start_date":"2016-11-20","description":"Due to known work taking place","custom_fields":[{"id":1,"name":"Subdivision","value":"EC"},{"id":4,"name":"Milepost","value":"6.0465"},{"id":17,"name":"Train ID","value":"244-19"},{"id":16,"name":"Locomotive ID","value":"4045"},{"id":130,"name":"Impact","value":"Unexpected Cut-Out or Disengaged"},{"id":150,"name":"Time of Event (Mountain Time)","value":"01:54:01"},{"id":151,"name":"Denver Issue ID","value":""},{"id":178,"name":"Operational Impact","value":"Yes"},{"id":179,"name":"Denver Segment Assigned","value":"Crossings"}]}} | curl -X POST -H "Content-Type: application/json" -H "X-Redmine-API-Key: d6333d4a04012a730768444271f8ca06482dae87" https://secure.xorail.net/redmine/issues.json --data @-</v>
      </c>
      <c r="AJ158" s="53" t="s">
        <v>795</v>
      </c>
      <c r="AK158" s="53" t="s">
        <v>131</v>
      </c>
      <c r="AL158" s="53" t="s">
        <v>132</v>
      </c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646</v>
      </c>
      <c r="B159" s="7">
        <v>4045</v>
      </c>
      <c r="C159" s="22" t="s">
        <v>218</v>
      </c>
      <c r="D159" s="22" t="s">
        <v>752</v>
      </c>
      <c r="E159" s="13">
        <v>42694.08357638889</v>
      </c>
      <c r="F159" s="13">
        <v>42694.084050925929</v>
      </c>
      <c r="G159" s="7">
        <v>0</v>
      </c>
      <c r="H159" s="22" t="s">
        <v>753</v>
      </c>
      <c r="I159" s="13">
        <v>42694.091006944444</v>
      </c>
      <c r="J159" s="7">
        <v>0</v>
      </c>
      <c r="K159" s="109" t="str">
        <f t="shared" si="36"/>
        <v>4045/4046</v>
      </c>
      <c r="L159" s="22" t="str">
        <f>VLOOKUP(A159,'Trips&amp;Operators'!$C$1:$E$10000,3,FALSE)</f>
        <v>STAMBAUGH</v>
      </c>
      <c r="M159" s="6">
        <f t="shared" si="37"/>
        <v>6.956018514756579E-3</v>
      </c>
      <c r="N159" s="7"/>
      <c r="O159" s="7"/>
      <c r="P159" s="7"/>
      <c r="Q159" s="23"/>
      <c r="R159" s="23"/>
      <c r="S159" s="35"/>
      <c r="T159" s="50" t="str">
        <f t="shared" si="40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3</v>
      </c>
      <c r="V15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01:00:21-700',mode:absolute,to:'2016-11-20 03:11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9" s="52" t="str">
        <f t="shared" si="42"/>
        <v>Y</v>
      </c>
      <c r="X159" s="177">
        <f t="shared" si="43"/>
        <v>0</v>
      </c>
      <c r="Y159" s="67">
        <f t="shared" si="44"/>
        <v>3.6787999999999998</v>
      </c>
      <c r="Z159" s="67">
        <f t="shared" si="45"/>
        <v>2.6200000000000001E-2</v>
      </c>
      <c r="AA159" s="67">
        <f t="shared" si="46"/>
        <v>3.6525999999999996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47"/>
        <v>0244-19</v>
      </c>
      <c r="AE159" s="91" t="str">
        <f t="shared" si="48"/>
        <v>aws s3 cp s3://rtdc.mdm.uploadarchive.raw/RTDC4045/ "%USERPROFILE%\AppData\Local\Temp\OnboardLogs"\RTDC4045\2016-11-20 --exclude "*" --recursive --include "*20161120*" &amp; "%USERPROFILE%\Documents\GitHub\mrs-test-scripts\Headless Mode &amp; Sideloading\WalkAndUnGZ.bat" "%USERPROFILE%\AppData\Local\Temp\OnboardLogs"\RTDC4045\2016-11-20 &amp; aws s3 cp s3://rtdc.mdm.uploadarchive.raw/RTDC4045/ "%USERPROFILE%\AppData\Local\Temp\OnboardLogs"\RTDC4045\2016-11-21 --exclude "*" --recursive --include "*20161121*" &amp; "%USERPROFILE%\Documents\GitHub\mrs-test-scripts\Headless Mode &amp; Sideloading\WalkAndUnGZ.bat" "%USERPROFILE%\AppData\Local\Temp\OnboardLogs"\RTDC4045\2016-11-21</v>
      </c>
      <c r="AF159" s="88" t="str">
        <f t="shared" si="49"/>
        <v>"C:\Program Files (x86)\AstroGrep\AstroGrep.exe" /spath="%USERPROFILE%\AppData\Local\Temp\OnboardLogs" /stypes="app*4045*20161120*" /stext=" 09:.+((SYSTEM_STATE.+slice.+state.+changed )|(ment ac)|(system.+state.+changed )|(\[timeout)|(PRM\|1\|D)|(kpr)|(kdp)|(\|lc)|(penalty))" /e /r /s</v>
      </c>
      <c r="AG159" s="1" t="str">
        <f t="shared" si="50"/>
        <v>EC</v>
      </c>
      <c r="AH159" s="92" t="str">
        <f t="shared" si="51"/>
        <v>"%USERPROFILE%\Documents\GitHub\eaglep3\Utilities\RefineRTDCRunTimes.py" --tripid 244-19 --locoid 4045 --swversion DE.1.0.8.0 --startMP 204:36788 --initTime 2016-11-20T02:00:21 --startdatetime 2016-11-20T02:01:02 --delay 0 --endMP 204:262 --enddatetime 2016-11-20T02:11:03 --enforcementcount 0 &gt;&gt;C:\Users\stu\Documents\GitHub\eaglep3-reporting\EC\2016-11-19-refined-times.txt</v>
      </c>
      <c r="AI159" s="119" t="str">
        <f t="shared" si="52"/>
        <v>echo {"issue":{"subject":"","project_id":79,"tracker_id":40,"status_id":1,"priority_id":2,"assigned_to_id":23,"start_date":"2016-11-20","description":"","custom_fields":[{"id":1,"name":"Subdivision","value":"EC"},{"id":4,"name":"Milepost","value":"0.0262"},{"id":17,"name":"Train ID","value":"244-19"},{"id":16,"name":"Locomotive ID","value":"4045"},{"id":130,"name":"Impact","value":""},{"id":150,"name":"Time of Event (Mountain Time)","value":"02:11:03"},{"id":151,"name":"Denver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643</v>
      </c>
      <c r="B160" s="7">
        <v>4038</v>
      </c>
      <c r="C160" s="22" t="s">
        <v>218</v>
      </c>
      <c r="D160" s="22" t="s">
        <v>267</v>
      </c>
      <c r="E160" s="13">
        <v>42694.030624999999</v>
      </c>
      <c r="F160" s="13">
        <v>42694.031851851854</v>
      </c>
      <c r="G160" s="7">
        <v>1</v>
      </c>
      <c r="H160" s="22" t="s">
        <v>754</v>
      </c>
      <c r="I160" s="13">
        <v>42694.053287037037</v>
      </c>
      <c r="J160" s="7">
        <v>0</v>
      </c>
      <c r="K160" s="109" t="str">
        <f t="shared" si="36"/>
        <v>4037/4038</v>
      </c>
      <c r="L160" s="22" t="str">
        <f>VLOOKUP(A160,'Trips&amp;Operators'!$C$1:$E$10000,3,FALSE)</f>
        <v>LEVIN</v>
      </c>
      <c r="M160" s="6">
        <f t="shared" si="37"/>
        <v>2.1435185182781424E-2</v>
      </c>
      <c r="N160" s="7"/>
      <c r="O160" s="7"/>
      <c r="P160" s="7">
        <f>24*60*SUM($M160:$M161)</f>
        <v>55.566666664090008</v>
      </c>
      <c r="Q160" s="23"/>
      <c r="R160" s="23" t="s">
        <v>803</v>
      </c>
      <c r="S160" s="35">
        <f>SUM(U160:U161)/IF(AG160="EC",12,1)</f>
        <v>0.75</v>
      </c>
      <c r="T160" s="50" t="str">
        <f t="shared" si="40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6</v>
      </c>
      <c r="V16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23:44:06-700',mode:absolute,to:'2016-11-20 02:16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60" s="52" t="str">
        <f t="shared" si="42"/>
        <v>Y</v>
      </c>
      <c r="X160" s="177">
        <f t="shared" si="43"/>
        <v>1</v>
      </c>
      <c r="Y160" s="67">
        <f t="shared" si="44"/>
        <v>4.6600000000000003E-2</v>
      </c>
      <c r="Z160" s="67">
        <f t="shared" si="45"/>
        <v>5.6721000000000004</v>
      </c>
      <c r="AA160" s="67">
        <f t="shared" si="46"/>
        <v>5.6255000000000006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47"/>
        <v>0245-19</v>
      </c>
      <c r="AE160" s="91" t="str">
        <f t="shared" si="48"/>
        <v>aws s3 cp s3://rtdc.mdm.uploadarchive.raw/RTDC4038/ "%USERPROFILE%\AppData\Local\Temp\OnboardLogs"\RTDC4038\2016-11-20 --exclude "*" --recursive --include "*20161120*" &amp; "%USERPROFILE%\Documents\GitHub\mrs-test-scripts\Headless Mode &amp; Sideloading\WalkAndUnGZ.bat" "%USERPROFILE%\AppData\Local\Temp\OnboardLogs"\RTDC4038\2016-11-20 &amp; aws s3 cp s3://rtdc.mdm.uploadarchive.raw/RTDC4038/ "%USERPROFILE%\AppData\Local\Temp\OnboardLogs"\RTDC4038\2016-11-21 --exclude "*" --recursive --include "*20161121*" &amp; "%USERPROFILE%\Documents\GitHub\mrs-test-scripts\Headless Mode &amp; Sideloading\WalkAndUnGZ.bat" "%USERPROFILE%\AppData\Local\Temp\OnboardLogs"\RTDC4038\2016-11-21</v>
      </c>
      <c r="AF160" s="88" t="str">
        <f t="shared" si="49"/>
        <v>"C:\Program Files (x86)\AstroGrep\AstroGrep.exe" /spath="%USERPROFILE%\AppData\Local\Temp\OnboardLogs" /stypes="app*4038*20161120*" /stext=" 08:.+((SYSTEM_STATE.+slice.+state.+changed )|(ment ac)|(system.+state.+changed )|(\[timeout)|(PRM\|1\|D)|(kpr)|(kdp)|(\|lc)|(penalty))" /e /r /s</v>
      </c>
      <c r="AG160" s="1" t="str">
        <f t="shared" si="50"/>
        <v>EC</v>
      </c>
      <c r="AH160" s="92" t="str">
        <f t="shared" si="51"/>
        <v>"%USERPROFILE%\Documents\GitHub\eaglep3\Utilities\RefineRTDCRunTimes.py" --tripid 245-19 --locoid 4038 --swversion DE.1.0.8.0 --startMP 204:466 --initTime 2016-11-20T00:44:06 --startdatetime 2016-11-20T00:45:52 --delay 1 --endMP 204:56721 --enddatetime 2016-11-20T01:16:44 --enforcementcount 0 &gt;&gt;C:\Users\stu\Documents\GitHub\eaglep3-reporting\EC\2016-11-19-refined-times.txt</v>
      </c>
      <c r="AI160" s="119" t="str">
        <f t="shared" si="52"/>
        <v>echo {"issue":{"subject":"Planned XING ADT / Subdiv work","project_id":79,"tracker_id":40,"status_id":1,"priority_id":2,"assigned_to_id":23,"start_date":"2016-11-20","description":"Due to known work taking place","custom_fields":[{"id":1,"name":"Subdivision","value":"EC"},{"id":4,"name":"Milepost","value":"5.6721"},{"id":17,"name":"Train ID","value":"245-19"},{"id":16,"name":"Locomotive ID","value":"4038"},{"id":130,"name":"Impact","value":"Unexpected Cut-Out or Disengaged"},{"id":150,"name":"Time of Event (Mountain Time)","value":"01:16:44"},{"id":151,"name":"Denver Issue ID","value":""},{"id":178,"name":"Operational Impact","value":"Yes"},{"id":179,"name":"Denver Segment Assigned","value":"Crossings"}]}} | curl -X POST -H "Content-Type: application/json" -H "X-Redmine-API-Key: d6333d4a04012a730768444271f8ca06482dae87" https://secure.xorail.net/redmine/issues.json --data @-</v>
      </c>
      <c r="AJ160" s="53" t="s">
        <v>795</v>
      </c>
      <c r="AK160" s="53" t="s">
        <v>131</v>
      </c>
      <c r="AL160" s="53" t="s">
        <v>132</v>
      </c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643</v>
      </c>
      <c r="B161" s="7">
        <v>4038</v>
      </c>
      <c r="C161" s="22" t="s">
        <v>218</v>
      </c>
      <c r="D161" s="22" t="s">
        <v>755</v>
      </c>
      <c r="E161" s="13">
        <v>42694.058229166665</v>
      </c>
      <c r="F161" s="13">
        <v>42694.058738425927</v>
      </c>
      <c r="G161" s="7">
        <v>0</v>
      </c>
      <c r="H161" s="22" t="s">
        <v>682</v>
      </c>
      <c r="I161" s="13">
        <v>42694.075891203705</v>
      </c>
      <c r="J161" s="7">
        <v>1</v>
      </c>
      <c r="K161" s="109" t="str">
        <f t="shared" si="36"/>
        <v>4037/4038</v>
      </c>
      <c r="L161" s="22" t="str">
        <f>VLOOKUP(A161,'Trips&amp;Operators'!$C$1:$E$10000,3,FALSE)</f>
        <v>LEVIN</v>
      </c>
      <c r="M161" s="6">
        <f t="shared" si="37"/>
        <v>1.7152777778392192E-2</v>
      </c>
      <c r="N161" s="7"/>
      <c r="O161" s="7"/>
      <c r="P161" s="7"/>
      <c r="Q161" s="23"/>
      <c r="R161" s="23"/>
      <c r="S161" s="35"/>
      <c r="T161" s="50" t="str">
        <f t="shared" si="40"/>
        <v>NorthBound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3</v>
      </c>
      <c r="V16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00:23:51-700',mode:absolute,to:'2016-11-20 02:49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61" s="52" t="str">
        <f t="shared" si="42"/>
        <v>Y</v>
      </c>
      <c r="X161" s="177">
        <f t="shared" si="43"/>
        <v>0</v>
      </c>
      <c r="Y161" s="67">
        <f t="shared" si="44"/>
        <v>6.4675000000000002</v>
      </c>
      <c r="Z161" s="67">
        <f t="shared" si="45"/>
        <v>23.330300000000001</v>
      </c>
      <c r="AA161" s="67">
        <f t="shared" si="46"/>
        <v>16.8628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47"/>
        <v>0245-19</v>
      </c>
      <c r="AE161" s="91" t="str">
        <f t="shared" si="48"/>
        <v>aws s3 cp s3://rtdc.mdm.uploadarchive.raw/RTDC4038/ "%USERPROFILE%\AppData\Local\Temp\OnboardLogs"\RTDC4038\2016-11-20 --exclude "*" --recursive --include "*20161120*" &amp; "%USERPROFILE%\Documents\GitHub\mrs-test-scripts\Headless Mode &amp; Sideloading\WalkAndUnGZ.bat" "%USERPROFILE%\AppData\Local\Temp\OnboardLogs"\RTDC4038\2016-11-20 &amp; aws s3 cp s3://rtdc.mdm.uploadarchive.raw/RTDC4038/ "%USERPROFILE%\AppData\Local\Temp\OnboardLogs"\RTDC4038\2016-11-21 --exclude "*" --recursive --include "*20161121*" &amp; "%USERPROFILE%\Documents\GitHub\mrs-test-scripts\Headless Mode &amp; Sideloading\WalkAndUnGZ.bat" "%USERPROFILE%\AppData\Local\Temp\OnboardLogs"\RTDC4038\2016-11-21</v>
      </c>
      <c r="AF161" s="88" t="str">
        <f t="shared" si="49"/>
        <v>"C:\Program Files (x86)\AstroGrep\AstroGrep.exe" /spath="%USERPROFILE%\AppData\Local\Temp\OnboardLogs" /stypes="app*4038*20161120*" /stext=" 08:.+((SYSTEM_STATE.+slice.+state.+changed )|(ment ac)|(system.+state.+changed )|(\[timeout)|(PRM\|1\|D)|(kpr)|(kdp)|(\|lc)|(penalty))" /e /r /s</v>
      </c>
      <c r="AG161" s="1" t="str">
        <f t="shared" si="50"/>
        <v>EC</v>
      </c>
      <c r="AH161" s="92" t="str">
        <f t="shared" si="51"/>
        <v>"%USERPROFILE%\Documents\GitHub\eaglep3\Utilities\RefineRTDCRunTimes.py" --tripid 245-19 --locoid 4038 --swversion DE.1.0.8.0 --startMP 204:64675 --initTime 2016-11-20T01:23:51 --startdatetime 2016-11-20T01:24:35 --delay 0 --endMP 204:233303 --enddatetime 2016-11-20T01:49:17 --enforcementcount 1 &gt;&gt;C:\Users\stu\Documents\GitHub\eaglep3-reporting\EC\2016-11-19-refined-times.txt</v>
      </c>
      <c r="AI161" s="119" t="str">
        <f t="shared" si="52"/>
        <v>echo {"issue":{"subject":"","project_id":79,"tracker_id":40,"status_id":1,"priority_id":2,"assigned_to_id":23,"start_date":"2016-11-20","description":"","custom_fields":[{"id":1,"name":"Subdivision","value":"EC"},{"id":4,"name":"Milepost","value":"23.3303"},{"id":17,"name":"Train ID","value":"245-19"},{"id":16,"name":"Locomotive ID","value":"4038"},{"id":130,"name":"Impact","value":""},{"id":150,"name":"Time of Event (Mountain Time)","value":"01:49:17"},{"id":151,"name":"Denver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756</v>
      </c>
      <c r="B162" s="7">
        <v>4037</v>
      </c>
      <c r="C162" s="22" t="s">
        <v>218</v>
      </c>
      <c r="D162" s="22" t="s">
        <v>401</v>
      </c>
      <c r="E162" s="13">
        <v>42694.078796296293</v>
      </c>
      <c r="F162" s="13">
        <v>42694.079618055555</v>
      </c>
      <c r="G162" s="7">
        <v>1</v>
      </c>
      <c r="H162" s="22" t="s">
        <v>429</v>
      </c>
      <c r="I162" s="13">
        <v>42694.101759259262</v>
      </c>
      <c r="J162" s="7">
        <v>1</v>
      </c>
      <c r="K162" s="109" t="str">
        <f t="shared" si="36"/>
        <v>4037/4038</v>
      </c>
      <c r="L162" s="22" t="e">
        <f>VLOOKUP(A162,'Trips&amp;Operators'!$C$1:$E$10000,3,FALSE)</f>
        <v>#N/A</v>
      </c>
      <c r="M162" s="6">
        <f t="shared" si="37"/>
        <v>2.2141203706269152E-2</v>
      </c>
      <c r="N162" s="7"/>
      <c r="O162" s="7"/>
      <c r="P162" s="7">
        <f>24*60*SUM($M162:$M163)</f>
        <v>42.383333339821547</v>
      </c>
      <c r="Q162" s="23"/>
      <c r="R162" s="23" t="s">
        <v>803</v>
      </c>
      <c r="S162" s="35">
        <f>SUM(U162:U163)/IF(AG162="EC",12,1)</f>
        <v>0.5</v>
      </c>
      <c r="T162" s="50" t="str">
        <f t="shared" si="40"/>
        <v>Southbound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3</v>
      </c>
      <c r="V16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00:53:28-700',mode:absolute,to:'2016-11-20 03:26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62" s="52" t="str">
        <f t="shared" si="42"/>
        <v>Y</v>
      </c>
      <c r="X162" s="177">
        <f t="shared" si="43"/>
        <v>1</v>
      </c>
      <c r="Y162" s="67">
        <f t="shared" si="44"/>
        <v>23.2986</v>
      </c>
      <c r="Z162" s="67">
        <f t="shared" si="45"/>
        <v>6.4161000000000001</v>
      </c>
      <c r="AA162" s="67">
        <f t="shared" si="46"/>
        <v>16.8825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47"/>
        <v>0246-19</v>
      </c>
      <c r="AE162" s="91" t="str">
        <f t="shared" si="48"/>
        <v>aws s3 cp s3://rtdc.mdm.uploadarchive.raw/RTDC4037/ "%USERPROFILE%\AppData\Local\Temp\OnboardLogs"\RTDC4037\2016-11-20 --exclude "*" --recursive --include "*20161120*" &amp; "%USERPROFILE%\Documents\GitHub\mrs-test-scripts\Headless Mode &amp; Sideloading\WalkAndUnGZ.bat" "%USERPROFILE%\AppData\Local\Temp\OnboardLogs"\RTDC4037\2016-11-20 &amp; aws s3 cp s3://rtdc.mdm.uploadarchive.raw/RTDC4037/ "%USERPROFILE%\AppData\Local\Temp\OnboardLogs"\RTDC4037\2016-11-21 --exclude "*" --recursive --include "*20161121*" &amp; "%USERPROFILE%\Documents\GitHub\mrs-test-scripts\Headless Mode &amp; Sideloading\WalkAndUnGZ.bat" "%USERPROFILE%\AppData\Local\Temp\OnboardLogs"\RTDC4037\2016-11-21</v>
      </c>
      <c r="AF162" s="88" t="str">
        <f t="shared" si="49"/>
        <v>"C:\Program Files (x86)\AstroGrep\AstroGrep.exe" /spath="%USERPROFILE%\AppData\Local\Temp\OnboardLogs" /stypes="app*4037*20161120*" /stext=" 09:.+((SYSTEM_STATE.+slice.+state.+changed )|(ment ac)|(system.+state.+changed )|(\[timeout)|(PRM\|1\|D)|(kpr)|(kdp)|(\|lc)|(penalty))" /e /r /s</v>
      </c>
      <c r="AG162" s="1" t="str">
        <f t="shared" si="50"/>
        <v>EC</v>
      </c>
      <c r="AH162" s="92" t="str">
        <f t="shared" si="51"/>
        <v>"%USERPROFILE%\Documents\GitHub\eaglep3\Utilities\RefineRTDCRunTimes.py" --tripid 246-19 --locoid 4037 --swversion DE.1.0.8.0 --startMP 204:232986 --initTime 2016-11-20T01:53:28 --startdatetime 2016-11-20T01:54:39 --delay 1 --endMP 204:64161 --enddatetime 2016-11-20T02:26:32 --enforcementcount 1 &gt;&gt;C:\Users\stu\Documents\GitHub\eaglep3-reporting\EC\2016-11-19-refined-times.txt</v>
      </c>
      <c r="AI162" s="119" t="str">
        <f t="shared" si="52"/>
        <v>echo {"issue":{"subject":"Planned XING ADT / Subdiv work","project_id":79,"tracker_id":40,"status_id":1,"priority_id":2,"assigned_to_id":23,"start_date":"2016-11-20","description":"Due to known work taking place","custom_fields":[{"id":1,"name":"Subdivision","value":"EC"},{"id":4,"name":"Milepost","value":"6.4161"},{"id":17,"name":"Train ID","value":"246-19"},{"id":16,"name":"Locomotive ID","value":"4037"},{"id":130,"name":"Impact","value":"Unexpected Cut-Out or Disengaged"},{"id":150,"name":"Time of Event (Mountain Time)","value":"02:26:32"},{"id":151,"name":"Denver Issue ID","value":""},{"id":178,"name":"Operational Impact","value":"Yes"},{"id":179,"name":"Denver Segment Assigned","value":"Crossings"}]}} | curl -X POST -H "Content-Type: application/json" -H "X-Redmine-API-Key: d6333d4a04012a730768444271f8ca06482dae87" https://secure.xorail.net/redmine/issues.json --data @-</v>
      </c>
      <c r="AJ162" s="53" t="s">
        <v>795</v>
      </c>
      <c r="AK162" s="53" t="s">
        <v>131</v>
      </c>
      <c r="AL162" s="53" t="s">
        <v>132</v>
      </c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756</v>
      </c>
      <c r="B163" s="7">
        <v>4037</v>
      </c>
      <c r="C163" s="22" t="s">
        <v>218</v>
      </c>
      <c r="D163" s="22" t="s">
        <v>757</v>
      </c>
      <c r="E163" s="13">
        <v>42694.106678240743</v>
      </c>
      <c r="F163" s="13">
        <v>42694.107164351852</v>
      </c>
      <c r="G163" s="7">
        <v>0</v>
      </c>
      <c r="H163" s="22" t="s">
        <v>212</v>
      </c>
      <c r="I163" s="13">
        <v>42694.11445601852</v>
      </c>
      <c r="J163" s="7">
        <v>0</v>
      </c>
      <c r="K163" s="109" t="str">
        <f t="shared" si="36"/>
        <v>4037/4038</v>
      </c>
      <c r="L163" s="22" t="e">
        <f>VLOOKUP(A163,'Trips&amp;Operators'!$C$1:$E$10000,3,FALSE)</f>
        <v>#N/A</v>
      </c>
      <c r="M163" s="6">
        <f t="shared" si="37"/>
        <v>7.291666668606922E-3</v>
      </c>
      <c r="N163" s="7"/>
      <c r="O163" s="7"/>
      <c r="P163" s="7"/>
      <c r="Q163" s="23"/>
      <c r="R163" s="23"/>
      <c r="S163" s="35"/>
      <c r="T163" s="50" t="str">
        <f t="shared" si="40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3</v>
      </c>
      <c r="V16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01:33:37-700',mode:absolute,to:'2016-11-20 03:44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63" s="52" t="str">
        <f t="shared" si="42"/>
        <v>Y</v>
      </c>
      <c r="X163" s="177">
        <f t="shared" si="43"/>
        <v>0</v>
      </c>
      <c r="Y163" s="67">
        <f t="shared" si="44"/>
        <v>3.6793999999999998</v>
      </c>
      <c r="Z163" s="67">
        <f t="shared" si="45"/>
        <v>1.5599999999999999E-2</v>
      </c>
      <c r="AA163" s="67">
        <f t="shared" si="46"/>
        <v>3.6637999999999997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47"/>
        <v>0246-19</v>
      </c>
      <c r="AE163" s="91" t="str">
        <f t="shared" si="48"/>
        <v>aws s3 cp s3://rtdc.mdm.uploadarchive.raw/RTDC4037/ "%USERPROFILE%\AppData\Local\Temp\OnboardLogs"\RTDC4037\2016-11-20 --exclude "*" --recursive --include "*20161120*" &amp; "%USERPROFILE%\Documents\GitHub\mrs-test-scripts\Headless Mode &amp; Sideloading\WalkAndUnGZ.bat" "%USERPROFILE%\AppData\Local\Temp\OnboardLogs"\RTDC4037\2016-11-20 &amp; aws s3 cp s3://rtdc.mdm.uploadarchive.raw/RTDC4037/ "%USERPROFILE%\AppData\Local\Temp\OnboardLogs"\RTDC4037\2016-11-21 --exclude "*" --recursive --include "*20161121*" &amp; "%USERPROFILE%\Documents\GitHub\mrs-test-scripts\Headless Mode &amp; Sideloading\WalkAndUnGZ.bat" "%USERPROFILE%\AppData\Local\Temp\OnboardLogs"\RTDC4037\2016-11-21</v>
      </c>
      <c r="AF163" s="88" t="str">
        <f t="shared" si="49"/>
        <v>"C:\Program Files (x86)\AstroGrep\AstroGrep.exe" /spath="%USERPROFILE%\AppData\Local\Temp\OnboardLogs" /stypes="app*4037*20161120*" /stext=" 09:.+((SYSTEM_STATE.+slice.+state.+changed )|(ment ac)|(system.+state.+changed )|(\[timeout)|(PRM\|1\|D)|(kpr)|(kdp)|(\|lc)|(penalty))" /e /r /s</v>
      </c>
      <c r="AG163" s="1" t="str">
        <f t="shared" si="50"/>
        <v>EC</v>
      </c>
      <c r="AH163" s="92" t="str">
        <f t="shared" si="51"/>
        <v>"%USERPROFILE%\Documents\GitHub\eaglep3\Utilities\RefineRTDCRunTimes.py" --tripid 246-19 --locoid 4037 --swversion DE.1.0.8.0 --startMP 204:36794 --initTime 2016-11-20T02:33:37 --startdatetime 2016-11-20T02:34:19 --delay 0 --endMP 204:156 --enddatetime 2016-11-20T02:44:49 --enforcementcount 0 &gt;&gt;C:\Users\stu\Documents\GitHub\eaglep3-reporting\EC\2016-11-19-refined-times.txt</v>
      </c>
      <c r="AI163" s="119" t="str">
        <f t="shared" si="52"/>
        <v>echo {"issue":{"subject":"","project_id":79,"tracker_id":40,"status_id":1,"priority_id":2,"assigned_to_id":23,"start_date":"2016-11-20","description":"","custom_fields":[{"id":1,"name":"Subdivision","value":"EC"},{"id":4,"name":"Milepost","value":"0.0156"},{"id":17,"name":"Train ID","value":"246-19"},{"id":16,"name":"Locomotive ID","value":"4037"},{"id":130,"name":"Impact","value":""},{"id":150,"name":"Time of Event (Mountain Time)","value":"02:44:49"},{"id":151,"name":"Denver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484</v>
      </c>
      <c r="B164" s="7">
        <v>4043</v>
      </c>
      <c r="C164" s="22" t="s">
        <v>218</v>
      </c>
      <c r="D164" s="22" t="s">
        <v>441</v>
      </c>
      <c r="E164" s="13">
        <v>42693.229745370372</v>
      </c>
      <c r="F164" s="13">
        <v>42693.236226851855</v>
      </c>
      <c r="G164" s="7">
        <v>1</v>
      </c>
      <c r="H164" s="22" t="s">
        <v>692</v>
      </c>
      <c r="I164" s="13">
        <v>42693.246099537035</v>
      </c>
      <c r="J164" s="7">
        <v>0</v>
      </c>
      <c r="K164" s="109" t="str">
        <f t="shared" si="36"/>
        <v>4043/4044</v>
      </c>
      <c r="L164" s="22" t="str">
        <f>VLOOKUP(A164,'Trips&amp;Operators'!$C$1:$E$10000,3,FALSE)</f>
        <v>YORK</v>
      </c>
      <c r="M164" s="6">
        <f t="shared" si="37"/>
        <v>9.8726851792889647E-3</v>
      </c>
      <c r="N164" s="7">
        <f t="shared" si="38"/>
        <v>14.216666658176109</v>
      </c>
      <c r="O164" s="7"/>
      <c r="P164" s="7"/>
      <c r="Q164" s="23"/>
      <c r="R164" s="23"/>
      <c r="S164" s="35">
        <f t="shared" si="39"/>
        <v>1</v>
      </c>
      <c r="T164" s="50" t="str">
        <f t="shared" si="40"/>
        <v>Southbound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04:30:50-700',mode:absolute,to:'2016-11-19 06:54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4" s="52" t="str">
        <f t="shared" si="42"/>
        <v>N</v>
      </c>
      <c r="X164" s="177">
        <f t="shared" si="43"/>
        <v>1554</v>
      </c>
      <c r="Y164" s="67">
        <f t="shared" si="44"/>
        <v>5.86</v>
      </c>
      <c r="Z164" s="67">
        <f t="shared" si="45"/>
        <v>7.4499999999999997E-2</v>
      </c>
      <c r="AA164" s="67">
        <f t="shared" si="46"/>
        <v>5.7855000000000008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47"/>
        <v>1800-19</v>
      </c>
      <c r="AE164" s="91" t="str">
        <f t="shared" si="48"/>
        <v>aws s3 cp s3://rtdc.mdm.uploadarchive.raw/RTDC4043/ "%USERPROFILE%\AppData\Local\Temp\OnboardLogs"\RTDC4043\2016-11-19 --exclude "*" --recursive --include "*20161119*" &amp; "%USERPROFILE%\Documents\GitHub\mrs-test-scripts\Headless Mode &amp; Sideloading\WalkAndUnGZ.bat" "%USERPROFILE%\AppData\Local\Temp\OnboardLogs"\RTDC4043\2016-11-19 &amp; aws s3 cp s3://rtdc.mdm.uploadarchive.raw/RTDC4043/ "%USERPROFILE%\AppData\Local\Temp\OnboardLogs"\RTDC4043\2016-11-20 --exclude "*" --recursive --include "*20161120*" &amp; "%USERPROFILE%\Documents\GitHub\mrs-test-scripts\Headless Mode &amp; Sideloading\WalkAndUnGZ.bat" "%USERPROFILE%\AppData\Local\Temp\OnboardLogs"\RTDC4043\2016-11-20</v>
      </c>
      <c r="AF164" s="88" t="str">
        <f t="shared" si="49"/>
        <v>"C:\Program Files (x86)\AstroGrep\AstroGrep.exe" /spath="%USERPROFILE%\AppData\Local\Temp\OnboardLogs" /stypes="app*4043*20161119*" /stext=" 12:.+((SYSTEM_STATE.+slice.+state.+changed )|(ment ac)|(system.+state.+changed )|(\[timeout)|(PRM\|1\|D)|(kpr)|(kdp)|(\|lc)|(penalty))" /e /r /s</v>
      </c>
      <c r="AG164" s="1" t="str">
        <f t="shared" si="50"/>
        <v>NW</v>
      </c>
      <c r="AH164" s="92" t="str">
        <f t="shared" si="51"/>
        <v>"%USERPROFILE%\Documents\GitHub\eaglep3\Utilities\RefineRTDCRunTimes.py" --tripid 1800-19 --locoid 4043 --swversion DE.1.0.8.0 --startMP 300:58600 --initTime 2016-11-19T05:30:50 --startdatetime 2016-11-19T05:40:10 --delay 1 --endMP 204:745 --enddatetime 2016-11-19T05:54:23 --enforcementcount 0 &gt;&gt;C:\Users\stu\Documents\GitHub\eaglep3-reporting\EC\2016-11-19-refined-times.txt</v>
      </c>
      <c r="AI164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{"issue":{"subject":"","project_id":79,"tracker_id":40,"status_id":1,"priority_id":2,"assigned_to_id":23,"start_date":"2016-11-19","description":"","custom_fields":[{"id":1,"name":"Subdivision","value":"NW"},{"id":4,"name":"Milepost","value":"0.0745"},{"id":17,"name":"Train ID","value":"1800-19"},{"id":16,"name":"Locomotive ID","value":"4043"},{"id":130,"name":"Impact","value":""},{"id":150,"name":"Time of Event (Mountain Time)","value":"05:54:23"},{"id":151,"name":"Denver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488</v>
      </c>
      <c r="B165" s="7">
        <v>4044</v>
      </c>
      <c r="C165" s="22" t="s">
        <v>218</v>
      </c>
      <c r="D165" s="22" t="s">
        <v>693</v>
      </c>
      <c r="E165" s="13">
        <v>42693.24790509259</v>
      </c>
      <c r="F165" s="13">
        <v>42693.264999999999</v>
      </c>
      <c r="G165" s="7">
        <v>1</v>
      </c>
      <c r="H165" s="22" t="s">
        <v>435</v>
      </c>
      <c r="I165" s="13">
        <v>42693.273877314816</v>
      </c>
      <c r="J165" s="7">
        <v>0</v>
      </c>
      <c r="K165" s="109" t="str">
        <f t="shared" si="36"/>
        <v>4043/4044</v>
      </c>
      <c r="L165" s="22" t="str">
        <f>VLOOKUP(A165,'Trips&amp;Operators'!$C$1:$E$10000,3,FALSE)</f>
        <v>YORK</v>
      </c>
      <c r="M165" s="6">
        <f t="shared" si="37"/>
        <v>8.8773148163454607E-3</v>
      </c>
      <c r="N165" s="7">
        <f t="shared" si="38"/>
        <v>12.783333335537463</v>
      </c>
      <c r="O165" s="7"/>
      <c r="P165" s="7"/>
      <c r="Q165" s="23"/>
      <c r="R165" s="23"/>
      <c r="S165" s="35">
        <f t="shared" si="39"/>
        <v>1</v>
      </c>
      <c r="T165" s="50" t="str">
        <f t="shared" si="40"/>
        <v>NorthBound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04:56:59-700',mode:absolute,to:'2016-11-19 07:34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5" s="52" t="str">
        <f t="shared" si="42"/>
        <v>N</v>
      </c>
      <c r="X165" s="177">
        <f t="shared" si="43"/>
        <v>1</v>
      </c>
      <c r="Y165" s="67">
        <f t="shared" si="44"/>
        <v>0.1023</v>
      </c>
      <c r="Z165" s="67">
        <f t="shared" si="45"/>
        <v>5.8921999999999999</v>
      </c>
      <c r="AA165" s="67">
        <f t="shared" si="46"/>
        <v>5.7899000000000003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47"/>
        <v>1801-19</v>
      </c>
      <c r="AE165" s="91" t="str">
        <f t="shared" si="48"/>
        <v>aws s3 cp s3://rtdc.mdm.uploadarchive.raw/RTDC4044/ "%USERPROFILE%\AppData\Local\Temp\OnboardLogs"\RTDC4044\2016-11-19 --exclude "*" --recursive --include "*20161119*" &amp; "%USERPROFILE%\Documents\GitHub\mrs-test-scripts\Headless Mode &amp; Sideloading\WalkAndUnGZ.bat" "%USERPROFILE%\AppData\Local\Temp\OnboardLogs"\RTDC4044\2016-11-19 &amp; aws s3 cp s3://rtdc.mdm.uploadarchive.raw/RTDC4044/ "%USERPROFILE%\AppData\Local\Temp\OnboardLogs"\RTDC4044\2016-11-20 --exclude "*" --recursive --include "*20161120*" &amp; "%USERPROFILE%\Documents\GitHub\mrs-test-scripts\Headless Mode &amp; Sideloading\WalkAndUnGZ.bat" "%USERPROFILE%\AppData\Local\Temp\OnboardLogs"\RTDC4044\2016-11-20</v>
      </c>
      <c r="AF165" s="88" t="str">
        <f t="shared" si="49"/>
        <v>"C:\Program Files (x86)\AstroGrep\AstroGrep.exe" /spath="%USERPROFILE%\AppData\Local\Temp\OnboardLogs" /stypes="app*4044*20161119*" /stext=" 13:.+((SYSTEM_STATE.+slice.+state.+changed )|(ment ac)|(system.+state.+changed )|(\[timeout)|(PRM\|1\|D)|(kpr)|(kdp)|(\|lc)|(penalty))" /e /r /s</v>
      </c>
      <c r="AG165" s="1" t="str">
        <f t="shared" si="50"/>
        <v>NW</v>
      </c>
      <c r="AH165" s="92" t="str">
        <f t="shared" si="51"/>
        <v>"%USERPROFILE%\Documents\GitHub\eaglep3\Utilities\RefineRTDCRunTimes.py" --tripid 1801-19 --locoid 4044 --swversion DE.1.0.8.0 --startMP 204:1023 --initTime 2016-11-19T05:56:59 --startdatetime 2016-11-19T06:21:36 --delay 1 --endMP 300:58922 --enddatetime 2016-11-19T06:34:23 --enforcementcount 0 &gt;&gt;C:\Users\stu\Documents\GitHub\eaglep3-reporting\EC\2016-11-19-refined-times.txt</v>
      </c>
      <c r="AI165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{"issue":{"subject":"","project_id":79,"tracker_id":40,"status_id":1,"priority_id":2,"assigned_to_id":23,"start_date":"2016-11-19","description":"","custom_fields":[{"id":1,"name":"Subdivision","value":"NW"},{"id":4,"name":"Milepost","value":"5.8922"},{"id":17,"name":"Train ID","value":"1801-19"},{"id":16,"name":"Locomotive ID","value":"4044"},{"id":130,"name":"Impact","value":""},{"id":150,"name":"Time of Event (Mountain Time)","value":"06:34:23"},{"id":151,"name":"Denver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493</v>
      </c>
      <c r="B166" s="7">
        <v>4043</v>
      </c>
      <c r="C166" s="22" t="s">
        <v>218</v>
      </c>
      <c r="D166" s="22" t="s">
        <v>433</v>
      </c>
      <c r="E166" s="13">
        <v>42693.275787037041</v>
      </c>
      <c r="F166" s="13">
        <v>42693.279016203705</v>
      </c>
      <c r="G166" s="7">
        <v>1</v>
      </c>
      <c r="H166" s="22" t="s">
        <v>694</v>
      </c>
      <c r="I166" s="13">
        <v>42693.287465277775</v>
      </c>
      <c r="J166" s="7">
        <v>0</v>
      </c>
      <c r="K166" s="109" t="str">
        <f t="shared" si="36"/>
        <v>4043/4044</v>
      </c>
      <c r="L166" s="22" t="str">
        <f>VLOOKUP(A166,'Trips&amp;Operators'!$C$1:$E$10000,3,FALSE)</f>
        <v>YORK</v>
      </c>
      <c r="M166" s="6">
        <f t="shared" si="37"/>
        <v>8.4490740700857714E-3</v>
      </c>
      <c r="N166" s="7">
        <f t="shared" si="38"/>
        <v>12.166666660923511</v>
      </c>
      <c r="O166" s="7"/>
      <c r="P166" s="7"/>
      <c r="Q166" s="23"/>
      <c r="R166" s="23"/>
      <c r="S166" s="35">
        <f t="shared" si="39"/>
        <v>1</v>
      </c>
      <c r="T166" s="50" t="str">
        <f t="shared" si="40"/>
        <v>Southbound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05:37:08-700',mode:absolute,to:'2016-11-19 07:53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6" s="52" t="str">
        <f t="shared" si="42"/>
        <v>N</v>
      </c>
      <c r="X166" s="177">
        <f t="shared" si="43"/>
        <v>1</v>
      </c>
      <c r="Y166" s="67">
        <f t="shared" si="44"/>
        <v>5.8611000000000004</v>
      </c>
      <c r="Z166" s="67">
        <f t="shared" si="45"/>
        <v>7.3800000000000004E-2</v>
      </c>
      <c r="AA166" s="67">
        <f t="shared" si="46"/>
        <v>5.7873000000000001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47"/>
        <v>1802-19</v>
      </c>
      <c r="AE166" s="91" t="str">
        <f t="shared" si="48"/>
        <v>aws s3 cp s3://rtdc.mdm.uploadarchive.raw/RTDC4043/ "%USERPROFILE%\AppData\Local\Temp\OnboardLogs"\RTDC4043\2016-11-19 --exclude "*" --recursive --include "*20161119*" &amp; "%USERPROFILE%\Documents\GitHub\mrs-test-scripts\Headless Mode &amp; Sideloading\WalkAndUnGZ.bat" "%USERPROFILE%\AppData\Local\Temp\OnboardLogs"\RTDC4043\2016-11-19 &amp; aws s3 cp s3://rtdc.mdm.uploadarchive.raw/RTDC4043/ "%USERPROFILE%\AppData\Local\Temp\OnboardLogs"\RTDC4043\2016-11-20 --exclude "*" --recursive --include "*20161120*" &amp; "%USERPROFILE%\Documents\GitHub\mrs-test-scripts\Headless Mode &amp; Sideloading\WalkAndUnGZ.bat" "%USERPROFILE%\AppData\Local\Temp\OnboardLogs"\RTDC4043\2016-11-20</v>
      </c>
      <c r="AF166" s="88" t="str">
        <f t="shared" si="49"/>
        <v>"C:\Program Files (x86)\AstroGrep\AstroGrep.exe" /spath="%USERPROFILE%\AppData\Local\Temp\OnboardLogs" /stypes="app*4043*20161119*" /stext=" 13:.+((SYSTEM_STATE.+slice.+state.+changed )|(ment ac)|(system.+state.+changed )|(\[timeout)|(PRM\|1\|D)|(kpr)|(kdp)|(\|lc)|(penalty))" /e /r /s</v>
      </c>
      <c r="AG166" s="1" t="str">
        <f t="shared" si="50"/>
        <v>NW</v>
      </c>
      <c r="AH166" s="92" t="str">
        <f t="shared" si="51"/>
        <v>"%USERPROFILE%\Documents\GitHub\eaglep3\Utilities\RefineRTDCRunTimes.py" --tripid 1802-19 --locoid 4043 --swversion DE.1.0.8.0 --startMP 300:58611 --initTime 2016-11-19T06:37:08 --startdatetime 2016-11-19T06:41:47 --delay 1 --endMP 204:738 --enddatetime 2016-11-19T06:53:57 --enforcementcount 0 &gt;&gt;C:\Users\stu\Documents\GitHub\eaglep3-reporting\EC\2016-11-19-refined-times.txt</v>
      </c>
      <c r="AI166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{"issue":{"subject":"","project_id":79,"tracker_id":40,"status_id":1,"priority_id":2,"assigned_to_id":23,"start_date":"2016-11-19","description":"","custom_fields":[{"id":1,"name":"Subdivision","value":"NW"},{"id":4,"name":"Milepost","value":"0.0738"},{"id":17,"name":"Train ID","value":"1802-19"},{"id":16,"name":"Locomotive ID","value":"4043"},{"id":130,"name":"Impact","value":""},{"id":150,"name":"Time of Event (Mountain Time)","value":"06:53:57"},{"id":151,"name":"Denver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496</v>
      </c>
      <c r="B167" s="7">
        <v>4044</v>
      </c>
      <c r="C167" s="22" t="s">
        <v>218</v>
      </c>
      <c r="D167" s="22" t="s">
        <v>695</v>
      </c>
      <c r="E167" s="13">
        <v>42693.288634259261</v>
      </c>
      <c r="F167" s="13">
        <v>42693.306446759256</v>
      </c>
      <c r="G167" s="7">
        <v>0</v>
      </c>
      <c r="H167" s="22" t="s">
        <v>435</v>
      </c>
      <c r="I167" s="13">
        <v>42693.314675925925</v>
      </c>
      <c r="J167" s="7">
        <v>0</v>
      </c>
      <c r="K167" s="109" t="str">
        <f t="shared" si="36"/>
        <v>4043/4044</v>
      </c>
      <c r="L167" s="22" t="str">
        <f>VLOOKUP(A167,'Trips&amp;Operators'!$C$1:$E$10000,3,FALSE)</f>
        <v>YORK</v>
      </c>
      <c r="M167" s="6">
        <f t="shared" si="37"/>
        <v>8.2291666694800369E-3</v>
      </c>
      <c r="N167" s="7">
        <f t="shared" si="38"/>
        <v>11.850000004051253</v>
      </c>
      <c r="O167" s="7"/>
      <c r="P167" s="7"/>
      <c r="Q167" s="23"/>
      <c r="R167" s="23"/>
      <c r="S167" s="35">
        <f t="shared" si="39"/>
        <v>1</v>
      </c>
      <c r="T167" s="50" t="str">
        <f t="shared" si="40"/>
        <v>NorthBound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05:55:38-700',mode:absolute,to:'2016-11-19 08:33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7" s="52" t="str">
        <f t="shared" si="42"/>
        <v>N</v>
      </c>
      <c r="X167" s="177">
        <f t="shared" si="43"/>
        <v>1</v>
      </c>
      <c r="Y167" s="67">
        <f t="shared" si="44"/>
        <v>0.1018</v>
      </c>
      <c r="Z167" s="67">
        <f t="shared" si="45"/>
        <v>5.8921999999999999</v>
      </c>
      <c r="AA167" s="67">
        <f t="shared" si="46"/>
        <v>5.7904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47"/>
        <v>1803-19</v>
      </c>
      <c r="AE167" s="91" t="str">
        <f t="shared" si="48"/>
        <v>aws s3 cp s3://rtdc.mdm.uploadarchive.raw/RTDC4044/ "%USERPROFILE%\AppData\Local\Temp\OnboardLogs"\RTDC4044\2016-11-19 --exclude "*" --recursive --include "*20161119*" &amp; "%USERPROFILE%\Documents\GitHub\mrs-test-scripts\Headless Mode &amp; Sideloading\WalkAndUnGZ.bat" "%USERPROFILE%\AppData\Local\Temp\OnboardLogs"\RTDC4044\2016-11-19 &amp; aws s3 cp s3://rtdc.mdm.uploadarchive.raw/RTDC4044/ "%USERPROFILE%\AppData\Local\Temp\OnboardLogs"\RTDC4044\2016-11-20 --exclude "*" --recursive --include "*20161120*" &amp; "%USERPROFILE%\Documents\GitHub\mrs-test-scripts\Headless Mode &amp; Sideloading\WalkAndUnGZ.bat" "%USERPROFILE%\AppData\Local\Temp\OnboardLogs"\RTDC4044\2016-11-20</v>
      </c>
      <c r="AF167" s="88" t="str">
        <f t="shared" si="49"/>
        <v>"C:\Program Files (x86)\AstroGrep\AstroGrep.exe" /spath="%USERPROFILE%\AppData\Local\Temp\OnboardLogs" /stypes="app*4044*20161119*" /stext=" 14:.+((SYSTEM_STATE.+slice.+state.+changed )|(ment ac)|(system.+state.+changed )|(\[timeout)|(PRM\|1\|D)|(kpr)|(kdp)|(\|lc)|(penalty))" /e /r /s</v>
      </c>
      <c r="AG167" s="1" t="str">
        <f t="shared" si="50"/>
        <v>NW</v>
      </c>
      <c r="AH167" s="92" t="str">
        <f t="shared" si="51"/>
        <v>"%USERPROFILE%\Documents\GitHub\eaglep3\Utilities\RefineRTDCRunTimes.py" --tripid 1803-19 --locoid 4044 --swversion DE.1.0.8.0 --startMP 204:1018 --initTime 2016-11-19T06:55:38 --startdatetime 2016-11-19T07:21:17 --delay 0 --endMP 300:58922 --enddatetime 2016-11-19T07:33:08 --enforcementcount 0 &gt;&gt;C:\Users\stu\Documents\GitHub\eaglep3-reporting\EC\2016-11-19-refined-times.txt</v>
      </c>
      <c r="AI167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{"issue":{"subject":"","project_id":79,"tracker_id":40,"status_id":1,"priority_id":2,"assigned_to_id":23,"start_date":"2016-11-19","description":"","custom_fields":[{"id":1,"name":"Subdivision","value":"NW"},{"id":4,"name":"Milepost","value":"5.8922"},{"id":17,"name":"Train ID","value":"1803-19"},{"id":16,"name":"Locomotive ID","value":"4044"},{"id":130,"name":"Impact","value":""},{"id":150,"name":"Time of Event (Mountain Time)","value":"07:33:08"},{"id":151,"name":"Denver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500</v>
      </c>
      <c r="B168" s="7">
        <v>4043</v>
      </c>
      <c r="C168" s="22" t="s">
        <v>218</v>
      </c>
      <c r="D168" s="22" t="s">
        <v>340</v>
      </c>
      <c r="E168" s="13">
        <v>42693.317384259259</v>
      </c>
      <c r="F168" s="13">
        <v>42693.320381944446</v>
      </c>
      <c r="G168" s="7">
        <v>1</v>
      </c>
      <c r="H168" s="22" t="s">
        <v>696</v>
      </c>
      <c r="I168" s="13">
        <v>42693.329386574071</v>
      </c>
      <c r="J168" s="7">
        <v>0</v>
      </c>
      <c r="K168" s="109" t="str">
        <f t="shared" si="36"/>
        <v>4043/4044</v>
      </c>
      <c r="L168" s="22" t="str">
        <f>VLOOKUP(A168,'Trips&amp;Operators'!$C$1:$E$10000,3,FALSE)</f>
        <v>YORK</v>
      </c>
      <c r="M168" s="6">
        <f t="shared" si="37"/>
        <v>9.0046296245418489E-3</v>
      </c>
      <c r="N168" s="7">
        <f t="shared" si="38"/>
        <v>12.966666659340262</v>
      </c>
      <c r="O168" s="7"/>
      <c r="P168" s="7"/>
      <c r="Q168" s="23"/>
      <c r="R168" s="23"/>
      <c r="S168" s="35">
        <f t="shared" si="39"/>
        <v>1</v>
      </c>
      <c r="T168" s="50" t="str">
        <f t="shared" si="40"/>
        <v>Southbound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06:37:02-700',mode:absolute,to:'2016-11-19 08:54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8" s="52" t="str">
        <f t="shared" si="42"/>
        <v>N</v>
      </c>
      <c r="X168" s="177">
        <f t="shared" si="43"/>
        <v>1</v>
      </c>
      <c r="Y168" s="67">
        <f t="shared" si="44"/>
        <v>5.8613</v>
      </c>
      <c r="Z168" s="67">
        <f t="shared" si="45"/>
        <v>7.3099999999999998E-2</v>
      </c>
      <c r="AA168" s="67">
        <f t="shared" si="46"/>
        <v>5.7881999999999998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47"/>
        <v>1804-19</v>
      </c>
      <c r="AE168" s="91" t="str">
        <f t="shared" si="48"/>
        <v>aws s3 cp s3://rtdc.mdm.uploadarchive.raw/RTDC4043/ "%USERPROFILE%\AppData\Local\Temp\OnboardLogs"\RTDC4043\2016-11-19 --exclude "*" --recursive --include "*20161119*" &amp; "%USERPROFILE%\Documents\GitHub\mrs-test-scripts\Headless Mode &amp; Sideloading\WalkAndUnGZ.bat" "%USERPROFILE%\AppData\Local\Temp\OnboardLogs"\RTDC4043\2016-11-19 &amp; aws s3 cp s3://rtdc.mdm.uploadarchive.raw/RTDC4043/ "%USERPROFILE%\AppData\Local\Temp\OnboardLogs"\RTDC4043\2016-11-20 --exclude "*" --recursive --include "*20161120*" &amp; "%USERPROFILE%\Documents\GitHub\mrs-test-scripts\Headless Mode &amp; Sideloading\WalkAndUnGZ.bat" "%USERPROFILE%\AppData\Local\Temp\OnboardLogs"\RTDC4043\2016-11-20</v>
      </c>
      <c r="AF168" s="88" t="str">
        <f t="shared" si="49"/>
        <v>"C:\Program Files (x86)\AstroGrep\AstroGrep.exe" /spath="%USERPROFILE%\AppData\Local\Temp\OnboardLogs" /stypes="app*4043*20161119*" /stext=" 14:.+((SYSTEM_STATE.+slice.+state.+changed )|(ment ac)|(system.+state.+changed )|(\[timeout)|(PRM\|1\|D)|(kpr)|(kdp)|(\|lc)|(penalty))" /e /r /s</v>
      </c>
      <c r="AG168" s="1" t="str">
        <f t="shared" si="50"/>
        <v>NW</v>
      </c>
      <c r="AH168" s="92" t="str">
        <f t="shared" si="51"/>
        <v>"%USERPROFILE%\Documents\GitHub\eaglep3\Utilities\RefineRTDCRunTimes.py" --tripid 1804-19 --locoid 4043 --swversion DE.1.0.8.0 --startMP 300:58613 --initTime 2016-11-19T07:37:02 --startdatetime 2016-11-19T07:41:21 --delay 1 --endMP 204:731 --enddatetime 2016-11-19T07:54:19 --enforcementcount 0 &gt;&gt;C:\Users\stu\Documents\GitHub\eaglep3-reporting\EC\2016-11-19-refined-times.txt</v>
      </c>
      <c r="AI168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{"issue":{"subject":"","project_id":79,"tracker_id":40,"status_id":1,"priority_id":2,"assigned_to_id":23,"start_date":"2016-11-19","description":"","custom_fields":[{"id":1,"name":"Subdivision","value":"NW"},{"id":4,"name":"Milepost","value":"0.0731"},{"id":17,"name":"Train ID","value":"1804-19"},{"id":16,"name":"Locomotive ID","value":"4043"},{"id":130,"name":"Impact","value":""},{"id":150,"name":"Time of Event (Mountain Time)","value":"07:54:19"},{"id":151,"name":"Denver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506</v>
      </c>
      <c r="B169" s="7">
        <v>4044</v>
      </c>
      <c r="C169" s="22" t="s">
        <v>218</v>
      </c>
      <c r="D169" s="22" t="s">
        <v>697</v>
      </c>
      <c r="E169" s="13">
        <v>42693.347118055557</v>
      </c>
      <c r="F169" s="13">
        <v>42693.348344907405</v>
      </c>
      <c r="G169" s="7">
        <v>0</v>
      </c>
      <c r="H169" s="22" t="s">
        <v>432</v>
      </c>
      <c r="I169" s="13">
        <v>42693.357847222222</v>
      </c>
      <c r="J169" s="7">
        <v>0</v>
      </c>
      <c r="K169" s="109" t="str">
        <f t="shared" si="36"/>
        <v>4043/4044</v>
      </c>
      <c r="L169" s="22" t="str">
        <f>VLOOKUP(A169,'Trips&amp;Operators'!$C$1:$E$10000,3,FALSE)</f>
        <v>YORK</v>
      </c>
      <c r="M169" s="6">
        <f t="shared" si="37"/>
        <v>9.5023148169275373E-3</v>
      </c>
      <c r="N169" s="7">
        <f t="shared" si="38"/>
        <v>13.683333336375654</v>
      </c>
      <c r="O169" s="7"/>
      <c r="P169" s="7"/>
      <c r="Q169" s="23"/>
      <c r="R169" s="23"/>
      <c r="S169" s="35">
        <f t="shared" si="39"/>
        <v>1</v>
      </c>
      <c r="T169" s="50" t="str">
        <f t="shared" si="40"/>
        <v>NorthBound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07:19:51-700',mode:absolute,to:'2016-11-19 09:35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9" s="52" t="str">
        <f t="shared" si="42"/>
        <v>N</v>
      </c>
      <c r="X169" s="177">
        <f t="shared" si="43"/>
        <v>1</v>
      </c>
      <c r="Y169" s="67">
        <f t="shared" si="44"/>
        <v>0.1011</v>
      </c>
      <c r="Z169" s="67">
        <f t="shared" si="45"/>
        <v>5.8933</v>
      </c>
      <c r="AA169" s="67">
        <f t="shared" si="46"/>
        <v>5.7922000000000002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47"/>
        <v>1805-19</v>
      </c>
      <c r="AE169" s="91" t="str">
        <f t="shared" si="48"/>
        <v>aws s3 cp s3://rtdc.mdm.uploadarchive.raw/RTDC4044/ "%USERPROFILE%\AppData\Local\Temp\OnboardLogs"\RTDC4044\2016-11-19 --exclude "*" --recursive --include "*20161119*" &amp; "%USERPROFILE%\Documents\GitHub\mrs-test-scripts\Headless Mode &amp; Sideloading\WalkAndUnGZ.bat" "%USERPROFILE%\AppData\Local\Temp\OnboardLogs"\RTDC4044\2016-11-19 &amp; aws s3 cp s3://rtdc.mdm.uploadarchive.raw/RTDC4044/ "%USERPROFILE%\AppData\Local\Temp\OnboardLogs"\RTDC4044\2016-11-20 --exclude "*" --recursive --include "*20161120*" &amp; "%USERPROFILE%\Documents\GitHub\mrs-test-scripts\Headless Mode &amp; Sideloading\WalkAndUnGZ.bat" "%USERPROFILE%\AppData\Local\Temp\OnboardLogs"\RTDC4044\2016-11-20</v>
      </c>
      <c r="AF169" s="88" t="str">
        <f t="shared" si="49"/>
        <v>"C:\Program Files (x86)\AstroGrep\AstroGrep.exe" /spath="%USERPROFILE%\AppData\Local\Temp\OnboardLogs" /stypes="app*4044*20161119*" /stext=" 15:.+((SYSTEM_STATE.+slice.+state.+changed )|(ment ac)|(system.+state.+changed )|(\[timeout)|(PRM\|1\|D)|(kpr)|(kdp)|(\|lc)|(penalty))" /e /r /s</v>
      </c>
      <c r="AG169" s="1" t="str">
        <f t="shared" si="50"/>
        <v>NW</v>
      </c>
      <c r="AH169" s="92" t="str">
        <f t="shared" si="51"/>
        <v>"%USERPROFILE%\Documents\GitHub\eaglep3\Utilities\RefineRTDCRunTimes.py" --tripid 1805-19 --locoid 4044 --swversion DE.1.0.8.0 --startMP 204:1011 --initTime 2016-11-19T08:19:51 --startdatetime 2016-11-19T08:21:37 --delay 0 --endMP 300:58933 --enddatetime 2016-11-19T08:35:18 --enforcementcount 0 &gt;&gt;C:\Users\stu\Documents\GitHub\eaglep3-reporting\EC\2016-11-19-refined-times.txt</v>
      </c>
      <c r="AI169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{"issue":{"subject":"","project_id":79,"tracker_id":40,"status_id":1,"priority_id":2,"assigned_to_id":23,"start_date":"2016-11-19","description":"","custom_fields":[{"id":1,"name":"Subdivision","value":"NW"},{"id":4,"name":"Milepost","value":"5.8933"},{"id":17,"name":"Train ID","value":"1805-19"},{"id":16,"name":"Locomotive ID","value":"4044"},{"id":130,"name":"Impact","value":""},{"id":150,"name":"Time of Event (Mountain Time)","value":"08:35:18"},{"id":151,"name":"Denver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510</v>
      </c>
      <c r="B170" s="7">
        <v>4043</v>
      </c>
      <c r="C170" s="22" t="s">
        <v>218</v>
      </c>
      <c r="D170" s="22" t="s">
        <v>306</v>
      </c>
      <c r="E170" s="13">
        <v>42693.359456018516</v>
      </c>
      <c r="F170" s="13">
        <v>42693.361331018517</v>
      </c>
      <c r="G170" s="7">
        <v>1</v>
      </c>
      <c r="H170" s="22" t="s">
        <v>431</v>
      </c>
      <c r="I170" s="13">
        <v>42693.370763888888</v>
      </c>
      <c r="J170" s="7">
        <v>0</v>
      </c>
      <c r="K170" s="109" t="str">
        <f t="shared" si="36"/>
        <v>4043/4044</v>
      </c>
      <c r="L170" s="22" t="str">
        <f>VLOOKUP(A170,'Trips&amp;Operators'!$C$1:$E$10000,3,FALSE)</f>
        <v>YORK</v>
      </c>
      <c r="M170" s="6">
        <f t="shared" si="37"/>
        <v>9.4328703708015382E-3</v>
      </c>
      <c r="N170" s="7">
        <f t="shared" si="38"/>
        <v>13.583333333954215</v>
      </c>
      <c r="O170" s="7"/>
      <c r="P170" s="7"/>
      <c r="Q170" s="23"/>
      <c r="R170" s="23"/>
      <c r="S170" s="35">
        <f t="shared" si="39"/>
        <v>1</v>
      </c>
      <c r="T170" s="50" t="str">
        <f t="shared" si="40"/>
        <v>Southbound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07:37:37-700',mode:absolute,to:'2016-11-19 09:53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0" s="52" t="str">
        <f t="shared" si="42"/>
        <v>N</v>
      </c>
      <c r="X170" s="177">
        <f t="shared" si="43"/>
        <v>1</v>
      </c>
      <c r="Y170" s="67">
        <f t="shared" si="44"/>
        <v>5.8623000000000003</v>
      </c>
      <c r="Z170" s="67">
        <f t="shared" si="45"/>
        <v>7.3300000000000004E-2</v>
      </c>
      <c r="AA170" s="67">
        <f t="shared" si="46"/>
        <v>5.7890000000000006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47"/>
        <v>1806-19</v>
      </c>
      <c r="AE170" s="91" t="str">
        <f t="shared" si="48"/>
        <v>aws s3 cp s3://rtdc.mdm.uploadarchive.raw/RTDC4043/ "%USERPROFILE%\AppData\Local\Temp\OnboardLogs"\RTDC4043\2016-11-19 --exclude "*" --recursive --include "*20161119*" &amp; "%USERPROFILE%\Documents\GitHub\mrs-test-scripts\Headless Mode &amp; Sideloading\WalkAndUnGZ.bat" "%USERPROFILE%\AppData\Local\Temp\OnboardLogs"\RTDC4043\2016-11-19 &amp; aws s3 cp s3://rtdc.mdm.uploadarchive.raw/RTDC4043/ "%USERPROFILE%\AppData\Local\Temp\OnboardLogs"\RTDC4043\2016-11-20 --exclude "*" --recursive --include "*20161120*" &amp; "%USERPROFILE%\Documents\GitHub\mrs-test-scripts\Headless Mode &amp; Sideloading\WalkAndUnGZ.bat" "%USERPROFILE%\AppData\Local\Temp\OnboardLogs"\RTDC4043\2016-11-20</v>
      </c>
      <c r="AF170" s="88" t="str">
        <f t="shared" si="49"/>
        <v>"C:\Program Files (x86)\AstroGrep\AstroGrep.exe" /spath="%USERPROFILE%\AppData\Local\Temp\OnboardLogs" /stypes="app*4043*20161119*" /stext=" 15:.+((SYSTEM_STATE.+slice.+state.+changed )|(ment ac)|(system.+state.+changed )|(\[timeout)|(PRM\|1\|D)|(kpr)|(kdp)|(\|lc)|(penalty))" /e /r /s</v>
      </c>
      <c r="AG170" s="1" t="str">
        <f t="shared" si="50"/>
        <v>NW</v>
      </c>
      <c r="AH170" s="92" t="str">
        <f t="shared" si="51"/>
        <v>"%USERPROFILE%\Documents\GitHub\eaglep3\Utilities\RefineRTDCRunTimes.py" --tripid 1806-19 --locoid 4043 --swversion DE.1.0.8.0 --startMP 300:58623 --initTime 2016-11-19T08:37:37 --startdatetime 2016-11-19T08:40:19 --delay 1 --endMP 204:733 --enddatetime 2016-11-19T08:53:54 --enforcementcount 0 &gt;&gt;C:\Users\stu\Documents\GitHub\eaglep3-reporting\EC\2016-11-19-refined-times.txt</v>
      </c>
      <c r="AI170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{"issue":{"subject":"","project_id":79,"tracker_id":40,"status_id":1,"priority_id":2,"assigned_to_id":23,"start_date":"2016-11-19","description":"","custom_fields":[{"id":1,"name":"Subdivision","value":"NW"},{"id":4,"name":"Milepost","value":"0.0733"},{"id":17,"name":"Train ID","value":"1806-19"},{"id":16,"name":"Locomotive ID","value":"4043"},{"id":130,"name":"Impact","value":""},{"id":150,"name":"Time of Event (Mountain Time)","value":"08:53:54"},{"id":151,"name":"Denver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514</v>
      </c>
      <c r="B171" s="7">
        <v>4044</v>
      </c>
      <c r="C171" s="22" t="s">
        <v>218</v>
      </c>
      <c r="D171" s="22" t="s">
        <v>698</v>
      </c>
      <c r="E171" s="13">
        <v>42693.372314814813</v>
      </c>
      <c r="F171" s="13">
        <v>42693.389826388891</v>
      </c>
      <c r="G171" s="7">
        <v>0</v>
      </c>
      <c r="H171" s="22" t="s">
        <v>375</v>
      </c>
      <c r="I171" s="13">
        <v>42693.398449074077</v>
      </c>
      <c r="J171" s="7">
        <v>0</v>
      </c>
      <c r="K171" s="109" t="str">
        <f t="shared" si="36"/>
        <v>4043/4044</v>
      </c>
      <c r="L171" s="22" t="str">
        <f>VLOOKUP(A171,'Trips&amp;Operators'!$C$1:$E$10000,3,FALSE)</f>
        <v>YORK</v>
      </c>
      <c r="M171" s="6">
        <f t="shared" si="37"/>
        <v>8.6226851854007691E-3</v>
      </c>
      <c r="N171" s="7">
        <f t="shared" si="38"/>
        <v>12.416666666977108</v>
      </c>
      <c r="O171" s="7"/>
      <c r="P171" s="7"/>
      <c r="Q171" s="23"/>
      <c r="R171" s="23"/>
      <c r="S171" s="35">
        <f t="shared" si="39"/>
        <v>1</v>
      </c>
      <c r="T171" s="50" t="str">
        <f t="shared" si="40"/>
        <v>NorthBound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07:56:08-700',mode:absolute,to:'2016-11-19 10:33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1" s="52" t="str">
        <f t="shared" si="42"/>
        <v>N</v>
      </c>
      <c r="X171" s="177">
        <f t="shared" si="43"/>
        <v>1</v>
      </c>
      <c r="Y171" s="67">
        <f t="shared" si="44"/>
        <v>0.1016</v>
      </c>
      <c r="Z171" s="67">
        <f t="shared" si="45"/>
        <v>5.8928000000000003</v>
      </c>
      <c r="AA171" s="67">
        <f t="shared" si="46"/>
        <v>5.7911999999999999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47"/>
        <v>1807-19</v>
      </c>
      <c r="AE171" s="91" t="str">
        <f t="shared" si="48"/>
        <v>aws s3 cp s3://rtdc.mdm.uploadarchive.raw/RTDC4044/ "%USERPROFILE%\AppData\Local\Temp\OnboardLogs"\RTDC4044\2016-11-19 --exclude "*" --recursive --include "*20161119*" &amp; "%USERPROFILE%\Documents\GitHub\mrs-test-scripts\Headless Mode &amp; Sideloading\WalkAndUnGZ.bat" "%USERPROFILE%\AppData\Local\Temp\OnboardLogs"\RTDC4044\2016-11-19 &amp; aws s3 cp s3://rtdc.mdm.uploadarchive.raw/RTDC4044/ "%USERPROFILE%\AppData\Local\Temp\OnboardLogs"\RTDC4044\2016-11-20 --exclude "*" --recursive --include "*20161120*" &amp; "%USERPROFILE%\Documents\GitHub\mrs-test-scripts\Headless Mode &amp; Sideloading\WalkAndUnGZ.bat" "%USERPROFILE%\AppData\Local\Temp\OnboardLogs"\RTDC4044\2016-11-20</v>
      </c>
      <c r="AF171" s="88" t="str">
        <f t="shared" si="49"/>
        <v>"C:\Program Files (x86)\AstroGrep\AstroGrep.exe" /spath="%USERPROFILE%\AppData\Local\Temp\OnboardLogs" /stypes="app*4044*20161119*" /stext=" 16:.+((SYSTEM_STATE.+slice.+state.+changed )|(ment ac)|(system.+state.+changed )|(\[timeout)|(PRM\|1\|D)|(kpr)|(kdp)|(\|lc)|(penalty))" /e /r /s</v>
      </c>
      <c r="AG171" s="1" t="str">
        <f t="shared" si="50"/>
        <v>NW</v>
      </c>
      <c r="AH171" s="92" t="str">
        <f t="shared" si="51"/>
        <v>"%USERPROFILE%\Documents\GitHub\eaglep3\Utilities\RefineRTDCRunTimes.py" --tripid 1807-19 --locoid 4044 --swversion DE.1.0.8.0 --startMP 204:1016 --initTime 2016-11-19T08:56:08 --startdatetime 2016-11-19T09:21:21 --delay 0 --endMP 300:58928 --enddatetime 2016-11-19T09:33:46 --enforcementcount 0 &gt;&gt;C:\Users\stu\Documents\GitHub\eaglep3-reporting\EC\2016-11-19-refined-times.txt</v>
      </c>
      <c r="AI171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{"issue":{"subject":"","project_id":79,"tracker_id":40,"status_id":1,"priority_id":2,"assigned_to_id":23,"start_date":"2016-11-19","description":"","custom_fields":[{"id":1,"name":"Subdivision","value":"NW"},{"id":4,"name":"Milepost","value":"5.8928"},{"id":17,"name":"Train ID","value":"1807-19"},{"id":16,"name":"Locomotive ID","value":"4044"},{"id":130,"name":"Impact","value":""},{"id":150,"name":"Time of Event (Mountain Time)","value":"09:33:46"},{"id":151,"name":"Denver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520</v>
      </c>
      <c r="B172" s="7">
        <v>4043</v>
      </c>
      <c r="C172" s="22" t="s">
        <v>218</v>
      </c>
      <c r="D172" s="22" t="s">
        <v>699</v>
      </c>
      <c r="E172" s="13">
        <v>42693.400266203702</v>
      </c>
      <c r="F172" s="13">
        <v>42693.40384259259</v>
      </c>
      <c r="G172" s="7">
        <v>2</v>
      </c>
      <c r="H172" s="22" t="s">
        <v>700</v>
      </c>
      <c r="I172" s="13">
        <v>42693.41265046296</v>
      </c>
      <c r="J172" s="7">
        <v>0</v>
      </c>
      <c r="K172" s="109" t="str">
        <f t="shared" si="36"/>
        <v>4043/4044</v>
      </c>
      <c r="L172" s="22" t="str">
        <f>VLOOKUP(A172,'Trips&amp;Operators'!$C$1:$E$10000,3,FALSE)</f>
        <v>YORK</v>
      </c>
      <c r="M172" s="6">
        <f t="shared" si="37"/>
        <v>8.8078703702194616E-3</v>
      </c>
      <c r="N172" s="7">
        <f t="shared" si="38"/>
        <v>12.683333333116025</v>
      </c>
      <c r="O172" s="7"/>
      <c r="P172" s="7"/>
      <c r="Q172" s="23"/>
      <c r="R172" s="23"/>
      <c r="S172" s="35">
        <f t="shared" si="39"/>
        <v>1</v>
      </c>
      <c r="T172" s="50" t="str">
        <f t="shared" si="40"/>
        <v>Southbound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08:36:23-700',mode:absolute,to:'2016-11-19 10:54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2" s="52" t="str">
        <f t="shared" si="42"/>
        <v>N</v>
      </c>
      <c r="X172" s="177">
        <f t="shared" si="43"/>
        <v>1</v>
      </c>
      <c r="Y172" s="67">
        <f t="shared" si="44"/>
        <v>5.8608000000000002</v>
      </c>
      <c r="Z172" s="67">
        <f t="shared" si="45"/>
        <v>9.6299999999999997E-2</v>
      </c>
      <c r="AA172" s="67">
        <f t="shared" si="46"/>
        <v>5.7645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47"/>
        <v>1808-19</v>
      </c>
      <c r="AE172" s="91" t="str">
        <f t="shared" si="48"/>
        <v>aws s3 cp s3://rtdc.mdm.uploadarchive.raw/RTDC4043/ "%USERPROFILE%\AppData\Local\Temp\OnboardLogs"\RTDC4043\2016-11-19 --exclude "*" --recursive --include "*20161119*" &amp; "%USERPROFILE%\Documents\GitHub\mrs-test-scripts\Headless Mode &amp; Sideloading\WalkAndUnGZ.bat" "%USERPROFILE%\AppData\Local\Temp\OnboardLogs"\RTDC4043\2016-11-19 &amp; aws s3 cp s3://rtdc.mdm.uploadarchive.raw/RTDC4043/ "%USERPROFILE%\AppData\Local\Temp\OnboardLogs"\RTDC4043\2016-11-20 --exclude "*" --recursive --include "*20161120*" &amp; "%USERPROFILE%\Documents\GitHub\mrs-test-scripts\Headless Mode &amp; Sideloading\WalkAndUnGZ.bat" "%USERPROFILE%\AppData\Local\Temp\OnboardLogs"\RTDC4043\2016-11-20</v>
      </c>
      <c r="AF172" s="88" t="str">
        <f t="shared" si="49"/>
        <v>"C:\Program Files (x86)\AstroGrep\AstroGrep.exe" /spath="%USERPROFILE%\AppData\Local\Temp\OnboardLogs" /stypes="app*4043*20161119*" /stext=" 16:.+((SYSTEM_STATE.+slice.+state.+changed )|(ment ac)|(system.+state.+changed )|(\[timeout)|(PRM\|1\|D)|(kpr)|(kdp)|(\|lc)|(penalty))" /e /r /s</v>
      </c>
      <c r="AG172" s="1" t="str">
        <f t="shared" si="50"/>
        <v>NW</v>
      </c>
      <c r="AH172" s="92" t="str">
        <f t="shared" si="51"/>
        <v>"%USERPROFILE%\Documents\GitHub\eaglep3\Utilities\RefineRTDCRunTimes.py" --tripid 1808-19 --locoid 4043 --swversion DE.1.0.8.0 --startMP 300:58608 --initTime 2016-11-19T09:36:23 --startdatetime 2016-11-19T09:41:32 --delay 2 --endMP 204:963 --enddatetime 2016-11-19T09:54:13 --enforcementcount 0 &gt;&gt;C:\Users\stu\Documents\GitHub\eaglep3-reporting\EC\2016-11-19-refined-times.txt</v>
      </c>
      <c r="AI172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{"issue":{"subject":"","project_id":79,"tracker_id":40,"status_id":1,"priority_id":2,"assigned_to_id":23,"start_date":"2016-11-19","description":"","custom_fields":[{"id":1,"name":"Subdivision","value":"NW"},{"id":4,"name":"Milepost","value":"0.0963"},{"id":17,"name":"Train ID","value":"1808-19"},{"id":16,"name":"Locomotive ID","value":"4043"},{"id":130,"name":"Impact","value":""},{"id":150,"name":"Time of Event (Mountain Time)","value":"09:54:13"},{"id":151,"name":"Denver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525</v>
      </c>
      <c r="B173" s="7">
        <v>4022</v>
      </c>
      <c r="C173" s="22" t="s">
        <v>218</v>
      </c>
      <c r="D173" s="22" t="s">
        <v>701</v>
      </c>
      <c r="E173" s="13">
        <v>42693.422500000001</v>
      </c>
      <c r="F173" s="13">
        <v>42693.431550925925</v>
      </c>
      <c r="G173" s="7">
        <v>1</v>
      </c>
      <c r="H173" s="22" t="s">
        <v>702</v>
      </c>
      <c r="I173" s="13">
        <v>42693.440462962964</v>
      </c>
      <c r="J173" s="7">
        <v>0</v>
      </c>
      <c r="K173" s="109" t="str">
        <f t="shared" si="36"/>
        <v>4021/4022</v>
      </c>
      <c r="L173" s="22" t="str">
        <f>VLOOKUP(A173,'Trips&amp;Operators'!$C$1:$E$10000,3,FALSE)</f>
        <v>YORK</v>
      </c>
      <c r="M173" s="6">
        <f t="shared" si="37"/>
        <v>8.9120370394084603E-3</v>
      </c>
      <c r="N173" s="7">
        <f t="shared" si="38"/>
        <v>12.833333336748183</v>
      </c>
      <c r="O173" s="7"/>
      <c r="P173" s="7"/>
      <c r="Q173" s="23"/>
      <c r="R173" s="23"/>
      <c r="S173" s="35">
        <f t="shared" si="39"/>
        <v>1</v>
      </c>
      <c r="T173" s="50" t="str">
        <f t="shared" si="40"/>
        <v>NorthBound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09:08:24-700',mode:absolute,to:'2016-11-19 11:34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3" s="52" t="str">
        <f t="shared" si="42"/>
        <v>N</v>
      </c>
      <c r="X173" s="177">
        <f t="shared" si="43"/>
        <v>1</v>
      </c>
      <c r="Y173" s="67">
        <f t="shared" si="44"/>
        <v>8.8700000000000001E-2</v>
      </c>
      <c r="Z173" s="67">
        <f t="shared" si="45"/>
        <v>5.8917999999999999</v>
      </c>
      <c r="AA173" s="67">
        <f t="shared" si="46"/>
        <v>5.8030999999999997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47"/>
        <v>1809-19</v>
      </c>
      <c r="AE173" s="91" t="str">
        <f t="shared" si="48"/>
        <v>aws s3 cp s3://rtdc.mdm.uploadarchive.raw/RTDC4022/ "%USERPROFILE%\AppData\Local\Temp\OnboardLogs"\RTDC4022\2016-11-19 --exclude "*" --recursive --include "*20161119*" &amp; "%USERPROFILE%\Documents\GitHub\mrs-test-scripts\Headless Mode &amp; Sideloading\WalkAndUnGZ.bat" "%USERPROFILE%\AppData\Local\Temp\OnboardLogs"\RTDC4022\2016-11-19 &amp; 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</v>
      </c>
      <c r="AF173" s="88" t="str">
        <f t="shared" si="49"/>
        <v>"C:\Program Files (x86)\AstroGrep\AstroGrep.exe" /spath="%USERPROFILE%\AppData\Local\Temp\OnboardLogs" /stypes="app*4022*20161119*" /stext=" 17:.+((SYSTEM_STATE.+slice.+state.+changed )|(ment ac)|(system.+state.+changed )|(\[timeout)|(PRM\|1\|D)|(kpr)|(kdp)|(\|lc)|(penalty))" /e /r /s</v>
      </c>
      <c r="AG173" s="1" t="str">
        <f t="shared" si="50"/>
        <v>NW</v>
      </c>
      <c r="AH173" s="92" t="str">
        <f t="shared" si="51"/>
        <v>"%USERPROFILE%\Documents\GitHub\eaglep3\Utilities\RefineRTDCRunTimes.py" --tripid 1809-19 --locoid 4022 --swversion DE.1.0.8.0 --startMP 204:887 --initTime 2016-11-19T10:08:24 --startdatetime 2016-11-19T10:21:26 --delay 1 --endMP 300:58918 --enddatetime 2016-11-19T10:34:16 --enforcementcount 0 &gt;&gt;C:\Users\stu\Documents\GitHub\eaglep3-reporting\EC\2016-11-19-refined-times.txt</v>
      </c>
      <c r="AI173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{"issue":{"subject":"","project_id":79,"tracker_id":40,"status_id":1,"priority_id":2,"assigned_to_id":23,"start_date":"2016-11-19","description":"","custom_fields":[{"id":1,"name":"Subdivision","value":"NW"},{"id":4,"name":"Milepost","value":"5.8918"},{"id":17,"name":"Train ID","value":"1809-19"},{"id":16,"name":"Locomotive ID","value":"4022"},{"id":130,"name":"Impact","value":""},{"id":150,"name":"Time of Event (Mountain Time)","value":"10:34:16"},{"id":151,"name":"Denver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7" t="s">
        <v>529</v>
      </c>
      <c r="B174" s="7">
        <v>4021</v>
      </c>
      <c r="C174" s="22" t="s">
        <v>218</v>
      </c>
      <c r="D174" s="22" t="s">
        <v>699</v>
      </c>
      <c r="E174" s="13">
        <v>42693.442673611113</v>
      </c>
      <c r="F174" s="13">
        <v>42693.44394675926</v>
      </c>
      <c r="G174" s="7">
        <v>1</v>
      </c>
      <c r="H174" s="22" t="s">
        <v>704</v>
      </c>
      <c r="I174" s="13">
        <v>42693.454131944447</v>
      </c>
      <c r="J174" s="7">
        <v>0</v>
      </c>
      <c r="K174" s="109" t="str">
        <f t="shared" si="36"/>
        <v>4021/4022</v>
      </c>
      <c r="L174" s="22" t="str">
        <f>VLOOKUP(A174,'Trips&amp;Operators'!$C$1:$E$10000,3,FALSE)</f>
        <v>YORK</v>
      </c>
      <c r="M174" s="6">
        <f t="shared" si="37"/>
        <v>1.0185185186855961E-2</v>
      </c>
      <c r="N174" s="7">
        <f t="shared" si="38"/>
        <v>14.666666669072583</v>
      </c>
      <c r="O174" s="7"/>
      <c r="P174" s="7"/>
      <c r="Q174" s="23"/>
      <c r="R174" s="23"/>
      <c r="S174" s="35">
        <f t="shared" si="39"/>
        <v>1</v>
      </c>
      <c r="T174" s="50" t="str">
        <f t="shared" si="40"/>
        <v>Southbound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09:37:27-700',mode:absolute,to:'2016-11-19 11:53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74" s="52" t="str">
        <f t="shared" si="42"/>
        <v>N</v>
      </c>
      <c r="X174" s="177">
        <f t="shared" si="43"/>
        <v>1</v>
      </c>
      <c r="Y174" s="67">
        <f t="shared" si="44"/>
        <v>5.8608000000000002</v>
      </c>
      <c r="Z174" s="67">
        <f t="shared" si="45"/>
        <v>7.3599999999999999E-2</v>
      </c>
      <c r="AA174" s="67">
        <f t="shared" si="46"/>
        <v>5.7872000000000003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47"/>
        <v>1810-19</v>
      </c>
      <c r="AE174" s="91" t="str">
        <f t="shared" si="48"/>
        <v>aws s3 cp s3://rtdc.mdm.uploadarchive.raw/RTDC4021/ "%USERPROFILE%\AppData\Local\Temp\OnboardLogs"\RTDC4021\2016-11-19 --exclude "*" --recursive --include "*20161119*" &amp; "%USERPROFILE%\Documents\GitHub\mrs-test-scripts\Headless Mode &amp; Sideloading\WalkAndUnGZ.bat" "%USERPROFILE%\AppData\Local\Temp\OnboardLogs"\RTDC4021\2016-11-19 &amp; 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</v>
      </c>
      <c r="AF174" s="88" t="str">
        <f t="shared" si="49"/>
        <v>"C:\Program Files (x86)\AstroGrep\AstroGrep.exe" /spath="%USERPROFILE%\AppData\Local\Temp\OnboardLogs" /stypes="app*4021*20161119*" /stext=" 17:.+((SYSTEM_STATE.+slice.+state.+changed )|(ment ac)|(system.+state.+changed )|(\[timeout)|(PRM\|1\|D)|(kpr)|(kdp)|(\|lc)|(penalty))" /e /r /s</v>
      </c>
      <c r="AG174" s="1" t="str">
        <f t="shared" si="50"/>
        <v>NW</v>
      </c>
      <c r="AH174" s="92" t="str">
        <f t="shared" si="51"/>
        <v>"%USERPROFILE%\Documents\GitHub\eaglep3\Utilities\RefineRTDCRunTimes.py" --tripid 1810-19 --locoid 4021 --swversion DE.1.0.8.0 --startMP 300:58608 --initTime 2016-11-19T10:37:27 --startdatetime 2016-11-19T10:39:17 --delay 1 --endMP 204:736 --enddatetime 2016-11-19T10:53:57 --enforcementcount 0 &gt;&gt;C:\Users\stu\Documents\GitHub\eaglep3-reporting\EC\2016-11-19-refined-times.txt</v>
      </c>
      <c r="AI174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{"issue":{"subject":"","project_id":79,"tracker_id":40,"status_id":1,"priority_id":2,"assigned_to_id":23,"start_date":"2016-11-19","description":"","custom_fields":[{"id":1,"name":"Subdivision","value":"NW"},{"id":4,"name":"Milepost","value":"0.0736"},{"id":17,"name":"Train ID","value":"1810-19"},{"id":16,"name":"Locomotive ID","value":"4021"},{"id":130,"name":"Impact","value":""},{"id":150,"name":"Time of Event (Mountain Time)","value":"10:53:57"},{"id":151,"name":"Denver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s="21" customFormat="1" x14ac:dyDescent="0.25">
      <c r="A175" s="37" t="s">
        <v>532</v>
      </c>
      <c r="B175" s="7">
        <v>4022</v>
      </c>
      <c r="C175" s="22" t="s">
        <v>218</v>
      </c>
      <c r="D175" s="22" t="s">
        <v>430</v>
      </c>
      <c r="E175" s="13">
        <v>42693.45517361111</v>
      </c>
      <c r="F175" s="13">
        <v>42693.473090277781</v>
      </c>
      <c r="G175" s="7">
        <v>1</v>
      </c>
      <c r="H175" s="22" t="s">
        <v>437</v>
      </c>
      <c r="I175" s="13">
        <v>42693.482164351852</v>
      </c>
      <c r="J175" s="7">
        <v>0</v>
      </c>
      <c r="K175" s="109" t="str">
        <f t="shared" si="36"/>
        <v>4021/4022</v>
      </c>
      <c r="L175" s="22" t="str">
        <f>VLOOKUP(A175,'Trips&amp;Operators'!$C$1:$E$10000,3,FALSE)</f>
        <v>YORK</v>
      </c>
      <c r="M175" s="6">
        <f t="shared" si="37"/>
        <v>9.074074070667848E-3</v>
      </c>
      <c r="N175" s="7">
        <f t="shared" si="38"/>
        <v>13.066666661761701</v>
      </c>
      <c r="O175" s="7"/>
      <c r="P175" s="7"/>
      <c r="Q175" s="23"/>
      <c r="R175" s="23"/>
      <c r="S175" s="35">
        <f t="shared" si="39"/>
        <v>1</v>
      </c>
      <c r="T175" s="50" t="str">
        <f t="shared" si="40"/>
        <v>NorthBound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09:55:27-700',mode:absolute,to:'2016-11-19 12:34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5" s="52" t="str">
        <f t="shared" si="42"/>
        <v>N</v>
      </c>
      <c r="X175" s="177">
        <f t="shared" si="43"/>
        <v>1</v>
      </c>
      <c r="Y175" s="67">
        <f t="shared" si="44"/>
        <v>0.10199999999999999</v>
      </c>
      <c r="Z175" s="67">
        <f t="shared" si="45"/>
        <v>5.8920000000000003</v>
      </c>
      <c r="AA175" s="67">
        <f t="shared" si="46"/>
        <v>5.79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47"/>
        <v>1811-19</v>
      </c>
      <c r="AE175" s="91" t="str">
        <f t="shared" si="48"/>
        <v>aws s3 cp s3://rtdc.mdm.uploadarchive.raw/RTDC4022/ "%USERPROFILE%\AppData\Local\Temp\OnboardLogs"\RTDC4022\2016-11-19 --exclude "*" --recursive --include "*20161119*" &amp; "%USERPROFILE%\Documents\GitHub\mrs-test-scripts\Headless Mode &amp; Sideloading\WalkAndUnGZ.bat" "%USERPROFILE%\AppData\Local\Temp\OnboardLogs"\RTDC4022\2016-11-19 &amp; 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</v>
      </c>
      <c r="AF175" s="88" t="str">
        <f t="shared" si="49"/>
        <v>"C:\Program Files (x86)\AstroGrep\AstroGrep.exe" /spath="%USERPROFILE%\AppData\Local\Temp\OnboardLogs" /stypes="app*4022*20161119*" /stext=" 18:.+((SYSTEM_STATE.+slice.+state.+changed )|(ment ac)|(system.+state.+changed )|(\[timeout)|(PRM\|1\|D)|(kpr)|(kdp)|(\|lc)|(penalty))" /e /r /s</v>
      </c>
      <c r="AG175" s="1" t="str">
        <f t="shared" si="50"/>
        <v>NW</v>
      </c>
      <c r="AH175" s="92" t="str">
        <f t="shared" si="51"/>
        <v>"%USERPROFILE%\Documents\GitHub\eaglep3\Utilities\RefineRTDCRunTimes.py" --tripid 1811-19 --locoid 4022 --swversion DE.1.0.8.0 --startMP 204:1020 --initTime 2016-11-19T10:55:27 --startdatetime 2016-11-19T11:21:15 --delay 1 --endMP 300:58920 --enddatetime 2016-11-19T11:34:19 --enforcementcount 0 &gt;&gt;C:\Users\stu\Documents\GitHub\eaglep3-reporting\EC\2016-11-19-refined-times.txt</v>
      </c>
      <c r="AI175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{"issue":{"subject":"","project_id":79,"tracker_id":40,"status_id":1,"priority_id":2,"assigned_to_id":23,"start_date":"2016-11-19","description":"","custom_fields":[{"id":1,"name":"Subdivision","value":"NW"},{"id":4,"name":"Milepost","value":"5.892"},{"id":17,"name":"Train ID","value":"1811-19"},{"id":16,"name":"Locomotive ID","value":"4022"},{"id":130,"name":"Impact","value":""},{"id":150,"name":"Time of Event (Mountain Time)","value":"11:34:19"},{"id":151,"name":"Denver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7" t="s">
        <v>539</v>
      </c>
      <c r="B176" s="7">
        <v>4021</v>
      </c>
      <c r="C176" s="22" t="s">
        <v>218</v>
      </c>
      <c r="D176" s="22" t="s">
        <v>705</v>
      </c>
      <c r="E176" s="13">
        <v>42693.484895833331</v>
      </c>
      <c r="F176" s="13">
        <v>42693.486273148148</v>
      </c>
      <c r="G176" s="7">
        <v>1</v>
      </c>
      <c r="H176" s="22" t="s">
        <v>373</v>
      </c>
      <c r="I176" s="13">
        <v>42693.495868055557</v>
      </c>
      <c r="J176" s="7">
        <v>0</v>
      </c>
      <c r="K176" s="109" t="str">
        <f t="shared" si="36"/>
        <v>4021/4022</v>
      </c>
      <c r="L176" s="22" t="str">
        <f>VLOOKUP(A176,'Trips&amp;Operators'!$C$1:$E$10000,3,FALSE)</f>
        <v>YORK</v>
      </c>
      <c r="M176" s="6">
        <f t="shared" si="37"/>
        <v>9.5949074093368836E-3</v>
      </c>
      <c r="N176" s="7">
        <f t="shared" si="38"/>
        <v>13.816666669445112</v>
      </c>
      <c r="O176" s="7"/>
      <c r="P176" s="7"/>
      <c r="Q176" s="23"/>
      <c r="R176" s="23"/>
      <c r="S176" s="35">
        <f t="shared" si="39"/>
        <v>1</v>
      </c>
      <c r="T176" s="50" t="str">
        <f t="shared" si="40"/>
        <v>Southbound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10:38:15-700',mode:absolute,to:'2016-11-19 12:54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76" s="52" t="str">
        <f t="shared" si="42"/>
        <v>N</v>
      </c>
      <c r="X176" s="177">
        <f t="shared" si="43"/>
        <v>1</v>
      </c>
      <c r="Y176" s="67">
        <f t="shared" si="44"/>
        <v>5.8615000000000004</v>
      </c>
      <c r="Z176" s="67">
        <f t="shared" si="45"/>
        <v>7.1999999999999995E-2</v>
      </c>
      <c r="AA176" s="67">
        <f t="shared" si="46"/>
        <v>5.7895000000000003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47"/>
        <v>1812-19</v>
      </c>
      <c r="AE176" s="91" t="str">
        <f t="shared" si="48"/>
        <v>aws s3 cp s3://rtdc.mdm.uploadarchive.raw/RTDC4021/ "%USERPROFILE%\AppData\Local\Temp\OnboardLogs"\RTDC4021\2016-11-19 --exclude "*" --recursive --include "*20161119*" &amp; "%USERPROFILE%\Documents\GitHub\mrs-test-scripts\Headless Mode &amp; Sideloading\WalkAndUnGZ.bat" "%USERPROFILE%\AppData\Local\Temp\OnboardLogs"\RTDC4021\2016-11-19 &amp; 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</v>
      </c>
      <c r="AF176" s="88" t="str">
        <f t="shared" si="49"/>
        <v>"C:\Program Files (x86)\AstroGrep\AstroGrep.exe" /spath="%USERPROFILE%\AppData\Local\Temp\OnboardLogs" /stypes="app*4021*20161119*" /stext=" 18:.+((SYSTEM_STATE.+slice.+state.+changed )|(ment ac)|(system.+state.+changed )|(\[timeout)|(PRM\|1\|D)|(kpr)|(kdp)|(\|lc)|(penalty))" /e /r /s</v>
      </c>
      <c r="AG176" s="1" t="str">
        <f t="shared" si="50"/>
        <v>NW</v>
      </c>
      <c r="AH176" s="92" t="str">
        <f t="shared" si="51"/>
        <v>"%USERPROFILE%\Documents\GitHub\eaglep3\Utilities\RefineRTDCRunTimes.py" --tripid 1812-19 --locoid 4021 --swversion DE.1.0.8.0 --startMP 300:58615 --initTime 2016-11-19T11:38:15 --startdatetime 2016-11-19T11:40:14 --delay 1 --endMP 204:720 --enddatetime 2016-11-19T11:54:03 --enforcementcount 0 &gt;&gt;C:\Users\stu\Documents\GitHub\eaglep3-reporting\EC\2016-11-19-refined-times.txt</v>
      </c>
      <c r="AI176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{"issue":{"subject":"","project_id":79,"tracker_id":40,"status_id":1,"priority_id":2,"assigned_to_id":23,"start_date":"2016-11-19","description":"","custom_fields":[{"id":1,"name":"Subdivision","value":"NW"},{"id":4,"name":"Milepost","value":"0.072"},{"id":17,"name":"Train ID","value":"1812-19"},{"id":16,"name":"Locomotive ID","value":"4021"},{"id":130,"name":"Impact","value":""},{"id":150,"name":"Time of Event (Mountain Time)","value":"11:54:03"},{"id":151,"name":"Denver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544</v>
      </c>
      <c r="B177" s="7">
        <v>4022</v>
      </c>
      <c r="C177" s="22" t="s">
        <v>218</v>
      </c>
      <c r="D177" s="22" t="s">
        <v>695</v>
      </c>
      <c r="E177" s="13">
        <v>42693.49728009259</v>
      </c>
      <c r="F177" s="13">
        <v>42693.515057870369</v>
      </c>
      <c r="G177" s="7">
        <v>1</v>
      </c>
      <c r="H177" s="22" t="s">
        <v>375</v>
      </c>
      <c r="I177" s="13">
        <v>42693.524039351854</v>
      </c>
      <c r="J177" s="7">
        <v>0</v>
      </c>
      <c r="K177" s="109" t="str">
        <f t="shared" si="36"/>
        <v>4021/4022</v>
      </c>
      <c r="L177" s="22" t="str">
        <f>VLOOKUP(A177,'Trips&amp;Operators'!$C$1:$E$10000,3,FALSE)</f>
        <v>YORK</v>
      </c>
      <c r="M177" s="6">
        <f t="shared" si="37"/>
        <v>8.9814814855344594E-3</v>
      </c>
      <c r="N177" s="7">
        <f t="shared" si="38"/>
        <v>12.933333339169621</v>
      </c>
      <c r="O177" s="7"/>
      <c r="P177" s="7"/>
      <c r="Q177" s="23"/>
      <c r="R177" s="23"/>
      <c r="S177" s="35">
        <f t="shared" si="39"/>
        <v>1</v>
      </c>
      <c r="T177" s="50" t="str">
        <f t="shared" si="40"/>
        <v>NorthBound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10:56:05-700',mode:absolute,to:'2016-11-19 13:34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7" s="52" t="str">
        <f t="shared" si="42"/>
        <v>N</v>
      </c>
      <c r="X177" s="177">
        <f t="shared" si="43"/>
        <v>1</v>
      </c>
      <c r="Y177" s="67">
        <f t="shared" si="44"/>
        <v>0.1018</v>
      </c>
      <c r="Z177" s="67">
        <f t="shared" si="45"/>
        <v>5.8928000000000003</v>
      </c>
      <c r="AA177" s="67">
        <f t="shared" si="46"/>
        <v>5.7910000000000004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47"/>
        <v>1813-19</v>
      </c>
      <c r="AE177" s="91" t="str">
        <f t="shared" si="48"/>
        <v>aws s3 cp s3://rtdc.mdm.uploadarchive.raw/RTDC4022/ "%USERPROFILE%\AppData\Local\Temp\OnboardLogs"\RTDC4022\2016-11-19 --exclude "*" --recursive --include "*20161119*" &amp; "%USERPROFILE%\Documents\GitHub\mrs-test-scripts\Headless Mode &amp; Sideloading\WalkAndUnGZ.bat" "%USERPROFILE%\AppData\Local\Temp\OnboardLogs"\RTDC4022\2016-11-19 &amp; 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</v>
      </c>
      <c r="AF177" s="88" t="str">
        <f t="shared" si="49"/>
        <v>"C:\Program Files (x86)\AstroGrep\AstroGrep.exe" /spath="%USERPROFILE%\AppData\Local\Temp\OnboardLogs" /stypes="app*4022*20161119*" /stext=" 19:.+((SYSTEM_STATE.+slice.+state.+changed )|(ment ac)|(system.+state.+changed )|(\[timeout)|(PRM\|1\|D)|(kpr)|(kdp)|(\|lc)|(penalty))" /e /r /s</v>
      </c>
      <c r="AG177" s="1" t="str">
        <f t="shared" si="50"/>
        <v>NW</v>
      </c>
      <c r="AH177" s="92" t="str">
        <f t="shared" si="51"/>
        <v>"%USERPROFILE%\Documents\GitHub\eaglep3\Utilities\RefineRTDCRunTimes.py" --tripid 1813-19 --locoid 4022 --swversion DE.1.0.8.0 --startMP 204:1018 --initTime 2016-11-19T11:56:05 --startdatetime 2016-11-19T12:21:41 --delay 1 --endMP 300:58928 --enddatetime 2016-11-19T12:34:37 --enforcementcount 0 &gt;&gt;C:\Users\stu\Documents\GitHub\eaglep3-reporting\EC\2016-11-19-refined-times.txt</v>
      </c>
      <c r="AI177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{"issue":{"subject":"","project_id":79,"tracker_id":40,"status_id":1,"priority_id":2,"assigned_to_id":23,"start_date":"2016-11-19","description":"","custom_fields":[{"id":1,"name":"Subdivision","value":"NW"},{"id":4,"name":"Milepost","value":"5.8928"},{"id":17,"name":"Train ID","value":"1813-19"},{"id":16,"name":"Locomotive ID","value":"4022"},{"id":130,"name":"Impact","value":""},{"id":150,"name":"Time of Event (Mountain Time)","value":"12:34:37"},{"id":151,"name":"Denver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x14ac:dyDescent="0.25">
      <c r="A178" s="37" t="s">
        <v>550</v>
      </c>
      <c r="B178" s="7">
        <v>4021</v>
      </c>
      <c r="C178" s="22" t="s">
        <v>218</v>
      </c>
      <c r="D178" s="22" t="s">
        <v>436</v>
      </c>
      <c r="E178" s="13">
        <v>42693.525775462964</v>
      </c>
      <c r="F178" s="13">
        <v>42693.527106481481</v>
      </c>
      <c r="G178" s="7">
        <v>0</v>
      </c>
      <c r="H178" s="22" t="s">
        <v>706</v>
      </c>
      <c r="I178" s="13">
        <v>42693.537430555552</v>
      </c>
      <c r="J178" s="7">
        <v>0</v>
      </c>
      <c r="K178" s="109" t="str">
        <f t="shared" si="36"/>
        <v>4021/4022</v>
      </c>
      <c r="L178" s="22" t="str">
        <f>VLOOKUP(A178,'Trips&amp;Operators'!$C$1:$E$10000,3,FALSE)</f>
        <v>YORK</v>
      </c>
      <c r="M178" s="6">
        <f t="shared" si="37"/>
        <v>1.0324074071832001E-2</v>
      </c>
      <c r="N178" s="7">
        <f t="shared" si="38"/>
        <v>14.866666663438082</v>
      </c>
      <c r="O178" s="7"/>
      <c r="P178" s="7"/>
      <c r="Q178" s="23"/>
      <c r="R178" s="23"/>
      <c r="S178" s="35">
        <f t="shared" si="39"/>
        <v>1</v>
      </c>
      <c r="T178" s="50" t="str">
        <f t="shared" si="40"/>
        <v>Southbound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11:37:07-700',mode:absolute,to:'2016-11-19 13:53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78" s="52" t="str">
        <f t="shared" si="42"/>
        <v>N</v>
      </c>
      <c r="X178" s="177">
        <f t="shared" si="43"/>
        <v>1</v>
      </c>
      <c r="Y178" s="67">
        <f t="shared" si="44"/>
        <v>5.8616999999999999</v>
      </c>
      <c r="Z178" s="67">
        <f t="shared" si="45"/>
        <v>7.22E-2</v>
      </c>
      <c r="AA178" s="67">
        <f t="shared" si="46"/>
        <v>5.7895000000000003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47"/>
        <v>1814-19</v>
      </c>
      <c r="AE178" s="91" t="str">
        <f t="shared" si="48"/>
        <v>aws s3 cp s3://rtdc.mdm.uploadarchive.raw/RTDC4021/ "%USERPROFILE%\AppData\Local\Temp\OnboardLogs"\RTDC4021\2016-11-19 --exclude "*" --recursive --include "*20161119*" &amp; "%USERPROFILE%\Documents\GitHub\mrs-test-scripts\Headless Mode &amp; Sideloading\WalkAndUnGZ.bat" "%USERPROFILE%\AppData\Local\Temp\OnboardLogs"\RTDC4021\2016-11-19 &amp; 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</v>
      </c>
      <c r="AF178" s="88" t="str">
        <f t="shared" si="49"/>
        <v>"C:\Program Files (x86)\AstroGrep\AstroGrep.exe" /spath="%USERPROFILE%\AppData\Local\Temp\OnboardLogs" /stypes="app*4021*20161119*" /stext=" 19:.+((SYSTEM_STATE.+slice.+state.+changed )|(ment ac)|(system.+state.+changed )|(\[timeout)|(PRM\|1\|D)|(kpr)|(kdp)|(\|lc)|(penalty))" /e /r /s</v>
      </c>
      <c r="AG178" s="1" t="str">
        <f t="shared" si="50"/>
        <v>NW</v>
      </c>
      <c r="AH178" s="92" t="str">
        <f t="shared" si="51"/>
        <v>"%USERPROFILE%\Documents\GitHub\eaglep3\Utilities\RefineRTDCRunTimes.py" --tripid 1814-19 --locoid 4021 --swversion DE.1.0.8.0 --startMP 300:58617 --initTime 2016-11-19T12:37:07 --startdatetime 2016-11-19T12:39:02 --delay 0 --endMP 204:722 --enddatetime 2016-11-19T12:53:54 --enforcementcount 0 &gt;&gt;C:\Users\stu\Documents\GitHub\eaglep3-reporting\EC\2016-11-19-refined-times.txt</v>
      </c>
      <c r="AI178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{"issue":{"subject":"","project_id":79,"tracker_id":40,"status_id":1,"priority_id":2,"assigned_to_id":23,"start_date":"2016-11-19","description":"","custom_fields":[{"id":1,"name":"Subdivision","value":"NW"},{"id":4,"name":"Milepost","value":"0.0722"},{"id":17,"name":"Train ID","value":"1814-19"},{"id":16,"name":"Locomotive ID","value":"4021"},{"id":130,"name":"Impact","value":""},{"id":150,"name":"Time of Event (Mountain Time)","value":"12:53:54"},{"id":151,"name":"Denver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s="21" customFormat="1" x14ac:dyDescent="0.25">
      <c r="A179" s="37" t="s">
        <v>555</v>
      </c>
      <c r="B179" s="7">
        <v>4022</v>
      </c>
      <c r="C179" s="22" t="s">
        <v>218</v>
      </c>
      <c r="D179" s="22" t="s">
        <v>372</v>
      </c>
      <c r="E179" s="13">
        <v>42693.554675925923</v>
      </c>
      <c r="F179" s="13">
        <v>42693.556493055556</v>
      </c>
      <c r="G179" s="7">
        <v>0</v>
      </c>
      <c r="H179" s="22" t="s">
        <v>283</v>
      </c>
      <c r="I179" s="13">
        <v>42693.564988425926</v>
      </c>
      <c r="J179" s="7">
        <v>0</v>
      </c>
      <c r="K179" s="109" t="str">
        <f t="shared" si="36"/>
        <v>4021/4022</v>
      </c>
      <c r="L179" s="22" t="str">
        <f>VLOOKUP(A179,'Trips&amp;Operators'!$C$1:$E$10000,3,FALSE)</f>
        <v>YORK</v>
      </c>
      <c r="M179" s="6">
        <f t="shared" si="37"/>
        <v>8.4953703699284233E-3</v>
      </c>
      <c r="N179" s="7">
        <f t="shared" si="38"/>
        <v>12.23333333269693</v>
      </c>
      <c r="O179" s="7"/>
      <c r="P179" s="7"/>
      <c r="Q179" s="23"/>
      <c r="R179" s="23"/>
      <c r="S179" s="35">
        <f t="shared" si="39"/>
        <v>1</v>
      </c>
      <c r="T179" s="50" t="str">
        <f t="shared" si="40"/>
        <v>NorthBound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12:18:44-700',mode:absolute,to:'2016-11-19 14:33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9" s="52" t="str">
        <f t="shared" si="42"/>
        <v>N</v>
      </c>
      <c r="X179" s="177">
        <f t="shared" si="43"/>
        <v>1</v>
      </c>
      <c r="Y179" s="67">
        <f t="shared" si="44"/>
        <v>0.1021</v>
      </c>
      <c r="Z179" s="67">
        <f t="shared" si="45"/>
        <v>5.8929</v>
      </c>
      <c r="AA179" s="67">
        <f t="shared" si="46"/>
        <v>5.7907999999999999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47"/>
        <v>1815-19</v>
      </c>
      <c r="AE179" s="91" t="str">
        <f t="shared" si="48"/>
        <v>aws s3 cp s3://rtdc.mdm.uploadarchive.raw/RTDC4022/ "%USERPROFILE%\AppData\Local\Temp\OnboardLogs"\RTDC4022\2016-11-19 --exclude "*" --recursive --include "*20161119*" &amp; "%USERPROFILE%\Documents\GitHub\mrs-test-scripts\Headless Mode &amp; Sideloading\WalkAndUnGZ.bat" "%USERPROFILE%\AppData\Local\Temp\OnboardLogs"\RTDC4022\2016-11-19 &amp; 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</v>
      </c>
      <c r="AF179" s="88" t="str">
        <f t="shared" si="49"/>
        <v>"C:\Program Files (x86)\AstroGrep\AstroGrep.exe" /spath="%USERPROFILE%\AppData\Local\Temp\OnboardLogs" /stypes="app*4022*20161119*" /stext=" 20:.+((SYSTEM_STATE.+slice.+state.+changed )|(ment ac)|(system.+state.+changed )|(\[timeout)|(PRM\|1\|D)|(kpr)|(kdp)|(\|lc)|(penalty))" /e /r /s</v>
      </c>
      <c r="AG179" s="1" t="str">
        <f t="shared" si="50"/>
        <v>NW</v>
      </c>
      <c r="AH179" s="92" t="str">
        <f t="shared" si="51"/>
        <v>"%USERPROFILE%\Documents\GitHub\eaglep3\Utilities\RefineRTDCRunTimes.py" --tripid 1815-19 --locoid 4022 --swversion DE.1.0.8.0 --startMP 204:1021 --initTime 2016-11-19T13:18:44 --startdatetime 2016-11-19T13:21:21 --delay 0 --endMP 300:58929 --enddatetime 2016-11-19T13:33:35 --enforcementcount 0 &gt;&gt;C:\Users\stu\Documents\GitHub\eaglep3-reporting\EC\2016-11-19-refined-times.txt</v>
      </c>
      <c r="AI179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{"issue":{"subject":"","project_id":79,"tracker_id":40,"status_id":1,"priority_id":2,"assigned_to_id":23,"start_date":"2016-11-19","description":"","custom_fields":[{"id":1,"name":"Subdivision","value":"NW"},{"id":4,"name":"Milepost","value":"5.8929"},{"id":17,"name":"Train ID","value":"1815-19"},{"id":16,"name":"Locomotive ID","value":"4022"},{"id":130,"name":"Impact","value":""},{"id":150,"name":"Time of Event (Mountain Time)","value":"13:33:35"},{"id":151,"name":"Denver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558</v>
      </c>
      <c r="B180" s="7">
        <v>4021</v>
      </c>
      <c r="C180" s="22" t="s">
        <v>218</v>
      </c>
      <c r="D180" s="22" t="s">
        <v>306</v>
      </c>
      <c r="E180" s="13">
        <v>42693.566157407404</v>
      </c>
      <c r="F180" s="13">
        <v>42693.569791666669</v>
      </c>
      <c r="G180" s="7">
        <v>1</v>
      </c>
      <c r="H180" s="22" t="s">
        <v>707</v>
      </c>
      <c r="I180" s="13">
        <v>42693.579004629632</v>
      </c>
      <c r="J180" s="7">
        <v>0</v>
      </c>
      <c r="K180" s="109" t="str">
        <f t="shared" si="36"/>
        <v>4021/4022</v>
      </c>
      <c r="L180" s="22" t="str">
        <f>VLOOKUP(A180,'Trips&amp;Operators'!$C$1:$E$10000,3,FALSE)</f>
        <v>YORK</v>
      </c>
      <c r="M180" s="6">
        <f t="shared" si="37"/>
        <v>9.2129629629198462E-3</v>
      </c>
      <c r="N180" s="7">
        <f t="shared" si="38"/>
        <v>13.266666666604578</v>
      </c>
      <c r="O180" s="7"/>
      <c r="P180" s="7"/>
      <c r="Q180" s="23"/>
      <c r="R180" s="23"/>
      <c r="S180" s="35">
        <f t="shared" si="39"/>
        <v>1</v>
      </c>
      <c r="T180" s="50" t="str">
        <f t="shared" si="40"/>
        <v>Southbound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12:35:16-700',mode:absolute,to:'2016-11-19 14:53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0" s="52" t="str">
        <f t="shared" si="42"/>
        <v>N</v>
      </c>
      <c r="X180" s="177">
        <f t="shared" si="43"/>
        <v>1</v>
      </c>
      <c r="Y180" s="67">
        <f t="shared" si="44"/>
        <v>5.8623000000000003</v>
      </c>
      <c r="Z180" s="67">
        <f t="shared" si="45"/>
        <v>8.43E-2</v>
      </c>
      <c r="AA180" s="67">
        <f t="shared" si="46"/>
        <v>5.7780000000000005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47"/>
        <v>1816-19</v>
      </c>
      <c r="AE180" s="91" t="str">
        <f t="shared" si="48"/>
        <v>aws s3 cp s3://rtdc.mdm.uploadarchive.raw/RTDC4021/ "%USERPROFILE%\AppData\Local\Temp\OnboardLogs"\RTDC4021\2016-11-19 --exclude "*" --recursive --include "*20161119*" &amp; "%USERPROFILE%\Documents\GitHub\mrs-test-scripts\Headless Mode &amp; Sideloading\WalkAndUnGZ.bat" "%USERPROFILE%\AppData\Local\Temp\OnboardLogs"\RTDC4021\2016-11-19 &amp; 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</v>
      </c>
      <c r="AF180" s="88" t="str">
        <f t="shared" si="49"/>
        <v>"C:\Program Files (x86)\AstroGrep\AstroGrep.exe" /spath="%USERPROFILE%\AppData\Local\Temp\OnboardLogs" /stypes="app*4021*20161119*" /stext=" 20:.+((SYSTEM_STATE.+slice.+state.+changed )|(ment ac)|(system.+state.+changed )|(\[timeout)|(PRM\|1\|D)|(kpr)|(kdp)|(\|lc)|(penalty))" /e /r /s</v>
      </c>
      <c r="AG180" s="1" t="str">
        <f t="shared" si="50"/>
        <v>NW</v>
      </c>
      <c r="AH180" s="92" t="str">
        <f t="shared" si="51"/>
        <v>"%USERPROFILE%\Documents\GitHub\eaglep3\Utilities\RefineRTDCRunTimes.py" --tripid 1816-19 --locoid 4021 --swversion DE.1.0.8.0 --startMP 300:58623 --initTime 2016-11-19T13:35:16 --startdatetime 2016-11-19T13:40:30 --delay 1 --endMP 204:843 --enddatetime 2016-11-19T13:53:46 --enforcementcount 0 &gt;&gt;C:\Users\stu\Documents\GitHub\eaglep3-reporting\EC\2016-11-19-refined-times.txt</v>
      </c>
      <c r="AI180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{"issue":{"subject":"","project_id":79,"tracker_id":40,"status_id":1,"priority_id":2,"assigned_to_id":23,"start_date":"2016-11-19","description":"","custom_fields":[{"id":1,"name":"Subdivision","value":"NW"},{"id":4,"name":"Milepost","value":"0.0843"},{"id":17,"name":"Train ID","value":"1816-19"},{"id":16,"name":"Locomotive ID","value":"4021"},{"id":130,"name":"Impact","value":""},{"id":150,"name":"Time of Event (Mountain Time)","value":"13:53:46"},{"id":151,"name":"Denver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563</v>
      </c>
      <c r="B181" s="7">
        <v>4022</v>
      </c>
      <c r="C181" s="22" t="s">
        <v>218</v>
      </c>
      <c r="D181" s="22" t="s">
        <v>708</v>
      </c>
      <c r="E181" s="13">
        <v>42693.588831018518</v>
      </c>
      <c r="F181" s="13">
        <v>42693.598217592589</v>
      </c>
      <c r="G181" s="7">
        <v>1</v>
      </c>
      <c r="H181" s="22" t="s">
        <v>440</v>
      </c>
      <c r="I181" s="13">
        <v>42693.609490740739</v>
      </c>
      <c r="J181" s="7">
        <v>0</v>
      </c>
      <c r="K181" s="109" t="str">
        <f t="shared" si="36"/>
        <v>4021/4022</v>
      </c>
      <c r="L181" s="22" t="str">
        <f>VLOOKUP(A181,'Trips&amp;Operators'!$C$1:$E$10000,3,FALSE)</f>
        <v>SMITH</v>
      </c>
      <c r="M181" s="6">
        <f t="shared" si="37"/>
        <v>1.1273148149484769E-2</v>
      </c>
      <c r="N181" s="7">
        <f t="shared" si="38"/>
        <v>16.233333335258067</v>
      </c>
      <c r="O181" s="7"/>
      <c r="P181" s="7"/>
      <c r="Q181" s="23"/>
      <c r="R181" s="23"/>
      <c r="S181" s="35">
        <f t="shared" si="39"/>
        <v>1</v>
      </c>
      <c r="T181" s="50" t="str">
        <f t="shared" si="40"/>
        <v>NorthBound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13:07:55-700',mode:absolute,to:'2016-11-19 15:37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1" s="52" t="str">
        <f t="shared" si="42"/>
        <v>N</v>
      </c>
      <c r="X181" s="177">
        <f t="shared" si="43"/>
        <v>1</v>
      </c>
      <c r="Y181" s="67">
        <f t="shared" si="44"/>
        <v>0.11210000000000001</v>
      </c>
      <c r="Z181" s="67">
        <f t="shared" si="45"/>
        <v>5.8939000000000004</v>
      </c>
      <c r="AA181" s="67">
        <f t="shared" si="46"/>
        <v>5.7818000000000005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47"/>
        <v>1817-19</v>
      </c>
      <c r="AE181" s="91" t="str">
        <f t="shared" si="48"/>
        <v>aws s3 cp s3://rtdc.mdm.uploadarchive.raw/RTDC4022/ "%USERPROFILE%\AppData\Local\Temp\OnboardLogs"\RTDC4022\2016-11-19 --exclude "*" --recursive --include "*20161119*" &amp; "%USERPROFILE%\Documents\GitHub\mrs-test-scripts\Headless Mode &amp; Sideloading\WalkAndUnGZ.bat" "%USERPROFILE%\AppData\Local\Temp\OnboardLogs"\RTDC4022\2016-11-19 &amp; 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</v>
      </c>
      <c r="AF181" s="88" t="str">
        <f t="shared" si="49"/>
        <v>"C:\Program Files (x86)\AstroGrep\AstroGrep.exe" /spath="%USERPROFILE%\AppData\Local\Temp\OnboardLogs" /stypes="app*4022*20161119*" /stext=" 21:.+((SYSTEM_STATE.+slice.+state.+changed )|(ment ac)|(system.+state.+changed )|(\[timeout)|(PRM\|1\|D)|(kpr)|(kdp)|(\|lc)|(penalty))" /e /r /s</v>
      </c>
      <c r="AG181" s="1" t="str">
        <f t="shared" si="50"/>
        <v>NW</v>
      </c>
      <c r="AH181" s="92" t="str">
        <f t="shared" si="51"/>
        <v>"%USERPROFILE%\Documents\GitHub\eaglep3\Utilities\RefineRTDCRunTimes.py" --tripid 1817-19 --locoid 4022 --swversion DE.1.0.8.0 --startMP 204:1121 --initTime 2016-11-19T14:07:55 --startdatetime 2016-11-19T14:21:26 --delay 1 --endMP 300:58939 --enddatetime 2016-11-19T14:37:40 --enforcementcount 0 &gt;&gt;C:\Users\stu\Documents\GitHub\eaglep3-reporting\EC\2016-11-19-refined-times.txt</v>
      </c>
      <c r="AI181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{"issue":{"subject":"","project_id":79,"tracker_id":40,"status_id":1,"priority_id":2,"assigned_to_id":23,"start_date":"2016-11-19","description":"","custom_fields":[{"id":1,"name":"Subdivision","value":"NW"},{"id":4,"name":"Milepost","value":"5.8939"},{"id":17,"name":"Train ID","value":"1817-19"},{"id":16,"name":"Locomotive ID","value":"4022"},{"id":130,"name":"Impact","value":""},{"id":150,"name":"Time of Event (Mountain Time)","value":"14:37:40"},{"id":151,"name":"Denver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7" t="s">
        <v>568</v>
      </c>
      <c r="B182" s="7">
        <v>4021</v>
      </c>
      <c r="C182" s="22" t="s">
        <v>218</v>
      </c>
      <c r="D182" s="22" t="s">
        <v>439</v>
      </c>
      <c r="E182" s="13">
        <v>42693.610798611109</v>
      </c>
      <c r="F182" s="13">
        <v>42693.612581018519</v>
      </c>
      <c r="G182" s="7">
        <v>2</v>
      </c>
      <c r="H182" s="22" t="s">
        <v>709</v>
      </c>
      <c r="I182" s="13">
        <v>42693.623506944445</v>
      </c>
      <c r="J182" s="7">
        <v>0</v>
      </c>
      <c r="K182" s="109" t="str">
        <f t="shared" si="36"/>
        <v>4021/4022</v>
      </c>
      <c r="L182" s="22" t="str">
        <f>VLOOKUP(A182,'Trips&amp;Operators'!$C$1:$E$10000,3,FALSE)</f>
        <v>SMITH</v>
      </c>
      <c r="M182" s="6">
        <f t="shared" si="37"/>
        <v>1.0925925926130731E-2</v>
      </c>
      <c r="N182" s="7">
        <f t="shared" si="38"/>
        <v>15.733333333628252</v>
      </c>
      <c r="O182" s="7"/>
      <c r="P182" s="7"/>
      <c r="Q182" s="23"/>
      <c r="R182" s="23"/>
      <c r="S182" s="35">
        <f t="shared" si="39"/>
        <v>1</v>
      </c>
      <c r="T182" s="50" t="str">
        <f t="shared" si="40"/>
        <v>Southbound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13:39:33-700',mode:absolute,to:'2016-11-19 15:57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2" s="52" t="str">
        <f t="shared" si="42"/>
        <v>N</v>
      </c>
      <c r="X182" s="177">
        <f t="shared" si="43"/>
        <v>1</v>
      </c>
      <c r="Y182" s="67">
        <f t="shared" si="44"/>
        <v>5.8619000000000003</v>
      </c>
      <c r="Z182" s="67">
        <f t="shared" si="45"/>
        <v>6.9800000000000001E-2</v>
      </c>
      <c r="AA182" s="67">
        <f t="shared" si="46"/>
        <v>5.7921000000000005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47"/>
        <v>1818-19</v>
      </c>
      <c r="AE182" s="91" t="str">
        <f t="shared" si="48"/>
        <v>aws s3 cp s3://rtdc.mdm.uploadarchive.raw/RTDC4021/ "%USERPROFILE%\AppData\Local\Temp\OnboardLogs"\RTDC4021\2016-11-19 --exclude "*" --recursive --include "*20161119*" &amp; "%USERPROFILE%\Documents\GitHub\mrs-test-scripts\Headless Mode &amp; Sideloading\WalkAndUnGZ.bat" "%USERPROFILE%\AppData\Local\Temp\OnboardLogs"\RTDC4021\2016-11-19 &amp; 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</v>
      </c>
      <c r="AF182" s="88" t="str">
        <f t="shared" si="49"/>
        <v>"C:\Program Files (x86)\AstroGrep\AstroGrep.exe" /spath="%USERPROFILE%\AppData\Local\Temp\OnboardLogs" /stypes="app*4021*20161119*" /stext=" 21:.+((SYSTEM_STATE.+slice.+state.+changed )|(ment ac)|(system.+state.+changed )|(\[timeout)|(PRM\|1\|D)|(kpr)|(kdp)|(\|lc)|(penalty))" /e /r /s</v>
      </c>
      <c r="AG182" s="1" t="str">
        <f t="shared" si="50"/>
        <v>NW</v>
      </c>
      <c r="AH182" s="92" t="str">
        <f t="shared" si="51"/>
        <v>"%USERPROFILE%\Documents\GitHub\eaglep3\Utilities\RefineRTDCRunTimes.py" --tripid 1818-19 --locoid 4021 --swversion DE.1.0.8.0 --startMP 300:58619 --initTime 2016-11-19T14:39:33 --startdatetime 2016-11-19T14:42:07 --delay 2 --endMP 204:698 --enddatetime 2016-11-19T14:57:51 --enforcementcount 0 &gt;&gt;C:\Users\stu\Documents\GitHub\eaglep3-reporting\EC\2016-11-19-refined-times.txt</v>
      </c>
      <c r="AI182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{"issue":{"subject":"","project_id":79,"tracker_id":40,"status_id":1,"priority_id":2,"assigned_to_id":23,"start_date":"2016-11-19","description":"","custom_fields":[{"id":1,"name":"Subdivision","value":"NW"},{"id":4,"name":"Milepost","value":"0.0698"},{"id":17,"name":"Train ID","value":"1818-19"},{"id":16,"name":"Locomotive ID","value":"4021"},{"id":130,"name":"Impact","value":""},{"id":150,"name":"Time of Event (Mountain Time)","value":"14:57:51"},{"id":151,"name":"Denver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x14ac:dyDescent="0.25">
      <c r="A183" s="37" t="s">
        <v>454</v>
      </c>
      <c r="B183" s="7">
        <v>4022</v>
      </c>
      <c r="C183" s="22" t="s">
        <v>218</v>
      </c>
      <c r="D183" s="22" t="s">
        <v>710</v>
      </c>
      <c r="E183" s="13">
        <v>42693.625451388885</v>
      </c>
      <c r="F183" s="13">
        <v>42693.63989583333</v>
      </c>
      <c r="G183" s="7">
        <v>1</v>
      </c>
      <c r="H183" s="22" t="s">
        <v>711</v>
      </c>
      <c r="I183" s="13">
        <v>42693.650833333333</v>
      </c>
      <c r="J183" s="7">
        <v>0</v>
      </c>
      <c r="K183" s="109" t="str">
        <f t="shared" si="36"/>
        <v>4021/4022</v>
      </c>
      <c r="L183" s="22" t="str">
        <f>VLOOKUP(A183,'Trips&amp;Operators'!$C$1:$E$10000,3,FALSE)</f>
        <v>SMITH</v>
      </c>
      <c r="M183" s="6">
        <f t="shared" si="37"/>
        <v>1.0937500002910383E-2</v>
      </c>
      <c r="N183" s="7">
        <f t="shared" si="38"/>
        <v>15.750000004190952</v>
      </c>
      <c r="O183" s="7"/>
      <c r="P183" s="7"/>
      <c r="Q183" s="23"/>
      <c r="R183" s="23"/>
      <c r="S183" s="35">
        <f t="shared" si="39"/>
        <v>1</v>
      </c>
      <c r="T183" s="50" t="str">
        <f t="shared" si="40"/>
        <v>NorthBound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14:00:39-700',mode:absolute,to:'2016-11-19 16:37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3" s="52" t="str">
        <f t="shared" si="42"/>
        <v>N</v>
      </c>
      <c r="X183" s="177">
        <f t="shared" si="43"/>
        <v>1</v>
      </c>
      <c r="Y183" s="67">
        <f t="shared" si="44"/>
        <v>9.69E-2</v>
      </c>
      <c r="Z183" s="67">
        <f t="shared" si="45"/>
        <v>5.8912000000000004</v>
      </c>
      <c r="AA183" s="67">
        <f t="shared" si="46"/>
        <v>5.7943000000000007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47"/>
        <v>1819-19</v>
      </c>
      <c r="AE183" s="91" t="str">
        <f t="shared" si="48"/>
        <v>aws s3 cp s3://rtdc.mdm.uploadarchive.raw/RTDC4022/ "%USERPROFILE%\AppData\Local\Temp\OnboardLogs"\RTDC4022\2016-11-19 --exclude "*" --recursive --include "*20161119*" &amp; "%USERPROFILE%\Documents\GitHub\mrs-test-scripts\Headless Mode &amp; Sideloading\WalkAndUnGZ.bat" "%USERPROFILE%\AppData\Local\Temp\OnboardLogs"\RTDC4022\2016-11-19 &amp; 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</v>
      </c>
      <c r="AF183" s="88" t="str">
        <f t="shared" si="49"/>
        <v>"C:\Program Files (x86)\AstroGrep\AstroGrep.exe" /spath="%USERPROFILE%\AppData\Local\Temp\OnboardLogs" /stypes="app*4022*20161119*" /stext=" 22:.+((SYSTEM_STATE.+slice.+state.+changed )|(ment ac)|(system.+state.+changed )|(\[timeout)|(PRM\|1\|D)|(kpr)|(kdp)|(\|lc)|(penalty))" /e /r /s</v>
      </c>
      <c r="AG183" s="1" t="str">
        <f t="shared" si="50"/>
        <v>NW</v>
      </c>
      <c r="AH183" s="92" t="str">
        <f t="shared" si="51"/>
        <v>"%USERPROFILE%\Documents\GitHub\eaglep3\Utilities\RefineRTDCRunTimes.py" --tripid 1819-19 --locoid 4022 --swversion DE.1.0.8.0 --startMP 204:969 --initTime 2016-11-19T15:00:39 --startdatetime 2016-11-19T15:21:27 --delay 1 --endMP 300:58912 --enddatetime 2016-11-19T15:37:12 --enforcementcount 0 &gt;&gt;C:\Users\stu\Documents\GitHub\eaglep3-reporting\EC\2016-11-19-refined-times.txt</v>
      </c>
      <c r="AI183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{"issue":{"subject":"","project_id":79,"tracker_id":40,"status_id":1,"priority_id":2,"assigned_to_id":23,"start_date":"2016-11-19","description":"","custom_fields":[{"id":1,"name":"Subdivision","value":"NW"},{"id":4,"name":"Milepost","value":"5.8912"},{"id":17,"name":"Train ID","value":"1819-19"},{"id":16,"name":"Locomotive ID","value":"4022"},{"id":130,"name":"Impact","value":""},{"id":150,"name":"Time of Event (Mountain Time)","value":"15:37:12"},{"id":151,"name":"Denver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s="21" customFormat="1" x14ac:dyDescent="0.25">
      <c r="A184" s="37" t="s">
        <v>577</v>
      </c>
      <c r="B184" s="7">
        <v>4021</v>
      </c>
      <c r="C184" s="22" t="s">
        <v>218</v>
      </c>
      <c r="D184" s="22" t="s">
        <v>434</v>
      </c>
      <c r="E184" s="13">
        <v>42693.652025462965</v>
      </c>
      <c r="F184" s="13">
        <v>42693.65347222222</v>
      </c>
      <c r="G184" s="7">
        <v>1</v>
      </c>
      <c r="H184" s="22" t="s">
        <v>712</v>
      </c>
      <c r="I184" s="13">
        <v>42693.663668981484</v>
      </c>
      <c r="J184" s="7">
        <v>0</v>
      </c>
      <c r="K184" s="109" t="str">
        <f t="shared" si="36"/>
        <v>4021/4022</v>
      </c>
      <c r="L184" s="22" t="str">
        <f>VLOOKUP(A184,'Trips&amp;Operators'!$C$1:$E$10000,3,FALSE)</f>
        <v>SMITH</v>
      </c>
      <c r="M184" s="6">
        <f t="shared" si="37"/>
        <v>1.0196759263635613E-2</v>
      </c>
      <c r="N184" s="7">
        <f t="shared" si="38"/>
        <v>14.683333339635283</v>
      </c>
      <c r="O184" s="7"/>
      <c r="P184" s="7"/>
      <c r="Q184" s="23"/>
      <c r="R184" s="23"/>
      <c r="S184" s="35">
        <f t="shared" si="39"/>
        <v>1</v>
      </c>
      <c r="T184" s="50" t="str">
        <f t="shared" si="40"/>
        <v>Southbound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14:38:55-700',mode:absolute,to:'2016-11-19 16:55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4" s="52" t="str">
        <f t="shared" si="42"/>
        <v>N</v>
      </c>
      <c r="X184" s="177">
        <f t="shared" si="43"/>
        <v>1</v>
      </c>
      <c r="Y184" s="67">
        <f t="shared" si="44"/>
        <v>5.8605999999999998</v>
      </c>
      <c r="Z184" s="67">
        <f t="shared" si="45"/>
        <v>0.18970000000000001</v>
      </c>
      <c r="AA184" s="67">
        <f t="shared" si="46"/>
        <v>5.6708999999999996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47"/>
        <v>1820-19</v>
      </c>
      <c r="AE184" s="91" t="str">
        <f t="shared" si="48"/>
        <v>aws s3 cp s3://rtdc.mdm.uploadarchive.raw/RTDC4021/ "%USERPROFILE%\AppData\Local\Temp\OnboardLogs"\RTDC4021\2016-11-19 --exclude "*" --recursive --include "*20161119*" &amp; "%USERPROFILE%\Documents\GitHub\mrs-test-scripts\Headless Mode &amp; Sideloading\WalkAndUnGZ.bat" "%USERPROFILE%\AppData\Local\Temp\OnboardLogs"\RTDC4021\2016-11-19 &amp; 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</v>
      </c>
      <c r="AF184" s="88" t="str">
        <f t="shared" si="49"/>
        <v>"C:\Program Files (x86)\AstroGrep\AstroGrep.exe" /spath="%USERPROFILE%\AppData\Local\Temp\OnboardLogs" /stypes="app*4021*20161119*" /stext=" 22:.+((SYSTEM_STATE.+slice.+state.+changed )|(ment ac)|(system.+state.+changed )|(\[timeout)|(PRM\|1\|D)|(kpr)|(kdp)|(\|lc)|(penalty))" /e /r /s</v>
      </c>
      <c r="AG184" s="1" t="str">
        <f t="shared" si="50"/>
        <v>NW</v>
      </c>
      <c r="AH184" s="92" t="str">
        <f t="shared" si="51"/>
        <v>"%USERPROFILE%\Documents\GitHub\eaglep3\Utilities\RefineRTDCRunTimes.py" --tripid 1820-19 --locoid 4021 --swversion DE.1.0.8.0 --startMP 300:58606 --initTime 2016-11-19T15:38:55 --startdatetime 2016-11-19T15:41:00 --delay 1 --endMP 204:1897 --enddatetime 2016-11-19T15:55:41 --enforcementcount 0 &gt;&gt;C:\Users\stu\Documents\GitHub\eaglep3-reporting\EC\2016-11-19-refined-times.txt</v>
      </c>
      <c r="AI184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{"issue":{"subject":"","project_id":79,"tracker_id":40,"status_id":1,"priority_id":2,"assigned_to_id":23,"start_date":"2016-11-19","description":"","custom_fields":[{"id":1,"name":"Subdivision","value":"NW"},{"id":4,"name":"Milepost","value":"0.1897"},{"id":17,"name":"Train ID","value":"1820-19"},{"id":16,"name":"Locomotive ID","value":"4021"},{"id":130,"name":"Impact","value":""},{"id":150,"name":"Time of Event (Mountain Time)","value":"15:55:41"},{"id":151,"name":"Denver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581</v>
      </c>
      <c r="B185" s="7">
        <v>4022</v>
      </c>
      <c r="C185" s="22" t="s">
        <v>218</v>
      </c>
      <c r="D185" s="22" t="s">
        <v>713</v>
      </c>
      <c r="E185" s="13">
        <v>42693.66605324074</v>
      </c>
      <c r="F185" s="13">
        <v>42693.681828703702</v>
      </c>
      <c r="G185" s="7">
        <v>1</v>
      </c>
      <c r="H185" s="22" t="s">
        <v>283</v>
      </c>
      <c r="I185" s="13">
        <v>42693.692465277774</v>
      </c>
      <c r="J185" s="7">
        <v>0</v>
      </c>
      <c r="K185" s="109" t="str">
        <f t="shared" si="36"/>
        <v>4021/4022</v>
      </c>
      <c r="L185" s="22" t="str">
        <f>VLOOKUP(A185,'Trips&amp;Operators'!$C$1:$E$10000,3,FALSE)</f>
        <v>SMITH</v>
      </c>
      <c r="M185" s="6">
        <f t="shared" si="37"/>
        <v>1.063657407212304E-2</v>
      </c>
      <c r="N185" s="7">
        <f t="shared" si="38"/>
        <v>15.316666663857177</v>
      </c>
      <c r="O185" s="7"/>
      <c r="P185" s="7"/>
      <c r="Q185" s="23"/>
      <c r="R185" s="23"/>
      <c r="S185" s="35">
        <f t="shared" si="39"/>
        <v>1</v>
      </c>
      <c r="T185" s="50" t="str">
        <f t="shared" si="40"/>
        <v>NorthBound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14:59:07-700',mode:absolute,to:'2016-11-19 17:37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5" s="52" t="str">
        <f t="shared" si="42"/>
        <v>N</v>
      </c>
      <c r="X185" s="177">
        <f t="shared" si="43"/>
        <v>1</v>
      </c>
      <c r="Y185" s="67">
        <f t="shared" si="44"/>
        <v>9.8100000000000007E-2</v>
      </c>
      <c r="Z185" s="67">
        <f t="shared" si="45"/>
        <v>5.8929</v>
      </c>
      <c r="AA185" s="67">
        <f t="shared" si="46"/>
        <v>5.7948000000000004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47"/>
        <v>1821-19</v>
      </c>
      <c r="AE185" s="91" t="str">
        <f t="shared" si="48"/>
        <v>aws s3 cp s3://rtdc.mdm.uploadarchive.raw/RTDC4022/ "%USERPROFILE%\AppData\Local\Temp\OnboardLogs"\RTDC4022\2016-11-19 --exclude "*" --recursive --include "*20161119*" &amp; "%USERPROFILE%\Documents\GitHub\mrs-test-scripts\Headless Mode &amp; Sideloading\WalkAndUnGZ.bat" "%USERPROFILE%\AppData\Local\Temp\OnboardLogs"\RTDC4022\2016-11-19 &amp; 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</v>
      </c>
      <c r="AF185" s="88" t="str">
        <f t="shared" si="49"/>
        <v>"C:\Program Files (x86)\AstroGrep\AstroGrep.exe" /spath="%USERPROFILE%\AppData\Local\Temp\OnboardLogs" /stypes="app*4022*20161119*" /stext=" 23:.+((SYSTEM_STATE.+slice.+state.+changed )|(ment ac)|(system.+state.+changed )|(\[timeout)|(PRM\|1\|D)|(kpr)|(kdp)|(\|lc)|(penalty))" /e /r /s</v>
      </c>
      <c r="AG185" s="1" t="str">
        <f t="shared" si="50"/>
        <v>NW</v>
      </c>
      <c r="AH185" s="92" t="str">
        <f t="shared" si="51"/>
        <v>"%USERPROFILE%\Documents\GitHub\eaglep3\Utilities\RefineRTDCRunTimes.py" --tripid 1821-19 --locoid 4022 --swversion DE.1.0.8.0 --startMP 204:981 --initTime 2016-11-19T15:59:07 --startdatetime 2016-11-19T16:21:50 --delay 1 --endMP 300:58929 --enddatetime 2016-11-19T16:37:09 --enforcementcount 0 &gt;&gt;C:\Users\stu\Documents\GitHub\eaglep3-reporting\EC\2016-11-19-refined-times.txt</v>
      </c>
      <c r="AI185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{"issue":{"subject":"","project_id":79,"tracker_id":40,"status_id":1,"priority_id":2,"assigned_to_id":23,"start_date":"2016-11-19","description":"","custom_fields":[{"id":1,"name":"Subdivision","value":"NW"},{"id":4,"name":"Milepost","value":"5.8929"},{"id":17,"name":"Train ID","value":"1821-19"},{"id":16,"name":"Locomotive ID","value":"4022"},{"id":130,"name":"Impact","value":""},{"id":150,"name":"Time of Event (Mountain Time)","value":"16:37:09"},{"id":151,"name":"Denver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586</v>
      </c>
      <c r="B186" s="7">
        <v>4021</v>
      </c>
      <c r="C186" s="22" t="s">
        <v>218</v>
      </c>
      <c r="D186" s="22" t="s">
        <v>374</v>
      </c>
      <c r="E186" s="13">
        <v>42693.693611111114</v>
      </c>
      <c r="F186" s="13">
        <v>42693.694976851853</v>
      </c>
      <c r="G186" s="7">
        <v>1</v>
      </c>
      <c r="H186" s="22" t="s">
        <v>438</v>
      </c>
      <c r="I186" s="13">
        <v>42693.705925925926</v>
      </c>
      <c r="J186" s="7">
        <v>0</v>
      </c>
      <c r="K186" s="109" t="str">
        <f t="shared" si="36"/>
        <v>4021/4022</v>
      </c>
      <c r="L186" s="22" t="str">
        <f>VLOOKUP(A186,'Trips&amp;Operators'!$C$1:$E$10000,3,FALSE)</f>
        <v>SMITH</v>
      </c>
      <c r="M186" s="6">
        <f t="shared" si="37"/>
        <v>1.0949074072414078E-2</v>
      </c>
      <c r="N186" s="7">
        <f t="shared" si="38"/>
        <v>15.766666664276272</v>
      </c>
      <c r="O186" s="7"/>
      <c r="P186" s="7"/>
      <c r="Q186" s="23"/>
      <c r="R186" s="23"/>
      <c r="S186" s="35">
        <f t="shared" si="39"/>
        <v>1</v>
      </c>
      <c r="T186" s="50" t="str">
        <f t="shared" si="40"/>
        <v>Southbound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15:38:48-700',mode:absolute,to:'2016-11-19 17:56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6" s="52" t="str">
        <f t="shared" si="42"/>
        <v>N</v>
      </c>
      <c r="X186" s="177">
        <f t="shared" si="43"/>
        <v>1</v>
      </c>
      <c r="Y186" s="67">
        <f t="shared" si="44"/>
        <v>5.8620999999999999</v>
      </c>
      <c r="Z186" s="67">
        <f t="shared" si="45"/>
        <v>6.9599999999999995E-2</v>
      </c>
      <c r="AA186" s="67">
        <f t="shared" si="46"/>
        <v>5.7924999999999995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47"/>
        <v>1822-19</v>
      </c>
      <c r="AE186" s="91" t="str">
        <f t="shared" si="48"/>
        <v>aws s3 cp s3://rtdc.mdm.uploadarchive.raw/RTDC4021/ "%USERPROFILE%\AppData\Local\Temp\OnboardLogs"\RTDC4021\2016-11-19 --exclude "*" --recursive --include "*20161119*" &amp; "%USERPROFILE%\Documents\GitHub\mrs-test-scripts\Headless Mode &amp; Sideloading\WalkAndUnGZ.bat" "%USERPROFILE%\AppData\Local\Temp\OnboardLogs"\RTDC4021\2016-11-19 &amp; 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</v>
      </c>
      <c r="AF186" s="88" t="str">
        <f t="shared" si="49"/>
        <v>"C:\Program Files (x86)\AstroGrep\AstroGrep.exe" /spath="%USERPROFILE%\AppData\Local\Temp\OnboardLogs" /stypes="app*4021*20161119*" /stext=" 23:.+((SYSTEM_STATE.+slice.+state.+changed )|(ment ac)|(system.+state.+changed )|(\[timeout)|(PRM\|1\|D)|(kpr)|(kdp)|(\|lc)|(penalty))" /e /r /s</v>
      </c>
      <c r="AG186" s="1" t="str">
        <f t="shared" si="50"/>
        <v>NW</v>
      </c>
      <c r="AH186" s="92" t="str">
        <f t="shared" si="51"/>
        <v>"%USERPROFILE%\Documents\GitHub\eaglep3\Utilities\RefineRTDCRunTimes.py" --tripid 1822-19 --locoid 4021 --swversion DE.1.0.8.0 --startMP 300:58621 --initTime 2016-11-19T16:38:48 --startdatetime 2016-11-19T16:40:46 --delay 1 --endMP 204:696 --enddatetime 2016-11-19T16:56:32 --enforcementcount 0 &gt;&gt;C:\Users\stu\Documents\GitHub\eaglep3-reporting\EC\2016-11-19-refined-times.txt</v>
      </c>
      <c r="AI186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{"issue":{"subject":"","project_id":79,"tracker_id":40,"status_id":1,"priority_id":2,"assigned_to_id":23,"start_date":"2016-11-19","description":"","custom_fields":[{"id":1,"name":"Subdivision","value":"NW"},{"id":4,"name":"Milepost","value":"0.0696"},{"id":17,"name":"Train ID","value":"1822-19"},{"id":16,"name":"Locomotive ID","value":"4021"},{"id":130,"name":"Impact","value":""},{"id":150,"name":"Time of Event (Mountain Time)","value":"16:56:32"},{"id":151,"name":"Denver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7" t="s">
        <v>591</v>
      </c>
      <c r="B187" s="7">
        <v>4022</v>
      </c>
      <c r="C187" s="22" t="s">
        <v>218</v>
      </c>
      <c r="D187" s="22" t="s">
        <v>714</v>
      </c>
      <c r="E187" s="13">
        <v>42693.711076388892</v>
      </c>
      <c r="F187" s="13">
        <v>42693.723263888889</v>
      </c>
      <c r="G187" s="7">
        <v>1</v>
      </c>
      <c r="H187" s="22" t="s">
        <v>715</v>
      </c>
      <c r="I187" s="13">
        <v>42693.733946759261</v>
      </c>
      <c r="J187" s="7">
        <v>0</v>
      </c>
      <c r="K187" s="109" t="str">
        <f t="shared" si="36"/>
        <v>4021/4022</v>
      </c>
      <c r="L187" s="22" t="str">
        <f>VLOOKUP(A187,'Trips&amp;Operators'!$C$1:$E$10000,3,FALSE)</f>
        <v>SMITH</v>
      </c>
      <c r="M187" s="6">
        <f t="shared" si="37"/>
        <v>1.0682870371965691E-2</v>
      </c>
      <c r="N187" s="7">
        <f t="shared" si="38"/>
        <v>15.383333335630596</v>
      </c>
      <c r="O187" s="7"/>
      <c r="P187" s="7"/>
      <c r="Q187" s="23"/>
      <c r="R187" s="23"/>
      <c r="S187" s="35">
        <f t="shared" si="39"/>
        <v>1</v>
      </c>
      <c r="T187" s="50" t="str">
        <f t="shared" si="40"/>
        <v>NorthBound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16:03:57-700',mode:absolute,to:'2016-11-19 18:36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7" s="52" t="str">
        <f t="shared" si="42"/>
        <v>N</v>
      </c>
      <c r="X187" s="177">
        <f t="shared" si="43"/>
        <v>1</v>
      </c>
      <c r="Y187" s="67">
        <f t="shared" si="44"/>
        <v>9.8500000000000004E-2</v>
      </c>
      <c r="Z187" s="67">
        <f t="shared" si="45"/>
        <v>5.8945999999999996</v>
      </c>
      <c r="AA187" s="67">
        <f t="shared" si="46"/>
        <v>5.7961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47"/>
        <v>1823-19</v>
      </c>
      <c r="AE187" s="91" t="str">
        <f t="shared" si="48"/>
        <v>aws s3 cp s3://rtdc.mdm.uploadarchive.raw/RTDC4022/ "%USERPROFILE%\AppData\Local\Temp\OnboardLogs"\RTDC4022\2016-11-19 --exclude "*" --recursive --include "*20161119*" &amp; "%USERPROFILE%\Documents\GitHub\mrs-test-scripts\Headless Mode &amp; Sideloading\WalkAndUnGZ.bat" "%USERPROFILE%\AppData\Local\Temp\OnboardLogs"\RTDC4022\2016-11-19 &amp; 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</v>
      </c>
      <c r="AF187" s="88" t="str">
        <f t="shared" si="49"/>
        <v>"C:\Program Files (x86)\AstroGrep\AstroGrep.exe" /spath="%USERPROFILE%\AppData\Local\Temp\OnboardLogs" /stypes="app*4022*20161120*" /stext=" 00:.+((SYSTEM_STATE.+slice.+state.+changed )|(ment ac)|(system.+state.+changed )|(\[timeout)|(PRM\|1\|D)|(kpr)|(kdp)|(\|lc)|(penalty))" /e /r /s</v>
      </c>
      <c r="AG187" s="1" t="str">
        <f t="shared" si="50"/>
        <v>NW</v>
      </c>
      <c r="AH187" s="92" t="str">
        <f t="shared" si="51"/>
        <v>"%USERPROFILE%\Documents\GitHub\eaglep3\Utilities\RefineRTDCRunTimes.py" --tripid 1823-19 --locoid 4022 --swversion DE.1.0.8.0 --startMP 204:985 --initTime 2016-11-19T17:03:57 --startdatetime 2016-11-19T17:21:30 --delay 1 --endMP 300:58946 --enddatetime 2016-11-19T17:36:53 --enforcementcount 0 &gt;&gt;C:\Users\stu\Documents\GitHub\eaglep3-reporting\EC\2016-11-19-refined-times.txt</v>
      </c>
      <c r="AI187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{"issue":{"subject":"","project_id":79,"tracker_id":40,"status_id":1,"priority_id":2,"assigned_to_id":23,"start_date":"2016-11-19","description":"","custom_fields":[{"id":1,"name":"Subdivision","value":"NW"},{"id":4,"name":"Milepost","value":"5.8946"},{"id":17,"name":"Train ID","value":"1823-19"},{"id":16,"name":"Locomotive ID","value":"4022"},{"id":130,"name":"Impact","value":""},{"id":150,"name":"Time of Event (Mountain Time)","value":"17:36:53"},{"id":151,"name":"Denver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s="21" customFormat="1" x14ac:dyDescent="0.25">
      <c r="A188" s="37" t="s">
        <v>599</v>
      </c>
      <c r="B188" s="7">
        <v>4021</v>
      </c>
      <c r="C188" s="22" t="s">
        <v>218</v>
      </c>
      <c r="D188" s="22" t="s">
        <v>716</v>
      </c>
      <c r="E188" s="13">
        <v>42693.735185185185</v>
      </c>
      <c r="F188" s="13">
        <v>42693.736597222225</v>
      </c>
      <c r="G188" s="7">
        <v>1</v>
      </c>
      <c r="H188" s="22" t="s">
        <v>376</v>
      </c>
      <c r="I188" s="13">
        <v>42693.747627314813</v>
      </c>
      <c r="J188" s="7">
        <v>0</v>
      </c>
      <c r="K188" s="109" t="str">
        <f t="shared" si="36"/>
        <v>4021/4022</v>
      </c>
      <c r="L188" s="22" t="str">
        <f>VLOOKUP(A188,'Trips&amp;Operators'!$C$1:$E$10000,3,FALSE)</f>
        <v>SMITH</v>
      </c>
      <c r="M188" s="6">
        <f t="shared" si="37"/>
        <v>1.1030092588043772E-2</v>
      </c>
      <c r="N188" s="7">
        <f t="shared" si="38"/>
        <v>15.883333326783031</v>
      </c>
      <c r="O188" s="7"/>
      <c r="P188" s="7"/>
      <c r="Q188" s="23"/>
      <c r="R188" s="23"/>
      <c r="S188" s="35">
        <f t="shared" si="39"/>
        <v>1</v>
      </c>
      <c r="T188" s="50" t="str">
        <f t="shared" si="40"/>
        <v>Southbound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16:38:40-700',mode:absolute,to:'2016-11-19 18:56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8" s="52" t="str">
        <f t="shared" si="42"/>
        <v>N</v>
      </c>
      <c r="X188" s="177">
        <f t="shared" si="43"/>
        <v>1</v>
      </c>
      <c r="Y188" s="67">
        <f t="shared" si="44"/>
        <v>5.8638000000000003</v>
      </c>
      <c r="Z188" s="67">
        <f t="shared" si="45"/>
        <v>6.8900000000000003E-2</v>
      </c>
      <c r="AA188" s="67">
        <f t="shared" si="46"/>
        <v>5.7949000000000002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47"/>
        <v>1824-19</v>
      </c>
      <c r="AE188" s="91" t="str">
        <f t="shared" si="48"/>
        <v>aws s3 cp s3://rtdc.mdm.uploadarchive.raw/RTDC4021/ "%USERPROFILE%\AppData\Local\Temp\OnboardLogs"\RTDC4021\2016-11-19 --exclude "*" --recursive --include "*20161119*" &amp; "%USERPROFILE%\Documents\GitHub\mrs-test-scripts\Headless Mode &amp; Sideloading\WalkAndUnGZ.bat" "%USERPROFILE%\AppData\Local\Temp\OnboardLogs"\RTDC4021\2016-11-19 &amp; 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</v>
      </c>
      <c r="AF188" s="88" t="str">
        <f t="shared" si="49"/>
        <v>"C:\Program Files (x86)\AstroGrep\AstroGrep.exe" /spath="%USERPROFILE%\AppData\Local\Temp\OnboardLogs" /stypes="app*4021*20161120*" /stext=" 00:.+((SYSTEM_STATE.+slice.+state.+changed )|(ment ac)|(system.+state.+changed )|(\[timeout)|(PRM\|1\|D)|(kpr)|(kdp)|(\|lc)|(penalty))" /e /r /s</v>
      </c>
      <c r="AG188" s="1" t="str">
        <f t="shared" si="50"/>
        <v>NW</v>
      </c>
      <c r="AH188" s="92" t="str">
        <f t="shared" si="51"/>
        <v>"%USERPROFILE%\Documents\GitHub\eaglep3\Utilities\RefineRTDCRunTimes.py" --tripid 1824-19 --locoid 4021 --swversion DE.1.0.8.0 --startMP 300:58638 --initTime 2016-11-19T17:38:40 --startdatetime 2016-11-19T17:40:42 --delay 1 --endMP 204:689 --enddatetime 2016-11-19T17:56:35 --enforcementcount 0 &gt;&gt;C:\Users\stu\Documents\GitHub\eaglep3-reporting\EC\2016-11-19-refined-times.txt</v>
      </c>
      <c r="AI188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{"issue":{"subject":"","project_id":79,"tracker_id":40,"status_id":1,"priority_id":2,"assigned_to_id":23,"start_date":"2016-11-19","description":"","custom_fields":[{"id":1,"name":"Subdivision","value":"NW"},{"id":4,"name":"Milepost","value":"0.0689"},{"id":17,"name":"Train ID","value":"1824-19"},{"id":16,"name":"Locomotive ID","value":"4021"},{"id":130,"name":"Impact","value":""},{"id":150,"name":"Time of Event (Mountain Time)","value":"17:56:35"},{"id":151,"name":"Denver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457</v>
      </c>
      <c r="B189" s="7">
        <v>4022</v>
      </c>
      <c r="C189" s="22" t="s">
        <v>218</v>
      </c>
      <c r="D189" s="22" t="s">
        <v>717</v>
      </c>
      <c r="E189" s="13">
        <v>42693.753703703704</v>
      </c>
      <c r="F189" s="13">
        <v>42693.764884259261</v>
      </c>
      <c r="G189" s="7">
        <v>4</v>
      </c>
      <c r="H189" s="22" t="s">
        <v>715</v>
      </c>
      <c r="I189" s="13">
        <v>42693.775740740741</v>
      </c>
      <c r="J189" s="7">
        <v>0</v>
      </c>
      <c r="K189" s="109" t="str">
        <f t="shared" si="36"/>
        <v>4021/4022</v>
      </c>
      <c r="L189" s="22" t="str">
        <f>VLOOKUP(A189,'Trips&amp;Operators'!$C$1:$E$10000,3,FALSE)</f>
        <v>HOLCOMB</v>
      </c>
      <c r="M189" s="6">
        <f t="shared" si="37"/>
        <v>1.0856481480004732E-2</v>
      </c>
      <c r="N189" s="7">
        <f t="shared" si="38"/>
        <v>15.633333331206813</v>
      </c>
      <c r="O189" s="7"/>
      <c r="P189" s="7"/>
      <c r="Q189" s="23"/>
      <c r="R189" s="23"/>
      <c r="S189" s="35">
        <f t="shared" si="39"/>
        <v>1</v>
      </c>
      <c r="T189" s="50" t="str">
        <f t="shared" si="40"/>
        <v>NorthBound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17:05:20-700',mode:absolute,to:'2016-11-19 19:37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9" s="52" t="str">
        <f t="shared" si="42"/>
        <v>N</v>
      </c>
      <c r="X189" s="177">
        <f t="shared" si="43"/>
        <v>1</v>
      </c>
      <c r="Y189" s="67">
        <f t="shared" si="44"/>
        <v>9.6699999999999994E-2</v>
      </c>
      <c r="Z189" s="67">
        <f t="shared" si="45"/>
        <v>5.8945999999999996</v>
      </c>
      <c r="AA189" s="67">
        <f t="shared" si="46"/>
        <v>5.7978999999999994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47"/>
        <v>1825-19</v>
      </c>
      <c r="AE189" s="91" t="str">
        <f t="shared" si="48"/>
        <v>aws s3 cp s3://rtdc.mdm.uploadarchive.raw/RTDC4022/ "%USERPROFILE%\AppData\Local\Temp\OnboardLogs"\RTDC4022\2016-11-19 --exclude "*" --recursive --include "*20161119*" &amp; "%USERPROFILE%\Documents\GitHub\mrs-test-scripts\Headless Mode &amp; Sideloading\WalkAndUnGZ.bat" "%USERPROFILE%\AppData\Local\Temp\OnboardLogs"\RTDC4022\2016-11-19 &amp; 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</v>
      </c>
      <c r="AF189" s="88" t="str">
        <f t="shared" si="49"/>
        <v>"C:\Program Files (x86)\AstroGrep\AstroGrep.exe" /spath="%USERPROFILE%\AppData\Local\Temp\OnboardLogs" /stypes="app*4022*20161120*" /stext=" 01:.+((SYSTEM_STATE.+slice.+state.+changed )|(ment ac)|(system.+state.+changed )|(\[timeout)|(PRM\|1\|D)|(kpr)|(kdp)|(\|lc)|(penalty))" /e /r /s</v>
      </c>
      <c r="AG189" s="1" t="str">
        <f t="shared" si="50"/>
        <v>NW</v>
      </c>
      <c r="AH189" s="92" t="str">
        <f t="shared" si="51"/>
        <v>"%USERPROFILE%\Documents\GitHub\eaglep3\Utilities\RefineRTDCRunTimes.py" --tripid 1825-19 --locoid 4022 --swversion DE.1.0.8.0 --startMP 204:967 --initTime 2016-11-19T18:05:20 --startdatetime 2016-11-19T18:21:26 --delay 4 --endMP 300:58946 --enddatetime 2016-11-19T18:37:04 --enforcementcount 0 &gt;&gt;C:\Users\stu\Documents\GitHub\eaglep3-reporting\EC\2016-11-19-refined-times.txt</v>
      </c>
      <c r="AI189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{"issue":{"subject":"","project_id":79,"tracker_id":40,"status_id":1,"priority_id":2,"assigned_to_id":23,"start_date":"2016-11-19","description":"","custom_fields":[{"id":1,"name":"Subdivision","value":"NW"},{"id":4,"name":"Milepost","value":"5.8946"},{"id":17,"name":"Train ID","value":"1825-19"},{"id":16,"name":"Locomotive ID","value":"4022"},{"id":130,"name":"Impact","value":""},{"id":150,"name":"Time of Event (Mountain Time)","value":"18:37:04"},{"id":151,"name":"Denver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612</v>
      </c>
      <c r="B190" s="7">
        <v>4021</v>
      </c>
      <c r="C190" s="22" t="s">
        <v>218</v>
      </c>
      <c r="D190" s="22" t="s">
        <v>718</v>
      </c>
      <c r="E190" s="13">
        <v>42693.776909722219</v>
      </c>
      <c r="F190" s="13">
        <v>42693.778356481482</v>
      </c>
      <c r="G190" s="7">
        <v>1</v>
      </c>
      <c r="H190" s="22" t="s">
        <v>719</v>
      </c>
      <c r="I190" s="13">
        <v>42693.789756944447</v>
      </c>
      <c r="J190" s="7">
        <v>0</v>
      </c>
      <c r="K190" s="109" t="str">
        <f t="shared" si="36"/>
        <v>4021/4022</v>
      </c>
      <c r="L190" s="22" t="str">
        <f>VLOOKUP(A190,'Trips&amp;Operators'!$C$1:$E$10000,3,FALSE)</f>
        <v>HOLCOMB</v>
      </c>
      <c r="M190" s="6">
        <f t="shared" si="37"/>
        <v>1.1400462964957114E-2</v>
      </c>
      <c r="N190" s="7">
        <f t="shared" si="38"/>
        <v>16.416666669538245</v>
      </c>
      <c r="O190" s="7"/>
      <c r="P190" s="7"/>
      <c r="Q190" s="23"/>
      <c r="R190" s="23"/>
      <c r="S190" s="35">
        <f t="shared" si="39"/>
        <v>1</v>
      </c>
      <c r="T190" s="50" t="str">
        <f t="shared" si="40"/>
        <v>Southbound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17:38:45-700',mode:absolute,to:'2016-11-19 19:57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0" s="52" t="str">
        <f t="shared" si="42"/>
        <v>N</v>
      </c>
      <c r="X190" s="177">
        <f t="shared" si="43"/>
        <v>1</v>
      </c>
      <c r="Y190" s="67">
        <f t="shared" si="44"/>
        <v>5.8628</v>
      </c>
      <c r="Z190" s="67">
        <f t="shared" si="45"/>
        <v>6.9900000000000004E-2</v>
      </c>
      <c r="AA190" s="67">
        <f t="shared" si="46"/>
        <v>5.7929000000000004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47"/>
        <v>1826-19</v>
      </c>
      <c r="AE190" s="91" t="str">
        <f t="shared" si="48"/>
        <v>aws s3 cp s3://rtdc.mdm.uploadarchive.raw/RTDC4021/ "%USERPROFILE%\AppData\Local\Temp\OnboardLogs"\RTDC4021\2016-11-19 --exclude "*" --recursive --include "*20161119*" &amp; "%USERPROFILE%\Documents\GitHub\mrs-test-scripts\Headless Mode &amp; Sideloading\WalkAndUnGZ.bat" "%USERPROFILE%\AppData\Local\Temp\OnboardLogs"\RTDC4021\2016-11-19 &amp; 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</v>
      </c>
      <c r="AF190" s="88" t="str">
        <f t="shared" si="49"/>
        <v>"C:\Program Files (x86)\AstroGrep\AstroGrep.exe" /spath="%USERPROFILE%\AppData\Local\Temp\OnboardLogs" /stypes="app*4021*20161120*" /stext=" 01:.+((SYSTEM_STATE.+slice.+state.+changed )|(ment ac)|(system.+state.+changed )|(\[timeout)|(PRM\|1\|D)|(kpr)|(kdp)|(\|lc)|(penalty))" /e /r /s</v>
      </c>
      <c r="AG190" s="1" t="str">
        <f t="shared" si="50"/>
        <v>NW</v>
      </c>
      <c r="AH190" s="92" t="str">
        <f t="shared" si="51"/>
        <v>"%USERPROFILE%\Documents\GitHub\eaglep3\Utilities\RefineRTDCRunTimes.py" --tripid 1826-19 --locoid 4021 --swversion DE.1.0.8.0 --startMP 300:58628 --initTime 2016-11-19T18:38:45 --startdatetime 2016-11-19T18:40:50 --delay 1 --endMP 204:699 --enddatetime 2016-11-19T18:57:15 --enforcementcount 0 &gt;&gt;C:\Users\stu\Documents\GitHub\eaglep3-reporting\EC\2016-11-19-refined-times.txt</v>
      </c>
      <c r="AI190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{"issue":{"subject":"","project_id":79,"tracker_id":40,"status_id":1,"priority_id":2,"assigned_to_id":23,"start_date":"2016-11-19","description":"","custom_fields":[{"id":1,"name":"Subdivision","value":"NW"},{"id":4,"name":"Milepost","value":"0.0699"},{"id":17,"name":"Train ID","value":"1826-19"},{"id":16,"name":"Locomotive ID","value":"4021"},{"id":130,"name":"Impact","value":""},{"id":150,"name":"Time of Event (Mountain Time)","value":"18:57:15"},{"id":151,"name":"Denver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616</v>
      </c>
      <c r="B191" s="7">
        <v>4022</v>
      </c>
      <c r="C191" s="22" t="s">
        <v>218</v>
      </c>
      <c r="D191" s="22" t="s">
        <v>371</v>
      </c>
      <c r="E191" s="13">
        <v>42693.803749999999</v>
      </c>
      <c r="F191" s="13">
        <v>42693.806539351855</v>
      </c>
      <c r="G191" s="7">
        <v>1</v>
      </c>
      <c r="H191" s="22" t="s">
        <v>720</v>
      </c>
      <c r="I191" s="13">
        <v>42693.816238425927</v>
      </c>
      <c r="J191" s="7">
        <v>0</v>
      </c>
      <c r="K191" s="109" t="str">
        <f t="shared" si="36"/>
        <v>4021/4022</v>
      </c>
      <c r="L191" s="22" t="str">
        <f>VLOOKUP(A191,'Trips&amp;Operators'!$C$1:$E$10000,3,FALSE)</f>
        <v>HOLCOMB</v>
      </c>
      <c r="M191" s="6">
        <f t="shared" si="37"/>
        <v>9.6990740712499246E-3</v>
      </c>
      <c r="N191" s="7">
        <f t="shared" si="38"/>
        <v>13.966666662599891</v>
      </c>
      <c r="O191" s="7"/>
      <c r="P191" s="7"/>
      <c r="Q191" s="23"/>
      <c r="R191" s="23"/>
      <c r="S191" s="35">
        <f t="shared" si="39"/>
        <v>1</v>
      </c>
      <c r="T191" s="50" t="str">
        <f t="shared" si="40"/>
        <v>NorthBound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18:17:24-700',mode:absolute,to:'2016-11-19 20:35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1" s="52" t="str">
        <f t="shared" si="42"/>
        <v>N</v>
      </c>
      <c r="X191" s="177">
        <f t="shared" si="43"/>
        <v>1</v>
      </c>
      <c r="Y191" s="67">
        <f t="shared" si="44"/>
        <v>9.8299999999999998E-2</v>
      </c>
      <c r="Z191" s="67">
        <f t="shared" si="45"/>
        <v>5.8954000000000004</v>
      </c>
      <c r="AA191" s="67">
        <f t="shared" si="46"/>
        <v>5.7971000000000004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47"/>
        <v>1827-19</v>
      </c>
      <c r="AE191" s="91" t="str">
        <f t="shared" si="48"/>
        <v>aws s3 cp s3://rtdc.mdm.uploadarchive.raw/RTDC4022/ "%USERPROFILE%\AppData\Local\Temp\OnboardLogs"\RTDC4022\2016-11-19 --exclude "*" --recursive --include "*20161119*" &amp; "%USERPROFILE%\Documents\GitHub\mrs-test-scripts\Headless Mode &amp; Sideloading\WalkAndUnGZ.bat" "%USERPROFILE%\AppData\Local\Temp\OnboardLogs"\RTDC4022\2016-11-19 &amp; 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</v>
      </c>
      <c r="AF191" s="88" t="str">
        <f t="shared" si="49"/>
        <v>"C:\Program Files (x86)\AstroGrep\AstroGrep.exe" /spath="%USERPROFILE%\AppData\Local\Temp\OnboardLogs" /stypes="app*4022*20161120*" /stext=" 02:.+((SYSTEM_STATE.+slice.+state.+changed )|(ment ac)|(system.+state.+changed )|(\[timeout)|(PRM\|1\|D)|(kpr)|(kdp)|(\|lc)|(penalty))" /e /r /s</v>
      </c>
      <c r="AG191" s="1" t="str">
        <f t="shared" si="50"/>
        <v>NW</v>
      </c>
      <c r="AH191" s="92" t="str">
        <f t="shared" si="51"/>
        <v>"%USERPROFILE%\Documents\GitHub\eaglep3\Utilities\RefineRTDCRunTimes.py" --tripid 1827-19 --locoid 4022 --swversion DE.1.0.8.0 --startMP 204:983 --initTime 2016-11-19T19:17:24 --startdatetime 2016-11-19T19:21:25 --delay 1 --endMP 300:58954 --enddatetime 2016-11-19T19:35:23 --enforcementcount 0 &gt;&gt;C:\Users\stu\Documents\GitHub\eaglep3-reporting\EC\2016-11-19-refined-times.txt</v>
      </c>
      <c r="AI191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{"issue":{"subject":"","project_id":79,"tracker_id":40,"status_id":1,"priority_id":2,"assigned_to_id":23,"start_date":"2016-11-19","description":"","custom_fields":[{"id":1,"name":"Subdivision","value":"NW"},{"id":4,"name":"Milepost","value":"5.8954"},{"id":17,"name":"Train ID","value":"1827-19"},{"id":16,"name":"Locomotive ID","value":"4022"},{"id":130,"name":"Impact","value":""},{"id":150,"name":"Time of Event (Mountain Time)","value":"19:35:23"},{"id":151,"name":"Denver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619</v>
      </c>
      <c r="B192" s="7">
        <v>4021</v>
      </c>
      <c r="C192" s="22" t="s">
        <v>218</v>
      </c>
      <c r="D192" s="22" t="s">
        <v>716</v>
      </c>
      <c r="E192" s="13">
        <v>42693.817615740743</v>
      </c>
      <c r="F192" s="13">
        <v>42693.819155092591</v>
      </c>
      <c r="G192" s="7">
        <v>1</v>
      </c>
      <c r="H192" s="22" t="s">
        <v>721</v>
      </c>
      <c r="I192" s="13">
        <v>42693.830324074072</v>
      </c>
      <c r="J192" s="7">
        <v>0</v>
      </c>
      <c r="K192" s="109" t="str">
        <f t="shared" si="36"/>
        <v>4021/4022</v>
      </c>
      <c r="L192" s="22" t="str">
        <f>VLOOKUP(A192,'Trips&amp;Operators'!$C$1:$E$10000,3,FALSE)</f>
        <v>HOLCOMB</v>
      </c>
      <c r="M192" s="6">
        <f t="shared" si="37"/>
        <v>1.116898148029577E-2</v>
      </c>
      <c r="N192" s="7">
        <f t="shared" si="38"/>
        <v>16.083333331625909</v>
      </c>
      <c r="O192" s="7"/>
      <c r="P192" s="7"/>
      <c r="Q192" s="23"/>
      <c r="R192" s="23"/>
      <c r="S192" s="35">
        <f t="shared" si="39"/>
        <v>1</v>
      </c>
      <c r="T192" s="50" t="str">
        <f t="shared" si="40"/>
        <v>Southbound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18:37:22-700',mode:absolute,to:'2016-11-19 20:55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2" s="52" t="str">
        <f t="shared" si="42"/>
        <v>N</v>
      </c>
      <c r="X192" s="177">
        <f t="shared" si="43"/>
        <v>1</v>
      </c>
      <c r="Y192" s="67">
        <f t="shared" si="44"/>
        <v>5.8638000000000003</v>
      </c>
      <c r="Z192" s="67">
        <f t="shared" si="45"/>
        <v>7.1900000000000006E-2</v>
      </c>
      <c r="AA192" s="67">
        <f t="shared" si="46"/>
        <v>5.7919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47"/>
        <v>1828-19</v>
      </c>
      <c r="AE192" s="91" t="str">
        <f t="shared" si="48"/>
        <v>aws s3 cp s3://rtdc.mdm.uploadarchive.raw/RTDC4021/ "%USERPROFILE%\AppData\Local\Temp\OnboardLogs"\RTDC4021\2016-11-19 --exclude "*" --recursive --include "*20161119*" &amp; "%USERPROFILE%\Documents\GitHub\mrs-test-scripts\Headless Mode &amp; Sideloading\WalkAndUnGZ.bat" "%USERPROFILE%\AppData\Local\Temp\OnboardLogs"\RTDC4021\2016-11-19 &amp; 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</v>
      </c>
      <c r="AF192" s="88" t="str">
        <f t="shared" si="49"/>
        <v>"C:\Program Files (x86)\AstroGrep\AstroGrep.exe" /spath="%USERPROFILE%\AppData\Local\Temp\OnboardLogs" /stypes="app*4021*20161120*" /stext=" 02:.+((SYSTEM_STATE.+slice.+state.+changed )|(ment ac)|(system.+state.+changed )|(\[timeout)|(PRM\|1\|D)|(kpr)|(kdp)|(\|lc)|(penalty))" /e /r /s</v>
      </c>
      <c r="AG192" s="1" t="str">
        <f t="shared" si="50"/>
        <v>NW</v>
      </c>
      <c r="AH192" s="92" t="str">
        <f t="shared" si="51"/>
        <v>"%USERPROFILE%\Documents\GitHub\eaglep3\Utilities\RefineRTDCRunTimes.py" --tripid 1828-19 --locoid 4021 --swversion DE.1.0.8.0 --startMP 300:58638 --initTime 2016-11-19T19:37:22 --startdatetime 2016-11-19T19:39:35 --delay 1 --endMP 204:719 --enddatetime 2016-11-19T19:55:40 --enforcementcount 0 &gt;&gt;C:\Users\stu\Documents\GitHub\eaglep3-reporting\EC\2016-11-19-refined-times.txt</v>
      </c>
      <c r="AI192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{"issue":{"subject":"","project_id":79,"tracker_id":40,"status_id":1,"priority_id":2,"assigned_to_id":23,"start_date":"2016-11-19","description":"","custom_fields":[{"id":1,"name":"Subdivision","value":"NW"},{"id":4,"name":"Milepost","value":"0.0719"},{"id":17,"name":"Train ID","value":"1828-19"},{"id":16,"name":"Locomotive ID","value":"4021"},{"id":130,"name":"Impact","value":""},{"id":150,"name":"Time of Event (Mountain Time)","value":"19:55:40"},{"id":151,"name":"Denver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624</v>
      </c>
      <c r="B193" s="7">
        <v>4022</v>
      </c>
      <c r="C193" s="22" t="s">
        <v>218</v>
      </c>
      <c r="D193" s="22" t="s">
        <v>722</v>
      </c>
      <c r="E193" s="13">
        <v>42693.84679398148</v>
      </c>
      <c r="F193" s="13">
        <v>42693.848182870373</v>
      </c>
      <c r="G193" s="7">
        <v>1</v>
      </c>
      <c r="H193" s="22" t="s">
        <v>715</v>
      </c>
      <c r="I193" s="13">
        <v>42693.858483796299</v>
      </c>
      <c r="J193" s="7">
        <v>0</v>
      </c>
      <c r="K193" s="109" t="str">
        <f t="shared" si="36"/>
        <v>4021/4022</v>
      </c>
      <c r="L193" s="22" t="str">
        <f>VLOOKUP(A193,'Trips&amp;Operators'!$C$1:$E$10000,3,FALSE)</f>
        <v>HOLCOMB</v>
      </c>
      <c r="M193" s="6">
        <f t="shared" si="37"/>
        <v>1.0300925925548654E-2</v>
      </c>
      <c r="N193" s="7">
        <f t="shared" si="38"/>
        <v>14.833333332790062</v>
      </c>
      <c r="O193" s="7"/>
      <c r="P193" s="7"/>
      <c r="Q193" s="23"/>
      <c r="R193" s="23"/>
      <c r="S193" s="35">
        <f t="shared" si="39"/>
        <v>1</v>
      </c>
      <c r="T193" s="50" t="str">
        <f t="shared" si="40"/>
        <v>NorthBound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19:19:23-700',mode:absolute,to:'2016-11-19 21:36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3" s="52" t="str">
        <f t="shared" si="42"/>
        <v>N</v>
      </c>
      <c r="X193" s="177">
        <f t="shared" si="43"/>
        <v>1</v>
      </c>
      <c r="Y193" s="67">
        <f t="shared" si="44"/>
        <v>9.8799999999999999E-2</v>
      </c>
      <c r="Z193" s="67">
        <f t="shared" si="45"/>
        <v>5.8945999999999996</v>
      </c>
      <c r="AA193" s="67">
        <f t="shared" si="46"/>
        <v>5.7957999999999998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47"/>
        <v>1829-19</v>
      </c>
      <c r="AE193" s="91" t="str">
        <f t="shared" si="48"/>
        <v>aws s3 cp s3://rtdc.mdm.uploadarchive.raw/RTDC4022/ "%USERPROFILE%\AppData\Local\Temp\OnboardLogs"\RTDC4022\2016-11-19 --exclude "*" --recursive --include "*20161119*" &amp; "%USERPROFILE%\Documents\GitHub\mrs-test-scripts\Headless Mode &amp; Sideloading\WalkAndUnGZ.bat" "%USERPROFILE%\AppData\Local\Temp\OnboardLogs"\RTDC4022\2016-11-19 &amp; 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</v>
      </c>
      <c r="AF193" s="88" t="str">
        <f t="shared" si="49"/>
        <v>"C:\Program Files (x86)\AstroGrep\AstroGrep.exe" /spath="%USERPROFILE%\AppData\Local\Temp\OnboardLogs" /stypes="app*4022*20161120*" /stext=" 03:.+((SYSTEM_STATE.+slice.+state.+changed )|(ment ac)|(system.+state.+changed )|(\[timeout)|(PRM\|1\|D)|(kpr)|(kdp)|(\|lc)|(penalty))" /e /r /s</v>
      </c>
      <c r="AG193" s="1" t="str">
        <f t="shared" si="50"/>
        <v>NW</v>
      </c>
      <c r="AH193" s="92" t="str">
        <f t="shared" si="51"/>
        <v>"%USERPROFILE%\Documents\GitHub\eaglep3\Utilities\RefineRTDCRunTimes.py" --tripid 1829-19 --locoid 4022 --swversion DE.1.0.8.0 --startMP 204:988 --initTime 2016-11-19T20:19:23 --startdatetime 2016-11-19T20:21:23 --delay 1 --endMP 300:58946 --enddatetime 2016-11-19T20:36:13 --enforcementcount 0 &gt;&gt;C:\Users\stu\Documents\GitHub\eaglep3-reporting\EC\2016-11-19-refined-times.txt</v>
      </c>
      <c r="AI193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{"issue":{"subject":"","project_id":79,"tracker_id":40,"status_id":1,"priority_id":2,"assigned_to_id":23,"start_date":"2016-11-19","description":"","custom_fields":[{"id":1,"name":"Subdivision","value":"NW"},{"id":4,"name":"Milepost","value":"5.8946"},{"id":17,"name":"Train ID","value":"1829-19"},{"id":16,"name":"Locomotive ID","value":"4022"},{"id":130,"name":"Impact","value":""},{"id":150,"name":"Time of Event (Mountain Time)","value":"20:36:13"},{"id":151,"name":"Denver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1" customFormat="1" x14ac:dyDescent="0.25">
      <c r="A194" s="37" t="s">
        <v>626</v>
      </c>
      <c r="B194" s="7">
        <v>4021</v>
      </c>
      <c r="C194" s="22" t="s">
        <v>218</v>
      </c>
      <c r="D194" s="22" t="s">
        <v>716</v>
      </c>
      <c r="E194" s="13">
        <v>42693.859884259262</v>
      </c>
      <c r="F194" s="13">
        <v>42693.86146990741</v>
      </c>
      <c r="G194" s="7">
        <v>1</v>
      </c>
      <c r="H194" s="22" t="s">
        <v>723</v>
      </c>
      <c r="I194" s="13">
        <v>42693.871655092589</v>
      </c>
      <c r="J194" s="7">
        <v>0</v>
      </c>
      <c r="K194" s="109" t="str">
        <f t="shared" si="36"/>
        <v>4021/4022</v>
      </c>
      <c r="L194" s="22" t="str">
        <f>VLOOKUP(A194,'Trips&amp;Operators'!$C$1:$E$10000,3,FALSE)</f>
        <v>HOLCOMB</v>
      </c>
      <c r="M194" s="6">
        <f t="shared" si="37"/>
        <v>1.0185185179580003E-2</v>
      </c>
      <c r="N194" s="7">
        <f t="shared" si="38"/>
        <v>14.666666658595204</v>
      </c>
      <c r="O194" s="7"/>
      <c r="P194" s="7"/>
      <c r="Q194" s="23"/>
      <c r="R194" s="23"/>
      <c r="S194" s="35">
        <f t="shared" si="39"/>
        <v>1</v>
      </c>
      <c r="T194" s="50" t="str">
        <f t="shared" si="40"/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19:38:14-700',mode:absolute,to:'2016-11-19 21:55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4" s="52" t="str">
        <f t="shared" si="42"/>
        <v>N</v>
      </c>
      <c r="X194" s="177">
        <f t="shared" si="43"/>
        <v>1</v>
      </c>
      <c r="Y194" s="67">
        <f t="shared" si="44"/>
        <v>5.8638000000000003</v>
      </c>
      <c r="Z194" s="67">
        <f t="shared" si="45"/>
        <v>6.8000000000000005E-2</v>
      </c>
      <c r="AA194" s="67">
        <f t="shared" si="46"/>
        <v>5.7958000000000007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47"/>
        <v>1830-19</v>
      </c>
      <c r="AE194" s="91" t="str">
        <f t="shared" si="48"/>
        <v>aws s3 cp s3://rtdc.mdm.uploadarchive.raw/RTDC4021/ "%USERPROFILE%\AppData\Local\Temp\OnboardLogs"\RTDC4021\2016-11-19 --exclude "*" --recursive --include "*20161119*" &amp; "%USERPROFILE%\Documents\GitHub\mrs-test-scripts\Headless Mode &amp; Sideloading\WalkAndUnGZ.bat" "%USERPROFILE%\AppData\Local\Temp\OnboardLogs"\RTDC4021\2016-11-19 &amp; 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</v>
      </c>
      <c r="AF194" s="88" t="str">
        <f t="shared" si="49"/>
        <v>"C:\Program Files (x86)\AstroGrep\AstroGrep.exe" /spath="%USERPROFILE%\AppData\Local\Temp\OnboardLogs" /stypes="app*4021*20161120*" /stext=" 03:.+((SYSTEM_STATE.+slice.+state.+changed )|(ment ac)|(system.+state.+changed )|(\[timeout)|(PRM\|1\|D)|(kpr)|(kdp)|(\|lc)|(penalty))" /e /r /s</v>
      </c>
      <c r="AG194" s="1" t="str">
        <f t="shared" si="50"/>
        <v>NW</v>
      </c>
      <c r="AH194" s="92" t="str">
        <f t="shared" si="51"/>
        <v>"%USERPROFILE%\Documents\GitHub\eaglep3\Utilities\RefineRTDCRunTimes.py" --tripid 1830-19 --locoid 4021 --swversion DE.1.0.8.0 --startMP 300:58638 --initTime 2016-11-19T20:38:14 --startdatetime 2016-11-19T20:40:31 --delay 1 --endMP 204:680 --enddatetime 2016-11-19T20:55:11 --enforcementcount 0 &gt;&gt;C:\Users\stu\Documents\GitHub\eaglep3-reporting\EC\2016-11-19-refined-times.txt</v>
      </c>
      <c r="AI194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{"issue":{"subject":"","project_id":79,"tracker_id":40,"status_id":1,"priority_id":2,"assigned_to_id":23,"start_date":"2016-11-19","description":"","custom_fields":[{"id":1,"name":"Subdivision","value":"NW"},{"id":4,"name":"Milepost","value":"0.068"},{"id":17,"name":"Train ID","value":"1830-19"},{"id":16,"name":"Locomotive ID","value":"4021"},{"id":130,"name":"Impact","value":""},{"id":150,"name":"Time of Event (Mountain Time)","value":"20:55:11"},{"id":151,"name":"Denver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7" t="s">
        <v>459</v>
      </c>
      <c r="B195" s="7">
        <v>4022</v>
      </c>
      <c r="C195" s="22" t="s">
        <v>218</v>
      </c>
      <c r="D195" s="22" t="s">
        <v>724</v>
      </c>
      <c r="E195" s="13">
        <v>42693.879189814812</v>
      </c>
      <c r="F195" s="13">
        <v>42693.889849537038</v>
      </c>
      <c r="G195" s="7">
        <v>1</v>
      </c>
      <c r="H195" s="22" t="s">
        <v>432</v>
      </c>
      <c r="I195" s="13">
        <v>42693.900752314818</v>
      </c>
      <c r="J195" s="7">
        <v>0</v>
      </c>
      <c r="K195" s="109" t="str">
        <f t="shared" si="36"/>
        <v>4021/4022</v>
      </c>
      <c r="L195" s="22" t="str">
        <f>VLOOKUP(A195,'Trips&amp;Operators'!$C$1:$E$10000,3,FALSE)</f>
        <v>HOLCOMB</v>
      </c>
      <c r="M195" s="6">
        <f t="shared" si="37"/>
        <v>1.0902777779847383E-2</v>
      </c>
      <c r="N195" s="7">
        <f t="shared" si="38"/>
        <v>15.700000002980232</v>
      </c>
      <c r="O195" s="7"/>
      <c r="P195" s="7"/>
      <c r="Q195" s="23"/>
      <c r="R195" s="23"/>
      <c r="S195" s="35">
        <f t="shared" si="39"/>
        <v>1</v>
      </c>
      <c r="T195" s="50" t="str">
        <f t="shared" si="40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20:06:02-700',mode:absolute,to:'2016-11-19 22:37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5" s="52" t="str">
        <f t="shared" si="42"/>
        <v>N</v>
      </c>
      <c r="X195" s="177">
        <f t="shared" si="43"/>
        <v>1</v>
      </c>
      <c r="Y195" s="67">
        <f t="shared" si="44"/>
        <v>9.7199999999999995E-2</v>
      </c>
      <c r="Z195" s="67">
        <f t="shared" si="45"/>
        <v>5.8933</v>
      </c>
      <c r="AA195" s="67">
        <f t="shared" si="46"/>
        <v>5.7961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47"/>
        <v>1831-19</v>
      </c>
      <c r="AE195" s="91" t="str">
        <f t="shared" si="48"/>
        <v>aws s3 cp s3://rtdc.mdm.uploadarchive.raw/RTDC4022/ "%USERPROFILE%\AppData\Local\Temp\OnboardLogs"\RTDC4022\2016-11-19 --exclude "*" --recursive --include "*20161119*" &amp; "%USERPROFILE%\Documents\GitHub\mrs-test-scripts\Headless Mode &amp; Sideloading\WalkAndUnGZ.bat" "%USERPROFILE%\AppData\Local\Temp\OnboardLogs"\RTDC4022\2016-11-19 &amp; 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</v>
      </c>
      <c r="AF195" s="88" t="str">
        <f t="shared" si="49"/>
        <v>"C:\Program Files (x86)\AstroGrep\AstroGrep.exe" /spath="%USERPROFILE%\AppData\Local\Temp\OnboardLogs" /stypes="app*4022*20161120*" /stext=" 04:.+((SYSTEM_STATE.+slice.+state.+changed )|(ment ac)|(system.+state.+changed )|(\[timeout)|(PRM\|1\|D)|(kpr)|(kdp)|(\|lc)|(penalty))" /e /r /s</v>
      </c>
      <c r="AG195" s="1" t="str">
        <f t="shared" si="50"/>
        <v>NW</v>
      </c>
      <c r="AH195" s="92" t="str">
        <f t="shared" si="51"/>
        <v>"%USERPROFILE%\Documents\GitHub\eaglep3\Utilities\RefineRTDCRunTimes.py" --tripid 1831-19 --locoid 4022 --swversion DE.1.0.8.0 --startMP 204:972 --initTime 2016-11-19T21:06:02 --startdatetime 2016-11-19T21:21:23 --delay 1 --endMP 300:58933 --enddatetime 2016-11-19T21:37:05 --enforcementcount 0 &gt;&gt;C:\Users\stu\Documents\GitHub\eaglep3-reporting\EC\2016-11-19-refined-times.txt</v>
      </c>
      <c r="AI195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{"issue":{"subject":"","project_id":79,"tracker_id":40,"status_id":1,"priority_id":2,"assigned_to_id":23,"start_date":"2016-11-19","description":"","custom_fields":[{"id":1,"name":"Subdivision","value":"NW"},{"id":4,"name":"Milepost","value":"5.8933"},{"id":17,"name":"Train ID","value":"1831-19"},{"id":16,"name":"Locomotive ID","value":"4022"},{"id":130,"name":"Impact","value":""},{"id":150,"name":"Time of Event (Mountain Time)","value":"21:37:05"},{"id":151,"name":"Denver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x14ac:dyDescent="0.25">
      <c r="A196" s="37" t="s">
        <v>631</v>
      </c>
      <c r="B196" s="7">
        <v>4021</v>
      </c>
      <c r="C196" s="22" t="s">
        <v>218</v>
      </c>
      <c r="D196" s="22" t="s">
        <v>436</v>
      </c>
      <c r="E196" s="13">
        <v>42693.902418981481</v>
      </c>
      <c r="F196" s="13">
        <v>42693.903865740744</v>
      </c>
      <c r="G196" s="7">
        <v>1</v>
      </c>
      <c r="H196" s="22" t="s">
        <v>370</v>
      </c>
      <c r="I196" s="13">
        <v>42693.9140625</v>
      </c>
      <c r="J196" s="7">
        <v>0</v>
      </c>
      <c r="K196" s="109" t="str">
        <f t="shared" si="36"/>
        <v>4021/4022</v>
      </c>
      <c r="L196" s="22" t="str">
        <f>VLOOKUP(A196,'Trips&amp;Operators'!$C$1:$E$10000,3,FALSE)</f>
        <v>HOLCOMB</v>
      </c>
      <c r="M196" s="6">
        <f t="shared" si="37"/>
        <v>1.0196759256359655E-2</v>
      </c>
      <c r="N196" s="7">
        <f t="shared" si="38"/>
        <v>14.683333329157904</v>
      </c>
      <c r="O196" s="7"/>
      <c r="P196" s="7"/>
      <c r="Q196" s="23"/>
      <c r="R196" s="23"/>
      <c r="S196" s="35">
        <f t="shared" si="39"/>
        <v>1</v>
      </c>
      <c r="T196" s="50" t="str">
        <f t="shared" si="40"/>
        <v>Southbound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20:39:29-700',mode:absolute,to:'2016-11-19 22:56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6" s="52" t="str">
        <f t="shared" si="42"/>
        <v>N</v>
      </c>
      <c r="X196" s="177">
        <f t="shared" si="43"/>
        <v>1</v>
      </c>
      <c r="Y196" s="67">
        <f t="shared" si="44"/>
        <v>5.8616999999999999</v>
      </c>
      <c r="Z196" s="67">
        <f t="shared" si="45"/>
        <v>6.8400000000000002E-2</v>
      </c>
      <c r="AA196" s="67">
        <f t="shared" si="46"/>
        <v>5.7933000000000003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47"/>
        <v>1832-19</v>
      </c>
      <c r="AE196" s="91" t="str">
        <f t="shared" si="48"/>
        <v>aws s3 cp s3://rtdc.mdm.uploadarchive.raw/RTDC4021/ "%USERPROFILE%\AppData\Local\Temp\OnboardLogs"\RTDC4021\2016-11-19 --exclude "*" --recursive --include "*20161119*" &amp; "%USERPROFILE%\Documents\GitHub\mrs-test-scripts\Headless Mode &amp; Sideloading\WalkAndUnGZ.bat" "%USERPROFILE%\AppData\Local\Temp\OnboardLogs"\RTDC4021\2016-11-19 &amp; 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</v>
      </c>
      <c r="AF196" s="88" t="str">
        <f t="shared" si="49"/>
        <v>"C:\Program Files (x86)\AstroGrep\AstroGrep.exe" /spath="%USERPROFILE%\AppData\Local\Temp\OnboardLogs" /stypes="app*4021*20161120*" /stext=" 04:.+((SYSTEM_STATE.+slice.+state.+changed )|(ment ac)|(system.+state.+changed )|(\[timeout)|(PRM\|1\|D)|(kpr)|(kdp)|(\|lc)|(penalty))" /e /r /s</v>
      </c>
      <c r="AG196" s="1" t="str">
        <f t="shared" si="50"/>
        <v>NW</v>
      </c>
      <c r="AH196" s="92" t="str">
        <f t="shared" si="51"/>
        <v>"%USERPROFILE%\Documents\GitHub\eaglep3\Utilities\RefineRTDCRunTimes.py" --tripid 1832-19 --locoid 4021 --swversion DE.1.0.8.0 --startMP 300:58617 --initTime 2016-11-19T21:39:29 --startdatetime 2016-11-19T21:41:34 --delay 1 --endMP 204:684 --enddatetime 2016-11-19T21:56:15 --enforcementcount 0 &gt;&gt;C:\Users\stu\Documents\GitHub\eaglep3-reporting\EC\2016-11-19-refined-times.txt</v>
      </c>
      <c r="AI196" s="119" t="str">
        <f t="shared" si="52"/>
        <v>echo {"issue":{"subject":"","project_id":79,"tracker_id":40,"status_id":1,"priority_id":2,"assigned_to_id":23,"start_date":"2016-11-19","description":"","custom_fields":[{"id":1,"name":"Subdivision","value":"NW"},{"id":4,"name":"Milepost","value":"0.0684"},{"id":17,"name":"Train ID","value":"1832-19"},{"id":16,"name":"Locomotive ID","value":"4021"},{"id":130,"name":"Impact","value":""},{"id":150,"name":"Time of Event (Mountain Time)","value":"21:56:15"},{"id":151,"name":"Denver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x14ac:dyDescent="0.25">
      <c r="A197" s="37" t="s">
        <v>461</v>
      </c>
      <c r="B197" s="7">
        <v>4022</v>
      </c>
      <c r="C197" s="22" t="s">
        <v>218</v>
      </c>
      <c r="D197" s="22" t="s">
        <v>725</v>
      </c>
      <c r="E197" s="13">
        <v>42693.928553240738</v>
      </c>
      <c r="F197" s="13">
        <v>42693.931481481479</v>
      </c>
      <c r="G197" s="7">
        <v>1</v>
      </c>
      <c r="H197" s="22" t="s">
        <v>726</v>
      </c>
      <c r="I197" s="13">
        <v>42693.937222222223</v>
      </c>
      <c r="J197" s="7">
        <v>0</v>
      </c>
      <c r="K197" s="109" t="str">
        <f t="shared" si="36"/>
        <v>4021/4022</v>
      </c>
      <c r="L197" s="22" t="str">
        <f>VLOOKUP(A197,'Trips&amp;Operators'!$C$1:$E$10000,3,FALSE)</f>
        <v>HOLCOMB</v>
      </c>
      <c r="M197" s="6">
        <f t="shared" si="37"/>
        <v>5.7407407439313829E-3</v>
      </c>
      <c r="N197" s="7"/>
      <c r="O197" s="7"/>
      <c r="P197" s="7">
        <f t="shared" si="38"/>
        <v>8.2666666712611914</v>
      </c>
      <c r="Q197" s="23"/>
      <c r="R197" s="23" t="s">
        <v>796</v>
      </c>
      <c r="S197" s="35">
        <f t="shared" si="39"/>
        <v>1</v>
      </c>
      <c r="T197" s="50" t="str">
        <f t="shared" si="40"/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21:17:07-700',mode:absolute,to:'2016-11-19 23:29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7" s="52" t="str">
        <f t="shared" si="42"/>
        <v>Y</v>
      </c>
      <c r="X197" s="177">
        <f t="shared" si="43"/>
        <v>1</v>
      </c>
      <c r="Y197" s="67">
        <f t="shared" si="44"/>
        <v>9.5299999999999996E-2</v>
      </c>
      <c r="Z197" s="67">
        <f t="shared" si="45"/>
        <v>3.8281999999999998</v>
      </c>
      <c r="AA197" s="67">
        <f t="shared" si="46"/>
        <v>3.7328999999999999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47"/>
        <v>1833-19</v>
      </c>
      <c r="AE197" s="91" t="str">
        <f t="shared" si="48"/>
        <v>aws s3 cp s3://rtdc.mdm.uploadarchive.raw/RTDC4022/ "%USERPROFILE%\AppData\Local\Temp\OnboardLogs"\RTDC4022\2016-11-19 --exclude "*" --recursive --include "*20161119*" &amp; "%USERPROFILE%\Documents\GitHub\mrs-test-scripts\Headless Mode &amp; Sideloading\WalkAndUnGZ.bat" "%USERPROFILE%\AppData\Local\Temp\OnboardLogs"\RTDC4022\2016-11-19 &amp; 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</v>
      </c>
      <c r="AF197" s="88" t="str">
        <f t="shared" si="49"/>
        <v>"C:\Program Files (x86)\AstroGrep\AstroGrep.exe" /spath="%USERPROFILE%\AppData\Local\Temp\OnboardLogs" /stypes="app*4022*20161120*" /stext=" 05:.+((SYSTEM_STATE.+slice.+state.+changed )|(ment ac)|(system.+state.+changed )|(\[timeout)|(PRM\|1\|D)|(kpr)|(kdp)|(\|lc)|(penalty))" /e /r /s</v>
      </c>
      <c r="AG197" s="1" t="str">
        <f t="shared" si="50"/>
        <v>NW</v>
      </c>
      <c r="AH197" s="92" t="str">
        <f t="shared" si="51"/>
        <v>"%USERPROFILE%\Documents\GitHub\eaglep3\Utilities\RefineRTDCRunTimes.py" --tripid 1833-19 --locoid 4022 --swversion DE.1.0.8.0 --startMP 204:953 --initTime 2016-11-19T22:17:07 --startdatetime 2016-11-19T22:21:20 --delay 1 --endMP 300:38282 --enddatetime 2016-11-19T22:29:36 --enforcementcount 0 &gt;&gt;C:\Users\stu\Documents\GitHub\eaglep3-reporting\EC\2016-11-19-refined-times.txt</v>
      </c>
      <c r="AI197" s="119" t="str">
        <f t="shared" si="52"/>
        <v>echo {"issue":{"subject":"Wi-MAX data drop","project_id":79,"tracker_id":40,"status_id":1,"priority_id":2,"assigned_to_id":23,"start_date":"2016-11-19","description":"","custom_fields":[{"id":1,"name":"Subdivision","value":"NW"},{"id":4,"name":"Milepost","value":"3.8282"},{"id":17,"name":"Train ID","value":"1833-19"},{"id":16,"name":"Locomotive ID","value":"4022"},{"id":130,"name":"Impact","value":""},{"id":150,"name":"Time of Event (Mountain Time)","value":"22:29:36"},{"id":151,"name":"Denver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463</v>
      </c>
      <c r="B198" s="7">
        <v>4039</v>
      </c>
      <c r="C198" s="22" t="s">
        <v>218</v>
      </c>
      <c r="D198" s="22" t="s">
        <v>758</v>
      </c>
      <c r="E198" s="13">
        <v>42693.117060185185</v>
      </c>
      <c r="F198" s="13">
        <v>42693.122581018521</v>
      </c>
      <c r="G198" s="7">
        <v>7</v>
      </c>
      <c r="H198" s="22" t="s">
        <v>289</v>
      </c>
      <c r="I198" s="13">
        <v>42693.127754629626</v>
      </c>
      <c r="J198" s="7">
        <v>0</v>
      </c>
      <c r="K198" s="109" t="str">
        <f t="shared" si="36"/>
        <v>4039/4040</v>
      </c>
      <c r="L198" s="22" t="str">
        <f>VLOOKUP(A198,'Trips&amp;Operators'!$C$1:$E$10000,3,FALSE)</f>
        <v>MAELZER</v>
      </c>
      <c r="M198" s="6">
        <f t="shared" si="37"/>
        <v>5.1736111054196954E-3</v>
      </c>
      <c r="N198" s="7">
        <f t="shared" si="38"/>
        <v>7.4499999918043613</v>
      </c>
      <c r="O198" s="7"/>
      <c r="P198" s="7"/>
      <c r="Q198" s="23"/>
      <c r="R198" s="23"/>
      <c r="S198" s="35">
        <f t="shared" si="39"/>
        <v>1</v>
      </c>
      <c r="T198" s="50" t="str">
        <f t="shared" si="40"/>
        <v>Southbound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01:48:34-700',mode:absolute,to:'2016-11-19 04:03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8" s="52" t="str">
        <f t="shared" si="42"/>
        <v>Y</v>
      </c>
      <c r="X198" s="177">
        <f t="shared" si="43"/>
        <v>-1531</v>
      </c>
      <c r="Y198" s="67">
        <f t="shared" si="44"/>
        <v>1.9725999999999999</v>
      </c>
      <c r="Z198" s="67">
        <f t="shared" si="45"/>
        <v>1.32E-2</v>
      </c>
      <c r="AA198" s="67">
        <f t="shared" si="46"/>
        <v>1.9593999999999998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47"/>
        <v>0302-19</v>
      </c>
      <c r="AE198" s="91" t="str">
        <f t="shared" si="48"/>
        <v>aws s3 cp s3://rtdc.mdm.uploadarchive.raw/RTDC4039/ "%USERPROFILE%\AppData\Local\Temp\OnboardLogs"\RTDC4039\2016-11-19 --exclude "*" --recursive --include "*20161119*" &amp; "%USERPROFILE%\Documents\GitHub\mrs-test-scripts\Headless Mode &amp; Sideloading\WalkAndUnGZ.bat" "%USERPROFILE%\AppData\Local\Temp\OnboardLogs"\RTDC4039\2016-11-19 &amp; 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</v>
      </c>
      <c r="AF198" s="88" t="str">
        <f t="shared" si="49"/>
        <v>"C:\Program Files (x86)\AstroGrep\AstroGrep.exe" /spath="%USERPROFILE%\AppData\Local\Temp\OnboardLogs" /stypes="app*4039*20161119*" /stext=" 10:.+((SYSTEM_STATE.+slice.+state.+changed )|(ment ac)|(system.+state.+changed )|(\[timeout)|(PRM\|1\|D)|(kpr)|(kdp)|(\|lc)|(penalty))" /e /r /s</v>
      </c>
      <c r="AG198" s="1" t="str">
        <f t="shared" si="50"/>
        <v>Other</v>
      </c>
      <c r="AH198" s="92" t="str">
        <f t="shared" si="51"/>
        <v>"%USERPROFILE%\Documents\GitHub\eaglep3\Utilities\RefineRTDCRunTimes.py" --tripid 302-19 --locoid 4039 --swversion DE.1.0.8.0 --startMP 300:19726 --initTime 2016-11-19T02:48:34 --startdatetime 2016-11-19T02:56:31 --delay 7 --endMP 204:132 --enddatetime 2016-11-19T03:03:58 --enforcementcount 0 &gt;&gt;C:\Users\stu\Documents\GitHub\eaglep3-reporting\EC\2016-11-19-refined-times.txt</v>
      </c>
      <c r="AI198" s="119" t="str">
        <f t="shared" si="52"/>
        <v>echo {"issue":{"subject":"","project_id":79,"tracker_id":40,"status_id":1,"priority_id":2,"assigned_to_id":23,"start_date":"2016-11-19","description":"","custom_fields":[{"id":1,"name":"Subdivision","value":"Other"},{"id":4,"name":"Milepost","value":"0.0132"},{"id":17,"name":"Train ID","value":"302-19"},{"id":16,"name":"Locomotive ID","value":"4039"},{"id":130,"name":"Impact","value":""},{"id":150,"name":"Time of Event (Mountain Time)","value":"03:03:58"},{"id":151,"name":"Denver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611</v>
      </c>
      <c r="B199" s="7">
        <v>4031</v>
      </c>
      <c r="C199" s="22" t="s">
        <v>218</v>
      </c>
      <c r="D199" s="22" t="s">
        <v>201</v>
      </c>
      <c r="E199" s="13">
        <v>42693.775914351849</v>
      </c>
      <c r="F199" s="13">
        <v>42693.777615740742</v>
      </c>
      <c r="G199" s="7">
        <v>1</v>
      </c>
      <c r="H199" s="22" t="s">
        <v>759</v>
      </c>
      <c r="I199" s="13">
        <v>42693.787395833337</v>
      </c>
      <c r="J199" s="7">
        <v>0</v>
      </c>
      <c r="K199" s="109" t="str">
        <f t="shared" si="36"/>
        <v>4031/4032</v>
      </c>
      <c r="L199" s="22" t="str">
        <f>VLOOKUP(A199,'Trips&amp;Operators'!$C$1:$E$10000,3,FALSE)</f>
        <v>SHOOK</v>
      </c>
      <c r="M199" s="6">
        <f t="shared" si="37"/>
        <v>9.7800925941555761E-3</v>
      </c>
      <c r="N199" s="7">
        <f t="shared" si="38"/>
        <v>14.08333333558403</v>
      </c>
      <c r="O199" s="7"/>
      <c r="P199" s="7"/>
      <c r="Q199" s="23"/>
      <c r="R199" s="23"/>
      <c r="S199" s="35">
        <f t="shared" si="39"/>
        <v>1</v>
      </c>
      <c r="T199" s="50" t="str">
        <f t="shared" si="40"/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17:37:19-700',mode:absolute,to:'2016-11-19 19:53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9" s="52" t="str">
        <f t="shared" si="42"/>
        <v>Y</v>
      </c>
      <c r="X199" s="177">
        <f t="shared" si="43"/>
        <v>1</v>
      </c>
      <c r="Y199" s="67">
        <f t="shared" si="44"/>
        <v>4.5100000000000001E-2</v>
      </c>
      <c r="Z199" s="67">
        <f t="shared" si="45"/>
        <v>2.3308</v>
      </c>
      <c r="AA199" s="67">
        <f t="shared" si="46"/>
        <v>2.2856999999999998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47"/>
        <v>0303-19</v>
      </c>
      <c r="AE199" s="91" t="str">
        <f t="shared" si="48"/>
        <v>aws s3 cp s3://rtdc.mdm.uploadarchive.raw/RTDC4031/ "%USERPROFILE%\AppData\Local\Temp\OnboardLogs"\RTDC4031\2016-11-19 --exclude "*" --recursive --include "*20161119*" &amp; "%USERPROFILE%\Documents\GitHub\mrs-test-scripts\Headless Mode &amp; Sideloading\WalkAndUnGZ.bat" "%USERPROFILE%\AppData\Local\Temp\OnboardLogs"\RTDC4031\2016-11-19 &amp; aws s3 cp s3://rtdc.mdm.uploadarchive.raw/RTDC4031/ "%USERPROFILE%\AppData\Local\Temp\OnboardLogs"\RTDC4031\2016-11-20 --exclude "*" --recursive --include "*20161120*" &amp; "%USERPROFILE%\Documents\GitHub\mrs-test-scripts\Headless Mode &amp; Sideloading\WalkAndUnGZ.bat" "%USERPROFILE%\AppData\Local\Temp\OnboardLogs"\RTDC4031\2016-11-20</v>
      </c>
      <c r="AF199" s="88" t="str">
        <f t="shared" si="49"/>
        <v>"C:\Program Files (x86)\AstroGrep\AstroGrep.exe" /spath="%USERPROFILE%\AppData\Local\Temp\OnboardLogs" /stypes="app*4031*20161120*" /stext=" 01:.+((SYSTEM_STATE.+slice.+state.+changed )|(ment ac)|(system.+state.+changed )|(\[timeout)|(PRM\|1\|D)|(kpr)|(kdp)|(\|lc)|(penalty))" /e /r /s</v>
      </c>
      <c r="AG199" s="1" t="str">
        <f t="shared" si="50"/>
        <v>Other</v>
      </c>
      <c r="AH199" s="92" t="str">
        <f t="shared" si="51"/>
        <v>"%USERPROFILE%\Documents\GitHub\eaglep3\Utilities\RefineRTDCRunTimes.py" --tripid 303-19 --locoid 4031 --swversion DE.1.0.8.0 --startMP 204:451 --initTime 2016-11-19T18:37:19 --startdatetime 2016-11-19T18:39:46 --delay 1 --endMP 300:23308 --enddatetime 2016-11-19T18:53:51 --enforcementcount 0 &gt;&gt;C:\Users\stu\Documents\GitHub\eaglep3-reporting\EC\2016-11-19-refined-times.txt</v>
      </c>
      <c r="AI199" s="119" t="str">
        <f t="shared" si="52"/>
        <v>echo {"issue":{"subject":"","project_id":79,"tracker_id":40,"status_id":1,"priority_id":2,"assigned_to_id":23,"start_date":"2016-11-19","description":"","custom_fields":[{"id":1,"name":"Subdivision","value":"Other"},{"id":4,"name":"Milepost","value":"2.3308"},{"id":17,"name":"Train ID","value":"303-19"},{"id":16,"name":"Locomotive ID","value":"4031"},{"id":130,"name":"Impact","value":""},{"id":150,"name":"Time of Event (Mountain Time)","value":"18:53:51"},{"id":151,"name":"Denver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s="21" customFormat="1" x14ac:dyDescent="0.25">
      <c r="A200" s="37" t="s">
        <v>465</v>
      </c>
      <c r="B200" s="7">
        <v>4004</v>
      </c>
      <c r="C200" s="22" t="s">
        <v>218</v>
      </c>
      <c r="D200" s="22" t="s">
        <v>760</v>
      </c>
      <c r="E200" s="13">
        <v>42693.138819444444</v>
      </c>
      <c r="F200" s="13">
        <v>42693.140046296299</v>
      </c>
      <c r="G200" s="7">
        <v>1</v>
      </c>
      <c r="H200" s="22" t="s">
        <v>761</v>
      </c>
      <c r="I200" s="13">
        <v>42693.147638888891</v>
      </c>
      <c r="J200" s="7">
        <v>0</v>
      </c>
      <c r="K200" s="109" t="str">
        <f t="shared" si="36"/>
        <v>4003/4004</v>
      </c>
      <c r="L200" s="22" t="str">
        <f>VLOOKUP(A200,'Trips&amp;Operators'!$C$1:$E$10000,3,FALSE)</f>
        <v>ROBINSON</v>
      </c>
      <c r="M200" s="6">
        <f t="shared" si="37"/>
        <v>7.5925925921183079E-3</v>
      </c>
      <c r="N200" s="7">
        <f t="shared" si="38"/>
        <v>10.933333332650363</v>
      </c>
      <c r="O200" s="7"/>
      <c r="P200" s="7"/>
      <c r="Q200" s="23"/>
      <c r="R200" s="23"/>
      <c r="S200" s="35">
        <f t="shared" si="39"/>
        <v>1</v>
      </c>
      <c r="T200" s="50" t="str">
        <f t="shared" si="40"/>
        <v>Southbound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02:19:54-700',mode:absolute,to:'2016-11-19 04:32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0" s="52" t="str">
        <f t="shared" si="42"/>
        <v>Y</v>
      </c>
      <c r="X200" s="177">
        <f t="shared" si="43"/>
        <v>1</v>
      </c>
      <c r="Y200" s="67">
        <f t="shared" si="44"/>
        <v>2.3231999999999999</v>
      </c>
      <c r="Z200" s="67">
        <f t="shared" si="45"/>
        <v>7.0000000000000001E-3</v>
      </c>
      <c r="AA200" s="67">
        <f t="shared" si="46"/>
        <v>2.3161999999999998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47"/>
        <v>0304-19</v>
      </c>
      <c r="AE200" s="91" t="str">
        <f t="shared" si="48"/>
        <v>aws s3 cp s3://rtdc.mdm.uploadarchive.raw/RTDC4004/ "%USERPROFILE%\AppData\Local\Temp\OnboardLogs"\RTDC4004\2016-11-19 --exclude "*" --recursive --include "*20161119*" &amp; "%USERPROFILE%\Documents\GitHub\mrs-test-scripts\Headless Mode &amp; Sideloading\WalkAndUnGZ.bat" "%USERPROFILE%\AppData\Local\Temp\OnboardLogs"\RTDC4004\2016-11-19 &amp; 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</v>
      </c>
      <c r="AF200" s="88" t="str">
        <f t="shared" si="49"/>
        <v>"C:\Program Files (x86)\AstroGrep\AstroGrep.exe" /spath="%USERPROFILE%\AppData\Local\Temp\OnboardLogs" /stypes="app*4004*20161119*" /stext=" 10:.+((SYSTEM_STATE.+slice.+state.+changed )|(ment ac)|(system.+state.+changed )|(\[timeout)|(PRM\|1\|D)|(kpr)|(kdp)|(\|lc)|(penalty))" /e /r /s</v>
      </c>
      <c r="AG200" s="1" t="str">
        <f t="shared" si="50"/>
        <v>Other</v>
      </c>
      <c r="AH200" s="92" t="str">
        <f t="shared" si="51"/>
        <v>"%USERPROFILE%\Documents\GitHub\eaglep3\Utilities\RefineRTDCRunTimes.py" --tripid 304-19 --locoid 4004 --swversion DE.1.0.8.0 --startMP 300:23232 --initTime 2016-11-19T03:19:54 --startdatetime 2016-11-19T03:21:40 --delay 1 --endMP 204:70 --enddatetime 2016-11-19T03:32:36 --enforcementcount 0 &gt;&gt;C:\Users\stu\Documents\GitHub\eaglep3-reporting\EC\2016-11-19-refined-times.txt</v>
      </c>
      <c r="AI200" s="119" t="str">
        <f t="shared" si="52"/>
        <v>echo {"issue":{"subject":"","project_id":79,"tracker_id":40,"status_id":1,"priority_id":2,"assigned_to_id":23,"start_date":"2016-11-19","description":"","custom_fields":[{"id":1,"name":"Subdivision","value":"Other"},{"id":4,"name":"Milepost","value":"0.007"},{"id":17,"name":"Train ID","value":"304-19"},{"id":16,"name":"Locomotive ID","value":"4004"},{"id":130,"name":"Impact","value":""},{"id":150,"name":"Time of Event (Mountain Time)","value":"03:32:36"},{"id":151,"name":"Denver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7" t="s">
        <v>458</v>
      </c>
      <c r="B201" s="7">
        <v>4040</v>
      </c>
      <c r="C201" s="22" t="s">
        <v>218</v>
      </c>
      <c r="D201" s="22" t="s">
        <v>245</v>
      </c>
      <c r="E201" s="13">
        <v>42693.798842592594</v>
      </c>
      <c r="F201" s="13">
        <v>25568.708333333332</v>
      </c>
      <c r="G201" s="7">
        <v>1</v>
      </c>
      <c r="H201" s="22" t="s">
        <v>369</v>
      </c>
      <c r="I201" s="13">
        <v>25568.708333333332</v>
      </c>
      <c r="J201" s="7">
        <v>0</v>
      </c>
      <c r="K201" s="109" t="str">
        <f t="shared" si="36"/>
        <v>4039/4040</v>
      </c>
      <c r="L201" s="22" t="str">
        <f>VLOOKUP(A201,'Trips&amp;Operators'!$C$1:$E$10000,3,FALSE)</f>
        <v>CLARK</v>
      </c>
      <c r="M201" s="6">
        <f t="shared" si="37"/>
        <v>0</v>
      </c>
      <c r="N201" s="7">
        <f t="shared" si="38"/>
        <v>0</v>
      </c>
      <c r="O201" s="7"/>
      <c r="P201" s="7"/>
      <c r="Q201" s="23"/>
      <c r="R201" s="23"/>
      <c r="S201" s="35">
        <f t="shared" si="39"/>
        <v>1</v>
      </c>
      <c r="T201" s="50" t="str">
        <f t="shared" si="40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https://search-rtdc-monitor-bjffxe2xuh6vdkpspy63sjmuny.us-east-1.es.amazonaws.com/_plugin/kibana/#/discover/Steve-Slow-Train-Analysis-(2080s-and-2083s)?_g=(refreshInterval:(display:Off,section:0,value:0),time:(from:'2016-11-19 18:10:20-700',mode:absolute,to:'1969-12-31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1" s="52" t="str">
        <f t="shared" si="42"/>
        <v>Y</v>
      </c>
      <c r="X201" s="177">
        <f t="shared" si="43"/>
        <v>1</v>
      </c>
      <c r="Y201" s="67">
        <f t="shared" si="44"/>
        <v>4.7300000000000002E-2</v>
      </c>
      <c r="Z201" s="67">
        <f t="shared" si="45"/>
        <v>2.3306</v>
      </c>
      <c r="AA201" s="67">
        <f t="shared" si="46"/>
        <v>2.2833000000000001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47"/>
        <v>0305-19</v>
      </c>
      <c r="AE201" s="91" t="str">
        <f t="shared" si="48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01" s="88" t="str">
        <f t="shared" si="49"/>
        <v>"C:\Program Files (x86)\AstroGrep\AstroGrep.exe" /spath="%USERPROFILE%\AppData\Local\Temp\OnboardLogs" /stypes="app*4040*19700101*" /stext=" 00:.+((SYSTEM_STATE.+slice.+state.+changed )|(ment ac)|(system.+state.+changed )|(\[timeout)|(PRM\|1\|D)|(kpr)|(kdp)|(\|lc)|(penalty))" /e /r /s</v>
      </c>
      <c r="AG201" s="1" t="str">
        <f t="shared" si="50"/>
        <v>Other</v>
      </c>
      <c r="AH201" s="92" t="str">
        <f t="shared" si="51"/>
        <v>"%USERPROFILE%\Documents\GitHub\eaglep3\Utilities\RefineRTDCRunTimes.py" --tripid 305-19 --locoid 4040 --swversion DE.1.0.8.0 --startMP 204:473 --initTime 2016-11-19T19:10:20 --startdatetime 1969-12-31T17:00:00 --delay 1 --endMP 300:23306 --enddatetime 1969-12-31T17:00:00 --enforcementcount 0 &gt;&gt;C:\Users\stu\Documents\GitHub\eaglep3-reporting\EC\2016-11-19-refined-times.txt</v>
      </c>
      <c r="AI201" s="119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ID","value":"305-19"},{"id":16,"name":"Locomotive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467</v>
      </c>
      <c r="B202" s="7">
        <v>4021</v>
      </c>
      <c r="C202" s="22" t="s">
        <v>218</v>
      </c>
      <c r="D202" s="22" t="s">
        <v>762</v>
      </c>
      <c r="E202" s="13">
        <v>42693.161516203705</v>
      </c>
      <c r="F202" s="13">
        <v>42693.162997685184</v>
      </c>
      <c r="G202" s="7">
        <v>1</v>
      </c>
      <c r="H202" s="22" t="s">
        <v>654</v>
      </c>
      <c r="I202" s="13">
        <v>42693.168854166666</v>
      </c>
      <c r="J202" s="7">
        <v>0</v>
      </c>
      <c r="K202" s="109" t="str">
        <f t="shared" ref="K202:K216" si="53">IF(ISEVEN(B202),(B202-1)&amp;"/"&amp;B202,B202&amp;"/"&amp;(B202+1))</f>
        <v>4021/4022</v>
      </c>
      <c r="L202" s="22" t="str">
        <f>VLOOKUP(A202,'Trips&amp;Operators'!$C$1:$E$10000,3,FALSE)</f>
        <v>ACKERMAN</v>
      </c>
      <c r="M202" s="6">
        <f t="shared" ref="M202:M216" si="54">I202-F202</f>
        <v>5.8564814826240763E-3</v>
      </c>
      <c r="N202" s="7">
        <f t="shared" ref="N202:N216" si="55">24*60*SUM($M202:$M202)</f>
        <v>8.4333333349786699</v>
      </c>
      <c r="O202" s="7"/>
      <c r="P202" s="7"/>
      <c r="Q202" s="23"/>
      <c r="R202" s="23"/>
      <c r="S202" s="35">
        <f t="shared" ref="S202:S216" si="56">SUM(U202:U202)/IF(AG202="EC",12,1)</f>
        <v>1</v>
      </c>
      <c r="T202" s="50" t="str">
        <f t="shared" ref="T202:T216" si="57">IF(ISEVEN(LEFT(AD202,4)),"Southbound","NorthBound")</f>
        <v>Southbound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ref="V202:V216" si="58">"https://search-rtdc-monitor-bjffxe2xuh6vdkpspy63sjmuny.us-east-1.es.amazonaws.com/_plugin/kibana/#/discover/Steve-Slow-Train-Analysis-(2080s-and-2083s)?_g=(refreshInterval:(display:Off,section:0,value:0),time:(from:'"&amp;TEXT(E202-1/24,"yyyy-MM-DD hh:mm:ss")&amp;utc_offset&amp;"00',mode:absolute,to:'"&amp;TEXT(I202+1/24,"yyyy-MM-DD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202&amp;"%22')),sort:!(Time,asc))"</f>
        <v>https://search-rtdc-monitor-bjffxe2xuh6vdkpspy63sjmuny.us-east-1.es.amazonaws.com/_plugin/kibana/#/discover/Steve-Slow-Train-Analysis-(2080s-and-2083s)?_g=(refreshInterval:(display:Off,section:0,value:0),time:(from:'2016-11-19 02:52:35-700',mode:absolute,to:'2016-11-19 05:03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02" s="52" t="str">
        <f t="shared" ref="W202:W216" si="59">IF(AA202&lt;IF(AG202="EC",23,5.65),"Y","N")</f>
        <v>Y</v>
      </c>
      <c r="X202" s="177">
        <f t="shared" ref="X202:X216" si="60">VALUE(LEFT(AD202,4))-VALUE(LEFT(AD201,4))</f>
        <v>1</v>
      </c>
      <c r="Y202" s="67">
        <f t="shared" ref="Y202:Y216" si="61">RIGHT(D202,LEN(D202)-4)/10000</f>
        <v>2.2332999999999998</v>
      </c>
      <c r="Z202" s="67">
        <f t="shared" ref="Z202:Z216" si="62">RIGHT(H202,LEN(H202)-4)/10000</f>
        <v>8.8000000000000005E-3</v>
      </c>
      <c r="AA202" s="67">
        <f t="shared" ref="AA202:AA216" si="63">ABS(Z202-Y202)</f>
        <v>2.2244999999999999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ref="AD202:AD216" si="64">IF(LEN(A202)=6,"0"&amp;A202,A202)</f>
        <v>0306-19</v>
      </c>
      <c r="AE202" s="91" t="str">
        <f t="shared" ref="AE202:AE216" si="65"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s3://rtdc.mdm.uploadarchive.raw/RTDC4021/ "%USERPROFILE%\AppData\Local\Temp\OnboardLogs"\RTDC4021\2016-11-19 --exclude "*" --recursive --include "*20161119*" &amp; "%USERPROFILE%\Documents\GitHub\mrs-test-scripts\Headless Mode &amp; Sideloading\WalkAndUnGZ.bat" "%USERPROFILE%\AppData\Local\Temp\OnboardLogs"\RTDC4021\2016-11-19 &amp; 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</v>
      </c>
      <c r="AF202" s="88" t="str">
        <f t="shared" ref="AF202:AF216" si="66"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/stypes="app*4021*20161119*" /stext=" 11:.+((SYSTEM_STATE.+slice.+state.+changed )|(ment ac)|(system.+state.+changed )|(\[timeout)|(PRM\|1\|D)|(kpr)|(kdp)|(\|lc)|(penalty))" /e /r /s</v>
      </c>
      <c r="AG202" s="1" t="str">
        <f t="shared" ref="AG202:AG216" si="67">IFERROR(IF(VALUE(LEFT(AD202,2))&lt;=2,"EC",IF(OR(VALUE(LEFT(AD202,2))=8,VALUE(LEFT(AD202,2))=18),"NW","Other")),"Other")</f>
        <v>Other</v>
      </c>
      <c r="AH202" s="92" t="str">
        <f t="shared" si="51"/>
        <v>"%USERPROFILE%\Documents\GitHub\eaglep3\Utilities\RefineRTDCRunTimes.py" --tripid 306-19 --locoid 4021 --swversion DE.1.0.8.0 --startMP 300:22333 --initTime 2016-11-19T03:52:35 --startdatetime 2016-11-19T03:54:43 --delay 1 --endMP 204:88 --enddatetime 2016-11-19T04:03:09 --enforcementcount 0 &gt;&gt;C:\Users\stu\Documents\GitHub\eaglep3-reporting\EC\2016-11-19-refined-times.txt</v>
      </c>
      <c r="AI202" s="119" t="str">
        <f t="shared" si="52"/>
        <v>echo {"issue":{"subject":"","project_id":79,"tracker_id":40,"status_id":1,"priority_id":2,"assigned_to_id":23,"start_date":"2016-11-19","description":"","custom_fields":[{"id":1,"name":"Subdivision","value":"Other"},{"id":4,"name":"Milepost","value":"0.0088"},{"id":17,"name":"Train ID","value":"306-19"},{"id":16,"name":"Locomotive ID","value":"4021"},{"id":130,"name":"Impact","value":""},{"id":150,"name":"Time of Event (Mountain Time)","value":"04:03:09"},{"id":151,"name":"Denver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620</v>
      </c>
      <c r="B203" s="7">
        <v>4011</v>
      </c>
      <c r="C203" s="22" t="s">
        <v>218</v>
      </c>
      <c r="D203" s="22" t="s">
        <v>228</v>
      </c>
      <c r="E203" s="13">
        <v>42693.817812499998</v>
      </c>
      <c r="F203" s="13">
        <v>25568.708333333332</v>
      </c>
      <c r="G203" s="7">
        <v>1</v>
      </c>
      <c r="H203" s="22" t="s">
        <v>759</v>
      </c>
      <c r="I203" s="13">
        <v>25568.708333333332</v>
      </c>
      <c r="J203" s="7">
        <v>0</v>
      </c>
      <c r="K203" s="109" t="str">
        <f t="shared" si="53"/>
        <v>4011/4012</v>
      </c>
      <c r="L203" s="22" t="str">
        <f>VLOOKUP(A203,'Trips&amp;Operators'!$C$1:$E$10000,3,FALSE)</f>
        <v>STORY</v>
      </c>
      <c r="M203" s="6">
        <f t="shared" si="54"/>
        <v>0</v>
      </c>
      <c r="N203" s="7">
        <f t="shared" si="55"/>
        <v>0</v>
      </c>
      <c r="O203" s="7"/>
      <c r="P203" s="7"/>
      <c r="Q203" s="23"/>
      <c r="R203" s="23"/>
      <c r="S203" s="35">
        <f t="shared" si="56"/>
        <v>1</v>
      </c>
      <c r="T203" s="50" t="str">
        <f t="shared" si="57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https://search-rtdc-monitor-bjffxe2xuh6vdkpspy63sjmuny.us-east-1.es.amazonaws.com/_plugin/kibana/#/discover/Steve-Slow-Train-Analysis-(2080s-and-2083s)?_g=(refreshInterval:(display:Off,section:0,value:0),time:(from:'2016-11-19 18:37:39-700',mode:absolute,to:'1969-12-31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3" s="52" t="str">
        <f t="shared" si="59"/>
        <v>Y</v>
      </c>
      <c r="X203" s="177">
        <f t="shared" si="60"/>
        <v>1</v>
      </c>
      <c r="Y203" s="67">
        <f t="shared" si="61"/>
        <v>4.6899999999999997E-2</v>
      </c>
      <c r="Z203" s="67">
        <f t="shared" si="62"/>
        <v>2.3308</v>
      </c>
      <c r="AA203" s="67">
        <f t="shared" si="63"/>
        <v>2.2839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si="64"/>
        <v>0307-19</v>
      </c>
      <c r="AE203" s="91" t="str">
        <f t="shared" si="65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03" s="88" t="str">
        <f t="shared" si="66"/>
        <v>"C:\Program Files (x86)\AstroGrep\AstroGrep.exe" /spath="%USERPROFILE%\AppData\Local\Temp\OnboardLogs" /stypes="app*4011*19700101*" /stext=" 00:.+((SYSTEM_STATE.+slice.+state.+changed )|(ment ac)|(system.+state.+changed )|(\[timeout)|(PRM\|1\|D)|(kpr)|(kdp)|(\|lc)|(penalty))" /e /r /s</v>
      </c>
      <c r="AG203" s="1" t="str">
        <f t="shared" si="67"/>
        <v>Other</v>
      </c>
      <c r="AH203" s="92" t="str">
        <f t="shared" ref="AH203:AH216" si="68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307-19 --locoid 4011 --swversion DE.1.0.8.0 --startMP 204:469 --initTime 2016-11-19T19:37:39 --startdatetime 1969-12-31T17:00:00 --delay 1 --endMP 300:23308 --enddatetime 1969-12-31T17:00:00 --enforcementcount 0 &gt;&gt;C:\Users\stu\Documents\GitHub\eaglep3-reporting\EC\2016-11-19-refined-times.txt</v>
      </c>
      <c r="AI203" s="119" t="str">
        <f t="shared" ref="AI203:AI216" si="69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ID","value":"307-19"},{"id":16,"name":"Locomotive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471</v>
      </c>
      <c r="B204" s="7">
        <v>4045</v>
      </c>
      <c r="C204" s="22" t="s">
        <v>218</v>
      </c>
      <c r="D204" s="22" t="s">
        <v>763</v>
      </c>
      <c r="E204" s="13">
        <v>42693.174560185187</v>
      </c>
      <c r="F204" s="13">
        <v>42693.175937499997</v>
      </c>
      <c r="G204" s="7">
        <v>1</v>
      </c>
      <c r="H204" s="22" t="s">
        <v>400</v>
      </c>
      <c r="I204" s="13">
        <v>42693.182164351849</v>
      </c>
      <c r="J204" s="7">
        <v>0</v>
      </c>
      <c r="K204" s="109" t="str">
        <f t="shared" si="53"/>
        <v>4045/4046</v>
      </c>
      <c r="L204" s="22" t="str">
        <f>VLOOKUP(A204,'Trips&amp;Operators'!$C$1:$E$10000,3,FALSE)</f>
        <v>DAVIS</v>
      </c>
      <c r="M204" s="6">
        <f t="shared" si="54"/>
        <v>6.2268518522614613E-3</v>
      </c>
      <c r="N204" s="7">
        <f t="shared" si="55"/>
        <v>8.9666666672565043</v>
      </c>
      <c r="O204" s="7"/>
      <c r="P204" s="7"/>
      <c r="Q204" s="23"/>
      <c r="R204" s="23"/>
      <c r="S204" s="35">
        <f t="shared" si="56"/>
        <v>1</v>
      </c>
      <c r="T204" s="50" t="str">
        <f t="shared" si="57"/>
        <v>Southbound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https://search-rtdc-monitor-bjffxe2xuh6vdkpspy63sjmuny.us-east-1.es.amazonaws.com/_plugin/kibana/#/discover/Steve-Slow-Train-Analysis-(2080s-and-2083s)?_g=(refreshInterval:(display:Off,section:0,value:0),time:(from:'2016-11-19 03:11:22-700',mode:absolute,to:'2016-11-19 05:22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04" s="52" t="str">
        <f t="shared" si="59"/>
        <v>Y</v>
      </c>
      <c r="X204" s="177">
        <f t="shared" si="60"/>
        <v>1</v>
      </c>
      <c r="Y204" s="67">
        <f t="shared" si="61"/>
        <v>2.3374000000000001</v>
      </c>
      <c r="Z204" s="67">
        <f t="shared" si="62"/>
        <v>1.61E-2</v>
      </c>
      <c r="AA204" s="67">
        <f t="shared" si="63"/>
        <v>2.3213000000000004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si="64"/>
        <v>0308-19</v>
      </c>
      <c r="AE204" s="91" t="str">
        <f t="shared" si="65"/>
        <v>aws s3 cp s3://rtdc.mdm.uploadarchive.raw/RTDC4045/ "%USERPROFILE%\AppData\Local\Temp\OnboardLogs"\RTDC4045\2016-11-19 --exclude "*" --recursive --include "*20161119*" &amp; "%USERPROFILE%\Documents\GitHub\mrs-test-scripts\Headless Mode &amp; Sideloading\WalkAndUnGZ.bat" "%USERPROFILE%\AppData\Local\Temp\OnboardLogs"\RTDC4045\2016-11-19 &amp; aws s3 cp s3://rtdc.mdm.uploadarchive.raw/RTDC4045/ "%USERPROFILE%\AppData\Local\Temp\OnboardLogs"\RTDC4045\2016-11-20 --exclude "*" --recursive --include "*20161120*" &amp; "%USERPROFILE%\Documents\GitHub\mrs-test-scripts\Headless Mode &amp; Sideloading\WalkAndUnGZ.bat" "%USERPROFILE%\AppData\Local\Temp\OnboardLogs"\RTDC4045\2016-11-20</v>
      </c>
      <c r="AF204" s="88" t="str">
        <f t="shared" si="66"/>
        <v>"C:\Program Files (x86)\AstroGrep\AstroGrep.exe" /spath="%USERPROFILE%\AppData\Local\Temp\OnboardLogs" /stypes="app*4045*20161119*" /stext=" 11:.+((SYSTEM_STATE.+slice.+state.+changed )|(ment ac)|(system.+state.+changed )|(\[timeout)|(PRM\|1\|D)|(kpr)|(kdp)|(\|lc)|(penalty))" /e /r /s</v>
      </c>
      <c r="AG204" s="1" t="str">
        <f t="shared" si="67"/>
        <v>Other</v>
      </c>
      <c r="AH204" s="92" t="str">
        <f t="shared" si="68"/>
        <v>"%USERPROFILE%\Documents\GitHub\eaglep3\Utilities\RefineRTDCRunTimes.py" --tripid 308-19 --locoid 4045 --swversion DE.1.0.8.0 --startMP 300:23374 --initTime 2016-11-19T04:11:22 --startdatetime 2016-11-19T04:13:21 --delay 1 --endMP 204:161 --enddatetime 2016-11-19T04:22:19 --enforcementcount 0 &gt;&gt;C:\Users\stu\Documents\GitHub\eaglep3-reporting\EC\2016-11-19-refined-times.txt</v>
      </c>
      <c r="AI204" s="119" t="str">
        <f t="shared" si="69"/>
        <v>echo {"issue":{"subject":"","project_id":79,"tracker_id":40,"status_id":1,"priority_id":2,"assigned_to_id":23,"start_date":"2016-11-19","description":"","custom_fields":[{"id":1,"name":"Subdivision","value":"Other"},{"id":4,"name":"Milepost","value":"0.0161"},{"id":17,"name":"Train ID","value":"308-19"},{"id":16,"name":"Locomotive ID","value":"4045"},{"id":130,"name":"Impact","value":""},{"id":150,"name":"Time of Event (Mountain Time)","value":"04:22:19"},{"id":151,"name":"Denver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645</v>
      </c>
      <c r="B205" s="7">
        <v>4014</v>
      </c>
      <c r="C205" s="22" t="s">
        <v>218</v>
      </c>
      <c r="D205" s="22" t="s">
        <v>220</v>
      </c>
      <c r="E205" s="13">
        <v>42694.045659722222</v>
      </c>
      <c r="F205" s="13">
        <v>25568.708333333332</v>
      </c>
      <c r="G205" s="7">
        <v>1</v>
      </c>
      <c r="H205" s="22" t="s">
        <v>424</v>
      </c>
      <c r="I205" s="13">
        <v>25568.708333333332</v>
      </c>
      <c r="J205" s="7">
        <v>0</v>
      </c>
      <c r="K205" s="109" t="str">
        <f t="shared" si="53"/>
        <v>4013/4014</v>
      </c>
      <c r="L205" s="22" t="str">
        <f>VLOOKUP(A205,'Trips&amp;Operators'!$C$1:$E$10000,3,FALSE)</f>
        <v>NEWELL</v>
      </c>
      <c r="M205" s="6">
        <f t="shared" si="54"/>
        <v>0</v>
      </c>
      <c r="N205" s="7">
        <f t="shared" si="55"/>
        <v>0</v>
      </c>
      <c r="O205" s="7"/>
      <c r="P205" s="7"/>
      <c r="Q205" s="23"/>
      <c r="R205" s="23"/>
      <c r="S205" s="35">
        <f t="shared" si="56"/>
        <v>1</v>
      </c>
      <c r="T205" s="50" t="str">
        <f t="shared" si="57"/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00:05:45-700',mode:absolute,to:'1969-12-31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5" s="52" t="str">
        <f t="shared" si="59"/>
        <v>Y</v>
      </c>
      <c r="X205" s="177">
        <f t="shared" si="60"/>
        <v>1</v>
      </c>
      <c r="Y205" s="67">
        <f t="shared" si="61"/>
        <v>4.58E-2</v>
      </c>
      <c r="Z205" s="67">
        <f t="shared" si="62"/>
        <v>2.331</v>
      </c>
      <c r="AA205" s="67">
        <f t="shared" si="63"/>
        <v>2.2852000000000001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si="64"/>
        <v>0309-19</v>
      </c>
      <c r="AE205" s="91" t="str">
        <f t="shared" si="65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05" s="88" t="str">
        <f t="shared" si="66"/>
        <v>"C:\Program Files (x86)\AstroGrep\AstroGrep.exe" /spath="%USERPROFILE%\AppData\Local\Temp\OnboardLogs" /stypes="app*4014*19700101*" /stext=" 00:.+((SYSTEM_STATE.+slice.+state.+changed )|(ment ac)|(system.+state.+changed )|(\[timeout)|(PRM\|1\|D)|(kpr)|(kdp)|(\|lc)|(penalty))" /e /r /s</v>
      </c>
      <c r="AG205" s="1" t="str">
        <f t="shared" si="67"/>
        <v>Other</v>
      </c>
      <c r="AH205" s="92" t="str">
        <f t="shared" si="68"/>
        <v>"%USERPROFILE%\Documents\GitHub\eaglep3\Utilities\RefineRTDCRunTimes.py" --tripid 309-19 --locoid 4014 --swversion DE.1.0.8.0 --startMP 204:458 --initTime 2016-11-20T01:05:45 --startdatetime 1969-12-31T17:00:00 --delay 1 --endMP 300:23310 --enddatetime 1969-12-31T17:00:00 --enforcementcount 0 &gt;&gt;C:\Users\stu\Documents\GitHub\eaglep3-reporting\EC\2016-11-19-refined-times.txt</v>
      </c>
      <c r="AI205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ID","value":"309-19"},{"id":16,"name":"Locomotive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s="21" customFormat="1" x14ac:dyDescent="0.25">
      <c r="A206" s="37" t="s">
        <v>472</v>
      </c>
      <c r="B206" s="7">
        <v>4032</v>
      </c>
      <c r="C206" s="22" t="s">
        <v>218</v>
      </c>
      <c r="D206" s="22" t="s">
        <v>764</v>
      </c>
      <c r="E206" s="13">
        <v>42693.178379629629</v>
      </c>
      <c r="F206" s="13">
        <v>42693.179618055554</v>
      </c>
      <c r="G206" s="7">
        <v>1</v>
      </c>
      <c r="H206" s="22" t="s">
        <v>212</v>
      </c>
      <c r="I206" s="13">
        <v>42693.187962962962</v>
      </c>
      <c r="J206" s="7">
        <v>0</v>
      </c>
      <c r="K206" s="109" t="str">
        <f t="shared" si="53"/>
        <v>4031/4032</v>
      </c>
      <c r="L206" s="22" t="str">
        <f>VLOOKUP(A206,'Trips&amp;Operators'!$C$1:$E$10000,3,FALSE)</f>
        <v>KILLION</v>
      </c>
      <c r="M206" s="6">
        <f t="shared" si="54"/>
        <v>8.3449074081727304E-3</v>
      </c>
      <c r="N206" s="7">
        <f t="shared" si="55"/>
        <v>12.016666667768732</v>
      </c>
      <c r="O206" s="7"/>
      <c r="P206" s="7"/>
      <c r="Q206" s="23"/>
      <c r="R206" s="23"/>
      <c r="S206" s="35">
        <f t="shared" si="56"/>
        <v>1</v>
      </c>
      <c r="T206" s="50" t="str">
        <f t="shared" si="57"/>
        <v>Southbound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https://search-rtdc-monitor-bjffxe2xuh6vdkpspy63sjmuny.us-east-1.es.amazonaws.com/_plugin/kibana/#/discover/Steve-Slow-Train-Analysis-(2080s-and-2083s)?_g=(refreshInterval:(display:Off,section:0,value:0),time:(from:'2016-11-19 03:16:52-700',mode:absolute,to:'2016-11-19 05:30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6" s="52" t="str">
        <f t="shared" si="59"/>
        <v>Y</v>
      </c>
      <c r="X206" s="177">
        <f t="shared" si="60"/>
        <v>1</v>
      </c>
      <c r="Y206" s="67">
        <f t="shared" si="61"/>
        <v>2.2987000000000002</v>
      </c>
      <c r="Z206" s="67">
        <f t="shared" si="62"/>
        <v>1.5599999999999999E-2</v>
      </c>
      <c r="AA206" s="67">
        <f t="shared" si="63"/>
        <v>2.2831000000000001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64"/>
        <v>0310-19</v>
      </c>
      <c r="AE206" s="91" t="str">
        <f t="shared" si="65"/>
        <v>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 &amp; 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</v>
      </c>
      <c r="AF206" s="88" t="str">
        <f t="shared" si="66"/>
        <v>"C:\Program Files (x86)\AstroGrep\AstroGrep.exe" /spath="%USERPROFILE%\AppData\Local\Temp\OnboardLogs" /stypes="app*4032*20161119*" /stext=" 11:.+((SYSTEM_STATE.+slice.+state.+changed )|(ment ac)|(system.+state.+changed )|(\[timeout)|(PRM\|1\|D)|(kpr)|(kdp)|(\|lc)|(penalty))" /e /r /s</v>
      </c>
      <c r="AG206" s="1" t="str">
        <f t="shared" si="67"/>
        <v>Other</v>
      </c>
      <c r="AH206" s="92" t="str">
        <f t="shared" si="68"/>
        <v>"%USERPROFILE%\Documents\GitHub\eaglep3\Utilities\RefineRTDCRunTimes.py" --tripid 310-19 --locoid 4032 --swversion DE.1.0.8.0 --startMP 300:22987 --initTime 2016-11-19T04:16:52 --startdatetime 2016-11-19T04:18:39 --delay 1 --endMP 204:156 --enddatetime 2016-11-19T04:30:40 --enforcementcount 0 &gt;&gt;C:\Users\stu\Documents\GitHub\eaglep3-reporting\EC\2016-11-19-refined-times.txt</v>
      </c>
      <c r="AI206" s="119" t="str">
        <f t="shared" si="69"/>
        <v>echo {"issue":{"subject":"","project_id":79,"tracker_id":40,"status_id":1,"priority_id":2,"assigned_to_id":23,"start_date":"2016-11-19","description":"","custom_fields":[{"id":1,"name":"Subdivision","value":"Other"},{"id":4,"name":"Milepost","value":"0.0156"},{"id":17,"name":"Train ID","value":"310-19"},{"id":16,"name":"Locomotive ID","value":"4032"},{"id":130,"name":"Impact","value":""},{"id":150,"name":"Time of Event (Mountain Time)","value":"04:30:40"},{"id":151,"name":"Denver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1" customFormat="1" x14ac:dyDescent="0.25">
      <c r="A207" s="37" t="s">
        <v>425</v>
      </c>
      <c r="B207" s="7">
        <v>4042</v>
      </c>
      <c r="C207" s="22" t="s">
        <v>218</v>
      </c>
      <c r="D207" s="22" t="s">
        <v>215</v>
      </c>
      <c r="E207" s="13">
        <v>42693.076990740738</v>
      </c>
      <c r="F207" s="13">
        <v>42693.078460648147</v>
      </c>
      <c r="G207" s="7">
        <v>1</v>
      </c>
      <c r="H207" s="22" t="s">
        <v>426</v>
      </c>
      <c r="I207" s="13">
        <v>42693.084490740737</v>
      </c>
      <c r="J207" s="7">
        <v>0</v>
      </c>
      <c r="K207" s="109" t="str">
        <f t="shared" si="53"/>
        <v>4041/4042</v>
      </c>
      <c r="L207" s="22" t="str">
        <f>VLOOKUP(A207,'Trips&amp;Operators'!$C$1:$E$10000,3,FALSE)</f>
        <v>CHANDLER</v>
      </c>
      <c r="M207" s="6">
        <f t="shared" si="54"/>
        <v>6.0300925906631164E-3</v>
      </c>
      <c r="N207" s="7">
        <f t="shared" si="55"/>
        <v>8.6833333305548877</v>
      </c>
      <c r="O207" s="7"/>
      <c r="P207" s="7"/>
      <c r="Q207" s="23"/>
      <c r="R207" s="23"/>
      <c r="S207" s="35">
        <f t="shared" si="56"/>
        <v>1</v>
      </c>
      <c r="T207" s="50" t="str">
        <f t="shared" si="57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https://search-rtdc-monitor-bjffxe2xuh6vdkpspy63sjmuny.us-east-1.es.amazonaws.com/_plugin/kibana/#/discover/Steve-Slow-Train-Analysis-(2080s-and-2083s)?_g=(refreshInterval:(display:Off,section:0,value:0),time:(from:'2016-11-19 00:50:52-700',mode:absolute,to:'2016-11-19 03:01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7" s="52" t="str">
        <f t="shared" si="59"/>
        <v>Y</v>
      </c>
      <c r="X207" s="177">
        <f t="shared" si="60"/>
        <v>1</v>
      </c>
      <c r="Y207" s="67">
        <f t="shared" si="61"/>
        <v>4.6199999999999998E-2</v>
      </c>
      <c r="Z207" s="67">
        <f t="shared" si="62"/>
        <v>2.2833000000000001</v>
      </c>
      <c r="AA207" s="67">
        <f t="shared" si="63"/>
        <v>2.2371000000000003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64"/>
        <v>0311-18</v>
      </c>
      <c r="AE207" s="91" t="str">
        <f t="shared" si="65"/>
        <v>aws s3 cp s3://rtdc.mdm.uploadarchive.raw/RTDC4042/ "%USERPROFILE%\AppData\Local\Temp\OnboardLogs"\RTDC4042\2016-11-19 --exclude "*" --recursive --include "*20161119*" &amp; "%USERPROFILE%\Documents\GitHub\mrs-test-scripts\Headless Mode &amp; Sideloading\WalkAndUnGZ.bat" "%USERPROFILE%\AppData\Local\Temp\OnboardLogs"\RTDC4042\2016-11-19 &amp; aws s3 cp s3://rtdc.mdm.uploadarchive.raw/RTDC4042/ "%USERPROFILE%\AppData\Local\Temp\OnboardLogs"\RTDC4042\2016-11-20 --exclude "*" --recursive --include "*20161120*" &amp; "%USERPROFILE%\Documents\GitHub\mrs-test-scripts\Headless Mode &amp; Sideloading\WalkAndUnGZ.bat" "%USERPROFILE%\AppData\Local\Temp\OnboardLogs"\RTDC4042\2016-11-20</v>
      </c>
      <c r="AF207" s="88" t="str">
        <f t="shared" si="66"/>
        <v>"C:\Program Files (x86)\AstroGrep\AstroGrep.exe" /spath="%USERPROFILE%\AppData\Local\Temp\OnboardLogs" /stypes="app*4042*20161119*" /stext=" 09:.+((SYSTEM_STATE.+slice.+state.+changed )|(ment ac)|(system.+state.+changed )|(\[timeout)|(PRM\|1\|D)|(kpr)|(kdp)|(\|lc)|(penalty))" /e /r /s</v>
      </c>
      <c r="AG207" s="1" t="str">
        <f t="shared" si="67"/>
        <v>Other</v>
      </c>
      <c r="AH207" s="92" t="str">
        <f t="shared" si="68"/>
        <v>"%USERPROFILE%\Documents\GitHub\eaglep3\Utilities\RefineRTDCRunTimes.py" --tripid 311-18 --locoid 4042 --swversion DE.1.0.8.0 --startMP 204:462 --initTime 2016-11-19T01:50:52 --startdatetime 2016-11-19T01:52:59 --delay 1 --endMP 300:22833 --enddatetime 2016-11-19T02:01:40 --enforcementcount 0 &gt;&gt;C:\Users\stu\Documents\GitHub\eaglep3-reporting\EC\2016-11-19-refined-times.txt</v>
      </c>
      <c r="AI207" s="119" t="str">
        <f t="shared" si="69"/>
        <v>echo {"issue":{"subject":"","project_id":79,"tracker_id":40,"status_id":1,"priority_id":2,"assigned_to_id":23,"start_date":"2016-11-19","description":"","custom_fields":[{"id":1,"name":"Subdivision","value":"Other"},{"id":4,"name":"Milepost","value":"2.2833"},{"id":17,"name":"Train ID","value":"311-18"},{"id":16,"name":"Locomotive ID","value":"4042"},{"id":130,"name":"Impact","value":""},{"id":150,"name":"Time of Event (Mountain Time)","value":"02:01:40"},{"id":151,"name":"Denver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1" customFormat="1" x14ac:dyDescent="0.25">
      <c r="A208" s="37" t="s">
        <v>765</v>
      </c>
      <c r="B208" s="7">
        <v>4002</v>
      </c>
      <c r="C208" s="22" t="s">
        <v>218</v>
      </c>
      <c r="D208" s="22" t="s">
        <v>220</v>
      </c>
      <c r="E208" s="13">
        <v>42694.078587962962</v>
      </c>
      <c r="F208" s="13">
        <v>42694.08017361111</v>
      </c>
      <c r="G208" s="7">
        <v>1</v>
      </c>
      <c r="H208" s="22" t="s">
        <v>766</v>
      </c>
      <c r="I208" s="13">
        <v>42694.080347222225</v>
      </c>
      <c r="J208" s="7">
        <v>0</v>
      </c>
      <c r="K208" s="109" t="str">
        <f t="shared" si="53"/>
        <v>4001/4002</v>
      </c>
      <c r="L208" s="22" t="e">
        <f>VLOOKUP(A208,'Trips&amp;Operators'!$C$1:$E$10000,3,FALSE)</f>
        <v>#N/A</v>
      </c>
      <c r="M208" s="6">
        <f t="shared" si="54"/>
        <v>1.7361111531499773E-4</v>
      </c>
      <c r="N208" s="7">
        <f t="shared" si="55"/>
        <v>0.25000000605359674</v>
      </c>
      <c r="O208" s="7"/>
      <c r="P208" s="7"/>
      <c r="Q208" s="23"/>
      <c r="R208" s="23"/>
      <c r="S208" s="35">
        <f t="shared" si="56"/>
        <v>1</v>
      </c>
      <c r="T208" s="50" t="str">
        <f t="shared" si="57"/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00:53:10-700',mode:absolute,to:'2016-11-20 02:55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8" s="52" t="str">
        <f t="shared" si="59"/>
        <v>Y</v>
      </c>
      <c r="X208" s="177">
        <f t="shared" si="60"/>
        <v>0</v>
      </c>
      <c r="Y208" s="67">
        <f t="shared" si="61"/>
        <v>4.58E-2</v>
      </c>
      <c r="Z208" s="67">
        <f t="shared" si="62"/>
        <v>2.2233999999999998</v>
      </c>
      <c r="AA208" s="67">
        <f t="shared" si="63"/>
        <v>2.1776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64"/>
        <v>0311-19</v>
      </c>
      <c r="AE208" s="91" t="str">
        <f t="shared" si="65"/>
        <v>aws s3 cp s3://rtdc.mdm.uploadarchive.raw/RTDC4002/ "%USERPROFILE%\AppData\Local\Temp\OnboardLogs"\RTDC4002\2016-11-20 --exclude "*" --recursive --include "*20161120*" &amp; "%USERPROFILE%\Documents\GitHub\mrs-test-scripts\Headless Mode &amp; Sideloading\WalkAndUnGZ.bat" "%USERPROFILE%\AppData\Local\Temp\OnboardLogs"\RTDC4002\2016-11-20 &amp; 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</v>
      </c>
      <c r="AF208" s="88" t="str">
        <f t="shared" si="66"/>
        <v>"C:\Program Files (x86)\AstroGrep\AstroGrep.exe" /spath="%USERPROFILE%\AppData\Local\Temp\OnboardLogs" /stypes="app*4002*20161120*" /stext=" 08:.+((SYSTEM_STATE.+slice.+state.+changed )|(ment ac)|(system.+state.+changed )|(\[timeout)|(PRM\|1\|D)|(kpr)|(kdp)|(\|lc)|(penalty))" /e /r /s</v>
      </c>
      <c r="AG208" s="1" t="str">
        <f t="shared" si="67"/>
        <v>Other</v>
      </c>
      <c r="AH208" s="92" t="str">
        <f t="shared" si="68"/>
        <v>"%USERPROFILE%\Documents\GitHub\eaglep3\Utilities\RefineRTDCRunTimes.py" --tripid 311-19 --locoid 4002 --swversion DE.1.0.8.0 --startMP 204:458 --initTime 2016-11-20T01:53:10 --startdatetime 2016-11-20T01:55:27 --delay 1 --endMP 300:22234 --enddatetime 2016-11-20T01:55:42 --enforcementcount 0 &gt;&gt;C:\Users\stu\Documents\GitHub\eaglep3-reporting\EC\2016-11-19-refined-times.txt</v>
      </c>
      <c r="AI208" s="119" t="str">
        <f t="shared" si="69"/>
        <v>echo {"issue":{"subject":"","project_id":79,"tracker_id":40,"status_id":1,"priority_id":2,"assigned_to_id":23,"start_date":"2016-11-20","description":"","custom_fields":[{"id":1,"name":"Subdivision","value":"Other"},{"id":4,"name":"Milepost","value":"2.2234"},{"id":17,"name":"Train ID","value":"311-19"},{"id":16,"name":"Locomotive ID","value":"4002"},{"id":130,"name":"Impact","value":""},{"id":150,"name":"Time of Event (Mountain Time)","value":"01:55:42"},{"id":151,"name":"Denver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38" x14ac:dyDescent="0.25">
      <c r="A209" s="37" t="s">
        <v>427</v>
      </c>
      <c r="B209" s="7">
        <v>4018</v>
      </c>
      <c r="C209" s="22" t="s">
        <v>218</v>
      </c>
      <c r="D209" s="22" t="s">
        <v>228</v>
      </c>
      <c r="E209" s="13">
        <v>42693.09615740741</v>
      </c>
      <c r="F209" s="13">
        <v>25568.708333333332</v>
      </c>
      <c r="G209" s="7">
        <v>1</v>
      </c>
      <c r="H209" s="22" t="s">
        <v>428</v>
      </c>
      <c r="I209" s="13">
        <v>25568.708333333332</v>
      </c>
      <c r="J209" s="7">
        <v>0</v>
      </c>
      <c r="K209" s="109" t="str">
        <f t="shared" si="53"/>
        <v>4017/4018</v>
      </c>
      <c r="L209" s="22" t="str">
        <f>VLOOKUP(A209,'Trips&amp;Operators'!$C$1:$E$10000,3,FALSE)</f>
        <v>MCREYNOLDS</v>
      </c>
      <c r="M209" s="6">
        <f t="shared" si="54"/>
        <v>0</v>
      </c>
      <c r="N209" s="7">
        <f t="shared" si="55"/>
        <v>0</v>
      </c>
      <c r="O209" s="7"/>
      <c r="P209" s="7"/>
      <c r="Q209" s="23"/>
      <c r="R209" s="23"/>
      <c r="S209" s="35">
        <f t="shared" si="56"/>
        <v>1</v>
      </c>
      <c r="T209" s="50" t="str">
        <f t="shared" si="57"/>
        <v>NorthBound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https://search-rtdc-monitor-bjffxe2xuh6vdkpspy63sjmuny.us-east-1.es.amazonaws.com/_plugin/kibana/#/discover/Steve-Slow-Train-Analysis-(2080s-and-2083s)?_g=(refreshInterval:(display:Off,section:0,value:0),time:(from:'2016-11-19 01:18:28-700',mode:absolute,to:'1969-12-31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9" s="52" t="str">
        <f t="shared" si="59"/>
        <v>Y</v>
      </c>
      <c r="X209" s="177">
        <f t="shared" si="60"/>
        <v>2</v>
      </c>
      <c r="Y209" s="67">
        <f t="shared" si="61"/>
        <v>4.6899999999999997E-2</v>
      </c>
      <c r="Z209" s="67">
        <f t="shared" si="62"/>
        <v>2.3304</v>
      </c>
      <c r="AA209" s="67">
        <f t="shared" si="63"/>
        <v>2.2835000000000001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si="64"/>
        <v>0313-18</v>
      </c>
      <c r="AE209" s="91" t="str">
        <f t="shared" si="65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09" s="88" t="str">
        <f t="shared" si="66"/>
        <v>"C:\Program Files (x86)\AstroGrep\AstroGrep.exe" /spath="%USERPROFILE%\AppData\Local\Temp\OnboardLogs" /stypes="app*4018*19700101*" /stext=" 00:.+((SYSTEM_STATE.+slice.+state.+changed )|(ment ac)|(system.+state.+changed )|(\[timeout)|(PRM\|1\|D)|(kpr)|(kdp)|(\|lc)|(penalty))" /e /r /s</v>
      </c>
      <c r="AG209" s="1" t="str">
        <f t="shared" si="67"/>
        <v>Other</v>
      </c>
      <c r="AH209" s="92" t="str">
        <f t="shared" si="68"/>
        <v>"%USERPROFILE%\Documents\GitHub\eaglep3\Utilities\RefineRTDCRunTimes.py" --tripid 313-18 --locoid 4018 --swversion DE.1.0.8.0 --startMP 204:469 --initTime 2016-11-19T02:18:28 --startdatetime 1969-12-31T17:00:00 --delay 1 --endMP 300:23304 --enddatetime 1969-12-31T17:00:00 --enforcementcount 0 &gt;&gt;C:\Users\stu\Documents\GitHub\eaglep3-reporting\EC\2016-11-19-refined-times.txt</v>
      </c>
      <c r="AI209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ID","value":"313-18"},{"id":16,"name":"Locomotive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481</v>
      </c>
      <c r="B210" s="7">
        <v>4044</v>
      </c>
      <c r="C210" s="22" t="s">
        <v>218</v>
      </c>
      <c r="D210" s="22" t="s">
        <v>730</v>
      </c>
      <c r="E210" s="13">
        <v>42693.222314814811</v>
      </c>
      <c r="F210" s="13">
        <v>42693.22347222222</v>
      </c>
      <c r="G210" s="7">
        <v>0</v>
      </c>
      <c r="H210" s="22" t="s">
        <v>435</v>
      </c>
      <c r="I210" s="13">
        <v>42693.228391203702</v>
      </c>
      <c r="J210" s="7">
        <v>0</v>
      </c>
      <c r="K210" s="109" t="str">
        <f t="shared" si="53"/>
        <v>4043/4044</v>
      </c>
      <c r="L210" s="22" t="str">
        <f>VLOOKUP(A210,'Trips&amp;Operators'!$C$1:$E$10000,3,FALSE)</f>
        <v>YORK</v>
      </c>
      <c r="M210" s="6">
        <f t="shared" si="54"/>
        <v>4.9189814817509614E-3</v>
      </c>
      <c r="N210" s="7">
        <f t="shared" si="55"/>
        <v>7.0833333337213844</v>
      </c>
      <c r="O210" s="7"/>
      <c r="P210" s="7"/>
      <c r="Q210" s="23"/>
      <c r="R210" s="23"/>
      <c r="S210" s="35">
        <f t="shared" si="56"/>
        <v>0</v>
      </c>
      <c r="T210" s="50" t="str">
        <f t="shared" si="57"/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https://search-rtdc-monitor-bjffxe2xuh6vdkpspy63sjmuny.us-east-1.es.amazonaws.com/_plugin/kibana/#/discover/Steve-Slow-Train-Analysis-(2080s-and-2083s)?_g=(refreshInterval:(display:Off,section:0,value:0),time:(from:'2016-11-19 04:20:08-700',mode:absolute,to:'2016-11-19 06:28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0" s="52" t="str">
        <f t="shared" si="59"/>
        <v>Y</v>
      </c>
      <c r="X210" s="177">
        <f t="shared" si="60"/>
        <v>1588</v>
      </c>
      <c r="Y210" s="67">
        <f t="shared" si="61"/>
        <v>3.0004</v>
      </c>
      <c r="Z210" s="67">
        <f t="shared" si="62"/>
        <v>5.8921999999999999</v>
      </c>
      <c r="AA210" s="67">
        <f t="shared" si="63"/>
        <v>2.8917999999999999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si="64"/>
        <v>1901-19</v>
      </c>
      <c r="AE210" s="91" t="str">
        <f t="shared" si="65"/>
        <v>aws s3 cp s3://rtdc.mdm.uploadarchive.raw/RTDC4044/ "%USERPROFILE%\AppData\Local\Temp\OnboardLogs"\RTDC4044\2016-11-19 --exclude "*" --recursive --include "*20161119*" &amp; "%USERPROFILE%\Documents\GitHub\mrs-test-scripts\Headless Mode &amp; Sideloading\WalkAndUnGZ.bat" "%USERPROFILE%\AppData\Local\Temp\OnboardLogs"\RTDC4044\2016-11-19 &amp; aws s3 cp s3://rtdc.mdm.uploadarchive.raw/RTDC4044/ "%USERPROFILE%\AppData\Local\Temp\OnboardLogs"\RTDC4044\2016-11-20 --exclude "*" --recursive --include "*20161120*" &amp; "%USERPROFILE%\Documents\GitHub\mrs-test-scripts\Headless Mode &amp; Sideloading\WalkAndUnGZ.bat" "%USERPROFILE%\AppData\Local\Temp\OnboardLogs"\RTDC4044\2016-11-20</v>
      </c>
      <c r="AF210" s="88" t="str">
        <f t="shared" si="66"/>
        <v>"C:\Program Files (x86)\AstroGrep\AstroGrep.exe" /spath="%USERPROFILE%\AppData\Local\Temp\OnboardLogs" /stypes="app*4044*20161119*" /stext=" 12:.+((SYSTEM_STATE.+slice.+state.+changed )|(ment ac)|(system.+state.+changed )|(\[timeout)|(PRM\|1\|D)|(kpr)|(kdp)|(\|lc)|(penalty))" /e /r /s</v>
      </c>
      <c r="AG210" s="1" t="str">
        <f t="shared" si="67"/>
        <v>Other</v>
      </c>
      <c r="AH210" s="92" t="str">
        <f t="shared" si="68"/>
        <v>"%USERPROFILE%\Documents\GitHub\eaglep3\Utilities\RefineRTDCRunTimes.py" --tripid 1901-19 --locoid 4044 --swversion DE.1.0.8.0 --startMP 300:30004 --initTime 2016-11-19T05:20:08 --startdatetime 2016-11-19T05:21:48 --delay 0 --endMP 300:58922 --enddatetime 2016-11-19T05:28:53 --enforcementcount 0 &gt;&gt;C:\Users\stu\Documents\GitHub\eaglep3-reporting\EC\2016-11-19-refined-times.txt</v>
      </c>
      <c r="AI210" s="119" t="str">
        <f t="shared" si="69"/>
        <v>echo {"issue":{"subject":"","project_id":79,"tracker_id":40,"status_id":1,"priority_id":2,"assigned_to_id":23,"start_date":"2016-11-19","description":"","custom_fields":[{"id":1,"name":"Subdivision","value":"Other"},{"id":4,"name":"Milepost","value":"5.8922"},{"id":17,"name":"Train ID","value":"1901-19"},{"id":16,"name":"Locomotive ID","value":"4044"},{"id":130,"name":"Impact","value":""},{"id":150,"name":"Time of Event (Mountain Time)","value":"05:28:53"},{"id":151,"name":"Denver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462</v>
      </c>
      <c r="B211" s="7">
        <v>4021</v>
      </c>
      <c r="C211" s="22" t="s">
        <v>218</v>
      </c>
      <c r="D211" s="22" t="s">
        <v>718</v>
      </c>
      <c r="E211" s="13">
        <v>42693.943645833337</v>
      </c>
      <c r="F211" s="13">
        <v>42693.94636574074</v>
      </c>
      <c r="G211" s="7">
        <v>3</v>
      </c>
      <c r="H211" s="22" t="s">
        <v>731</v>
      </c>
      <c r="I211" s="13">
        <v>42693.951354166667</v>
      </c>
      <c r="J211" s="7">
        <v>0</v>
      </c>
      <c r="K211" s="109" t="str">
        <f t="shared" si="53"/>
        <v>4021/4022</v>
      </c>
      <c r="L211" s="22" t="str">
        <f>VLOOKUP(A211,'Trips&amp;Operators'!$C$1:$E$10000,3,FALSE)</f>
        <v>HOLCOMB</v>
      </c>
      <c r="M211" s="6">
        <f t="shared" si="54"/>
        <v>4.9884259278769605E-3</v>
      </c>
      <c r="N211" s="7">
        <f t="shared" si="55"/>
        <v>7.1833333361428231</v>
      </c>
      <c r="O211" s="7"/>
      <c r="P211" s="7"/>
      <c r="Q211" s="23"/>
      <c r="R211" s="23"/>
      <c r="S211" s="35">
        <f t="shared" si="56"/>
        <v>0</v>
      </c>
      <c r="T211" s="50" t="str">
        <f t="shared" si="57"/>
        <v>Southbound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https://search-rtdc-monitor-bjffxe2xuh6vdkpspy63sjmuny.us-east-1.es.amazonaws.com/_plugin/kibana/#/discover/Steve-Slow-Train-Analysis-(2080s-and-2083s)?_g=(refreshInterval:(display:Off,section:0,value:0),time:(from:'2016-11-19 21:38:51-700',mode:absolute,to:'2016-11-19 23:49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1" s="52" t="str">
        <f t="shared" si="59"/>
        <v>Y</v>
      </c>
      <c r="X211" s="177">
        <f t="shared" si="60"/>
        <v>1</v>
      </c>
      <c r="Y211" s="67">
        <f t="shared" si="61"/>
        <v>5.8628</v>
      </c>
      <c r="Z211" s="67">
        <f t="shared" si="62"/>
        <v>2.1732999999999998</v>
      </c>
      <c r="AA211" s="67">
        <f t="shared" si="63"/>
        <v>3.6895000000000002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 t="shared" si="64"/>
        <v>1902-19</v>
      </c>
      <c r="AE211" s="91" t="str">
        <f t="shared" si="65"/>
        <v>aws s3 cp s3://rtdc.mdm.uploadarchive.raw/RTDC4021/ "%USERPROFILE%\AppData\Local\Temp\OnboardLogs"\RTDC4021\2016-11-19 --exclude "*" --recursive --include "*20161119*" &amp; "%USERPROFILE%\Documents\GitHub\mrs-test-scripts\Headless Mode &amp; Sideloading\WalkAndUnGZ.bat" "%USERPROFILE%\AppData\Local\Temp\OnboardLogs"\RTDC4021\2016-11-19 &amp; 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</v>
      </c>
      <c r="AF211" s="88" t="str">
        <f t="shared" si="66"/>
        <v>"C:\Program Files (x86)\AstroGrep\AstroGrep.exe" /spath="%USERPROFILE%\AppData\Local\Temp\OnboardLogs" /stypes="app*4021*20161120*" /stext=" 05:.+((SYSTEM_STATE.+slice.+state.+changed )|(ment ac)|(system.+state.+changed )|(\[timeout)|(PRM\|1\|D)|(kpr)|(kdp)|(\|lc)|(penalty))" /e /r /s</v>
      </c>
      <c r="AG211" s="1" t="str">
        <f t="shared" si="67"/>
        <v>Other</v>
      </c>
      <c r="AH211" s="92" t="str">
        <f t="shared" si="68"/>
        <v>"%USERPROFILE%\Documents\GitHub\eaglep3\Utilities\RefineRTDCRunTimes.py" --tripid 1902-19 --locoid 4021 --swversion DE.1.0.8.0 --startMP 300:58628 --initTime 2016-11-19T22:38:51 --startdatetime 2016-11-19T22:42:46 --delay 3 --endMP 300:21733 --enddatetime 2016-11-19T22:49:57 --enforcementcount 0 &gt;&gt;C:\Users\stu\Documents\GitHub\eaglep3-reporting\EC\2016-11-19-refined-times.txt</v>
      </c>
      <c r="AI211" s="119" t="str">
        <f t="shared" si="69"/>
        <v>echo {"issue":{"subject":"","project_id":79,"tracker_id":40,"status_id":1,"priority_id":2,"assigned_to_id":23,"start_date":"2016-11-19","description":"","custom_fields":[{"id":1,"name":"Subdivision","value":"Other"},{"id":4,"name":"Milepost","value":"2.1733"},{"id":17,"name":"Train ID","value":"1902-19"},{"id":16,"name":"Locomotive ID","value":"4021"},{"id":130,"name":"Impact","value":""},{"id":150,"name":"Time of Event (Mountain Time)","value":"22:49:57"},{"id":151,"name":"Denver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456</v>
      </c>
      <c r="B212" s="7">
        <v>4041</v>
      </c>
      <c r="C212" s="22" t="s">
        <v>218</v>
      </c>
      <c r="D212" s="22" t="s">
        <v>767</v>
      </c>
      <c r="E212" s="13">
        <v>42693.747743055559</v>
      </c>
      <c r="F212" s="13">
        <v>42693.749039351853</v>
      </c>
      <c r="G212" s="7">
        <v>1</v>
      </c>
      <c r="H212" s="22" t="s">
        <v>768</v>
      </c>
      <c r="I212" s="13">
        <v>42693.756226851852</v>
      </c>
      <c r="J212" s="7">
        <v>0</v>
      </c>
      <c r="K212" s="109" t="str">
        <f t="shared" si="53"/>
        <v>4041/4042</v>
      </c>
      <c r="L212" s="22" t="str">
        <f>VLOOKUP(A212,'Trips&amp;Operators'!$C$1:$E$10000,3,FALSE)</f>
        <v>LOPES</v>
      </c>
      <c r="M212" s="6">
        <f t="shared" si="54"/>
        <v>7.1874999994179234E-3</v>
      </c>
      <c r="N212" s="7">
        <f t="shared" si="55"/>
        <v>10.34999999916181</v>
      </c>
      <c r="O212" s="7"/>
      <c r="P212" s="7"/>
      <c r="Q212" s="23"/>
      <c r="R212" s="23"/>
      <c r="S212" s="35">
        <f t="shared" si="56"/>
        <v>0</v>
      </c>
      <c r="T212" s="50" t="e">
        <f t="shared" si="57"/>
        <v>#VALUE!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https://search-rtdc-monitor-bjffxe2xuh6vdkpspy63sjmuny.us-east-1.es.amazonaws.com/_plugin/kibana/#/discover/Steve-Slow-Train-Analysis-(2080s-and-2083s)?_g=(refreshInterval:(display:Off,section:0,value:0),time:(from:'2016-11-19 16:56:45-700',mode:absolute,to:'2016-11-19 19:08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12" s="52" t="str">
        <f t="shared" si="59"/>
        <v>Y</v>
      </c>
      <c r="X212" s="177" t="e">
        <f t="shared" si="60"/>
        <v>#VALUE!</v>
      </c>
      <c r="Y212" s="67">
        <f t="shared" si="61"/>
        <v>2.2174</v>
      </c>
      <c r="Z212" s="67">
        <f t="shared" si="62"/>
        <v>0.1643</v>
      </c>
      <c r="AA212" s="67">
        <f t="shared" si="63"/>
        <v>2.0531000000000001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 t="shared" si="64"/>
        <v>64-19</v>
      </c>
      <c r="AE212" s="91" t="str">
        <f t="shared" si="65"/>
        <v>aws s3 cp s3://rtdc.mdm.uploadarchive.raw/RTDC4041/ "%USERPROFILE%\AppData\Local\Temp\OnboardLogs"\RTDC4041\2016-11-19 --exclude "*" --recursive --include "*20161119*" &amp; "%USERPROFILE%\Documents\GitHub\mrs-test-scripts\Headless Mode &amp; Sideloading\WalkAndUnGZ.bat" "%USERPROFILE%\AppData\Local\Temp\OnboardLogs"\RTDC4041\2016-11-19 &amp; aws s3 cp s3://rtdc.mdm.uploadarchive.raw/RTDC4041/ "%USERPROFILE%\AppData\Local\Temp\OnboardLogs"\RTDC4041\2016-11-20 --exclude "*" --recursive --include "*20161120*" &amp; "%USERPROFILE%\Documents\GitHub\mrs-test-scripts\Headless Mode &amp; Sideloading\WalkAndUnGZ.bat" "%USERPROFILE%\AppData\Local\Temp\OnboardLogs"\RTDC4041\2016-11-20</v>
      </c>
      <c r="AF212" s="88" t="str">
        <f t="shared" si="66"/>
        <v>"C:\Program Files (x86)\AstroGrep\AstroGrep.exe" /spath="%USERPROFILE%\AppData\Local\Temp\OnboardLogs" /stypes="app*4041*20161120*" /stext=" 01:.+((SYSTEM_STATE.+slice.+state.+changed )|(ment ac)|(system.+state.+changed )|(\[timeout)|(PRM\|1\|D)|(kpr)|(kdp)|(\|lc)|(penalty))" /e /r /s</v>
      </c>
      <c r="AG212" s="1" t="str">
        <f t="shared" si="67"/>
        <v>Other</v>
      </c>
      <c r="AH212" s="92" t="str">
        <f t="shared" si="68"/>
        <v>"%USERPROFILE%\Documents\GitHub\eaglep3\Utilities\RefineRTDCRunTimes.py" --tripid 64-19 --locoid 4041 --swversion DE.1.0.8.0 --startMP 300:22174 --initTime 2016-11-19T17:56:45 --startdatetime 2016-11-19T17:58:37 --delay 1 --endMP 204:1643 --enddatetime 2016-11-19T18:08:58 --enforcementcount 0 &gt;&gt;C:\Users\stu\Documents\GitHub\eaglep3-reporting\EC\2016-11-19-refined-times.txt</v>
      </c>
      <c r="AI212" s="119" t="str">
        <f t="shared" si="69"/>
        <v>echo {"issue":{"subject":"","project_id":79,"tracker_id":40,"status_id":1,"priority_id":2,"assigned_to_id":23,"start_date":"2016-11-19","description":"","custom_fields":[{"id":1,"name":"Subdivision","value":"Other"},{"id":4,"name":"Milepost","value":"0.1643"},{"id":17,"name":"Train ID","value":"64-19"},{"id":16,"name":"Locomotive ID","value":"4041"},{"id":130,"name":"Impact","value":""},{"id":150,"name":"Time of Event (Mountain Time)","value":"18:08:58"},{"id":151,"name":"Denver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590</v>
      </c>
      <c r="B213" s="7">
        <v>4044</v>
      </c>
      <c r="C213" s="22" t="s">
        <v>218</v>
      </c>
      <c r="D213" s="22" t="s">
        <v>769</v>
      </c>
      <c r="E213" s="13">
        <v>42693.710682870369</v>
      </c>
      <c r="F213" s="13">
        <v>25568.708333333332</v>
      </c>
      <c r="G213" s="7">
        <v>1</v>
      </c>
      <c r="H213" s="22" t="s">
        <v>770</v>
      </c>
      <c r="I213" s="13">
        <v>25568.708333333332</v>
      </c>
      <c r="J213" s="7">
        <v>0</v>
      </c>
      <c r="K213" s="109" t="str">
        <f t="shared" si="53"/>
        <v>4043/4044</v>
      </c>
      <c r="L213" s="22" t="str">
        <f>VLOOKUP(A213,'Trips&amp;Operators'!$C$1:$E$10000,3,FALSE)</f>
        <v>HAITHCOX</v>
      </c>
      <c r="M213" s="6">
        <f t="shared" si="54"/>
        <v>0</v>
      </c>
      <c r="N213" s="7">
        <f t="shared" si="55"/>
        <v>0</v>
      </c>
      <c r="O213" s="7"/>
      <c r="P213" s="7"/>
      <c r="Q213" s="23"/>
      <c r="R213" s="23"/>
      <c r="S213" s="35">
        <f t="shared" si="56"/>
        <v>0</v>
      </c>
      <c r="T213" s="50" t="e">
        <f t="shared" si="57"/>
        <v>#VALUE!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https://search-rtdc-monitor-bjffxe2xuh6vdkpspy63sjmuny.us-east-1.es.amazonaws.com/_plugin/kibana/#/discover/Steve-Slow-Train-Analysis-(2080s-and-2083s)?_g=(refreshInterval:(display:Off,section:0,value:0),time:(from:'2016-11-19 16:03:23-700',mode:absolute,to:'1969-12-31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3" s="52" t="str">
        <f t="shared" si="59"/>
        <v>Y</v>
      </c>
      <c r="X213" s="177" t="e">
        <f t="shared" si="60"/>
        <v>#VALUE!</v>
      </c>
      <c r="Y213" s="67">
        <f t="shared" si="61"/>
        <v>0.11360000000000001</v>
      </c>
      <c r="Z213" s="67">
        <f t="shared" si="62"/>
        <v>2.3298999999999999</v>
      </c>
      <c r="AA213" s="67">
        <f t="shared" si="63"/>
        <v>2.2162999999999999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 t="shared" si="64"/>
        <v>65-19</v>
      </c>
      <c r="AE213" s="91" t="str">
        <f t="shared" si="65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13" s="88" t="str">
        <f t="shared" si="66"/>
        <v>"C:\Program Files (x86)\AstroGrep\AstroGrep.exe" /spath="%USERPROFILE%\AppData\Local\Temp\OnboardLogs" /stypes="app*4044*19700101*" /stext=" 00:.+((SYSTEM_STATE.+slice.+state.+changed )|(ment ac)|(system.+state.+changed )|(\[timeout)|(PRM\|1\|D)|(kpr)|(kdp)|(\|lc)|(penalty))" /e /r /s</v>
      </c>
      <c r="AG213" s="1" t="str">
        <f t="shared" si="67"/>
        <v>Other</v>
      </c>
      <c r="AH213" s="92" t="str">
        <f t="shared" si="68"/>
        <v>"%USERPROFILE%\Documents\GitHub\eaglep3\Utilities\RefineRTDCRunTimes.py" --tripid 65-19 --locoid 4044 --swversion DE.1.0.8.0 --startMP 204:1136 --initTime 2016-11-19T17:03:23 --startdatetime 1969-12-31T17:00:00 --delay 1 --endMP 300:23299 --enddatetime 1969-12-31T17:00:00 --enforcementcount 0 &gt;&gt;C:\Users\stu\Documents\GitHub\eaglep3-reporting\EC\2016-11-19-refined-times.txt</v>
      </c>
      <c r="AI213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ID","value":"65-19"},{"id":16,"name":"Locomotive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610</v>
      </c>
      <c r="B214" s="7">
        <v>4009</v>
      </c>
      <c r="C214" s="22" t="s">
        <v>218</v>
      </c>
      <c r="D214" s="22" t="s">
        <v>771</v>
      </c>
      <c r="E214" s="13">
        <v>42693.773634259262</v>
      </c>
      <c r="F214" s="13">
        <v>25568.708333333332</v>
      </c>
      <c r="G214" s="7">
        <v>1</v>
      </c>
      <c r="H214" s="22" t="s">
        <v>423</v>
      </c>
      <c r="I214" s="13">
        <v>25568.708333333332</v>
      </c>
      <c r="J214" s="7">
        <v>0</v>
      </c>
      <c r="K214" s="109" t="str">
        <f t="shared" si="53"/>
        <v>4009/4010</v>
      </c>
      <c r="L214" s="22" t="str">
        <f>VLOOKUP(A214,'Trips&amp;Operators'!$C$1:$E$10000,3,FALSE)</f>
        <v>MOSES</v>
      </c>
      <c r="M214" s="6">
        <f t="shared" si="54"/>
        <v>0</v>
      </c>
      <c r="N214" s="7">
        <f t="shared" si="55"/>
        <v>0</v>
      </c>
      <c r="O214" s="7"/>
      <c r="P214" s="7"/>
      <c r="Q214" s="23"/>
      <c r="R214" s="23"/>
      <c r="S214" s="35">
        <f t="shared" si="56"/>
        <v>0</v>
      </c>
      <c r="T214" s="50" t="e">
        <f t="shared" si="57"/>
        <v>#VALUE!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https://search-rtdc-monitor-bjffxe2xuh6vdkpspy63sjmuny.us-east-1.es.amazonaws.com/_plugin/kibana/#/discover/Steve-Slow-Train-Analysis-(2080s-and-2083s)?_g=(refreshInterval:(display:Off,section:0,value:0),time:(from:'2016-11-19 17:34:02-700',mode:absolute,to:'1969-12-31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4" s="52" t="str">
        <f t="shared" si="59"/>
        <v>Y</v>
      </c>
      <c r="X214" s="177" t="e">
        <f t="shared" si="60"/>
        <v>#VALUE!</v>
      </c>
      <c r="Y214" s="67">
        <f t="shared" si="61"/>
        <v>4.3200000000000002E-2</v>
      </c>
      <c r="Z214" s="67">
        <f t="shared" si="62"/>
        <v>2.3302</v>
      </c>
      <c r="AA214" s="67">
        <f t="shared" si="63"/>
        <v>2.2869999999999999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 t="shared" si="64"/>
        <v>73-19</v>
      </c>
      <c r="AE214" s="91" t="str">
        <f t="shared" si="65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14" s="88" t="str">
        <f t="shared" si="66"/>
        <v>"C:\Program Files (x86)\AstroGrep\AstroGrep.exe" /spath="%USERPROFILE%\AppData\Local\Temp\OnboardLogs" /stypes="app*4009*19700101*" /stext=" 00:.+((SYSTEM_STATE.+slice.+state.+changed )|(ment ac)|(system.+state.+changed )|(\[timeout)|(PRM\|1\|D)|(kpr)|(kdp)|(\|lc)|(penalty))" /e /r /s</v>
      </c>
      <c r="AG214" s="1" t="str">
        <f t="shared" si="67"/>
        <v>Other</v>
      </c>
      <c r="AH214" s="92" t="str">
        <f t="shared" si="68"/>
        <v>"%USERPROFILE%\Documents\GitHub\eaglep3\Utilities\RefineRTDCRunTimes.py" --tripid 73-19 --locoid 4009 --swversion DE.1.0.8.0 --startMP 204:432 --initTime 2016-11-19T18:34:02 --startdatetime 1969-12-31T17:00:00 --delay 1 --endMP 300:23302 --enddatetime 1969-12-31T17:00:00 --enforcementcount 0 &gt;&gt;C:\Users\stu\Documents\GitHub\eaglep3-reporting\EC\2016-11-19-refined-times.txt</v>
      </c>
      <c r="AI214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ID","value":"73-19"},{"id":16,"name":"Locomotive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602</v>
      </c>
      <c r="B215" s="7">
        <v>4010</v>
      </c>
      <c r="C215" s="22" t="s">
        <v>218</v>
      </c>
      <c r="D215" s="22" t="s">
        <v>772</v>
      </c>
      <c r="E215" s="13">
        <v>42693.744004629632</v>
      </c>
      <c r="F215" s="13">
        <v>42693.745381944442</v>
      </c>
      <c r="G215" s="7">
        <v>1</v>
      </c>
      <c r="H215" s="22" t="s">
        <v>773</v>
      </c>
      <c r="I215" s="13">
        <v>42693.751157407409</v>
      </c>
      <c r="J215" s="7">
        <v>0</v>
      </c>
      <c r="K215" s="109" t="str">
        <f t="shared" si="53"/>
        <v>4009/4010</v>
      </c>
      <c r="L215" s="22" t="str">
        <f>VLOOKUP(A215,'Trips&amp;Operators'!$C$1:$E$10000,3,FALSE)</f>
        <v>STAMBAUGH</v>
      </c>
      <c r="M215" s="6">
        <f t="shared" si="54"/>
        <v>5.7754629669943824E-3</v>
      </c>
      <c r="N215" s="7">
        <f t="shared" si="55"/>
        <v>8.3166666724719107</v>
      </c>
      <c r="O215" s="7"/>
      <c r="P215" s="7"/>
      <c r="Q215" s="23"/>
      <c r="R215" s="23"/>
      <c r="S215" s="35">
        <f t="shared" si="56"/>
        <v>0</v>
      </c>
      <c r="T215" s="50" t="e">
        <f t="shared" si="57"/>
        <v>#VALUE!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https://search-rtdc-monitor-bjffxe2xuh6vdkpspy63sjmuny.us-east-1.es.amazonaws.com/_plugin/kibana/#/discover/Steve-Slow-Train-Analysis-(2080s-and-2083s)?_g=(refreshInterval:(display:Off,section:0,value:0),time:(from:'2016-11-19 16:51:22-700',mode:absolute,to:'2016-11-19 19:01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5" s="52" t="str">
        <f t="shared" si="59"/>
        <v>Y</v>
      </c>
      <c r="X215" s="177" t="e">
        <f t="shared" si="60"/>
        <v>#VALUE!</v>
      </c>
      <c r="Y215" s="67">
        <f t="shared" si="61"/>
        <v>2.35</v>
      </c>
      <c r="Z215" s="67">
        <f t="shared" si="62"/>
        <v>1.37E-2</v>
      </c>
      <c r="AA215" s="67">
        <f t="shared" si="63"/>
        <v>2.3363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 t="shared" si="64"/>
        <v>74-19</v>
      </c>
      <c r="AE215" s="91" t="str">
        <f t="shared" si="65"/>
        <v>aws s3 cp s3://rtdc.mdm.uploadarchive.raw/RTDC4010/ "%USERPROFILE%\AppData\Local\Temp\OnboardLogs"\RTDC4010\2016-11-19 --exclude "*" --recursive --include "*20161119*" &amp; "%USERPROFILE%\Documents\GitHub\mrs-test-scripts\Headless Mode &amp; Sideloading\WalkAndUnGZ.bat" "%USERPROFILE%\AppData\Local\Temp\OnboardLogs"\RTDC4010\2016-11-19 &amp; aws s3 cp s3://rtdc.mdm.uploadarchive.raw/RTDC4010/ "%USERPROFILE%\AppData\Local\Temp\OnboardLogs"\RTDC4010\2016-11-20 --exclude "*" --recursive --include "*20161120*" &amp; "%USERPROFILE%\Documents\GitHub\mrs-test-scripts\Headless Mode &amp; Sideloading\WalkAndUnGZ.bat" "%USERPROFILE%\AppData\Local\Temp\OnboardLogs"\RTDC4010\2016-11-20</v>
      </c>
      <c r="AF215" s="88" t="str">
        <f t="shared" si="66"/>
        <v>"C:\Program Files (x86)\AstroGrep\AstroGrep.exe" /spath="%USERPROFILE%\AppData\Local\Temp\OnboardLogs" /stypes="app*4010*20161120*" /stext=" 01:.+((SYSTEM_STATE.+slice.+state.+changed )|(ment ac)|(system.+state.+changed )|(\[timeout)|(PRM\|1\|D)|(kpr)|(kdp)|(\|lc)|(penalty))" /e /r /s</v>
      </c>
      <c r="AG215" s="1" t="str">
        <f t="shared" si="67"/>
        <v>Other</v>
      </c>
      <c r="AH215" s="92" t="str">
        <f t="shared" si="68"/>
        <v>"%USERPROFILE%\Documents\GitHub\eaglep3\Utilities\RefineRTDCRunTimes.py" --tripid 74-19 --locoid 4010 --swversion DE.1.0.8.0 --startMP 300:23500 --initTime 2016-11-19T17:51:22 --startdatetime 2016-11-19T17:53:21 --delay 1 --endMP 204:137 --enddatetime 2016-11-19T18:01:40 --enforcementcount 0 &gt;&gt;C:\Users\stu\Documents\GitHub\eaglep3-reporting\EC\2016-11-19-refined-times.txt</v>
      </c>
      <c r="AI215" s="119" t="str">
        <f t="shared" si="69"/>
        <v>echo {"issue":{"subject":"","project_id":79,"tracker_id":40,"status_id":1,"priority_id":2,"assigned_to_id":23,"start_date":"2016-11-19","description":"","custom_fields":[{"id":1,"name":"Subdivision","value":"Other"},{"id":4,"name":"Milepost","value":"0.0137"},{"id":17,"name":"Train ID","value":"74-19"},{"id":16,"name":"Locomotive ID","value":"4010"},{"id":130,"name":"Impact","value":""},{"id":150,"name":"Time of Event (Mountain Time)","value":"18:01:40"},{"id":151,"name":"Denver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596</v>
      </c>
      <c r="B216" s="7">
        <v>4003</v>
      </c>
      <c r="C216" s="22" t="s">
        <v>218</v>
      </c>
      <c r="D216" s="22" t="s">
        <v>267</v>
      </c>
      <c r="E216" s="13">
        <v>42693.730937499997</v>
      </c>
      <c r="F216" s="13">
        <v>25568.708333333332</v>
      </c>
      <c r="G216" s="7">
        <v>1</v>
      </c>
      <c r="H216" s="22" t="s">
        <v>774</v>
      </c>
      <c r="I216" s="13">
        <v>25568.708333333332</v>
      </c>
      <c r="J216" s="7">
        <v>0</v>
      </c>
      <c r="K216" s="109" t="str">
        <f t="shared" si="53"/>
        <v>4003/4004</v>
      </c>
      <c r="L216" s="22" t="str">
        <f>VLOOKUP(A216,'Trips&amp;Operators'!$C$1:$E$10000,3,FALSE)</f>
        <v>MAHAN</v>
      </c>
      <c r="M216" s="6">
        <f t="shared" si="54"/>
        <v>0</v>
      </c>
      <c r="N216" s="7">
        <f t="shared" si="55"/>
        <v>0</v>
      </c>
      <c r="O216" s="7"/>
      <c r="P216" s="7"/>
      <c r="Q216" s="23"/>
      <c r="R216" s="23"/>
      <c r="S216" s="35">
        <f t="shared" si="56"/>
        <v>0</v>
      </c>
      <c r="T216" s="50" t="e">
        <f t="shared" si="57"/>
        <v>#VALUE!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https://search-rtdc-monitor-bjffxe2xuh6vdkpspy63sjmuny.us-east-1.es.amazonaws.com/_plugin/kibana/#/discover/Steve-Slow-Train-Analysis-(2080s-and-2083s)?_g=(refreshInterval:(display:Off,section:0,value:0),time:(from:'2016-11-19 16:32:33-700',mode:absolute,to:'1969-12-31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16" s="52" t="str">
        <f t="shared" si="59"/>
        <v>Y</v>
      </c>
      <c r="X216" s="177" t="e">
        <f t="shared" si="60"/>
        <v>#VALUE!</v>
      </c>
      <c r="Y216" s="67">
        <f t="shared" si="61"/>
        <v>4.6600000000000003E-2</v>
      </c>
      <c r="Z216" s="67">
        <f t="shared" si="62"/>
        <v>2.3311999999999999</v>
      </c>
      <c r="AA216" s="67">
        <f t="shared" si="63"/>
        <v>2.2845999999999997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 t="shared" si="64"/>
        <v>75-19</v>
      </c>
      <c r="AE216" s="91" t="str">
        <f t="shared" si="65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16" s="88" t="str">
        <f t="shared" si="66"/>
        <v>"C:\Program Files (x86)\AstroGrep\AstroGrep.exe" /spath="%USERPROFILE%\AppData\Local\Temp\OnboardLogs" /stypes="app*4003*19700101*" /stext=" 00:.+((SYSTEM_STATE.+slice.+state.+changed )|(ment ac)|(system.+state.+changed )|(\[timeout)|(PRM\|1\|D)|(kpr)|(kdp)|(\|lc)|(penalty))" /e /r /s</v>
      </c>
      <c r="AG216" s="1" t="str">
        <f t="shared" si="67"/>
        <v>Other</v>
      </c>
      <c r="AH216" s="92" t="str">
        <f t="shared" si="68"/>
        <v>"%USERPROFILE%\Documents\GitHub\eaglep3\Utilities\RefineRTDCRunTimes.py" --tripid 75-19 --locoid 4003 --swversion DE.1.0.8.0 --startMP 204:466 --initTime 2016-11-19T17:32:33 --startdatetime 1969-12-31T17:00:00 --delay 1 --endMP 300:23312 --enddatetime 1969-12-31T17:00:00 --enforcementcount 0 &gt;&gt;C:\Users\stu\Documents\GitHub\eaglep3-reporting\EC\2016-11-19-refined-times.txt</v>
      </c>
      <c r="AI216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ID","value":"75-19"},{"id":16,"name":"Locomotive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</row>
    <row r="218" spans="1:3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</row>
    <row r="219" spans="1:3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</row>
    <row r="220" spans="1:3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</row>
    <row r="221" spans="1:3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</row>
    <row r="222" spans="1:3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</row>
    <row r="223" spans="1:3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</row>
    <row r="224" spans="1:3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</sheetData>
  <autoFilter ref="A12:AG251">
    <sortState ref="A13:AG254">
      <sortCondition ref="AG13:AG219"/>
      <sortCondition ref="AD13:AD219"/>
    </sortState>
  </autoFilter>
  <sortState ref="A13:AH200">
    <sortCondition ref="AG13:AG200"/>
    <sortCondition ref="AD13:AD200"/>
  </sortState>
  <mergeCells count="1">
    <mergeCell ref="A11:P11"/>
  </mergeCells>
  <conditionalFormatting sqref="W11:W12 W252:X1048576 W13:X216">
    <cfRule type="cellIs" dxfId="10" priority="344" operator="equal">
      <formula>"Y"</formula>
    </cfRule>
  </conditionalFormatting>
  <conditionalFormatting sqref="X252:X1048576 X13:X216">
    <cfRule type="cellIs" dxfId="9" priority="327" operator="greaterThan">
      <formula>1</formula>
    </cfRule>
  </conditionalFormatting>
  <conditionalFormatting sqref="X252:X1048576 X12:X216">
    <cfRule type="cellIs" dxfId="8" priority="324" operator="equal">
      <formula>0</formula>
    </cfRule>
  </conditionalFormatting>
  <conditionalFormatting sqref="A13:S216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A13:S216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AK13:AK216</xm:sqref>
        </x14:dataValidation>
        <x14:dataValidation type="list" allowBlank="1" showInputMessage="1" showErrorMessage="1">
          <x14:formula1>
            <xm:f>'Redmine List Values'!$C$2:$C$15</xm:f>
          </x14:formula1>
          <xm:sqref>AL13:AL216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7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3.5703125" style="135" bestFit="1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0">
        <f>COUNTIF($O$7:$O$335,"=Y")</f>
        <v>3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1">
        <f>COUNTA($O$7:$O$335)-O2</f>
        <v>20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5" t="str">
        <f>"Eagle P3 Braking Events - "&amp;TEXT(Variables!$A$2,"YYYY-mm-dd")</f>
        <v>Eagle P3 Braking Events - 2016-11-19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158</v>
      </c>
      <c r="J6" s="137" t="s">
        <v>30</v>
      </c>
      <c r="K6" s="137" t="s">
        <v>29</v>
      </c>
      <c r="L6" s="137" t="s">
        <v>28</v>
      </c>
      <c r="M6" s="122" t="s">
        <v>159</v>
      </c>
      <c r="N6" s="152" t="s">
        <v>47</v>
      </c>
      <c r="O6" s="182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179</v>
      </c>
      <c r="AD6" s="130" t="s">
        <v>291</v>
      </c>
    </row>
    <row r="7" spans="1:30" s="1" customFormat="1" x14ac:dyDescent="0.25">
      <c r="A7" s="36">
        <v>42693.93513888889</v>
      </c>
      <c r="B7" s="31" t="s">
        <v>251</v>
      </c>
      <c r="C7" s="31" t="s">
        <v>460</v>
      </c>
      <c r="D7" s="31" t="s">
        <v>49</v>
      </c>
      <c r="E7" s="31" t="s">
        <v>154</v>
      </c>
      <c r="F7" s="47">
        <v>0</v>
      </c>
      <c r="G7" s="47">
        <v>161</v>
      </c>
      <c r="H7" s="47">
        <v>27365</v>
      </c>
      <c r="I7" s="47">
        <v>27166</v>
      </c>
      <c r="J7" s="31" t="s">
        <v>153</v>
      </c>
      <c r="K7" s="47">
        <v>27350</v>
      </c>
      <c r="L7" s="154" t="s">
        <v>51</v>
      </c>
      <c r="M7" s="155">
        <f t="shared" ref="M7:M29" si="0">CONVERT((I7-K7)/10000,"mi","ft")*IF(L7="Increasing Mileposts (1)",-1,1)</f>
        <v>-97.152000000000001</v>
      </c>
      <c r="N7" s="156" t="str">
        <f>VLOOKUP(C7,'Trips&amp;Operators'!$C$1:$E$99999,3,FALSE)</f>
        <v>LEVIN</v>
      </c>
      <c r="O7" s="183" t="s">
        <v>202</v>
      </c>
      <c r="P7" s="157" t="s">
        <v>799</v>
      </c>
      <c r="Q7" s="31"/>
      <c r="R7" s="100" t="str">
        <f>VLOOKUP(C7,'Train Runs'!$A$13:$AE$9995,31,0)</f>
        <v>aws s3 cp s3://rtdc.mdm.uploadarchive.raw/RTDC4037/ "%USERPROFILE%\AppData\Local\Temp\OnboardLogs"\RTDC4037\2016-11-19 --exclude "*" --recursive --include "*20161119*" &amp; "%USERPROFILE%\Documents\GitHub\mrs-test-scripts\Headless Mode &amp; Sideloading\WalkAndUnGZ.bat" "%USERPROFILE%\AppData\Local\Temp\OnboardLogs"\RTDC4037\2016-11-19 &amp; aws s3 cp s3://rtdc.mdm.uploadarchive.raw/RTDC4037/ "%USERPROFILE%\AppData\Local\Temp\OnboardLogs"\RTDC4037\2016-11-20 --exclude "*" --recursive --include "*20161120*" &amp; "%USERPROFILE%\Documents\GitHub\mrs-test-scripts\Headless Mode &amp; Sideloading\WalkAndUnGZ.bat" "%USERPROFILE%\AppData\Local\Temp\OnboardLogs"\RTDC4037\2016-11-20</v>
      </c>
      <c r="S7" s="103" t="str">
        <f>VLOOKUP(C7,'Train Runs'!$A$13:$AE$9995,22,0)</f>
        <v>https://search-rtdc-monitor-bjffxe2xuh6vdkpspy63sjmuny.us-east-1.es.amazonaws.com/_plugin/kibana/#/discover/Steve-Slow-Train-Analysis-(2080s-and-2083s)?_g=(refreshInterval:(display:Off,section:0,value:0),time:(from:'2016-11-19 20:51:10-700',mode:absolute,to:'2016-11-19 23:34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7" s="105" t="str">
        <f t="shared" ref="T7:T29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/stypes="*4037*201611200*" /stext=" 05:.+((SYSTEM_STATE.+slice.+state.+changed )|(ment ac)|(system.+state.+changed )|(\[timeout)|(PRM\|1\|D)|(kpr)|(kdp)|(\|lc)|(penalty))" /e /r /s</v>
      </c>
      <c r="U7" s="9" t="str">
        <f t="shared" ref="U7:U29" si="2">MID(B7,13,4)</f>
        <v>4037</v>
      </c>
      <c r="V7" s="36">
        <f t="shared" ref="V7:V29" si="3">A7-utc_offset/24</f>
        <v>42694.226805555554</v>
      </c>
      <c r="W7" s="50" t="str">
        <f t="shared" ref="W7:W29" si="4">IF(VALUE(LEFT(IF(LEN(C7)=6,"0"&amp;C7,C7),2))&lt;=2,"EC",IF(OR(VALUE(LEFT(IF(LEN(C7)=6,"0"&amp;C7,C7),2))=8,VALUE(LEFT(IF(LEN(C7)=6,"0"&amp;C7,C7),2))=18),"NW","Other"))</f>
        <v>EC</v>
      </c>
      <c r="X7" s="50" t="str">
        <f t="shared" ref="X7:X29" si="5">IF(AND(E7="TRACK WARRANT AUTHORITY",G7&lt;10),"OMIT","KEEP")</f>
        <v>KEEP</v>
      </c>
      <c r="Y7" s="119" t="str">
        <f t="shared" ref="Y7:Y2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arrival","project_id":79,"tracker_id":40,"status_id":1,"priority_id":2,"assigned_to_id":23,"start_date":"2016-11-19","description":"","custom_fields":[{"id":1,"name":"Subdivision","value":"EC"},{"id":4,"name":"Milepost","value":"2.735"},{"id":17,"name":"Train ID","value":"230-19"},{"id":16,"name":"Locomotive ID","value":"4037"},{"id":130,"name":"Impact","value":""},{"id":150,"name":"Time of Event (Mountain Time)","value":"22:26:36"},{"id":151,"name":"Denver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29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"%USERPROFILE%\AppData\Local\Temp\OnboardLogs"\RTDC4037\*4037*201611200*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"%USERPROFILE%\AppData\Local\Temp\OnboardLogs"\RTDC4037\*4037*201611200* &gt;&gt; 42693-slicedisagreementcheck.txt</v>
      </c>
    </row>
    <row r="8" spans="1:30" s="1" customFormat="1" x14ac:dyDescent="0.25">
      <c r="A8" s="36">
        <v>42693.287280092591</v>
      </c>
      <c r="B8" s="31" t="s">
        <v>247</v>
      </c>
      <c r="C8" s="31" t="s">
        <v>444</v>
      </c>
      <c r="D8" s="31" t="s">
        <v>98</v>
      </c>
      <c r="E8" s="31" t="s">
        <v>154</v>
      </c>
      <c r="F8" s="47">
        <v>350</v>
      </c>
      <c r="G8" s="47">
        <v>400</v>
      </c>
      <c r="H8" s="47">
        <v>33223</v>
      </c>
      <c r="I8" s="47">
        <v>34445</v>
      </c>
      <c r="J8" s="31" t="s">
        <v>153</v>
      </c>
      <c r="K8" s="47">
        <v>33137</v>
      </c>
      <c r="L8" s="154" t="s">
        <v>50</v>
      </c>
      <c r="M8" s="155">
        <f t="shared" si="0"/>
        <v>-690.62400000000002</v>
      </c>
      <c r="N8" s="156" t="str">
        <f>VLOOKUP(C8,'Trips&amp;Operators'!$C$1:$E$99999,3,FALSE)</f>
        <v>GEBRETEKLE</v>
      </c>
      <c r="O8" s="183" t="s">
        <v>202</v>
      </c>
      <c r="P8" s="157" t="s">
        <v>799</v>
      </c>
      <c r="Q8" s="31"/>
      <c r="R8" s="100" t="str">
        <f>VLOOKUP(C8,'Train Runs'!$A$13:$AE$9995,31,0)</f>
        <v>aws s3 cp s3://rtdc.mdm.uploadarchive.raw/RTDC4038/ "%USERPROFILE%\AppData\Local\Temp\OnboardLogs"\RTDC4038\2016-11-19 --exclude "*" --recursive --include "*20161119*" &amp; "%USERPROFILE%\Documents\GitHub\mrs-test-scripts\Headless Mode &amp; Sideloading\WalkAndUnGZ.bat" "%USERPROFILE%\AppData\Local\Temp\OnboardLogs"\RTDC4038\2016-11-19 &amp; aws s3 cp s3://rtdc.mdm.uploadarchive.raw/RTDC4038/ "%USERPROFILE%\AppData\Local\Temp\OnboardLogs"\RTDC4038\2016-11-20 --exclude "*" --recursive --include "*20161120*" &amp; "%USERPROFILE%\Documents\GitHub\mrs-test-scripts\Headless Mode &amp; Sideloading\WalkAndUnGZ.bat" "%USERPROFILE%\AppData\Local\Temp\OnboardLogs"\RTDC4038\2016-11-20</v>
      </c>
      <c r="S8" s="103" t="str">
        <f>VLOOKUP(C8,'Train Runs'!$A$13:$AE$9995,22,0)</f>
        <v>https://search-rtdc-monitor-bjffxe2xuh6vdkpspy63sjmuny.us-east-1.es.amazonaws.com/_plugin/kibana/#/discover/Steve-Slow-Train-Analysis-(2080s-and-2083s)?_g=(refreshInterval:(display:Off,section:0,value:0),time:(from:'2016-11-19 05:39:48-700',mode:absolute,to:'2016-11-19 08:20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8" s="105" t="str">
        <f t="shared" si="1"/>
        <v>"C:\Program Files (x86)\AstroGrep\AstroGrep.exe" /spath="%USERPROFILE%\AppData\Local\Temp\OnboardLogs" /stypes="*4038*201611191*" /stext=" 13:.+((SYSTEM_STATE.+slice.+state.+changed )|(ment ac)|(system.+state.+changed )|(\[timeout)|(PRM\|1\|D)|(kpr)|(kdp)|(\|lc)|(penalty))" /e /r /s</v>
      </c>
      <c r="U8" s="9" t="str">
        <f t="shared" si="2"/>
        <v>4038</v>
      </c>
      <c r="V8" s="36">
        <f t="shared" si="3"/>
        <v>42693.578946759255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arrival","project_id":79,"tracker_id":40,"status_id":1,"priority_id":2,"assigned_to_id":23,"start_date":"2016-11-19","description":"","custom_fields":[{"id":1,"name":"Subdivision","value":"EC"},{"id":4,"name":"Milepost","value":"3.3137"},{"id":17,"name":"Train ID","value":"125-19"},{"id":16,"name":"Locomotive ID","value":"4038"},{"id":130,"name":"Impact","value":""},{"id":150,"name":"Time of Event (Mountain Time)","value":"06:53:41"},{"id":151,"name":"Denver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"%USERPROFILE%\AppData\Local\Temp\OnboardLogs"\RTDC4038\*4038*201611191*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"%USERPROFILE%\AppData\Local\Temp\OnboardLogs"\RTDC4038\*4038*201611191* &gt;&gt; 42693-slicedisagreementcheck.txt</v>
      </c>
    </row>
    <row r="9" spans="1:30" s="1" customFormat="1" x14ac:dyDescent="0.25">
      <c r="A9" s="36">
        <v>42693.50372685185</v>
      </c>
      <c r="B9" s="31" t="s">
        <v>275</v>
      </c>
      <c r="C9" s="31" t="s">
        <v>451</v>
      </c>
      <c r="D9" s="31" t="s">
        <v>49</v>
      </c>
      <c r="E9" s="31" t="s">
        <v>154</v>
      </c>
      <c r="F9" s="47">
        <v>0</v>
      </c>
      <c r="G9" s="47">
        <v>395</v>
      </c>
      <c r="H9" s="47">
        <v>81269</v>
      </c>
      <c r="I9" s="47">
        <v>79974</v>
      </c>
      <c r="J9" s="31" t="s">
        <v>153</v>
      </c>
      <c r="K9" s="47">
        <v>78469</v>
      </c>
      <c r="L9" s="154" t="s">
        <v>51</v>
      </c>
      <c r="M9" s="155">
        <f t="shared" si="0"/>
        <v>794.64</v>
      </c>
      <c r="N9" s="156" t="str">
        <f>VLOOKUP(C9,'Trips&amp;Operators'!$C$1:$E$99999,3,FALSE)</f>
        <v>STRICKLAND</v>
      </c>
      <c r="O9" s="183" t="s">
        <v>202</v>
      </c>
      <c r="P9" s="157" t="s">
        <v>798</v>
      </c>
      <c r="Q9" s="31"/>
      <c r="R9" s="100" t="str">
        <f>VLOOKUP(C9,'Train Runs'!$A$13:$AE$9995,31,0)</f>
        <v>aws s3 cp s3://rtdc.mdm.uploadarchive.raw/RTDC4013/ "%USERPROFILE%\AppData\Local\Temp\OnboardLogs"\RTDC4013\2016-11-19 --exclude "*" --recursive --include "*20161119*" &amp; "%USERPROFILE%\Documents\GitHub\mrs-test-scripts\Headless Mode &amp; Sideloading\WalkAndUnGZ.bat" "%USERPROFILE%\AppData\Local\Temp\OnboardLogs"\RTDC4013\2016-11-19 &amp; aws s3 cp s3://rtdc.mdm.uploadarchive.raw/RTDC4013/ "%USERPROFILE%\AppData\Local\Temp\OnboardLogs"\RTDC4013\2016-11-20 --exclude "*" --recursive --include "*20161120*" &amp; "%USERPROFILE%\Documents\GitHub\mrs-test-scripts\Headless Mode &amp; Sideloading\WalkAndUnGZ.bat" "%USERPROFILE%\AppData\Local\Temp\OnboardLogs"\RTDC4013\2016-11-20</v>
      </c>
      <c r="S9" s="103" t="str">
        <f>VLOOKUP(C9,'Train Runs'!$A$13:$AE$9995,22,0)</f>
        <v>https://search-rtdc-monitor-bjffxe2xuh6vdkpspy63sjmuny.us-east-1.es.amazonaws.com/_plugin/kibana/#/discover/Steve-Slow-Train-Analysis-(2080s-and-2083s)?_g=(refreshInterval:(display:Off,section:0,value:0),time:(from:'2016-11-19 10:32:20-700',mode:absolute,to:'2016-11-19 13:25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9" s="105" t="str">
        <f t="shared" si="1"/>
        <v>"C:\Program Files (x86)\AstroGrep\AstroGrep.exe" /spath="%USERPROFILE%\AppData\Local\Temp\OnboardLogs" /stypes="*4013*201611191*" /stext=" 19:.+((SYSTEM_STATE.+slice.+state.+changed )|(ment ac)|(system.+state.+changed )|(\[timeout)|(PRM\|1\|D)|(kpr)|(kdp)|(\|lc)|(penalty))" /e /r /s</v>
      </c>
      <c r="U9" s="9" t="str">
        <f t="shared" si="2"/>
        <v>4013</v>
      </c>
      <c r="V9" s="36">
        <f t="shared" si="3"/>
        <v>42693.795393518514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{"issue":{"subject":"Form C","project_id":79,"tracker_id":40,"status_id":1,"priority_id":2,"assigned_to_id":23,"start_date":"2016-11-19","description":"","custom_fields":[{"id":1,"name":"Subdivision","value":"EC"},{"id":4,"name":"Milepost","value":"7.8469"},{"id":17,"name":"Train ID","value":"158-19"},{"id":16,"name":"Locomotive ID","value":"4013"},{"id":130,"name":"Impact","value":""},{"id":150,"name":"Time of Event (Mountain Time)","value":"12:05:22"},{"id":151,"name":"Denver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"%USERPROFILE%\AppData\Local\Temp\OnboardLogs"\RTDC4013\*4013*201611191*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"%USERPROFILE%\AppData\Local\Temp\OnboardLogs"\RTDC4013\*4013*201611191* &gt;&gt; 42693-slicedisagreementcheck.txt</v>
      </c>
    </row>
    <row r="10" spans="1:30" s="1" customFormat="1" x14ac:dyDescent="0.25">
      <c r="A10" s="36">
        <v>42693.295266203706</v>
      </c>
      <c r="B10" s="31" t="s">
        <v>275</v>
      </c>
      <c r="C10" s="31" t="s">
        <v>445</v>
      </c>
      <c r="D10" s="31" t="s">
        <v>49</v>
      </c>
      <c r="E10" s="31" t="s">
        <v>203</v>
      </c>
      <c r="F10" s="47">
        <v>150</v>
      </c>
      <c r="G10" s="47">
        <v>227</v>
      </c>
      <c r="H10" s="47">
        <v>5246</v>
      </c>
      <c r="I10" s="47">
        <v>4698</v>
      </c>
      <c r="J10" s="31" t="s">
        <v>204</v>
      </c>
      <c r="K10" s="47">
        <v>4677</v>
      </c>
      <c r="L10" s="154" t="s">
        <v>51</v>
      </c>
      <c r="M10" s="155">
        <f t="shared" si="0"/>
        <v>11.087999999999999</v>
      </c>
      <c r="N10" s="156" t="str">
        <f>VLOOKUP(C10,'Trips&amp;Operators'!$C$1:$E$99999,3,FALSE)</f>
        <v>STRICKLAND</v>
      </c>
      <c r="O10" s="183" t="s">
        <v>202</v>
      </c>
      <c r="P10" s="157"/>
      <c r="Q10" s="31"/>
      <c r="R10" s="100" t="str">
        <f>VLOOKUP(C10,'Train Runs'!$A$13:$AE$9995,31,0)</f>
        <v>aws s3 cp s3://rtdc.mdm.uploadarchive.raw/RTDC4013/ "%USERPROFILE%\AppData\Local\Temp\OnboardLogs"\RTDC4013\2016-11-19 --exclude "*" --recursive --include "*20161119*" &amp; "%USERPROFILE%\Documents\GitHub\mrs-test-scripts\Headless Mode &amp; Sideloading\WalkAndUnGZ.bat" "%USERPROFILE%\AppData\Local\Temp\OnboardLogs"\RTDC4013\2016-11-19 &amp; aws s3 cp s3://rtdc.mdm.uploadarchive.raw/RTDC4013/ "%USERPROFILE%\AppData\Local\Temp\OnboardLogs"\RTDC4013\2016-11-20 --exclude "*" --recursive --include "*20161120*" &amp; "%USERPROFILE%\Documents\GitHub\mrs-test-scripts\Headless Mode &amp; Sideloading\WalkAndUnGZ.bat" "%USERPROFILE%\AppData\Local\Temp\OnboardLogs"\RTDC4013\2016-11-20</v>
      </c>
      <c r="S10" s="103" t="str">
        <f>VLOOKUP(C10,'Train Runs'!$A$13:$AE$9995,22,0)</f>
        <v>https://search-rtdc-monitor-bjffxe2xuh6vdkpspy63sjmuny.us-east-1.es.amazonaws.com/_plugin/kibana/#/discover/Steve-Slow-Train-Analysis-(2080s-and-2083s)?_g=(refreshInterval:(display:Off,section:0,value:0),time:(from:'2016-11-19 05:12:52-700',mode:absolute,to:'2016-11-19 08:08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0" s="105" t="str">
        <f t="shared" si="1"/>
        <v>"C:\Program Files (x86)\AstroGrep\AstroGrep.exe" /spath="%USERPROFILE%\AppData\Local\Temp\OnboardLogs" /stypes="*4013*201611191*" /stext=" 14:.+((SYSTEM_STATE.+slice.+state.+changed )|(ment ac)|(system.+state.+changed )|(\[timeout)|(PRM\|1\|D)|(kpr)|(kdp)|(\|lc)|(penalty))" /e /r /s</v>
      </c>
      <c r="U10" s="9" t="str">
        <f t="shared" si="2"/>
        <v>4013</v>
      </c>
      <c r="V10" s="36">
        <f t="shared" si="3"/>
        <v>42693.58693287037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{"issue":{"subject":"","project_id":79,"tracker_id":40,"status_id":1,"priority_id":2,"assigned_to_id":23,"start_date":"2016-11-19","description":"","custom_fields":[{"id":1,"name":"Subdivision","value":"EC"},{"id":4,"name":"Milepost","value":"0.4677"},{"id":17,"name":"Train ID","value":"116-19"},{"id":16,"name":"Locomotive ID","value":"4013"},{"id":130,"name":"Impact","value":""},{"id":150,"name":"Time of Event (Mountain Time)","value":"07:05:11"},{"id":151,"name":"Denver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"%USERPROFILE%\AppData\Local\Temp\OnboardLogs"\RTDC4013\*4013*201611191*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"%USERPROFILE%\AppData\Local\Temp\OnboardLogs"\RTDC4013\*4013*201611191* &gt;&gt; 42693-slicedisagreementcheck.txt</v>
      </c>
    </row>
    <row r="11" spans="1:30" s="1" customFormat="1" x14ac:dyDescent="0.25">
      <c r="A11" s="36">
        <v>42693.595856481479</v>
      </c>
      <c r="B11" s="31" t="s">
        <v>224</v>
      </c>
      <c r="C11" s="31" t="s">
        <v>453</v>
      </c>
      <c r="D11" s="31" t="s">
        <v>49</v>
      </c>
      <c r="E11" s="31" t="s">
        <v>203</v>
      </c>
      <c r="F11" s="47">
        <v>200</v>
      </c>
      <c r="G11" s="47">
        <v>296</v>
      </c>
      <c r="H11" s="47">
        <v>6320</v>
      </c>
      <c r="I11" s="47">
        <v>5670</v>
      </c>
      <c r="J11" s="31" t="s">
        <v>204</v>
      </c>
      <c r="K11" s="47">
        <v>5457</v>
      </c>
      <c r="L11" s="154" t="s">
        <v>51</v>
      </c>
      <c r="M11" s="155">
        <f t="shared" si="0"/>
        <v>112.464</v>
      </c>
      <c r="N11" s="156" t="str">
        <f>VLOOKUP(C11,'Trips&amp;Operators'!$C$1:$E$99999,3,FALSE)</f>
        <v>STEWART</v>
      </c>
      <c r="O11" s="183" t="s">
        <v>202</v>
      </c>
      <c r="P11" s="157"/>
      <c r="Q11" s="31"/>
      <c r="R11" s="100" t="str">
        <f>VLOOKUP(C11,'Train Runs'!$A$13:$AE$9995,31,0)</f>
        <v>aws s3 cp s3://rtdc.mdm.uploadarchive.raw/RTDC4004/ "%USERPROFILE%\AppData\Local\Temp\OnboardLogs"\RTDC4004\2016-11-19 --exclude "*" --recursive --include "*20161119*" &amp; "%USERPROFILE%\Documents\GitHub\mrs-test-scripts\Headless Mode &amp; Sideloading\WalkAndUnGZ.bat" "%USERPROFILE%\AppData\Local\Temp\OnboardLogs"\RTDC4004\2016-11-19 &amp; 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</v>
      </c>
      <c r="S11" s="103" t="str">
        <f>VLOOKUP(C11,'Train Runs'!$A$13:$AE$9995,22,0)</f>
        <v>https://search-rtdc-monitor-bjffxe2xuh6vdkpspy63sjmuny.us-east-1.es.amazonaws.com/_plugin/kibana/#/discover/Steve-Slow-Train-Analysis-(2080s-and-2083s)?_g=(refreshInterval:(display:Off,section:0,value:0),time:(from:'2016-11-19 12:37:25-700',mode:absolute,to:'2016-11-19 15:20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1" s="105" t="str">
        <f t="shared" si="1"/>
        <v>"C:\Program Files (x86)\AstroGrep\AstroGrep.exe" /spath="%USERPROFILE%\AppData\Local\Temp\OnboardLogs" /stypes="*4004*201611192*" /stext=" 21:.+((SYSTEM_STATE.+slice.+state.+changed )|(ment ac)|(system.+state.+changed )|(\[timeout)|(PRM\|1\|D)|(kpr)|(kdp)|(\|lc)|(penalty))" /e /r /s</v>
      </c>
      <c r="U11" s="9" t="str">
        <f t="shared" si="2"/>
        <v>4004</v>
      </c>
      <c r="V11" s="36">
        <f t="shared" si="3"/>
        <v>42693.887523148143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{"issue":{"subject":"","project_id":79,"tracker_id":40,"status_id":1,"priority_id":2,"assigned_to_id":23,"start_date":"2016-11-19","description":"","custom_fields":[{"id":1,"name":"Subdivision","value":"EC"},{"id":4,"name":"Milepost","value":"0.5457"},{"id":17,"name":"Train ID","value":"174-19"},{"id":16,"name":"Locomotive ID","value":"4004"},{"id":130,"name":"Impact","value":""},{"id":150,"name":"Time of Event (Mountain Time)","value":"14:18:02"},{"id":151,"name":"Denver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"%USERPROFILE%\AppData\Local\Temp\OnboardLogs"\RTDC4004\*4004*201611192*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"%USERPROFILE%\AppData\Local\Temp\OnboardLogs"\RTDC4004\*4004*201611192* &gt;&gt; 42693-slicedisagreementcheck.txt</v>
      </c>
    </row>
    <row r="12" spans="1:30" s="1" customFormat="1" x14ac:dyDescent="0.25">
      <c r="A12" s="36">
        <v>42693.246087962965</v>
      </c>
      <c r="B12" s="31" t="s">
        <v>274</v>
      </c>
      <c r="C12" s="31" t="s">
        <v>443</v>
      </c>
      <c r="D12" s="31" t="s">
        <v>49</v>
      </c>
      <c r="E12" s="31" t="s">
        <v>203</v>
      </c>
      <c r="F12" s="47">
        <v>400</v>
      </c>
      <c r="G12" s="47">
        <v>606</v>
      </c>
      <c r="H12" s="47">
        <v>114054</v>
      </c>
      <c r="I12" s="47">
        <v>116430</v>
      </c>
      <c r="J12" s="31" t="s">
        <v>204</v>
      </c>
      <c r="K12" s="47">
        <v>116838</v>
      </c>
      <c r="L12" s="154" t="s">
        <v>50</v>
      </c>
      <c r="M12" s="155">
        <f t="shared" si="0"/>
        <v>215.42400000000001</v>
      </c>
      <c r="N12" s="156" t="str">
        <f>VLOOKUP(C12,'Trips&amp;Operators'!$C$1:$E$99999,3,FALSE)</f>
        <v>STRICKLAND</v>
      </c>
      <c r="O12" s="183" t="s">
        <v>202</v>
      </c>
      <c r="P12" s="157"/>
      <c r="Q12" s="31"/>
      <c r="R12" s="100" t="str">
        <f>VLOOKUP(C12,'Train Runs'!$A$13:$AE$9995,31,0)</f>
        <v>aws s3 cp s3://rtdc.mdm.uploadarchive.raw/RTDC4014/ "%USERPROFILE%\AppData\Local\Temp\OnboardLogs"\RTDC4014\2016-11-19 --exclude "*" --recursive --include "*20161119*" &amp; "%USERPROFILE%\Documents\GitHub\mrs-test-scripts\Headless Mode &amp; Sideloading\WalkAndUnGZ.bat" "%USERPROFILE%\AppData\Local\Temp\OnboardLogs"\RTDC4014\2016-11-19 &amp; aws s3 cp s3://rtdc.mdm.uploadarchive.raw/RTDC4014/ "%USERPROFILE%\AppData\Local\Temp\OnboardLogs"\RTDC4014\2016-11-20 --exclude "*" --recursive --include "*20161120*" &amp; "%USERPROFILE%\Documents\GitHub\mrs-test-scripts\Headless Mode &amp; Sideloading\WalkAndUnGZ.bat" "%USERPROFILE%\AppData\Local\Temp\OnboardLogs"\RTDC4014\2016-11-20</v>
      </c>
      <c r="S12" s="103" t="str">
        <f>VLOOKUP(C12,'Train Runs'!$A$13:$AE$9995,22,0)</f>
        <v>https://search-rtdc-monitor-bjffxe2xuh6vdkpspy63sjmuny.us-east-1.es.amazonaws.com/_plugin/kibana/#/discover/Steve-Slow-Train-Analysis-(2080s-and-2083s)?_g=(refreshInterval:(display:Off,section:0,value:0),time:(from:'2016-11-19 04:35:44-700',mode:absolute,to:'2016-11-19 07:10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12" s="105" t="str">
        <f t="shared" si="1"/>
        <v>"C:\Program Files (x86)\AstroGrep\AstroGrep.exe" /spath="%USERPROFILE%\AppData\Local\Temp\OnboardLogs" /stypes="*4014*201611191*" /stext=" 12:.+((SYSTEM_STATE.+slice.+state.+changed )|(ment ac)|(system.+state.+changed )|(\[timeout)|(PRM\|1\|D)|(kpr)|(kdp)|(\|lc)|(penalty))" /e /r /s</v>
      </c>
      <c r="U12" s="9" t="str">
        <f t="shared" si="2"/>
        <v>4014</v>
      </c>
      <c r="V12" s="36">
        <f t="shared" si="3"/>
        <v>42693.537754629629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{"issue":{"subject":"","project_id":79,"tracker_id":40,"status_id":1,"priority_id":2,"assigned_to_id":23,"start_date":"2016-11-19","description":"","custom_fields":[{"id":1,"name":"Subdivision","value":"EC"},{"id":4,"name":"Milepost","value":"11.6838"},{"id":17,"name":"Train ID","value":"115-19"},{"id":16,"name":"Locomotive ID","value":"4014"},{"id":130,"name":"Impact","value":""},{"id":150,"name":"Time of Event (Mountain Time)","value":"05:54:22"},{"id":151,"name":"Denver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"%USERPROFILE%\AppData\Local\Temp\OnboardLogs"\RTDC4014\*4014*201611191*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"%USERPROFILE%\AppData\Local\Temp\OnboardLogs"\RTDC4014\*4014*201611191* &gt;&gt; 42693-slicedisagreementcheck.txt</v>
      </c>
    </row>
    <row r="13" spans="1:30" s="1" customFormat="1" x14ac:dyDescent="0.25">
      <c r="A13" s="36">
        <v>42693.498472222222</v>
      </c>
      <c r="B13" s="31" t="s">
        <v>275</v>
      </c>
      <c r="C13" s="31" t="s">
        <v>451</v>
      </c>
      <c r="D13" s="31" t="s">
        <v>49</v>
      </c>
      <c r="E13" s="31" t="s">
        <v>203</v>
      </c>
      <c r="F13" s="47">
        <v>400</v>
      </c>
      <c r="G13" s="47">
        <v>457</v>
      </c>
      <c r="H13" s="47">
        <v>120664</v>
      </c>
      <c r="I13" s="47">
        <v>119174</v>
      </c>
      <c r="J13" s="31" t="s">
        <v>204</v>
      </c>
      <c r="K13" s="47">
        <v>119716</v>
      </c>
      <c r="L13" s="154" t="s">
        <v>51</v>
      </c>
      <c r="M13" s="155">
        <f t="shared" si="0"/>
        <v>-286.17599999999999</v>
      </c>
      <c r="N13" s="156" t="str">
        <f>VLOOKUP(C13,'Trips&amp;Operators'!$C$1:$E$99999,3,FALSE)</f>
        <v>STRICKLAND</v>
      </c>
      <c r="O13" s="183" t="s">
        <v>202</v>
      </c>
      <c r="P13" s="157"/>
      <c r="Q13" s="31"/>
      <c r="R13" s="100" t="str">
        <f>VLOOKUP(C13,'Train Runs'!$A$13:$AE$9995,31,0)</f>
        <v>aws s3 cp s3://rtdc.mdm.uploadarchive.raw/RTDC4013/ "%USERPROFILE%\AppData\Local\Temp\OnboardLogs"\RTDC4013\2016-11-19 --exclude "*" --recursive --include "*20161119*" &amp; "%USERPROFILE%\Documents\GitHub\mrs-test-scripts\Headless Mode &amp; Sideloading\WalkAndUnGZ.bat" "%USERPROFILE%\AppData\Local\Temp\OnboardLogs"\RTDC4013\2016-11-19 &amp; aws s3 cp s3://rtdc.mdm.uploadarchive.raw/RTDC4013/ "%USERPROFILE%\AppData\Local\Temp\OnboardLogs"\RTDC4013\2016-11-20 --exclude "*" --recursive --include "*20161120*" &amp; "%USERPROFILE%\Documents\GitHub\mrs-test-scripts\Headless Mode &amp; Sideloading\WalkAndUnGZ.bat" "%USERPROFILE%\AppData\Local\Temp\OnboardLogs"\RTDC4013\2016-11-20</v>
      </c>
      <c r="S13" s="103" t="str">
        <f>VLOOKUP(C13,'Train Runs'!$A$13:$AE$9995,22,0)</f>
        <v>https://search-rtdc-monitor-bjffxe2xuh6vdkpspy63sjmuny.us-east-1.es.amazonaws.com/_plugin/kibana/#/discover/Steve-Slow-Train-Analysis-(2080s-and-2083s)?_g=(refreshInterval:(display:Off,section:0,value:0),time:(from:'2016-11-19 10:32:20-700',mode:absolute,to:'2016-11-19 13:25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3" s="105" t="str">
        <f t="shared" si="1"/>
        <v>"C:\Program Files (x86)\AstroGrep\AstroGrep.exe" /spath="%USERPROFILE%\AppData\Local\Temp\OnboardLogs" /stypes="*4013*201611191*" /stext=" 18:.+((SYSTEM_STATE.+slice.+state.+changed )|(ment ac)|(system.+state.+changed )|(\[timeout)|(PRM\|1\|D)|(kpr)|(kdp)|(\|lc)|(penalty))" /e /r /s</v>
      </c>
      <c r="U13" s="9" t="str">
        <f t="shared" si="2"/>
        <v>4013</v>
      </c>
      <c r="V13" s="36">
        <f t="shared" si="3"/>
        <v>42693.790138888886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{"issue":{"subject":"","project_id":79,"tracker_id":40,"status_id":1,"priority_id":2,"assigned_to_id":23,"start_date":"2016-11-19","description":"","custom_fields":[{"id":1,"name":"Subdivision","value":"EC"},{"id":4,"name":"Milepost","value":"11.9716"},{"id":17,"name":"Train ID","value":"158-19"},{"id":16,"name":"Locomotive ID","value":"4013"},{"id":130,"name":"Impact","value":""},{"id":150,"name":"Time of Event (Mountain Time)","value":"11:57:48"},{"id":151,"name":"Denver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"%USERPROFILE%\AppData\Local\Temp\OnboardLogs"\RTDC4013\*4013*201611191*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"%USERPROFILE%\AppData\Local\Temp\OnboardLogs"\RTDC4013\*4013*201611191* &gt;&gt; 42693-slicedisagreementcheck.txt</v>
      </c>
    </row>
    <row r="14" spans="1:30" s="1" customFormat="1" x14ac:dyDescent="0.25">
      <c r="A14" s="36">
        <v>42693.323437500003</v>
      </c>
      <c r="B14" s="31" t="s">
        <v>274</v>
      </c>
      <c r="C14" s="31" t="s">
        <v>446</v>
      </c>
      <c r="D14" s="31" t="s">
        <v>49</v>
      </c>
      <c r="E14" s="31" t="s">
        <v>203</v>
      </c>
      <c r="F14" s="47">
        <v>600</v>
      </c>
      <c r="G14" s="47">
        <v>672</v>
      </c>
      <c r="H14" s="47">
        <v>182048</v>
      </c>
      <c r="I14" s="47">
        <v>184688</v>
      </c>
      <c r="J14" s="31" t="s">
        <v>204</v>
      </c>
      <c r="K14" s="47">
        <v>183829</v>
      </c>
      <c r="L14" s="154" t="s">
        <v>50</v>
      </c>
      <c r="M14" s="155">
        <f t="shared" si="0"/>
        <v>-453.55200000000002</v>
      </c>
      <c r="N14" s="156" t="str">
        <f>VLOOKUP(C14,'Trips&amp;Operators'!$C$1:$E$99999,3,FALSE)</f>
        <v>STRICKLAND</v>
      </c>
      <c r="O14" s="183" t="s">
        <v>202</v>
      </c>
      <c r="P14" s="157"/>
      <c r="Q14" s="31"/>
      <c r="R14" s="100" t="str">
        <f>VLOOKUP(C14,'Train Runs'!$A$13:$AE$9995,31,0)</f>
        <v>aws s3 cp s3://rtdc.mdm.uploadarchive.raw/RTDC4014/ "%USERPROFILE%\AppData\Local\Temp\OnboardLogs"\RTDC4014\2016-11-19 --exclude "*" --recursive --include "*20161119*" &amp; "%USERPROFILE%\Documents\GitHub\mrs-test-scripts\Headless Mode &amp; Sideloading\WalkAndUnGZ.bat" "%USERPROFILE%\AppData\Local\Temp\OnboardLogs"\RTDC4014\2016-11-19 &amp; aws s3 cp s3://rtdc.mdm.uploadarchive.raw/RTDC4014/ "%USERPROFILE%\AppData\Local\Temp\OnboardLogs"\RTDC4014\2016-11-20 --exclude "*" --recursive --include "*20161120*" &amp; "%USERPROFILE%\Documents\GitHub\mrs-test-scripts\Headless Mode &amp; Sideloading\WalkAndUnGZ.bat" "%USERPROFILE%\AppData\Local\Temp\OnboardLogs"\RTDC4014\2016-11-20</v>
      </c>
      <c r="S14" s="103" t="str">
        <f>VLOOKUP(C14,'Train Runs'!$A$13:$AE$9995,22,0)</f>
        <v>https://search-rtdc-monitor-bjffxe2xuh6vdkpspy63sjmuny.us-east-1.es.amazonaws.com/_plugin/kibana/#/discover/Steve-Slow-Train-Analysis-(2080s-and-2083s)?_g=(refreshInterval:(display:Off,section:0,value:0),time:(from:'2016-11-19 06:10:40-700',mode:absolute,to:'2016-11-19 08:52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14" s="105" t="str">
        <f t="shared" si="1"/>
        <v>"C:\Program Files (x86)\AstroGrep\AstroGrep.exe" /spath="%USERPROFILE%\AppData\Local\Temp\OnboardLogs" /stypes="*4014*201611191*" /stext=" 14:.+((SYSTEM_STATE.+slice.+state.+changed )|(ment ac)|(system.+state.+changed )|(\[timeout)|(PRM\|1\|D)|(kpr)|(kdp)|(\|lc)|(penalty))" /e /r /s</v>
      </c>
      <c r="U14" s="9" t="str">
        <f t="shared" si="2"/>
        <v>4014</v>
      </c>
      <c r="V14" s="36">
        <f t="shared" si="3"/>
        <v>42693.615104166667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{"issue":{"subject":"","project_id":79,"tracker_id":40,"status_id":1,"priority_id":2,"assigned_to_id":23,"start_date":"2016-11-19","description":"","custom_fields":[{"id":1,"name":"Subdivision","value":"EC"},{"id":4,"name":"Milepost","value":"18.3829"},{"id":17,"name":"Train ID","value":"129-19"},{"id":16,"name":"Locomotive ID","value":"4014"},{"id":130,"name":"Impact","value":""},{"id":150,"name":"Time of Event (Mountain Time)","value":"07:45:45"},{"id":151,"name":"Denver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"%USERPROFILE%\AppData\Local\Temp\OnboardLogs"\RTDC4014\*4014*201611191*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"%USERPROFILE%\AppData\Local\Temp\OnboardLogs"\RTDC4014\*4014*201611191* &gt;&gt; 42693-slicedisagreementcheck.txt</v>
      </c>
    </row>
    <row r="15" spans="1:30" s="1" customFormat="1" x14ac:dyDescent="0.25">
      <c r="A15" s="36">
        <v>42693.685706018521</v>
      </c>
      <c r="B15" s="31" t="s">
        <v>343</v>
      </c>
      <c r="C15" s="31" t="s">
        <v>455</v>
      </c>
      <c r="D15" s="31" t="s">
        <v>49</v>
      </c>
      <c r="E15" s="31" t="s">
        <v>205</v>
      </c>
      <c r="F15" s="47">
        <v>0</v>
      </c>
      <c r="G15" s="47">
        <v>323</v>
      </c>
      <c r="H15" s="47">
        <v>120619</v>
      </c>
      <c r="I15" s="47">
        <v>119862</v>
      </c>
      <c r="J15" s="31" t="s">
        <v>206</v>
      </c>
      <c r="K15" s="47">
        <v>118741</v>
      </c>
      <c r="L15" s="154" t="s">
        <v>51</v>
      </c>
      <c r="M15" s="155">
        <f t="shared" si="0"/>
        <v>591.88800000000003</v>
      </c>
      <c r="N15" s="156" t="str">
        <f>VLOOKUP(C15,'Trips&amp;Operators'!$C$1:$E$99999,3,FALSE)</f>
        <v>SHOOK</v>
      </c>
      <c r="O15" s="183" t="s">
        <v>307</v>
      </c>
      <c r="P15" s="157" t="s">
        <v>796</v>
      </c>
      <c r="Q15" s="31"/>
      <c r="R15" s="100" t="str">
        <f>VLOOKUP(C15,'Train Runs'!$A$13:$AE$9995,31,0)</f>
        <v>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 &amp; 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</v>
      </c>
      <c r="S15" s="103" t="str">
        <f>VLOOKUP(C15,'Train Runs'!$A$13:$AE$9995,22,0)</f>
        <v>https://search-rtdc-monitor-bjffxe2xuh6vdkpspy63sjmuny.us-east-1.es.amazonaws.com/_plugin/kibana/#/discover/Steve-Slow-Train-Analysis-(2080s-and-2083s)?_g=(refreshInterval:(display:Off,section:0,value:0),time:(from:'2016-11-19 15:02:18-700',mode:absolute,to:'2016-11-19 17:52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5" s="105" t="str">
        <f t="shared" si="1"/>
        <v>"C:\Program Files (x86)\AstroGrep\AstroGrep.exe" /spath="%USERPROFILE%\AppData\Local\Temp\OnboardLogs" /stypes="*4032*201611192*" /stext=" 23:.+((SYSTEM_STATE.+slice.+state.+changed )|(ment ac)|(system.+state.+changed )|(\[timeout)|(PRM\|1\|D)|(kpr)|(kdp)|(\|lc)|(penalty))" /e /r /s</v>
      </c>
      <c r="U15" s="9" t="str">
        <f t="shared" si="2"/>
        <v>4032</v>
      </c>
      <c r="V15" s="36">
        <f t="shared" si="3"/>
        <v>42693.977372685185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{"issue":{"subject":"Wi-MAX data drop","project_id":79,"tracker_id":40,"status_id":1,"priority_id":2,"assigned_to_id":23,"start_date":"2016-11-19","description":"http://stevetu21.github.io/eaglep3/load_kml.html?kml=http://rtdc.gmaps-snips.s3.amazonaws.com/c45fc70c-4dd9-4631-836d-14c360adf375.kml","custom_fields":[{"id":1,"name":"Subdivision","value":"EC"},{"id":4,"name":"Milepost","value":"11.8741"},{"id":17,"name":"Train ID","value":"194-19"},{"id":16,"name":"Locomotive ID","value":"4032"},{"id":130,"name":"Impact","value":"Enforcement"},{"id":150,"name":"Time of Event (Mountain Time)","value":"16:27:25"},{"id":151,"name":"Denver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5" s="184" t="s">
        <v>802</v>
      </c>
      <c r="AA15" s="53" t="s">
        <v>125</v>
      </c>
      <c r="AB15" s="53" t="s">
        <v>138</v>
      </c>
      <c r="AC15" s="138" t="str">
        <f t="shared" si="7"/>
        <v>grep -hSE -A100 "Enforcement Action" "%USERPROFILE%\AppData\Local\Temp\OnboardLogs"\RTDC4032\*4032*201611192*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"%USERPROFILE%\AppData\Local\Temp\OnboardLogs"\RTDC4032\*4032*201611192* &gt;&gt; 42693-slicedisagreementcheck.txt</v>
      </c>
    </row>
    <row r="16" spans="1:30" s="1" customFormat="1" x14ac:dyDescent="0.25">
      <c r="A16" s="36">
        <v>42693.330196759256</v>
      </c>
      <c r="B16" s="31" t="s">
        <v>251</v>
      </c>
      <c r="C16" s="31" t="s">
        <v>447</v>
      </c>
      <c r="D16" s="31" t="s">
        <v>49</v>
      </c>
      <c r="E16" s="31" t="s">
        <v>205</v>
      </c>
      <c r="F16" s="47">
        <v>0</v>
      </c>
      <c r="G16" s="47">
        <v>345</v>
      </c>
      <c r="H16" s="47">
        <v>129000</v>
      </c>
      <c r="I16" s="47">
        <v>128230</v>
      </c>
      <c r="J16" s="31" t="s">
        <v>206</v>
      </c>
      <c r="K16" s="47">
        <v>127587</v>
      </c>
      <c r="L16" s="154" t="s">
        <v>51</v>
      </c>
      <c r="M16" s="155">
        <f t="shared" si="0"/>
        <v>339.50399999999996</v>
      </c>
      <c r="N16" s="156" t="str">
        <f>VLOOKUP(C16,'Trips&amp;Operators'!$C$1:$E$99999,3,FALSE)</f>
        <v>GEBRETEKLE</v>
      </c>
      <c r="O16" s="183" t="s">
        <v>202</v>
      </c>
      <c r="P16" s="157" t="s">
        <v>800</v>
      </c>
      <c r="Q16" s="31"/>
      <c r="R16" s="100" t="str">
        <f>VLOOKUP(C16,'Train Runs'!$A$13:$AE$9995,31,0)</f>
        <v>aws s3 cp s3://rtdc.mdm.uploadarchive.raw/RTDC4037/ "%USERPROFILE%\AppData\Local\Temp\OnboardLogs"\RTDC4037\2016-11-19 --exclude "*" --recursive --include "*20161119*" &amp; "%USERPROFILE%\Documents\GitHub\mrs-test-scripts\Headless Mode &amp; Sideloading\WalkAndUnGZ.bat" "%USERPROFILE%\AppData\Local\Temp\OnboardLogs"\RTDC4037\2016-11-19 &amp; aws s3 cp s3://rtdc.mdm.uploadarchive.raw/RTDC4037/ "%USERPROFILE%\AppData\Local\Temp\OnboardLogs"\RTDC4037\2016-11-20 --exclude "*" --recursive --include "*20161120*" &amp; "%USERPROFILE%\Documents\GitHub\mrs-test-scripts\Headless Mode &amp; Sideloading\WalkAndUnGZ.bat" "%USERPROFILE%\AppData\Local\Temp\OnboardLogs"\RTDC4037\2016-11-20</v>
      </c>
      <c r="S16" s="103" t="str">
        <f>VLOOKUP(C16,'Train Runs'!$A$13:$AE$9995,22,0)</f>
        <v>https://search-rtdc-monitor-bjffxe2xuh6vdkpspy63sjmuny.us-east-1.es.amazonaws.com/_plugin/kibana/#/discover/Steve-Slow-Train-Analysis-(2080s-and-2083s)?_g=(refreshInterval:(display:Off,section:0,value:0),time:(from:'2016-11-19 06:34:37-700',mode:absolute,to:'2016-11-19 09:20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6" s="105" t="str">
        <f t="shared" si="1"/>
        <v>"C:\Program Files (x86)\AstroGrep\AstroGrep.exe" /spath="%USERPROFILE%\AppData\Local\Temp\OnboardLogs" /stypes="*4037*201611191*" /stext=" 14:.+((SYSTEM_STATE.+slice.+state.+changed )|(ment ac)|(system.+state.+changed )|(\[timeout)|(PRM\|1\|D)|(kpr)|(kdp)|(\|lc)|(penalty))" /e /r /s</v>
      </c>
      <c r="U16" s="9" t="str">
        <f t="shared" si="2"/>
        <v>4037</v>
      </c>
      <c r="V16" s="36">
        <f t="shared" si="3"/>
        <v>42693.62186342592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{"issue":{"subject":"40th 4S STOP","project_id":79,"tracker_id":40,"status_id":1,"priority_id":2,"assigned_to_id":23,"start_date":"2016-11-19","description":"","custom_fields":[{"id":1,"name":"Subdivision","value":"EC"},{"id":4,"name":"Milepost","value":"12.7587"},{"id":17,"name":"Train ID","value":"126-19"},{"id":16,"name":"Locomotive ID","value":"4037"},{"id":130,"name":"Impact","value":""},{"id":150,"name":"Time of Event (Mountain Time)","value":"07:55:29"},{"id":151,"name":"Denver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"%USERPROFILE%\AppData\Local\Temp\OnboardLogs"\RTDC4037\*4037*201611191*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"%USERPROFILE%\AppData\Local\Temp\OnboardLogs"\RTDC4037\*4037*201611191* &gt;&gt; 42693-slicedisagreementcheck.txt</v>
      </c>
    </row>
    <row r="17" spans="1:30" s="1" customFormat="1" x14ac:dyDescent="0.25">
      <c r="A17" s="36">
        <v>42693.469513888886</v>
      </c>
      <c r="B17" s="31" t="s">
        <v>251</v>
      </c>
      <c r="C17" s="31" t="s">
        <v>449</v>
      </c>
      <c r="D17" s="31" t="s">
        <v>49</v>
      </c>
      <c r="E17" s="31" t="s">
        <v>205</v>
      </c>
      <c r="F17" s="47">
        <v>0</v>
      </c>
      <c r="G17" s="47">
        <v>360</v>
      </c>
      <c r="H17" s="47">
        <v>193544</v>
      </c>
      <c r="I17" s="47">
        <v>192725</v>
      </c>
      <c r="J17" s="31" t="s">
        <v>206</v>
      </c>
      <c r="K17" s="47">
        <v>191723</v>
      </c>
      <c r="L17" s="154" t="s">
        <v>51</v>
      </c>
      <c r="M17" s="155">
        <f t="shared" si="0"/>
        <v>529.05600000000004</v>
      </c>
      <c r="N17" s="156" t="str">
        <f>VLOOKUP(C17,'Trips&amp;Operators'!$C$1:$E$99999,3,FALSE)</f>
        <v>GEBRETEKLE</v>
      </c>
      <c r="O17" s="183" t="s">
        <v>202</v>
      </c>
      <c r="P17" s="157" t="s">
        <v>801</v>
      </c>
      <c r="Q17" s="31"/>
      <c r="R17" s="100" t="str">
        <f>VLOOKUP(C17,'Train Runs'!$A$13:$AE$9995,31,0)</f>
        <v>aws s3 cp s3://rtdc.mdm.uploadarchive.raw/RTDC4037/ "%USERPROFILE%\AppData\Local\Temp\OnboardLogs"\RTDC4037\2016-11-19 --exclude "*" --recursive --include "*20161119*" &amp; "%USERPROFILE%\Documents\GitHub\mrs-test-scripts\Headless Mode &amp; Sideloading\WalkAndUnGZ.bat" "%USERPROFILE%\AppData\Local\Temp\OnboardLogs"\RTDC4037\2016-11-19 &amp; aws s3 cp s3://rtdc.mdm.uploadarchive.raw/RTDC4037/ "%USERPROFILE%\AppData\Local\Temp\OnboardLogs"\RTDC4037\2016-11-20 --exclude "*" --recursive --include "*20161120*" &amp; "%USERPROFILE%\Documents\GitHub\mrs-test-scripts\Headless Mode &amp; Sideloading\WalkAndUnGZ.bat" "%USERPROFILE%\AppData\Local\Temp\OnboardLogs"\RTDC4037\2016-11-20</v>
      </c>
      <c r="S17" s="103" t="str">
        <f>VLOOKUP(C17,'Train Runs'!$A$13:$AE$9995,22,0)</f>
        <v>https://search-rtdc-monitor-bjffxe2xuh6vdkpspy63sjmuny.us-east-1.es.amazonaws.com/_plugin/kibana/#/discover/Steve-Slow-Train-Analysis-(2080s-and-2083s)?_g=(refreshInterval:(display:Off,section:0,value:0),time:(from:'2016-11-19 10:08:31-700',mode:absolute,to:'2016-11-19 12:48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7" s="105" t="str">
        <f t="shared" si="1"/>
        <v>"C:\Program Files (x86)\AstroGrep\AstroGrep.exe" /spath="%USERPROFILE%\AppData\Local\Temp\OnboardLogs" /stypes="*4037*201611191*" /stext=" 18:.+((SYSTEM_STATE.+slice.+state.+changed )|(ment ac)|(system.+state.+changed )|(\[timeout)|(PRM\|1\|D)|(kpr)|(kdp)|(\|lc)|(penalty))" /e /r /s</v>
      </c>
      <c r="U17" s="9" t="str">
        <f t="shared" si="2"/>
        <v>4037</v>
      </c>
      <c r="V17" s="36">
        <f t="shared" si="3"/>
        <v>42693.76118055555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{"issue":{"subject":"Pena 4S STOP","project_id":79,"tracker_id":40,"status_id":1,"priority_id":2,"assigned_to_id":23,"start_date":"2016-11-19","description":"","custom_fields":[{"id":1,"name":"Subdivision","value":"EC"},{"id":4,"name":"Milepost","value":"19.1723"},{"id":17,"name":"Train ID","value":"154-19"},{"id":16,"name":"Locomotive ID","value":"4037"},{"id":130,"name":"Impact","value":""},{"id":150,"name":"Time of Event (Mountain Time)","value":"11:16:06"},{"id":151,"name":"Denver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"%USERPROFILE%\AppData\Local\Temp\OnboardLogs"\RTDC4037\*4037*201611191*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"%USERPROFILE%\AppData\Local\Temp\OnboardLogs"\RTDC4037\*4037*201611191* &gt;&gt; 42693-slicedisagreementcheck.txt</v>
      </c>
    </row>
    <row r="18" spans="1:30" s="1" customFormat="1" x14ac:dyDescent="0.25">
      <c r="A18" s="36">
        <v>42693.291493055556</v>
      </c>
      <c r="B18" s="31" t="s">
        <v>275</v>
      </c>
      <c r="C18" s="31" t="s">
        <v>445</v>
      </c>
      <c r="D18" s="31" t="s">
        <v>98</v>
      </c>
      <c r="E18" s="31" t="s">
        <v>308</v>
      </c>
      <c r="F18" s="47">
        <v>150</v>
      </c>
      <c r="G18" s="47">
        <v>200</v>
      </c>
      <c r="H18" s="47">
        <v>26700</v>
      </c>
      <c r="I18" s="47">
        <v>26209</v>
      </c>
      <c r="J18" s="31" t="s">
        <v>153</v>
      </c>
      <c r="K18" s="47">
        <v>27399</v>
      </c>
      <c r="L18" s="154" t="s">
        <v>51</v>
      </c>
      <c r="M18" s="155">
        <f t="shared" si="0"/>
        <v>-628.32000000000005</v>
      </c>
      <c r="N18" s="156" t="str">
        <f>VLOOKUP(C18,'Trips&amp;Operators'!$C$1:$E$99999,3,FALSE)</f>
        <v>STRICKLAND</v>
      </c>
      <c r="O18" s="183" t="s">
        <v>202</v>
      </c>
      <c r="P18" s="157"/>
      <c r="Q18" s="31"/>
      <c r="R18" s="100" t="str">
        <f>VLOOKUP(C18,'Train Runs'!$A$13:$AE$9995,31,0)</f>
        <v>aws s3 cp s3://rtdc.mdm.uploadarchive.raw/RTDC4013/ "%USERPROFILE%\AppData\Local\Temp\OnboardLogs"\RTDC4013\2016-11-19 --exclude "*" --recursive --include "*20161119*" &amp; "%USERPROFILE%\Documents\GitHub\mrs-test-scripts\Headless Mode &amp; Sideloading\WalkAndUnGZ.bat" "%USERPROFILE%\AppData\Local\Temp\OnboardLogs"\RTDC4013\2016-11-19 &amp; aws s3 cp s3://rtdc.mdm.uploadarchive.raw/RTDC4013/ "%USERPROFILE%\AppData\Local\Temp\OnboardLogs"\RTDC4013\2016-11-20 --exclude "*" --recursive --include "*20161120*" &amp; "%USERPROFILE%\Documents\GitHub\mrs-test-scripts\Headless Mode &amp; Sideloading\WalkAndUnGZ.bat" "%USERPROFILE%\AppData\Local\Temp\OnboardLogs"\RTDC4013\2016-11-20</v>
      </c>
      <c r="S18" s="103" t="str">
        <f>VLOOKUP(C18,'Train Runs'!$A$13:$AE$9995,22,0)</f>
        <v>https://search-rtdc-monitor-bjffxe2xuh6vdkpspy63sjmuny.us-east-1.es.amazonaws.com/_plugin/kibana/#/discover/Steve-Slow-Train-Analysis-(2080s-and-2083s)?_g=(refreshInterval:(display:Off,section:0,value:0),time:(from:'2016-11-19 05:12:52-700',mode:absolute,to:'2016-11-19 08:08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8" s="105" t="str">
        <f t="shared" si="1"/>
        <v>"C:\Program Files (x86)\AstroGrep\AstroGrep.exe" /spath="%USERPROFILE%\AppData\Local\Temp\OnboardLogs" /stypes="*4013*201611191*" /stext=" 13:.+((SYSTEM_STATE.+slice.+state.+changed )|(ment ac)|(system.+state.+changed )|(\[timeout)|(PRM\|1\|D)|(kpr)|(kdp)|(\|lc)|(penalty))" /e /r /s</v>
      </c>
      <c r="U18" s="9" t="str">
        <f t="shared" si="2"/>
        <v>4013</v>
      </c>
      <c r="V18" s="36">
        <f t="shared" si="3"/>
        <v>42693.58315972222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{"issue":{"subject":"","project_id":79,"tracker_id":40,"status_id":1,"priority_id":2,"assigned_to_id":23,"start_date":"2016-11-19","description":"","custom_fields":[{"id":1,"name":"Subdivision","value":"EC"},{"id":4,"name":"Milepost","value":"2.7399"},{"id":17,"name":"Train ID","value":"116-19"},{"id":16,"name":"Locomotive ID","value":"4013"},{"id":130,"name":"Impact","value":""},{"id":150,"name":"Time of Event (Mountain Time)","value":"06:59:45"},{"id":151,"name":"Denver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"%USERPROFILE%\AppData\Local\Temp\OnboardLogs"\RTDC4013\*4013*201611191*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"%USERPROFILE%\AppData\Local\Temp\OnboardLogs"\RTDC4013\*4013*201611191* &gt;&gt; 42693-slicedisagreementcheck.txt</v>
      </c>
    </row>
    <row r="19" spans="1:30" s="1" customFormat="1" x14ac:dyDescent="0.25">
      <c r="A19" s="36">
        <v>42693.461365740739</v>
      </c>
      <c r="B19" s="31" t="s">
        <v>229</v>
      </c>
      <c r="C19" s="31" t="s">
        <v>448</v>
      </c>
      <c r="D19" s="31" t="s">
        <v>49</v>
      </c>
      <c r="E19" s="31" t="s">
        <v>207</v>
      </c>
      <c r="F19" s="47">
        <v>0</v>
      </c>
      <c r="G19" s="47">
        <v>43</v>
      </c>
      <c r="H19" s="47">
        <v>150</v>
      </c>
      <c r="I19" s="47">
        <v>118</v>
      </c>
      <c r="J19" s="31" t="s">
        <v>208</v>
      </c>
      <c r="K19" s="47">
        <v>1</v>
      </c>
      <c r="L19" s="154" t="s">
        <v>51</v>
      </c>
      <c r="M19" s="155">
        <f t="shared" si="0"/>
        <v>61.776000000000003</v>
      </c>
      <c r="N19" s="156" t="str">
        <f>VLOOKUP(C19,'Trips&amp;Operators'!$C$1:$E$99999,3,FALSE)</f>
        <v>ACKERMAN</v>
      </c>
      <c r="O19" s="183" t="s">
        <v>202</v>
      </c>
      <c r="P19" s="157"/>
      <c r="Q19" s="31"/>
      <c r="R19" s="100" t="str">
        <f>VLOOKUP(C19,'Train Runs'!$A$13:$AE$9995,31,0)</f>
        <v>aws s3 cp s3://rtdc.mdm.uploadarchive.raw/RTDC4012/ "%USERPROFILE%\AppData\Local\Temp\OnboardLogs"\RTDC4012\2016-11-19 --exclude "*" --recursive --include "*20161119*" &amp; "%USERPROFILE%\Documents\GitHub\mrs-test-scripts\Headless Mode &amp; Sideloading\WalkAndUnGZ.bat" "%USERPROFILE%\AppData\Local\Temp\OnboardLogs"\RTDC4012\2016-11-19 &amp; 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</v>
      </c>
      <c r="S19" s="103" t="str">
        <f>VLOOKUP(C19,'Train Runs'!$A$13:$AE$9995,22,0)</f>
        <v>https://search-rtdc-monitor-bjffxe2xuh6vdkpspy63sjmuny.us-east-1.es.amazonaws.com/_plugin/kibana/#/discover/Steve-Slow-Train-Analysis-(2080s-and-2083s)?_g=(refreshInterval:(display:Off,section:0,value:0),time:(from:'2016-11-19 09:19:01-700',mode:absolute,to:'2016-11-19 12:04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9" s="105" t="str">
        <f t="shared" si="1"/>
        <v>"C:\Program Files (x86)\AstroGrep\AstroGrep.exe" /spath="%USERPROFILE%\AppData\Local\Temp\OnboardLogs" /stypes="*4012*201611191*" /stext=" 18:.+((SYSTEM_STATE.+slice.+state.+changed )|(ment ac)|(system.+state.+changed )|(\[timeout)|(PRM\|1\|D)|(kpr)|(kdp)|(\|lc)|(penalty))" /e /r /s</v>
      </c>
      <c r="U19" s="9" t="str">
        <f t="shared" si="2"/>
        <v>4012</v>
      </c>
      <c r="V19" s="36">
        <f t="shared" si="3"/>
        <v>42693.753032407403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{"issue":{"subject":"","project_id":79,"tracker_id":40,"status_id":1,"priority_id":2,"assigned_to_id":23,"start_date":"2016-11-19","description":"","custom_fields":[{"id":1,"name":"Subdivision","value":"EC"},{"id":4,"name":"Milepost","value":"0.0001"},{"id":17,"name":"Train ID","value":"148-19"},{"id":16,"name":"Locomotive ID","value":"4012"},{"id":130,"name":"Impact","value":""},{"id":150,"name":"Time of Event (Mountain Time)","value":"11:04:22"},{"id":151,"name":"Denver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"%USERPROFILE%\AppData\Local\Temp\OnboardLogs"\RTDC4012\*4012*201611191*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"%USERPROFILE%\AppData\Local\Temp\OnboardLogs"\RTDC4012\*4012*201611191* &gt;&gt; 42693-slicedisagreementcheck.txt</v>
      </c>
    </row>
    <row r="20" spans="1:30" s="1" customFormat="1" x14ac:dyDescent="0.25">
      <c r="A20" s="36">
        <v>42693.243819444448</v>
      </c>
      <c r="B20" s="31" t="s">
        <v>219</v>
      </c>
      <c r="C20" s="31" t="s">
        <v>442</v>
      </c>
      <c r="D20" s="31" t="s">
        <v>49</v>
      </c>
      <c r="E20" s="31" t="s">
        <v>207</v>
      </c>
      <c r="F20" s="47">
        <v>0</v>
      </c>
      <c r="G20" s="47">
        <v>153</v>
      </c>
      <c r="H20" s="47">
        <v>232560</v>
      </c>
      <c r="I20" s="47">
        <v>232794</v>
      </c>
      <c r="J20" s="31" t="s">
        <v>208</v>
      </c>
      <c r="K20" s="47">
        <v>233491</v>
      </c>
      <c r="L20" s="154" t="s">
        <v>50</v>
      </c>
      <c r="M20" s="155">
        <f t="shared" si="0"/>
        <v>368.01600000000002</v>
      </c>
      <c r="N20" s="156" t="str">
        <f>VLOOKUP(C20,'Trips&amp;Operators'!$C$1:$E$99999,3,FALSE)</f>
        <v>MAELZER</v>
      </c>
      <c r="O20" s="183" t="s">
        <v>202</v>
      </c>
      <c r="P20" s="157"/>
      <c r="Q20" s="31"/>
      <c r="R20" s="100" t="str">
        <f>VLOOKUP(C20,'Train Runs'!$A$13:$AE$9995,31,0)</f>
        <v>aws s3 cp s3://rtdc.mdm.uploadarchive.raw/RTDC4040/ "%USERPROFILE%\AppData\Local\Temp\OnboardLogs"\RTDC4040\2016-11-19 --exclude "*" --recursive --include "*20161119*" &amp; "%USERPROFILE%\Documents\GitHub\mrs-test-scripts\Headless Mode &amp; Sideloading\WalkAndUnGZ.bat" "%USERPROFILE%\AppData\Local\Temp\OnboardLogs"\RTDC4040\2016-11-19 &amp; 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</v>
      </c>
      <c r="S20" s="103" t="str">
        <f>VLOOKUP(C20,'Train Runs'!$A$13:$AE$9995,22,0)</f>
        <v>https://search-rtdc-monitor-bjffxe2xuh6vdkpspy63sjmuny.us-east-1.es.amazonaws.com/_plugin/kibana/#/discover/Steve-Slow-Train-Analysis-(2080s-and-2083s)?_g=(refreshInterval:(display:Off,section:0,value:0),time:(from:'2016-11-19 04:03:21-700',mode:absolute,to:'2016-11-19 06:51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20" s="105" t="str">
        <f t="shared" si="1"/>
        <v>"C:\Program Files (x86)\AstroGrep\AstroGrep.exe" /spath="%USERPROFILE%\AppData\Local\Temp\OnboardLogs" /stypes="*4040*201611191*" /stext=" 12:.+((SYSTEM_STATE.+slice.+state.+changed )|(ment ac)|(system.+state.+changed )|(\[timeout)|(PRM\|1\|D)|(kpr)|(kdp)|(\|lc)|(penalty))" /e /r /s</v>
      </c>
      <c r="U20" s="9" t="str">
        <f t="shared" si="2"/>
        <v>4040</v>
      </c>
      <c r="V20" s="36">
        <f t="shared" si="3"/>
        <v>42693.535486111112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{"issue":{"subject":"","project_id":79,"tracker_id":40,"status_id":1,"priority_id":2,"assigned_to_id":23,"start_date":"2016-11-19","description":"","custom_fields":[{"id":1,"name":"Subdivision","value":"EC"},{"id":4,"name":"Milepost","value":"23.3491"},{"id":17,"name":"Train ID","value":"113-19"},{"id":16,"name":"Locomotive ID","value":"4040"},{"id":130,"name":"Impact","value":""},{"id":150,"name":"Time of Event (Mountain Time)","value":"05:51:06"},{"id":151,"name":"Denver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"%USERPROFILE%\AppData\Local\Temp\OnboardLogs"\RTDC4040\*4040*201611191*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"%USERPROFILE%\AppData\Local\Temp\OnboardLogs"\RTDC4040\*4040*201611191* &gt;&gt; 42693-slicedisagreementcheck.txt</v>
      </c>
    </row>
    <row r="21" spans="1:30" x14ac:dyDescent="0.25">
      <c r="A21" s="36">
        <v>42693.474016203705</v>
      </c>
      <c r="B21" s="31" t="s">
        <v>274</v>
      </c>
      <c r="C21" s="31" t="s">
        <v>450</v>
      </c>
      <c r="D21" s="31" t="s">
        <v>49</v>
      </c>
      <c r="E21" s="31" t="s">
        <v>207</v>
      </c>
      <c r="F21" s="47">
        <v>0</v>
      </c>
      <c r="G21" s="47">
        <v>86</v>
      </c>
      <c r="H21" s="47">
        <v>233042</v>
      </c>
      <c r="I21" s="47">
        <v>233161</v>
      </c>
      <c r="J21" s="31" t="s">
        <v>208</v>
      </c>
      <c r="K21" s="47">
        <v>233491</v>
      </c>
      <c r="L21" s="154" t="s">
        <v>50</v>
      </c>
      <c r="M21" s="155">
        <f t="shared" si="0"/>
        <v>174.24</v>
      </c>
      <c r="N21" s="156" t="str">
        <f>VLOOKUP(C21,'Trips&amp;Operators'!$C$1:$E$99999,3,FALSE)</f>
        <v>STRICKLAND</v>
      </c>
      <c r="O21" s="183" t="s">
        <v>202</v>
      </c>
      <c r="P21" s="157"/>
      <c r="Q21" s="31"/>
      <c r="R21" s="100" t="str">
        <f>VLOOKUP(C21,'Train Runs'!$A$13:$AE$9995,31,0)</f>
        <v>aws s3 cp s3://rtdc.mdm.uploadarchive.raw/RTDC4014/ "%USERPROFILE%\AppData\Local\Temp\OnboardLogs"\RTDC4014\2016-11-19 --exclude "*" --recursive --include "*20161119*" &amp; "%USERPROFILE%\Documents\GitHub\mrs-test-scripts\Headless Mode &amp; Sideloading\WalkAndUnGZ.bat" "%USERPROFILE%\AppData\Local\Temp\OnboardLogs"\RTDC4014\2016-11-19 &amp; aws s3 cp s3://rtdc.mdm.uploadarchive.raw/RTDC4014/ "%USERPROFILE%\AppData\Local\Temp\OnboardLogs"\RTDC4014\2016-11-20 --exclude "*" --recursive --include "*20161120*" &amp; "%USERPROFILE%\Documents\GitHub\mrs-test-scripts\Headless Mode &amp; Sideloading\WalkAndUnGZ.bat" "%USERPROFILE%\AppData\Local\Temp\OnboardLogs"\RTDC4014\2016-11-20</v>
      </c>
      <c r="S21" s="103" t="str">
        <f>VLOOKUP(C21,'Train Runs'!$A$13:$AE$9995,22,0)</f>
        <v>https://search-rtdc-monitor-bjffxe2xuh6vdkpspy63sjmuny.us-east-1.es.amazonaws.com/_plugin/kibana/#/discover/Steve-Slow-Train-Analysis-(2080s-and-2083s)?_g=(refreshInterval:(display:Off,section:0,value:0),time:(from:'2016-11-19 09:38:15-700',mode:absolute,to:'2016-11-19 12:22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21" s="105" t="str">
        <f t="shared" si="1"/>
        <v>"C:\Program Files (x86)\AstroGrep\AstroGrep.exe" /spath="%USERPROFILE%\AppData\Local\Temp\OnboardLogs" /stypes="*4014*201611191*" /stext=" 18:.+((SYSTEM_STATE.+slice.+state.+changed )|(ment ac)|(system.+state.+changed )|(\[timeout)|(PRM\|1\|D)|(kpr)|(kdp)|(\|lc)|(penalty))" /e /r /s</v>
      </c>
      <c r="U21" s="9" t="str">
        <f t="shared" si="2"/>
        <v>4014</v>
      </c>
      <c r="V21" s="36">
        <f t="shared" si="3"/>
        <v>42693.765682870369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{"issue":{"subject":"","project_id":79,"tracker_id":40,"status_id":1,"priority_id":2,"assigned_to_id":23,"start_date":"2016-11-19","description":"","custom_fields":[{"id":1,"name":"Subdivision","value":"EC"},{"id":4,"name":"Milepost","value":"23.3491"},{"id":17,"name":"Train ID","value":"157-19"},{"id":16,"name":"Locomotive ID","value":"4014"},{"id":130,"name":"Impact","value":""},{"id":150,"name":"Time of Event (Mountain Time)","value":"11:22:35"},{"id":151,"name":"Denver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"%USERPROFILE%\AppData\Local\Temp\OnboardLogs"\RTDC4014\*4014*201611191*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"%USERPROFILE%\AppData\Local\Temp\OnboardLogs"\RTDC4014\*4014*201611191* &gt;&gt; 42693-slicedisagreementcheck.txt</v>
      </c>
    </row>
    <row r="22" spans="1:30" x14ac:dyDescent="0.25">
      <c r="A22" s="36">
        <v>42693.579004629632</v>
      </c>
      <c r="B22" s="31" t="s">
        <v>380</v>
      </c>
      <c r="C22" s="31" t="s">
        <v>452</v>
      </c>
      <c r="D22" s="31" t="s">
        <v>49</v>
      </c>
      <c r="E22" s="31" t="s">
        <v>207</v>
      </c>
      <c r="F22" s="47">
        <v>0</v>
      </c>
      <c r="G22" s="47">
        <v>70</v>
      </c>
      <c r="H22" s="47">
        <v>233255</v>
      </c>
      <c r="I22" s="47">
        <v>233304</v>
      </c>
      <c r="J22" s="31" t="s">
        <v>208</v>
      </c>
      <c r="K22" s="47">
        <v>233491</v>
      </c>
      <c r="L22" s="154" t="s">
        <v>50</v>
      </c>
      <c r="M22" s="155">
        <f t="shared" si="0"/>
        <v>98.736000000000004</v>
      </c>
      <c r="N22" s="156" t="str">
        <f>VLOOKUP(C22,'Trips&amp;Operators'!$C$1:$E$99999,3,FALSE)</f>
        <v>MOSES</v>
      </c>
      <c r="O22" s="183" t="s">
        <v>202</v>
      </c>
      <c r="P22" s="157"/>
      <c r="Q22" s="31"/>
      <c r="R22" s="100" t="str">
        <f>VLOOKUP(C22,'Train Runs'!$A$13:$AE$9995,31,0)</f>
        <v>aws s3 cp s3://rtdc.mdm.uploadarchive.raw/RTDC4046/ "%USERPROFILE%\AppData\Local\Temp\OnboardLogs"\RTDC4046\2016-11-19 --exclude "*" --recursive --include "*20161119*" &amp; "%USERPROFILE%\Documents\GitHub\mrs-test-scripts\Headless Mode &amp; Sideloading\WalkAndUnGZ.bat" "%USERPROFILE%\AppData\Local\Temp\OnboardLogs"\RTDC4046\2016-11-19 &amp; aws s3 cp s3://rtdc.mdm.uploadarchive.raw/RTDC4046/ "%USERPROFILE%\AppData\Local\Temp\OnboardLogs"\RTDC4046\2016-11-20 --exclude "*" --recursive --include "*20161120*" &amp; "%USERPROFILE%\Documents\GitHub\mrs-test-scripts\Headless Mode &amp; Sideloading\WalkAndUnGZ.bat" "%USERPROFILE%\AppData\Local\Temp\OnboardLogs"\RTDC4046\2016-11-20</v>
      </c>
      <c r="S22" s="103" t="str">
        <f>VLOOKUP(C22,'Train Runs'!$A$13:$AE$9995,22,0)</f>
        <v>https://search-rtdc-monitor-bjffxe2xuh6vdkpspy63sjmuny.us-east-1.es.amazonaws.com/_plugin/kibana/#/discover/Steve-Slow-Train-Analysis-(2080s-and-2083s)?_g=(refreshInterval:(display:Off,section:0,value:0),time:(from:'2016-11-19 12:13:54-700',mode:absolute,to:'2016-11-19 14:53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22" s="105" t="str">
        <f t="shared" si="1"/>
        <v>"C:\Program Files (x86)\AstroGrep\AstroGrep.exe" /spath="%USERPROFILE%\AppData\Local\Temp\OnboardLogs" /stypes="*4046*201611192*" /stext=" 20:.+((SYSTEM_STATE.+slice.+state.+changed )|(ment ac)|(system.+state.+changed )|(\[timeout)|(PRM\|1\|D)|(kpr)|(kdp)|(\|lc)|(penalty))" /e /r /s</v>
      </c>
      <c r="U22" s="9" t="str">
        <f t="shared" si="2"/>
        <v>4046</v>
      </c>
      <c r="V22" s="36">
        <f t="shared" si="3"/>
        <v>42693.870671296296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{"issue":{"subject":"","project_id":79,"tracker_id":40,"status_id":1,"priority_id":2,"assigned_to_id":23,"start_date":"2016-11-19","description":"","custom_fields":[{"id":1,"name":"Subdivision","value":"EC"},{"id":4,"name":"Milepost","value":"23.3491"},{"id":17,"name":"Train ID","value":"177-19"},{"id":16,"name":"Locomotive ID","value":"4046"},{"id":130,"name":"Impact","value":""},{"id":150,"name":"Time of Event (Mountain Time)","value":"13:53:46"},{"id":151,"name":"Denver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"%USERPROFILE%\AppData\Local\Temp\OnboardLogs"\RTDC4046\*4046*201611192*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"%USERPROFILE%\AppData\Local\Temp\OnboardLogs"\RTDC4046\*4046*201611192* &gt;&gt; 42693-slicedisagreementcheck.txt</v>
      </c>
    </row>
    <row r="23" spans="1:30" x14ac:dyDescent="0.25">
      <c r="A23" s="36">
        <v>42693.766423611109</v>
      </c>
      <c r="B23" s="31" t="s">
        <v>242</v>
      </c>
      <c r="C23" s="31" t="s">
        <v>457</v>
      </c>
      <c r="D23" s="31" t="s">
        <v>98</v>
      </c>
      <c r="E23" s="31" t="s">
        <v>203</v>
      </c>
      <c r="F23" s="47">
        <v>200</v>
      </c>
      <c r="G23" s="47">
        <v>250</v>
      </c>
      <c r="H23" s="47">
        <v>6330</v>
      </c>
      <c r="I23" s="47">
        <v>6816</v>
      </c>
      <c r="J23" s="31" t="s">
        <v>204</v>
      </c>
      <c r="K23" s="47">
        <v>5315</v>
      </c>
      <c r="L23" s="154" t="s">
        <v>50</v>
      </c>
      <c r="M23" s="155">
        <f t="shared" si="0"/>
        <v>-792.52800000000002</v>
      </c>
      <c r="N23" s="156" t="str">
        <f>VLOOKUP(C23,'Trips&amp;Operators'!$C$1:$E$99999,3,FALSE)</f>
        <v>HOLCOMB</v>
      </c>
      <c r="O23" s="183" t="s">
        <v>202</v>
      </c>
      <c r="P23" s="157"/>
      <c r="Q23" s="31"/>
      <c r="R23" s="100" t="str">
        <f>VLOOKUP(C23,'Train Runs'!$A$13:$AE$9995,31,0)</f>
        <v>aws s3 cp s3://rtdc.mdm.uploadarchive.raw/RTDC4022/ "%USERPROFILE%\AppData\Local\Temp\OnboardLogs"\RTDC4022\2016-11-19 --exclude "*" --recursive --include "*20161119*" &amp; "%USERPROFILE%\Documents\GitHub\mrs-test-scripts\Headless Mode &amp; Sideloading\WalkAndUnGZ.bat" "%USERPROFILE%\AppData\Local\Temp\OnboardLogs"\RTDC4022\2016-11-19 &amp; 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</v>
      </c>
      <c r="S23" s="103" t="str">
        <f>VLOOKUP(C23,'Train Runs'!$A$13:$AE$9995,22,0)</f>
        <v>https://search-rtdc-monitor-bjffxe2xuh6vdkpspy63sjmuny.us-east-1.es.amazonaws.com/_plugin/kibana/#/discover/Steve-Slow-Train-Analysis-(2080s-and-2083s)?_g=(refreshInterval:(display:Off,section:0,value:0),time:(from:'2016-11-19 17:05:20-700',mode:absolute,to:'2016-11-19 19:37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23" s="105" t="str">
        <f t="shared" si="1"/>
        <v>"C:\Program Files (x86)\AstroGrep\AstroGrep.exe" /spath="%USERPROFILE%\AppData\Local\Temp\OnboardLogs" /stypes="*4022*201611200*" /stext=" 01:.+((SYSTEM_STATE.+slice.+state.+changed )|(ment ac)|(system.+state.+changed )|(\[timeout)|(PRM\|1\|D)|(kpr)|(kdp)|(\|lc)|(penalty))" /e /r /s</v>
      </c>
      <c r="U23" s="9" t="str">
        <f t="shared" si="2"/>
        <v>4022</v>
      </c>
      <c r="V23" s="36">
        <f t="shared" si="3"/>
        <v>42694.058090277773</v>
      </c>
      <c r="W23" s="50" t="str">
        <f t="shared" si="4"/>
        <v>NW</v>
      </c>
      <c r="X23" s="50" t="str">
        <f t="shared" si="5"/>
        <v>KEEP</v>
      </c>
      <c r="Y23" s="119" t="str">
        <f t="shared" si="6"/>
        <v>echo {"issue":{"subject":"","project_id":79,"tracker_id":40,"status_id":1,"priority_id":2,"assigned_to_id":23,"start_date":"2016-11-19","description":"","custom_fields":[{"id":1,"name":"Subdivision","value":"NW"},{"id":4,"name":"Milepost","value":"0.5315"},{"id":17,"name":"Train ID","value":"1825-19"},{"id":16,"name":"Locomotive ID","value":"4022"},{"id":130,"name":"Impact","value":""},{"id":150,"name":"Time of Event (Mountain Time)","value":"18:23:39"},{"id":151,"name":"Denver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"%USERPROFILE%\AppData\Local\Temp\OnboardLogs"\RTDC4022\*4022*201611200*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"%USERPROFILE%\AppData\Local\Temp\OnboardLogs"\RTDC4022\*4022*201611200* &gt;&gt; 42693-slicedisagreementcheck.txt</v>
      </c>
    </row>
    <row r="24" spans="1:30" ht="15" customHeight="1" x14ac:dyDescent="0.25">
      <c r="A24" s="36">
        <v>42693.893784722219</v>
      </c>
      <c r="B24" s="31" t="s">
        <v>242</v>
      </c>
      <c r="C24" s="31" t="s">
        <v>459</v>
      </c>
      <c r="D24" s="31" t="s">
        <v>49</v>
      </c>
      <c r="E24" s="31" t="s">
        <v>203</v>
      </c>
      <c r="F24" s="47">
        <v>300</v>
      </c>
      <c r="G24" s="47">
        <v>352</v>
      </c>
      <c r="H24" s="47">
        <v>20053</v>
      </c>
      <c r="I24" s="47">
        <v>21515</v>
      </c>
      <c r="J24" s="31" t="s">
        <v>204</v>
      </c>
      <c r="K24" s="47">
        <v>21299</v>
      </c>
      <c r="L24" s="154" t="s">
        <v>50</v>
      </c>
      <c r="M24" s="155">
        <f t="shared" si="0"/>
        <v>-114.048</v>
      </c>
      <c r="N24" s="156" t="str">
        <f>VLOOKUP(C24,'Trips&amp;Operators'!$C$1:$E$99999,3,FALSE)</f>
        <v>HOLCOMB</v>
      </c>
      <c r="O24" s="183" t="s">
        <v>307</v>
      </c>
      <c r="P24" s="157" t="s">
        <v>856</v>
      </c>
      <c r="Q24" s="31"/>
      <c r="R24" s="100" t="str">
        <f>VLOOKUP(C24,'Train Runs'!$A$13:$AE$9995,31,0)</f>
        <v>aws s3 cp s3://rtdc.mdm.uploadarchive.raw/RTDC4022/ "%USERPROFILE%\AppData\Local\Temp\OnboardLogs"\RTDC4022\2016-11-19 --exclude "*" --recursive --include "*20161119*" &amp; "%USERPROFILE%\Documents\GitHub\mrs-test-scripts\Headless Mode &amp; Sideloading\WalkAndUnGZ.bat" "%USERPROFILE%\AppData\Local\Temp\OnboardLogs"\RTDC4022\2016-11-19 &amp; 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</v>
      </c>
      <c r="S24" s="103" t="str">
        <f>VLOOKUP(C24,'Train Runs'!$A$13:$AE$9995,22,0)</f>
        <v>https://search-rtdc-monitor-bjffxe2xuh6vdkpspy63sjmuny.us-east-1.es.amazonaws.com/_plugin/kibana/#/discover/Steve-Slow-Train-Analysis-(2080s-and-2083s)?_g=(refreshInterval:(display:Off,section:0,value:0),time:(from:'2016-11-19 20:06:02-700',mode:absolute,to:'2016-11-19 22:37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24" s="105" t="str">
        <f t="shared" si="1"/>
        <v>"C:\Program Files (x86)\AstroGrep\AstroGrep.exe" /spath="%USERPROFILE%\AppData\Local\Temp\OnboardLogs" /stypes="*4022*201611200*" /stext=" 04:.+((SYSTEM_STATE.+slice.+state.+changed )|(ment ac)|(system.+state.+changed )|(\[timeout)|(PRM\|1\|D)|(kpr)|(kdp)|(\|lc)|(penalty))" /e /r /s</v>
      </c>
      <c r="U24" s="9" t="str">
        <f t="shared" si="2"/>
        <v>4022</v>
      </c>
      <c r="V24" s="36">
        <f t="shared" si="3"/>
        <v>42694.185451388883</v>
      </c>
      <c r="W24" s="50" t="str">
        <f t="shared" si="4"/>
        <v>NW</v>
      </c>
      <c r="X24" s="50" t="str">
        <f t="shared" si="5"/>
        <v>KEEP</v>
      </c>
      <c r="Y24" s="119" t="str">
        <f t="shared" si="6"/>
        <v>echo {"issue":{"subject":"Banner without braking","project_id":79,"tracker_id":40,"status_id":1,"priority_id":2,"assigned_to_id":23,"start_date":"2016-11-19","description":"CPU2 commanded penalty, others did not","custom_fields":[{"id":1,"name":"Subdivision","value":"NW"},{"id":4,"name":"Milepost","value":"2.1299"},{"id":17,"name":"Train ID","value":"1831-19"},{"id":16,"name":"Locomotive ID","value":"4022"},{"id":130,"name":"Impact","value":"Others"},{"id":150,"name":"Time of Event (Mountain Time)","value":"21:27:03"},{"id":151,"name":"Denver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24" s="53" t="s">
        <v>857</v>
      </c>
      <c r="AA24" s="53" t="s">
        <v>137</v>
      </c>
      <c r="AB24" s="53" t="s">
        <v>177</v>
      </c>
      <c r="AC24" s="138" t="str">
        <f t="shared" si="7"/>
        <v>grep -hSE -A100 "Enforcement Action" "%USERPROFILE%\AppData\Local\Temp\OnboardLogs"\RTDC4022\*4022*201611200*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"%USERPROFILE%\AppData\Local\Temp\OnboardLogs"\RTDC4022\*4022*201611200* &gt;&gt; 42693-slicedisagreementcheck.txt</v>
      </c>
    </row>
    <row r="25" spans="1:30" x14ac:dyDescent="0.25">
      <c r="A25" s="36">
        <v>42693.648333333331</v>
      </c>
      <c r="B25" s="31" t="s">
        <v>242</v>
      </c>
      <c r="C25" s="31" t="s">
        <v>454</v>
      </c>
      <c r="D25" s="31" t="s">
        <v>49</v>
      </c>
      <c r="E25" s="31" t="s">
        <v>203</v>
      </c>
      <c r="F25" s="47">
        <v>150</v>
      </c>
      <c r="G25" s="47">
        <v>339</v>
      </c>
      <c r="H25" s="47">
        <v>56004</v>
      </c>
      <c r="I25" s="47">
        <v>56748</v>
      </c>
      <c r="J25" s="31" t="s">
        <v>204</v>
      </c>
      <c r="K25" s="47">
        <v>57008</v>
      </c>
      <c r="L25" s="154" t="s">
        <v>50</v>
      </c>
      <c r="M25" s="155">
        <f t="shared" si="0"/>
        <v>137.28</v>
      </c>
      <c r="N25" s="156" t="str">
        <f>VLOOKUP(C25,'Trips&amp;Operators'!$C$1:$E$99999,3,FALSE)</f>
        <v>SMITH</v>
      </c>
      <c r="O25" s="183" t="s">
        <v>202</v>
      </c>
      <c r="P25" s="157"/>
      <c r="Q25" s="31"/>
      <c r="R25" s="100" t="str">
        <f>VLOOKUP(C25,'Train Runs'!$A$13:$AE$9995,31,0)</f>
        <v>aws s3 cp s3://rtdc.mdm.uploadarchive.raw/RTDC4022/ "%USERPROFILE%\AppData\Local\Temp\OnboardLogs"\RTDC4022\2016-11-19 --exclude "*" --recursive --include "*20161119*" &amp; "%USERPROFILE%\Documents\GitHub\mrs-test-scripts\Headless Mode &amp; Sideloading\WalkAndUnGZ.bat" "%USERPROFILE%\AppData\Local\Temp\OnboardLogs"\RTDC4022\2016-11-19 &amp; 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</v>
      </c>
      <c r="S25" s="103" t="str">
        <f>VLOOKUP(C25,'Train Runs'!$A$13:$AE$9995,22,0)</f>
        <v>https://search-rtdc-monitor-bjffxe2xuh6vdkpspy63sjmuny.us-east-1.es.amazonaws.com/_plugin/kibana/#/discover/Steve-Slow-Train-Analysis-(2080s-and-2083s)?_g=(refreshInterval:(display:Off,section:0,value:0),time:(from:'2016-11-19 14:00:39-700',mode:absolute,to:'2016-11-19 16:37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25" s="105" t="str">
        <f t="shared" si="1"/>
        <v>"C:\Program Files (x86)\AstroGrep\AstroGrep.exe" /spath="%USERPROFILE%\AppData\Local\Temp\OnboardLogs" /stypes="*4022*201611192*" /stext=" 22:.+((SYSTEM_STATE.+slice.+state.+changed )|(ment ac)|(system.+state.+changed )|(\[timeout)|(PRM\|1\|D)|(kpr)|(kdp)|(\|lc)|(penalty))" /e /r /s</v>
      </c>
      <c r="U25" s="9" t="str">
        <f t="shared" si="2"/>
        <v>4022</v>
      </c>
      <c r="V25" s="36">
        <f t="shared" si="3"/>
        <v>42693.939999999995</v>
      </c>
      <c r="W25" s="50" t="str">
        <f t="shared" si="4"/>
        <v>NW</v>
      </c>
      <c r="X25" s="50" t="str">
        <f t="shared" si="5"/>
        <v>KEEP</v>
      </c>
      <c r="Y25" s="119" t="str">
        <f t="shared" si="6"/>
        <v>echo {"issue":{"subject":"","project_id":79,"tracker_id":40,"status_id":1,"priority_id":2,"assigned_to_id":23,"start_date":"2016-11-19","description":"","custom_fields":[{"id":1,"name":"Subdivision","value":"NW"},{"id":4,"name":"Milepost","value":"5.7008"},{"id":17,"name":"Train ID","value":"1819-19"},{"id":16,"name":"Locomotive ID","value":"4022"},{"id":130,"name":"Impact","value":""},{"id":150,"name":"Time of Event (Mountain Time)","value":"15:33:36"},{"id":151,"name":"Denver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"%USERPROFILE%\AppData\Local\Temp\OnboardLogs"\RTDC4022\*4022*201611192*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"%USERPROFILE%\AppData\Local\Temp\OnboardLogs"\RTDC4022\*4022*201611192* &gt;&gt; 42693-slicedisagreementcheck.txt</v>
      </c>
    </row>
    <row r="26" spans="1:30" x14ac:dyDescent="0.25">
      <c r="A26" s="36">
        <v>42693.937222222223</v>
      </c>
      <c r="B26" s="31" t="s">
        <v>242</v>
      </c>
      <c r="C26" s="31" t="s">
        <v>461</v>
      </c>
      <c r="D26" s="31" t="s">
        <v>49</v>
      </c>
      <c r="E26" s="31" t="s">
        <v>205</v>
      </c>
      <c r="F26" s="47">
        <v>0</v>
      </c>
      <c r="G26" s="47">
        <v>367</v>
      </c>
      <c r="H26" s="47">
        <v>37083</v>
      </c>
      <c r="I26" s="47">
        <v>38313</v>
      </c>
      <c r="J26" s="31" t="s">
        <v>206</v>
      </c>
      <c r="K26" s="47">
        <v>37575</v>
      </c>
      <c r="L26" s="154" t="s">
        <v>50</v>
      </c>
      <c r="M26" s="155">
        <f t="shared" si="0"/>
        <v>-389.66399999999999</v>
      </c>
      <c r="N26" s="156" t="str">
        <f>VLOOKUP(C26,'Trips&amp;Operators'!$C$1:$E$99999,3,FALSE)</f>
        <v>HOLCOMB</v>
      </c>
      <c r="O26" s="183" t="s">
        <v>307</v>
      </c>
      <c r="P26" s="157" t="s">
        <v>796</v>
      </c>
      <c r="Q26" s="31"/>
      <c r="R26" s="100" t="str">
        <f>VLOOKUP(C26,'Train Runs'!$A$13:$AE$9995,31,0)</f>
        <v>aws s3 cp s3://rtdc.mdm.uploadarchive.raw/RTDC4022/ "%USERPROFILE%\AppData\Local\Temp\OnboardLogs"\RTDC4022\2016-11-19 --exclude "*" --recursive --include "*20161119*" &amp; "%USERPROFILE%\Documents\GitHub\mrs-test-scripts\Headless Mode &amp; Sideloading\WalkAndUnGZ.bat" "%USERPROFILE%\AppData\Local\Temp\OnboardLogs"\RTDC4022\2016-11-19 &amp; 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</v>
      </c>
      <c r="S26" s="103" t="str">
        <f>VLOOKUP(C26,'Train Runs'!$A$13:$AE$9995,22,0)</f>
        <v>https://search-rtdc-monitor-bjffxe2xuh6vdkpspy63sjmuny.us-east-1.es.amazonaws.com/_plugin/kibana/#/discover/Steve-Slow-Train-Analysis-(2080s-and-2083s)?_g=(refreshInterval:(display:Off,section:0,value:0),time:(from:'2016-11-19 21:17:07-700',mode:absolute,to:'2016-11-19 23:29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26" s="105" t="str">
        <f t="shared" si="1"/>
        <v>"C:\Program Files (x86)\AstroGrep\AstroGrep.exe" /spath="%USERPROFILE%\AppData\Local\Temp\OnboardLogs" /stypes="*4022*201611200*" /stext=" 05:.+((SYSTEM_STATE.+slice.+state.+changed )|(ment ac)|(system.+state.+changed )|(\[timeout)|(PRM\|1\|D)|(kpr)|(kdp)|(\|lc)|(penalty))" /e /r /s</v>
      </c>
      <c r="U26" s="9" t="str">
        <f t="shared" si="2"/>
        <v>4022</v>
      </c>
      <c r="V26" s="36">
        <f t="shared" si="3"/>
        <v>42694.228888888887</v>
      </c>
      <c r="W26" s="50" t="str">
        <f t="shared" si="4"/>
        <v>NW</v>
      </c>
      <c r="X26" s="50" t="str">
        <f t="shared" si="5"/>
        <v>KEEP</v>
      </c>
      <c r="Y26" s="119" t="str">
        <f t="shared" si="6"/>
        <v>echo {"issue":{"subject":"Wi-MAX data drop","project_id":79,"tracker_id":40,"status_id":1,"priority_id":2,"assigned_to_id":23,"start_date":"2016-11-19","description":"http://stevetu21.github.io/eaglep3/load_kml.html?kml=http://rtdc.gmaps-snips.s3.amazonaws.com/845b9768-2025-4afb-a10f-13d49dee9d92.kml","custom_fields":[{"id":1,"name":"Subdivision","value":"NW"},{"id":4,"name":"Milepost","value":"3.7575"},{"id":17,"name":"Train ID","value":"1833-19"},{"id":16,"name":"Locomotive ID","value":"4022"},{"id":130,"name":"Impact","value":"Enforcement"},{"id":150,"name":"Time of Event (Mountain Time)","value":"22:29:36"},{"id":151,"name":"Denver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6" s="184" t="s">
        <v>797</v>
      </c>
      <c r="AA26" s="53" t="s">
        <v>125</v>
      </c>
      <c r="AB26" s="53" t="s">
        <v>138</v>
      </c>
      <c r="AC26" s="138" t="str">
        <f t="shared" si="7"/>
        <v>grep -hSE -A100 "Enforcement Action" "%USERPROFILE%\AppData\Local\Temp\OnboardLogs"\RTDC4022\*4022*201611200*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"%USERPROFILE%\AppData\Local\Temp\OnboardLogs"\RTDC4022\*4022*201611200* &gt;&gt; 42693-slicedisagreementcheck.txt</v>
      </c>
    </row>
    <row r="27" spans="1:30" x14ac:dyDescent="0.25">
      <c r="A27" s="36">
        <v>42693.94699074074</v>
      </c>
      <c r="B27" s="31" t="s">
        <v>243</v>
      </c>
      <c r="C27" s="31" t="s">
        <v>462</v>
      </c>
      <c r="D27" s="31" t="s">
        <v>98</v>
      </c>
      <c r="E27" s="31" t="s">
        <v>203</v>
      </c>
      <c r="F27" s="47">
        <v>150</v>
      </c>
      <c r="G27" s="47">
        <v>202</v>
      </c>
      <c r="H27" s="47">
        <v>56864</v>
      </c>
      <c r="I27" s="47">
        <v>56524</v>
      </c>
      <c r="J27" s="31" t="s">
        <v>204</v>
      </c>
      <c r="K27" s="47">
        <v>59050</v>
      </c>
      <c r="L27" s="154" t="s">
        <v>51</v>
      </c>
      <c r="M27" s="155">
        <f t="shared" si="0"/>
        <v>-1333.7280000000001</v>
      </c>
      <c r="N27" s="156" t="str">
        <f>VLOOKUP(C27,'Trips&amp;Operators'!$C$1:$E$99999,3,FALSE)</f>
        <v>HOLCOMB</v>
      </c>
      <c r="O27" s="183" t="s">
        <v>202</v>
      </c>
      <c r="P27" s="157"/>
      <c r="Q27" s="31"/>
      <c r="R27" s="100" t="str">
        <f>VLOOKUP(C27,'Train Runs'!$A$13:$AE$9995,31,0)</f>
        <v>aws s3 cp s3://rtdc.mdm.uploadarchive.raw/RTDC4021/ "%USERPROFILE%\AppData\Local\Temp\OnboardLogs"\RTDC4021\2016-11-19 --exclude "*" --recursive --include "*20161119*" &amp; "%USERPROFILE%\Documents\GitHub\mrs-test-scripts\Headless Mode &amp; Sideloading\WalkAndUnGZ.bat" "%USERPROFILE%\AppData\Local\Temp\OnboardLogs"\RTDC4021\2016-11-19 &amp; 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</v>
      </c>
      <c r="S27" s="103" t="str">
        <f>VLOOKUP(C27,'Train Runs'!$A$13:$AE$9995,22,0)</f>
        <v>https://search-rtdc-monitor-bjffxe2xuh6vdkpspy63sjmuny.us-east-1.es.amazonaws.com/_plugin/kibana/#/discover/Steve-Slow-Train-Analysis-(2080s-and-2083s)?_g=(refreshInterval:(display:Off,section:0,value:0),time:(from:'2016-11-19 21:38:51-700',mode:absolute,to:'2016-11-19 23:49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27" s="105" t="str">
        <f t="shared" si="1"/>
        <v>"C:\Program Files (x86)\AstroGrep\AstroGrep.exe" /spath="%USERPROFILE%\AppData\Local\Temp\OnboardLogs" /stypes="*4021*201611200*" /stext=" 05:.+((SYSTEM_STATE.+slice.+state.+changed )|(ment ac)|(system.+state.+changed )|(\[timeout)|(PRM\|1\|D)|(kpr)|(kdp)|(\|lc)|(penalty))" /e /r /s</v>
      </c>
      <c r="U27" s="9" t="str">
        <f t="shared" si="2"/>
        <v>4021</v>
      </c>
      <c r="V27" s="36">
        <f t="shared" si="3"/>
        <v>42694.238657407404</v>
      </c>
      <c r="W27" s="50" t="str">
        <f t="shared" si="4"/>
        <v>Other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{"issue":{"subject":"","project_id":79,"tracker_id":40,"status_id":1,"priority_id":2,"assigned_to_id":23,"start_date":"2016-11-19","description":"","custom_fields":[{"id":1,"name":"Subdivision","value":"Other"},{"id":4,"name":"Milepost","value":"5.905"},{"id":17,"name":"Train ID","value":"1902-19"},{"id":16,"name":"Locomotive ID","value":"4021"},{"id":130,"name":"Impact","value":""},{"id":150,"name":"Time of Event (Mountain Time)","value":"22:43:40"},{"id":151,"name":"Denver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"%USERPROFILE%\AppData\Local\Temp\OnboardLogs"\RTDC4021\*4021*201611200*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"%USERPROFILE%\AppData\Local\Temp\OnboardLogs"\RTDC4021\*4021*201611200* &gt;&gt; 42693-slicedisagreementcheck.txt</v>
      </c>
    </row>
    <row r="28" spans="1:30" x14ac:dyDescent="0.25">
      <c r="A28" s="36">
        <v>42693.805034722223</v>
      </c>
      <c r="B28" s="31" t="s">
        <v>219</v>
      </c>
      <c r="C28" s="31" t="s">
        <v>458</v>
      </c>
      <c r="D28" s="31" t="s">
        <v>49</v>
      </c>
      <c r="E28" s="31" t="s">
        <v>205</v>
      </c>
      <c r="F28" s="47">
        <v>0</v>
      </c>
      <c r="G28" s="47">
        <v>426</v>
      </c>
      <c r="H28" s="47">
        <v>14438</v>
      </c>
      <c r="I28" s="47">
        <v>15733</v>
      </c>
      <c r="J28" s="31" t="s">
        <v>206</v>
      </c>
      <c r="K28" s="47">
        <v>16577</v>
      </c>
      <c r="L28" s="154" t="s">
        <v>50</v>
      </c>
      <c r="M28" s="155">
        <f t="shared" si="0"/>
        <v>445.63200000000001</v>
      </c>
      <c r="N28" s="156" t="str">
        <f>VLOOKUP(C28,'Trips&amp;Operators'!$C$1:$E$99999,3,FALSE)</f>
        <v>CLARK</v>
      </c>
      <c r="O28" s="183" t="s">
        <v>202</v>
      </c>
      <c r="P28" s="157"/>
      <c r="Q28" s="31"/>
      <c r="R28" s="100" t="str">
        <f>VLOOKUP(C28,'Train Runs'!$A$13:$AE$9995,31,0)</f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S28" s="103" t="str">
        <f>VLOOKUP(C28,'Train Runs'!$A$13:$AE$9995,22,0)</f>
        <v>https://search-rtdc-monitor-bjffxe2xuh6vdkpspy63sjmuny.us-east-1.es.amazonaws.com/_plugin/kibana/#/discover/Steve-Slow-Train-Analysis-(2080s-and-2083s)?_g=(refreshInterval:(display:Off,section:0,value:0),time:(from:'2016-11-19 18:10:20-700',mode:absolute,to:'1969-12-31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28" s="105" t="str">
        <f t="shared" si="1"/>
        <v>"C:\Program Files (x86)\AstroGrep\AstroGrep.exe" /spath="%USERPROFILE%\AppData\Local\Temp\OnboardLogs" /stypes="*4040*201611200*" /stext=" 02:.+((SYSTEM_STATE.+slice.+state.+changed )|(ment ac)|(system.+state.+changed )|(\[timeout)|(PRM\|1\|D)|(kpr)|(kdp)|(\|lc)|(penalty))" /e /r /s</v>
      </c>
      <c r="U28" s="9" t="str">
        <f t="shared" si="2"/>
        <v>4040</v>
      </c>
      <c r="V28" s="36">
        <f t="shared" si="3"/>
        <v>42694.096701388888</v>
      </c>
      <c r="W28" s="50" t="str">
        <f t="shared" si="4"/>
        <v>Other</v>
      </c>
      <c r="X28" s="50" t="str">
        <f t="shared" si="5"/>
        <v>KEEP</v>
      </c>
      <c r="Y28" s="119" t="str">
        <f t="shared" si="6"/>
        <v>echo {"issue":{"subject":"","project_id":79,"tracker_id":40,"status_id":1,"priority_id":2,"assigned_to_id":23,"start_date":"2016-11-19","description":"","custom_fields":[{"id":1,"name":"Subdivision","value":"Other"},{"id":4,"name":"Milepost","value":"1.6577"},{"id":17,"name":"Train ID","value":"305-19"},{"id":16,"name":"Locomotive ID","value":"4040"},{"id":130,"name":"Impact","value":""},{"id":150,"name":"Time of Event (Mountain Time)","value":"19:19:15"},{"id":151,"name":"Denver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"%USERPROFILE%\AppData\Local\Temp\OnboardLogs"\RTDC4040\*4040*201611200*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"%USERPROFILE%\AppData\Local\Temp\OnboardLogs"\RTDC4040\*4040*201611200* &gt;&gt; 42693-slicedisagreementcheck.txt</v>
      </c>
    </row>
    <row r="29" spans="1:30" x14ac:dyDescent="0.25">
      <c r="A29" s="36">
        <v>42693.756226851852</v>
      </c>
      <c r="B29" s="31" t="s">
        <v>293</v>
      </c>
      <c r="C29" s="31" t="s">
        <v>456</v>
      </c>
      <c r="D29" s="31" t="s">
        <v>98</v>
      </c>
      <c r="E29" s="31" t="s">
        <v>207</v>
      </c>
      <c r="F29" s="47">
        <v>0</v>
      </c>
      <c r="G29" s="47">
        <v>9</v>
      </c>
      <c r="H29" s="47">
        <v>838</v>
      </c>
      <c r="I29" s="47">
        <v>0</v>
      </c>
      <c r="J29" s="31" t="s">
        <v>208</v>
      </c>
      <c r="K29" s="47">
        <v>839</v>
      </c>
      <c r="L29" s="154" t="s">
        <v>51</v>
      </c>
      <c r="M29" s="155">
        <f t="shared" si="0"/>
        <v>-442.99200000000002</v>
      </c>
      <c r="N29" s="156" t="str">
        <f>VLOOKUP(C29,'Trips&amp;Operators'!$C$1:$E$99999,3,FALSE)</f>
        <v>LOPES</v>
      </c>
      <c r="O29" s="183" t="s">
        <v>202</v>
      </c>
      <c r="P29" s="157"/>
      <c r="Q29" s="31"/>
      <c r="R29" s="100" t="str">
        <f>VLOOKUP(C29,'Train Runs'!$A$13:$AE$9995,31,0)</f>
        <v>aws s3 cp s3://rtdc.mdm.uploadarchive.raw/RTDC4041/ "%USERPROFILE%\AppData\Local\Temp\OnboardLogs"\RTDC4041\2016-11-19 --exclude "*" --recursive --include "*20161119*" &amp; "%USERPROFILE%\Documents\GitHub\mrs-test-scripts\Headless Mode &amp; Sideloading\WalkAndUnGZ.bat" "%USERPROFILE%\AppData\Local\Temp\OnboardLogs"\RTDC4041\2016-11-19 &amp; aws s3 cp s3://rtdc.mdm.uploadarchive.raw/RTDC4041/ "%USERPROFILE%\AppData\Local\Temp\OnboardLogs"\RTDC4041\2016-11-20 --exclude "*" --recursive --include "*20161120*" &amp; "%USERPROFILE%\Documents\GitHub\mrs-test-scripts\Headless Mode &amp; Sideloading\WalkAndUnGZ.bat" "%USERPROFILE%\AppData\Local\Temp\OnboardLogs"\RTDC4041\2016-11-20</v>
      </c>
      <c r="S29" s="103" t="str">
        <f>VLOOKUP(C29,'Train Runs'!$A$13:$AE$9995,22,0)</f>
        <v>https://search-rtdc-monitor-bjffxe2xuh6vdkpspy63sjmuny.us-east-1.es.amazonaws.com/_plugin/kibana/#/discover/Steve-Slow-Train-Analysis-(2080s-and-2083s)?_g=(refreshInterval:(display:Off,section:0,value:0),time:(from:'2016-11-19 16:56:45-700',mode:absolute,to:'2016-11-19 19:08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9" s="105" t="str">
        <f t="shared" si="1"/>
        <v>"C:\Program Files (x86)\AstroGrep\AstroGrep.exe" /spath="%USERPROFILE%\AppData\Local\Temp\OnboardLogs" /stypes="*4041*201611200*" /stext=" 01:.+((SYSTEM_STATE.+slice.+state.+changed )|(ment ac)|(system.+state.+changed )|(\[timeout)|(PRM\|1\|D)|(kpr)|(kdp)|(\|lc)|(penalty))" /e /r /s</v>
      </c>
      <c r="U29" s="9" t="str">
        <f t="shared" si="2"/>
        <v>4041</v>
      </c>
      <c r="V29" s="36">
        <f t="shared" si="3"/>
        <v>42694.047893518517</v>
      </c>
      <c r="W29" s="50" t="str">
        <f t="shared" si="4"/>
        <v>Other</v>
      </c>
      <c r="X29" s="50" t="str">
        <f t="shared" si="5"/>
        <v>OMIT</v>
      </c>
      <c r="Y29" s="119" t="str">
        <f t="shared" si="6"/>
        <v>echo {"issue":{"subject":"","project_id":79,"tracker_id":40,"status_id":1,"priority_id":2,"assigned_to_id":23,"start_date":"2016-11-19","description":"","custom_fields":[{"id":1,"name":"Subdivision","value":"Other"},{"id":4,"name":"Milepost","value":"0.0839"},{"id":17,"name":"Train ID","value":"64-19"},{"id":16,"name":"Locomotive ID","value":"4041"},{"id":130,"name":"Impact","value":""},{"id":150,"name":"Time of Event (Mountain Time)","value":"18:08:58"},{"id":151,"name":"Denver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"%USERPROFILE%\AppData\Local\Temp\OnboardLogs"\RTDC4041\*4041*201611200*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"%USERPROFILE%\AppData\Local\Temp\OnboardLogs"\RTDC4041\*4041*201611200* &gt;&gt; 42693-slicedisagreementcheck.txt</v>
      </c>
    </row>
    <row r="30" spans="1:30" ht="15" customHeight="1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AC30"/>
    </row>
    <row r="31" spans="1:30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AC31"/>
    </row>
    <row r="32" spans="1:30" ht="15" customHeight="1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AC32"/>
    </row>
    <row r="33" spans="1:29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AC33"/>
    </row>
    <row r="34" spans="1:29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AC34"/>
    </row>
    <row r="35" spans="1:29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</row>
    <row r="36" spans="1:29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</row>
    <row r="37" spans="1:29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</row>
    <row r="38" spans="1:29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</row>
    <row r="39" spans="1:29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</row>
    <row r="40" spans="1:29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</row>
    <row r="41" spans="1:29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</row>
    <row r="42" spans="1:29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</row>
    <row r="43" spans="1:29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29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29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29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29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29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</sheetData>
  <autoFilter ref="A6:AC47">
    <sortState ref="A7:AC47">
      <sortCondition ref="V6:V47"/>
    </sortState>
  </autoFilter>
  <sortState ref="A7:AD29">
    <sortCondition ref="W7:W29"/>
    <sortCondition ref="E7:E29"/>
    <sortCondition ref="K7:K29"/>
    <sortCondition ref="C7:C29"/>
    <sortCondition ref="F7:F29"/>
  </sortState>
  <mergeCells count="1">
    <mergeCell ref="A5:O5"/>
  </mergeCells>
  <conditionalFormatting sqref="O6:P6 R6 O68:O1048576 O7:O2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29">
    <cfRule type="expression" dxfId="1" priority="20">
      <formula>$O7="Y"</formula>
    </cfRule>
  </conditionalFormatting>
  <hyperlinks>
    <hyperlink ref="Z26" r:id="rId1"/>
    <hyperlink ref="Z15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AA7:AA29</xm:sqref>
        </x14:dataValidation>
        <x14:dataValidation type="list" allowBlank="1" showInputMessage="1" showErrorMessage="1">
          <x14:formula1>
            <xm:f>'Redmine List Values'!$C$2:$C$15</xm:f>
          </x14:formula1>
          <xm:sqref>AB7:AB29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"/>
  <sheetViews>
    <sheetView workbookViewId="0"/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6" t="str">
        <f>"Trips that did not appear in PTC Data "&amp;TEXT(Variables!$A$2,"YYYY-mm-dd")</f>
        <v>Trips that did not appear in PTC Data 2016-11-19</v>
      </c>
      <c r="C1" s="186"/>
      <c r="D1" s="186"/>
      <c r="E1" s="186"/>
      <c r="F1" s="186"/>
    </row>
    <row r="2" spans="1:11" s="24" customFormat="1" ht="45" x14ac:dyDescent="0.25">
      <c r="A2" s="178" t="s">
        <v>155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9">
        <v>846</v>
      </c>
      <c r="B3" s="47" t="str">
        <f>A3&amp;"-"&amp;IF(DAY(Variables!$A$2)&lt;10,0,"")&amp;DAY(Variables!$A$2)</f>
        <v>846-19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22846-19%22)),sort:!(Time,asc))</v>
      </c>
      <c r="J3" s="31" t="e">
        <f>VLOOKUP(B3,'Train Runs'!$A$13:$A$99992,1,FALSE)</f>
        <v>#N/A</v>
      </c>
      <c r="K3" s="31" t="e">
        <f>IF(VLOOKUP(A3,$K$42:$K$65,1,FALSE),"Cancelled")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-19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4" s="31" t="e">
        <f>VLOOKUP(B4,'Train Runs'!$A$13:$A$99992,1,FALSE)</f>
        <v>#N/A</v>
      </c>
      <c r="K4" s="31" t="e">
        <f>IF(VLOOKUP(A4,$K$42:$K$65,1,FALSE),"Cancelled")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-19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5" s="31" t="e">
        <f>VLOOKUP(B5,'Train Runs'!$A$13:$A$99992,1,FALSE)</f>
        <v>#N/A</v>
      </c>
      <c r="K5" s="31" t="e">
        <f>IF(VLOOKUP(A5,$K$42:$K$65,1,FALSE),"Cancelled")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-19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6" s="31" t="e">
        <f>VLOOKUP(B6,'Train Runs'!$A$13:$A$99992,1,FALSE)</f>
        <v>#N/A</v>
      </c>
      <c r="K6" s="31" t="e">
        <f>IF(VLOOKUP(A6,$K$42:$K$65,1,FALSE),"Cancelled")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-19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7" s="31" t="e">
        <f>VLOOKUP(B7,'Train Runs'!$A$13:$A$99992,1,FALSE)</f>
        <v>#N/A</v>
      </c>
      <c r="K7" s="31" t="e">
        <f>IF(VLOOKUP(A7,$K$42:$K$65,1,FALSE),"Cancelled")</f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1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180</v>
      </c>
      <c r="B1" s="21" t="s">
        <v>181</v>
      </c>
      <c r="C1" s="21" t="s">
        <v>0</v>
      </c>
      <c r="D1" s="21" t="s">
        <v>182</v>
      </c>
      <c r="E1" s="21" t="s">
        <v>183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42692.994398148148</v>
      </c>
      <c r="B2" s="21" t="s">
        <v>377</v>
      </c>
      <c r="C2" s="21" t="s">
        <v>390</v>
      </c>
      <c r="D2" s="21">
        <v>1300000</v>
      </c>
      <c r="E2" s="21" t="s">
        <v>113</v>
      </c>
      <c r="F2" s="21" t="str">
        <f t="shared" ref="F2:F65" si="0">B2</f>
        <v>rtdc.l.rtdc.4026:itc</v>
      </c>
      <c r="G2" s="8">
        <f t="shared" ref="G2:G65" si="1">A2</f>
        <v>42692.994398148148</v>
      </c>
    </row>
    <row r="3" spans="1:7" x14ac:dyDescent="0.25">
      <c r="A3" s="8">
        <v>42692.999444444446</v>
      </c>
      <c r="B3" s="21" t="s">
        <v>294</v>
      </c>
      <c r="C3" s="21" t="s">
        <v>391</v>
      </c>
      <c r="D3" s="21">
        <v>1800000</v>
      </c>
      <c r="E3" s="21" t="s">
        <v>271</v>
      </c>
      <c r="F3" s="21" t="str">
        <f t="shared" si="0"/>
        <v>rtdc.l.rtdc.4042:itc</v>
      </c>
      <c r="G3" s="8">
        <f t="shared" si="1"/>
        <v>42692.999444444446</v>
      </c>
    </row>
    <row r="4" spans="1:7" x14ac:dyDescent="0.25">
      <c r="A4" s="8">
        <v>42693.006226851852</v>
      </c>
      <c r="B4" s="21" t="s">
        <v>237</v>
      </c>
      <c r="C4" s="21" t="s">
        <v>392</v>
      </c>
      <c r="D4" s="21">
        <v>1230000</v>
      </c>
      <c r="E4" s="21" t="s">
        <v>386</v>
      </c>
      <c r="F4" s="21" t="str">
        <f t="shared" si="0"/>
        <v>rtdc.l.rtdc.4015:itc</v>
      </c>
      <c r="G4" s="8">
        <f t="shared" si="1"/>
        <v>42693.006226851852</v>
      </c>
    </row>
    <row r="5" spans="1:7" x14ac:dyDescent="0.25">
      <c r="A5" s="8">
        <v>42693.016979166663</v>
      </c>
      <c r="B5" s="21" t="s">
        <v>285</v>
      </c>
      <c r="C5" s="21" t="s">
        <v>393</v>
      </c>
      <c r="D5" s="21">
        <v>2540000</v>
      </c>
      <c r="E5" s="21" t="s">
        <v>286</v>
      </c>
      <c r="F5" s="21" t="str">
        <f t="shared" si="0"/>
        <v>rtdc.l.rtdc.4018:itc</v>
      </c>
      <c r="G5" s="8">
        <f t="shared" si="1"/>
        <v>42693.016979166663</v>
      </c>
    </row>
    <row r="6" spans="1:7" x14ac:dyDescent="0.25">
      <c r="A6" s="8">
        <v>42693.03230324074</v>
      </c>
      <c r="B6" s="21" t="s">
        <v>379</v>
      </c>
      <c r="C6" s="21" t="s">
        <v>394</v>
      </c>
      <c r="D6" s="21">
        <v>1300000</v>
      </c>
      <c r="E6" s="21" t="s">
        <v>113</v>
      </c>
      <c r="F6" s="21" t="str">
        <f t="shared" si="0"/>
        <v>rtdc.l.rtdc.4025:itc</v>
      </c>
      <c r="G6" s="8">
        <f t="shared" si="1"/>
        <v>42693.03230324074</v>
      </c>
    </row>
    <row r="7" spans="1:7" x14ac:dyDescent="0.25">
      <c r="A7" s="8">
        <v>42693.039027777777</v>
      </c>
      <c r="B7" s="21" t="s">
        <v>293</v>
      </c>
      <c r="C7" s="21" t="s">
        <v>395</v>
      </c>
      <c r="D7" s="21">
        <v>1800000</v>
      </c>
      <c r="E7" s="21" t="s">
        <v>271</v>
      </c>
      <c r="F7" s="21" t="str">
        <f t="shared" si="0"/>
        <v>rtdc.l.rtdc.4041:itc</v>
      </c>
      <c r="G7" s="8">
        <f t="shared" si="1"/>
        <v>42693.039027777777</v>
      </c>
    </row>
    <row r="8" spans="1:7" x14ac:dyDescent="0.25">
      <c r="A8" s="8">
        <v>42693.045601851853</v>
      </c>
      <c r="B8" s="21" t="s">
        <v>236</v>
      </c>
      <c r="C8" s="21" t="s">
        <v>396</v>
      </c>
      <c r="D8" s="21">
        <v>1230000</v>
      </c>
      <c r="E8" s="21" t="s">
        <v>386</v>
      </c>
      <c r="F8" s="21" t="str">
        <f t="shared" si="0"/>
        <v>rtdc.l.rtdc.4016:itc</v>
      </c>
      <c r="G8" s="8">
        <f t="shared" si="1"/>
        <v>42693.045601851853</v>
      </c>
    </row>
    <row r="9" spans="1:7" ht="15.75" thickBot="1" x14ac:dyDescent="0.3">
      <c r="A9" s="25">
        <v>42693.057951388888</v>
      </c>
      <c r="B9" s="21" t="s">
        <v>342</v>
      </c>
      <c r="C9" s="21" t="s">
        <v>397</v>
      </c>
      <c r="D9" s="21">
        <v>2540000</v>
      </c>
      <c r="E9" s="21" t="s">
        <v>286</v>
      </c>
      <c r="F9" s="21" t="str">
        <f t="shared" si="0"/>
        <v>rtdc.l.rtdc.4017:itc</v>
      </c>
      <c r="G9" s="8">
        <f t="shared" si="1"/>
        <v>42693.057951388888</v>
      </c>
    </row>
    <row r="10" spans="1:7" x14ac:dyDescent="0.25">
      <c r="A10" s="8">
        <v>42693.075902777775</v>
      </c>
      <c r="B10" s="21" t="s">
        <v>377</v>
      </c>
      <c r="C10" s="21" t="s">
        <v>422</v>
      </c>
      <c r="D10" s="21">
        <v>1300000</v>
      </c>
      <c r="E10" s="21" t="s">
        <v>113</v>
      </c>
      <c r="F10" s="21" t="str">
        <f t="shared" si="0"/>
        <v>rtdc.l.rtdc.4026:itc</v>
      </c>
      <c r="G10" s="8">
        <f t="shared" si="1"/>
        <v>42693.075902777775</v>
      </c>
    </row>
    <row r="11" spans="1:7" x14ac:dyDescent="0.25">
      <c r="A11" s="8">
        <v>42693.077372685184</v>
      </c>
      <c r="B11" s="21" t="s">
        <v>294</v>
      </c>
      <c r="C11" s="21" t="s">
        <v>425</v>
      </c>
      <c r="D11" s="21">
        <v>1800000</v>
      </c>
      <c r="E11" s="21" t="s">
        <v>271</v>
      </c>
      <c r="F11" s="21" t="str">
        <f t="shared" si="0"/>
        <v>rtdc.l.rtdc.4042:itc</v>
      </c>
      <c r="G11" s="8">
        <f t="shared" si="1"/>
        <v>42693.077372685184</v>
      </c>
    </row>
    <row r="12" spans="1:7" x14ac:dyDescent="0.25">
      <c r="A12" s="8">
        <v>42693.096805555557</v>
      </c>
      <c r="B12" s="21" t="s">
        <v>285</v>
      </c>
      <c r="C12" s="21" t="s">
        <v>427</v>
      </c>
      <c r="D12" s="21">
        <v>2540000</v>
      </c>
      <c r="E12" s="21" t="s">
        <v>286</v>
      </c>
      <c r="F12" s="21" t="str">
        <f t="shared" si="0"/>
        <v>rtdc.l.rtdc.4018:itc</v>
      </c>
      <c r="G12" s="8">
        <f t="shared" si="1"/>
        <v>42693.096805555557</v>
      </c>
    </row>
    <row r="13" spans="1:7" x14ac:dyDescent="0.25">
      <c r="A13" s="8">
        <v>42693.117511574077</v>
      </c>
      <c r="B13" s="21" t="s">
        <v>223</v>
      </c>
      <c r="C13" s="21" t="s">
        <v>463</v>
      </c>
      <c r="D13" s="21">
        <v>2010000</v>
      </c>
      <c r="E13" s="21" t="s">
        <v>309</v>
      </c>
      <c r="F13" s="21" t="str">
        <f t="shared" si="0"/>
        <v>rtdc.l.rtdc.4039:itc</v>
      </c>
      <c r="G13" s="8">
        <f t="shared" si="1"/>
        <v>42693.117511574077</v>
      </c>
    </row>
    <row r="14" spans="1:7" x14ac:dyDescent="0.25">
      <c r="A14" s="8">
        <v>42693.132511574076</v>
      </c>
      <c r="B14" s="21" t="s">
        <v>247</v>
      </c>
      <c r="C14" s="21" t="s">
        <v>464</v>
      </c>
      <c r="D14" s="21">
        <v>2010000</v>
      </c>
      <c r="E14" s="21" t="s">
        <v>309</v>
      </c>
      <c r="F14" s="21" t="str">
        <f t="shared" si="0"/>
        <v>rtdc.l.rtdc.4038:itc</v>
      </c>
      <c r="G14" s="8">
        <f t="shared" si="1"/>
        <v>42693.132511574076</v>
      </c>
    </row>
    <row r="15" spans="1:7" x14ac:dyDescent="0.25">
      <c r="A15" s="8">
        <v>42693.137557870374</v>
      </c>
      <c r="B15" s="21" t="s">
        <v>224</v>
      </c>
      <c r="C15" s="21" t="s">
        <v>465</v>
      </c>
      <c r="D15" s="21">
        <v>2140000</v>
      </c>
      <c r="E15" s="21" t="s">
        <v>382</v>
      </c>
      <c r="F15" s="21" t="str">
        <f t="shared" si="0"/>
        <v>rtdc.l.rtdc.4004:itc</v>
      </c>
      <c r="G15" s="8">
        <f t="shared" si="1"/>
        <v>42693.137557870374</v>
      </c>
    </row>
    <row r="16" spans="1:7" x14ac:dyDescent="0.25">
      <c r="A16" s="8">
        <v>42693.138298611113</v>
      </c>
      <c r="B16" s="21" t="s">
        <v>224</v>
      </c>
      <c r="C16" s="21" t="s">
        <v>465</v>
      </c>
      <c r="D16" s="21">
        <v>2140000</v>
      </c>
      <c r="E16" s="21" t="s">
        <v>382</v>
      </c>
      <c r="F16" s="21" t="str">
        <f t="shared" si="0"/>
        <v>rtdc.l.rtdc.4004:itc</v>
      </c>
      <c r="G16" s="8">
        <f t="shared" si="1"/>
        <v>42693.138298611113</v>
      </c>
    </row>
    <row r="17" spans="1:7" x14ac:dyDescent="0.25">
      <c r="A17" s="8">
        <v>42693.139189814814</v>
      </c>
      <c r="B17" s="21" t="s">
        <v>224</v>
      </c>
      <c r="C17" s="21" t="s">
        <v>465</v>
      </c>
      <c r="D17" s="21">
        <v>2140000</v>
      </c>
      <c r="E17" s="21" t="s">
        <v>382</v>
      </c>
      <c r="F17" s="21" t="str">
        <f t="shared" si="0"/>
        <v>rtdc.l.rtdc.4004:itc</v>
      </c>
      <c r="G17" s="8">
        <f t="shared" si="1"/>
        <v>42693.139189814814</v>
      </c>
    </row>
    <row r="18" spans="1:7" x14ac:dyDescent="0.25">
      <c r="A18" s="8">
        <v>42693.151122685187</v>
      </c>
      <c r="B18" s="21" t="s">
        <v>274</v>
      </c>
      <c r="C18" s="21" t="s">
        <v>466</v>
      </c>
      <c r="D18" s="21">
        <v>2140000</v>
      </c>
      <c r="E18" s="21" t="s">
        <v>382</v>
      </c>
      <c r="F18" s="21" t="str">
        <f t="shared" si="0"/>
        <v>rtdc.l.rtdc.4014:itc</v>
      </c>
      <c r="G18" s="8">
        <f t="shared" si="1"/>
        <v>42693.151122685187</v>
      </c>
    </row>
    <row r="19" spans="1:7" x14ac:dyDescent="0.25">
      <c r="A19" s="8">
        <v>42693.161319444444</v>
      </c>
      <c r="B19" s="21" t="s">
        <v>243</v>
      </c>
      <c r="C19" s="21" t="s">
        <v>467</v>
      </c>
      <c r="D19" s="21">
        <v>1260000</v>
      </c>
      <c r="E19" s="21" t="s">
        <v>468</v>
      </c>
      <c r="F19" s="21" t="str">
        <f t="shared" si="0"/>
        <v>rtdc.l.rtdc.4021:itc</v>
      </c>
      <c r="G19" s="8">
        <f t="shared" si="1"/>
        <v>42693.161319444444</v>
      </c>
    </row>
    <row r="20" spans="1:7" x14ac:dyDescent="0.25">
      <c r="A20" s="8">
        <v>42693.162199074075</v>
      </c>
      <c r="B20" s="21" t="s">
        <v>243</v>
      </c>
      <c r="C20" s="21" t="s">
        <v>467</v>
      </c>
      <c r="D20" s="21">
        <v>1260000</v>
      </c>
      <c r="E20" s="21" t="s">
        <v>468</v>
      </c>
      <c r="F20" s="21" t="str">
        <f t="shared" si="0"/>
        <v>rtdc.l.rtdc.4021:itc</v>
      </c>
      <c r="G20" s="8">
        <f t="shared" si="1"/>
        <v>42693.162199074075</v>
      </c>
    </row>
    <row r="21" spans="1:7" x14ac:dyDescent="0.25">
      <c r="A21" s="8">
        <v>42693.167500000003</v>
      </c>
      <c r="B21" s="21" t="s">
        <v>223</v>
      </c>
      <c r="C21" s="21" t="s">
        <v>469</v>
      </c>
      <c r="D21" s="21">
        <v>2010000</v>
      </c>
      <c r="E21" s="21" t="s">
        <v>309</v>
      </c>
      <c r="F21" s="21" t="str">
        <f t="shared" si="0"/>
        <v>rtdc.l.rtdc.4039:itc</v>
      </c>
      <c r="G21" s="8">
        <f t="shared" si="1"/>
        <v>42693.167500000003</v>
      </c>
    </row>
    <row r="22" spans="1:7" x14ac:dyDescent="0.25">
      <c r="A22" s="27">
        <v>42693.173819444448</v>
      </c>
      <c r="B22" s="21" t="s">
        <v>216</v>
      </c>
      <c r="C22" s="21" t="s">
        <v>470</v>
      </c>
      <c r="D22" s="21">
        <v>1260000</v>
      </c>
      <c r="E22" s="21" t="s">
        <v>468</v>
      </c>
      <c r="F22" s="21" t="str">
        <f t="shared" si="0"/>
        <v>rtdc.l.rtdc.4011:itc</v>
      </c>
      <c r="G22" s="8">
        <f t="shared" si="1"/>
        <v>42693.173819444448</v>
      </c>
    </row>
    <row r="23" spans="1:7" x14ac:dyDescent="0.25">
      <c r="A23" s="8">
        <v>42693.175127314818</v>
      </c>
      <c r="B23" s="21" t="s">
        <v>378</v>
      </c>
      <c r="C23" s="21" t="s">
        <v>471</v>
      </c>
      <c r="D23" s="21">
        <v>1990000</v>
      </c>
      <c r="E23" s="21" t="s">
        <v>381</v>
      </c>
      <c r="F23" s="21" t="str">
        <f t="shared" si="0"/>
        <v>rtdc.l.rtdc.4045:itc</v>
      </c>
      <c r="G23" s="8">
        <f t="shared" si="1"/>
        <v>42693.175127314818</v>
      </c>
    </row>
    <row r="24" spans="1:7" x14ac:dyDescent="0.25">
      <c r="A24" s="8">
        <v>42693.178831018522</v>
      </c>
      <c r="B24" s="21" t="s">
        <v>343</v>
      </c>
      <c r="C24" s="21" t="s">
        <v>472</v>
      </c>
      <c r="D24" s="21">
        <v>2030000</v>
      </c>
      <c r="E24" s="21" t="s">
        <v>473</v>
      </c>
      <c r="F24" s="21" t="str">
        <f t="shared" si="0"/>
        <v>rtdc.l.rtdc.4032:itc</v>
      </c>
      <c r="G24" s="8">
        <f t="shared" si="1"/>
        <v>42693.178831018522</v>
      </c>
    </row>
    <row r="25" spans="1:7" x14ac:dyDescent="0.25">
      <c r="A25" s="8">
        <v>42693.184421296297</v>
      </c>
      <c r="B25" s="21" t="s">
        <v>380</v>
      </c>
      <c r="C25" s="21" t="s">
        <v>474</v>
      </c>
      <c r="D25" s="21">
        <v>1990000</v>
      </c>
      <c r="E25" s="21" t="s">
        <v>381</v>
      </c>
      <c r="F25" s="21" t="str">
        <f t="shared" si="0"/>
        <v>rtdc.l.rtdc.4046:itc</v>
      </c>
      <c r="G25" s="8">
        <f t="shared" si="1"/>
        <v>42693.184421296297</v>
      </c>
    </row>
    <row r="26" spans="1:7" x14ac:dyDescent="0.25">
      <c r="A26" s="8">
        <v>42693.184629629628</v>
      </c>
      <c r="B26" s="21" t="s">
        <v>224</v>
      </c>
      <c r="C26" s="21" t="s">
        <v>475</v>
      </c>
      <c r="D26" s="21">
        <v>2140000</v>
      </c>
      <c r="E26" s="21" t="s">
        <v>382</v>
      </c>
      <c r="F26" s="21" t="str">
        <f t="shared" si="0"/>
        <v>rtdc.l.rtdc.4004:itc</v>
      </c>
      <c r="G26" s="8">
        <f t="shared" si="1"/>
        <v>42693.184629629628</v>
      </c>
    </row>
    <row r="27" spans="1:7" x14ac:dyDescent="0.25">
      <c r="A27" s="8">
        <v>42693.190613425926</v>
      </c>
      <c r="B27" s="21" t="s">
        <v>341</v>
      </c>
      <c r="C27" s="21" t="s">
        <v>476</v>
      </c>
      <c r="D27" s="21">
        <v>2030000</v>
      </c>
      <c r="E27" s="21" t="s">
        <v>473</v>
      </c>
      <c r="F27" s="21" t="str">
        <f t="shared" si="0"/>
        <v>rtdc.l.rtdc.4031:itc</v>
      </c>
      <c r="G27" s="8">
        <f t="shared" si="1"/>
        <v>42693.190613425926</v>
      </c>
    </row>
    <row r="28" spans="1:7" x14ac:dyDescent="0.25">
      <c r="A28" s="8">
        <v>42693.20349537037</v>
      </c>
      <c r="B28" s="21" t="s">
        <v>247</v>
      </c>
      <c r="C28" s="21" t="s">
        <v>477</v>
      </c>
      <c r="D28" s="21">
        <v>1100000</v>
      </c>
      <c r="E28" s="21" t="s">
        <v>478</v>
      </c>
      <c r="F28" s="21" t="str">
        <f t="shared" si="0"/>
        <v>rtdc.l.rtdc.4038:itc</v>
      </c>
      <c r="G28" s="8">
        <f t="shared" si="1"/>
        <v>42693.20349537037</v>
      </c>
    </row>
    <row r="29" spans="1:7" x14ac:dyDescent="0.25">
      <c r="A29" s="8">
        <v>42693.210312499999</v>
      </c>
      <c r="B29" s="21" t="s">
        <v>243</v>
      </c>
      <c r="C29" s="21" t="s">
        <v>479</v>
      </c>
      <c r="D29" s="21">
        <v>1260000</v>
      </c>
      <c r="E29" s="21" t="s">
        <v>468</v>
      </c>
      <c r="F29" s="21" t="str">
        <f t="shared" si="0"/>
        <v>rtdc.l.rtdc.4021:itc</v>
      </c>
      <c r="G29" s="8">
        <f t="shared" si="1"/>
        <v>42693.210312499999</v>
      </c>
    </row>
    <row r="30" spans="1:7" x14ac:dyDescent="0.25">
      <c r="A30" s="8">
        <v>42693.211053240739</v>
      </c>
      <c r="B30" s="21" t="s">
        <v>219</v>
      </c>
      <c r="C30" s="21" t="s">
        <v>442</v>
      </c>
      <c r="D30" s="21">
        <v>2010000</v>
      </c>
      <c r="E30" s="21" t="s">
        <v>309</v>
      </c>
      <c r="F30" s="21" t="str">
        <f t="shared" si="0"/>
        <v>rtdc.l.rtdc.4040:itc</v>
      </c>
      <c r="G30" s="8">
        <f t="shared" si="1"/>
        <v>42693.211053240739</v>
      </c>
    </row>
    <row r="31" spans="1:7" x14ac:dyDescent="0.25">
      <c r="A31" s="8">
        <v>42693.222627314812</v>
      </c>
      <c r="B31" s="21" t="s">
        <v>378</v>
      </c>
      <c r="C31" s="21" t="s">
        <v>480</v>
      </c>
      <c r="D31" s="21">
        <v>1990000</v>
      </c>
      <c r="E31" s="21" t="s">
        <v>381</v>
      </c>
      <c r="F31" s="21" t="str">
        <f t="shared" si="0"/>
        <v>rtdc.l.rtdc.4045:itc</v>
      </c>
      <c r="G31" s="8">
        <f t="shared" si="1"/>
        <v>42693.222627314812</v>
      </c>
    </row>
    <row r="32" spans="1:7" x14ac:dyDescent="0.25">
      <c r="A32" s="8">
        <v>42693.222685185188</v>
      </c>
      <c r="B32" s="21" t="s">
        <v>188</v>
      </c>
      <c r="C32" s="21" t="s">
        <v>481</v>
      </c>
      <c r="D32" s="21">
        <v>1830000</v>
      </c>
      <c r="E32" s="21" t="s">
        <v>482</v>
      </c>
      <c r="F32" s="21" t="str">
        <f t="shared" si="0"/>
        <v>rtdc.l.rtdc.4044:itc</v>
      </c>
      <c r="G32" s="8">
        <f t="shared" si="1"/>
        <v>42693.222685185188</v>
      </c>
    </row>
    <row r="33" spans="1:7" x14ac:dyDescent="0.25">
      <c r="A33" s="8">
        <v>42693.226157407407</v>
      </c>
      <c r="B33" s="21" t="s">
        <v>274</v>
      </c>
      <c r="C33" s="21" t="s">
        <v>443</v>
      </c>
      <c r="D33" s="21">
        <v>1760000</v>
      </c>
      <c r="E33" s="21" t="s">
        <v>310</v>
      </c>
      <c r="F33" s="21" t="str">
        <f t="shared" si="0"/>
        <v>rtdc.l.rtdc.4014:itc</v>
      </c>
      <c r="G33" s="8">
        <f t="shared" si="1"/>
        <v>42693.226157407407</v>
      </c>
    </row>
    <row r="34" spans="1:7" x14ac:dyDescent="0.25">
      <c r="A34" s="8">
        <v>42693.228819444441</v>
      </c>
      <c r="B34" s="21" t="s">
        <v>292</v>
      </c>
      <c r="C34" s="21" t="s">
        <v>483</v>
      </c>
      <c r="D34" s="21">
        <v>2140000</v>
      </c>
      <c r="E34" s="21" t="s">
        <v>382</v>
      </c>
      <c r="F34" s="21" t="str">
        <f t="shared" si="0"/>
        <v>rtdc.l.rtdc.4003:itc</v>
      </c>
      <c r="G34" s="8">
        <f t="shared" si="1"/>
        <v>42693.228819444441</v>
      </c>
    </row>
    <row r="35" spans="1:7" x14ac:dyDescent="0.25">
      <c r="A35" s="8">
        <v>42693.230451388888</v>
      </c>
      <c r="B35" s="21" t="s">
        <v>238</v>
      </c>
      <c r="C35" s="21" t="s">
        <v>484</v>
      </c>
      <c r="D35" s="21">
        <v>1830000</v>
      </c>
      <c r="E35" s="21" t="s">
        <v>482</v>
      </c>
      <c r="F35" s="21" t="str">
        <f t="shared" si="0"/>
        <v>rtdc.l.rtdc.4043:itc</v>
      </c>
      <c r="G35" s="8">
        <f t="shared" si="1"/>
        <v>42693.230451388888</v>
      </c>
    </row>
    <row r="36" spans="1:7" x14ac:dyDescent="0.25">
      <c r="A36" s="8">
        <v>42693.230543981481</v>
      </c>
      <c r="B36" s="21" t="s">
        <v>343</v>
      </c>
      <c r="C36" s="21" t="s">
        <v>485</v>
      </c>
      <c r="D36" s="21">
        <v>2030000</v>
      </c>
      <c r="E36" s="21" t="s">
        <v>473</v>
      </c>
      <c r="F36" s="21" t="str">
        <f t="shared" si="0"/>
        <v>rtdc.l.rtdc.4032:itc</v>
      </c>
      <c r="G36" s="8">
        <f t="shared" si="1"/>
        <v>42693.230543981481</v>
      </c>
    </row>
    <row r="37" spans="1:7" x14ac:dyDescent="0.25">
      <c r="A37" s="8">
        <v>42693.233402777776</v>
      </c>
      <c r="B37" s="21" t="s">
        <v>274</v>
      </c>
      <c r="C37" s="21" t="s">
        <v>443</v>
      </c>
      <c r="D37" s="21">
        <v>1760000</v>
      </c>
      <c r="E37" s="21" t="s">
        <v>310</v>
      </c>
      <c r="F37" s="21" t="str">
        <f t="shared" si="0"/>
        <v>rtdc.l.rtdc.4014:itc</v>
      </c>
      <c r="G37" s="8">
        <f t="shared" si="1"/>
        <v>42693.233402777776</v>
      </c>
    </row>
    <row r="38" spans="1:7" x14ac:dyDescent="0.25">
      <c r="A38" s="8">
        <v>42693.243321759262</v>
      </c>
      <c r="B38" s="21" t="s">
        <v>251</v>
      </c>
      <c r="C38" s="21" t="s">
        <v>486</v>
      </c>
      <c r="D38" s="21">
        <v>1100000</v>
      </c>
      <c r="E38" s="21" t="s">
        <v>478</v>
      </c>
      <c r="F38" s="21" t="str">
        <f t="shared" si="0"/>
        <v>rtdc.l.rtdc.4037:itc</v>
      </c>
      <c r="G38" s="8">
        <f t="shared" si="1"/>
        <v>42693.243321759262</v>
      </c>
    </row>
    <row r="39" spans="1:7" x14ac:dyDescent="0.25">
      <c r="A39" s="8">
        <v>42693.24726851852</v>
      </c>
      <c r="B39" s="21" t="s">
        <v>216</v>
      </c>
      <c r="C39" s="21" t="s">
        <v>487</v>
      </c>
      <c r="D39" s="21">
        <v>1260000</v>
      </c>
      <c r="E39" s="21" t="s">
        <v>468</v>
      </c>
      <c r="F39" s="21" t="str">
        <f t="shared" si="0"/>
        <v>rtdc.l.rtdc.4011:itc</v>
      </c>
      <c r="G39" s="8">
        <f t="shared" si="1"/>
        <v>42693.24726851852</v>
      </c>
    </row>
    <row r="40" spans="1:7" x14ac:dyDescent="0.25">
      <c r="A40" s="8">
        <v>42693.248171296298</v>
      </c>
      <c r="B40" s="26" t="s">
        <v>188</v>
      </c>
      <c r="C40" s="21" t="s">
        <v>488</v>
      </c>
      <c r="D40" s="21">
        <v>1830000</v>
      </c>
      <c r="E40" s="21" t="s">
        <v>482</v>
      </c>
      <c r="F40" s="21" t="str">
        <f t="shared" si="0"/>
        <v>rtdc.l.rtdc.4044:itc</v>
      </c>
      <c r="G40" s="8">
        <f t="shared" si="1"/>
        <v>42693.248171296298</v>
      </c>
    </row>
    <row r="41" spans="1:7" x14ac:dyDescent="0.25">
      <c r="A41" s="8">
        <v>42693.24858796296</v>
      </c>
      <c r="B41" s="21" t="s">
        <v>216</v>
      </c>
      <c r="C41" s="21" t="s">
        <v>487</v>
      </c>
      <c r="D41" s="21">
        <v>1260000</v>
      </c>
      <c r="E41" s="21" t="s">
        <v>468</v>
      </c>
      <c r="F41" s="21" t="str">
        <f t="shared" si="0"/>
        <v>rtdc.l.rtdc.4011:itc</v>
      </c>
      <c r="G41" s="8">
        <f t="shared" si="1"/>
        <v>42693.24858796296</v>
      </c>
    </row>
    <row r="42" spans="1:7" x14ac:dyDescent="0.25">
      <c r="A42" s="8">
        <v>42693.254745370374</v>
      </c>
      <c r="B42" s="21" t="s">
        <v>223</v>
      </c>
      <c r="C42" s="21" t="s">
        <v>489</v>
      </c>
      <c r="D42" s="21">
        <v>2010000</v>
      </c>
      <c r="E42" s="21" t="s">
        <v>309</v>
      </c>
      <c r="F42" s="21" t="str">
        <f t="shared" si="0"/>
        <v>rtdc.l.rtdc.4039:itc</v>
      </c>
      <c r="G42" s="8">
        <f t="shared" si="1"/>
        <v>42693.254745370374</v>
      </c>
    </row>
    <row r="43" spans="1:7" x14ac:dyDescent="0.25">
      <c r="A43" s="8">
        <v>42693.258553240739</v>
      </c>
      <c r="B43" s="21" t="s">
        <v>380</v>
      </c>
      <c r="C43" s="21" t="s">
        <v>490</v>
      </c>
      <c r="D43" s="21">
        <v>1990000</v>
      </c>
      <c r="E43" s="21" t="s">
        <v>381</v>
      </c>
      <c r="F43" s="21" t="str">
        <f t="shared" si="0"/>
        <v>rtdc.l.rtdc.4046:itc</v>
      </c>
      <c r="G43" s="8">
        <f t="shared" si="1"/>
        <v>42693.258553240739</v>
      </c>
    </row>
    <row r="44" spans="1:7" x14ac:dyDescent="0.25">
      <c r="A44" s="8">
        <v>42693.259641203702</v>
      </c>
      <c r="B44" s="21" t="s">
        <v>275</v>
      </c>
      <c r="C44" s="21" t="s">
        <v>445</v>
      </c>
      <c r="D44" s="21">
        <v>1760000</v>
      </c>
      <c r="E44" s="21" t="s">
        <v>310</v>
      </c>
      <c r="F44" s="21" t="str">
        <f t="shared" si="0"/>
        <v>rtdc.l.rtdc.4013:itc</v>
      </c>
      <c r="G44" s="8">
        <f t="shared" si="1"/>
        <v>42693.259641203702</v>
      </c>
    </row>
    <row r="45" spans="1:7" x14ac:dyDescent="0.25">
      <c r="A45" s="8">
        <v>42693.266180555554</v>
      </c>
      <c r="B45" s="21" t="s">
        <v>341</v>
      </c>
      <c r="C45" s="21" t="s">
        <v>491</v>
      </c>
      <c r="D45" s="21">
        <v>2030000</v>
      </c>
      <c r="E45" s="21" t="s">
        <v>473</v>
      </c>
      <c r="F45" s="21" t="str">
        <f t="shared" si="0"/>
        <v>rtdc.l.rtdc.4031:itc</v>
      </c>
      <c r="G45" s="8">
        <f t="shared" si="1"/>
        <v>42693.266180555554</v>
      </c>
    </row>
    <row r="46" spans="1:7" x14ac:dyDescent="0.25">
      <c r="A46" s="8">
        <v>42693.272129629629</v>
      </c>
      <c r="B46" s="21" t="s">
        <v>224</v>
      </c>
      <c r="C46" s="21" t="s">
        <v>492</v>
      </c>
      <c r="D46" s="21">
        <v>2140000</v>
      </c>
      <c r="E46" s="21" t="s">
        <v>382</v>
      </c>
      <c r="F46" s="21" t="str">
        <f t="shared" si="0"/>
        <v>rtdc.l.rtdc.4004:itc</v>
      </c>
      <c r="G46" s="8">
        <f t="shared" si="1"/>
        <v>42693.272129629629</v>
      </c>
    </row>
    <row r="47" spans="1:7" x14ac:dyDescent="0.25">
      <c r="A47" s="8">
        <v>42693.276064814818</v>
      </c>
      <c r="B47" s="21" t="s">
        <v>238</v>
      </c>
      <c r="C47" s="21" t="s">
        <v>493</v>
      </c>
      <c r="D47" s="21">
        <v>1830000</v>
      </c>
      <c r="E47" s="21" t="s">
        <v>482</v>
      </c>
      <c r="F47" s="21" t="str">
        <f t="shared" si="0"/>
        <v>rtdc.l.rtdc.4043:itc</v>
      </c>
      <c r="G47" s="8">
        <f t="shared" si="1"/>
        <v>42693.276064814818</v>
      </c>
    </row>
    <row r="48" spans="1:7" x14ac:dyDescent="0.25">
      <c r="A48" s="8">
        <v>42693.278055555558</v>
      </c>
      <c r="B48" s="21" t="s">
        <v>247</v>
      </c>
      <c r="C48" s="21" t="s">
        <v>444</v>
      </c>
      <c r="D48" s="21">
        <v>1100000</v>
      </c>
      <c r="E48" s="21" t="s">
        <v>478</v>
      </c>
      <c r="F48" s="21" t="str">
        <f t="shared" si="0"/>
        <v>rtdc.l.rtdc.4038:itc</v>
      </c>
      <c r="G48" s="8">
        <f t="shared" si="1"/>
        <v>42693.278055555558</v>
      </c>
    </row>
    <row r="49" spans="1:7" x14ac:dyDescent="0.25">
      <c r="A49" s="8">
        <v>42693.282754629632</v>
      </c>
      <c r="B49" s="21" t="s">
        <v>229</v>
      </c>
      <c r="C49" s="21" t="s">
        <v>494</v>
      </c>
      <c r="D49" s="21">
        <v>1260000</v>
      </c>
      <c r="E49" s="21" t="s">
        <v>468</v>
      </c>
      <c r="F49" s="21" t="str">
        <f t="shared" si="0"/>
        <v>rtdc.l.rtdc.4012:itc</v>
      </c>
      <c r="G49" s="8">
        <f t="shared" si="1"/>
        <v>42693.282754629632</v>
      </c>
    </row>
    <row r="50" spans="1:7" x14ac:dyDescent="0.25">
      <c r="A50" s="8">
        <v>42693.288368055553</v>
      </c>
      <c r="B50" s="21" t="s">
        <v>219</v>
      </c>
      <c r="C50" s="21" t="s">
        <v>495</v>
      </c>
      <c r="D50" s="21">
        <v>2010000</v>
      </c>
      <c r="E50" s="21" t="s">
        <v>309</v>
      </c>
      <c r="F50" s="21" t="str">
        <f t="shared" si="0"/>
        <v>rtdc.l.rtdc.4040:itc</v>
      </c>
      <c r="G50" s="8">
        <f t="shared" si="1"/>
        <v>42693.288368055553</v>
      </c>
    </row>
    <row r="51" spans="1:7" x14ac:dyDescent="0.25">
      <c r="A51" s="8">
        <v>42693.288900462961</v>
      </c>
      <c r="B51" s="21" t="s">
        <v>188</v>
      </c>
      <c r="C51" s="21" t="s">
        <v>496</v>
      </c>
      <c r="D51" s="21">
        <v>1830000</v>
      </c>
      <c r="E51" s="21" t="s">
        <v>482</v>
      </c>
      <c r="F51" s="21" t="str">
        <f t="shared" si="0"/>
        <v>rtdc.l.rtdc.4044:itc</v>
      </c>
      <c r="G51" s="8">
        <f t="shared" si="1"/>
        <v>42693.288900462961</v>
      </c>
    </row>
    <row r="52" spans="1:7" x14ac:dyDescent="0.25">
      <c r="A52" s="8">
        <v>42693.294386574074</v>
      </c>
      <c r="B52" s="21" t="s">
        <v>378</v>
      </c>
      <c r="C52" s="21" t="s">
        <v>497</v>
      </c>
      <c r="D52" s="21">
        <v>1990000</v>
      </c>
      <c r="E52" s="21" t="s">
        <v>381</v>
      </c>
      <c r="F52" s="21" t="str">
        <f t="shared" si="0"/>
        <v>rtdc.l.rtdc.4045:itc</v>
      </c>
      <c r="G52" s="8">
        <f t="shared" si="1"/>
        <v>42693.294386574074</v>
      </c>
    </row>
    <row r="53" spans="1:7" x14ac:dyDescent="0.25">
      <c r="A53" s="8">
        <v>42693.299479166664</v>
      </c>
      <c r="B53" s="21" t="s">
        <v>274</v>
      </c>
      <c r="C53" s="21" t="s">
        <v>446</v>
      </c>
      <c r="D53" s="21">
        <v>1760000</v>
      </c>
      <c r="E53" s="21" t="s">
        <v>310</v>
      </c>
      <c r="F53" s="21" t="str">
        <f t="shared" si="0"/>
        <v>rtdc.l.rtdc.4014:itc</v>
      </c>
      <c r="G53" s="8">
        <f t="shared" si="1"/>
        <v>42693.299479166664</v>
      </c>
    </row>
    <row r="54" spans="1:7" x14ac:dyDescent="0.25">
      <c r="A54" s="8">
        <v>42693.305243055554</v>
      </c>
      <c r="B54" s="21" t="s">
        <v>343</v>
      </c>
      <c r="C54" s="21" t="s">
        <v>498</v>
      </c>
      <c r="D54" s="21">
        <v>2030000</v>
      </c>
      <c r="E54" s="21" t="s">
        <v>473</v>
      </c>
      <c r="F54" s="21" t="str">
        <f t="shared" si="0"/>
        <v>rtdc.l.rtdc.4032:itc</v>
      </c>
      <c r="G54" s="8">
        <f t="shared" si="1"/>
        <v>42693.305243055554</v>
      </c>
    </row>
    <row r="55" spans="1:7" x14ac:dyDescent="0.25">
      <c r="A55" s="8">
        <v>42693.308356481481</v>
      </c>
      <c r="B55" s="21" t="s">
        <v>292</v>
      </c>
      <c r="C55" s="21" t="s">
        <v>499</v>
      </c>
      <c r="D55" s="21">
        <v>2140000</v>
      </c>
      <c r="E55" s="21" t="s">
        <v>382</v>
      </c>
      <c r="F55" s="21" t="str">
        <f t="shared" si="0"/>
        <v>rtdc.l.rtdc.4003:itc</v>
      </c>
      <c r="G55" s="8">
        <f t="shared" si="1"/>
        <v>42693.308356481481</v>
      </c>
    </row>
    <row r="56" spans="1:7" x14ac:dyDescent="0.25">
      <c r="A56" s="8">
        <v>42693.316087962965</v>
      </c>
      <c r="B56" s="21" t="s">
        <v>251</v>
      </c>
      <c r="C56" s="21" t="s">
        <v>447</v>
      </c>
      <c r="D56" s="21">
        <v>1100000</v>
      </c>
      <c r="E56" s="21" t="s">
        <v>478</v>
      </c>
      <c r="F56" s="21" t="str">
        <f t="shared" si="0"/>
        <v>rtdc.l.rtdc.4037:itc</v>
      </c>
      <c r="G56" s="8">
        <f t="shared" si="1"/>
        <v>42693.316087962965</v>
      </c>
    </row>
    <row r="57" spans="1:7" x14ac:dyDescent="0.25">
      <c r="A57" s="8">
        <v>42693.317881944444</v>
      </c>
      <c r="B57" s="21" t="s">
        <v>238</v>
      </c>
      <c r="C57" s="21" t="s">
        <v>500</v>
      </c>
      <c r="D57" s="21">
        <v>1830000</v>
      </c>
      <c r="E57" s="21" t="s">
        <v>482</v>
      </c>
      <c r="F57" s="21" t="str">
        <f t="shared" si="0"/>
        <v>rtdc.l.rtdc.4043:itc</v>
      </c>
      <c r="G57" s="8">
        <f t="shared" si="1"/>
        <v>42693.317881944444</v>
      </c>
    </row>
    <row r="58" spans="1:7" x14ac:dyDescent="0.25">
      <c r="A58" s="8">
        <v>42693.31790509259</v>
      </c>
      <c r="B58" s="21" t="s">
        <v>216</v>
      </c>
      <c r="C58" s="21" t="s">
        <v>501</v>
      </c>
      <c r="D58" s="21">
        <v>1260000</v>
      </c>
      <c r="E58" s="21" t="s">
        <v>468</v>
      </c>
      <c r="F58" s="21" t="str">
        <f t="shared" si="0"/>
        <v>rtdc.l.rtdc.4011:itc</v>
      </c>
      <c r="G58" s="8">
        <f t="shared" si="1"/>
        <v>42693.31790509259</v>
      </c>
    </row>
    <row r="59" spans="1:7" x14ac:dyDescent="0.25">
      <c r="A59" s="8">
        <v>42693.323148148149</v>
      </c>
      <c r="B59" s="21" t="s">
        <v>223</v>
      </c>
      <c r="C59" s="21" t="s">
        <v>502</v>
      </c>
      <c r="D59" s="21">
        <v>2010000</v>
      </c>
      <c r="E59" s="21" t="s">
        <v>309</v>
      </c>
      <c r="F59" s="21" t="str">
        <f t="shared" si="0"/>
        <v>rtdc.l.rtdc.4039:itc</v>
      </c>
      <c r="G59" s="8">
        <f t="shared" si="1"/>
        <v>42693.323148148149</v>
      </c>
    </row>
    <row r="60" spans="1:7" x14ac:dyDescent="0.25">
      <c r="A60" s="8">
        <v>42693.329479166663</v>
      </c>
      <c r="B60" s="21" t="s">
        <v>380</v>
      </c>
      <c r="C60" s="21" t="s">
        <v>503</v>
      </c>
      <c r="D60" s="21">
        <v>1990000</v>
      </c>
      <c r="E60" s="21" t="s">
        <v>381</v>
      </c>
      <c r="F60" s="21" t="str">
        <f t="shared" si="0"/>
        <v>rtdc.l.rtdc.4046:itc</v>
      </c>
      <c r="G60" s="8">
        <f t="shared" si="1"/>
        <v>42693.329479166663</v>
      </c>
    </row>
    <row r="61" spans="1:7" x14ac:dyDescent="0.25">
      <c r="A61" s="8">
        <v>42693.331643518519</v>
      </c>
      <c r="B61" s="21" t="s">
        <v>275</v>
      </c>
      <c r="C61" s="21" t="s">
        <v>504</v>
      </c>
      <c r="D61" s="21">
        <v>1760000</v>
      </c>
      <c r="E61" s="21" t="s">
        <v>310</v>
      </c>
      <c r="F61" s="21" t="str">
        <f t="shared" si="0"/>
        <v>rtdc.l.rtdc.4013:itc</v>
      </c>
      <c r="G61" s="8">
        <f t="shared" si="1"/>
        <v>42693.331643518519</v>
      </c>
    </row>
    <row r="62" spans="1:7" x14ac:dyDescent="0.25">
      <c r="A62" s="8">
        <v>42693.338553240741</v>
      </c>
      <c r="B62" s="21" t="s">
        <v>292</v>
      </c>
      <c r="C62" s="21" t="s">
        <v>499</v>
      </c>
      <c r="D62" s="21">
        <v>2140000</v>
      </c>
      <c r="E62" s="21" t="s">
        <v>382</v>
      </c>
      <c r="F62" s="21" t="str">
        <f t="shared" si="0"/>
        <v>rtdc.l.rtdc.4003:itc</v>
      </c>
      <c r="G62" s="8">
        <f t="shared" si="1"/>
        <v>42693.338553240741</v>
      </c>
    </row>
    <row r="63" spans="1:7" x14ac:dyDescent="0.25">
      <c r="A63" s="8">
        <v>42693.340763888889</v>
      </c>
      <c r="B63" s="21" t="s">
        <v>341</v>
      </c>
      <c r="C63" s="21" t="s">
        <v>505</v>
      </c>
      <c r="D63" s="21">
        <v>2030000</v>
      </c>
      <c r="E63" s="21" t="s">
        <v>473</v>
      </c>
      <c r="F63" s="21" t="str">
        <f t="shared" si="0"/>
        <v>rtdc.l.rtdc.4031:itc</v>
      </c>
      <c r="G63" s="8">
        <f t="shared" si="1"/>
        <v>42693.340763888889</v>
      </c>
    </row>
    <row r="64" spans="1:7" x14ac:dyDescent="0.25">
      <c r="A64" s="27">
        <v>42693.347395833334</v>
      </c>
      <c r="B64" s="21" t="s">
        <v>188</v>
      </c>
      <c r="C64" s="21" t="s">
        <v>506</v>
      </c>
      <c r="D64" s="21">
        <v>1830000</v>
      </c>
      <c r="E64" s="21" t="s">
        <v>482</v>
      </c>
      <c r="F64" s="21" t="str">
        <f t="shared" si="0"/>
        <v>rtdc.l.rtdc.4044:itc</v>
      </c>
      <c r="G64" s="8">
        <f t="shared" si="1"/>
        <v>42693.347395833334</v>
      </c>
    </row>
    <row r="65" spans="1:7" x14ac:dyDescent="0.25">
      <c r="A65" s="8">
        <v>42693.348599537036</v>
      </c>
      <c r="B65" s="21" t="s">
        <v>224</v>
      </c>
      <c r="C65" s="21" t="s">
        <v>507</v>
      </c>
      <c r="D65" s="21">
        <v>2140000</v>
      </c>
      <c r="E65" s="21" t="s">
        <v>382</v>
      </c>
      <c r="F65" s="21" t="str">
        <f t="shared" si="0"/>
        <v>rtdc.l.rtdc.4004:itc</v>
      </c>
      <c r="G65" s="8">
        <f t="shared" si="1"/>
        <v>42693.348599537036</v>
      </c>
    </row>
    <row r="66" spans="1:7" x14ac:dyDescent="0.25">
      <c r="A66" s="8">
        <v>42693.350081018521</v>
      </c>
      <c r="B66" s="21" t="s">
        <v>247</v>
      </c>
      <c r="C66" s="21" t="s">
        <v>508</v>
      </c>
      <c r="D66" s="21">
        <v>1100000</v>
      </c>
      <c r="E66" s="21" t="s">
        <v>478</v>
      </c>
      <c r="F66" s="21" t="str">
        <f t="shared" ref="F66:F129" si="2">B66</f>
        <v>rtdc.l.rtdc.4038:itc</v>
      </c>
      <c r="G66" s="8">
        <f t="shared" ref="G66:G129" si="3">A66</f>
        <v>42693.350081018521</v>
      </c>
    </row>
    <row r="67" spans="1:7" x14ac:dyDescent="0.25">
      <c r="A67" s="8">
        <v>42693.356585648151</v>
      </c>
      <c r="B67" s="21" t="s">
        <v>229</v>
      </c>
      <c r="C67" s="21" t="s">
        <v>509</v>
      </c>
      <c r="D67" s="21">
        <v>1260000</v>
      </c>
      <c r="E67" s="21" t="s">
        <v>468</v>
      </c>
      <c r="F67" s="21" t="str">
        <f t="shared" si="2"/>
        <v>rtdc.l.rtdc.4012:itc</v>
      </c>
      <c r="G67" s="8">
        <f t="shared" si="3"/>
        <v>42693.356585648151</v>
      </c>
    </row>
    <row r="68" spans="1:7" x14ac:dyDescent="0.25">
      <c r="A68" s="8">
        <v>42693.360254629632</v>
      </c>
      <c r="B68" s="21" t="s">
        <v>238</v>
      </c>
      <c r="C68" s="21" t="s">
        <v>510</v>
      </c>
      <c r="D68" s="21">
        <v>1830000</v>
      </c>
      <c r="E68" s="21" t="s">
        <v>482</v>
      </c>
      <c r="F68" s="21" t="str">
        <f t="shared" si="2"/>
        <v>rtdc.l.rtdc.4043:itc</v>
      </c>
      <c r="G68" s="8">
        <f t="shared" si="3"/>
        <v>42693.360254629632</v>
      </c>
    </row>
    <row r="69" spans="1:7" x14ac:dyDescent="0.25">
      <c r="A69" s="8">
        <v>42693.361597222225</v>
      </c>
      <c r="B69" s="21" t="s">
        <v>219</v>
      </c>
      <c r="C69" s="21" t="s">
        <v>511</v>
      </c>
      <c r="D69" s="21">
        <v>2010000</v>
      </c>
      <c r="E69" s="21" t="s">
        <v>309</v>
      </c>
      <c r="F69" s="21" t="str">
        <f t="shared" si="2"/>
        <v>rtdc.l.rtdc.4040:itc</v>
      </c>
      <c r="G69" s="8">
        <f t="shared" si="3"/>
        <v>42693.361597222225</v>
      </c>
    </row>
    <row r="70" spans="1:7" x14ac:dyDescent="0.25">
      <c r="A70" s="8">
        <v>42693.371215277781</v>
      </c>
      <c r="B70" s="21" t="s">
        <v>378</v>
      </c>
      <c r="C70" s="21" t="s">
        <v>512</v>
      </c>
      <c r="D70" s="21">
        <v>1990000</v>
      </c>
      <c r="E70" s="21" t="s">
        <v>381</v>
      </c>
      <c r="F70" s="21" t="str">
        <f t="shared" si="2"/>
        <v>rtdc.l.rtdc.4045:itc</v>
      </c>
      <c r="G70" s="8">
        <f t="shared" si="3"/>
        <v>42693.371215277781</v>
      </c>
    </row>
    <row r="71" spans="1:7" x14ac:dyDescent="0.25">
      <c r="A71" s="8">
        <v>42693.371481481481</v>
      </c>
      <c r="B71" s="21" t="s">
        <v>274</v>
      </c>
      <c r="C71" s="21" t="s">
        <v>513</v>
      </c>
      <c r="D71" s="21">
        <v>1760000</v>
      </c>
      <c r="E71" s="21" t="s">
        <v>310</v>
      </c>
      <c r="F71" s="21" t="str">
        <f t="shared" si="2"/>
        <v>rtdc.l.rtdc.4014:itc</v>
      </c>
      <c r="G71" s="8">
        <f t="shared" si="3"/>
        <v>42693.371481481481</v>
      </c>
    </row>
    <row r="72" spans="1:7" x14ac:dyDescent="0.25">
      <c r="A72" s="8">
        <v>42693.372557870367</v>
      </c>
      <c r="B72" s="21" t="s">
        <v>188</v>
      </c>
      <c r="C72" s="21" t="s">
        <v>514</v>
      </c>
      <c r="D72" s="21">
        <v>1830000</v>
      </c>
      <c r="E72" s="21" t="s">
        <v>482</v>
      </c>
      <c r="F72" s="21" t="str">
        <f t="shared" si="2"/>
        <v>rtdc.l.rtdc.4044:itc</v>
      </c>
      <c r="G72" s="8">
        <f t="shared" si="3"/>
        <v>42693.372557870367</v>
      </c>
    </row>
    <row r="73" spans="1:7" x14ac:dyDescent="0.25">
      <c r="A73" s="8">
        <v>42693.374942129631</v>
      </c>
      <c r="B73" s="21" t="s">
        <v>343</v>
      </c>
      <c r="C73" s="21" t="s">
        <v>515</v>
      </c>
      <c r="D73" s="21">
        <v>2030000</v>
      </c>
      <c r="E73" s="21" t="s">
        <v>473</v>
      </c>
      <c r="F73" s="21" t="str">
        <f t="shared" si="2"/>
        <v>rtdc.l.rtdc.4032:itc</v>
      </c>
      <c r="G73" s="8">
        <f t="shared" si="3"/>
        <v>42693.374942129631</v>
      </c>
    </row>
    <row r="74" spans="1:7" x14ac:dyDescent="0.25">
      <c r="A74" s="8">
        <v>42693.382222222222</v>
      </c>
      <c r="B74" s="21" t="s">
        <v>292</v>
      </c>
      <c r="C74" s="21" t="s">
        <v>516</v>
      </c>
      <c r="D74" s="21">
        <v>2140000</v>
      </c>
      <c r="E74" s="21" t="s">
        <v>382</v>
      </c>
      <c r="F74" s="21" t="str">
        <f t="shared" si="2"/>
        <v>rtdc.l.rtdc.4003:itc</v>
      </c>
      <c r="G74" s="8">
        <f t="shared" si="3"/>
        <v>42693.382222222222</v>
      </c>
    </row>
    <row r="75" spans="1:7" x14ac:dyDescent="0.25">
      <c r="A75" s="8">
        <v>42693.388784722221</v>
      </c>
      <c r="B75" s="21" t="s">
        <v>251</v>
      </c>
      <c r="C75" s="21" t="s">
        <v>517</v>
      </c>
      <c r="D75" s="21">
        <v>1100000</v>
      </c>
      <c r="E75" s="21" t="s">
        <v>478</v>
      </c>
      <c r="F75" s="21" t="str">
        <f t="shared" si="2"/>
        <v>rtdc.l.rtdc.4037:itc</v>
      </c>
      <c r="G75" s="8">
        <f t="shared" si="3"/>
        <v>42693.388784722221</v>
      </c>
    </row>
    <row r="76" spans="1:7" x14ac:dyDescent="0.25">
      <c r="A76" s="8">
        <v>42693.391134259262</v>
      </c>
      <c r="B76" s="21" t="s">
        <v>216</v>
      </c>
      <c r="C76" s="21" t="s">
        <v>518</v>
      </c>
      <c r="D76" s="21">
        <v>1260000</v>
      </c>
      <c r="E76" s="21" t="s">
        <v>468</v>
      </c>
      <c r="F76" s="21" t="str">
        <f t="shared" si="2"/>
        <v>rtdc.l.rtdc.4011:itc</v>
      </c>
      <c r="G76" s="8">
        <f t="shared" si="3"/>
        <v>42693.391134259262</v>
      </c>
    </row>
    <row r="77" spans="1:7" x14ac:dyDescent="0.25">
      <c r="A77" s="8">
        <v>42693.398368055554</v>
      </c>
      <c r="B77" s="21" t="s">
        <v>223</v>
      </c>
      <c r="C77" s="21" t="s">
        <v>519</v>
      </c>
      <c r="D77" s="21">
        <v>2010000</v>
      </c>
      <c r="E77" s="21" t="s">
        <v>309</v>
      </c>
      <c r="F77" s="21" t="str">
        <f t="shared" si="2"/>
        <v>rtdc.l.rtdc.4039:itc</v>
      </c>
      <c r="G77" s="8">
        <f t="shared" si="3"/>
        <v>42693.398368055554</v>
      </c>
    </row>
    <row r="78" spans="1:7" x14ac:dyDescent="0.25">
      <c r="A78" s="8">
        <v>42693.400914351849</v>
      </c>
      <c r="B78" s="21" t="s">
        <v>238</v>
      </c>
      <c r="C78" s="21" t="s">
        <v>520</v>
      </c>
      <c r="D78" s="21">
        <v>1830000</v>
      </c>
      <c r="E78" s="21" t="s">
        <v>482</v>
      </c>
      <c r="F78" s="21" t="str">
        <f t="shared" si="2"/>
        <v>rtdc.l.rtdc.4043:itc</v>
      </c>
      <c r="G78" s="8">
        <f t="shared" si="3"/>
        <v>42693.400914351849</v>
      </c>
    </row>
    <row r="79" spans="1:7" x14ac:dyDescent="0.25">
      <c r="A79" s="8">
        <v>42693.403275462966</v>
      </c>
      <c r="B79" s="21" t="s">
        <v>380</v>
      </c>
      <c r="C79" s="21" t="s">
        <v>521</v>
      </c>
      <c r="D79" s="21">
        <v>1990000</v>
      </c>
      <c r="E79" s="21" t="s">
        <v>381</v>
      </c>
      <c r="F79" s="21" t="str">
        <f t="shared" si="2"/>
        <v>rtdc.l.rtdc.4046:itc</v>
      </c>
      <c r="G79" s="8">
        <f t="shared" si="3"/>
        <v>42693.403275462966</v>
      </c>
    </row>
    <row r="80" spans="1:7" x14ac:dyDescent="0.25">
      <c r="A80" s="8">
        <v>42693.407673611109</v>
      </c>
      <c r="B80" s="21" t="s">
        <v>343</v>
      </c>
      <c r="C80" s="21" t="s">
        <v>515</v>
      </c>
      <c r="D80" s="21">
        <v>2030000</v>
      </c>
      <c r="E80" s="21" t="s">
        <v>473</v>
      </c>
      <c r="F80" s="21" t="str">
        <f t="shared" si="2"/>
        <v>rtdc.l.rtdc.4032:itc</v>
      </c>
      <c r="G80" s="8">
        <f t="shared" si="3"/>
        <v>42693.407673611109</v>
      </c>
    </row>
    <row r="81" spans="1:7" x14ac:dyDescent="0.25">
      <c r="A81" s="8">
        <v>42693.410960648151</v>
      </c>
      <c r="B81" s="21" t="s">
        <v>275</v>
      </c>
      <c r="C81" s="21" t="s">
        <v>522</v>
      </c>
      <c r="D81" s="21">
        <v>1760000</v>
      </c>
      <c r="E81" s="21" t="s">
        <v>310</v>
      </c>
      <c r="F81" s="21" t="str">
        <f t="shared" si="2"/>
        <v>rtdc.l.rtdc.4013:itc</v>
      </c>
      <c r="G81" s="8">
        <f t="shared" si="3"/>
        <v>42693.410960648151</v>
      </c>
    </row>
    <row r="82" spans="1:7" x14ac:dyDescent="0.25">
      <c r="A82" s="8">
        <v>42693.415810185186</v>
      </c>
      <c r="B82" s="21" t="s">
        <v>341</v>
      </c>
      <c r="C82" s="21" t="s">
        <v>523</v>
      </c>
      <c r="D82" s="21">
        <v>2030000</v>
      </c>
      <c r="E82" s="21" t="s">
        <v>473</v>
      </c>
      <c r="F82" s="21" t="str">
        <f t="shared" si="2"/>
        <v>rtdc.l.rtdc.4031:itc</v>
      </c>
      <c r="G82" s="8">
        <f t="shared" si="3"/>
        <v>42693.415810185186</v>
      </c>
    </row>
    <row r="83" spans="1:7" x14ac:dyDescent="0.25">
      <c r="A83" s="8">
        <v>42693.419189814813</v>
      </c>
      <c r="B83" s="21" t="s">
        <v>224</v>
      </c>
      <c r="C83" s="21" t="s">
        <v>524</v>
      </c>
      <c r="D83" s="21">
        <v>2140000</v>
      </c>
      <c r="E83" s="21" t="s">
        <v>382</v>
      </c>
      <c r="F83" s="21" t="str">
        <f t="shared" si="2"/>
        <v>rtdc.l.rtdc.4004:itc</v>
      </c>
      <c r="G83" s="8">
        <f t="shared" si="3"/>
        <v>42693.419189814813</v>
      </c>
    </row>
    <row r="84" spans="1:7" x14ac:dyDescent="0.25">
      <c r="A84" s="8">
        <v>42693.423009259262</v>
      </c>
      <c r="B84" s="21" t="s">
        <v>242</v>
      </c>
      <c r="C84" s="21" t="s">
        <v>525</v>
      </c>
      <c r="D84" s="21">
        <v>1830000</v>
      </c>
      <c r="E84" s="21" t="s">
        <v>482</v>
      </c>
      <c r="F84" s="21" t="str">
        <f t="shared" si="2"/>
        <v>rtdc.l.rtdc.4022:itc</v>
      </c>
      <c r="G84" s="8">
        <f t="shared" si="3"/>
        <v>42693.423009259262</v>
      </c>
    </row>
    <row r="85" spans="1:7" x14ac:dyDescent="0.25">
      <c r="A85" s="8">
        <v>42693.424328703702</v>
      </c>
      <c r="B85" s="21" t="s">
        <v>247</v>
      </c>
      <c r="C85" s="21" t="s">
        <v>526</v>
      </c>
      <c r="D85" s="21">
        <v>1100000</v>
      </c>
      <c r="E85" s="21" t="s">
        <v>478</v>
      </c>
      <c r="F85" s="21" t="str">
        <f t="shared" si="2"/>
        <v>rtdc.l.rtdc.4038:itc</v>
      </c>
      <c r="G85" s="8">
        <f t="shared" si="3"/>
        <v>42693.424328703702</v>
      </c>
    </row>
    <row r="86" spans="1:7" x14ac:dyDescent="0.25">
      <c r="A86" s="8">
        <v>42693.430543981478</v>
      </c>
      <c r="B86" s="21" t="s">
        <v>229</v>
      </c>
      <c r="C86" s="21" t="s">
        <v>448</v>
      </c>
      <c r="D86" s="21">
        <v>1260000</v>
      </c>
      <c r="E86" s="21" t="s">
        <v>468</v>
      </c>
      <c r="F86" s="21" t="str">
        <f t="shared" si="2"/>
        <v>rtdc.l.rtdc.4012:itc</v>
      </c>
      <c r="G86" s="8">
        <f t="shared" si="3"/>
        <v>42693.430543981478</v>
      </c>
    </row>
    <row r="87" spans="1:7" x14ac:dyDescent="0.25">
      <c r="A87" s="8">
        <v>42693.43236111111</v>
      </c>
      <c r="B87" s="21" t="s">
        <v>219</v>
      </c>
      <c r="C87" s="21" t="s">
        <v>527</v>
      </c>
      <c r="D87" s="21">
        <v>930000</v>
      </c>
      <c r="E87" s="21" t="s">
        <v>384</v>
      </c>
      <c r="F87" s="21" t="str">
        <f t="shared" si="2"/>
        <v>rtdc.l.rtdc.4040:itc</v>
      </c>
      <c r="G87" s="8">
        <f t="shared" si="3"/>
        <v>42693.43236111111</v>
      </c>
    </row>
    <row r="88" spans="1:7" x14ac:dyDescent="0.25">
      <c r="A88" s="8">
        <v>42693.440208333333</v>
      </c>
      <c r="B88" s="21" t="s">
        <v>378</v>
      </c>
      <c r="C88" s="21" t="s">
        <v>528</v>
      </c>
      <c r="D88" s="21">
        <v>1990000</v>
      </c>
      <c r="E88" s="21" t="s">
        <v>381</v>
      </c>
      <c r="F88" s="21" t="str">
        <f t="shared" si="2"/>
        <v>rtdc.l.rtdc.4045:itc</v>
      </c>
      <c r="G88" s="8">
        <f t="shared" si="3"/>
        <v>42693.440208333333</v>
      </c>
    </row>
    <row r="89" spans="1:7" x14ac:dyDescent="0.25">
      <c r="A89" s="8">
        <v>42693.443009259259</v>
      </c>
      <c r="B89" s="21" t="s">
        <v>243</v>
      </c>
      <c r="C89" s="21" t="s">
        <v>529</v>
      </c>
      <c r="D89" s="21">
        <v>1830000</v>
      </c>
      <c r="E89" s="21" t="s">
        <v>482</v>
      </c>
      <c r="F89" s="21" t="str">
        <f t="shared" si="2"/>
        <v>rtdc.l.rtdc.4021:itc</v>
      </c>
      <c r="G89" s="8">
        <f t="shared" si="3"/>
        <v>42693.443009259259</v>
      </c>
    </row>
    <row r="90" spans="1:7" x14ac:dyDescent="0.25">
      <c r="A90" s="8">
        <v>42693.443796296298</v>
      </c>
      <c r="B90" s="21" t="s">
        <v>274</v>
      </c>
      <c r="C90" s="21" t="s">
        <v>450</v>
      </c>
      <c r="D90" s="21">
        <v>1760000</v>
      </c>
      <c r="E90" s="21" t="s">
        <v>310</v>
      </c>
      <c r="F90" s="21" t="str">
        <f t="shared" si="2"/>
        <v>rtdc.l.rtdc.4014:itc</v>
      </c>
      <c r="G90" s="8">
        <f t="shared" si="3"/>
        <v>42693.443796296298</v>
      </c>
    </row>
    <row r="91" spans="1:7" x14ac:dyDescent="0.25">
      <c r="A91" s="8">
        <v>42693.447847222225</v>
      </c>
      <c r="B91" s="21" t="s">
        <v>343</v>
      </c>
      <c r="C91" s="21" t="s">
        <v>530</v>
      </c>
      <c r="D91" s="21">
        <v>2030000</v>
      </c>
      <c r="E91" s="21" t="s">
        <v>473</v>
      </c>
      <c r="F91" s="21" t="str">
        <f t="shared" si="2"/>
        <v>rtdc.l.rtdc.4032:itc</v>
      </c>
      <c r="G91" s="8">
        <f t="shared" si="3"/>
        <v>42693.447847222225</v>
      </c>
    </row>
    <row r="92" spans="1:7" x14ac:dyDescent="0.25">
      <c r="A92" s="8">
        <v>42693.454259259262</v>
      </c>
      <c r="B92" s="21" t="s">
        <v>292</v>
      </c>
      <c r="C92" s="21" t="s">
        <v>531</v>
      </c>
      <c r="D92" s="21">
        <v>880000</v>
      </c>
      <c r="E92" s="21" t="s">
        <v>383</v>
      </c>
      <c r="F92" s="21" t="str">
        <f t="shared" si="2"/>
        <v>rtdc.l.rtdc.4003:itc</v>
      </c>
      <c r="G92" s="8">
        <f t="shared" si="3"/>
        <v>42693.454259259262</v>
      </c>
    </row>
    <row r="93" spans="1:7" x14ac:dyDescent="0.25">
      <c r="A93" s="8">
        <v>42693.455462962964</v>
      </c>
      <c r="B93" s="21" t="s">
        <v>242</v>
      </c>
      <c r="C93" s="21" t="s">
        <v>532</v>
      </c>
      <c r="D93" s="21">
        <v>1830000</v>
      </c>
      <c r="E93" s="21" t="s">
        <v>482</v>
      </c>
      <c r="F93" s="21" t="str">
        <f t="shared" si="2"/>
        <v>rtdc.l.rtdc.4022:itc</v>
      </c>
      <c r="G93" s="8">
        <f t="shared" si="3"/>
        <v>42693.455462962964</v>
      </c>
    </row>
    <row r="94" spans="1:7" x14ac:dyDescent="0.25">
      <c r="A94" s="8">
        <v>42693.464224537034</v>
      </c>
      <c r="B94" s="21" t="s">
        <v>216</v>
      </c>
      <c r="C94" s="21" t="s">
        <v>533</v>
      </c>
      <c r="D94" s="21">
        <v>1280000</v>
      </c>
      <c r="E94" s="21" t="s">
        <v>534</v>
      </c>
      <c r="F94" s="21" t="str">
        <f t="shared" si="2"/>
        <v>rtdc.l.rtdc.4011:itc</v>
      </c>
      <c r="G94" s="8">
        <f t="shared" si="3"/>
        <v>42693.464224537034</v>
      </c>
    </row>
    <row r="95" spans="1:7" x14ac:dyDescent="0.25">
      <c r="A95" s="8">
        <v>42693.464560185188</v>
      </c>
      <c r="B95" s="21" t="s">
        <v>251</v>
      </c>
      <c r="C95" s="21" t="s">
        <v>449</v>
      </c>
      <c r="D95" s="21">
        <v>1100000</v>
      </c>
      <c r="E95" s="21" t="s">
        <v>478</v>
      </c>
      <c r="F95" s="21" t="str">
        <f t="shared" si="2"/>
        <v>rtdc.l.rtdc.4037:itc</v>
      </c>
      <c r="G95" s="8">
        <f t="shared" si="3"/>
        <v>42693.464560185188</v>
      </c>
    </row>
    <row r="96" spans="1:7" x14ac:dyDescent="0.25">
      <c r="A96" s="8">
        <v>42693.472534722219</v>
      </c>
      <c r="B96" s="21" t="s">
        <v>223</v>
      </c>
      <c r="C96" s="21" t="s">
        <v>535</v>
      </c>
      <c r="D96" s="21">
        <v>930000</v>
      </c>
      <c r="E96" s="21" t="s">
        <v>384</v>
      </c>
      <c r="F96" s="21" t="str">
        <f t="shared" si="2"/>
        <v>rtdc.l.rtdc.4039:itc</v>
      </c>
      <c r="G96" s="8">
        <f t="shared" si="3"/>
        <v>42693.472534722219</v>
      </c>
    </row>
    <row r="97" spans="1:7" x14ac:dyDescent="0.25">
      <c r="A97" s="8">
        <v>42693.477222222224</v>
      </c>
      <c r="B97" s="21" t="s">
        <v>380</v>
      </c>
      <c r="C97" s="21" t="s">
        <v>536</v>
      </c>
      <c r="D97" s="21">
        <v>2040000</v>
      </c>
      <c r="E97" s="21" t="s">
        <v>537</v>
      </c>
      <c r="F97" s="21" t="str">
        <f t="shared" si="2"/>
        <v>rtdc.l.rtdc.4046:itc</v>
      </c>
      <c r="G97" s="8">
        <f t="shared" si="3"/>
        <v>42693.477222222224</v>
      </c>
    </row>
    <row r="98" spans="1:7" x14ac:dyDescent="0.25">
      <c r="A98" s="8">
        <v>42693.481307870374</v>
      </c>
      <c r="B98" s="21" t="s">
        <v>275</v>
      </c>
      <c r="C98" s="21" t="s">
        <v>451</v>
      </c>
      <c r="D98" s="21">
        <v>1760000</v>
      </c>
      <c r="E98" s="21" t="s">
        <v>310</v>
      </c>
      <c r="F98" s="21" t="str">
        <f t="shared" si="2"/>
        <v>rtdc.l.rtdc.4013:itc</v>
      </c>
      <c r="G98" s="8">
        <f t="shared" si="3"/>
        <v>42693.481307870374</v>
      </c>
    </row>
    <row r="99" spans="1:7" x14ac:dyDescent="0.25">
      <c r="A99" s="8">
        <v>42693.484513888892</v>
      </c>
      <c r="B99" s="21" t="s">
        <v>341</v>
      </c>
      <c r="C99" s="21" t="s">
        <v>538</v>
      </c>
      <c r="D99" s="21">
        <v>2020000</v>
      </c>
      <c r="E99" s="21" t="s">
        <v>344</v>
      </c>
      <c r="F99" s="21" t="str">
        <f t="shared" si="2"/>
        <v>rtdc.l.rtdc.4031:itc</v>
      </c>
      <c r="G99" s="8">
        <f t="shared" si="3"/>
        <v>42693.484513888892</v>
      </c>
    </row>
    <row r="100" spans="1:7" x14ac:dyDescent="0.25">
      <c r="A100" s="8">
        <v>42693.48537037037</v>
      </c>
      <c r="B100" s="21" t="s">
        <v>243</v>
      </c>
      <c r="C100" s="21" t="s">
        <v>539</v>
      </c>
      <c r="D100" s="21">
        <v>1830000</v>
      </c>
      <c r="E100" s="21" t="s">
        <v>482</v>
      </c>
      <c r="F100" s="21" t="str">
        <f t="shared" si="2"/>
        <v>rtdc.l.rtdc.4021:itc</v>
      </c>
      <c r="G100" s="8">
        <f t="shared" si="3"/>
        <v>42693.48537037037</v>
      </c>
    </row>
    <row r="101" spans="1:7" x14ac:dyDescent="0.25">
      <c r="A101" s="8">
        <v>42693.495717592596</v>
      </c>
      <c r="B101" s="21" t="s">
        <v>224</v>
      </c>
      <c r="C101" s="21" t="s">
        <v>540</v>
      </c>
      <c r="D101" s="21">
        <v>880000</v>
      </c>
      <c r="E101" s="21" t="s">
        <v>383</v>
      </c>
      <c r="F101" s="21" t="str">
        <f t="shared" si="2"/>
        <v>rtdc.l.rtdc.4004:itc</v>
      </c>
      <c r="G101" s="8">
        <f t="shared" si="3"/>
        <v>42693.495717592596</v>
      </c>
    </row>
    <row r="102" spans="1:7" x14ac:dyDescent="0.25">
      <c r="A102" s="8">
        <v>42693.497060185182</v>
      </c>
      <c r="B102" s="21" t="s">
        <v>229</v>
      </c>
      <c r="C102" s="21" t="s">
        <v>541</v>
      </c>
      <c r="D102" s="21">
        <v>1280000</v>
      </c>
      <c r="E102" s="21" t="s">
        <v>534</v>
      </c>
      <c r="F102" s="21" t="str">
        <f t="shared" si="2"/>
        <v>rtdc.l.rtdc.4012:itc</v>
      </c>
      <c r="G102" s="8">
        <f t="shared" si="3"/>
        <v>42693.497060185182</v>
      </c>
    </row>
    <row r="103" spans="1:7" x14ac:dyDescent="0.25">
      <c r="A103" s="8">
        <v>42693.497418981482</v>
      </c>
      <c r="B103" s="21" t="s">
        <v>247</v>
      </c>
      <c r="C103" s="21" t="s">
        <v>542</v>
      </c>
      <c r="D103" s="21">
        <v>1770000</v>
      </c>
      <c r="E103" s="21" t="s">
        <v>543</v>
      </c>
      <c r="F103" s="21" t="str">
        <f t="shared" si="2"/>
        <v>rtdc.l.rtdc.4038:itc</v>
      </c>
      <c r="G103" s="8">
        <f t="shared" si="3"/>
        <v>42693.497418981482</v>
      </c>
    </row>
    <row r="104" spans="1:7" x14ac:dyDescent="0.25">
      <c r="A104" s="8">
        <v>42693.497777777775</v>
      </c>
      <c r="B104" s="21" t="s">
        <v>242</v>
      </c>
      <c r="C104" s="21" t="s">
        <v>544</v>
      </c>
      <c r="D104" s="21">
        <v>1830000</v>
      </c>
      <c r="E104" s="21" t="s">
        <v>482</v>
      </c>
      <c r="F104" s="21" t="str">
        <f t="shared" si="2"/>
        <v>rtdc.l.rtdc.4022:itc</v>
      </c>
      <c r="G104" s="8">
        <f t="shared" si="3"/>
        <v>42693.497777777775</v>
      </c>
    </row>
    <row r="105" spans="1:7" x14ac:dyDescent="0.25">
      <c r="A105" s="8">
        <v>42693.508310185185</v>
      </c>
      <c r="B105" s="21" t="s">
        <v>219</v>
      </c>
      <c r="C105" s="21" t="s">
        <v>545</v>
      </c>
      <c r="D105" s="21">
        <v>930000</v>
      </c>
      <c r="E105" s="21" t="s">
        <v>384</v>
      </c>
      <c r="F105" s="21" t="str">
        <f t="shared" si="2"/>
        <v>rtdc.l.rtdc.4040:itc</v>
      </c>
      <c r="G105" s="8">
        <f t="shared" si="3"/>
        <v>42693.508310185185</v>
      </c>
    </row>
    <row r="106" spans="1:7" x14ac:dyDescent="0.25">
      <c r="A106" s="8">
        <v>42693.513935185183</v>
      </c>
      <c r="B106" s="21" t="s">
        <v>378</v>
      </c>
      <c r="C106" s="21" t="s">
        <v>546</v>
      </c>
      <c r="D106" s="21">
        <v>2040000</v>
      </c>
      <c r="E106" s="21" t="s">
        <v>537</v>
      </c>
      <c r="F106" s="21" t="str">
        <f t="shared" si="2"/>
        <v>rtdc.l.rtdc.4045:itc</v>
      </c>
      <c r="G106" s="8">
        <f t="shared" si="3"/>
        <v>42693.513935185183</v>
      </c>
    </row>
    <row r="107" spans="1:7" x14ac:dyDescent="0.25">
      <c r="A107" s="8">
        <v>42693.521041666667</v>
      </c>
      <c r="B107" s="21" t="s">
        <v>274</v>
      </c>
      <c r="C107" s="21" t="s">
        <v>547</v>
      </c>
      <c r="D107" s="21">
        <v>1740000</v>
      </c>
      <c r="E107" s="21" t="s">
        <v>548</v>
      </c>
      <c r="F107" s="21" t="str">
        <f t="shared" si="2"/>
        <v>rtdc.l.rtdc.4014:itc</v>
      </c>
      <c r="G107" s="8">
        <f t="shared" si="3"/>
        <v>42693.521041666667</v>
      </c>
    </row>
    <row r="108" spans="1:7" x14ac:dyDescent="0.25">
      <c r="A108" s="8">
        <v>42693.524386574078</v>
      </c>
      <c r="B108" s="21" t="s">
        <v>343</v>
      </c>
      <c r="C108" s="21" t="s">
        <v>549</v>
      </c>
      <c r="D108" s="21">
        <v>2020000</v>
      </c>
      <c r="E108" s="21" t="s">
        <v>344</v>
      </c>
      <c r="F108" s="21" t="str">
        <f t="shared" si="2"/>
        <v>rtdc.l.rtdc.4032:itc</v>
      </c>
      <c r="G108" s="8">
        <f t="shared" si="3"/>
        <v>42693.524386574078</v>
      </c>
    </row>
    <row r="109" spans="1:7" x14ac:dyDescent="0.25">
      <c r="A109" s="8">
        <v>42693.526053240741</v>
      </c>
      <c r="B109" s="21" t="s">
        <v>243</v>
      </c>
      <c r="C109" s="21" t="s">
        <v>550</v>
      </c>
      <c r="D109" s="21">
        <v>1830000</v>
      </c>
      <c r="E109" s="21" t="s">
        <v>482</v>
      </c>
      <c r="F109" s="21" t="str">
        <f t="shared" si="2"/>
        <v>rtdc.l.rtdc.4021:itc</v>
      </c>
      <c r="G109" s="8">
        <f t="shared" si="3"/>
        <v>42693.526053240741</v>
      </c>
    </row>
    <row r="110" spans="1:7" x14ac:dyDescent="0.25">
      <c r="A110" s="8">
        <v>42693.52920138889</v>
      </c>
      <c r="B110" s="21" t="s">
        <v>292</v>
      </c>
      <c r="C110" s="21" t="s">
        <v>551</v>
      </c>
      <c r="D110" s="21">
        <v>880000</v>
      </c>
      <c r="E110" s="21" t="s">
        <v>383</v>
      </c>
      <c r="F110" s="21" t="str">
        <f t="shared" si="2"/>
        <v>rtdc.l.rtdc.4003:itc</v>
      </c>
      <c r="G110" s="8">
        <f t="shared" si="3"/>
        <v>42693.52920138889</v>
      </c>
    </row>
    <row r="111" spans="1:7" x14ac:dyDescent="0.25">
      <c r="A111" s="8">
        <v>42693.534629629627</v>
      </c>
      <c r="B111" s="21" t="s">
        <v>251</v>
      </c>
      <c r="C111" s="21" t="s">
        <v>552</v>
      </c>
      <c r="D111" s="21">
        <v>1770000</v>
      </c>
      <c r="E111" s="21" t="s">
        <v>543</v>
      </c>
      <c r="F111" s="21" t="str">
        <f t="shared" si="2"/>
        <v>rtdc.l.rtdc.4037:itc</v>
      </c>
      <c r="G111" s="8">
        <f t="shared" si="3"/>
        <v>42693.534629629627</v>
      </c>
    </row>
    <row r="112" spans="1:7" x14ac:dyDescent="0.25">
      <c r="A112" s="8">
        <v>42693.539305555554</v>
      </c>
      <c r="B112" s="21" t="s">
        <v>216</v>
      </c>
      <c r="C112" s="21" t="s">
        <v>553</v>
      </c>
      <c r="D112" s="21">
        <v>1280000</v>
      </c>
      <c r="E112" s="21" t="s">
        <v>534</v>
      </c>
      <c r="F112" s="21" t="str">
        <f t="shared" si="2"/>
        <v>rtdc.l.rtdc.4011:itc</v>
      </c>
      <c r="G112" s="8">
        <f t="shared" si="3"/>
        <v>42693.539305555554</v>
      </c>
    </row>
    <row r="113" spans="1:7" x14ac:dyDescent="0.25">
      <c r="A113" s="8">
        <v>42693.546064814815</v>
      </c>
      <c r="B113" s="21" t="s">
        <v>223</v>
      </c>
      <c r="C113" s="21" t="s">
        <v>554</v>
      </c>
      <c r="D113" s="21">
        <v>930000</v>
      </c>
      <c r="E113" s="21" t="s">
        <v>384</v>
      </c>
      <c r="F113" s="21" t="str">
        <f t="shared" si="2"/>
        <v>rtdc.l.rtdc.4039:itc</v>
      </c>
      <c r="G113" s="8">
        <f t="shared" si="3"/>
        <v>42693.546064814815</v>
      </c>
    </row>
    <row r="114" spans="1:7" x14ac:dyDescent="0.25">
      <c r="A114" s="8">
        <v>42693.551712962966</v>
      </c>
      <c r="B114" s="21" t="s">
        <v>380</v>
      </c>
      <c r="C114" s="21" t="s">
        <v>452</v>
      </c>
      <c r="D114" s="21">
        <v>2040000</v>
      </c>
      <c r="E114" s="21" t="s">
        <v>537</v>
      </c>
      <c r="F114" s="21" t="str">
        <f t="shared" si="2"/>
        <v>rtdc.l.rtdc.4046:itc</v>
      </c>
      <c r="G114" s="8">
        <f t="shared" si="3"/>
        <v>42693.551712962966</v>
      </c>
    </row>
    <row r="115" spans="1:7" x14ac:dyDescent="0.25">
      <c r="A115" s="8">
        <v>42693.554930555554</v>
      </c>
      <c r="B115" s="21" t="s">
        <v>242</v>
      </c>
      <c r="C115" s="21" t="s">
        <v>555</v>
      </c>
      <c r="D115" s="21">
        <v>1830000</v>
      </c>
      <c r="E115" s="21" t="s">
        <v>482</v>
      </c>
      <c r="F115" s="21" t="str">
        <f t="shared" si="2"/>
        <v>rtdc.l.rtdc.4022:itc</v>
      </c>
      <c r="G115" s="8">
        <f t="shared" si="3"/>
        <v>42693.554930555554</v>
      </c>
    </row>
    <row r="116" spans="1:7" x14ac:dyDescent="0.25">
      <c r="A116" s="8">
        <v>42693.556273148148</v>
      </c>
      <c r="B116" s="21" t="s">
        <v>275</v>
      </c>
      <c r="C116" s="21" t="s">
        <v>556</v>
      </c>
      <c r="D116" s="21">
        <v>1740000</v>
      </c>
      <c r="E116" s="21" t="s">
        <v>548</v>
      </c>
      <c r="F116" s="21" t="str">
        <f t="shared" si="2"/>
        <v>rtdc.l.rtdc.4013:itc</v>
      </c>
      <c r="G116" s="8">
        <f t="shared" si="3"/>
        <v>42693.556273148148</v>
      </c>
    </row>
    <row r="117" spans="1:7" x14ac:dyDescent="0.25">
      <c r="A117" s="8">
        <v>42693.559224537035</v>
      </c>
      <c r="B117" s="21" t="s">
        <v>341</v>
      </c>
      <c r="C117" s="21" t="s">
        <v>557</v>
      </c>
      <c r="D117" s="21">
        <v>2020000</v>
      </c>
      <c r="E117" s="21" t="s">
        <v>344</v>
      </c>
      <c r="F117" s="21" t="str">
        <f t="shared" si="2"/>
        <v>rtdc.l.rtdc.4031:itc</v>
      </c>
      <c r="G117" s="8">
        <f t="shared" si="3"/>
        <v>42693.559224537035</v>
      </c>
    </row>
    <row r="118" spans="1:7" x14ac:dyDescent="0.25">
      <c r="A118" s="8">
        <v>42693.566851851851</v>
      </c>
      <c r="B118" s="21" t="s">
        <v>243</v>
      </c>
      <c r="C118" s="21" t="s">
        <v>558</v>
      </c>
      <c r="D118" s="21">
        <v>1830000</v>
      </c>
      <c r="E118" s="21" t="s">
        <v>482</v>
      </c>
      <c r="F118" s="21" t="str">
        <f t="shared" si="2"/>
        <v>rtdc.l.rtdc.4021:itc</v>
      </c>
      <c r="G118" s="8">
        <f t="shared" si="3"/>
        <v>42693.566851851851</v>
      </c>
    </row>
    <row r="119" spans="1:7" x14ac:dyDescent="0.25">
      <c r="A119" s="8">
        <v>42693.567662037036</v>
      </c>
      <c r="B119" s="21" t="s">
        <v>247</v>
      </c>
      <c r="C119" s="21" t="s">
        <v>559</v>
      </c>
      <c r="D119" s="21">
        <v>1770000</v>
      </c>
      <c r="E119" s="21" t="s">
        <v>543</v>
      </c>
      <c r="F119" s="21" t="str">
        <f t="shared" si="2"/>
        <v>rtdc.l.rtdc.4038:itc</v>
      </c>
      <c r="G119" s="8">
        <f t="shared" si="3"/>
        <v>42693.567662037036</v>
      </c>
    </row>
    <row r="120" spans="1:7" x14ac:dyDescent="0.25">
      <c r="A120" s="8">
        <v>42693.568333333336</v>
      </c>
      <c r="B120" s="21" t="s">
        <v>224</v>
      </c>
      <c r="C120" s="21" t="s">
        <v>453</v>
      </c>
      <c r="D120" s="21">
        <v>880000</v>
      </c>
      <c r="E120" s="21" t="s">
        <v>383</v>
      </c>
      <c r="F120" s="21" t="str">
        <f t="shared" si="2"/>
        <v>rtdc.l.rtdc.4004:itc</v>
      </c>
      <c r="G120" s="8">
        <f t="shared" si="3"/>
        <v>42693.568333333336</v>
      </c>
    </row>
    <row r="121" spans="1:7" x14ac:dyDescent="0.25">
      <c r="A121" s="8">
        <v>42693.570092592592</v>
      </c>
      <c r="B121" s="21" t="s">
        <v>229</v>
      </c>
      <c r="C121" s="21" t="s">
        <v>560</v>
      </c>
      <c r="D121" s="21">
        <v>1280000</v>
      </c>
      <c r="E121" s="21" t="s">
        <v>534</v>
      </c>
      <c r="F121" s="21" t="str">
        <f t="shared" si="2"/>
        <v>rtdc.l.rtdc.4012:itc</v>
      </c>
      <c r="G121" s="8">
        <f t="shared" si="3"/>
        <v>42693.570092592592</v>
      </c>
    </row>
    <row r="122" spans="1:7" x14ac:dyDescent="0.25">
      <c r="A122" s="8">
        <v>42693.580648148149</v>
      </c>
      <c r="B122" s="26" t="s">
        <v>219</v>
      </c>
      <c r="C122" s="21" t="s">
        <v>561</v>
      </c>
      <c r="D122" s="21">
        <v>930000</v>
      </c>
      <c r="E122" s="21" t="s">
        <v>384</v>
      </c>
      <c r="F122" s="21" t="str">
        <f t="shared" si="2"/>
        <v>rtdc.l.rtdc.4040:itc</v>
      </c>
      <c r="G122" s="8">
        <f t="shared" si="3"/>
        <v>42693.580648148149</v>
      </c>
    </row>
    <row r="123" spans="1:7" x14ac:dyDescent="0.25">
      <c r="A123" s="8">
        <v>42693.589201388888</v>
      </c>
      <c r="B123" s="21" t="s">
        <v>378</v>
      </c>
      <c r="C123" s="21" t="s">
        <v>562</v>
      </c>
      <c r="D123" s="21">
        <v>2040000</v>
      </c>
      <c r="E123" s="21" t="s">
        <v>537</v>
      </c>
      <c r="F123" s="21" t="str">
        <f t="shared" si="2"/>
        <v>rtdc.l.rtdc.4045:itc</v>
      </c>
      <c r="G123" s="8">
        <f t="shared" si="3"/>
        <v>42693.589201388888</v>
      </c>
    </row>
    <row r="124" spans="1:7" x14ac:dyDescent="0.25">
      <c r="A124" s="8">
        <v>42693.589490740742</v>
      </c>
      <c r="B124" s="21" t="s">
        <v>242</v>
      </c>
      <c r="C124" s="21" t="s">
        <v>563</v>
      </c>
      <c r="D124" s="21">
        <v>2230000</v>
      </c>
      <c r="E124" s="21" t="s">
        <v>345</v>
      </c>
      <c r="F124" s="21" t="str">
        <f t="shared" si="2"/>
        <v>rtdc.l.rtdc.4022:itc</v>
      </c>
      <c r="G124" s="8">
        <f t="shared" si="3"/>
        <v>42693.589490740742</v>
      </c>
    </row>
    <row r="125" spans="1:7" x14ac:dyDescent="0.25">
      <c r="A125" s="8">
        <v>42693.590312499997</v>
      </c>
      <c r="B125" s="21" t="s">
        <v>274</v>
      </c>
      <c r="C125" s="21" t="s">
        <v>564</v>
      </c>
      <c r="D125" s="21">
        <v>1740000</v>
      </c>
      <c r="E125" s="21" t="s">
        <v>548</v>
      </c>
      <c r="F125" s="21" t="str">
        <f t="shared" si="2"/>
        <v>rtdc.l.rtdc.4014:itc</v>
      </c>
      <c r="G125" s="8">
        <f t="shared" si="3"/>
        <v>42693.590312499997</v>
      </c>
    </row>
    <row r="126" spans="1:7" x14ac:dyDescent="0.25">
      <c r="A126" s="8">
        <v>42693.597604166665</v>
      </c>
      <c r="B126" s="21" t="s">
        <v>343</v>
      </c>
      <c r="C126" s="21" t="s">
        <v>565</v>
      </c>
      <c r="D126" s="21">
        <v>2020000</v>
      </c>
      <c r="E126" s="21" t="s">
        <v>344</v>
      </c>
      <c r="F126" s="21" t="str">
        <f t="shared" si="2"/>
        <v>rtdc.l.rtdc.4032:itc</v>
      </c>
      <c r="G126" s="8">
        <f t="shared" si="3"/>
        <v>42693.597604166665</v>
      </c>
    </row>
    <row r="127" spans="1:7" x14ac:dyDescent="0.25">
      <c r="A127" s="8">
        <v>42693.600775462961</v>
      </c>
      <c r="B127" s="21" t="s">
        <v>292</v>
      </c>
      <c r="C127" s="21" t="s">
        <v>566</v>
      </c>
      <c r="D127" s="21">
        <v>880000</v>
      </c>
      <c r="E127" s="21" t="s">
        <v>383</v>
      </c>
      <c r="F127" s="21" t="str">
        <f t="shared" si="2"/>
        <v>rtdc.l.rtdc.4003:itc</v>
      </c>
      <c r="G127" s="8">
        <f t="shared" si="3"/>
        <v>42693.600775462961</v>
      </c>
    </row>
    <row r="128" spans="1:7" x14ac:dyDescent="0.25">
      <c r="A128" s="8">
        <v>42693.606712962966</v>
      </c>
      <c r="B128" s="21" t="s">
        <v>251</v>
      </c>
      <c r="C128" s="21" t="s">
        <v>567</v>
      </c>
      <c r="D128" s="21">
        <v>1770000</v>
      </c>
      <c r="E128" s="21" t="s">
        <v>543</v>
      </c>
      <c r="F128" s="21" t="str">
        <f t="shared" si="2"/>
        <v>rtdc.l.rtdc.4037:itc</v>
      </c>
      <c r="G128" s="8">
        <f t="shared" si="3"/>
        <v>42693.606712962966</v>
      </c>
    </row>
    <row r="129" spans="1:7" x14ac:dyDescent="0.25">
      <c r="A129" s="8">
        <v>42693.61136574074</v>
      </c>
      <c r="B129" s="21" t="s">
        <v>243</v>
      </c>
      <c r="C129" s="21" t="s">
        <v>568</v>
      </c>
      <c r="D129" s="21">
        <v>2230000</v>
      </c>
      <c r="E129" s="21" t="s">
        <v>345</v>
      </c>
      <c r="F129" s="21" t="str">
        <f t="shared" si="2"/>
        <v>rtdc.l.rtdc.4021:itc</v>
      </c>
      <c r="G129" s="8">
        <f t="shared" si="3"/>
        <v>42693.61136574074</v>
      </c>
    </row>
    <row r="130" spans="1:7" x14ac:dyDescent="0.25">
      <c r="A130" s="8">
        <v>42693.612476851849</v>
      </c>
      <c r="B130" s="21" t="s">
        <v>216</v>
      </c>
      <c r="C130" s="21" t="s">
        <v>569</v>
      </c>
      <c r="D130" s="21">
        <v>1280000</v>
      </c>
      <c r="E130" s="21" t="s">
        <v>534</v>
      </c>
      <c r="F130" s="21" t="str">
        <f t="shared" ref="F130:F193" si="4">B130</f>
        <v>rtdc.l.rtdc.4011:itc</v>
      </c>
      <c r="G130" s="8">
        <f t="shared" ref="G130:G193" si="5">A130</f>
        <v>42693.612476851849</v>
      </c>
    </row>
    <row r="131" spans="1:7" x14ac:dyDescent="0.25">
      <c r="A131" s="8">
        <v>42693.618738425925</v>
      </c>
      <c r="B131" s="21" t="s">
        <v>223</v>
      </c>
      <c r="C131" s="21" t="s">
        <v>570</v>
      </c>
      <c r="D131" s="21">
        <v>930000</v>
      </c>
      <c r="E131" s="21" t="s">
        <v>384</v>
      </c>
      <c r="F131" s="21" t="str">
        <f t="shared" si="4"/>
        <v>rtdc.l.rtdc.4039:itc</v>
      </c>
      <c r="G131" s="8">
        <f t="shared" si="5"/>
        <v>42693.618738425925</v>
      </c>
    </row>
    <row r="132" spans="1:7" x14ac:dyDescent="0.25">
      <c r="A132" s="8">
        <v>42693.623831018522</v>
      </c>
      <c r="B132" s="21" t="s">
        <v>380</v>
      </c>
      <c r="C132" s="21" t="s">
        <v>571</v>
      </c>
      <c r="D132" s="21">
        <v>2040000</v>
      </c>
      <c r="E132" s="21" t="s">
        <v>537</v>
      </c>
      <c r="F132" s="21" t="str">
        <f t="shared" si="4"/>
        <v>rtdc.l.rtdc.4046:itc</v>
      </c>
      <c r="G132" s="8">
        <f t="shared" si="5"/>
        <v>42693.623831018522</v>
      </c>
    </row>
    <row r="133" spans="1:7" x14ac:dyDescent="0.25">
      <c r="A133" s="8">
        <v>42693.625902777778</v>
      </c>
      <c r="B133" s="21" t="s">
        <v>242</v>
      </c>
      <c r="C133" s="21" t="s">
        <v>454</v>
      </c>
      <c r="D133" s="21">
        <v>2230000</v>
      </c>
      <c r="E133" s="21" t="s">
        <v>345</v>
      </c>
      <c r="F133" s="21" t="str">
        <f t="shared" si="4"/>
        <v>rtdc.l.rtdc.4022:itc</v>
      </c>
      <c r="G133" s="8">
        <f t="shared" si="5"/>
        <v>42693.625902777778</v>
      </c>
    </row>
    <row r="134" spans="1:7" x14ac:dyDescent="0.25">
      <c r="A134" s="8">
        <v>42693.630243055559</v>
      </c>
      <c r="B134" s="21" t="s">
        <v>275</v>
      </c>
      <c r="C134" s="21" t="s">
        <v>572</v>
      </c>
      <c r="D134" s="21">
        <v>1740000</v>
      </c>
      <c r="E134" s="21" t="s">
        <v>548</v>
      </c>
      <c r="F134" s="21" t="str">
        <f t="shared" si="4"/>
        <v>rtdc.l.rtdc.4013:itc</v>
      </c>
      <c r="G134" s="8">
        <f t="shared" si="5"/>
        <v>42693.630243055559</v>
      </c>
    </row>
    <row r="135" spans="1:7" x14ac:dyDescent="0.25">
      <c r="A135" s="8">
        <v>42693.630879629629</v>
      </c>
      <c r="B135" s="21" t="s">
        <v>341</v>
      </c>
      <c r="C135" s="21" t="s">
        <v>573</v>
      </c>
      <c r="D135" s="21">
        <v>2020000</v>
      </c>
      <c r="E135" s="21" t="s">
        <v>344</v>
      </c>
      <c r="F135" s="21" t="str">
        <f t="shared" si="4"/>
        <v>rtdc.l.rtdc.4031:itc</v>
      </c>
      <c r="G135" s="8">
        <f t="shared" si="5"/>
        <v>42693.630879629629</v>
      </c>
    </row>
    <row r="136" spans="1:7" x14ac:dyDescent="0.25">
      <c r="A136" s="8">
        <v>42693.640925925924</v>
      </c>
      <c r="B136" s="21" t="s">
        <v>247</v>
      </c>
      <c r="C136" s="21" t="s">
        <v>574</v>
      </c>
      <c r="D136" s="21">
        <v>1770000</v>
      </c>
      <c r="E136" s="21" t="s">
        <v>543</v>
      </c>
      <c r="F136" s="21" t="str">
        <f t="shared" si="4"/>
        <v>rtdc.l.rtdc.4038:itc</v>
      </c>
      <c r="G136" s="8">
        <f t="shared" si="5"/>
        <v>42693.640925925924</v>
      </c>
    </row>
    <row r="137" spans="1:7" x14ac:dyDescent="0.25">
      <c r="A137" s="8">
        <v>42693.64130787037</v>
      </c>
      <c r="B137" s="21" t="s">
        <v>224</v>
      </c>
      <c r="C137" s="21" t="s">
        <v>575</v>
      </c>
      <c r="D137" s="21">
        <v>880000</v>
      </c>
      <c r="E137" s="21" t="s">
        <v>383</v>
      </c>
      <c r="F137" s="21" t="str">
        <f t="shared" si="4"/>
        <v>rtdc.l.rtdc.4004:itc</v>
      </c>
      <c r="G137" s="8">
        <f t="shared" si="5"/>
        <v>42693.64130787037</v>
      </c>
    </row>
    <row r="138" spans="1:7" x14ac:dyDescent="0.25">
      <c r="A138" s="8">
        <v>42693.642129629632</v>
      </c>
      <c r="B138" s="21" t="s">
        <v>229</v>
      </c>
      <c r="C138" s="21" t="s">
        <v>576</v>
      </c>
      <c r="D138" s="21">
        <v>1280000</v>
      </c>
      <c r="E138" s="21" t="s">
        <v>534</v>
      </c>
      <c r="F138" s="21" t="str">
        <f t="shared" si="4"/>
        <v>rtdc.l.rtdc.4012:itc</v>
      </c>
      <c r="G138" s="8">
        <f t="shared" si="5"/>
        <v>42693.642129629632</v>
      </c>
    </row>
    <row r="139" spans="1:7" x14ac:dyDescent="0.25">
      <c r="A139" s="8">
        <v>42693.652418981481</v>
      </c>
      <c r="B139" s="21" t="s">
        <v>243</v>
      </c>
      <c r="C139" s="21" t="s">
        <v>577</v>
      </c>
      <c r="D139" s="21">
        <v>2230000</v>
      </c>
      <c r="E139" s="21" t="s">
        <v>345</v>
      </c>
      <c r="F139" s="21" t="str">
        <f t="shared" si="4"/>
        <v>rtdc.l.rtdc.4021:itc</v>
      </c>
      <c r="G139" s="8">
        <f t="shared" si="5"/>
        <v>42693.652418981481</v>
      </c>
    </row>
    <row r="140" spans="1:7" x14ac:dyDescent="0.25">
      <c r="A140" s="8">
        <v>42693.652708333335</v>
      </c>
      <c r="B140" s="21" t="s">
        <v>219</v>
      </c>
      <c r="C140" s="21" t="s">
        <v>578</v>
      </c>
      <c r="D140" s="21">
        <v>930000</v>
      </c>
      <c r="E140" s="21" t="s">
        <v>384</v>
      </c>
      <c r="F140" s="21" t="str">
        <f t="shared" si="4"/>
        <v>rtdc.l.rtdc.4040:itc</v>
      </c>
      <c r="G140" s="8">
        <f t="shared" si="5"/>
        <v>42693.652708333335</v>
      </c>
    </row>
    <row r="141" spans="1:7" x14ac:dyDescent="0.25">
      <c r="A141" s="8">
        <v>42693.659675925926</v>
      </c>
      <c r="B141" s="21" t="s">
        <v>378</v>
      </c>
      <c r="C141" s="21" t="s">
        <v>579</v>
      </c>
      <c r="D141" s="21">
        <v>2040000</v>
      </c>
      <c r="E141" s="21" t="s">
        <v>537</v>
      </c>
      <c r="F141" s="21" t="str">
        <f t="shared" si="4"/>
        <v>rtdc.l.rtdc.4045:itc</v>
      </c>
      <c r="G141" s="8">
        <f t="shared" si="5"/>
        <v>42693.659675925926</v>
      </c>
    </row>
    <row r="142" spans="1:7" x14ac:dyDescent="0.25">
      <c r="A142" s="8">
        <v>42693.66165509259</v>
      </c>
      <c r="B142" s="21" t="s">
        <v>274</v>
      </c>
      <c r="C142" s="21" t="s">
        <v>580</v>
      </c>
      <c r="D142" s="21">
        <v>1740000</v>
      </c>
      <c r="E142" s="21" t="s">
        <v>548</v>
      </c>
      <c r="F142" s="21" t="str">
        <f t="shared" si="4"/>
        <v>rtdc.l.rtdc.4014:itc</v>
      </c>
      <c r="G142" s="8">
        <f t="shared" si="5"/>
        <v>42693.66165509259</v>
      </c>
    </row>
    <row r="143" spans="1:7" x14ac:dyDescent="0.25">
      <c r="A143" s="8">
        <v>42693.666562500002</v>
      </c>
      <c r="B143" s="21" t="s">
        <v>242</v>
      </c>
      <c r="C143" s="21" t="s">
        <v>581</v>
      </c>
      <c r="D143" s="21">
        <v>2230000</v>
      </c>
      <c r="E143" s="21" t="s">
        <v>345</v>
      </c>
      <c r="F143" s="21" t="str">
        <f t="shared" si="4"/>
        <v>rtdc.l.rtdc.4022:itc</v>
      </c>
      <c r="G143" s="8">
        <f t="shared" si="5"/>
        <v>42693.666562500002</v>
      </c>
    </row>
    <row r="144" spans="1:7" x14ac:dyDescent="0.25">
      <c r="A144" s="8">
        <v>42693.668796296297</v>
      </c>
      <c r="B144" s="21" t="s">
        <v>343</v>
      </c>
      <c r="C144" s="21" t="s">
        <v>455</v>
      </c>
      <c r="D144" s="21">
        <v>2020000</v>
      </c>
      <c r="E144" s="21" t="s">
        <v>344</v>
      </c>
      <c r="F144" s="21" t="str">
        <f t="shared" si="4"/>
        <v>rtdc.l.rtdc.4032:itc</v>
      </c>
      <c r="G144" s="8">
        <f t="shared" si="5"/>
        <v>42693.668796296297</v>
      </c>
    </row>
    <row r="145" spans="1:7" x14ac:dyDescent="0.25">
      <c r="A145" s="8">
        <v>42693.673958333333</v>
      </c>
      <c r="B145" s="21" t="s">
        <v>292</v>
      </c>
      <c r="C145" s="21" t="s">
        <v>582</v>
      </c>
      <c r="D145" s="21">
        <v>880000</v>
      </c>
      <c r="E145" s="21" t="s">
        <v>383</v>
      </c>
      <c r="F145" s="21" t="str">
        <f t="shared" si="4"/>
        <v>rtdc.l.rtdc.4003:itc</v>
      </c>
      <c r="G145" s="8">
        <f t="shared" si="5"/>
        <v>42693.673958333333</v>
      </c>
    </row>
    <row r="146" spans="1:7" x14ac:dyDescent="0.25">
      <c r="A146" s="8">
        <v>42693.678229166668</v>
      </c>
      <c r="B146" s="21" t="s">
        <v>251</v>
      </c>
      <c r="C146" s="21" t="s">
        <v>583</v>
      </c>
      <c r="D146" s="21">
        <v>1770000</v>
      </c>
      <c r="E146" s="21" t="s">
        <v>543</v>
      </c>
      <c r="F146" s="21" t="str">
        <f t="shared" si="4"/>
        <v>rtdc.l.rtdc.4037:itc</v>
      </c>
      <c r="G146" s="8">
        <f t="shared" si="5"/>
        <v>42693.678229166668</v>
      </c>
    </row>
    <row r="147" spans="1:7" x14ac:dyDescent="0.25">
      <c r="A147" s="8">
        <v>42693.684444444443</v>
      </c>
      <c r="B147" s="21" t="s">
        <v>216</v>
      </c>
      <c r="C147" s="21" t="s">
        <v>582</v>
      </c>
      <c r="D147" s="21">
        <v>880000</v>
      </c>
      <c r="E147" s="21" t="s">
        <v>383</v>
      </c>
      <c r="F147" s="21" t="str">
        <f t="shared" si="4"/>
        <v>rtdc.l.rtdc.4011:itc</v>
      </c>
      <c r="G147" s="8">
        <f t="shared" si="5"/>
        <v>42693.684444444443</v>
      </c>
    </row>
    <row r="148" spans="1:7" x14ac:dyDescent="0.25">
      <c r="A148" s="8">
        <v>42693.686828703707</v>
      </c>
      <c r="B148" s="21" t="s">
        <v>233</v>
      </c>
      <c r="C148" s="21" t="s">
        <v>584</v>
      </c>
      <c r="D148" s="21">
        <v>1280000</v>
      </c>
      <c r="E148" s="21" t="s">
        <v>534</v>
      </c>
      <c r="F148" s="21" t="str">
        <f t="shared" si="4"/>
        <v>rtdc.l.rtdc.4002:itc</v>
      </c>
      <c r="G148" s="8">
        <f t="shared" si="5"/>
        <v>42693.686828703707</v>
      </c>
    </row>
    <row r="149" spans="1:7" x14ac:dyDescent="0.25">
      <c r="A149" s="8">
        <v>42693.690451388888</v>
      </c>
      <c r="B149" s="21" t="s">
        <v>223</v>
      </c>
      <c r="C149" s="21" t="s">
        <v>585</v>
      </c>
      <c r="D149" s="21">
        <v>930000</v>
      </c>
      <c r="E149" s="21" t="s">
        <v>384</v>
      </c>
      <c r="F149" s="21" t="str">
        <f t="shared" si="4"/>
        <v>rtdc.l.rtdc.4039:itc</v>
      </c>
      <c r="G149" s="8">
        <f t="shared" si="5"/>
        <v>42693.690451388888</v>
      </c>
    </row>
    <row r="150" spans="1:7" x14ac:dyDescent="0.25">
      <c r="A150" s="8">
        <v>42693.694027777776</v>
      </c>
      <c r="B150" s="21" t="s">
        <v>243</v>
      </c>
      <c r="C150" s="21" t="s">
        <v>586</v>
      </c>
      <c r="D150" s="21">
        <v>2230000</v>
      </c>
      <c r="E150" s="21" t="s">
        <v>345</v>
      </c>
      <c r="F150" s="21" t="str">
        <f t="shared" si="4"/>
        <v>rtdc.l.rtdc.4021:itc</v>
      </c>
      <c r="G150" s="8">
        <f t="shared" si="5"/>
        <v>42693.694027777776</v>
      </c>
    </row>
    <row r="151" spans="1:7" x14ac:dyDescent="0.25">
      <c r="A151" s="8">
        <v>42693.696956018517</v>
      </c>
      <c r="B151" s="21" t="s">
        <v>380</v>
      </c>
      <c r="C151" s="21" t="s">
        <v>587</v>
      </c>
      <c r="D151" s="21">
        <v>2040000</v>
      </c>
      <c r="E151" s="21" t="s">
        <v>537</v>
      </c>
      <c r="F151" s="21" t="str">
        <f t="shared" si="4"/>
        <v>rtdc.l.rtdc.4046:itc</v>
      </c>
      <c r="G151" s="8">
        <f t="shared" si="5"/>
        <v>42693.696956018517</v>
      </c>
    </row>
    <row r="152" spans="1:7" x14ac:dyDescent="0.25">
      <c r="A152" s="8">
        <v>42693.699976851851</v>
      </c>
      <c r="B152" s="21" t="s">
        <v>275</v>
      </c>
      <c r="C152" s="21" t="s">
        <v>588</v>
      </c>
      <c r="D152" s="21">
        <v>1740000</v>
      </c>
      <c r="E152" s="21" t="s">
        <v>548</v>
      </c>
      <c r="F152" s="21" t="str">
        <f t="shared" si="4"/>
        <v>rtdc.l.rtdc.4013:itc</v>
      </c>
      <c r="G152" s="8">
        <f t="shared" si="5"/>
        <v>42693.699976851851</v>
      </c>
    </row>
    <row r="153" spans="1:7" x14ac:dyDescent="0.25">
      <c r="A153" s="8">
        <v>42693.705023148148</v>
      </c>
      <c r="B153" s="21" t="s">
        <v>341</v>
      </c>
      <c r="C153" s="21" t="s">
        <v>589</v>
      </c>
      <c r="D153" s="21">
        <v>2020000</v>
      </c>
      <c r="E153" s="21" t="s">
        <v>344</v>
      </c>
      <c r="F153" s="21" t="str">
        <f t="shared" si="4"/>
        <v>rtdc.l.rtdc.4031:itc</v>
      </c>
      <c r="G153" s="8">
        <f t="shared" si="5"/>
        <v>42693.705023148148</v>
      </c>
    </row>
    <row r="154" spans="1:7" x14ac:dyDescent="0.25">
      <c r="A154" s="8">
        <v>42693.711134259262</v>
      </c>
      <c r="B154" s="21" t="s">
        <v>188</v>
      </c>
      <c r="C154" s="21" t="s">
        <v>590</v>
      </c>
      <c r="D154" s="21">
        <v>2090000</v>
      </c>
      <c r="E154" s="21" t="s">
        <v>385</v>
      </c>
      <c r="F154" s="21" t="str">
        <f t="shared" si="4"/>
        <v>rtdc.l.rtdc.4044:itc</v>
      </c>
      <c r="G154" s="8">
        <f t="shared" si="5"/>
        <v>42693.711134259262</v>
      </c>
    </row>
    <row r="155" spans="1:7" x14ac:dyDescent="0.25">
      <c r="A155" s="8">
        <v>42693.711655092593</v>
      </c>
      <c r="B155" s="21" t="s">
        <v>242</v>
      </c>
      <c r="C155" s="21" t="s">
        <v>591</v>
      </c>
      <c r="D155" s="21">
        <v>2230000</v>
      </c>
      <c r="E155" s="21" t="s">
        <v>345</v>
      </c>
      <c r="F155" s="21" t="str">
        <f t="shared" si="4"/>
        <v>rtdc.l.rtdc.4022:itc</v>
      </c>
      <c r="G155" s="8">
        <f t="shared" si="5"/>
        <v>42693.711655092593</v>
      </c>
    </row>
    <row r="156" spans="1:7" x14ac:dyDescent="0.25">
      <c r="A156" s="8">
        <v>42693.714675925927</v>
      </c>
      <c r="B156" s="21" t="s">
        <v>247</v>
      </c>
      <c r="C156" s="21" t="s">
        <v>592</v>
      </c>
      <c r="D156" s="21">
        <v>1770000</v>
      </c>
      <c r="E156" s="21" t="s">
        <v>543</v>
      </c>
      <c r="F156" s="21" t="str">
        <f t="shared" si="4"/>
        <v>rtdc.l.rtdc.4038:itc</v>
      </c>
      <c r="G156" s="8">
        <f t="shared" si="5"/>
        <v>42693.714675925927</v>
      </c>
    </row>
    <row r="157" spans="1:7" x14ac:dyDescent="0.25">
      <c r="A157" s="8">
        <v>42693.715312499997</v>
      </c>
      <c r="B157" s="21" t="s">
        <v>229</v>
      </c>
      <c r="C157" s="21" t="s">
        <v>593</v>
      </c>
      <c r="D157" s="21">
        <v>880000</v>
      </c>
      <c r="E157" s="21" t="s">
        <v>383</v>
      </c>
      <c r="F157" s="21" t="str">
        <f t="shared" si="4"/>
        <v>rtdc.l.rtdc.4012:itc</v>
      </c>
      <c r="G157" s="8">
        <f t="shared" si="5"/>
        <v>42693.715312499997</v>
      </c>
    </row>
    <row r="158" spans="1:7" x14ac:dyDescent="0.25">
      <c r="A158" s="8">
        <v>42693.722280092596</v>
      </c>
      <c r="B158" s="21" t="s">
        <v>232</v>
      </c>
      <c r="C158" s="21" t="s">
        <v>594</v>
      </c>
      <c r="D158" s="21">
        <v>1280000</v>
      </c>
      <c r="E158" s="21" t="s">
        <v>534</v>
      </c>
      <c r="F158" s="21" t="str">
        <f t="shared" si="4"/>
        <v>rtdc.l.rtdc.4001:itc</v>
      </c>
      <c r="G158" s="8">
        <f t="shared" si="5"/>
        <v>42693.722280092596</v>
      </c>
    </row>
    <row r="159" spans="1:7" x14ac:dyDescent="0.25">
      <c r="A159" s="8">
        <v>42693.725706018522</v>
      </c>
      <c r="B159" s="21" t="s">
        <v>219</v>
      </c>
      <c r="C159" s="21" t="s">
        <v>595</v>
      </c>
      <c r="D159" s="21">
        <v>930000</v>
      </c>
      <c r="E159" s="21" t="s">
        <v>384</v>
      </c>
      <c r="F159" s="21" t="str">
        <f t="shared" si="4"/>
        <v>rtdc.l.rtdc.4040:itc</v>
      </c>
      <c r="G159" s="8">
        <f t="shared" si="5"/>
        <v>42693.725706018522</v>
      </c>
    </row>
    <row r="160" spans="1:7" x14ac:dyDescent="0.25">
      <c r="A160" s="8">
        <v>42693.731388888889</v>
      </c>
      <c r="B160" s="21" t="s">
        <v>292</v>
      </c>
      <c r="C160" s="21" t="s">
        <v>596</v>
      </c>
      <c r="D160" s="21">
        <v>2280000</v>
      </c>
      <c r="E160" s="21" t="s">
        <v>597</v>
      </c>
      <c r="F160" s="21" t="str">
        <f t="shared" si="4"/>
        <v>rtdc.l.rtdc.4003:itc</v>
      </c>
      <c r="G160" s="8">
        <f t="shared" si="5"/>
        <v>42693.731388888889</v>
      </c>
    </row>
    <row r="161" spans="1:7" x14ac:dyDescent="0.25">
      <c r="A161" s="8">
        <v>42693.734837962962</v>
      </c>
      <c r="B161" s="21" t="s">
        <v>378</v>
      </c>
      <c r="C161" s="21" t="s">
        <v>598</v>
      </c>
      <c r="D161" s="21">
        <v>2040000</v>
      </c>
      <c r="E161" s="21" t="s">
        <v>537</v>
      </c>
      <c r="F161" s="21" t="str">
        <f t="shared" si="4"/>
        <v>rtdc.l.rtdc.4045:itc</v>
      </c>
      <c r="G161" s="8">
        <f t="shared" si="5"/>
        <v>42693.734837962962</v>
      </c>
    </row>
    <row r="162" spans="1:7" x14ac:dyDescent="0.25">
      <c r="A162" s="8">
        <v>42693.735636574071</v>
      </c>
      <c r="B162" s="21" t="s">
        <v>243</v>
      </c>
      <c r="C162" s="21" t="s">
        <v>599</v>
      </c>
      <c r="D162" s="21">
        <v>2230000</v>
      </c>
      <c r="E162" s="21" t="s">
        <v>345</v>
      </c>
      <c r="F162" s="21" t="str">
        <f t="shared" si="4"/>
        <v>rtdc.l.rtdc.4021:itc</v>
      </c>
      <c r="G162" s="8">
        <f t="shared" si="5"/>
        <v>42693.735636574071</v>
      </c>
    </row>
    <row r="163" spans="1:7" x14ac:dyDescent="0.25">
      <c r="A163" s="8">
        <v>42693.736192129632</v>
      </c>
      <c r="B163" s="21" t="s">
        <v>274</v>
      </c>
      <c r="C163" s="21" t="s">
        <v>600</v>
      </c>
      <c r="D163" s="21">
        <v>1810000</v>
      </c>
      <c r="E163" s="21" t="s">
        <v>601</v>
      </c>
      <c r="F163" s="21" t="str">
        <f t="shared" si="4"/>
        <v>rtdc.l.rtdc.4014:itc</v>
      </c>
      <c r="G163" s="8">
        <f t="shared" si="5"/>
        <v>42693.736192129632</v>
      </c>
    </row>
    <row r="164" spans="1:7" x14ac:dyDescent="0.25">
      <c r="A164" s="8">
        <v>42693.744513888887</v>
      </c>
      <c r="B164" s="21" t="s">
        <v>241</v>
      </c>
      <c r="C164" s="21" t="s">
        <v>602</v>
      </c>
      <c r="D164" s="21">
        <v>2000000</v>
      </c>
      <c r="E164" s="21" t="s">
        <v>227</v>
      </c>
      <c r="F164" s="21" t="str">
        <f t="shared" si="4"/>
        <v>rtdc.l.rtdc.4010:itc</v>
      </c>
      <c r="G164" s="8">
        <f t="shared" si="5"/>
        <v>42693.744513888887</v>
      </c>
    </row>
    <row r="165" spans="1:7" x14ac:dyDescent="0.25">
      <c r="A165" s="8">
        <v>42693.744652777779</v>
      </c>
      <c r="B165" s="21" t="s">
        <v>343</v>
      </c>
      <c r="C165" s="21" t="s">
        <v>603</v>
      </c>
      <c r="D165" s="21">
        <v>2020000</v>
      </c>
      <c r="E165" s="21" t="s">
        <v>344</v>
      </c>
      <c r="F165" s="21" t="str">
        <f t="shared" si="4"/>
        <v>rtdc.l.rtdc.4032:itc</v>
      </c>
      <c r="G165" s="8">
        <f t="shared" si="5"/>
        <v>42693.744652777779</v>
      </c>
    </row>
    <row r="166" spans="1:7" x14ac:dyDescent="0.25">
      <c r="A166" s="8">
        <v>42693.746898148151</v>
      </c>
      <c r="B166" s="21" t="s">
        <v>216</v>
      </c>
      <c r="C166" s="21" t="s">
        <v>604</v>
      </c>
      <c r="D166" s="21">
        <v>1740000</v>
      </c>
      <c r="E166" s="21" t="s">
        <v>548</v>
      </c>
      <c r="F166" s="21" t="str">
        <f t="shared" si="4"/>
        <v>rtdc.l.rtdc.4011:itc</v>
      </c>
      <c r="G166" s="8">
        <f t="shared" si="5"/>
        <v>42693.746898148151</v>
      </c>
    </row>
    <row r="167" spans="1:7" x14ac:dyDescent="0.25">
      <c r="A167" s="8">
        <v>42693.748229166667</v>
      </c>
      <c r="B167" s="21" t="s">
        <v>293</v>
      </c>
      <c r="C167" s="21" t="s">
        <v>456</v>
      </c>
      <c r="D167" s="21">
        <v>2440000</v>
      </c>
      <c r="E167" s="21" t="s">
        <v>312</v>
      </c>
      <c r="F167" s="21" t="str">
        <f t="shared" si="4"/>
        <v>rtdc.l.rtdc.4041:itc</v>
      </c>
      <c r="G167" s="8">
        <f t="shared" si="5"/>
        <v>42693.748229166667</v>
      </c>
    </row>
    <row r="168" spans="1:7" x14ac:dyDescent="0.25">
      <c r="A168" s="8">
        <v>42693.752974537034</v>
      </c>
      <c r="B168" s="21" t="s">
        <v>251</v>
      </c>
      <c r="C168" s="21" t="s">
        <v>605</v>
      </c>
      <c r="D168" s="21">
        <v>1770000</v>
      </c>
      <c r="E168" s="21" t="s">
        <v>543</v>
      </c>
      <c r="F168" s="21" t="str">
        <f t="shared" si="4"/>
        <v>rtdc.l.rtdc.4037:itc</v>
      </c>
      <c r="G168" s="8">
        <f t="shared" si="5"/>
        <v>42693.752974537034</v>
      </c>
    </row>
    <row r="169" spans="1:7" x14ac:dyDescent="0.25">
      <c r="A169" s="8">
        <v>42693.756041666667</v>
      </c>
      <c r="B169" s="21" t="s">
        <v>242</v>
      </c>
      <c r="C169" s="21" t="s">
        <v>457</v>
      </c>
      <c r="D169" s="21">
        <v>2420000</v>
      </c>
      <c r="E169" s="21" t="s">
        <v>244</v>
      </c>
      <c r="F169" s="21" t="str">
        <f t="shared" si="4"/>
        <v>rtdc.l.rtdc.4022:itc</v>
      </c>
      <c r="G169" s="8">
        <f t="shared" si="5"/>
        <v>42693.756041666667</v>
      </c>
    </row>
    <row r="170" spans="1:7" x14ac:dyDescent="0.25">
      <c r="A170" s="8">
        <v>42693.758171296293</v>
      </c>
      <c r="B170" s="21" t="s">
        <v>233</v>
      </c>
      <c r="C170" s="21" t="s">
        <v>606</v>
      </c>
      <c r="D170" s="21">
        <v>1800000</v>
      </c>
      <c r="E170" s="21" t="s">
        <v>271</v>
      </c>
      <c r="F170" s="21" t="str">
        <f t="shared" si="4"/>
        <v>rtdc.l.rtdc.4002:itc</v>
      </c>
      <c r="G170" s="8">
        <f t="shared" si="5"/>
        <v>42693.758171296293</v>
      </c>
    </row>
    <row r="171" spans="1:7" x14ac:dyDescent="0.25">
      <c r="A171" s="8">
        <v>42693.764374999999</v>
      </c>
      <c r="B171" s="21" t="s">
        <v>223</v>
      </c>
      <c r="C171" s="21" t="s">
        <v>607</v>
      </c>
      <c r="D171" s="21">
        <v>930000</v>
      </c>
      <c r="E171" s="21" t="s">
        <v>384</v>
      </c>
      <c r="F171" s="21" t="str">
        <f t="shared" si="4"/>
        <v>rtdc.l.rtdc.4039:itc</v>
      </c>
      <c r="G171" s="8">
        <f t="shared" si="5"/>
        <v>42693.764374999999</v>
      </c>
    </row>
    <row r="172" spans="1:7" x14ac:dyDescent="0.25">
      <c r="A172" s="8">
        <v>42693.767268518517</v>
      </c>
      <c r="B172" s="21" t="s">
        <v>380</v>
      </c>
      <c r="C172" s="21" t="s">
        <v>608</v>
      </c>
      <c r="D172" s="21">
        <v>2000000</v>
      </c>
      <c r="E172" s="21" t="s">
        <v>227</v>
      </c>
      <c r="F172" s="21" t="str">
        <f t="shared" si="4"/>
        <v>rtdc.l.rtdc.4046:itc</v>
      </c>
      <c r="G172" s="8">
        <f t="shared" si="5"/>
        <v>42693.767268518517</v>
      </c>
    </row>
    <row r="173" spans="1:7" x14ac:dyDescent="0.25">
      <c r="A173" s="8">
        <v>42693.769421296296</v>
      </c>
      <c r="B173" s="21" t="s">
        <v>275</v>
      </c>
      <c r="C173" s="21" t="s">
        <v>609</v>
      </c>
      <c r="D173" s="21">
        <v>1810000</v>
      </c>
      <c r="E173" s="21" t="s">
        <v>601</v>
      </c>
      <c r="F173" s="21" t="str">
        <f t="shared" si="4"/>
        <v>rtdc.l.rtdc.4013:itc</v>
      </c>
      <c r="G173" s="8">
        <f t="shared" si="5"/>
        <v>42693.769421296296</v>
      </c>
    </row>
    <row r="174" spans="1:7" x14ac:dyDescent="0.25">
      <c r="A174" s="8">
        <v>42693.774386574078</v>
      </c>
      <c r="B174" s="21" t="s">
        <v>186</v>
      </c>
      <c r="C174" s="21" t="s">
        <v>610</v>
      </c>
      <c r="D174" s="21">
        <v>2040000</v>
      </c>
      <c r="E174" s="21" t="s">
        <v>537</v>
      </c>
      <c r="F174" s="21" t="str">
        <f t="shared" si="4"/>
        <v>rtdc.l.rtdc.4009:itc</v>
      </c>
      <c r="G174" s="8">
        <f t="shared" si="5"/>
        <v>42693.774386574078</v>
      </c>
    </row>
    <row r="175" spans="1:7" x14ac:dyDescent="0.25">
      <c r="A175" s="8">
        <v>42693.776516203703</v>
      </c>
      <c r="B175" s="21" t="s">
        <v>341</v>
      </c>
      <c r="C175" s="21" t="s">
        <v>611</v>
      </c>
      <c r="D175" s="21">
        <v>2020000</v>
      </c>
      <c r="E175" s="21" t="s">
        <v>344</v>
      </c>
      <c r="F175" s="21" t="str">
        <f t="shared" si="4"/>
        <v>rtdc.l.rtdc.4031:itc</v>
      </c>
      <c r="G175" s="8">
        <f t="shared" si="5"/>
        <v>42693.776516203703</v>
      </c>
    </row>
    <row r="176" spans="1:7" x14ac:dyDescent="0.25">
      <c r="A176" s="8">
        <v>42693.777337962965</v>
      </c>
      <c r="B176" s="21" t="s">
        <v>243</v>
      </c>
      <c r="C176" s="21" t="s">
        <v>612</v>
      </c>
      <c r="D176" s="21">
        <v>2420000</v>
      </c>
      <c r="E176" s="21" t="s">
        <v>244</v>
      </c>
      <c r="F176" s="21" t="str">
        <f t="shared" si="4"/>
        <v>rtdc.l.rtdc.4021:itc</v>
      </c>
      <c r="G176" s="8">
        <f t="shared" si="5"/>
        <v>42693.777337962965</v>
      </c>
    </row>
    <row r="177" spans="1:7" x14ac:dyDescent="0.25">
      <c r="A177" s="8">
        <v>42693.784768518519</v>
      </c>
      <c r="B177" s="21" t="s">
        <v>229</v>
      </c>
      <c r="C177" s="21" t="s">
        <v>604</v>
      </c>
      <c r="D177" s="21">
        <v>1740000</v>
      </c>
      <c r="E177" s="21" t="s">
        <v>548</v>
      </c>
      <c r="F177" s="21" t="str">
        <f t="shared" si="4"/>
        <v>rtdc.l.rtdc.4012:itc</v>
      </c>
      <c r="G177" s="8">
        <f t="shared" si="5"/>
        <v>42693.784768518519</v>
      </c>
    </row>
    <row r="178" spans="1:7" x14ac:dyDescent="0.25">
      <c r="A178" s="8">
        <v>42693.786157407405</v>
      </c>
      <c r="B178" s="21" t="s">
        <v>229</v>
      </c>
      <c r="C178" s="21" t="s">
        <v>613</v>
      </c>
      <c r="D178" s="21">
        <v>1740000</v>
      </c>
      <c r="E178" s="21" t="s">
        <v>548</v>
      </c>
      <c r="F178" s="21" t="str">
        <f t="shared" si="4"/>
        <v>rtdc.l.rtdc.4012:itc</v>
      </c>
      <c r="G178" s="8">
        <f t="shared" si="5"/>
        <v>42693.786157407405</v>
      </c>
    </row>
    <row r="179" spans="1:7" x14ac:dyDescent="0.25">
      <c r="A179" s="8">
        <v>42693.787106481483</v>
      </c>
      <c r="B179" s="21" t="s">
        <v>247</v>
      </c>
      <c r="C179" s="21" t="s">
        <v>614</v>
      </c>
      <c r="D179" s="21">
        <v>1300000</v>
      </c>
      <c r="E179" s="21" t="s">
        <v>113</v>
      </c>
      <c r="F179" s="21" t="str">
        <f t="shared" si="4"/>
        <v>rtdc.l.rtdc.4038:itc</v>
      </c>
      <c r="G179" s="8">
        <f t="shared" si="5"/>
        <v>42693.787106481483</v>
      </c>
    </row>
    <row r="180" spans="1:7" x14ac:dyDescent="0.25">
      <c r="A180" s="8">
        <v>42693.795405092591</v>
      </c>
      <c r="B180" s="21" t="s">
        <v>232</v>
      </c>
      <c r="C180" s="21" t="s">
        <v>615</v>
      </c>
      <c r="D180" s="21">
        <v>1800000</v>
      </c>
      <c r="E180" s="21" t="s">
        <v>271</v>
      </c>
      <c r="F180" s="21" t="str">
        <f t="shared" si="4"/>
        <v>rtdc.l.rtdc.4001:itc</v>
      </c>
      <c r="G180" s="8">
        <f t="shared" si="5"/>
        <v>42693.795405092591</v>
      </c>
    </row>
    <row r="181" spans="1:7" x14ac:dyDescent="0.25">
      <c r="A181" s="8">
        <v>42693.799201388887</v>
      </c>
      <c r="B181" s="21" t="s">
        <v>219</v>
      </c>
      <c r="C181" s="21" t="s">
        <v>458</v>
      </c>
      <c r="D181" s="21">
        <v>930000</v>
      </c>
      <c r="E181" s="21" t="s">
        <v>384</v>
      </c>
      <c r="F181" s="21" t="str">
        <f t="shared" si="4"/>
        <v>rtdc.l.rtdc.4040:itc</v>
      </c>
      <c r="G181" s="8">
        <f t="shared" si="5"/>
        <v>42693.799201388887</v>
      </c>
    </row>
    <row r="182" spans="1:7" x14ac:dyDescent="0.25">
      <c r="A182" s="8">
        <v>42693.804143518515</v>
      </c>
      <c r="B182" s="21" t="s">
        <v>242</v>
      </c>
      <c r="C182" s="21" t="s">
        <v>616</v>
      </c>
      <c r="D182" s="21">
        <v>2420000</v>
      </c>
      <c r="E182" s="21" t="s">
        <v>244</v>
      </c>
      <c r="F182" s="21" t="str">
        <f t="shared" si="4"/>
        <v>rtdc.l.rtdc.4022:itc</v>
      </c>
      <c r="G182" s="8">
        <f t="shared" si="5"/>
        <v>42693.804143518515</v>
      </c>
    </row>
    <row r="183" spans="1:7" x14ac:dyDescent="0.25">
      <c r="A183" s="8">
        <v>42693.805706018517</v>
      </c>
      <c r="B183" s="21" t="s">
        <v>378</v>
      </c>
      <c r="C183" s="21" t="s">
        <v>617</v>
      </c>
      <c r="D183" s="21">
        <v>2000000</v>
      </c>
      <c r="E183" s="21" t="s">
        <v>227</v>
      </c>
      <c r="F183" s="21" t="str">
        <f t="shared" si="4"/>
        <v>rtdc.l.rtdc.4045:itc</v>
      </c>
      <c r="G183" s="8">
        <f t="shared" si="5"/>
        <v>42693.805706018517</v>
      </c>
    </row>
    <row r="184" spans="1:7" x14ac:dyDescent="0.25">
      <c r="A184" s="8">
        <v>42693.806076388886</v>
      </c>
      <c r="B184" s="21" t="s">
        <v>274</v>
      </c>
      <c r="C184" s="21" t="s">
        <v>618</v>
      </c>
      <c r="D184" s="21">
        <v>1810000</v>
      </c>
      <c r="E184" s="21" t="s">
        <v>601</v>
      </c>
      <c r="F184" s="21" t="str">
        <f t="shared" si="4"/>
        <v>rtdc.l.rtdc.4014:itc</v>
      </c>
      <c r="G184" s="8">
        <f t="shared" si="5"/>
        <v>42693.806076388886</v>
      </c>
    </row>
    <row r="185" spans="1:7" x14ac:dyDescent="0.25">
      <c r="A185" s="8">
        <v>42693.818090277775</v>
      </c>
      <c r="B185" s="21" t="s">
        <v>243</v>
      </c>
      <c r="C185" s="21" t="s">
        <v>619</v>
      </c>
      <c r="D185" s="21">
        <v>2420000</v>
      </c>
      <c r="E185" s="21" t="s">
        <v>244</v>
      </c>
      <c r="F185" s="21" t="str">
        <f t="shared" si="4"/>
        <v>rtdc.l.rtdc.4021:itc</v>
      </c>
      <c r="G185" s="8">
        <f t="shared" si="5"/>
        <v>42693.818090277775</v>
      </c>
    </row>
    <row r="186" spans="1:7" x14ac:dyDescent="0.25">
      <c r="A186" s="8">
        <v>42693.818113425928</v>
      </c>
      <c r="B186" s="21" t="s">
        <v>216</v>
      </c>
      <c r="C186" s="21" t="s">
        <v>620</v>
      </c>
      <c r="D186" s="21">
        <v>1740000</v>
      </c>
      <c r="E186" s="21" t="s">
        <v>548</v>
      </c>
      <c r="F186" s="21" t="str">
        <f t="shared" si="4"/>
        <v>rtdc.l.rtdc.4011:itc</v>
      </c>
      <c r="G186" s="8">
        <f t="shared" si="5"/>
        <v>42693.818113425928</v>
      </c>
    </row>
    <row r="187" spans="1:7" x14ac:dyDescent="0.25">
      <c r="A187" s="8">
        <v>42693.82708333333</v>
      </c>
      <c r="B187" s="21" t="s">
        <v>251</v>
      </c>
      <c r="C187" s="21" t="s">
        <v>621</v>
      </c>
      <c r="D187" s="21">
        <v>1300000</v>
      </c>
      <c r="E187" s="21" t="s">
        <v>113</v>
      </c>
      <c r="F187" s="21" t="str">
        <f t="shared" si="4"/>
        <v>rtdc.l.rtdc.4037:itc</v>
      </c>
      <c r="G187" s="8">
        <f t="shared" si="5"/>
        <v>42693.82708333333</v>
      </c>
    </row>
    <row r="188" spans="1:7" x14ac:dyDescent="0.25">
      <c r="A188" s="8">
        <v>42693.83152777778</v>
      </c>
      <c r="B188" s="21" t="s">
        <v>233</v>
      </c>
      <c r="C188" s="21" t="s">
        <v>622</v>
      </c>
      <c r="D188" s="21">
        <v>1800000</v>
      </c>
      <c r="E188" s="21" t="s">
        <v>271</v>
      </c>
      <c r="F188" s="21" t="str">
        <f t="shared" si="4"/>
        <v>rtdc.l.rtdc.4002:itc</v>
      </c>
      <c r="G188" s="8">
        <f t="shared" si="5"/>
        <v>42693.83152777778</v>
      </c>
    </row>
    <row r="189" spans="1:7" x14ac:dyDescent="0.25">
      <c r="A189" s="8">
        <v>42693.844131944446</v>
      </c>
      <c r="B189" s="21" t="s">
        <v>275</v>
      </c>
      <c r="C189" s="21" t="s">
        <v>623</v>
      </c>
      <c r="D189" s="21">
        <v>1810000</v>
      </c>
      <c r="E189" s="21" t="s">
        <v>601</v>
      </c>
      <c r="F189" s="21" t="str">
        <f t="shared" si="4"/>
        <v>rtdc.l.rtdc.4013:itc</v>
      </c>
      <c r="G189" s="8">
        <f t="shared" si="5"/>
        <v>42693.844131944446</v>
      </c>
    </row>
    <row r="190" spans="1:7" x14ac:dyDescent="0.25">
      <c r="A190" s="8">
        <v>42693.847291666665</v>
      </c>
      <c r="B190" s="21" t="s">
        <v>242</v>
      </c>
      <c r="C190" s="21" t="s">
        <v>624</v>
      </c>
      <c r="D190" s="21">
        <v>2420000</v>
      </c>
      <c r="E190" s="21" t="s">
        <v>244</v>
      </c>
      <c r="F190" s="21" t="str">
        <f t="shared" si="4"/>
        <v>rtdc.l.rtdc.4022:itc</v>
      </c>
      <c r="G190" s="8">
        <f t="shared" si="5"/>
        <v>42693.847291666665</v>
      </c>
    </row>
    <row r="191" spans="1:7" x14ac:dyDescent="0.25">
      <c r="A191" s="8">
        <v>42693.847326388888</v>
      </c>
      <c r="B191" s="21" t="s">
        <v>380</v>
      </c>
      <c r="C191" s="21" t="s">
        <v>625</v>
      </c>
      <c r="D191" s="21">
        <v>2000000</v>
      </c>
      <c r="E191" s="21" t="s">
        <v>227</v>
      </c>
      <c r="F191" s="21" t="str">
        <f t="shared" si="4"/>
        <v>rtdc.l.rtdc.4046:itc</v>
      </c>
      <c r="G191" s="8">
        <f t="shared" si="5"/>
        <v>42693.847326388888</v>
      </c>
    </row>
    <row r="192" spans="1:7" x14ac:dyDescent="0.25">
      <c r="A192" s="8">
        <v>42693.86041666667</v>
      </c>
      <c r="B192" s="21" t="s">
        <v>243</v>
      </c>
      <c r="C192" s="21" t="s">
        <v>626</v>
      </c>
      <c r="D192" s="21">
        <v>2420000</v>
      </c>
      <c r="E192" s="21" t="s">
        <v>244</v>
      </c>
      <c r="F192" s="21" t="str">
        <f t="shared" si="4"/>
        <v>rtdc.l.rtdc.4021:itc</v>
      </c>
      <c r="G192" s="8">
        <f t="shared" si="5"/>
        <v>42693.86041666667</v>
      </c>
    </row>
    <row r="193" spans="1:7" x14ac:dyDescent="0.25">
      <c r="A193" s="8">
        <v>42693.86991898148</v>
      </c>
      <c r="B193" s="21" t="s">
        <v>232</v>
      </c>
      <c r="C193" s="21" t="s">
        <v>627</v>
      </c>
      <c r="D193" s="21">
        <v>1800000</v>
      </c>
      <c r="E193" s="21" t="s">
        <v>271</v>
      </c>
      <c r="F193" s="21" t="str">
        <f t="shared" si="4"/>
        <v>rtdc.l.rtdc.4001:itc</v>
      </c>
      <c r="G193" s="8">
        <f t="shared" si="5"/>
        <v>42693.86991898148</v>
      </c>
    </row>
    <row r="194" spans="1:7" x14ac:dyDescent="0.25">
      <c r="A194" s="8">
        <v>42693.870451388888</v>
      </c>
      <c r="B194" s="21" t="s">
        <v>247</v>
      </c>
      <c r="C194" s="21" t="s">
        <v>628</v>
      </c>
      <c r="D194" s="21">
        <v>1300000</v>
      </c>
      <c r="E194" s="21" t="s">
        <v>113</v>
      </c>
      <c r="F194" s="21" t="str">
        <f t="shared" ref="F194:F235" si="6">B194</f>
        <v>rtdc.l.rtdc.4038:itc</v>
      </c>
      <c r="G194" s="8">
        <f t="shared" ref="G194:G235" si="7">A194</f>
        <v>42693.870451388888</v>
      </c>
    </row>
    <row r="195" spans="1:7" x14ac:dyDescent="0.25">
      <c r="A195" s="8">
        <v>42693.879791666666</v>
      </c>
      <c r="B195" s="21" t="s">
        <v>242</v>
      </c>
      <c r="C195" s="21" t="s">
        <v>459</v>
      </c>
      <c r="D195" s="21">
        <v>2420000</v>
      </c>
      <c r="E195" s="21" t="s">
        <v>244</v>
      </c>
      <c r="F195" s="21" t="str">
        <f t="shared" si="6"/>
        <v>rtdc.l.rtdc.4022:itc</v>
      </c>
      <c r="G195" s="8">
        <f t="shared" si="7"/>
        <v>42693.879791666666</v>
      </c>
    </row>
    <row r="196" spans="1:7" x14ac:dyDescent="0.25">
      <c r="A196" s="8">
        <v>42693.888599537036</v>
      </c>
      <c r="B196" s="21" t="s">
        <v>378</v>
      </c>
      <c r="C196" s="21" t="s">
        <v>629</v>
      </c>
      <c r="D196" s="21">
        <v>2000000</v>
      </c>
      <c r="E196" s="21" t="s">
        <v>227</v>
      </c>
      <c r="F196" s="21" t="str">
        <f t="shared" si="6"/>
        <v>rtdc.l.rtdc.4045:itc</v>
      </c>
      <c r="G196" s="8">
        <f t="shared" si="7"/>
        <v>42693.888599537036</v>
      </c>
    </row>
    <row r="197" spans="1:7" x14ac:dyDescent="0.25">
      <c r="A197" s="8">
        <v>42693.890902777777</v>
      </c>
      <c r="B197" s="21" t="s">
        <v>274</v>
      </c>
      <c r="C197" s="21" t="s">
        <v>630</v>
      </c>
      <c r="D197" s="21">
        <v>1810000</v>
      </c>
      <c r="E197" s="21" t="s">
        <v>601</v>
      </c>
      <c r="F197" s="21" t="str">
        <f t="shared" si="6"/>
        <v>rtdc.l.rtdc.4014:itc</v>
      </c>
      <c r="G197" s="8">
        <f t="shared" si="7"/>
        <v>42693.890902777777</v>
      </c>
    </row>
    <row r="198" spans="1:7" x14ac:dyDescent="0.25">
      <c r="A198" s="8">
        <v>42693.902777777781</v>
      </c>
      <c r="B198" s="21" t="s">
        <v>243</v>
      </c>
      <c r="C198" s="21" t="s">
        <v>631</v>
      </c>
      <c r="D198" s="21">
        <v>2420000</v>
      </c>
      <c r="E198" s="21" t="s">
        <v>244</v>
      </c>
      <c r="F198" s="21" t="str">
        <f t="shared" si="6"/>
        <v>rtdc.l.rtdc.4021:itc</v>
      </c>
      <c r="G198" s="8">
        <f t="shared" si="7"/>
        <v>42693.902777777781</v>
      </c>
    </row>
    <row r="199" spans="1:7" x14ac:dyDescent="0.25">
      <c r="A199" s="8">
        <v>42693.910856481481</v>
      </c>
      <c r="B199" s="21" t="s">
        <v>251</v>
      </c>
      <c r="C199" s="21" t="s">
        <v>460</v>
      </c>
      <c r="D199" s="21">
        <v>1300000</v>
      </c>
      <c r="E199" s="21" t="s">
        <v>113</v>
      </c>
      <c r="F199" s="21" t="str">
        <f t="shared" si="6"/>
        <v>rtdc.l.rtdc.4037:itc</v>
      </c>
      <c r="G199" s="8">
        <f t="shared" si="7"/>
        <v>42693.910856481481</v>
      </c>
    </row>
    <row r="200" spans="1:7" x14ac:dyDescent="0.25">
      <c r="A200" s="8">
        <v>42693.91269675926</v>
      </c>
      <c r="B200" s="21" t="s">
        <v>233</v>
      </c>
      <c r="C200" s="21" t="s">
        <v>632</v>
      </c>
      <c r="D200" s="21">
        <v>1800000</v>
      </c>
      <c r="E200" s="21" t="s">
        <v>271</v>
      </c>
      <c r="F200" s="21" t="str">
        <f t="shared" si="6"/>
        <v>rtdc.l.rtdc.4002:itc</v>
      </c>
      <c r="G200" s="8">
        <f t="shared" si="7"/>
        <v>42693.91269675926</v>
      </c>
    </row>
    <row r="201" spans="1:7" x14ac:dyDescent="0.25">
      <c r="A201" s="8">
        <v>42693.921168981484</v>
      </c>
      <c r="B201" s="21" t="s">
        <v>380</v>
      </c>
      <c r="C201" s="21" t="s">
        <v>633</v>
      </c>
      <c r="D201" s="21">
        <v>2000000</v>
      </c>
      <c r="E201" s="21" t="s">
        <v>227</v>
      </c>
      <c r="F201" s="21" t="str">
        <f t="shared" si="6"/>
        <v>rtdc.l.rtdc.4046:itc</v>
      </c>
      <c r="G201" s="8">
        <f t="shared" si="7"/>
        <v>42693.921168981484</v>
      </c>
    </row>
    <row r="202" spans="1:7" x14ac:dyDescent="0.25">
      <c r="A202" s="27">
        <v>42693.922986111109</v>
      </c>
      <c r="B202" s="21" t="s">
        <v>275</v>
      </c>
      <c r="C202" s="21" t="s">
        <v>634</v>
      </c>
      <c r="D202" s="21">
        <v>1810000</v>
      </c>
      <c r="E202" s="21" t="s">
        <v>601</v>
      </c>
      <c r="F202" s="21" t="str">
        <f t="shared" si="6"/>
        <v>rtdc.l.rtdc.4013:itc</v>
      </c>
      <c r="G202" s="8">
        <f t="shared" si="7"/>
        <v>42693.922986111109</v>
      </c>
    </row>
    <row r="203" spans="1:7" x14ac:dyDescent="0.25">
      <c r="A203" s="8">
        <v>42693.928900462961</v>
      </c>
      <c r="B203" s="21" t="s">
        <v>242</v>
      </c>
      <c r="C203" s="21" t="s">
        <v>461</v>
      </c>
      <c r="D203" s="21">
        <v>2420000</v>
      </c>
      <c r="E203" s="21" t="s">
        <v>244</v>
      </c>
      <c r="F203" s="21" t="str">
        <f t="shared" si="6"/>
        <v>rtdc.l.rtdc.4022:itc</v>
      </c>
      <c r="G203" s="8">
        <f t="shared" si="7"/>
        <v>42693.928900462961</v>
      </c>
    </row>
    <row r="204" spans="1:7" x14ac:dyDescent="0.25">
      <c r="A204" s="8">
        <v>42693.945243055554</v>
      </c>
      <c r="B204" s="21" t="s">
        <v>243</v>
      </c>
      <c r="C204" s="21" t="s">
        <v>462</v>
      </c>
      <c r="D204" s="21">
        <v>2420000</v>
      </c>
      <c r="E204" s="21" t="s">
        <v>244</v>
      </c>
      <c r="F204" s="21" t="str">
        <f t="shared" si="6"/>
        <v>rtdc.l.rtdc.4021:itc</v>
      </c>
      <c r="G204" s="8">
        <f t="shared" si="7"/>
        <v>42693.945243055554</v>
      </c>
    </row>
    <row r="205" spans="1:7" x14ac:dyDescent="0.25">
      <c r="A205" s="8">
        <v>42693.952708333331</v>
      </c>
      <c r="B205" s="21" t="s">
        <v>232</v>
      </c>
      <c r="C205" s="21" t="s">
        <v>635</v>
      </c>
      <c r="D205" s="21">
        <v>1800000</v>
      </c>
      <c r="E205" s="21" t="s">
        <v>271</v>
      </c>
      <c r="F205" s="21" t="str">
        <f t="shared" si="6"/>
        <v>rtdc.l.rtdc.4001:itc</v>
      </c>
      <c r="G205" s="8">
        <f t="shared" si="7"/>
        <v>42693.952708333331</v>
      </c>
    </row>
    <row r="206" spans="1:7" x14ac:dyDescent="0.25">
      <c r="A206" s="8">
        <v>42693.952997685185</v>
      </c>
      <c r="B206" s="21" t="s">
        <v>247</v>
      </c>
      <c r="C206" s="21" t="s">
        <v>636</v>
      </c>
      <c r="D206" s="21">
        <v>1300000</v>
      </c>
      <c r="E206" s="21" t="s">
        <v>113</v>
      </c>
      <c r="F206" s="21" t="str">
        <f t="shared" si="6"/>
        <v>rtdc.l.rtdc.4038:itc</v>
      </c>
      <c r="G206" s="8">
        <f t="shared" si="7"/>
        <v>42693.952997685185</v>
      </c>
    </row>
    <row r="207" spans="1:7" x14ac:dyDescent="0.25">
      <c r="A207" s="8">
        <v>42693.970231481479</v>
      </c>
      <c r="B207" s="21" t="s">
        <v>378</v>
      </c>
      <c r="C207" s="21" t="s">
        <v>637</v>
      </c>
      <c r="D207" s="21">
        <v>2000000</v>
      </c>
      <c r="E207" s="21" t="s">
        <v>227</v>
      </c>
      <c r="F207" s="21" t="str">
        <f t="shared" si="6"/>
        <v>rtdc.l.rtdc.4045:itc</v>
      </c>
      <c r="G207" s="8">
        <f t="shared" si="7"/>
        <v>42693.970231481479</v>
      </c>
    </row>
    <row r="208" spans="1:7" x14ac:dyDescent="0.25">
      <c r="A208" s="8">
        <v>42693.975451388891</v>
      </c>
      <c r="B208" s="21" t="s">
        <v>274</v>
      </c>
      <c r="C208" s="21" t="s">
        <v>638</v>
      </c>
      <c r="D208" s="21">
        <v>1810000</v>
      </c>
      <c r="E208" s="21" t="s">
        <v>601</v>
      </c>
      <c r="F208" s="21" t="str">
        <f t="shared" si="6"/>
        <v>rtdc.l.rtdc.4014:itc</v>
      </c>
      <c r="G208" s="8">
        <f t="shared" si="7"/>
        <v>42693.975451388891</v>
      </c>
    </row>
    <row r="209" spans="1:7" x14ac:dyDescent="0.25">
      <c r="A209" s="8">
        <v>42693.991331018522</v>
      </c>
      <c r="B209" s="21" t="s">
        <v>251</v>
      </c>
      <c r="C209" s="21" t="s">
        <v>639</v>
      </c>
      <c r="D209" s="21">
        <v>1300000</v>
      </c>
      <c r="E209" s="21" t="s">
        <v>113</v>
      </c>
      <c r="F209" s="21" t="str">
        <f t="shared" si="6"/>
        <v>rtdc.l.rtdc.4037:itc</v>
      </c>
      <c r="G209" s="8">
        <f t="shared" si="7"/>
        <v>42693.991331018522</v>
      </c>
    </row>
    <row r="210" spans="1:7" x14ac:dyDescent="0.25">
      <c r="A210" s="8">
        <v>42693.994479166664</v>
      </c>
      <c r="B210" s="21" t="s">
        <v>233</v>
      </c>
      <c r="C210" s="21" t="s">
        <v>640</v>
      </c>
      <c r="D210" s="21">
        <v>1800000</v>
      </c>
      <c r="E210" s="21" t="s">
        <v>271</v>
      </c>
      <c r="F210" s="21" t="str">
        <f t="shared" si="6"/>
        <v>rtdc.l.rtdc.4002:itc</v>
      </c>
      <c r="G210" s="8">
        <f t="shared" si="7"/>
        <v>42693.994479166664</v>
      </c>
    </row>
    <row r="211" spans="1:7" x14ac:dyDescent="0.25">
      <c r="A211" s="8">
        <v>42694.014374999999</v>
      </c>
      <c r="B211" s="21" t="s">
        <v>380</v>
      </c>
      <c r="C211" s="21" t="s">
        <v>641</v>
      </c>
      <c r="D211" s="21">
        <v>2000000</v>
      </c>
      <c r="E211" s="21" t="s">
        <v>227</v>
      </c>
      <c r="F211" s="21" t="str">
        <f t="shared" si="6"/>
        <v>rtdc.l.rtdc.4046:itc</v>
      </c>
      <c r="G211" s="8">
        <f t="shared" si="7"/>
        <v>42694.014374999999</v>
      </c>
    </row>
    <row r="212" spans="1:7" x14ac:dyDescent="0.25">
      <c r="A212" s="8">
        <v>42694.014641203707</v>
      </c>
      <c r="B212" s="21" t="s">
        <v>275</v>
      </c>
      <c r="C212" s="21" t="s">
        <v>642</v>
      </c>
      <c r="D212" s="21">
        <v>1810000</v>
      </c>
      <c r="E212" s="21" t="s">
        <v>601</v>
      </c>
      <c r="F212" s="21" t="str">
        <f t="shared" si="6"/>
        <v>rtdc.l.rtdc.4013:itc</v>
      </c>
      <c r="G212" s="8">
        <f t="shared" si="7"/>
        <v>42694.014641203707</v>
      </c>
    </row>
    <row r="213" spans="1:7" x14ac:dyDescent="0.25">
      <c r="A213" s="8">
        <v>42694.0312037037</v>
      </c>
      <c r="B213" s="21" t="s">
        <v>247</v>
      </c>
      <c r="C213" s="21" t="s">
        <v>643</v>
      </c>
      <c r="D213" s="21">
        <v>1300000</v>
      </c>
      <c r="E213" s="21" t="s">
        <v>113</v>
      </c>
      <c r="F213" s="21" t="str">
        <f t="shared" si="6"/>
        <v>rtdc.l.rtdc.4038:itc</v>
      </c>
      <c r="G213" s="8">
        <f t="shared" si="7"/>
        <v>42694.0312037037</v>
      </c>
    </row>
    <row r="214" spans="1:7" x14ac:dyDescent="0.25">
      <c r="A214" s="8">
        <v>42694.03533564815</v>
      </c>
      <c r="B214" s="21" t="s">
        <v>232</v>
      </c>
      <c r="C214" s="21" t="s">
        <v>644</v>
      </c>
      <c r="D214" s="21">
        <v>1800000</v>
      </c>
      <c r="E214" s="21" t="s">
        <v>271</v>
      </c>
      <c r="F214" s="21" t="str">
        <f t="shared" si="6"/>
        <v>rtdc.l.rtdc.4001:itc</v>
      </c>
      <c r="G214" s="8">
        <f t="shared" si="7"/>
        <v>42694.03533564815</v>
      </c>
    </row>
    <row r="215" spans="1:7" x14ac:dyDescent="0.25">
      <c r="A215" s="8">
        <v>42694.046215277776</v>
      </c>
      <c r="B215" s="21" t="s">
        <v>274</v>
      </c>
      <c r="C215" s="21" t="s">
        <v>645</v>
      </c>
      <c r="D215" s="21">
        <v>1810000</v>
      </c>
      <c r="E215" s="21" t="s">
        <v>601</v>
      </c>
      <c r="F215" s="21" t="str">
        <f t="shared" si="6"/>
        <v>rtdc.l.rtdc.4014:itc</v>
      </c>
      <c r="G215" s="8">
        <f t="shared" si="7"/>
        <v>42694.046215277776</v>
      </c>
    </row>
    <row r="216" spans="1:7" x14ac:dyDescent="0.25">
      <c r="A216" s="8">
        <v>42694.054259259261</v>
      </c>
      <c r="B216" s="21" t="s">
        <v>378</v>
      </c>
      <c r="C216" s="21" t="s">
        <v>646</v>
      </c>
      <c r="D216" s="21">
        <v>2000000</v>
      </c>
      <c r="E216" s="21" t="s">
        <v>227</v>
      </c>
      <c r="F216" s="21" t="str">
        <f t="shared" si="6"/>
        <v>rtdc.l.rtdc.4045:itc</v>
      </c>
      <c r="G216" s="8">
        <f t="shared" si="7"/>
        <v>42694.054259259261</v>
      </c>
    </row>
    <row r="217" spans="1:7" x14ac:dyDescent="0.25">
      <c r="A217" s="8">
        <v>42694.05840277778</v>
      </c>
      <c r="B217" s="21" t="s">
        <v>247</v>
      </c>
      <c r="C217" s="21" t="s">
        <v>643</v>
      </c>
      <c r="D217" s="21">
        <v>1300000</v>
      </c>
      <c r="E217" s="21" t="s">
        <v>113</v>
      </c>
      <c r="F217" s="21" t="str">
        <f t="shared" si="6"/>
        <v>rtdc.l.rtdc.4038:itc</v>
      </c>
      <c r="G217" s="8">
        <f t="shared" si="7"/>
        <v>42694.05840277778</v>
      </c>
    </row>
    <row r="218" spans="1:7" x14ac:dyDescent="0.25">
      <c r="A218" s="8">
        <v>42694.067106481481</v>
      </c>
      <c r="B218" s="21" t="s">
        <v>232</v>
      </c>
      <c r="C218" s="21" t="s">
        <v>644</v>
      </c>
      <c r="D218" s="21">
        <v>1800000</v>
      </c>
      <c r="E218" s="21" t="s">
        <v>271</v>
      </c>
      <c r="F218" s="21" t="str">
        <f t="shared" si="6"/>
        <v>rtdc.l.rtdc.4001:itc</v>
      </c>
      <c r="G218" s="8">
        <f t="shared" si="7"/>
        <v>42694.067106481481</v>
      </c>
    </row>
    <row r="219" spans="1:7" x14ac:dyDescent="0.25">
      <c r="A219" s="8">
        <v>42692.954062500001</v>
      </c>
      <c r="B219" s="21" t="s">
        <v>379</v>
      </c>
      <c r="C219" s="21" t="s">
        <v>387</v>
      </c>
      <c r="D219" s="21">
        <v>1300000</v>
      </c>
      <c r="E219" s="21" t="s">
        <v>113</v>
      </c>
      <c r="F219" s="21" t="str">
        <f t="shared" si="6"/>
        <v>rtdc.l.rtdc.4025:itc</v>
      </c>
      <c r="G219" s="8">
        <f t="shared" si="7"/>
        <v>42692.954062500001</v>
      </c>
    </row>
    <row r="220" spans="1:7" x14ac:dyDescent="0.25">
      <c r="A220" s="8">
        <v>42692.964409722219</v>
      </c>
      <c r="B220" s="21" t="s">
        <v>236</v>
      </c>
      <c r="C220" s="21" t="s">
        <v>388</v>
      </c>
      <c r="D220" s="21">
        <v>1230000</v>
      </c>
      <c r="E220" s="21" t="s">
        <v>386</v>
      </c>
      <c r="F220" s="21" t="str">
        <f t="shared" si="6"/>
        <v>rtdc.l.rtdc.4016:itc</v>
      </c>
      <c r="G220" s="8">
        <f t="shared" si="7"/>
        <v>42692.964409722219</v>
      </c>
    </row>
    <row r="221" spans="1:7" x14ac:dyDescent="0.25">
      <c r="A221" s="8">
        <v>42692.973923611113</v>
      </c>
      <c r="B221" s="21" t="s">
        <v>342</v>
      </c>
      <c r="C221" s="21" t="s">
        <v>389</v>
      </c>
      <c r="D221" s="21">
        <v>2540000</v>
      </c>
      <c r="E221" s="21" t="s">
        <v>286</v>
      </c>
      <c r="F221" s="21" t="str">
        <f t="shared" si="6"/>
        <v>rtdc.l.rtdc.4017:itc</v>
      </c>
      <c r="G221" s="8">
        <f t="shared" si="7"/>
        <v>42692.973923611113</v>
      </c>
    </row>
    <row r="222" spans="1:7" x14ac:dyDescent="0.25">
      <c r="A222" s="8">
        <v>42692.994398148148</v>
      </c>
      <c r="B222" s="21" t="s">
        <v>377</v>
      </c>
      <c r="C222" s="21" t="s">
        <v>390</v>
      </c>
      <c r="D222" s="21">
        <v>1300000</v>
      </c>
      <c r="E222" s="21" t="s">
        <v>113</v>
      </c>
      <c r="F222" s="21" t="str">
        <f t="shared" si="6"/>
        <v>rtdc.l.rtdc.4026:itc</v>
      </c>
      <c r="G222" s="8">
        <f t="shared" si="7"/>
        <v>42692.994398148148</v>
      </c>
    </row>
    <row r="223" spans="1:7" x14ac:dyDescent="0.25">
      <c r="A223" s="8">
        <v>42692.999444444446</v>
      </c>
      <c r="B223" s="21" t="s">
        <v>294</v>
      </c>
      <c r="C223" s="21" t="s">
        <v>391</v>
      </c>
      <c r="D223" s="21">
        <v>1800000</v>
      </c>
      <c r="E223" s="21" t="s">
        <v>271</v>
      </c>
      <c r="F223" s="21" t="str">
        <f t="shared" si="6"/>
        <v>rtdc.l.rtdc.4042:itc</v>
      </c>
      <c r="G223" s="8">
        <f t="shared" si="7"/>
        <v>42692.999444444446</v>
      </c>
    </row>
    <row r="224" spans="1:7" x14ac:dyDescent="0.25">
      <c r="A224" s="8">
        <v>42693.006226851852</v>
      </c>
      <c r="B224" t="s">
        <v>237</v>
      </c>
      <c r="C224" t="s">
        <v>392</v>
      </c>
      <c r="D224">
        <v>1230000</v>
      </c>
      <c r="E224" t="s">
        <v>386</v>
      </c>
      <c r="F224" s="21" t="str">
        <f t="shared" si="6"/>
        <v>rtdc.l.rtdc.4015:itc</v>
      </c>
      <c r="G224" s="8">
        <f t="shared" si="7"/>
        <v>42693.006226851852</v>
      </c>
    </row>
    <row r="225" spans="1:7" x14ac:dyDescent="0.25">
      <c r="A225" s="8">
        <v>42693.016979166663</v>
      </c>
      <c r="B225" t="s">
        <v>285</v>
      </c>
      <c r="C225" t="s">
        <v>393</v>
      </c>
      <c r="D225">
        <v>2540000</v>
      </c>
      <c r="E225" t="s">
        <v>286</v>
      </c>
      <c r="F225" s="21" t="str">
        <f t="shared" si="6"/>
        <v>rtdc.l.rtdc.4018:itc</v>
      </c>
      <c r="G225" s="8">
        <f t="shared" si="7"/>
        <v>42693.016979166663</v>
      </c>
    </row>
    <row r="226" spans="1:7" x14ac:dyDescent="0.25">
      <c r="A226" s="8">
        <v>42693.03230324074</v>
      </c>
      <c r="B226" t="s">
        <v>379</v>
      </c>
      <c r="C226" t="s">
        <v>394</v>
      </c>
      <c r="D226">
        <v>1300000</v>
      </c>
      <c r="E226" t="s">
        <v>113</v>
      </c>
      <c r="F226" s="21" t="str">
        <f t="shared" si="6"/>
        <v>rtdc.l.rtdc.4025:itc</v>
      </c>
      <c r="G226" s="8">
        <f t="shared" si="7"/>
        <v>42693.03230324074</v>
      </c>
    </row>
    <row r="227" spans="1:7" x14ac:dyDescent="0.25">
      <c r="A227" s="8">
        <v>42693.039027777777</v>
      </c>
      <c r="B227" t="s">
        <v>293</v>
      </c>
      <c r="C227" t="s">
        <v>395</v>
      </c>
      <c r="D227">
        <v>1800000</v>
      </c>
      <c r="E227" t="s">
        <v>271</v>
      </c>
      <c r="F227" s="21" t="str">
        <f t="shared" si="6"/>
        <v>rtdc.l.rtdc.4041:itc</v>
      </c>
      <c r="G227" s="8">
        <f t="shared" si="7"/>
        <v>42693.039027777777</v>
      </c>
    </row>
    <row r="228" spans="1:7" x14ac:dyDescent="0.25">
      <c r="A228" s="8">
        <v>42693.045601851853</v>
      </c>
      <c r="B228" t="s">
        <v>236</v>
      </c>
      <c r="C228" t="s">
        <v>396</v>
      </c>
      <c r="D228">
        <v>1230000</v>
      </c>
      <c r="E228" t="s">
        <v>386</v>
      </c>
      <c r="F228" s="21" t="str">
        <f t="shared" si="6"/>
        <v>rtdc.l.rtdc.4016:itc</v>
      </c>
      <c r="G228" s="8">
        <f t="shared" si="7"/>
        <v>42693.045601851853</v>
      </c>
    </row>
    <row r="229" spans="1:7" x14ac:dyDescent="0.25">
      <c r="A229" s="8">
        <v>42693.057951388888</v>
      </c>
      <c r="B229" t="s">
        <v>342</v>
      </c>
      <c r="C229" t="s">
        <v>397</v>
      </c>
      <c r="D229">
        <v>2540000</v>
      </c>
      <c r="E229" t="s">
        <v>286</v>
      </c>
      <c r="F229" s="21" t="str">
        <f t="shared" si="6"/>
        <v>rtdc.l.rtdc.4017:itc</v>
      </c>
      <c r="G229" s="8">
        <f t="shared" si="7"/>
        <v>42693.057951388888</v>
      </c>
    </row>
    <row r="230" spans="1:7" x14ac:dyDescent="0.25">
      <c r="A230" s="8">
        <v>42692.013101851851</v>
      </c>
      <c r="B230" t="s">
        <v>232</v>
      </c>
      <c r="C230" t="s">
        <v>347</v>
      </c>
      <c r="D230">
        <v>2350000</v>
      </c>
      <c r="E230" t="s">
        <v>311</v>
      </c>
      <c r="F230" s="21" t="str">
        <f t="shared" si="6"/>
        <v>rtdc.l.rtdc.4001:itc</v>
      </c>
      <c r="G230" s="8">
        <f t="shared" si="7"/>
        <v>42692.013101851851</v>
      </c>
    </row>
    <row r="231" spans="1:7" x14ac:dyDescent="0.25">
      <c r="A231" s="8">
        <v>42692.030601851853</v>
      </c>
      <c r="B231" t="s">
        <v>242</v>
      </c>
      <c r="C231" t="s">
        <v>348</v>
      </c>
      <c r="D231">
        <v>2230000</v>
      </c>
      <c r="E231" t="s">
        <v>345</v>
      </c>
      <c r="F231" s="21" t="str">
        <f t="shared" si="6"/>
        <v>rtdc.l.rtdc.4022:itc</v>
      </c>
      <c r="G231" s="8">
        <f t="shared" si="7"/>
        <v>42692.030601851853</v>
      </c>
    </row>
    <row r="232" spans="1:7" x14ac:dyDescent="0.25">
      <c r="A232" s="8">
        <v>42692.032175925924</v>
      </c>
      <c r="B232" t="s">
        <v>275</v>
      </c>
      <c r="C232" t="s">
        <v>349</v>
      </c>
      <c r="D232">
        <v>2370000</v>
      </c>
      <c r="E232" t="s">
        <v>346</v>
      </c>
      <c r="F232" s="21" t="str">
        <f t="shared" si="6"/>
        <v>rtdc.l.rtdc.4013:itc</v>
      </c>
      <c r="G232" s="8">
        <f t="shared" si="7"/>
        <v>42692.032175925924</v>
      </c>
    </row>
    <row r="233" spans="1:7" x14ac:dyDescent="0.25">
      <c r="A233" s="8">
        <v>42692.049039351848</v>
      </c>
      <c r="B233" t="s">
        <v>233</v>
      </c>
      <c r="C233" t="s">
        <v>350</v>
      </c>
      <c r="D233">
        <v>2350000</v>
      </c>
      <c r="E233" t="s">
        <v>311</v>
      </c>
      <c r="F233" s="21" t="str">
        <f t="shared" si="6"/>
        <v>rtdc.l.rtdc.4002:itc</v>
      </c>
      <c r="G233" s="8">
        <f t="shared" si="7"/>
        <v>42692.049039351848</v>
      </c>
    </row>
    <row r="234" spans="1:7" x14ac:dyDescent="0.25">
      <c r="A234" s="8">
        <v>42692.051585648151</v>
      </c>
      <c r="B234" t="s">
        <v>251</v>
      </c>
      <c r="C234" t="s">
        <v>351</v>
      </c>
      <c r="D234">
        <v>2440000</v>
      </c>
      <c r="E234" t="s">
        <v>312</v>
      </c>
      <c r="F234" s="21" t="str">
        <f t="shared" si="6"/>
        <v>rtdc.l.rtdc.4037:itc</v>
      </c>
      <c r="G234" s="8">
        <f t="shared" si="7"/>
        <v>42692.051585648151</v>
      </c>
    </row>
    <row r="235" spans="1:7" x14ac:dyDescent="0.25">
      <c r="A235" s="8">
        <v>42690.96837962963</v>
      </c>
      <c r="B235" t="s">
        <v>241</v>
      </c>
      <c r="C235" t="s">
        <v>314</v>
      </c>
      <c r="D235">
        <v>2250000</v>
      </c>
      <c r="E235" t="s">
        <v>279</v>
      </c>
      <c r="F235" s="21" t="str">
        <f t="shared" si="6"/>
        <v>rtdc.l.rtdc.4010:itc</v>
      </c>
      <c r="G235" s="8">
        <f t="shared" si="7"/>
        <v>42690.96837962963</v>
      </c>
    </row>
    <row r="236" spans="1:7" x14ac:dyDescent="0.25">
      <c r="A236" s="8">
        <v>42690.985115740739</v>
      </c>
      <c r="B236" t="s">
        <v>236</v>
      </c>
      <c r="C236" t="s">
        <v>313</v>
      </c>
      <c r="D236">
        <v>2540000</v>
      </c>
      <c r="E236" t="s">
        <v>286</v>
      </c>
      <c r="F236" s="21" t="str">
        <f t="shared" ref="F236:F265" si="8">B236</f>
        <v>rtdc.l.rtdc.4016:itc</v>
      </c>
      <c r="G236" s="8">
        <f t="shared" ref="G236:G265" si="9">A236</f>
        <v>42690.985115740739</v>
      </c>
    </row>
    <row r="237" spans="1:7" x14ac:dyDescent="0.25">
      <c r="A237" s="8">
        <v>42690.995219907411</v>
      </c>
      <c r="B237" t="s">
        <v>216</v>
      </c>
      <c r="C237" t="s">
        <v>315</v>
      </c>
      <c r="D237">
        <v>1300000</v>
      </c>
      <c r="E237" t="s">
        <v>113</v>
      </c>
      <c r="F237" s="21" t="str">
        <f t="shared" si="8"/>
        <v>rtdc.l.rtdc.4011:itc</v>
      </c>
      <c r="G237" s="8">
        <f t="shared" si="9"/>
        <v>42690.995219907411</v>
      </c>
    </row>
    <row r="238" spans="1:7" x14ac:dyDescent="0.25">
      <c r="A238" s="8">
        <v>42690.996134259258</v>
      </c>
      <c r="B238" t="s">
        <v>237</v>
      </c>
      <c r="C238" t="s">
        <v>316</v>
      </c>
      <c r="D238">
        <v>2540000</v>
      </c>
      <c r="E238" t="s">
        <v>286</v>
      </c>
      <c r="F238" s="21" t="str">
        <f t="shared" si="8"/>
        <v>rtdc.l.rtdc.4015:itc</v>
      </c>
      <c r="G238" s="8">
        <f t="shared" si="9"/>
        <v>42690.996134259258</v>
      </c>
    </row>
    <row r="239" spans="1:7" x14ac:dyDescent="0.25">
      <c r="A239" s="8">
        <v>42691.005798611113</v>
      </c>
      <c r="B239" t="s">
        <v>214</v>
      </c>
      <c r="C239" t="s">
        <v>317</v>
      </c>
      <c r="D239">
        <v>2620000</v>
      </c>
      <c r="E239" t="s">
        <v>288</v>
      </c>
      <c r="F239" s="21" t="str">
        <f t="shared" si="8"/>
        <v>rtdc.l.rtdc.4030:itc</v>
      </c>
      <c r="G239" s="8">
        <f t="shared" si="9"/>
        <v>42691.005798611113</v>
      </c>
    </row>
    <row r="240" spans="1:7" x14ac:dyDescent="0.25">
      <c r="A240" s="8">
        <v>42691.010081018518</v>
      </c>
      <c r="B240" t="s">
        <v>186</v>
      </c>
      <c r="C240" t="s">
        <v>318</v>
      </c>
      <c r="D240">
        <v>2250000</v>
      </c>
      <c r="E240" t="s">
        <v>279</v>
      </c>
      <c r="F240" s="21" t="str">
        <f t="shared" si="8"/>
        <v>rtdc.l.rtdc.4009:itc</v>
      </c>
      <c r="G240" s="8">
        <f t="shared" si="9"/>
        <v>42691.010081018518</v>
      </c>
    </row>
    <row r="241" spans="1:7" x14ac:dyDescent="0.25">
      <c r="A241" s="8">
        <v>42691.043958333335</v>
      </c>
      <c r="B241" t="s">
        <v>236</v>
      </c>
      <c r="C241" t="s">
        <v>319</v>
      </c>
      <c r="D241">
        <v>2540000</v>
      </c>
      <c r="E241" t="s">
        <v>286</v>
      </c>
      <c r="F241" s="21" t="str">
        <f t="shared" si="8"/>
        <v>rtdc.l.rtdc.4016:itc</v>
      </c>
      <c r="G241" s="8">
        <f t="shared" si="9"/>
        <v>42691.043958333335</v>
      </c>
    </row>
    <row r="242" spans="1:7" x14ac:dyDescent="0.25">
      <c r="A242" s="8">
        <v>42691.049224537041</v>
      </c>
      <c r="B242" t="s">
        <v>229</v>
      </c>
      <c r="C242" t="s">
        <v>320</v>
      </c>
      <c r="D242">
        <v>1300000</v>
      </c>
      <c r="E242" t="s">
        <v>113</v>
      </c>
      <c r="F242" s="21" t="str">
        <f t="shared" si="8"/>
        <v>rtdc.l.rtdc.4012:itc</v>
      </c>
      <c r="G242" s="8">
        <f t="shared" si="9"/>
        <v>42691.049224537041</v>
      </c>
    </row>
    <row r="243" spans="1:7" x14ac:dyDescent="0.25">
      <c r="A243" s="8">
        <v>42691.064479166664</v>
      </c>
      <c r="B243" t="s">
        <v>241</v>
      </c>
      <c r="C243" t="s">
        <v>321</v>
      </c>
      <c r="D243">
        <v>2250000</v>
      </c>
      <c r="E243" t="s">
        <v>279</v>
      </c>
      <c r="F243" s="21" t="str">
        <f t="shared" si="8"/>
        <v>rtdc.l.rtdc.4010:itc</v>
      </c>
      <c r="G243" s="8">
        <f t="shared" si="9"/>
        <v>42691.064479166664</v>
      </c>
    </row>
    <row r="244" spans="1:7" x14ac:dyDescent="0.25">
      <c r="A244" s="8">
        <v>42691.06722222222</v>
      </c>
      <c r="B244" t="s">
        <v>213</v>
      </c>
      <c r="C244" t="s">
        <v>322</v>
      </c>
      <c r="D244">
        <v>2620000</v>
      </c>
      <c r="E244" t="s">
        <v>288</v>
      </c>
      <c r="F244" s="21" t="str">
        <f t="shared" si="8"/>
        <v>rtdc.l.rtdc.4029:itc</v>
      </c>
      <c r="G244" s="8">
        <f t="shared" si="9"/>
        <v>42691.06722222222</v>
      </c>
    </row>
    <row r="245" spans="1:7" x14ac:dyDescent="0.25">
      <c r="A245" s="8">
        <v>42690.019097222219</v>
      </c>
      <c r="B245" t="s">
        <v>216</v>
      </c>
      <c r="C245" t="s">
        <v>296</v>
      </c>
      <c r="D245">
        <v>1800000</v>
      </c>
      <c r="E245" t="s">
        <v>271</v>
      </c>
      <c r="F245" s="21" t="str">
        <f t="shared" si="8"/>
        <v>rtdc.l.rtdc.4011:itc</v>
      </c>
      <c r="G245" s="8">
        <f t="shared" si="9"/>
        <v>42690.019097222219</v>
      </c>
    </row>
    <row r="246" spans="1:7" x14ac:dyDescent="0.25">
      <c r="A246" s="8">
        <v>42690.021944444445</v>
      </c>
      <c r="B246" t="s">
        <v>285</v>
      </c>
      <c r="C246" t="s">
        <v>295</v>
      </c>
      <c r="D246">
        <v>2450000</v>
      </c>
      <c r="E246" t="s">
        <v>287</v>
      </c>
      <c r="F246" s="21" t="str">
        <f t="shared" si="8"/>
        <v>rtdc.l.rtdc.4018:itc</v>
      </c>
      <c r="G246" s="8">
        <f t="shared" si="9"/>
        <v>42690.021944444445</v>
      </c>
    </row>
    <row r="247" spans="1:7" x14ac:dyDescent="0.25">
      <c r="A247" s="8">
        <v>42690.02983796296</v>
      </c>
      <c r="B247" t="s">
        <v>224</v>
      </c>
      <c r="C247" t="s">
        <v>297</v>
      </c>
      <c r="D247">
        <v>2620000</v>
      </c>
      <c r="E247" t="s">
        <v>288</v>
      </c>
      <c r="F247" s="21" t="str">
        <f t="shared" si="8"/>
        <v>rtdc.l.rtdc.4004:itc</v>
      </c>
      <c r="G247" s="8">
        <f t="shared" si="9"/>
        <v>42690.02983796296</v>
      </c>
    </row>
    <row r="248" spans="1:7" x14ac:dyDescent="0.25">
      <c r="A248" s="8">
        <v>42690.051469907405</v>
      </c>
      <c r="B248" t="s">
        <v>219</v>
      </c>
      <c r="C248" t="s">
        <v>298</v>
      </c>
      <c r="D248">
        <v>2250000</v>
      </c>
      <c r="E248" t="s">
        <v>279</v>
      </c>
      <c r="F248" s="21" t="str">
        <f t="shared" si="8"/>
        <v>rtdc.l.rtdc.4040:itc</v>
      </c>
      <c r="G248" s="8">
        <f t="shared" si="9"/>
        <v>42690.051469907405</v>
      </c>
    </row>
    <row r="249" spans="1:7" x14ac:dyDescent="0.25">
      <c r="A249" s="8">
        <v>42690.052777777775</v>
      </c>
      <c r="B249" t="s">
        <v>219</v>
      </c>
      <c r="C249" t="s">
        <v>298</v>
      </c>
      <c r="D249">
        <v>2250000</v>
      </c>
      <c r="E249" t="s">
        <v>279</v>
      </c>
      <c r="F249" s="21" t="str">
        <f t="shared" si="8"/>
        <v>rtdc.l.rtdc.4040:itc</v>
      </c>
      <c r="G249" s="8">
        <f t="shared" si="9"/>
        <v>42690.052777777775</v>
      </c>
    </row>
    <row r="250" spans="1:7" x14ac:dyDescent="0.25">
      <c r="A250" s="8">
        <v>42690.055937500001</v>
      </c>
      <c r="B250" t="s">
        <v>229</v>
      </c>
      <c r="C250" t="s">
        <v>299</v>
      </c>
      <c r="D250">
        <v>1800000</v>
      </c>
      <c r="E250" t="s">
        <v>271</v>
      </c>
      <c r="F250" s="21" t="str">
        <f t="shared" si="8"/>
        <v>rtdc.l.rtdc.4012:itc</v>
      </c>
      <c r="G250" s="8">
        <f t="shared" si="9"/>
        <v>42690.055937500001</v>
      </c>
    </row>
    <row r="251" spans="1:7" x14ac:dyDescent="0.25">
      <c r="A251" s="8">
        <v>42690.070254629631</v>
      </c>
      <c r="B251" t="s">
        <v>292</v>
      </c>
      <c r="C251" t="s">
        <v>300</v>
      </c>
      <c r="D251">
        <v>2620000</v>
      </c>
      <c r="E251" t="s">
        <v>288</v>
      </c>
      <c r="F251" s="21" t="str">
        <f t="shared" si="8"/>
        <v>rtdc.l.rtdc.4003:itc</v>
      </c>
      <c r="G251" s="8">
        <f t="shared" si="9"/>
        <v>42690.070254629631</v>
      </c>
    </row>
    <row r="252" spans="1:7" x14ac:dyDescent="0.25">
      <c r="A252" s="8">
        <v>42684.914409722223</v>
      </c>
      <c r="B252" t="s">
        <v>188</v>
      </c>
      <c r="C252" t="s">
        <v>252</v>
      </c>
      <c r="D252">
        <v>2610000</v>
      </c>
      <c r="E252" t="s">
        <v>235</v>
      </c>
      <c r="F252" s="21" t="str">
        <f t="shared" si="8"/>
        <v>rtdc.l.rtdc.4044:itc</v>
      </c>
      <c r="G252" s="8">
        <f t="shared" si="9"/>
        <v>42684.914409722223</v>
      </c>
    </row>
    <row r="253" spans="1:7" x14ac:dyDescent="0.25">
      <c r="A253" s="8">
        <v>42684.923715277779</v>
      </c>
      <c r="B253" t="s">
        <v>232</v>
      </c>
      <c r="C253" t="s">
        <v>248</v>
      </c>
      <c r="D253">
        <v>2420000</v>
      </c>
      <c r="E253" t="s">
        <v>244</v>
      </c>
      <c r="F253" s="21" t="str">
        <f t="shared" si="8"/>
        <v>rtdc.l.rtdc.4001:itc</v>
      </c>
      <c r="G253" s="8">
        <f t="shared" si="9"/>
        <v>42684.923715277779</v>
      </c>
    </row>
    <row r="254" spans="1:7" x14ac:dyDescent="0.25">
      <c r="A254" s="8">
        <v>42684.93509259259</v>
      </c>
      <c r="B254" t="s">
        <v>216</v>
      </c>
      <c r="C254" t="s">
        <v>253</v>
      </c>
      <c r="D254">
        <v>2000000</v>
      </c>
      <c r="E254" t="s">
        <v>227</v>
      </c>
      <c r="F254" s="21" t="str">
        <f t="shared" si="8"/>
        <v>rtdc.l.rtdc.4011:itc</v>
      </c>
      <c r="G254" s="8">
        <f t="shared" si="9"/>
        <v>42684.93509259259</v>
      </c>
    </row>
    <row r="255" spans="1:7" x14ac:dyDescent="0.25">
      <c r="A255" s="8">
        <v>42684.941574074073</v>
      </c>
      <c r="B255" t="s">
        <v>238</v>
      </c>
      <c r="C255" t="s">
        <v>254</v>
      </c>
      <c r="D255">
        <v>2610000</v>
      </c>
      <c r="E255" t="s">
        <v>235</v>
      </c>
      <c r="F255" s="21" t="str">
        <f t="shared" si="8"/>
        <v>rtdc.l.rtdc.4043:itc</v>
      </c>
      <c r="G255" s="8">
        <f t="shared" si="9"/>
        <v>42684.941574074073</v>
      </c>
    </row>
    <row r="256" spans="1:7" x14ac:dyDescent="0.25">
      <c r="A256" s="8">
        <v>42684.949386574073</v>
      </c>
      <c r="B256" t="s">
        <v>251</v>
      </c>
      <c r="C256" t="s">
        <v>255</v>
      </c>
      <c r="D256">
        <v>1300000</v>
      </c>
      <c r="E256" t="s">
        <v>113</v>
      </c>
      <c r="F256" s="21" t="str">
        <f t="shared" si="8"/>
        <v>rtdc.l.rtdc.4037:itc</v>
      </c>
      <c r="G256" s="8">
        <f t="shared" si="9"/>
        <v>42684.949386574073</v>
      </c>
    </row>
    <row r="257" spans="1:7" x14ac:dyDescent="0.25">
      <c r="A257" s="8">
        <v>42684.951053240744</v>
      </c>
      <c r="B257" t="s">
        <v>242</v>
      </c>
      <c r="C257" t="s">
        <v>256</v>
      </c>
      <c r="D257">
        <v>2550000</v>
      </c>
      <c r="E257" t="s">
        <v>234</v>
      </c>
      <c r="F257" s="21" t="str">
        <f t="shared" si="8"/>
        <v>rtdc.l.rtdc.4022:itc</v>
      </c>
      <c r="G257" s="8">
        <f t="shared" si="9"/>
        <v>42684.951053240744</v>
      </c>
    </row>
    <row r="258" spans="1:7" x14ac:dyDescent="0.25">
      <c r="A258" s="8">
        <v>42684.967488425929</v>
      </c>
      <c r="B258" t="s">
        <v>233</v>
      </c>
      <c r="C258" t="s">
        <v>250</v>
      </c>
      <c r="D258">
        <v>2420000</v>
      </c>
      <c r="E258" t="s">
        <v>244</v>
      </c>
      <c r="F258" s="21" t="str">
        <f t="shared" si="8"/>
        <v>rtdc.l.rtdc.4002:itc</v>
      </c>
      <c r="G258" s="8">
        <f t="shared" si="9"/>
        <v>42684.967488425929</v>
      </c>
    </row>
    <row r="259" spans="1:7" x14ac:dyDescent="0.25">
      <c r="A259" s="8">
        <v>42684.972418981481</v>
      </c>
      <c r="B259" t="s">
        <v>229</v>
      </c>
      <c r="C259" t="s">
        <v>249</v>
      </c>
      <c r="D259">
        <v>2000000</v>
      </c>
      <c r="E259" t="s">
        <v>227</v>
      </c>
      <c r="F259" s="21" t="str">
        <f t="shared" si="8"/>
        <v>rtdc.l.rtdc.4012:itc</v>
      </c>
      <c r="G259" s="8">
        <f t="shared" si="9"/>
        <v>42684.972418981481</v>
      </c>
    </row>
    <row r="260" spans="1:7" x14ac:dyDescent="0.25">
      <c r="A260" s="8">
        <v>42684.992002314815</v>
      </c>
      <c r="B260" t="s">
        <v>243</v>
      </c>
      <c r="C260" t="s">
        <v>257</v>
      </c>
      <c r="D260">
        <v>2550000</v>
      </c>
      <c r="E260" t="s">
        <v>234</v>
      </c>
      <c r="F260" s="21" t="str">
        <f t="shared" si="8"/>
        <v>rtdc.l.rtdc.4021:itc</v>
      </c>
      <c r="G260" s="8">
        <f t="shared" si="9"/>
        <v>42684.992002314815</v>
      </c>
    </row>
    <row r="261" spans="1:7" x14ac:dyDescent="0.25">
      <c r="A261" s="8">
        <v>42684.995717592596</v>
      </c>
      <c r="B261" t="s">
        <v>247</v>
      </c>
      <c r="C261" t="s">
        <v>258</v>
      </c>
      <c r="D261">
        <v>1300000</v>
      </c>
      <c r="E261" t="s">
        <v>113</v>
      </c>
      <c r="F261" s="21" t="str">
        <f t="shared" si="8"/>
        <v>rtdc.l.rtdc.4038:itc</v>
      </c>
      <c r="G261" s="8">
        <f t="shared" si="9"/>
        <v>42684.995717592596</v>
      </c>
    </row>
    <row r="262" spans="1:7" x14ac:dyDescent="0.25">
      <c r="A262" s="8">
        <v>42685.011921296296</v>
      </c>
      <c r="B262" t="s">
        <v>232</v>
      </c>
      <c r="C262" t="s">
        <v>259</v>
      </c>
      <c r="D262">
        <v>2420000</v>
      </c>
      <c r="E262" t="s">
        <v>244</v>
      </c>
      <c r="F262" s="21" t="str">
        <f t="shared" si="8"/>
        <v>rtdc.l.rtdc.4001:itc</v>
      </c>
      <c r="G262" s="8">
        <f t="shared" si="9"/>
        <v>42685.011921296296</v>
      </c>
    </row>
    <row r="263" spans="1:7" x14ac:dyDescent="0.25">
      <c r="A263" s="8">
        <v>42685.016226851854</v>
      </c>
      <c r="B263" t="s">
        <v>216</v>
      </c>
      <c r="C263" t="s">
        <v>260</v>
      </c>
      <c r="D263">
        <v>2000000</v>
      </c>
      <c r="E263" t="s">
        <v>227</v>
      </c>
      <c r="F263" s="21" t="str">
        <f t="shared" si="8"/>
        <v>rtdc.l.rtdc.4011:itc</v>
      </c>
      <c r="G263" s="8">
        <f t="shared" si="9"/>
        <v>42685.016226851854</v>
      </c>
    </row>
    <row r="264" spans="1:7" x14ac:dyDescent="0.25">
      <c r="A264" s="8">
        <v>42685.029282407406</v>
      </c>
      <c r="B264" t="s">
        <v>242</v>
      </c>
      <c r="C264" t="s">
        <v>261</v>
      </c>
      <c r="D264">
        <v>2550000</v>
      </c>
      <c r="E264" t="s">
        <v>234</v>
      </c>
      <c r="F264" s="21" t="str">
        <f t="shared" si="8"/>
        <v>rtdc.l.rtdc.4022:itc</v>
      </c>
      <c r="G264" s="8">
        <f t="shared" si="9"/>
        <v>42685.029282407406</v>
      </c>
    </row>
    <row r="265" spans="1:7" x14ac:dyDescent="0.25">
      <c r="A265" s="8">
        <v>42685.039282407408</v>
      </c>
      <c r="B265" t="s">
        <v>251</v>
      </c>
      <c r="C265" t="s">
        <v>262</v>
      </c>
      <c r="D265">
        <v>1300000</v>
      </c>
      <c r="E265" t="s">
        <v>113</v>
      </c>
      <c r="F265" s="21" t="str">
        <f t="shared" si="8"/>
        <v>rtdc.l.rtdc.4037:itc</v>
      </c>
      <c r="G265" s="8">
        <f t="shared" si="9"/>
        <v>42685.039282407408</v>
      </c>
    </row>
    <row r="266" spans="1:7" x14ac:dyDescent="0.25">
      <c r="A266" s="8">
        <v>42685.049375000002</v>
      </c>
      <c r="B266" t="s">
        <v>233</v>
      </c>
      <c r="C266" t="s">
        <v>263</v>
      </c>
      <c r="D266">
        <v>2420000</v>
      </c>
      <c r="E266" t="s">
        <v>244</v>
      </c>
      <c r="F266" s="21" t="str">
        <f t="shared" ref="F266:F281" si="10">B266</f>
        <v>rtdc.l.rtdc.4002:itc</v>
      </c>
      <c r="G266" s="8">
        <f t="shared" ref="G266:G281" si="11">A266</f>
        <v>42685.049375000002</v>
      </c>
    </row>
    <row r="267" spans="1:7" x14ac:dyDescent="0.25">
      <c r="A267" s="8">
        <v>42685.056481481479</v>
      </c>
      <c r="B267" t="s">
        <v>229</v>
      </c>
      <c r="C267" t="s">
        <v>264</v>
      </c>
      <c r="D267">
        <v>2000000</v>
      </c>
      <c r="E267" t="s">
        <v>227</v>
      </c>
      <c r="F267" s="21" t="str">
        <f t="shared" si="10"/>
        <v>rtdc.l.rtdc.4012:itc</v>
      </c>
      <c r="G267" s="8">
        <f t="shared" si="11"/>
        <v>42685.056481481479</v>
      </c>
    </row>
    <row r="268" spans="1:7" x14ac:dyDescent="0.25">
      <c r="A268" s="8">
        <v>42685.071712962963</v>
      </c>
      <c r="B268" t="s">
        <v>247</v>
      </c>
      <c r="C268" t="s">
        <v>265</v>
      </c>
      <c r="D268">
        <v>1300000</v>
      </c>
      <c r="E268" t="s">
        <v>113</v>
      </c>
      <c r="F268" s="21" t="str">
        <f t="shared" si="10"/>
        <v>rtdc.l.rtdc.4038:itc</v>
      </c>
      <c r="G268" s="8">
        <f t="shared" si="11"/>
        <v>42685.071712962963</v>
      </c>
    </row>
    <row r="269" spans="1:7" x14ac:dyDescent="0.25">
      <c r="A269" s="8">
        <v>42650.082824074074</v>
      </c>
      <c r="B269" t="s">
        <v>156</v>
      </c>
      <c r="C269" t="s">
        <v>189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186</v>
      </c>
      <c r="C270" t="s">
        <v>190</v>
      </c>
      <c r="D270">
        <v>1480000</v>
      </c>
      <c r="E270" t="s">
        <v>184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189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189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189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167</v>
      </c>
      <c r="B1" s="164" t="s">
        <v>170</v>
      </c>
      <c r="C1" s="164" t="s">
        <v>163</v>
      </c>
      <c r="D1" s="159" t="s">
        <v>176</v>
      </c>
      <c r="E1" s="164" t="s">
        <v>164</v>
      </c>
      <c r="F1" s="164" t="s">
        <v>162</v>
      </c>
      <c r="G1" s="164" t="s">
        <v>160</v>
      </c>
      <c r="H1" s="164" t="s">
        <v>173</v>
      </c>
      <c r="I1" s="164" t="s">
        <v>174</v>
      </c>
      <c r="J1" s="164" t="s">
        <v>168</v>
      </c>
      <c r="K1" s="164" t="s">
        <v>166</v>
      </c>
      <c r="L1" s="164" t="s">
        <v>161</v>
      </c>
      <c r="M1" s="164" t="s">
        <v>171</v>
      </c>
      <c r="N1" s="164" t="s">
        <v>165</v>
      </c>
      <c r="O1" s="164" t="s">
        <v>172</v>
      </c>
      <c r="P1" s="164" t="s">
        <v>169</v>
      </c>
      <c r="Q1"/>
      <c r="R1"/>
    </row>
    <row r="2" spans="1:18" x14ac:dyDescent="0.25">
      <c r="A2" s="165">
        <v>25.33</v>
      </c>
      <c r="B2" s="165">
        <v>0.23</v>
      </c>
      <c r="C2" s="165">
        <v>19.260000000000002</v>
      </c>
      <c r="D2" s="8">
        <v>42693</v>
      </c>
      <c r="E2" s="165">
        <v>0.77</v>
      </c>
      <c r="F2" s="165" t="s">
        <v>399</v>
      </c>
      <c r="G2" s="165">
        <v>243.93</v>
      </c>
      <c r="H2" s="165">
        <v>0</v>
      </c>
      <c r="I2" s="165">
        <v>0</v>
      </c>
      <c r="J2" s="165">
        <v>1034.99</v>
      </c>
      <c r="K2" s="165" t="s">
        <v>398</v>
      </c>
      <c r="L2" s="165">
        <v>25.33</v>
      </c>
      <c r="M2" s="165">
        <v>1479538800</v>
      </c>
      <c r="N2" s="165">
        <v>7.93</v>
      </c>
      <c r="O2" s="165">
        <v>202</v>
      </c>
      <c r="P2" s="165">
        <v>2.57</v>
      </c>
      <c r="Q2"/>
      <c r="R2"/>
    </row>
    <row r="3" spans="1:18" x14ac:dyDescent="0.25">
      <c r="A3" s="165">
        <v>24.45</v>
      </c>
      <c r="B3" s="165">
        <v>0.25</v>
      </c>
      <c r="C3" s="165">
        <v>18.36</v>
      </c>
      <c r="D3" s="8">
        <v>42693.041666666664</v>
      </c>
      <c r="E3" s="165">
        <v>0.77</v>
      </c>
      <c r="F3" s="165" t="s">
        <v>323</v>
      </c>
      <c r="G3" s="165">
        <v>243.08</v>
      </c>
      <c r="H3" s="165">
        <v>0</v>
      </c>
      <c r="I3" s="165">
        <v>0</v>
      </c>
      <c r="J3" s="165">
        <v>1034.46</v>
      </c>
      <c r="K3" s="165" t="s">
        <v>221</v>
      </c>
      <c r="L3" s="165">
        <v>24.45</v>
      </c>
      <c r="M3" s="165">
        <v>1479542400</v>
      </c>
      <c r="N3" s="165">
        <v>8.09</v>
      </c>
      <c r="O3" s="165">
        <v>219</v>
      </c>
      <c r="P3" s="165">
        <v>1.88</v>
      </c>
      <c r="Q3"/>
      <c r="R3"/>
    </row>
    <row r="4" spans="1:18" x14ac:dyDescent="0.25">
      <c r="A4" s="165">
        <v>23.02</v>
      </c>
      <c r="B4" s="165">
        <v>0.26</v>
      </c>
      <c r="C4" s="165">
        <v>17.559999999999999</v>
      </c>
      <c r="D4" s="8">
        <v>42693.083333333336</v>
      </c>
      <c r="E4" s="165">
        <v>0.79</v>
      </c>
      <c r="F4" s="165" t="s">
        <v>323</v>
      </c>
      <c r="G4" s="165">
        <v>242.23</v>
      </c>
      <c r="H4" s="165">
        <v>0</v>
      </c>
      <c r="I4" s="165">
        <v>0</v>
      </c>
      <c r="J4" s="165">
        <v>1033.8900000000001</v>
      </c>
      <c r="K4" s="165" t="s">
        <v>221</v>
      </c>
      <c r="L4" s="165">
        <v>23.02</v>
      </c>
      <c r="M4" s="165">
        <v>1479546000</v>
      </c>
      <c r="N4" s="165">
        <v>7.73</v>
      </c>
      <c r="O4" s="165">
        <v>243</v>
      </c>
      <c r="P4" s="165">
        <v>1.95</v>
      </c>
      <c r="Q4"/>
      <c r="R4"/>
    </row>
    <row r="5" spans="1:18" x14ac:dyDescent="0.25">
      <c r="A5" s="165">
        <v>21.76</v>
      </c>
      <c r="B5" s="165">
        <v>0.3</v>
      </c>
      <c r="C5" s="165">
        <v>16.21</v>
      </c>
      <c r="D5" s="8">
        <v>42693.125</v>
      </c>
      <c r="E5" s="165">
        <v>0.79</v>
      </c>
      <c r="F5" s="165" t="s">
        <v>323</v>
      </c>
      <c r="G5" s="165">
        <v>240.93</v>
      </c>
      <c r="H5" s="165">
        <v>0</v>
      </c>
      <c r="I5" s="165">
        <v>0</v>
      </c>
      <c r="J5" s="165">
        <v>1033.57</v>
      </c>
      <c r="K5" s="165" t="s">
        <v>221</v>
      </c>
      <c r="L5" s="165">
        <v>21.76</v>
      </c>
      <c r="M5" s="165">
        <v>1479549600</v>
      </c>
      <c r="N5" s="165">
        <v>7.4</v>
      </c>
      <c r="O5" s="165">
        <v>242</v>
      </c>
      <c r="P5" s="165">
        <v>1.5</v>
      </c>
      <c r="Q5"/>
      <c r="R5"/>
    </row>
    <row r="6" spans="1:18" x14ac:dyDescent="0.25">
      <c r="A6" s="165">
        <v>22.26</v>
      </c>
      <c r="B6" s="165">
        <v>0.38</v>
      </c>
      <c r="C6" s="165">
        <v>16.739999999999998</v>
      </c>
      <c r="D6" s="8">
        <v>42693.166666666664</v>
      </c>
      <c r="E6" s="165">
        <v>0.79</v>
      </c>
      <c r="F6" s="165" t="s">
        <v>323</v>
      </c>
      <c r="G6" s="165">
        <v>239.44</v>
      </c>
      <c r="H6" s="165">
        <v>0</v>
      </c>
      <c r="I6" s="165">
        <v>0</v>
      </c>
      <c r="J6" s="165">
        <v>1033.1300000000001</v>
      </c>
      <c r="K6" s="165" t="s">
        <v>221</v>
      </c>
      <c r="L6" s="165">
        <v>22.26</v>
      </c>
      <c r="M6" s="165">
        <v>1479553200</v>
      </c>
      <c r="N6" s="165">
        <v>7.57</v>
      </c>
      <c r="O6" s="165">
        <v>250</v>
      </c>
      <c r="P6" s="165">
        <v>1.78</v>
      </c>
      <c r="Q6"/>
      <c r="R6"/>
    </row>
    <row r="7" spans="1:18" x14ac:dyDescent="0.25">
      <c r="A7" s="165">
        <v>21.8</v>
      </c>
      <c r="B7" s="165">
        <v>0.42</v>
      </c>
      <c r="C7" s="165">
        <v>16.34</v>
      </c>
      <c r="D7" s="8">
        <v>42693.208333333336</v>
      </c>
      <c r="E7" s="165">
        <v>0.79</v>
      </c>
      <c r="F7" s="165" t="s">
        <v>323</v>
      </c>
      <c r="G7" s="165">
        <v>238.09</v>
      </c>
      <c r="H7" s="165">
        <v>0</v>
      </c>
      <c r="I7" s="165">
        <v>0</v>
      </c>
      <c r="J7" s="165">
        <v>1032.5</v>
      </c>
      <c r="K7" s="165" t="s">
        <v>221</v>
      </c>
      <c r="L7" s="165">
        <v>21.8</v>
      </c>
      <c r="M7" s="165">
        <v>1479556800</v>
      </c>
      <c r="N7" s="165">
        <v>8.1999999999999993</v>
      </c>
      <c r="O7" s="165">
        <v>261</v>
      </c>
      <c r="P7" s="165">
        <v>1.24</v>
      </c>
      <c r="Q7"/>
      <c r="R7"/>
    </row>
    <row r="8" spans="1:18" x14ac:dyDescent="0.25">
      <c r="A8" s="165">
        <v>21.01</v>
      </c>
      <c r="B8" s="165">
        <v>0.44</v>
      </c>
      <c r="C8" s="165">
        <v>15.57</v>
      </c>
      <c r="D8" s="8">
        <v>42693.25</v>
      </c>
      <c r="E8" s="165">
        <v>0.79</v>
      </c>
      <c r="F8" s="165" t="s">
        <v>323</v>
      </c>
      <c r="G8" s="165">
        <v>236.97</v>
      </c>
      <c r="H8" s="165">
        <v>0</v>
      </c>
      <c r="I8" s="165">
        <v>0</v>
      </c>
      <c r="J8" s="165">
        <v>1031.6600000000001</v>
      </c>
      <c r="K8" s="165" t="s">
        <v>221</v>
      </c>
      <c r="L8" s="165">
        <v>21.01</v>
      </c>
      <c r="M8" s="165">
        <v>1479560400</v>
      </c>
      <c r="N8" s="165">
        <v>7.16</v>
      </c>
      <c r="O8" s="165">
        <v>263</v>
      </c>
      <c r="P8" s="165">
        <v>1.18</v>
      </c>
      <c r="Q8"/>
      <c r="R8"/>
    </row>
    <row r="9" spans="1:18" x14ac:dyDescent="0.25">
      <c r="A9" s="165">
        <v>22.81</v>
      </c>
      <c r="B9" s="165">
        <v>0.37</v>
      </c>
      <c r="C9" s="165">
        <v>17.46</v>
      </c>
      <c r="D9" s="8">
        <v>42693.291666666664</v>
      </c>
      <c r="E9" s="165">
        <v>0.8</v>
      </c>
      <c r="F9" s="165" t="s">
        <v>647</v>
      </c>
      <c r="G9" s="165">
        <v>235.99</v>
      </c>
      <c r="H9" s="165">
        <v>0</v>
      </c>
      <c r="I9" s="165">
        <v>0</v>
      </c>
      <c r="J9" s="165">
        <v>1030.6400000000001</v>
      </c>
      <c r="K9" s="165" t="s">
        <v>221</v>
      </c>
      <c r="L9" s="165">
        <v>22.81</v>
      </c>
      <c r="M9" s="165">
        <v>1479564000</v>
      </c>
      <c r="N9" s="165">
        <v>6.5</v>
      </c>
      <c r="O9" s="165">
        <v>223</v>
      </c>
      <c r="P9" s="165">
        <v>0.8</v>
      </c>
      <c r="Q9"/>
      <c r="R9"/>
    </row>
    <row r="10" spans="1:18" x14ac:dyDescent="0.25">
      <c r="A10" s="165">
        <v>25.26</v>
      </c>
      <c r="B10" s="165">
        <v>0.35</v>
      </c>
      <c r="C10" s="165">
        <v>20.49</v>
      </c>
      <c r="D10" s="8">
        <v>42693.333333333336</v>
      </c>
      <c r="E10" s="165">
        <v>0.82</v>
      </c>
      <c r="F10" s="165" t="s">
        <v>647</v>
      </c>
      <c r="G10" s="165">
        <v>235.14</v>
      </c>
      <c r="H10" s="165">
        <v>0</v>
      </c>
      <c r="I10" s="165">
        <v>0</v>
      </c>
      <c r="J10" s="165">
        <v>1029.3900000000001</v>
      </c>
      <c r="K10" s="165" t="s">
        <v>221</v>
      </c>
      <c r="L10" s="165">
        <v>25.26</v>
      </c>
      <c r="M10" s="165">
        <v>1479567600</v>
      </c>
      <c r="N10" s="165">
        <v>4.8</v>
      </c>
      <c r="O10" s="165">
        <v>236</v>
      </c>
      <c r="P10" s="165">
        <v>1.62</v>
      </c>
      <c r="Q10"/>
      <c r="R10"/>
    </row>
    <row r="11" spans="1:18" x14ac:dyDescent="0.25">
      <c r="A11" s="165">
        <v>29.71</v>
      </c>
      <c r="B11" s="165">
        <v>0.39</v>
      </c>
      <c r="C11" s="165">
        <v>23.58</v>
      </c>
      <c r="D11" s="8">
        <v>42693.375</v>
      </c>
      <c r="E11" s="165">
        <v>0.78</v>
      </c>
      <c r="F11" s="165" t="s">
        <v>647</v>
      </c>
      <c r="G11" s="165">
        <v>234.46</v>
      </c>
      <c r="H11" s="165">
        <v>0</v>
      </c>
      <c r="I11" s="165">
        <v>0</v>
      </c>
      <c r="J11" s="165">
        <v>1027.72</v>
      </c>
      <c r="K11" s="165" t="s">
        <v>221</v>
      </c>
      <c r="L11" s="165">
        <v>29.71</v>
      </c>
      <c r="M11" s="165">
        <v>1479571200</v>
      </c>
      <c r="N11" s="165">
        <v>4.9000000000000004</v>
      </c>
      <c r="O11" s="165">
        <v>305</v>
      </c>
      <c r="P11" s="165">
        <v>1.07</v>
      </c>
      <c r="Q11"/>
      <c r="R11"/>
    </row>
    <row r="12" spans="1:18" x14ac:dyDescent="0.25">
      <c r="A12" s="165">
        <v>33.86</v>
      </c>
      <c r="B12" s="165">
        <v>0.47</v>
      </c>
      <c r="C12" s="165">
        <v>25.51</v>
      </c>
      <c r="D12" s="8">
        <v>42693.416666666664</v>
      </c>
      <c r="E12" s="165">
        <v>0.71</v>
      </c>
      <c r="F12" s="165" t="s">
        <v>647</v>
      </c>
      <c r="G12" s="165">
        <v>233.93</v>
      </c>
      <c r="H12" s="165">
        <v>0</v>
      </c>
      <c r="I12" s="165">
        <v>0</v>
      </c>
      <c r="J12" s="165">
        <v>1025.83</v>
      </c>
      <c r="K12" s="165" t="s">
        <v>221</v>
      </c>
      <c r="L12" s="165">
        <v>33.86</v>
      </c>
      <c r="M12" s="165">
        <v>1479574800</v>
      </c>
      <c r="N12" s="165">
        <v>5.19</v>
      </c>
      <c r="O12" s="165">
        <v>291</v>
      </c>
      <c r="P12" s="165">
        <v>0.97</v>
      </c>
      <c r="Q12"/>
      <c r="R12"/>
    </row>
    <row r="13" spans="1:18" x14ac:dyDescent="0.25">
      <c r="A13" s="165">
        <v>37.950000000000003</v>
      </c>
      <c r="B13" s="165">
        <v>0.51</v>
      </c>
      <c r="C13" s="165">
        <v>27.06</v>
      </c>
      <c r="D13" s="8">
        <v>42693.458333333336</v>
      </c>
      <c r="E13" s="165">
        <v>0.64</v>
      </c>
      <c r="F13" s="165" t="s">
        <v>647</v>
      </c>
      <c r="G13" s="165">
        <v>233.38</v>
      </c>
      <c r="H13" s="165">
        <v>0</v>
      </c>
      <c r="I13" s="165">
        <v>0</v>
      </c>
      <c r="J13" s="165">
        <v>1024.24</v>
      </c>
      <c r="K13" s="165" t="s">
        <v>221</v>
      </c>
      <c r="L13" s="165">
        <v>37.950000000000003</v>
      </c>
      <c r="M13" s="165">
        <v>1479578400</v>
      </c>
      <c r="N13" s="165">
        <v>5.53</v>
      </c>
      <c r="O13" s="165">
        <v>326</v>
      </c>
      <c r="P13" s="165">
        <v>1.4</v>
      </c>
      <c r="Q13"/>
      <c r="R13"/>
    </row>
    <row r="14" spans="1:18" x14ac:dyDescent="0.25">
      <c r="A14" s="165">
        <v>41.56</v>
      </c>
      <c r="B14" s="165">
        <v>0.47</v>
      </c>
      <c r="C14" s="165">
        <v>27.68</v>
      </c>
      <c r="D14" s="8">
        <v>42693.5</v>
      </c>
      <c r="E14" s="165">
        <v>0.56999999999999995</v>
      </c>
      <c r="F14" s="165" t="s">
        <v>647</v>
      </c>
      <c r="G14" s="165">
        <v>232.65</v>
      </c>
      <c r="H14" s="165">
        <v>0</v>
      </c>
      <c r="I14" s="165">
        <v>0</v>
      </c>
      <c r="J14" s="165">
        <v>1023.08</v>
      </c>
      <c r="K14" s="165" t="s">
        <v>221</v>
      </c>
      <c r="L14" s="165">
        <v>41.56</v>
      </c>
      <c r="M14" s="165">
        <v>1479582000</v>
      </c>
      <c r="N14" s="165">
        <v>5.7</v>
      </c>
      <c r="O14" s="165">
        <v>11</v>
      </c>
      <c r="P14" s="165">
        <v>0.71</v>
      </c>
      <c r="Q14"/>
      <c r="R14"/>
    </row>
    <row r="15" spans="1:18" x14ac:dyDescent="0.25">
      <c r="A15" s="165">
        <v>43.14</v>
      </c>
      <c r="B15" s="165">
        <v>0.38</v>
      </c>
      <c r="C15" s="165">
        <v>28.87</v>
      </c>
      <c r="D15" s="8">
        <v>42693.541666666664</v>
      </c>
      <c r="E15" s="165">
        <v>0.56999999999999995</v>
      </c>
      <c r="F15" s="165" t="s">
        <v>647</v>
      </c>
      <c r="G15" s="165">
        <v>231.91</v>
      </c>
      <c r="H15" s="165">
        <v>0</v>
      </c>
      <c r="I15" s="165">
        <v>0</v>
      </c>
      <c r="J15" s="165">
        <v>1022.09</v>
      </c>
      <c r="K15" s="165" t="s">
        <v>221</v>
      </c>
      <c r="L15" s="165">
        <v>43.14</v>
      </c>
      <c r="M15" s="165">
        <v>1479585600</v>
      </c>
      <c r="N15" s="165">
        <v>5.91</v>
      </c>
      <c r="O15" s="165">
        <v>0</v>
      </c>
      <c r="P15" s="165">
        <v>1.49</v>
      </c>
      <c r="Q15"/>
      <c r="R15"/>
    </row>
    <row r="16" spans="1:18" x14ac:dyDescent="0.25">
      <c r="A16" s="165">
        <v>45.28</v>
      </c>
      <c r="B16" s="165">
        <v>0.35</v>
      </c>
      <c r="C16" s="165">
        <v>27.5</v>
      </c>
      <c r="D16" s="8">
        <v>42693.583333333336</v>
      </c>
      <c r="E16" s="165">
        <v>0.49</v>
      </c>
      <c r="F16" s="165" t="s">
        <v>647</v>
      </c>
      <c r="G16" s="165">
        <v>231.58</v>
      </c>
      <c r="H16" s="165">
        <v>0</v>
      </c>
      <c r="I16" s="165">
        <v>0</v>
      </c>
      <c r="J16" s="165">
        <v>1021.29</v>
      </c>
      <c r="K16" s="165" t="s">
        <v>221</v>
      </c>
      <c r="L16" s="165">
        <v>45.28</v>
      </c>
      <c r="M16" s="165">
        <v>1479589200</v>
      </c>
      <c r="N16" s="165">
        <v>4.76</v>
      </c>
      <c r="O16" s="165">
        <v>16</v>
      </c>
      <c r="P16" s="165">
        <v>1.61</v>
      </c>
      <c r="Q16"/>
      <c r="R16"/>
    </row>
    <row r="17" spans="1:18" x14ac:dyDescent="0.25">
      <c r="A17" s="165">
        <v>47.6</v>
      </c>
      <c r="B17" s="165">
        <v>0.39</v>
      </c>
      <c r="C17" s="165">
        <v>28.47</v>
      </c>
      <c r="D17" s="8">
        <v>42693.625</v>
      </c>
      <c r="E17" s="165">
        <v>0.47</v>
      </c>
      <c r="F17" s="165" t="s">
        <v>647</v>
      </c>
      <c r="G17" s="165">
        <v>231.93</v>
      </c>
      <c r="H17" s="165">
        <v>0</v>
      </c>
      <c r="I17" s="165">
        <v>0</v>
      </c>
      <c r="J17" s="165">
        <v>1020.54</v>
      </c>
      <c r="K17" s="165" t="s">
        <v>221</v>
      </c>
      <c r="L17" s="165">
        <v>47.6</v>
      </c>
      <c r="M17" s="165">
        <v>1479592800</v>
      </c>
      <c r="N17" s="165">
        <v>4.84</v>
      </c>
      <c r="O17" s="165">
        <v>18</v>
      </c>
      <c r="P17" s="165">
        <v>1.49</v>
      </c>
      <c r="Q17"/>
      <c r="R17"/>
    </row>
    <row r="18" spans="1:18" x14ac:dyDescent="0.25">
      <c r="A18" s="165">
        <v>46.83</v>
      </c>
      <c r="B18" s="165">
        <v>0.49</v>
      </c>
      <c r="C18" s="165">
        <v>27.96</v>
      </c>
      <c r="D18" s="8">
        <v>42693.666666666664</v>
      </c>
      <c r="E18" s="165">
        <v>0.48</v>
      </c>
      <c r="F18" s="165" t="s">
        <v>647</v>
      </c>
      <c r="G18" s="165">
        <v>232.68</v>
      </c>
      <c r="H18" s="165">
        <v>0</v>
      </c>
      <c r="I18" s="165">
        <v>0</v>
      </c>
      <c r="J18" s="165">
        <v>1019.74</v>
      </c>
      <c r="K18" s="165" t="s">
        <v>221</v>
      </c>
      <c r="L18" s="165">
        <v>46.83</v>
      </c>
      <c r="M18" s="165">
        <v>1479596400</v>
      </c>
      <c r="N18" s="165">
        <v>5.26</v>
      </c>
      <c r="O18" s="165">
        <v>16</v>
      </c>
      <c r="P18" s="165">
        <v>1.5</v>
      </c>
      <c r="Q18"/>
      <c r="R18"/>
    </row>
    <row r="19" spans="1:18" x14ac:dyDescent="0.25">
      <c r="A19" s="165">
        <v>43.9</v>
      </c>
      <c r="B19" s="165">
        <v>0.52</v>
      </c>
      <c r="C19" s="165">
        <v>27.33</v>
      </c>
      <c r="D19" s="8">
        <v>42693.708333333336</v>
      </c>
      <c r="E19" s="165">
        <v>0.52</v>
      </c>
      <c r="F19" s="165" t="s">
        <v>323</v>
      </c>
      <c r="G19" s="165">
        <v>233.42</v>
      </c>
      <c r="H19" s="165">
        <v>0</v>
      </c>
      <c r="I19" s="165">
        <v>0</v>
      </c>
      <c r="J19" s="165">
        <v>1019.5</v>
      </c>
      <c r="K19" s="165" t="s">
        <v>221</v>
      </c>
      <c r="L19" s="165">
        <v>43.9</v>
      </c>
      <c r="M19" s="165">
        <v>1479600000</v>
      </c>
      <c r="N19" s="165">
        <v>5.49</v>
      </c>
      <c r="O19" s="165">
        <v>4</v>
      </c>
      <c r="P19" s="165">
        <v>1.64</v>
      </c>
      <c r="Q19"/>
      <c r="R19"/>
    </row>
    <row r="20" spans="1:18" x14ac:dyDescent="0.25">
      <c r="A20" s="165">
        <v>39.57</v>
      </c>
      <c r="B20" s="165">
        <v>0.35</v>
      </c>
      <c r="C20" s="165">
        <v>25.29</v>
      </c>
      <c r="D20" s="8">
        <v>42693.75</v>
      </c>
      <c r="E20" s="165">
        <v>0.56000000000000005</v>
      </c>
      <c r="F20" s="165" t="s">
        <v>323</v>
      </c>
      <c r="G20" s="165">
        <v>234.08</v>
      </c>
      <c r="H20" s="165">
        <v>0</v>
      </c>
      <c r="I20" s="165">
        <v>0</v>
      </c>
      <c r="J20" s="165">
        <v>1020.19</v>
      </c>
      <c r="K20" s="165" t="s">
        <v>221</v>
      </c>
      <c r="L20" s="165">
        <v>39.57</v>
      </c>
      <c r="M20" s="165">
        <v>1479603600</v>
      </c>
      <c r="N20" s="165">
        <v>6.05</v>
      </c>
      <c r="O20" s="165">
        <v>7</v>
      </c>
      <c r="P20" s="165">
        <v>0.52</v>
      </c>
      <c r="Q20"/>
      <c r="R20"/>
    </row>
    <row r="21" spans="1:18" x14ac:dyDescent="0.25">
      <c r="A21" s="165">
        <v>36.85</v>
      </c>
      <c r="B21" s="165">
        <v>0.22</v>
      </c>
      <c r="C21" s="165">
        <v>25.97</v>
      </c>
      <c r="D21" s="8">
        <v>42693.791666666664</v>
      </c>
      <c r="E21" s="165">
        <v>0.64</v>
      </c>
      <c r="F21" s="165" t="s">
        <v>399</v>
      </c>
      <c r="G21" s="165">
        <v>234.72</v>
      </c>
      <c r="H21" s="165">
        <v>0</v>
      </c>
      <c r="I21" s="165">
        <v>0</v>
      </c>
      <c r="J21" s="165">
        <v>1021.93</v>
      </c>
      <c r="K21" s="165" t="s">
        <v>398</v>
      </c>
      <c r="L21" s="165">
        <v>36.85</v>
      </c>
      <c r="M21" s="165">
        <v>1479607200</v>
      </c>
      <c r="N21" s="165">
        <v>6.96</v>
      </c>
      <c r="O21" s="165">
        <v>276</v>
      </c>
      <c r="P21" s="165">
        <v>0.85</v>
      </c>
      <c r="Q21"/>
      <c r="R21"/>
    </row>
    <row r="22" spans="1:18" x14ac:dyDescent="0.25">
      <c r="A22" s="165">
        <v>35.729999999999997</v>
      </c>
      <c r="B22" s="165">
        <v>0.13</v>
      </c>
      <c r="C22" s="165">
        <v>26.7</v>
      </c>
      <c r="D22" s="8">
        <v>42693.833333333336</v>
      </c>
      <c r="E22" s="165">
        <v>0.69</v>
      </c>
      <c r="F22" s="165" t="s">
        <v>399</v>
      </c>
      <c r="G22" s="165">
        <v>235.12</v>
      </c>
      <c r="H22" s="165">
        <v>0</v>
      </c>
      <c r="I22" s="165">
        <v>0</v>
      </c>
      <c r="J22" s="165">
        <v>1022.85</v>
      </c>
      <c r="K22" s="165" t="s">
        <v>398</v>
      </c>
      <c r="L22" s="165">
        <v>35.729999999999997</v>
      </c>
      <c r="M22" s="165">
        <v>1479610800</v>
      </c>
      <c r="N22" s="165">
        <v>7.01</v>
      </c>
      <c r="O22" s="165">
        <v>269</v>
      </c>
      <c r="P22" s="165">
        <v>1.19</v>
      </c>
      <c r="Q22"/>
      <c r="R22"/>
    </row>
    <row r="23" spans="1:18" x14ac:dyDescent="0.25">
      <c r="A23" s="165">
        <v>33.31</v>
      </c>
      <c r="B23" s="165">
        <v>0.28000000000000003</v>
      </c>
      <c r="C23" s="165">
        <v>25.37</v>
      </c>
      <c r="D23" s="8">
        <v>42693.875</v>
      </c>
      <c r="E23" s="165">
        <v>0.72</v>
      </c>
      <c r="F23" s="165" t="s">
        <v>323</v>
      </c>
      <c r="G23" s="165">
        <v>235.17</v>
      </c>
      <c r="H23" s="165">
        <v>0</v>
      </c>
      <c r="I23" s="165">
        <v>0</v>
      </c>
      <c r="J23" s="165">
        <v>1022.2</v>
      </c>
      <c r="K23" s="165" t="s">
        <v>221</v>
      </c>
      <c r="L23" s="165">
        <v>33.31</v>
      </c>
      <c r="M23" s="165">
        <v>1479614400</v>
      </c>
      <c r="N23" s="165">
        <v>6.09</v>
      </c>
      <c r="O23" s="165">
        <v>250</v>
      </c>
      <c r="P23" s="165">
        <v>1.72</v>
      </c>
      <c r="Q23"/>
      <c r="R23"/>
    </row>
    <row r="24" spans="1:18" x14ac:dyDescent="0.25">
      <c r="A24" s="165">
        <v>33.630000000000003</v>
      </c>
      <c r="B24" s="165">
        <v>0.47</v>
      </c>
      <c r="C24" s="165">
        <v>26.3</v>
      </c>
      <c r="D24" s="8">
        <v>42693.916666666664</v>
      </c>
      <c r="E24" s="165">
        <v>0.74</v>
      </c>
      <c r="F24" s="165" t="s">
        <v>323</v>
      </c>
      <c r="G24" s="165">
        <v>234.98</v>
      </c>
      <c r="H24" s="165">
        <v>0</v>
      </c>
      <c r="I24" s="165">
        <v>0</v>
      </c>
      <c r="J24" s="165">
        <v>1020.74</v>
      </c>
      <c r="K24" s="165" t="s">
        <v>221</v>
      </c>
      <c r="L24" s="165">
        <v>33.630000000000003</v>
      </c>
      <c r="M24" s="165">
        <v>1479618000</v>
      </c>
      <c r="N24" s="165">
        <v>6.15</v>
      </c>
      <c r="O24" s="165">
        <v>249</v>
      </c>
      <c r="P24" s="165">
        <v>1.99</v>
      </c>
      <c r="Q24"/>
      <c r="R24"/>
    </row>
    <row r="25" spans="1:18" x14ac:dyDescent="0.25">
      <c r="A25" s="165">
        <v>33.729999999999997</v>
      </c>
      <c r="B25" s="165">
        <v>0.61</v>
      </c>
      <c r="C25" s="165">
        <v>26.93</v>
      </c>
      <c r="D25" s="8">
        <v>42693.958333333336</v>
      </c>
      <c r="E25" s="165">
        <v>0.76</v>
      </c>
      <c r="F25" s="165" t="s">
        <v>323</v>
      </c>
      <c r="G25" s="165">
        <v>234.62</v>
      </c>
      <c r="H25" s="165">
        <v>0</v>
      </c>
      <c r="I25" s="165">
        <v>0</v>
      </c>
      <c r="J25" s="165">
        <v>1019.56</v>
      </c>
      <c r="K25" s="165" t="s">
        <v>648</v>
      </c>
      <c r="L25" s="165">
        <v>33.729999999999997</v>
      </c>
      <c r="M25" s="165">
        <v>1479621600</v>
      </c>
      <c r="N25" s="165">
        <v>6.75</v>
      </c>
      <c r="O25" s="165">
        <v>253</v>
      </c>
      <c r="P25" s="165">
        <v>2.87</v>
      </c>
      <c r="Q25"/>
      <c r="R25"/>
    </row>
    <row r="26" spans="1:18" x14ac:dyDescent="0.25">
      <c r="A26" s="165">
        <v>33.14</v>
      </c>
      <c r="B26" s="165">
        <v>0.65</v>
      </c>
      <c r="C26" s="165">
        <v>25.75</v>
      </c>
      <c r="D26" s="8">
        <v>42694</v>
      </c>
      <c r="E26" s="165">
        <v>0.74</v>
      </c>
      <c r="F26" s="165" t="s">
        <v>323</v>
      </c>
      <c r="G26" s="165">
        <v>233.93</v>
      </c>
      <c r="H26" s="165">
        <v>0</v>
      </c>
      <c r="I26" s="165">
        <v>0</v>
      </c>
      <c r="J26" s="165">
        <v>1019.83</v>
      </c>
      <c r="K26" s="165" t="s">
        <v>648</v>
      </c>
      <c r="L26" s="165">
        <v>33.14</v>
      </c>
      <c r="M26" s="165">
        <v>1479625200</v>
      </c>
      <c r="N26" s="165">
        <v>7.01</v>
      </c>
      <c r="O26" s="165">
        <v>256</v>
      </c>
      <c r="P26" s="165">
        <v>2.59</v>
      </c>
      <c r="Q26"/>
      <c r="R26"/>
    </row>
    <row r="27" spans="1:18" x14ac:dyDescent="0.25">
      <c r="A27" s="165">
        <v>32.29</v>
      </c>
      <c r="B27" s="165">
        <v>0.73</v>
      </c>
      <c r="C27" s="165">
        <v>26.84</v>
      </c>
      <c r="D27" s="8">
        <v>42694.041666666664</v>
      </c>
      <c r="E27" s="165">
        <v>0.72</v>
      </c>
      <c r="F27" s="165" t="s">
        <v>323</v>
      </c>
      <c r="G27" s="165">
        <v>233.25</v>
      </c>
      <c r="H27" s="165">
        <v>0</v>
      </c>
      <c r="I27" s="165">
        <v>0</v>
      </c>
      <c r="J27" s="165">
        <v>1020.04</v>
      </c>
      <c r="K27" s="165" t="s">
        <v>648</v>
      </c>
      <c r="L27" s="165">
        <v>34.840000000000003</v>
      </c>
      <c r="M27" s="165">
        <v>1479628800</v>
      </c>
      <c r="N27" s="165">
        <v>6.7</v>
      </c>
      <c r="O27" s="165">
        <v>251</v>
      </c>
      <c r="P27" s="165">
        <v>3.18</v>
      </c>
      <c r="Q27"/>
      <c r="R27"/>
    </row>
    <row r="28" spans="1:18" x14ac:dyDescent="0.25">
      <c r="A28" s="165">
        <v>35.520000000000003</v>
      </c>
      <c r="B28" s="165">
        <v>0.8</v>
      </c>
      <c r="C28" s="165">
        <v>27.6</v>
      </c>
      <c r="D28" s="8">
        <v>42694.083333333336</v>
      </c>
      <c r="E28" s="165">
        <v>0.73</v>
      </c>
      <c r="F28" s="165" t="s">
        <v>323</v>
      </c>
      <c r="G28" s="165">
        <v>232.57</v>
      </c>
      <c r="H28" s="165">
        <v>0</v>
      </c>
      <c r="I28" s="165">
        <v>0</v>
      </c>
      <c r="J28" s="165">
        <v>1020.19</v>
      </c>
      <c r="K28" s="165" t="s">
        <v>648</v>
      </c>
      <c r="L28" s="165">
        <v>35.520000000000003</v>
      </c>
      <c r="M28" s="165">
        <v>1479632400</v>
      </c>
      <c r="N28" s="165">
        <v>4.55</v>
      </c>
      <c r="O28" s="165">
        <v>258</v>
      </c>
      <c r="P28" s="165">
        <v>2.35</v>
      </c>
      <c r="Q28"/>
      <c r="R28"/>
    </row>
    <row r="29" spans="1:18" x14ac:dyDescent="0.25">
      <c r="A29" s="165">
        <v>36.340000000000003</v>
      </c>
      <c r="B29" s="165">
        <v>0.8</v>
      </c>
      <c r="C29" s="165">
        <v>29.97</v>
      </c>
      <c r="D29" s="8">
        <v>42694.125</v>
      </c>
      <c r="E29" s="165">
        <v>0.68</v>
      </c>
      <c r="F29" s="165" t="s">
        <v>323</v>
      </c>
      <c r="G29" s="165">
        <v>232.11</v>
      </c>
      <c r="H29" s="165">
        <v>0</v>
      </c>
      <c r="I29" s="165">
        <v>0</v>
      </c>
      <c r="J29" s="165">
        <v>1020.29</v>
      </c>
      <c r="K29" s="165" t="s">
        <v>648</v>
      </c>
      <c r="L29" s="165">
        <v>39.479999999999997</v>
      </c>
      <c r="M29" s="165">
        <v>1479636000</v>
      </c>
      <c r="N29" s="165">
        <v>6.92</v>
      </c>
      <c r="O29" s="165">
        <v>234</v>
      </c>
      <c r="P29" s="165">
        <v>4.42</v>
      </c>
      <c r="Q29"/>
      <c r="R29"/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209</v>
      </c>
    </row>
    <row r="33" spans="1:1" x14ac:dyDescent="0.25">
      <c r="A33" s="133" t="s">
        <v>191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2"/>
  <sheetViews>
    <sheetView workbookViewId="0">
      <selection activeCell="C18" sqref="C18:C32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42693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211</v>
      </c>
      <c r="J17" s="33"/>
      <c r="K17" s="34"/>
      <c r="L17" s="34"/>
    </row>
    <row r="18" spans="3:13" x14ac:dyDescent="0.25">
      <c r="C18" t="s">
        <v>775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776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777</v>
      </c>
      <c r="J20" t="s">
        <v>87</v>
      </c>
      <c r="M20" s="68" t="s">
        <v>240</v>
      </c>
    </row>
    <row r="21" spans="3:13" x14ac:dyDescent="0.25">
      <c r="C21" t="s">
        <v>778</v>
      </c>
      <c r="J21" s="21" t="s">
        <v>90</v>
      </c>
      <c r="K21" s="21" t="s">
        <v>91</v>
      </c>
      <c r="M21" s="68" t="s">
        <v>185</v>
      </c>
    </row>
    <row r="22" spans="3:13" x14ac:dyDescent="0.25">
      <c r="C22" t="s">
        <v>779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780</v>
      </c>
      <c r="J23" s="29" t="s">
        <v>95</v>
      </c>
      <c r="K23" s="21"/>
      <c r="M23" s="69">
        <v>-7</v>
      </c>
    </row>
    <row r="24" spans="3:13" x14ac:dyDescent="0.25">
      <c r="C24" t="s">
        <v>781</v>
      </c>
      <c r="J24" s="21" t="s">
        <v>108</v>
      </c>
      <c r="K24" s="21"/>
      <c r="M24" s="68" t="s">
        <v>110</v>
      </c>
    </row>
    <row r="25" spans="3:13" x14ac:dyDescent="0.25">
      <c r="C25" t="s">
        <v>782</v>
      </c>
      <c r="J25" t="s">
        <v>151</v>
      </c>
      <c r="M25" s="68" t="b">
        <v>1</v>
      </c>
    </row>
    <row r="26" spans="3:13" x14ac:dyDescent="0.25">
      <c r="C26" t="s">
        <v>783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C:\Users\stu\Documents\GitHub\eaglep3-reporting\EC\2016-11-19-refined-times.txt</v>
      </c>
    </row>
    <row r="27" spans="3:13" x14ac:dyDescent="0.25">
      <c r="C27" t="s">
        <v>784</v>
      </c>
      <c r="J27" t="s">
        <v>192</v>
      </c>
      <c r="M27" s="68" t="str">
        <f>"C:\Users\stu\Documents\GitHub\eaglep3-reporting\EC\"&amp;TEXT(A2,"YYYY-MM-DD")&amp;"-Enforcements.txt"</f>
        <v>C:\Users\stu\Documents\GitHub\eaglep3-reporting\EC\2016-11-19-Enforcements.txt</v>
      </c>
    </row>
    <row r="28" spans="3:13" x14ac:dyDescent="0.25">
      <c r="C28" t="s">
        <v>785</v>
      </c>
      <c r="J28" t="s">
        <v>193</v>
      </c>
      <c r="M28" s="106" t="str">
        <f>"C:\Users\stu\Documents\GitHub\eaglep3-reporting\EC\"&amp;TEXT(A2,"YYYY-MM-DD")&amp;"-Runs-Refined.txt"</f>
        <v>C:\Users\stu\Documents\GitHub\eaglep3-reporting\EC\2016-11-19-Runs-Refined.txt</v>
      </c>
    </row>
    <row r="29" spans="3:13" x14ac:dyDescent="0.25">
      <c r="C29" t="s">
        <v>786</v>
      </c>
      <c r="J29" t="s">
        <v>194</v>
      </c>
      <c r="M29" s="106" t="str">
        <f>"C:\Users\stu\Documents\GitHub\eaglep3-reporting\EC\"&amp;TEXT(A2,"YYYY-MM-DD")&amp;"-Trips.txt"</f>
        <v>C:\Users\stu\Documents\GitHub\eaglep3-reporting\EC\2016-11-19-Trips.txt</v>
      </c>
    </row>
    <row r="30" spans="3:13" x14ac:dyDescent="0.25">
      <c r="C30" t="s">
        <v>787</v>
      </c>
      <c r="J30" t="s">
        <v>195</v>
      </c>
      <c r="M30" s="106" t="str">
        <f>"C:\Users\stu\Documents\GitHub\eaglep3-reporting\EC\"&amp;TEXT(A2,"YYYY-MM-DD")&amp;"-Weather.txt"</f>
        <v>C:\Users\stu\Documents\GitHub\eaglep3-reporting\EC\2016-11-19-Weather.txt</v>
      </c>
    </row>
    <row r="31" spans="3:13" x14ac:dyDescent="0.25">
      <c r="C31" t="s">
        <v>788</v>
      </c>
    </row>
    <row r="32" spans="3:13" x14ac:dyDescent="0.25">
      <c r="C32" t="s">
        <v>789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177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178</v>
      </c>
    </row>
    <row r="15" spans="1:11" x14ac:dyDescent="0.25">
      <c r="C15" s="116" t="s">
        <v>226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1"/>
  <sheetViews>
    <sheetView topLeftCell="A16" workbookViewId="0">
      <selection activeCell="B40" sqref="B40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804</v>
      </c>
      <c r="B1" t="str">
        <f t="shared" ref="B1:B52" si="0">MID(A1,6,23)</f>
        <v>2016/11/19 11:21:36.437</v>
      </c>
      <c r="C1" t="e">
        <f>ABS(B1-#REF!)</f>
        <v>#REF!</v>
      </c>
    </row>
    <row r="2" spans="1:3" x14ac:dyDescent="0.25">
      <c r="A2" t="s">
        <v>805</v>
      </c>
      <c r="B2" s="21" t="str">
        <f t="shared" si="0"/>
        <v>2016/11/19 12:50:55.857</v>
      </c>
      <c r="C2">
        <f>ABS(B2-B1)</f>
        <v>6.2030324072111398E-2</v>
      </c>
    </row>
    <row r="3" spans="1:3" x14ac:dyDescent="0.25">
      <c r="A3" t="s">
        <v>806</v>
      </c>
      <c r="B3" s="21" t="str">
        <f t="shared" si="0"/>
        <v>2016/11/19 12:50:56.301</v>
      </c>
      <c r="C3" s="21">
        <f t="shared" ref="C3:C52" si="1">ABS(B3-B2)</f>
        <v>5.1388924475759268E-6</v>
      </c>
    </row>
    <row r="4" spans="1:3" x14ac:dyDescent="0.25">
      <c r="A4" t="s">
        <v>807</v>
      </c>
      <c r="B4" s="21" t="str">
        <f t="shared" si="0"/>
        <v>2016/11/19 12:50:56.433</v>
      </c>
      <c r="C4" s="21">
        <f t="shared" si="1"/>
        <v>1.527776475995779E-6</v>
      </c>
    </row>
    <row r="5" spans="1:3" x14ac:dyDescent="0.25">
      <c r="A5" t="s">
        <v>808</v>
      </c>
      <c r="B5" s="21" t="str">
        <f t="shared" si="0"/>
        <v>2016/11/19 12:53:56.457</v>
      </c>
      <c r="C5" s="21">
        <f t="shared" si="1"/>
        <v>2.0836111143580638E-3</v>
      </c>
    </row>
    <row r="6" spans="1:3" x14ac:dyDescent="0.25">
      <c r="A6" t="s">
        <v>809</v>
      </c>
      <c r="B6" s="21" t="str">
        <f t="shared" si="0"/>
        <v>2016/11/19 12:53:57.205</v>
      </c>
      <c r="C6" s="21">
        <f t="shared" si="1"/>
        <v>8.6574073066003621E-6</v>
      </c>
    </row>
    <row r="7" spans="1:3" x14ac:dyDescent="0.25">
      <c r="A7" t="s">
        <v>810</v>
      </c>
      <c r="B7" s="21" t="str">
        <f t="shared" si="0"/>
        <v>2016/11/19 13:53:21.581</v>
      </c>
      <c r="C7" s="21">
        <f t="shared" si="1"/>
        <v>4.125435184687376E-2</v>
      </c>
    </row>
    <row r="8" spans="1:3" x14ac:dyDescent="0.25">
      <c r="A8" t="s">
        <v>811</v>
      </c>
      <c r="B8" s="21" t="str">
        <f t="shared" si="0"/>
        <v>2016/11/19 13:53:22.622</v>
      </c>
      <c r="C8" s="21">
        <f t="shared" si="1"/>
        <v>1.204861473524943E-5</v>
      </c>
    </row>
    <row r="9" spans="1:3" x14ac:dyDescent="0.25">
      <c r="A9" t="s">
        <v>812</v>
      </c>
      <c r="B9" s="21" t="str">
        <f t="shared" si="0"/>
        <v>2016/11/19 14:45:19.457</v>
      </c>
      <c r="C9" s="21">
        <f t="shared" si="1"/>
        <v>3.607447916874662E-2</v>
      </c>
    </row>
    <row r="10" spans="1:3" x14ac:dyDescent="0.25">
      <c r="A10" t="s">
        <v>813</v>
      </c>
      <c r="B10" s="21" t="str">
        <f t="shared" si="0"/>
        <v>2016/11/19 14:45:20.206</v>
      </c>
      <c r="C10" s="21">
        <f t="shared" si="1"/>
        <v>8.6689760792069137E-6</v>
      </c>
    </row>
    <row r="11" spans="1:3" x14ac:dyDescent="0.25">
      <c r="A11" t="s">
        <v>814</v>
      </c>
      <c r="B11" s="21" t="str">
        <f t="shared" si="0"/>
        <v>2016/11/19 14:55:12.761</v>
      </c>
      <c r="C11" s="21">
        <f t="shared" si="1"/>
        <v>6.8582754684030078E-3</v>
      </c>
    </row>
    <row r="12" spans="1:3" x14ac:dyDescent="0.25">
      <c r="A12" t="s">
        <v>815</v>
      </c>
      <c r="B12" s="21" t="str">
        <f t="shared" si="0"/>
        <v>2016/11/19 14:55:13.239</v>
      </c>
      <c r="C12" s="21">
        <f t="shared" si="1"/>
        <v>5.5324053391814232E-6</v>
      </c>
    </row>
    <row r="13" spans="1:3" x14ac:dyDescent="0.25">
      <c r="A13" t="s">
        <v>816</v>
      </c>
      <c r="B13" s="21" t="str">
        <f t="shared" si="0"/>
        <v>2016/11/19 14:55:13.497</v>
      </c>
      <c r="C13" s="21">
        <f t="shared" si="1"/>
        <v>2.9861112125217915E-6</v>
      </c>
    </row>
    <row r="14" spans="1:3" x14ac:dyDescent="0.25">
      <c r="A14" t="s">
        <v>817</v>
      </c>
      <c r="B14" s="21" t="str">
        <f t="shared" si="0"/>
        <v>2016/11/19 18:04:16.805</v>
      </c>
      <c r="C14" s="21">
        <f t="shared" si="1"/>
        <v>0.13128828703338513</v>
      </c>
    </row>
    <row r="15" spans="1:3" x14ac:dyDescent="0.25">
      <c r="A15" t="s">
        <v>818</v>
      </c>
      <c r="B15" s="21" t="str">
        <f t="shared" si="0"/>
        <v>2016/11/19 18:04:16.935</v>
      </c>
      <c r="C15" s="21">
        <f t="shared" si="1"/>
        <v>1.5046316548250616E-6</v>
      </c>
    </row>
    <row r="16" spans="1:3" x14ac:dyDescent="0.25">
      <c r="A16" t="s">
        <v>819</v>
      </c>
      <c r="B16" s="21" t="str">
        <f t="shared" si="0"/>
        <v>2016/11/19 18:04:17.691</v>
      </c>
      <c r="C16" s="21">
        <f t="shared" si="1"/>
        <v>8.7500011431984603E-6</v>
      </c>
    </row>
    <row r="17" spans="1:3" x14ac:dyDescent="0.25">
      <c r="A17" t="s">
        <v>820</v>
      </c>
      <c r="B17" s="21" t="str">
        <f t="shared" si="0"/>
        <v>2016/11/19 18:15:48.750</v>
      </c>
      <c r="C17" s="21">
        <f t="shared" si="1"/>
        <v>7.9983680552686565E-3</v>
      </c>
    </row>
    <row r="18" spans="1:3" x14ac:dyDescent="0.25">
      <c r="A18" t="s">
        <v>821</v>
      </c>
      <c r="B18" s="21" t="str">
        <f t="shared" si="0"/>
        <v>2016/11/19 18:15:49.018</v>
      </c>
      <c r="C18" s="21">
        <f t="shared" si="1"/>
        <v>3.1018498702906072E-6</v>
      </c>
    </row>
    <row r="19" spans="1:3" x14ac:dyDescent="0.25">
      <c r="A19" t="s">
        <v>822</v>
      </c>
      <c r="B19" s="21" t="str">
        <f t="shared" si="0"/>
        <v>2016/11/19 18:15:49.393</v>
      </c>
      <c r="C19" s="21">
        <f t="shared" si="1"/>
        <v>4.3402760638855398E-6</v>
      </c>
    </row>
    <row r="20" spans="1:3" x14ac:dyDescent="0.25">
      <c r="A20" t="s">
        <v>823</v>
      </c>
      <c r="B20" s="21" t="str">
        <f t="shared" si="0"/>
        <v>2016/11/19 18:22:26.436</v>
      </c>
      <c r="C20" s="21">
        <f t="shared" si="1"/>
        <v>4.5954050947329961E-3</v>
      </c>
    </row>
    <row r="21" spans="1:3" x14ac:dyDescent="0.25">
      <c r="A21" t="s">
        <v>824</v>
      </c>
      <c r="B21" s="21" t="str">
        <f t="shared" si="0"/>
        <v>2016/11/19 18:22:27.184</v>
      </c>
      <c r="C21" s="21">
        <f t="shared" si="1"/>
        <v>8.6574073066003621E-6</v>
      </c>
    </row>
    <row r="22" spans="1:3" x14ac:dyDescent="0.25">
      <c r="A22" t="s">
        <v>825</v>
      </c>
      <c r="B22" s="21" t="str">
        <f t="shared" si="0"/>
        <v>2016/11/19 21:17:46.818</v>
      </c>
      <c r="C22" s="21">
        <f t="shared" si="1"/>
        <v>0.1217550231522182</v>
      </c>
    </row>
    <row r="23" spans="1:3" x14ac:dyDescent="0.25">
      <c r="A23" t="s">
        <v>826</v>
      </c>
      <c r="B23" s="21" t="str">
        <f t="shared" si="0"/>
        <v>2016/11/19 21:17:47.159</v>
      </c>
      <c r="C23" s="21">
        <f t="shared" si="1"/>
        <v>3.9467558963224292E-6</v>
      </c>
    </row>
    <row r="24" spans="1:3" x14ac:dyDescent="0.25">
      <c r="A24" t="s">
        <v>827</v>
      </c>
      <c r="B24" s="21" t="str">
        <f t="shared" si="0"/>
        <v>2016/11/19 21:17:47.537</v>
      </c>
      <c r="C24" s="21">
        <f t="shared" si="1"/>
        <v>4.3750042095780373E-6</v>
      </c>
    </row>
    <row r="25" spans="1:3" x14ac:dyDescent="0.25">
      <c r="A25" t="s">
        <v>828</v>
      </c>
      <c r="B25" s="21" t="str">
        <f t="shared" si="0"/>
        <v>2016/11/19 22:33:20.008</v>
      </c>
      <c r="C25" s="21">
        <f t="shared" si="1"/>
        <v>5.2459155085671227E-2</v>
      </c>
    </row>
    <row r="26" spans="1:3" x14ac:dyDescent="0.25">
      <c r="A26" t="s">
        <v>829</v>
      </c>
      <c r="B26" s="21" t="str">
        <f t="shared" si="0"/>
        <v>2016/11/19 22:33:20.478</v>
      </c>
      <c r="C26" s="21">
        <f t="shared" si="1"/>
        <v>5.4398187785409391E-6</v>
      </c>
    </row>
    <row r="27" spans="1:3" x14ac:dyDescent="0.25">
      <c r="A27" t="s">
        <v>830</v>
      </c>
      <c r="B27" s="21" t="str">
        <f t="shared" si="0"/>
        <v>2016/11/19 22:33:20.831</v>
      </c>
      <c r="C27" s="21">
        <f t="shared" si="1"/>
        <v>4.0856466512195766E-6</v>
      </c>
    </row>
    <row r="28" spans="1:3" x14ac:dyDescent="0.25">
      <c r="A28" t="s">
        <v>831</v>
      </c>
      <c r="B28" s="21" t="str">
        <f t="shared" si="0"/>
        <v>2016/11/19 23:27:07.302</v>
      </c>
      <c r="C28" s="21">
        <f t="shared" si="1"/>
        <v>3.7343414354836568E-2</v>
      </c>
    </row>
    <row r="29" spans="1:3" x14ac:dyDescent="0.25">
      <c r="A29" t="s">
        <v>832</v>
      </c>
      <c r="B29" s="21" t="str">
        <f t="shared" si="0"/>
        <v>2016/11/19 23:27:07.475</v>
      </c>
      <c r="C29" s="21">
        <f t="shared" si="1"/>
        <v>2.0023144315928221E-6</v>
      </c>
    </row>
    <row r="30" spans="1:3" x14ac:dyDescent="0.25">
      <c r="A30" t="s">
        <v>833</v>
      </c>
      <c r="B30" s="21" t="str">
        <f t="shared" si="0"/>
        <v>2016/11/19 23:27:08.491</v>
      </c>
      <c r="C30" s="21">
        <f t="shared" si="1"/>
        <v>1.1759257176890969E-5</v>
      </c>
    </row>
    <row r="31" spans="1:3" x14ac:dyDescent="0.25">
      <c r="A31" t="s">
        <v>834</v>
      </c>
      <c r="B31" s="21" t="str">
        <f t="shared" si="0"/>
        <v>2016/11/20 01:23:26.480</v>
      </c>
      <c r="C31" s="21">
        <f t="shared" si="1"/>
        <v>8.0763761572598014E-2</v>
      </c>
    </row>
    <row r="32" spans="1:3" x14ac:dyDescent="0.25">
      <c r="A32" t="s">
        <v>835</v>
      </c>
      <c r="B32" s="21" t="str">
        <f t="shared" si="0"/>
        <v>2016/11/20 01:23:26.832</v>
      </c>
      <c r="C32" s="21">
        <f t="shared" si="1"/>
        <v>4.074077878613025E-6</v>
      </c>
    </row>
    <row r="33" spans="1:3" x14ac:dyDescent="0.25">
      <c r="A33" t="s">
        <v>836</v>
      </c>
      <c r="B33" s="21" t="str">
        <f t="shared" si="0"/>
        <v>2016/11/20 01:23:27.005</v>
      </c>
      <c r="C33" s="21">
        <f t="shared" si="1"/>
        <v>2.0023144315928221E-6</v>
      </c>
    </row>
    <row r="34" spans="1:3" x14ac:dyDescent="0.25">
      <c r="A34" t="s">
        <v>837</v>
      </c>
      <c r="B34" s="21" t="str">
        <f t="shared" si="0"/>
        <v>2016/11/20 02:18:55.474</v>
      </c>
      <c r="C34" s="21">
        <f t="shared" si="1"/>
        <v>3.8523946757777594E-2</v>
      </c>
    </row>
    <row r="35" spans="1:3" x14ac:dyDescent="0.25">
      <c r="A35" t="s">
        <v>838</v>
      </c>
      <c r="B35" s="21" t="str">
        <f t="shared" si="0"/>
        <v>2016/11/20 02:18:55.622</v>
      </c>
      <c r="C35" s="21">
        <f t="shared" si="1"/>
        <v>1.7129641491919756E-6</v>
      </c>
    </row>
    <row r="36" spans="1:3" x14ac:dyDescent="0.25">
      <c r="A36" t="s">
        <v>839</v>
      </c>
      <c r="B36" s="21" t="str">
        <f t="shared" si="0"/>
        <v>2016/11/20 02:18:56.874</v>
      </c>
      <c r="C36" s="21">
        <f t="shared" si="1"/>
        <v>1.4490738976746798E-5</v>
      </c>
    </row>
    <row r="37" spans="1:3" x14ac:dyDescent="0.25">
      <c r="A37" t="s">
        <v>840</v>
      </c>
      <c r="B37" s="21" t="str">
        <f t="shared" si="0"/>
        <v>2016/11/20 04:26:37.495</v>
      </c>
      <c r="C37" s="21">
        <f t="shared" si="1"/>
        <v>8.8664594906731509E-2</v>
      </c>
    </row>
    <row r="38" spans="1:3" x14ac:dyDescent="0.25">
      <c r="A38" t="s">
        <v>841</v>
      </c>
      <c r="B38" s="21" t="str">
        <f t="shared" si="0"/>
        <v>2016/11/20 04:26:37.847</v>
      </c>
      <c r="C38" s="21">
        <f t="shared" si="1"/>
        <v>4.074077878613025E-6</v>
      </c>
    </row>
    <row r="39" spans="1:3" x14ac:dyDescent="0.25">
      <c r="A39" t="s">
        <v>842</v>
      </c>
      <c r="B39" s="21" t="str">
        <f t="shared" si="0"/>
        <v>2016/11/20 04:26:38.024</v>
      </c>
      <c r="C39" s="21">
        <f t="shared" si="1"/>
        <v>2.0486113498918712E-6</v>
      </c>
    </row>
    <row r="40" spans="1:3" x14ac:dyDescent="0.25">
      <c r="A40" t="s">
        <v>843</v>
      </c>
      <c r="B40" s="21" t="str">
        <f t="shared" si="0"/>
        <v>2016/11/20 04:27:46.487</v>
      </c>
      <c r="C40" s="21">
        <f t="shared" si="1"/>
        <v>7.9239583283197135E-4</v>
      </c>
    </row>
    <row r="41" spans="1:3" x14ac:dyDescent="0.25">
      <c r="A41" t="s">
        <v>844</v>
      </c>
      <c r="B41" s="21" t="str">
        <f t="shared" si="0"/>
        <v>2016/11/20 05:26:24.401</v>
      </c>
      <c r="C41" s="21">
        <f t="shared" si="1"/>
        <v>4.0716597221035045E-2</v>
      </c>
    </row>
    <row r="42" spans="1:3" x14ac:dyDescent="0.25">
      <c r="A42" t="s">
        <v>845</v>
      </c>
      <c r="B42" s="21" t="str">
        <f t="shared" si="0"/>
        <v>2016/11/20 05:26:25.022</v>
      </c>
      <c r="C42" s="21">
        <f t="shared" si="1"/>
        <v>7.1874965215101838E-6</v>
      </c>
    </row>
    <row r="43" spans="1:3" x14ac:dyDescent="0.25">
      <c r="A43" t="s">
        <v>846</v>
      </c>
      <c r="B43" s="21" t="str">
        <f t="shared" si="0"/>
        <v>2016/11/20 05:26:25.747</v>
      </c>
      <c r="C43" s="21">
        <f t="shared" si="1"/>
        <v>8.3912091213278472E-6</v>
      </c>
    </row>
    <row r="44" spans="1:3" x14ac:dyDescent="0.25">
      <c r="A44" t="s">
        <v>847</v>
      </c>
      <c r="B44" s="21" t="str">
        <f t="shared" si="0"/>
        <v>2016/11/20 05:29:11.844</v>
      </c>
      <c r="C44" s="21">
        <f t="shared" si="1"/>
        <v>1.9224189818487503E-3</v>
      </c>
    </row>
    <row r="45" spans="1:3" x14ac:dyDescent="0.25">
      <c r="A45" t="s">
        <v>848</v>
      </c>
      <c r="B45" s="21" t="str">
        <f t="shared" si="0"/>
        <v>2016/11/20 05:29:13.009</v>
      </c>
      <c r="C45" s="21">
        <f t="shared" si="1"/>
        <v>1.3483790098689497E-5</v>
      </c>
    </row>
    <row r="46" spans="1:3" x14ac:dyDescent="0.25">
      <c r="A46" t="s">
        <v>849</v>
      </c>
      <c r="B46" s="21" t="str">
        <f t="shared" si="0"/>
        <v>2016/11/20 05:29:13.107</v>
      </c>
      <c r="C46" s="21">
        <f t="shared" si="1"/>
        <v>1.1342635843902826E-6</v>
      </c>
    </row>
    <row r="47" spans="1:3" x14ac:dyDescent="0.25">
      <c r="A47" t="s">
        <v>850</v>
      </c>
      <c r="B47" s="21" t="str">
        <f t="shared" si="0"/>
        <v>2016/11/20 05:43:28.629</v>
      </c>
      <c r="C47" s="21">
        <f t="shared" si="1"/>
        <v>9.9018749970127828E-3</v>
      </c>
    </row>
    <row r="48" spans="1:3" x14ac:dyDescent="0.25">
      <c r="A48" t="s">
        <v>851</v>
      </c>
      <c r="B48" s="21" t="str">
        <f t="shared" si="0"/>
        <v>2016/11/20 05:43:28.727</v>
      </c>
      <c r="C48" s="21">
        <f t="shared" si="1"/>
        <v>1.1342635843902826E-6</v>
      </c>
    </row>
    <row r="49" spans="1:3" x14ac:dyDescent="0.25">
      <c r="A49" t="s">
        <v>852</v>
      </c>
      <c r="B49" s="21" t="str">
        <f t="shared" si="0"/>
        <v>2016/11/20 05:43:29.641</v>
      </c>
      <c r="C49" s="21">
        <f t="shared" si="1"/>
        <v>1.0578703950159252E-5</v>
      </c>
    </row>
    <row r="50" spans="1:3" x14ac:dyDescent="0.25">
      <c r="A50" t="s">
        <v>853</v>
      </c>
      <c r="B50" s="21" t="str">
        <f t="shared" si="0"/>
        <v>2016/11/20 09:18:10.756</v>
      </c>
      <c r="C50" s="21">
        <f t="shared" si="1"/>
        <v>0.14908697916689562</v>
      </c>
    </row>
    <row r="51" spans="1:3" x14ac:dyDescent="0.25">
      <c r="A51" t="s">
        <v>854</v>
      </c>
      <c r="B51" s="21" t="str">
        <f t="shared" si="0"/>
        <v>2016/11/20 09:18:11.014</v>
      </c>
      <c r="C51" s="21">
        <f t="shared" si="1"/>
        <v>2.9861112125217915E-6</v>
      </c>
    </row>
    <row r="52" spans="1:3" x14ac:dyDescent="0.25">
      <c r="A52" t="s">
        <v>855</v>
      </c>
      <c r="B52" s="21" t="str">
        <f t="shared" si="0"/>
        <v>2016/11/20 09:18:11.395</v>
      </c>
      <c r="C52" s="21">
        <f t="shared" si="1"/>
        <v>4.4097178033553064E-6</v>
      </c>
    </row>
    <row r="53" spans="1:3" x14ac:dyDescent="0.25">
      <c r="B53" s="21"/>
      <c r="C53" s="21"/>
    </row>
    <row r="54" spans="1:3" x14ac:dyDescent="0.25">
      <c r="B54" s="21"/>
      <c r="C54" s="21"/>
    </row>
    <row r="55" spans="1:3" x14ac:dyDescent="0.25">
      <c r="B55" s="21"/>
      <c r="C55" s="21"/>
    </row>
    <row r="56" spans="1:3" x14ac:dyDescent="0.25">
      <c r="B56" s="21"/>
      <c r="C56" s="21"/>
    </row>
    <row r="57" spans="1:3" x14ac:dyDescent="0.25">
      <c r="B57" s="21"/>
      <c r="C57" s="21"/>
    </row>
    <row r="58" spans="1:3" x14ac:dyDescent="0.25">
      <c r="B58" s="21"/>
      <c r="C58" s="21"/>
    </row>
    <row r="59" spans="1:3" x14ac:dyDescent="0.25">
      <c r="B59" s="21"/>
      <c r="C59" s="21"/>
    </row>
    <row r="60" spans="1:3" x14ac:dyDescent="0.25">
      <c r="B60" s="21"/>
      <c r="C60" s="21"/>
    </row>
    <row r="61" spans="1:3" x14ac:dyDescent="0.25">
      <c r="B61" s="21"/>
      <c r="C61" s="21"/>
    </row>
    <row r="62" spans="1:3" x14ac:dyDescent="0.25">
      <c r="B62" s="21"/>
      <c r="C62" s="21"/>
    </row>
    <row r="63" spans="1:3" x14ac:dyDescent="0.25">
      <c r="B63" s="21"/>
      <c r="C63" s="21"/>
    </row>
    <row r="64" spans="1:3" x14ac:dyDescent="0.25">
      <c r="B64" s="21"/>
      <c r="C64" s="21"/>
    </row>
    <row r="65" spans="2:3" x14ac:dyDescent="0.25">
      <c r="B65" s="21"/>
      <c r="C65" s="21"/>
    </row>
    <row r="66" spans="2:3" x14ac:dyDescent="0.25">
      <c r="B66" s="21"/>
      <c r="C66" s="21"/>
    </row>
    <row r="67" spans="2:3" x14ac:dyDescent="0.25">
      <c r="B67" s="21"/>
      <c r="C67" s="21"/>
    </row>
    <row r="68" spans="2:3" x14ac:dyDescent="0.25">
      <c r="B68" s="21"/>
      <c r="C68" s="21"/>
    </row>
    <row r="69" spans="2:3" x14ac:dyDescent="0.25">
      <c r="B69" s="21"/>
      <c r="C69" s="21"/>
    </row>
    <row r="70" spans="2:3" x14ac:dyDescent="0.25">
      <c r="B70" s="21"/>
      <c r="C70" s="21"/>
    </row>
    <row r="71" spans="2:3" x14ac:dyDescent="0.25">
      <c r="B71" s="21"/>
      <c r="C71" s="21"/>
    </row>
    <row r="72" spans="2:3" x14ac:dyDescent="0.25">
      <c r="B72" s="21"/>
      <c r="C72" s="21"/>
    </row>
    <row r="73" spans="2:3" x14ac:dyDescent="0.25">
      <c r="B73" s="21"/>
      <c r="C73" s="21"/>
    </row>
    <row r="74" spans="2:3" x14ac:dyDescent="0.25">
      <c r="B74" s="21"/>
      <c r="C74" s="21"/>
    </row>
    <row r="75" spans="2:3" x14ac:dyDescent="0.25">
      <c r="B75" s="21"/>
      <c r="C75" s="21"/>
    </row>
    <row r="76" spans="2:3" x14ac:dyDescent="0.25">
      <c r="B76" s="21"/>
      <c r="C76" s="21"/>
    </row>
    <row r="77" spans="2:3" x14ac:dyDescent="0.25">
      <c r="B77" s="21"/>
      <c r="C77" s="21"/>
    </row>
    <row r="78" spans="2:3" x14ac:dyDescent="0.25">
      <c r="B78" s="21"/>
      <c r="C78" s="21"/>
    </row>
    <row r="79" spans="2:3" x14ac:dyDescent="0.25">
      <c r="B79" s="21"/>
      <c r="C79" s="21"/>
    </row>
    <row r="80" spans="2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2016-11-21T20:52:49Z</dcterms:modified>
</cp:coreProperties>
</file>