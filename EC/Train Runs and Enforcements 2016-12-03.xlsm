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8" i="9" l="1"/>
  <c r="C99" i="9" s="1"/>
  <c r="C98" i="9"/>
  <c r="B99" i="9"/>
  <c r="B100" i="9"/>
  <c r="C101" i="9" s="1"/>
  <c r="C100" i="9"/>
  <c r="B101" i="9"/>
  <c r="B102" i="9"/>
  <c r="C103" i="9" s="1"/>
  <c r="C102" i="9"/>
  <c r="B103" i="9"/>
  <c r="B104" i="9"/>
  <c r="C105" i="9" s="1"/>
  <c r="C104" i="9"/>
  <c r="B105" i="9"/>
  <c r="B106" i="9"/>
  <c r="C107" i="9" s="1"/>
  <c r="C106" i="9"/>
  <c r="B107" i="9"/>
  <c r="B108" i="9"/>
  <c r="C108" i="9"/>
  <c r="K14" i="1" l="1"/>
  <c r="L14" i="1"/>
  <c r="M14" i="1"/>
  <c r="N14" i="1" s="1"/>
  <c r="V14" i="1"/>
  <c r="Y14" i="1"/>
  <c r="Z14" i="1"/>
  <c r="AB14" i="1"/>
  <c r="AC14" i="1"/>
  <c r="AD14" i="1"/>
  <c r="AG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AA16" i="1" s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P21" i="1" s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S26" i="3" s="1"/>
  <c r="Y26" i="1"/>
  <c r="Z26" i="1"/>
  <c r="AB26" i="1"/>
  <c r="AC26" i="1"/>
  <c r="AD26" i="1"/>
  <c r="AG26" i="1" s="1"/>
  <c r="AE26" i="1"/>
  <c r="R26" i="3" s="1"/>
  <c r="AF26" i="1"/>
  <c r="AH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S15" i="3" s="1"/>
  <c r="Y35" i="1"/>
  <c r="Z35" i="1"/>
  <c r="AB35" i="1"/>
  <c r="AC35" i="1"/>
  <c r="AD35" i="1"/>
  <c r="X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K42" i="1"/>
  <c r="L42" i="1"/>
  <c r="M42" i="1"/>
  <c r="N42" i="1" s="1"/>
  <c r="V42" i="1"/>
  <c r="S10" i="3" s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V44" i="1"/>
  <c r="S18" i="3" s="1"/>
  <c r="Y44" i="1"/>
  <c r="Z44" i="1"/>
  <c r="AB44" i="1"/>
  <c r="AC44" i="1"/>
  <c r="AD44" i="1"/>
  <c r="T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S21" i="3" s="1"/>
  <c r="Y49" i="1"/>
  <c r="Z49" i="1"/>
  <c r="AB49" i="1"/>
  <c r="AC49" i="1"/>
  <c r="AD49" i="1"/>
  <c r="AG49" i="1" s="1"/>
  <c r="AE49" i="1"/>
  <c r="R21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Y54" i="1"/>
  <c r="AA54" i="1" s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P56" i="1" s="1"/>
  <c r="V56" i="1"/>
  <c r="S20" i="3" s="1"/>
  <c r="Y56" i="1"/>
  <c r="Z56" i="1"/>
  <c r="AB56" i="1"/>
  <c r="AC56" i="1"/>
  <c r="AD56" i="1"/>
  <c r="T56" i="1" s="1"/>
  <c r="AE56" i="1"/>
  <c r="R19" i="3" s="1"/>
  <c r="AF56" i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S24" i="3" s="1"/>
  <c r="Y64" i="1"/>
  <c r="Z64" i="1"/>
  <c r="AB64" i="1"/>
  <c r="AC64" i="1"/>
  <c r="AD64" i="1"/>
  <c r="T64" i="1" s="1"/>
  <c r="AE64" i="1"/>
  <c r="R9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S11" i="3" s="1"/>
  <c r="Y71" i="1"/>
  <c r="Z71" i="1"/>
  <c r="AB71" i="1"/>
  <c r="AC71" i="1"/>
  <c r="AD71" i="1"/>
  <c r="AG71" i="1" s="1"/>
  <c r="AE71" i="1"/>
  <c r="R11" i="3" s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V76" i="1"/>
  <c r="S22" i="3" s="1"/>
  <c r="Y76" i="1"/>
  <c r="Z76" i="1"/>
  <c r="AB76" i="1"/>
  <c r="AC76" i="1"/>
  <c r="AD76" i="1"/>
  <c r="T76" i="1" s="1"/>
  <c r="AE76" i="1"/>
  <c r="R22" i="3" s="1"/>
  <c r="AF76" i="1"/>
  <c r="AH76" i="1"/>
  <c r="K77" i="1"/>
  <c r="L77" i="1"/>
  <c r="M77" i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S33" i="3" s="1"/>
  <c r="Y91" i="1"/>
  <c r="Z91" i="1"/>
  <c r="AI91" i="1" s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K162" i="1"/>
  <c r="L162" i="1"/>
  <c r="M162" i="1"/>
  <c r="N162" i="1" s="1"/>
  <c r="V162" i="1"/>
  <c r="Y162" i="1"/>
  <c r="Z162" i="1"/>
  <c r="AB162" i="1"/>
  <c r="AC162" i="1"/>
  <c r="AD162" i="1"/>
  <c r="X162" i="1" s="1"/>
  <c r="AE162" i="1"/>
  <c r="AF162" i="1"/>
  <c r="AH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8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99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00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3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0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05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6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07" i="1"/>
  <c r="K173" i="1"/>
  <c r="L173" i="1"/>
  <c r="M173" i="1"/>
  <c r="N173" i="1" s="1"/>
  <c r="V173" i="1"/>
  <c r="S38" i="3" s="1"/>
  <c r="Y173" i="1"/>
  <c r="Z173" i="1"/>
  <c r="AB173" i="1"/>
  <c r="AC173" i="1"/>
  <c r="AD173" i="1"/>
  <c r="AG173" i="1" s="1"/>
  <c r="AE173" i="1"/>
  <c r="R38" i="3" s="1"/>
  <c r="AF173" i="1"/>
  <c r="AH108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09" i="1"/>
  <c r="K175" i="1"/>
  <c r="L175" i="1"/>
  <c r="M175" i="1"/>
  <c r="N175" i="1" s="1"/>
  <c r="V175" i="1"/>
  <c r="Y175" i="1"/>
  <c r="Z175" i="1"/>
  <c r="AB175" i="1"/>
  <c r="AC175" i="1"/>
  <c r="AD175" i="1"/>
  <c r="X175" i="1" s="1"/>
  <c r="AE175" i="1"/>
  <c r="AF175" i="1"/>
  <c r="AH110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1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2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13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14" i="1"/>
  <c r="K180" i="1"/>
  <c r="L180" i="1"/>
  <c r="M180" i="1"/>
  <c r="N180" i="1" s="1"/>
  <c r="V180" i="1"/>
  <c r="S40" i="3" s="1"/>
  <c r="Y180" i="1"/>
  <c r="Z180" i="1"/>
  <c r="AB180" i="1"/>
  <c r="AC180" i="1"/>
  <c r="AD180" i="1"/>
  <c r="AG180" i="1" s="1"/>
  <c r="AE180" i="1"/>
  <c r="AF180" i="1"/>
  <c r="AH11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18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K185" i="1"/>
  <c r="L185" i="1"/>
  <c r="M185" i="1"/>
  <c r="N185" i="1" s="1"/>
  <c r="V185" i="1"/>
  <c r="S43" i="3" s="1"/>
  <c r="Y185" i="1"/>
  <c r="Z185" i="1"/>
  <c r="AB185" i="1"/>
  <c r="AC185" i="1"/>
  <c r="AD185" i="1"/>
  <c r="T185" i="1" s="1"/>
  <c r="AE185" i="1"/>
  <c r="R43" i="3" s="1"/>
  <c r="AF185" i="1"/>
  <c r="AH121" i="1"/>
  <c r="K186" i="1"/>
  <c r="L186" i="1"/>
  <c r="M186" i="1"/>
  <c r="N186" i="1" s="1"/>
  <c r="V186" i="1"/>
  <c r="S36" i="3" s="1"/>
  <c r="Y186" i="1"/>
  <c r="Z186" i="1"/>
  <c r="AB186" i="1"/>
  <c r="AC186" i="1"/>
  <c r="AD186" i="1"/>
  <c r="T186" i="1" s="1"/>
  <c r="AE186" i="1"/>
  <c r="R36" i="3" s="1"/>
  <c r="AF186" i="1"/>
  <c r="AH122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3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124" i="1"/>
  <c r="K189" i="1"/>
  <c r="L189" i="1"/>
  <c r="M189" i="1"/>
  <c r="N189" i="1" s="1"/>
  <c r="V189" i="1"/>
  <c r="S41" i="3" s="1"/>
  <c r="Y189" i="1"/>
  <c r="Z189" i="1"/>
  <c r="AB189" i="1"/>
  <c r="AC189" i="1"/>
  <c r="AD189" i="1"/>
  <c r="T189" i="1" s="1"/>
  <c r="AE189" i="1"/>
  <c r="R41" i="3" s="1"/>
  <c r="AF189" i="1"/>
  <c r="AH125" i="1"/>
  <c r="K190" i="1"/>
  <c r="L190" i="1"/>
  <c r="M190" i="1"/>
  <c r="N190" i="1" s="1"/>
  <c r="V190" i="1"/>
  <c r="S37" i="3" s="1"/>
  <c r="Y190" i="1"/>
  <c r="Z190" i="1"/>
  <c r="AB190" i="1"/>
  <c r="AC190" i="1"/>
  <c r="AD190" i="1"/>
  <c r="AE190" i="1"/>
  <c r="R45" i="3" s="1"/>
  <c r="AF190" i="1"/>
  <c r="AH126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27" i="1"/>
  <c r="K191" i="1"/>
  <c r="L191" i="1"/>
  <c r="M191" i="1"/>
  <c r="N191" i="1" s="1"/>
  <c r="V191" i="1"/>
  <c r="S42" i="3" s="1"/>
  <c r="Y191" i="1"/>
  <c r="Z191" i="1"/>
  <c r="AB191" i="1"/>
  <c r="AC191" i="1"/>
  <c r="AD191" i="1"/>
  <c r="AG191" i="1" s="1"/>
  <c r="AE191" i="1"/>
  <c r="AF191" i="1"/>
  <c r="AH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K193" i="1"/>
  <c r="L193" i="1"/>
  <c r="M193" i="1"/>
  <c r="N193" i="1" s="1"/>
  <c r="V193" i="1"/>
  <c r="S39" i="3" s="1"/>
  <c r="Y193" i="1"/>
  <c r="Z193" i="1"/>
  <c r="AB193" i="1"/>
  <c r="AC193" i="1"/>
  <c r="AD193" i="1"/>
  <c r="T193" i="1" s="1"/>
  <c r="AE193" i="1"/>
  <c r="R39" i="3" s="1"/>
  <c r="AF193" i="1"/>
  <c r="AH130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AH131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K102" i="1"/>
  <c r="L102" i="1"/>
  <c r="M102" i="1"/>
  <c r="N102" i="1" s="1"/>
  <c r="V102" i="1"/>
  <c r="S25" i="3" s="1"/>
  <c r="Y102" i="1"/>
  <c r="Z102" i="1"/>
  <c r="AB102" i="1"/>
  <c r="AC102" i="1"/>
  <c r="AD102" i="1"/>
  <c r="AG102" i="1" s="1"/>
  <c r="AE102" i="1"/>
  <c r="R25" i="3" s="1"/>
  <c r="AF102" i="1"/>
  <c r="AH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K104" i="1"/>
  <c r="L104" i="1"/>
  <c r="M104" i="1"/>
  <c r="N104" i="1" s="1"/>
  <c r="V104" i="1"/>
  <c r="S27" i="3" s="1"/>
  <c r="Y104" i="1"/>
  <c r="Z104" i="1"/>
  <c r="AB104" i="1"/>
  <c r="AC104" i="1"/>
  <c r="AD104" i="1"/>
  <c r="T104" i="1" s="1"/>
  <c r="AE104" i="1"/>
  <c r="R27" i="3" s="1"/>
  <c r="AF104" i="1"/>
  <c r="AH13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3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42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43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44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5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46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7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48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49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50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51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2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3" i="1"/>
  <c r="K120" i="1"/>
  <c r="L120" i="1"/>
  <c r="M120" i="1"/>
  <c r="N120" i="1" s="1"/>
  <c r="V120" i="1"/>
  <c r="S7" i="3" s="1"/>
  <c r="Y120" i="1"/>
  <c r="Z120" i="1"/>
  <c r="AB120" i="1"/>
  <c r="AC120" i="1"/>
  <c r="AD120" i="1"/>
  <c r="T120" i="1" s="1"/>
  <c r="AE120" i="1"/>
  <c r="R7" i="3" s="1"/>
  <c r="AF120" i="1"/>
  <c r="AH154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5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6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7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58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59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0" i="1"/>
  <c r="K128" i="1"/>
  <c r="L128" i="1"/>
  <c r="M128" i="1"/>
  <c r="P128" i="1" s="1"/>
  <c r="V128" i="1"/>
  <c r="Y128" i="1"/>
  <c r="Z128" i="1"/>
  <c r="AB128" i="1"/>
  <c r="AC128" i="1"/>
  <c r="AD128" i="1"/>
  <c r="AE128" i="1"/>
  <c r="AF128" i="1"/>
  <c r="AH161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2" i="1"/>
  <c r="K130" i="1"/>
  <c r="L130" i="1"/>
  <c r="M130" i="1"/>
  <c r="N130" i="1" s="1"/>
  <c r="V130" i="1"/>
  <c r="S14" i="3" s="1"/>
  <c r="Y130" i="1"/>
  <c r="Z130" i="1"/>
  <c r="AB130" i="1"/>
  <c r="AC130" i="1"/>
  <c r="AD130" i="1"/>
  <c r="T130" i="1" s="1"/>
  <c r="AE130" i="1"/>
  <c r="R14" i="3" s="1"/>
  <c r="AF130" i="1"/>
  <c r="AH163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4" i="1"/>
  <c r="K132" i="1"/>
  <c r="L132" i="1"/>
  <c r="M132" i="1"/>
  <c r="N132" i="1" s="1"/>
  <c r="V132" i="1"/>
  <c r="S12" i="3" s="1"/>
  <c r="Y132" i="1"/>
  <c r="Z132" i="1"/>
  <c r="AB132" i="1"/>
  <c r="AC132" i="1"/>
  <c r="AD132" i="1"/>
  <c r="T132" i="1" s="1"/>
  <c r="AE132" i="1"/>
  <c r="R28" i="3" s="1"/>
  <c r="AF132" i="1"/>
  <c r="AH165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6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7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0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1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2" i="1"/>
  <c r="K140" i="1"/>
  <c r="L140" i="1"/>
  <c r="M140" i="1"/>
  <c r="N140" i="1" s="1"/>
  <c r="V140" i="1"/>
  <c r="S29" i="3" s="1"/>
  <c r="Y140" i="1"/>
  <c r="Z140" i="1"/>
  <c r="AB140" i="1"/>
  <c r="AC140" i="1"/>
  <c r="AD140" i="1"/>
  <c r="T140" i="1" s="1"/>
  <c r="AE140" i="1"/>
  <c r="R29" i="3" s="1"/>
  <c r="AF140" i="1"/>
  <c r="AH173" i="1"/>
  <c r="K141" i="1"/>
  <c r="L141" i="1"/>
  <c r="M141" i="1"/>
  <c r="P141" i="1" s="1"/>
  <c r="V141" i="1"/>
  <c r="Y141" i="1"/>
  <c r="Z141" i="1"/>
  <c r="AB141" i="1"/>
  <c r="AC141" i="1"/>
  <c r="AD141" i="1"/>
  <c r="T141" i="1" s="1"/>
  <c r="AE141" i="1"/>
  <c r="AF141" i="1"/>
  <c r="AH174" i="1"/>
  <c r="AH175" i="1"/>
  <c r="AH176" i="1"/>
  <c r="K142" i="1"/>
  <c r="L142" i="1"/>
  <c r="M142" i="1"/>
  <c r="N142" i="1" s="1"/>
  <c r="V142" i="1"/>
  <c r="S30" i="3" s="1"/>
  <c r="Y142" i="1"/>
  <c r="Z142" i="1"/>
  <c r="AB142" i="1"/>
  <c r="AC142" i="1"/>
  <c r="AD142" i="1"/>
  <c r="T142" i="1" s="1"/>
  <c r="AE142" i="1"/>
  <c r="AF142" i="1"/>
  <c r="AH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1" i="1"/>
  <c r="K147" i="1"/>
  <c r="L147" i="1"/>
  <c r="M147" i="1"/>
  <c r="N147" i="1" s="1"/>
  <c r="V147" i="1"/>
  <c r="S34" i="3" s="1"/>
  <c r="Y147" i="1"/>
  <c r="Z147" i="1"/>
  <c r="AB147" i="1"/>
  <c r="AC147" i="1"/>
  <c r="AD147" i="1"/>
  <c r="T147" i="1" s="1"/>
  <c r="AE147" i="1"/>
  <c r="R34" i="3" s="1"/>
  <c r="AF147" i="1"/>
  <c r="AH182" i="1"/>
  <c r="K148" i="1"/>
  <c r="L148" i="1"/>
  <c r="M148" i="1"/>
  <c r="N148" i="1" s="1"/>
  <c r="V148" i="1"/>
  <c r="S31" i="3" s="1"/>
  <c r="Y148" i="1"/>
  <c r="Z148" i="1"/>
  <c r="AB148" i="1"/>
  <c r="AC148" i="1"/>
  <c r="AD148" i="1"/>
  <c r="AE148" i="1"/>
  <c r="R31" i="3" s="1"/>
  <c r="AF148" i="1"/>
  <c r="AH183" i="1"/>
  <c r="K149" i="1"/>
  <c r="L149" i="1"/>
  <c r="M149" i="1"/>
  <c r="N149" i="1" s="1"/>
  <c r="V149" i="1"/>
  <c r="S35" i="3" s="1"/>
  <c r="Y149" i="1"/>
  <c r="Z149" i="1"/>
  <c r="AB149" i="1"/>
  <c r="AC149" i="1"/>
  <c r="AD149" i="1"/>
  <c r="T149" i="1" s="1"/>
  <c r="AE149" i="1"/>
  <c r="R35" i="3" s="1"/>
  <c r="AF149" i="1"/>
  <c r="AH184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5" i="1"/>
  <c r="K151" i="1"/>
  <c r="L151" i="1"/>
  <c r="M151" i="1"/>
  <c r="N151" i="1" s="1"/>
  <c r="V151" i="1"/>
  <c r="S17" i="3" s="1"/>
  <c r="Y151" i="1"/>
  <c r="Z151" i="1"/>
  <c r="AB151" i="1"/>
  <c r="AC151" i="1"/>
  <c r="AD151" i="1"/>
  <c r="T151" i="1" s="1"/>
  <c r="AE151" i="1"/>
  <c r="R17" i="3" s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87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0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3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94" i="1"/>
  <c r="AH195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198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K213" i="1"/>
  <c r="L213" i="1"/>
  <c r="M213" i="1"/>
  <c r="N213" i="1" s="1"/>
  <c r="V213" i="1"/>
  <c r="S47" i="3" s="1"/>
  <c r="Y213" i="1"/>
  <c r="Z213" i="1"/>
  <c r="AB213" i="1"/>
  <c r="AC213" i="1"/>
  <c r="AD213" i="1"/>
  <c r="T213" i="1" s="1"/>
  <c r="AE213" i="1"/>
  <c r="R47" i="3" s="1"/>
  <c r="AF213" i="1"/>
  <c r="AH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M8" i="3"/>
  <c r="R8" i="3"/>
  <c r="S8" i="3"/>
  <c r="U8" i="3"/>
  <c r="T8" i="3" s="1"/>
  <c r="V8" i="3"/>
  <c r="W8" i="3"/>
  <c r="X8" i="3"/>
  <c r="M15" i="3"/>
  <c r="R15" i="3"/>
  <c r="U15" i="3"/>
  <c r="T15" i="3" s="1"/>
  <c r="V15" i="3"/>
  <c r="W15" i="3"/>
  <c r="X15" i="3"/>
  <c r="M26" i="3"/>
  <c r="U26" i="3"/>
  <c r="T26" i="3" s="1"/>
  <c r="V26" i="3"/>
  <c r="W26" i="3"/>
  <c r="X26" i="3"/>
  <c r="M16" i="3"/>
  <c r="R16" i="3"/>
  <c r="U16" i="3"/>
  <c r="T16" i="3" s="1"/>
  <c r="V16" i="3"/>
  <c r="W16" i="3"/>
  <c r="X16" i="3"/>
  <c r="M10" i="3"/>
  <c r="R10" i="3"/>
  <c r="U10" i="3"/>
  <c r="T10" i="3" s="1"/>
  <c r="V10" i="3"/>
  <c r="W10" i="3"/>
  <c r="X10" i="3"/>
  <c r="M18" i="3"/>
  <c r="R18" i="3"/>
  <c r="U18" i="3"/>
  <c r="T18" i="3" s="1"/>
  <c r="V18" i="3"/>
  <c r="W18" i="3"/>
  <c r="X18" i="3"/>
  <c r="M21" i="3"/>
  <c r="U21" i="3"/>
  <c r="T21" i="3" s="1"/>
  <c r="V21" i="3"/>
  <c r="W21" i="3"/>
  <c r="X21" i="3"/>
  <c r="M19" i="3"/>
  <c r="U19" i="3"/>
  <c r="T19" i="3" s="1"/>
  <c r="V19" i="3"/>
  <c r="W19" i="3"/>
  <c r="X19" i="3"/>
  <c r="M20" i="3"/>
  <c r="R20" i="3"/>
  <c r="U20" i="3"/>
  <c r="T20" i="3" s="1"/>
  <c r="V20" i="3"/>
  <c r="W20" i="3"/>
  <c r="X20" i="3"/>
  <c r="M9" i="3"/>
  <c r="U9" i="3"/>
  <c r="T9" i="3" s="1"/>
  <c r="V9" i="3"/>
  <c r="W9" i="3"/>
  <c r="X9" i="3"/>
  <c r="M24" i="3"/>
  <c r="R24" i="3"/>
  <c r="U24" i="3"/>
  <c r="T24" i="3" s="1"/>
  <c r="V24" i="3"/>
  <c r="W24" i="3"/>
  <c r="X24" i="3"/>
  <c r="M13" i="3"/>
  <c r="U13" i="3"/>
  <c r="T13" i="3" s="1"/>
  <c r="V13" i="3"/>
  <c r="W13" i="3"/>
  <c r="X13" i="3"/>
  <c r="M23" i="3"/>
  <c r="U23" i="3"/>
  <c r="T23" i="3" s="1"/>
  <c r="V23" i="3"/>
  <c r="W23" i="3"/>
  <c r="X23" i="3"/>
  <c r="M22" i="3"/>
  <c r="U22" i="3"/>
  <c r="T22" i="3" s="1"/>
  <c r="V22" i="3"/>
  <c r="W22" i="3"/>
  <c r="X22" i="3"/>
  <c r="M38" i="3"/>
  <c r="U38" i="3"/>
  <c r="T38" i="3" s="1"/>
  <c r="V38" i="3"/>
  <c r="W38" i="3"/>
  <c r="X38" i="3"/>
  <c r="M11" i="3"/>
  <c r="U11" i="3"/>
  <c r="T11" i="3" s="1"/>
  <c r="V11" i="3"/>
  <c r="W11" i="3"/>
  <c r="X11" i="3"/>
  <c r="M33" i="3"/>
  <c r="R33" i="3"/>
  <c r="U33" i="3"/>
  <c r="T33" i="3" s="1"/>
  <c r="V33" i="3"/>
  <c r="W33" i="3"/>
  <c r="X33" i="3"/>
  <c r="M40" i="3"/>
  <c r="R40" i="3"/>
  <c r="U40" i="3"/>
  <c r="T40" i="3" s="1"/>
  <c r="V40" i="3"/>
  <c r="W40" i="3"/>
  <c r="X40" i="3"/>
  <c r="M25" i="3"/>
  <c r="U25" i="3"/>
  <c r="T25" i="3" s="1"/>
  <c r="V25" i="3"/>
  <c r="W25" i="3"/>
  <c r="X25" i="3"/>
  <c r="M27" i="3"/>
  <c r="U27" i="3"/>
  <c r="T27" i="3" s="1"/>
  <c r="V27" i="3"/>
  <c r="W27" i="3"/>
  <c r="X27" i="3"/>
  <c r="M43" i="3"/>
  <c r="U43" i="3"/>
  <c r="T43" i="3" s="1"/>
  <c r="V43" i="3"/>
  <c r="W43" i="3"/>
  <c r="X43" i="3"/>
  <c r="M44" i="3"/>
  <c r="R44" i="3"/>
  <c r="U44" i="3"/>
  <c r="T44" i="3" s="1"/>
  <c r="V44" i="3"/>
  <c r="W44" i="3"/>
  <c r="X44" i="3"/>
  <c r="M7" i="3"/>
  <c r="U7" i="3"/>
  <c r="T7" i="3" s="1"/>
  <c r="V7" i="3"/>
  <c r="W7" i="3"/>
  <c r="X7" i="3"/>
  <c r="M47" i="3"/>
  <c r="U47" i="3"/>
  <c r="T47" i="3" s="1"/>
  <c r="V47" i="3"/>
  <c r="W47" i="3"/>
  <c r="X47" i="3"/>
  <c r="M48" i="3"/>
  <c r="U48" i="3"/>
  <c r="T48" i="3" s="1"/>
  <c r="V48" i="3"/>
  <c r="W48" i="3"/>
  <c r="X48" i="3"/>
  <c r="M36" i="3"/>
  <c r="U36" i="3"/>
  <c r="T36" i="3" s="1"/>
  <c r="V36" i="3"/>
  <c r="W36" i="3"/>
  <c r="X36" i="3"/>
  <c r="M14" i="3"/>
  <c r="U14" i="3"/>
  <c r="T14" i="3" s="1"/>
  <c r="V14" i="3"/>
  <c r="W14" i="3"/>
  <c r="X14" i="3"/>
  <c r="M12" i="3"/>
  <c r="U12" i="3"/>
  <c r="T12" i="3" s="1"/>
  <c r="V12" i="3"/>
  <c r="W12" i="3"/>
  <c r="X12" i="3"/>
  <c r="M41" i="3"/>
  <c r="U41" i="3"/>
  <c r="T41" i="3" s="1"/>
  <c r="V41" i="3"/>
  <c r="W41" i="3"/>
  <c r="X41" i="3"/>
  <c r="M28" i="3"/>
  <c r="U28" i="3"/>
  <c r="T28" i="3" s="1"/>
  <c r="V28" i="3"/>
  <c r="W28" i="3"/>
  <c r="X28" i="3"/>
  <c r="M37" i="3"/>
  <c r="U37" i="3"/>
  <c r="T37" i="3" s="1"/>
  <c r="V37" i="3"/>
  <c r="W37" i="3"/>
  <c r="X37" i="3"/>
  <c r="M45" i="3"/>
  <c r="S45" i="3"/>
  <c r="U45" i="3"/>
  <c r="T45" i="3" s="1"/>
  <c r="V45" i="3"/>
  <c r="W45" i="3"/>
  <c r="X45" i="3"/>
  <c r="M42" i="3"/>
  <c r="R42" i="3"/>
  <c r="U42" i="3"/>
  <c r="T42" i="3" s="1"/>
  <c r="V42" i="3"/>
  <c r="W42" i="3"/>
  <c r="X42" i="3"/>
  <c r="M29" i="3"/>
  <c r="U29" i="3"/>
  <c r="T29" i="3" s="1"/>
  <c r="V29" i="3"/>
  <c r="W29" i="3"/>
  <c r="X29" i="3"/>
  <c r="M39" i="3"/>
  <c r="U39" i="3"/>
  <c r="T39" i="3" s="1"/>
  <c r="V39" i="3"/>
  <c r="W39" i="3"/>
  <c r="X39" i="3"/>
  <c r="M30" i="3"/>
  <c r="R30" i="3"/>
  <c r="U30" i="3"/>
  <c r="T30" i="3" s="1"/>
  <c r="V30" i="3"/>
  <c r="W30" i="3"/>
  <c r="X30" i="3"/>
  <c r="M34" i="3"/>
  <c r="U34" i="3"/>
  <c r="T34" i="3" s="1"/>
  <c r="V34" i="3"/>
  <c r="W34" i="3"/>
  <c r="X34" i="3"/>
  <c r="M46" i="3"/>
  <c r="R46" i="3"/>
  <c r="S46" i="3"/>
  <c r="U46" i="3"/>
  <c r="T46" i="3" s="1"/>
  <c r="V46" i="3"/>
  <c r="W46" i="3"/>
  <c r="X46" i="3"/>
  <c r="M35" i="3"/>
  <c r="U35" i="3"/>
  <c r="T35" i="3" s="1"/>
  <c r="V35" i="3"/>
  <c r="W35" i="3"/>
  <c r="X35" i="3"/>
  <c r="M17" i="3"/>
  <c r="U17" i="3"/>
  <c r="T17" i="3" s="1"/>
  <c r="V17" i="3"/>
  <c r="W17" i="3"/>
  <c r="X17" i="3"/>
  <c r="M31" i="3"/>
  <c r="U31" i="3"/>
  <c r="T31" i="3" s="1"/>
  <c r="V31" i="3"/>
  <c r="W31" i="3"/>
  <c r="X31" i="3"/>
  <c r="M28" i="5"/>
  <c r="Y23" i="3" l="1"/>
  <c r="Y36" i="3"/>
  <c r="Y22" i="3"/>
  <c r="Y24" i="3"/>
  <c r="AA60" i="1"/>
  <c r="AA59" i="1"/>
  <c r="W59" i="1" s="1"/>
  <c r="S9" i="3"/>
  <c r="AG212" i="1"/>
  <c r="AA34" i="1"/>
  <c r="X34" i="1"/>
  <c r="T40" i="1"/>
  <c r="AA141" i="1"/>
  <c r="AA140" i="1"/>
  <c r="AG109" i="1"/>
  <c r="AA172" i="1"/>
  <c r="W172" i="1" s="1"/>
  <c r="AA163" i="1"/>
  <c r="AG25" i="1"/>
  <c r="AI25" i="1" s="1"/>
  <c r="X142" i="1"/>
  <c r="X161" i="1"/>
  <c r="X160" i="1"/>
  <c r="S16" i="3"/>
  <c r="T62" i="1"/>
  <c r="U40" i="1"/>
  <c r="S40" i="1" s="1"/>
  <c r="X164" i="1"/>
  <c r="AA91" i="1"/>
  <c r="AA64" i="1"/>
  <c r="X163" i="1"/>
  <c r="X159" i="1"/>
  <c r="Y28" i="3"/>
  <c r="Y43" i="3"/>
  <c r="Y31" i="3"/>
  <c r="Y42" i="3"/>
  <c r="Y48" i="3"/>
  <c r="S19" i="3"/>
  <c r="Y10" i="3"/>
  <c r="U212" i="1"/>
  <c r="S212" i="1" s="1"/>
  <c r="AI196" i="1"/>
  <c r="AA143" i="1"/>
  <c r="AA137" i="1"/>
  <c r="AG133" i="1"/>
  <c r="U133" i="1" s="1"/>
  <c r="S133" i="1" s="1"/>
  <c r="T124" i="1"/>
  <c r="U124" i="1" s="1"/>
  <c r="S124" i="1" s="1"/>
  <c r="P76" i="1"/>
  <c r="AA49" i="1"/>
  <c r="W49" i="1" s="1"/>
  <c r="P44" i="1"/>
  <c r="U25" i="1"/>
  <c r="Y34" i="3"/>
  <c r="R12" i="3"/>
  <c r="Y33" i="3"/>
  <c r="Y9" i="3"/>
  <c r="AA103" i="1"/>
  <c r="AA102" i="1"/>
  <c r="W102" i="1" s="1"/>
  <c r="AA101" i="1"/>
  <c r="AA189" i="1"/>
  <c r="AA188" i="1"/>
  <c r="AA187" i="1"/>
  <c r="AA174" i="1"/>
  <c r="AA173" i="1"/>
  <c r="W173" i="1" s="1"/>
  <c r="AA80" i="1"/>
  <c r="AA75" i="1"/>
  <c r="X143" i="1"/>
  <c r="AA129" i="1"/>
  <c r="W129" i="1" s="1"/>
  <c r="AI170" i="1"/>
  <c r="AA28" i="1"/>
  <c r="W28" i="1" s="1"/>
  <c r="AA27" i="1"/>
  <c r="AA26" i="1"/>
  <c r="W26" i="1" s="1"/>
  <c r="X141" i="1"/>
  <c r="Y38" i="3"/>
  <c r="Y18" i="3"/>
  <c r="Y8" i="3"/>
  <c r="AI159" i="1"/>
  <c r="T129" i="1"/>
  <c r="U129" i="1" s="1"/>
  <c r="S129" i="1" s="1"/>
  <c r="AA162" i="1"/>
  <c r="T70" i="1"/>
  <c r="U70" i="1" s="1"/>
  <c r="S70" i="1" s="1"/>
  <c r="T54" i="1"/>
  <c r="X37" i="1"/>
  <c r="Y29" i="3"/>
  <c r="Y41" i="3"/>
  <c r="S13" i="3"/>
  <c r="S28" i="3"/>
  <c r="R48" i="3"/>
  <c r="Y7" i="3"/>
  <c r="Y13" i="3"/>
  <c r="Y20" i="3"/>
  <c r="AA212" i="1"/>
  <c r="W212" i="1" s="1"/>
  <c r="AA203" i="1"/>
  <c r="AA202" i="1"/>
  <c r="AA201" i="1"/>
  <c r="W201" i="1" s="1"/>
  <c r="AI178" i="1"/>
  <c r="AG163" i="1"/>
  <c r="U163" i="1" s="1"/>
  <c r="S163" i="1" s="1"/>
  <c r="AA72" i="1"/>
  <c r="AA56" i="1"/>
  <c r="AG34" i="1"/>
  <c r="U34" i="1" s="1"/>
  <c r="S34" i="1" s="1"/>
  <c r="X36" i="1"/>
  <c r="AA198" i="1"/>
  <c r="AA197" i="1"/>
  <c r="W197" i="1" s="1"/>
  <c r="AA160" i="1"/>
  <c r="AA81" i="1"/>
  <c r="AA67" i="1"/>
  <c r="W67" i="1" s="1"/>
  <c r="AA52" i="1"/>
  <c r="AA51" i="1"/>
  <c r="W51" i="1" s="1"/>
  <c r="AA38" i="1"/>
  <c r="AA37" i="1"/>
  <c r="W37" i="1" s="1"/>
  <c r="AA19" i="1"/>
  <c r="AA15" i="1"/>
  <c r="AA14" i="1"/>
  <c r="W14" i="1" s="1"/>
  <c r="AG141" i="1"/>
  <c r="AA76" i="1"/>
  <c r="R13" i="3"/>
  <c r="AG208" i="1"/>
  <c r="AI208" i="1" s="1"/>
  <c r="AG127" i="1"/>
  <c r="U127" i="1" s="1"/>
  <c r="S127" i="1" s="1"/>
  <c r="AA125" i="1"/>
  <c r="AA124" i="1"/>
  <c r="AG120" i="1"/>
  <c r="U120" i="1" s="1"/>
  <c r="X120" i="1"/>
  <c r="AA116" i="1"/>
  <c r="AA115" i="1"/>
  <c r="W115" i="1" s="1"/>
  <c r="AA112" i="1"/>
  <c r="AA111" i="1"/>
  <c r="W111" i="1" s="1"/>
  <c r="AG99" i="1"/>
  <c r="AI99" i="1" s="1"/>
  <c r="X194" i="1"/>
  <c r="AA169" i="1"/>
  <c r="AA168" i="1"/>
  <c r="AA161" i="1"/>
  <c r="AA86" i="1"/>
  <c r="AI49" i="1"/>
  <c r="AG44" i="1"/>
  <c r="AI44" i="1" s="1"/>
  <c r="T178" i="1"/>
  <c r="U178" i="1" s="1"/>
  <c r="S178" i="1" s="1"/>
  <c r="X41" i="1"/>
  <c r="W34" i="1"/>
  <c r="AA32" i="1"/>
  <c r="AG29" i="1"/>
  <c r="AI29" i="1" s="1"/>
  <c r="T21" i="1"/>
  <c r="U21" i="1" s="1"/>
  <c r="S21" i="1" s="1"/>
  <c r="Y35" i="3"/>
  <c r="Y37" i="3"/>
  <c r="R37" i="3"/>
  <c r="S23" i="3"/>
  <c r="Y21" i="3"/>
  <c r="Y26" i="3"/>
  <c r="T196" i="1"/>
  <c r="U196" i="1" s="1"/>
  <c r="S196" i="1" s="1"/>
  <c r="Y17" i="3"/>
  <c r="Y45" i="3"/>
  <c r="Y47" i="3"/>
  <c r="Y44" i="3"/>
  <c r="Y11" i="3"/>
  <c r="Y19" i="3"/>
  <c r="Y16" i="3"/>
  <c r="AG214" i="1"/>
  <c r="U214" i="1" s="1"/>
  <c r="S214" i="1" s="1"/>
  <c r="AG160" i="1"/>
  <c r="U160" i="1" s="1"/>
  <c r="S160" i="1" s="1"/>
  <c r="AA154" i="1"/>
  <c r="AA152" i="1"/>
  <c r="AA151" i="1"/>
  <c r="AA148" i="1"/>
  <c r="X140" i="1"/>
  <c r="X128" i="1"/>
  <c r="X124" i="1"/>
  <c r="AA120" i="1"/>
  <c r="AA99" i="1"/>
  <c r="AA98" i="1"/>
  <c r="AA194" i="1"/>
  <c r="W194" i="1" s="1"/>
  <c r="AG185" i="1"/>
  <c r="AI185" i="1" s="1"/>
  <c r="AI182" i="1"/>
  <c r="AA179" i="1"/>
  <c r="W179" i="1" s="1"/>
  <c r="AA94" i="1"/>
  <c r="AI92" i="1"/>
  <c r="AI87" i="1"/>
  <c r="AA78" i="1"/>
  <c r="AA73" i="1"/>
  <c r="AG48" i="1"/>
  <c r="AA31" i="1"/>
  <c r="T26" i="1"/>
  <c r="S44" i="3"/>
  <c r="AA206" i="1"/>
  <c r="T201" i="1"/>
  <c r="U201" i="1" s="1"/>
  <c r="S201" i="1" s="1"/>
  <c r="T197" i="1"/>
  <c r="U197" i="1" s="1"/>
  <c r="S197" i="1" s="1"/>
  <c r="T159" i="1"/>
  <c r="U159" i="1" s="1"/>
  <c r="S159" i="1" s="1"/>
  <c r="AA157" i="1"/>
  <c r="X136" i="1"/>
  <c r="X133" i="1"/>
  <c r="AA132" i="1"/>
  <c r="AA128" i="1"/>
  <c r="AI127" i="1"/>
  <c r="AA123" i="1"/>
  <c r="AA122" i="1"/>
  <c r="AA118" i="1"/>
  <c r="AI117" i="1"/>
  <c r="X115" i="1"/>
  <c r="AA114" i="1"/>
  <c r="T111" i="1"/>
  <c r="U111" i="1" s="1"/>
  <c r="S111" i="1" s="1"/>
  <c r="AA105" i="1"/>
  <c r="AA210" i="1"/>
  <c r="W210" i="1" s="1"/>
  <c r="AA209" i="1"/>
  <c r="W209" i="1" s="1"/>
  <c r="AA192" i="1"/>
  <c r="AA191" i="1"/>
  <c r="AA97" i="1"/>
  <c r="AA182" i="1"/>
  <c r="W182" i="1" s="1"/>
  <c r="AA181" i="1"/>
  <c r="T175" i="1"/>
  <c r="AA89" i="1"/>
  <c r="AA70" i="1"/>
  <c r="W70" i="1" s="1"/>
  <c r="T67" i="1"/>
  <c r="U67" i="1" s="1"/>
  <c r="S67" i="1" s="1"/>
  <c r="AA62" i="1"/>
  <c r="T59" i="1"/>
  <c r="T51" i="1"/>
  <c r="U51" i="1" s="1"/>
  <c r="S51" i="1" s="1"/>
  <c r="T49" i="1"/>
  <c r="U49" i="1" s="1"/>
  <c r="S49" i="1" s="1"/>
  <c r="T37" i="1"/>
  <c r="U37" i="1" s="1"/>
  <c r="S37" i="1" s="1"/>
  <c r="X26" i="1"/>
  <c r="AA23" i="1"/>
  <c r="AA22" i="1"/>
  <c r="W22" i="1" s="1"/>
  <c r="AG19" i="1"/>
  <c r="T14" i="1"/>
  <c r="W91" i="1"/>
  <c r="R23" i="3"/>
  <c r="X211" i="1"/>
  <c r="AG206" i="1"/>
  <c r="U206" i="1" s="1"/>
  <c r="S206" i="1" s="1"/>
  <c r="AA204" i="1"/>
  <c r="AA159" i="1"/>
  <c r="AA155" i="1"/>
  <c r="AG132" i="1"/>
  <c r="U132" i="1" s="1"/>
  <c r="S132" i="1" s="1"/>
  <c r="X132" i="1"/>
  <c r="AG125" i="1"/>
  <c r="AI125" i="1" s="1"/>
  <c r="X125" i="1"/>
  <c r="AA121" i="1"/>
  <c r="AG118" i="1"/>
  <c r="AI118" i="1" s="1"/>
  <c r="X118" i="1"/>
  <c r="AG114" i="1"/>
  <c r="AI114" i="1" s="1"/>
  <c r="X114" i="1"/>
  <c r="AG105" i="1"/>
  <c r="AG192" i="1"/>
  <c r="AI192" i="1" s="1"/>
  <c r="AG175" i="1"/>
  <c r="U175" i="1" s="1"/>
  <c r="S175" i="1" s="1"/>
  <c r="AA88" i="1"/>
  <c r="W88" i="1" s="1"/>
  <c r="AG86" i="1"/>
  <c r="W86" i="1" s="1"/>
  <c r="T36" i="1"/>
  <c r="U36" i="1" s="1"/>
  <c r="S36" i="1" s="1"/>
  <c r="X30" i="1"/>
  <c r="AG23" i="1"/>
  <c r="U23" i="1" s="1"/>
  <c r="S23" i="1" s="1"/>
  <c r="AA17" i="1"/>
  <c r="AG15" i="1"/>
  <c r="AG157" i="1"/>
  <c r="U157" i="1" s="1"/>
  <c r="S157" i="1" s="1"/>
  <c r="AI212" i="1"/>
  <c r="X209" i="1"/>
  <c r="AA208" i="1"/>
  <c r="AA199" i="1"/>
  <c r="AI188" i="1"/>
  <c r="AA153" i="1"/>
  <c r="W153" i="1" s="1"/>
  <c r="AA147" i="1"/>
  <c r="AA145" i="1"/>
  <c r="AA144" i="1"/>
  <c r="AG140" i="1"/>
  <c r="U140" i="1" s="1"/>
  <c r="S140" i="1" s="1"/>
  <c r="AA139" i="1"/>
  <c r="AA138" i="1"/>
  <c r="AA136" i="1"/>
  <c r="AA133" i="1"/>
  <c r="T128" i="1"/>
  <c r="AG121" i="1"/>
  <c r="AI121" i="1" s="1"/>
  <c r="AI115" i="1"/>
  <c r="AA109" i="1"/>
  <c r="W109" i="1" s="1"/>
  <c r="AA108" i="1"/>
  <c r="AA107" i="1"/>
  <c r="W107" i="1" s="1"/>
  <c r="AG103" i="1"/>
  <c r="W103" i="1" s="1"/>
  <c r="AG189" i="1"/>
  <c r="W189" i="1" s="1"/>
  <c r="X187" i="1"/>
  <c r="AA185" i="1"/>
  <c r="W185" i="1" s="1"/>
  <c r="AA184" i="1"/>
  <c r="AA178" i="1"/>
  <c r="W178" i="1" s="1"/>
  <c r="AA176" i="1"/>
  <c r="AA171" i="1"/>
  <c r="AA166" i="1"/>
  <c r="AA87" i="1"/>
  <c r="W87" i="1" s="1"/>
  <c r="AA82" i="1"/>
  <c r="AG76" i="1"/>
  <c r="AI76" i="1" s="1"/>
  <c r="X71" i="1"/>
  <c r="AG68" i="1"/>
  <c r="AI68" i="1" s="1"/>
  <c r="AA65" i="1"/>
  <c r="X63" i="1"/>
  <c r="AG60" i="1"/>
  <c r="AI60" i="1" s="1"/>
  <c r="AA57" i="1"/>
  <c r="X55" i="1"/>
  <c r="AG52" i="1"/>
  <c r="AI52" i="1" s="1"/>
  <c r="AA43" i="1"/>
  <c r="W43" i="1" s="1"/>
  <c r="AA42" i="1"/>
  <c r="AA41" i="1"/>
  <c r="W41" i="1" s="1"/>
  <c r="T41" i="1"/>
  <c r="U41" i="1" s="1"/>
  <c r="S41" i="1" s="1"/>
  <c r="AG38" i="1"/>
  <c r="U38" i="1" s="1"/>
  <c r="S38" i="1" s="1"/>
  <c r="AA29" i="1"/>
  <c r="W29" i="1" s="1"/>
  <c r="T22" i="1"/>
  <c r="X205" i="1"/>
  <c r="AG204" i="1"/>
  <c r="AI204" i="1" s="1"/>
  <c r="AG202" i="1"/>
  <c r="U202" i="1" s="1"/>
  <c r="S202" i="1" s="1"/>
  <c r="AA200" i="1"/>
  <c r="X156" i="1"/>
  <c r="AG155" i="1"/>
  <c r="AI155" i="1" s="1"/>
  <c r="AG151" i="1"/>
  <c r="U151" i="1" s="1"/>
  <c r="S151" i="1" s="1"/>
  <c r="AG150" i="1"/>
  <c r="U150" i="1" s="1"/>
  <c r="S150" i="1" s="1"/>
  <c r="X150" i="1"/>
  <c r="AG149" i="1"/>
  <c r="AG147" i="1"/>
  <c r="U147" i="1" s="1"/>
  <c r="S147" i="1" s="1"/>
  <c r="AG146" i="1"/>
  <c r="U146" i="1" s="1"/>
  <c r="S146" i="1" s="1"/>
  <c r="X146" i="1"/>
  <c r="AG142" i="1"/>
  <c r="U142" i="1" s="1"/>
  <c r="S142" i="1" s="1"/>
  <c r="AG135" i="1"/>
  <c r="AI135" i="1" s="1"/>
  <c r="U125" i="1"/>
  <c r="S125" i="1" s="1"/>
  <c r="T123" i="1"/>
  <c r="AG123" i="1"/>
  <c r="AI123" i="1" s="1"/>
  <c r="X107" i="1"/>
  <c r="AI102" i="1"/>
  <c r="AG101" i="1"/>
  <c r="X101" i="1"/>
  <c r="AG97" i="1"/>
  <c r="W97" i="1" s="1"/>
  <c r="X97" i="1"/>
  <c r="X171" i="1"/>
  <c r="T95" i="1"/>
  <c r="AA214" i="1"/>
  <c r="AA213" i="1"/>
  <c r="AA211" i="1"/>
  <c r="T211" i="1"/>
  <c r="U211" i="1" s="1"/>
  <c r="S211" i="1" s="1"/>
  <c r="X201" i="1"/>
  <c r="AG200" i="1"/>
  <c r="AI200" i="1" s="1"/>
  <c r="AG198" i="1"/>
  <c r="U198" i="1" s="1"/>
  <c r="S198" i="1" s="1"/>
  <c r="AA196" i="1"/>
  <c r="W196" i="1" s="1"/>
  <c r="AA195" i="1"/>
  <c r="X151" i="1"/>
  <c r="X147" i="1"/>
  <c r="T145" i="1"/>
  <c r="AG145" i="1"/>
  <c r="AI145" i="1" s="1"/>
  <c r="AG143" i="1"/>
  <c r="U143" i="1" s="1"/>
  <c r="S143" i="1" s="1"/>
  <c r="X137" i="1"/>
  <c r="AG136" i="1"/>
  <c r="U136" i="1" s="1"/>
  <c r="W124" i="1"/>
  <c r="T115" i="1"/>
  <c r="X111" i="1"/>
  <c r="X106" i="1"/>
  <c r="AG106" i="1"/>
  <c r="AI106" i="1" s="1"/>
  <c r="T106" i="1"/>
  <c r="X100" i="1"/>
  <c r="AG100" i="1"/>
  <c r="T100" i="1"/>
  <c r="X190" i="1"/>
  <c r="AG190" i="1"/>
  <c r="U190" i="1" s="1"/>
  <c r="S190" i="1" s="1"/>
  <c r="T190" i="1"/>
  <c r="W187" i="1"/>
  <c r="X94" i="1"/>
  <c r="AG94" i="1"/>
  <c r="T94" i="1"/>
  <c r="AG82" i="1"/>
  <c r="AI82" i="1" s="1"/>
  <c r="T82" i="1"/>
  <c r="S48" i="3"/>
  <c r="AA207" i="1"/>
  <c r="AA205" i="1"/>
  <c r="W205" i="1" s="1"/>
  <c r="T205" i="1"/>
  <c r="U205" i="1" s="1"/>
  <c r="S205" i="1" s="1"/>
  <c r="X197" i="1"/>
  <c r="W159" i="1"/>
  <c r="AA158" i="1"/>
  <c r="AA156" i="1"/>
  <c r="W156" i="1" s="1"/>
  <c r="T156" i="1"/>
  <c r="U156" i="1" s="1"/>
  <c r="S156" i="1" s="1"/>
  <c r="AA150" i="1"/>
  <c r="W150" i="1" s="1"/>
  <c r="AA149" i="1"/>
  <c r="AA146" i="1"/>
  <c r="AA142" i="1"/>
  <c r="U141" i="1"/>
  <c r="S141" i="1" s="1"/>
  <c r="T139" i="1"/>
  <c r="AG139" i="1"/>
  <c r="AI139" i="1" s="1"/>
  <c r="AG137" i="1"/>
  <c r="U137" i="1" s="1"/>
  <c r="S137" i="1" s="1"/>
  <c r="AA131" i="1"/>
  <c r="AA130" i="1"/>
  <c r="X129" i="1"/>
  <c r="AG128" i="1"/>
  <c r="U115" i="1"/>
  <c r="S115" i="1" s="1"/>
  <c r="T110" i="1"/>
  <c r="X110" i="1"/>
  <c r="AG110" i="1"/>
  <c r="AI110" i="1" s="1"/>
  <c r="T107" i="1"/>
  <c r="U107" i="1" s="1"/>
  <c r="S107" i="1" s="1"/>
  <c r="T101" i="1"/>
  <c r="T97" i="1"/>
  <c r="AG181" i="1"/>
  <c r="AI181" i="1" s="1"/>
  <c r="T181" i="1"/>
  <c r="W169" i="1"/>
  <c r="T27" i="1"/>
  <c r="AG27" i="1"/>
  <c r="W27" i="1" s="1"/>
  <c r="W136" i="1"/>
  <c r="T131" i="1"/>
  <c r="U131" i="1" s="1"/>
  <c r="S131" i="1" s="1"/>
  <c r="AG131" i="1"/>
  <c r="AI131" i="1" s="1"/>
  <c r="W123" i="1"/>
  <c r="T119" i="1"/>
  <c r="AG119" i="1"/>
  <c r="AI119" i="1" s="1"/>
  <c r="T113" i="1"/>
  <c r="AG113" i="1"/>
  <c r="AI107" i="1"/>
  <c r="AI111" i="1"/>
  <c r="AG176" i="1"/>
  <c r="W176" i="1" s="1"/>
  <c r="X176" i="1"/>
  <c r="AI103" i="1"/>
  <c r="AG168" i="1"/>
  <c r="AI168" i="1" s="1"/>
  <c r="T168" i="1"/>
  <c r="AG78" i="1"/>
  <c r="T78" i="1"/>
  <c r="X79" i="1"/>
  <c r="T42" i="1"/>
  <c r="AG42" i="1"/>
  <c r="T209" i="1"/>
  <c r="U209" i="1" s="1"/>
  <c r="S209" i="1" s="1"/>
  <c r="T194" i="1"/>
  <c r="U194" i="1" s="1"/>
  <c r="S194" i="1" s="1"/>
  <c r="T187" i="1"/>
  <c r="U187" i="1" s="1"/>
  <c r="S187" i="1" s="1"/>
  <c r="X96" i="1"/>
  <c r="AG33" i="1"/>
  <c r="T33" i="1"/>
  <c r="AG18" i="1"/>
  <c r="X18" i="1"/>
  <c r="T18" i="1"/>
  <c r="AA135" i="1"/>
  <c r="AA134" i="1"/>
  <c r="AA127" i="1"/>
  <c r="AA126" i="1"/>
  <c r="X121" i="1"/>
  <c r="AA119" i="1"/>
  <c r="AA106" i="1"/>
  <c r="AG104" i="1"/>
  <c r="U104" i="1" s="1"/>
  <c r="S104" i="1" s="1"/>
  <c r="X104" i="1"/>
  <c r="AA100" i="1"/>
  <c r="W100" i="1" s="1"/>
  <c r="AG193" i="1"/>
  <c r="X193" i="1"/>
  <c r="AA190" i="1"/>
  <c r="AG186" i="1"/>
  <c r="AI186" i="1" s="1"/>
  <c r="X186" i="1"/>
  <c r="X172" i="1"/>
  <c r="AG171" i="1"/>
  <c r="U171" i="1" s="1"/>
  <c r="S171" i="1" s="1"/>
  <c r="AA95" i="1"/>
  <c r="AG164" i="1"/>
  <c r="U164" i="1" s="1"/>
  <c r="S164" i="1" s="1"/>
  <c r="AA164" i="1"/>
  <c r="AG90" i="1"/>
  <c r="X90" i="1"/>
  <c r="T80" i="1"/>
  <c r="AG80" i="1"/>
  <c r="W80" i="1" s="1"/>
  <c r="AG75" i="1"/>
  <c r="W75" i="1" s="1"/>
  <c r="X75" i="1"/>
  <c r="AA68" i="1"/>
  <c r="AA48" i="1"/>
  <c r="W48" i="1" s="1"/>
  <c r="AI38" i="1"/>
  <c r="AI23" i="1"/>
  <c r="AG17" i="1"/>
  <c r="AI17" i="1" s="1"/>
  <c r="T17" i="1"/>
  <c r="AA113" i="1"/>
  <c r="AA110" i="1"/>
  <c r="AA104" i="1"/>
  <c r="W104" i="1" s="1"/>
  <c r="AA193" i="1"/>
  <c r="AA186" i="1"/>
  <c r="AA183" i="1"/>
  <c r="W183" i="1" s="1"/>
  <c r="AA180" i="1"/>
  <c r="W180" i="1" s="1"/>
  <c r="AA175" i="1"/>
  <c r="AG161" i="1"/>
  <c r="AI161" i="1" s="1"/>
  <c r="X93" i="1"/>
  <c r="AA92" i="1"/>
  <c r="W92" i="1" s="1"/>
  <c r="X91" i="1"/>
  <c r="AA90" i="1"/>
  <c r="X86" i="1"/>
  <c r="X85" i="1"/>
  <c r="AG85" i="1"/>
  <c r="AI85" i="1" s="1"/>
  <c r="AA84" i="1"/>
  <c r="AA83" i="1"/>
  <c r="W83" i="1" s="1"/>
  <c r="AI83" i="1"/>
  <c r="AG79" i="1"/>
  <c r="AI79" i="1" s="1"/>
  <c r="T79" i="1"/>
  <c r="U48" i="1"/>
  <c r="S48" i="1" s="1"/>
  <c r="AI48" i="1"/>
  <c r="AA77" i="1"/>
  <c r="T74" i="1"/>
  <c r="U74" i="1" s="1"/>
  <c r="S74" i="1" s="1"/>
  <c r="AA69" i="1"/>
  <c r="T66" i="1"/>
  <c r="U66" i="1" s="1"/>
  <c r="S66" i="1" s="1"/>
  <c r="W62" i="1"/>
  <c r="AA61" i="1"/>
  <c r="T58" i="1"/>
  <c r="U58" i="1" s="1"/>
  <c r="S58" i="1" s="1"/>
  <c r="AA53" i="1"/>
  <c r="AA45" i="1"/>
  <c r="X44" i="1"/>
  <c r="AA39" i="1"/>
  <c r="AA33" i="1"/>
  <c r="AA24" i="1"/>
  <c r="AA18" i="1"/>
  <c r="AA74" i="1"/>
  <c r="W74" i="1" s="1"/>
  <c r="AA66" i="1"/>
  <c r="W66" i="1" s="1"/>
  <c r="AA58" i="1"/>
  <c r="W58" i="1" s="1"/>
  <c r="AA50" i="1"/>
  <c r="W50" i="1" s="1"/>
  <c r="AA36" i="1"/>
  <c r="W36" i="1" s="1"/>
  <c r="AA21" i="1"/>
  <c r="W21" i="1" s="1"/>
  <c r="AA170" i="1"/>
  <c r="W170" i="1" s="1"/>
  <c r="AA165" i="1"/>
  <c r="W165" i="1" s="1"/>
  <c r="AA93" i="1"/>
  <c r="X89" i="1"/>
  <c r="AA79" i="1"/>
  <c r="W79" i="1" s="1"/>
  <c r="AG72" i="1"/>
  <c r="AI72" i="1" s="1"/>
  <c r="AA71" i="1"/>
  <c r="W71" i="1" s="1"/>
  <c r="T71" i="1"/>
  <c r="X67" i="1"/>
  <c r="AG64" i="1"/>
  <c r="AI64" i="1" s="1"/>
  <c r="AA63" i="1"/>
  <c r="W63" i="1" s="1"/>
  <c r="T63" i="1"/>
  <c r="U63" i="1" s="1"/>
  <c r="S63" i="1" s="1"/>
  <c r="X59" i="1"/>
  <c r="AG56" i="1"/>
  <c r="AI56" i="1" s="1"/>
  <c r="AA55" i="1"/>
  <c r="W55" i="1" s="1"/>
  <c r="T55" i="1"/>
  <c r="U55" i="1" s="1"/>
  <c r="S55" i="1" s="1"/>
  <c r="X51" i="1"/>
  <c r="AA46" i="1"/>
  <c r="AA44" i="1"/>
  <c r="AA40" i="1"/>
  <c r="W40" i="1" s="1"/>
  <c r="AA35" i="1"/>
  <c r="AG31" i="1"/>
  <c r="AA30" i="1"/>
  <c r="W30" i="1" s="1"/>
  <c r="T30" i="1"/>
  <c r="U30" i="1" s="1"/>
  <c r="S30" i="1" s="1"/>
  <c r="AA25" i="1"/>
  <c r="X22" i="1"/>
  <c r="AA20" i="1"/>
  <c r="W211" i="1"/>
  <c r="AI211" i="1"/>
  <c r="AI191" i="1"/>
  <c r="U200" i="1"/>
  <c r="S200" i="1" s="1"/>
  <c r="T148" i="1"/>
  <c r="X148" i="1"/>
  <c r="AG148" i="1"/>
  <c r="W148" i="1" s="1"/>
  <c r="X214" i="1"/>
  <c r="AG213" i="1"/>
  <c r="X208" i="1"/>
  <c r="AG207" i="1"/>
  <c r="X204" i="1"/>
  <c r="AG203" i="1"/>
  <c r="X200" i="1"/>
  <c r="AG199" i="1"/>
  <c r="AI199" i="1" s="1"/>
  <c r="X196" i="1"/>
  <c r="AG195" i="1"/>
  <c r="AI195" i="1" s="1"/>
  <c r="AG158" i="1"/>
  <c r="AI158" i="1" s="1"/>
  <c r="X155" i="1"/>
  <c r="AG154" i="1"/>
  <c r="T153" i="1"/>
  <c r="U153" i="1" s="1"/>
  <c r="S153" i="1" s="1"/>
  <c r="X153" i="1"/>
  <c r="X213" i="1"/>
  <c r="AI210" i="1"/>
  <c r="X207" i="1"/>
  <c r="AI206" i="1"/>
  <c r="X203" i="1"/>
  <c r="X199" i="1"/>
  <c r="X195" i="1"/>
  <c r="AI194" i="1"/>
  <c r="X158" i="1"/>
  <c r="X154" i="1"/>
  <c r="X212" i="1"/>
  <c r="X206" i="1"/>
  <c r="X202" i="1"/>
  <c r="X198" i="1"/>
  <c r="X157" i="1"/>
  <c r="T152" i="1"/>
  <c r="X152" i="1"/>
  <c r="AG152" i="1"/>
  <c r="W108" i="1"/>
  <c r="W191" i="1"/>
  <c r="X149" i="1"/>
  <c r="X145" i="1"/>
  <c r="AG144" i="1"/>
  <c r="AI173" i="1"/>
  <c r="X139" i="1"/>
  <c r="AG138" i="1"/>
  <c r="AI138" i="1" s="1"/>
  <c r="AI169" i="1"/>
  <c r="S136" i="1"/>
  <c r="X135" i="1"/>
  <c r="AG134" i="1"/>
  <c r="AI134" i="1" s="1"/>
  <c r="AI165" i="1"/>
  <c r="X131" i="1"/>
  <c r="AG130" i="1"/>
  <c r="AI130" i="1" s="1"/>
  <c r="X127" i="1"/>
  <c r="AG126" i="1"/>
  <c r="X123" i="1"/>
  <c r="AG122" i="1"/>
  <c r="AI154" i="1"/>
  <c r="X119" i="1"/>
  <c r="AI142" i="1"/>
  <c r="AI180" i="1"/>
  <c r="X144" i="1"/>
  <c r="AI172" i="1"/>
  <c r="X138" i="1"/>
  <c r="X134" i="1"/>
  <c r="AI164" i="1"/>
  <c r="X130" i="1"/>
  <c r="X126" i="1"/>
  <c r="X122" i="1"/>
  <c r="AI153" i="1"/>
  <c r="AA117" i="1"/>
  <c r="W117" i="1" s="1"/>
  <c r="AG116" i="1"/>
  <c r="T116" i="1"/>
  <c r="X116" i="1"/>
  <c r="U109" i="1"/>
  <c r="S109" i="1" s="1"/>
  <c r="U103" i="1"/>
  <c r="S103" i="1" s="1"/>
  <c r="W98" i="1"/>
  <c r="W188" i="1"/>
  <c r="AI152" i="1"/>
  <c r="T117" i="1"/>
  <c r="U117" i="1" s="1"/>
  <c r="S117" i="1" s="1"/>
  <c r="X117" i="1"/>
  <c r="AG112" i="1"/>
  <c r="T112" i="1"/>
  <c r="X112" i="1"/>
  <c r="AI124" i="1"/>
  <c r="AI108" i="1"/>
  <c r="X108" i="1"/>
  <c r="T108" i="1"/>
  <c r="U108" i="1" s="1"/>
  <c r="S108" i="1" s="1"/>
  <c r="AI141" i="1"/>
  <c r="X210" i="1"/>
  <c r="T210" i="1"/>
  <c r="U210" i="1" s="1"/>
  <c r="S210" i="1" s="1"/>
  <c r="X102" i="1"/>
  <c r="T102" i="1"/>
  <c r="U102" i="1" s="1"/>
  <c r="S102" i="1" s="1"/>
  <c r="AI133" i="1"/>
  <c r="X98" i="1"/>
  <c r="T98" i="1"/>
  <c r="U98" i="1" s="1"/>
  <c r="S98" i="1" s="1"/>
  <c r="AI129" i="1"/>
  <c r="X191" i="1"/>
  <c r="T191" i="1"/>
  <c r="U191" i="1" s="1"/>
  <c r="S191" i="1" s="1"/>
  <c r="X188" i="1"/>
  <c r="T188" i="1"/>
  <c r="U188" i="1" s="1"/>
  <c r="S188" i="1" s="1"/>
  <c r="X184" i="1"/>
  <c r="T182" i="1"/>
  <c r="U182" i="1" s="1"/>
  <c r="S182" i="1" s="1"/>
  <c r="T180" i="1"/>
  <c r="U180" i="1" s="1"/>
  <c r="S180" i="1" s="1"/>
  <c r="X180" i="1"/>
  <c r="X179" i="1"/>
  <c r="AI104" i="1"/>
  <c r="X168" i="1"/>
  <c r="X167" i="1"/>
  <c r="AG167" i="1"/>
  <c r="T167" i="1"/>
  <c r="U193" i="1"/>
  <c r="S193" i="1" s="1"/>
  <c r="U186" i="1"/>
  <c r="S186" i="1" s="1"/>
  <c r="T183" i="1"/>
  <c r="U183" i="1" s="1"/>
  <c r="S183" i="1" s="1"/>
  <c r="X183" i="1"/>
  <c r="X182" i="1"/>
  <c r="X181" i="1"/>
  <c r="AA96" i="1"/>
  <c r="AA177" i="1"/>
  <c r="T96" i="1"/>
  <c r="T177" i="1"/>
  <c r="X177" i="1"/>
  <c r="X113" i="1"/>
  <c r="X109" i="1"/>
  <c r="X105" i="1"/>
  <c r="X103" i="1"/>
  <c r="X99" i="1"/>
  <c r="X192" i="1"/>
  <c r="X189" i="1"/>
  <c r="AI122" i="1"/>
  <c r="X185" i="1"/>
  <c r="AG184" i="1"/>
  <c r="W184" i="1" s="1"/>
  <c r="AG96" i="1"/>
  <c r="T179" i="1"/>
  <c r="U179" i="1" s="1"/>
  <c r="S179" i="1" s="1"/>
  <c r="X178" i="1"/>
  <c r="AG177" i="1"/>
  <c r="AI177" i="1" s="1"/>
  <c r="T173" i="1"/>
  <c r="U173" i="1" s="1"/>
  <c r="S173" i="1" s="1"/>
  <c r="X173" i="1"/>
  <c r="X95" i="1"/>
  <c r="AG95" i="1"/>
  <c r="T92" i="1"/>
  <c r="U92" i="1" s="1"/>
  <c r="S92" i="1" s="1"/>
  <c r="X92" i="1"/>
  <c r="T85" i="1"/>
  <c r="AG35" i="1"/>
  <c r="W35" i="1" s="1"/>
  <c r="T35" i="1"/>
  <c r="AG20" i="1"/>
  <c r="X21" i="1"/>
  <c r="T20" i="1"/>
  <c r="X20" i="1"/>
  <c r="T165" i="1"/>
  <c r="U165" i="1" s="1"/>
  <c r="S165" i="1" s="1"/>
  <c r="T162" i="1"/>
  <c r="T89" i="1"/>
  <c r="X83" i="1"/>
  <c r="AI71" i="1"/>
  <c r="U71" i="1"/>
  <c r="S71" i="1" s="1"/>
  <c r="AI67" i="1"/>
  <c r="AI63" i="1"/>
  <c r="AI59" i="1"/>
  <c r="U59" i="1"/>
  <c r="S59" i="1" s="1"/>
  <c r="AI55" i="1"/>
  <c r="W54" i="1"/>
  <c r="AI51" i="1"/>
  <c r="X47" i="1"/>
  <c r="AG47" i="1"/>
  <c r="X48" i="1"/>
  <c r="AG45" i="1"/>
  <c r="T45" i="1"/>
  <c r="X45" i="1"/>
  <c r="AG39" i="1"/>
  <c r="X40" i="1"/>
  <c r="T39" i="1"/>
  <c r="X39" i="1"/>
  <c r="AG24" i="1"/>
  <c r="X25" i="1"/>
  <c r="T24" i="1"/>
  <c r="X24" i="1"/>
  <c r="T174" i="1"/>
  <c r="T169" i="1"/>
  <c r="U169" i="1" s="1"/>
  <c r="S169" i="1" s="1"/>
  <c r="T166" i="1"/>
  <c r="X166" i="1"/>
  <c r="X165" i="1"/>
  <c r="W163" i="1"/>
  <c r="AG162" i="1"/>
  <c r="AI162" i="1" s="1"/>
  <c r="AI94" i="1"/>
  <c r="T93" i="1"/>
  <c r="AG89" i="1"/>
  <c r="AI88" i="1"/>
  <c r="T87" i="1"/>
  <c r="U87" i="1" s="1"/>
  <c r="S87" i="1" s="1"/>
  <c r="T84" i="1"/>
  <c r="X84" i="1"/>
  <c r="AI74" i="1"/>
  <c r="AI70" i="1"/>
  <c r="AI66" i="1"/>
  <c r="AI62" i="1"/>
  <c r="AI58" i="1"/>
  <c r="AI54" i="1"/>
  <c r="AI50" i="1"/>
  <c r="AG28" i="1"/>
  <c r="X29" i="1"/>
  <c r="T28" i="1"/>
  <c r="X28" i="1"/>
  <c r="AG174" i="1"/>
  <c r="AI174" i="1" s="1"/>
  <c r="T172" i="1"/>
  <c r="U172" i="1" s="1"/>
  <c r="S172" i="1" s="1"/>
  <c r="T170" i="1"/>
  <c r="U170" i="1" s="1"/>
  <c r="S170" i="1" s="1"/>
  <c r="X170" i="1"/>
  <c r="X169" i="1"/>
  <c r="AA167" i="1"/>
  <c r="AG166" i="1"/>
  <c r="AI166" i="1" s="1"/>
  <c r="AI98" i="1"/>
  <c r="AG93" i="1"/>
  <c r="T91" i="1"/>
  <c r="U91" i="1" s="1"/>
  <c r="S91" i="1" s="1"/>
  <c r="T88" i="1"/>
  <c r="U88" i="1" s="1"/>
  <c r="S88" i="1" s="1"/>
  <c r="X88" i="1"/>
  <c r="X87" i="1"/>
  <c r="AA85" i="1"/>
  <c r="AG84" i="1"/>
  <c r="T83" i="1"/>
  <c r="U83" i="1" s="1"/>
  <c r="S83" i="1" s="1"/>
  <c r="AG81" i="1"/>
  <c r="X82" i="1"/>
  <c r="T81" i="1"/>
  <c r="X81" i="1"/>
  <c r="AG77" i="1"/>
  <c r="X78" i="1"/>
  <c r="T77" i="1"/>
  <c r="X77" i="1"/>
  <c r="AG73" i="1"/>
  <c r="X74" i="1"/>
  <c r="T73" i="1"/>
  <c r="X73" i="1"/>
  <c r="AG69" i="1"/>
  <c r="X70" i="1"/>
  <c r="T69" i="1"/>
  <c r="X69" i="1"/>
  <c r="AG65" i="1"/>
  <c r="X66" i="1"/>
  <c r="T65" i="1"/>
  <c r="X65" i="1"/>
  <c r="U62" i="1"/>
  <c r="S62" i="1" s="1"/>
  <c r="AG61" i="1"/>
  <c r="X62" i="1"/>
  <c r="T61" i="1"/>
  <c r="X61" i="1"/>
  <c r="U60" i="1"/>
  <c r="S60" i="1" s="1"/>
  <c r="AG57" i="1"/>
  <c r="X58" i="1"/>
  <c r="T57" i="1"/>
  <c r="X57" i="1"/>
  <c r="U54" i="1"/>
  <c r="S54" i="1" s="1"/>
  <c r="AG53" i="1"/>
  <c r="X54" i="1"/>
  <c r="T53" i="1"/>
  <c r="X53" i="1"/>
  <c r="AI43" i="1"/>
  <c r="AG32" i="1"/>
  <c r="W32" i="1" s="1"/>
  <c r="T32" i="1"/>
  <c r="AG16" i="1"/>
  <c r="W16" i="1" s="1"/>
  <c r="X17" i="1"/>
  <c r="T16" i="1"/>
  <c r="X16" i="1"/>
  <c r="T46" i="1"/>
  <c r="X46" i="1"/>
  <c r="AI41" i="1"/>
  <c r="AI37" i="1"/>
  <c r="AI30" i="1"/>
  <c r="AI26" i="1"/>
  <c r="U26" i="1"/>
  <c r="S26" i="1" s="1"/>
  <c r="AI22" i="1"/>
  <c r="U22" i="1"/>
  <c r="S22" i="1" s="1"/>
  <c r="AI18" i="1"/>
  <c r="AI14" i="1"/>
  <c r="U14" i="1"/>
  <c r="S14" i="1" s="1"/>
  <c r="X80" i="1"/>
  <c r="X76" i="1"/>
  <c r="X72" i="1"/>
  <c r="X68" i="1"/>
  <c r="X64" i="1"/>
  <c r="X60" i="1"/>
  <c r="X56" i="1"/>
  <c r="X52" i="1"/>
  <c r="T50" i="1"/>
  <c r="U50" i="1" s="1"/>
  <c r="S50" i="1" s="1"/>
  <c r="X50" i="1"/>
  <c r="X49" i="1"/>
  <c r="AA47" i="1"/>
  <c r="AG46" i="1"/>
  <c r="T43" i="1"/>
  <c r="U43" i="1" s="1"/>
  <c r="S43" i="1" s="1"/>
  <c r="X43" i="1"/>
  <c r="AI40" i="1"/>
  <c r="AI36" i="1"/>
  <c r="S25" i="1"/>
  <c r="AI21" i="1"/>
  <c r="X42" i="1"/>
  <c r="X38" i="1"/>
  <c r="X31" i="1"/>
  <c r="X27" i="1"/>
  <c r="X23" i="1"/>
  <c r="X19" i="1"/>
  <c r="X15" i="1"/>
  <c r="Y30" i="3"/>
  <c r="Y12" i="3"/>
  <c r="Y14" i="3"/>
  <c r="Y40" i="3"/>
  <c r="Y15" i="3"/>
  <c r="Y39" i="3"/>
  <c r="Y27" i="3"/>
  <c r="Y25" i="3"/>
  <c r="AD31" i="3"/>
  <c r="AD35" i="3"/>
  <c r="AD30" i="3"/>
  <c r="AD29" i="3"/>
  <c r="AD45" i="3"/>
  <c r="AD41" i="3"/>
  <c r="AD14" i="3"/>
  <c r="AD36" i="3"/>
  <c r="AD47" i="3"/>
  <c r="AD7" i="3"/>
  <c r="AD44" i="3"/>
  <c r="AD43" i="3"/>
  <c r="AD27" i="3"/>
  <c r="AD25" i="3"/>
  <c r="AD40" i="3"/>
  <c r="AD33" i="3"/>
  <c r="AD11" i="3"/>
  <c r="AD38" i="3"/>
  <c r="AD22" i="3"/>
  <c r="AD23" i="3"/>
  <c r="AD13" i="3"/>
  <c r="AD24" i="3"/>
  <c r="AD9" i="3"/>
  <c r="AD20" i="3"/>
  <c r="AD19" i="3"/>
  <c r="AD21" i="3"/>
  <c r="AD18" i="3"/>
  <c r="AD10" i="3"/>
  <c r="AD16" i="3"/>
  <c r="AD26" i="3"/>
  <c r="AD15" i="3"/>
  <c r="AD8" i="3"/>
  <c r="AD17" i="3"/>
  <c r="AD46" i="3"/>
  <c r="AD34" i="3"/>
  <c r="AD39" i="3"/>
  <c r="AD42" i="3"/>
  <c r="AD37" i="3"/>
  <c r="AD28" i="3"/>
  <c r="AD12" i="3"/>
  <c r="AC31" i="3"/>
  <c r="AC17" i="3"/>
  <c r="AC35" i="3"/>
  <c r="AC46" i="3"/>
  <c r="AC34" i="3"/>
  <c r="AC30" i="3"/>
  <c r="AC39" i="3"/>
  <c r="AC29" i="3"/>
  <c r="AC42" i="3"/>
  <c r="AC45" i="3"/>
  <c r="AC37" i="3"/>
  <c r="AC28" i="3"/>
  <c r="AC41" i="3"/>
  <c r="AC12" i="3"/>
  <c r="AC14" i="3"/>
  <c r="AC36" i="3"/>
  <c r="AC48" i="3"/>
  <c r="AC47" i="3"/>
  <c r="AC7" i="3"/>
  <c r="AC44" i="3"/>
  <c r="AC43" i="3"/>
  <c r="AC27" i="3"/>
  <c r="AC25" i="3"/>
  <c r="AC40" i="3"/>
  <c r="AC33" i="3"/>
  <c r="AC11" i="3"/>
  <c r="AC38" i="3"/>
  <c r="AC22" i="3"/>
  <c r="AC23" i="3"/>
  <c r="AC13" i="3"/>
  <c r="AC24" i="3"/>
  <c r="AC9" i="3"/>
  <c r="AC20" i="3"/>
  <c r="AC19" i="3"/>
  <c r="AC21" i="3"/>
  <c r="AC18" i="3"/>
  <c r="AC10" i="3"/>
  <c r="AC16" i="3"/>
  <c r="AC26" i="3"/>
  <c r="AC15" i="3"/>
  <c r="AC8" i="3"/>
  <c r="Y46" i="3"/>
  <c r="M32" i="3"/>
  <c r="R32" i="3"/>
  <c r="S32" i="3"/>
  <c r="U32" i="3"/>
  <c r="T32" i="3" s="1"/>
  <c r="V32" i="3"/>
  <c r="W32" i="3"/>
  <c r="X32" i="3"/>
  <c r="U106" i="1" l="1"/>
  <c r="S106" i="1" s="1"/>
  <c r="AI75" i="1"/>
  <c r="U56" i="1"/>
  <c r="S56" i="1" s="1"/>
  <c r="U64" i="1"/>
  <c r="S64" i="1" s="1"/>
  <c r="S120" i="1"/>
  <c r="W126" i="1"/>
  <c r="W203" i="1"/>
  <c r="U18" i="1"/>
  <c r="S18" i="1" s="1"/>
  <c r="AI86" i="1"/>
  <c r="W112" i="1"/>
  <c r="U185" i="1"/>
  <c r="S185" i="1" s="1"/>
  <c r="AI136" i="1"/>
  <c r="W144" i="1"/>
  <c r="AI190" i="1"/>
  <c r="W175" i="1"/>
  <c r="W135" i="1"/>
  <c r="U100" i="1"/>
  <c r="S100" i="1" s="1"/>
  <c r="W208" i="1"/>
  <c r="W141" i="1"/>
  <c r="U135" i="1"/>
  <c r="S135" i="1" s="1"/>
  <c r="U208" i="1"/>
  <c r="S208" i="1" s="1"/>
  <c r="W25" i="1"/>
  <c r="W120" i="1"/>
  <c r="W101" i="1"/>
  <c r="U176" i="1"/>
  <c r="S176" i="1" s="1"/>
  <c r="AI97" i="1"/>
  <c r="U99" i="1"/>
  <c r="S99" i="1" s="1"/>
  <c r="U29" i="1"/>
  <c r="S29" i="1" s="1"/>
  <c r="U119" i="1"/>
  <c r="S119" i="1" s="1"/>
  <c r="W146" i="1"/>
  <c r="AI214" i="1"/>
  <c r="W99" i="1"/>
  <c r="W160" i="1"/>
  <c r="AI148" i="1"/>
  <c r="U79" i="1"/>
  <c r="S79" i="1" s="1"/>
  <c r="W110" i="1"/>
  <c r="U128" i="1"/>
  <c r="S128" i="1" s="1"/>
  <c r="W133" i="1"/>
  <c r="W190" i="1"/>
  <c r="U114" i="1"/>
  <c r="S114" i="1" s="1"/>
  <c r="AI137" i="1"/>
  <c r="AI176" i="1"/>
  <c r="W134" i="1"/>
  <c r="W90" i="1"/>
  <c r="U33" i="1"/>
  <c r="S33" i="1" s="1"/>
  <c r="W143" i="1"/>
  <c r="AI34" i="1"/>
  <c r="W47" i="1"/>
  <c r="W61" i="1"/>
  <c r="W167" i="1"/>
  <c r="U75" i="1"/>
  <c r="S75" i="1" s="1"/>
  <c r="U192" i="1"/>
  <c r="S192" i="1" s="1"/>
  <c r="AI160" i="1"/>
  <c r="W18" i="1"/>
  <c r="W106" i="1"/>
  <c r="W127" i="1"/>
  <c r="U78" i="1"/>
  <c r="S78" i="1" s="1"/>
  <c r="W94" i="1"/>
  <c r="W214" i="1"/>
  <c r="W38" i="1"/>
  <c r="U44" i="1"/>
  <c r="W44" i="1"/>
  <c r="U76" i="1"/>
  <c r="W77" i="1"/>
  <c r="AI78" i="1"/>
  <c r="U145" i="1"/>
  <c r="S145" i="1" s="1"/>
  <c r="AI198" i="1"/>
  <c r="W161" i="1"/>
  <c r="W186" i="1"/>
  <c r="W113" i="1"/>
  <c r="W78" i="1"/>
  <c r="W155" i="1"/>
  <c r="W149" i="1"/>
  <c r="U94" i="1"/>
  <c r="S94" i="1" s="1"/>
  <c r="U121" i="1"/>
  <c r="S121" i="1" s="1"/>
  <c r="W76" i="1"/>
  <c r="W23" i="1"/>
  <c r="AI33" i="1"/>
  <c r="U52" i="1"/>
  <c r="S52" i="1" s="1"/>
  <c r="W53" i="1"/>
  <c r="AI126" i="1"/>
  <c r="AI132" i="1"/>
  <c r="W116" i="1"/>
  <c r="AI157" i="1"/>
  <c r="W198" i="1"/>
  <c r="U110" i="1"/>
  <c r="S110" i="1" s="1"/>
  <c r="W82" i="1"/>
  <c r="W42" i="1"/>
  <c r="W125" i="1"/>
  <c r="W114" i="1"/>
  <c r="W52" i="1"/>
  <c r="U72" i="1"/>
  <c r="S72" i="1" s="1"/>
  <c r="U82" i="1"/>
  <c r="S82" i="1" s="1"/>
  <c r="W130" i="1"/>
  <c r="U139" i="1"/>
  <c r="S139" i="1" s="1"/>
  <c r="U155" i="1"/>
  <c r="S155" i="1" s="1"/>
  <c r="U204" i="1"/>
  <c r="S204" i="1" s="1"/>
  <c r="W31" i="1"/>
  <c r="U123" i="1"/>
  <c r="S123" i="1" s="1"/>
  <c r="W105" i="1"/>
  <c r="U19" i="1"/>
  <c r="S19" i="1" s="1"/>
  <c r="AI19" i="1"/>
  <c r="W19" i="1"/>
  <c r="U68" i="1"/>
  <c r="S68" i="1" s="1"/>
  <c r="W69" i="1"/>
  <c r="W89" i="1"/>
  <c r="W118" i="1"/>
  <c r="U189" i="1"/>
  <c r="S189" i="1" s="1"/>
  <c r="U105" i="1"/>
  <c r="S105" i="1" s="1"/>
  <c r="W207" i="1"/>
  <c r="AI207" i="1"/>
  <c r="W68" i="1"/>
  <c r="U86" i="1"/>
  <c r="S86" i="1" s="1"/>
  <c r="W142" i="1"/>
  <c r="W121" i="1"/>
  <c r="W60" i="1"/>
  <c r="U161" i="1"/>
  <c r="S161" i="1" s="1"/>
  <c r="AI128" i="1"/>
  <c r="U118" i="1"/>
  <c r="S118" i="1" s="1"/>
  <c r="AI202" i="1"/>
  <c r="W33" i="1"/>
  <c r="W192" i="1"/>
  <c r="W132" i="1"/>
  <c r="W157" i="1"/>
  <c r="W206" i="1"/>
  <c r="W140" i="1"/>
  <c r="W85" i="1"/>
  <c r="U85" i="1"/>
  <c r="S85" i="1" s="1"/>
  <c r="AI144" i="1"/>
  <c r="AI143" i="1"/>
  <c r="AI140" i="1"/>
  <c r="AI147" i="1"/>
  <c r="AI151" i="1"/>
  <c r="U168" i="1"/>
  <c r="S168" i="1" s="1"/>
  <c r="U15" i="1"/>
  <c r="S15" i="1" s="1"/>
  <c r="AI15" i="1"/>
  <c r="W15" i="1"/>
  <c r="U17" i="1"/>
  <c r="S17" i="1" s="1"/>
  <c r="W72" i="1"/>
  <c r="W56" i="1"/>
  <c r="W131" i="1"/>
  <c r="W204" i="1"/>
  <c r="W95" i="1"/>
  <c r="AI95" i="1"/>
  <c r="W168" i="1"/>
  <c r="U181" i="1"/>
  <c r="S181" i="1" s="1"/>
  <c r="W181" i="1"/>
  <c r="U97" i="1"/>
  <c r="S97" i="1" s="1"/>
  <c r="W137" i="1"/>
  <c r="W145" i="1"/>
  <c r="AI149" i="1"/>
  <c r="U149" i="1"/>
  <c r="S149" i="1" s="1"/>
  <c r="W147" i="1"/>
  <c r="AI184" i="1"/>
  <c r="W193" i="1"/>
  <c r="W17" i="1"/>
  <c r="U90" i="1"/>
  <c r="S90" i="1" s="1"/>
  <c r="AI90" i="1"/>
  <c r="W119" i="1"/>
  <c r="U42" i="1"/>
  <c r="S42" i="1" s="1"/>
  <c r="AI42" i="1"/>
  <c r="W171" i="1"/>
  <c r="AI113" i="1"/>
  <c r="U113" i="1"/>
  <c r="S113" i="1" s="1"/>
  <c r="U27" i="1"/>
  <c r="S27" i="1" s="1"/>
  <c r="AI27" i="1"/>
  <c r="W139" i="1"/>
  <c r="W151" i="1"/>
  <c r="AI203" i="1"/>
  <c r="U31" i="1"/>
  <c r="S31" i="1" s="1"/>
  <c r="AI31" i="1"/>
  <c r="W64" i="1"/>
  <c r="U80" i="1"/>
  <c r="S80" i="1" s="1"/>
  <c r="AI80" i="1"/>
  <c r="W164" i="1"/>
  <c r="U101" i="1"/>
  <c r="S101" i="1" s="1"/>
  <c r="W128" i="1"/>
  <c r="W200" i="1"/>
  <c r="W202" i="1"/>
  <c r="U39" i="1"/>
  <c r="S39" i="1" s="1"/>
  <c r="AI39" i="1"/>
  <c r="U81" i="1"/>
  <c r="S81" i="1" s="1"/>
  <c r="AI81" i="1"/>
  <c r="AI93" i="1"/>
  <c r="U93" i="1"/>
  <c r="S93" i="1" s="1"/>
  <c r="U16" i="1"/>
  <c r="S16" i="1" s="1"/>
  <c r="AI16" i="1"/>
  <c r="U32" i="1"/>
  <c r="S32" i="1" s="1"/>
  <c r="AI32" i="1"/>
  <c r="U57" i="1"/>
  <c r="S57" i="1" s="1"/>
  <c r="AI57" i="1"/>
  <c r="U65" i="1"/>
  <c r="S65" i="1" s="1"/>
  <c r="AI65" i="1"/>
  <c r="U73" i="1"/>
  <c r="S73" i="1" s="1"/>
  <c r="AI73" i="1"/>
  <c r="W57" i="1"/>
  <c r="W73" i="1"/>
  <c r="AI89" i="1"/>
  <c r="U89" i="1"/>
  <c r="S89" i="1" s="1"/>
  <c r="U162" i="1"/>
  <c r="S162" i="1" s="1"/>
  <c r="AI96" i="1"/>
  <c r="U45" i="1"/>
  <c r="AI45" i="1"/>
  <c r="W93" i="1"/>
  <c r="AI183" i="1"/>
  <c r="U148" i="1"/>
  <c r="S148" i="1" s="1"/>
  <c r="AI46" i="1"/>
  <c r="U46" i="1"/>
  <c r="S46" i="1" s="1"/>
  <c r="W46" i="1"/>
  <c r="U24" i="1"/>
  <c r="S24" i="1" s="1"/>
  <c r="AI24" i="1"/>
  <c r="U112" i="1"/>
  <c r="S112" i="1" s="1"/>
  <c r="AI146" i="1"/>
  <c r="AI189" i="1"/>
  <c r="U154" i="1"/>
  <c r="S154" i="1" s="1"/>
  <c r="AI197" i="1"/>
  <c r="U195" i="1"/>
  <c r="S195" i="1" s="1"/>
  <c r="AI205" i="1"/>
  <c r="U203" i="1"/>
  <c r="S203" i="1" s="1"/>
  <c r="AI213" i="1"/>
  <c r="U213" i="1"/>
  <c r="S213" i="1" s="1"/>
  <c r="W154" i="1"/>
  <c r="W213" i="1"/>
  <c r="AI109" i="1"/>
  <c r="U174" i="1"/>
  <c r="S174" i="1" s="1"/>
  <c r="U20" i="1"/>
  <c r="S20" i="1" s="1"/>
  <c r="AI20" i="1"/>
  <c r="U35" i="1"/>
  <c r="S35" i="1" s="1"/>
  <c r="AI35" i="1"/>
  <c r="AI105" i="1"/>
  <c r="U95" i="1"/>
  <c r="S95" i="1" s="1"/>
  <c r="U184" i="1"/>
  <c r="S184" i="1" s="1"/>
  <c r="AI120" i="1"/>
  <c r="W24" i="1"/>
  <c r="W39" i="1"/>
  <c r="U53" i="1"/>
  <c r="S53" i="1" s="1"/>
  <c r="AI53" i="1"/>
  <c r="U61" i="1"/>
  <c r="S61" i="1" s="1"/>
  <c r="AI61" i="1"/>
  <c r="U69" i="1"/>
  <c r="S69" i="1" s="1"/>
  <c r="AI69" i="1"/>
  <c r="U77" i="1"/>
  <c r="AI77" i="1"/>
  <c r="U166" i="1"/>
  <c r="S166" i="1" s="1"/>
  <c r="AI100" i="1"/>
  <c r="W166" i="1"/>
  <c r="U28" i="1"/>
  <c r="S28" i="1" s="1"/>
  <c r="AI28" i="1"/>
  <c r="W65" i="1"/>
  <c r="W81" i="1"/>
  <c r="AI47" i="1"/>
  <c r="U47" i="1"/>
  <c r="S47" i="1" s="1"/>
  <c r="W45" i="1"/>
  <c r="W177" i="1"/>
  <c r="AI101" i="1"/>
  <c r="U167" i="1"/>
  <c r="S167" i="1" s="1"/>
  <c r="AI156" i="1"/>
  <c r="U122" i="1"/>
  <c r="S122" i="1" s="1"/>
  <c r="U126" i="1"/>
  <c r="S126" i="1" s="1"/>
  <c r="AI163" i="1"/>
  <c r="U130" i="1"/>
  <c r="S130" i="1" s="1"/>
  <c r="AI167" i="1"/>
  <c r="U134" i="1"/>
  <c r="S134" i="1" s="1"/>
  <c r="AI171" i="1"/>
  <c r="U138" i="1"/>
  <c r="S138" i="1" s="1"/>
  <c r="AI175" i="1"/>
  <c r="AI179" i="1"/>
  <c r="U144" i="1"/>
  <c r="S144" i="1" s="1"/>
  <c r="U152" i="1"/>
  <c r="S152" i="1" s="1"/>
  <c r="AI187" i="1"/>
  <c r="W152" i="1"/>
  <c r="W195" i="1"/>
  <c r="W20" i="1"/>
  <c r="U84" i="1"/>
  <c r="S84" i="1" s="1"/>
  <c r="AI84" i="1"/>
  <c r="W84" i="1"/>
  <c r="AI112" i="1"/>
  <c r="U177" i="1"/>
  <c r="S177" i="1" s="1"/>
  <c r="AI116" i="1"/>
  <c r="U96" i="1"/>
  <c r="S96" i="1" s="1"/>
  <c r="W162" i="1"/>
  <c r="W96" i="1"/>
  <c r="W174" i="1"/>
  <c r="U116" i="1"/>
  <c r="S116" i="1" s="1"/>
  <c r="AI150" i="1"/>
  <c r="W122" i="1"/>
  <c r="W138" i="1"/>
  <c r="AI193" i="1"/>
  <c r="U158" i="1"/>
  <c r="S158" i="1" s="1"/>
  <c r="AI201" i="1"/>
  <c r="U199" i="1"/>
  <c r="S199" i="1" s="1"/>
  <c r="AI209" i="1"/>
  <c r="U207" i="1"/>
  <c r="S207" i="1" s="1"/>
  <c r="W158" i="1"/>
  <c r="W199" i="1"/>
  <c r="AD48" i="3"/>
  <c r="AC32" i="3"/>
  <c r="Y32" i="3"/>
  <c r="S44" i="1" l="1"/>
  <c r="S76" i="1"/>
  <c r="AD32" i="3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0" i="3" l="1"/>
  <c r="N19" i="3"/>
  <c r="N27" i="3"/>
  <c r="N38" i="3"/>
  <c r="N10" i="3"/>
  <c r="N26" i="3"/>
  <c r="N46" i="3"/>
  <c r="N34" i="3"/>
  <c r="N12" i="3"/>
  <c r="N28" i="3"/>
  <c r="N14" i="3"/>
  <c r="N40" i="3"/>
  <c r="N33" i="3"/>
  <c r="N17" i="3"/>
  <c r="N39" i="3"/>
  <c r="N29" i="3"/>
  <c r="N37" i="3"/>
  <c r="N45" i="3"/>
  <c r="N48" i="3"/>
  <c r="N47" i="3"/>
  <c r="N44" i="3"/>
  <c r="N43" i="3"/>
  <c r="N13" i="3"/>
  <c r="N11" i="3"/>
  <c r="N9" i="3"/>
  <c r="N24" i="3"/>
  <c r="N21" i="3"/>
  <c r="N8" i="3"/>
  <c r="N15" i="3"/>
  <c r="N16" i="3"/>
  <c r="N42" i="3"/>
  <c r="N35" i="3"/>
  <c r="N31" i="3"/>
  <c r="N30" i="3"/>
  <c r="N41" i="3"/>
  <c r="N36" i="3"/>
  <c r="N32" i="3"/>
  <c r="N7" i="3"/>
  <c r="N25" i="3"/>
  <c r="N23" i="3"/>
  <c r="N22" i="3"/>
  <c r="N18" i="3"/>
  <c r="L13" i="1"/>
  <c r="B82" i="9" l="1"/>
  <c r="B83" i="9"/>
  <c r="B84" i="9"/>
  <c r="B85" i="9"/>
  <c r="B86" i="9"/>
  <c r="B87" i="9"/>
  <c r="C88" i="9" s="1"/>
  <c r="B88" i="9"/>
  <c r="B89" i="9"/>
  <c r="C89" i="9"/>
  <c r="B90" i="9"/>
  <c r="B91" i="9"/>
  <c r="B92" i="9"/>
  <c r="B93" i="9"/>
  <c r="C94" i="9" s="1"/>
  <c r="B94" i="9"/>
  <c r="B95" i="9"/>
  <c r="C95" i="9"/>
  <c r="B96" i="9"/>
  <c r="C97" i="9" s="1"/>
  <c r="B97" i="9"/>
  <c r="C83" i="9" l="1"/>
  <c r="C96" i="9"/>
  <c r="C86" i="9"/>
  <c r="C91" i="9"/>
  <c r="C87" i="9"/>
  <c r="C90" i="9"/>
  <c r="C93" i="9"/>
  <c r="C92" i="9"/>
  <c r="C85" i="9"/>
  <c r="C84" i="9"/>
  <c r="B76" i="9"/>
  <c r="B77" i="9"/>
  <c r="B78" i="9"/>
  <c r="B79" i="9"/>
  <c r="B80" i="9"/>
  <c r="B81" i="9"/>
  <c r="C82" i="9" s="1"/>
  <c r="B6" i="6"/>
  <c r="H6" i="6" s="1"/>
  <c r="K6" i="6"/>
  <c r="B7" i="6"/>
  <c r="F7" i="6" s="1"/>
  <c r="K7" i="6"/>
  <c r="B8" i="6"/>
  <c r="G8" i="6" s="1"/>
  <c r="K8" i="6"/>
  <c r="B9" i="6"/>
  <c r="H9" i="6" s="1"/>
  <c r="K9" i="6"/>
  <c r="B10" i="6"/>
  <c r="H10" i="6" s="1"/>
  <c r="K10" i="6"/>
  <c r="C80" i="9" l="1"/>
  <c r="C81" i="9"/>
  <c r="F8" i="6"/>
  <c r="J9" i="6"/>
  <c r="I6" i="6"/>
  <c r="C77" i="9"/>
  <c r="C79" i="9"/>
  <c r="C78" i="9"/>
  <c r="G10" i="6"/>
  <c r="J10" i="6"/>
  <c r="F10" i="6"/>
  <c r="I9" i="6"/>
  <c r="G6" i="6"/>
  <c r="G9" i="6"/>
  <c r="J8" i="6"/>
  <c r="J6" i="6"/>
  <c r="F6" i="6"/>
  <c r="I10" i="6"/>
  <c r="F9" i="6"/>
  <c r="I8" i="6"/>
  <c r="I7" i="6"/>
  <c r="H7" i="6"/>
  <c r="H8" i="6"/>
  <c r="G7" i="6"/>
  <c r="J7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C76" i="9" s="1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64" i="9"/>
  <c r="C50" i="9"/>
  <c r="C48" i="9"/>
  <c r="B1" i="9"/>
  <c r="C1" i="9" s="1"/>
  <c r="C4" i="9"/>
  <c r="C7" i="9"/>
  <c r="C24" i="9"/>
  <c r="C33" i="9"/>
  <c r="C74" i="9"/>
  <c r="C45" i="9"/>
  <c r="C70" i="9"/>
  <c r="C68" i="9"/>
  <c r="C44" i="9"/>
  <c r="C61" i="9"/>
  <c r="C71" i="9"/>
  <c r="C73" i="9"/>
  <c r="C42" i="9"/>
  <c r="C57" i="9"/>
  <c r="C51" i="9"/>
  <c r="C10" i="9"/>
  <c r="C46" i="9"/>
  <c r="C62" i="9"/>
  <c r="C15" i="9"/>
  <c r="C30" i="9"/>
  <c r="C16" i="9"/>
  <c r="C29" i="9"/>
  <c r="C12" i="9"/>
  <c r="C37" i="9"/>
  <c r="C36" i="9"/>
  <c r="C39" i="9"/>
  <c r="C13" i="9"/>
  <c r="C25" i="9" l="1"/>
  <c r="C19" i="9"/>
  <c r="C67" i="9"/>
  <c r="C59" i="9"/>
  <c r="C54" i="9"/>
  <c r="C22" i="9"/>
  <c r="C17" i="9"/>
  <c r="C75" i="9"/>
  <c r="C18" i="9"/>
  <c r="C20" i="9"/>
  <c r="C34" i="9"/>
  <c r="C52" i="9"/>
  <c r="C69" i="9"/>
  <c r="C55" i="9"/>
  <c r="C8" i="9"/>
  <c r="C9" i="9"/>
  <c r="C65" i="9"/>
  <c r="C38" i="9"/>
  <c r="C47" i="9"/>
  <c r="C66" i="9"/>
  <c r="C58" i="9"/>
  <c r="C60" i="9"/>
  <c r="C31" i="9"/>
  <c r="C32" i="9"/>
  <c r="C5" i="9"/>
  <c r="C6" i="9"/>
  <c r="C27" i="9"/>
  <c r="C35" i="9"/>
  <c r="C14" i="9"/>
  <c r="C28" i="9"/>
  <c r="C63" i="9"/>
  <c r="C11" i="9"/>
  <c r="C53" i="9"/>
  <c r="C40" i="9"/>
  <c r="C41" i="9"/>
  <c r="C72" i="9"/>
  <c r="C43" i="9"/>
  <c r="C56" i="9"/>
  <c r="C2" i="9"/>
  <c r="C3" i="9"/>
  <c r="C49" i="9"/>
  <c r="C21" i="9"/>
  <c r="C23" i="9"/>
  <c r="W13" i="1"/>
  <c r="AI13" i="1"/>
  <c r="U13" i="1"/>
  <c r="S13" i="1" s="1"/>
  <c r="B3" i="6" l="1"/>
  <c r="F3" i="6" s="1"/>
  <c r="K3" i="6"/>
  <c r="B4" i="6"/>
  <c r="K4" i="6"/>
  <c r="B5" i="6"/>
  <c r="K5" i="6"/>
  <c r="I5" i="6" l="1"/>
  <c r="F4" i="6"/>
  <c r="J4" i="6"/>
  <c r="J5" i="6"/>
  <c r="F5" i="6"/>
  <c r="I4" i="6"/>
  <c r="I3" i="6"/>
  <c r="J3" i="6"/>
  <c r="M30" i="5" l="1"/>
  <c r="M29" i="5"/>
  <c r="M27" i="5"/>
  <c r="G4" i="6" l="1"/>
  <c r="F250" i="4"/>
  <c r="F251" i="4"/>
  <c r="G5" i="6" l="1"/>
  <c r="G3" i="6"/>
  <c r="H4" i="6"/>
  <c r="H3" i="6"/>
  <c r="H5" i="6"/>
  <c r="M26" i="5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2" i="4" l="1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<sst xmlns="http://schemas.openxmlformats.org/spreadsheetml/2006/main" count="2592" uniqueCount="954">
  <si>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</si>
  <si>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</si>
  <si>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</si>
  <si>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</si>
  <si>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</si>
  <si>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</si>
  <si>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</si>
  <si>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</si>
  <si>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</si>
  <si>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</si>
  <si>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</si>
  <si>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</si>
  <si>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</si>
  <si>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</si>
  <si>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</si>
  <si>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</si>
  <si>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</si>
  <si>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</si>
  <si>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</si>
  <si>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</si>
  <si>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</si>
  <si>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</si>
  <si>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</si>
  <si>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</si>
  <si>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</si>
  <si>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</si>
  <si>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</si>
  <si>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</si>
  <si>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</si>
  <si>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</si>
  <si>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</si>
  <si>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</si>
  <si>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</si>
  <si>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</si>
  <si>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</si>
  <si>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</si>
  <si>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</si>
  <si>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</si>
  <si>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</si>
  <si>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</si>
  <si>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</si>
  <si>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</si>
  <si>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</si>
  <si>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</si>
  <si>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</si>
  <si>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</si>
  <si>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</si>
  <si>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</si>
  <si>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</si>
  <si>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</si>
  <si>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</si>
  <si>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</si>
  <si>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</si>
  <si>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</si>
  <si>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</si>
  <si>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</si>
  <si>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</si>
  <si>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</si>
  <si>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</si>
  <si>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</si>
  <si>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</si>
  <si>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</si>
  <si>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</si>
  <si>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</si>
  <si>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</si>
  <si>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</si>
  <si>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</si>
  <si>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</si>
  <si>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</si>
  <si>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</si>
  <si>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</si>
  <si>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</si>
  <si>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</si>
  <si>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</si>
  <si>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</si>
  <si>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</si>
  <si>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</si>
  <si>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</si>
  <si>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</si>
  <si>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</si>
  <si>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</si>
  <si>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</si>
  <si>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</si>
  <si>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</si>
  <si>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</si>
  <si>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</si>
  <si>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</si>
  <si>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</si>
  <si>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</si>
  <si>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</si>
  <si>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</si>
  <si>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</si>
  <si>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</si>
  <si>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</si>
  <si>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</si>
  <si>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</si>
  <si>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</si>
  <si>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</si>
  <si>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</si>
  <si>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</si>
  <si>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</si>
  <si>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</si>
  <si>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</si>
  <si>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</si>
  <si>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</si>
  <si>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</si>
  <si>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</si>
  <si>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</si>
  <si>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</si>
  <si>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</si>
  <si>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</si>
  <si>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</si>
  <si>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</si>
  <si>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</si>
  <si>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</si>
  <si>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</si>
  <si>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</si>
  <si>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</si>
  <si>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</si>
  <si>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</si>
  <si>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</si>
  <si>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</si>
  <si>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</si>
  <si>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</si>
  <si>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</si>
  <si>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</si>
  <si>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</si>
  <si>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</si>
  <si>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</si>
  <si>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</si>
  <si>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</si>
  <si>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</si>
  <si>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</si>
  <si>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</si>
  <si>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</si>
  <si>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</si>
  <si>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</si>
  <si>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</si>
  <si>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</si>
  <si>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</si>
  <si>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</si>
  <si>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</si>
  <si>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</si>
  <si>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</si>
  <si>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</si>
  <si>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</si>
  <si>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</si>
  <si>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</si>
  <si>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</si>
  <si>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</si>
  <si>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</si>
  <si>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</si>
  <si>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</si>
  <si>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</si>
  <si>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</si>
  <si>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</si>
  <si>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</si>
  <si>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</si>
  <si>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</si>
  <si>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</si>
  <si>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</si>
  <si>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</si>
  <si>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</si>
  <si>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</si>
  <si>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</si>
  <si>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</si>
  <si>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</si>
  <si>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</si>
  <si>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</si>
  <si>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</si>
  <si>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</si>
  <si>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</si>
  <si>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</si>
  <si>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</si>
  <si>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</si>
  <si>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</si>
  <si>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</si>
  <si>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</si>
  <si>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</si>
  <si>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</si>
  <si>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</si>
  <si>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</si>
  <si>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</si>
  <si>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</si>
  <si>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</si>
  <si>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</si>
  <si>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</si>
  <si>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</si>
  <si>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</si>
  <si>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</si>
  <si>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</si>
  <si>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</si>
  <si>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</si>
  <si>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</si>
  <si>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</si>
  <si>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</si>
  <si>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</si>
  <si>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</si>
  <si>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</si>
  <si>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</si>
  <si>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</si>
  <si>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</si>
  <si>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</si>
  <si>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</si>
  <si>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204:232977</t>
  </si>
  <si>
    <t>AWS CP Commands</t>
  </si>
  <si>
    <t>204:156</t>
  </si>
  <si>
    <t>204:462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</si>
  <si>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</si>
  <si>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</si>
  <si>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</si>
  <si>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</si>
  <si>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</si>
  <si>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</si>
  <si>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</si>
  <si>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</si>
  <si>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</si>
  <si>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</si>
  <si>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</si>
  <si>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</si>
  <si>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</si>
  <si>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</si>
  <si>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</si>
  <si>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</si>
  <si>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</si>
  <si>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</si>
  <si>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</si>
  <si>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</si>
  <si>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</si>
  <si>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</si>
  <si>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</si>
  <si>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204:449</t>
  </si>
  <si>
    <t>204:141</t>
  </si>
  <si>
    <t>rtdc.l.rtdc.4014:itc</t>
  </si>
  <si>
    <t>rtdc.l.rtdc.4013:itc</t>
  </si>
  <si>
    <t>204:232975</t>
  </si>
  <si>
    <t>CLI Grep2 (for slice disagreement)</t>
  </si>
  <si>
    <t>204:232998</t>
  </si>
  <si>
    <t>Y</t>
  </si>
  <si>
    <t>204:147</t>
  </si>
  <si>
    <t>204:232993</t>
  </si>
  <si>
    <t>204:165</t>
  </si>
  <si>
    <t>204:233314</t>
  </si>
  <si>
    <t>204:455</t>
  </si>
  <si>
    <t>rtdc.l.rtdc.4031:itc</t>
  </si>
  <si>
    <t>204:442</t>
  </si>
  <si>
    <t>rtdc.l.rtdc.4046:itc</t>
  </si>
  <si>
    <t>204:161</t>
  </si>
  <si>
    <t>204:460</t>
  </si>
  <si>
    <t>204:233302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</si>
  <si>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</si>
  <si>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</si>
  <si>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</si>
  <si>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</si>
  <si>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</si>
  <si>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</si>
  <si>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</si>
  <si>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204:233308</t>
  </si>
  <si>
    <t>rtdc.l.rtdc.4003:itc</t>
  </si>
  <si>
    <t>rtdc.l.rtdc.4004:itc</t>
  </si>
  <si>
    <t>204:233303</t>
  </si>
  <si>
    <t>204:232989</t>
  </si>
  <si>
    <t>rtdc.l.rtdc.4010:itc</t>
  </si>
  <si>
    <t>204:232988</t>
  </si>
  <si>
    <t>204:145</t>
  </si>
  <si>
    <t>204:232996</t>
  </si>
  <si>
    <t>204:467</t>
  </si>
  <si>
    <t>204:233298</t>
  </si>
  <si>
    <t>300:58611</t>
  </si>
  <si>
    <t>rtdc.l.rtdc.4032:itc</t>
  </si>
  <si>
    <t>242-25</t>
  </si>
  <si>
    <t>CHANDLER</t>
  </si>
  <si>
    <t>LALONDE</t>
  </si>
  <si>
    <t>81-25</t>
  </si>
  <si>
    <t>80-25</t>
  </si>
  <si>
    <t>245-25</t>
  </si>
  <si>
    <t>309-25</t>
  </si>
  <si>
    <t>244-25</t>
  </si>
  <si>
    <t>311-25</t>
  </si>
  <si>
    <t>246-25</t>
  </si>
  <si>
    <t>313-25</t>
  </si>
  <si>
    <t>315-25</t>
  </si>
  <si>
    <t>204:233301</t>
  </si>
  <si>
    <t>partly-cloudy-night</t>
  </si>
  <si>
    <t>partly-cloudy-day</t>
  </si>
  <si>
    <t>204:160</t>
  </si>
  <si>
    <t>204:232982</t>
  </si>
  <si>
    <t>204:458</t>
  </si>
  <si>
    <t>204:233325</t>
  </si>
  <si>
    <t>rtdc.l.rtdc.4016:itc</t>
  </si>
  <si>
    <t>rtdc.l.rtdc.4001:itc</t>
  </si>
  <si>
    <t>LEVERE</t>
  </si>
  <si>
    <t>COOLAHAN</t>
  </si>
  <si>
    <t>204:163</t>
  </si>
  <si>
    <t>204:233289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</si>
  <si>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</si>
  <si>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</si>
  <si>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</si>
  <si>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</si>
  <si>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</si>
  <si>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204:233017</t>
  </si>
  <si>
    <t>300:58935</t>
  </si>
  <si>
    <t>300:58636</t>
  </si>
  <si>
    <t>204:971</t>
  </si>
  <si>
    <t>300:58623</t>
  </si>
  <si>
    <t>rtdc.l.rtdc.4030:itc</t>
  </si>
  <si>
    <t>GRADE CROSSING</t>
  </si>
  <si>
    <t>Bulletin (2)</t>
  </si>
  <si>
    <t>rtdc.l.rtdc.4029:itc</t>
  </si>
  <si>
    <t>TEMPORARY SPEED RESTRICTION</t>
  </si>
  <si>
    <t>rtdc.l.rtdc.4021:itc</t>
  </si>
  <si>
    <t>rtdc.l.rtdc.4043:itc</t>
  </si>
  <si>
    <t>204:233310</t>
  </si>
  <si>
    <t>204:233005</t>
  </si>
  <si>
    <t>204:233312</t>
  </si>
  <si>
    <t>204:232969</t>
  </si>
  <si>
    <t>204:169</t>
  </si>
  <si>
    <t>204:692</t>
  </si>
  <si>
    <t>MAELZER</t>
  </si>
  <si>
    <t>SANTIZO</t>
  </si>
  <si>
    <t>MOSES</t>
  </si>
  <si>
    <t>204:232979</t>
  </si>
  <si>
    <t>204:446</t>
  </si>
  <si>
    <t>204:232957</t>
  </si>
  <si>
    <t>204:232992</t>
  </si>
  <si>
    <t>204:233299</t>
  </si>
  <si>
    <t>204:233344</t>
  </si>
  <si>
    <t>204:232987</t>
  </si>
  <si>
    <t>204:233311</t>
  </si>
  <si>
    <t>204:233006</t>
  </si>
  <si>
    <t>204:233015</t>
  </si>
  <si>
    <t>204:232991</t>
  </si>
  <si>
    <t>300:23346</t>
  </si>
  <si>
    <t>300:58638</t>
  </si>
  <si>
    <t>JOHN</t>
  </si>
  <si>
    <t>IAN</t>
  </si>
  <si>
    <t>KURT</t>
  </si>
  <si>
    <t>MICHAEL</t>
  </si>
  <si>
    <t>DAVID</t>
  </si>
  <si>
    <t>D. EDY</t>
  </si>
  <si>
    <t>BRADLEY</t>
  </si>
  <si>
    <t>CRAIG</t>
  </si>
  <si>
    <t>SCOTT</t>
  </si>
  <si>
    <t>JAMES</t>
  </si>
  <si>
    <t>Last + First</t>
  </si>
  <si>
    <t>Employee First Name</t>
  </si>
  <si>
    <t>SWITCH UNKNOWN</t>
  </si>
  <si>
    <t>Track device (7)</t>
  </si>
  <si>
    <t>rtdc.l.rtdc.4015:itc</t>
  </si>
  <si>
    <t>rtdc.l.rtdc.4017:itc</t>
  </si>
  <si>
    <t>242-01</t>
  </si>
  <si>
    <t>240-01</t>
  </si>
  <si>
    <t>ROBINSON</t>
  </si>
  <si>
    <t>KADDIBA</t>
  </si>
  <si>
    <t>STRICKLAND</t>
  </si>
  <si>
    <t>EVAN</t>
  </si>
  <si>
    <t>rtdc.l.rtdc.4028:itc</t>
  </si>
  <si>
    <t>rtdc.l.rtdc.4027:itc</t>
  </si>
  <si>
    <t>YORK</t>
  </si>
  <si>
    <t>EDGAR</t>
  </si>
  <si>
    <t>rtdc.l.rtdc.4019:itc</t>
  </si>
  <si>
    <t>DUSTIN</t>
  </si>
  <si>
    <t>SHOOK</t>
  </si>
  <si>
    <t>rtdc.l.rtdc.4020:itc</t>
  </si>
  <si>
    <t>rtdc.l.rtdc.4018:itc</t>
  </si>
  <si>
    <t>ARVIDSON</t>
  </si>
  <si>
    <t>DANIEL</t>
  </si>
  <si>
    <t>842-01</t>
  </si>
  <si>
    <t>226-01</t>
  </si>
  <si>
    <t>229-01</t>
  </si>
  <si>
    <t>845-01</t>
  </si>
  <si>
    <t>228-01</t>
  </si>
  <si>
    <t>231-01</t>
  </si>
  <si>
    <t>844-01</t>
  </si>
  <si>
    <t>230-01</t>
  </si>
  <si>
    <t>233-01</t>
  </si>
  <si>
    <t>847-01</t>
  </si>
  <si>
    <t>235-01</t>
  </si>
  <si>
    <t>232-01</t>
  </si>
  <si>
    <t>908-01</t>
  </si>
  <si>
    <t>237-01</t>
  </si>
  <si>
    <t>234-01</t>
  </si>
  <si>
    <t>236-01</t>
  </si>
  <si>
    <t>239-01</t>
  </si>
  <si>
    <t>238-01</t>
  </si>
  <si>
    <t>241-01</t>
  </si>
  <si>
    <t>243-01</t>
  </si>
  <si>
    <t>309-01</t>
  </si>
  <si>
    <t>311-01</t>
  </si>
  <si>
    <t>244-01</t>
  </si>
  <si>
    <t>313-01</t>
  </si>
  <si>
    <t>Mostly Cloudy</t>
  </si>
  <si>
    <t>204:469</t>
  </si>
  <si>
    <t>204:734</t>
  </si>
  <si>
    <t>204:233282</t>
  </si>
  <si>
    <t>204:433</t>
  </si>
  <si>
    <t>204:183</t>
  </si>
  <si>
    <t>204:167</t>
  </si>
  <si>
    <t>204:233000</t>
  </si>
  <si>
    <t>204:132</t>
  </si>
  <si>
    <t>204:232978</t>
  </si>
  <si>
    <t>204:232971</t>
  </si>
  <si>
    <t>204:233323</t>
  </si>
  <si>
    <t>204:426</t>
  </si>
  <si>
    <t>204:233286</t>
  </si>
  <si>
    <t>204:233274</t>
  </si>
  <si>
    <t>204:232967</t>
  </si>
  <si>
    <t>204:233361</t>
  </si>
  <si>
    <t>204:233047</t>
  </si>
  <si>
    <t>204:233324</t>
  </si>
  <si>
    <t>204:127</t>
  </si>
  <si>
    <t>204:233389</t>
  </si>
  <si>
    <t>204:233355</t>
  </si>
  <si>
    <t>204:114</t>
  </si>
  <si>
    <t>300:23308</t>
  </si>
  <si>
    <t>300:23310</t>
  </si>
  <si>
    <t>300:58928</t>
  </si>
  <si>
    <t>204:743</t>
  </si>
  <si>
    <t>300:58619</t>
  </si>
  <si>
    <t>204:701</t>
  </si>
  <si>
    <t>204:1023</t>
  </si>
  <si>
    <t>300:58926</t>
  </si>
  <si>
    <t>300:58617</t>
  </si>
  <si>
    <t>204:731</t>
  </si>
  <si>
    <t>300:58626</t>
  </si>
  <si>
    <t>204:740</t>
  </si>
  <si>
    <t>204:974</t>
  </si>
  <si>
    <t>300:58924</t>
  </si>
  <si>
    <t>204:754</t>
  </si>
  <si>
    <t>300:58929</t>
  </si>
  <si>
    <t>300:58621</t>
  </si>
  <si>
    <t>204:1027</t>
  </si>
  <si>
    <t>300:58931</t>
  </si>
  <si>
    <t>204:663</t>
  </si>
  <si>
    <t>204:733</t>
  </si>
  <si>
    <t>103-03</t>
  </si>
  <si>
    <t>123-03</t>
  </si>
  <si>
    <t>114-03</t>
  </si>
  <si>
    <t>130-03</t>
  </si>
  <si>
    <t>132-03</t>
  </si>
  <si>
    <t>136-03</t>
  </si>
  <si>
    <t>143-03</t>
  </si>
  <si>
    <t>151-03</t>
  </si>
  <si>
    <t>158-03</t>
  </si>
  <si>
    <t>163-03</t>
  </si>
  <si>
    <t>1812-03</t>
  </si>
  <si>
    <t>177-03</t>
  </si>
  <si>
    <t>1819-03</t>
  </si>
  <si>
    <t>188-03</t>
  </si>
  <si>
    <t>190-03</t>
  </si>
  <si>
    <t>1824-03</t>
  </si>
  <si>
    <t>206-03</t>
  </si>
  <si>
    <t>72-03</t>
  </si>
  <si>
    <t>1825-03</t>
  </si>
  <si>
    <t>216-03</t>
  </si>
  <si>
    <t>218-03</t>
  </si>
  <si>
    <t>1828-03</t>
  </si>
  <si>
    <t>1829-03</t>
  </si>
  <si>
    <t>1830-03</t>
  </si>
  <si>
    <t>226-03</t>
  </si>
  <si>
    <t>1832-03</t>
  </si>
  <si>
    <t>228-03</t>
  </si>
  <si>
    <t>233-03</t>
  </si>
  <si>
    <t>1902-03</t>
  </si>
  <si>
    <t>235-03</t>
  </si>
  <si>
    <t>237-03</t>
  </si>
  <si>
    <t>234-03</t>
  </si>
  <si>
    <t>245-02</t>
  </si>
  <si>
    <t>242-02</t>
  </si>
  <si>
    <t>KELVIN</t>
  </si>
  <si>
    <t>309-02</t>
  </si>
  <si>
    <t>244-02</t>
  </si>
  <si>
    <t>311-02</t>
  </si>
  <si>
    <t>246-02</t>
  </si>
  <si>
    <t>313-02</t>
  </si>
  <si>
    <t>315-02</t>
  </si>
  <si>
    <t>302-03</t>
  </si>
  <si>
    <t>101-03</t>
  </si>
  <si>
    <t>304-03</t>
  </si>
  <si>
    <t>306-03</t>
  </si>
  <si>
    <t>ACKERMAN</t>
  </si>
  <si>
    <t>JARED</t>
  </si>
  <si>
    <t>102-03</t>
  </si>
  <si>
    <t>105-03</t>
  </si>
  <si>
    <t>308-03</t>
  </si>
  <si>
    <t>DAVIS</t>
  </si>
  <si>
    <t>WENDY</t>
  </si>
  <si>
    <t>310-03</t>
  </si>
  <si>
    <t>KILLION</t>
  </si>
  <si>
    <t>107-03</t>
  </si>
  <si>
    <t>109-03</t>
  </si>
  <si>
    <t>104-03</t>
  </si>
  <si>
    <t>111-03</t>
  </si>
  <si>
    <t>GEBRETEKLE</t>
  </si>
  <si>
    <t>DAGNEW</t>
  </si>
  <si>
    <t>113-03</t>
  </si>
  <si>
    <t>106-03</t>
  </si>
  <si>
    <t>108-03</t>
  </si>
  <si>
    <t>115-03</t>
  </si>
  <si>
    <t>1901-03</t>
  </si>
  <si>
    <t>110-03</t>
  </si>
  <si>
    <t>117-03</t>
  </si>
  <si>
    <t>1800-03</t>
  </si>
  <si>
    <t>112-03</t>
  </si>
  <si>
    <t>1801-03</t>
  </si>
  <si>
    <t>119-03</t>
  </si>
  <si>
    <t>121-03</t>
  </si>
  <si>
    <t>116-03</t>
  </si>
  <si>
    <t>118-03</t>
  </si>
  <si>
    <t>1802-03</t>
  </si>
  <si>
    <t>125-03</t>
  </si>
  <si>
    <t>120-03</t>
  </si>
  <si>
    <t>127-03</t>
  </si>
  <si>
    <t>1803-03</t>
  </si>
  <si>
    <t>122-03</t>
  </si>
  <si>
    <t>129-03</t>
  </si>
  <si>
    <t>124-03</t>
  </si>
  <si>
    <t>131-03</t>
  </si>
  <si>
    <t>126-03</t>
  </si>
  <si>
    <t>1804-03</t>
  </si>
  <si>
    <t>133-03</t>
  </si>
  <si>
    <t>128-03</t>
  </si>
  <si>
    <t>135-03</t>
  </si>
  <si>
    <t>1805-03</t>
  </si>
  <si>
    <t>137-03</t>
  </si>
  <si>
    <t>139-03</t>
  </si>
  <si>
    <t>134-03</t>
  </si>
  <si>
    <t>1806-03</t>
  </si>
  <si>
    <t>141-03</t>
  </si>
  <si>
    <t>1807-03</t>
  </si>
  <si>
    <t>138-03</t>
  </si>
  <si>
    <t>145-03</t>
  </si>
  <si>
    <t>140-03</t>
  </si>
  <si>
    <t>147-03</t>
  </si>
  <si>
    <t>142-03</t>
  </si>
  <si>
    <t>1808-03</t>
  </si>
  <si>
    <t>149-03</t>
  </si>
  <si>
    <t>144-03</t>
  </si>
  <si>
    <t>1809-03</t>
  </si>
  <si>
    <t>146-03</t>
  </si>
  <si>
    <t>153-03</t>
  </si>
  <si>
    <t>148-03</t>
  </si>
  <si>
    <t>155-03</t>
  </si>
  <si>
    <t>CLARK</t>
  </si>
  <si>
    <t>KATHLEEN</t>
  </si>
  <si>
    <t>150-03</t>
  </si>
  <si>
    <t>1810-03</t>
  </si>
  <si>
    <t>157-03</t>
  </si>
  <si>
    <t>152-03</t>
  </si>
  <si>
    <t>159-03</t>
  </si>
  <si>
    <t>STEWART</t>
  </si>
  <si>
    <t>154-03</t>
  </si>
  <si>
    <t>1811-03</t>
  </si>
  <si>
    <t>161-03</t>
  </si>
  <si>
    <t>BARTLETT</t>
  </si>
  <si>
    <t>KIANDRA</t>
  </si>
  <si>
    <t>156-03</t>
  </si>
  <si>
    <t>165-03</t>
  </si>
  <si>
    <t>160-03</t>
  </si>
  <si>
    <t>1813-03</t>
  </si>
  <si>
    <t>167-03</t>
  </si>
  <si>
    <t>BRUDER</t>
  </si>
  <si>
    <t>RICHARD</t>
  </si>
  <si>
    <t>162-03</t>
  </si>
  <si>
    <t>169-03</t>
  </si>
  <si>
    <t>164-03</t>
  </si>
  <si>
    <t>171-03</t>
  </si>
  <si>
    <t>166-03</t>
  </si>
  <si>
    <t>1814-03</t>
  </si>
  <si>
    <t>173-03</t>
  </si>
  <si>
    <t>168-03</t>
  </si>
  <si>
    <t>175-03</t>
  </si>
  <si>
    <t>1815-03</t>
  </si>
  <si>
    <t>170-03</t>
  </si>
  <si>
    <t>172-03</t>
  </si>
  <si>
    <t>179-03</t>
  </si>
  <si>
    <t>181-03</t>
  </si>
  <si>
    <t>174-03</t>
  </si>
  <si>
    <t>1816-03</t>
  </si>
  <si>
    <t>176-03</t>
  </si>
  <si>
    <t>183-03</t>
  </si>
  <si>
    <t>1817-03</t>
  </si>
  <si>
    <t>KAMDEN</t>
  </si>
  <si>
    <t>178-03</t>
  </si>
  <si>
    <t>185-03</t>
  </si>
  <si>
    <t>180-03</t>
  </si>
  <si>
    <t>187-03</t>
  </si>
  <si>
    <t>182-03</t>
  </si>
  <si>
    <t>1818-03</t>
  </si>
  <si>
    <t>189-03</t>
  </si>
  <si>
    <t>184-03</t>
  </si>
  <si>
    <t>191-03</t>
  </si>
  <si>
    <t>193-03</t>
  </si>
  <si>
    <t>186-03</t>
  </si>
  <si>
    <t>195-03</t>
  </si>
  <si>
    <t>1820-03</t>
  </si>
  <si>
    <t>197-03</t>
  </si>
  <si>
    <t>192-03</t>
  </si>
  <si>
    <t>199-03</t>
  </si>
  <si>
    <t>194-03</t>
  </si>
  <si>
    <t>201-03</t>
  </si>
  <si>
    <t>1821-03</t>
  </si>
  <si>
    <t>196-03</t>
  </si>
  <si>
    <t>203-03</t>
  </si>
  <si>
    <t>198-03</t>
  </si>
  <si>
    <t>1822-03</t>
  </si>
  <si>
    <t>66-03</t>
  </si>
  <si>
    <t>WHITED</t>
  </si>
  <si>
    <t>205-03</t>
  </si>
  <si>
    <t>200-03</t>
  </si>
  <si>
    <t>207-03</t>
  </si>
  <si>
    <t>1823-03</t>
  </si>
  <si>
    <t>202-03</t>
  </si>
  <si>
    <t>75-03</t>
  </si>
  <si>
    <t>HAITHCOX</t>
  </si>
  <si>
    <t>209-03</t>
  </si>
  <si>
    <t>204-03</t>
  </si>
  <si>
    <t>211-03</t>
  </si>
  <si>
    <t>213-03</t>
  </si>
  <si>
    <t>NEWELL</t>
  </si>
  <si>
    <t>208-03</t>
  </si>
  <si>
    <t>DIANE</t>
  </si>
  <si>
    <t>215-03</t>
  </si>
  <si>
    <t>210-03</t>
  </si>
  <si>
    <t>212-03</t>
  </si>
  <si>
    <t>217-03</t>
  </si>
  <si>
    <t>219-03</t>
  </si>
  <si>
    <t>214-03</t>
  </si>
  <si>
    <t>1826-03</t>
  </si>
  <si>
    <t>303-03</t>
  </si>
  <si>
    <t>221-03</t>
  </si>
  <si>
    <t>305-03</t>
  </si>
  <si>
    <t>1827-03</t>
  </si>
  <si>
    <t>220-03</t>
  </si>
  <si>
    <t>223-03</t>
  </si>
  <si>
    <t>307-03</t>
  </si>
  <si>
    <t>222-03</t>
  </si>
  <si>
    <t>225-03</t>
  </si>
  <si>
    <t>227-03</t>
  </si>
  <si>
    <t>224-03</t>
  </si>
  <si>
    <t>229-03</t>
  </si>
  <si>
    <t>1831-03</t>
  </si>
  <si>
    <t>231-03</t>
  </si>
  <si>
    <t>230-03</t>
  </si>
  <si>
    <t>232-03</t>
  </si>
  <si>
    <t>1833-03</t>
  </si>
  <si>
    <t>236-03</t>
  </si>
  <si>
    <t>239-03</t>
  </si>
  <si>
    <t>55-03</t>
  </si>
  <si>
    <t>MCREYNOLDS</t>
  </si>
  <si>
    <t>KYLE</t>
  </si>
  <si>
    <t>238-03</t>
  </si>
  <si>
    <t>241-03</t>
  </si>
  <si>
    <t>240-03</t>
  </si>
  <si>
    <t>243-03</t>
  </si>
  <si>
    <t>242-03</t>
  </si>
  <si>
    <t>245-03</t>
  </si>
  <si>
    <t>309-03</t>
  </si>
  <si>
    <t>244-03</t>
  </si>
  <si>
    <t>311-03</t>
  </si>
  <si>
    <t>246-03</t>
  </si>
  <si>
    <t>313-03</t>
  </si>
  <si>
    <t>315-03</t>
  </si>
  <si>
    <t>fog</t>
  </si>
  <si>
    <t>Foggy</t>
  </si>
  <si>
    <t>clear-night</t>
  </si>
  <si>
    <t>Clear</t>
  </si>
  <si>
    <t>204:233346</t>
  </si>
  <si>
    <t>204:232715</t>
  </si>
  <si>
    <t>204:710</t>
  </si>
  <si>
    <t>204:233451</t>
  </si>
  <si>
    <t>204:232655</t>
  </si>
  <si>
    <t>204:732</t>
  </si>
  <si>
    <t>204:233380</t>
  </si>
  <si>
    <t>204:232738</t>
  </si>
  <si>
    <t>204:138</t>
  </si>
  <si>
    <t>204:453</t>
  </si>
  <si>
    <t>204:130253</t>
  </si>
  <si>
    <t>204:170</t>
  </si>
  <si>
    <t>204:775</t>
  </si>
  <si>
    <t>204:444</t>
  </si>
  <si>
    <t>204:233315</t>
  </si>
  <si>
    <t>204:781</t>
  </si>
  <si>
    <t>204:233345</t>
  </si>
  <si>
    <t>204:232986</t>
  </si>
  <si>
    <t>204:415</t>
  </si>
  <si>
    <t>204:233331</t>
  </si>
  <si>
    <t>204:233291</t>
  </si>
  <si>
    <t>204:475</t>
  </si>
  <si>
    <t>204:233320</t>
  </si>
  <si>
    <t>204:147823</t>
  </si>
  <si>
    <t>204:86354</t>
  </si>
  <si>
    <t>204:1152</t>
  </si>
  <si>
    <t>204:123</t>
  </si>
  <si>
    <t>204:233293</t>
  </si>
  <si>
    <t>204:156101</t>
  </si>
  <si>
    <t>204:232985</t>
  </si>
  <si>
    <t>204:440</t>
  </si>
  <si>
    <t>204:233295</t>
  </si>
  <si>
    <t>204:233270</t>
  </si>
  <si>
    <t>204:154394</t>
  </si>
  <si>
    <t>204:233272</t>
  </si>
  <si>
    <t>204:105475</t>
  </si>
  <si>
    <t>204:233363</t>
  </si>
  <si>
    <t>204:136</t>
  </si>
  <si>
    <t>204:233001</t>
  </si>
  <si>
    <t>204:233387</t>
  </si>
  <si>
    <t>204:233032</t>
  </si>
  <si>
    <t>204:233357</t>
  </si>
  <si>
    <t>204:233036</t>
  </si>
  <si>
    <t>204:738</t>
  </si>
  <si>
    <t>204:1018</t>
  </si>
  <si>
    <t>204:720</t>
  </si>
  <si>
    <t>204:747</t>
  </si>
  <si>
    <t>204:1032</t>
  </si>
  <si>
    <t>204:1021</t>
  </si>
  <si>
    <t>204:729</t>
  </si>
  <si>
    <t>300:58933</t>
  </si>
  <si>
    <t>204:1034</t>
  </si>
  <si>
    <t>204:1014</t>
  </si>
  <si>
    <t>300:58914</t>
  </si>
  <si>
    <t>300:58598</t>
  </si>
  <si>
    <t>204:689</t>
  </si>
  <si>
    <t>204:983</t>
  </si>
  <si>
    <t>204:671</t>
  </si>
  <si>
    <t>204:705</t>
  </si>
  <si>
    <t>204:993</t>
  </si>
  <si>
    <t>204:969</t>
  </si>
  <si>
    <t>300:58608</t>
  </si>
  <si>
    <t>204:661</t>
  </si>
  <si>
    <t>204:965</t>
  </si>
  <si>
    <t>300:58954</t>
  </si>
  <si>
    <t>204:964</t>
  </si>
  <si>
    <t>204:435</t>
  </si>
  <si>
    <t>204:233002</t>
  </si>
  <si>
    <t>204:478</t>
  </si>
  <si>
    <t>204:233043</t>
  </si>
  <si>
    <t>300:30239</t>
  </si>
  <si>
    <t>300:21367</t>
  </si>
  <si>
    <t>204:233326</t>
  </si>
  <si>
    <t>204:233060</t>
  </si>
  <si>
    <t>204:233330</t>
  </si>
  <si>
    <t>204:356</t>
  </si>
  <si>
    <t>204:480</t>
  </si>
  <si>
    <t>204:1584</t>
  </si>
  <si>
    <t>204:495</t>
  </si>
  <si>
    <t>204:243</t>
  </si>
  <si>
    <t>204:233360</t>
  </si>
  <si>
    <t>204:233048</t>
  </si>
  <si>
    <t>204:891</t>
  </si>
  <si>
    <t>204:517</t>
  </si>
  <si>
    <t>204:666</t>
  </si>
  <si>
    <t>204:232675</t>
  </si>
  <si>
    <t>204:232677</t>
  </si>
  <si>
    <t>204:153</t>
  </si>
  <si>
    <t>204:232768</t>
  </si>
  <si>
    <t>204:78</t>
  </si>
  <si>
    <t>204:617</t>
  </si>
  <si>
    <t>204:233393</t>
  </si>
  <si>
    <t>204:232752</t>
  </si>
  <si>
    <t>204:726</t>
  </si>
  <si>
    <t>204:233364</t>
  </si>
  <si>
    <t>204:232702</t>
  </si>
  <si>
    <t>204:121</t>
  </si>
  <si>
    <t>204:488</t>
  </si>
  <si>
    <t>204:233268</t>
  </si>
  <si>
    <t>204:232959</t>
  </si>
  <si>
    <t>204:911</t>
  </si>
  <si>
    <t>204:695</t>
  </si>
  <si>
    <t>204:233395</t>
  </si>
  <si>
    <t>204:232775</t>
  </si>
  <si>
    <t>204:118</t>
  </si>
  <si>
    <t>204:19202</t>
  </si>
  <si>
    <t>204:232652</t>
  </si>
  <si>
    <t>204:757</t>
  </si>
  <si>
    <t>204:233351</t>
  </si>
  <si>
    <t>204:232719</t>
  </si>
  <si>
    <t>204:737</t>
  </si>
  <si>
    <t>204:232654</t>
  </si>
  <si>
    <t>204:708</t>
  </si>
  <si>
    <t>204:233253</t>
  </si>
  <si>
    <t>204:232619</t>
  </si>
  <si>
    <t>204:96</t>
  </si>
  <si>
    <t>204:232765</t>
  </si>
  <si>
    <t>204:87</t>
  </si>
  <si>
    <t>204:741</t>
  </si>
  <si>
    <t>204:232660</t>
  </si>
  <si>
    <t>204:400</t>
  </si>
  <si>
    <t>204:233287</t>
  </si>
  <si>
    <t>204:232949</t>
  </si>
  <si>
    <t>204:713</t>
  </si>
  <si>
    <t>204:233414</t>
  </si>
  <si>
    <t>204:232760</t>
  </si>
  <si>
    <t>204:750</t>
  </si>
  <si>
    <t>204:232723</t>
  </si>
  <si>
    <t>204:130</t>
  </si>
  <si>
    <t>300:21254</t>
  </si>
  <si>
    <t>204:1216</t>
  </si>
  <si>
    <t>300:23264</t>
  </si>
  <si>
    <t>300:22327</t>
  </si>
  <si>
    <t>204:103</t>
  </si>
  <si>
    <t>204:459</t>
  </si>
  <si>
    <t>300:23066</t>
  </si>
  <si>
    <t>300:21950</t>
  </si>
  <si>
    <t>300:23207</t>
  </si>
  <si>
    <t>300:23302</t>
  </si>
  <si>
    <t>204:1302</t>
  </si>
  <si>
    <t>300:23297</t>
  </si>
  <si>
    <t>204:744</t>
  </si>
  <si>
    <t>204:765</t>
  </si>
  <si>
    <t>300:23312</t>
  </si>
  <si>
    <t>300:23299</t>
  </si>
  <si>
    <t>300:22053</t>
  </si>
  <si>
    <t>204:91</t>
  </si>
  <si>
    <t>300:22323</t>
  </si>
  <si>
    <t>204:879</t>
  </si>
  <si>
    <t>204:1475</t>
  </si>
  <si>
    <t>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 &amp; 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</t>
  </si>
  <si>
    <t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t>
  </si>
  <si>
    <t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t>
  </si>
  <si>
    <t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t>
  </si>
  <si>
    <t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t>
  </si>
  <si>
    <t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t>
  </si>
  <si>
    <t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t>
  </si>
  <si>
    <t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t>
  </si>
  <si>
    <t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t>
  </si>
  <si>
    <t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t>
  </si>
  <si>
    <t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t>
  </si>
  <si>
    <t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t>
  </si>
  <si>
    <t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t>
  </si>
  <si>
    <t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t>
  </si>
  <si>
    <t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t>
  </si>
  <si>
    <t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t>
  </si>
  <si>
    <t>Wheel tach slip</t>
  </si>
  <si>
    <t>Premature downgrade at EC1497</t>
  </si>
  <si>
    <t>At 08:37:39, EC1497RH 154-2T 2S dropped from 270 to STOP &amp; PROCEED. Do logs show anything odd at this time?</t>
  </si>
  <si>
    <t>CP Pena ELXS Failure</t>
  </si>
  <si>
    <t>At roughly 09:28, CP Pena dropped offline briefly. Was there a main/standby transfer at this time or something else?</t>
  </si>
  <si>
    <t>Wi-MAX data drop</t>
  </si>
  <si>
    <t>http://stevetu21.github.io/eaglep3/load_kml.html?kml=http://rtdc.gmaps-snips.s3.amazonaws.com/79b1899f-b0d1-4f96-8cf6-49039c5d7fa1.kml</t>
  </si>
  <si>
    <t>Unable to perform departure test - BPP numbers were low</t>
  </si>
  <si>
    <t>Onboard in-route failure</t>
  </si>
  <si>
    <t>Early arrival</t>
  </si>
  <si>
    <t>Overspeed</t>
  </si>
  <si>
    <t>Pena 4S STOP</t>
  </si>
  <si>
    <t>Code9 issue at EC0816RH 75-1T 1N</t>
  </si>
  <si>
    <t>SYS :2016/12/03 11:22:04.562:ENFORCEMENT:Predictive Enforcement Action:  Target Number: 00001008  Target Speed:   0.0  Current Speed:   0.9</t>
  </si>
  <si>
    <t>SYS :2016/12/03 13:32:31.001:ENFORCEMENT:Reactive Enforcement Action:  Target Number: 00010029  Target Speed:  20.0  Current Speed:  25.2</t>
  </si>
  <si>
    <t>SYS :2016/12/03 13:32:31.705:ENFORCEMENT:Reactive Enforcement Action:  Target Number: 00010029  Target Speed:  20.0  Current Speed:  25.2</t>
  </si>
  <si>
    <t>SYS :2016/12/03 13:32:32.065:ENFORCEMENT:Reactive Enforcement Action:  Target Number: 00010028  Target Speed:  20.0  Current Speed:  25.2</t>
  </si>
  <si>
    <t>SYS :2016/12/03 13:47:33.001:ENFORCEMENT:Predictive Enforcement Action:  Target Number: 00006086  Target Speed:   0.0  Current Speed:  71.6</t>
  </si>
  <si>
    <t>SYS :2016/12/03 13:47:33.072:ENFORCEMENT:Predictive Enforcement Action:  Target Number: 00006086  Target Speed:   0.0  Current Speed:  71.6</t>
  </si>
  <si>
    <t>SYS :2016/12/03 13:47:33.697:ENFORCEMENT:Predictive Enforcement Action:  Target Number: 0000607B  Target Speed:   0.0  Current Speed:  71.6</t>
  </si>
  <si>
    <t>SYS :2016/12/03 13:49:00.360:ENFORCEMENT:Predictive Enforcement Action:  Target Number: 0000101C  Target Speed:   0.0  Current Speed:   3.8</t>
  </si>
  <si>
    <t>SYS :2016/12/03 13:49:00.363:ENFORCEMENT:Predictive Enforcement Action:  Target Number: 00001008  Target Speed:   0.0  Current Speed:   3.8</t>
  </si>
  <si>
    <t>SYS :2016/12/03 13:49:00.486:ENFORCEMENT:Predictive Enforcement Action:  Target Number: 00001010  Target Speed:   0.0  Current Speed:   3.8</t>
  </si>
  <si>
    <t>SYS :2016/12/03 13:50:39.007:ENFORCEMENT:Reactive Enforcement Action:  Target Number: 00006086  Target Speed:  20.0  Current Speed:  25.9</t>
  </si>
  <si>
    <t>SYS :2016/12/03 13:50:39.069:ENFORCEMENT:Reactive Enforcement Action:  Target Number: 00006086  Target Speed:  20.0  Current Speed:  25.9</t>
  </si>
  <si>
    <t>SYS :2016/12/03 13:50:39.701:ENFORCEMENT:Reactive Enforcement Action:  Target Number: 0000607B  Target Speed:  20.0  Current Speed:  25.9</t>
  </si>
  <si>
    <t>SYS :2016/12/03 15:26:29.468:ENFORCEMENT:Predictive Enforcement Action:  Target Number: 00010096  Target Speed:  40.0  Current Speed:  46.0</t>
  </si>
  <si>
    <t>SYS :2016/12/03 15:26:29.737:ENFORCEMENT:Predictive Enforcement Action:  Target Number: 000100BD  Target Speed:  40.0  Current Speed:  46.0</t>
  </si>
  <si>
    <t>SYS :2016/12/03 15:26:29.868:ENFORCEMENT:Predictive Enforcement Action:  Target Number: 000100BD  Target Speed:  40.0  Current Speed:  46.0</t>
  </si>
  <si>
    <t>SYS :2016/12/03 15:37:40.574:ENFORCEMENT:Predictive Enforcement Action:  Target Number: 00006B83  Target Speed:   0.0  Current Speed:  54.5</t>
  </si>
  <si>
    <t>SYS :2016/12/03 15:37:40.952:ENFORCEMENT:Predictive Enforcement Action:  Target Number: 00006B60  Target Speed:   0.0  Current Speed:  54.5</t>
  </si>
  <si>
    <t>SYS :2016/12/03 15:37:41.475:ENFORCEMENT:Predictive Enforcement Action:  Target Number: 000060BF  Target Speed:   0.0  Current Speed:  54.5</t>
  </si>
  <si>
    <t>SYS :2016/12/03 16:02:08.504:ENFORCEMENT:Predictive Enforcement Action:  Target Number: 000060D8  Target Speed:   0.0  Current Speed:   8.8</t>
  </si>
  <si>
    <t>SYS :2016/12/03 16:02:08.517:ENFORCEMENT:Predictive Enforcement Action:  Target Number: 0000605F  Target Speed:   0.0  Current Speed:   8.5</t>
  </si>
  <si>
    <t>SYS :2016/12/03 16:02:08.827:ENFORCEMENT:Predictive Enforcement Action:  Target Number: 000060BD  Target Speed:   0.0  Current Speed:   8.8</t>
  </si>
  <si>
    <t>SYS :2016/12/03 16:28:04.573:ENFORCEMENT:Predictive Enforcement Action:  Target Number: 000061B1  Target Speed:   0.0  Current Speed:  29.4</t>
  </si>
  <si>
    <t>SYS :2016/12/03 16:28:05.090:ENFORCEMENT:Predictive Enforcement Action:  Target Number: 000061B8  Target Speed:   0.0  Current Speed:  29.4</t>
  </si>
  <si>
    <t>SYS :2016/12/03 16:28:05.129:ENFORCEMENT:Predictive Enforcement Action:  Target Number: 000061B5  Target Speed:   0.0  Current Speed:  31.2</t>
  </si>
  <si>
    <t>SYS :2016/12/03 16:28:57.124:ENFORCEMENT:Reactive Enforcement Action:  Target Number: 000061B5  Target Speed:   0.0  Current Speed:   2.0</t>
  </si>
  <si>
    <t>SYS :2016/12/03 16:28:57.559:ENFORCEMENT:Reactive Enforcement Action:  Target Number: 000061B1  Target Speed:   0.0  Current Speed:   2.0</t>
  </si>
  <si>
    <t>SYS :2016/12/03 16:28:58.068:ENFORCEMENT:Reactive Enforcement Action:  Target Number: 000061B8  Target Speed:   0.0  Current Speed:   2.0</t>
  </si>
  <si>
    <t>SYS :2016/12/03 17:03:48.390:ENFORCEMENT:Predictive Enforcement Action:  Target Number: 00010029  Target Speed:  40.0  Current Speed:  47.9</t>
  </si>
  <si>
    <t>SYS :2016/12/03 17:03:49.099:ENFORCEMENT:Predictive Enforcement Action:  Target Number: 00010029  Target Speed:  40.0  Current Speed:  47.9</t>
  </si>
  <si>
    <t>SYS :2016/12/03 17:03:49.228:ENFORCEMENT:Predictive Enforcement Action:  Target Number: 00010029  Target Speed:  40.0  Current Speed:  47.9</t>
  </si>
  <si>
    <t>SYS :2016/12/03 17:07:57.371:ENFORCEMENT:Reactive Enforcement Action:  Target Number: 0000A004  Target Speed:  15.0  Current Speed:  20.2</t>
  </si>
  <si>
    <t>SYS :2016/12/03 17:07:58.092:ENFORCEMENT:Reactive Enforcement Action:  Target Number: 0000A004  Target Speed:  15.0  Current Speed:  20.2</t>
  </si>
  <si>
    <t>SYS :2016/12/03 17:07:58.217:ENFORCEMENT:Reactive Enforcement Action:  Target Number: 0000A004  Target Speed:  15.0  Current Speed:  20.2</t>
  </si>
  <si>
    <t>SYS :2016/12/03 18:47:14.874:ENFORCEMENT:Reactive Enforcement Action:  Target Number: 000100FC  Target Speed:  60.0  Current Speed:  65.2</t>
  </si>
  <si>
    <t>SYS :2016/12/03 18:47:15.479:ENFORCEMENT:Reactive Enforcement Action:  Target Number: 000100D5  Target Speed:  60.0  Current Speed:  65.2</t>
  </si>
  <si>
    <t>SYS :2016/12/03 18:47:15.748:ENFORCEMENT:Reactive Enforcement Action:  Target Number: 000100FC  Target Speed:  60.0  Current Speed:  65.2</t>
  </si>
  <si>
    <t>SYS :2016/12/03 18:49:41.555:ENFORCEMENT:Predictive Enforcement Action:  Target Number: 00004075  Target Speed:   0.0  Current Speed:  79.8</t>
  </si>
  <si>
    <t>SYS :2016/12/03 18:49:41.564:ENFORCEMENT:Predictive Enforcement Action:  Target Number: 00004076  Target Speed:   0.0  Current Speed:  79.8</t>
  </si>
  <si>
    <t>SYS :2016/12/03 18:49:41.778:ENFORCEMENT:Predictive Enforcement Action:  Target Number: 00004074  Target Speed:   0.0  Current Speed:  79.5</t>
  </si>
  <si>
    <t>SYS :2016/12/03 18:49:41.787:ENFORCEMENT:Predictive Enforcement Action:  Target Number: 00004075  Target Speed:   0.0  Current Speed:  79.5</t>
  </si>
  <si>
    <t>SYS :2016/12/03 18:50:55.760:ENFORCEMENT:Reactive Enforcement Action:  Target Number: 0000617C  Target Speed:   0.0  Current Speed:   0.5</t>
  </si>
  <si>
    <t>SYS :2016/12/03 18:50:56.526:ENFORCEMENT:Reactive Enforcement Action:  Target Number: 0000617A  Target Speed:   0.0  Current Speed:   0.5</t>
  </si>
  <si>
    <t>SYS :2016/12/03 18:51:07.159:ENFORCEMENT:Predictive Enforcement Action:  Target Number: 0001009E  Target Speed:  20.0  Current Speed:  39.4</t>
  </si>
  <si>
    <t>SYS :2016/12/03 18:51:07.380:ENFORCEMENT:Predictive Enforcement Action:  Target Number: 0001009E  Target Speed:  20.0  Current Speed:  38.5</t>
  </si>
  <si>
    <t>SYS :2016/12/03 18:51:07.658:ENFORCEMENT:Predictive Enforcement Action:  Target Number: 0001009E  Target Speed:  20.0  Current Speed:  38.5</t>
  </si>
  <si>
    <t>SYS :2016/12/03 18:57:01.470:ENFORCEMENT:Predictive Enforcement Action:  Target Number: 000100DA  Target Speed:  40.0  Current Speed:  49.3</t>
  </si>
  <si>
    <t>SYS :2016/12/03 18:57:01.738:ENFORCEMENT:Predictive Enforcement Action:  Target Number: 00010101  Target Speed:  40.0  Current Speed:  49.3</t>
  </si>
  <si>
    <t>SYS :2016/12/03 18:57:01.879:ENFORCEMENT:Predictive Enforcement Action:  Target Number: 00010101  Target Speed:  40.0  Current Speed:  49.2</t>
  </si>
  <si>
    <t>SYS :2016/12/03 20:51:11.543:ENFORCEMENT:Predictive Enforcement Action:  Target Number: 0000100C  Target Speed:   0.0  Current Speed:   5.3</t>
  </si>
  <si>
    <t>SYS :2016/12/03 20:51:11.759:ENFORCEMENT:Predictive Enforcement Action:  Target Number: 0000100C  Target Speed:   0.0  Current Speed:   5.2</t>
  </si>
  <si>
    <t>SYS :2016/12/03 22:32:04.229:ENFORCEMENT:Predictive Enforcement Action:  Target Number: 00010083  Target Speed:  15.0  Current Speed:  32.1</t>
  </si>
  <si>
    <t>SYS :2016/12/03 22:32:05.191:ENFORCEMENT:Predictive Enforcement Action:  Target Number: 00010162  Target Speed:  15.0  Current Speed:  31.2</t>
  </si>
  <si>
    <t>SYS :2016/12/03 22:56:37.657:ENFORCEMENT:Reactive Enforcement Action:  Target Number: 0000A015  Target Speed:  15.0  Current Speed:  20.6</t>
  </si>
  <si>
    <t>SYS :2016/12/03 22:56:38.147:ENFORCEMENT:Reactive Enforcement Action:  Target Number: 0000A015  Target Speed:  15.0  Current Speed:  20.6</t>
  </si>
  <si>
    <t>SYS :2016/12/03 22:56:38.463:ENFORCEMENT:Reactive Enforcement Action:  Target Number: 0000A014  Target Speed:  15.0  Current Speed:  20.6</t>
  </si>
  <si>
    <t>SYS :2016/12/03 23:18:43.008:ENFORCEMENT:Predictive Enforcement Action:  Target Number: 00001026  Target Speed:   0.0  Current Speed:   5.6</t>
  </si>
  <si>
    <t>SYS :2016/12/03 23:18:43.521:ENFORCEMENT:Predictive Enforcement Action:  Target Number: 00001027  Target Speed:   0.0  Current Speed:   5.6</t>
  </si>
  <si>
    <t>SYS :2016/12/03 23:18:43.557:ENFORCEMENT:Predictive Enforcement Action:  Target Number: 00001026  Target Speed:   0.0  Current Speed:   5.6</t>
  </si>
  <si>
    <t>SYS :2016/12/04 00:54:42.368:ENFORCEMENT:Predictive Enforcement Action:  Target Number: 00001029  Target Speed:   0.0  Current Speed:  11.0</t>
  </si>
  <si>
    <t>SYS :2016/12/04 00:54:42.400:ENFORCEMENT:Predictive Enforcement Action:  Target Number: 00001006  Target Speed:   0.0  Current Speed:  11.0</t>
  </si>
  <si>
    <t>SYS :2016/12/04 00:54:42.643:ENFORCEMENT:Predictive Enforcement Action:  Target Number: 00001029  Target Speed:   0.0  Current Speed:  11.0</t>
  </si>
  <si>
    <t>SYS :2016/12/04 00:55:28.371:ENFORCEMENT:Predictive Enforcement Action:  Target Number: 00001029  Target Speed:   0.0  Current Speed:   5.0</t>
  </si>
  <si>
    <t>SYS :2016/12/04 00:55:28.398:ENFORCEMENT:Predictive Enforcement Action:  Target Number: 00001006  Target Speed:   0.0  Current Speed:   5.0</t>
  </si>
  <si>
    <t>SYS :2016/12/04 00:55:28.645:ENFORCEMENT:Predictive Enforcement Action:  Target Number: 00001029  Target Speed:   0.0  Current Speed:   5.0</t>
  </si>
  <si>
    <t>SYS :2016/12/04 01:10:23.519:ENFORCEMENT:Predictive Enforcement Action:  Target Number: 000170BC  Target Speed:  21.0  Current Speed:  28.4</t>
  </si>
  <si>
    <t>SYS :2016/12/04 01:10:23.524:ENFORCEMENT:Predictive Enforcement Action:  Target Number: 000170A3  Target Speed:  21.0  Current Speed:  28.3</t>
  </si>
  <si>
    <t>SYS :2016/12/04 01:10:23.842:ENFORCEMENT:Predictive Enforcement Action:  Target Number: 000170BC  Target Speed:  21.0  Current Speed:  28.4</t>
  </si>
  <si>
    <t>SYS :2016/12/04 01:23:07.201:ENFORCEMENT:Reactive Enforcement Action:  Target Number: 000101B7  Target Speed:  15.0  Current Speed:  20.5</t>
  </si>
  <si>
    <t>SYS :2016/12/04 01:23:07.237:ENFORCEMENT:Reactive Enforcement Action:  Target Number: 000100D8  Target Speed:  15.0  Current Speed:  20.5</t>
  </si>
  <si>
    <t>SYS :2016/12/04 01:58:01.667:ENFORCEMENT:Reactive Enforcement Action:  Target Number: 000102F9  Target Speed:  35.0  Current Speed:  40.0</t>
  </si>
  <si>
    <t>SYS :2016/12/04 01:58:02.154:ENFORCEMENT:Reactive Enforcement Action:  Target Number: 000102F8  Target Speed:  35.0  Current Speed:  40.0</t>
  </si>
  <si>
    <t>SYS :2016/12/04 01:58:02.460:ENFORCEMENT:Reactive Enforcement Action:  Target Number: 000102BC  Target Speed:  35.0  Current Speed:  40.0</t>
  </si>
  <si>
    <t>SYS :2016/12/04 02:27:06.450:ENFORCEMENT:Predictive Enforcement Action:  Target Number: 0001000F  Target Speed:  40.0  Current Speed:  49.4</t>
  </si>
  <si>
    <t>SYS :2016/12/04 02:27:06.499:ENFORCEMENT:Predictive Enforcement Action:  Target Number: 0001000F  Target Speed:  40.0  Current Speed:  49.4</t>
  </si>
  <si>
    <t>SYS :2016/12/04 02:50:30.879:ENFORCEMENT:Reactive Enforcement Action:  Target Number: 0000602F  Target Speed:  20.0  Current Speed:  25.2</t>
  </si>
  <si>
    <t>SYS :2016/12/04 02:50:31.382:ENFORCEMENT:Reactive Enforcement Action:  Target Number: 0000624B  Target Speed:  20.0  Current Speed:  25.2</t>
  </si>
  <si>
    <t>SYS :2016/12/04 02:50:31.657:ENFORCEMENT:Reactive Enforcement Action:  Target Number: 0000623E  Target Speed:  20.0  Current Speed:  25.2</t>
  </si>
  <si>
    <t>SYS :2016/12/04 02:52:49.476:ENFORCEMENT:Predictive Enforcement Action:  Target Number: 00001001  Target Speed:   0.0  Current Speed:   2.2</t>
  </si>
  <si>
    <t>SYS :2016/12/04 02:52:50.428:ENFORCEMENT:Predictive Enforcement Action:  Target Number: 00001001  Target Speed:   0.0  Current Speed:   2.2</t>
  </si>
  <si>
    <t>SYS :2016/12/04 03:24:15.206:ENFORCEMENT:Reactive Enforcement Action:  Target Number: 000101F3  Target Speed:  15.0  Current Speed:  20.3</t>
  </si>
  <si>
    <t>SYS :2016/12/04 03:24:15.225:ENFORCEMENT:Reactive Enforcement Action:  Target Number: 00010048  Target Speed:  15.0  Current Speed:  20.3</t>
  </si>
  <si>
    <t>SYS :2016/12/04 03:24:15.245:ENFORCEMENT:Reactive Enforcement Action:  Target Number: 00010114  Target Speed:  15.0  Current Speed:  20.3</t>
  </si>
  <si>
    <t>SYS :2016/12/04 03:39:15.191:ENFORCEMENT:Predictive Enforcement Action:  Target Number: 00001030  Target Speed:   0.0  Current Speed:   4.8</t>
  </si>
  <si>
    <t>SYS :2016/12/04 03:39:15.202:ENFORCEMENT:Predictive Enforcement Action:  Target Number: 00001008  Target Speed:   0.0  Current Speed:   4.8</t>
  </si>
  <si>
    <t>SYS :2016/12/04 03:39:15.229:ENFORCEMENT:Predictive Enforcement Action:  Target Number: 0000101E  Target Speed:   0.0  Current Speed:   4.8</t>
  </si>
  <si>
    <t>SYS :2016/12/04 03:54:01.380:ENFORCEMENT:Predictive Enforcement Action:  Target Number: 0000A015  Target Speed:  10.0  Current Speed:  20.2</t>
  </si>
  <si>
    <t>SYS :2016/12/04 03:54:01.646:ENFORCEMENT:Predictive Enforcement Action:  Target Number: 0000A013  Target Speed:  10.0  Current Speed:  20.2</t>
  </si>
  <si>
    <t>SYS :2016/12/04 04:35:51.430:ENFORCEMENT:Predictive Enforcement Action:  Target Number: 00001003  Target Speed:   0.0  Current Speed:   5.1</t>
  </si>
  <si>
    <t>SYS :2016/12/04 04:35:51.485:ENFORCEMENT:Predictive Enforcement Action:  Target Number: 00001003  Target Speed:   0.0  Current Speed:   5.1</t>
  </si>
  <si>
    <t>SYS :2016/12/04 04:48:17.386:ENFORCEMENT:Predictive Enforcement Action:  Target Number: 000101AC  Target Speed:  30.0  Current Speed:  40.0</t>
  </si>
  <si>
    <t>SYS :2016/12/04 04:48:17.652:ENFORCEMENT:Predictive Enforcement Action:  Target Number: 000101A5  Target Speed:  30.0  Current Speed:  40.0</t>
  </si>
  <si>
    <t>SYS :2016/12/04 05:03:28.827:ENFORCEMENT:Predictive Enforcement Action:  Target Number: 0000101E  Target Speed:   0.0  Current Speed:   3.0</t>
  </si>
  <si>
    <t>SYS :2016/12/04 05:03:29.490:ENFORCEMENT:Predictive Enforcement Action:  Target Number: 0000101E  Target Speed:   0.0  Current Speed:   2.9</t>
  </si>
  <si>
    <t>SYS :2016/12/04 05:03:29.518:ENFORCEMENT:Predictive Enforcement Action:  Target Number: 0000101C  Target Speed:   0.0  Current Speed:   2.9</t>
  </si>
  <si>
    <t>SYS :2016/12/04 05:37:19.878:ENFORCEMENT:Predictive Enforcement Action:  Target Number: 00001023  Target Speed:   0.0  Current Speed:   8.4</t>
  </si>
  <si>
    <t>SYS :2016/12/04 05:37:20.980:ENFORCEMENT:Predictive Enforcement Action:  Target Number: 00001024  Target Speed:   0.0  Current Speed:   8.4</t>
  </si>
  <si>
    <t>SYS :2016/12/04 05:43:15.384:ENFORCEMENT:Predictive Enforcement Action:  Target Number: 000101BC  Target Speed:  40.0  Current Speed:  46.3</t>
  </si>
  <si>
    <t>SYS :2016/12/04 05:43:15.654:ENFORCEMENT:Predictive Enforcement Action:  Target Number: 000101B5  Target Speed:  40.0  Current Speed:  46.3</t>
  </si>
  <si>
    <t>SYS :2016/12/04 06:05:26.446:ENFORCEMENT:Predictive Enforcement Action:  Target Number: 00001006  Target Speed:   0.0  Current Speed:   1.8</t>
  </si>
  <si>
    <t>SYS :2016/12/04 06:05:27.148:ENFORCEMENT:Predictive Enforcement Action:  Target Number: 00001005  Target Speed:   0.0  Current Speed:   1.8</t>
  </si>
  <si>
    <t>SYS :2016/12/04 06:05:27.195:ENFORCEMENT:Predictive Enforcement Action:  Target Number: 00001006  Target Speed:   0.0  Current Speed:   1.8</t>
  </si>
  <si>
    <t>SYS :2016/12/04 06:16:09.363:ENFORCEMENT:Predictive Enforcement Action:  Target Number: 00006413  Target Speed:   0.0  Current Speed:  67.0</t>
  </si>
  <si>
    <t>SYS :2016/12/04 06:16:10.178:ENFORCEMENT:Predictive Enforcement Action:  Target Number: 00006458  Target Speed:   0.0  Current Speed:  67.0</t>
  </si>
  <si>
    <t>SYS :2016/12/04 06:39:14.429:ENFORCEMENT:Predictive Enforcement Action:  Target Number: 00001006  Target Speed:   0.0  Current Speed:   2.7</t>
  </si>
  <si>
    <t>SYS :2016/12/04 06:39:14.477:ENFORCEMENT:Predictive Enforcement Action:  Target Number: 00001006  Target Speed:   0.0  Current Speed:   2.6</t>
  </si>
  <si>
    <t>SYS :2016/12/04 08:56:52.494:ENFORCEMENT:Predictive Enforcement Action:  Target Number: 0001019D  Target Speed:  30.0  Current Speed:  42.0</t>
  </si>
  <si>
    <t>SYS :2016/12/04 08:56:52.842:ENFORCEMENT:Predictive Enforcement Action:  Target Number: 0001019D  Target Speed:  30.0  Current Speed:  42.0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</si>
</sst>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79b1899f-b0d1-4f96-8cf6-49039c5d7fa1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3"/>
  <sheetViews>
    <sheetView tabSelected="1" zoomScaleNormal="100" workbookViewId="0">
      <selection activeCell="V21" sqref="V21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2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42707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42707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COUNTIFS($N$13:$N$9367,"&gt;0",$AG$13:$AG$9367,I1)</f>
        <v>140</v>
      </c>
      <c r="K5" s="44"/>
      <c r="L5" s="44"/>
      <c r="M5" s="45">
        <f>AVERAGEIFS($N$13:$N$9367,$AG$13:$AG$9367,I1)</f>
        <v>37.866190476800384</v>
      </c>
      <c r="N5" s="43">
        <f t="array" ref="N5">MIN(IF($AG$13:$AG$9367=I1,IF(ISNUMBER($N$13:$N$9367),IF($N$13:$N$9367&gt;0,$N$13:$N$9367))))</f>
        <v>34.316666662925854</v>
      </c>
      <c r="O5" s="3">
        <f t="array" ref="O5">MAX(IF($AG$13:$AG$9367=I1,IF(ISNUMBER($N$13:$N$9367),IF($N$13:$N$9367&gt;0,$N$13:$N$9367))))</f>
        <v>44.700000003213063</v>
      </c>
      <c r="P5" s="2"/>
      <c r="R5" s="80" t="s">
        <v>17</v>
      </c>
      <c r="S5" s="55">
        <f>COUNTIFS($N$13:$N$9367,"&gt;0",$AG$13:$AG$9367,R1)</f>
        <v>34</v>
      </c>
      <c r="T5" s="44"/>
      <c r="U5" s="169"/>
      <c r="V5" s="45">
        <f>AVERAGEIFS($N$13:$N$9367,$AG$13:$AG$9367,R1)</f>
        <v>14.470588235314661</v>
      </c>
      <c r="W5" s="43">
        <f t="array" ref="W5">MIN(IF($AG$13:$AG$9367=R1,IF(ISNUMBER($N$13:$N$9367),IF($N$13:$N$9367&gt;0,$N$13:$N$9367))))</f>
        <v>12.266666663344949</v>
      </c>
      <c r="X5" s="173">
        <f t="array" ref="X5">MAX(IF($AG$13:$AG$9367=R1,IF(ISNUMBER($N$13:$N$9367),IF($N$13:$N$9367&gt;0,$N$13:$N$9367))))</f>
        <v>18.000000006286427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COUNT($O$13:$O$150)</f>
        <v>0</v>
      </c>
      <c r="K6" s="44"/>
      <c r="L6" s="44"/>
      <c r="M6" s="45">
        <f>IFERROR(AVERAGE($O$13:$O$150),0)</f>
        <v>0</v>
      </c>
      <c r="N6" s="43">
        <f>MIN($O$13:$O$150)</f>
        <v>0</v>
      </c>
      <c r="O6" s="3">
        <f>MAX($O$13:$O$150)</f>
        <v>0</v>
      </c>
      <c r="P6" s="2"/>
      <c r="R6" s="81" t="s">
        <v>43</v>
      </c>
      <c r="S6" s="55">
        <f>COUNT($O$13:$O$150)</f>
        <v>0</v>
      </c>
      <c r="T6" s="44"/>
      <c r="U6" s="169"/>
      <c r="V6" s="45">
        <f>IFERROR(AVERAGE($O$13:$O$150),0)</f>
        <v>0</v>
      </c>
      <c r="W6" s="43">
        <f>MIN($O$13:$O$150)</f>
        <v>0</v>
      </c>
      <c r="X6" s="173">
        <f>MAX($O$13:$O$150)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COUNTIFS($P$13:$P$9367,"&gt;0",$AG$13:$AG$9367,I1)</f>
        <v>6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COUNTIFS($P$13:$P$9367,"&gt;0",$AG$13:$AG$9367,R1)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140</v>
      </c>
      <c r="K8" s="44"/>
      <c r="L8" s="44"/>
      <c r="M8" s="45">
        <f>M5</f>
        <v>37.866190476800384</v>
      </c>
      <c r="N8" s="43">
        <f>N5</f>
        <v>34.316666662925854</v>
      </c>
      <c r="O8" s="3">
        <f>O5</f>
        <v>44.700000003213063</v>
      </c>
      <c r="P8" s="2"/>
      <c r="R8" s="80" t="s">
        <v>16</v>
      </c>
      <c r="S8" s="55">
        <f>S5</f>
        <v>34</v>
      </c>
      <c r="T8" s="44"/>
      <c r="U8" s="169"/>
      <c r="V8" s="45">
        <f>V5</f>
        <v>14.470588235314661</v>
      </c>
      <c r="W8" s="43">
        <f>W5</f>
        <v>12.266666663344949</v>
      </c>
      <c r="X8" s="173">
        <f>X5</f>
        <v>18.000000006286427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0.95890410958904104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- 2016-12-03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AVERAGE(S13:S103)</f>
        <v>0.9971910112359551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477</v>
      </c>
      <c r="B13" s="7">
        <v>4016</v>
      </c>
      <c r="C13" s="22" t="s">
        <v>209</v>
      </c>
      <c r="D13" s="22" t="s">
        <v>417</v>
      </c>
      <c r="E13" s="13">
        <v>42707.129699074074</v>
      </c>
      <c r="F13" s="13">
        <v>42707.135706018518</v>
      </c>
      <c r="G13" s="7">
        <v>1</v>
      </c>
      <c r="H13" s="22" t="s">
        <v>667</v>
      </c>
      <c r="I13" s="13">
        <v>42707.16064814815</v>
      </c>
      <c r="J13" s="7">
        <v>0</v>
      </c>
      <c r="K13" s="109" t="str">
        <f t="shared" ref="K13:K76" si="0">IF(ISEVEN(B13),(B13-1)&amp;"/"&amp;B13,B13&amp;"/"&amp;(B13+1))</f>
        <v>4015/4016</v>
      </c>
      <c r="L13" s="22" t="str">
        <f>VLOOKUP(A13,'Trips&amp;Operators'!$C$1:$G$99999,5,FALSE)</f>
        <v>MAELZER KURT</v>
      </c>
      <c r="M13" s="6">
        <f t="shared" ref="M13:M76" si="1">I13-F13</f>
        <v>2.4942129632108845E-2</v>
      </c>
      <c r="N13" s="7">
        <f t="shared" ref="N13:N20" si="2">24*60*SUM($M13:$M13)</f>
        <v>35.916666670236737</v>
      </c>
      <c r="O13" s="7"/>
      <c r="P13" s="7"/>
      <c r="Q13" s="23"/>
      <c r="R13" s="23"/>
      <c r="S13" s="35">
        <f t="shared" ref="S13:S43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https://search-rtdc-monitor-bjffxe2xuh6vdkpspy63sjmuny.us-east-1.es.amazonaws.com/_plugin/kibana/#/discover/Steve-Slow-Train-Analysis-(2080s-and-2083s)?_g=(refreshInterval:(display:Off,section:0,value:0),time:(from:'2016-12-03 02:06:46-700',mode:absolute,to:'2016-12-03 04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52" t="str">
        <f t="shared" ref="W13:W76" si="6">IF(AA13&lt;IF(AG13="EC",23,5.65),"Y","N")</f>
        <v>N</v>
      </c>
      <c r="X13" s="177" t="e">
        <f t="shared" ref="X13:X31" si="7">VALUE(LEFT(AD13,4))-VALUE(LEFT(AD12,4))</f>
        <v>#VALUE!</v>
      </c>
      <c r="Y13" s="67">
        <f t="shared" ref="Y13:Y76" si="8">RIGHT(D13,LEN(D13)-4)/10000</f>
        <v>7.4300000000000005E-2</v>
      </c>
      <c r="Z13" s="67">
        <f>RIGHT(H13,LEN(H13)-4)/10000</f>
        <v>23.334599999999998</v>
      </c>
      <c r="AA13" s="67">
        <f t="shared" ref="AA13:AA76" si="9">ABS(Z13-Y13)</f>
        <v>23.260299999999997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0">IF(LEN(A13)=6,"0"&amp;A13,A13)</f>
        <v>0101-03</v>
      </c>
      <c r="AE13" s="91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13" s="88" t="str">
        <f t="shared" ref="AF13:AF76" si="12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/stypes="app*4016*20161203*" /stext=" 10:.+((SYSTEM_STATE.+slice.+state.+changed )|(ment ac)|(multiple cpu faults)|(system.+state.+changed )|(\[timeout)|(PRM\|1\|D)|(kpr)|(kdp)|(\|lc)|(penalty))" /e /r /s</v>
      </c>
      <c r="AG13" s="1" t="str">
        <f t="shared" ref="AG13:AG76" si="13">IFERROR(IF(VALUE(LEFT(AD13,2))&lt;=2,"EC",IF(OR(VALUE(LEFT(AD13,2))=8,VALUE(LEFT(AD13,2))=18),"NW","Other")),"Other")</f>
        <v>EC</v>
      </c>
      <c r="AH13" s="9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4016 --swversion DE.1.0.8.0 --startMP 204:743 --initTime 2016-12-03T03:06:46 --startdatetime 2016-12-03T03:15:25 --delay 1 --endMP 204:233346 --enddatetime 2016-12-03T03:51:20 --enforcementcount 0 &gt;&gt;C:\Users\stu\Documents\GitHub\eaglep3-reporting\EC\2016-12-03-refined-times.txt</v>
      </c>
      <c r="AI13" s="119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{"issue":{"subject":"","project_id":79,"tracker_id":40,"status_id":1,"priority_id":2,"assigned_to_id":23,"start_date":"2016-12-03","description":"","custom_fields":[{"id":1,"name":"Subdivision","value":"EC"},{"id":4,"name":"Milepost","value":"23.3346"},{"id":17,"name":"Train ID","value":"101-03"},{"id":16,"name":"Locomotive ID","value":"4016"},{"id":130,"name":"Impact","value":""},{"id":150,"name":"Time of Event (Mountain Time)","value":"03:51:20"},{"id":151,"name":"Denver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482</v>
      </c>
      <c r="B14" s="7">
        <v>4041</v>
      </c>
      <c r="C14" s="22" t="s">
        <v>209</v>
      </c>
      <c r="D14" s="22" t="s">
        <v>668</v>
      </c>
      <c r="E14" s="13">
        <v>42707.166608796295</v>
      </c>
      <c r="F14" s="13">
        <v>42707.17465277778</v>
      </c>
      <c r="G14" s="7">
        <v>0</v>
      </c>
      <c r="H14" s="22" t="s">
        <v>192</v>
      </c>
      <c r="I14" s="13">
        <v>42707.200706018521</v>
      </c>
      <c r="J14" s="7">
        <v>0</v>
      </c>
      <c r="K14" s="109" t="str">
        <f t="shared" si="0"/>
        <v>4041/4042</v>
      </c>
      <c r="L14" s="22" t="str">
        <f>VLOOKUP(A14,'Trips&amp;Operators'!$C$1:$G$99999,5,FALSE)</f>
        <v>MAELZER KURT</v>
      </c>
      <c r="M14" s="6">
        <f t="shared" si="1"/>
        <v>2.6053240741021E-2</v>
      </c>
      <c r="N14" s="7">
        <f t="shared" si="2"/>
        <v>37.51666666707024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02:59:55-700',mode:absolute,to:'2016-12-03 05:49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23.2715</v>
      </c>
      <c r="Z14" s="67">
        <f>RIGHT(H14,LEN(H14)-4)/10000</f>
        <v>1.49E-2</v>
      </c>
      <c r="AA14" s="67">
        <f t="shared" si="9"/>
        <v>23.256599999999999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0"/>
        <v>0102-03</v>
      </c>
      <c r="AE14" s="91" t="str">
        <f t="shared" si="11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14" s="88" t="str">
        <f t="shared" si="12"/>
        <v>"C:\Program Files (x86)\AstroGrep\AstroGrep.exe" /spath="%USERPROFILE%\AppData\Local\Temp\OnboardLogs" /stypes="app*4041*20161203*" /stext=" 11:.+((SYSTEM_STATE.+slice.+state.+changed )|(ment ac)|(multiple cpu faults)|(system.+state.+changed )|(\[timeout)|(PRM\|1\|D)|(kpr)|(kdp)|(\|lc)|(penalty))" /e /r /s</v>
      </c>
      <c r="AG14" s="1" t="str">
        <f t="shared" si="13"/>
        <v>EC</v>
      </c>
      <c r="AH14" s="92" t="str">
        <f t="shared" ref="AH14:AH76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4041 --swversion DE.1.0.8.0 --startMP 204:232715 --initTime 2016-12-03T03:59:55 --startdatetime 2016-12-03T04:11:30 --delay 0 --endMP 204:149 --enddatetime 2016-12-03T04:49:01 --enforcementcount 0 &gt;&gt;C:\Users\stu\Documents\GitHub\eaglep3-reporting\EC\2016-12-03-refined-times.txt</v>
      </c>
      <c r="AI14" s="119" t="str">
        <f t="shared" ref="AI14:AI76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{"issue":{"subject":"","project_id":79,"tracker_id":40,"status_id":1,"priority_id":2,"assigned_to_id":23,"start_date":"2016-12-03","description":"","custom_fields":[{"id":1,"name":"Subdivision","value":"EC"},{"id":4,"name":"Milepost","value":"0.0149"},{"id":17,"name":"Train ID","value":"102-03"},{"id":16,"name":"Locomotive ID","value":"4041"},{"id":130,"name":"Impact","value":""},{"id":150,"name":"Time of Event (Mountain Time)","value":"04:49:01"},{"id":151,"name":"Denver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435</v>
      </c>
      <c r="B15" s="7">
        <v>4027</v>
      </c>
      <c r="C15" s="22" t="s">
        <v>209</v>
      </c>
      <c r="D15" s="22" t="s">
        <v>669</v>
      </c>
      <c r="E15" s="13">
        <v>42707.150590277779</v>
      </c>
      <c r="F15" s="13">
        <v>42707.156458333331</v>
      </c>
      <c r="G15" s="7">
        <v>1</v>
      </c>
      <c r="H15" s="22" t="s">
        <v>670</v>
      </c>
      <c r="I15" s="13">
        <v>42707.180752314816</v>
      </c>
      <c r="J15" s="7">
        <v>0</v>
      </c>
      <c r="K15" s="109" t="str">
        <f t="shared" si="0"/>
        <v>4027/4028</v>
      </c>
      <c r="L15" s="22" t="str">
        <f>VLOOKUP(A15,'Trips&amp;Operators'!$C$1:$G$99999,5,FALSE)</f>
        <v>ROBINSON KADDIBA</v>
      </c>
      <c r="M15" s="6">
        <f t="shared" si="1"/>
        <v>2.4293981485243421E-2</v>
      </c>
      <c r="N15" s="7">
        <f t="shared" si="2"/>
        <v>34.983333338750526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02:36:51-700',mode:absolute,to:'2016-12-03 05:20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7.0999999999999994E-2</v>
      </c>
      <c r="Z15" s="67">
        <f>RIGHT(H15,LEN(H15)-4)/10000</f>
        <v>23.345099999999999</v>
      </c>
      <c r="AA15" s="67">
        <f t="shared" si="9"/>
        <v>23.274099999999997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0"/>
        <v>0103-03</v>
      </c>
      <c r="AE15" s="91" t="str">
        <f t="shared" si="11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15" s="88" t="str">
        <f t="shared" si="12"/>
        <v>"C:\Program Files (x86)\AstroGrep\AstroGrep.exe" /spath="%USERPROFILE%\AppData\Local\Temp\OnboardLogs" /stypes="app*4027*20161203*" /stext=" 11:.+((SYSTEM_STATE.+slice.+state.+changed )|(ment ac)|(multiple cpu faults)|(system.+state.+changed )|(\[timeout)|(PRM\|1\|D)|(kpr)|(kdp)|(\|lc)|(penalty))" /e /r /s</v>
      </c>
      <c r="AG15" s="1" t="str">
        <f t="shared" si="13"/>
        <v>EC</v>
      </c>
      <c r="AH15" s="92" t="str">
        <f t="shared" si="16"/>
        <v>"%USERPROFILE%\Documents\GitHub\eaglep3\Utilities\RefineRTDCRunTimes.py" --tripid 103-03 --locoid 4027 --swversion DE.1.0.8.0 --startMP 204:710 --initTime 2016-12-03T03:36:51 --startdatetime 2016-12-03T03:45:18 --delay 1 --endMP 204:233451 --enddatetime 2016-12-03T04:20:17 --enforcementcount 0 &gt;&gt;C:\Users\stu\Documents\GitHub\eaglep3-reporting\EC\2016-12-03-refined-times.txt</v>
      </c>
      <c r="AI15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{"issue":{"subject":"","project_id":79,"tracker_id":40,"status_id":1,"priority_id":2,"assigned_to_id":23,"start_date":"2016-12-03","description":"","custom_fields":[{"id":1,"name":"Subdivision","value":"EC"},{"id":4,"name":"Milepost","value":"23.3451"},{"id":17,"name":"Train ID","value":"103-03"},{"id":16,"name":"Locomotive ID","value":"4027"},{"id":130,"name":"Impact","value":""},{"id":150,"name":"Time of Event (Mountain Time)","value":"04:20:17"},{"id":151,"name":"Denver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491</v>
      </c>
      <c r="B16" s="7">
        <v>4004</v>
      </c>
      <c r="C16" s="22" t="s">
        <v>209</v>
      </c>
      <c r="D16" s="22" t="s">
        <v>671</v>
      </c>
      <c r="E16" s="13">
        <v>42707.191261574073</v>
      </c>
      <c r="F16" s="13">
        <v>42707.195324074077</v>
      </c>
      <c r="G16" s="7">
        <v>2</v>
      </c>
      <c r="H16" s="22" t="s">
        <v>671</v>
      </c>
      <c r="I16" s="13">
        <v>42707.222002314818</v>
      </c>
      <c r="J16" s="7">
        <v>0</v>
      </c>
      <c r="K16" s="109" t="str">
        <f t="shared" si="0"/>
        <v>4003/4004</v>
      </c>
      <c r="L16" s="22" t="str">
        <f>VLOOKUP(A16,'Trips&amp;Operators'!$C$1:$G$99999,5,FALSE)</f>
        <v>ROBINSON KADDIBA</v>
      </c>
      <c r="M16" s="6">
        <f t="shared" si="1"/>
        <v>2.6678240741603076E-2</v>
      </c>
      <c r="N16" s="7">
        <f t="shared" si="2"/>
        <v>38.41666666790843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03:35:25-700',mode:absolute,to:'2016-12-03 06:19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23.265499999999999</v>
      </c>
      <c r="Z16" s="67">
        <v>0.04</v>
      </c>
      <c r="AA16" s="67">
        <f t="shared" si="9"/>
        <v>23.2255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0"/>
        <v>0104-03</v>
      </c>
      <c r="AE16" s="91" t="str">
        <f t="shared" si="11"/>
        <v>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 &amp; 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</v>
      </c>
      <c r="AF16" s="88" t="str">
        <f t="shared" si="12"/>
        <v>"C:\Program Files (x86)\AstroGrep\AstroGrep.exe" /spath="%USERPROFILE%\AppData\Local\Temp\OnboardLogs" /stypes="app*4004*20161203*" /stext=" 12:.+((SYSTEM_STATE.+slice.+state.+changed )|(ment ac)|(multiple cpu faults)|(system.+state.+changed )|(\[timeout)|(PRM\|1\|D)|(kpr)|(kdp)|(\|lc)|(penalty))" /e /r /s</v>
      </c>
      <c r="AG16" s="1" t="str">
        <f t="shared" si="13"/>
        <v>EC</v>
      </c>
      <c r="AH16" s="92" t="str">
        <f t="shared" si="16"/>
        <v>"%USERPROFILE%\Documents\GitHub\eaglep3\Utilities\RefineRTDCRunTimes.py" --tripid 104-03 --locoid 4004 --swversion DE.1.0.8.0 --startMP 204:232655 --initTime 2016-12-03T04:35:25 --startdatetime 2016-12-03T04:41:16 --delay 2 --endMP 204:232655 --enddatetime 2016-12-03T05:19:41 --enforcementcount 0 &gt;&gt;C:\Users\stu\Documents\GitHub\eaglep3-reporting\EC\2016-12-03-refined-times.txt</v>
      </c>
      <c r="AI16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{"issue":{"subject":"","project_id":79,"tracker_id":40,"status_id":1,"priority_id":2,"assigned_to_id":23,"start_date":"2016-12-03","description":"","custom_fields":[{"id":1,"name":"Subdivision","value":"EC"},{"id":4,"name":"Milepost","value":"0.04"},{"id":17,"name":"Train ID","value":"104-03"},{"id":16,"name":"Locomotive ID","value":"4004"},{"id":130,"name":"Impact","value":""},{"id":150,"name":"Time of Event (Mountain Time)","value":"05:19:41"},{"id":151,"name":"Denver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483</v>
      </c>
      <c r="B17" s="7">
        <v>4014</v>
      </c>
      <c r="C17" s="22" t="s">
        <v>209</v>
      </c>
      <c r="D17" s="22" t="s">
        <v>672</v>
      </c>
      <c r="E17" s="13">
        <v>42707.17391203704</v>
      </c>
      <c r="F17" s="13">
        <v>42707.177314814813</v>
      </c>
      <c r="G17" s="7">
        <v>1</v>
      </c>
      <c r="H17" s="22" t="s">
        <v>673</v>
      </c>
      <c r="I17" s="13">
        <v>42707.203009259261</v>
      </c>
      <c r="J17" s="7">
        <v>0</v>
      </c>
      <c r="K17" s="109" t="str">
        <f t="shared" si="0"/>
        <v>4013/4014</v>
      </c>
      <c r="L17" s="22" t="str">
        <f>VLOOKUP(A17,'Trips&amp;Operators'!$C$1:$G$99999,5,FALSE)</f>
        <v>ACKERMAN JARED</v>
      </c>
      <c r="M17" s="6">
        <f t="shared" si="1"/>
        <v>2.5694444448163267E-2</v>
      </c>
      <c r="N17" s="7">
        <f t="shared" si="2"/>
        <v>37.000000005355105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03:10:26-700',mode:absolute,to:'2016-12-03 05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7.3200000000000001E-2</v>
      </c>
      <c r="Z17" s="67">
        <f t="shared" ref="Z17:Z48" si="18">RIGHT(H17,LEN(H17)-4)/10000</f>
        <v>23.338000000000001</v>
      </c>
      <c r="AA17" s="67">
        <f t="shared" si="9"/>
        <v>23.264800000000001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0"/>
        <v>0105-03</v>
      </c>
      <c r="AE17" s="91" t="str">
        <f t="shared" si="11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17" s="88" t="str">
        <f t="shared" si="12"/>
        <v>"C:\Program Files (x86)\AstroGrep\AstroGrep.exe" /spath="%USERPROFILE%\AppData\Local\Temp\OnboardLogs" /stypes="app*4014*20161203*" /stext=" 11:.+((SYSTEM_STATE.+slice.+state.+changed )|(ment ac)|(multiple cpu faults)|(system.+state.+changed )|(\[timeout)|(PRM\|1\|D)|(kpr)|(kdp)|(\|lc)|(penalty))" /e /r /s</v>
      </c>
      <c r="AG17" s="1" t="str">
        <f t="shared" si="13"/>
        <v>EC</v>
      </c>
      <c r="AH17" s="92" t="str">
        <f t="shared" si="16"/>
        <v>"%USERPROFILE%\Documents\GitHub\eaglep3\Utilities\RefineRTDCRunTimes.py" --tripid 105-03 --locoid 4014 --swversion DE.1.0.8.0 --startMP 204:732 --initTime 2016-12-03T04:10:26 --startdatetime 2016-12-03T04:15:20 --delay 1 --endMP 204:233380 --enddatetime 2016-12-03T04:52:20 --enforcementcount 0 &gt;&gt;C:\Users\stu\Documents\GitHub\eaglep3-reporting\EC\2016-12-03-refined-times.txt</v>
      </c>
      <c r="AI17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{"issue":{"subject":"","project_id":79,"tracker_id":40,"status_id":1,"priority_id":2,"assigned_to_id":23,"start_date":"2016-12-03","description":"","custom_fields":[{"id":1,"name":"Subdivision","value":"EC"},{"id":4,"name":"Milepost","value":"23.338"},{"id":17,"name":"Train ID","value":"105-03"},{"id":16,"name":"Locomotive ID","value":"4014"},{"id":130,"name":"Impact","value":""},{"id":150,"name":"Time of Event (Mountain Time)","value":"04:52:20"},{"id":151,"name":"Denver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496</v>
      </c>
      <c r="B18" s="7">
        <v>4037</v>
      </c>
      <c r="C18" s="22" t="s">
        <v>209</v>
      </c>
      <c r="D18" s="22" t="s">
        <v>674</v>
      </c>
      <c r="E18" s="13">
        <v>42707.210636574076</v>
      </c>
      <c r="F18" s="13">
        <v>42707.216192129628</v>
      </c>
      <c r="G18" s="7">
        <v>1</v>
      </c>
      <c r="H18" s="22" t="s">
        <v>675</v>
      </c>
      <c r="I18" s="13">
        <v>42707.244837962964</v>
      </c>
      <c r="J18" s="7">
        <v>0</v>
      </c>
      <c r="K18" s="109" t="str">
        <f t="shared" si="0"/>
        <v>4037/4038</v>
      </c>
      <c r="L18" s="22" t="str">
        <f>VLOOKUP(A18,'Trips&amp;Operators'!$C$1:$G$99999,5,FALSE)</f>
        <v>ACKERMAN JARED</v>
      </c>
      <c r="M18" s="6">
        <f t="shared" si="1"/>
        <v>2.8645833335758653E-2</v>
      </c>
      <c r="N18" s="7">
        <f t="shared" si="2"/>
        <v>41.25000000349246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04:03:19-700',mode:absolute,to:'2016-12-03 06:52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23.273800000000001</v>
      </c>
      <c r="Z18" s="67">
        <f t="shared" si="18"/>
        <v>1.38E-2</v>
      </c>
      <c r="AA18" s="67">
        <f t="shared" si="9"/>
        <v>23.26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0"/>
        <v>0106-03</v>
      </c>
      <c r="AE18" s="91" t="str">
        <f t="shared" si="11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18" s="88" t="str">
        <f t="shared" si="12"/>
        <v>"C:\Program Files (x86)\AstroGrep\AstroGrep.exe" /spath="%USERPROFILE%\AppData\Local\Temp\OnboardLogs" /stypes="app*4037*20161203*" /stext=" 12:.+((SYSTEM_STATE.+slice.+state.+changed )|(ment ac)|(multiple cpu faults)|(system.+state.+changed )|(\[timeout)|(PRM\|1\|D)|(kpr)|(kdp)|(\|lc)|(penalty))" /e /r /s</v>
      </c>
      <c r="AG18" s="1" t="str">
        <f t="shared" si="13"/>
        <v>EC</v>
      </c>
      <c r="AH18" s="92" t="str">
        <f t="shared" si="16"/>
        <v>"%USERPROFILE%\Documents\GitHub\eaglep3\Utilities\RefineRTDCRunTimes.py" --tripid 106-03 --locoid 4037 --swversion DE.1.0.8.0 --startMP 204:232738 --initTime 2016-12-03T05:03:19 --startdatetime 2016-12-03T05:11:19 --delay 1 --endMP 204:138 --enddatetime 2016-12-03T05:52:34 --enforcementcount 0 &gt;&gt;C:\Users\stu\Documents\GitHub\eaglep3-reporting\EC\2016-12-03-refined-times.txt</v>
      </c>
      <c r="AI18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{"issue":{"subject":"","project_id":79,"tracker_id":40,"status_id":1,"priority_id":2,"assigned_to_id":23,"start_date":"2016-12-03","description":"","custom_fields":[{"id":1,"name":"Subdivision","value":"EC"},{"id":4,"name":"Milepost","value":"0.0138"},{"id":17,"name":"Train ID","value":"106-03"},{"id":16,"name":"Locomotive ID","value":"4037"},{"id":130,"name":"Impact","value":""},{"id":150,"name":"Time of Event (Mountain Time)","value":"05:52:34"},{"id":151,"name":"Denver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489</v>
      </c>
      <c r="B19" s="7">
        <v>4040</v>
      </c>
      <c r="C19" s="22" t="s">
        <v>209</v>
      </c>
      <c r="D19" s="22" t="s">
        <v>231</v>
      </c>
      <c r="E19" s="13">
        <v>42707.184953703705</v>
      </c>
      <c r="F19" s="13">
        <v>42707.187777777777</v>
      </c>
      <c r="G19" s="7">
        <v>1</v>
      </c>
      <c r="H19" s="22" t="s">
        <v>409</v>
      </c>
      <c r="I19" s="13">
        <v>42707.213622685187</v>
      </c>
      <c r="J19" s="7">
        <v>0</v>
      </c>
      <c r="K19" s="109" t="str">
        <f t="shared" si="0"/>
        <v>4039/4040</v>
      </c>
      <c r="L19" s="22" t="str">
        <f>VLOOKUP(A19,'Trips&amp;Operators'!$C$1:$G$99999,5,FALSE)</f>
        <v>DAVIS WENDY</v>
      </c>
      <c r="M19" s="6">
        <f t="shared" si="1"/>
        <v>2.584490740991896E-2</v>
      </c>
      <c r="N19" s="7">
        <f t="shared" si="2"/>
        <v>37.216666670283303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03:26:20-700',mode:absolute,to:'2016-12-03 06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4.4900000000000002E-2</v>
      </c>
      <c r="Z19" s="67">
        <f t="shared" si="18"/>
        <v>23.3324</v>
      </c>
      <c r="AA19" s="67">
        <f t="shared" si="9"/>
        <v>23.287500000000001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0"/>
        <v>0107-03</v>
      </c>
      <c r="AE19" s="91" t="str">
        <f t="shared" si="11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19" s="88" t="str">
        <f t="shared" si="12"/>
        <v>"C:\Program Files (x86)\AstroGrep\AstroGrep.exe" /spath="%USERPROFILE%\AppData\Local\Temp\OnboardLogs" /stypes="app*4040*20161203*" /stext=" 12:.+((SYSTEM_STATE.+slice.+state.+changed )|(ment ac)|(multiple cpu faults)|(system.+state.+changed )|(\[timeout)|(PRM\|1\|D)|(kpr)|(kdp)|(\|lc)|(penalty))" /e /r /s</v>
      </c>
      <c r="AG19" s="1" t="str">
        <f t="shared" si="13"/>
        <v>EC</v>
      </c>
      <c r="AH19" s="92" t="str">
        <f t="shared" si="16"/>
        <v>"%USERPROFILE%\Documents\GitHub\eaglep3\Utilities\RefineRTDCRunTimes.py" --tripid 107-03 --locoid 4040 --swversion DE.1.0.8.0 --startMP 204:449 --initTime 2016-12-03T04:26:20 --startdatetime 2016-12-03T04:30:24 --delay 1 --endMP 204:233324 --enddatetime 2016-12-03T05:07:37 --enforcementcount 0 &gt;&gt;C:\Users\stu\Documents\GitHub\eaglep3-reporting\EC\2016-12-03-refined-times.txt</v>
      </c>
      <c r="AI19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{"issue":{"subject":"","project_id":79,"tracker_id":40,"status_id":1,"priority_id":2,"assigned_to_id":23,"start_date":"2016-12-03","description":"","custom_fields":[{"id":1,"name":"Subdivision","value":"EC"},{"id":4,"name":"Milepost","value":"23.3324"},{"id":17,"name":"Train ID","value":"107-03"},{"id":16,"name":"Locomotive ID","value":"4040"},{"id":130,"name":"Impact","value":""},{"id":150,"name":"Time of Event (Mountain Time)","value":"05:07:37"},{"id":151,"name":"Denver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497</v>
      </c>
      <c r="B20" s="7">
        <v>4039</v>
      </c>
      <c r="C20" s="22" t="s">
        <v>209</v>
      </c>
      <c r="D20" s="22" t="s">
        <v>324</v>
      </c>
      <c r="E20" s="13">
        <v>42707.221238425926</v>
      </c>
      <c r="F20" s="13">
        <v>42707.226620370369</v>
      </c>
      <c r="G20" s="7">
        <v>1</v>
      </c>
      <c r="H20" s="22" t="s">
        <v>241</v>
      </c>
      <c r="I20" s="13">
        <v>42707.254467592589</v>
      </c>
      <c r="J20" s="7">
        <v>0</v>
      </c>
      <c r="K20" s="109" t="str">
        <f t="shared" si="0"/>
        <v>4039/4040</v>
      </c>
      <c r="L20" s="22" t="str">
        <f>VLOOKUP(A20,'Trips&amp;Operators'!$C$1:$G$99999,5,FALSE)</f>
        <v>DAVIS WENDY</v>
      </c>
      <c r="M20" s="6">
        <f t="shared" si="1"/>
        <v>2.7847222219861578E-2</v>
      </c>
      <c r="N20" s="7">
        <f t="shared" si="2"/>
        <v>40.099999996600673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04:18:35-700',mode:absolute,to:'2016-12-03 07:06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23.299199999999999</v>
      </c>
      <c r="Z20" s="67">
        <f t="shared" si="18"/>
        <v>1.6500000000000001E-2</v>
      </c>
      <c r="AA20" s="67">
        <f t="shared" si="9"/>
        <v>23.282699999999998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0"/>
        <v>0108-03</v>
      </c>
      <c r="AE20" s="91" t="str">
        <f t="shared" si="11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20" s="88" t="str">
        <f t="shared" si="12"/>
        <v>"C:\Program Files (x86)\AstroGrep\AstroGrep.exe" /spath="%USERPROFILE%\AppData\Local\Temp\OnboardLogs" /stypes="app*4039*20161203*" /stext=" 13:.+((SYSTEM_STATE.+slice.+state.+changed )|(ment ac)|(multiple cpu faults)|(system.+state.+changed )|(\[timeout)|(PRM\|1\|D)|(kpr)|(kdp)|(\|lc)|(penalty))" /e /r /s</v>
      </c>
      <c r="AG20" s="1" t="str">
        <f t="shared" si="13"/>
        <v>EC</v>
      </c>
      <c r="AH20" s="92" t="str">
        <f t="shared" si="16"/>
        <v>"%USERPROFILE%\Documents\GitHub\eaglep3\Utilities\RefineRTDCRunTimes.py" --tripid 108-03 --locoid 4039 --swversion DE.1.0.8.0 --startMP 204:232992 --initTime 2016-12-03T05:18:35 --startdatetime 2016-12-03T05:26:20 --delay 1 --endMP 204:165 --enddatetime 2016-12-03T06:06:26 --enforcementcount 0 &gt;&gt;C:\Users\stu\Documents\GitHub\eaglep3-reporting\EC\2016-12-03-refined-times.txt</v>
      </c>
      <c r="AI20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{"issue":{"subject":"","project_id":79,"tracker_id":40,"status_id":1,"priority_id":2,"assigned_to_id":23,"start_date":"2016-12-03","description":"","custom_fields":[{"id":1,"name":"Subdivision","value":"EC"},{"id":4,"name":"Milepost","value":"0.0165"},{"id":17,"name":"Train ID","value":"108-03"},{"id":16,"name":"Locomotive ID","value":"4039"},{"id":130,"name":"Impact","value":""},{"id":150,"name":"Time of Event (Mountain Time)","value":"06:06:26"},{"id":151,"name":"Denver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490</v>
      </c>
      <c r="B21" s="7">
        <v>4022</v>
      </c>
      <c r="C21" s="22" t="s">
        <v>209</v>
      </c>
      <c r="D21" s="22" t="s">
        <v>676</v>
      </c>
      <c r="E21" s="13">
        <v>42707.190740740742</v>
      </c>
      <c r="F21" s="13">
        <v>42707.198125000003</v>
      </c>
      <c r="G21" s="7">
        <v>1</v>
      </c>
      <c r="H21" s="22" t="s">
        <v>677</v>
      </c>
      <c r="I21" s="13">
        <v>42707.210023148145</v>
      </c>
      <c r="J21" s="7">
        <v>0</v>
      </c>
      <c r="K21" s="109" t="str">
        <f t="shared" si="0"/>
        <v>4021/4022</v>
      </c>
      <c r="L21" s="22" t="str">
        <f>VLOOKUP(A21,'Trips&amp;Operators'!$C$1:$G$99999,5,FALSE)</f>
        <v>KILLION DAVID</v>
      </c>
      <c r="M21" s="6">
        <f t="shared" si="1"/>
        <v>1.1898148142790888E-2</v>
      </c>
      <c r="N21" s="7"/>
      <c r="O21" s="7"/>
      <c r="P21" s="7">
        <f>24*60*SUM($M21:$M21)</f>
        <v>17.133333325618878</v>
      </c>
      <c r="Q21" s="23"/>
      <c r="R21" s="23" t="s">
        <v>833</v>
      </c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03:34:40-700',mode:absolute,to:'2016-12-03 06:02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" s="52" t="str">
        <f t="shared" si="6"/>
        <v>Y</v>
      </c>
      <c r="X21" s="177">
        <f t="shared" si="7"/>
        <v>1</v>
      </c>
      <c r="Y21" s="67">
        <f t="shared" si="8"/>
        <v>4.53E-2</v>
      </c>
      <c r="Z21" s="67">
        <f t="shared" si="18"/>
        <v>13.0253</v>
      </c>
      <c r="AA21" s="67">
        <f t="shared" si="9"/>
        <v>12.98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0"/>
        <v>0109-03</v>
      </c>
      <c r="AE21" s="91" t="str">
        <f t="shared" si="11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21" s="88" t="str">
        <f t="shared" si="12"/>
        <v>"C:\Program Files (x86)\AstroGrep\AstroGrep.exe" /spath="%USERPROFILE%\AppData\Local\Temp\OnboardLogs" /stypes="app*4022*20161203*" /stext=" 12:.+((SYSTEM_STATE.+slice.+state.+changed )|(ment ac)|(multiple cpu faults)|(system.+state.+changed )|(\[timeout)|(PRM\|1\|D)|(kpr)|(kdp)|(\|lc)|(penalty))" /e /r /s</v>
      </c>
      <c r="AG21" s="1" t="str">
        <f t="shared" si="13"/>
        <v>EC</v>
      </c>
      <c r="AH21" s="92" t="str">
        <f t="shared" si="16"/>
        <v>"%USERPROFILE%\Documents\GitHub\eaglep3\Utilities\RefineRTDCRunTimes.py" --tripid 109-03 --locoid 4022 --swversion DE.1.0.8.0 --startMP 204:453 --initTime 2016-12-03T04:34:40 --startdatetime 2016-12-03T04:45:18 --delay 1 --endMP 204:130253 --enddatetime 2016-12-03T05:02:26 --enforcementcount 0 &gt;&gt;C:\Users\stu\Documents\GitHub\eaglep3-reporting\EC\2016-12-03-refined-times.txt</v>
      </c>
      <c r="AI21" s="119" t="str">
        <f t="shared" si="17"/>
        <v>echo {"issue":{"subject":"Wheel tach slip","project_id":79,"tracker_id":40,"status_id":1,"priority_id":2,"assigned_to_id":23,"start_date":"2016-12-03","description":"","custom_fields":[{"id":1,"name":"Subdivision","value":"EC"},{"id":4,"name":"Milepost","value":"13.0253"},{"id":17,"name":"Train ID","value":"109-03"},{"id":16,"name":"Locomotive ID","value":"4022"},{"id":130,"name":"Impact","value":""},{"id":150,"name":"Time of Event (Mountain Time)","value":"05:02:26"},{"id":151,"name":"Denver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500</v>
      </c>
      <c r="B22" s="7">
        <v>4021</v>
      </c>
      <c r="C22" s="22" t="s">
        <v>209</v>
      </c>
      <c r="D22" s="22" t="s">
        <v>327</v>
      </c>
      <c r="E22" s="13">
        <v>42707.232106481482</v>
      </c>
      <c r="F22" s="13">
        <v>42707.236990740741</v>
      </c>
      <c r="G22" s="7">
        <v>1</v>
      </c>
      <c r="H22" s="22" t="s">
        <v>678</v>
      </c>
      <c r="I22" s="13">
        <v>42707.264293981483</v>
      </c>
      <c r="J22" s="7">
        <v>0</v>
      </c>
      <c r="K22" s="109" t="str">
        <f t="shared" si="0"/>
        <v>4021/4022</v>
      </c>
      <c r="L22" s="22" t="str">
        <f>VLOOKUP(A22,'Trips&amp;Operators'!$C$1:$G$99999,5,FALSE)</f>
        <v>KILLION DAVID</v>
      </c>
      <c r="M22" s="6">
        <f t="shared" si="1"/>
        <v>2.7303240742185153E-2</v>
      </c>
      <c r="N22" s="7">
        <f t="shared" ref="N22:N43" si="19">24*60*SUM($M22:$M22)</f>
        <v>39.31666666874662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04:34:14-700',mode:absolute,to:'2016-12-03 07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23.2987</v>
      </c>
      <c r="Z22" s="67">
        <f t="shared" si="18"/>
        <v>1.7000000000000001E-2</v>
      </c>
      <c r="AA22" s="67">
        <f t="shared" si="9"/>
        <v>23.281700000000001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0"/>
        <v>0110-03</v>
      </c>
      <c r="AE22" s="91" t="str">
        <f t="shared" si="11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22" s="88" t="str">
        <f t="shared" si="12"/>
        <v>"C:\Program Files (x86)\AstroGrep\AstroGrep.exe" /spath="%USERPROFILE%\AppData\Local\Temp\OnboardLogs" /stypes="app*4021*20161203*" /stext=" 13:.+((SYSTEM_STATE.+slice.+state.+changed )|(ment ac)|(multiple cpu faults)|(system.+state.+changed )|(\[timeout)|(PRM\|1\|D)|(kpr)|(kdp)|(\|lc)|(penalty))" /e /r /s</v>
      </c>
      <c r="AG22" s="1" t="str">
        <f t="shared" si="13"/>
        <v>EC</v>
      </c>
      <c r="AH22" s="92" t="str">
        <f t="shared" si="16"/>
        <v>"%USERPROFILE%\Documents\GitHub\eaglep3\Utilities\RefineRTDCRunTimes.py" --tripid 110-03 --locoid 4021 --swversion DE.1.0.8.0 --startMP 204:232987 --initTime 2016-12-03T05:34:14 --startdatetime 2016-12-03T05:41:16 --delay 1 --endMP 204:170 --enddatetime 2016-12-03T06:20:35 --enforcementcount 0 &gt;&gt;C:\Users\stu\Documents\GitHub\eaglep3-reporting\EC\2016-12-03-refined-times.txt</v>
      </c>
      <c r="AI22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{"issue":{"subject":"","project_id":79,"tracker_id":40,"status_id":1,"priority_id":2,"assigned_to_id":23,"start_date":"2016-12-03","description":"","custom_fields":[{"id":1,"name":"Subdivision","value":"EC"},{"id":4,"name":"Milepost","value":"0.017"},{"id":17,"name":"Train ID","value":"110-03"},{"id":16,"name":"Locomotive ID","value":"4021"},{"id":130,"name":"Impact","value":""},{"id":150,"name":"Time of Event (Mountain Time)","value":"06:20:35"},{"id":151,"name":"Denver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492</v>
      </c>
      <c r="B23" s="7">
        <v>4016</v>
      </c>
      <c r="C23" s="22" t="s">
        <v>209</v>
      </c>
      <c r="D23" s="22" t="s">
        <v>679</v>
      </c>
      <c r="E23" s="13">
        <v>42707.203483796293</v>
      </c>
      <c r="F23" s="13">
        <v>42707.208599537036</v>
      </c>
      <c r="G23" s="7">
        <v>2</v>
      </c>
      <c r="H23" s="22" t="s">
        <v>295</v>
      </c>
      <c r="I23" s="13">
        <v>42707.233055555553</v>
      </c>
      <c r="J23" s="7">
        <v>0</v>
      </c>
      <c r="K23" s="109" t="str">
        <f t="shared" si="0"/>
        <v>4015/4016</v>
      </c>
      <c r="L23" s="22" t="str">
        <f>VLOOKUP(A23,'Trips&amp;Operators'!$C$1:$G$99999,5,FALSE)</f>
        <v>GEBRETEKLE DAGNEW</v>
      </c>
      <c r="M23" s="6">
        <f t="shared" si="1"/>
        <v>2.4456018516502809E-2</v>
      </c>
      <c r="N23" s="7">
        <f t="shared" si="19"/>
        <v>35.216666663764045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03:53:01-700',mode:absolute,to:'2016-12-03 06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7.7499999999999999E-2</v>
      </c>
      <c r="Z23" s="67">
        <f t="shared" si="18"/>
        <v>23.329699999999999</v>
      </c>
      <c r="AA23" s="67">
        <f t="shared" si="9"/>
        <v>23.252199999999998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0"/>
        <v>0111-03</v>
      </c>
      <c r="AE23" s="91" t="str">
        <f t="shared" si="11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23" s="88" t="str">
        <f t="shared" si="12"/>
        <v>"C:\Program Files (x86)\AstroGrep\AstroGrep.exe" /spath="%USERPROFILE%\AppData\Local\Temp\OnboardLogs" /stypes="app*4016*20161203*" /stext=" 12:.+((SYSTEM_STATE.+slice.+state.+changed )|(ment ac)|(multiple cpu faults)|(system.+state.+changed )|(\[timeout)|(PRM\|1\|D)|(kpr)|(kdp)|(\|lc)|(penalty))" /e /r /s</v>
      </c>
      <c r="AG23" s="1" t="str">
        <f t="shared" si="13"/>
        <v>EC</v>
      </c>
      <c r="AH23" s="92" t="str">
        <f t="shared" si="16"/>
        <v>"%USERPROFILE%\Documents\GitHub\eaglep3\Utilities\RefineRTDCRunTimes.py" --tripid 111-03 --locoid 4016 --swversion DE.1.0.8.0 --startMP 204:775 --initTime 2016-12-03T04:53:01 --startdatetime 2016-12-03T05:00:23 --delay 2 --endMP 204:233297 --enddatetime 2016-12-03T05:35:36 --enforcementcount 0 &gt;&gt;C:\Users\stu\Documents\GitHub\eaglep3-reporting\EC\2016-12-03-refined-times.txt</v>
      </c>
      <c r="AI23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{"issue":{"subject":"","project_id":79,"tracker_id":40,"status_id":1,"priority_id":2,"assigned_to_id":23,"start_date":"2016-12-03","description":"","custom_fields":[{"id":1,"name":"Subdivision","value":"EC"},{"id":4,"name":"Milepost","value":"23.3297"},{"id":17,"name":"Train ID","value":"111-03"},{"id":16,"name":"Locomotive ID","value":"4016"},{"id":130,"name":"Impact","value":""},{"id":150,"name":"Time of Event (Mountain Time)","value":"05:35:36"},{"id":151,"name":"Denver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503</v>
      </c>
      <c r="B24" s="7">
        <v>4015</v>
      </c>
      <c r="C24" s="22" t="s">
        <v>209</v>
      </c>
      <c r="D24" s="22" t="s">
        <v>324</v>
      </c>
      <c r="E24" s="13">
        <v>42707.241979166669</v>
      </c>
      <c r="F24" s="13">
        <v>42707.247557870367</v>
      </c>
      <c r="G24" s="7">
        <v>1</v>
      </c>
      <c r="H24" s="22" t="s">
        <v>192</v>
      </c>
      <c r="I24" s="13">
        <v>42707.274131944447</v>
      </c>
      <c r="J24" s="7">
        <v>0</v>
      </c>
      <c r="K24" s="109" t="str">
        <f t="shared" si="0"/>
        <v>4015/4016</v>
      </c>
      <c r="L24" s="22" t="str">
        <f>VLOOKUP(A24,'Trips&amp;Operators'!$C$1:$G$99999,5,FALSE)</f>
        <v>GEBRETEKLE DAGNEW</v>
      </c>
      <c r="M24" s="6">
        <f t="shared" si="1"/>
        <v>2.6574074079690035E-2</v>
      </c>
      <c r="N24" s="7">
        <f t="shared" si="19"/>
        <v>38.266666674753651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04:48:27-700',mode:absolute,to:'2016-12-03 07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23.299199999999999</v>
      </c>
      <c r="Z24" s="67">
        <f t="shared" si="18"/>
        <v>1.49E-2</v>
      </c>
      <c r="AA24" s="67">
        <f t="shared" si="9"/>
        <v>23.284299999999998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0"/>
        <v>0112-03</v>
      </c>
      <c r="AE24" s="91" t="str">
        <f t="shared" si="11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24" s="88" t="str">
        <f t="shared" si="12"/>
        <v>"C:\Program Files (x86)\AstroGrep\AstroGrep.exe" /spath="%USERPROFILE%\AppData\Local\Temp\OnboardLogs" /stypes="app*4015*20161203*" /stext=" 13:.+((SYSTEM_STATE.+slice.+state.+changed )|(ment ac)|(multiple cpu faults)|(system.+state.+changed )|(\[timeout)|(PRM\|1\|D)|(kpr)|(kdp)|(\|lc)|(penalty))" /e /r /s</v>
      </c>
      <c r="AG24" s="1" t="str">
        <f t="shared" si="13"/>
        <v>EC</v>
      </c>
      <c r="AH24" s="92" t="str">
        <f t="shared" si="16"/>
        <v>"%USERPROFILE%\Documents\GitHub\eaglep3\Utilities\RefineRTDCRunTimes.py" --tripid 112-03 --locoid 4015 --swversion DE.1.0.8.0 --startMP 204:232992 --initTime 2016-12-03T05:48:27 --startdatetime 2016-12-03T05:56:29 --delay 1 --endMP 204:149 --enddatetime 2016-12-03T06:34:45 --enforcementcount 0 &gt;&gt;C:\Users\stu\Documents\GitHub\eaglep3-reporting\EC\2016-12-03-refined-times.txt</v>
      </c>
      <c r="AI24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{"issue":{"subject":"","project_id":79,"tracker_id":40,"status_id":1,"priority_id":2,"assigned_to_id":23,"start_date":"2016-12-03","description":"","custom_fields":[{"id":1,"name":"Subdivision","value":"EC"},{"id":4,"name":"Milepost","value":"0.0149"},{"id":17,"name":"Train ID","value":"112-03"},{"id":16,"name":"Locomotive ID","value":"4015"},{"id":130,"name":"Impact","value":""},{"id":150,"name":"Time of Event (Mountain Time)","value":"06:34:45"},{"id":151,"name":"Denver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495</v>
      </c>
      <c r="B25" s="7">
        <v>4042</v>
      </c>
      <c r="C25" s="22" t="s">
        <v>209</v>
      </c>
      <c r="D25" s="22" t="s">
        <v>680</v>
      </c>
      <c r="E25" s="13">
        <v>42707.204895833333</v>
      </c>
      <c r="F25" s="13">
        <v>42707.2190625</v>
      </c>
      <c r="G25" s="7">
        <v>1</v>
      </c>
      <c r="H25" s="22" t="s">
        <v>681</v>
      </c>
      <c r="I25" s="13">
        <v>42707.244085648148</v>
      </c>
      <c r="J25" s="7">
        <v>0</v>
      </c>
      <c r="K25" s="109" t="str">
        <f t="shared" si="0"/>
        <v>4041/4042</v>
      </c>
      <c r="L25" s="22" t="str">
        <f>VLOOKUP(A25,'Trips&amp;Operators'!$C$1:$G$99999,5,FALSE)</f>
        <v>MAELZER KURT</v>
      </c>
      <c r="M25" s="6">
        <f t="shared" si="1"/>
        <v>2.5023148147738539E-2</v>
      </c>
      <c r="N25" s="7">
        <f t="shared" si="19"/>
        <v>36.033333332743496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03:55:03-700',mode:absolute,to:'2016-12-03 06:51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4.4400000000000002E-2</v>
      </c>
      <c r="Z25" s="67">
        <f t="shared" si="18"/>
        <v>23.331499999999998</v>
      </c>
      <c r="AA25" s="67">
        <f t="shared" si="9"/>
        <v>23.287099999999999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0"/>
        <v>0113-03</v>
      </c>
      <c r="AE25" s="91" t="str">
        <f t="shared" si="11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25" s="88" t="str">
        <f t="shared" si="12"/>
        <v>"C:\Program Files (x86)\AstroGrep\AstroGrep.exe" /spath="%USERPROFILE%\AppData\Local\Temp\OnboardLogs" /stypes="app*4042*20161203*" /stext=" 12:.+((SYSTEM_STATE.+slice.+state.+changed )|(ment ac)|(multiple cpu faults)|(system.+state.+changed )|(\[timeout)|(PRM\|1\|D)|(kpr)|(kdp)|(\|lc)|(penalty))" /e /r /s</v>
      </c>
      <c r="AG25" s="1" t="str">
        <f t="shared" si="13"/>
        <v>EC</v>
      </c>
      <c r="AH25" s="92" t="str">
        <f t="shared" si="16"/>
        <v>"%USERPROFILE%\Documents\GitHub\eaglep3\Utilities\RefineRTDCRunTimes.py" --tripid 113-03 --locoid 4042 --swversion DE.1.0.8.0 --startMP 204:444 --initTime 2016-12-03T04:55:03 --startdatetime 2016-12-03T05:15:27 --delay 1 --endMP 204:233315 --enddatetime 2016-12-03T05:51:29 --enforcementcount 0 &gt;&gt;C:\Users\stu\Documents\GitHub\eaglep3-reporting\EC\2016-12-03-refined-times.txt</v>
      </c>
      <c r="AI25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{"issue":{"subject":"","project_id":79,"tracker_id":40,"status_id":1,"priority_id":2,"assigned_to_id":23,"start_date":"2016-12-03","description":"","custom_fields":[{"id":1,"name":"Subdivision","value":"EC"},{"id":4,"name":"Milepost","value":"23.3315"},{"id":17,"name":"Train ID","value":"113-03"},{"id":16,"name":"Locomotive ID","value":"4042"},{"id":130,"name":"Impact","value":""},{"id":150,"name":"Time of Event (Mountain Time)","value":"05:51:29"},{"id":151,"name":"Denver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437</v>
      </c>
      <c r="B26" s="7">
        <v>4041</v>
      </c>
      <c r="C26" s="22" t="s">
        <v>209</v>
      </c>
      <c r="D26" s="22" t="s">
        <v>265</v>
      </c>
      <c r="E26" s="13">
        <v>42707.253194444442</v>
      </c>
      <c r="F26" s="13">
        <v>42707.257928240739</v>
      </c>
      <c r="G26" s="7">
        <v>1</v>
      </c>
      <c r="H26" s="22" t="s">
        <v>239</v>
      </c>
      <c r="I26" s="13">
        <v>42707.284097222226</v>
      </c>
      <c r="J26" s="7">
        <v>0</v>
      </c>
      <c r="K26" s="109" t="str">
        <f t="shared" si="0"/>
        <v>4041/4042</v>
      </c>
      <c r="L26" s="22" t="str">
        <f>VLOOKUP(A26,'Trips&amp;Operators'!$C$1:$G$99999,5,FALSE)</f>
        <v>MAELZER KURT</v>
      </c>
      <c r="M26" s="6">
        <f t="shared" si="1"/>
        <v>2.6168981486989651E-2</v>
      </c>
      <c r="N26" s="7">
        <f t="shared" si="19"/>
        <v>37.683333341265097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05:04:36-700',mode:absolute,to:'2016-12-03 07:49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23.299600000000002</v>
      </c>
      <c r="Z26" s="67">
        <f t="shared" si="18"/>
        <v>1.47E-2</v>
      </c>
      <c r="AA26" s="67">
        <f t="shared" si="9"/>
        <v>23.2849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0"/>
        <v>0114-03</v>
      </c>
      <c r="AE26" s="91" t="str">
        <f t="shared" si="11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26" s="88" t="str">
        <f t="shared" si="12"/>
        <v>"C:\Program Files (x86)\AstroGrep\AstroGrep.exe" /spath="%USERPROFILE%\AppData\Local\Temp\OnboardLogs" /stypes="app*4041*20161203*" /stext=" 13:.+((SYSTEM_STATE.+slice.+state.+changed )|(ment ac)|(multiple cpu faults)|(system.+state.+changed )|(\[timeout)|(PRM\|1\|D)|(kpr)|(kdp)|(\|lc)|(penalty))" /e /r /s</v>
      </c>
      <c r="AG26" s="1" t="str">
        <f t="shared" si="13"/>
        <v>EC</v>
      </c>
      <c r="AH26" s="92" t="str">
        <f t="shared" si="16"/>
        <v>"%USERPROFILE%\Documents\GitHub\eaglep3\Utilities\RefineRTDCRunTimes.py" --tripid 114-03 --locoid 4041 --swversion DE.1.0.8.0 --startMP 204:232996 --initTime 2016-12-03T06:04:36 --startdatetime 2016-12-03T06:11:25 --delay 1 --endMP 204:147 --enddatetime 2016-12-03T06:49:06 --enforcementcount 0 &gt;&gt;C:\Users\stu\Documents\GitHub\eaglep3-reporting\EC\2016-12-03-refined-times.txt</v>
      </c>
      <c r="AI26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{"issue":{"subject":"","project_id":79,"tracker_id":40,"status_id":1,"priority_id":2,"assigned_to_id":23,"start_date":"2016-12-03","description":"","custom_fields":[{"id":1,"name":"Subdivision","value":"EC"},{"id":4,"name":"Milepost","value":"0.0147"},{"id":17,"name":"Train ID","value":"114-03"},{"id":16,"name":"Locomotive ID","value":"4041"},{"id":130,"name":"Impact","value":""},{"id":150,"name":"Time of Event (Mountain Time)","value":"06:49:06"},{"id":151,"name":"Denver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498</v>
      </c>
      <c r="B27" s="7">
        <v>4027</v>
      </c>
      <c r="C27" s="22" t="s">
        <v>209</v>
      </c>
      <c r="D27" s="22" t="s">
        <v>682</v>
      </c>
      <c r="E27" s="13">
        <v>42707.223854166667</v>
      </c>
      <c r="F27" s="13">
        <v>42707.229398148149</v>
      </c>
      <c r="G27" s="7">
        <v>1</v>
      </c>
      <c r="H27" s="22" t="s">
        <v>683</v>
      </c>
      <c r="I27" s="13">
        <v>42707.255439814813</v>
      </c>
      <c r="J27" s="7">
        <v>0</v>
      </c>
      <c r="K27" s="109" t="str">
        <f t="shared" si="0"/>
        <v>4027/4028</v>
      </c>
      <c r="L27" s="22" t="str">
        <f>VLOOKUP(A27,'Trips&amp;Operators'!$C$1:$G$99999,5,FALSE)</f>
        <v>STRICKLAND EVAN</v>
      </c>
      <c r="M27" s="6">
        <f t="shared" si="1"/>
        <v>2.6041666664241347E-2</v>
      </c>
      <c r="N27" s="7">
        <f t="shared" si="19"/>
        <v>37.49999999650754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04:22:21-700',mode:absolute,to:'2016-12-03 07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7.8100000000000003E-2</v>
      </c>
      <c r="Z27" s="67">
        <f t="shared" si="18"/>
        <v>23.334499999999998</v>
      </c>
      <c r="AA27" s="67">
        <f t="shared" si="9"/>
        <v>23.256399999999999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0"/>
        <v>0115-03</v>
      </c>
      <c r="AE27" s="91" t="str">
        <f t="shared" si="11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27" s="88" t="str">
        <f t="shared" si="12"/>
        <v>"C:\Program Files (x86)\AstroGrep\AstroGrep.exe" /spath="%USERPROFILE%\AppData\Local\Temp\OnboardLogs" /stypes="app*4027*20161203*" /stext=" 13:.+((SYSTEM_STATE.+slice.+state.+changed )|(ment ac)|(multiple cpu faults)|(system.+state.+changed )|(\[timeout)|(PRM\|1\|D)|(kpr)|(kdp)|(\|lc)|(penalty))" /e /r /s</v>
      </c>
      <c r="AG27" s="1" t="str">
        <f t="shared" si="13"/>
        <v>EC</v>
      </c>
      <c r="AH27" s="92" t="str">
        <f t="shared" si="16"/>
        <v>"%USERPROFILE%\Documents\GitHub\eaglep3\Utilities\RefineRTDCRunTimes.py" --tripid 115-03 --locoid 4027 --swversion DE.1.0.8.0 --startMP 204:781 --initTime 2016-12-03T05:22:21 --startdatetime 2016-12-03T05:30:20 --delay 1 --endMP 204:233345 --enddatetime 2016-12-03T06:07:50 --enforcementcount 0 &gt;&gt;C:\Users\stu\Documents\GitHub\eaglep3-reporting\EC\2016-12-03-refined-times.txt</v>
      </c>
      <c r="AI27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{"issue":{"subject":"","project_id":79,"tracker_id":40,"status_id":1,"priority_id":2,"assigned_to_id":23,"start_date":"2016-12-03","description":"","custom_fields":[{"id":1,"name":"Subdivision","value":"EC"},{"id":4,"name":"Milepost","value":"23.3345"},{"id":17,"name":"Train ID","value":"115-03"},{"id":16,"name":"Locomotive ID","value":"4027"},{"id":130,"name":"Impact","value":""},{"id":150,"name":"Time of Event (Mountain Time)","value":"06:07:50"},{"id":151,"name":"Denver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507</v>
      </c>
      <c r="B28" s="7">
        <v>4028</v>
      </c>
      <c r="C28" s="22" t="s">
        <v>209</v>
      </c>
      <c r="D28" s="22" t="s">
        <v>684</v>
      </c>
      <c r="E28" s="13">
        <v>42707.262430555558</v>
      </c>
      <c r="F28" s="13">
        <v>42707.268263888887</v>
      </c>
      <c r="G28" s="7">
        <v>1</v>
      </c>
      <c r="H28" s="22" t="s">
        <v>397</v>
      </c>
      <c r="I28" s="13">
        <v>42707.296597222223</v>
      </c>
      <c r="J28" s="7">
        <v>0</v>
      </c>
      <c r="K28" s="109" t="str">
        <f t="shared" si="0"/>
        <v>4027/4028</v>
      </c>
      <c r="L28" s="22" t="str">
        <f>VLOOKUP(A28,'Trips&amp;Operators'!$C$1:$G$99999,5,FALSE)</f>
        <v>STRICKLAND EVAN</v>
      </c>
      <c r="M28" s="6">
        <f t="shared" si="1"/>
        <v>2.8333333335467614E-2</v>
      </c>
      <c r="N28" s="7">
        <f t="shared" si="19"/>
        <v>40.800000003073364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05:17:54-700',mode:absolute,to:'2016-12-03 08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23.2986</v>
      </c>
      <c r="Z28" s="67">
        <f t="shared" si="18"/>
        <v>1.67E-2</v>
      </c>
      <c r="AA28" s="67">
        <f t="shared" si="9"/>
        <v>23.2819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0"/>
        <v>0116-03</v>
      </c>
      <c r="AE28" s="91" t="str">
        <f t="shared" si="11"/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AF28" s="88" t="str">
        <f t="shared" si="12"/>
        <v>"C:\Program Files (x86)\AstroGrep\AstroGrep.exe" /spath="%USERPROFILE%\AppData\Local\Temp\OnboardLogs" /stypes="app*4028*20161203*" /stext=" 14:.+((SYSTEM_STATE.+slice.+state.+changed )|(ment ac)|(multiple cpu faults)|(system.+state.+changed )|(\[timeout)|(PRM\|1\|D)|(kpr)|(kdp)|(\|lc)|(penalty))" /e /r /s</v>
      </c>
      <c r="AG28" s="1" t="str">
        <f t="shared" si="13"/>
        <v>EC</v>
      </c>
      <c r="AH28" s="92" t="str">
        <f t="shared" si="16"/>
        <v>"%USERPROFILE%\Documents\GitHub\eaglep3\Utilities\RefineRTDCRunTimes.py" --tripid 116-03 --locoid 4028 --swversion DE.1.0.8.0 --startMP 204:232986 --initTime 2016-12-03T06:17:54 --startdatetime 2016-12-03T06:26:18 --delay 1 --endMP 204:167 --enddatetime 2016-12-03T07:07:06 --enforcementcount 0 &gt;&gt;C:\Users\stu\Documents\GitHub\eaglep3-reporting\EC\2016-12-03-refined-times.txt</v>
      </c>
      <c r="AI28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{"issue":{"subject":"","project_id":79,"tracker_id":40,"status_id":1,"priority_id":2,"assigned_to_id":23,"start_date":"2016-12-03","description":"","custom_fields":[{"id":1,"name":"Subdivision","value":"EC"},{"id":4,"name":"Milepost","value":"0.0167"},{"id":17,"name":"Train ID","value":"116-03"},{"id":16,"name":"Locomotive ID","value":"4028"},{"id":130,"name":"Impact","value":""},{"id":150,"name":"Time of Event (Mountain Time)","value":"07:07:06"},{"id":151,"name":"Denver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501</v>
      </c>
      <c r="B29" s="7">
        <v>4003</v>
      </c>
      <c r="C29" s="22" t="s">
        <v>209</v>
      </c>
      <c r="D29" s="22" t="s">
        <v>685</v>
      </c>
      <c r="E29" s="13">
        <v>42707.233657407407</v>
      </c>
      <c r="F29" s="13">
        <v>42707.239803240744</v>
      </c>
      <c r="G29" s="7">
        <v>1</v>
      </c>
      <c r="H29" s="22" t="s">
        <v>686</v>
      </c>
      <c r="I29" s="13">
        <v>42707.263761574075</v>
      </c>
      <c r="J29" s="7">
        <v>0</v>
      </c>
      <c r="K29" s="109" t="str">
        <f t="shared" si="0"/>
        <v>4003/4004</v>
      </c>
      <c r="L29" s="22" t="str">
        <f>VLOOKUP(A29,'Trips&amp;Operators'!$C$1:$G$99999,5,FALSE)</f>
        <v>ROBINSON KADDIBA</v>
      </c>
      <c r="M29" s="6">
        <f t="shared" si="1"/>
        <v>2.3958333331393078E-2</v>
      </c>
      <c r="N29" s="7">
        <f t="shared" si="19"/>
        <v>34.499999997206032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04:36:28-700',mode:absolute,to:'2016-12-03 07:19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4.1500000000000002E-2</v>
      </c>
      <c r="Z29" s="67">
        <f t="shared" si="18"/>
        <v>23.333100000000002</v>
      </c>
      <c r="AA29" s="67">
        <f t="shared" si="9"/>
        <v>23.291600000000003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0"/>
        <v>0117-03</v>
      </c>
      <c r="AE29" s="91" t="str">
        <f t="shared" si="11"/>
        <v>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 &amp; 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</v>
      </c>
      <c r="AF29" s="88" t="str">
        <f t="shared" si="12"/>
        <v>"C:\Program Files (x86)\AstroGrep\AstroGrep.exe" /spath="%USERPROFILE%\AppData\Local\Temp\OnboardLogs" /stypes="app*4003*20161203*" /stext=" 13:.+((SYSTEM_STATE.+slice.+state.+changed )|(ment ac)|(multiple cpu faults)|(system.+state.+changed )|(\[timeout)|(PRM\|1\|D)|(kpr)|(kdp)|(\|lc)|(penalty))" /e /r /s</v>
      </c>
      <c r="AG29" s="1" t="str">
        <f t="shared" si="13"/>
        <v>EC</v>
      </c>
      <c r="AH29" s="92" t="str">
        <f t="shared" si="16"/>
        <v>"%USERPROFILE%\Documents\GitHub\eaglep3\Utilities\RefineRTDCRunTimes.py" --tripid 117-03 --locoid 4003 --swversion DE.1.0.8.0 --startMP 204:415 --initTime 2016-12-03T05:36:28 --startdatetime 2016-12-03T05:45:19 --delay 1 --endMP 204:233331 --enddatetime 2016-12-03T06:19:49 --enforcementcount 0 &gt;&gt;C:\Users\stu\Documents\GitHub\eaglep3-reporting\EC\2016-12-03-refined-times.txt</v>
      </c>
      <c r="AI29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{"issue":{"subject":"","project_id":79,"tracker_id":40,"status_id":1,"priority_id":2,"assigned_to_id":23,"start_date":"2016-12-03","description":"","custom_fields":[{"id":1,"name":"Subdivision","value":"EC"},{"id":4,"name":"Milepost","value":"23.3331"},{"id":17,"name":"Train ID","value":"117-03"},{"id":16,"name":"Locomotive ID","value":"4003"},{"id":130,"name":"Impact","value":""},{"id":150,"name":"Time of Event (Mountain Time)","value":"06:19:49"},{"id":151,"name":"Denver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508</v>
      </c>
      <c r="B30" s="7">
        <v>4004</v>
      </c>
      <c r="C30" s="22" t="s">
        <v>209</v>
      </c>
      <c r="D30" s="22" t="s">
        <v>237</v>
      </c>
      <c r="E30" s="13">
        <v>42707.267314814817</v>
      </c>
      <c r="F30" s="13">
        <v>42707.278645833336</v>
      </c>
      <c r="G30" s="7">
        <v>0</v>
      </c>
      <c r="H30" s="22" t="s">
        <v>193</v>
      </c>
      <c r="I30" s="13">
        <v>42707.305104166669</v>
      </c>
      <c r="J30" s="7">
        <v>0</v>
      </c>
      <c r="K30" s="109" t="str">
        <f t="shared" si="0"/>
        <v>4003/4004</v>
      </c>
      <c r="L30" s="22" t="str">
        <f>VLOOKUP(A30,'Trips&amp;Operators'!$C$1:$G$99999,5,FALSE)</f>
        <v>ROBINSON KADDIBA</v>
      </c>
      <c r="M30" s="6">
        <f t="shared" si="1"/>
        <v>2.6458333333721384E-2</v>
      </c>
      <c r="N30" s="7">
        <f t="shared" si="19"/>
        <v>38.100000000558794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05:24:56-700',mode:absolute,to:'2016-12-03 08:19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23.299800000000001</v>
      </c>
      <c r="Z30" s="67">
        <f t="shared" si="18"/>
        <v>1.43E-2</v>
      </c>
      <c r="AA30" s="67">
        <f t="shared" si="9"/>
        <v>23.285500000000003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0"/>
        <v>0118-03</v>
      </c>
      <c r="AE30" s="91" t="str">
        <f t="shared" si="11"/>
        <v>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 &amp; 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</v>
      </c>
      <c r="AF30" s="88" t="str">
        <f t="shared" si="12"/>
        <v>"C:\Program Files (x86)\AstroGrep\AstroGrep.exe" /spath="%USERPROFILE%\AppData\Local\Temp\OnboardLogs" /stypes="app*4004*20161203*" /stext=" 14:.+((SYSTEM_STATE.+slice.+state.+changed )|(ment ac)|(multiple cpu faults)|(system.+state.+changed )|(\[timeout)|(PRM\|1\|D)|(kpr)|(kdp)|(\|lc)|(penalty))" /e /r /s</v>
      </c>
      <c r="AG30" s="1" t="str">
        <f t="shared" si="13"/>
        <v>EC</v>
      </c>
      <c r="AH30" s="92" t="str">
        <f t="shared" si="16"/>
        <v>"%USERPROFILE%\Documents\GitHub\eaglep3\Utilities\RefineRTDCRunTimes.py" --tripid 118-03 --locoid 4004 --swversion DE.1.0.8.0 --startMP 204:232998 --initTime 2016-12-03T06:24:56 --startdatetime 2016-12-03T06:41:15 --delay 0 --endMP 204:143 --enddatetime 2016-12-03T07:19:21 --enforcementcount 0 &gt;&gt;C:\Users\stu\Documents\GitHub\eaglep3-reporting\EC\2016-12-03-refined-times.txt</v>
      </c>
      <c r="AI30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{"issue":{"subject":"","project_id":79,"tracker_id":40,"status_id":1,"priority_id":2,"assigned_to_id":23,"start_date":"2016-12-03","description":"","custom_fields":[{"id":1,"name":"Subdivision","value":"EC"},{"id":4,"name":"Milepost","value":"0.0143"},{"id":17,"name":"Train ID","value":"118-03"},{"id":16,"name":"Locomotive ID","value":"4004"},{"id":130,"name":"Impact","value":""},{"id":150,"name":"Time of Event (Mountain Time)","value":"07:19:21"},{"id":151,"name":"Denver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505</v>
      </c>
      <c r="B31" s="7">
        <v>4014</v>
      </c>
      <c r="C31" s="22" t="s">
        <v>209</v>
      </c>
      <c r="D31" s="22" t="s">
        <v>393</v>
      </c>
      <c r="E31" s="13">
        <v>42707.248113425929</v>
      </c>
      <c r="F31" s="13">
        <v>42707.250173611108</v>
      </c>
      <c r="G31" s="7">
        <v>1</v>
      </c>
      <c r="H31" s="22" t="s">
        <v>394</v>
      </c>
      <c r="I31" s="13">
        <v>42707.274687500001</v>
      </c>
      <c r="J31" s="7">
        <v>0</v>
      </c>
      <c r="K31" s="109" t="str">
        <f t="shared" si="0"/>
        <v>4013/4014</v>
      </c>
      <c r="L31" s="22" t="str">
        <f>VLOOKUP(A31,'Trips&amp;Operators'!$C$1:$G$99999,5,FALSE)</f>
        <v>ACKERMAN JARED</v>
      </c>
      <c r="M31" s="6">
        <f t="shared" si="1"/>
        <v>2.4513888893125113E-2</v>
      </c>
      <c r="N31" s="7">
        <f t="shared" si="19"/>
        <v>35.300000006100163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04:57:17-700',mode:absolute,to:'2016-12-03 07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7.3400000000000007E-2</v>
      </c>
      <c r="Z31" s="67">
        <f t="shared" si="18"/>
        <v>23.328199999999999</v>
      </c>
      <c r="AA31" s="67">
        <f t="shared" si="9"/>
        <v>23.254799999999999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0"/>
        <v>0119-03</v>
      </c>
      <c r="AE31" s="91" t="str">
        <f t="shared" si="11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31" s="88" t="str">
        <f t="shared" si="12"/>
        <v>"C:\Program Files (x86)\AstroGrep\AstroGrep.exe" /spath="%USERPROFILE%\AppData\Local\Temp\OnboardLogs" /stypes="app*4014*20161203*" /stext=" 13:.+((SYSTEM_STATE.+slice.+state.+changed )|(ment ac)|(multiple cpu faults)|(system.+state.+changed )|(\[timeout)|(PRM\|1\|D)|(kpr)|(kdp)|(\|lc)|(penalty))" /e /r /s</v>
      </c>
      <c r="AG31" s="1" t="str">
        <f t="shared" si="13"/>
        <v>EC</v>
      </c>
      <c r="AH31" s="92" t="str">
        <f t="shared" si="16"/>
        <v>"%USERPROFILE%\Documents\GitHub\eaglep3\Utilities\RefineRTDCRunTimes.py" --tripid 119-03 --locoid 4014 --swversion DE.1.0.8.0 --startMP 204:734 --initTime 2016-12-03T05:57:17 --startdatetime 2016-12-03T06:00:15 --delay 1 --endMP 204:233282 --enddatetime 2016-12-03T06:35:33 --enforcementcount 0 &gt;&gt;C:\Users\stu\Documents\GitHub\eaglep3-reporting\EC\2016-12-03-refined-times.txt</v>
      </c>
      <c r="AI31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{"issue":{"subject":"","project_id":79,"tracker_id":40,"status_id":1,"priority_id":2,"assigned_to_id":23,"start_date":"2016-12-03","description":"","custom_fields":[{"id":1,"name":"Subdivision","value":"EC"},{"id":4,"name":"Milepost","value":"23.3282"},{"id":17,"name":"Train ID","value":"119-03"},{"id":16,"name":"Locomotive ID","value":"4014"},{"id":130,"name":"Impact","value":""},{"id":150,"name":"Time of Event (Mountain Time)","value":"06:35:33"},{"id":151,"name":"Denver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511</v>
      </c>
      <c r="B32" s="7">
        <v>4013</v>
      </c>
      <c r="C32" s="22" t="s">
        <v>209</v>
      </c>
      <c r="D32" s="22" t="s">
        <v>401</v>
      </c>
      <c r="E32" s="13">
        <v>42707.282407407409</v>
      </c>
      <c r="F32" s="13">
        <v>42707.2890625</v>
      </c>
      <c r="G32" s="7">
        <v>2</v>
      </c>
      <c r="H32" s="22" t="s">
        <v>285</v>
      </c>
      <c r="I32" s="13">
        <v>42707.316724537035</v>
      </c>
      <c r="J32" s="7">
        <v>0</v>
      </c>
      <c r="K32" s="109" t="str">
        <f t="shared" si="0"/>
        <v>4013/4014</v>
      </c>
      <c r="L32" s="22" t="str">
        <f>VLOOKUP(A32,'Trips&amp;Operators'!$C$1:$G$99999,5,FALSE)</f>
        <v>ACKERMAN JARED</v>
      </c>
      <c r="M32" s="6">
        <f t="shared" si="1"/>
        <v>2.7662037035042886E-2</v>
      </c>
      <c r="N32" s="7">
        <f t="shared" si="19"/>
        <v>39.833333330461755</v>
      </c>
      <c r="O32" s="7"/>
      <c r="P32" s="7"/>
      <c r="Q32" s="23"/>
      <c r="R32" s="23"/>
      <c r="S32" s="35">
        <f t="shared" si="3"/>
        <v>1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05:46:40-700',mode:absolute,to:'2016-12-03 08:36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N</v>
      </c>
      <c r="X32" s="177">
        <f t="shared" ref="X32:X37" si="20">VALUE(LEFT(AD32,4))-VALUE(LEFT(AD31,4))</f>
        <v>1</v>
      </c>
      <c r="Y32" s="67">
        <f t="shared" si="8"/>
        <v>23.2971</v>
      </c>
      <c r="Z32" s="67">
        <f t="shared" si="18"/>
        <v>1.6E-2</v>
      </c>
      <c r="AA32" s="67">
        <f t="shared" si="9"/>
        <v>23.281100000000002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0"/>
        <v>0120-03</v>
      </c>
      <c r="AE32" s="91" t="str">
        <f t="shared" si="11"/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AF32" s="88" t="str">
        <f t="shared" si="12"/>
        <v>"C:\Program Files (x86)\AstroGrep\AstroGrep.exe" /spath="%USERPROFILE%\AppData\Local\Temp\OnboardLogs" /stypes="app*4013*20161203*" /stext=" 14:.+((SYSTEM_STATE.+slice.+state.+changed )|(ment ac)|(multiple cpu faults)|(system.+state.+changed )|(\[timeout)|(PRM\|1\|D)|(kpr)|(kdp)|(\|lc)|(penalty))" /e /r /s</v>
      </c>
      <c r="AG32" s="1" t="str">
        <f t="shared" si="13"/>
        <v>EC</v>
      </c>
      <c r="AH32" s="92" t="str">
        <f t="shared" si="16"/>
        <v>"%USERPROFILE%\Documents\GitHub\eaglep3\Utilities\RefineRTDCRunTimes.py" --tripid 120-03 --locoid 4013 --swversion DE.1.0.8.0 --startMP 204:232971 --initTime 2016-12-03T06:46:40 --startdatetime 2016-12-03T06:56:15 --delay 2 --endMP 204:160 --enddatetime 2016-12-03T07:36:05 --enforcementcount 0 &gt;&gt;C:\Users\stu\Documents\GitHub\eaglep3-reporting\EC\2016-12-03-refined-times.txt</v>
      </c>
      <c r="AI32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{"issue":{"subject":"","project_id":79,"tracker_id":40,"status_id":1,"priority_id":2,"assigned_to_id":23,"start_date":"2016-12-03","description":"","custom_fields":[{"id":1,"name":"Subdivision","value":"EC"},{"id":4,"name":"Milepost","value":"0.016"},{"id":17,"name":"Train ID","value":"120-03"},{"id":16,"name":"Locomotive ID","value":"4013"},{"id":130,"name":"Impact","value":""},{"id":150,"name":"Time of Event (Mountain Time)","value":"07:36:05"},{"id":151,"name":"Denver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506</v>
      </c>
      <c r="B33" s="7">
        <v>4040</v>
      </c>
      <c r="C33" s="22" t="s">
        <v>209</v>
      </c>
      <c r="D33" s="22" t="s">
        <v>299</v>
      </c>
      <c r="E33" s="13">
        <v>42707.256249999999</v>
      </c>
      <c r="F33" s="13">
        <v>42707.260613425926</v>
      </c>
      <c r="G33" s="7">
        <v>1</v>
      </c>
      <c r="H33" s="22" t="s">
        <v>687</v>
      </c>
      <c r="I33" s="13">
        <v>42707.28570601852</v>
      </c>
      <c r="J33" s="7">
        <v>0</v>
      </c>
      <c r="K33" s="109" t="str">
        <f t="shared" si="0"/>
        <v>4039/4040</v>
      </c>
      <c r="L33" s="22" t="str">
        <f>VLOOKUP(A33,'Trips&amp;Operators'!$C$1:$G$99999,5,FALSE)</f>
        <v>DAVIS WENDY</v>
      </c>
      <c r="M33" s="6">
        <f t="shared" si="1"/>
        <v>2.5092592593864538E-2</v>
      </c>
      <c r="N33" s="7">
        <f t="shared" si="19"/>
        <v>36.133333335164934</v>
      </c>
      <c r="O33" s="7"/>
      <c r="P33" s="7"/>
      <c r="Q33" s="23"/>
      <c r="R33" s="23"/>
      <c r="S33" s="35">
        <f t="shared" si="3"/>
        <v>1</v>
      </c>
      <c r="T33" s="50" t="str">
        <f t="shared" si="4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05:09:00-700',mode:absolute,to:'2016-12-03 07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33" s="52" t="str">
        <f t="shared" si="6"/>
        <v>N</v>
      </c>
      <c r="X33" s="177">
        <f t="shared" si="20"/>
        <v>1</v>
      </c>
      <c r="Y33" s="67">
        <f t="shared" si="8"/>
        <v>4.3799999999999999E-2</v>
      </c>
      <c r="Z33" s="67">
        <f t="shared" si="18"/>
        <v>23.3291</v>
      </c>
      <c r="AA33" s="67">
        <f t="shared" si="9"/>
        <v>23.285299999999999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0"/>
        <v>0121-03</v>
      </c>
      <c r="AE33" s="91" t="str">
        <f t="shared" si="11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33" s="88" t="str">
        <f t="shared" si="12"/>
        <v>"C:\Program Files (x86)\AstroGrep\AstroGrep.exe" /spath="%USERPROFILE%\AppData\Local\Temp\OnboardLogs" /stypes="app*4040*20161203*" /stext=" 13:.+((SYSTEM_STATE.+slice.+state.+changed )|(ment ac)|(multiple cpu faults)|(system.+state.+changed )|(\[timeout)|(PRM\|1\|D)|(kpr)|(kdp)|(\|lc)|(penalty))" /e /r /s</v>
      </c>
      <c r="AG33" s="1" t="str">
        <f t="shared" si="13"/>
        <v>EC</v>
      </c>
      <c r="AH33" s="92" t="str">
        <f t="shared" si="16"/>
        <v>"%USERPROFILE%\Documents\GitHub\eaglep3\Utilities\RefineRTDCRunTimes.py" --tripid 121-03 --locoid 4040 --swversion DE.1.0.8.0 --startMP 204:438 --initTime 2016-12-03T06:09:00 --startdatetime 2016-12-03T06:15:17 --delay 1 --endMP 204:233291 --enddatetime 2016-12-03T06:51:25 --enforcementcount 0 &gt;&gt;C:\Users\stu\Documents\GitHub\eaglep3-reporting\EC\2016-12-03-refined-times.txt</v>
      </c>
      <c r="AI33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{"issue":{"subject":"","project_id":79,"tracker_id":40,"status_id":1,"priority_id":2,"assigned_to_id":23,"start_date":"2016-12-03","description":"","custom_fields":[{"id":1,"name":"Subdivision","value":"EC"},{"id":4,"name":"Milepost","value":"23.3291"},{"id":17,"name":"Train ID","value":"121-03"},{"id":16,"name":"Locomotive ID","value":"4040"},{"id":130,"name":"Impact","value":""},{"id":150,"name":"Time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514</v>
      </c>
      <c r="B34" s="7">
        <v>4039</v>
      </c>
      <c r="C34" s="22" t="s">
        <v>209</v>
      </c>
      <c r="D34" s="22" t="s">
        <v>265</v>
      </c>
      <c r="E34" s="13">
        <v>42707.295995370368</v>
      </c>
      <c r="F34" s="13">
        <v>42707.299444444441</v>
      </c>
      <c r="G34" s="7">
        <v>1</v>
      </c>
      <c r="H34" s="22" t="s">
        <v>239</v>
      </c>
      <c r="I34" s="13">
        <v>42707.326585648145</v>
      </c>
      <c r="J34" s="7">
        <v>0</v>
      </c>
      <c r="K34" s="109" t="str">
        <f t="shared" si="0"/>
        <v>4039/4040</v>
      </c>
      <c r="L34" s="22" t="str">
        <f>VLOOKUP(A34,'Trips&amp;Operators'!$C$1:$G$99999,5,FALSE)</f>
        <v>DAVIS WENDY</v>
      </c>
      <c r="M34" s="6">
        <f t="shared" si="1"/>
        <v>2.7141203703649808E-2</v>
      </c>
      <c r="N34" s="7">
        <f t="shared" si="19"/>
        <v>39.083333333255723</v>
      </c>
      <c r="O34" s="7"/>
      <c r="P34" s="7"/>
      <c r="Q34" s="23"/>
      <c r="R34" s="23"/>
      <c r="S34" s="35">
        <f t="shared" si="3"/>
        <v>1</v>
      </c>
      <c r="T34" s="50" t="str">
        <f t="shared" si="4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06:06:14-700',mode:absolute,to:'2016-12-03 08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34" s="52" t="str">
        <f t="shared" si="6"/>
        <v>N</v>
      </c>
      <c r="X34" s="177">
        <f t="shared" si="20"/>
        <v>1</v>
      </c>
      <c r="Y34" s="67">
        <f t="shared" si="8"/>
        <v>23.299600000000002</v>
      </c>
      <c r="Z34" s="67">
        <f t="shared" si="18"/>
        <v>1.47E-2</v>
      </c>
      <c r="AA34" s="67">
        <f t="shared" si="9"/>
        <v>23.2849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0"/>
        <v>0122-03</v>
      </c>
      <c r="AE34" s="91" t="str">
        <f t="shared" si="11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34" s="88" t="str">
        <f t="shared" si="12"/>
        <v>"C:\Program Files (x86)\AstroGrep\AstroGrep.exe" /spath="%USERPROFILE%\AppData\Local\Temp\OnboardLogs" /stypes="app*4039*20161203*" /stext=" 14:.+((SYSTEM_STATE.+slice.+state.+changed )|(ment ac)|(multiple cpu faults)|(system.+state.+changed )|(\[timeout)|(PRM\|1\|D)|(kpr)|(kdp)|(\|lc)|(penalty))" /e /r /s</v>
      </c>
      <c r="AG34" s="1" t="str">
        <f t="shared" si="13"/>
        <v>EC</v>
      </c>
      <c r="AH34" s="92" t="str">
        <f t="shared" si="16"/>
        <v>"%USERPROFILE%\Documents\GitHub\eaglep3\Utilities\RefineRTDCRunTimes.py" --tripid 122-03 --locoid 4039 --swversion DE.1.0.8.0 --startMP 204:232996 --initTime 2016-12-03T07:06:14 --startdatetime 2016-12-03T07:11:12 --delay 1 --endMP 204:147 --enddatetime 2016-12-03T07:50:17 --enforcementcount 0 &gt;&gt;C:\Users\stu\Documents\GitHub\eaglep3-reporting\EC\2016-12-03-refined-times.txt</v>
      </c>
      <c r="AI34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{"issue":{"subject":"","project_id":79,"tracker_id":40,"status_id":1,"priority_id":2,"assigned_to_id":23,"start_date":"2016-12-03","description":"","custom_fields":[{"id":1,"name":"Subdivision","value":"EC"},{"id":4,"name":"Milepost","value":"0.0147"},{"id":17,"name":"Train ID","value":"122-03"},{"id":16,"name":"Locomotive ID","value":"4039"},{"id":130,"name":"Impact","value":""},{"id":150,"name":"Time of Event (Mountain Time)","value":"07:50:17"},{"id":151,"name":"Denver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436</v>
      </c>
      <c r="B35" s="7">
        <v>4022</v>
      </c>
      <c r="C35" s="22" t="s">
        <v>209</v>
      </c>
      <c r="D35" s="22" t="s">
        <v>395</v>
      </c>
      <c r="E35" s="13">
        <v>42707.265775462962</v>
      </c>
      <c r="F35" s="13">
        <v>42707.271134259259</v>
      </c>
      <c r="G35" s="7">
        <v>1</v>
      </c>
      <c r="H35" s="22" t="s">
        <v>282</v>
      </c>
      <c r="I35" s="13">
        <v>42707.297905092593</v>
      </c>
      <c r="J35" s="7">
        <v>0</v>
      </c>
      <c r="K35" s="109" t="str">
        <f t="shared" si="0"/>
        <v>4021/4022</v>
      </c>
      <c r="L35" s="22" t="str">
        <f>VLOOKUP(A35,'Trips&amp;Operators'!$C$1:$G$99999,5,FALSE)</f>
        <v>KILLION DAVID</v>
      </c>
      <c r="M35" s="6">
        <f t="shared" si="1"/>
        <v>2.6770833334012423E-2</v>
      </c>
      <c r="N35" s="7">
        <f t="shared" si="19"/>
        <v>38.550000000977889</v>
      </c>
      <c r="O35" s="7"/>
      <c r="P35" s="7"/>
      <c r="Q35" s="23"/>
      <c r="R35" s="23"/>
      <c r="S35" s="35">
        <f t="shared" si="3"/>
        <v>1</v>
      </c>
      <c r="T35" s="50" t="str">
        <f t="shared" si="4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05:22:43-700',mode:absolute,to:'2016-12-03 08:08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5" s="52" t="str">
        <f t="shared" si="6"/>
        <v>N</v>
      </c>
      <c r="X35" s="177">
        <f t="shared" si="20"/>
        <v>1</v>
      </c>
      <c r="Y35" s="67">
        <f t="shared" si="8"/>
        <v>4.3299999999999998E-2</v>
      </c>
      <c r="Z35" s="67">
        <f t="shared" si="18"/>
        <v>23.330100000000002</v>
      </c>
      <c r="AA35" s="67">
        <f t="shared" si="9"/>
        <v>23.286800000000003</v>
      </c>
      <c r="AB35" s="64" t="str">
        <f>VLOOKUP(A35,Enforcements!$C$7:$K$19,8,0)</f>
        <v>Speed (6)</v>
      </c>
      <c r="AC35" s="60" t="str">
        <f>VLOOKUP(A35,Enforcements!$C$7:$E$19,3,0)</f>
        <v>PERMANENT SPEED RESTRICTION</v>
      </c>
      <c r="AD35" s="61" t="str">
        <f t="shared" si="10"/>
        <v>0123-03</v>
      </c>
      <c r="AE35" s="91" t="str">
        <f t="shared" si="11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35" s="88" t="str">
        <f t="shared" si="12"/>
        <v>"C:\Program Files (x86)\AstroGrep\AstroGrep.exe" /spath="%USERPROFILE%\AppData\Local\Temp\OnboardLogs" /stypes="app*4022*20161203*" /stext=" 14:.+((SYSTEM_STATE.+slice.+state.+changed )|(ment ac)|(multiple cpu faults)|(system.+state.+changed )|(\[timeout)|(PRM\|1\|D)|(kpr)|(kdp)|(\|lc)|(penalty))" /e /r /s</v>
      </c>
      <c r="AG35" s="1" t="str">
        <f t="shared" si="13"/>
        <v>EC</v>
      </c>
      <c r="AH35" s="92" t="str">
        <f t="shared" si="16"/>
        <v>"%USERPROFILE%\Documents\GitHub\eaglep3\Utilities\RefineRTDCRunTimes.py" --tripid 123-03 --locoid 4022 --swversion DE.1.0.8.0 --startMP 204:433 --initTime 2016-12-03T06:22:43 --startdatetime 2016-12-03T06:30:26 --delay 1 --endMP 204:233301 --enddatetime 2016-12-03T07:08:59 --enforcementcount 0 &gt;&gt;C:\Users\stu\Documents\GitHub\eaglep3-reporting\EC\2016-12-03-refined-times.txt</v>
      </c>
      <c r="AI35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{"issue":{"subject":"","project_id":79,"tracker_id":40,"status_id":1,"priority_id":2,"assigned_to_id":23,"start_date":"2016-12-03","description":"","custom_fields":[{"id":1,"name":"Subdivision","value":"EC"},{"id":4,"name":"Milepost","value":"23.3301"},{"id":17,"name":"Train ID","value":"123-03"},{"id":16,"name":"Locomotive ID","value":"4022"},{"id":130,"name":"Impact","value":""},{"id":150,"name":"Time of Event (Mountain Time)","value":"07:08:59"},{"id":151,"name":"Denver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516</v>
      </c>
      <c r="B36" s="7">
        <v>4021</v>
      </c>
      <c r="C36" s="22" t="s">
        <v>209</v>
      </c>
      <c r="D36" s="22" t="s">
        <v>400</v>
      </c>
      <c r="E36" s="13">
        <v>42707.307060185187</v>
      </c>
      <c r="F36" s="13">
        <v>42707.309907407405</v>
      </c>
      <c r="G36" s="7">
        <v>1</v>
      </c>
      <c r="H36" s="22" t="s">
        <v>211</v>
      </c>
      <c r="I36" s="13">
        <v>42707.336631944447</v>
      </c>
      <c r="J36" s="7">
        <v>0</v>
      </c>
      <c r="K36" s="109" t="str">
        <f t="shared" si="0"/>
        <v>4021/4022</v>
      </c>
      <c r="L36" s="22" t="str">
        <f>VLOOKUP(A36,'Trips&amp;Operators'!$C$1:$G$99999,5,FALSE)</f>
        <v>KILLION DAVID</v>
      </c>
      <c r="M36" s="6">
        <f t="shared" si="1"/>
        <v>2.6724537041445728E-2</v>
      </c>
      <c r="N36" s="7">
        <f t="shared" si="19"/>
        <v>38.483333339681849</v>
      </c>
      <c r="O36" s="7"/>
      <c r="P36" s="7"/>
      <c r="Q36" s="23"/>
      <c r="R36" s="23"/>
      <c r="S36" s="35">
        <f t="shared" si="3"/>
        <v>1</v>
      </c>
      <c r="T36" s="50" t="str">
        <f t="shared" si="4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06:22:10-700',mode:absolute,to:'2016-12-03 09:04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6" s="52" t="str">
        <f t="shared" si="6"/>
        <v>N</v>
      </c>
      <c r="X36" s="177">
        <f t="shared" si="20"/>
        <v>1</v>
      </c>
      <c r="Y36" s="67">
        <f t="shared" si="8"/>
        <v>23.297799999999999</v>
      </c>
      <c r="Z36" s="67">
        <f t="shared" si="18"/>
        <v>1.5800000000000002E-2</v>
      </c>
      <c r="AA36" s="67">
        <f t="shared" si="9"/>
        <v>23.282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0"/>
        <v>0124-03</v>
      </c>
      <c r="AE36" s="91" t="str">
        <f t="shared" si="11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36" s="88" t="str">
        <f t="shared" si="12"/>
        <v>"C:\Program Files (x86)\AstroGrep\AstroGrep.exe" /spath="%USERPROFILE%\AppData\Local\Temp\OnboardLogs" /stypes="app*4021*20161203*" /stext=" 15:.+((SYSTEM_STATE.+slice.+state.+changed )|(ment ac)|(multiple cpu faults)|(system.+state.+changed )|(\[timeout)|(PRM\|1\|D)|(kpr)|(kdp)|(\|lc)|(penalty))" /e /r /s</v>
      </c>
      <c r="AG36" s="1" t="str">
        <f t="shared" si="13"/>
        <v>EC</v>
      </c>
      <c r="AH36" s="92" t="str">
        <f t="shared" si="16"/>
        <v>"%USERPROFILE%\Documents\GitHub\eaglep3\Utilities\RefineRTDCRunTimes.py" --tripid 124-03 --locoid 4021 --swversion DE.1.0.8.0 --startMP 204:232978 --initTime 2016-12-03T07:22:10 --startdatetime 2016-12-03T07:26:16 --delay 1 --endMP 204:158 --enddatetime 2016-12-03T08:04:45 --enforcementcount 0 &gt;&gt;C:\Users\stu\Documents\GitHub\eaglep3-reporting\EC\2016-12-03-refined-times.txt</v>
      </c>
      <c r="AI36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{"issue":{"subject":"","project_id":79,"tracker_id":40,"status_id":1,"priority_id":2,"assigned_to_id":23,"start_date":"2016-12-03","description":"","custom_fields":[{"id":1,"name":"Subdivision","value":"EC"},{"id":4,"name":"Milepost","value":"0.0158"},{"id":17,"name":"Train ID","value":"124-03"},{"id":16,"name":"Locomotive ID","value":"4021"},{"id":130,"name":"Impact","value":""},{"id":150,"name":"Time of Event (Mountain Time)","value":"08:04:45"},{"id":151,"name":"Denver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510</v>
      </c>
      <c r="B37" s="7">
        <v>4016</v>
      </c>
      <c r="C37" s="22" t="s">
        <v>209</v>
      </c>
      <c r="D37" s="22" t="s">
        <v>250</v>
      </c>
      <c r="E37" s="13">
        <v>42707.276805555557</v>
      </c>
      <c r="F37" s="13">
        <v>42707.281435185185</v>
      </c>
      <c r="G37" s="7">
        <v>5</v>
      </c>
      <c r="H37" s="22" t="s">
        <v>314</v>
      </c>
      <c r="I37" s="13">
        <v>42707.305520833332</v>
      </c>
      <c r="J37" s="7">
        <v>0</v>
      </c>
      <c r="K37" s="109" t="str">
        <f t="shared" si="0"/>
        <v>4015/4016</v>
      </c>
      <c r="L37" s="22" t="str">
        <f>VLOOKUP(A37,'Trips&amp;Operators'!$C$1:$G$99999,5,FALSE)</f>
        <v>GEBRETEKLE DAGNEW</v>
      </c>
      <c r="M37" s="6">
        <f t="shared" si="1"/>
        <v>2.4085648146865424E-2</v>
      </c>
      <c r="N37" s="7">
        <f t="shared" si="19"/>
        <v>34.68333333148621</v>
      </c>
      <c r="O37" s="7"/>
      <c r="P37" s="7"/>
      <c r="Q37" s="23"/>
      <c r="R37" s="23"/>
      <c r="S37" s="35">
        <f t="shared" si="3"/>
        <v>1</v>
      </c>
      <c r="T37" s="50" t="str">
        <f t="shared" si="4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05:38:36-700',mode:absolute,to:'2016-12-03 08:19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7" s="52" t="str">
        <f t="shared" si="6"/>
        <v>N</v>
      </c>
      <c r="X37" s="177">
        <f t="shared" si="20"/>
        <v>1</v>
      </c>
      <c r="Y37" s="67">
        <f t="shared" si="8"/>
        <v>4.5699999999999998E-2</v>
      </c>
      <c r="Z37" s="67">
        <f t="shared" si="18"/>
        <v>23.331199999999999</v>
      </c>
      <c r="AA37" s="67">
        <f t="shared" si="9"/>
        <v>23.285499999999999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0"/>
        <v>0125-03</v>
      </c>
      <c r="AE37" s="91" t="str">
        <f t="shared" si="11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37" s="88" t="str">
        <f t="shared" si="12"/>
        <v>"C:\Program Files (x86)\AstroGrep\AstroGrep.exe" /spath="%USERPROFILE%\AppData\Local\Temp\OnboardLogs" /stypes="app*4016*20161203*" /stext=" 14:.+((SYSTEM_STATE.+slice.+state.+changed )|(ment ac)|(multiple cpu faults)|(system.+state.+changed )|(\[timeout)|(PRM\|1\|D)|(kpr)|(kdp)|(\|lc)|(penalty))" /e /r /s</v>
      </c>
      <c r="AG37" s="1" t="str">
        <f t="shared" si="13"/>
        <v>EC</v>
      </c>
      <c r="AH37" s="92" t="str">
        <f t="shared" si="16"/>
        <v>"%USERPROFILE%\Documents\GitHub\eaglep3\Utilities\RefineRTDCRunTimes.py" --tripid 125-03 --locoid 4016 --swversion DE.1.0.8.0 --startMP 204:457 --initTime 2016-12-03T06:38:36 --startdatetime 2016-12-03T06:45:16 --delay 5 --endMP 204:233312 --enddatetime 2016-12-03T07:19:57 --enforcementcount 0 &gt;&gt;C:\Users\stu\Documents\GitHub\eaglep3-reporting\EC\2016-12-03-refined-times.txt</v>
      </c>
      <c r="AI37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{"issue":{"subject":"","project_id":79,"tracker_id":40,"status_id":1,"priority_id":2,"assigned_to_id":23,"start_date":"2016-12-03","description":"","custom_fields":[{"id":1,"name":"Subdivision","value":"EC"},{"id":4,"name":"Milepost","value":"23.3312"},{"id":17,"name":"Train ID","value":"125-03"},{"id":16,"name":"Locomotive ID","value":"4016"},{"id":130,"name":"Impact","value":""},{"id":150,"name":"Time of Event (Mountain Time)","value":"07:19:57"},{"id":151,"name":"Denver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518</v>
      </c>
      <c r="B38" s="7">
        <v>4015</v>
      </c>
      <c r="C38" s="22" t="s">
        <v>209</v>
      </c>
      <c r="D38" s="22" t="s">
        <v>237</v>
      </c>
      <c r="E38" s="13">
        <v>42707.317407407405</v>
      </c>
      <c r="F38" s="13">
        <v>42707.320636574077</v>
      </c>
      <c r="G38" s="7">
        <v>1</v>
      </c>
      <c r="H38" s="22" t="s">
        <v>399</v>
      </c>
      <c r="I38" s="13">
        <v>42707.346921296295</v>
      </c>
      <c r="J38" s="7">
        <v>0</v>
      </c>
      <c r="K38" s="109" t="str">
        <f t="shared" si="0"/>
        <v>4015/4016</v>
      </c>
      <c r="L38" s="22" t="str">
        <f>VLOOKUP(A38,'Trips&amp;Operators'!$C$1:$G$99999,5,FALSE)</f>
        <v>GEBRETEKLE DAGNEW</v>
      </c>
      <c r="M38" s="6">
        <f t="shared" si="1"/>
        <v>2.6284722218406387E-2</v>
      </c>
      <c r="N38" s="7">
        <f t="shared" si="19"/>
        <v>37.849999994505197</v>
      </c>
      <c r="O38" s="7"/>
      <c r="P38" s="7"/>
      <c r="Q38" s="23"/>
      <c r="R38" s="23"/>
      <c r="S38" s="35">
        <f t="shared" si="3"/>
        <v>1</v>
      </c>
      <c r="T38" s="50" t="str">
        <f t="shared" si="4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06:37:04-700',mode:absolute,to:'2016-12-03 09:19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8" s="52" t="str">
        <f t="shared" si="6"/>
        <v>N</v>
      </c>
      <c r="X38" s="177">
        <f t="shared" ref="X38:X69" si="21">VALUE(LEFT(AD38,4))-VALUE(LEFT(AD37,4))</f>
        <v>1</v>
      </c>
      <c r="Y38" s="67">
        <f t="shared" si="8"/>
        <v>23.299800000000001</v>
      </c>
      <c r="Z38" s="67">
        <f t="shared" si="18"/>
        <v>1.32E-2</v>
      </c>
      <c r="AA38" s="67">
        <f t="shared" si="9"/>
        <v>23.2866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0"/>
        <v>0126-03</v>
      </c>
      <c r="AE38" s="91" t="str">
        <f t="shared" si="11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38" s="88" t="str">
        <f t="shared" si="12"/>
        <v>"C:\Program Files (x86)\AstroGrep\AstroGrep.exe" /spath="%USERPROFILE%\AppData\Local\Temp\OnboardLogs" /stypes="app*4015*20161203*" /stext=" 15:.+((SYSTEM_STATE.+slice.+state.+changed )|(ment ac)|(multiple cpu faults)|(system.+state.+changed )|(\[timeout)|(PRM\|1\|D)|(kpr)|(kdp)|(\|lc)|(penalty))" /e /r /s</v>
      </c>
      <c r="AG38" s="1" t="str">
        <f t="shared" si="13"/>
        <v>EC</v>
      </c>
      <c r="AH38" s="92" t="str">
        <f t="shared" si="16"/>
        <v>"%USERPROFILE%\Documents\GitHub\eaglep3\Utilities\RefineRTDCRunTimes.py" --tripid 126-03 --locoid 4015 --swversion DE.1.0.8.0 --startMP 204:232998 --initTime 2016-12-03T07:37:04 --startdatetime 2016-12-03T07:41:43 --delay 1 --endMP 204:132 --enddatetime 2016-12-03T08:19:34 --enforcementcount 0 &gt;&gt;C:\Users\stu\Documents\GitHub\eaglep3-reporting\EC\2016-12-03-refined-times.txt</v>
      </c>
      <c r="AI38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{"issue":{"subject":"","project_id":79,"tracker_id":40,"status_id":1,"priority_id":2,"assigned_to_id":23,"start_date":"2016-12-03","description":"","custom_fields":[{"id":1,"name":"Subdivision","value":"EC"},{"id":4,"name":"Milepost","value":"0.0132"},{"id":17,"name":"Train ID","value":"126-03"},{"id":16,"name":"Locomotive ID","value":"4015"},{"id":130,"name":"Impact","value":""},{"id":150,"name":"Time of Event (Mountain Time)","value":"08:19:34"},{"id":151,"name":"Denver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512</v>
      </c>
      <c r="B39" s="7">
        <v>4042</v>
      </c>
      <c r="C39" s="22" t="s">
        <v>209</v>
      </c>
      <c r="D39" s="22" t="s">
        <v>266</v>
      </c>
      <c r="E39" s="13">
        <v>42707.286828703705</v>
      </c>
      <c r="F39" s="13">
        <v>42707.291921296295</v>
      </c>
      <c r="G39" s="7">
        <v>1</v>
      </c>
      <c r="H39" s="22" t="s">
        <v>328</v>
      </c>
      <c r="I39" s="13">
        <v>42707.317800925928</v>
      </c>
      <c r="J39" s="7">
        <v>0</v>
      </c>
      <c r="K39" s="109" t="str">
        <f t="shared" si="0"/>
        <v>4041/4042</v>
      </c>
      <c r="L39" s="22" t="str">
        <f>VLOOKUP(A39,'Trips&amp;Operators'!$C$1:$G$99999,5,FALSE)</f>
        <v>MAELZER KURT</v>
      </c>
      <c r="M39" s="6">
        <f t="shared" si="1"/>
        <v>2.587962963298196E-2</v>
      </c>
      <c r="N39" s="7">
        <f t="shared" si="19"/>
        <v>37.266666671494022</v>
      </c>
      <c r="O39" s="7"/>
      <c r="P39" s="7"/>
      <c r="Q39" s="23"/>
      <c r="R39" s="23"/>
      <c r="S39" s="35">
        <f t="shared" si="3"/>
        <v>1</v>
      </c>
      <c r="T39" s="50" t="str">
        <f t="shared" si="4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05:53:02-700',mode:absolute,to:'2016-12-03 08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9" s="52" t="str">
        <f t="shared" si="6"/>
        <v>N</v>
      </c>
      <c r="X39" s="177">
        <f t="shared" si="21"/>
        <v>1</v>
      </c>
      <c r="Y39" s="67">
        <f t="shared" si="8"/>
        <v>4.6699999999999998E-2</v>
      </c>
      <c r="Z39" s="67">
        <f t="shared" si="18"/>
        <v>23.331099999999999</v>
      </c>
      <c r="AA39" s="67">
        <f t="shared" si="9"/>
        <v>23.284399999999998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0"/>
        <v>0127-03</v>
      </c>
      <c r="AE39" s="91" t="str">
        <f t="shared" si="11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39" s="88" t="str">
        <f t="shared" si="12"/>
        <v>"C:\Program Files (x86)\AstroGrep\AstroGrep.exe" /spath="%USERPROFILE%\AppData\Local\Temp\OnboardLogs" /stypes="app*4042*20161203*" /stext=" 14:.+((SYSTEM_STATE.+slice.+state.+changed )|(ment ac)|(multiple cpu faults)|(system.+state.+changed )|(\[timeout)|(PRM\|1\|D)|(kpr)|(kdp)|(\|lc)|(penalty))" /e /r /s</v>
      </c>
      <c r="AG39" s="1" t="str">
        <f t="shared" si="13"/>
        <v>EC</v>
      </c>
      <c r="AH39" s="92" t="str">
        <f t="shared" si="16"/>
        <v>"%USERPROFILE%\Documents\GitHub\eaglep3\Utilities\RefineRTDCRunTimes.py" --tripid 127-03 --locoid 4042 --swversion DE.1.0.8.0 --startMP 204:467 --initTime 2016-12-03T06:53:02 --startdatetime 2016-12-03T07:00:22 --delay 1 --endMP 204:233311 --enddatetime 2016-12-03T07:37:38 --enforcementcount 0 &gt;&gt;C:\Users\stu\Documents\GitHub\eaglep3-reporting\EC\2016-12-03-refined-times.txt</v>
      </c>
      <c r="AI39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{"issue":{"subject":"","project_id":79,"tracker_id":40,"status_id":1,"priority_id":2,"assigned_to_id":23,"start_date":"2016-12-03","description":"","custom_fields":[{"id":1,"name":"Subdivision","value":"EC"},{"id":4,"name":"Milepost","value":"23.3311"},{"id":17,"name":"Train ID","value":"127-03"},{"id":16,"name":"Locomotive ID","value":"4042"},{"id":130,"name":"Impact","value":""},{"id":150,"name":"Time of Event (Mountain Time)","value":"07:37:38"},{"id":151,"name":"Denver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521</v>
      </c>
      <c r="B40" s="7">
        <v>4041</v>
      </c>
      <c r="C40" s="22" t="s">
        <v>209</v>
      </c>
      <c r="D40" s="22" t="s">
        <v>398</v>
      </c>
      <c r="E40" s="13">
        <v>42707.32309027778</v>
      </c>
      <c r="F40" s="13">
        <v>42707.331226851849</v>
      </c>
      <c r="G40" s="7">
        <v>1</v>
      </c>
      <c r="H40" s="22" t="s">
        <v>410</v>
      </c>
      <c r="I40" s="13">
        <v>42707.356898148151</v>
      </c>
      <c r="J40" s="7">
        <v>0</v>
      </c>
      <c r="K40" s="109" t="str">
        <f t="shared" si="0"/>
        <v>4041/4042</v>
      </c>
      <c r="L40" s="22" t="str">
        <f>VLOOKUP(A40,'Trips&amp;Operators'!$C$1:$G$99999,5,FALSE)</f>
        <v>MAELZER KURT</v>
      </c>
      <c r="M40" s="6">
        <f t="shared" si="1"/>
        <v>2.567129630187992E-2</v>
      </c>
      <c r="N40" s="7">
        <f t="shared" si="19"/>
        <v>36.966666674707085</v>
      </c>
      <c r="O40" s="7"/>
      <c r="P40" s="7"/>
      <c r="Q40" s="23"/>
      <c r="R40" s="23"/>
      <c r="S40" s="35">
        <f t="shared" si="3"/>
        <v>1</v>
      </c>
      <c r="T40" s="50" t="str">
        <f t="shared" si="4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06:45:15-700',mode:absolute,to:'2016-12-03 09:33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0" s="52" t="str">
        <f t="shared" si="6"/>
        <v>N</v>
      </c>
      <c r="X40" s="177">
        <f t="shared" si="21"/>
        <v>1</v>
      </c>
      <c r="Y40" s="67">
        <f t="shared" si="8"/>
        <v>23.3</v>
      </c>
      <c r="Z40" s="67">
        <f t="shared" si="18"/>
        <v>1.2699999999999999E-2</v>
      </c>
      <c r="AA40" s="67">
        <f t="shared" si="9"/>
        <v>23.287300000000002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0"/>
        <v>0128-03</v>
      </c>
      <c r="AE40" s="91" t="str">
        <f t="shared" si="11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40" s="88" t="str">
        <f t="shared" si="12"/>
        <v>"C:\Program Files (x86)\AstroGrep\AstroGrep.exe" /spath="%USERPROFILE%\AppData\Local\Temp\OnboardLogs" /stypes="app*4041*20161203*" /stext=" 15:.+((SYSTEM_STATE.+slice.+state.+changed )|(ment ac)|(multiple cpu faults)|(system.+state.+changed )|(\[timeout)|(PRM\|1\|D)|(kpr)|(kdp)|(\|lc)|(penalty))" /e /r /s</v>
      </c>
      <c r="AG40" s="1" t="str">
        <f t="shared" si="13"/>
        <v>EC</v>
      </c>
      <c r="AH40" s="92" t="str">
        <f t="shared" si="16"/>
        <v>"%USERPROFILE%\Documents\GitHub\eaglep3\Utilities\RefineRTDCRunTimes.py" --tripid 128-03 --locoid 4041 --swversion DE.1.0.8.0 --startMP 204:233000 --initTime 2016-12-03T07:45:15 --startdatetime 2016-12-03T07:56:58 --delay 1 --endMP 204:127 --enddatetime 2016-12-03T08:33:56 --enforcementcount 0 &gt;&gt;C:\Users\stu\Documents\GitHub\eaglep3-reporting\EC\2016-12-03-refined-times.txt</v>
      </c>
      <c r="AI40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{"issue":{"subject":"","project_id":79,"tracker_id":40,"status_id":1,"priority_id":2,"assigned_to_id":23,"start_date":"2016-12-03","description":"","custom_fields":[{"id":1,"name":"Subdivision","value":"EC"},{"id":4,"name":"Milepost","value":"0.0127"},{"id":17,"name":"Train ID","value":"128-03"},{"id":16,"name":"Locomotive ID","value":"4041"},{"id":130,"name":"Impact","value":""},{"id":150,"name":"Time of Event (Mountain Time)","value":"08:33:56"},{"id":151,"name":"Denver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515</v>
      </c>
      <c r="B41" s="7">
        <v>4027</v>
      </c>
      <c r="C41" s="22" t="s">
        <v>209</v>
      </c>
      <c r="D41" s="22" t="s">
        <v>688</v>
      </c>
      <c r="E41" s="13">
        <v>42707.298217592594</v>
      </c>
      <c r="F41" s="13">
        <v>42707.302488425928</v>
      </c>
      <c r="G41" s="7">
        <v>1</v>
      </c>
      <c r="H41" s="22" t="s">
        <v>288</v>
      </c>
      <c r="I41" s="13">
        <v>42707.328425925924</v>
      </c>
      <c r="J41" s="7">
        <v>0</v>
      </c>
      <c r="K41" s="109" t="str">
        <f t="shared" si="0"/>
        <v>4027/4028</v>
      </c>
      <c r="L41" s="22" t="str">
        <f>VLOOKUP(A41,'Trips&amp;Operators'!$C$1:$G$99999,5,FALSE)</f>
        <v>STRICKLAND EVAN</v>
      </c>
      <c r="M41" s="6">
        <f t="shared" si="1"/>
        <v>2.5937499995052349E-2</v>
      </c>
      <c r="N41" s="7">
        <f t="shared" si="19"/>
        <v>37.349999992875382</v>
      </c>
      <c r="O41" s="7"/>
      <c r="P41" s="7"/>
      <c r="Q41" s="23"/>
      <c r="R41" s="23"/>
      <c r="S41" s="35">
        <f t="shared" si="3"/>
        <v>1</v>
      </c>
      <c r="T41" s="50" t="str">
        <f t="shared" si="4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06:09:26-700',mode:absolute,to:'2016-12-03 08:52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41" s="52" t="str">
        <f t="shared" si="6"/>
        <v>N</v>
      </c>
      <c r="X41" s="177">
        <f t="shared" si="21"/>
        <v>1</v>
      </c>
      <c r="Y41" s="67">
        <f t="shared" si="8"/>
        <v>4.7500000000000001E-2</v>
      </c>
      <c r="Z41" s="67">
        <f t="shared" si="18"/>
        <v>23.3325</v>
      </c>
      <c r="AA41" s="67">
        <f t="shared" si="9"/>
        <v>23.285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0"/>
        <v>0129-03</v>
      </c>
      <c r="AE41" s="91" t="str">
        <f t="shared" si="11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41" s="88" t="str">
        <f t="shared" si="12"/>
        <v>"C:\Program Files (x86)\AstroGrep\AstroGrep.exe" /spath="%USERPROFILE%\AppData\Local\Temp\OnboardLogs" /stypes="app*4027*20161203*" /stext=" 14:.+((SYSTEM_STATE.+slice.+state.+changed )|(ment ac)|(multiple cpu faults)|(system.+state.+changed )|(\[timeout)|(PRM\|1\|D)|(kpr)|(kdp)|(\|lc)|(penalty))" /e /r /s</v>
      </c>
      <c r="AG41" s="1" t="str">
        <f t="shared" si="13"/>
        <v>EC</v>
      </c>
      <c r="AH41" s="92" t="str">
        <f t="shared" si="16"/>
        <v>"%USERPROFILE%\Documents\GitHub\eaglep3\Utilities\RefineRTDCRunTimes.py" --tripid 129-03 --locoid 4027 --swversion DE.1.0.8.0 --startMP 204:475 --initTime 2016-12-03T07:09:26 --startdatetime 2016-12-03T07:15:35 --delay 1 --endMP 204:233325 --enddatetime 2016-12-03T07:52:56 --enforcementcount 0 &gt;&gt;C:\Users\stu\Documents\GitHub\eaglep3-reporting\EC\2016-12-03-refined-times.txt</v>
      </c>
      <c r="AI41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{"issue":{"subject":"","project_id":79,"tracker_id":40,"status_id":1,"priority_id":2,"assigned_to_id":23,"start_date":"2016-12-03","description":"","custom_fields":[{"id":1,"name":"Subdivision","value":"EC"},{"id":4,"name":"Milepost","value":"23.3325"},{"id":17,"name":"Train ID","value":"129-03"},{"id":16,"name":"Locomotive ID","value":"4027"},{"id":130,"name":"Impact","value":""},{"id":150,"name":"Time of Event (Mountain Time)","value":"07:52:56"},{"id":151,"name":"Denver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438</v>
      </c>
      <c r="B42" s="7">
        <v>4028</v>
      </c>
      <c r="C42" s="22" t="s">
        <v>209</v>
      </c>
      <c r="D42" s="22" t="s">
        <v>329</v>
      </c>
      <c r="E42" s="13">
        <v>42707.336435185185</v>
      </c>
      <c r="F42" s="13">
        <v>42707.341226851851</v>
      </c>
      <c r="G42" s="7">
        <v>1</v>
      </c>
      <c r="H42" s="22" t="s">
        <v>247</v>
      </c>
      <c r="I42" s="13">
        <v>42707.368090277778</v>
      </c>
      <c r="J42" s="7">
        <v>0</v>
      </c>
      <c r="K42" s="109" t="str">
        <f t="shared" si="0"/>
        <v>4027/4028</v>
      </c>
      <c r="L42" s="22" t="str">
        <f>VLOOKUP(A42,'Trips&amp;Operators'!$C$1:$G$99999,5,FALSE)</f>
        <v>STRICKLAND EVAN</v>
      </c>
      <c r="M42" s="6">
        <f t="shared" si="1"/>
        <v>2.6863425926421769E-2</v>
      </c>
      <c r="N42" s="7">
        <f t="shared" si="19"/>
        <v>38.683333334047347</v>
      </c>
      <c r="O42" s="7"/>
      <c r="P42" s="7"/>
      <c r="Q42" s="23"/>
      <c r="R42" s="23"/>
      <c r="S42" s="35">
        <f t="shared" si="3"/>
        <v>1</v>
      </c>
      <c r="T42" s="50" t="str">
        <f t="shared" si="4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07:04:28-700',mode:absolute,to:'2016-12-03 09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42" s="52" t="str">
        <f t="shared" si="6"/>
        <v>N</v>
      </c>
      <c r="X42" s="177">
        <f t="shared" si="21"/>
        <v>1</v>
      </c>
      <c r="Y42" s="67">
        <f t="shared" si="8"/>
        <v>23.300599999999999</v>
      </c>
      <c r="Z42" s="67">
        <f t="shared" si="18"/>
        <v>1.61E-2</v>
      </c>
      <c r="AA42" s="67">
        <f t="shared" si="9"/>
        <v>23.284499999999998</v>
      </c>
      <c r="AB42" s="64" t="str">
        <f>VLOOKUP(A42,Enforcements!$C$7:$K$19,8,0)</f>
        <v>Speed (6)</v>
      </c>
      <c r="AC42" s="60" t="str">
        <f>VLOOKUP(A42,Enforcements!$C$7:$E$19,3,0)</f>
        <v>PERMANENT SPEED RESTRICTION</v>
      </c>
      <c r="AD42" s="61" t="str">
        <f t="shared" si="10"/>
        <v>0130-03</v>
      </c>
      <c r="AE42" s="91" t="str">
        <f t="shared" si="11"/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AF42" s="88" t="str">
        <f t="shared" si="12"/>
        <v>"C:\Program Files (x86)\AstroGrep\AstroGrep.exe" /spath="%USERPROFILE%\AppData\Local\Temp\OnboardLogs" /stypes="app*4028*20161203*" /stext=" 15:.+((SYSTEM_STATE.+slice.+state.+changed )|(ment ac)|(multiple cpu faults)|(system.+state.+changed )|(\[timeout)|(PRM\|1\|D)|(kpr)|(kdp)|(\|lc)|(penalty))" /e /r /s</v>
      </c>
      <c r="AG42" s="1" t="str">
        <f t="shared" si="13"/>
        <v>EC</v>
      </c>
      <c r="AH42" s="92" t="str">
        <f t="shared" si="16"/>
        <v>"%USERPROFILE%\Documents\GitHub\eaglep3\Utilities\RefineRTDCRunTimes.py" --tripid 130-03 --locoid 4028 --swversion DE.1.0.8.0 --startMP 204:233006 --initTime 2016-12-03T08:04:28 --startdatetime 2016-12-03T08:11:22 --delay 1 --endMP 204:161 --enddatetime 2016-12-03T08:50:03 --enforcementcount 0 &gt;&gt;C:\Users\stu\Documents\GitHub\eaglep3-reporting\EC\2016-12-03-refined-times.txt</v>
      </c>
      <c r="AI42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{"issue":{"subject":"","project_id":79,"tracker_id":40,"status_id":1,"priority_id":2,"assigned_to_id":23,"start_date":"2016-12-03","description":"","custom_fields":[{"id":1,"name":"Subdivision","value":"EC"},{"id":4,"name":"Milepost","value":"0.0161"},{"id":17,"name":"Train ID","value":"130-03"},{"id":16,"name":"Locomotive ID","value":"4028"},{"id":130,"name":"Impact","value":""},{"id":150,"name":"Time of Event (Mountain Time)","value":"08:50:03"},{"id":151,"name":"Denver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517</v>
      </c>
      <c r="B43" s="7">
        <v>4003</v>
      </c>
      <c r="C43" s="22" t="s">
        <v>209</v>
      </c>
      <c r="D43" s="22" t="s">
        <v>194</v>
      </c>
      <c r="E43" s="13">
        <v>42707.307638888888</v>
      </c>
      <c r="F43" s="13">
        <v>42707.312939814816</v>
      </c>
      <c r="G43" s="7">
        <v>1</v>
      </c>
      <c r="H43" s="22" t="s">
        <v>689</v>
      </c>
      <c r="I43" s="13">
        <v>42707.337893518517</v>
      </c>
      <c r="J43" s="7">
        <v>0</v>
      </c>
      <c r="K43" s="109" t="str">
        <f t="shared" si="0"/>
        <v>4003/4004</v>
      </c>
      <c r="L43" s="22" t="str">
        <f>VLOOKUP(A43,'Trips&amp;Operators'!$C$1:$G$99999,5,FALSE)</f>
        <v>ROBINSON KADDIBA</v>
      </c>
      <c r="M43" s="6">
        <f t="shared" si="1"/>
        <v>2.495370370161254E-2</v>
      </c>
      <c r="N43" s="7">
        <f t="shared" si="19"/>
        <v>35.933333330322057</v>
      </c>
      <c r="O43" s="7"/>
      <c r="P43" s="7"/>
      <c r="Q43" s="23"/>
      <c r="R43" s="23"/>
      <c r="S43" s="35">
        <f t="shared" si="3"/>
        <v>1</v>
      </c>
      <c r="T43" s="50" t="str">
        <f t="shared" si="4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06:23:00-700',mode:absolute,to:'2016-12-03 09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43" s="52" t="str">
        <f t="shared" si="6"/>
        <v>N</v>
      </c>
      <c r="X43" s="177">
        <f t="shared" si="21"/>
        <v>1</v>
      </c>
      <c r="Y43" s="67">
        <f t="shared" si="8"/>
        <v>4.4699999999999997E-2</v>
      </c>
      <c r="Z43" s="67">
        <f t="shared" si="18"/>
        <v>23.332000000000001</v>
      </c>
      <c r="AA43" s="67">
        <f t="shared" si="9"/>
        <v>23.287300000000002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0"/>
        <v>0131-03</v>
      </c>
      <c r="AE43" s="91" t="str">
        <f t="shared" si="11"/>
        <v>aws s3 cp s3://rtdc.mdm.uploadarchive.raw/RTDC4003/ "%USERPROFILE%\AppData\Local\Temp\OnboardLogs"\RTDC4003\2016-12-03 --exclude "*" --recursive --include "*20161203*" &amp; "%USERPROFILE%\Documents\GitHub\mrs-test-scripts\Headless Mode &amp; Sideloading\WalkAndUnGZ.bat" "%USERPROFILE%\AppData\Local\Temp\OnboardLogs"\RTDC4003\2016-12-03 &amp; aws s3 cp s3://rtdc.mdm.uploadarchive.raw/RTDC4003/ "%USERPROFILE%\AppData\Local\Temp\OnboardLogs"\RTDC4003\2016-12-04 --exclude "*" --recursive --include "*20161204*" &amp; "%USERPROFILE%\Documents\GitHub\mrs-test-scripts\Headless Mode &amp; Sideloading\WalkAndUnGZ.bat" "%USERPROFILE%\AppData\Local\Temp\OnboardLogs"\RTDC4003\2016-12-04</v>
      </c>
      <c r="AF43" s="88" t="str">
        <f t="shared" si="12"/>
        <v>"C:\Program Files (x86)\AstroGrep\AstroGrep.exe" /spath="%USERPROFILE%\AppData\Local\Temp\OnboardLogs" /stypes="app*4003*20161203*" /stext=" 15:.+((SYSTEM_STATE.+slice.+state.+changed )|(ment ac)|(multiple cpu faults)|(system.+state.+changed )|(\[timeout)|(PRM\|1\|D)|(kpr)|(kdp)|(\|lc)|(penalty))" /e /r /s</v>
      </c>
      <c r="AG43" s="1" t="str">
        <f t="shared" si="13"/>
        <v>EC</v>
      </c>
      <c r="AH43" s="92" t="str">
        <f t="shared" si="16"/>
        <v>"%USERPROFILE%\Documents\GitHub\eaglep3\Utilities\RefineRTDCRunTimes.py" --tripid 131-03 --locoid 4003 --swversion DE.1.0.8.0 --startMP 204:447 --initTime 2016-12-03T07:23:00 --startdatetime 2016-12-03T07:30:38 --delay 1 --endMP 204:233320 --enddatetime 2016-12-03T08:06:34 --enforcementcount 0 &gt;&gt;C:\Users\stu\Documents\GitHub\eaglep3-reporting\EC\2016-12-03-refined-times.txt</v>
      </c>
      <c r="AI43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{"issue":{"subject":"","project_id":79,"tracker_id":40,"status_id":1,"priority_id":2,"assigned_to_id":23,"start_date":"2016-12-03","description":"","custom_fields":[{"id":1,"name":"Subdivision","value":"EC"},{"id":4,"name":"Milepost","value":"23.332"},{"id":17,"name":"Train ID","value":"131-03"},{"id":16,"name":"Locomotive ID","value":"4003"},{"id":130,"name":"Impact","value":""},{"id":150,"name":"Time of Event (Mountain Time)","value":"08:06:34"},{"id":151,"name":"Denver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439</v>
      </c>
      <c r="B44" s="7">
        <v>4004</v>
      </c>
      <c r="C44" s="22" t="s">
        <v>209</v>
      </c>
      <c r="D44" s="22" t="s">
        <v>313</v>
      </c>
      <c r="E44" s="13">
        <v>42707.34511574074</v>
      </c>
      <c r="F44" s="13">
        <v>42707.346122685187</v>
      </c>
      <c r="G44" s="7">
        <v>1</v>
      </c>
      <c r="H44" s="22" t="s">
        <v>690</v>
      </c>
      <c r="I44" s="13">
        <v>42707.360300925924</v>
      </c>
      <c r="J44" s="7">
        <v>1</v>
      </c>
      <c r="K44" s="109" t="str">
        <f t="shared" si="0"/>
        <v>4003/4004</v>
      </c>
      <c r="L44" s="22" t="str">
        <f>VLOOKUP(A44,'Trips&amp;Operators'!$C$1:$G$99999,5,FALSE)</f>
        <v>ROBINSON KADDIBA</v>
      </c>
      <c r="M44" s="6">
        <f t="shared" si="1"/>
        <v>1.4178240737237502E-2</v>
      </c>
      <c r="N44" s="7"/>
      <c r="O44" s="7"/>
      <c r="P44" s="7">
        <f>24*60*SUM($M44:$M45)</f>
        <v>41.499999988591298</v>
      </c>
      <c r="Q44" s="23"/>
      <c r="R44" s="23" t="s">
        <v>834</v>
      </c>
      <c r="S44" s="35">
        <f>SUM(U44:U45)/IF(AG44="EC",12,1)</f>
        <v>0.83333333333333337</v>
      </c>
      <c r="T44" s="50" t="str">
        <f t="shared" si="4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07:16:58-700',mode:absolute,to:'2016-12-03 09:38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4" s="52" t="str">
        <f t="shared" si="6"/>
        <v>Y</v>
      </c>
      <c r="X44" s="177">
        <f t="shared" si="21"/>
        <v>1</v>
      </c>
      <c r="Y44" s="67">
        <f t="shared" si="8"/>
        <v>23.3005</v>
      </c>
      <c r="Z44" s="67">
        <f t="shared" si="18"/>
        <v>14.782299999999999</v>
      </c>
      <c r="AA44" s="67">
        <f t="shared" si="9"/>
        <v>8.5182000000000002</v>
      </c>
      <c r="AB44" s="64" t="str">
        <f>VLOOKUP(A44,Enforcements!$C$7:$K$19,8,0)</f>
        <v>Signal based authority (5)</v>
      </c>
      <c r="AC44" s="60" t="str">
        <f>VLOOKUP(A44,Enforcements!$C$7:$E$19,3,0)</f>
        <v>SIGNAL</v>
      </c>
      <c r="AD44" s="61" t="str">
        <f t="shared" si="10"/>
        <v>0132-03</v>
      </c>
      <c r="AE44" s="91" t="str">
        <f t="shared" si="11"/>
        <v>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 &amp; 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</v>
      </c>
      <c r="AF44" s="88" t="str">
        <f t="shared" si="12"/>
        <v>"C:\Program Files (x86)\AstroGrep\AstroGrep.exe" /spath="%USERPROFILE%\AppData\Local\Temp\OnboardLogs" /stypes="app*4004*20161203*" /stext=" 15:.+((SYSTEM_STATE.+slice.+state.+changed )|(ment ac)|(multiple cpu faults)|(system.+state.+changed )|(\[timeout)|(PRM\|1\|D)|(kpr)|(kdp)|(\|lc)|(penalty))" /e /r /s</v>
      </c>
      <c r="AG44" s="1" t="str">
        <f t="shared" si="13"/>
        <v>EC</v>
      </c>
      <c r="AH44" s="92" t="str">
        <f t="shared" si="16"/>
        <v>"%USERPROFILE%\Documents\GitHub\eaglep3\Utilities\RefineRTDCRunTimes.py" --tripid 132-03 --locoid 4004 --swversion DE.1.0.8.0 --startMP 204:233005 --initTime 2016-12-03T08:16:58 --startdatetime 2016-12-03T08:18:25 --delay 1 --endMP 204:147823 --enddatetime 2016-12-03T08:38:50 --enforcementcount 1 &gt;&gt;C:\Users\stu\Documents\GitHub\eaglep3-reporting\EC\2016-12-03-refined-times.txt</v>
      </c>
      <c r="AI44" s="119" t="str">
        <f t="shared" si="17"/>
        <v>echo {"issue":{"subject":"Premature downgrade at EC1497","project_id":79,"tracker_id":40,"status_id":1,"priority_id":2,"assigned_to_id":23,"start_date":"2016-12-03","description":"","custom_fields":[{"id":1,"name":"Subdivision","value":"EC"},{"id":4,"name":"Milepost","value":"14.7823"},{"id":17,"name":"Train ID","value":"132-03"},{"id":16,"name":"Locomotive ID","value":"4004"},{"id":130,"name":"Impact","value":""},{"id":150,"name":"Time of Event (Mountain Time)","value":"08:38:50"},{"id":151,"name":"Denver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439</v>
      </c>
      <c r="B45" s="7">
        <v>4004</v>
      </c>
      <c r="C45" s="22" t="s">
        <v>209</v>
      </c>
      <c r="D45" s="22" t="s">
        <v>691</v>
      </c>
      <c r="E45" s="13">
        <v>42707.370509259257</v>
      </c>
      <c r="F45" s="13">
        <v>42707.371342592596</v>
      </c>
      <c r="G45" s="7">
        <v>1</v>
      </c>
      <c r="H45" s="22" t="s">
        <v>692</v>
      </c>
      <c r="I45" s="13">
        <v>42707.385983796295</v>
      </c>
      <c r="J45" s="7">
        <v>0</v>
      </c>
      <c r="K45" s="109" t="str">
        <f t="shared" si="0"/>
        <v>4003/4004</v>
      </c>
      <c r="L45" s="22" t="str">
        <f>VLOOKUP(A45,'Trips&amp;Operators'!$C$1:$G$99999,5,FALSE)</f>
        <v>ROBINSON KADDIBA</v>
      </c>
      <c r="M45" s="6">
        <f t="shared" si="1"/>
        <v>1.4641203699284233E-2</v>
      </c>
      <c r="N45" s="7"/>
      <c r="O45" s="7"/>
      <c r="P45" s="7"/>
      <c r="Q45" s="23"/>
      <c r="R45" s="23"/>
      <c r="S45" s="35"/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10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07:53:32-700',mode:absolute,to:'2016-12-03 10:15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45" s="52" t="str">
        <f t="shared" si="6"/>
        <v>Y</v>
      </c>
      <c r="X45" s="177">
        <f t="shared" si="21"/>
        <v>0</v>
      </c>
      <c r="Y45" s="67">
        <f t="shared" si="8"/>
        <v>8.6354000000000006</v>
      </c>
      <c r="Z45" s="67">
        <f t="shared" si="18"/>
        <v>0.1152</v>
      </c>
      <c r="AA45" s="67">
        <f t="shared" si="9"/>
        <v>8.5202000000000009</v>
      </c>
      <c r="AB45" s="64" t="str">
        <f>VLOOKUP(A45,Enforcements!$C$7:$K$19,8,0)</f>
        <v>Signal based authority (5)</v>
      </c>
      <c r="AC45" s="60" t="str">
        <f>VLOOKUP(A45,Enforcements!$C$7:$E$19,3,0)</f>
        <v>SIGNAL</v>
      </c>
      <c r="AD45" s="61" t="str">
        <f t="shared" si="10"/>
        <v>0132-03</v>
      </c>
      <c r="AE45" s="91" t="str">
        <f t="shared" si="11"/>
        <v>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 &amp; 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</v>
      </c>
      <c r="AF45" s="88" t="str">
        <f t="shared" si="12"/>
        <v>"C:\Program Files (x86)\AstroGrep\AstroGrep.exe" /spath="%USERPROFILE%\AppData\Local\Temp\OnboardLogs" /stypes="app*4004*20161203*" /stext=" 16:.+((SYSTEM_STATE.+slice.+state.+changed )|(ment ac)|(multiple cpu faults)|(system.+state.+changed )|(\[timeout)|(PRM\|1\|D)|(kpr)|(kdp)|(\|lc)|(penalty))" /e /r /s</v>
      </c>
      <c r="AG45" s="1" t="str">
        <f t="shared" si="13"/>
        <v>EC</v>
      </c>
      <c r="AH45" s="92" t="str">
        <f t="shared" si="16"/>
        <v>"%USERPROFILE%\Documents\GitHub\eaglep3\Utilities\RefineRTDCRunTimes.py" --tripid 132-03 --locoid 4004 --swversion DE.1.0.8.0 --startMP 204:86354 --initTime 2016-12-03T08:53:32 --startdatetime 2016-12-03T08:54:44 --delay 1 --endMP 204:1152 --enddatetime 2016-12-03T09:15:49 --enforcementcount 0 &gt;&gt;C:\Users\stu\Documents\GitHub\eaglep3-reporting\EC\2016-12-03-refined-times.txt</v>
      </c>
      <c r="AI45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{"issue":{"subject":"","project_id":79,"tracker_id":40,"status_id":1,"priority_id":2,"assigned_to_id":23,"start_date":"2016-12-03","description":"","custom_fields":[{"id":1,"name":"Subdivision","value":"EC"},{"id":4,"name":"Milepost","value":"0.1152"},{"id":17,"name":"Train ID","value":"132-03"},{"id":16,"name":"Locomotive ID","value":"4004"},{"id":130,"name":"Impact","value":""},{"id":150,"name":"Time of Event (Mountain Time)","value":"09:15:49"},{"id":151,"name":"Denver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520</v>
      </c>
      <c r="B46" s="7">
        <v>4014</v>
      </c>
      <c r="C46" s="22" t="s">
        <v>209</v>
      </c>
      <c r="D46" s="22" t="s">
        <v>251</v>
      </c>
      <c r="E46" s="13">
        <v>42707.318414351852</v>
      </c>
      <c r="F46" s="13">
        <v>42707.323182870372</v>
      </c>
      <c r="G46" s="7">
        <v>1</v>
      </c>
      <c r="H46" s="22" t="s">
        <v>402</v>
      </c>
      <c r="I46" s="13">
        <v>42707.34778935185</v>
      </c>
      <c r="J46" s="7">
        <v>0</v>
      </c>
      <c r="K46" s="109" t="str">
        <f t="shared" si="0"/>
        <v>4013/4014</v>
      </c>
      <c r="L46" s="22" t="str">
        <f>VLOOKUP(A46,'Trips&amp;Operators'!$C$1:$G$99999,5,FALSE)</f>
        <v>ACKERMAN JARED</v>
      </c>
      <c r="M46" s="6">
        <f t="shared" si="1"/>
        <v>2.4606481478258502E-2</v>
      </c>
      <c r="N46" s="7">
        <f t="shared" ref="N46:N55" si="22">24*60*SUM($M46:$M46)</f>
        <v>35.433333328692243</v>
      </c>
      <c r="O46" s="7"/>
      <c r="P46" s="7"/>
      <c r="Q46" s="23"/>
      <c r="R46" s="23"/>
      <c r="S46" s="35">
        <f t="shared" ref="S46:S75" si="23">SUM(U46:U46)/IF(AG46="EC",12,1)</f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06:38:31-700',mode:absolute,to:'2016-12-03 09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6" s="52" t="str">
        <f t="shared" si="6"/>
        <v>N</v>
      </c>
      <c r="X46" s="177">
        <f t="shared" si="21"/>
        <v>1</v>
      </c>
      <c r="Y46" s="67">
        <f t="shared" si="8"/>
        <v>4.7100000000000003E-2</v>
      </c>
      <c r="Z46" s="67">
        <f t="shared" si="18"/>
        <v>23.3323</v>
      </c>
      <c r="AA46" s="67">
        <f t="shared" si="9"/>
        <v>23.2852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0"/>
        <v>0133-03</v>
      </c>
      <c r="AE46" s="91" t="str">
        <f t="shared" si="11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46" s="88" t="str">
        <f t="shared" si="12"/>
        <v>"C:\Program Files (x86)\AstroGrep\AstroGrep.exe" /spath="%USERPROFILE%\AppData\Local\Temp\OnboardLogs" /stypes="app*4014*20161203*" /stext=" 15:.+((SYSTEM_STATE.+slice.+state.+changed )|(ment ac)|(multiple cpu faults)|(system.+state.+changed )|(\[timeout)|(PRM\|1\|D)|(kpr)|(kdp)|(\|lc)|(penalty))" /e /r /s</v>
      </c>
      <c r="AG46" s="1" t="str">
        <f t="shared" si="13"/>
        <v>EC</v>
      </c>
      <c r="AH46" s="92" t="str">
        <f t="shared" si="16"/>
        <v>"%USERPROFILE%\Documents\GitHub\eaglep3\Utilities\RefineRTDCRunTimes.py" --tripid 133-03 --locoid 4014 --swversion DE.1.0.8.0 --startMP 204:471 --initTime 2016-12-03T07:38:31 --startdatetime 2016-12-03T07:45:23 --delay 1 --endMP 204:233323 --enddatetime 2016-12-03T08:20:49 --enforcementcount 0 &gt;&gt;C:\Users\stu\Documents\GitHub\eaglep3-reporting\EC\2016-12-03-refined-times.txt</v>
      </c>
      <c r="AI46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{"issue":{"subject":"","project_id":79,"tracker_id":40,"status_id":1,"priority_id":2,"assigned_to_id":23,"start_date":"2016-12-03","description":"","custom_fields":[{"id":1,"name":"Subdivision","value":"EC"},{"id":4,"name":"Milepost","value":"23.3323"},{"id":17,"name":"Train ID","value":"133-03"},{"id":16,"name":"Locomotive ID","value":"4014"},{"id":130,"name":"Impact","value":""},{"id":150,"name":"Time of Event (Mountain Time)","value":"08:20:49"},{"id":151,"name":"Denver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526</v>
      </c>
      <c r="B47" s="7">
        <v>4013</v>
      </c>
      <c r="C47" s="22" t="s">
        <v>209</v>
      </c>
      <c r="D47" s="22" t="s">
        <v>240</v>
      </c>
      <c r="E47" s="13">
        <v>42707.355266203704</v>
      </c>
      <c r="F47" s="13">
        <v>42707.362002314818</v>
      </c>
      <c r="G47" s="7">
        <v>2</v>
      </c>
      <c r="H47" s="22" t="s">
        <v>693</v>
      </c>
      <c r="I47" s="13">
        <v>42707.389374999999</v>
      </c>
      <c r="J47" s="7">
        <v>0</v>
      </c>
      <c r="K47" s="109" t="str">
        <f t="shared" si="0"/>
        <v>4013/4014</v>
      </c>
      <c r="L47" s="22" t="str">
        <f>VLOOKUP(A47,'Trips&amp;Operators'!$C$1:$G$99999,5,FALSE)</f>
        <v>ACKERMAN JARED</v>
      </c>
      <c r="M47" s="6">
        <f t="shared" si="1"/>
        <v>2.7372685181035195E-2</v>
      </c>
      <c r="N47" s="7">
        <f t="shared" si="22"/>
        <v>39.41666666069068</v>
      </c>
      <c r="O47" s="7"/>
      <c r="P47" s="7"/>
      <c r="Q47" s="23"/>
      <c r="R47" s="23"/>
      <c r="S47" s="35">
        <f t="shared" si="23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07:31:35-700',mode:absolute,to:'2016-12-03 10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7" s="52" t="str">
        <f t="shared" si="6"/>
        <v>N</v>
      </c>
      <c r="X47" s="177">
        <f t="shared" si="21"/>
        <v>1</v>
      </c>
      <c r="Y47" s="67">
        <f t="shared" si="8"/>
        <v>23.299299999999999</v>
      </c>
      <c r="Z47" s="67">
        <f t="shared" si="18"/>
        <v>1.23E-2</v>
      </c>
      <c r="AA47" s="67">
        <f t="shared" si="9"/>
        <v>23.286999999999999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0"/>
        <v>0134-03</v>
      </c>
      <c r="AE47" s="91" t="str">
        <f t="shared" si="11"/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AF47" s="88" t="str">
        <f t="shared" si="12"/>
        <v>"C:\Program Files (x86)\AstroGrep\AstroGrep.exe" /spath="%USERPROFILE%\AppData\Local\Temp\OnboardLogs" /stypes="app*4013*20161203*" /stext=" 16:.+((SYSTEM_STATE.+slice.+state.+changed )|(ment ac)|(multiple cpu faults)|(system.+state.+changed )|(\[timeout)|(PRM\|1\|D)|(kpr)|(kdp)|(\|lc)|(penalty))" /e /r /s</v>
      </c>
      <c r="AG47" s="1" t="str">
        <f t="shared" si="13"/>
        <v>EC</v>
      </c>
      <c r="AH47" s="92" t="str">
        <f t="shared" si="16"/>
        <v>"%USERPROFILE%\Documents\GitHub\eaglep3\Utilities\RefineRTDCRunTimes.py" --tripid 134-03 --locoid 4013 --swversion DE.1.0.8.0 --startMP 204:232993 --initTime 2016-12-03T08:31:35 --startdatetime 2016-12-03T08:41:17 --delay 2 --endMP 204:123 --enddatetime 2016-12-03T09:20:42 --enforcementcount 0 &gt;&gt;C:\Users\stu\Documents\GitHub\eaglep3-reporting\EC\2016-12-03-refined-times.txt</v>
      </c>
      <c r="AI47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{"issue":{"subject":"","project_id":79,"tracker_id":40,"status_id":1,"priority_id":2,"assigned_to_id":23,"start_date":"2016-12-03","description":"","custom_fields":[{"id":1,"name":"Subdivision","value":"EC"},{"id":4,"name":"Milepost","value":"0.0123"},{"id":17,"name":"Train ID","value":"134-03"},{"id":16,"name":"Locomotive ID","value":"4013"},{"id":130,"name":"Impact","value":""},{"id":150,"name":"Time of Event (Mountain Time)","value":"09:20:42"},{"id":151,"name":"Denver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522</v>
      </c>
      <c r="B48" s="7">
        <v>4040</v>
      </c>
      <c r="C48" s="22" t="s">
        <v>209</v>
      </c>
      <c r="D48" s="22" t="s">
        <v>322</v>
      </c>
      <c r="E48" s="13">
        <v>42707.327962962961</v>
      </c>
      <c r="F48" s="13">
        <v>42707.333587962959</v>
      </c>
      <c r="G48" s="7">
        <v>1</v>
      </c>
      <c r="H48" s="22" t="s">
        <v>694</v>
      </c>
      <c r="I48" s="13">
        <v>42707.359467592592</v>
      </c>
      <c r="J48" s="7">
        <v>0</v>
      </c>
      <c r="K48" s="109" t="str">
        <f t="shared" si="0"/>
        <v>4039/4040</v>
      </c>
      <c r="L48" s="22" t="str">
        <f>VLOOKUP(A48,'Trips&amp;Operators'!$C$1:$G$99999,5,FALSE)</f>
        <v>DAVIS WENDY</v>
      </c>
      <c r="M48" s="6">
        <f t="shared" si="1"/>
        <v>2.587962963298196E-2</v>
      </c>
      <c r="N48" s="7">
        <f t="shared" si="22"/>
        <v>37.266666671494022</v>
      </c>
      <c r="O48" s="7"/>
      <c r="P48" s="7"/>
      <c r="Q48" s="23"/>
      <c r="R48" s="23"/>
      <c r="S48" s="35">
        <f t="shared" si="23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06:52:16-700',mode:absolute,to:'2016-12-03 09:37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48" s="52" t="str">
        <f t="shared" si="6"/>
        <v>N</v>
      </c>
      <c r="X48" s="177">
        <f t="shared" si="21"/>
        <v>1</v>
      </c>
      <c r="Y48" s="67">
        <f t="shared" si="8"/>
        <v>4.4600000000000001E-2</v>
      </c>
      <c r="Z48" s="67">
        <f t="shared" si="18"/>
        <v>23.3293</v>
      </c>
      <c r="AA48" s="67">
        <f t="shared" si="9"/>
        <v>23.284700000000001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0"/>
        <v>0135-03</v>
      </c>
      <c r="AE48" s="91" t="str">
        <f t="shared" si="11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48" s="88" t="str">
        <f t="shared" si="12"/>
        <v>"C:\Program Files (x86)\AstroGrep\AstroGrep.exe" /spath="%USERPROFILE%\AppData\Local\Temp\OnboardLogs" /stypes="app*4040*20161203*" /stext=" 15:.+((SYSTEM_STATE.+slice.+state.+changed )|(ment ac)|(multiple cpu faults)|(system.+state.+changed )|(\[timeout)|(PRM\|1\|D)|(kpr)|(kdp)|(\|lc)|(penalty))" /e /r /s</v>
      </c>
      <c r="AG48" s="1" t="str">
        <f t="shared" si="13"/>
        <v>EC</v>
      </c>
      <c r="AH48" s="92" t="str">
        <f t="shared" si="16"/>
        <v>"%USERPROFILE%\Documents\GitHub\eaglep3\Utilities\RefineRTDCRunTimes.py" --tripid 135-03 --locoid 4040 --swversion DE.1.0.8.0 --startMP 204:446 --initTime 2016-12-03T07:52:16 --startdatetime 2016-12-03T08:00:22 --delay 1 --endMP 204:233293 --enddatetime 2016-12-03T08:37:38 --enforcementcount 0 &gt;&gt;C:\Users\stu\Documents\GitHub\eaglep3-reporting\EC\2016-12-03-refined-times.txt</v>
      </c>
      <c r="AI48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{"issue":{"subject":"","project_id":79,"tracker_id":40,"status_id":1,"priority_id":2,"assigned_to_id":23,"start_date":"2016-12-03","description":"","custom_fields":[{"id":1,"name":"Subdivision","value":"EC"},{"id":4,"name":"Milepost","value":"23.3293"},{"id":17,"name":"Train ID","value":"135-03"},{"id":16,"name":"Locomotive ID","value":"4040"},{"id":130,"name":"Impact","value":""},{"id":150,"name":"Time of Event (Mountain Time)","value":"08:37:38"},{"id":151,"name":"Denver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440</v>
      </c>
      <c r="B49" s="7">
        <v>4039</v>
      </c>
      <c r="C49" s="22" t="s">
        <v>209</v>
      </c>
      <c r="D49" s="22" t="s">
        <v>286</v>
      </c>
      <c r="E49" s="13">
        <v>42707.366886574076</v>
      </c>
      <c r="F49" s="13">
        <v>42707.372384259259</v>
      </c>
      <c r="G49" s="7">
        <v>1</v>
      </c>
      <c r="H49" s="22" t="s">
        <v>675</v>
      </c>
      <c r="I49" s="13">
        <v>42707.403425925928</v>
      </c>
      <c r="J49" s="7">
        <v>0</v>
      </c>
      <c r="K49" s="109" t="str">
        <f t="shared" si="0"/>
        <v>4039/4040</v>
      </c>
      <c r="L49" s="22" t="str">
        <f>VLOOKUP(A49,'Trips&amp;Operators'!$C$1:$G$99999,5,FALSE)</f>
        <v>DAVIS WENDY</v>
      </c>
      <c r="M49" s="6">
        <f t="shared" si="1"/>
        <v>3.104166666889796E-2</v>
      </c>
      <c r="N49" s="7">
        <f t="shared" si="22"/>
        <v>44.700000003213063</v>
      </c>
      <c r="O49" s="7"/>
      <c r="P49" s="7"/>
      <c r="Q49" s="23"/>
      <c r="R49" s="23"/>
      <c r="S49" s="35">
        <f t="shared" si="23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07:48:19-700',mode:absolute,to:'2016-12-03 10:40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49" s="52" t="str">
        <f t="shared" si="6"/>
        <v>N</v>
      </c>
      <c r="X49" s="177">
        <f t="shared" si="21"/>
        <v>1</v>
      </c>
      <c r="Y49" s="67">
        <f t="shared" si="8"/>
        <v>23.298200000000001</v>
      </c>
      <c r="Z49" s="67">
        <f t="shared" ref="Z49:Z80" si="24">RIGHT(H49,LEN(H49)-4)/10000</f>
        <v>1.38E-2</v>
      </c>
      <c r="AA49" s="67">
        <f t="shared" si="9"/>
        <v>23.284400000000002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0"/>
        <v>0136-03</v>
      </c>
      <c r="AE49" s="91" t="str">
        <f t="shared" si="11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49" s="88" t="str">
        <f t="shared" si="12"/>
        <v>"C:\Program Files (x86)\AstroGrep\AstroGrep.exe" /spath="%USERPROFILE%\AppData\Local\Temp\OnboardLogs" /stypes="app*4039*20161203*" /stext=" 16:.+((SYSTEM_STATE.+slice.+state.+changed )|(ment ac)|(multiple cpu faults)|(system.+state.+changed )|(\[timeout)|(PRM\|1\|D)|(kpr)|(kdp)|(\|lc)|(penalty))" /e /r /s</v>
      </c>
      <c r="AG49" s="1" t="str">
        <f t="shared" si="13"/>
        <v>EC</v>
      </c>
      <c r="AH49" s="92" t="str">
        <f t="shared" si="16"/>
        <v>"%USERPROFILE%\Documents\GitHub\eaglep3\Utilities\RefineRTDCRunTimes.py" --tripid 136-03 --locoid 4039 --swversion DE.1.0.8.0 --startMP 204:232982 --initTime 2016-12-03T08:48:19 --startdatetime 2016-12-03T08:56:14 --delay 1 --endMP 204:138 --enddatetime 2016-12-03T09:40:56 --enforcementcount 0 &gt;&gt;C:\Users\stu\Documents\GitHub\eaglep3-reporting\EC\2016-12-03-refined-times.txt</v>
      </c>
      <c r="AI49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{"issue":{"subject":"","project_id":79,"tracker_id":40,"status_id":1,"priority_id":2,"assigned_to_id":23,"start_date":"2016-12-03","description":"","custom_fields":[{"id":1,"name":"Subdivision","value":"EC"},{"id":4,"name":"Milepost","value":"0.0138"},{"id":17,"name":"Train ID","value":"136-03"},{"id":16,"name":"Locomotive ID","value":"4039"},{"id":130,"name":"Impact","value":""},{"id":150,"name":"Time of Event (Mountain Time)","value":"09:40:56"},{"id":151,"name":"Denver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524</v>
      </c>
      <c r="B50" s="7">
        <v>4022</v>
      </c>
      <c r="C50" s="22" t="s">
        <v>209</v>
      </c>
      <c r="D50" s="22" t="s">
        <v>207</v>
      </c>
      <c r="E50" s="13">
        <v>42707.340277777781</v>
      </c>
      <c r="F50" s="13">
        <v>42707.3440625</v>
      </c>
      <c r="G50" s="7">
        <v>1</v>
      </c>
      <c r="H50" s="22" t="s">
        <v>294</v>
      </c>
      <c r="I50" s="13">
        <v>42707.370057870372</v>
      </c>
      <c r="J50" s="7">
        <v>0</v>
      </c>
      <c r="K50" s="109" t="str">
        <f t="shared" si="0"/>
        <v>4021/4022</v>
      </c>
      <c r="L50" s="22" t="str">
        <f>VLOOKUP(A50,'Trips&amp;Operators'!$C$1:$G$99999,5,FALSE)</f>
        <v>KILLION DAVID</v>
      </c>
      <c r="M50" s="6">
        <f t="shared" si="1"/>
        <v>2.5995370371674653E-2</v>
      </c>
      <c r="N50" s="7">
        <f t="shared" si="22"/>
        <v>37.433333335211501</v>
      </c>
      <c r="O50" s="7"/>
      <c r="P50" s="7"/>
      <c r="Q50" s="23"/>
      <c r="R50" s="23"/>
      <c r="S50" s="35">
        <f t="shared" si="23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07:10:00-700',mode:absolute,to:'2016-12-03 09:52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0" s="52" t="str">
        <f t="shared" si="6"/>
        <v>N</v>
      </c>
      <c r="X50" s="177">
        <f t="shared" si="21"/>
        <v>1</v>
      </c>
      <c r="Y50" s="67">
        <f t="shared" si="8"/>
        <v>4.6199999999999998E-2</v>
      </c>
      <c r="Z50" s="67">
        <f t="shared" si="24"/>
        <v>23.328900000000001</v>
      </c>
      <c r="AA50" s="67">
        <f t="shared" si="9"/>
        <v>23.282700000000002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0"/>
        <v>0137-03</v>
      </c>
      <c r="AE50" s="91" t="str">
        <f t="shared" si="11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50" s="88" t="str">
        <f t="shared" si="12"/>
        <v>"C:\Program Files (x86)\AstroGrep\AstroGrep.exe" /spath="%USERPROFILE%\AppData\Local\Temp\OnboardLogs" /stypes="app*4022*20161203*" /stext=" 15:.+((SYSTEM_STATE.+slice.+state.+changed )|(ment ac)|(multiple cpu faults)|(system.+state.+changed )|(\[timeout)|(PRM\|1\|D)|(kpr)|(kdp)|(\|lc)|(penalty))" /e /r /s</v>
      </c>
      <c r="AG50" s="1" t="str">
        <f t="shared" si="13"/>
        <v>EC</v>
      </c>
      <c r="AH50" s="92" t="str">
        <f t="shared" si="16"/>
        <v>"%USERPROFILE%\Documents\GitHub\eaglep3\Utilities\RefineRTDCRunTimes.py" --tripid 137-03 --locoid 4022 --swversion DE.1.0.8.0 --startMP 204:462 --initTime 2016-12-03T08:10:00 --startdatetime 2016-12-03T08:15:27 --delay 1 --endMP 204:233289 --enddatetime 2016-12-03T08:52:53 --enforcementcount 0 &gt;&gt;C:\Users\stu\Documents\GitHub\eaglep3-reporting\EC\2016-12-03-refined-times.txt</v>
      </c>
      <c r="AI50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{"issue":{"subject":"","project_id":79,"tracker_id":40,"status_id":1,"priority_id":2,"assigned_to_id":23,"start_date":"2016-12-03","description":"","custom_fields":[{"id":1,"name":"Subdivision","value":"EC"},{"id":4,"name":"Milepost","value":"23.3289"},{"id":17,"name":"Train ID","value":"137-03"},{"id":16,"name":"Locomotive ID","value":"4022"},{"id":130,"name":"Impact","value":""},{"id":150,"name":"Time of Event (Mountain Time)","value":"08:52:53"},{"id":151,"name":"Denver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530</v>
      </c>
      <c r="B51" s="7">
        <v>4021</v>
      </c>
      <c r="C51" s="22" t="s">
        <v>209</v>
      </c>
      <c r="D51" s="22" t="s">
        <v>261</v>
      </c>
      <c r="E51" s="13">
        <v>42707.376863425925</v>
      </c>
      <c r="F51" s="13">
        <v>42707.3828587963</v>
      </c>
      <c r="G51" s="7">
        <v>1</v>
      </c>
      <c r="H51" s="22" t="s">
        <v>293</v>
      </c>
      <c r="I51" s="13">
        <v>42707.41165509259</v>
      </c>
      <c r="J51" s="7">
        <v>0</v>
      </c>
      <c r="K51" s="109" t="str">
        <f t="shared" si="0"/>
        <v>4021/4022</v>
      </c>
      <c r="L51" s="22" t="str">
        <f>VLOOKUP(A51,'Trips&amp;Operators'!$C$1:$G$99999,5,FALSE)</f>
        <v>KILLION DAVID</v>
      </c>
      <c r="M51" s="6">
        <f t="shared" si="1"/>
        <v>2.8796296290238388E-2</v>
      </c>
      <c r="N51" s="7">
        <f t="shared" si="22"/>
        <v>41.466666657943279</v>
      </c>
      <c r="O51" s="7"/>
      <c r="P51" s="7"/>
      <c r="Q51" s="23"/>
      <c r="R51" s="23"/>
      <c r="S51" s="35">
        <f t="shared" si="23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08:02:41-700',mode:absolute,to:'2016-12-03 10:52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1" s="52" t="str">
        <f t="shared" si="6"/>
        <v>N</v>
      </c>
      <c r="X51" s="177">
        <f t="shared" si="21"/>
        <v>1</v>
      </c>
      <c r="Y51" s="67">
        <f t="shared" si="8"/>
        <v>23.2989</v>
      </c>
      <c r="Z51" s="67">
        <f t="shared" si="24"/>
        <v>1.6299999999999999E-2</v>
      </c>
      <c r="AA51" s="67">
        <f t="shared" si="9"/>
        <v>23.282599999999999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0"/>
        <v>0138-03</v>
      </c>
      <c r="AE51" s="91" t="str">
        <f t="shared" si="11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51" s="88" t="str">
        <f t="shared" si="12"/>
        <v>"C:\Program Files (x86)\AstroGrep\AstroGrep.exe" /spath="%USERPROFILE%\AppData\Local\Temp\OnboardLogs" /stypes="app*4021*20161203*" /stext=" 16:.+((SYSTEM_STATE.+slice.+state.+changed )|(ment ac)|(multiple cpu faults)|(system.+state.+changed )|(\[timeout)|(PRM\|1\|D)|(kpr)|(kdp)|(\|lc)|(penalty))" /e /r /s</v>
      </c>
      <c r="AG51" s="1" t="str">
        <f t="shared" si="13"/>
        <v>EC</v>
      </c>
      <c r="AH51" s="92" t="str">
        <f t="shared" si="16"/>
        <v>"%USERPROFILE%\Documents\GitHub\eaglep3\Utilities\RefineRTDCRunTimes.py" --tripid 138-03 --locoid 4021 --swversion DE.1.0.8.0 --startMP 204:232989 --initTime 2016-12-03T09:02:41 --startdatetime 2016-12-03T09:11:19 --delay 1 --endMP 204:163 --enddatetime 2016-12-03T09:52:47 --enforcementcount 0 &gt;&gt;C:\Users\stu\Documents\GitHub\eaglep3-reporting\EC\2016-12-03-refined-times.txt</v>
      </c>
      <c r="AI51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{"issue":{"subject":"","project_id":79,"tracker_id":40,"status_id":1,"priority_id":2,"assigned_to_id":23,"start_date":"2016-12-03","description":"","custom_fields":[{"id":1,"name":"Subdivision","value":"EC"},{"id":4,"name":"Milepost","value":"0.0163"},{"id":17,"name":"Train ID","value":"138-03"},{"id":16,"name":"Locomotive ID","value":"4021"},{"id":130,"name":"Impact","value":""},{"id":150,"name":"Time of Event (Mountain Time)","value":"09:52:47"},{"id":151,"name":"Denver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525</v>
      </c>
      <c r="B52" s="7">
        <v>4016</v>
      </c>
      <c r="C52" s="22" t="s">
        <v>209</v>
      </c>
      <c r="D52" s="22" t="s">
        <v>248</v>
      </c>
      <c r="E52" s="13">
        <v>42707.351030092592</v>
      </c>
      <c r="F52" s="13">
        <v>42707.354363425926</v>
      </c>
      <c r="G52" s="7">
        <v>4</v>
      </c>
      <c r="H52" s="22" t="s">
        <v>294</v>
      </c>
      <c r="I52" s="13">
        <v>42707.38071759259</v>
      </c>
      <c r="J52" s="7">
        <v>0</v>
      </c>
      <c r="K52" s="109" t="str">
        <f t="shared" si="0"/>
        <v>4015/4016</v>
      </c>
      <c r="L52" s="22" t="str">
        <f>VLOOKUP(A52,'Trips&amp;Operators'!$C$1:$G$99999,5,FALSE)</f>
        <v>GEBRETEKLE DAGNEW</v>
      </c>
      <c r="M52" s="6">
        <f t="shared" si="1"/>
        <v>2.6354166664532386E-2</v>
      </c>
      <c r="N52" s="7">
        <f t="shared" si="22"/>
        <v>37.949999996926636</v>
      </c>
      <c r="O52" s="7"/>
      <c r="P52" s="7"/>
      <c r="Q52" s="23"/>
      <c r="R52" s="23"/>
      <c r="S52" s="35">
        <f t="shared" si="2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07:25:29-700',mode:absolute,to:'2016-12-03 10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2" s="52" t="str">
        <f t="shared" si="6"/>
        <v>N</v>
      </c>
      <c r="X52" s="177">
        <f t="shared" si="21"/>
        <v>1</v>
      </c>
      <c r="Y52" s="67">
        <f t="shared" si="8"/>
        <v>4.5999999999999999E-2</v>
      </c>
      <c r="Z52" s="67">
        <f t="shared" si="24"/>
        <v>23.328900000000001</v>
      </c>
      <c r="AA52" s="67">
        <f t="shared" si="9"/>
        <v>23.282900000000001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0"/>
        <v>0139-03</v>
      </c>
      <c r="AE52" s="91" t="str">
        <f t="shared" si="11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52" s="88" t="str">
        <f t="shared" si="12"/>
        <v>"C:\Program Files (x86)\AstroGrep\AstroGrep.exe" /spath="%USERPROFILE%\AppData\Local\Temp\OnboardLogs" /stypes="app*4016*20161203*" /stext=" 16:.+((SYSTEM_STATE.+slice.+state.+changed )|(ment ac)|(multiple cpu faults)|(system.+state.+changed )|(\[timeout)|(PRM\|1\|D)|(kpr)|(kdp)|(\|lc)|(penalty))" /e /r /s</v>
      </c>
      <c r="AG52" s="1" t="str">
        <f t="shared" si="13"/>
        <v>EC</v>
      </c>
      <c r="AH52" s="92" t="str">
        <f t="shared" si="16"/>
        <v>"%USERPROFILE%\Documents\GitHub\eaglep3\Utilities\RefineRTDCRunTimes.py" --tripid 139-03 --locoid 4016 --swversion DE.1.0.8.0 --startMP 204:460 --initTime 2016-12-03T08:25:29 --startdatetime 2016-12-03T08:30:17 --delay 4 --endMP 204:233289 --enddatetime 2016-12-03T09:08:14 --enforcementcount 0 &gt;&gt;C:\Users\stu\Documents\GitHub\eaglep3-reporting\EC\2016-12-03-refined-times.txt</v>
      </c>
      <c r="AI52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{"issue":{"subject":"","project_id":79,"tracker_id":40,"status_id":1,"priority_id":2,"assigned_to_id":23,"start_date":"2016-12-03","description":"","custom_fields":[{"id":1,"name":"Subdivision","value":"EC"},{"id":4,"name":"Milepost","value":"23.3289"},{"id":17,"name":"Train ID","value":"139-03"},{"id":16,"name":"Locomotive ID","value":"4016"},{"id":130,"name":"Impact","value":""},{"id":150,"name":"Time of Event (Mountain Time)","value":"09:08:14"},{"id":151,"name":"Denver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532</v>
      </c>
      <c r="B53" s="7">
        <v>4015</v>
      </c>
      <c r="C53" s="22" t="s">
        <v>209</v>
      </c>
      <c r="D53" s="22" t="s">
        <v>263</v>
      </c>
      <c r="E53" s="13">
        <v>42707.389988425923</v>
      </c>
      <c r="F53" s="13">
        <v>42707.393495370372</v>
      </c>
      <c r="G53" s="7">
        <v>2</v>
      </c>
      <c r="H53" s="22" t="s">
        <v>193</v>
      </c>
      <c r="I53" s="13">
        <v>42707.423460648148</v>
      </c>
      <c r="J53" s="7">
        <v>0</v>
      </c>
      <c r="K53" s="109" t="str">
        <f t="shared" si="0"/>
        <v>4015/4016</v>
      </c>
      <c r="L53" s="22" t="str">
        <f>VLOOKUP(A53,'Trips&amp;Operators'!$C$1:$G$99999,5,FALSE)</f>
        <v>GEBRETEKLE DAGNEW</v>
      </c>
      <c r="M53" s="6">
        <f t="shared" si="1"/>
        <v>2.9965277775772847E-2</v>
      </c>
      <c r="N53" s="7">
        <f t="shared" si="22"/>
        <v>43.1499999971129</v>
      </c>
      <c r="O53" s="7"/>
      <c r="P53" s="7"/>
      <c r="Q53" s="23"/>
      <c r="R53" s="23"/>
      <c r="S53" s="35">
        <f t="shared" si="2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08:21:35-700',mode:absolute,to:'2016-12-03 11:09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3" s="52" t="str">
        <f t="shared" si="6"/>
        <v>N</v>
      </c>
      <c r="X53" s="177">
        <f t="shared" si="21"/>
        <v>1</v>
      </c>
      <c r="Y53" s="67">
        <f t="shared" si="8"/>
        <v>23.2988</v>
      </c>
      <c r="Z53" s="67">
        <f t="shared" si="24"/>
        <v>1.43E-2</v>
      </c>
      <c r="AA53" s="67">
        <f t="shared" si="9"/>
        <v>23.284500000000001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0"/>
        <v>0140-03</v>
      </c>
      <c r="AE53" s="91" t="str">
        <f t="shared" si="11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53" s="88" t="str">
        <f t="shared" si="12"/>
        <v>"C:\Program Files (x86)\AstroGrep\AstroGrep.exe" /spath="%USERPROFILE%\AppData\Local\Temp\OnboardLogs" /stypes="app*4015*20161203*" /stext=" 17:.+((SYSTEM_STATE.+slice.+state.+changed )|(ment ac)|(multiple cpu faults)|(system.+state.+changed )|(\[timeout)|(PRM\|1\|D)|(kpr)|(kdp)|(\|lc)|(penalty))" /e /r /s</v>
      </c>
      <c r="AG53" s="1" t="str">
        <f t="shared" si="13"/>
        <v>EC</v>
      </c>
      <c r="AH53" s="92" t="str">
        <f t="shared" si="16"/>
        <v>"%USERPROFILE%\Documents\GitHub\eaglep3\Utilities\RefineRTDCRunTimes.py" --tripid 140-03 --locoid 4015 --swversion DE.1.0.8.0 --startMP 204:232988 --initTime 2016-12-03T09:21:35 --startdatetime 2016-12-03T09:26:38 --delay 2 --endMP 204:143 --enddatetime 2016-12-03T10:09:47 --enforcementcount 0 &gt;&gt;C:\Users\stu\Documents\GitHub\eaglep3-reporting\EC\2016-12-03-refined-times.txt</v>
      </c>
      <c r="AI53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{"issue":{"subject":"","project_id":79,"tracker_id":40,"status_id":1,"priority_id":2,"assigned_to_id":23,"start_date":"2016-12-03","description":"","custom_fields":[{"id":1,"name":"Subdivision","value":"EC"},{"id":4,"name":"Milepost","value":"0.0143"},{"id":17,"name":"Train ID","value":"140-03"},{"id":16,"name":"Locomotive ID","value":"4015"},{"id":130,"name":"Impact","value":""},{"id":150,"name":"Time of Event (Mountain Time)","value":"10:09:47"},{"id":151,"name":"Denver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528</v>
      </c>
      <c r="B54" s="7">
        <v>4042</v>
      </c>
      <c r="C54" s="22" t="s">
        <v>209</v>
      </c>
      <c r="D54" s="22" t="s">
        <v>299</v>
      </c>
      <c r="E54" s="13">
        <v>42707.360995370371</v>
      </c>
      <c r="F54" s="13">
        <v>42707.364837962959</v>
      </c>
      <c r="G54" s="7">
        <v>1</v>
      </c>
      <c r="H54" s="22" t="s">
        <v>312</v>
      </c>
      <c r="I54" s="13">
        <v>42707.388969907406</v>
      </c>
      <c r="J54" s="7">
        <v>0</v>
      </c>
      <c r="K54" s="109" t="str">
        <f t="shared" si="0"/>
        <v>4041/4042</v>
      </c>
      <c r="L54" s="22" t="str">
        <f>VLOOKUP(A54,'Trips&amp;Operators'!$C$1:$G$99999,5,FALSE)</f>
        <v>MAELZER KURT</v>
      </c>
      <c r="M54" s="6">
        <f t="shared" si="1"/>
        <v>2.4131944446708076E-2</v>
      </c>
      <c r="N54" s="7">
        <f t="shared" si="22"/>
        <v>34.750000003259629</v>
      </c>
      <c r="O54" s="7"/>
      <c r="P54" s="7"/>
      <c r="Q54" s="23"/>
      <c r="R54" s="23"/>
      <c r="S54" s="35">
        <f t="shared" si="2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07:39:50-700',mode:absolute,to:'2016-12-03 10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4" s="52" t="str">
        <f t="shared" si="6"/>
        <v>N</v>
      </c>
      <c r="X54" s="177">
        <f t="shared" si="21"/>
        <v>1</v>
      </c>
      <c r="Y54" s="67">
        <f t="shared" si="8"/>
        <v>4.3799999999999999E-2</v>
      </c>
      <c r="Z54" s="67">
        <f t="shared" si="24"/>
        <v>23.331</v>
      </c>
      <c r="AA54" s="67">
        <f t="shared" si="9"/>
        <v>23.287199999999999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0"/>
        <v>0141-03</v>
      </c>
      <c r="AE54" s="91" t="str">
        <f t="shared" si="11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54" s="88" t="str">
        <f t="shared" si="12"/>
        <v>"C:\Program Files (x86)\AstroGrep\AstroGrep.exe" /spath="%USERPROFILE%\AppData\Local\Temp\OnboardLogs" /stypes="app*4042*20161203*" /stext=" 16:.+((SYSTEM_STATE.+slice.+state.+changed )|(ment ac)|(multiple cpu faults)|(system.+state.+changed )|(\[timeout)|(PRM\|1\|D)|(kpr)|(kdp)|(\|lc)|(penalty))" /e /r /s</v>
      </c>
      <c r="AG54" s="1" t="str">
        <f t="shared" si="13"/>
        <v>EC</v>
      </c>
      <c r="AH54" s="92" t="str">
        <f t="shared" si="16"/>
        <v>"%USERPROFILE%\Documents\GitHub\eaglep3\Utilities\RefineRTDCRunTimes.py" --tripid 141-03 --locoid 4042 --swversion DE.1.0.8.0 --startMP 204:438 --initTime 2016-12-03T08:39:50 --startdatetime 2016-12-03T08:45:22 --delay 1 --endMP 204:233310 --enddatetime 2016-12-03T09:20:07 --enforcementcount 0 &gt;&gt;C:\Users\stu\Documents\GitHub\eaglep3-reporting\EC\2016-12-03-refined-times.txt</v>
      </c>
      <c r="AI54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{"issue":{"subject":"","project_id":79,"tracker_id":40,"status_id":1,"priority_id":2,"assigned_to_id":23,"start_date":"2016-12-03","description":"","custom_fields":[{"id":1,"name":"Subdivision","value":"EC"},{"id":4,"name":"Milepost","value":"23.331"},{"id":17,"name":"Train ID","value":"141-03"},{"id":16,"name":"Locomotive ID","value":"4042"},{"id":130,"name":"Impact","value":""},{"id":150,"name":"Time of Event (Mountain Time)","value":"09:20:07"},{"id":151,"name":"Denver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534</v>
      </c>
      <c r="B55" s="7">
        <v>4041</v>
      </c>
      <c r="C55" s="22" t="s">
        <v>209</v>
      </c>
      <c r="D55" s="22" t="s">
        <v>327</v>
      </c>
      <c r="E55" s="13">
        <v>42707.394629629627</v>
      </c>
      <c r="F55" s="13">
        <v>42707.403819444444</v>
      </c>
      <c r="G55" s="7">
        <v>1</v>
      </c>
      <c r="H55" s="22" t="s">
        <v>264</v>
      </c>
      <c r="I55" s="13">
        <v>42707.432314814818</v>
      </c>
      <c r="J55" s="7">
        <v>0</v>
      </c>
      <c r="K55" s="109" t="str">
        <f t="shared" si="0"/>
        <v>4041/4042</v>
      </c>
      <c r="L55" s="22" t="str">
        <f>VLOOKUP(A55,'Trips&amp;Operators'!$C$1:$G$99999,5,FALSE)</f>
        <v>MAELZER KURT</v>
      </c>
      <c r="M55" s="6">
        <f t="shared" si="1"/>
        <v>2.849537037400296E-2</v>
      </c>
      <c r="N55" s="7">
        <f t="shared" si="22"/>
        <v>41.033333338564262</v>
      </c>
      <c r="O55" s="7"/>
      <c r="P55" s="7"/>
      <c r="Q55" s="23"/>
      <c r="R55" s="23"/>
      <c r="S55" s="35">
        <f t="shared" si="2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08:28:16-700',mode:absolute,to:'2016-12-03 11:22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5" s="52" t="str">
        <f t="shared" si="6"/>
        <v>N</v>
      </c>
      <c r="X55" s="177">
        <f t="shared" si="21"/>
        <v>1</v>
      </c>
      <c r="Y55" s="67">
        <f t="shared" si="8"/>
        <v>23.2987</v>
      </c>
      <c r="Z55" s="67">
        <f t="shared" si="24"/>
        <v>1.4500000000000001E-2</v>
      </c>
      <c r="AA55" s="67">
        <f t="shared" si="9"/>
        <v>23.284199999999998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0"/>
        <v>0142-03</v>
      </c>
      <c r="AE55" s="91" t="str">
        <f t="shared" si="11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55" s="88" t="str">
        <f t="shared" si="12"/>
        <v>"C:\Program Files (x86)\AstroGrep\AstroGrep.exe" /spath="%USERPROFILE%\AppData\Local\Temp\OnboardLogs" /stypes="app*4041*20161203*" /stext=" 17:.+((SYSTEM_STATE.+slice.+state.+changed )|(ment ac)|(multiple cpu faults)|(system.+state.+changed )|(\[timeout)|(PRM\|1\|D)|(kpr)|(kdp)|(\|lc)|(penalty))" /e /r /s</v>
      </c>
      <c r="AG55" s="1" t="str">
        <f t="shared" si="13"/>
        <v>EC</v>
      </c>
      <c r="AH55" s="92" t="str">
        <f t="shared" si="16"/>
        <v>"%USERPROFILE%\Documents\GitHub\eaglep3\Utilities\RefineRTDCRunTimes.py" --tripid 142-03 --locoid 4041 --swversion DE.1.0.8.0 --startMP 204:232987 --initTime 2016-12-03T09:28:16 --startdatetime 2016-12-03T09:41:30 --delay 1 --endMP 204:145 --enddatetime 2016-12-03T10:22:32 --enforcementcount 0 &gt;&gt;C:\Users\stu\Documents\GitHub\eaglep3-reporting\EC\2016-12-03-refined-times.txt</v>
      </c>
      <c r="AI55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{"issue":{"subject":"","project_id":79,"tracker_id":40,"status_id":1,"priority_id":2,"assigned_to_id":23,"start_date":"2016-12-03","description":"","custom_fields":[{"id":1,"name":"Subdivision","value":"EC"},{"id":4,"name":"Milepost","value":"0.0145"},{"id":17,"name":"Train ID","value":"142-03"},{"id":16,"name":"Locomotive ID","value":"4041"},{"id":130,"name":"Impact","value":""},{"id":150,"name":"Time of Event (Mountain Time)","value":"10:22:32"},{"id":151,"name":"Denver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441</v>
      </c>
      <c r="B56" s="7">
        <v>4027</v>
      </c>
      <c r="C56" s="22" t="s">
        <v>209</v>
      </c>
      <c r="D56" s="22" t="s">
        <v>251</v>
      </c>
      <c r="E56" s="13">
        <v>42707.370173611111</v>
      </c>
      <c r="F56" s="13">
        <v>42707.3752662037</v>
      </c>
      <c r="G56" s="7">
        <v>2</v>
      </c>
      <c r="H56" s="22" t="s">
        <v>695</v>
      </c>
      <c r="I56" s="13">
        <v>42707.395115740743</v>
      </c>
      <c r="J56" s="7">
        <v>0</v>
      </c>
      <c r="K56" s="109" t="str">
        <f t="shared" si="0"/>
        <v>4027/4028</v>
      </c>
      <c r="L56" s="22" t="str">
        <f>VLOOKUP(A56,'Trips&amp;Operators'!$C$1:$G$99999,5,FALSE)</f>
        <v>STRICKLAND EVAN</v>
      </c>
      <c r="M56" s="6">
        <f t="shared" si="1"/>
        <v>1.9849537042318843E-2</v>
      </c>
      <c r="N56" s="7"/>
      <c r="O56" s="7"/>
      <c r="P56" s="7">
        <f>24*60*SUM($M56:$M56)</f>
        <v>28.583333340939134</v>
      </c>
      <c r="Q56" s="23"/>
      <c r="R56" s="23" t="s">
        <v>836</v>
      </c>
      <c r="S56" s="35">
        <f t="shared" si="2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07:53:03-700',mode:absolute,to:'2016-12-03 10:28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6" s="52" t="str">
        <f t="shared" si="6"/>
        <v>Y</v>
      </c>
      <c r="X56" s="177">
        <f t="shared" si="21"/>
        <v>1</v>
      </c>
      <c r="Y56" s="67">
        <f t="shared" si="8"/>
        <v>4.7100000000000003E-2</v>
      </c>
      <c r="Z56" s="67">
        <f t="shared" si="24"/>
        <v>15.610099999999999</v>
      </c>
      <c r="AA56" s="67">
        <f t="shared" si="9"/>
        <v>15.562999999999999</v>
      </c>
      <c r="AB56" s="64" t="str">
        <f>VLOOKUP(A56,Enforcements!$C$7:$K$19,8,0)</f>
        <v>Signal based authority (5)</v>
      </c>
      <c r="AC56" s="60" t="str">
        <f>VLOOKUP(A56,Enforcements!$C$7:$E$19,3,0)</f>
        <v>SIGNAL</v>
      </c>
      <c r="AD56" s="61" t="str">
        <f t="shared" si="10"/>
        <v>0143-03</v>
      </c>
      <c r="AE56" s="91" t="str">
        <f t="shared" si="11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56" s="88" t="str">
        <f t="shared" si="12"/>
        <v>"C:\Program Files (x86)\AstroGrep\AstroGrep.exe" /spath="%USERPROFILE%\AppData\Local\Temp\OnboardLogs" /stypes="app*4027*20161203*" /stext=" 16:.+((SYSTEM_STATE.+slice.+state.+changed )|(ment ac)|(multiple cpu faults)|(system.+state.+changed )|(\[timeout)|(PRM\|1\|D)|(kpr)|(kdp)|(\|lc)|(penalty))" /e /r /s</v>
      </c>
      <c r="AG56" s="1" t="str">
        <f t="shared" si="13"/>
        <v>EC</v>
      </c>
      <c r="AH56" s="92" t="str">
        <f t="shared" si="16"/>
        <v>"%USERPROFILE%\Documents\GitHub\eaglep3\Utilities\RefineRTDCRunTimes.py" --tripid 143-03 --locoid 4027 --swversion DE.1.0.8.0 --startMP 204:471 --initTime 2016-12-03T08:53:03 --startdatetime 2016-12-03T09:00:23 --delay 2 --endMP 204:156101 --enddatetime 2016-12-03T09:28:58 --enforcementcount 0 &gt;&gt;C:\Users\stu\Documents\GitHub\eaglep3-reporting\EC\2016-12-03-refined-times.txt</v>
      </c>
      <c r="AI56" s="119" t="str">
        <f t="shared" si="17"/>
        <v>echo {"issue":{"subject":"CP Pena ELXS Failure","project_id":79,"tracker_id":40,"status_id":1,"priority_id":2,"assigned_to_id":23,"start_date":"2016-12-03","description":"","custom_fields":[{"id":1,"name":"Subdivision","value":"EC"},{"id":4,"name":"Milepost","value":"15.6101"},{"id":17,"name":"Train ID","value":"143-03"},{"id":16,"name":"Locomotive ID","value":"4027"},{"id":130,"name":"Impact","value":""},{"id":150,"name":"Time of Event (Mountain Time)","value":"09:28:58"},{"id":151,"name":"Denver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537</v>
      </c>
      <c r="B57" s="7">
        <v>4028</v>
      </c>
      <c r="C57" s="22" t="s">
        <v>209</v>
      </c>
      <c r="D57" s="22" t="s">
        <v>204</v>
      </c>
      <c r="E57" s="13">
        <v>42707.408946759257</v>
      </c>
      <c r="F57" s="13">
        <v>42707.414155092592</v>
      </c>
      <c r="G57" s="7">
        <v>1</v>
      </c>
      <c r="H57" s="22" t="s">
        <v>229</v>
      </c>
      <c r="I57" s="13">
        <v>42707.442893518521</v>
      </c>
      <c r="J57" s="7">
        <v>0</v>
      </c>
      <c r="K57" s="109" t="str">
        <f t="shared" si="0"/>
        <v>4027/4028</v>
      </c>
      <c r="L57" s="22" t="str">
        <f>VLOOKUP(A57,'Trips&amp;Operators'!$C$1:$G$99999,5,FALSE)</f>
        <v>STRICKLAND EVAN</v>
      </c>
      <c r="M57" s="6">
        <f t="shared" si="1"/>
        <v>2.8738425928167999E-2</v>
      </c>
      <c r="N57" s="7">
        <f t="shared" ref="N57:N75" si="25">24*60*SUM($M57:$M57)</f>
        <v>41.383333336561918</v>
      </c>
      <c r="O57" s="7"/>
      <c r="P57" s="7"/>
      <c r="Q57" s="23"/>
      <c r="R57" s="23"/>
      <c r="S57" s="35">
        <f t="shared" si="2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08:48:53-700',mode:absolute,to:'2016-12-03 11:37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7" s="52" t="str">
        <f t="shared" si="6"/>
        <v>N</v>
      </c>
      <c r="X57" s="177">
        <f t="shared" si="21"/>
        <v>1</v>
      </c>
      <c r="Y57" s="67">
        <f t="shared" si="8"/>
        <v>23.297699999999999</v>
      </c>
      <c r="Z57" s="67">
        <f t="shared" si="24"/>
        <v>1.54E-2</v>
      </c>
      <c r="AA57" s="67">
        <f t="shared" si="9"/>
        <v>23.282299999999999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0"/>
        <v>0144-03</v>
      </c>
      <c r="AE57" s="91" t="str">
        <f t="shared" si="11"/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AF57" s="88" t="str">
        <f t="shared" si="12"/>
        <v>"C:\Program Files (x86)\AstroGrep\AstroGrep.exe" /spath="%USERPROFILE%\AppData\Local\Temp\OnboardLogs" /stypes="app*4028*20161203*" /stext=" 17:.+((SYSTEM_STATE.+slice.+state.+changed )|(ment ac)|(multiple cpu faults)|(system.+state.+changed )|(\[timeout)|(PRM\|1\|D)|(kpr)|(kdp)|(\|lc)|(penalty))" /e /r /s</v>
      </c>
      <c r="AG57" s="1" t="str">
        <f t="shared" si="13"/>
        <v>EC</v>
      </c>
      <c r="AH57" s="92" t="str">
        <f t="shared" si="16"/>
        <v>"%USERPROFILE%\Documents\GitHub\eaglep3\Utilities\RefineRTDCRunTimes.py" --tripid 144-03 --locoid 4028 --swversion DE.1.0.8.0 --startMP 204:232977 --initTime 2016-12-03T09:48:53 --startdatetime 2016-12-03T09:56:23 --delay 1 --endMP 204:154 --enddatetime 2016-12-03T10:37:46 --enforcementcount 0 &gt;&gt;C:\Users\stu\Documents\GitHub\eaglep3-reporting\EC\2016-12-03-refined-times.txt</v>
      </c>
      <c r="AI57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{"issue":{"subject":"","project_id":79,"tracker_id":40,"status_id":1,"priority_id":2,"assigned_to_id":23,"start_date":"2016-12-03","description":"","custom_fields":[{"id":1,"name":"Subdivision","value":"EC"},{"id":4,"name":"Milepost","value":"0.0154"},{"id":17,"name":"Train ID","value":"144-03"},{"id":16,"name":"Locomotive ID","value":"4028"},{"id":130,"name":"Impact","value":""},{"id":150,"name":"Time of Event (Mountain Time)","value":"10:37:46"},{"id":151,"name":"Denver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531</v>
      </c>
      <c r="B58" s="7">
        <v>4038</v>
      </c>
      <c r="C58" s="22" t="s">
        <v>209</v>
      </c>
      <c r="D58" s="22" t="s">
        <v>403</v>
      </c>
      <c r="E58" s="13">
        <v>42707.382291666669</v>
      </c>
      <c r="F58" s="13">
        <v>42707.385567129626</v>
      </c>
      <c r="G58" s="7">
        <v>1</v>
      </c>
      <c r="H58" s="22" t="s">
        <v>402</v>
      </c>
      <c r="I58" s="13">
        <v>42707.411863425928</v>
      </c>
      <c r="J58" s="7">
        <v>0</v>
      </c>
      <c r="K58" s="109" t="str">
        <f t="shared" si="0"/>
        <v>4037/4038</v>
      </c>
      <c r="L58" s="22" t="str">
        <f>VLOOKUP(A58,'Trips&amp;Operators'!$C$1:$G$99999,5,FALSE)</f>
        <v>SANTIZO D. EDY</v>
      </c>
      <c r="M58" s="6">
        <f t="shared" si="1"/>
        <v>2.6296296302461997E-2</v>
      </c>
      <c r="N58" s="7">
        <f t="shared" si="25"/>
        <v>37.866666675545275</v>
      </c>
      <c r="O58" s="7"/>
      <c r="P58" s="7"/>
      <c r="Q58" s="23"/>
      <c r="R58" s="23"/>
      <c r="S58" s="35">
        <f t="shared" si="2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08:10:30-700',mode:absolute,to:'2016-12-03 10:53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8" s="52" t="str">
        <f t="shared" si="6"/>
        <v>N</v>
      </c>
      <c r="X58" s="177">
        <f t="shared" si="21"/>
        <v>1</v>
      </c>
      <c r="Y58" s="67">
        <f t="shared" si="8"/>
        <v>4.2599999999999999E-2</v>
      </c>
      <c r="Z58" s="67">
        <f t="shared" si="24"/>
        <v>23.3323</v>
      </c>
      <c r="AA58" s="67">
        <f t="shared" si="9"/>
        <v>23.2897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0"/>
        <v>0145-03</v>
      </c>
      <c r="AE58" s="91" t="str">
        <f t="shared" si="11"/>
        <v>aws s3 cp s3://rtdc.mdm.uploadarchive.raw/RTDC4038/ "%USERPROFILE%\AppData\Local\Temp\OnboardLogs"\RTDC4038\2016-12-03 --exclude "*" --recursive --include "*20161203*" &amp; "%USERPROFILE%\Documents\GitHub\mrs-test-scripts\Headless Mode &amp; Sideloading\WalkAndUnGZ.bat" "%USERPROFILE%\AppData\Local\Temp\OnboardLogs"\RTDC4038\2016-12-03 &amp; 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</v>
      </c>
      <c r="AF58" s="88" t="str">
        <f t="shared" si="12"/>
        <v>"C:\Program Files (x86)\AstroGrep\AstroGrep.exe" /spath="%USERPROFILE%\AppData\Local\Temp\OnboardLogs" /stypes="app*4038*20161203*" /stext=" 16:.+((SYSTEM_STATE.+slice.+state.+changed )|(ment ac)|(multiple cpu faults)|(system.+state.+changed )|(\[timeout)|(PRM\|1\|D)|(kpr)|(kdp)|(\|lc)|(penalty))" /e /r /s</v>
      </c>
      <c r="AG58" s="1" t="str">
        <f t="shared" si="13"/>
        <v>EC</v>
      </c>
      <c r="AH58" s="92" t="str">
        <f t="shared" si="16"/>
        <v>"%USERPROFILE%\Documents\GitHub\eaglep3\Utilities\RefineRTDCRunTimes.py" --tripid 145-03 --locoid 4038 --swversion DE.1.0.8.0 --startMP 204:426 --initTime 2016-12-03T09:10:30 --startdatetime 2016-12-03T09:15:13 --delay 1 --endMP 204:233323 --enddatetime 2016-12-03T09:53:05 --enforcementcount 0 &gt;&gt;C:\Users\stu\Documents\GitHub\eaglep3-reporting\EC\2016-12-03-refined-times.txt</v>
      </c>
      <c r="AI58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{"issue":{"subject":"","project_id":79,"tracker_id":40,"status_id":1,"priority_id":2,"assigned_to_id":23,"start_date":"2016-12-03","description":"","custom_fields":[{"id":1,"name":"Subdivision","value":"EC"},{"id":4,"name":"Milepost","value":"23.3323"},{"id":17,"name":"Train ID","value":"145-03"},{"id":16,"name":"Locomotive ID","value":"4038"},{"id":130,"name":"Impact","value":""},{"id":150,"name":"Time of Event (Mountain Time)","value":"09:53:05"},{"id":151,"name":"Denver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539</v>
      </c>
      <c r="B59" s="7">
        <v>4037</v>
      </c>
      <c r="C59" s="22" t="s">
        <v>209</v>
      </c>
      <c r="D59" s="22" t="s">
        <v>261</v>
      </c>
      <c r="E59" s="13">
        <v>42707.414178240739</v>
      </c>
      <c r="F59" s="13">
        <v>42707.424791666665</v>
      </c>
      <c r="G59" s="7">
        <v>1</v>
      </c>
      <c r="H59" s="22" t="s">
        <v>264</v>
      </c>
      <c r="I59" s="13">
        <v>42707.451273148145</v>
      </c>
      <c r="J59" s="7">
        <v>0</v>
      </c>
      <c r="K59" s="109" t="str">
        <f t="shared" si="0"/>
        <v>4037/4038</v>
      </c>
      <c r="L59" s="22" t="str">
        <f>VLOOKUP(A59,'Trips&amp;Operators'!$C$1:$G$99999,5,FALSE)</f>
        <v>SANTIZO D. EDY</v>
      </c>
      <c r="M59" s="6">
        <f t="shared" si="1"/>
        <v>2.6481481480004732E-2</v>
      </c>
      <c r="N59" s="7">
        <f t="shared" si="25"/>
        <v>38.133333331206813</v>
      </c>
      <c r="O59" s="7"/>
      <c r="P59" s="7"/>
      <c r="Q59" s="23"/>
      <c r="R59" s="23"/>
      <c r="S59" s="35">
        <f t="shared" si="2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08:56:25-700',mode:absolute,to:'2016-12-03 11:49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9" s="52" t="str">
        <f t="shared" si="6"/>
        <v>N</v>
      </c>
      <c r="X59" s="177">
        <f t="shared" si="21"/>
        <v>1</v>
      </c>
      <c r="Y59" s="67">
        <f t="shared" si="8"/>
        <v>23.2989</v>
      </c>
      <c r="Z59" s="67">
        <f t="shared" si="24"/>
        <v>1.4500000000000001E-2</v>
      </c>
      <c r="AA59" s="67">
        <f t="shared" si="9"/>
        <v>23.284399999999998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0"/>
        <v>0146-03</v>
      </c>
      <c r="AE59" s="91" t="str">
        <f t="shared" si="11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59" s="88" t="str">
        <f t="shared" si="12"/>
        <v>"C:\Program Files (x86)\AstroGrep\AstroGrep.exe" /spath="%USERPROFILE%\AppData\Local\Temp\OnboardLogs" /stypes="app*4037*20161203*" /stext=" 17:.+((SYSTEM_STATE.+slice.+state.+changed )|(ment ac)|(multiple cpu faults)|(system.+state.+changed )|(\[timeout)|(PRM\|1\|D)|(kpr)|(kdp)|(\|lc)|(penalty))" /e /r /s</v>
      </c>
      <c r="AG59" s="1" t="str">
        <f t="shared" si="13"/>
        <v>EC</v>
      </c>
      <c r="AH59" s="92" t="str">
        <f t="shared" si="16"/>
        <v>"%USERPROFILE%\Documents\GitHub\eaglep3\Utilities\RefineRTDCRunTimes.py" --tripid 146-03 --locoid 4037 --swversion DE.1.0.8.0 --startMP 204:232989 --initTime 2016-12-03T09:56:25 --startdatetime 2016-12-03T10:11:42 --delay 1 --endMP 204:145 --enddatetime 2016-12-03T10:49:50 --enforcementcount 0 &gt;&gt;C:\Users\stu\Documents\GitHub\eaglep3-reporting\EC\2016-12-03-refined-times.txt</v>
      </c>
      <c r="AI59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{"issue":{"subject":"","project_id":79,"tracker_id":40,"status_id":1,"priority_id":2,"assigned_to_id":23,"start_date":"2016-12-03","description":"","custom_fields":[{"id":1,"name":"Subdivision","value":"EC"},{"id":4,"name":"Milepost","value":"0.0145"},{"id":17,"name":"Train ID","value":"146-03"},{"id":16,"name":"Locomotive ID","value":"4037"},{"id":130,"name":"Impact","value":""},{"id":150,"name":"Time of Event (Mountain Time)","value":"10:49:50"},{"id":151,"name":"Denver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533</v>
      </c>
      <c r="B60" s="7">
        <v>4014</v>
      </c>
      <c r="C60" s="22" t="s">
        <v>209</v>
      </c>
      <c r="D60" s="22" t="s">
        <v>231</v>
      </c>
      <c r="E60" s="13">
        <v>42707.391203703701</v>
      </c>
      <c r="F60" s="13">
        <v>42707.396053240744</v>
      </c>
      <c r="G60" s="7">
        <v>2</v>
      </c>
      <c r="H60" s="22" t="s">
        <v>325</v>
      </c>
      <c r="I60" s="13">
        <v>42707.421261574076</v>
      </c>
      <c r="J60" s="7">
        <v>0</v>
      </c>
      <c r="K60" s="109" t="str">
        <f t="shared" si="0"/>
        <v>4013/4014</v>
      </c>
      <c r="L60" s="22" t="str">
        <f>VLOOKUP(A60,'Trips&amp;Operators'!$C$1:$G$99999,5,FALSE)</f>
        <v>ACKERMAN JARED</v>
      </c>
      <c r="M60" s="6">
        <f t="shared" si="1"/>
        <v>2.5208333332557231E-2</v>
      </c>
      <c r="N60" s="7">
        <f t="shared" si="25"/>
        <v>36.299999998882413</v>
      </c>
      <c r="O60" s="7"/>
      <c r="P60" s="7"/>
      <c r="Q60" s="23"/>
      <c r="R60" s="23"/>
      <c r="S60" s="35">
        <f t="shared" si="2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08:23:20-700',mode:absolute,to:'2016-12-03 11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52" t="str">
        <f t="shared" si="6"/>
        <v>N</v>
      </c>
      <c r="X60" s="177">
        <f t="shared" si="21"/>
        <v>1</v>
      </c>
      <c r="Y60" s="67">
        <f t="shared" si="8"/>
        <v>4.4900000000000002E-2</v>
      </c>
      <c r="Z60" s="67">
        <f t="shared" si="24"/>
        <v>23.329899999999999</v>
      </c>
      <c r="AA60" s="67">
        <f t="shared" si="9"/>
        <v>23.285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0"/>
        <v>0147-03</v>
      </c>
      <c r="AE60" s="91" t="str">
        <f t="shared" si="11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60" s="88" t="str">
        <f t="shared" si="12"/>
        <v>"C:\Program Files (x86)\AstroGrep\AstroGrep.exe" /spath="%USERPROFILE%\AppData\Local\Temp\OnboardLogs" /stypes="app*4014*20161203*" /stext=" 17:.+((SYSTEM_STATE.+slice.+state.+changed )|(ment ac)|(multiple cpu faults)|(system.+state.+changed )|(\[timeout)|(PRM\|1\|D)|(kpr)|(kdp)|(\|lc)|(penalty))" /e /r /s</v>
      </c>
      <c r="AG60" s="1" t="str">
        <f t="shared" si="13"/>
        <v>EC</v>
      </c>
      <c r="AH60" s="92" t="str">
        <f t="shared" si="16"/>
        <v>"%USERPROFILE%\Documents\GitHub\eaglep3\Utilities\RefineRTDCRunTimes.py" --tripid 147-03 --locoid 4014 --swversion DE.1.0.8.0 --startMP 204:449 --initTime 2016-12-03T09:23:20 --startdatetime 2016-12-03T09:30:19 --delay 2 --endMP 204:233299 --enddatetime 2016-12-03T10:06:37 --enforcementcount 0 &gt;&gt;C:\Users\stu\Documents\GitHub\eaglep3-reporting\EC\2016-12-03-refined-times.txt</v>
      </c>
      <c r="AI60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{"issue":{"subject":"","project_id":79,"tracker_id":40,"status_id":1,"priority_id":2,"assigned_to_id":23,"start_date":"2016-12-03","description":"","custom_fields":[{"id":1,"name":"Subdivision","value":"EC"},{"id":4,"name":"Milepost","value":"23.3299"},{"id":17,"name":"Train ID","value":"147-03"},{"id":16,"name":"Locomotive ID","value":"4014"},{"id":130,"name":"Impact","value":""},{"id":150,"name":"Time of Event (Mountain Time)","value":"10:06:37"},{"id":151,"name":"Denver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541</v>
      </c>
      <c r="B61" s="7">
        <v>4013</v>
      </c>
      <c r="C61" s="22" t="s">
        <v>209</v>
      </c>
      <c r="D61" s="22" t="s">
        <v>286</v>
      </c>
      <c r="E61" s="13">
        <v>42707.426921296297</v>
      </c>
      <c r="F61" s="13">
        <v>42707.435034722221</v>
      </c>
      <c r="G61" s="7">
        <v>2</v>
      </c>
      <c r="H61" s="22" t="s">
        <v>232</v>
      </c>
      <c r="I61" s="13">
        <v>42707.462210648147</v>
      </c>
      <c r="J61" s="7">
        <v>0</v>
      </c>
      <c r="K61" s="109" t="str">
        <f t="shared" si="0"/>
        <v>4013/4014</v>
      </c>
      <c r="L61" s="22" t="str">
        <f>VLOOKUP(A61,'Trips&amp;Operators'!$C$1:$G$99999,5,FALSE)</f>
        <v>ACKERMAN JARED</v>
      </c>
      <c r="M61" s="6">
        <f t="shared" si="1"/>
        <v>2.7175925926712807E-2</v>
      </c>
      <c r="N61" s="7">
        <f t="shared" si="25"/>
        <v>39.133333334466442</v>
      </c>
      <c r="O61" s="7"/>
      <c r="P61" s="7"/>
      <c r="Q61" s="23"/>
      <c r="R61" s="23"/>
      <c r="S61" s="35">
        <f t="shared" si="2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09:14:46-700',mode:absolute,to:'2016-12-03 12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1" s="52" t="str">
        <f t="shared" si="6"/>
        <v>N</v>
      </c>
      <c r="X61" s="177">
        <f t="shared" si="21"/>
        <v>1</v>
      </c>
      <c r="Y61" s="67">
        <f t="shared" si="8"/>
        <v>23.298200000000001</v>
      </c>
      <c r="Z61" s="67">
        <f t="shared" si="24"/>
        <v>1.41E-2</v>
      </c>
      <c r="AA61" s="67">
        <f t="shared" si="9"/>
        <v>23.284100000000002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0"/>
        <v>0148-03</v>
      </c>
      <c r="AE61" s="91" t="str">
        <f t="shared" si="11"/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AF61" s="88" t="str">
        <f t="shared" si="12"/>
        <v>"C:\Program Files (x86)\AstroGrep\AstroGrep.exe" /spath="%USERPROFILE%\AppData\Local\Temp\OnboardLogs" /stypes="app*4013*20161203*" /stext=" 18:.+((SYSTEM_STATE.+slice.+state.+changed )|(ment ac)|(multiple cpu faults)|(system.+state.+changed )|(\[timeout)|(PRM\|1\|D)|(kpr)|(kdp)|(\|lc)|(penalty))" /e /r /s</v>
      </c>
      <c r="AG61" s="1" t="str">
        <f t="shared" si="13"/>
        <v>EC</v>
      </c>
      <c r="AH61" s="92" t="str">
        <f t="shared" si="16"/>
        <v>"%USERPROFILE%\Documents\GitHub\eaglep3\Utilities\RefineRTDCRunTimes.py" --tripid 148-03 --locoid 4013 --swversion DE.1.0.8.0 --startMP 204:232982 --initTime 2016-12-03T10:14:46 --startdatetime 2016-12-03T10:26:27 --delay 2 --endMP 204:141 --enddatetime 2016-12-03T11:05:35 --enforcementcount 0 &gt;&gt;C:\Users\stu\Documents\GitHub\eaglep3-reporting\EC\2016-12-03-refined-times.txt</v>
      </c>
      <c r="AI61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{"issue":{"subject":"","project_id":79,"tracker_id":40,"status_id":1,"priority_id":2,"assigned_to_id":23,"start_date":"2016-12-03","description":"","custom_fields":[{"id":1,"name":"Subdivision","value":"EC"},{"id":4,"name":"Milepost","value":"0.0141"},{"id":17,"name":"Train ID","value":"148-03"},{"id":16,"name":"Locomotive ID","value":"4013"},{"id":130,"name":"Impact","value":""},{"id":150,"name":"Time of Event (Mountain Time)","value":"11:05:35"},{"id":151,"name":"Denver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536</v>
      </c>
      <c r="B62" s="7">
        <v>4040</v>
      </c>
      <c r="C62" s="22" t="s">
        <v>209</v>
      </c>
      <c r="D62" s="22" t="s">
        <v>248</v>
      </c>
      <c r="E62" s="13">
        <v>42707.404490740744</v>
      </c>
      <c r="F62" s="13">
        <v>42707.406412037039</v>
      </c>
      <c r="G62" s="7">
        <v>1</v>
      </c>
      <c r="H62" s="22" t="s">
        <v>686</v>
      </c>
      <c r="I62" s="13">
        <v>42707.433587962965</v>
      </c>
      <c r="J62" s="7">
        <v>0</v>
      </c>
      <c r="K62" s="109" t="str">
        <f t="shared" si="0"/>
        <v>4039/4040</v>
      </c>
      <c r="L62" s="22" t="str">
        <f>VLOOKUP(A62,'Trips&amp;Operators'!$C$1:$G$99999,5,FALSE)</f>
        <v>DAVIS WENDY</v>
      </c>
      <c r="M62" s="6">
        <f t="shared" si="1"/>
        <v>2.7175925926712807E-2</v>
      </c>
      <c r="N62" s="7">
        <f t="shared" si="25"/>
        <v>39.133333334466442</v>
      </c>
      <c r="O62" s="7"/>
      <c r="P62" s="7"/>
      <c r="Q62" s="23"/>
      <c r="R62" s="23"/>
      <c r="S62" s="35">
        <f t="shared" si="2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08:42:28-700',mode:absolute,to:'2016-12-03 11:24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62" s="52" t="str">
        <f t="shared" si="6"/>
        <v>N</v>
      </c>
      <c r="X62" s="177">
        <f t="shared" si="21"/>
        <v>1</v>
      </c>
      <c r="Y62" s="67">
        <f t="shared" si="8"/>
        <v>4.5999999999999999E-2</v>
      </c>
      <c r="Z62" s="67">
        <f t="shared" si="24"/>
        <v>23.333100000000002</v>
      </c>
      <c r="AA62" s="67">
        <f t="shared" si="9"/>
        <v>23.287100000000002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0"/>
        <v>0149-03</v>
      </c>
      <c r="AE62" s="91" t="str">
        <f t="shared" si="11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62" s="88" t="str">
        <f t="shared" si="12"/>
        <v>"C:\Program Files (x86)\AstroGrep\AstroGrep.exe" /spath="%USERPROFILE%\AppData\Local\Temp\OnboardLogs" /stypes="app*4040*20161203*" /stext=" 17:.+((SYSTEM_STATE.+slice.+state.+changed )|(ment ac)|(multiple cpu faults)|(system.+state.+changed )|(\[timeout)|(PRM\|1\|D)|(kpr)|(kdp)|(\|lc)|(penalty))" /e /r /s</v>
      </c>
      <c r="AG62" s="1" t="str">
        <f t="shared" si="13"/>
        <v>EC</v>
      </c>
      <c r="AH62" s="92" t="str">
        <f t="shared" si="16"/>
        <v>"%USERPROFILE%\Documents\GitHub\eaglep3\Utilities\RefineRTDCRunTimes.py" --tripid 149-03 --locoid 4040 --swversion DE.1.0.8.0 --startMP 204:460 --initTime 2016-12-03T09:42:28 --startdatetime 2016-12-03T09:45:14 --delay 1 --endMP 204:233331 --enddatetime 2016-12-03T10:24:22 --enforcementcount 0 &gt;&gt;C:\Users\stu\Documents\GitHub\eaglep3-reporting\EC\2016-12-03-refined-times.txt</v>
      </c>
      <c r="AI62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{"issue":{"subject":"","project_id":79,"tracker_id":40,"status_id":1,"priority_id":2,"assigned_to_id":23,"start_date":"2016-12-03","description":"","custom_fields":[{"id":1,"name":"Subdivision","value":"EC"},{"id":4,"name":"Milepost","value":"23.3331"},{"id":17,"name":"Train ID","value":"149-03"},{"id":16,"name":"Locomotive ID","value":"4040"},{"id":130,"name":"Impact","value":""},{"id":150,"name":"Time of Event (Mountain Time)","value":"10:24:22"},{"id":151,"name":"Denver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545</v>
      </c>
      <c r="B63" s="7">
        <v>4039</v>
      </c>
      <c r="C63" s="22" t="s">
        <v>209</v>
      </c>
      <c r="D63" s="22" t="s">
        <v>696</v>
      </c>
      <c r="E63" s="13">
        <v>42707.438032407408</v>
      </c>
      <c r="F63" s="13">
        <v>42707.445289351854</v>
      </c>
      <c r="G63" s="7">
        <v>1</v>
      </c>
      <c r="H63" s="22" t="s">
        <v>229</v>
      </c>
      <c r="I63" s="13">
        <v>42707.472384259258</v>
      </c>
      <c r="J63" s="7">
        <v>0</v>
      </c>
      <c r="K63" s="109" t="str">
        <f t="shared" si="0"/>
        <v>4039/4040</v>
      </c>
      <c r="L63" s="22" t="str">
        <f>VLOOKUP(A63,'Trips&amp;Operators'!$C$1:$G$99999,5,FALSE)</f>
        <v>DAVIS WENDY</v>
      </c>
      <c r="M63" s="6">
        <f t="shared" si="1"/>
        <v>2.7094907403807156E-2</v>
      </c>
      <c r="N63" s="7">
        <f t="shared" si="25"/>
        <v>39.016666661482304</v>
      </c>
      <c r="O63" s="7"/>
      <c r="P63" s="7"/>
      <c r="Q63" s="23"/>
      <c r="R63" s="23"/>
      <c r="S63" s="35">
        <f t="shared" si="2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09:30:46-700',mode:absolute,to:'2016-12-03 12:20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63" s="52" t="str">
        <f t="shared" si="6"/>
        <v>N</v>
      </c>
      <c r="X63" s="177">
        <f t="shared" si="21"/>
        <v>1</v>
      </c>
      <c r="Y63" s="67">
        <f t="shared" si="8"/>
        <v>23.298500000000001</v>
      </c>
      <c r="Z63" s="67">
        <f t="shared" si="24"/>
        <v>1.54E-2</v>
      </c>
      <c r="AA63" s="67">
        <f t="shared" si="9"/>
        <v>23.283100000000001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0"/>
        <v>0150-03</v>
      </c>
      <c r="AE63" s="91" t="str">
        <f t="shared" si="11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63" s="88" t="str">
        <f t="shared" si="12"/>
        <v>"C:\Program Files (x86)\AstroGrep\AstroGrep.exe" /spath="%USERPROFILE%\AppData\Local\Temp\OnboardLogs" /stypes="app*4039*20161203*" /stext=" 18:.+((SYSTEM_STATE.+slice.+state.+changed )|(ment ac)|(multiple cpu faults)|(system.+state.+changed )|(\[timeout)|(PRM\|1\|D)|(kpr)|(kdp)|(\|lc)|(penalty))" /e /r /s</v>
      </c>
      <c r="AG63" s="1" t="str">
        <f t="shared" si="13"/>
        <v>EC</v>
      </c>
      <c r="AH63" s="92" t="str">
        <f t="shared" si="16"/>
        <v>"%USERPROFILE%\Documents\GitHub\eaglep3\Utilities\RefineRTDCRunTimes.py" --tripid 150-03 --locoid 4039 --swversion DE.1.0.8.0 --startMP 204:232985 --initTime 2016-12-03T10:30:46 --startdatetime 2016-12-03T10:41:13 --delay 1 --endMP 204:154 --enddatetime 2016-12-03T11:20:14 --enforcementcount 0 &gt;&gt;C:\Users\stu\Documents\GitHub\eaglep3-reporting\EC\2016-12-03-refined-times.txt</v>
      </c>
      <c r="AI63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{"issue":{"subject":"","project_id":79,"tracker_id":40,"status_id":1,"priority_id":2,"assigned_to_id":23,"start_date":"2016-12-03","description":"","custom_fields":[{"id":1,"name":"Subdivision","value":"EC"},{"id":4,"name":"Milepost","value":"0.0154"},{"id":17,"name":"Train ID","value":"150-03"},{"id":16,"name":"Locomotive ID","value":"4039"},{"id":130,"name":"Impact","value":""},{"id":150,"name":"Time of Event (Mountain Time)","value":"11:20:14"},{"id":151,"name":"Denver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442</v>
      </c>
      <c r="B64" s="7">
        <v>4022</v>
      </c>
      <c r="C64" s="22" t="s">
        <v>209</v>
      </c>
      <c r="D64" s="22" t="s">
        <v>697</v>
      </c>
      <c r="E64" s="13">
        <v>42707.412986111114</v>
      </c>
      <c r="F64" s="13">
        <v>42707.416921296295</v>
      </c>
      <c r="G64" s="7">
        <v>1</v>
      </c>
      <c r="H64" s="22" t="s">
        <v>698</v>
      </c>
      <c r="I64" s="13">
        <v>42707.443240740744</v>
      </c>
      <c r="J64" s="7">
        <v>0</v>
      </c>
      <c r="K64" s="109" t="str">
        <f t="shared" si="0"/>
        <v>4021/4022</v>
      </c>
      <c r="L64" s="22" t="str">
        <f>VLOOKUP(A64,'Trips&amp;Operators'!$C$1:$G$99999,5,FALSE)</f>
        <v>KILLION DAVID</v>
      </c>
      <c r="M64" s="6">
        <f t="shared" si="1"/>
        <v>2.6319444448745344E-2</v>
      </c>
      <c r="N64" s="7">
        <f t="shared" si="25"/>
        <v>37.900000006193295</v>
      </c>
      <c r="O64" s="7"/>
      <c r="P64" s="7"/>
      <c r="Q64" s="23"/>
      <c r="R64" s="23"/>
      <c r="S64" s="35">
        <f t="shared" si="2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08:54:42-700',mode:absolute,to:'2016-12-03 11:38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4" s="52" t="str">
        <f t="shared" si="6"/>
        <v>N</v>
      </c>
      <c r="X64" s="177">
        <f t="shared" si="21"/>
        <v>1</v>
      </c>
      <c r="Y64" s="67">
        <f t="shared" si="8"/>
        <v>4.3999999999999997E-2</v>
      </c>
      <c r="Z64" s="67">
        <f t="shared" si="24"/>
        <v>23.329499999999999</v>
      </c>
      <c r="AA64" s="67">
        <f t="shared" si="9"/>
        <v>23.285499999999999</v>
      </c>
      <c r="AB64" s="64" t="str">
        <f>VLOOKUP(A64,Enforcements!$C$7:$K$19,8,0)</f>
        <v>Speed (6)</v>
      </c>
      <c r="AC64" s="60" t="str">
        <f>VLOOKUP(A64,Enforcements!$C$7:$E$19,3,0)</f>
        <v>PERMANENT SPEED RESTRICTION</v>
      </c>
      <c r="AD64" s="61" t="str">
        <f t="shared" si="10"/>
        <v>0151-03</v>
      </c>
      <c r="AE64" s="91" t="str">
        <f t="shared" si="11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64" s="88" t="str">
        <f t="shared" si="12"/>
        <v>"C:\Program Files (x86)\AstroGrep\AstroGrep.exe" /spath="%USERPROFILE%\AppData\Local\Temp\OnboardLogs" /stypes="app*4022*20161203*" /stext=" 17:.+((SYSTEM_STATE.+slice.+state.+changed )|(ment ac)|(multiple cpu faults)|(system.+state.+changed )|(\[timeout)|(PRM\|1\|D)|(kpr)|(kdp)|(\|lc)|(penalty))" /e /r /s</v>
      </c>
      <c r="AG64" s="1" t="str">
        <f t="shared" si="13"/>
        <v>EC</v>
      </c>
      <c r="AH64" s="92" t="str">
        <f t="shared" si="16"/>
        <v>"%USERPROFILE%\Documents\GitHub\eaglep3\Utilities\RefineRTDCRunTimes.py" --tripid 151-03 --locoid 4022 --swversion DE.1.0.8.0 --startMP 204:440 --initTime 2016-12-03T09:54:42 --startdatetime 2016-12-03T10:00:22 --delay 1 --endMP 204:233295 --enddatetime 2016-12-03T10:38:16 --enforcementcount 0 &gt;&gt;C:\Users\stu\Documents\GitHub\eaglep3-reporting\EC\2016-12-03-refined-times.txt</v>
      </c>
      <c r="AI64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{"issue":{"subject":"","project_id":79,"tracker_id":40,"status_id":1,"priority_id":2,"assigned_to_id":23,"start_date":"2016-12-03","description":"","custom_fields":[{"id":1,"name":"Subdivision","value":"EC"},{"id":4,"name":"Milepost","value":"23.3295"},{"id":17,"name":"Train ID","value":"151-03"},{"id":16,"name":"Locomotive ID","value":"4022"},{"id":130,"name":"Impact","value":""},{"id":150,"name":"Time of Event (Mountain Time)","value":"10:38:16"},{"id":151,"name":"Denver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548</v>
      </c>
      <c r="B65" s="7">
        <v>4021</v>
      </c>
      <c r="C65" s="22" t="s">
        <v>209</v>
      </c>
      <c r="D65" s="22" t="s">
        <v>315</v>
      </c>
      <c r="E65" s="13">
        <v>42707.448622685188</v>
      </c>
      <c r="F65" s="13">
        <v>42707.456018518518</v>
      </c>
      <c r="G65" s="7">
        <v>1</v>
      </c>
      <c r="H65" s="22" t="s">
        <v>216</v>
      </c>
      <c r="I65" s="13">
        <v>42707.482465277775</v>
      </c>
      <c r="J65" s="7">
        <v>0</v>
      </c>
      <c r="K65" s="109" t="str">
        <f t="shared" si="0"/>
        <v>4021/4022</v>
      </c>
      <c r="L65" s="22" t="str">
        <f>VLOOKUP(A65,'Trips&amp;Operators'!$C$1:$G$99999,5,FALSE)</f>
        <v>KILLION DAVID</v>
      </c>
      <c r="M65" s="6">
        <f t="shared" si="1"/>
        <v>2.6446759256941732E-2</v>
      </c>
      <c r="N65" s="7">
        <f t="shared" si="25"/>
        <v>38.083333329996094</v>
      </c>
      <c r="O65" s="7"/>
      <c r="P65" s="7"/>
      <c r="Q65" s="23"/>
      <c r="R65" s="23"/>
      <c r="S65" s="35">
        <f t="shared" si="2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09:46:01-700',mode:absolute,to:'2016-12-03 12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5" s="52" t="str">
        <f t="shared" si="6"/>
        <v>N</v>
      </c>
      <c r="X65" s="177">
        <f t="shared" si="21"/>
        <v>1</v>
      </c>
      <c r="Y65" s="67">
        <f t="shared" si="8"/>
        <v>23.296900000000001</v>
      </c>
      <c r="Z65" s="67">
        <f t="shared" si="24"/>
        <v>1.4999999999999999E-2</v>
      </c>
      <c r="AA65" s="67">
        <f t="shared" si="9"/>
        <v>23.2819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0"/>
        <v>0152-03</v>
      </c>
      <c r="AE65" s="91" t="str">
        <f t="shared" si="11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65" s="88" t="str">
        <f t="shared" si="12"/>
        <v>"C:\Program Files (x86)\AstroGrep\AstroGrep.exe" /spath="%USERPROFILE%\AppData\Local\Temp\OnboardLogs" /stypes="app*4021*20161203*" /stext=" 18:.+((SYSTEM_STATE.+slice.+state.+changed )|(ment ac)|(multiple cpu faults)|(system.+state.+changed )|(\[timeout)|(PRM\|1\|D)|(kpr)|(kdp)|(\|lc)|(penalty))" /e /r /s</v>
      </c>
      <c r="AG65" s="1" t="str">
        <f t="shared" si="13"/>
        <v>EC</v>
      </c>
      <c r="AH65" s="92" t="str">
        <f t="shared" si="16"/>
        <v>"%USERPROFILE%\Documents\GitHub\eaglep3\Utilities\RefineRTDCRunTimes.py" --tripid 152-03 --locoid 4021 --swversion DE.1.0.8.0 --startMP 204:232969 --initTime 2016-12-03T10:46:01 --startdatetime 2016-12-03T10:56:40 --delay 1 --endMP 204:150 --enddatetime 2016-12-03T11:34:45 --enforcementcount 0 &gt;&gt;C:\Users\stu\Documents\GitHub\eaglep3-reporting\EC\2016-12-03-refined-times.txt</v>
      </c>
      <c r="AI65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{"issue":{"subject":"","project_id":79,"tracker_id":40,"status_id":1,"priority_id":2,"assigned_to_id":23,"start_date":"2016-12-03","description":"","custom_fields":[{"id":1,"name":"Subdivision","value":"EC"},{"id":4,"name":"Milepost","value":"0.015"},{"id":17,"name":"Train ID","value":"152-03"},{"id":16,"name":"Locomotive ID","value":"4021"},{"id":130,"name":"Impact","value":""},{"id":150,"name":"Time of Event (Mountain Time)","value":"11:34:45"},{"id":151,"name":"Denver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540</v>
      </c>
      <c r="B66" s="7">
        <v>4016</v>
      </c>
      <c r="C66" s="22" t="s">
        <v>209</v>
      </c>
      <c r="D66" s="22" t="s">
        <v>250</v>
      </c>
      <c r="E66" s="13">
        <v>42707.424791666665</v>
      </c>
      <c r="F66" s="13">
        <v>42707.427395833336</v>
      </c>
      <c r="G66" s="7">
        <v>3</v>
      </c>
      <c r="H66" s="22" t="s">
        <v>257</v>
      </c>
      <c r="I66" s="13">
        <v>42707.451817129629</v>
      </c>
      <c r="J66" s="7">
        <v>0</v>
      </c>
      <c r="K66" s="109" t="str">
        <f t="shared" si="0"/>
        <v>4015/4016</v>
      </c>
      <c r="L66" s="22" t="str">
        <f>VLOOKUP(A66,'Trips&amp;Operators'!$C$1:$G$99999,5,FALSE)</f>
        <v>GEBRETEKLE DAGNEW</v>
      </c>
      <c r="M66" s="6">
        <f t="shared" si="1"/>
        <v>2.4421296293439809E-2</v>
      </c>
      <c r="N66" s="7">
        <f t="shared" si="25"/>
        <v>35.166666662553325</v>
      </c>
      <c r="O66" s="7"/>
      <c r="P66" s="7"/>
      <c r="Q66" s="23"/>
      <c r="R66" s="23"/>
      <c r="S66" s="35">
        <f t="shared" si="2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09:11:42-700',mode:absolute,to:'2016-12-03 11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6" s="52" t="str">
        <f t="shared" si="6"/>
        <v>N</v>
      </c>
      <c r="X66" s="177">
        <f t="shared" si="21"/>
        <v>1</v>
      </c>
      <c r="Y66" s="67">
        <f t="shared" si="8"/>
        <v>4.5699999999999998E-2</v>
      </c>
      <c r="Z66" s="67">
        <f t="shared" si="24"/>
        <v>23.3308</v>
      </c>
      <c r="AA66" s="67">
        <f t="shared" si="9"/>
        <v>23.2851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0"/>
        <v>0153-03</v>
      </c>
      <c r="AE66" s="91" t="str">
        <f t="shared" si="11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66" s="88" t="str">
        <f t="shared" si="12"/>
        <v>"C:\Program Files (x86)\AstroGrep\AstroGrep.exe" /spath="%USERPROFILE%\AppData\Local\Temp\OnboardLogs" /stypes="app*4016*20161203*" /stext=" 17:.+((SYSTEM_STATE.+slice.+state.+changed )|(ment ac)|(multiple cpu faults)|(system.+state.+changed )|(\[timeout)|(PRM\|1\|D)|(kpr)|(kdp)|(\|lc)|(penalty))" /e /r /s</v>
      </c>
      <c r="AG66" s="1" t="str">
        <f t="shared" si="13"/>
        <v>EC</v>
      </c>
      <c r="AH66" s="92" t="str">
        <f t="shared" si="16"/>
        <v>"%USERPROFILE%\Documents\GitHub\eaglep3\Utilities\RefineRTDCRunTimes.py" --tripid 153-03 --locoid 4016 --swversion DE.1.0.8.0 --startMP 204:457 --initTime 2016-12-03T10:11:42 --startdatetime 2016-12-03T10:15:27 --delay 3 --endMP 204:233308 --enddatetime 2016-12-03T10:50:37 --enforcementcount 0 &gt;&gt;C:\Users\stu\Documents\GitHub\eaglep3-reporting\EC\2016-12-03-refined-times.txt</v>
      </c>
      <c r="AI66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{"issue":{"subject":"","project_id":79,"tracker_id":40,"status_id":1,"priority_id":2,"assigned_to_id":23,"start_date":"2016-12-03","description":"","custom_fields":[{"id":1,"name":"Subdivision","value":"EC"},{"id":4,"name":"Milepost","value":"23.3308"},{"id":17,"name":"Train ID","value":"153-03"},{"id":16,"name":"Locomotive ID","value":"4016"},{"id":130,"name":"Impact","value":""},{"id":150,"name":"Time of Event (Mountain Time)","value":"10:50:37"},{"id":151,"name":"Denver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551</v>
      </c>
      <c r="B67" s="7">
        <v>4015</v>
      </c>
      <c r="C67" s="22" t="s">
        <v>209</v>
      </c>
      <c r="D67" s="22" t="s">
        <v>237</v>
      </c>
      <c r="E67" s="13">
        <v>42707.461562500001</v>
      </c>
      <c r="F67" s="13">
        <v>42707.466168981482</v>
      </c>
      <c r="G67" s="7">
        <v>0</v>
      </c>
      <c r="H67" s="22" t="s">
        <v>239</v>
      </c>
      <c r="I67" s="13">
        <v>42707.49255787037</v>
      </c>
      <c r="J67" s="7">
        <v>0</v>
      </c>
      <c r="K67" s="109" t="str">
        <f t="shared" si="0"/>
        <v>4015/4016</v>
      </c>
      <c r="L67" s="22" t="str">
        <f>VLOOKUP(A67,'Trips&amp;Operators'!$C$1:$G$99999,5,FALSE)</f>
        <v>GEBRETEKLE DAGNEW</v>
      </c>
      <c r="M67" s="6">
        <f t="shared" si="1"/>
        <v>2.6388888887595385E-2</v>
      </c>
      <c r="N67" s="7">
        <f t="shared" si="25"/>
        <v>37.999999998137355</v>
      </c>
      <c r="O67" s="7"/>
      <c r="P67" s="7"/>
      <c r="Q67" s="23"/>
      <c r="R67" s="23"/>
      <c r="S67" s="35">
        <f t="shared" si="2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10:04:39-700',mode:absolute,to:'2016-12-03 12:49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7" s="52" t="str">
        <f t="shared" si="6"/>
        <v>N</v>
      </c>
      <c r="X67" s="177">
        <f t="shared" si="21"/>
        <v>1</v>
      </c>
      <c r="Y67" s="67">
        <f t="shared" si="8"/>
        <v>23.299800000000001</v>
      </c>
      <c r="Z67" s="67">
        <f t="shared" si="24"/>
        <v>1.47E-2</v>
      </c>
      <c r="AA67" s="67">
        <f t="shared" si="9"/>
        <v>23.2851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0"/>
        <v>0154-03</v>
      </c>
      <c r="AE67" s="91" t="str">
        <f t="shared" si="11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67" s="88" t="str">
        <f t="shared" si="12"/>
        <v>"C:\Program Files (x86)\AstroGrep\AstroGrep.exe" /spath="%USERPROFILE%\AppData\Local\Temp\OnboardLogs" /stypes="app*4015*20161203*" /stext=" 18:.+((SYSTEM_STATE.+slice.+state.+changed )|(ment ac)|(multiple cpu faults)|(system.+state.+changed )|(\[timeout)|(PRM\|1\|D)|(kpr)|(kdp)|(\|lc)|(penalty))" /e /r /s</v>
      </c>
      <c r="AG67" s="1" t="str">
        <f t="shared" si="13"/>
        <v>EC</v>
      </c>
      <c r="AH67" s="92" t="str">
        <f t="shared" si="16"/>
        <v>"%USERPROFILE%\Documents\GitHub\eaglep3\Utilities\RefineRTDCRunTimes.py" --tripid 154-03 --locoid 4015 --swversion DE.1.0.8.0 --startMP 204:232998 --initTime 2016-12-03T11:04:39 --startdatetime 2016-12-03T11:11:17 --delay 0 --endMP 204:147 --enddatetime 2016-12-03T11:49:17 --enforcementcount 0 &gt;&gt;C:\Users\stu\Documents\GitHub\eaglep3-reporting\EC\2016-12-03-refined-times.txt</v>
      </c>
      <c r="AI67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{"issue":{"subject":"","project_id":79,"tracker_id":40,"status_id":1,"priority_id":2,"assigned_to_id":23,"start_date":"2016-12-03","description":"","custom_fields":[{"id":1,"name":"Subdivision","value":"EC"},{"id":4,"name":"Milepost","value":"0.0147"},{"id":17,"name":"Train ID","value":"154-03"},{"id":16,"name":"Locomotive ID","value":"4015"},{"id":130,"name":"Impact","value":""},{"id":150,"name":"Time of Event (Mountain Time)","value":"11:49:17"},{"id":151,"name":"Denver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542</v>
      </c>
      <c r="B68" s="7">
        <v>4042</v>
      </c>
      <c r="C68" s="22" t="s">
        <v>209</v>
      </c>
      <c r="D68" s="22" t="s">
        <v>207</v>
      </c>
      <c r="E68" s="13">
        <v>42707.434293981481</v>
      </c>
      <c r="F68" s="13">
        <v>42707.437696759262</v>
      </c>
      <c r="G68" s="7">
        <v>1</v>
      </c>
      <c r="H68" s="22" t="s">
        <v>699</v>
      </c>
      <c r="I68" s="13">
        <v>42707.463379629633</v>
      </c>
      <c r="J68" s="7">
        <v>0</v>
      </c>
      <c r="K68" s="109" t="str">
        <f t="shared" si="0"/>
        <v>4041/4042</v>
      </c>
      <c r="L68" s="22" t="str">
        <f>VLOOKUP(A68,'Trips&amp;Operators'!$C$1:$G$99999,5,FALSE)</f>
        <v>CLARK KATHLEEN</v>
      </c>
      <c r="M68" s="6">
        <f t="shared" si="1"/>
        <v>2.5682870371383615E-2</v>
      </c>
      <c r="N68" s="7">
        <f t="shared" si="25"/>
        <v>36.983333334792405</v>
      </c>
      <c r="O68" s="7"/>
      <c r="P68" s="7"/>
      <c r="Q68" s="23"/>
      <c r="R68" s="23"/>
      <c r="S68" s="35">
        <f t="shared" si="2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09:25:23-700',mode:absolute,to:'2016-12-03 12:07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8" s="52" t="str">
        <f t="shared" si="6"/>
        <v>N</v>
      </c>
      <c r="X68" s="177">
        <f t="shared" si="21"/>
        <v>1</v>
      </c>
      <c r="Y68" s="67">
        <f t="shared" si="8"/>
        <v>4.6199999999999998E-2</v>
      </c>
      <c r="Z68" s="67">
        <f t="shared" si="24"/>
        <v>23.327000000000002</v>
      </c>
      <c r="AA68" s="67">
        <f t="shared" si="9"/>
        <v>23.280800000000003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0"/>
        <v>0155-03</v>
      </c>
      <c r="AE68" s="91" t="str">
        <f t="shared" si="11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68" s="88" t="str">
        <f t="shared" si="12"/>
        <v>"C:\Program Files (x86)\AstroGrep\AstroGrep.exe" /spath="%USERPROFILE%\AppData\Local\Temp\OnboardLogs" /stypes="app*4042*20161203*" /stext=" 18:.+((SYSTEM_STATE.+slice.+state.+changed )|(ment ac)|(multiple cpu faults)|(system.+state.+changed )|(\[timeout)|(PRM\|1\|D)|(kpr)|(kdp)|(\|lc)|(penalty))" /e /r /s</v>
      </c>
      <c r="AG68" s="1" t="str">
        <f t="shared" si="13"/>
        <v>EC</v>
      </c>
      <c r="AH68" s="92" t="str">
        <f t="shared" si="16"/>
        <v>"%USERPROFILE%\Documents\GitHub\eaglep3\Utilities\RefineRTDCRunTimes.py" --tripid 155-03 --locoid 4042 --swversion DE.1.0.8.0 --startMP 204:462 --initTime 2016-12-03T10:25:23 --startdatetime 2016-12-03T10:30:17 --delay 1 --endMP 204:233270 --enddatetime 2016-12-03T11:07:16 --enforcementcount 0 &gt;&gt;C:\Users\stu\Documents\GitHub\eaglep3-reporting\EC\2016-12-03-refined-times.txt</v>
      </c>
      <c r="AI68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{"issue":{"subject":"","project_id":79,"tracker_id":40,"status_id":1,"priority_id":2,"assigned_to_id":23,"start_date":"2016-12-03","description":"","custom_fields":[{"id":1,"name":"Subdivision","value":"EC"},{"id":4,"name":"Milepost","value":"23.327"},{"id":17,"name":"Train ID","value":"155-03"},{"id":16,"name":"Locomotive ID","value":"4042"},{"id":130,"name":"Impact","value":""},{"id":150,"name":"Time of Event (Mountain Time)","value":"11:07:16"},{"id":151,"name":"Denver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556</v>
      </c>
      <c r="B69" s="7">
        <v>4041</v>
      </c>
      <c r="C69" s="22" t="s">
        <v>209</v>
      </c>
      <c r="D69" s="22" t="s">
        <v>323</v>
      </c>
      <c r="E69" s="13">
        <v>42707.469224537039</v>
      </c>
      <c r="F69" s="13">
        <v>42707.476643518516</v>
      </c>
      <c r="G69" s="7">
        <v>1</v>
      </c>
      <c r="H69" s="22" t="s">
        <v>239</v>
      </c>
      <c r="I69" s="13">
        <v>42707.504050925927</v>
      </c>
      <c r="J69" s="7">
        <v>0</v>
      </c>
      <c r="K69" s="109" t="str">
        <f t="shared" si="0"/>
        <v>4041/4042</v>
      </c>
      <c r="L69" s="22" t="str">
        <f>VLOOKUP(A69,'Trips&amp;Operators'!$C$1:$G$99999,5,FALSE)</f>
        <v>CLARK KATHLEEN</v>
      </c>
      <c r="M69" s="6">
        <f t="shared" si="1"/>
        <v>2.7407407411374152E-2</v>
      </c>
      <c r="N69" s="7">
        <f t="shared" si="25"/>
        <v>39.466666672378778</v>
      </c>
      <c r="O69" s="7"/>
      <c r="P69" s="7"/>
      <c r="Q69" s="23"/>
      <c r="R69" s="23"/>
      <c r="S69" s="35">
        <f t="shared" si="2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10:15:41-700',mode:absolute,to:'2016-12-03 13:05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9" s="52" t="str">
        <f t="shared" si="6"/>
        <v>N</v>
      </c>
      <c r="X69" s="177">
        <f t="shared" si="21"/>
        <v>1</v>
      </c>
      <c r="Y69" s="67">
        <f t="shared" si="8"/>
        <v>23.2957</v>
      </c>
      <c r="Z69" s="67">
        <f t="shared" si="24"/>
        <v>1.47E-2</v>
      </c>
      <c r="AA69" s="67">
        <f t="shared" si="9"/>
        <v>23.280999999999999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0"/>
        <v>0156-03</v>
      </c>
      <c r="AE69" s="91" t="str">
        <f t="shared" si="11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69" s="88" t="str">
        <f t="shared" si="12"/>
        <v>"C:\Program Files (x86)\AstroGrep\AstroGrep.exe" /spath="%USERPROFILE%\AppData\Local\Temp\OnboardLogs" /stypes="app*4041*20161203*" /stext=" 19:.+((SYSTEM_STATE.+slice.+state.+changed )|(ment ac)|(multiple cpu faults)|(system.+state.+changed )|(\[timeout)|(PRM\|1\|D)|(kpr)|(kdp)|(\|lc)|(penalty))" /e /r /s</v>
      </c>
      <c r="AG69" s="1" t="str">
        <f t="shared" si="13"/>
        <v>EC</v>
      </c>
      <c r="AH69" s="92" t="str">
        <f t="shared" si="16"/>
        <v>"%USERPROFILE%\Documents\GitHub\eaglep3\Utilities\RefineRTDCRunTimes.py" --tripid 156-03 --locoid 4041 --swversion DE.1.0.8.0 --startMP 204:232957 --initTime 2016-12-03T11:15:41 --startdatetime 2016-12-03T11:26:22 --delay 1 --endMP 204:147 --enddatetime 2016-12-03T12:05:50 --enforcementcount 0 &gt;&gt;C:\Users\stu\Documents\GitHub\eaglep3-reporting\EC\2016-12-03-refined-times.txt</v>
      </c>
      <c r="AI69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{"issue":{"subject":"","project_id":79,"tracker_id":40,"status_id":1,"priority_id":2,"assigned_to_id":23,"start_date":"2016-12-03","description":"","custom_fields":[{"id":1,"name":"Subdivision","value":"EC"},{"id":4,"name":"Milepost","value":"0.0147"},{"id":17,"name":"Train ID","value":"156-03"},{"id":16,"name":"Locomotive ID","value":"4041"},{"id":130,"name":"Impact","value":""},{"id":150,"name":"Time of Event (Mountain Time)","value":"12:05:50"},{"id":151,"name":"Denver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547</v>
      </c>
      <c r="B70" s="7">
        <v>4027</v>
      </c>
      <c r="C70" s="22" t="s">
        <v>209</v>
      </c>
      <c r="D70" s="22" t="s">
        <v>207</v>
      </c>
      <c r="E70" s="13">
        <v>42707.444976851853</v>
      </c>
      <c r="F70" s="13">
        <v>42707.448263888888</v>
      </c>
      <c r="G70" s="7">
        <v>1</v>
      </c>
      <c r="H70" s="22" t="s">
        <v>249</v>
      </c>
      <c r="I70" s="13">
        <v>42707.473668981482</v>
      </c>
      <c r="J70" s="7">
        <v>0</v>
      </c>
      <c r="K70" s="109" t="str">
        <f t="shared" si="0"/>
        <v>4027/4028</v>
      </c>
      <c r="L70" s="22" t="str">
        <f>VLOOKUP(A70,'Trips&amp;Operators'!$C$1:$G$99999,5,FALSE)</f>
        <v>STRICKLAND EVAN</v>
      </c>
      <c r="M70" s="6">
        <f t="shared" si="1"/>
        <v>2.5405092594155576E-2</v>
      </c>
      <c r="N70" s="7">
        <f t="shared" si="25"/>
        <v>36.58333333558403</v>
      </c>
      <c r="O70" s="7"/>
      <c r="P70" s="7"/>
      <c r="Q70" s="23"/>
      <c r="R70" s="23"/>
      <c r="S70" s="35">
        <f t="shared" si="2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09:40:46-700',mode:absolute,to:'2016-12-03 12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0" s="52" t="str">
        <f t="shared" si="6"/>
        <v>N</v>
      </c>
      <c r="X70" s="177">
        <f t="shared" ref="X70:X101" si="26">VALUE(LEFT(AD70,4))-VALUE(LEFT(AD69,4))</f>
        <v>1</v>
      </c>
      <c r="Y70" s="67">
        <f t="shared" si="8"/>
        <v>4.6199999999999998E-2</v>
      </c>
      <c r="Z70" s="67">
        <f t="shared" si="24"/>
        <v>23.330200000000001</v>
      </c>
      <c r="AA70" s="67">
        <f t="shared" si="9"/>
        <v>23.284000000000002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0"/>
        <v>0157-03</v>
      </c>
      <c r="AE70" s="91" t="str">
        <f t="shared" si="11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70" s="88" t="str">
        <f t="shared" si="12"/>
        <v>"C:\Program Files (x86)\AstroGrep\AstroGrep.exe" /spath="%USERPROFILE%\AppData\Local\Temp\OnboardLogs" /stypes="app*4027*20161203*" /stext=" 18:.+((SYSTEM_STATE.+slice.+state.+changed )|(ment ac)|(multiple cpu faults)|(system.+state.+changed )|(\[timeout)|(PRM\|1\|D)|(kpr)|(kdp)|(\|lc)|(penalty))" /e /r /s</v>
      </c>
      <c r="AG70" s="1" t="str">
        <f t="shared" si="13"/>
        <v>EC</v>
      </c>
      <c r="AH70" s="92" t="str">
        <f t="shared" si="16"/>
        <v>"%USERPROFILE%\Documents\GitHub\eaglep3\Utilities\RefineRTDCRunTimes.py" --tripid 157-03 --locoid 4027 --swversion DE.1.0.8.0 --startMP 204:462 --initTime 2016-12-03T10:40:46 --startdatetime 2016-12-03T10:45:30 --delay 1 --endMP 204:233302 --enddatetime 2016-12-03T11:22:05 --enforcementcount 0 &gt;&gt;C:\Users\stu\Documents\GitHub\eaglep3-reporting\EC\2016-12-03-refined-times.txt</v>
      </c>
      <c r="AI70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{"issue":{"subject":"","project_id":79,"tracker_id":40,"status_id":1,"priority_id":2,"assigned_to_id":23,"start_date":"2016-12-03","description":"","custom_fields":[{"id":1,"name":"Subdivision","value":"EC"},{"id":4,"name":"Milepost","value":"23.3302"},{"id":17,"name":"Train ID","value":"157-03"},{"id":16,"name":"Locomotive ID","value":"4027"},{"id":130,"name":"Impact","value":""},{"id":150,"name":"Time of Event (Mountain Time)","value":"11:22:05"},{"id":151,"name":"Denver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443</v>
      </c>
      <c r="B71" s="7">
        <v>4028</v>
      </c>
      <c r="C71" s="22" t="s">
        <v>209</v>
      </c>
      <c r="D71" s="22" t="s">
        <v>327</v>
      </c>
      <c r="E71" s="13">
        <v>42707.48164351852</v>
      </c>
      <c r="F71" s="13">
        <v>42707.487071759257</v>
      </c>
      <c r="G71" s="7">
        <v>1</v>
      </c>
      <c r="H71" s="22" t="s">
        <v>285</v>
      </c>
      <c r="I71" s="13">
        <v>42707.514594907407</v>
      </c>
      <c r="J71" s="7">
        <v>0</v>
      </c>
      <c r="K71" s="109" t="str">
        <f t="shared" si="0"/>
        <v>4027/4028</v>
      </c>
      <c r="L71" s="22" t="str">
        <f>VLOOKUP(A71,'Trips&amp;Operators'!$C$1:$G$99999,5,FALSE)</f>
        <v>STRICKLAND EVAN</v>
      </c>
      <c r="M71" s="6">
        <f t="shared" si="1"/>
        <v>2.7523148150066845E-2</v>
      </c>
      <c r="N71" s="7">
        <f t="shared" si="25"/>
        <v>39.633333336096257</v>
      </c>
      <c r="O71" s="7"/>
      <c r="P71" s="7"/>
      <c r="Q71" s="23"/>
      <c r="R71" s="23"/>
      <c r="S71" s="35">
        <f t="shared" si="2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10:33:34-700',mode:absolute,to:'2016-12-03 13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1" s="52" t="str">
        <f t="shared" si="6"/>
        <v>N</v>
      </c>
      <c r="X71" s="177">
        <f t="shared" si="26"/>
        <v>1</v>
      </c>
      <c r="Y71" s="67">
        <f t="shared" si="8"/>
        <v>23.2987</v>
      </c>
      <c r="Z71" s="67">
        <f t="shared" si="24"/>
        <v>1.6E-2</v>
      </c>
      <c r="AA71" s="67">
        <f t="shared" si="9"/>
        <v>23.282700000000002</v>
      </c>
      <c r="AB71" s="64" t="str">
        <f>VLOOKUP(A71,Enforcements!$C$7:$K$19,8,0)</f>
        <v>Speed (6)</v>
      </c>
      <c r="AC71" s="60" t="str">
        <f>VLOOKUP(A71,Enforcements!$C$7:$E$19,3,0)</f>
        <v>PERMANENT SPEED RESTRICTION</v>
      </c>
      <c r="AD71" s="61" t="str">
        <f t="shared" si="10"/>
        <v>0158-03</v>
      </c>
      <c r="AE71" s="91" t="str">
        <f t="shared" si="11"/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AF71" s="88" t="str">
        <f t="shared" si="12"/>
        <v>"C:\Program Files (x86)\AstroGrep\AstroGrep.exe" /spath="%USERPROFILE%\AppData\Local\Temp\OnboardLogs" /stypes="app*4028*20161203*" /stext=" 19:.+((SYSTEM_STATE.+slice.+state.+changed )|(ment ac)|(multiple cpu faults)|(system.+state.+changed )|(\[timeout)|(PRM\|1\|D)|(kpr)|(kdp)|(\|lc)|(penalty))" /e /r /s</v>
      </c>
      <c r="AG71" s="1" t="str">
        <f t="shared" si="13"/>
        <v>EC</v>
      </c>
      <c r="AH71" s="92" t="str">
        <f t="shared" si="16"/>
        <v>"%USERPROFILE%\Documents\GitHub\eaglep3\Utilities\RefineRTDCRunTimes.py" --tripid 158-03 --locoid 4028 --swversion DE.1.0.8.0 --startMP 204:232987 --initTime 2016-12-03T11:33:34 --startdatetime 2016-12-03T11:41:23 --delay 1 --endMP 204:160 --enddatetime 2016-12-03T12:21:01 --enforcementcount 0 &gt;&gt;C:\Users\stu\Documents\GitHub\eaglep3-reporting\EC\2016-12-03-refined-times.txt</v>
      </c>
      <c r="AI71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{"issue":{"subject":"","project_id":79,"tracker_id":40,"status_id":1,"priority_id":2,"assigned_to_id":23,"start_date":"2016-12-03","description":"","custom_fields":[{"id":1,"name":"Subdivision","value":"EC"},{"id":4,"name":"Milepost","value":"0.016"},{"id":17,"name":"Train ID","value":"158-03"},{"id":16,"name":"Locomotive ID","value":"4028"},{"id":130,"name":"Impact","value":""},{"id":150,"name":"Time of Event (Mountain Time)","value":"12:21:01"},{"id":151,"name":"Denver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549</v>
      </c>
      <c r="B72" s="7">
        <v>4038</v>
      </c>
      <c r="C72" s="22" t="s">
        <v>209</v>
      </c>
      <c r="D72" s="22" t="s">
        <v>195</v>
      </c>
      <c r="E72" s="13">
        <v>42707.453680555554</v>
      </c>
      <c r="F72" s="13">
        <v>42707.458541666667</v>
      </c>
      <c r="G72" s="7">
        <v>1</v>
      </c>
      <c r="H72" s="22" t="s">
        <v>698</v>
      </c>
      <c r="I72" s="13">
        <v>42707.483182870368</v>
      </c>
      <c r="J72" s="7">
        <v>0</v>
      </c>
      <c r="K72" s="109" t="str">
        <f t="shared" si="0"/>
        <v>4037/4038</v>
      </c>
      <c r="L72" s="22" t="str">
        <f>VLOOKUP(A72,'Trips&amp;Operators'!$C$1:$G$99999,5,FALSE)</f>
        <v>STEWART MICHAEL</v>
      </c>
      <c r="M72" s="6">
        <f t="shared" si="1"/>
        <v>2.4641203701321501E-2</v>
      </c>
      <c r="N72" s="7">
        <f t="shared" si="25"/>
        <v>35.483333329902962</v>
      </c>
      <c r="O72" s="7"/>
      <c r="P72" s="7"/>
      <c r="Q72" s="23"/>
      <c r="R72" s="23"/>
      <c r="S72" s="35">
        <f t="shared" si="2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09:53:18-700',mode:absolute,to:'2016-12-03 12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72" s="52" t="str">
        <f t="shared" si="6"/>
        <v>N</v>
      </c>
      <c r="X72" s="177">
        <f t="shared" si="26"/>
        <v>1</v>
      </c>
      <c r="Y72" s="67">
        <f t="shared" si="8"/>
        <v>4.5100000000000001E-2</v>
      </c>
      <c r="Z72" s="67">
        <f t="shared" si="24"/>
        <v>23.329499999999999</v>
      </c>
      <c r="AA72" s="67">
        <f t="shared" si="9"/>
        <v>23.284399999999998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0"/>
        <v>0159-03</v>
      </c>
      <c r="AE72" s="91" t="str">
        <f t="shared" si="11"/>
        <v>aws s3 cp s3://rtdc.mdm.uploadarchive.raw/RTDC4038/ "%USERPROFILE%\AppData\Local\Temp\OnboardLogs"\RTDC4038\2016-12-03 --exclude "*" --recursive --include "*20161203*" &amp; "%USERPROFILE%\Documents\GitHub\mrs-test-scripts\Headless Mode &amp; Sideloading\WalkAndUnGZ.bat" "%USERPROFILE%\AppData\Local\Temp\OnboardLogs"\RTDC4038\2016-12-03 &amp; 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</v>
      </c>
      <c r="AF72" s="88" t="str">
        <f t="shared" si="12"/>
        <v>"C:\Program Files (x86)\AstroGrep\AstroGrep.exe" /spath="%USERPROFILE%\AppData\Local\Temp\OnboardLogs" /stypes="app*4038*20161203*" /stext=" 18:.+((SYSTEM_STATE.+slice.+state.+changed )|(ment ac)|(multiple cpu faults)|(system.+state.+changed )|(\[timeout)|(PRM\|1\|D)|(kpr)|(kdp)|(\|lc)|(penalty))" /e /r /s</v>
      </c>
      <c r="AG72" s="1" t="str">
        <f t="shared" si="13"/>
        <v>EC</v>
      </c>
      <c r="AH72" s="92" t="str">
        <f t="shared" si="16"/>
        <v>"%USERPROFILE%\Documents\GitHub\eaglep3\Utilities\RefineRTDCRunTimes.py" --tripid 159-03 --locoid 4038 --swversion DE.1.0.8.0 --startMP 204:451 --initTime 2016-12-03T10:53:18 --startdatetime 2016-12-03T11:00:18 --delay 1 --endMP 204:233295 --enddatetime 2016-12-03T11:35:47 --enforcementcount 0 &gt;&gt;C:\Users\stu\Documents\GitHub\eaglep3-reporting\EC\2016-12-03-refined-times.txt</v>
      </c>
      <c r="AI72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{"issue":{"subject":"","project_id":79,"tracker_id":40,"status_id":1,"priority_id":2,"assigned_to_id":23,"start_date":"2016-12-03","description":"","custom_fields":[{"id":1,"name":"Subdivision","value":"EC"},{"id":4,"name":"Milepost","value":"23.3295"},{"id":17,"name":"Train ID","value":"159-03"},{"id":16,"name":"Locomotive ID","value":"4038"},{"id":130,"name":"Impact","value":""},{"id":150,"name":"Time of Event (Mountain Time)","value":"11:35:47"},{"id":151,"name":"Denver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558</v>
      </c>
      <c r="B73" s="7">
        <v>4037</v>
      </c>
      <c r="C73" s="22" t="s">
        <v>209</v>
      </c>
      <c r="D73" s="22" t="s">
        <v>401</v>
      </c>
      <c r="E73" s="13">
        <v>42707.493055555555</v>
      </c>
      <c r="F73" s="13">
        <v>42707.497465277775</v>
      </c>
      <c r="G73" s="7">
        <v>2</v>
      </c>
      <c r="H73" s="22" t="s">
        <v>192</v>
      </c>
      <c r="I73" s="13">
        <v>42707.52584490741</v>
      </c>
      <c r="J73" s="7">
        <v>0</v>
      </c>
      <c r="K73" s="109" t="str">
        <f t="shared" si="0"/>
        <v>4037/4038</v>
      </c>
      <c r="L73" s="22" t="str">
        <f>VLOOKUP(A73,'Trips&amp;Operators'!$C$1:$G$99999,5,FALSE)</f>
        <v>STEWART MICHAEL</v>
      </c>
      <c r="M73" s="6">
        <f t="shared" si="1"/>
        <v>2.8379629635310266E-2</v>
      </c>
      <c r="N73" s="7">
        <f t="shared" si="25"/>
        <v>40.866666674846783</v>
      </c>
      <c r="O73" s="7"/>
      <c r="P73" s="7"/>
      <c r="Q73" s="23"/>
      <c r="R73" s="23"/>
      <c r="S73" s="35">
        <f t="shared" si="2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10:50:00-700',mode:absolute,to:'2016-12-03 13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73" s="52" t="str">
        <f t="shared" si="6"/>
        <v>N</v>
      </c>
      <c r="X73" s="177">
        <f t="shared" si="26"/>
        <v>1</v>
      </c>
      <c r="Y73" s="67">
        <f t="shared" si="8"/>
        <v>23.2971</v>
      </c>
      <c r="Z73" s="67">
        <f t="shared" si="24"/>
        <v>1.49E-2</v>
      </c>
      <c r="AA73" s="67">
        <f t="shared" si="9"/>
        <v>23.2822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0"/>
        <v>0160-03</v>
      </c>
      <c r="AE73" s="91" t="str">
        <f t="shared" si="11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73" s="88" t="str">
        <f t="shared" si="12"/>
        <v>"C:\Program Files (x86)\AstroGrep\AstroGrep.exe" /spath="%USERPROFILE%\AppData\Local\Temp\OnboardLogs" /stypes="app*4037*20161203*" /stext=" 19:.+((SYSTEM_STATE.+slice.+state.+changed )|(ment ac)|(multiple cpu faults)|(system.+state.+changed )|(\[timeout)|(PRM\|1\|D)|(kpr)|(kdp)|(\|lc)|(penalty))" /e /r /s</v>
      </c>
      <c r="AG73" s="1" t="str">
        <f t="shared" si="13"/>
        <v>EC</v>
      </c>
      <c r="AH73" s="92" t="str">
        <f t="shared" si="16"/>
        <v>"%USERPROFILE%\Documents\GitHub\eaglep3\Utilities\RefineRTDCRunTimes.py" --tripid 160-03 --locoid 4037 --swversion DE.1.0.8.0 --startMP 204:232971 --initTime 2016-12-03T11:50:00 --startdatetime 2016-12-03T11:56:21 --delay 2 --endMP 204:149 --enddatetime 2016-12-03T12:37:13 --enforcementcount 0 &gt;&gt;C:\Users\stu\Documents\GitHub\eaglep3-reporting\EC\2016-12-03-refined-times.txt</v>
      </c>
      <c r="AI73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{"issue":{"subject":"","project_id":79,"tracker_id":40,"status_id":1,"priority_id":2,"assigned_to_id":23,"start_date":"2016-12-03","description":"","custom_fields":[{"id":1,"name":"Subdivision","value":"EC"},{"id":4,"name":"Milepost","value":"0.0149"},{"id":17,"name":"Train ID","value":"160-03"},{"id":16,"name":"Locomotive ID","value":"4037"},{"id":130,"name":"Impact","value":""},{"id":150,"name":"Time of Event (Mountain Time)","value":"12:37:13"},{"id":151,"name":"Denver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553</v>
      </c>
      <c r="B74" s="7">
        <v>4014</v>
      </c>
      <c r="C74" s="22" t="s">
        <v>209</v>
      </c>
      <c r="D74" s="22" t="s">
        <v>287</v>
      </c>
      <c r="E74" s="13">
        <v>42707.464062500003</v>
      </c>
      <c r="F74" s="13">
        <v>42707.46912037037</v>
      </c>
      <c r="G74" s="7">
        <v>2</v>
      </c>
      <c r="H74" s="22" t="s">
        <v>288</v>
      </c>
      <c r="I74" s="13">
        <v>42707.493981481479</v>
      </c>
      <c r="J74" s="7">
        <v>0</v>
      </c>
      <c r="K74" s="109" t="str">
        <f t="shared" si="0"/>
        <v>4013/4014</v>
      </c>
      <c r="L74" s="22" t="str">
        <f>VLOOKUP(A74,'Trips&amp;Operators'!$C$1:$G$99999,5,FALSE)</f>
        <v>BARTLETT KIANDRA</v>
      </c>
      <c r="M74" s="6">
        <f t="shared" si="1"/>
        <v>2.4861111109203193E-2</v>
      </c>
      <c r="N74" s="7">
        <f t="shared" si="25"/>
        <v>35.799999997252598</v>
      </c>
      <c r="O74" s="7"/>
      <c r="P74" s="7"/>
      <c r="Q74" s="23"/>
      <c r="R74" s="23"/>
      <c r="S74" s="35">
        <f t="shared" si="2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10:08:15-700',mode:absolute,to:'2016-12-03 12:51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52" t="str">
        <f t="shared" si="6"/>
        <v>N</v>
      </c>
      <c r="X74" s="177">
        <f t="shared" si="26"/>
        <v>1</v>
      </c>
      <c r="Y74" s="67">
        <f t="shared" si="8"/>
        <v>4.58E-2</v>
      </c>
      <c r="Z74" s="67">
        <f t="shared" si="24"/>
        <v>23.3325</v>
      </c>
      <c r="AA74" s="67">
        <f t="shared" si="9"/>
        <v>23.2867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0"/>
        <v>0161-03</v>
      </c>
      <c r="AE74" s="91" t="str">
        <f t="shared" si="11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74" s="88" t="str">
        <f t="shared" si="12"/>
        <v>"C:\Program Files (x86)\AstroGrep\AstroGrep.exe" /spath="%USERPROFILE%\AppData\Local\Temp\OnboardLogs" /stypes="app*4014*20161203*" /stext=" 18:.+((SYSTEM_STATE.+slice.+state.+changed )|(ment ac)|(multiple cpu faults)|(system.+state.+changed )|(\[timeout)|(PRM\|1\|D)|(kpr)|(kdp)|(\|lc)|(penalty))" /e /r /s</v>
      </c>
      <c r="AG74" s="1" t="str">
        <f t="shared" si="13"/>
        <v>EC</v>
      </c>
      <c r="AH74" s="92" t="str">
        <f t="shared" si="16"/>
        <v>"%USERPROFILE%\Documents\GitHub\eaglep3\Utilities\RefineRTDCRunTimes.py" --tripid 161-03 --locoid 4014 --swversion DE.1.0.8.0 --startMP 204:458 --initTime 2016-12-03T11:08:15 --startdatetime 2016-12-03T11:15:32 --delay 2 --endMP 204:233325 --enddatetime 2016-12-03T11:51:20 --enforcementcount 0 &gt;&gt;C:\Users\stu\Documents\GitHub\eaglep3-reporting\EC\2016-12-03-refined-times.txt</v>
      </c>
      <c r="AI74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{"issue":{"subject":"","project_id":79,"tracker_id":40,"status_id":1,"priority_id":2,"assigned_to_id":23,"start_date":"2016-12-03","description":"","custom_fields":[{"id":1,"name":"Subdivision","value":"EC"},{"id":4,"name":"Milepost","value":"23.3325"},{"id":17,"name":"Train ID","value":"161-03"},{"id":16,"name":"Locomotive ID","value":"4014"},{"id":130,"name":"Impact","value":""},{"id":150,"name":"Time of Event (Mountain Time)","value":"11:51:20"},{"id":151,"name":"Denver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563</v>
      </c>
      <c r="B75" s="7">
        <v>4013</v>
      </c>
      <c r="C75" s="22" t="s">
        <v>209</v>
      </c>
      <c r="D75" s="22" t="s">
        <v>398</v>
      </c>
      <c r="E75" s="13">
        <v>42707.497615740744</v>
      </c>
      <c r="F75" s="13">
        <v>42707.507824074077</v>
      </c>
      <c r="G75" s="7">
        <v>1</v>
      </c>
      <c r="H75" s="22" t="s">
        <v>211</v>
      </c>
      <c r="I75" s="13">
        <v>42707.533761574072</v>
      </c>
      <c r="J75" s="7">
        <v>0</v>
      </c>
      <c r="K75" s="109" t="str">
        <f t="shared" si="0"/>
        <v>4013/4014</v>
      </c>
      <c r="L75" s="22" t="str">
        <f>VLOOKUP(A75,'Trips&amp;Operators'!$C$1:$G$99999,5,FALSE)</f>
        <v>BARTLETT KIANDRA</v>
      </c>
      <c r="M75" s="6">
        <f t="shared" si="1"/>
        <v>2.5937499995052349E-2</v>
      </c>
      <c r="N75" s="7">
        <f t="shared" si="25"/>
        <v>37.349999992875382</v>
      </c>
      <c r="O75" s="7"/>
      <c r="P75" s="7"/>
      <c r="Q75" s="23"/>
      <c r="R75" s="23"/>
      <c r="S75" s="35">
        <f t="shared" si="2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10:56:34-700',mode:absolute,to:'2016-12-03 13:48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5" s="52" t="str">
        <f t="shared" si="6"/>
        <v>N</v>
      </c>
      <c r="X75" s="177">
        <f t="shared" si="26"/>
        <v>1</v>
      </c>
      <c r="Y75" s="67">
        <f t="shared" si="8"/>
        <v>23.3</v>
      </c>
      <c r="Z75" s="67">
        <f t="shared" si="24"/>
        <v>1.5800000000000002E-2</v>
      </c>
      <c r="AA75" s="67">
        <f t="shared" si="9"/>
        <v>23.284200000000002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0"/>
        <v>0162-03</v>
      </c>
      <c r="AE75" s="91" t="str">
        <f t="shared" si="11"/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AF75" s="88" t="str">
        <f t="shared" si="12"/>
        <v>"C:\Program Files (x86)\AstroGrep\AstroGrep.exe" /spath="%USERPROFILE%\AppData\Local\Temp\OnboardLogs" /stypes="app*4013*20161203*" /stext=" 19:.+((SYSTEM_STATE.+slice.+state.+changed )|(ment ac)|(multiple cpu faults)|(system.+state.+changed )|(\[timeout)|(PRM\|1\|D)|(kpr)|(kdp)|(\|lc)|(penalty))" /e /r /s</v>
      </c>
      <c r="AG75" s="1" t="str">
        <f t="shared" si="13"/>
        <v>EC</v>
      </c>
      <c r="AH75" s="92" t="str">
        <f t="shared" si="16"/>
        <v>"%USERPROFILE%\Documents\GitHub\eaglep3\Utilities\RefineRTDCRunTimes.py" --tripid 162-03 --locoid 4013 --swversion DE.1.0.8.0 --startMP 204:233000 --initTime 2016-12-03T11:56:34 --startdatetime 2016-12-03T12:11:16 --delay 1 --endMP 204:158 --enddatetime 2016-12-03T12:48:37 --enforcementcount 0 &gt;&gt;C:\Users\stu\Documents\GitHub\eaglep3-reporting\EC\2016-12-03-refined-times.txt</v>
      </c>
      <c r="AI75" s="119" t="str">
        <f t="shared" si="17"/>
        <v>echo {"issue":{"subject":"","project_id":79,"tracker_id":40,"status_id":1,"priority_id":2,"assigned_to_id":23,"start_date":"2016-12-03","description":"","custom_fields":[{"id":1,"name":"Subdivision","value":"EC"},{"id":4,"name":"Milepost","value":"0.0158"},{"id":17,"name":"Train ID","value":"162-03"},{"id":16,"name":"Locomotive ID","value":"4013"},{"id":130,"name":"Impact","value":""},{"id":150,"name":"Time of Event (Mountain Time)","value":"12:48:37"},{"id":151,"name":"Denver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444</v>
      </c>
      <c r="B76" s="7">
        <v>4040</v>
      </c>
      <c r="C76" s="22" t="s">
        <v>209</v>
      </c>
      <c r="D76" s="22" t="s">
        <v>700</v>
      </c>
      <c r="E76" s="13">
        <v>42707.49895833333</v>
      </c>
      <c r="F76" s="13">
        <v>42707.499502314815</v>
      </c>
      <c r="G76" s="7">
        <v>0</v>
      </c>
      <c r="H76" s="22" t="s">
        <v>701</v>
      </c>
      <c r="I76" s="13">
        <v>42707.506574074076</v>
      </c>
      <c r="J76" s="7">
        <v>0</v>
      </c>
      <c r="K76" s="109" t="str">
        <f t="shared" si="0"/>
        <v>4039/4040</v>
      </c>
      <c r="L76" s="22" t="str">
        <f>VLOOKUP(A76,'Trips&amp;Operators'!$C$1:$G$99999,5,FALSE)</f>
        <v>MOSES BRADLEY</v>
      </c>
      <c r="M76" s="6">
        <f t="shared" si="1"/>
        <v>7.07175926072523E-3</v>
      </c>
      <c r="N76" s="7"/>
      <c r="O76" s="7"/>
      <c r="P76" s="7">
        <f>24*60*SUM($M76:$M77)</f>
        <v>33.566666665719822</v>
      </c>
      <c r="Q76" s="23"/>
      <c r="R76" s="23" t="s">
        <v>838</v>
      </c>
      <c r="S76" s="35">
        <f>SUM(U76:U77)/IF(AG76="EC",12,1)</f>
        <v>0.91666666666666663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0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https://search-rtdc-monitor-bjffxe2xuh6vdkpspy63sjmuny.us-east-1.es.amazonaws.com/_plugin/kibana/#/discover/Steve-Slow-Train-Analysis-(2080s-and-2083s)?_g=(refreshInterval:(display:Off,section:0,value:0),time:(from:'2016-12-03 10:58:30-700',mode:absolute,to:'2016-12-03 13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6" s="52" t="str">
        <f t="shared" si="6"/>
        <v>Y</v>
      </c>
      <c r="X76" s="177">
        <f t="shared" si="26"/>
        <v>1</v>
      </c>
      <c r="Y76" s="67">
        <f t="shared" si="8"/>
        <v>15.439399999999999</v>
      </c>
      <c r="Z76" s="67">
        <f t="shared" si="24"/>
        <v>23.327200000000001</v>
      </c>
      <c r="AA76" s="67">
        <f t="shared" si="9"/>
        <v>7.8878000000000021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0"/>
        <v>0163-03</v>
      </c>
      <c r="AE76" s="91" t="str">
        <f t="shared" si="11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76" s="88" t="str">
        <f t="shared" si="12"/>
        <v>"C:\Program Files (x86)\AstroGrep\AstroGrep.exe" /spath="%USERPROFILE%\AppData\Local\Temp\OnboardLogs" /stypes="app*4040*20161203*" /stext=" 19:.+((SYSTEM_STATE.+slice.+state.+changed )|(ment ac)|(multiple cpu faults)|(system.+state.+changed )|(\[timeout)|(PRM\|1\|D)|(kpr)|(kdp)|(\|lc)|(penalty))" /e /r /s</v>
      </c>
      <c r="AG76" s="1" t="str">
        <f t="shared" si="13"/>
        <v>EC</v>
      </c>
      <c r="AH76" s="92" t="str">
        <f t="shared" si="16"/>
        <v>"%USERPROFILE%\Documents\GitHub\eaglep3\Utilities\RefineRTDCRunTimes.py" --tripid 163-03 --locoid 4040 --swversion DE.1.0.8.0 --startMP 204:154394 --initTime 2016-12-03T11:58:30 --startdatetime 2016-12-03T11:59:17 --delay 0 --endMP 204:233272 --enddatetime 2016-12-03T12:09:28 --enforcementcount 0 &gt;&gt;C:\Users\stu\Documents\GitHub\eaglep3-reporting\EC\2016-12-03-refined-times.txt</v>
      </c>
      <c r="AI76" s="119" t="str">
        <f t="shared" si="17"/>
        <v>echo {"issue":{"subject":"Wi-MAX data drop","project_id":79,"tracker_id":40,"status_id":1,"priority_id":2,"assigned_to_id":23,"start_date":"2016-12-03","description":"","custom_fields":[{"id":1,"name":"Subdivision","value":"EC"},{"id":4,"name":"Milepost","value":"23.3272"},{"id":17,"name":"Train ID","value":"163-03"},{"id":16,"name":"Locomotive ID","value":"4040"},{"id":130,"name":"Impact","value":""},{"id":150,"name":"Time of Event (Mountain Time)","value":"12:09:28"},{"id":151,"name":"Denver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444</v>
      </c>
      <c r="B77" s="7">
        <v>4040</v>
      </c>
      <c r="C77" s="22" t="s">
        <v>209</v>
      </c>
      <c r="D77" s="22" t="s">
        <v>251</v>
      </c>
      <c r="E77" s="13">
        <v>42707.476215277777</v>
      </c>
      <c r="F77" s="13">
        <v>42707.477627314816</v>
      </c>
      <c r="G77" s="7">
        <v>2</v>
      </c>
      <c r="H77" s="22" t="s">
        <v>702</v>
      </c>
      <c r="I77" s="13">
        <v>42707.49386574074</v>
      </c>
      <c r="J77" s="7">
        <v>2</v>
      </c>
      <c r="K77" s="109" t="str">
        <f t="shared" ref="K77:K140" si="27">IF(ISEVEN(B77),(B77-1)&amp;"/"&amp;B77,B77&amp;"/"&amp;(B77+1))</f>
        <v>4039/4040</v>
      </c>
      <c r="L77" s="22" t="str">
        <f>VLOOKUP(A77,'Trips&amp;Operators'!$C$1:$G$99999,5,FALSE)</f>
        <v>MOSES BRADLEY</v>
      </c>
      <c r="M77" s="6">
        <f t="shared" ref="M77:M140" si="28">I77-F77</f>
        <v>1.6238425923802424E-2</v>
      </c>
      <c r="N77" s="7"/>
      <c r="O77" s="7"/>
      <c r="P77" s="7"/>
      <c r="Q77" s="23"/>
      <c r="R77" s="23"/>
      <c r="S77" s="35"/>
      <c r="T77" s="50" t="str">
        <f t="shared" ref="T77:T140" si="29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11</v>
      </c>
      <c r="V77" s="98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https://search-rtdc-monitor-bjffxe2xuh6vdkpspy63sjmuny.us-east-1.es.amazonaws.com/_plugin/kibana/#/discover/Steve-Slow-Train-Analysis-(2080s-and-2083s)?_g=(refreshInterval:(display:Off,section:0,value:0),time:(from:'2016-12-03 10:25:45-700',mode:absolute,to:'2016-12-03 12:51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77" s="52" t="str">
        <f t="shared" ref="W77:W140" si="31">IF(AA77&lt;IF(AG77="EC",23,5.65),"Y","N")</f>
        <v>Y</v>
      </c>
      <c r="X77" s="177">
        <f t="shared" si="26"/>
        <v>0</v>
      </c>
      <c r="Y77" s="67">
        <f t="shared" ref="Y77:Y140" si="32">RIGHT(D77,LEN(D77)-4)/10000</f>
        <v>4.7100000000000003E-2</v>
      </c>
      <c r="Z77" s="67">
        <f t="shared" si="24"/>
        <v>10.547499999999999</v>
      </c>
      <c r="AA77" s="67">
        <f t="shared" ref="AA77:AA140" si="33">ABS(Z77-Y77)</f>
        <v>10.500399999999999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ref="AD77:AD140" si="34">IF(LEN(A77)=6,"0"&amp;A77,A77)</f>
        <v>0163-03</v>
      </c>
      <c r="AE77" s="91" t="str">
        <f t="shared" ref="AE77:AE140" si="35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77" s="88" t="str">
        <f t="shared" ref="AF77:AF140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/stypes="app*4040*20161203*" /stext=" 18:.+((SYSTEM_STATE.+slice.+state.+changed )|(ment ac)|(multiple cpu faults)|(system.+state.+changed )|(\[timeout)|(PRM\|1\|D)|(kpr)|(kdp)|(\|lc)|(penalty))" /e /r /s</v>
      </c>
      <c r="AG77" s="1" t="str">
        <f t="shared" ref="AG77:AG140" si="37">IFERROR(IF(VALUE(LEFT(AD77,2))&lt;=2,"EC",IF(OR(VALUE(LEFT(AD77,2))=8,VALUE(LEFT(AD77,2))=18),"NW","Other")),"Other")</f>
        <v>EC</v>
      </c>
      <c r="AH77" s="92" t="str">
        <f t="shared" ref="AH77:AH140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163-03 --locoid 4040 --swversion DE.1.0.8.0 --startMP 204:471 --initTime 2016-12-03T11:25:45 --startdatetime 2016-12-03T11:27:47 --delay 2 --endMP 204:105475 --enddatetime 2016-12-03T11:51:10 --enforcementcount 2 &gt;&gt;C:\Users\stu\Documents\GitHub\eaglep3-reporting\EC\2016-12-03-refined-times.txt</v>
      </c>
      <c r="AI77" s="119" t="str">
        <f t="shared" ref="AI77:AI140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{"issue":{"subject":"","project_id":79,"tracker_id":40,"status_id":1,"priority_id":2,"assigned_to_id":23,"start_date":"2016-12-03","description":"","custom_fields":[{"id":1,"name":"Subdivision","value":"EC"},{"id":4,"name":"Milepost","value":"10.5475"},{"id":17,"name":"Train ID","value":"163-03"},{"id":16,"name":"Locomotive ID","value":"4040"},{"id":130,"name":"Impact","value":""},{"id":150,"name":"Time of Event (Mountain Time)","value":"11:51:10"},{"id":151,"name":"Denver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565</v>
      </c>
      <c r="B78" s="7">
        <v>4039</v>
      </c>
      <c r="C78" s="22" t="s">
        <v>209</v>
      </c>
      <c r="D78" s="22" t="s">
        <v>400</v>
      </c>
      <c r="E78" s="13">
        <v>42707.514490740738</v>
      </c>
      <c r="F78" s="13">
        <v>42707.518275462964</v>
      </c>
      <c r="G78" s="7">
        <v>1</v>
      </c>
      <c r="H78" s="22" t="s">
        <v>241</v>
      </c>
      <c r="I78" s="13">
        <v>42707.544606481482</v>
      </c>
      <c r="J78" s="7">
        <v>0</v>
      </c>
      <c r="K78" s="109" t="str">
        <f t="shared" si="27"/>
        <v>4039/4040</v>
      </c>
      <c r="L78" s="22" t="str">
        <f>VLOOKUP(A78,'Trips&amp;Operators'!$C$1:$G$99999,5,FALSE)</f>
        <v>MOSES BRADLEY</v>
      </c>
      <c r="M78" s="6">
        <f t="shared" si="28"/>
        <v>2.6331018518249039E-2</v>
      </c>
      <c r="N78" s="7">
        <f t="shared" ref="N78:N109" si="40">24*60*SUM($M78:$M78)</f>
        <v>37.916666666278616</v>
      </c>
      <c r="O78" s="7"/>
      <c r="P78" s="7"/>
      <c r="Q78" s="23"/>
      <c r="R78" s="23"/>
      <c r="S78" s="35">
        <f t="shared" ref="S78:S109" si="41">SUM(U78:U78)/IF(AG78="EC",12,1)</f>
        <v>1</v>
      </c>
      <c r="T78" s="50" t="str">
        <f t="shared" si="29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11:20:52-700',mode:absolute,to:'2016-12-03 14:04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78" s="52" t="str">
        <f t="shared" si="31"/>
        <v>N</v>
      </c>
      <c r="X78" s="177">
        <f t="shared" si="26"/>
        <v>1</v>
      </c>
      <c r="Y78" s="67">
        <f t="shared" si="32"/>
        <v>23.297799999999999</v>
      </c>
      <c r="Z78" s="67">
        <f t="shared" si="24"/>
        <v>1.6500000000000001E-2</v>
      </c>
      <c r="AA78" s="67">
        <f t="shared" si="33"/>
        <v>23.281299999999998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4"/>
        <v>0164-03</v>
      </c>
      <c r="AE78" s="91" t="str">
        <f t="shared" si="35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78" s="88" t="str">
        <f t="shared" si="36"/>
        <v>"C:\Program Files (x86)\AstroGrep\AstroGrep.exe" /spath="%USERPROFILE%\AppData\Local\Temp\OnboardLogs" /stypes="app*4039*20161203*" /stext=" 20:.+((SYSTEM_STATE.+slice.+state.+changed )|(ment ac)|(multiple cpu faults)|(system.+state.+changed )|(\[timeout)|(PRM\|1\|D)|(kpr)|(kdp)|(\|lc)|(penalty))" /e /r /s</v>
      </c>
      <c r="AG78" s="1" t="str">
        <f t="shared" si="37"/>
        <v>EC</v>
      </c>
      <c r="AH78" s="92" t="str">
        <f t="shared" si="38"/>
        <v>"%USERPROFILE%\Documents\GitHub\eaglep3\Utilities\RefineRTDCRunTimes.py" --tripid 164-03 --locoid 4039 --swversion DE.1.0.8.0 --startMP 204:232978 --initTime 2016-12-03T12:20:52 --startdatetime 2016-12-03T12:26:19 --delay 1 --endMP 204:165 --enddatetime 2016-12-03T13:04:14 --enforcementcount 0 &gt;&gt;C:\Users\stu\Documents\GitHub\eaglep3-reporting\EC\2016-12-03-refined-times.txt</v>
      </c>
      <c r="AI78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{"issue":{"subject":"","project_id":79,"tracker_id":40,"status_id":1,"priority_id":2,"assigned_to_id":23,"start_date":"2016-12-03","description":"","custom_fields":[{"id":1,"name":"Subdivision","value":"EC"},{"id":4,"name":"Milepost","value":"0.0165"},{"id":17,"name":"Train ID","value":"164-03"},{"id":16,"name":"Locomotive ID","value":"4039"},{"id":130,"name":"Impact","value":""},{"id":150,"name":"Time of Event (Mountain Time)","value":"13:04:14"},{"id":151,"name":"Denver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557</v>
      </c>
      <c r="B79" s="7">
        <v>4022</v>
      </c>
      <c r="C79" s="22" t="s">
        <v>209</v>
      </c>
      <c r="D79" s="22" t="s">
        <v>243</v>
      </c>
      <c r="E79" s="13">
        <v>42707.485000000001</v>
      </c>
      <c r="F79" s="13">
        <v>42707.489814814813</v>
      </c>
      <c r="G79" s="7">
        <v>2</v>
      </c>
      <c r="H79" s="22" t="s">
        <v>703</v>
      </c>
      <c r="I79" s="13">
        <v>42707.514837962961</v>
      </c>
      <c r="J79" s="7">
        <v>0</v>
      </c>
      <c r="K79" s="109" t="str">
        <f t="shared" si="27"/>
        <v>4021/4022</v>
      </c>
      <c r="L79" s="22" t="str">
        <f>VLOOKUP(A79,'Trips&amp;Operators'!$C$1:$G$99999,5,FALSE)</f>
        <v>SHOOK JOHN</v>
      </c>
      <c r="M79" s="6">
        <f t="shared" si="28"/>
        <v>2.5023148147738539E-2</v>
      </c>
      <c r="N79" s="7">
        <f t="shared" si="40"/>
        <v>36.033333332743496</v>
      </c>
      <c r="O79" s="7"/>
      <c r="P79" s="7"/>
      <c r="Q79" s="23"/>
      <c r="R79" s="23"/>
      <c r="S79" s="35">
        <f t="shared" si="41"/>
        <v>1</v>
      </c>
      <c r="T79" s="50" t="str">
        <f t="shared" si="29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10:38:24-700',mode:absolute,to:'2016-12-03 13:21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9" s="52" t="str">
        <f t="shared" si="31"/>
        <v>N</v>
      </c>
      <c r="X79" s="177">
        <f t="shared" si="26"/>
        <v>1</v>
      </c>
      <c r="Y79" s="67">
        <f t="shared" si="32"/>
        <v>4.5499999999999999E-2</v>
      </c>
      <c r="Z79" s="67">
        <f t="shared" si="24"/>
        <v>23.336300000000001</v>
      </c>
      <c r="AA79" s="67">
        <f t="shared" si="33"/>
        <v>23.290800000000001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4"/>
        <v>0165-03</v>
      </c>
      <c r="AE79" s="91" t="str">
        <f t="shared" si="35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79" s="88" t="str">
        <f t="shared" si="36"/>
        <v>"C:\Program Files (x86)\AstroGrep\AstroGrep.exe" /spath="%USERPROFILE%\AppData\Local\Temp\OnboardLogs" /stypes="app*4022*20161203*" /stext=" 19:.+((SYSTEM_STATE.+slice.+state.+changed )|(ment ac)|(multiple cpu faults)|(system.+state.+changed )|(\[timeout)|(PRM\|1\|D)|(kpr)|(kdp)|(\|lc)|(penalty))" /e /r /s</v>
      </c>
      <c r="AG79" s="1" t="str">
        <f t="shared" si="37"/>
        <v>EC</v>
      </c>
      <c r="AH79" s="92" t="str">
        <f t="shared" si="38"/>
        <v>"%USERPROFILE%\Documents\GitHub\eaglep3\Utilities\RefineRTDCRunTimes.py" --tripid 165-03 --locoid 4022 --swversion DE.1.0.8.0 --startMP 204:455 --initTime 2016-12-03T11:38:24 --startdatetime 2016-12-03T11:45:20 --delay 2 --endMP 204:233363 --enddatetime 2016-12-03T12:21:22 --enforcementcount 0 &gt;&gt;C:\Users\stu\Documents\GitHub\eaglep3-reporting\EC\2016-12-03-refined-times.txt</v>
      </c>
      <c r="AI79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{"issue":{"subject":"","project_id":79,"tracker_id":40,"status_id":1,"priority_id":2,"assigned_to_id":23,"start_date":"2016-12-03","description":"","custom_fields":[{"id":1,"name":"Subdivision","value":"EC"},{"id":4,"name":"Milepost","value":"23.3363"},{"id":17,"name":"Train ID","value":"165-03"},{"id":16,"name":"Locomotive ID","value":"4022"},{"id":130,"name":"Impact","value":""},{"id":150,"name":"Time of Event (Mountain Time)","value":"12:21:22"},{"id":151,"name":"Denver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567</v>
      </c>
      <c r="B80" s="7">
        <v>4021</v>
      </c>
      <c r="C80" s="22" t="s">
        <v>209</v>
      </c>
      <c r="D80" s="22" t="s">
        <v>408</v>
      </c>
      <c r="E80" s="13">
        <v>42707.524247685185</v>
      </c>
      <c r="F80" s="13">
        <v>42707.528668981482</v>
      </c>
      <c r="G80" s="7">
        <v>3</v>
      </c>
      <c r="H80" s="22" t="s">
        <v>704</v>
      </c>
      <c r="I80" s="13">
        <v>42707.554837962962</v>
      </c>
      <c r="J80" s="7">
        <v>0</v>
      </c>
      <c r="K80" s="109" t="str">
        <f t="shared" si="27"/>
        <v>4021/4022</v>
      </c>
      <c r="L80" s="22" t="str">
        <f>VLOOKUP(A80,'Trips&amp;Operators'!$C$1:$G$99999,5,FALSE)</f>
        <v>SHOOK JOHN</v>
      </c>
      <c r="M80" s="6">
        <f t="shared" si="28"/>
        <v>2.6168981479713693E-2</v>
      </c>
      <c r="N80" s="7">
        <f t="shared" si="40"/>
        <v>37.683333330787718</v>
      </c>
      <c r="O80" s="7"/>
      <c r="P80" s="7"/>
      <c r="Q80" s="23"/>
      <c r="R80" s="23"/>
      <c r="S80" s="35">
        <f t="shared" si="41"/>
        <v>1</v>
      </c>
      <c r="T80" s="50" t="str">
        <f t="shared" si="29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11:34:55-700',mode:absolute,to:'2016-12-03 14:18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80" s="52" t="str">
        <f t="shared" si="31"/>
        <v>N</v>
      </c>
      <c r="X80" s="177">
        <f t="shared" si="26"/>
        <v>1</v>
      </c>
      <c r="Y80" s="67">
        <f t="shared" si="32"/>
        <v>23.3047</v>
      </c>
      <c r="Z80" s="67">
        <f t="shared" si="24"/>
        <v>1.3599999999999999E-2</v>
      </c>
      <c r="AA80" s="67">
        <f t="shared" si="33"/>
        <v>23.2911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4"/>
        <v>0166-03</v>
      </c>
      <c r="AE80" s="91" t="str">
        <f t="shared" si="35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80" s="88" t="str">
        <f t="shared" si="36"/>
        <v>"C:\Program Files (x86)\AstroGrep\AstroGrep.exe" /spath="%USERPROFILE%\AppData\Local\Temp\OnboardLogs" /stypes="app*4021*20161203*" /stext=" 20:.+((SYSTEM_STATE.+slice.+state.+changed )|(ment ac)|(multiple cpu faults)|(system.+state.+changed )|(\[timeout)|(PRM\|1\|D)|(kpr)|(kdp)|(\|lc)|(penalty))" /e /r /s</v>
      </c>
      <c r="AG80" s="1" t="str">
        <f t="shared" si="37"/>
        <v>EC</v>
      </c>
      <c r="AH80" s="92" t="str">
        <f t="shared" si="38"/>
        <v>"%USERPROFILE%\Documents\GitHub\eaglep3\Utilities\RefineRTDCRunTimes.py" --tripid 166-03 --locoid 4021 --swversion DE.1.0.8.0 --startMP 204:233047 --initTime 2016-12-03T12:34:55 --startdatetime 2016-12-03T12:41:17 --delay 3 --endMP 204:136 --enddatetime 2016-12-03T13:18:58 --enforcementcount 0 &gt;&gt;C:\Users\stu\Documents\GitHub\eaglep3-reporting\EC\2016-12-03-refined-times.txt</v>
      </c>
      <c r="AI80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{"issue":{"subject":"","project_id":79,"tracker_id":40,"status_id":1,"priority_id":2,"assigned_to_id":23,"start_date":"2016-12-03","description":"","custom_fields":[{"id":1,"name":"Subdivision","value":"EC"},{"id":4,"name":"Milepost","value":"0.0136"},{"id":17,"name":"Train ID","value":"166-03"},{"id":16,"name":"Locomotive ID","value":"4021"},{"id":130,"name":"Impact","value":""},{"id":150,"name":"Time of Event (Mountain Time)","value":"13:18:58"},{"id":151,"name":"Denver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560</v>
      </c>
      <c r="B81" s="7">
        <v>4016</v>
      </c>
      <c r="C81" s="22" t="s">
        <v>209</v>
      </c>
      <c r="D81" s="22" t="s">
        <v>245</v>
      </c>
      <c r="E81" s="13">
        <v>42707.496967592589</v>
      </c>
      <c r="F81" s="13">
        <v>42707.500462962962</v>
      </c>
      <c r="G81" s="7">
        <v>2</v>
      </c>
      <c r="H81" s="22" t="s">
        <v>256</v>
      </c>
      <c r="I81" s="13">
        <v>42707.525358796294</v>
      </c>
      <c r="J81" s="7">
        <v>0</v>
      </c>
      <c r="K81" s="109" t="str">
        <f t="shared" si="27"/>
        <v>4015/4016</v>
      </c>
      <c r="L81" s="22" t="str">
        <f>VLOOKUP(A81,'Trips&amp;Operators'!$C$1:$G$99999,5,FALSE)</f>
        <v>BRUDER RICHARD</v>
      </c>
      <c r="M81" s="6">
        <f t="shared" si="28"/>
        <v>2.4895833332266193E-2</v>
      </c>
      <c r="N81" s="7">
        <f t="shared" si="40"/>
        <v>35.849999998463318</v>
      </c>
      <c r="O81" s="7"/>
      <c r="P81" s="7"/>
      <c r="Q81" s="23"/>
      <c r="R81" s="23"/>
      <c r="S81" s="35">
        <f t="shared" si="41"/>
        <v>1</v>
      </c>
      <c r="T81" s="50" t="str">
        <f t="shared" si="29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10:55:38-700',mode:absolute,to:'2016-12-03 13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1" s="52" t="str">
        <f t="shared" si="31"/>
        <v>N</v>
      </c>
      <c r="X81" s="177">
        <f t="shared" si="26"/>
        <v>1</v>
      </c>
      <c r="Y81" s="67">
        <f t="shared" si="32"/>
        <v>4.4200000000000003E-2</v>
      </c>
      <c r="Z81" s="67">
        <f t="shared" ref="Z81:Z112" si="42">RIGHT(H81,LEN(H81)-4)/10000</f>
        <v>23.3307</v>
      </c>
      <c r="AA81" s="67">
        <f t="shared" si="33"/>
        <v>23.2865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4"/>
        <v>0167-03</v>
      </c>
      <c r="AE81" s="91" t="str">
        <f t="shared" si="35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81" s="88" t="str">
        <f t="shared" si="36"/>
        <v>"C:\Program Files (x86)\AstroGrep\AstroGrep.exe" /spath="%USERPROFILE%\AppData\Local\Temp\OnboardLogs" /stypes="app*4016*20161203*" /stext=" 19:.+((SYSTEM_STATE.+slice.+state.+changed )|(ment ac)|(multiple cpu faults)|(system.+state.+changed )|(\[timeout)|(PRM\|1\|D)|(kpr)|(kdp)|(\|lc)|(penalty))" /e /r /s</v>
      </c>
      <c r="AG81" s="1" t="str">
        <f t="shared" si="37"/>
        <v>EC</v>
      </c>
      <c r="AH81" s="92" t="str">
        <f t="shared" si="38"/>
        <v>"%USERPROFILE%\Documents\GitHub\eaglep3\Utilities\RefineRTDCRunTimes.py" --tripid 167-03 --locoid 4016 --swversion DE.1.0.8.0 --startMP 204:442 --initTime 2016-12-03T11:55:38 --startdatetime 2016-12-03T12:00:40 --delay 2 --endMP 204:233307 --enddatetime 2016-12-03T12:36:31 --enforcementcount 0 &gt;&gt;C:\Users\stu\Documents\GitHub\eaglep3-reporting\EC\2016-12-03-refined-times.txt</v>
      </c>
      <c r="AI81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{"issue":{"subject":"","project_id":79,"tracker_id":40,"status_id":1,"priority_id":2,"assigned_to_id":23,"start_date":"2016-12-03","description":"","custom_fields":[{"id":1,"name":"Subdivision","value":"EC"},{"id":4,"name":"Milepost","value":"23.3307"},{"id":17,"name":"Train ID","value":"167-03"},{"id":16,"name":"Locomotive ID","value":"4016"},{"id":130,"name":"Impact","value":""},{"id":150,"name":"Time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570</v>
      </c>
      <c r="B82" s="7">
        <v>4015</v>
      </c>
      <c r="C82" s="22" t="s">
        <v>209</v>
      </c>
      <c r="D82" s="22" t="s">
        <v>263</v>
      </c>
      <c r="E82" s="13">
        <v>42707.533993055556</v>
      </c>
      <c r="F82" s="13">
        <v>42707.539085648146</v>
      </c>
      <c r="G82" s="7">
        <v>3</v>
      </c>
      <c r="H82" s="22" t="s">
        <v>239</v>
      </c>
      <c r="I82" s="13">
        <v>42707.564930555556</v>
      </c>
      <c r="J82" s="7">
        <v>0</v>
      </c>
      <c r="K82" s="109" t="str">
        <f t="shared" si="27"/>
        <v>4015/4016</v>
      </c>
      <c r="L82" s="22" t="str">
        <f>VLOOKUP(A82,'Trips&amp;Operators'!$C$1:$G$99999,5,FALSE)</f>
        <v>BRUDER RICHARD</v>
      </c>
      <c r="M82" s="6">
        <f t="shared" si="28"/>
        <v>2.584490740991896E-2</v>
      </c>
      <c r="N82" s="7">
        <f t="shared" si="40"/>
        <v>37.216666670283303</v>
      </c>
      <c r="O82" s="7"/>
      <c r="P82" s="7"/>
      <c r="Q82" s="23"/>
      <c r="R82" s="23"/>
      <c r="S82" s="35">
        <f t="shared" si="41"/>
        <v>1</v>
      </c>
      <c r="T82" s="50" t="str">
        <f t="shared" si="29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11:48:57-700',mode:absolute,to:'2016-12-03 14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2" s="52" t="str">
        <f t="shared" si="31"/>
        <v>N</v>
      </c>
      <c r="X82" s="177">
        <f t="shared" si="26"/>
        <v>1</v>
      </c>
      <c r="Y82" s="67">
        <f t="shared" si="32"/>
        <v>23.2988</v>
      </c>
      <c r="Z82" s="67">
        <f t="shared" si="42"/>
        <v>1.47E-2</v>
      </c>
      <c r="AA82" s="67">
        <f t="shared" si="33"/>
        <v>23.284099999999999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4"/>
        <v>0168-03</v>
      </c>
      <c r="AE82" s="91" t="str">
        <f t="shared" si="35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82" s="88" t="str">
        <f t="shared" si="36"/>
        <v>"C:\Program Files (x86)\AstroGrep\AstroGrep.exe" /spath="%USERPROFILE%\AppData\Local\Temp\OnboardLogs" /stypes="app*4015*20161203*" /stext=" 20:.+((SYSTEM_STATE.+slice.+state.+changed )|(ment ac)|(multiple cpu faults)|(system.+state.+changed )|(\[timeout)|(PRM\|1\|D)|(kpr)|(kdp)|(\|lc)|(penalty))" /e /r /s</v>
      </c>
      <c r="AG82" s="1" t="str">
        <f t="shared" si="37"/>
        <v>EC</v>
      </c>
      <c r="AH82" s="92" t="str">
        <f t="shared" si="38"/>
        <v>"%USERPROFILE%\Documents\GitHub\eaglep3\Utilities\RefineRTDCRunTimes.py" --tripid 168-03 --locoid 4015 --swversion DE.1.0.8.0 --startMP 204:232988 --initTime 2016-12-03T12:48:57 --startdatetime 2016-12-03T12:56:17 --delay 3 --endMP 204:147 --enddatetime 2016-12-03T13:33:30 --enforcementcount 0 &gt;&gt;C:\Users\stu\Documents\GitHub\eaglep3-reporting\EC\2016-12-03-refined-times.txt</v>
      </c>
      <c r="AI82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{"issue":{"subject":"","project_id":79,"tracker_id":40,"status_id":1,"priority_id":2,"assigned_to_id":23,"start_date":"2016-12-03","description":"","custom_fields":[{"id":1,"name":"Subdivision","value":"EC"},{"id":4,"name":"Milepost","value":"0.0147"},{"id":17,"name":"Train ID","value":"168-03"},{"id":16,"name":"Locomotive ID","value":"4015"},{"id":130,"name":"Impact","value":""},{"id":150,"name":"Time of Event (Mountain Time)","value":"13:33:30"},{"id":151,"name":"Denver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564</v>
      </c>
      <c r="B83" s="7">
        <v>4042</v>
      </c>
      <c r="C83" s="22" t="s">
        <v>209</v>
      </c>
      <c r="D83" s="22" t="s">
        <v>680</v>
      </c>
      <c r="E83" s="13">
        <v>42707.505972222221</v>
      </c>
      <c r="F83" s="13">
        <v>42707.510601851849</v>
      </c>
      <c r="G83" s="7">
        <v>1</v>
      </c>
      <c r="H83" s="22" t="s">
        <v>314</v>
      </c>
      <c r="I83" s="13">
        <v>42707.536446759259</v>
      </c>
      <c r="J83" s="7">
        <v>0</v>
      </c>
      <c r="K83" s="109" t="str">
        <f t="shared" si="27"/>
        <v>4041/4042</v>
      </c>
      <c r="L83" s="22" t="str">
        <f>VLOOKUP(A83,'Trips&amp;Operators'!$C$1:$G$99999,5,FALSE)</f>
        <v>CLARK KATHLEEN</v>
      </c>
      <c r="M83" s="6">
        <f t="shared" si="28"/>
        <v>2.584490740991896E-2</v>
      </c>
      <c r="N83" s="7">
        <f t="shared" si="40"/>
        <v>37.216666670283303</v>
      </c>
      <c r="O83" s="7"/>
      <c r="P83" s="7"/>
      <c r="Q83" s="23"/>
      <c r="R83" s="23"/>
      <c r="S83" s="35">
        <f t="shared" si="41"/>
        <v>1</v>
      </c>
      <c r="T83" s="50" t="str">
        <f t="shared" si="29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11:08:36-700',mode:absolute,to:'2016-12-03 13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3" s="52" t="str">
        <f t="shared" si="31"/>
        <v>N</v>
      </c>
      <c r="X83" s="177">
        <f t="shared" si="26"/>
        <v>1</v>
      </c>
      <c r="Y83" s="67">
        <f t="shared" si="32"/>
        <v>4.4400000000000002E-2</v>
      </c>
      <c r="Z83" s="67">
        <f t="shared" si="42"/>
        <v>23.331199999999999</v>
      </c>
      <c r="AA83" s="67">
        <f t="shared" si="33"/>
        <v>23.286799999999999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4"/>
        <v>0169-03</v>
      </c>
      <c r="AE83" s="91" t="str">
        <f t="shared" si="35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83" s="88" t="str">
        <f t="shared" si="36"/>
        <v>"C:\Program Files (x86)\AstroGrep\AstroGrep.exe" /spath="%USERPROFILE%\AppData\Local\Temp\OnboardLogs" /stypes="app*4042*20161203*" /stext=" 19:.+((SYSTEM_STATE.+slice.+state.+changed )|(ment ac)|(multiple cpu faults)|(system.+state.+changed )|(\[timeout)|(PRM\|1\|D)|(kpr)|(kdp)|(\|lc)|(penalty))" /e /r /s</v>
      </c>
      <c r="AG83" s="1" t="str">
        <f t="shared" si="37"/>
        <v>EC</v>
      </c>
      <c r="AH83" s="92" t="str">
        <f t="shared" si="38"/>
        <v>"%USERPROFILE%\Documents\GitHub\eaglep3\Utilities\RefineRTDCRunTimes.py" --tripid 169-03 --locoid 4042 --swversion DE.1.0.8.0 --startMP 204:444 --initTime 2016-12-03T12:08:36 --startdatetime 2016-12-03T12:15:16 --delay 1 --endMP 204:233312 --enddatetime 2016-12-03T12:52:29 --enforcementcount 0 &gt;&gt;C:\Users\stu\Documents\GitHub\eaglep3-reporting\EC\2016-12-03-refined-times.txt</v>
      </c>
      <c r="AI83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{"issue":{"subject":"","project_id":79,"tracker_id":40,"status_id":1,"priority_id":2,"assigned_to_id":23,"start_date":"2016-12-03","description":"","custom_fields":[{"id":1,"name":"Subdivision","value":"EC"},{"id":4,"name":"Milepost","value":"23.3312"},{"id":17,"name":"Train ID","value":"169-03"},{"id":16,"name":"Locomotive ID","value":"4042"},{"id":130,"name":"Impact","value":""},{"id":150,"name":"Time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573</v>
      </c>
      <c r="B84" s="7">
        <v>4041</v>
      </c>
      <c r="C84" s="22" t="s">
        <v>209</v>
      </c>
      <c r="D84" s="22" t="s">
        <v>331</v>
      </c>
      <c r="E84" s="13">
        <v>42707.54409722222</v>
      </c>
      <c r="F84" s="13">
        <v>42707.549479166664</v>
      </c>
      <c r="G84" s="7">
        <v>1</v>
      </c>
      <c r="H84" s="22" t="s">
        <v>293</v>
      </c>
      <c r="I84" s="13">
        <v>42707.577905092592</v>
      </c>
      <c r="J84" s="7">
        <v>0</v>
      </c>
      <c r="K84" s="109" t="str">
        <f t="shared" si="27"/>
        <v>4041/4042</v>
      </c>
      <c r="L84" s="22" t="str">
        <f>VLOOKUP(A84,'Trips&amp;Operators'!$C$1:$G$99999,5,FALSE)</f>
        <v>CLARK KATHLEEN</v>
      </c>
      <c r="M84" s="6">
        <f t="shared" si="28"/>
        <v>2.842592592787696E-2</v>
      </c>
      <c r="N84" s="7">
        <f t="shared" si="40"/>
        <v>40.933333336142823</v>
      </c>
      <c r="O84" s="7"/>
      <c r="P84" s="7"/>
      <c r="Q84" s="23"/>
      <c r="R84" s="23"/>
      <c r="S84" s="35">
        <f t="shared" si="41"/>
        <v>1</v>
      </c>
      <c r="T84" s="50" t="str">
        <f t="shared" si="29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12:03:30-700',mode:absolute,to:'2016-12-03 14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4" s="52" t="str">
        <f t="shared" si="31"/>
        <v>N</v>
      </c>
      <c r="X84" s="177">
        <f t="shared" si="26"/>
        <v>1</v>
      </c>
      <c r="Y84" s="67">
        <f t="shared" si="32"/>
        <v>23.299099999999999</v>
      </c>
      <c r="Z84" s="67">
        <f t="shared" si="42"/>
        <v>1.6299999999999999E-2</v>
      </c>
      <c r="AA84" s="67">
        <f t="shared" si="33"/>
        <v>23.282799999999998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4"/>
        <v>0170-03</v>
      </c>
      <c r="AE84" s="91" t="str">
        <f t="shared" si="35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84" s="88" t="str">
        <f t="shared" si="36"/>
        <v>"C:\Program Files (x86)\AstroGrep\AstroGrep.exe" /spath="%USERPROFILE%\AppData\Local\Temp\OnboardLogs" /stypes="app*4041*20161203*" /stext=" 20:.+((SYSTEM_STATE.+slice.+state.+changed )|(ment ac)|(multiple cpu faults)|(system.+state.+changed )|(\[timeout)|(PRM\|1\|D)|(kpr)|(kdp)|(\|lc)|(penalty))" /e /r /s</v>
      </c>
      <c r="AG84" s="1" t="str">
        <f t="shared" si="37"/>
        <v>EC</v>
      </c>
      <c r="AH84" s="92" t="str">
        <f t="shared" si="38"/>
        <v>"%USERPROFILE%\Documents\GitHub\eaglep3\Utilities\RefineRTDCRunTimes.py" --tripid 170-03 --locoid 4041 --swversion DE.1.0.8.0 --startMP 204:232991 --initTime 2016-12-03T13:03:30 --startdatetime 2016-12-03T13:11:15 --delay 1 --endMP 204:163 --enddatetime 2016-12-03T13:52:11 --enforcementcount 0 &gt;&gt;C:\Users\stu\Documents\GitHub\eaglep3-reporting\EC\2016-12-03-refined-times.txt</v>
      </c>
      <c r="AI84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{"issue":{"subject":"","project_id":79,"tracker_id":40,"status_id":1,"priority_id":2,"assigned_to_id":23,"start_date":"2016-12-03","description":"","custom_fields":[{"id":1,"name":"Subdivision","value":"EC"},{"id":4,"name":"Milepost","value":"0.0163"},{"id":17,"name":"Train ID","value":"170-03"},{"id":16,"name":"Locomotive ID","value":"4041"},{"id":130,"name":"Impact","value":""},{"id":150,"name":"Time of Event (Mountain Time)","value":"13:52:11"},{"id":151,"name":"Denver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566</v>
      </c>
      <c r="B85" s="7">
        <v>4027</v>
      </c>
      <c r="C85" s="22" t="s">
        <v>209</v>
      </c>
      <c r="D85" s="22" t="s">
        <v>207</v>
      </c>
      <c r="E85" s="13">
        <v>42707.519062500003</v>
      </c>
      <c r="F85" s="13">
        <v>42707.521099537036</v>
      </c>
      <c r="G85" s="7">
        <v>1</v>
      </c>
      <c r="H85" s="22" t="s">
        <v>404</v>
      </c>
      <c r="I85" s="13">
        <v>42707.546620370369</v>
      </c>
      <c r="J85" s="7">
        <v>0</v>
      </c>
      <c r="K85" s="109" t="str">
        <f t="shared" si="27"/>
        <v>4027/4028</v>
      </c>
      <c r="L85" s="22" t="str">
        <f>VLOOKUP(A85,'Trips&amp;Operators'!$C$1:$G$99999,5,FALSE)</f>
        <v>ARVIDSON DANIEL</v>
      </c>
      <c r="M85" s="6">
        <f t="shared" si="28"/>
        <v>2.5520833332848269E-2</v>
      </c>
      <c r="N85" s="7">
        <f t="shared" si="40"/>
        <v>36.749999999301508</v>
      </c>
      <c r="O85" s="7"/>
      <c r="P85" s="7"/>
      <c r="Q85" s="23"/>
      <c r="R85" s="23"/>
      <c r="S85" s="35">
        <f t="shared" si="41"/>
        <v>1</v>
      </c>
      <c r="T85" s="50" t="str">
        <f t="shared" si="29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11:27:27-700',mode:absolute,to:'2016-12-03 14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85" s="52" t="str">
        <f t="shared" si="31"/>
        <v>N</v>
      </c>
      <c r="X85" s="177">
        <f t="shared" si="26"/>
        <v>1</v>
      </c>
      <c r="Y85" s="67">
        <f t="shared" si="32"/>
        <v>4.6199999999999998E-2</v>
      </c>
      <c r="Z85" s="67">
        <f t="shared" si="42"/>
        <v>23.328600000000002</v>
      </c>
      <c r="AA85" s="67">
        <f t="shared" si="33"/>
        <v>23.282400000000003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4"/>
        <v>0171-03</v>
      </c>
      <c r="AE85" s="91" t="str">
        <f t="shared" si="35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85" s="88" t="str">
        <f t="shared" si="36"/>
        <v>"C:\Program Files (x86)\AstroGrep\AstroGrep.exe" /spath="%USERPROFILE%\AppData\Local\Temp\OnboardLogs" /stypes="app*4027*20161203*" /stext=" 20:.+((SYSTEM_STATE.+slice.+state.+changed )|(ment ac)|(multiple cpu faults)|(system.+state.+changed )|(\[timeout)|(PRM\|1\|D)|(kpr)|(kdp)|(\|lc)|(penalty))" /e /r /s</v>
      </c>
      <c r="AG85" s="1" t="str">
        <f t="shared" si="37"/>
        <v>EC</v>
      </c>
      <c r="AH85" s="92" t="str">
        <f t="shared" si="38"/>
        <v>"%USERPROFILE%\Documents\GitHub\eaglep3\Utilities\RefineRTDCRunTimes.py" --tripid 171-03 --locoid 4027 --swversion DE.1.0.8.0 --startMP 204:462 --initTime 2016-12-03T12:27:27 --startdatetime 2016-12-03T12:30:23 --delay 1 --endMP 204:233286 --enddatetime 2016-12-03T13:07:08 --enforcementcount 0 &gt;&gt;C:\Users\stu\Documents\GitHub\eaglep3-reporting\EC\2016-12-03-refined-times.txt</v>
      </c>
      <c r="AI85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{"issue":{"subject":"","project_id":79,"tracker_id":40,"status_id":1,"priority_id":2,"assigned_to_id":23,"start_date":"2016-12-03","description":"","custom_fields":[{"id":1,"name":"Subdivision","value":"EC"},{"id":4,"name":"Milepost","value":"23.3286"},{"id":17,"name":"Train ID","value":"171-03"},{"id":16,"name":"Locomotive ID","value":"4027"},{"id":130,"name":"Impact","value":""},{"id":150,"name":"Time of Event (Mountain Time)","value":"13:07:08"},{"id":151,"name":"Denver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574</v>
      </c>
      <c r="B86" s="7">
        <v>4028</v>
      </c>
      <c r="C86" s="22" t="s">
        <v>209</v>
      </c>
      <c r="D86" s="22" t="s">
        <v>705</v>
      </c>
      <c r="E86" s="13">
        <v>42707.552662037036</v>
      </c>
      <c r="F86" s="13">
        <v>42707.560057870367</v>
      </c>
      <c r="G86" s="7">
        <v>1</v>
      </c>
      <c r="H86" s="22" t="s">
        <v>232</v>
      </c>
      <c r="I86" s="13">
        <v>42707.586319444446</v>
      </c>
      <c r="J86" s="7">
        <v>0</v>
      </c>
      <c r="K86" s="109" t="str">
        <f t="shared" si="27"/>
        <v>4027/4028</v>
      </c>
      <c r="L86" s="22" t="str">
        <f>VLOOKUP(A86,'Trips&amp;Operators'!$C$1:$G$99999,5,FALSE)</f>
        <v>ARVIDSON DANIEL</v>
      </c>
      <c r="M86" s="6">
        <f t="shared" si="28"/>
        <v>2.6261574079398997E-2</v>
      </c>
      <c r="N86" s="7">
        <f t="shared" si="40"/>
        <v>37.816666674334556</v>
      </c>
      <c r="O86" s="7"/>
      <c r="P86" s="7"/>
      <c r="Q86" s="23"/>
      <c r="R86" s="23"/>
      <c r="S86" s="35">
        <f t="shared" si="41"/>
        <v>1</v>
      </c>
      <c r="T86" s="50" t="str">
        <f t="shared" si="29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12:15:50-700',mode:absolute,to:'2016-12-03 15:04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86" s="52" t="str">
        <f t="shared" si="31"/>
        <v>N</v>
      </c>
      <c r="X86" s="177">
        <f t="shared" si="26"/>
        <v>1</v>
      </c>
      <c r="Y86" s="67">
        <f t="shared" si="32"/>
        <v>23.3001</v>
      </c>
      <c r="Z86" s="67">
        <f t="shared" si="42"/>
        <v>1.41E-2</v>
      </c>
      <c r="AA86" s="67">
        <f t="shared" si="33"/>
        <v>23.286000000000001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4"/>
        <v>0172-03</v>
      </c>
      <c r="AE86" s="91" t="str">
        <f t="shared" si="35"/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AF86" s="88" t="str">
        <f t="shared" si="36"/>
        <v>"C:\Program Files (x86)\AstroGrep\AstroGrep.exe" /spath="%USERPROFILE%\AppData\Local\Temp\OnboardLogs" /stypes="app*4028*20161203*" /stext=" 21:.+((SYSTEM_STATE.+slice.+state.+changed )|(ment ac)|(multiple cpu faults)|(system.+state.+changed )|(\[timeout)|(PRM\|1\|D)|(kpr)|(kdp)|(\|lc)|(penalty))" /e /r /s</v>
      </c>
      <c r="AG86" s="1" t="str">
        <f t="shared" si="37"/>
        <v>EC</v>
      </c>
      <c r="AH86" s="92" t="str">
        <f t="shared" si="38"/>
        <v>"%USERPROFILE%\Documents\GitHub\eaglep3\Utilities\RefineRTDCRunTimes.py" --tripid 172-03 --locoid 4028 --swversion DE.1.0.8.0 --startMP 204:233001 --initTime 2016-12-03T13:15:50 --startdatetime 2016-12-03T13:26:29 --delay 1 --endMP 204:141 --enddatetime 2016-12-03T14:04:18 --enforcementcount 0 &gt;&gt;C:\Users\stu\Documents\GitHub\eaglep3-reporting\EC\2016-12-03-refined-times.txt</v>
      </c>
      <c r="AI86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{"issue":{"subject":"","project_id":79,"tracker_id":40,"status_id":1,"priority_id":2,"assigned_to_id":23,"start_date":"2016-12-03","description":"","custom_fields":[{"id":1,"name":"Subdivision","value":"EC"},{"id":4,"name":"Milepost","value":"0.0141"},{"id":17,"name":"Train ID","value":"172-03"},{"id":16,"name":"Locomotive ID","value":"4028"},{"id":130,"name":"Impact","value":""},{"id":150,"name":"Time of Event (Mountain Time)","value":"14:04:18"},{"id":151,"name":"Denver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569</v>
      </c>
      <c r="B87" s="7">
        <v>4038</v>
      </c>
      <c r="C87" s="22" t="s">
        <v>209</v>
      </c>
      <c r="D87" s="22" t="s">
        <v>287</v>
      </c>
      <c r="E87" s="13">
        <v>42707.5309375</v>
      </c>
      <c r="F87" s="13">
        <v>42707.53266203704</v>
      </c>
      <c r="G87" s="7">
        <v>1</v>
      </c>
      <c r="H87" s="22" t="s">
        <v>267</v>
      </c>
      <c r="I87" s="13">
        <v>42707.557511574072</v>
      </c>
      <c r="J87" s="7">
        <v>0</v>
      </c>
      <c r="K87" s="109" t="str">
        <f t="shared" si="27"/>
        <v>4037/4038</v>
      </c>
      <c r="L87" s="22" t="str">
        <f>VLOOKUP(A87,'Trips&amp;Operators'!$C$1:$G$99999,5,FALSE)</f>
        <v>STEWART MICHAEL</v>
      </c>
      <c r="M87" s="6">
        <f t="shared" si="28"/>
        <v>2.4849537032423541E-2</v>
      </c>
      <c r="N87" s="7">
        <f t="shared" si="40"/>
        <v>35.783333326689899</v>
      </c>
      <c r="O87" s="7"/>
      <c r="P87" s="7"/>
      <c r="Q87" s="23"/>
      <c r="R87" s="23"/>
      <c r="S87" s="35">
        <f t="shared" si="41"/>
        <v>1</v>
      </c>
      <c r="T87" s="50" t="str">
        <f t="shared" si="29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11:44:33-700',mode:absolute,to:'2016-12-03 14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87" s="52" t="str">
        <f t="shared" si="31"/>
        <v>N</v>
      </c>
      <c r="X87" s="177">
        <f t="shared" si="26"/>
        <v>1</v>
      </c>
      <c r="Y87" s="67">
        <f t="shared" si="32"/>
        <v>4.58E-2</v>
      </c>
      <c r="Z87" s="67">
        <f t="shared" si="42"/>
        <v>23.329799999999999</v>
      </c>
      <c r="AA87" s="67">
        <f t="shared" si="33"/>
        <v>23.283999999999999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4"/>
        <v>0173-03</v>
      </c>
      <c r="AE87" s="91" t="str">
        <f t="shared" si="35"/>
        <v>aws s3 cp s3://rtdc.mdm.uploadarchive.raw/RTDC4038/ "%USERPROFILE%\AppData\Local\Temp\OnboardLogs"\RTDC4038\2016-12-03 --exclude "*" --recursive --include "*20161203*" &amp; "%USERPROFILE%\Documents\GitHub\mrs-test-scripts\Headless Mode &amp; Sideloading\WalkAndUnGZ.bat" "%USERPROFILE%\AppData\Local\Temp\OnboardLogs"\RTDC4038\2016-12-03 &amp; 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</v>
      </c>
      <c r="AF87" s="88" t="str">
        <f t="shared" si="36"/>
        <v>"C:\Program Files (x86)\AstroGrep\AstroGrep.exe" /spath="%USERPROFILE%\AppData\Local\Temp\OnboardLogs" /stypes="app*4038*20161203*" /stext=" 20:.+((SYSTEM_STATE.+slice.+state.+changed )|(ment ac)|(multiple cpu faults)|(system.+state.+changed )|(\[timeout)|(PRM\|1\|D)|(kpr)|(kdp)|(\|lc)|(penalty))" /e /r /s</v>
      </c>
      <c r="AG87" s="1" t="str">
        <f t="shared" si="37"/>
        <v>EC</v>
      </c>
      <c r="AH87" s="92" t="str">
        <f t="shared" si="38"/>
        <v>"%USERPROFILE%\Documents\GitHub\eaglep3\Utilities\RefineRTDCRunTimes.py" --tripid 173-03 --locoid 4038 --swversion DE.1.0.8.0 --startMP 204:458 --initTime 2016-12-03T12:44:33 --startdatetime 2016-12-03T12:47:02 --delay 1 --endMP 204:233298 --enddatetime 2016-12-03T13:22:49 --enforcementcount 0 &gt;&gt;C:\Users\stu\Documents\GitHub\eaglep3-reporting\EC\2016-12-03-refined-times.txt</v>
      </c>
      <c r="AI87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{"issue":{"subject":"","project_id":79,"tracker_id":40,"status_id":1,"priority_id":2,"assigned_to_id":23,"start_date":"2016-12-03","description":"","custom_fields":[{"id":1,"name":"Subdivision","value":"EC"},{"id":4,"name":"Milepost","value":"23.3298"},{"id":17,"name":"Train ID","value":"173-03"},{"id":16,"name":"Locomotive ID","value":"4038"},{"id":130,"name":"Impact","value":""},{"id":150,"name":"Time of Event (Mountain Time)","value":"13:22:49"},{"id":151,"name":"Denver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577</v>
      </c>
      <c r="B88" s="7">
        <v>4037</v>
      </c>
      <c r="C88" s="22" t="s">
        <v>209</v>
      </c>
      <c r="D88" s="22" t="s">
        <v>204</v>
      </c>
      <c r="E88" s="13">
        <v>42707.567453703705</v>
      </c>
      <c r="F88" s="13">
        <v>42707.570381944446</v>
      </c>
      <c r="G88" s="7">
        <v>1</v>
      </c>
      <c r="H88" s="22" t="s">
        <v>192</v>
      </c>
      <c r="I88" s="13">
        <v>42707.596435185187</v>
      </c>
      <c r="J88" s="7">
        <v>0</v>
      </c>
      <c r="K88" s="109" t="str">
        <f t="shared" si="27"/>
        <v>4037/4038</v>
      </c>
      <c r="L88" s="22" t="str">
        <f>VLOOKUP(A88,'Trips&amp;Operators'!$C$1:$G$99999,5,FALSE)</f>
        <v>STEWART MICHAEL</v>
      </c>
      <c r="M88" s="6">
        <f t="shared" si="28"/>
        <v>2.6053240741021E-2</v>
      </c>
      <c r="N88" s="7">
        <f t="shared" si="40"/>
        <v>37.51666666707024</v>
      </c>
      <c r="O88" s="7"/>
      <c r="P88" s="7"/>
      <c r="Q88" s="23"/>
      <c r="R88" s="23"/>
      <c r="S88" s="35">
        <f t="shared" si="41"/>
        <v>1</v>
      </c>
      <c r="T88" s="50" t="str">
        <f t="shared" si="29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12:37:08-700',mode:absolute,to:'2016-12-03 15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88" s="52" t="str">
        <f t="shared" si="31"/>
        <v>N</v>
      </c>
      <c r="X88" s="177">
        <f t="shared" si="26"/>
        <v>1</v>
      </c>
      <c r="Y88" s="67">
        <f t="shared" si="32"/>
        <v>23.297699999999999</v>
      </c>
      <c r="Z88" s="67">
        <f t="shared" si="42"/>
        <v>1.49E-2</v>
      </c>
      <c r="AA88" s="67">
        <f t="shared" si="33"/>
        <v>23.282799999999998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4"/>
        <v>0174-03</v>
      </c>
      <c r="AE88" s="91" t="str">
        <f t="shared" si="35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88" s="88" t="str">
        <f t="shared" si="36"/>
        <v>"C:\Program Files (x86)\AstroGrep\AstroGrep.exe" /spath="%USERPROFILE%\AppData\Local\Temp\OnboardLogs" /stypes="app*4037*20161203*" /stext=" 21:.+((SYSTEM_STATE.+slice.+state.+changed )|(ment ac)|(multiple cpu faults)|(system.+state.+changed )|(\[timeout)|(PRM\|1\|D)|(kpr)|(kdp)|(\|lc)|(penalty))" /e /r /s</v>
      </c>
      <c r="AG88" s="1" t="str">
        <f t="shared" si="37"/>
        <v>EC</v>
      </c>
      <c r="AH88" s="92" t="str">
        <f t="shared" si="38"/>
        <v>"%USERPROFILE%\Documents\GitHub\eaglep3\Utilities\RefineRTDCRunTimes.py" --tripid 174-03 --locoid 4037 --swversion DE.1.0.8.0 --startMP 204:232977 --initTime 2016-12-03T13:37:08 --startdatetime 2016-12-03T13:41:21 --delay 1 --endMP 204:149 --enddatetime 2016-12-03T14:18:52 --enforcementcount 0 &gt;&gt;C:\Users\stu\Documents\GitHub\eaglep3-reporting\EC\2016-12-03-refined-times.txt</v>
      </c>
      <c r="AI88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{"issue":{"subject":"","project_id":79,"tracker_id":40,"status_id":1,"priority_id":2,"assigned_to_id":23,"start_date":"2016-12-03","description":"","custom_fields":[{"id":1,"name":"Subdivision","value":"EC"},{"id":4,"name":"Milepost","value":"0.0149"},{"id":17,"name":"Train ID","value":"174-03"},{"id":16,"name":"Locomotive ID","value":"4037"},{"id":130,"name":"Impact","value":""},{"id":150,"name":"Time of Event (Mountain Time)","value":"14:18:52"},{"id":151,"name":"Denver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571</v>
      </c>
      <c r="B89" s="7">
        <v>4014</v>
      </c>
      <c r="C89" s="22" t="s">
        <v>209</v>
      </c>
      <c r="D89" s="22" t="s">
        <v>250</v>
      </c>
      <c r="E89" s="13">
        <v>42707.535462962966</v>
      </c>
      <c r="F89" s="13">
        <v>42707.541898148149</v>
      </c>
      <c r="G89" s="7">
        <v>1</v>
      </c>
      <c r="H89" s="22" t="s">
        <v>706</v>
      </c>
      <c r="I89" s="13">
        <v>42707.567303240743</v>
      </c>
      <c r="J89" s="7">
        <v>0</v>
      </c>
      <c r="K89" s="109" t="str">
        <f t="shared" si="27"/>
        <v>4013/4014</v>
      </c>
      <c r="L89" s="22" t="str">
        <f>VLOOKUP(A89,'Trips&amp;Operators'!$C$1:$G$99999,5,FALSE)</f>
        <v>BARTLETT KIANDRA</v>
      </c>
      <c r="M89" s="6">
        <f t="shared" si="28"/>
        <v>2.5405092594155576E-2</v>
      </c>
      <c r="N89" s="7">
        <f t="shared" si="40"/>
        <v>36.58333333558403</v>
      </c>
      <c r="O89" s="7"/>
      <c r="P89" s="7"/>
      <c r="Q89" s="23"/>
      <c r="R89" s="23"/>
      <c r="S89" s="35">
        <f t="shared" si="41"/>
        <v>1</v>
      </c>
      <c r="T89" s="50" t="str">
        <f t="shared" si="29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11:51:04-700',mode:absolute,to:'2016-12-03 14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9" s="52" t="str">
        <f t="shared" si="31"/>
        <v>N</v>
      </c>
      <c r="X89" s="177">
        <f t="shared" si="26"/>
        <v>1</v>
      </c>
      <c r="Y89" s="67">
        <f t="shared" si="32"/>
        <v>4.5699999999999998E-2</v>
      </c>
      <c r="Z89" s="67">
        <f t="shared" si="42"/>
        <v>23.338699999999999</v>
      </c>
      <c r="AA89" s="67">
        <f t="shared" si="33"/>
        <v>23.292999999999999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4"/>
        <v>0175-03</v>
      </c>
      <c r="AE89" s="91" t="str">
        <f t="shared" si="35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89" s="88" t="str">
        <f t="shared" si="36"/>
        <v>"C:\Program Files (x86)\AstroGrep\AstroGrep.exe" /spath="%USERPROFILE%\AppData\Local\Temp\OnboardLogs" /stypes="app*4014*20161203*" /stext=" 20:.+((SYSTEM_STATE.+slice.+state.+changed )|(ment ac)|(multiple cpu faults)|(system.+state.+changed )|(\[timeout)|(PRM\|1\|D)|(kpr)|(kdp)|(\|lc)|(penalty))" /e /r /s</v>
      </c>
      <c r="AG89" s="1" t="str">
        <f t="shared" si="37"/>
        <v>EC</v>
      </c>
      <c r="AH89" s="92" t="str">
        <f t="shared" si="38"/>
        <v>"%USERPROFILE%\Documents\GitHub\eaglep3\Utilities\RefineRTDCRunTimes.py" --tripid 175-03 --locoid 4014 --swversion DE.1.0.8.0 --startMP 204:457 --initTime 2016-12-03T12:51:04 --startdatetime 2016-12-03T13:00:20 --delay 1 --endMP 204:233387 --enddatetime 2016-12-03T13:36:55 --enforcementcount 0 &gt;&gt;C:\Users\stu\Documents\GitHub\eaglep3-reporting\EC\2016-12-03-refined-times.txt</v>
      </c>
      <c r="AI89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{"issue":{"subject":"","project_id":79,"tracker_id":40,"status_id":1,"priority_id":2,"assigned_to_id":23,"start_date":"2016-12-03","description":"","custom_fields":[{"id":1,"name":"Subdivision","value":"EC"},{"id":4,"name":"Milepost","value":"23.3387"},{"id":17,"name":"Train ID","value":"175-03"},{"id":16,"name":"Locomotive ID","value":"4014"},{"id":130,"name":"Impact","value":""},{"id":150,"name":"Time of Event (Mountain Time)","value":"13:36:55"},{"id":151,"name":"Denver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579</v>
      </c>
      <c r="B90" s="7">
        <v>4013</v>
      </c>
      <c r="C90" s="22" t="s">
        <v>209</v>
      </c>
      <c r="D90" s="22" t="s">
        <v>707</v>
      </c>
      <c r="E90" s="13">
        <v>42707.57068287037</v>
      </c>
      <c r="F90" s="13">
        <v>42707.580740740741</v>
      </c>
      <c r="G90" s="7">
        <v>1</v>
      </c>
      <c r="H90" s="22" t="s">
        <v>206</v>
      </c>
      <c r="I90" s="13">
        <v>42707.60665509259</v>
      </c>
      <c r="J90" s="7">
        <v>0</v>
      </c>
      <c r="K90" s="109" t="str">
        <f t="shared" si="27"/>
        <v>4013/4014</v>
      </c>
      <c r="L90" s="22" t="str">
        <f>VLOOKUP(A90,'Trips&amp;Operators'!$C$1:$G$99999,5,FALSE)</f>
        <v>BARTLETT KIANDRA</v>
      </c>
      <c r="M90" s="6">
        <f t="shared" si="28"/>
        <v>2.5914351848769002E-2</v>
      </c>
      <c r="N90" s="7">
        <f t="shared" si="40"/>
        <v>37.316666662227362</v>
      </c>
      <c r="O90" s="7"/>
      <c r="P90" s="7"/>
      <c r="Q90" s="23"/>
      <c r="R90" s="23"/>
      <c r="S90" s="35">
        <f t="shared" si="41"/>
        <v>1</v>
      </c>
      <c r="T90" s="50" t="str">
        <f t="shared" si="29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12:41:47-700',mode:absolute,to:'2016-12-03 15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0" s="52" t="str">
        <f t="shared" si="31"/>
        <v>N</v>
      </c>
      <c r="X90" s="177">
        <f t="shared" si="26"/>
        <v>1</v>
      </c>
      <c r="Y90" s="67">
        <f t="shared" si="32"/>
        <v>23.3032</v>
      </c>
      <c r="Z90" s="67">
        <f t="shared" si="42"/>
        <v>1.5599999999999999E-2</v>
      </c>
      <c r="AA90" s="67">
        <f t="shared" si="33"/>
        <v>23.287600000000001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4"/>
        <v>0176-03</v>
      </c>
      <c r="AE90" s="91" t="str">
        <f t="shared" si="35"/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AF90" s="88" t="str">
        <f t="shared" si="36"/>
        <v>"C:\Program Files (x86)\AstroGrep\AstroGrep.exe" /spath="%USERPROFILE%\AppData\Local\Temp\OnboardLogs" /stypes="app*4013*20161203*" /stext=" 21:.+((SYSTEM_STATE.+slice.+state.+changed )|(ment ac)|(multiple cpu faults)|(system.+state.+changed )|(\[timeout)|(PRM\|1\|D)|(kpr)|(kdp)|(\|lc)|(penalty))" /e /r /s</v>
      </c>
      <c r="AG90" s="1" t="str">
        <f t="shared" si="37"/>
        <v>EC</v>
      </c>
      <c r="AH90" s="92" t="str">
        <f t="shared" si="38"/>
        <v>"%USERPROFILE%\Documents\GitHub\eaglep3\Utilities\RefineRTDCRunTimes.py" --tripid 176-03 --locoid 4013 --swversion DE.1.0.8.0 --startMP 204:233032 --initTime 2016-12-03T13:41:47 --startdatetime 2016-12-03T13:56:16 --delay 1 --endMP 204:156 --enddatetime 2016-12-03T14:33:35 --enforcementcount 0 &gt;&gt;C:\Users\stu\Documents\GitHub\eaglep3-reporting\EC\2016-12-03-refined-times.txt</v>
      </c>
      <c r="AI90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{"issue":{"subject":"","project_id":79,"tracker_id":40,"status_id":1,"priority_id":2,"assigned_to_id":23,"start_date":"2016-12-03","description":"","custom_fields":[{"id":1,"name":"Subdivision","value":"EC"},{"id":4,"name":"Milepost","value":"0.0156"},{"id":17,"name":"Train ID","value":"176-03"},{"id":16,"name":"Locomotive ID","value":"4013"},{"id":130,"name":"Impact","value":""},{"id":150,"name":"Time of Event (Mountain Time)","value":"14:33:35"},{"id":151,"name":"Denver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446</v>
      </c>
      <c r="B91" s="7">
        <v>4040</v>
      </c>
      <c r="C91" s="22" t="s">
        <v>209</v>
      </c>
      <c r="D91" s="22" t="s">
        <v>230</v>
      </c>
      <c r="E91" s="13">
        <v>42707.550659722219</v>
      </c>
      <c r="F91" s="13">
        <v>42707.552743055552</v>
      </c>
      <c r="G91" s="7">
        <v>1</v>
      </c>
      <c r="H91" s="22" t="s">
        <v>242</v>
      </c>
      <c r="I91" s="13">
        <v>42707.577280092592</v>
      </c>
      <c r="J91" s="7">
        <v>0</v>
      </c>
      <c r="K91" s="109" t="str">
        <f t="shared" si="27"/>
        <v>4039/4040</v>
      </c>
      <c r="L91" s="22" t="str">
        <f>VLOOKUP(A91,'Trips&amp;Operators'!$C$1:$G$99999,5,FALSE)</f>
        <v>MOSES BRADLEY</v>
      </c>
      <c r="M91" s="6">
        <f t="shared" si="28"/>
        <v>2.453703703940846E-2</v>
      </c>
      <c r="N91" s="7">
        <f t="shared" si="40"/>
        <v>35.333333336748183</v>
      </c>
      <c r="O91" s="7"/>
      <c r="P91" s="7"/>
      <c r="Q91" s="23"/>
      <c r="R91" s="23"/>
      <c r="S91" s="35">
        <f t="shared" si="41"/>
        <v>1</v>
      </c>
      <c r="T91" s="50" t="str">
        <f t="shared" si="29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12:12:57-700',mode:absolute,to:'2016-12-03 14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91" s="52" t="str">
        <f t="shared" si="31"/>
        <v>N</v>
      </c>
      <c r="X91" s="177">
        <f t="shared" si="26"/>
        <v>1</v>
      </c>
      <c r="Y91" s="67">
        <f t="shared" si="32"/>
        <v>4.6600000000000003E-2</v>
      </c>
      <c r="Z91" s="67">
        <f t="shared" si="42"/>
        <v>23.331399999999999</v>
      </c>
      <c r="AA91" s="67">
        <f t="shared" si="33"/>
        <v>23.284799999999997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4"/>
        <v>0177-03</v>
      </c>
      <c r="AE91" s="91" t="str">
        <f t="shared" si="35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91" s="88" t="str">
        <f t="shared" si="36"/>
        <v>"C:\Program Files (x86)\AstroGrep\AstroGrep.exe" /spath="%USERPROFILE%\AppData\Local\Temp\OnboardLogs" /stypes="app*4040*20161203*" /stext=" 20:.+((SYSTEM_STATE.+slice.+state.+changed )|(ment ac)|(multiple cpu faults)|(system.+state.+changed )|(\[timeout)|(PRM\|1\|D)|(kpr)|(kdp)|(\|lc)|(penalty))" /e /r /s</v>
      </c>
      <c r="AG91" s="1" t="str">
        <f t="shared" si="37"/>
        <v>EC</v>
      </c>
      <c r="AH91" s="92" t="str">
        <f t="shared" si="38"/>
        <v>"%USERPROFILE%\Documents\GitHub\eaglep3\Utilities\RefineRTDCRunTimes.py" --tripid 177-03 --locoid 4040 --swversion DE.1.0.8.0 --startMP 204:466 --initTime 2016-12-03T13:12:57 --startdatetime 2016-12-03T13:15:57 --delay 1 --endMP 204:233314 --enddatetime 2016-12-03T13:51:17 --enforcementcount 0 &gt;&gt;C:\Users\stu\Documents\GitHub\eaglep3-reporting\EC\2016-12-03-refined-times.txt</v>
      </c>
      <c r="AI91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{"issue":{"subject":"","project_id":79,"tracker_id":40,"status_id":1,"priority_id":2,"assigned_to_id":23,"start_date":"2016-12-03","description":"","custom_fields":[{"id":1,"name":"Subdivision","value":"EC"},{"id":4,"name":"Milepost","value":"23.3314"},{"id":17,"name":"Train ID","value":"177-03"},{"id":16,"name":"Locomotive ID","value":"4040"},{"id":130,"name":"Impact","value":""},{"id":150,"name":"Time of Event (Mountain Time)","value":"13:51:17"},{"id":151,"name":"Denver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583</v>
      </c>
      <c r="B92" s="7">
        <v>4039</v>
      </c>
      <c r="C92" s="22" t="s">
        <v>209</v>
      </c>
      <c r="D92" s="22" t="s">
        <v>696</v>
      </c>
      <c r="E92" s="13">
        <v>42707.587638888886</v>
      </c>
      <c r="F92" s="13">
        <v>42707.591481481482</v>
      </c>
      <c r="G92" s="7">
        <v>1</v>
      </c>
      <c r="H92" s="22" t="s">
        <v>397</v>
      </c>
      <c r="I92" s="13">
        <v>42707.6175</v>
      </c>
      <c r="J92" s="7">
        <v>0</v>
      </c>
      <c r="K92" s="109" t="str">
        <f t="shared" si="27"/>
        <v>4039/4040</v>
      </c>
      <c r="L92" s="22" t="str">
        <f>VLOOKUP(A92,'Trips&amp;Operators'!$C$1:$G$99999,5,FALSE)</f>
        <v>MOSES BRADLEY</v>
      </c>
      <c r="M92" s="6">
        <f t="shared" si="28"/>
        <v>2.6018518517958E-2</v>
      </c>
      <c r="N92" s="7">
        <f t="shared" si="40"/>
        <v>37.46666666585952</v>
      </c>
      <c r="O92" s="7"/>
      <c r="P92" s="7"/>
      <c r="Q92" s="23"/>
      <c r="R92" s="23"/>
      <c r="S92" s="35">
        <f t="shared" si="41"/>
        <v>1</v>
      </c>
      <c r="T92" s="50" t="str">
        <f t="shared" si="29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13:06:12-700',mode:absolute,to:'2016-12-03 15:49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92" s="52" t="str">
        <f t="shared" si="31"/>
        <v>N</v>
      </c>
      <c r="X92" s="177">
        <f t="shared" si="26"/>
        <v>1</v>
      </c>
      <c r="Y92" s="67">
        <f t="shared" si="32"/>
        <v>23.298500000000001</v>
      </c>
      <c r="Z92" s="67">
        <f t="shared" si="42"/>
        <v>1.67E-2</v>
      </c>
      <c r="AA92" s="67">
        <f t="shared" si="33"/>
        <v>23.2818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4"/>
        <v>0178-03</v>
      </c>
      <c r="AE92" s="91" t="str">
        <f t="shared" si="35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92" s="88" t="str">
        <f t="shared" si="36"/>
        <v>"C:\Program Files (x86)\AstroGrep\AstroGrep.exe" /spath="%USERPROFILE%\AppData\Local\Temp\OnboardLogs" /stypes="app*4039*20161203*" /stext=" 21:.+((SYSTEM_STATE.+slice.+state.+changed )|(ment ac)|(multiple cpu faults)|(system.+state.+changed )|(\[timeout)|(PRM\|1\|D)|(kpr)|(kdp)|(\|lc)|(penalty))" /e /r /s</v>
      </c>
      <c r="AG92" s="1" t="str">
        <f t="shared" si="37"/>
        <v>EC</v>
      </c>
      <c r="AH92" s="92" t="str">
        <f t="shared" si="38"/>
        <v>"%USERPROFILE%\Documents\GitHub\eaglep3\Utilities\RefineRTDCRunTimes.py" --tripid 178-03 --locoid 4039 --swversion DE.1.0.8.0 --startMP 204:232985 --initTime 2016-12-03T14:06:12 --startdatetime 2016-12-03T14:11:44 --delay 1 --endMP 204:167 --enddatetime 2016-12-03T14:49:12 --enforcementcount 0 &gt;&gt;C:\Users\stu\Documents\GitHub\eaglep3-reporting\EC\2016-12-03-refined-times.txt</v>
      </c>
      <c r="AI92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{"issue":{"subject":"","project_id":79,"tracker_id":40,"status_id":1,"priority_id":2,"assigned_to_id":23,"start_date":"2016-12-03","description":"","custom_fields":[{"id":1,"name":"Subdivision","value":"EC"},{"id":4,"name":"Milepost","value":"0.0167"},{"id":17,"name":"Train ID","value":"178-03"},{"id":16,"name":"Locomotive ID","value":"4039"},{"id":130,"name":"Impact","value":""},{"id":150,"name":"Time of Event (Mountain Time)","value":"14:49:12"},{"id":151,"name":"Denver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575</v>
      </c>
      <c r="B93" s="7">
        <v>4022</v>
      </c>
      <c r="C93" s="22" t="s">
        <v>209</v>
      </c>
      <c r="D93" s="22" t="s">
        <v>231</v>
      </c>
      <c r="E93" s="13">
        <v>42707.556805555556</v>
      </c>
      <c r="F93" s="13">
        <v>42707.562719907408</v>
      </c>
      <c r="G93" s="7">
        <v>1</v>
      </c>
      <c r="H93" s="22" t="s">
        <v>708</v>
      </c>
      <c r="I93" s="13">
        <v>42707.587789351855</v>
      </c>
      <c r="J93" s="7">
        <v>0</v>
      </c>
      <c r="K93" s="109" t="str">
        <f t="shared" si="27"/>
        <v>4021/4022</v>
      </c>
      <c r="L93" s="22" t="str">
        <f>VLOOKUP(A93,'Trips&amp;Operators'!$C$1:$G$99999,5,FALSE)</f>
        <v>SHOOK JOHN</v>
      </c>
      <c r="M93" s="6">
        <f t="shared" si="28"/>
        <v>2.5069444447581191E-2</v>
      </c>
      <c r="N93" s="7">
        <f t="shared" si="40"/>
        <v>36.100000004516914</v>
      </c>
      <c r="O93" s="7"/>
      <c r="P93" s="7"/>
      <c r="Q93" s="23"/>
      <c r="R93" s="23"/>
      <c r="S93" s="35">
        <f t="shared" si="41"/>
        <v>1</v>
      </c>
      <c r="T93" s="50" t="str">
        <f t="shared" si="29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12:21:48-700',mode:absolute,to:'2016-12-03 15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3" s="52" t="str">
        <f t="shared" si="31"/>
        <v>N</v>
      </c>
      <c r="X93" s="177">
        <f t="shared" si="26"/>
        <v>1</v>
      </c>
      <c r="Y93" s="67">
        <f t="shared" si="32"/>
        <v>4.4900000000000002E-2</v>
      </c>
      <c r="Z93" s="67">
        <f t="shared" si="42"/>
        <v>23.335699999999999</v>
      </c>
      <c r="AA93" s="67">
        <f t="shared" si="33"/>
        <v>23.290800000000001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4"/>
        <v>0179-03</v>
      </c>
      <c r="AE93" s="91" t="str">
        <f t="shared" si="35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93" s="88" t="str">
        <f t="shared" si="36"/>
        <v>"C:\Program Files (x86)\AstroGrep\AstroGrep.exe" /spath="%USERPROFILE%\AppData\Local\Temp\OnboardLogs" /stypes="app*4022*20161203*" /stext=" 21:.+((SYSTEM_STATE.+slice.+state.+changed )|(ment ac)|(multiple cpu faults)|(system.+state.+changed )|(\[timeout)|(PRM\|1\|D)|(kpr)|(kdp)|(\|lc)|(penalty))" /e /r /s</v>
      </c>
      <c r="AG93" s="1" t="str">
        <f t="shared" si="37"/>
        <v>EC</v>
      </c>
      <c r="AH93" s="92" t="str">
        <f t="shared" si="38"/>
        <v>"%USERPROFILE%\Documents\GitHub\eaglep3\Utilities\RefineRTDCRunTimes.py" --tripid 179-03 --locoid 4022 --swversion DE.1.0.8.0 --startMP 204:449 --initTime 2016-12-03T13:21:48 --startdatetime 2016-12-03T13:30:19 --delay 1 --endMP 204:233357 --enddatetime 2016-12-03T14:06:25 --enforcementcount 0 &gt;&gt;C:\Users\stu\Documents\GitHub\eaglep3-reporting\EC\2016-12-03-refined-times.txt</v>
      </c>
      <c r="AI93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{"issue":{"subject":"","project_id":79,"tracker_id":40,"status_id":1,"priority_id":2,"assigned_to_id":23,"start_date":"2016-12-03","description":"","custom_fields":[{"id":1,"name":"Subdivision","value":"EC"},{"id":4,"name":"Milepost","value":"23.3357"},{"id":17,"name":"Train ID","value":"179-03"},{"id":16,"name":"Locomotive ID","value":"4022"},{"id":130,"name":"Impact","value":""},{"id":150,"name":"Time of Event (Mountain Time)","value":"14:06:25"},{"id":151,"name":"Denver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585</v>
      </c>
      <c r="B94" s="7">
        <v>4021</v>
      </c>
      <c r="C94" s="22" t="s">
        <v>209</v>
      </c>
      <c r="D94" s="22" t="s">
        <v>709</v>
      </c>
      <c r="E94" s="13">
        <v>42707.596944444442</v>
      </c>
      <c r="F94" s="13">
        <v>42707.601585648146</v>
      </c>
      <c r="G94" s="7">
        <v>1</v>
      </c>
      <c r="H94" s="22" t="s">
        <v>704</v>
      </c>
      <c r="I94" s="13">
        <v>42707.627523148149</v>
      </c>
      <c r="J94" s="7">
        <v>0</v>
      </c>
      <c r="K94" s="109" t="str">
        <f t="shared" si="27"/>
        <v>4021/4022</v>
      </c>
      <c r="L94" s="22" t="str">
        <f>VLOOKUP(A94,'Trips&amp;Operators'!$C$1:$G$99999,5,FALSE)</f>
        <v>SHOOK JOHN</v>
      </c>
      <c r="M94" s="6">
        <f t="shared" si="28"/>
        <v>2.5937500002328306E-2</v>
      </c>
      <c r="N94" s="7">
        <f t="shared" si="40"/>
        <v>37.350000003352761</v>
      </c>
      <c r="O94" s="7"/>
      <c r="P94" s="7"/>
      <c r="Q94" s="23"/>
      <c r="R94" s="23"/>
      <c r="S94" s="35">
        <f t="shared" si="41"/>
        <v>1</v>
      </c>
      <c r="T94" s="50" t="str">
        <f t="shared" si="29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13:19:36-700',mode:absolute,to:'2016-12-03 16:03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4" s="52" t="str">
        <f t="shared" si="31"/>
        <v>N</v>
      </c>
      <c r="X94" s="177">
        <f t="shared" si="26"/>
        <v>1</v>
      </c>
      <c r="Y94" s="67">
        <f t="shared" si="32"/>
        <v>23.303599999999999</v>
      </c>
      <c r="Z94" s="67">
        <f t="shared" si="42"/>
        <v>1.3599999999999999E-2</v>
      </c>
      <c r="AA94" s="67">
        <f t="shared" si="33"/>
        <v>23.29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4"/>
        <v>0180-03</v>
      </c>
      <c r="AE94" s="91" t="str">
        <f t="shared" si="35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94" s="88" t="str">
        <f t="shared" si="36"/>
        <v>"C:\Program Files (x86)\AstroGrep\AstroGrep.exe" /spath="%USERPROFILE%\AppData\Local\Temp\OnboardLogs" /stypes="app*4021*20161203*" /stext=" 22:.+((SYSTEM_STATE.+slice.+state.+changed )|(ment ac)|(multiple cpu faults)|(system.+state.+changed )|(\[timeout)|(PRM\|1\|D)|(kpr)|(kdp)|(\|lc)|(penalty))" /e /r /s</v>
      </c>
      <c r="AG94" s="1" t="str">
        <f t="shared" si="37"/>
        <v>EC</v>
      </c>
      <c r="AH94" s="92" t="str">
        <f t="shared" si="38"/>
        <v>"%USERPROFILE%\Documents\GitHub\eaglep3\Utilities\RefineRTDCRunTimes.py" --tripid 180-03 --locoid 4021 --swversion DE.1.0.8.0 --startMP 204:233036 --initTime 2016-12-03T14:19:36 --startdatetime 2016-12-03T14:26:17 --delay 1 --endMP 204:136 --enddatetime 2016-12-03T15:03:38 --enforcementcount 0 &gt;&gt;C:\Users\stu\Documents\GitHub\eaglep3-reporting\EC\2016-12-03-refined-times.txt</v>
      </c>
      <c r="AI94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{"issue":{"subject":"","project_id":79,"tracker_id":40,"status_id":1,"priority_id":2,"assigned_to_id":23,"start_date":"2016-12-03","description":"","custom_fields":[{"id":1,"name":"Subdivision","value":"EC"},{"id":4,"name":"Milepost","value":"0.0136"},{"id":17,"name":"Train ID","value":"180-03"},{"id":16,"name":"Locomotive ID","value":"4021"},{"id":130,"name":"Impact","value":""},{"id":150,"name":"Time of Event (Mountain Time)","value":"15:03:38"},{"id":151,"name":"Denver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576</v>
      </c>
      <c r="B95" s="7">
        <v>4016</v>
      </c>
      <c r="C95" s="22" t="s">
        <v>209</v>
      </c>
      <c r="D95" s="22" t="s">
        <v>392</v>
      </c>
      <c r="E95" s="13">
        <v>42707.566631944443</v>
      </c>
      <c r="F95" s="13">
        <v>42707.573148148149</v>
      </c>
      <c r="G95" s="7">
        <v>1</v>
      </c>
      <c r="H95" s="22" t="s">
        <v>312</v>
      </c>
      <c r="I95" s="13">
        <v>42707.597384259258</v>
      </c>
      <c r="J95" s="7">
        <v>0</v>
      </c>
      <c r="K95" s="109" t="str">
        <f t="shared" si="27"/>
        <v>4015/4016</v>
      </c>
      <c r="L95" s="22" t="str">
        <f>VLOOKUP(A95,'Trips&amp;Operators'!$C$1:$G$99999,5,FALSE)</f>
        <v>BRUDER RICHARD</v>
      </c>
      <c r="M95" s="6">
        <f t="shared" si="28"/>
        <v>2.4236111108621117E-2</v>
      </c>
      <c r="N95" s="7">
        <f t="shared" si="40"/>
        <v>34.899999996414408</v>
      </c>
      <c r="O95" s="7"/>
      <c r="P95" s="7"/>
      <c r="Q95" s="23"/>
      <c r="R95" s="23"/>
      <c r="S95" s="35">
        <f t="shared" si="41"/>
        <v>1</v>
      </c>
      <c r="T95" s="50" t="str">
        <f t="shared" si="29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12:35:57-700',mode:absolute,to:'2016-12-03 15:20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5" s="52" t="str">
        <f t="shared" si="31"/>
        <v>N</v>
      </c>
      <c r="X95" s="177">
        <f t="shared" si="26"/>
        <v>1</v>
      </c>
      <c r="Y95" s="67">
        <f t="shared" si="32"/>
        <v>4.6899999999999997E-2</v>
      </c>
      <c r="Z95" s="67">
        <f t="shared" si="42"/>
        <v>23.331</v>
      </c>
      <c r="AA95" s="67">
        <f t="shared" si="33"/>
        <v>23.284099999999999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4"/>
        <v>0181-03</v>
      </c>
      <c r="AE95" s="91" t="str">
        <f t="shared" si="35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95" s="88" t="str">
        <f t="shared" si="36"/>
        <v>"C:\Program Files (x86)\AstroGrep\AstroGrep.exe" /spath="%USERPROFILE%\AppData\Local\Temp\OnboardLogs" /stypes="app*4016*20161203*" /stext=" 21:.+((SYSTEM_STATE.+slice.+state.+changed )|(ment ac)|(multiple cpu faults)|(system.+state.+changed )|(\[timeout)|(PRM\|1\|D)|(kpr)|(kdp)|(\|lc)|(penalty))" /e /r /s</v>
      </c>
      <c r="AG95" s="1" t="str">
        <f t="shared" si="37"/>
        <v>EC</v>
      </c>
      <c r="AH95" s="92" t="str">
        <f t="shared" si="38"/>
        <v>"%USERPROFILE%\Documents\GitHub\eaglep3\Utilities\RefineRTDCRunTimes.py" --tripid 181-03 --locoid 4016 --swversion DE.1.0.8.0 --startMP 204:469 --initTime 2016-12-03T13:35:57 --startdatetime 2016-12-03T13:45:20 --delay 1 --endMP 204:233310 --enddatetime 2016-12-03T14:20:14 --enforcementcount 0 &gt;&gt;C:\Users\stu\Documents\GitHub\eaglep3-reporting\EC\2016-12-03-refined-times.txt</v>
      </c>
      <c r="AI95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{"issue":{"subject":"","project_id":79,"tracker_id":40,"status_id":1,"priority_id":2,"assigned_to_id":23,"start_date":"2016-12-03","description":"","custom_fields":[{"id":1,"name":"Subdivision","value":"EC"},{"id":4,"name":"Milepost","value":"23.331"},{"id":17,"name":"Train ID","value":"181-03"},{"id":16,"name":"Locomotive ID","value":"4016"},{"id":130,"name":"Impact","value":""},{"id":150,"name":"Time of Event (Mountain Time)","value":"14:20:14"},{"id":151,"name":"Denver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587</v>
      </c>
      <c r="B96" s="7">
        <v>4015</v>
      </c>
      <c r="C96" s="22" t="s">
        <v>209</v>
      </c>
      <c r="D96" s="22" t="s">
        <v>240</v>
      </c>
      <c r="E96" s="13">
        <v>42707.605208333334</v>
      </c>
      <c r="F96" s="13">
        <v>42707.612002314818</v>
      </c>
      <c r="G96" s="7">
        <v>6</v>
      </c>
      <c r="H96" s="22" t="s">
        <v>285</v>
      </c>
      <c r="I96" s="13">
        <v>42707.637812499997</v>
      </c>
      <c r="J96" s="7">
        <v>0</v>
      </c>
      <c r="K96" s="109" t="str">
        <f t="shared" si="27"/>
        <v>4015/4016</v>
      </c>
      <c r="L96" s="22" t="str">
        <f>VLOOKUP(A96,'Trips&amp;Operators'!$C$1:$G$99999,5,FALSE)</f>
        <v>BRUDER RICHARD</v>
      </c>
      <c r="M96" s="6">
        <f t="shared" si="28"/>
        <v>2.5810185179580003E-2</v>
      </c>
      <c r="N96" s="7">
        <f t="shared" si="40"/>
        <v>37.166666658595204</v>
      </c>
      <c r="O96" s="7"/>
      <c r="P96" s="7"/>
      <c r="Q96" s="23"/>
      <c r="R96" s="23"/>
      <c r="S96" s="35">
        <f t="shared" si="41"/>
        <v>1</v>
      </c>
      <c r="T96" s="50" t="str">
        <f t="shared" si="29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13:31:30-700',mode:absolute,to:'2016-12-03 16:18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6" s="52" t="str">
        <f t="shared" si="31"/>
        <v>N</v>
      </c>
      <c r="X96" s="177">
        <f t="shared" si="26"/>
        <v>1</v>
      </c>
      <c r="Y96" s="67">
        <f t="shared" si="32"/>
        <v>23.299299999999999</v>
      </c>
      <c r="Z96" s="67">
        <f t="shared" si="42"/>
        <v>1.6E-2</v>
      </c>
      <c r="AA96" s="67">
        <f t="shared" si="33"/>
        <v>23.283300000000001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34"/>
        <v>0182-03</v>
      </c>
      <c r="AE96" s="91" t="str">
        <f t="shared" si="35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96" s="88" t="str">
        <f t="shared" si="36"/>
        <v>"C:\Program Files (x86)\AstroGrep\AstroGrep.exe" /spath="%USERPROFILE%\AppData\Local\Temp\OnboardLogs" /stypes="app*4015*20161203*" /stext=" 22:.+((SYSTEM_STATE.+slice.+state.+changed )|(ment ac)|(multiple cpu faults)|(system.+state.+changed )|(\[timeout)|(PRM\|1\|D)|(kpr)|(kdp)|(\|lc)|(penalty))" /e /r /s</v>
      </c>
      <c r="AG96" s="1" t="str">
        <f t="shared" si="37"/>
        <v>EC</v>
      </c>
      <c r="AH96" s="92" t="str">
        <f t="shared" si="38"/>
        <v>"%USERPROFILE%\Documents\GitHub\eaglep3\Utilities\RefineRTDCRunTimes.py" --tripid 182-03 --locoid 4015 --swversion DE.1.0.8.0 --startMP 204:232993 --initTime 2016-12-03T14:31:30 --startdatetime 2016-12-03T14:41:17 --delay 6 --endMP 204:160 --enddatetime 2016-12-03T15:18:27 --enforcementcount 0 &gt;&gt;C:\Users\stu\Documents\GitHub\eaglep3-reporting\EC\2016-12-03-refined-times.txt</v>
      </c>
      <c r="AI96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{"issue":{"subject":"","project_id":79,"tracker_id":40,"status_id":1,"priority_id":2,"assigned_to_id":23,"start_date":"2016-12-03","description":"","custom_fields":[{"id":1,"name":"Subdivision","value":"EC"},{"id":4,"name":"Milepost","value":"0.016"},{"id":17,"name":"Train ID","value":"182-03"},{"id":16,"name":"Locomotive ID","value":"4015"},{"id":130,"name":"Impact","value":""},{"id":150,"name":"Time of Event (Mountain Time)","value":"15:18:27"},{"id":151,"name":"Denver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580</v>
      </c>
      <c r="B97" s="7">
        <v>4042</v>
      </c>
      <c r="C97" s="22" t="s">
        <v>209</v>
      </c>
      <c r="D97" s="22" t="s">
        <v>395</v>
      </c>
      <c r="E97" s="13">
        <v>42707.579398148147</v>
      </c>
      <c r="F97" s="13">
        <v>42707.583506944444</v>
      </c>
      <c r="G97" s="7">
        <v>1</v>
      </c>
      <c r="H97" s="22" t="s">
        <v>260</v>
      </c>
      <c r="I97" s="13">
        <v>42707.608923611115</v>
      </c>
      <c r="J97" s="7">
        <v>0</v>
      </c>
      <c r="K97" s="109" t="str">
        <f t="shared" si="27"/>
        <v>4041/4042</v>
      </c>
      <c r="L97" s="22" t="str">
        <f>VLOOKUP(A97,'Trips&amp;Operators'!$C$1:$G$99999,5,FALSE)</f>
        <v>CLARK KATHLEEN</v>
      </c>
      <c r="M97" s="6">
        <f t="shared" si="28"/>
        <v>2.5416666670935228E-2</v>
      </c>
      <c r="N97" s="7">
        <f t="shared" si="40"/>
        <v>36.600000006146729</v>
      </c>
      <c r="O97" s="7"/>
      <c r="P97" s="7"/>
      <c r="Q97" s="23"/>
      <c r="R97" s="23"/>
      <c r="S97" s="35">
        <f t="shared" si="41"/>
        <v>1</v>
      </c>
      <c r="T97" s="50" t="str">
        <f t="shared" si="29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12:54:20-700',mode:absolute,to:'2016-12-03 15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7" s="52" t="str">
        <f t="shared" si="31"/>
        <v>N</v>
      </c>
      <c r="X97" s="177">
        <f t="shared" si="26"/>
        <v>1</v>
      </c>
      <c r="Y97" s="67">
        <f t="shared" si="32"/>
        <v>4.3299999999999998E-2</v>
      </c>
      <c r="Z97" s="67">
        <f t="shared" si="42"/>
        <v>23.330300000000001</v>
      </c>
      <c r="AA97" s="67">
        <f t="shared" si="33"/>
        <v>23.287000000000003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4"/>
        <v>0183-03</v>
      </c>
      <c r="AE97" s="91" t="str">
        <f t="shared" si="35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97" s="88" t="str">
        <f t="shared" si="36"/>
        <v>"C:\Program Files (x86)\AstroGrep\AstroGrep.exe" /spath="%USERPROFILE%\AppData\Local\Temp\OnboardLogs" /stypes="app*4042*20161203*" /stext=" 21:.+((SYSTEM_STATE.+slice.+state.+changed )|(ment ac)|(multiple cpu faults)|(system.+state.+changed )|(\[timeout)|(PRM\|1\|D)|(kpr)|(kdp)|(\|lc)|(penalty))" /e /r /s</v>
      </c>
      <c r="AG97" s="1" t="str">
        <f t="shared" si="37"/>
        <v>EC</v>
      </c>
      <c r="AH97" s="92" t="str">
        <f t="shared" si="38"/>
        <v>"%USERPROFILE%\Documents\GitHub\eaglep3\Utilities\RefineRTDCRunTimes.py" --tripid 183-03 --locoid 4042 --swversion DE.1.0.8.0 --startMP 204:433 --initTime 2016-12-03T13:54:20 --startdatetime 2016-12-03T14:00:15 --delay 1 --endMP 204:233303 --enddatetime 2016-12-03T14:36:51 --enforcementcount 0 &gt;&gt;C:\Users\stu\Documents\GitHub\eaglep3-reporting\EC\2016-12-03-refined-times.txt</v>
      </c>
      <c r="AI97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{"issue":{"subject":"","project_id":79,"tracker_id":40,"status_id":1,"priority_id":2,"assigned_to_id":23,"start_date":"2016-12-03","description":"","custom_fields":[{"id":1,"name":"Subdivision","value":"EC"},{"id":4,"name":"Milepost","value":"23.3303"},{"id":17,"name":"Train ID","value":"183-03"},{"id":16,"name":"Locomotive ID","value":"4042"},{"id":130,"name":"Impact","value":""},{"id":150,"name":"Time of Event (Mountain Time)","value":"14:36:51"},{"id":151,"name":"Denver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590</v>
      </c>
      <c r="B98" s="7">
        <v>4041</v>
      </c>
      <c r="C98" s="22" t="s">
        <v>209</v>
      </c>
      <c r="D98" s="22" t="s">
        <v>204</v>
      </c>
      <c r="E98" s="13">
        <v>42707.61791666667</v>
      </c>
      <c r="F98" s="13">
        <v>42707.622407407405</v>
      </c>
      <c r="G98" s="7">
        <v>1</v>
      </c>
      <c r="H98" s="22" t="s">
        <v>239</v>
      </c>
      <c r="I98" s="13">
        <v>42707.650289351855</v>
      </c>
      <c r="J98" s="7">
        <v>0</v>
      </c>
      <c r="K98" s="109" t="str">
        <f t="shared" si="27"/>
        <v>4041/4042</v>
      </c>
      <c r="L98" s="22" t="str">
        <f>VLOOKUP(A98,'Trips&amp;Operators'!$C$1:$G$99999,5,FALSE)</f>
        <v>CLARK KATHLEEN</v>
      </c>
      <c r="M98" s="6">
        <f t="shared" si="28"/>
        <v>2.7881944450200535E-2</v>
      </c>
      <c r="N98" s="7">
        <f t="shared" si="40"/>
        <v>40.150000008288771</v>
      </c>
      <c r="O98" s="7"/>
      <c r="P98" s="7"/>
      <c r="Q98" s="23"/>
      <c r="R98" s="23"/>
      <c r="S98" s="35">
        <f t="shared" si="41"/>
        <v>1</v>
      </c>
      <c r="T98" s="50" t="str">
        <f t="shared" si="29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13:49:48-700',mode:absolute,to:'2016-12-03 16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8" s="52" t="str">
        <f t="shared" si="31"/>
        <v>N</v>
      </c>
      <c r="X98" s="177">
        <f t="shared" si="26"/>
        <v>1</v>
      </c>
      <c r="Y98" s="67">
        <f t="shared" si="32"/>
        <v>23.297699999999999</v>
      </c>
      <c r="Z98" s="67">
        <f t="shared" si="42"/>
        <v>1.47E-2</v>
      </c>
      <c r="AA98" s="67">
        <f t="shared" si="33"/>
        <v>23.282999999999998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4"/>
        <v>0184-03</v>
      </c>
      <c r="AE98" s="91" t="str">
        <f t="shared" si="35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98" s="88" t="str">
        <f t="shared" si="36"/>
        <v>"C:\Program Files (x86)\AstroGrep\AstroGrep.exe" /spath="%USERPROFILE%\AppData\Local\Temp\OnboardLogs" /stypes="app*4041*20161203*" /stext=" 22:.+((SYSTEM_STATE.+slice.+state.+changed )|(ment ac)|(multiple cpu faults)|(system.+state.+changed )|(\[timeout)|(PRM\|1\|D)|(kpr)|(kdp)|(\|lc)|(penalty))" /e /r /s</v>
      </c>
      <c r="AG98" s="1" t="str">
        <f t="shared" si="37"/>
        <v>EC</v>
      </c>
      <c r="AH98" s="92" t="str">
        <f t="shared" si="38"/>
        <v>"%USERPROFILE%\Documents\GitHub\eaglep3\Utilities\RefineRTDCRunTimes.py" --tripid 184-03 --locoid 4041 --swversion DE.1.0.8.0 --startMP 204:232977 --initTime 2016-12-03T14:49:48 --startdatetime 2016-12-03T14:56:16 --delay 1 --endMP 204:147 --enddatetime 2016-12-03T15:36:25 --enforcementcount 0 &gt;&gt;C:\Users\stu\Documents\GitHub\eaglep3-reporting\EC\2016-12-03-refined-times.txt</v>
      </c>
      <c r="AI98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{"issue":{"subject":"","project_id":79,"tracker_id":40,"status_id":1,"priority_id":2,"assigned_to_id":23,"start_date":"2016-12-03","description":"","custom_fields":[{"id":1,"name":"Subdivision","value":"EC"},{"id":4,"name":"Milepost","value":"0.0147"},{"id":17,"name":"Train ID","value":"184-03"},{"id":16,"name":"Locomotive ID","value":"4041"},{"id":130,"name":"Impact","value":""},{"id":150,"name":"Time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584</v>
      </c>
      <c r="B99" s="7">
        <v>4027</v>
      </c>
      <c r="C99" s="22" t="s">
        <v>209</v>
      </c>
      <c r="D99" s="22" t="s">
        <v>733</v>
      </c>
      <c r="E99" s="13">
        <v>42707.589803240742</v>
      </c>
      <c r="F99" s="13">
        <v>42707.594004629631</v>
      </c>
      <c r="G99" s="7">
        <v>1</v>
      </c>
      <c r="H99" s="22" t="s">
        <v>326</v>
      </c>
      <c r="I99" s="13">
        <v>42707.620081018518</v>
      </c>
      <c r="J99" s="7">
        <v>0</v>
      </c>
      <c r="K99" s="109" t="str">
        <f t="shared" si="27"/>
        <v>4027/4028</v>
      </c>
      <c r="L99" s="22" t="str">
        <f>VLOOKUP(A99,'Trips&amp;Operators'!$C$1:$G$99999,5,FALSE)</f>
        <v>ARVIDSON DANIEL</v>
      </c>
      <c r="M99" s="6">
        <f t="shared" si="28"/>
        <v>2.6076388887304347E-2</v>
      </c>
      <c r="N99" s="7">
        <f t="shared" si="40"/>
        <v>37.54999999771826</v>
      </c>
      <c r="O99" s="7"/>
      <c r="P99" s="7"/>
      <c r="Q99" s="23"/>
      <c r="R99" s="23"/>
      <c r="S99" s="35">
        <f t="shared" si="41"/>
        <v>1</v>
      </c>
      <c r="T99" s="50" t="str">
        <f t="shared" si="29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13:09:19-700',mode:absolute,to:'2016-12-03 15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9" s="52" t="str">
        <f t="shared" si="31"/>
        <v>N</v>
      </c>
      <c r="X99" s="177">
        <f t="shared" si="26"/>
        <v>1</v>
      </c>
      <c r="Y99" s="67">
        <f t="shared" si="32"/>
        <v>4.3499999999999997E-2</v>
      </c>
      <c r="Z99" s="67">
        <f t="shared" si="42"/>
        <v>23.334399999999999</v>
      </c>
      <c r="AA99" s="67">
        <f t="shared" si="33"/>
        <v>23.290899999999997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4"/>
        <v>0185-03</v>
      </c>
      <c r="AE99" s="91" t="str">
        <f t="shared" si="35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99" s="88" t="str">
        <f t="shared" si="36"/>
        <v>"C:\Program Files (x86)\AstroGrep\AstroGrep.exe" /spath="%USERPROFILE%\AppData\Local\Temp\OnboardLogs" /stypes="app*4027*20161203*" /stext=" 21:.+((SYSTEM_STATE.+slice.+state.+changed )|(ment ac)|(multiple cpu faults)|(system.+state.+changed )|(\[timeout)|(PRM\|1\|D)|(kpr)|(kdp)|(\|lc)|(penalty))" /e /r /s</v>
      </c>
      <c r="AG99" s="1" t="str">
        <f t="shared" si="37"/>
        <v>EC</v>
      </c>
      <c r="AH99" s="92" t="str">
        <f t="shared" si="38"/>
        <v>"%USERPROFILE%\Documents\GitHub\eaglep3\Utilities\RefineRTDCRunTimes.py" --tripid 185-03 --locoid 4027 --swversion DE.1.0.8.0 --startMP 204:435 --initTime 2016-12-03T14:09:19 --startdatetime 2016-12-03T14:15:22 --delay 1 --endMP 204:233344 --enddatetime 2016-12-03T14:52:55 --enforcementcount 0 &gt;&gt;C:\Users\stu\Documents\GitHub\eaglep3-reporting\EC\2016-12-03-refined-times.txt</v>
      </c>
      <c r="AI99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{"issue":{"subject":"","project_id":79,"tracker_id":40,"status_id":1,"priority_id":2,"assigned_to_id":23,"start_date":"2016-12-03","description":"","custom_fields":[{"id":1,"name":"Subdivision","value":"EC"},{"id":4,"name":"Milepost","value":"23.3344"},{"id":17,"name":"Train ID","value":"185-03"},{"id":16,"name":"Locomotive ID","value":"4027"},{"id":130,"name":"Impact","value":""},{"id":150,"name":"Time of Event (Mountain Time)","value":"14:52:55"},{"id":151,"name":"Denver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593</v>
      </c>
      <c r="B100" s="7">
        <v>4028</v>
      </c>
      <c r="C100" s="22" t="s">
        <v>209</v>
      </c>
      <c r="D100" s="22" t="s">
        <v>734</v>
      </c>
      <c r="E100" s="13">
        <v>42707.630740740744</v>
      </c>
      <c r="F100" s="13">
        <v>42707.632905092592</v>
      </c>
      <c r="G100" s="7">
        <v>1</v>
      </c>
      <c r="H100" s="22" t="s">
        <v>229</v>
      </c>
      <c r="I100" s="13">
        <v>42707.659467592595</v>
      </c>
      <c r="J100" s="7">
        <v>0</v>
      </c>
      <c r="K100" s="109" t="str">
        <f t="shared" si="27"/>
        <v>4027/4028</v>
      </c>
      <c r="L100" s="22" t="str">
        <f>VLOOKUP(A100,'Trips&amp;Operators'!$C$1:$G$99999,5,FALSE)</f>
        <v>ARVIDSON DANIEL</v>
      </c>
      <c r="M100" s="6">
        <f t="shared" si="28"/>
        <v>2.6562500002910383E-2</v>
      </c>
      <c r="N100" s="7">
        <f t="shared" si="40"/>
        <v>38.250000004190952</v>
      </c>
      <c r="O100" s="7"/>
      <c r="P100" s="7"/>
      <c r="Q100" s="23"/>
      <c r="R100" s="23"/>
      <c r="S100" s="35">
        <f t="shared" si="41"/>
        <v>1</v>
      </c>
      <c r="T100" s="50" t="str">
        <f t="shared" si="29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14:08:16-700',mode:absolute,to:'2016-12-03 16:49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0" s="52" t="str">
        <f t="shared" si="31"/>
        <v>N</v>
      </c>
      <c r="X100" s="177">
        <f t="shared" si="26"/>
        <v>1</v>
      </c>
      <c r="Y100" s="67">
        <f t="shared" si="32"/>
        <v>23.3002</v>
      </c>
      <c r="Z100" s="67">
        <f t="shared" si="42"/>
        <v>1.54E-2</v>
      </c>
      <c r="AA100" s="67">
        <f t="shared" si="33"/>
        <v>23.284800000000001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4"/>
        <v>0186-03</v>
      </c>
      <c r="AE100" s="91" t="str">
        <f t="shared" si="35"/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AF100" s="88" t="str">
        <f t="shared" si="36"/>
        <v>"C:\Program Files (x86)\AstroGrep\AstroGrep.exe" /spath="%USERPROFILE%\AppData\Local\Temp\OnboardLogs" /stypes="app*4028*20161203*" /stext=" 22:.+((SYSTEM_STATE.+slice.+state.+changed )|(ment ac)|(multiple cpu faults)|(system.+state.+changed )|(\[timeout)|(PRM\|1\|D)|(kpr)|(kdp)|(\|lc)|(penalty))" /e /r /s</v>
      </c>
      <c r="AG100" s="1" t="str">
        <f t="shared" si="37"/>
        <v>EC</v>
      </c>
      <c r="AH100" s="92" t="str">
        <f t="shared" si="38"/>
        <v>"%USERPROFILE%\Documents\GitHub\eaglep3\Utilities\RefineRTDCRunTimes.py" --tripid 186-03 --locoid 4028 --swversion DE.1.0.8.0 --startMP 204:233002 --initTime 2016-12-03T15:08:16 --startdatetime 2016-12-03T15:11:23 --delay 1 --endMP 204:154 --enddatetime 2016-12-03T15:49:38 --enforcementcount 0 &gt;&gt;C:\Users\stu\Documents\GitHub\eaglep3-reporting\EC\2016-12-03-refined-times.txt</v>
      </c>
      <c r="AI100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{"issue":{"subject":"","project_id":79,"tracker_id":40,"status_id":1,"priority_id":2,"assigned_to_id":23,"start_date":"2016-12-03","description":"","custom_fields":[{"id":1,"name":"Subdivision","value":"EC"},{"id":4,"name":"Milepost","value":"0.0154"},{"id":17,"name":"Train ID","value":"186-03"},{"id":16,"name":"Locomotive ID","value":"4028"},{"id":130,"name":"Impact","value":""},{"id":150,"name":"Time of Event (Mountain Time)","value":"15:49:38"},{"id":151,"name":"Denver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586</v>
      </c>
      <c r="B101" s="7">
        <v>4038</v>
      </c>
      <c r="C101" s="22" t="s">
        <v>209</v>
      </c>
      <c r="D101" s="22" t="s">
        <v>735</v>
      </c>
      <c r="E101" s="13">
        <v>42707.600185185183</v>
      </c>
      <c r="F101" s="13">
        <v>42707.604467592595</v>
      </c>
      <c r="G101" s="7">
        <v>1</v>
      </c>
      <c r="H101" s="22" t="s">
        <v>260</v>
      </c>
      <c r="I101" s="13">
        <v>42707.628831018519</v>
      </c>
      <c r="J101" s="7">
        <v>0</v>
      </c>
      <c r="K101" s="109" t="str">
        <f t="shared" si="27"/>
        <v>4037/4038</v>
      </c>
      <c r="L101" s="22" t="str">
        <f>VLOOKUP(A101,'Trips&amp;Operators'!$C$1:$G$99999,5,FALSE)</f>
        <v>STEWART MICHAEL</v>
      </c>
      <c r="M101" s="6">
        <f t="shared" si="28"/>
        <v>2.4363425924093463E-2</v>
      </c>
      <c r="N101" s="7">
        <f t="shared" si="40"/>
        <v>35.083333330694586</v>
      </c>
      <c r="O101" s="7"/>
      <c r="P101" s="7"/>
      <c r="Q101" s="23"/>
      <c r="R101" s="23"/>
      <c r="S101" s="35">
        <f t="shared" si="41"/>
        <v>1</v>
      </c>
      <c r="T101" s="50" t="str">
        <f t="shared" si="29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13:24:16-700',mode:absolute,to:'2016-12-03 16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01" s="52" t="str">
        <f t="shared" si="31"/>
        <v>N</v>
      </c>
      <c r="X101" s="177">
        <f t="shared" si="26"/>
        <v>1</v>
      </c>
      <c r="Y101" s="67">
        <f t="shared" si="32"/>
        <v>4.7800000000000002E-2</v>
      </c>
      <c r="Z101" s="67">
        <f t="shared" si="42"/>
        <v>23.330300000000001</v>
      </c>
      <c r="AA101" s="67">
        <f t="shared" si="33"/>
        <v>23.282500000000002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4"/>
        <v>0187-03</v>
      </c>
      <c r="AE101" s="91" t="str">
        <f t="shared" si="35"/>
        <v>aws s3 cp s3://rtdc.mdm.uploadarchive.raw/RTDC4038/ "%USERPROFILE%\AppData\Local\Temp\OnboardLogs"\RTDC4038\2016-12-03 --exclude "*" --recursive --include "*20161203*" &amp; "%USERPROFILE%\Documents\GitHub\mrs-test-scripts\Headless Mode &amp; Sideloading\WalkAndUnGZ.bat" "%USERPROFILE%\AppData\Local\Temp\OnboardLogs"\RTDC4038\2016-12-03 &amp; 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</v>
      </c>
      <c r="AF101" s="88" t="str">
        <f t="shared" si="36"/>
        <v>"C:\Program Files (x86)\AstroGrep\AstroGrep.exe" /spath="%USERPROFILE%\AppData\Local\Temp\OnboardLogs" /stypes="app*4038*20161203*" /stext=" 22:.+((SYSTEM_STATE.+slice.+state.+changed )|(ment ac)|(multiple cpu faults)|(system.+state.+changed )|(\[timeout)|(PRM\|1\|D)|(kpr)|(kdp)|(\|lc)|(penalty))" /e /r /s</v>
      </c>
      <c r="AG101" s="1" t="str">
        <f t="shared" si="37"/>
        <v>EC</v>
      </c>
      <c r="AH101" s="92" t="str">
        <f t="shared" si="38"/>
        <v>"%USERPROFILE%\Documents\GitHub\eaglep3\Utilities\RefineRTDCRunTimes.py" --tripid 187-03 --locoid 4038 --swversion DE.1.0.8.0 --startMP 204:478 --initTime 2016-12-03T14:24:16 --startdatetime 2016-12-03T14:30:26 --delay 1 --endMP 204:233303 --enddatetime 2016-12-03T15:05:31 --enforcementcount 0 &gt;&gt;C:\Users\stu\Documents\GitHub\eaglep3-reporting\EC\2016-12-03-refined-times.txt</v>
      </c>
      <c r="AI101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{"issue":{"subject":"","project_id":79,"tracker_id":40,"status_id":1,"priority_id":2,"assigned_to_id":23,"start_date":"2016-12-03","description":"","custom_fields":[{"id":1,"name":"Subdivision","value":"EC"},{"id":4,"name":"Milepost","value":"23.3303"},{"id":17,"name":"Train ID","value":"187-03"},{"id":16,"name":"Locomotive ID","value":"4038"},{"id":130,"name":"Impact","value":""},{"id":150,"name":"Time of Event (Mountain Time)","value":"15:05:31"},{"id":151,"name":"Denver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448</v>
      </c>
      <c r="B102" s="7">
        <v>4037</v>
      </c>
      <c r="C102" s="22" t="s">
        <v>209</v>
      </c>
      <c r="D102" s="22" t="s">
        <v>315</v>
      </c>
      <c r="E102" s="13">
        <v>42707.638749999998</v>
      </c>
      <c r="F102" s="13">
        <v>42707.64334490741</v>
      </c>
      <c r="G102" s="7">
        <v>1</v>
      </c>
      <c r="H102" s="22" t="s">
        <v>211</v>
      </c>
      <c r="I102" s="13">
        <v>42707.669664351852</v>
      </c>
      <c r="J102" s="7">
        <v>0</v>
      </c>
      <c r="K102" s="109" t="str">
        <f t="shared" si="27"/>
        <v>4037/4038</v>
      </c>
      <c r="L102" s="22" t="str">
        <f>VLOOKUP(A102,'Trips&amp;Operators'!$C$1:$G$99999,5,FALSE)</f>
        <v>STEWART MICHAEL</v>
      </c>
      <c r="M102" s="6">
        <f t="shared" si="28"/>
        <v>2.6319444441469386E-2</v>
      </c>
      <c r="N102" s="7">
        <f t="shared" si="40"/>
        <v>37.899999995715916</v>
      </c>
      <c r="O102" s="7"/>
      <c r="P102" s="7"/>
      <c r="Q102" s="23"/>
      <c r="R102" s="23"/>
      <c r="S102" s="35">
        <f t="shared" si="41"/>
        <v>1</v>
      </c>
      <c r="T102" s="50" t="str">
        <f t="shared" si="29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14:19:48-700',mode:absolute,to:'2016-12-03 17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02" s="52" t="str">
        <f t="shared" si="31"/>
        <v>N</v>
      </c>
      <c r="X102" s="177">
        <f t="shared" ref="X102:X133" si="43">VALUE(LEFT(AD102,4))-VALUE(LEFT(AD101,4))</f>
        <v>1</v>
      </c>
      <c r="Y102" s="67">
        <f t="shared" si="32"/>
        <v>23.296900000000001</v>
      </c>
      <c r="Z102" s="67">
        <f t="shared" si="42"/>
        <v>1.5800000000000002E-2</v>
      </c>
      <c r="AA102" s="67">
        <f t="shared" si="33"/>
        <v>23.281100000000002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4"/>
        <v>0188-03</v>
      </c>
      <c r="AE102" s="91" t="str">
        <f t="shared" si="35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102" s="88" t="str">
        <f t="shared" si="36"/>
        <v>"C:\Program Files (x86)\AstroGrep\AstroGrep.exe" /spath="%USERPROFILE%\AppData\Local\Temp\OnboardLogs" /stypes="app*4037*20161203*" /stext=" 23:.+((SYSTEM_STATE.+slice.+state.+changed )|(ment ac)|(multiple cpu faults)|(system.+state.+changed )|(\[timeout)|(PRM\|1\|D)|(kpr)|(kdp)|(\|lc)|(penalty))" /e /r /s</v>
      </c>
      <c r="AG102" s="1" t="str">
        <f t="shared" si="37"/>
        <v>EC</v>
      </c>
      <c r="AH102" s="92" t="str">
        <f t="shared" si="38"/>
        <v>"%USERPROFILE%\Documents\GitHub\eaglep3\Utilities\RefineRTDCRunTimes.py" --tripid 188-03 --locoid 4037 --swversion DE.1.0.8.0 --startMP 204:232969 --initTime 2016-12-03T15:19:48 --startdatetime 2016-12-03T15:26:25 --delay 1 --endMP 204:158 --enddatetime 2016-12-03T16:04:19 --enforcementcount 0 &gt;&gt;C:\Users\stu\Documents\GitHub\eaglep3-reporting\EC\2016-12-03-refined-times.txt</v>
      </c>
      <c r="AI102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{"issue":{"subject":"","project_id":79,"tracker_id":40,"status_id":1,"priority_id":2,"assigned_to_id":23,"start_date":"2016-12-03","description":"","custom_fields":[{"id":1,"name":"Subdivision","value":"EC"},{"id":4,"name":"Milepost","value":"0.0158"},{"id":17,"name":"Train ID","value":"188-03"},{"id":16,"name":"Locomotive ID","value":"4037"},{"id":130,"name":"Impact","value":""},{"id":150,"name":"Time of Event (Mountain Time)","value":"16:04:19"},{"id":151,"name":"Denver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589</v>
      </c>
      <c r="B103" s="7">
        <v>4014</v>
      </c>
      <c r="C103" s="22" t="s">
        <v>209</v>
      </c>
      <c r="D103" s="22" t="s">
        <v>251</v>
      </c>
      <c r="E103" s="13">
        <v>42707.609155092592</v>
      </c>
      <c r="F103" s="13">
        <v>42707.614872685182</v>
      </c>
      <c r="G103" s="7">
        <v>1</v>
      </c>
      <c r="H103" s="22" t="s">
        <v>667</v>
      </c>
      <c r="I103" s="13">
        <v>42707.639525462961</v>
      </c>
      <c r="J103" s="7">
        <v>0</v>
      </c>
      <c r="K103" s="109" t="str">
        <f t="shared" si="27"/>
        <v>4013/4014</v>
      </c>
      <c r="L103" s="22" t="str">
        <f>VLOOKUP(A103,'Trips&amp;Operators'!$C$1:$G$99999,5,FALSE)</f>
        <v>BARTLETT KIANDRA</v>
      </c>
      <c r="M103" s="6">
        <f t="shared" si="28"/>
        <v>2.4652777778101154E-2</v>
      </c>
      <c r="N103" s="7">
        <f t="shared" si="40"/>
        <v>35.500000000465661</v>
      </c>
      <c r="O103" s="7"/>
      <c r="P103" s="7"/>
      <c r="Q103" s="23"/>
      <c r="R103" s="23"/>
      <c r="S103" s="35">
        <f t="shared" si="41"/>
        <v>1</v>
      </c>
      <c r="T103" s="50" t="str">
        <f t="shared" si="29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13:37:11-700',mode:absolute,to:'2016-12-03 16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3" s="52" t="str">
        <f t="shared" si="31"/>
        <v>N</v>
      </c>
      <c r="X103" s="177">
        <f t="shared" si="43"/>
        <v>1</v>
      </c>
      <c r="Y103" s="67">
        <f t="shared" si="32"/>
        <v>4.7100000000000003E-2</v>
      </c>
      <c r="Z103" s="67">
        <f t="shared" si="42"/>
        <v>23.334599999999998</v>
      </c>
      <c r="AA103" s="67">
        <f t="shared" si="33"/>
        <v>23.287499999999998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34"/>
        <v>0189-03</v>
      </c>
      <c r="AE103" s="91" t="str">
        <f t="shared" si="35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103" s="88" t="str">
        <f t="shared" si="36"/>
        <v>"C:\Program Files (x86)\AstroGrep\AstroGrep.exe" /spath="%USERPROFILE%\AppData\Local\Temp\OnboardLogs" /stypes="app*4014*20161203*" /stext=" 22:.+((SYSTEM_STATE.+slice.+state.+changed )|(ment ac)|(multiple cpu faults)|(system.+state.+changed )|(\[timeout)|(PRM\|1\|D)|(kpr)|(kdp)|(\|lc)|(penalty))" /e /r /s</v>
      </c>
      <c r="AG103" s="1" t="str">
        <f t="shared" si="37"/>
        <v>EC</v>
      </c>
      <c r="AH103" s="92" t="str">
        <f t="shared" si="38"/>
        <v>"%USERPROFILE%\Documents\GitHub\eaglep3\Utilities\RefineRTDCRunTimes.py" --tripid 189-03 --locoid 4014 --swversion DE.1.0.8.0 --startMP 204:471 --initTime 2016-12-03T14:37:11 --startdatetime 2016-12-03T14:45:25 --delay 1 --endMP 204:233346 --enddatetime 2016-12-03T15:20:55 --enforcementcount 0 &gt;&gt;C:\Users\stu\Documents\GitHub\eaglep3-reporting\EC\2016-12-03-refined-times.txt</v>
      </c>
      <c r="AI103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{"issue":{"subject":"","project_id":79,"tracker_id":40,"status_id":1,"priority_id":2,"assigned_to_id":23,"start_date":"2016-12-03","description":"","custom_fields":[{"id":1,"name":"Subdivision","value":"EC"},{"id":4,"name":"Milepost","value":"23.3346"},{"id":17,"name":"Train ID","value":"189-03"},{"id":16,"name":"Locomotive ID","value":"4014"},{"id":130,"name":"Impact","value":""},{"id":150,"name":"Time of Event (Mountain Time)","value":"15:20:55"},{"id":151,"name":"Denver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449</v>
      </c>
      <c r="B104" s="7">
        <v>4013</v>
      </c>
      <c r="C104" s="22" t="s">
        <v>209</v>
      </c>
      <c r="D104" s="22" t="s">
        <v>736</v>
      </c>
      <c r="E104" s="13">
        <v>42707.642222222225</v>
      </c>
      <c r="F104" s="13">
        <v>42707.653715277775</v>
      </c>
      <c r="G104" s="7">
        <v>1</v>
      </c>
      <c r="H104" s="22" t="s">
        <v>397</v>
      </c>
      <c r="I104" s="13">
        <v>42707.6797337963</v>
      </c>
      <c r="J104" s="7">
        <v>0</v>
      </c>
      <c r="K104" s="109" t="str">
        <f t="shared" si="27"/>
        <v>4013/4014</v>
      </c>
      <c r="L104" s="22" t="str">
        <f>VLOOKUP(A104,'Trips&amp;Operators'!$C$1:$G$99999,5,FALSE)</f>
        <v>BARTLETT KIANDRA</v>
      </c>
      <c r="M104" s="6">
        <f t="shared" si="28"/>
        <v>2.6018518525233958E-2</v>
      </c>
      <c r="N104" s="7">
        <f t="shared" si="40"/>
        <v>37.466666676336899</v>
      </c>
      <c r="O104" s="7"/>
      <c r="P104" s="7"/>
      <c r="Q104" s="23"/>
      <c r="R104" s="23"/>
      <c r="S104" s="35">
        <f t="shared" si="41"/>
        <v>1</v>
      </c>
      <c r="T104" s="50" t="str">
        <f t="shared" si="29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14:24:48-700',mode:absolute,to:'2016-12-03 17:18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4" s="52" t="str">
        <f t="shared" si="31"/>
        <v>N</v>
      </c>
      <c r="X104" s="177">
        <f t="shared" si="43"/>
        <v>1</v>
      </c>
      <c r="Y104" s="67">
        <f t="shared" si="32"/>
        <v>23.304300000000001</v>
      </c>
      <c r="Z104" s="67">
        <f t="shared" si="42"/>
        <v>1.67E-2</v>
      </c>
      <c r="AA104" s="67">
        <f t="shared" si="33"/>
        <v>23.287600000000001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4"/>
        <v>0190-03</v>
      </c>
      <c r="AE104" s="91" t="str">
        <f t="shared" si="35"/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AF104" s="88" t="str">
        <f t="shared" si="36"/>
        <v>"C:\Program Files (x86)\AstroGrep\AstroGrep.exe" /spath="%USERPROFILE%\AppData\Local\Temp\OnboardLogs" /stypes="app*4013*20161203*" /stext=" 23:.+((SYSTEM_STATE.+slice.+state.+changed )|(ment ac)|(multiple cpu faults)|(system.+state.+changed )|(\[timeout)|(PRM\|1\|D)|(kpr)|(kdp)|(\|lc)|(penalty))" /e /r /s</v>
      </c>
      <c r="AG104" s="1" t="str">
        <f t="shared" si="37"/>
        <v>EC</v>
      </c>
      <c r="AH104" s="92" t="str">
        <f t="shared" si="38"/>
        <v>"%USERPROFILE%\Documents\GitHub\eaglep3\Utilities\RefineRTDCRunTimes.py" --tripid 190-03 --locoid 4013 --swversion DE.1.0.8.0 --startMP 204:233043 --initTime 2016-12-03T15:24:48 --startdatetime 2016-12-03T15:41:21 --delay 1 --endMP 204:167 --enddatetime 2016-12-03T16:18:49 --enforcementcount 0 &gt;&gt;C:\Users\stu\Documents\GitHub\eaglep3-reporting\EC\2016-12-03-refined-times.txt</v>
      </c>
      <c r="AI104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{"issue":{"subject":"","project_id":79,"tracker_id":40,"status_id":1,"priority_id":2,"assigned_to_id":23,"start_date":"2016-12-03","description":"","custom_fields":[{"id":1,"name":"Subdivision","value":"EC"},{"id":4,"name":"Milepost","value":"0.0167"},{"id":17,"name":"Train ID","value":"190-03"},{"id":16,"name":"Locomotive ID","value":"4013"},{"id":130,"name":"Impact","value":""},{"id":150,"name":"Time of Event (Mountain Time)","value":"16:18:49"},{"id":151,"name":"Denver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591</v>
      </c>
      <c r="B105" s="7">
        <v>4040</v>
      </c>
      <c r="C105" s="22" t="s">
        <v>209</v>
      </c>
      <c r="D105" s="22" t="s">
        <v>248</v>
      </c>
      <c r="E105" s="13">
        <v>42707.621689814812</v>
      </c>
      <c r="F105" s="13">
        <v>42707.625254629631</v>
      </c>
      <c r="G105" s="7">
        <v>1</v>
      </c>
      <c r="H105" s="22" t="s">
        <v>739</v>
      </c>
      <c r="I105" s="13">
        <v>42707.649942129632</v>
      </c>
      <c r="J105" s="7">
        <v>0</v>
      </c>
      <c r="K105" s="109" t="str">
        <f t="shared" si="27"/>
        <v>4039/4040</v>
      </c>
      <c r="L105" s="22" t="str">
        <f>VLOOKUP(A105,'Trips&amp;Operators'!$C$1:$G$99999,5,FALSE)</f>
        <v>MOSES BRADLEY</v>
      </c>
      <c r="M105" s="6">
        <f t="shared" si="28"/>
        <v>2.4687500001164153E-2</v>
      </c>
      <c r="N105" s="7">
        <f t="shared" si="40"/>
        <v>35.550000001676381</v>
      </c>
      <c r="O105" s="7"/>
      <c r="P105" s="7"/>
      <c r="Q105" s="23"/>
      <c r="R105" s="23"/>
      <c r="S105" s="35">
        <f t="shared" si="41"/>
        <v>1</v>
      </c>
      <c r="T105" s="50" t="str">
        <f t="shared" si="29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13:55:14-700',mode:absolute,to:'2016-12-03 16:35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05" s="52" t="str">
        <f t="shared" si="31"/>
        <v>N</v>
      </c>
      <c r="X105" s="177">
        <f t="shared" si="43"/>
        <v>1</v>
      </c>
      <c r="Y105" s="67">
        <f t="shared" si="32"/>
        <v>4.5999999999999999E-2</v>
      </c>
      <c r="Z105" s="67">
        <f t="shared" si="42"/>
        <v>23.332599999999999</v>
      </c>
      <c r="AA105" s="67">
        <f t="shared" si="33"/>
        <v>23.2866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4"/>
        <v>0191-03</v>
      </c>
      <c r="AE105" s="91" t="str">
        <f t="shared" si="35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105" s="88" t="str">
        <f t="shared" si="36"/>
        <v>"C:\Program Files (x86)\AstroGrep\AstroGrep.exe" /spath="%USERPROFILE%\AppData\Local\Temp\OnboardLogs" /stypes="app*4040*20161203*" /stext=" 22:.+((SYSTEM_STATE.+slice.+state.+changed )|(ment ac)|(multiple cpu faults)|(system.+state.+changed )|(\[timeout)|(PRM\|1\|D)|(kpr)|(kdp)|(\|lc)|(penalty))" /e /r /s</v>
      </c>
      <c r="AG105" s="1" t="str">
        <f t="shared" si="37"/>
        <v>EC</v>
      </c>
      <c r="AH105" s="92" t="str">
        <f t="shared" si="38"/>
        <v>"%USERPROFILE%\Documents\GitHub\eaglep3\Utilities\RefineRTDCRunTimes.py" --tripid 191-03 --locoid 4040 --swversion DE.1.0.8.0 --startMP 204:460 --initTime 2016-12-03T14:55:14 --startdatetime 2016-12-03T15:00:22 --delay 1 --endMP 204:233326 --enddatetime 2016-12-03T15:35:55 --enforcementcount 0 &gt;&gt;C:\Users\stu\Documents\GitHub\eaglep3-reporting\EC\2016-12-03-refined-times.txt</v>
      </c>
      <c r="AI105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{"issue":{"subject":"","project_id":79,"tracker_id":40,"status_id":1,"priority_id":2,"assigned_to_id":23,"start_date":"2016-12-03","description":"","custom_fields":[{"id":1,"name":"Subdivision","value":"EC"},{"id":4,"name":"Milepost","value":"23.3326"},{"id":17,"name":"Train ID","value":"191-03"},{"id":16,"name":"Locomotive ID","value":"4040"},{"id":130,"name":"Impact","value":""},{"id":150,"name":"Time of Event (Mountain Time)","value":"15:35:55"},{"id":151,"name":"Denver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597</v>
      </c>
      <c r="B106" s="7">
        <v>4039</v>
      </c>
      <c r="C106" s="22" t="s">
        <v>209</v>
      </c>
      <c r="D106" s="22" t="s">
        <v>330</v>
      </c>
      <c r="E106" s="13">
        <v>42707.651782407411</v>
      </c>
      <c r="F106" s="13">
        <v>42707.664201388892</v>
      </c>
      <c r="G106" s="7">
        <v>1</v>
      </c>
      <c r="H106" s="22" t="s">
        <v>216</v>
      </c>
      <c r="I106" s="13">
        <v>42707.690787037034</v>
      </c>
      <c r="J106" s="7">
        <v>0</v>
      </c>
      <c r="K106" s="109" t="str">
        <f t="shared" si="27"/>
        <v>4039/4040</v>
      </c>
      <c r="L106" s="22" t="str">
        <f>VLOOKUP(A106,'Trips&amp;Operators'!$C$1:$G$99999,5,FALSE)</f>
        <v>MOSES BRADLEY</v>
      </c>
      <c r="M106" s="6">
        <f t="shared" si="28"/>
        <v>2.6585648141917773E-2</v>
      </c>
      <c r="N106" s="7">
        <f t="shared" si="40"/>
        <v>38.283333324361593</v>
      </c>
      <c r="O106" s="7"/>
      <c r="P106" s="7"/>
      <c r="Q106" s="23"/>
      <c r="R106" s="23"/>
      <c r="S106" s="35">
        <f t="shared" si="41"/>
        <v>1</v>
      </c>
      <c r="T106" s="50" t="str">
        <f t="shared" si="29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14:38:34-700',mode:absolute,to:'2016-12-03 17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06" s="52" t="str">
        <f t="shared" si="31"/>
        <v>N</v>
      </c>
      <c r="X106" s="177">
        <f t="shared" si="43"/>
        <v>1</v>
      </c>
      <c r="Y106" s="67">
        <f t="shared" si="32"/>
        <v>23.301500000000001</v>
      </c>
      <c r="Z106" s="67">
        <f t="shared" si="42"/>
        <v>1.4999999999999999E-2</v>
      </c>
      <c r="AA106" s="67">
        <f t="shared" si="33"/>
        <v>23.2865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4"/>
        <v>0192-03</v>
      </c>
      <c r="AE106" s="91" t="str">
        <f t="shared" si="35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106" s="88" t="str">
        <f t="shared" si="36"/>
        <v>"C:\Program Files (x86)\AstroGrep\AstroGrep.exe" /spath="%USERPROFILE%\AppData\Local\Temp\OnboardLogs" /stypes="app*4039*20161203*" /stext=" 23:.+((SYSTEM_STATE.+slice.+state.+changed )|(ment ac)|(multiple cpu faults)|(system.+state.+changed )|(\[timeout)|(PRM\|1\|D)|(kpr)|(kdp)|(\|lc)|(penalty))" /e /r /s</v>
      </c>
      <c r="AG106" s="1" t="str">
        <f t="shared" si="37"/>
        <v>EC</v>
      </c>
      <c r="AH106" s="92" t="str">
        <f t="shared" si="38"/>
        <v>"%USERPROFILE%\Documents\GitHub\eaglep3\Utilities\RefineRTDCRunTimes.py" --tripid 192-03 --locoid 4039 --swversion DE.1.0.8.0 --startMP 204:233015 --initTime 2016-12-03T15:38:34 --startdatetime 2016-12-03T15:56:27 --delay 1 --endMP 204:150 --enddatetime 2016-12-03T16:34:44 --enforcementcount 0 &gt;&gt;C:\Users\stu\Documents\GitHub\eaglep3-reporting\EC\2016-12-03-refined-times.txt</v>
      </c>
      <c r="AI106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{"issue":{"subject":"","project_id":79,"tracker_id":40,"status_id":1,"priority_id":2,"assigned_to_id":23,"start_date":"2016-12-03","description":"","custom_fields":[{"id":1,"name":"Subdivision","value":"EC"},{"id":4,"name":"Milepost","value":"0.015"},{"id":17,"name":"Train ID","value":"192-03"},{"id":16,"name":"Locomotive ID","value":"4039"},{"id":130,"name":"Impact","value":""},{"id":150,"name":"Time of Event (Mountain Time)","value":"16:34:44"},{"id":151,"name":"Denver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592</v>
      </c>
      <c r="B107" s="7">
        <v>4022</v>
      </c>
      <c r="C107" s="22" t="s">
        <v>209</v>
      </c>
      <c r="D107" s="22" t="s">
        <v>195</v>
      </c>
      <c r="E107" s="13">
        <v>42707.630277777775</v>
      </c>
      <c r="F107" s="13">
        <v>42707.635636574072</v>
      </c>
      <c r="G107" s="7">
        <v>1</v>
      </c>
      <c r="H107" s="22" t="s">
        <v>412</v>
      </c>
      <c r="I107" s="13">
        <v>42707.660914351851</v>
      </c>
      <c r="J107" s="7">
        <v>0</v>
      </c>
      <c r="K107" s="109" t="str">
        <f t="shared" si="27"/>
        <v>4021/4022</v>
      </c>
      <c r="L107" s="22" t="str">
        <f>VLOOKUP(A107,'Trips&amp;Operators'!$C$1:$G$99999,5,FALSE)</f>
        <v>SHOOK JOHN</v>
      </c>
      <c r="M107" s="6">
        <f t="shared" si="28"/>
        <v>2.527777777868323E-2</v>
      </c>
      <c r="N107" s="7">
        <f t="shared" si="40"/>
        <v>36.400000001303852</v>
      </c>
      <c r="O107" s="7"/>
      <c r="P107" s="7"/>
      <c r="Q107" s="23"/>
      <c r="R107" s="23"/>
      <c r="S107" s="35">
        <f t="shared" si="41"/>
        <v>1</v>
      </c>
      <c r="T107" s="50" t="str">
        <f t="shared" si="29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14:07:36-700',mode:absolute,to:'2016-12-03 16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07" s="52" t="str">
        <f t="shared" si="31"/>
        <v>N</v>
      </c>
      <c r="X107" s="177">
        <f t="shared" si="43"/>
        <v>1</v>
      </c>
      <c r="Y107" s="67">
        <f t="shared" si="32"/>
        <v>4.5100000000000001E-2</v>
      </c>
      <c r="Z107" s="67">
        <f t="shared" si="42"/>
        <v>23.3355</v>
      </c>
      <c r="AA107" s="67">
        <f t="shared" si="33"/>
        <v>23.290399999999998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4"/>
        <v>0193-03</v>
      </c>
      <c r="AE107" s="91" t="str">
        <f t="shared" si="35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107" s="88" t="str">
        <f t="shared" si="36"/>
        <v>"C:\Program Files (x86)\AstroGrep\AstroGrep.exe" /spath="%USERPROFILE%\AppData\Local\Temp\OnboardLogs" /stypes="app*4022*20161203*" /stext=" 22:.+((SYSTEM_STATE.+slice.+state.+changed )|(ment ac)|(multiple cpu faults)|(system.+state.+changed )|(\[timeout)|(PRM\|1\|D)|(kpr)|(kdp)|(\|lc)|(penalty))" /e /r /s</v>
      </c>
      <c r="AG107" s="1" t="str">
        <f t="shared" si="37"/>
        <v>EC</v>
      </c>
      <c r="AH107" s="92" t="str">
        <f t="shared" si="38"/>
        <v>"%USERPROFILE%\Documents\GitHub\eaglep3\Utilities\RefineRTDCRunTimes.py" --tripid 193-03 --locoid 4022 --swversion DE.1.0.8.0 --startMP 204:451 --initTime 2016-12-03T15:07:36 --startdatetime 2016-12-03T15:15:19 --delay 1 --endMP 204:233355 --enddatetime 2016-12-03T15:51:43 --enforcementcount 0 &gt;&gt;C:\Users\stu\Documents\GitHub\eaglep3-reporting\EC\2016-12-03-refined-times.txt</v>
      </c>
      <c r="AI107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{"issue":{"subject":"","project_id":79,"tracker_id":40,"status_id":1,"priority_id":2,"assigned_to_id":23,"start_date":"2016-12-03","description":"","custom_fields":[{"id":1,"name":"Subdivision","value":"EC"},{"id":4,"name":"Milepost","value":"23.3355"},{"id":17,"name":"Train ID","value":"193-03"},{"id":16,"name":"Locomotive ID","value":"4022"},{"id":130,"name":"Impact","value":""},{"id":150,"name":"Time of Event (Mountain Time)","value":"15:51:43"},{"id":151,"name":"Denver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x14ac:dyDescent="0.25">
      <c r="A108" s="37" t="s">
        <v>599</v>
      </c>
      <c r="B108" s="7">
        <v>4021</v>
      </c>
      <c r="C108" s="22" t="s">
        <v>209</v>
      </c>
      <c r="D108" s="22" t="s">
        <v>740</v>
      </c>
      <c r="E108" s="13">
        <v>42707.670532407406</v>
      </c>
      <c r="F108" s="13">
        <v>42707.674479166664</v>
      </c>
      <c r="G108" s="7">
        <v>1</v>
      </c>
      <c r="H108" s="22" t="s">
        <v>316</v>
      </c>
      <c r="I108" s="13">
        <v>42707.700914351852</v>
      </c>
      <c r="J108" s="7">
        <v>0</v>
      </c>
      <c r="K108" s="109" t="str">
        <f t="shared" si="27"/>
        <v>4021/4022</v>
      </c>
      <c r="L108" s="22" t="str">
        <f>VLOOKUP(A108,'Trips&amp;Operators'!$C$1:$G$99999,5,FALSE)</f>
        <v>SHOOK JOHN</v>
      </c>
      <c r="M108" s="6">
        <f t="shared" si="28"/>
        <v>2.6435185187438037E-2</v>
      </c>
      <c r="N108" s="7">
        <f t="shared" si="40"/>
        <v>38.066666669910774</v>
      </c>
      <c r="O108" s="7"/>
      <c r="P108" s="7"/>
      <c r="Q108" s="23"/>
      <c r="R108" s="23"/>
      <c r="S108" s="35">
        <f t="shared" si="41"/>
        <v>1</v>
      </c>
      <c r="T108" s="50" t="str">
        <f t="shared" si="29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15:05:34-700',mode:absolute,to:'2016-12-03 17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08" s="52" t="str">
        <f t="shared" si="31"/>
        <v>N</v>
      </c>
      <c r="X108" s="177">
        <f t="shared" si="43"/>
        <v>1</v>
      </c>
      <c r="Y108" s="67">
        <f t="shared" si="32"/>
        <v>23.306000000000001</v>
      </c>
      <c r="Z108" s="67">
        <f t="shared" si="42"/>
        <v>1.6899999999999998E-2</v>
      </c>
      <c r="AA108" s="67">
        <f t="shared" si="33"/>
        <v>23.289100000000001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4"/>
        <v>0194-03</v>
      </c>
      <c r="AE108" s="91" t="str">
        <f t="shared" si="35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108" s="88" t="str">
        <f t="shared" si="36"/>
        <v>"C:\Program Files (x86)\AstroGrep\AstroGrep.exe" /spath="%USERPROFILE%\AppData\Local\Temp\OnboardLogs" /stypes="app*4021*20161203*" /stext=" 23:.+((SYSTEM_STATE.+slice.+state.+changed )|(ment ac)|(multiple cpu faults)|(system.+state.+changed )|(\[timeout)|(PRM\|1\|D)|(kpr)|(kdp)|(\|lc)|(penalty))" /e /r /s</v>
      </c>
      <c r="AG108" s="1" t="str">
        <f t="shared" si="37"/>
        <v>EC</v>
      </c>
      <c r="AH108" s="92" t="str">
        <f t="shared" si="38"/>
        <v>"%USERPROFILE%\Documents\GitHub\eaglep3\Utilities\RefineRTDCRunTimes.py" --tripid 194-03 --locoid 4021 --swversion DE.1.0.8.0 --startMP 204:233060 --initTime 2016-12-03T16:05:34 --startdatetime 2016-12-03T16:11:15 --delay 1 --endMP 204:169 --enddatetime 2016-12-03T16:49:19 --enforcementcount 0 &gt;&gt;C:\Users\stu\Documents\GitHub\eaglep3-reporting\EC\2016-12-03-refined-times.txt</v>
      </c>
      <c r="AI108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{"issue":{"subject":"","project_id":79,"tracker_id":40,"status_id":1,"priority_id":2,"assigned_to_id":23,"start_date":"2016-12-03","description":"","custom_fields":[{"id":1,"name":"Subdivision","value":"EC"},{"id":4,"name":"Milepost","value":"0.0169"},{"id":17,"name":"Train ID","value":"194-03"},{"id":16,"name":"Locomotive ID","value":"4021"},{"id":130,"name":"Impact","value":""},{"id":150,"name":"Time of Event (Mountain Time)","value":"16:49:19"},{"id":151,"name":"Denver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</row>
    <row r="109" spans="1:91" s="21" customFormat="1" x14ac:dyDescent="0.25">
      <c r="A109" s="37" t="s">
        <v>594</v>
      </c>
      <c r="B109" s="7">
        <v>4016</v>
      </c>
      <c r="C109" s="22" t="s">
        <v>209</v>
      </c>
      <c r="D109" s="22" t="s">
        <v>697</v>
      </c>
      <c r="E109" s="13">
        <v>42707.639513888891</v>
      </c>
      <c r="F109" s="13">
        <v>42707.646018518521</v>
      </c>
      <c r="G109" s="7">
        <v>1</v>
      </c>
      <c r="H109" s="22" t="s">
        <v>282</v>
      </c>
      <c r="I109" s="13">
        <v>42707.670231481483</v>
      </c>
      <c r="J109" s="7">
        <v>0</v>
      </c>
      <c r="K109" s="109" t="str">
        <f t="shared" si="27"/>
        <v>4015/4016</v>
      </c>
      <c r="L109" s="22" t="str">
        <f>VLOOKUP(A109,'Trips&amp;Operators'!$C$1:$G$99999,5,FALSE)</f>
        <v>BRUDER RICHARD</v>
      </c>
      <c r="M109" s="6">
        <f t="shared" si="28"/>
        <v>2.421296296233777E-2</v>
      </c>
      <c r="N109" s="7">
        <f t="shared" si="40"/>
        <v>34.866666665766388</v>
      </c>
      <c r="O109" s="7"/>
      <c r="P109" s="7"/>
      <c r="Q109" s="23"/>
      <c r="R109" s="23"/>
      <c r="S109" s="35">
        <f t="shared" si="41"/>
        <v>1</v>
      </c>
      <c r="T109" s="50" t="str">
        <f t="shared" si="29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14:20:54-700',mode:absolute,to:'2016-12-03 17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9" s="52" t="str">
        <f t="shared" si="31"/>
        <v>N</v>
      </c>
      <c r="X109" s="177">
        <f t="shared" si="43"/>
        <v>1</v>
      </c>
      <c r="Y109" s="67">
        <f t="shared" si="32"/>
        <v>4.3999999999999997E-2</v>
      </c>
      <c r="Z109" s="67">
        <f t="shared" si="42"/>
        <v>23.330100000000002</v>
      </c>
      <c r="AA109" s="67">
        <f t="shared" si="33"/>
        <v>23.286100000000001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4"/>
        <v>0195-03</v>
      </c>
      <c r="AE109" s="91" t="str">
        <f t="shared" si="35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109" s="88" t="str">
        <f t="shared" si="36"/>
        <v>"C:\Program Files (x86)\AstroGrep\AstroGrep.exe" /spath="%USERPROFILE%\AppData\Local\Temp\OnboardLogs" /stypes="app*4016*20161203*" /stext=" 23:.+((SYSTEM_STATE.+slice.+state.+changed )|(ment ac)|(multiple cpu faults)|(system.+state.+changed )|(\[timeout)|(PRM\|1\|D)|(kpr)|(kdp)|(\|lc)|(penalty))" /e /r /s</v>
      </c>
      <c r="AG109" s="1" t="str">
        <f t="shared" si="37"/>
        <v>EC</v>
      </c>
      <c r="AH109" s="92" t="str">
        <f t="shared" si="38"/>
        <v>"%USERPROFILE%\Documents\GitHub\eaglep3\Utilities\RefineRTDCRunTimes.py" --tripid 195-03 --locoid 4016 --swversion DE.1.0.8.0 --startMP 204:440 --initTime 2016-12-03T15:20:54 --startdatetime 2016-12-03T15:30:16 --delay 1 --endMP 204:233301 --enddatetime 2016-12-03T16:05:08 --enforcementcount 0 &gt;&gt;C:\Users\stu\Documents\GitHub\eaglep3-reporting\EC\2016-12-03-refined-times.txt</v>
      </c>
      <c r="AI109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{"issue":{"subject":"","project_id":79,"tracker_id":40,"status_id":1,"priority_id":2,"assigned_to_id":23,"start_date":"2016-12-03","description":"","custom_fields":[{"id":1,"name":"Subdivision","value":"EC"},{"id":4,"name":"Milepost","value":"23.3301"},{"id":17,"name":"Train ID","value":"195-03"},{"id":16,"name":"Locomotive ID","value":"4016"},{"id":130,"name":"Impact","value":""},{"id":150,"name":"Time of Event (Mountain Time)","value":"16:05:08"},{"id":151,"name":"Denver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602</v>
      </c>
      <c r="B110" s="7">
        <v>4015</v>
      </c>
      <c r="C110" s="22" t="s">
        <v>209</v>
      </c>
      <c r="D110" s="22" t="s">
        <v>263</v>
      </c>
      <c r="E110" s="13">
        <v>42707.678483796299</v>
      </c>
      <c r="F110" s="13">
        <v>42707.685046296298</v>
      </c>
      <c r="G110" s="7">
        <v>1</v>
      </c>
      <c r="H110" s="22" t="s">
        <v>229</v>
      </c>
      <c r="I110" s="13">
        <v>42707.710775462961</v>
      </c>
      <c r="J110" s="7">
        <v>0</v>
      </c>
      <c r="K110" s="109" t="str">
        <f t="shared" si="27"/>
        <v>4015/4016</v>
      </c>
      <c r="L110" s="22" t="str">
        <f>VLOOKUP(A110,'Trips&amp;Operators'!$C$1:$G$99999,5,FALSE)</f>
        <v>BRUDER RICHARD</v>
      </c>
      <c r="M110" s="6">
        <f t="shared" si="28"/>
        <v>2.5729166663950309E-2</v>
      </c>
      <c r="N110" s="7">
        <f t="shared" ref="N110:N127" si="44">24*60*SUM($M110:$M110)</f>
        <v>37.049999996088445</v>
      </c>
      <c r="O110" s="7"/>
      <c r="P110" s="7"/>
      <c r="Q110" s="23"/>
      <c r="R110" s="23"/>
      <c r="S110" s="35">
        <f t="shared" ref="S110:S141" si="45">SUM(U110:U110)/IF(AG110="EC",12,1)</f>
        <v>1</v>
      </c>
      <c r="T110" s="50" t="str">
        <f t="shared" si="29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15:17:01-700',mode:absolute,to:'2016-12-03 18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0" s="52" t="str">
        <f t="shared" si="31"/>
        <v>N</v>
      </c>
      <c r="X110" s="177">
        <f t="shared" si="43"/>
        <v>1</v>
      </c>
      <c r="Y110" s="67">
        <f t="shared" si="32"/>
        <v>23.2988</v>
      </c>
      <c r="Z110" s="67">
        <f t="shared" si="42"/>
        <v>1.54E-2</v>
      </c>
      <c r="AA110" s="67">
        <f t="shared" si="33"/>
        <v>23.2834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4"/>
        <v>0196-03</v>
      </c>
      <c r="AE110" s="91" t="str">
        <f t="shared" si="35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110" s="88" t="str">
        <f t="shared" si="36"/>
        <v>"C:\Program Files (x86)\AstroGrep\AstroGrep.exe" /spath="%USERPROFILE%\AppData\Local\Temp\OnboardLogs" /stypes="app*4015*20161204*" /stext=" 00:.+((SYSTEM_STATE.+slice.+state.+changed )|(ment ac)|(multiple cpu faults)|(system.+state.+changed )|(\[timeout)|(PRM\|1\|D)|(kpr)|(kdp)|(\|lc)|(penalty))" /e /r /s</v>
      </c>
      <c r="AG110" s="1" t="str">
        <f t="shared" si="37"/>
        <v>EC</v>
      </c>
      <c r="AH110" s="92" t="str">
        <f t="shared" si="38"/>
        <v>"%USERPROFILE%\Documents\GitHub\eaglep3\Utilities\RefineRTDCRunTimes.py" --tripid 196-03 --locoid 4015 --swversion DE.1.0.8.0 --startMP 204:232988 --initTime 2016-12-03T16:17:01 --startdatetime 2016-12-03T16:26:28 --delay 1 --endMP 204:154 --enddatetime 2016-12-03T17:03:31 --enforcementcount 0 &gt;&gt;C:\Users\stu\Documents\GitHub\eaglep3-reporting\EC\2016-12-03-refined-times.txt</v>
      </c>
      <c r="AI110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{"issue":{"subject":"","project_id":79,"tracker_id":40,"status_id":1,"priority_id":2,"assigned_to_id":23,"start_date":"2016-12-03","description":"","custom_fields":[{"id":1,"name":"Subdivision","value":"EC"},{"id":4,"name":"Milepost","value":"0.0154"},{"id":17,"name":"Train ID","value":"196-03"},{"id":16,"name":"Locomotive ID","value":"4015"},{"id":130,"name":"Impact","value":""},{"id":150,"name":"Time of Event (Mountain Time)","value":"17:03:31"},{"id":151,"name":"Denver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596</v>
      </c>
      <c r="B111" s="7">
        <v>4042</v>
      </c>
      <c r="C111" s="22" t="s">
        <v>209</v>
      </c>
      <c r="D111" s="22" t="s">
        <v>243</v>
      </c>
      <c r="E111" s="13">
        <v>42707.651550925926</v>
      </c>
      <c r="F111" s="13">
        <v>42707.656504629631</v>
      </c>
      <c r="G111" s="7">
        <v>1</v>
      </c>
      <c r="H111" s="22" t="s">
        <v>249</v>
      </c>
      <c r="I111" s="13">
        <v>42707.682789351849</v>
      </c>
      <c r="J111" s="7">
        <v>0</v>
      </c>
      <c r="K111" s="109" t="str">
        <f t="shared" si="27"/>
        <v>4041/4042</v>
      </c>
      <c r="L111" s="22" t="str">
        <f>VLOOKUP(A111,'Trips&amp;Operators'!$C$1:$G$99999,5,FALSE)</f>
        <v>CLARK KATHLEEN</v>
      </c>
      <c r="M111" s="6">
        <f t="shared" si="28"/>
        <v>2.6284722218406387E-2</v>
      </c>
      <c r="N111" s="7">
        <f t="shared" si="44"/>
        <v>37.849999994505197</v>
      </c>
      <c r="O111" s="7"/>
      <c r="P111" s="7"/>
      <c r="Q111" s="23"/>
      <c r="R111" s="23"/>
      <c r="S111" s="35">
        <f t="shared" si="45"/>
        <v>1</v>
      </c>
      <c r="T111" s="50" t="str">
        <f t="shared" si="29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14:38:14-700',mode:absolute,to:'2016-12-03 17:23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1" s="52" t="str">
        <f t="shared" si="31"/>
        <v>N</v>
      </c>
      <c r="X111" s="177">
        <f t="shared" si="43"/>
        <v>1</v>
      </c>
      <c r="Y111" s="67">
        <f t="shared" si="32"/>
        <v>4.5499999999999999E-2</v>
      </c>
      <c r="Z111" s="67">
        <f t="shared" si="42"/>
        <v>23.330200000000001</v>
      </c>
      <c r="AA111" s="67">
        <f t="shared" si="33"/>
        <v>23.284700000000001</v>
      </c>
      <c r="AB111" s="64" t="e">
        <f>VLOOKUP(A111,Enforcements!$C$7:$K$19,8,0)</f>
        <v>#N/A</v>
      </c>
      <c r="AC111" s="60" t="e">
        <f>VLOOKUP(A111,Enforcements!$C$7:$E$19,3,0)</f>
        <v>#N/A</v>
      </c>
      <c r="AD111" s="61" t="str">
        <f t="shared" si="34"/>
        <v>0197-03</v>
      </c>
      <c r="AE111" s="91" t="str">
        <f t="shared" si="35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111" s="88" t="str">
        <f t="shared" si="36"/>
        <v>"C:\Program Files (x86)\AstroGrep\AstroGrep.exe" /spath="%USERPROFILE%\AppData\Local\Temp\OnboardLogs" /stypes="app*4042*20161203*" /stext=" 23:.+((SYSTEM_STATE.+slice.+state.+changed )|(ment ac)|(multiple cpu faults)|(system.+state.+changed )|(\[timeout)|(PRM\|1\|D)|(kpr)|(kdp)|(\|lc)|(penalty))" /e /r /s</v>
      </c>
      <c r="AG111" s="1" t="str">
        <f t="shared" si="37"/>
        <v>EC</v>
      </c>
      <c r="AH111" s="92" t="str">
        <f t="shared" si="38"/>
        <v>"%USERPROFILE%\Documents\GitHub\eaglep3\Utilities\RefineRTDCRunTimes.py" --tripid 197-03 --locoid 4042 --swversion DE.1.0.8.0 --startMP 204:455 --initTime 2016-12-03T15:38:14 --startdatetime 2016-12-03T15:45:22 --delay 1 --endMP 204:233302 --enddatetime 2016-12-03T16:23:13 --enforcementcount 0 &gt;&gt;C:\Users\stu\Documents\GitHub\eaglep3-reporting\EC\2016-12-03-refined-times.txt</v>
      </c>
      <c r="AI111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{"issue":{"subject":"","project_id":79,"tracker_id":40,"status_id":1,"priority_id":2,"assigned_to_id":23,"start_date":"2016-12-03","description":"","custom_fields":[{"id":1,"name":"Subdivision","value":"EC"},{"id":4,"name":"Milepost","value":"23.3302"},{"id":17,"name":"Train ID","value":"197-03"},{"id":16,"name":"Locomotive ID","value":"4042"},{"id":130,"name":"Impact","value":""},{"id":150,"name":"Time of Event (Mountain Time)","value":"16:23:13"},{"id":151,"name":"Denver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604</v>
      </c>
      <c r="B112" s="7">
        <v>4041</v>
      </c>
      <c r="C112" s="22" t="s">
        <v>209</v>
      </c>
      <c r="D112" s="22" t="s">
        <v>327</v>
      </c>
      <c r="E112" s="13">
        <v>42707.691400462965</v>
      </c>
      <c r="F112" s="13">
        <v>42707.6953125</v>
      </c>
      <c r="G112" s="7">
        <v>1</v>
      </c>
      <c r="H112" s="22" t="s">
        <v>206</v>
      </c>
      <c r="I112" s="13">
        <v>42707.723252314812</v>
      </c>
      <c r="J112" s="7">
        <v>0</v>
      </c>
      <c r="K112" s="109" t="str">
        <f t="shared" si="27"/>
        <v>4041/4042</v>
      </c>
      <c r="L112" s="22" t="str">
        <f>VLOOKUP(A112,'Trips&amp;Operators'!$C$1:$G$99999,5,FALSE)</f>
        <v>CLARK KATHLEEN</v>
      </c>
      <c r="M112" s="6">
        <f t="shared" si="28"/>
        <v>2.7939814812270924E-2</v>
      </c>
      <c r="N112" s="7">
        <f t="shared" si="44"/>
        <v>40.233333329670131</v>
      </c>
      <c r="O112" s="7"/>
      <c r="P112" s="7"/>
      <c r="Q112" s="23"/>
      <c r="R112" s="23"/>
      <c r="S112" s="35">
        <f t="shared" si="45"/>
        <v>1</v>
      </c>
      <c r="T112" s="50" t="str">
        <f t="shared" si="29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15:35:37-700',mode:absolute,to:'2016-12-03 18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2" s="52" t="str">
        <f t="shared" si="31"/>
        <v>N</v>
      </c>
      <c r="X112" s="177">
        <f t="shared" si="43"/>
        <v>1</v>
      </c>
      <c r="Y112" s="67">
        <f t="shared" si="32"/>
        <v>23.2987</v>
      </c>
      <c r="Z112" s="67">
        <f t="shared" si="42"/>
        <v>1.5599999999999999E-2</v>
      </c>
      <c r="AA112" s="67">
        <f t="shared" si="33"/>
        <v>23.283100000000001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34"/>
        <v>0198-03</v>
      </c>
      <c r="AE112" s="91" t="str">
        <f t="shared" si="35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112" s="88" t="str">
        <f t="shared" si="36"/>
        <v>"C:\Program Files (x86)\AstroGrep\AstroGrep.exe" /spath="%USERPROFILE%\AppData\Local\Temp\OnboardLogs" /stypes="app*4041*20161204*" /stext=" 00:.+((SYSTEM_STATE.+slice.+state.+changed )|(ment ac)|(multiple cpu faults)|(system.+state.+changed )|(\[timeout)|(PRM\|1\|D)|(kpr)|(kdp)|(\|lc)|(penalty))" /e /r /s</v>
      </c>
      <c r="AG112" s="1" t="str">
        <f t="shared" si="37"/>
        <v>EC</v>
      </c>
      <c r="AH112" s="92" t="str">
        <f t="shared" si="38"/>
        <v>"%USERPROFILE%\Documents\GitHub\eaglep3\Utilities\RefineRTDCRunTimes.py" --tripid 198-03 --locoid 4041 --swversion DE.1.0.8.0 --startMP 204:232987 --initTime 2016-12-03T16:35:37 --startdatetime 2016-12-03T16:41:15 --delay 1 --endMP 204:156 --enddatetime 2016-12-03T17:21:29 --enforcementcount 0 &gt;&gt;C:\Users\stu\Documents\GitHub\eaglep3-reporting\EC\2016-12-03-refined-times.txt</v>
      </c>
      <c r="AI112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{"issue":{"subject":"","project_id":79,"tracker_id":40,"status_id":1,"priority_id":2,"assigned_to_id":23,"start_date":"2016-12-03","description":"","custom_fields":[{"id":1,"name":"Subdivision","value":"EC"},{"id":4,"name":"Milepost","value":"0.0156"},{"id":17,"name":"Train ID","value":"198-03"},{"id":16,"name":"Locomotive ID","value":"4041"},{"id":130,"name":"Impact","value":""},{"id":150,"name":"Time of Event (Mountain Time)","value":"17:21:29"},{"id":151,"name":"Denver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598</v>
      </c>
      <c r="B113" s="7">
        <v>4027</v>
      </c>
      <c r="C113" s="22" t="s">
        <v>209</v>
      </c>
      <c r="D113" s="22" t="s">
        <v>195</v>
      </c>
      <c r="E113" s="13">
        <v>42707.663923611108</v>
      </c>
      <c r="F113" s="13">
        <v>42707.666932870372</v>
      </c>
      <c r="G113" s="7">
        <v>1</v>
      </c>
      <c r="H113" s="22" t="s">
        <v>741</v>
      </c>
      <c r="I113" s="13">
        <v>42707.692523148151</v>
      </c>
      <c r="J113" s="7">
        <v>0</v>
      </c>
      <c r="K113" s="109" t="str">
        <f t="shared" si="27"/>
        <v>4027/4028</v>
      </c>
      <c r="L113" s="22" t="str">
        <f>VLOOKUP(A113,'Trips&amp;Operators'!$C$1:$G$99999,5,FALSE)</f>
        <v>ARVIDSON DANIEL</v>
      </c>
      <c r="M113" s="6">
        <f t="shared" si="28"/>
        <v>2.5590277778974269E-2</v>
      </c>
      <c r="N113" s="7">
        <f t="shared" si="44"/>
        <v>36.850000001722947</v>
      </c>
      <c r="O113" s="7"/>
      <c r="P113" s="7"/>
      <c r="Q113" s="23"/>
      <c r="R113" s="23"/>
      <c r="S113" s="35">
        <f t="shared" si="45"/>
        <v>1</v>
      </c>
      <c r="T113" s="50" t="str">
        <f t="shared" si="29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14:56:03-700',mode:absolute,to:'2016-12-03 17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3" s="52" t="str">
        <f t="shared" si="31"/>
        <v>N</v>
      </c>
      <c r="X113" s="177">
        <f t="shared" si="43"/>
        <v>1</v>
      </c>
      <c r="Y113" s="67">
        <f t="shared" si="32"/>
        <v>4.5100000000000001E-2</v>
      </c>
      <c r="Z113" s="67">
        <f t="shared" ref="Z113:Z144" si="46">RIGHT(H113,LEN(H113)-4)/10000</f>
        <v>23.332999999999998</v>
      </c>
      <c r="AA113" s="67">
        <f t="shared" si="33"/>
        <v>23.287899999999997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4"/>
        <v>0199-03</v>
      </c>
      <c r="AE113" s="91" t="str">
        <f t="shared" si="35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113" s="88" t="str">
        <f t="shared" si="36"/>
        <v>"C:\Program Files (x86)\AstroGrep\AstroGrep.exe" /spath="%USERPROFILE%\AppData\Local\Temp\OnboardLogs" /stypes="app*4027*20161203*" /stext=" 23:.+((SYSTEM_STATE.+slice.+state.+changed )|(ment ac)|(multiple cpu faults)|(system.+state.+changed )|(\[timeout)|(PRM\|1\|D)|(kpr)|(kdp)|(\|lc)|(penalty))" /e /r /s</v>
      </c>
      <c r="AG113" s="1" t="str">
        <f t="shared" si="37"/>
        <v>EC</v>
      </c>
      <c r="AH113" s="92" t="str">
        <f t="shared" si="38"/>
        <v>"%USERPROFILE%\Documents\GitHub\eaglep3\Utilities\RefineRTDCRunTimes.py" --tripid 199-03 --locoid 4027 --swversion DE.1.0.8.0 --startMP 204:451 --initTime 2016-12-03T15:56:03 --startdatetime 2016-12-03T16:00:23 --delay 1 --endMP 204:233330 --enddatetime 2016-12-03T16:37:14 --enforcementcount 0 &gt;&gt;C:\Users\stu\Documents\GitHub\eaglep3-reporting\EC\2016-12-03-refined-times.txt</v>
      </c>
      <c r="AI113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{"issue":{"subject":"","project_id":79,"tracker_id":40,"status_id":1,"priority_id":2,"assigned_to_id":23,"start_date":"2016-12-03","description":"","custom_fields":[{"id":1,"name":"Subdivision","value":"EC"},{"id":4,"name":"Milepost","value":"23.333"},{"id":17,"name":"Train ID","value":"199-03"},{"id":16,"name":"Locomotive ID","value":"4027"},{"id":130,"name":"Impact","value":""},{"id":150,"name":"Time of Event (Mountain Time)","value":"16:37:14"},{"id":151,"name":"Denver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609</v>
      </c>
      <c r="B114" s="7">
        <v>4028</v>
      </c>
      <c r="C114" s="22" t="s">
        <v>209</v>
      </c>
      <c r="D114" s="22" t="s">
        <v>300</v>
      </c>
      <c r="E114" s="13">
        <v>42707.701562499999</v>
      </c>
      <c r="F114" s="13">
        <v>42707.706041666665</v>
      </c>
      <c r="G114" s="7">
        <v>1</v>
      </c>
      <c r="H114" s="22" t="s">
        <v>742</v>
      </c>
      <c r="I114" s="13">
        <v>42707.735034722224</v>
      </c>
      <c r="J114" s="7">
        <v>0</v>
      </c>
      <c r="K114" s="109" t="str">
        <f t="shared" si="27"/>
        <v>4027/4028</v>
      </c>
      <c r="L114" s="22" t="str">
        <f>VLOOKUP(A114,'Trips&amp;Operators'!$C$1:$G$99999,5,FALSE)</f>
        <v>ARVIDSON DANIEL</v>
      </c>
      <c r="M114" s="6">
        <f t="shared" si="28"/>
        <v>2.899305555911269E-2</v>
      </c>
      <c r="N114" s="7">
        <f t="shared" si="44"/>
        <v>41.750000005122274</v>
      </c>
      <c r="O114" s="7"/>
      <c r="P114" s="7"/>
      <c r="Q114" s="23"/>
      <c r="R114" s="23"/>
      <c r="S114" s="35">
        <f t="shared" si="45"/>
        <v>1</v>
      </c>
      <c r="T114" s="50" t="str">
        <f t="shared" si="29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15:50:15-700',mode:absolute,to:'2016-12-03 18:38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14" s="52" t="str">
        <f t="shared" si="31"/>
        <v>N</v>
      </c>
      <c r="X114" s="177">
        <f t="shared" si="43"/>
        <v>1</v>
      </c>
      <c r="Y114" s="67">
        <f t="shared" si="32"/>
        <v>23.3017</v>
      </c>
      <c r="Z114" s="67">
        <f t="shared" si="46"/>
        <v>3.56E-2</v>
      </c>
      <c r="AA114" s="67">
        <f t="shared" si="33"/>
        <v>23.266100000000002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4"/>
        <v>0200-03</v>
      </c>
      <c r="AE114" s="91" t="str">
        <f t="shared" si="35"/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AF114" s="88" t="str">
        <f t="shared" si="36"/>
        <v>"C:\Program Files (x86)\AstroGrep\AstroGrep.exe" /spath="%USERPROFILE%\AppData\Local\Temp\OnboardLogs" /stypes="app*4028*20161204*" /stext=" 00:.+((SYSTEM_STATE.+slice.+state.+changed )|(ment ac)|(multiple cpu faults)|(system.+state.+changed )|(\[timeout)|(PRM\|1\|D)|(kpr)|(kdp)|(\|lc)|(penalty))" /e /r /s</v>
      </c>
      <c r="AG114" s="1" t="str">
        <f t="shared" si="37"/>
        <v>EC</v>
      </c>
      <c r="AH114" s="92" t="str">
        <f t="shared" si="38"/>
        <v>"%USERPROFILE%\Documents\GitHub\eaglep3\Utilities\RefineRTDCRunTimes.py" --tripid 200-03 --locoid 4028 --swversion DE.1.0.8.0 --startMP 204:233017 --initTime 2016-12-03T16:50:15 --startdatetime 2016-12-03T16:56:42 --delay 1 --endMP 204:356 --enddatetime 2016-12-03T17:38:27 --enforcementcount 0 &gt;&gt;C:\Users\stu\Documents\GitHub\eaglep3-reporting\EC\2016-12-03-refined-times.txt</v>
      </c>
      <c r="AI114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{"issue":{"subject":"","project_id":79,"tracker_id":40,"status_id":1,"priority_id":2,"assigned_to_id":23,"start_date":"2016-12-03","description":"","custom_fields":[{"id":1,"name":"Subdivision","value":"EC"},{"id":4,"name":"Milepost","value":"0.0356"},{"id":17,"name":"Train ID","value":"200-03"},{"id":16,"name":"Locomotive ID","value":"4028"},{"id":130,"name":"Impact","value":""},{"id":150,"name":"Time of Event (Mountain Time)","value":"17:38:27"},{"id":151,"name":"Denver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600</v>
      </c>
      <c r="B115" s="7">
        <v>4038</v>
      </c>
      <c r="C115" s="22" t="s">
        <v>209</v>
      </c>
      <c r="D115" s="22" t="s">
        <v>697</v>
      </c>
      <c r="E115" s="13">
        <v>42707.671469907407</v>
      </c>
      <c r="F115" s="13">
        <v>42707.677384259259</v>
      </c>
      <c r="G115" s="7">
        <v>1</v>
      </c>
      <c r="H115" s="22" t="s">
        <v>314</v>
      </c>
      <c r="I115" s="13">
        <v>42707.702685185184</v>
      </c>
      <c r="J115" s="7">
        <v>0</v>
      </c>
      <c r="K115" s="109" t="str">
        <f t="shared" si="27"/>
        <v>4037/4038</v>
      </c>
      <c r="L115" s="22" t="str">
        <f>VLOOKUP(A115,'Trips&amp;Operators'!$C$1:$G$99999,5,FALSE)</f>
        <v>STEWART MICHAEL</v>
      </c>
      <c r="M115" s="6">
        <f t="shared" si="28"/>
        <v>2.5300925924966577E-2</v>
      </c>
      <c r="N115" s="7">
        <f t="shared" si="44"/>
        <v>36.433333331951872</v>
      </c>
      <c r="O115" s="7"/>
      <c r="P115" s="7"/>
      <c r="Q115" s="23"/>
      <c r="R115" s="23"/>
      <c r="S115" s="35">
        <f t="shared" si="45"/>
        <v>1</v>
      </c>
      <c r="T115" s="50" t="str">
        <f t="shared" si="29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15:06:55-700',mode:absolute,to:'2016-12-03 17:51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15" s="52" t="str">
        <f t="shared" si="31"/>
        <v>N</v>
      </c>
      <c r="X115" s="177">
        <f t="shared" si="43"/>
        <v>1</v>
      </c>
      <c r="Y115" s="67">
        <f t="shared" si="32"/>
        <v>4.3999999999999997E-2</v>
      </c>
      <c r="Z115" s="67">
        <f t="shared" si="46"/>
        <v>23.331199999999999</v>
      </c>
      <c r="AA115" s="67">
        <f t="shared" si="33"/>
        <v>23.287199999999999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4"/>
        <v>0201-03</v>
      </c>
      <c r="AE115" s="91" t="str">
        <f t="shared" si="35"/>
        <v>aws s3 cp s3://rtdc.mdm.uploadarchive.raw/RTDC4038/ "%USERPROFILE%\AppData\Local\Temp\OnboardLogs"\RTDC4038\2016-12-03 --exclude "*" --recursive --include "*20161203*" &amp; "%USERPROFILE%\Documents\GitHub\mrs-test-scripts\Headless Mode &amp; Sideloading\WalkAndUnGZ.bat" "%USERPROFILE%\AppData\Local\Temp\OnboardLogs"\RTDC4038\2016-12-03 &amp; 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</v>
      </c>
      <c r="AF115" s="88" t="str">
        <f t="shared" si="36"/>
        <v>"C:\Program Files (x86)\AstroGrep\AstroGrep.exe" /spath="%USERPROFILE%\AppData\Local\Temp\OnboardLogs" /stypes="app*4038*20161203*" /stext=" 23:.+((SYSTEM_STATE.+slice.+state.+changed )|(ment ac)|(multiple cpu faults)|(system.+state.+changed )|(\[timeout)|(PRM\|1\|D)|(kpr)|(kdp)|(\|lc)|(penalty))" /e /r /s</v>
      </c>
      <c r="AG115" s="1" t="str">
        <f t="shared" si="37"/>
        <v>EC</v>
      </c>
      <c r="AH115" s="92" t="str">
        <f t="shared" si="38"/>
        <v>"%USERPROFILE%\Documents\GitHub\eaglep3\Utilities\RefineRTDCRunTimes.py" --tripid 201-03 --locoid 4038 --swversion DE.1.0.8.0 --startMP 204:440 --initTime 2016-12-03T16:06:55 --startdatetime 2016-12-03T16:15:26 --delay 1 --endMP 204:233312 --enddatetime 2016-12-03T16:51:52 --enforcementcount 0 &gt;&gt;C:\Users\stu\Documents\GitHub\eaglep3-reporting\EC\2016-12-03-refined-times.txt</v>
      </c>
      <c r="AI115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{"issue":{"subject":"","project_id":79,"tracker_id":40,"status_id":1,"priority_id":2,"assigned_to_id":23,"start_date":"2016-12-03","description":"","custom_fields":[{"id":1,"name":"Subdivision","value":"EC"},{"id":4,"name":"Milepost","value":"23.3312"},{"id":17,"name":"Train ID","value":"201-03"},{"id":16,"name":"Locomotive ID","value":"4038"},{"id":130,"name":"Impact","value":""},{"id":150,"name":"Time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612</v>
      </c>
      <c r="B116" s="7">
        <v>4037</v>
      </c>
      <c r="C116" s="22" t="s">
        <v>209</v>
      </c>
      <c r="D116" s="22" t="s">
        <v>321</v>
      </c>
      <c r="E116" s="13">
        <v>42707.711608796293</v>
      </c>
      <c r="F116" s="13">
        <v>42707.716238425928</v>
      </c>
      <c r="G116" s="7">
        <v>2</v>
      </c>
      <c r="H116" s="22" t="s">
        <v>206</v>
      </c>
      <c r="I116" s="13">
        <v>42707.745439814818</v>
      </c>
      <c r="J116" s="7">
        <v>0</v>
      </c>
      <c r="K116" s="109" t="str">
        <f t="shared" si="27"/>
        <v>4037/4038</v>
      </c>
      <c r="L116" s="22" t="str">
        <f>VLOOKUP(A116,'Trips&amp;Operators'!$C$1:$G$99999,5,FALSE)</f>
        <v>STEWART MICHAEL</v>
      </c>
      <c r="M116" s="6">
        <f t="shared" si="28"/>
        <v>2.920138889021473E-2</v>
      </c>
      <c r="N116" s="7">
        <f t="shared" si="44"/>
        <v>42.050000001909211</v>
      </c>
      <c r="O116" s="7"/>
      <c r="P116" s="7"/>
      <c r="Q116" s="23"/>
      <c r="R116" s="23"/>
      <c r="S116" s="35">
        <f t="shared" si="45"/>
        <v>1</v>
      </c>
      <c r="T116" s="50" t="str">
        <f t="shared" si="29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16:04:43-700',mode:absolute,to:'2016-12-03 18:53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16" s="52" t="str">
        <f t="shared" si="31"/>
        <v>N</v>
      </c>
      <c r="X116" s="177">
        <f t="shared" si="43"/>
        <v>1</v>
      </c>
      <c r="Y116" s="67">
        <f t="shared" si="32"/>
        <v>23.297899999999998</v>
      </c>
      <c r="Z116" s="67">
        <f t="shared" si="46"/>
        <v>1.5599999999999999E-2</v>
      </c>
      <c r="AA116" s="67">
        <f t="shared" si="33"/>
        <v>23.282299999999999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4"/>
        <v>0202-03</v>
      </c>
      <c r="AE116" s="91" t="str">
        <f t="shared" si="35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116" s="88" t="str">
        <f t="shared" si="36"/>
        <v>"C:\Program Files (x86)\AstroGrep\AstroGrep.exe" /spath="%USERPROFILE%\AppData\Local\Temp\OnboardLogs" /stypes="app*4037*20161204*" /stext=" 00:.+((SYSTEM_STATE.+slice.+state.+changed )|(ment ac)|(multiple cpu faults)|(system.+state.+changed )|(\[timeout)|(PRM\|1\|D)|(kpr)|(kdp)|(\|lc)|(penalty))" /e /r /s</v>
      </c>
      <c r="AG116" s="1" t="str">
        <f t="shared" si="37"/>
        <v>EC</v>
      </c>
      <c r="AH116" s="92" t="str">
        <f t="shared" si="38"/>
        <v>"%USERPROFILE%\Documents\GitHub\eaglep3\Utilities\RefineRTDCRunTimes.py" --tripid 202-03 --locoid 4037 --swversion DE.1.0.8.0 --startMP 204:232979 --initTime 2016-12-03T17:04:43 --startdatetime 2016-12-03T17:11:23 --delay 2 --endMP 204:156 --enddatetime 2016-12-03T17:53:26 --enforcementcount 0 &gt;&gt;C:\Users\stu\Documents\GitHub\eaglep3-reporting\EC\2016-12-03-refined-times.txt</v>
      </c>
      <c r="AI116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{"issue":{"subject":"","project_id":79,"tracker_id":40,"status_id":1,"priority_id":2,"assigned_to_id":23,"start_date":"2016-12-03","description":"","custom_fields":[{"id":1,"name":"Subdivision","value":"EC"},{"id":4,"name":"Milepost","value":"0.0156"},{"id":17,"name":"Train ID","value":"202-03"},{"id":16,"name":"Locomotive ID","value":"4037"},{"id":130,"name":"Impact","value":""},{"id":150,"name":"Time of Event (Mountain Time)","value":"17:53:26"},{"id":151,"name":"Denver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603</v>
      </c>
      <c r="B117" s="7">
        <v>4014</v>
      </c>
      <c r="C117" s="22" t="s">
        <v>209</v>
      </c>
      <c r="D117" s="22" t="s">
        <v>743</v>
      </c>
      <c r="E117" s="13">
        <v>42707.681631944448</v>
      </c>
      <c r="F117" s="13">
        <v>42707.687673611108</v>
      </c>
      <c r="G117" s="7">
        <v>1</v>
      </c>
      <c r="H117" s="22" t="s">
        <v>694</v>
      </c>
      <c r="I117" s="13">
        <v>42707.713796296295</v>
      </c>
      <c r="J117" s="7">
        <v>0</v>
      </c>
      <c r="K117" s="109" t="str">
        <f t="shared" si="27"/>
        <v>4013/4014</v>
      </c>
      <c r="L117" s="22" t="str">
        <f>VLOOKUP(A117,'Trips&amp;Operators'!$C$1:$G$99999,5,FALSE)</f>
        <v>BARTLETT KIANDRA</v>
      </c>
      <c r="M117" s="6">
        <f t="shared" si="28"/>
        <v>2.6122685187146999E-2</v>
      </c>
      <c r="N117" s="7">
        <f t="shared" si="44"/>
        <v>37.616666669491678</v>
      </c>
      <c r="O117" s="7"/>
      <c r="P117" s="7"/>
      <c r="Q117" s="23"/>
      <c r="R117" s="23"/>
      <c r="S117" s="35">
        <f t="shared" si="45"/>
        <v>1</v>
      </c>
      <c r="T117" s="50" t="str">
        <f t="shared" si="29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15:21:33-700',mode:absolute,to:'2016-12-03 18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7" s="52" t="str">
        <f t="shared" si="31"/>
        <v>N</v>
      </c>
      <c r="X117" s="177">
        <f t="shared" si="43"/>
        <v>1</v>
      </c>
      <c r="Y117" s="67">
        <f t="shared" si="32"/>
        <v>4.8000000000000001E-2</v>
      </c>
      <c r="Z117" s="67">
        <f t="shared" si="46"/>
        <v>23.3293</v>
      </c>
      <c r="AA117" s="67">
        <f t="shared" si="33"/>
        <v>23.281300000000002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4"/>
        <v>0203-03</v>
      </c>
      <c r="AE117" s="91" t="str">
        <f t="shared" si="35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117" s="88" t="str">
        <f t="shared" si="36"/>
        <v>"C:\Program Files (x86)\AstroGrep\AstroGrep.exe" /spath="%USERPROFILE%\AppData\Local\Temp\OnboardLogs" /stypes="app*4014*20161204*" /stext=" 00:.+((SYSTEM_STATE.+slice.+state.+changed )|(ment ac)|(multiple cpu faults)|(system.+state.+changed )|(\[timeout)|(PRM\|1\|D)|(kpr)|(kdp)|(\|lc)|(penalty))" /e /r /s</v>
      </c>
      <c r="AG117" s="1" t="str">
        <f t="shared" si="37"/>
        <v>EC</v>
      </c>
      <c r="AH117" s="92" t="str">
        <f t="shared" si="38"/>
        <v>"%USERPROFILE%\Documents\GitHub\eaglep3\Utilities\RefineRTDCRunTimes.py" --tripid 203-03 --locoid 4014 --swversion DE.1.0.8.0 --startMP 204:480 --initTime 2016-12-03T16:21:33 --startdatetime 2016-12-03T16:30:15 --delay 1 --endMP 204:233293 --enddatetime 2016-12-03T17:07:52 --enforcementcount 0 &gt;&gt;C:\Users\stu\Documents\GitHub\eaglep3-reporting\EC\2016-12-03-refined-times.txt</v>
      </c>
      <c r="AI117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{"issue":{"subject":"","project_id":79,"tracker_id":40,"status_id":1,"priority_id":2,"assigned_to_id":23,"start_date":"2016-12-03","description":"","custom_fields":[{"id":1,"name":"Subdivision","value":"EC"},{"id":4,"name":"Milepost","value":"23.3293"},{"id":17,"name":"Train ID","value":"203-03"},{"id":16,"name":"Locomotive ID","value":"4014"},{"id":130,"name":"Impact","value":""},{"id":150,"name":"Time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616</v>
      </c>
      <c r="B118" s="7">
        <v>4013</v>
      </c>
      <c r="C118" s="22" t="s">
        <v>209</v>
      </c>
      <c r="D118" s="22" t="s">
        <v>235</v>
      </c>
      <c r="E118" s="13">
        <v>42707.717731481483</v>
      </c>
      <c r="F118" s="13">
        <v>42707.727662037039</v>
      </c>
      <c r="G118" s="7">
        <v>1</v>
      </c>
      <c r="H118" s="22" t="s">
        <v>744</v>
      </c>
      <c r="I118" s="13">
        <v>42707.757789351854</v>
      </c>
      <c r="J118" s="7">
        <v>0</v>
      </c>
      <c r="K118" s="109" t="str">
        <f t="shared" si="27"/>
        <v>4013/4014</v>
      </c>
      <c r="L118" s="22" t="str">
        <f>VLOOKUP(A118,'Trips&amp;Operators'!$C$1:$G$99999,5,FALSE)</f>
        <v>BARTLETT KIANDRA</v>
      </c>
      <c r="M118" s="6">
        <f t="shared" si="28"/>
        <v>3.0127314814308193E-2</v>
      </c>
      <c r="N118" s="7">
        <f t="shared" si="44"/>
        <v>43.383333332603797</v>
      </c>
      <c r="O118" s="7"/>
      <c r="P118" s="7"/>
      <c r="Q118" s="23"/>
      <c r="R118" s="23"/>
      <c r="S118" s="35">
        <f t="shared" si="45"/>
        <v>1</v>
      </c>
      <c r="T118" s="50" t="str">
        <f t="shared" si="29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16:13:32-700',mode:absolute,to:'2016-12-03 19:11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8" s="52" t="str">
        <f t="shared" si="31"/>
        <v>N</v>
      </c>
      <c r="X118" s="177">
        <f t="shared" si="43"/>
        <v>1</v>
      </c>
      <c r="Y118" s="67">
        <f t="shared" si="32"/>
        <v>23.297499999999999</v>
      </c>
      <c r="Z118" s="67">
        <f t="shared" si="46"/>
        <v>0.15840000000000001</v>
      </c>
      <c r="AA118" s="67">
        <f t="shared" si="33"/>
        <v>23.139099999999999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4"/>
        <v>0204-03</v>
      </c>
      <c r="AE118" s="91" t="str">
        <f t="shared" si="35"/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AF118" s="88" t="str">
        <f t="shared" si="36"/>
        <v>"C:\Program Files (x86)\AstroGrep\AstroGrep.exe" /spath="%USERPROFILE%\AppData\Local\Temp\OnboardLogs" /stypes="app*4013*20161204*" /stext=" 01:.+((SYSTEM_STATE.+slice.+state.+changed )|(ment ac)|(multiple cpu faults)|(system.+state.+changed )|(\[timeout)|(PRM\|1\|D)|(kpr)|(kdp)|(\|lc)|(penalty))" /e /r /s</v>
      </c>
      <c r="AG118" s="1" t="str">
        <f t="shared" si="37"/>
        <v>EC</v>
      </c>
      <c r="AH118" s="92" t="str">
        <f t="shared" si="38"/>
        <v>"%USERPROFILE%\Documents\GitHub\eaglep3\Utilities\RefineRTDCRunTimes.py" --tripid 204-03 --locoid 4013 --swversion DE.1.0.8.0 --startMP 204:232975 --initTime 2016-12-03T17:13:32 --startdatetime 2016-12-03T17:27:50 --delay 1 --endMP 204:1584 --enddatetime 2016-12-03T18:11:13 --enforcementcount 0 &gt;&gt;C:\Users\stu\Documents\GitHub\eaglep3-reporting\EC\2016-12-03-refined-times.txt</v>
      </c>
      <c r="AI118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{"issue":{"subject":"","project_id":79,"tracker_id":40,"status_id":1,"priority_id":2,"assigned_to_id":23,"start_date":"2016-12-03","description":"","custom_fields":[{"id":1,"name":"Subdivision","value":"EC"},{"id":4,"name":"Milepost","value":"0.1584"},{"id":17,"name":"Train ID","value":"204-03"},{"id":16,"name":"Locomotive ID","value":"4013"},{"id":130,"name":"Impact","value":""},{"id":150,"name":"Time of Event (Mountain Time)","value":"18:11:13"},{"id":151,"name":"Denver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608</v>
      </c>
      <c r="B119" s="7">
        <v>4040</v>
      </c>
      <c r="C119" s="22" t="s">
        <v>209</v>
      </c>
      <c r="D119" s="22" t="s">
        <v>745</v>
      </c>
      <c r="E119" s="13">
        <v>42707.69568287037</v>
      </c>
      <c r="F119" s="13">
        <v>42707.698148148149</v>
      </c>
      <c r="G119" s="7">
        <v>1</v>
      </c>
      <c r="H119" s="22" t="s">
        <v>249</v>
      </c>
      <c r="I119" s="13">
        <v>42707.72383101852</v>
      </c>
      <c r="J119" s="7">
        <v>0</v>
      </c>
      <c r="K119" s="109" t="str">
        <f t="shared" si="27"/>
        <v>4039/4040</v>
      </c>
      <c r="L119" s="22" t="str">
        <f>VLOOKUP(A119,'Trips&amp;Operators'!$C$1:$G$99999,5,FALSE)</f>
        <v>MOSES BRADLEY</v>
      </c>
      <c r="M119" s="6">
        <f t="shared" si="28"/>
        <v>2.5682870371383615E-2</v>
      </c>
      <c r="N119" s="7">
        <f t="shared" si="44"/>
        <v>36.983333334792405</v>
      </c>
      <c r="O119" s="7"/>
      <c r="P119" s="7"/>
      <c r="Q119" s="23"/>
      <c r="R119" s="23"/>
      <c r="S119" s="35">
        <f t="shared" si="45"/>
        <v>1</v>
      </c>
      <c r="T119" s="50" t="str">
        <f t="shared" si="29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15:41:47-700',mode:absolute,to:'2016-12-03 18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19" s="52" t="str">
        <f t="shared" si="31"/>
        <v>N</v>
      </c>
      <c r="X119" s="177">
        <f t="shared" si="43"/>
        <v>1</v>
      </c>
      <c r="Y119" s="67">
        <f t="shared" si="32"/>
        <v>4.9500000000000002E-2</v>
      </c>
      <c r="Z119" s="67">
        <f t="shared" si="46"/>
        <v>23.330200000000001</v>
      </c>
      <c r="AA119" s="67">
        <f t="shared" si="33"/>
        <v>23.280700000000003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4"/>
        <v>0205-03</v>
      </c>
      <c r="AE119" s="91" t="str">
        <f t="shared" si="35"/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AF119" s="88" t="str">
        <f t="shared" si="36"/>
        <v>"C:\Program Files (x86)\AstroGrep\AstroGrep.exe" /spath="%USERPROFILE%\AppData\Local\Temp\OnboardLogs" /stypes="app*4040*20161204*" /stext=" 00:.+((SYSTEM_STATE.+slice.+state.+changed )|(ment ac)|(multiple cpu faults)|(system.+state.+changed )|(\[timeout)|(PRM\|1\|D)|(kpr)|(kdp)|(\|lc)|(penalty))" /e /r /s</v>
      </c>
      <c r="AG119" s="1" t="str">
        <f t="shared" si="37"/>
        <v>EC</v>
      </c>
      <c r="AH119" s="92" t="str">
        <f t="shared" si="38"/>
        <v>"%USERPROFILE%\Documents\GitHub\eaglep3\Utilities\RefineRTDCRunTimes.py" --tripid 205-03 --locoid 4040 --swversion DE.1.0.8.0 --startMP 204:495 --initTime 2016-12-03T16:41:47 --startdatetime 2016-12-03T16:45:20 --delay 1 --endMP 204:233302 --enddatetime 2016-12-03T17:22:19 --enforcementcount 0 &gt;&gt;C:\Users\stu\Documents\GitHub\eaglep3-reporting\EC\2016-12-03-refined-times.txt</v>
      </c>
      <c r="AI119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{"issue":{"subject":"","project_id":79,"tracker_id":40,"status_id":1,"priority_id":2,"assigned_to_id":23,"start_date":"2016-12-03","description":"","custom_fields":[{"id":1,"name":"Subdivision","value":"EC"},{"id":4,"name":"Milepost","value":"23.3302"},{"id":17,"name":"Train ID","value":"205-03"},{"id":16,"name":"Locomotive ID","value":"4040"},{"id":130,"name":"Impact","value":""},{"id":150,"name":"Time of Event (Mountain Time)","value":"17:22:19"},{"id":151,"name":"Denver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451</v>
      </c>
      <c r="B120" s="7">
        <v>4039</v>
      </c>
      <c r="C120" s="22" t="s">
        <v>209</v>
      </c>
      <c r="D120" s="22" t="s">
        <v>240</v>
      </c>
      <c r="E120" s="13">
        <v>42707.732129629629</v>
      </c>
      <c r="F120" s="13">
        <v>42707.737025462964</v>
      </c>
      <c r="G120" s="7">
        <v>1</v>
      </c>
      <c r="H120" s="22" t="s">
        <v>746</v>
      </c>
      <c r="I120" s="13">
        <v>42707.76462962963</v>
      </c>
      <c r="J120" s="7">
        <v>0</v>
      </c>
      <c r="K120" s="109" t="str">
        <f t="shared" si="27"/>
        <v>4039/4040</v>
      </c>
      <c r="L120" s="22" t="str">
        <f>VLOOKUP(A120,'Trips&amp;Operators'!$C$1:$G$99999,5,FALSE)</f>
        <v>MOSES BRADLEY</v>
      </c>
      <c r="M120" s="6">
        <f t="shared" si="28"/>
        <v>2.7604166665696539E-2</v>
      </c>
      <c r="N120" s="7">
        <f t="shared" si="44"/>
        <v>39.749999998603016</v>
      </c>
      <c r="O120" s="7"/>
      <c r="P120" s="7"/>
      <c r="Q120" s="23"/>
      <c r="R120" s="23"/>
      <c r="S120" s="35">
        <f t="shared" si="45"/>
        <v>1</v>
      </c>
      <c r="T120" s="50" t="str">
        <f t="shared" si="29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16:34:16-700',mode:absolute,to:'2016-12-03 19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20" s="52" t="str">
        <f t="shared" si="31"/>
        <v>N</v>
      </c>
      <c r="X120" s="177">
        <f t="shared" si="43"/>
        <v>1</v>
      </c>
      <c r="Y120" s="67">
        <f t="shared" si="32"/>
        <v>23.299299999999999</v>
      </c>
      <c r="Z120" s="67">
        <f t="shared" si="46"/>
        <v>2.4299999999999999E-2</v>
      </c>
      <c r="AA120" s="67">
        <f t="shared" si="33"/>
        <v>23.274999999999999</v>
      </c>
      <c r="AB120" s="64" t="str">
        <f>VLOOKUP(A120,Enforcements!$C$7:$K$19,8,0)</f>
        <v>Bulletin (2)</v>
      </c>
      <c r="AC120" s="60" t="str">
        <f>VLOOKUP(A120,Enforcements!$C$7:$E$19,3,0)</f>
        <v>GRADE CROSSING</v>
      </c>
      <c r="AD120" s="61" t="str">
        <f t="shared" si="34"/>
        <v>0206-03</v>
      </c>
      <c r="AE120" s="91" t="str">
        <f t="shared" si="35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120" s="88" t="str">
        <f t="shared" si="36"/>
        <v>"C:\Program Files (x86)\AstroGrep\AstroGrep.exe" /spath="%USERPROFILE%\AppData\Local\Temp\OnboardLogs" /stypes="app*4039*20161204*" /stext=" 01:.+((SYSTEM_STATE.+slice.+state.+changed )|(ment ac)|(multiple cpu faults)|(system.+state.+changed )|(\[timeout)|(PRM\|1\|D)|(kpr)|(kdp)|(\|lc)|(penalty))" /e /r /s</v>
      </c>
      <c r="AG120" s="1" t="str">
        <f t="shared" si="37"/>
        <v>EC</v>
      </c>
      <c r="AH120" s="92" t="str">
        <f t="shared" si="38"/>
        <v>"%USERPROFILE%\Documents\GitHub\eaglep3\Utilities\RefineRTDCRunTimes.py" --tripid 206-03 --locoid 4039 --swversion DE.1.0.8.0 --startMP 204:232993 --initTime 2016-12-03T17:34:16 --startdatetime 2016-12-03T17:41:19 --delay 1 --endMP 204:243 --enddatetime 2016-12-03T18:21:04 --enforcementcount 0 &gt;&gt;C:\Users\stu\Documents\GitHub\eaglep3-reporting\EC\2016-12-03-refined-times.txt</v>
      </c>
      <c r="AI120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{"issue":{"subject":"","project_id":79,"tracker_id":40,"status_id":1,"priority_id":2,"assigned_to_id":23,"start_date":"2016-12-03","description":"","custom_fields":[{"id":1,"name":"Subdivision","value":"EC"},{"id":4,"name":"Milepost","value":"0.0243"},{"id":17,"name":"Train ID","value":"206-03"},{"id":16,"name":"Locomotive ID","value":"4039"},{"id":130,"name":"Impact","value":""},{"id":150,"name":"Time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610</v>
      </c>
      <c r="B121" s="7">
        <v>4022</v>
      </c>
      <c r="C121" s="22" t="s">
        <v>209</v>
      </c>
      <c r="D121" s="22" t="s">
        <v>743</v>
      </c>
      <c r="E121" s="13">
        <v>42707.703182870369</v>
      </c>
      <c r="F121" s="13">
        <v>42707.708657407406</v>
      </c>
      <c r="G121" s="7">
        <v>1</v>
      </c>
      <c r="H121" s="22" t="s">
        <v>747</v>
      </c>
      <c r="I121" s="13">
        <v>42707.734270833331</v>
      </c>
      <c r="J121" s="7">
        <v>0</v>
      </c>
      <c r="K121" s="109" t="str">
        <f t="shared" si="27"/>
        <v>4021/4022</v>
      </c>
      <c r="L121" s="22" t="str">
        <f>VLOOKUP(A121,'Trips&amp;Operators'!$C$1:$G$99999,5,FALSE)</f>
        <v>SHOOK JOHN</v>
      </c>
      <c r="M121" s="6">
        <f t="shared" si="28"/>
        <v>2.5613425925257616E-2</v>
      </c>
      <c r="N121" s="7">
        <f t="shared" si="44"/>
        <v>36.883333332370967</v>
      </c>
      <c r="O121" s="7"/>
      <c r="P121" s="7"/>
      <c r="Q121" s="23"/>
      <c r="R121" s="23"/>
      <c r="S121" s="35">
        <f t="shared" si="45"/>
        <v>1</v>
      </c>
      <c r="T121" s="50" t="str">
        <f t="shared" si="29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15:52:35-700',mode:absolute,to:'2016-12-03 18:37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21" s="52" t="str">
        <f t="shared" si="31"/>
        <v>N</v>
      </c>
      <c r="X121" s="177">
        <f t="shared" si="43"/>
        <v>1</v>
      </c>
      <c r="Y121" s="67">
        <f t="shared" si="32"/>
        <v>4.8000000000000001E-2</v>
      </c>
      <c r="Z121" s="67">
        <f t="shared" si="46"/>
        <v>23.335999999999999</v>
      </c>
      <c r="AA121" s="67">
        <f t="shared" si="33"/>
        <v>23.288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4"/>
        <v>0207-03</v>
      </c>
      <c r="AE121" s="91" t="str">
        <f t="shared" si="35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121" s="88" t="str">
        <f t="shared" si="36"/>
        <v>"C:\Program Files (x86)\AstroGrep\AstroGrep.exe" /spath="%USERPROFILE%\AppData\Local\Temp\OnboardLogs" /stypes="app*4022*20161204*" /stext=" 00:.+((SYSTEM_STATE.+slice.+state.+changed )|(ment ac)|(multiple cpu faults)|(system.+state.+changed )|(\[timeout)|(PRM\|1\|D)|(kpr)|(kdp)|(\|lc)|(penalty))" /e /r /s</v>
      </c>
      <c r="AG121" s="1" t="str">
        <f t="shared" si="37"/>
        <v>EC</v>
      </c>
      <c r="AH121" s="92" t="str">
        <f t="shared" si="38"/>
        <v>"%USERPROFILE%\Documents\GitHub\eaglep3\Utilities\RefineRTDCRunTimes.py" --tripid 207-03 --locoid 4022 --swversion DE.1.0.8.0 --startMP 204:480 --initTime 2016-12-03T16:52:35 --startdatetime 2016-12-03T17:00:28 --delay 1 --endMP 204:233360 --enddatetime 2016-12-03T17:37:21 --enforcementcount 0 &gt;&gt;C:\Users\stu\Documents\GitHub\eaglep3-reporting\EC\2016-12-03-refined-times.txt</v>
      </c>
      <c r="AI121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{"issue":{"subject":"","project_id":79,"tracker_id":40,"status_id":1,"priority_id":2,"assigned_to_id":23,"start_date":"2016-12-03","description":"","custom_fields":[{"id":1,"name":"Subdivision","value":"EC"},{"id":4,"name":"Milepost","value":"23.336"},{"id":17,"name":"Train ID","value":"207-03"},{"id":16,"name":"Locomotive ID","value":"4022"},{"id":130,"name":"Impact","value":""},{"id":150,"name":"Time of Event (Mountain Time)","value":"17:37:21"},{"id":151,"name":"Denver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620</v>
      </c>
      <c r="B122" s="7">
        <v>4021</v>
      </c>
      <c r="C122" s="22" t="s">
        <v>209</v>
      </c>
      <c r="D122" s="22" t="s">
        <v>748</v>
      </c>
      <c r="E122" s="13">
        <v>42707.740763888891</v>
      </c>
      <c r="F122" s="13">
        <v>42707.747476851851</v>
      </c>
      <c r="G122" s="7">
        <v>1</v>
      </c>
      <c r="H122" s="22" t="s">
        <v>749</v>
      </c>
      <c r="I122" s="13">
        <v>42707.774537037039</v>
      </c>
      <c r="J122" s="7">
        <v>0</v>
      </c>
      <c r="K122" s="109" t="str">
        <f t="shared" si="27"/>
        <v>4021/4022</v>
      </c>
      <c r="L122" s="22" t="str">
        <f>VLOOKUP(A122,'Trips&amp;Operators'!$C$1:$G$99999,5,FALSE)</f>
        <v>SHOOK JOHN</v>
      </c>
      <c r="M122" s="6">
        <f t="shared" si="28"/>
        <v>2.7060185188020114E-2</v>
      </c>
      <c r="N122" s="7">
        <f t="shared" si="44"/>
        <v>38.966666670748964</v>
      </c>
      <c r="O122" s="7"/>
      <c r="P122" s="7"/>
      <c r="Q122" s="23"/>
      <c r="R122" s="23"/>
      <c r="S122" s="35">
        <f t="shared" si="45"/>
        <v>1</v>
      </c>
      <c r="T122" s="50" t="str">
        <f t="shared" si="29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16:46:42-700',mode:absolute,to:'2016-12-03 19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22" s="52" t="str">
        <f t="shared" si="31"/>
        <v>N</v>
      </c>
      <c r="X122" s="177">
        <f t="shared" si="43"/>
        <v>1</v>
      </c>
      <c r="Y122" s="67">
        <f t="shared" si="32"/>
        <v>23.3048</v>
      </c>
      <c r="Z122" s="67">
        <f t="shared" si="46"/>
        <v>8.9099999999999999E-2</v>
      </c>
      <c r="AA122" s="67">
        <f t="shared" si="33"/>
        <v>23.215700000000002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4"/>
        <v>0208-03</v>
      </c>
      <c r="AE122" s="91" t="str">
        <f t="shared" si="35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122" s="88" t="str">
        <f t="shared" si="36"/>
        <v>"C:\Program Files (x86)\AstroGrep\AstroGrep.exe" /spath="%USERPROFILE%\AppData\Local\Temp\OnboardLogs" /stypes="app*4021*20161204*" /stext=" 01:.+((SYSTEM_STATE.+slice.+state.+changed )|(ment ac)|(multiple cpu faults)|(system.+state.+changed )|(\[timeout)|(PRM\|1\|D)|(kpr)|(kdp)|(\|lc)|(penalty))" /e /r /s</v>
      </c>
      <c r="AG122" s="1" t="str">
        <f t="shared" si="37"/>
        <v>EC</v>
      </c>
      <c r="AH122" s="92" t="str">
        <f t="shared" si="38"/>
        <v>"%USERPROFILE%\Documents\GitHub\eaglep3\Utilities\RefineRTDCRunTimes.py" --tripid 208-03 --locoid 4021 --swversion DE.1.0.8.0 --startMP 204:233048 --initTime 2016-12-03T17:46:42 --startdatetime 2016-12-03T17:56:22 --delay 1 --endMP 204:891 --enddatetime 2016-12-03T18:35:20 --enforcementcount 0 &gt;&gt;C:\Users\stu\Documents\GitHub\eaglep3-reporting\EC\2016-12-03-refined-times.txt</v>
      </c>
      <c r="AI122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{"issue":{"subject":"","project_id":79,"tracker_id":40,"status_id":1,"priority_id":2,"assigned_to_id":23,"start_date":"2016-12-03","description":"","custom_fields":[{"id":1,"name":"Subdivision","value":"EC"},{"id":4,"name":"Milepost","value":"0.0891"},{"id":17,"name":"Train ID","value":"208-03"},{"id":16,"name":"Locomotive ID","value":"4021"},{"id":130,"name":"Impact","value":""},{"id":150,"name":"Time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x14ac:dyDescent="0.25">
      <c r="A123" s="37" t="s">
        <v>615</v>
      </c>
      <c r="B123" s="7">
        <v>4016</v>
      </c>
      <c r="C123" s="22" t="s">
        <v>209</v>
      </c>
      <c r="D123" s="22" t="s">
        <v>248</v>
      </c>
      <c r="E123" s="13">
        <v>42707.712743055556</v>
      </c>
      <c r="F123" s="13">
        <v>42707.718969907408</v>
      </c>
      <c r="G123" s="7">
        <v>1</v>
      </c>
      <c r="H123" s="22" t="s">
        <v>249</v>
      </c>
      <c r="I123" s="13">
        <v>42707.743414351855</v>
      </c>
      <c r="J123" s="7">
        <v>0</v>
      </c>
      <c r="K123" s="109" t="str">
        <f t="shared" si="27"/>
        <v>4015/4016</v>
      </c>
      <c r="L123" s="22" t="str">
        <f>VLOOKUP(A123,'Trips&amp;Operators'!$C$1:$G$99999,5,FALSE)</f>
        <v>BRUDER RICHARD</v>
      </c>
      <c r="M123" s="6">
        <f t="shared" si="28"/>
        <v>2.4444444446999114E-2</v>
      </c>
      <c r="N123" s="7">
        <f t="shared" si="44"/>
        <v>35.200000003678724</v>
      </c>
      <c r="O123" s="7"/>
      <c r="P123" s="7"/>
      <c r="Q123" s="23"/>
      <c r="R123" s="23"/>
      <c r="S123" s="35">
        <f t="shared" si="45"/>
        <v>1</v>
      </c>
      <c r="T123" s="50" t="str">
        <f t="shared" si="29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16:06:21-700',mode:absolute,to:'2016-12-03 18:50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31"/>
        <v>N</v>
      </c>
      <c r="X123" s="177">
        <f t="shared" si="43"/>
        <v>1</v>
      </c>
      <c r="Y123" s="67">
        <f t="shared" si="32"/>
        <v>4.5999999999999999E-2</v>
      </c>
      <c r="Z123" s="67">
        <f t="shared" si="46"/>
        <v>23.330200000000001</v>
      </c>
      <c r="AA123" s="67">
        <f t="shared" si="33"/>
        <v>23.284200000000002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4"/>
        <v>0209-03</v>
      </c>
      <c r="AE123" s="91" t="str">
        <f t="shared" si="35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123" s="88" t="str">
        <f t="shared" si="36"/>
        <v>"C:\Program Files (x86)\AstroGrep\AstroGrep.exe" /spath="%USERPROFILE%\AppData\Local\Temp\OnboardLogs" /stypes="app*4016*20161204*" /stext=" 00:.+((SYSTEM_STATE.+slice.+state.+changed )|(ment ac)|(multiple cpu faults)|(system.+state.+changed )|(\[timeout)|(PRM\|1\|D)|(kpr)|(kdp)|(\|lc)|(penalty))" /e /r /s</v>
      </c>
      <c r="AG123" s="1" t="str">
        <f t="shared" si="37"/>
        <v>EC</v>
      </c>
      <c r="AH123" s="92" t="str">
        <f t="shared" si="38"/>
        <v>"%USERPROFILE%\Documents\GitHub\eaglep3\Utilities\RefineRTDCRunTimes.py" --tripid 209-03 --locoid 4016 --swversion DE.1.0.8.0 --startMP 204:460 --initTime 2016-12-03T17:06:21 --startdatetime 2016-12-03T17:15:19 --delay 1 --endMP 204:233302 --enddatetime 2016-12-03T17:50:31 --enforcementcount 0 &gt;&gt;C:\Users\stu\Documents\GitHub\eaglep3-reporting\EC\2016-12-03-refined-times.txt</v>
      </c>
      <c r="AI123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{"issue":{"subject":"","project_id":79,"tracker_id":40,"status_id":1,"priority_id":2,"assigned_to_id":23,"start_date":"2016-12-03","description":"","custom_fields":[{"id":1,"name":"Subdivision","value":"EC"},{"id":4,"name":"Milepost","value":"23.3302"},{"id":17,"name":"Train ID","value":"209-03"},{"id":16,"name":"Locomotive ID","value":"4016"},{"id":130,"name":"Impact","value":""},{"id":150,"name":"Time of Event (Mountain Time)","value":"17:50:31"},{"id":151,"name":"Denver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</row>
    <row r="124" spans="1:91" s="21" customFormat="1" x14ac:dyDescent="0.25">
      <c r="A124" s="37" t="s">
        <v>623</v>
      </c>
      <c r="B124" s="7">
        <v>4015</v>
      </c>
      <c r="C124" s="22" t="s">
        <v>209</v>
      </c>
      <c r="D124" s="22" t="s">
        <v>265</v>
      </c>
      <c r="E124" s="13">
        <v>42707.751273148147</v>
      </c>
      <c r="F124" s="13">
        <v>42707.757835648146</v>
      </c>
      <c r="G124" s="7">
        <v>1</v>
      </c>
      <c r="H124" s="22" t="s">
        <v>750</v>
      </c>
      <c r="I124" s="13">
        <v>42707.78800925926</v>
      </c>
      <c r="J124" s="7">
        <v>0</v>
      </c>
      <c r="K124" s="109" t="str">
        <f t="shared" si="27"/>
        <v>4015/4016</v>
      </c>
      <c r="L124" s="22" t="str">
        <f>VLOOKUP(A124,'Trips&amp;Operators'!$C$1:$G$99999,5,FALSE)</f>
        <v>BRUDER RICHARD</v>
      </c>
      <c r="M124" s="6">
        <f t="shared" si="28"/>
        <v>3.0173611114150845E-2</v>
      </c>
      <c r="N124" s="7">
        <f t="shared" si="44"/>
        <v>43.450000004377216</v>
      </c>
      <c r="O124" s="7"/>
      <c r="P124" s="7"/>
      <c r="Q124" s="23"/>
      <c r="R124" s="23"/>
      <c r="S124" s="35">
        <f t="shared" si="45"/>
        <v>1</v>
      </c>
      <c r="T124" s="50" t="str">
        <f t="shared" si="29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17:01:50-700',mode:absolute,to:'2016-12-03 19:54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31"/>
        <v>N</v>
      </c>
      <c r="X124" s="177">
        <f t="shared" si="43"/>
        <v>1</v>
      </c>
      <c r="Y124" s="67">
        <f t="shared" si="32"/>
        <v>23.299600000000002</v>
      </c>
      <c r="Z124" s="67">
        <f t="shared" si="46"/>
        <v>5.1700000000000003E-2</v>
      </c>
      <c r="AA124" s="67">
        <f t="shared" si="33"/>
        <v>23.247900000000001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34"/>
        <v>0210-03</v>
      </c>
      <c r="AE124" s="91" t="str">
        <f t="shared" si="35"/>
        <v>aws s3 cp s3://rtdc.mdm.uploadarchive.raw/RTDC4015/ "%USERPROFILE%\AppData\Local\Temp\OnboardLogs"\RTDC4015\2016-12-03 --exclude "*" --recursive --include "*20161203*" &amp; "%USERPROFILE%\Documents\GitHub\mrs-test-scripts\Headless Mode &amp; Sideloading\WalkAndUnGZ.bat" "%USERPROFILE%\AppData\Local\Temp\OnboardLogs"\RTDC4015\2016-12-03 &amp; aws s3 cp s3://rtdc.mdm.uploadarchive.raw/RTDC4015/ "%USERPROFILE%\AppData\Local\Temp\OnboardLogs"\RTDC4015\2016-12-04 --exclude "*" --recursive --include "*20161204*" &amp; "%USERPROFILE%\Documents\GitHub\mrs-test-scripts\Headless Mode &amp; Sideloading\WalkAndUnGZ.bat" "%USERPROFILE%\AppData\Local\Temp\OnboardLogs"\RTDC4015\2016-12-04</v>
      </c>
      <c r="AF124" s="88" t="str">
        <f t="shared" si="36"/>
        <v>"C:\Program Files (x86)\AstroGrep\AstroGrep.exe" /spath="%USERPROFILE%\AppData\Local\Temp\OnboardLogs" /stypes="app*4015*20161204*" /stext=" 01:.+((SYSTEM_STATE.+slice.+state.+changed )|(ment ac)|(multiple cpu faults)|(system.+state.+changed )|(\[timeout)|(PRM\|1\|D)|(kpr)|(kdp)|(\|lc)|(penalty))" /e /r /s</v>
      </c>
      <c r="AG124" s="1" t="str">
        <f t="shared" si="37"/>
        <v>EC</v>
      </c>
      <c r="AH124" s="92" t="str">
        <f t="shared" si="38"/>
        <v>"%USERPROFILE%\Documents\GitHub\eaglep3\Utilities\RefineRTDCRunTimes.py" --tripid 210-03 --locoid 4015 --swversion DE.1.0.8.0 --startMP 204:232996 --initTime 2016-12-03T18:01:50 --startdatetime 2016-12-03T18:11:17 --delay 1 --endMP 204:517 --enddatetime 2016-12-03T18:54:44 --enforcementcount 0 &gt;&gt;C:\Users\stu\Documents\GitHub\eaglep3-reporting\EC\2016-12-03-refined-times.txt</v>
      </c>
      <c r="AI124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{"issue":{"subject":"","project_id":79,"tracker_id":40,"status_id":1,"priority_id":2,"assigned_to_id":23,"start_date":"2016-12-03","description":"","custom_fields":[{"id":1,"name":"Subdivision","value":"EC"},{"id":4,"name":"Milepost","value":"0.0517"},{"id":17,"name":"Train ID","value":"210-03"},{"id":16,"name":"Locomotive ID","value":"4015"},{"id":130,"name":"Impact","value":""},{"id":150,"name":"Time of Event (Mountain Time)","value":"18:54:44"},{"id":151,"name":"Denver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617</v>
      </c>
      <c r="B125" s="7">
        <v>4042</v>
      </c>
      <c r="C125" s="22" t="s">
        <v>209</v>
      </c>
      <c r="D125" s="22" t="s">
        <v>251</v>
      </c>
      <c r="E125" s="13">
        <v>42707.724895833337</v>
      </c>
      <c r="F125" s="13">
        <v>42707.729351851849</v>
      </c>
      <c r="G125" s="7">
        <v>1</v>
      </c>
      <c r="H125" s="22" t="s">
        <v>405</v>
      </c>
      <c r="I125" s="13">
        <v>42707.755335648151</v>
      </c>
      <c r="J125" s="7">
        <v>0</v>
      </c>
      <c r="K125" s="109" t="str">
        <f t="shared" si="27"/>
        <v>4041/4042</v>
      </c>
      <c r="L125" s="22" t="str">
        <f>VLOOKUP(A125,'Trips&amp;Operators'!$C$1:$G$99999,5,FALSE)</f>
        <v>CLARK KATHLEEN</v>
      </c>
      <c r="M125" s="6">
        <f t="shared" si="28"/>
        <v>2.5983796302170958E-2</v>
      </c>
      <c r="N125" s="7">
        <f t="shared" si="44"/>
        <v>37.41666667512618</v>
      </c>
      <c r="O125" s="7"/>
      <c r="P125" s="7"/>
      <c r="Q125" s="23"/>
      <c r="R125" s="23"/>
      <c r="S125" s="35">
        <f t="shared" si="45"/>
        <v>1</v>
      </c>
      <c r="T125" s="50" t="str">
        <f t="shared" si="29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16:23:51-700',mode:absolute,to:'2016-12-03 19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5" s="52" t="str">
        <f t="shared" si="31"/>
        <v>N</v>
      </c>
      <c r="X125" s="177">
        <f t="shared" si="43"/>
        <v>1</v>
      </c>
      <c r="Y125" s="67">
        <f t="shared" si="32"/>
        <v>4.7100000000000003E-2</v>
      </c>
      <c r="Z125" s="67">
        <f t="shared" si="46"/>
        <v>23.327400000000001</v>
      </c>
      <c r="AA125" s="67">
        <f t="shared" si="33"/>
        <v>23.2803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4"/>
        <v>0211-03</v>
      </c>
      <c r="AE125" s="91" t="str">
        <f t="shared" si="35"/>
        <v>aws s3 cp s3://rtdc.mdm.uploadarchive.raw/RTDC4042/ "%USERPROFILE%\AppData\Local\Temp\OnboardLogs"\RTDC4042\2016-12-03 --exclude "*" --recursive --include "*20161203*" &amp; "%USERPROFILE%\Documents\GitHub\mrs-test-scripts\Headless Mode &amp; Sideloading\WalkAndUnGZ.bat" "%USERPROFILE%\AppData\Local\Temp\OnboardLogs"\RTDC4042\2016-12-03 &amp; aws s3 cp s3://rtdc.mdm.uploadarchive.raw/RTDC4042/ "%USERPROFILE%\AppData\Local\Temp\OnboardLogs"\RTDC4042\2016-12-04 --exclude "*" --recursive --include "*20161204*" &amp; "%USERPROFILE%\Documents\GitHub\mrs-test-scripts\Headless Mode &amp; Sideloading\WalkAndUnGZ.bat" "%USERPROFILE%\AppData\Local\Temp\OnboardLogs"\RTDC4042\2016-12-04</v>
      </c>
      <c r="AF125" s="88" t="str">
        <f t="shared" si="36"/>
        <v>"C:\Program Files (x86)\AstroGrep\AstroGrep.exe" /spath="%USERPROFILE%\AppData\Local\Temp\OnboardLogs" /stypes="app*4042*20161204*" /stext=" 01:.+((SYSTEM_STATE.+slice.+state.+changed )|(ment ac)|(multiple cpu faults)|(system.+state.+changed )|(\[timeout)|(PRM\|1\|D)|(kpr)|(kdp)|(\|lc)|(penalty))" /e /r /s</v>
      </c>
      <c r="AG125" s="1" t="str">
        <f t="shared" si="37"/>
        <v>EC</v>
      </c>
      <c r="AH125" s="92" t="str">
        <f t="shared" si="38"/>
        <v>"%USERPROFILE%\Documents\GitHub\eaglep3\Utilities\RefineRTDCRunTimes.py" --tripid 211-03 --locoid 4042 --swversion DE.1.0.8.0 --startMP 204:471 --initTime 2016-12-03T17:23:51 --startdatetime 2016-12-03T17:30:16 --delay 1 --endMP 204:233274 --enddatetime 2016-12-03T18:07:41 --enforcementcount 0 &gt;&gt;C:\Users\stu\Documents\GitHub\eaglep3-reporting\EC\2016-12-03-refined-times.txt</v>
      </c>
      <c r="AI125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{"issue":{"subject":"","project_id":79,"tracker_id":40,"status_id":1,"priority_id":2,"assigned_to_id":23,"start_date":"2016-12-03","description":"","custom_fields":[{"id":1,"name":"Subdivision","value":"EC"},{"id":4,"name":"Milepost","value":"23.3274"},{"id":17,"name":"Train ID","value":"211-03"},{"id":16,"name":"Locomotive ID","value":"4042"},{"id":130,"name":"Impact","value":""},{"id":150,"name":"Time of Event (Mountain Time)","value":"18:07:41"},{"id":151,"name":"Denver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624</v>
      </c>
      <c r="B126" s="7">
        <v>4041</v>
      </c>
      <c r="C126" s="22" t="s">
        <v>209</v>
      </c>
      <c r="D126" s="22" t="s">
        <v>406</v>
      </c>
      <c r="E126" s="13">
        <v>42707.763645833336</v>
      </c>
      <c r="F126" s="13">
        <v>42707.768217592595</v>
      </c>
      <c r="G126" s="7">
        <v>1</v>
      </c>
      <c r="H126" s="22" t="s">
        <v>396</v>
      </c>
      <c r="I126" s="13">
        <v>42707.796087962961</v>
      </c>
      <c r="J126" s="7">
        <v>0</v>
      </c>
      <c r="K126" s="109" t="str">
        <f t="shared" si="27"/>
        <v>4041/4042</v>
      </c>
      <c r="L126" s="22" t="str">
        <f>VLOOKUP(A126,'Trips&amp;Operators'!$C$1:$G$99999,5,FALSE)</f>
        <v>CLARK KATHLEEN</v>
      </c>
      <c r="M126" s="6">
        <f t="shared" si="28"/>
        <v>2.7870370366144925E-2</v>
      </c>
      <c r="N126" s="7">
        <f t="shared" si="44"/>
        <v>40.133333327248693</v>
      </c>
      <c r="O126" s="7"/>
      <c r="P126" s="7"/>
      <c r="Q126" s="23"/>
      <c r="R126" s="23"/>
      <c r="S126" s="35">
        <f t="shared" si="45"/>
        <v>1</v>
      </c>
      <c r="T126" s="50" t="str">
        <f t="shared" si="29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17:19:39-700',mode:absolute,to:'2016-12-03 20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6" s="52" t="str">
        <f t="shared" si="31"/>
        <v>N</v>
      </c>
      <c r="X126" s="177">
        <f t="shared" si="43"/>
        <v>1</v>
      </c>
      <c r="Y126" s="67">
        <f t="shared" si="32"/>
        <v>23.296700000000001</v>
      </c>
      <c r="Z126" s="67">
        <f t="shared" si="46"/>
        <v>1.83E-2</v>
      </c>
      <c r="AA126" s="67">
        <f t="shared" si="33"/>
        <v>23.278400000000001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4"/>
        <v>0212-03</v>
      </c>
      <c r="AE126" s="91" t="str">
        <f t="shared" si="35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126" s="88" t="str">
        <f t="shared" si="36"/>
        <v>"C:\Program Files (x86)\AstroGrep\AstroGrep.exe" /spath="%USERPROFILE%\AppData\Local\Temp\OnboardLogs" /stypes="app*4041*20161204*" /stext=" 02:.+((SYSTEM_STATE.+slice.+state.+changed )|(ment ac)|(multiple cpu faults)|(system.+state.+changed )|(\[timeout)|(PRM\|1\|D)|(kpr)|(kdp)|(\|lc)|(penalty))" /e /r /s</v>
      </c>
      <c r="AG126" s="1" t="str">
        <f t="shared" si="37"/>
        <v>EC</v>
      </c>
      <c r="AH126" s="92" t="str">
        <f t="shared" si="38"/>
        <v>"%USERPROFILE%\Documents\GitHub\eaglep3\Utilities\RefineRTDCRunTimes.py" --tripid 212-03 --locoid 4041 --swversion DE.1.0.8.0 --startMP 204:232967 --initTime 2016-12-03T18:19:39 --startdatetime 2016-12-03T18:26:14 --delay 1 --endMP 204:183 --enddatetime 2016-12-03T19:06:22 --enforcementcount 0 &gt;&gt;C:\Users\stu\Documents\GitHub\eaglep3-reporting\EC\2016-12-03-refined-times.txt</v>
      </c>
      <c r="AI126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{"issue":{"subject":"","project_id":79,"tracker_id":40,"status_id":1,"priority_id":2,"assigned_to_id":23,"start_date":"2016-12-03","description":"","custom_fields":[{"id":1,"name":"Subdivision","value":"EC"},{"id":4,"name":"Milepost","value":"0.0183"},{"id":17,"name":"Train ID","value":"212-03"},{"id":16,"name":"Locomotive ID","value":"4041"},{"id":130,"name":"Impact","value":""},{"id":150,"name":"Time of Event (Mountain Time)","value":"19:06:22"},{"id":151,"name":"Denver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618</v>
      </c>
      <c r="B127" s="7">
        <v>4027</v>
      </c>
      <c r="C127" s="22" t="s">
        <v>209</v>
      </c>
      <c r="D127" s="22" t="s">
        <v>751</v>
      </c>
      <c r="E127" s="13">
        <v>42707.740277777775</v>
      </c>
      <c r="F127" s="13">
        <v>42707.741400462961</v>
      </c>
      <c r="G127" s="7">
        <v>1</v>
      </c>
      <c r="H127" s="22" t="s">
        <v>681</v>
      </c>
      <c r="I127" s="13">
        <v>42707.766203703701</v>
      </c>
      <c r="J127" s="7">
        <v>0</v>
      </c>
      <c r="K127" s="109" t="str">
        <f t="shared" si="27"/>
        <v>4027/4028</v>
      </c>
      <c r="L127" s="22" t="str">
        <f>VLOOKUP(A127,'Trips&amp;Operators'!$C$1:$G$99999,5,FALSE)</f>
        <v>NEWELL JAMES</v>
      </c>
      <c r="M127" s="6">
        <f t="shared" si="28"/>
        <v>2.4803240739856847E-2</v>
      </c>
      <c r="N127" s="7">
        <f t="shared" si="44"/>
        <v>35.716666665393859</v>
      </c>
      <c r="O127" s="7"/>
      <c r="P127" s="7"/>
      <c r="Q127" s="23"/>
      <c r="R127" s="23"/>
      <c r="S127" s="35">
        <f t="shared" si="45"/>
        <v>1</v>
      </c>
      <c r="T127" s="50" t="str">
        <f t="shared" si="29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16:46:00-700',mode:absolute,to:'2016-12-03 19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7" s="52" t="str">
        <f t="shared" si="31"/>
        <v>N</v>
      </c>
      <c r="X127" s="177">
        <f t="shared" si="43"/>
        <v>1</v>
      </c>
      <c r="Y127" s="67">
        <f t="shared" si="32"/>
        <v>6.6600000000000006E-2</v>
      </c>
      <c r="Z127" s="67">
        <f t="shared" si="46"/>
        <v>23.331499999999998</v>
      </c>
      <c r="AA127" s="67">
        <f t="shared" si="33"/>
        <v>23.264899999999997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4"/>
        <v>0213-03</v>
      </c>
      <c r="AE127" s="91" t="str">
        <f t="shared" si="35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127" s="88" t="str">
        <f t="shared" si="36"/>
        <v>"C:\Program Files (x86)\AstroGrep\AstroGrep.exe" /spath="%USERPROFILE%\AppData\Local\Temp\OnboardLogs" /stypes="app*4027*20161204*" /stext=" 01:.+((SYSTEM_STATE.+slice.+state.+changed )|(ment ac)|(multiple cpu faults)|(system.+state.+changed )|(\[timeout)|(PRM\|1\|D)|(kpr)|(kdp)|(\|lc)|(penalty))" /e /r /s</v>
      </c>
      <c r="AG127" s="1" t="str">
        <f t="shared" si="37"/>
        <v>EC</v>
      </c>
      <c r="AH127" s="92" t="str">
        <f t="shared" si="38"/>
        <v>"%USERPROFILE%\Documents\GitHub\eaglep3\Utilities\RefineRTDCRunTimes.py" --tripid 213-03 --locoid 4027 --swversion DE.1.0.8.0 --startMP 204:666 --initTime 2016-12-03T17:46:00 --startdatetime 2016-12-03T17:47:37 --delay 1 --endMP 204:233315 --enddatetime 2016-12-03T18:23:20 --enforcementcount 0 &gt;&gt;C:\Users\stu\Documents\GitHub\eaglep3-reporting\EC\2016-12-03-refined-times.txt</v>
      </c>
      <c r="AI127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{"issue":{"subject":"","project_id":79,"tracker_id":40,"status_id":1,"priority_id":2,"assigned_to_id":23,"start_date":"2016-12-03","description":"","custom_fields":[{"id":1,"name":"Subdivision","value":"EC"},{"id":4,"name":"Milepost","value":"23.3315"},{"id":17,"name":"Train ID","value":"213-03"},{"id":16,"name":"Locomotive ID","value":"4027"},{"id":130,"name":"Impact","value":""},{"id":150,"name":"Time of Event (Mountain Time)","value":"18:23:20"},{"id":151,"name":"Denver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627</v>
      </c>
      <c r="B128" s="7">
        <v>4043</v>
      </c>
      <c r="C128" s="22" t="s">
        <v>209</v>
      </c>
      <c r="D128" s="22" t="s">
        <v>752</v>
      </c>
      <c r="E128" s="13">
        <v>42707.772013888891</v>
      </c>
      <c r="F128" s="13">
        <v>42707.775682870371</v>
      </c>
      <c r="G128" s="7">
        <v>5</v>
      </c>
      <c r="H128" s="22" t="s">
        <v>753</v>
      </c>
      <c r="I128" s="13">
        <v>42707.780173611114</v>
      </c>
      <c r="J128" s="7">
        <v>0</v>
      </c>
      <c r="K128" s="109" t="str">
        <f t="shared" si="27"/>
        <v>4043/4044</v>
      </c>
      <c r="L128" s="22" t="str">
        <f>VLOOKUP(A128,'Trips&amp;Operators'!$C$1:$G$99999,5,FALSE)</f>
        <v>NEWELL JAMES</v>
      </c>
      <c r="M128" s="6">
        <f t="shared" si="28"/>
        <v>4.4907407427672297E-3</v>
      </c>
      <c r="N128" s="7"/>
      <c r="O128" s="7"/>
      <c r="P128" s="7">
        <f>24*60*SUM($M128:$M128)</f>
        <v>6.4666666695848107</v>
      </c>
      <c r="Q128" s="23"/>
      <c r="R128" s="23" t="s">
        <v>840</v>
      </c>
      <c r="S128" s="35">
        <f t="shared" si="45"/>
        <v>0</v>
      </c>
      <c r="T128" s="50" t="str">
        <f t="shared" si="29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0</v>
      </c>
      <c r="V12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17:31:42-700',mode:absolute,to:'2016-12-03 19:43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8" s="52" t="str">
        <f t="shared" si="31"/>
        <v>Y</v>
      </c>
      <c r="X128" s="177">
        <f t="shared" si="43"/>
        <v>1</v>
      </c>
      <c r="Y128" s="67">
        <f t="shared" si="32"/>
        <v>23.267499999999998</v>
      </c>
      <c r="Z128" s="67">
        <f t="shared" si="46"/>
        <v>23.267700000000001</v>
      </c>
      <c r="AA128" s="67">
        <f t="shared" si="33"/>
        <v>2.000000000030866E-4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4"/>
        <v>0214-03</v>
      </c>
      <c r="AE128" s="91" t="str">
        <f t="shared" si="35"/>
        <v>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 &amp; 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</v>
      </c>
      <c r="AF128" s="88" t="str">
        <f t="shared" si="36"/>
        <v>"C:\Program Files (x86)\AstroGrep\AstroGrep.exe" /spath="%USERPROFILE%\AppData\Local\Temp\OnboardLogs" /stypes="app*4043*20161204*" /stext=" 01:.+((SYSTEM_STATE.+slice.+state.+changed )|(ment ac)|(multiple cpu faults)|(system.+state.+changed )|(\[timeout)|(PRM\|1\|D)|(kpr)|(kdp)|(\|lc)|(penalty))" /e /r /s</v>
      </c>
      <c r="AG128" s="1" t="str">
        <f t="shared" si="37"/>
        <v>EC</v>
      </c>
      <c r="AH128" s="92" t="str">
        <f t="shared" si="38"/>
        <v>"%USERPROFILE%\Documents\GitHub\eaglep3\Utilities\RefineRTDCRunTimes.py" --tripid 214-03 --locoid 4043 --swversion DE.1.0.8.0 --startMP 204:232675 --initTime 2016-12-03T18:31:42 --startdatetime 2016-12-03T18:36:59 --delay 5 --endMP 204:232677 --enddatetime 2016-12-03T18:43:27 --enforcementcount 0 &gt;&gt;C:\Users\stu\Documents\GitHub\eaglep3-reporting\EC\2016-12-03-refined-times.txt</v>
      </c>
      <c r="AI128" s="119" t="str">
        <f t="shared" si="39"/>
        <v>echo {"issue":{"subject":"Unable to perform departure test - BPP numbers were low","project_id":79,"tracker_id":40,"status_id":1,"priority_id":2,"assigned_to_id":23,"start_date":"2016-12-03","description":"","custom_fields":[{"id":1,"name":"Subdivision","value":"EC"},{"id":4,"name":"Milepost","value":"23.2677"},{"id":17,"name":"Train ID","value":"214-03"},{"id":16,"name":"Locomotive ID","value":"4043"},{"id":130,"name":"Impact","value":""},{"id":150,"name":"Time of Event (Mountain Time)","value":"18:43:27"},{"id":151,"name":"Denver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622</v>
      </c>
      <c r="B129" s="7">
        <v>4038</v>
      </c>
      <c r="C129" s="22" t="s">
        <v>209</v>
      </c>
      <c r="D129" s="22" t="s">
        <v>266</v>
      </c>
      <c r="E129" s="13">
        <v>42707.749108796299</v>
      </c>
      <c r="F129" s="13">
        <v>42707.751145833332</v>
      </c>
      <c r="G129" s="7">
        <v>1</v>
      </c>
      <c r="H129" s="22" t="s">
        <v>739</v>
      </c>
      <c r="I129" s="13">
        <v>42707.781828703701</v>
      </c>
      <c r="J129" s="7">
        <v>0</v>
      </c>
      <c r="K129" s="109" t="str">
        <f t="shared" si="27"/>
        <v>4037/4038</v>
      </c>
      <c r="L129" s="22" t="str">
        <f>VLOOKUP(A129,'Trips&amp;Operators'!$C$1:$G$99999,5,FALSE)</f>
        <v>ARVIDSON DANIEL</v>
      </c>
      <c r="M129" s="6">
        <f t="shared" si="28"/>
        <v>3.068287036876427E-2</v>
      </c>
      <c r="N129" s="7">
        <f t="shared" ref="N129:N140" si="47">24*60*SUM($M129:$M129)</f>
        <v>44.183333331020549</v>
      </c>
      <c r="O129" s="7"/>
      <c r="P129" s="7"/>
      <c r="Q129" s="23"/>
      <c r="R129" s="23"/>
      <c r="S129" s="35">
        <f t="shared" si="45"/>
        <v>1</v>
      </c>
      <c r="T129" s="50" t="str">
        <f t="shared" si="29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16:58:43-700',mode:absolute,to:'2016-12-03 19:45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29" s="52" t="str">
        <f t="shared" si="31"/>
        <v>N</v>
      </c>
      <c r="X129" s="177">
        <f t="shared" si="43"/>
        <v>1</v>
      </c>
      <c r="Y129" s="67">
        <f t="shared" si="32"/>
        <v>4.6699999999999998E-2</v>
      </c>
      <c r="Z129" s="67">
        <f t="shared" si="46"/>
        <v>23.332599999999999</v>
      </c>
      <c r="AA129" s="67">
        <f t="shared" si="33"/>
        <v>23.285899999999998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4"/>
        <v>0215-03</v>
      </c>
      <c r="AE129" s="91" t="str">
        <f t="shared" si="35"/>
        <v>aws s3 cp s3://rtdc.mdm.uploadarchive.raw/RTDC4038/ "%USERPROFILE%\AppData\Local\Temp\OnboardLogs"\RTDC4038\2016-12-03 --exclude "*" --recursive --include "*20161203*" &amp; "%USERPROFILE%\Documents\GitHub\mrs-test-scripts\Headless Mode &amp; Sideloading\WalkAndUnGZ.bat" "%USERPROFILE%\AppData\Local\Temp\OnboardLogs"\RTDC4038\2016-12-03 &amp; aws s3 cp s3://rtdc.mdm.uploadarchive.raw/RTDC4038/ "%USERPROFILE%\AppData\Local\Temp\OnboardLogs"\RTDC4038\2016-12-04 --exclude "*" --recursive --include "*20161204*" &amp; "%USERPROFILE%\Documents\GitHub\mrs-test-scripts\Headless Mode &amp; Sideloading\WalkAndUnGZ.bat" "%USERPROFILE%\AppData\Local\Temp\OnboardLogs"\RTDC4038\2016-12-04</v>
      </c>
      <c r="AF129" s="88" t="str">
        <f t="shared" si="36"/>
        <v>"C:\Program Files (x86)\AstroGrep\AstroGrep.exe" /spath="%USERPROFILE%\AppData\Local\Temp\OnboardLogs" /stypes="app*4038*20161204*" /stext=" 01:.+((SYSTEM_STATE.+slice.+state.+changed )|(ment ac)|(multiple cpu faults)|(system.+state.+changed )|(\[timeout)|(PRM\|1\|D)|(kpr)|(kdp)|(\|lc)|(penalty))" /e /r /s</v>
      </c>
      <c r="AG129" s="1" t="str">
        <f t="shared" si="37"/>
        <v>EC</v>
      </c>
      <c r="AH129" s="92" t="str">
        <f t="shared" si="38"/>
        <v>"%USERPROFILE%\Documents\GitHub\eaglep3\Utilities\RefineRTDCRunTimes.py" --tripid 215-03 --locoid 4038 --swversion DE.1.0.8.0 --startMP 204:467 --initTime 2016-12-03T17:58:43 --startdatetime 2016-12-03T18:01:39 --delay 1 --endMP 204:233326 --enddatetime 2016-12-03T18:45:50 --enforcementcount 0 &gt;&gt;C:\Users\stu\Documents\GitHub\eaglep3-reporting\EC\2016-12-03-refined-times.txt</v>
      </c>
      <c r="AI129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{"issue":{"subject":"","project_id":79,"tracker_id":40,"status_id":1,"priority_id":2,"assigned_to_id":23,"start_date":"2016-12-03","description":"","custom_fields":[{"id":1,"name":"Subdivision","value":"EC"},{"id":4,"name":"Milepost","value":"23.3326"},{"id":17,"name":"Train ID","value":"215-03"},{"id":16,"name":"Locomotive ID","value":"4038"},{"id":130,"name":"Impact","value":""},{"id":150,"name":"Time of Event (Mountain Time)","value":"18:45:50"},{"id":151,"name":"Denver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454</v>
      </c>
      <c r="B130" s="7">
        <v>4037</v>
      </c>
      <c r="C130" s="22" t="s">
        <v>209</v>
      </c>
      <c r="D130" s="22" t="s">
        <v>235</v>
      </c>
      <c r="E130" s="13">
        <v>42707.784247685187</v>
      </c>
      <c r="F130" s="13">
        <v>42707.789178240739</v>
      </c>
      <c r="G130" s="7">
        <v>1</v>
      </c>
      <c r="H130" s="22" t="s">
        <v>754</v>
      </c>
      <c r="I130" s="13">
        <v>42707.818206018521</v>
      </c>
      <c r="J130" s="7">
        <v>0</v>
      </c>
      <c r="K130" s="109" t="str">
        <f t="shared" si="27"/>
        <v>4037/4038</v>
      </c>
      <c r="L130" s="22" t="str">
        <f>VLOOKUP(A130,'Trips&amp;Operators'!$C$1:$G$99999,5,FALSE)</f>
        <v>ARVIDSON DANIEL</v>
      </c>
      <c r="M130" s="6">
        <f t="shared" si="28"/>
        <v>2.902777778217569E-2</v>
      </c>
      <c r="N130" s="7">
        <f t="shared" si="47"/>
        <v>41.800000006332994</v>
      </c>
      <c r="O130" s="7"/>
      <c r="P130" s="7"/>
      <c r="Q130" s="23"/>
      <c r="R130" s="23"/>
      <c r="S130" s="35">
        <f t="shared" si="45"/>
        <v>1</v>
      </c>
      <c r="T130" s="50" t="str">
        <f t="shared" si="29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17:49:19-700',mode:absolute,to:'2016-12-03 20:38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30" s="52" t="str">
        <f t="shared" si="31"/>
        <v>N</v>
      </c>
      <c r="X130" s="177">
        <f t="shared" si="43"/>
        <v>1</v>
      </c>
      <c r="Y130" s="67">
        <f t="shared" si="32"/>
        <v>23.297499999999999</v>
      </c>
      <c r="Z130" s="67">
        <f t="shared" si="46"/>
        <v>1.5299999999999999E-2</v>
      </c>
      <c r="AA130" s="67">
        <f t="shared" si="33"/>
        <v>23.2822</v>
      </c>
      <c r="AB130" s="64" t="str">
        <f>VLOOKUP(A130,Enforcements!$C$7:$K$19,8,0)</f>
        <v>Speed (6)</v>
      </c>
      <c r="AC130" s="60" t="str">
        <f>VLOOKUP(A130,Enforcements!$C$7:$E$19,3,0)</f>
        <v>PERMANENT SPEED RESTRICTION</v>
      </c>
      <c r="AD130" s="61" t="str">
        <f t="shared" si="34"/>
        <v>0216-03</v>
      </c>
      <c r="AE130" s="91" t="str">
        <f t="shared" si="35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130" s="88" t="str">
        <f t="shared" si="36"/>
        <v>"C:\Program Files (x86)\AstroGrep\AstroGrep.exe" /spath="%USERPROFILE%\AppData\Local\Temp\OnboardLogs" /stypes="app*4037*20161204*" /stext=" 02:.+((SYSTEM_STATE.+slice.+state.+changed )|(ment ac)|(multiple cpu faults)|(system.+state.+changed )|(\[timeout)|(PRM\|1\|D)|(kpr)|(kdp)|(\|lc)|(penalty))" /e /r /s</v>
      </c>
      <c r="AG130" s="1" t="str">
        <f t="shared" si="37"/>
        <v>EC</v>
      </c>
      <c r="AH130" s="92" t="str">
        <f t="shared" si="38"/>
        <v>"%USERPROFILE%\Documents\GitHub\eaglep3\Utilities\RefineRTDCRunTimes.py" --tripid 216-03 --locoid 4037 --swversion DE.1.0.8.0 --startMP 204:232975 --initTime 2016-12-03T18:49:19 --startdatetime 2016-12-03T18:56:25 --delay 1 --endMP 204:153 --enddatetime 2016-12-03T19:38:13 --enforcementcount 0 &gt;&gt;C:\Users\stu\Documents\GitHub\eaglep3-reporting\EC\2016-12-03-refined-times.txt</v>
      </c>
      <c r="AI130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{"issue":{"subject":"","project_id":79,"tracker_id":40,"status_id":1,"priority_id":2,"assigned_to_id":23,"start_date":"2016-12-03","description":"","custom_fields":[{"id":1,"name":"Subdivision","value":"EC"},{"id":4,"name":"Milepost","value":"0.0153"},{"id":17,"name":"Train ID","value":"216-03"},{"id":16,"name":"Locomotive ID","value":"4037"},{"id":130,"name":"Impact","value":""},{"id":150,"name":"Time of Event (Mountain Time)","value":"19:38:13"},{"id":151,"name":"Denver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625</v>
      </c>
      <c r="B131" s="7">
        <v>4014</v>
      </c>
      <c r="C131" s="22" t="s">
        <v>209</v>
      </c>
      <c r="D131" s="22" t="s">
        <v>729</v>
      </c>
      <c r="E131" s="13">
        <v>42707.76457175926</v>
      </c>
      <c r="F131" s="13">
        <v>42707.7656712963</v>
      </c>
      <c r="G131" s="7">
        <v>1</v>
      </c>
      <c r="H131" s="22" t="s">
        <v>706</v>
      </c>
      <c r="I131" s="13">
        <v>42707.79179398148</v>
      </c>
      <c r="J131" s="7">
        <v>0</v>
      </c>
      <c r="K131" s="109" t="str">
        <f t="shared" si="27"/>
        <v>4013/4014</v>
      </c>
      <c r="L131" s="22" t="str">
        <f>VLOOKUP(A131,'Trips&amp;Operators'!$C$1:$G$99999,5,FALSE)</f>
        <v>CHANDLER KELVIN</v>
      </c>
      <c r="M131" s="6">
        <f t="shared" si="28"/>
        <v>2.6122685179871041E-2</v>
      </c>
      <c r="N131" s="7">
        <f t="shared" si="47"/>
        <v>37.6166666590143</v>
      </c>
      <c r="O131" s="7"/>
      <c r="P131" s="7"/>
      <c r="Q131" s="23"/>
      <c r="R131" s="23"/>
      <c r="S131" s="35">
        <f t="shared" si="45"/>
        <v>1</v>
      </c>
      <c r="T131" s="50" t="str">
        <f t="shared" si="29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17:20:59-700',mode:absolute,to:'2016-12-03 20:00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1" s="52" t="str">
        <f t="shared" si="31"/>
        <v>N</v>
      </c>
      <c r="X131" s="177">
        <f t="shared" si="43"/>
        <v>1</v>
      </c>
      <c r="Y131" s="67">
        <f t="shared" si="32"/>
        <v>6.6100000000000006E-2</v>
      </c>
      <c r="Z131" s="67">
        <f t="shared" si="46"/>
        <v>23.338699999999999</v>
      </c>
      <c r="AA131" s="67">
        <f t="shared" si="33"/>
        <v>23.272600000000001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4"/>
        <v>0217-03</v>
      </c>
      <c r="AE131" s="91" t="str">
        <f t="shared" si="35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131" s="88" t="str">
        <f t="shared" si="36"/>
        <v>"C:\Program Files (x86)\AstroGrep\AstroGrep.exe" /spath="%USERPROFILE%\AppData\Local\Temp\OnboardLogs" /stypes="app*4014*20161204*" /stext=" 02:.+((SYSTEM_STATE.+slice.+state.+changed )|(ment ac)|(multiple cpu faults)|(system.+state.+changed )|(\[timeout)|(PRM\|1\|D)|(kpr)|(kdp)|(\|lc)|(penalty))" /e /r /s</v>
      </c>
      <c r="AG131" s="1" t="str">
        <f t="shared" si="37"/>
        <v>EC</v>
      </c>
      <c r="AH131" s="92" t="str">
        <f t="shared" si="38"/>
        <v>"%USERPROFILE%\Documents\GitHub\eaglep3\Utilities\RefineRTDCRunTimes.py" --tripid 217-03 --locoid 4014 --swversion DE.1.0.8.0 --startMP 204:661 --initTime 2016-12-03T18:20:59 --startdatetime 2016-12-03T18:22:34 --delay 1 --endMP 204:233387 --enddatetime 2016-12-03T19:00:11 --enforcementcount 0 &gt;&gt;C:\Users\stu\Documents\GitHub\eaglep3-reporting\EC\2016-12-03-refined-times.txt</v>
      </c>
      <c r="AI131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{"issue":{"subject":"","project_id":79,"tracker_id":40,"status_id":1,"priority_id":2,"assigned_to_id":23,"start_date":"2016-12-03","description":"","custom_fields":[{"id":1,"name":"Subdivision","value":"EC"},{"id":4,"name":"Milepost","value":"23.3387"},{"id":17,"name":"Train ID","value":"217-03"},{"id":16,"name":"Locomotive ID","value":"4014"},{"id":130,"name":"Impact","value":""},{"id":150,"name":"Time of Event (Mountain Time)","value":"19:00:11"},{"id":151,"name":"Denver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455</v>
      </c>
      <c r="B132" s="7">
        <v>4019</v>
      </c>
      <c r="C132" s="22" t="s">
        <v>209</v>
      </c>
      <c r="D132" s="22" t="s">
        <v>755</v>
      </c>
      <c r="E132" s="13">
        <v>42707.797835648147</v>
      </c>
      <c r="F132" s="13">
        <v>42707.799733796295</v>
      </c>
      <c r="G132" s="7">
        <v>1</v>
      </c>
      <c r="H132" s="22" t="s">
        <v>756</v>
      </c>
      <c r="I132" s="13">
        <v>42707.828414351854</v>
      </c>
      <c r="J132" s="7">
        <v>0</v>
      </c>
      <c r="K132" s="109" t="str">
        <f t="shared" si="27"/>
        <v>4019/4020</v>
      </c>
      <c r="L132" s="22" t="str">
        <f>VLOOKUP(A132,'Trips&amp;Operators'!$C$1:$G$99999,5,FALSE)</f>
        <v>CHANDLER KELVIN</v>
      </c>
      <c r="M132" s="6">
        <f t="shared" si="28"/>
        <v>2.8680555558821652E-2</v>
      </c>
      <c r="N132" s="7">
        <f t="shared" si="47"/>
        <v>41.300000004703179</v>
      </c>
      <c r="O132" s="7"/>
      <c r="P132" s="7"/>
      <c r="Q132" s="23"/>
      <c r="R132" s="23"/>
      <c r="S132" s="35">
        <f t="shared" si="45"/>
        <v>1</v>
      </c>
      <c r="T132" s="50" t="str">
        <f t="shared" si="29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18:08:53-700',mode:absolute,to:'2016-12-03 20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32" s="52" t="str">
        <f t="shared" si="31"/>
        <v>N</v>
      </c>
      <c r="X132" s="177">
        <f t="shared" si="43"/>
        <v>1</v>
      </c>
      <c r="Y132" s="67">
        <f t="shared" si="32"/>
        <v>23.276800000000001</v>
      </c>
      <c r="Z132" s="67">
        <f t="shared" si="46"/>
        <v>7.7999999999999996E-3</v>
      </c>
      <c r="AA132" s="67">
        <f t="shared" si="33"/>
        <v>23.269000000000002</v>
      </c>
      <c r="AB132" s="64" t="str">
        <f>VLOOKUP(A132,Enforcements!$C$7:$K$19,8,0)</f>
        <v>Speed (6)</v>
      </c>
      <c r="AC132" s="60" t="str">
        <f>VLOOKUP(A132,Enforcements!$C$7:$E$19,3,0)</f>
        <v>PERMANENT SPEED RESTRICTION</v>
      </c>
      <c r="AD132" s="61" t="str">
        <f t="shared" si="34"/>
        <v>0218-03</v>
      </c>
      <c r="AE132" s="91" t="str">
        <f t="shared" si="35"/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AF132" s="88" t="str">
        <f t="shared" si="36"/>
        <v>"C:\Program Files (x86)\AstroGrep\AstroGrep.exe" /spath="%USERPROFILE%\AppData\Local\Temp\OnboardLogs" /stypes="app*4019*20161204*" /stext=" 02:.+((SYSTEM_STATE.+slice.+state.+changed )|(ment ac)|(multiple cpu faults)|(system.+state.+changed )|(\[timeout)|(PRM\|1\|D)|(kpr)|(kdp)|(\|lc)|(penalty))" /e /r /s</v>
      </c>
      <c r="AG132" s="1" t="str">
        <f t="shared" si="37"/>
        <v>EC</v>
      </c>
      <c r="AH132" s="92" t="str">
        <f t="shared" si="38"/>
        <v>"%USERPROFILE%\Documents\GitHub\eaglep3\Utilities\RefineRTDCRunTimes.py" --tripid 218-03 --locoid 4019 --swversion DE.1.0.8.0 --startMP 204:232768 --initTime 2016-12-03T19:08:53 --startdatetime 2016-12-03T19:11:37 --delay 1 --endMP 204:78 --enddatetime 2016-12-03T19:52:55 --enforcementcount 0 &gt;&gt;C:\Users\stu\Documents\GitHub\eaglep3-reporting\EC\2016-12-03-refined-times.txt</v>
      </c>
      <c r="AI132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{"issue":{"subject":"","project_id":79,"tracker_id":40,"status_id":1,"priority_id":2,"assigned_to_id":23,"start_date":"2016-12-03","description":"","custom_fields":[{"id":1,"name":"Subdivision","value":"EC"},{"id":4,"name":"Milepost","value":"0.0078"},{"id":17,"name":"Train ID","value":"218-03"},{"id":16,"name":"Locomotive ID","value":"4019"},{"id":130,"name":"Impact","value":""},{"id":150,"name":"Time of Event (Mountain Time)","value":"19:52:55"},{"id":151,"name":"Denver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x14ac:dyDescent="0.25">
      <c r="A133" s="37" t="s">
        <v>626</v>
      </c>
      <c r="B133" s="7">
        <v>4011</v>
      </c>
      <c r="C133" s="22" t="s">
        <v>209</v>
      </c>
      <c r="D133" s="22" t="s">
        <v>757</v>
      </c>
      <c r="E133" s="13">
        <v>42707.769050925926</v>
      </c>
      <c r="F133" s="13">
        <v>42707.771261574075</v>
      </c>
      <c r="G133" s="7">
        <v>1</v>
      </c>
      <c r="H133" s="22" t="s">
        <v>758</v>
      </c>
      <c r="I133" s="13">
        <v>42707.797766203701</v>
      </c>
      <c r="J133" s="7">
        <v>0</v>
      </c>
      <c r="K133" s="109" t="str">
        <f t="shared" si="27"/>
        <v>4011/4012</v>
      </c>
      <c r="L133" s="22" t="str">
        <f>VLOOKUP(A133,'Trips&amp;Operators'!$C$1:$G$99999,5,FALSE)</f>
        <v>STAMBAUGH JAMES</v>
      </c>
      <c r="M133" s="6">
        <f t="shared" si="28"/>
        <v>2.6504629626288079E-2</v>
      </c>
      <c r="N133" s="7">
        <f t="shared" si="47"/>
        <v>38.166666661854833</v>
      </c>
      <c r="O133" s="7"/>
      <c r="P133" s="7"/>
      <c r="Q133" s="23"/>
      <c r="R133" s="23"/>
      <c r="S133" s="35">
        <f t="shared" si="45"/>
        <v>1</v>
      </c>
      <c r="T133" s="50" t="str">
        <f t="shared" si="29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17:27:26-700',mode:absolute,to:'2016-12-03 20:08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3" s="52" t="str">
        <f t="shared" si="31"/>
        <v>N</v>
      </c>
      <c r="X133" s="177">
        <f t="shared" si="43"/>
        <v>1</v>
      </c>
      <c r="Y133" s="67">
        <f t="shared" si="32"/>
        <v>6.1699999999999998E-2</v>
      </c>
      <c r="Z133" s="67">
        <f t="shared" si="46"/>
        <v>23.339300000000001</v>
      </c>
      <c r="AA133" s="67">
        <f t="shared" si="33"/>
        <v>23.277600000000003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4"/>
        <v>0219-03</v>
      </c>
      <c r="AE133" s="91" t="str">
        <f t="shared" si="35"/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AF133" s="88" t="str">
        <f t="shared" si="36"/>
        <v>"C:\Program Files (x86)\AstroGrep\AstroGrep.exe" /spath="%USERPROFILE%\AppData\Local\Temp\OnboardLogs" /stypes="app*4011*20161204*" /stext=" 02:.+((SYSTEM_STATE.+slice.+state.+changed )|(ment ac)|(multiple cpu faults)|(system.+state.+changed )|(\[timeout)|(PRM\|1\|D)|(kpr)|(kdp)|(\|lc)|(penalty))" /e /r /s</v>
      </c>
      <c r="AG133" s="1" t="str">
        <f t="shared" si="37"/>
        <v>EC</v>
      </c>
      <c r="AH133" s="92" t="str">
        <f t="shared" si="38"/>
        <v>"%USERPROFILE%\Documents\GitHub\eaglep3\Utilities\RefineRTDCRunTimes.py" --tripid 219-03 --locoid 4011 --swversion DE.1.0.8.0 --startMP 204:617 --initTime 2016-12-03T18:27:26 --startdatetime 2016-12-03T18:30:37 --delay 1 --endMP 204:233393 --enddatetime 2016-12-03T19:08:47 --enforcementcount 0 &gt;&gt;C:\Users\stu\Documents\GitHub\eaglep3-reporting\EC\2016-12-03-refined-times.txt</v>
      </c>
      <c r="AI133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{"issue":{"subject":"","project_id":79,"tracker_id":40,"status_id":1,"priority_id":2,"assigned_to_id":23,"start_date":"2016-12-03","description":"","custom_fields":[{"id":1,"name":"Subdivision","value":"EC"},{"id":4,"name":"Milepost","value":"23.3393"},{"id":17,"name":"Train ID","value":"219-03"},{"id":16,"name":"Locomotive ID","value":"4011"},{"id":130,"name":"Impact","value":""},{"id":150,"name":"Time of Event (Mountain Time)","value":"19:08:47"},{"id":151,"name":"Denver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x14ac:dyDescent="0.25">
      <c r="A134" s="37" t="s">
        <v>633</v>
      </c>
      <c r="B134" s="7">
        <v>4039</v>
      </c>
      <c r="C134" s="22" t="s">
        <v>209</v>
      </c>
      <c r="D134" s="22" t="s">
        <v>759</v>
      </c>
      <c r="E134" s="13">
        <v>42707.806712962964</v>
      </c>
      <c r="F134" s="13">
        <v>42707.810034722221</v>
      </c>
      <c r="G134" s="7">
        <v>2</v>
      </c>
      <c r="H134" s="22" t="s">
        <v>704</v>
      </c>
      <c r="I134" s="13">
        <v>42707.838750000003</v>
      </c>
      <c r="J134" s="7">
        <v>0</v>
      </c>
      <c r="K134" s="109" t="str">
        <f t="shared" si="27"/>
        <v>4039/4040</v>
      </c>
      <c r="L134" s="22" t="str">
        <f>VLOOKUP(A134,'Trips&amp;Operators'!$C$1:$G$99999,5,FALSE)</f>
        <v>STAMBAUGH JAMES</v>
      </c>
      <c r="M134" s="6">
        <f t="shared" si="28"/>
        <v>2.8715277781884652E-2</v>
      </c>
      <c r="N134" s="7">
        <f t="shared" si="47"/>
        <v>41.350000005913898</v>
      </c>
      <c r="O134" s="7"/>
      <c r="P134" s="7"/>
      <c r="Q134" s="23"/>
      <c r="R134" s="23"/>
      <c r="S134" s="35">
        <f t="shared" si="45"/>
        <v>1</v>
      </c>
      <c r="T134" s="50" t="str">
        <f t="shared" si="29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18:21:40-700',mode:absolute,to:'2016-12-03 21:07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34" s="52" t="str">
        <f t="shared" si="31"/>
        <v>N</v>
      </c>
      <c r="X134" s="177">
        <f t="shared" ref="X134:X140" si="48">VALUE(LEFT(AD134,4))-VALUE(LEFT(AD133,4))</f>
        <v>1</v>
      </c>
      <c r="Y134" s="67">
        <f t="shared" si="32"/>
        <v>23.275200000000002</v>
      </c>
      <c r="Z134" s="67">
        <f t="shared" si="46"/>
        <v>1.3599999999999999E-2</v>
      </c>
      <c r="AA134" s="67">
        <f t="shared" si="33"/>
        <v>23.261600000000001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4"/>
        <v>0220-03</v>
      </c>
      <c r="AE134" s="91" t="str">
        <f t="shared" si="35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134" s="88" t="str">
        <f t="shared" si="36"/>
        <v>"C:\Program Files (x86)\AstroGrep\AstroGrep.exe" /spath="%USERPROFILE%\AppData\Local\Temp\OnboardLogs" /stypes="app*4039*20161204*" /stext=" 03:.+((SYSTEM_STATE.+slice.+state.+changed )|(ment ac)|(multiple cpu faults)|(system.+state.+changed )|(\[timeout)|(PRM\|1\|D)|(kpr)|(kdp)|(\|lc)|(penalty))" /e /r /s</v>
      </c>
      <c r="AG134" s="1" t="str">
        <f t="shared" si="37"/>
        <v>EC</v>
      </c>
      <c r="AH134" s="92" t="str">
        <f t="shared" si="38"/>
        <v>"%USERPROFILE%\Documents\GitHub\eaglep3\Utilities\RefineRTDCRunTimes.py" --tripid 220-03 --locoid 4039 --swversion DE.1.0.8.0 --startMP 204:232752 --initTime 2016-12-03T19:21:40 --startdatetime 2016-12-03T19:26:27 --delay 2 --endMP 204:136 --enddatetime 2016-12-03T20:07:48 --enforcementcount 0 &gt;&gt;C:\Users\stu\Documents\GitHub\eaglep3-reporting\EC\2016-12-03-refined-times.txt</v>
      </c>
      <c r="AI134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{"issue":{"subject":"","project_id":79,"tracker_id":40,"status_id":1,"priority_id":2,"assigned_to_id":23,"start_date":"2016-12-03","description":"","custom_fields":[{"id":1,"name":"Subdivision","value":"EC"},{"id":4,"name":"Milepost","value":"0.0136"},{"id":17,"name":"Train ID","value":"220-03"},{"id":16,"name":"Locomotive ID","value":"4039"},{"id":130,"name":"Impact","value":""},{"id":150,"name":"Time of Event (Mountain Time)","value":"20:07:48"},{"id":151,"name":"Denver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</row>
    <row r="135" spans="1:91" x14ac:dyDescent="0.25">
      <c r="A135" s="37" t="s">
        <v>630</v>
      </c>
      <c r="B135" s="7">
        <v>4016</v>
      </c>
      <c r="C135" s="22" t="s">
        <v>209</v>
      </c>
      <c r="D135" s="22" t="s">
        <v>760</v>
      </c>
      <c r="E135" s="13">
        <v>42707.793298611112</v>
      </c>
      <c r="F135" s="13">
        <v>42707.794305555559</v>
      </c>
      <c r="G135" s="7">
        <v>1</v>
      </c>
      <c r="H135" s="22" t="s">
        <v>761</v>
      </c>
      <c r="I135" s="13">
        <v>42707.818136574075</v>
      </c>
      <c r="J135" s="7">
        <v>0</v>
      </c>
      <c r="K135" s="109" t="str">
        <f t="shared" si="27"/>
        <v>4015/4016</v>
      </c>
      <c r="L135" s="22" t="str">
        <f>VLOOKUP(A135,'Trips&amp;Operators'!$C$1:$G$99999,5,FALSE)</f>
        <v>LEVIN SCOTT</v>
      </c>
      <c r="M135" s="6">
        <f t="shared" si="28"/>
        <v>2.3831018515920732E-2</v>
      </c>
      <c r="N135" s="7">
        <f t="shared" si="47"/>
        <v>34.316666662925854</v>
      </c>
      <c r="O135" s="7"/>
      <c r="P135" s="7"/>
      <c r="Q135" s="23"/>
      <c r="R135" s="23"/>
      <c r="S135" s="35">
        <f t="shared" si="45"/>
        <v>1</v>
      </c>
      <c r="T135" s="50" t="str">
        <f t="shared" si="29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18:02:21-700',mode:absolute,to:'2016-12-03 20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5" s="52" t="str">
        <f t="shared" si="31"/>
        <v>N</v>
      </c>
      <c r="X135" s="177">
        <f t="shared" si="48"/>
        <v>1</v>
      </c>
      <c r="Y135" s="67">
        <f t="shared" si="32"/>
        <v>7.2599999999999998E-2</v>
      </c>
      <c r="Z135" s="67">
        <f t="shared" si="46"/>
        <v>23.336400000000001</v>
      </c>
      <c r="AA135" s="67">
        <f t="shared" si="33"/>
        <v>23.2638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4"/>
        <v>0221-03</v>
      </c>
      <c r="AE135" s="91" t="str">
        <f t="shared" si="35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135" s="88" t="str">
        <f t="shared" si="36"/>
        <v>"C:\Program Files (x86)\AstroGrep\AstroGrep.exe" /spath="%USERPROFILE%\AppData\Local\Temp\OnboardLogs" /stypes="app*4016*20161204*" /stext=" 02:.+((SYSTEM_STATE.+slice.+state.+changed )|(ment ac)|(multiple cpu faults)|(system.+state.+changed )|(\[timeout)|(PRM\|1\|D)|(kpr)|(kdp)|(\|lc)|(penalty))" /e /r /s</v>
      </c>
      <c r="AG135" s="1" t="str">
        <f t="shared" si="37"/>
        <v>EC</v>
      </c>
      <c r="AH135" s="92" t="str">
        <f t="shared" si="38"/>
        <v>"%USERPROFILE%\Documents\GitHub\eaglep3\Utilities\RefineRTDCRunTimes.py" --tripid 221-03 --locoid 4016 --swversion DE.1.0.8.0 --startMP 204:726 --initTime 2016-12-03T19:02:21 --startdatetime 2016-12-03T19:03:48 --delay 1 --endMP 204:233364 --enddatetime 2016-12-03T19:38:07 --enforcementcount 0 &gt;&gt;C:\Users\stu\Documents\GitHub\eaglep3-reporting\EC\2016-12-03-refined-times.txt</v>
      </c>
      <c r="AI135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{"issue":{"subject":"","project_id":79,"tracker_id":40,"status_id":1,"priority_id":2,"assigned_to_id":23,"start_date":"2016-12-03","description":"","custom_fields":[{"id":1,"name":"Subdivision","value":"EC"},{"id":4,"name":"Milepost","value":"23.3364"},{"id":17,"name":"Train ID","value":"221-03"},{"id":16,"name":"Locomotive ID","value":"4016"},{"id":130,"name":"Impact","value":""},{"id":150,"name":"Time of Event (Mountain Time)","value":"19:38:07"},{"id":151,"name":"Denver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</row>
    <row r="136" spans="1:91" s="21" customFormat="1" x14ac:dyDescent="0.25">
      <c r="A136" s="37" t="s">
        <v>636</v>
      </c>
      <c r="B136" s="7">
        <v>4001</v>
      </c>
      <c r="C136" s="22" t="s">
        <v>209</v>
      </c>
      <c r="D136" s="22" t="s">
        <v>762</v>
      </c>
      <c r="E136" s="13">
        <v>42707.827094907407</v>
      </c>
      <c r="F136" s="13">
        <v>42707.830879629626</v>
      </c>
      <c r="G136" s="7">
        <v>1</v>
      </c>
      <c r="H136" s="22" t="s">
        <v>763</v>
      </c>
      <c r="I136" s="13">
        <v>42707.859606481485</v>
      </c>
      <c r="J136" s="7">
        <v>0</v>
      </c>
      <c r="K136" s="109" t="str">
        <f t="shared" si="27"/>
        <v>4001/4002</v>
      </c>
      <c r="L136" s="22" t="str">
        <f>VLOOKUP(A136,'Trips&amp;Operators'!$C$1:$G$99999,5,FALSE)</f>
        <v>LEVIN SCOTT</v>
      </c>
      <c r="M136" s="6">
        <f t="shared" si="28"/>
        <v>2.8726851858664304E-2</v>
      </c>
      <c r="N136" s="7">
        <f t="shared" si="47"/>
        <v>41.366666676476598</v>
      </c>
      <c r="O136" s="7"/>
      <c r="P136" s="7"/>
      <c r="Q136" s="23"/>
      <c r="R136" s="23"/>
      <c r="S136" s="35">
        <f t="shared" si="45"/>
        <v>1</v>
      </c>
      <c r="T136" s="50" t="str">
        <f t="shared" si="29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18:51:01-700',mode:absolute,to:'2016-12-03 21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6" s="52" t="str">
        <f t="shared" si="31"/>
        <v>N</v>
      </c>
      <c r="X136" s="177">
        <f t="shared" si="48"/>
        <v>1</v>
      </c>
      <c r="Y136" s="67">
        <f t="shared" si="32"/>
        <v>23.270199999999999</v>
      </c>
      <c r="Z136" s="67">
        <f t="shared" si="46"/>
        <v>1.21E-2</v>
      </c>
      <c r="AA136" s="67">
        <f t="shared" si="33"/>
        <v>23.258099999999999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4"/>
        <v>0222-03</v>
      </c>
      <c r="AE136" s="91" t="str">
        <f t="shared" si="35"/>
        <v>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 &amp; aws s3 cp s3://rtdc.mdm.uploadarchive.raw/RTDC4001/ "%USERPROFILE%\AppData\Local\Temp\OnboardLogs"\RTDC4001\2016-12-04 --exclude "*" --recursive --include "*20161204*" &amp; "%USERPROFILE%\Documents\GitHub\mrs-test-scripts\Headless Mode &amp; Sideloading\WalkAndUnGZ.bat" "%USERPROFILE%\AppData\Local\Temp\OnboardLogs"\RTDC4001\2016-12-04</v>
      </c>
      <c r="AF136" s="88" t="str">
        <f t="shared" si="36"/>
        <v>"C:\Program Files (x86)\AstroGrep\AstroGrep.exe" /spath="%USERPROFILE%\AppData\Local\Temp\OnboardLogs" /stypes="app*4001*20161204*" /stext=" 03:.+((SYSTEM_STATE.+slice.+state.+changed )|(ment ac)|(multiple cpu faults)|(system.+state.+changed )|(\[timeout)|(PRM\|1\|D)|(kpr)|(kdp)|(\|lc)|(penalty))" /e /r /s</v>
      </c>
      <c r="AG136" s="1" t="str">
        <f t="shared" si="37"/>
        <v>EC</v>
      </c>
      <c r="AH136" s="92" t="str">
        <f t="shared" si="38"/>
        <v>"%USERPROFILE%\Documents\GitHub\eaglep3\Utilities\RefineRTDCRunTimes.py" --tripid 222-03 --locoid 4001 --swversion DE.1.0.8.0 --startMP 204:232702 --initTime 2016-12-03T19:51:01 --startdatetime 2016-12-03T19:56:28 --delay 1 --endMP 204:121 --enddatetime 2016-12-03T20:37:50 --enforcementcount 0 &gt;&gt;C:\Users\stu\Documents\GitHub\eaglep3-reporting\EC\2016-12-03-refined-times.txt</v>
      </c>
      <c r="AI136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{"issue":{"subject":"","project_id":79,"tracker_id":40,"status_id":1,"priority_id":2,"assigned_to_id":23,"start_date":"2016-12-03","description":"","custom_fields":[{"id":1,"name":"Subdivision","value":"EC"},{"id":4,"name":"Milepost","value":"0.0121"},{"id":17,"name":"Train ID","value":"222-03"},{"id":16,"name":"Locomotive ID","value":"4001"},{"id":130,"name":"Impact","value":""},{"id":150,"name":"Time of Event (Mountain Time)","value":"20:37:50"},{"id":151,"name":"Denver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634</v>
      </c>
      <c r="B137" s="7">
        <v>4009</v>
      </c>
      <c r="C137" s="22" t="s">
        <v>209</v>
      </c>
      <c r="D137" s="22" t="s">
        <v>764</v>
      </c>
      <c r="E137" s="13">
        <v>42707.807719907411</v>
      </c>
      <c r="F137" s="13">
        <v>42707.812939814816</v>
      </c>
      <c r="G137" s="7">
        <v>4</v>
      </c>
      <c r="H137" s="22" t="s">
        <v>765</v>
      </c>
      <c r="I137" s="13">
        <v>42707.840636574074</v>
      </c>
      <c r="J137" s="7">
        <v>0</v>
      </c>
      <c r="K137" s="109" t="str">
        <f t="shared" si="27"/>
        <v>4009/4010</v>
      </c>
      <c r="L137" s="22" t="str">
        <f>VLOOKUP(A137,'Trips&amp;Operators'!$C$1:$G$99999,5,FALSE)</f>
        <v>BADERTSCHER DIANE</v>
      </c>
      <c r="M137" s="6">
        <f t="shared" si="28"/>
        <v>2.7696759258105885E-2</v>
      </c>
      <c r="N137" s="7">
        <f t="shared" si="47"/>
        <v>39.883333331672475</v>
      </c>
      <c r="O137" s="7"/>
      <c r="P137" s="7"/>
      <c r="Q137" s="23"/>
      <c r="R137" s="23"/>
      <c r="S137" s="35">
        <f t="shared" si="45"/>
        <v>1</v>
      </c>
      <c r="T137" s="50" t="str">
        <f t="shared" si="29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18:23:07-700',mode:absolute,to:'2016-12-03 21:10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7" s="52" t="str">
        <f t="shared" si="31"/>
        <v>N</v>
      </c>
      <c r="X137" s="177">
        <f t="shared" si="48"/>
        <v>1</v>
      </c>
      <c r="Y137" s="67">
        <f t="shared" si="32"/>
        <v>4.8800000000000003E-2</v>
      </c>
      <c r="Z137" s="67">
        <f t="shared" si="46"/>
        <v>23.326799999999999</v>
      </c>
      <c r="AA137" s="67">
        <f t="shared" si="33"/>
        <v>23.277999999999999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4"/>
        <v>0223-03</v>
      </c>
      <c r="AE137" s="91" t="str">
        <f t="shared" si="35"/>
        <v>aws s3 cp s3://rtdc.mdm.uploadarchive.raw/RTDC4009/ "%USERPROFILE%\AppData\Local\Temp\OnboardLogs"\RTDC4009\2016-12-03 --exclude "*" --recursive --include "*20161203*" &amp; "%USERPROFILE%\Documents\GitHub\mrs-test-scripts\Headless Mode &amp; Sideloading\WalkAndUnGZ.bat" "%USERPROFILE%\AppData\Local\Temp\OnboardLogs"\RTDC4009\2016-12-03 &amp; aws s3 cp s3://rtdc.mdm.uploadarchive.raw/RTDC4009/ "%USERPROFILE%\AppData\Local\Temp\OnboardLogs"\RTDC4009\2016-12-04 --exclude "*" --recursive --include "*20161204*" &amp; "%USERPROFILE%\Documents\GitHub\mrs-test-scripts\Headless Mode &amp; Sideloading\WalkAndUnGZ.bat" "%USERPROFILE%\AppData\Local\Temp\OnboardLogs"\RTDC4009\2016-12-04</v>
      </c>
      <c r="AF137" s="88" t="str">
        <f t="shared" si="36"/>
        <v>"C:\Program Files (x86)\AstroGrep\AstroGrep.exe" /spath="%USERPROFILE%\AppData\Local\Temp\OnboardLogs" /stypes="app*4009*20161204*" /stext=" 03:.+((SYSTEM_STATE.+slice.+state.+changed )|(ment ac)|(multiple cpu faults)|(system.+state.+changed )|(\[timeout)|(PRM\|1\|D)|(kpr)|(kdp)|(\|lc)|(penalty))" /e /r /s</v>
      </c>
      <c r="AG137" s="1" t="str">
        <f t="shared" si="37"/>
        <v>EC</v>
      </c>
      <c r="AH137" s="92" t="str">
        <f t="shared" si="38"/>
        <v>"%USERPROFILE%\Documents\GitHub\eaglep3\Utilities\RefineRTDCRunTimes.py" --tripid 223-03 --locoid 4009 --swversion DE.1.0.8.0 --startMP 204:488 --initTime 2016-12-03T19:23:07 --startdatetime 2016-12-03T19:30:38 --delay 4 --endMP 204:233268 --enddatetime 2016-12-03T20:10:31 --enforcementcount 0 &gt;&gt;C:\Users\stu\Documents\GitHub\eaglep3-reporting\EC\2016-12-03-refined-times.txt</v>
      </c>
      <c r="AI137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{"issue":{"subject":"","project_id":79,"tracker_id":40,"status_id":1,"priority_id":2,"assigned_to_id":23,"start_date":"2016-12-03","description":"","custom_fields":[{"id":1,"name":"Subdivision","value":"EC"},{"id":4,"name":"Milepost","value":"23.3268"},{"id":17,"name":"Train ID","value":"223-03"},{"id":16,"name":"Locomotive ID","value":"4009"},{"id":130,"name":"Impact","value":""},{"id":150,"name":"Time of Event (Mountain Time)","value":"20:10:31"},{"id":151,"name":"Denver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639</v>
      </c>
      <c r="B138" s="7">
        <v>4010</v>
      </c>
      <c r="C138" s="22" t="s">
        <v>209</v>
      </c>
      <c r="D138" s="22" t="s">
        <v>766</v>
      </c>
      <c r="E138" s="13">
        <v>42707.843969907408</v>
      </c>
      <c r="F138" s="13">
        <v>42707.851689814815</v>
      </c>
      <c r="G138" s="7">
        <v>1</v>
      </c>
      <c r="H138" s="22" t="s">
        <v>767</v>
      </c>
      <c r="I138" s="13">
        <v>42707.879259259258</v>
      </c>
      <c r="J138" s="7">
        <v>0</v>
      </c>
      <c r="K138" s="109" t="str">
        <f t="shared" si="27"/>
        <v>4009/4010</v>
      </c>
      <c r="L138" s="22" t="str">
        <f>VLOOKUP(A138,'Trips&amp;Operators'!$C$1:$G$99999,5,FALSE)</f>
        <v>BADERTSCHER DIANE</v>
      </c>
      <c r="M138" s="6">
        <f t="shared" si="28"/>
        <v>2.7569444442633539E-2</v>
      </c>
      <c r="N138" s="7">
        <f t="shared" si="47"/>
        <v>39.699999997392297</v>
      </c>
      <c r="O138" s="7"/>
      <c r="P138" s="7"/>
      <c r="Q138" s="23"/>
      <c r="R138" s="23"/>
      <c r="S138" s="35">
        <f t="shared" si="45"/>
        <v>1</v>
      </c>
      <c r="T138" s="50" t="str">
        <f t="shared" si="29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19:15:19-700',mode:absolute,to:'2016-12-03 22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8" s="52" t="str">
        <f t="shared" si="31"/>
        <v>N</v>
      </c>
      <c r="X138" s="177">
        <f t="shared" si="48"/>
        <v>1</v>
      </c>
      <c r="Y138" s="67">
        <f t="shared" si="32"/>
        <v>23.2959</v>
      </c>
      <c r="Z138" s="67">
        <f t="shared" si="46"/>
        <v>9.11E-2</v>
      </c>
      <c r="AA138" s="67">
        <f t="shared" si="33"/>
        <v>23.204799999999999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4"/>
        <v>0224-03</v>
      </c>
      <c r="AE138" s="91" t="str">
        <f t="shared" si="35"/>
        <v>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 &amp; aws s3 cp s3://rtdc.mdm.uploadarchive.raw/RTDC4010/ "%USERPROFILE%\AppData\Local\Temp\OnboardLogs"\RTDC4010\2016-12-04 --exclude "*" --recursive --include "*20161204*" &amp; "%USERPROFILE%\Documents\GitHub\mrs-test-scripts\Headless Mode &amp; Sideloading\WalkAndUnGZ.bat" "%USERPROFILE%\AppData\Local\Temp\OnboardLogs"\RTDC4010\2016-12-04</v>
      </c>
      <c r="AF138" s="88" t="str">
        <f t="shared" si="36"/>
        <v>"C:\Program Files (x86)\AstroGrep\AstroGrep.exe" /spath="%USERPROFILE%\AppData\Local\Temp\OnboardLogs" /stypes="app*4010*20161204*" /stext=" 04:.+((SYSTEM_STATE.+slice.+state.+changed )|(ment ac)|(multiple cpu faults)|(system.+state.+changed )|(\[timeout)|(PRM\|1\|D)|(kpr)|(kdp)|(\|lc)|(penalty))" /e /r /s</v>
      </c>
      <c r="AG138" s="1" t="str">
        <f t="shared" si="37"/>
        <v>EC</v>
      </c>
      <c r="AH138" s="92" t="str">
        <f t="shared" si="38"/>
        <v>"%USERPROFILE%\Documents\GitHub\eaglep3\Utilities\RefineRTDCRunTimes.py" --tripid 224-03 --locoid 4010 --swversion DE.1.0.8.0 --startMP 204:232959 --initTime 2016-12-03T20:15:19 --startdatetime 2016-12-03T20:26:26 --delay 1 --endMP 204:911 --enddatetime 2016-12-03T21:06:08 --enforcementcount 0 &gt;&gt;C:\Users\stu\Documents\GitHub\eaglep3-reporting\EC\2016-12-03-refined-times.txt</v>
      </c>
      <c r="AI138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{"issue":{"subject":"","project_id":79,"tracker_id":40,"status_id":1,"priority_id":2,"assigned_to_id":23,"start_date":"2016-12-03","description":"","custom_fields":[{"id":1,"name":"Subdivision","value":"EC"},{"id":4,"name":"Milepost","value":"0.0911"},{"id":17,"name":"Train ID","value":"224-03"},{"id":16,"name":"Locomotive ID","value":"4010"},{"id":130,"name":"Impact","value":""},{"id":150,"name":"Time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637</v>
      </c>
      <c r="B139" s="7">
        <v>4014</v>
      </c>
      <c r="C139" s="22" t="s">
        <v>209</v>
      </c>
      <c r="D139" s="22" t="s">
        <v>768</v>
      </c>
      <c r="E139" s="13">
        <v>42707.832407407404</v>
      </c>
      <c r="F139" s="13">
        <v>42707.833692129629</v>
      </c>
      <c r="G139" s="7">
        <v>1</v>
      </c>
      <c r="H139" s="22" t="s">
        <v>769</v>
      </c>
      <c r="I139" s="13">
        <v>42707.859224537038</v>
      </c>
      <c r="J139" s="7">
        <v>0</v>
      </c>
      <c r="K139" s="109" t="str">
        <f t="shared" si="27"/>
        <v>4013/4014</v>
      </c>
      <c r="L139" s="22" t="str">
        <f>VLOOKUP(A139,'Trips&amp;Operators'!$C$1:$G$99999,5,FALSE)</f>
        <v>CHANDLER KELVIN</v>
      </c>
      <c r="M139" s="6">
        <f t="shared" si="28"/>
        <v>2.5532407409627922E-2</v>
      </c>
      <c r="N139" s="7">
        <f t="shared" si="47"/>
        <v>36.766666669864208</v>
      </c>
      <c r="O139" s="7"/>
      <c r="P139" s="7"/>
      <c r="Q139" s="23"/>
      <c r="R139" s="23"/>
      <c r="S139" s="35">
        <f t="shared" si="45"/>
        <v>1</v>
      </c>
      <c r="T139" s="50" t="str">
        <f t="shared" si="29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18:58:40-700',mode:absolute,to:'2016-12-03 21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9" s="52" t="str">
        <f t="shared" si="31"/>
        <v>N</v>
      </c>
      <c r="X139" s="177">
        <f t="shared" si="48"/>
        <v>1</v>
      </c>
      <c r="Y139" s="67">
        <f t="shared" si="32"/>
        <v>6.9500000000000006E-2</v>
      </c>
      <c r="Z139" s="67">
        <f t="shared" si="46"/>
        <v>23.339500000000001</v>
      </c>
      <c r="AA139" s="67">
        <f t="shared" si="33"/>
        <v>23.27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4"/>
        <v>0225-03</v>
      </c>
      <c r="AE139" s="91" t="str">
        <f t="shared" si="35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139" s="88" t="str">
        <f t="shared" si="36"/>
        <v>"C:\Program Files (x86)\AstroGrep\AstroGrep.exe" /spath="%USERPROFILE%\AppData\Local\Temp\OnboardLogs" /stypes="app*4014*20161204*" /stext=" 03:.+((SYSTEM_STATE.+slice.+state.+changed )|(ment ac)|(multiple cpu faults)|(system.+state.+changed )|(\[timeout)|(PRM\|1\|D)|(kpr)|(kdp)|(\|lc)|(penalty))" /e /r /s</v>
      </c>
      <c r="AG139" s="1" t="str">
        <f t="shared" si="37"/>
        <v>EC</v>
      </c>
      <c r="AH139" s="92" t="str">
        <f t="shared" si="38"/>
        <v>"%USERPROFILE%\Documents\GitHub\eaglep3\Utilities\RefineRTDCRunTimes.py" --tripid 225-03 --locoid 4014 --swversion DE.1.0.8.0 --startMP 204:695 --initTime 2016-12-03T19:58:40 --startdatetime 2016-12-03T20:00:31 --delay 1 --endMP 204:233395 --enddatetime 2016-12-03T20:37:17 --enforcementcount 0 &gt;&gt;C:\Users\stu\Documents\GitHub\eaglep3-reporting\EC\2016-12-03-refined-times.txt</v>
      </c>
      <c r="AI139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{"issue":{"subject":"","project_id":79,"tracker_id":40,"status_id":1,"priority_id":2,"assigned_to_id":23,"start_date":"2016-12-03","description":"","custom_fields":[{"id":1,"name":"Subdivision","value":"EC"},{"id":4,"name":"Milepost","value":"23.3395"},{"id":17,"name":"Train ID","value":"225-03"},{"id":16,"name":"Locomotive ID","value":"4014"},{"id":130,"name":"Impact","value":""},{"id":150,"name":"Time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459</v>
      </c>
      <c r="B140" s="7">
        <v>4019</v>
      </c>
      <c r="C140" s="22" t="s">
        <v>209</v>
      </c>
      <c r="D140" s="22" t="s">
        <v>770</v>
      </c>
      <c r="E140" s="13">
        <v>42707.871608796297</v>
      </c>
      <c r="F140" s="13">
        <v>42707.872824074075</v>
      </c>
      <c r="G140" s="7">
        <v>1</v>
      </c>
      <c r="H140" s="22" t="s">
        <v>771</v>
      </c>
      <c r="I140" s="13">
        <v>42707.899976851855</v>
      </c>
      <c r="J140" s="7">
        <v>0</v>
      </c>
      <c r="K140" s="109" t="str">
        <f t="shared" si="27"/>
        <v>4019/4020</v>
      </c>
      <c r="L140" s="22" t="str">
        <f>VLOOKUP(A140,'Trips&amp;Operators'!$C$1:$G$99999,5,FALSE)</f>
        <v>CHANDLER KELVIN</v>
      </c>
      <c r="M140" s="6">
        <f t="shared" si="28"/>
        <v>2.715277778042946E-2</v>
      </c>
      <c r="N140" s="7">
        <f t="shared" si="47"/>
        <v>39.100000003818423</v>
      </c>
      <c r="O140" s="7"/>
      <c r="P140" s="7"/>
      <c r="Q140" s="23"/>
      <c r="R140" s="23"/>
      <c r="S140" s="35">
        <f t="shared" si="45"/>
        <v>1</v>
      </c>
      <c r="T140" s="50" t="str">
        <f t="shared" si="29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0"/>
        <v>https://search-rtdc-monitor-bjffxe2xuh6vdkpspy63sjmuny.us-east-1.es.amazonaws.com/_plugin/kibana/#/discover/Steve-Slow-Train-Analysis-(2080s-and-2083s)?_g=(refreshInterval:(display:Off,section:0,value:0),time:(from:'2016-12-03 19:55:07-700',mode:absolute,to:'2016-12-03 22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0" s="52" t="str">
        <f t="shared" si="31"/>
        <v>N</v>
      </c>
      <c r="X140" s="177">
        <f t="shared" si="48"/>
        <v>1</v>
      </c>
      <c r="Y140" s="67">
        <f t="shared" si="32"/>
        <v>23.2775</v>
      </c>
      <c r="Z140" s="67">
        <f t="shared" si="46"/>
        <v>1.18E-2</v>
      </c>
      <c r="AA140" s="67">
        <f t="shared" si="33"/>
        <v>23.265699999999999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4"/>
        <v>0226-03</v>
      </c>
      <c r="AE140" s="91" t="str">
        <f t="shared" si="35"/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AF140" s="88" t="str">
        <f t="shared" si="36"/>
        <v>"C:\Program Files (x86)\AstroGrep\AstroGrep.exe" /spath="%USERPROFILE%\AppData\Local\Temp\OnboardLogs" /stypes="app*4019*20161204*" /stext=" 04:.+((SYSTEM_STATE.+slice.+state.+changed )|(ment ac)|(multiple cpu faults)|(system.+state.+changed )|(\[timeout)|(PRM\|1\|D)|(kpr)|(kdp)|(\|lc)|(penalty))" /e /r /s</v>
      </c>
      <c r="AG140" s="1" t="str">
        <f t="shared" si="37"/>
        <v>EC</v>
      </c>
      <c r="AH140" s="92" t="str">
        <f t="shared" si="38"/>
        <v>"%USERPROFILE%\Documents\GitHub\eaglep3\Utilities\RefineRTDCRunTimes.py" --tripid 226-03 --locoid 4019 --swversion DE.1.0.8.0 --startMP 204:232775 --initTime 2016-12-03T20:55:07 --startdatetime 2016-12-03T20:56:52 --delay 1 --endMP 204:118 --enddatetime 2016-12-03T21:35:58 --enforcementcount 0 &gt;&gt;C:\Users\stu\Documents\GitHub\eaglep3-reporting\EC\2016-12-03-refined-times.txt</v>
      </c>
      <c r="AI140" s="119" t="str">
        <f t="shared" si="39"/>
        <v>echo {"issue":{"subject":"","project_id":79,"tracker_id":40,"status_id":1,"priority_id":2,"assigned_to_id":23,"start_date":"2016-12-03","description":"","custom_fields":[{"id":1,"name":"Subdivision","value":"EC"},{"id":4,"name":"Milepost","value":"0.0118"},{"id":17,"name":"Train ID","value":"226-03"},{"id":16,"name":"Locomotive ID","value":"4019"},{"id":130,"name":"Impact","value":""},{"id":150,"name":"Time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638</v>
      </c>
      <c r="B141" s="7">
        <v>4011</v>
      </c>
      <c r="C141" s="22" t="s">
        <v>209</v>
      </c>
      <c r="D141" s="22" t="s">
        <v>772</v>
      </c>
      <c r="E141" s="13">
        <v>42707.858287037037</v>
      </c>
      <c r="F141" s="13">
        <v>42707.859189814815</v>
      </c>
      <c r="G141" s="7">
        <v>1</v>
      </c>
      <c r="H141" s="22" t="s">
        <v>242</v>
      </c>
      <c r="I141" s="13">
        <v>42707.879942129628</v>
      </c>
      <c r="J141" s="7">
        <v>0</v>
      </c>
      <c r="K141" s="109" t="str">
        <f t="shared" ref="K141:K204" si="49">IF(ISEVEN(B141),(B141-1)&amp;"/"&amp;B141,B141&amp;"/"&amp;(B141+1))</f>
        <v>4011/4012</v>
      </c>
      <c r="L141" s="22" t="str">
        <f>VLOOKUP(A141,'Trips&amp;Operators'!$C$1:$G$99999,5,FALSE)</f>
        <v>STAMBAUGH JAMES</v>
      </c>
      <c r="M141" s="6">
        <f t="shared" ref="M141:M204" si="50">I141-F141</f>
        <v>2.0752314812853001E-2</v>
      </c>
      <c r="N141" s="7"/>
      <c r="O141" s="7"/>
      <c r="P141" s="7">
        <f>24*60*SUM($M141:$M141)</f>
        <v>29.883333330508322</v>
      </c>
      <c r="Q141" s="23"/>
      <c r="R141" s="23" t="s">
        <v>841</v>
      </c>
      <c r="S141" s="35">
        <f t="shared" si="45"/>
        <v>1</v>
      </c>
      <c r="T141" s="50" t="str">
        <f t="shared" ref="T141:T204" si="51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2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https://search-rtdc-monitor-bjffxe2xuh6vdkpspy63sjmuny.us-east-1.es.amazonaws.com/_plugin/kibana/#/discover/Steve-Slow-Train-Analysis-(2080s-and-2083s)?_g=(refreshInterval:(display:Off,section:0,value:0),time:(from:'2016-12-03 19:35:56-700',mode:absolute,to:'2016-12-03 22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1" s="52" t="str">
        <f t="shared" ref="W141:W204" si="53">IF(AA141&lt;IF(AG141="EC",23,5.65),"Y","N")</f>
        <v>Y</v>
      </c>
      <c r="X141" s="177">
        <f t="shared" ref="X141:X143" si="54">VALUE(LEFT(AD141,4))-VALUE(LEFT(AD140,4))</f>
        <v>1</v>
      </c>
      <c r="Y141" s="67">
        <f t="shared" ref="Y141:Y204" si="55">RIGHT(D141,LEN(D141)-4)/10000</f>
        <v>1.9201999999999999</v>
      </c>
      <c r="Z141" s="67">
        <f t="shared" si="46"/>
        <v>23.331399999999999</v>
      </c>
      <c r="AA141" s="67">
        <f t="shared" ref="AA141:AA204" si="56">ABS(Z141-Y141)</f>
        <v>21.411199999999997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4" si="57">IF(LEN(A141)=6,"0"&amp;A141,A141)</f>
        <v>0227-03</v>
      </c>
      <c r="AE141" s="91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AF141" s="88" t="str">
        <f t="shared" ref="AF141:AF204" si="5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/stypes="app*4011*20161204*" /stext=" 04:.+((SYSTEM_STATE.+slice.+state.+changed )|(ment ac)|(multiple cpu faults)|(system.+state.+changed )|(\[timeout)|(PRM\|1\|D)|(kpr)|(kdp)|(\|lc)|(penalty))" /e /r /s</v>
      </c>
      <c r="AG141" s="1" t="str">
        <f t="shared" ref="AG141:AG204" si="60">IFERROR(IF(VALUE(LEFT(AD141,2))&lt;=2,"EC",IF(OR(VALUE(LEFT(AD141,2))=8,VALUE(LEFT(AD141,2))=18),"NW","Other")),"Other")</f>
        <v>EC</v>
      </c>
      <c r="AH141" s="92" t="str">
        <f t="shared" ref="AH141:AH201" si="6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227-03 --locoid 4011 --swversion DE.1.0.8.0 --startMP 204:19202 --initTime 2016-12-03T20:35:56 --startdatetime 2016-12-03T20:37:14 --delay 1 --endMP 204:233314 --enddatetime 2016-12-03T21:07:07 --enforcementcount 0 &gt;&gt;C:\Users\stu\Documents\GitHub\eaglep3-reporting\EC\2016-12-03-refined-times.txt</v>
      </c>
      <c r="AI141" s="119" t="str">
        <f t="shared" ref="AI141:AI201" si="6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failure","project_id":79,"tracker_id":40,"status_id":1,"priority_id":2,"assigned_to_id":23,"start_date":"2016-12-03","description":"","custom_fields":[{"id":1,"name":"Subdivision","value":"EC"},{"id":4,"name":"Milepost","value":"23.3314"},{"id":17,"name":"Train ID","value":"227-03"},{"id":16,"name":"Locomotive ID","value":"4011"},{"id":130,"name":"Impact","value":""},{"id":150,"name":"Time of Event (Mountain Time)","value":"21:07:07"},{"id":151,"name":"Denver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461</v>
      </c>
      <c r="B142" s="7">
        <v>4039</v>
      </c>
      <c r="C142" s="22" t="s">
        <v>209</v>
      </c>
      <c r="D142" s="22" t="s">
        <v>773</v>
      </c>
      <c r="E142" s="13">
        <v>42707.890567129631</v>
      </c>
      <c r="F142" s="13">
        <v>42707.893541666665</v>
      </c>
      <c r="G142" s="7">
        <v>1</v>
      </c>
      <c r="H142" s="22" t="s">
        <v>413</v>
      </c>
      <c r="I142" s="13">
        <v>42707.91914351852</v>
      </c>
      <c r="J142" s="7">
        <v>0</v>
      </c>
      <c r="K142" s="109" t="str">
        <f t="shared" si="49"/>
        <v>4039/4040</v>
      </c>
      <c r="L142" s="22" t="str">
        <f>VLOOKUP(A142,'Trips&amp;Operators'!$C$1:$G$99999,5,FALSE)</f>
        <v>STAMBAUGH JAMES</v>
      </c>
      <c r="M142" s="6">
        <f t="shared" si="50"/>
        <v>2.5601851855753921E-2</v>
      </c>
      <c r="N142" s="7">
        <f t="shared" ref="N142:N173" si="63">24*60*SUM($M142:$M142)</f>
        <v>36.866666672285646</v>
      </c>
      <c r="O142" s="7"/>
      <c r="P142" s="7"/>
      <c r="Q142" s="23"/>
      <c r="R142" s="23"/>
      <c r="S142" s="35">
        <f t="shared" ref="S142:S173" si="64">SUM(U142:U142)/IF(AG142="EC",12,1)</f>
        <v>1</v>
      </c>
      <c r="T142" s="50" t="str">
        <f t="shared" si="51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20:22:25-700',mode:absolute,to:'2016-12-03 23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42" s="52" t="str">
        <f t="shared" si="53"/>
        <v>N</v>
      </c>
      <c r="X142" s="177">
        <f t="shared" si="54"/>
        <v>1</v>
      </c>
      <c r="Y142" s="67">
        <f t="shared" si="55"/>
        <v>23.2652</v>
      </c>
      <c r="Z142" s="67">
        <f t="shared" si="46"/>
        <v>1.14E-2</v>
      </c>
      <c r="AA142" s="67">
        <f t="shared" si="56"/>
        <v>23.253800000000002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57"/>
        <v>0228-03</v>
      </c>
      <c r="AE142" s="91" t="str">
        <f t="shared" si="58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142" s="88" t="str">
        <f t="shared" si="59"/>
        <v>"C:\Program Files (x86)\AstroGrep\AstroGrep.exe" /spath="%USERPROFILE%\AppData\Local\Temp\OnboardLogs" /stypes="app*4039*20161204*" /stext=" 05:.+((SYSTEM_STATE.+slice.+state.+changed )|(ment ac)|(multiple cpu faults)|(system.+state.+changed )|(\[timeout)|(PRM\|1\|D)|(kpr)|(kdp)|(\|lc)|(penalty))" /e /r /s</v>
      </c>
      <c r="AG142" s="1" t="str">
        <f t="shared" si="60"/>
        <v>EC</v>
      </c>
      <c r="AH142" s="92" t="str">
        <f t="shared" si="61"/>
        <v>"%USERPROFILE%\Documents\GitHub\eaglep3\Utilities\RefineRTDCRunTimes.py" --tripid 228-03 --locoid 4039 --swversion DE.1.0.8.0 --startMP 204:232652 --initTime 2016-12-03T21:22:25 --startdatetime 2016-12-03T21:26:42 --delay 1 --endMP 204:114 --enddatetime 2016-12-03T22:03:34 --enforcementcount 0 &gt;&gt;C:\Users\stu\Documents\GitHub\eaglep3-reporting\EC\2016-12-03-refined-times.txt</v>
      </c>
      <c r="AI142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{"issue":{"subject":"","project_id":79,"tracker_id":40,"status_id":1,"priority_id":2,"assigned_to_id":23,"start_date":"2016-12-03","description":"","custom_fields":[{"id":1,"name":"Subdivision","value":"EC"},{"id":4,"name":"Milepost","value":"0.0114"},{"id":17,"name":"Train ID","value":"228-03"},{"id":16,"name":"Locomotive ID","value":"4039"},{"id":130,"name":"Impact","value":""},{"id":150,"name":"Time of Event (Mountain Time)","value":"22:03:34"},{"id":151,"name":"Denver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640</v>
      </c>
      <c r="B143" s="7">
        <v>4016</v>
      </c>
      <c r="C143" s="22" t="s">
        <v>209</v>
      </c>
      <c r="D143" s="22" t="s">
        <v>774</v>
      </c>
      <c r="E143" s="13">
        <v>42707.867418981485</v>
      </c>
      <c r="F143" s="13">
        <v>42707.875196759262</v>
      </c>
      <c r="G143" s="7">
        <v>1</v>
      </c>
      <c r="H143" s="22" t="s">
        <v>775</v>
      </c>
      <c r="I143" s="13">
        <v>42707.89943287037</v>
      </c>
      <c r="J143" s="7">
        <v>0</v>
      </c>
      <c r="K143" s="109" t="str">
        <f t="shared" si="49"/>
        <v>4015/4016</v>
      </c>
      <c r="L143" s="22" t="str">
        <f>VLOOKUP(A143,'Trips&amp;Operators'!$C$1:$G$99999,5,FALSE)</f>
        <v>LEVIN SCOTT</v>
      </c>
      <c r="M143" s="6">
        <f t="shared" si="50"/>
        <v>2.4236111108621117E-2</v>
      </c>
      <c r="N143" s="7">
        <f t="shared" si="63"/>
        <v>34.899999996414408</v>
      </c>
      <c r="O143" s="7"/>
      <c r="P143" s="7"/>
      <c r="Q143" s="23"/>
      <c r="R143" s="23"/>
      <c r="S143" s="35">
        <f t="shared" si="64"/>
        <v>1</v>
      </c>
      <c r="T143" s="50" t="str">
        <f t="shared" si="51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19:49:05-700',mode:absolute,to:'2016-12-03 22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3" s="52" t="str">
        <f t="shared" si="53"/>
        <v>N</v>
      </c>
      <c r="X143" s="177">
        <f t="shared" si="54"/>
        <v>1</v>
      </c>
      <c r="Y143" s="67">
        <f t="shared" si="55"/>
        <v>7.5700000000000003E-2</v>
      </c>
      <c r="Z143" s="67">
        <f t="shared" si="46"/>
        <v>23.335100000000001</v>
      </c>
      <c r="AA143" s="67">
        <f t="shared" si="56"/>
        <v>23.259399999999999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57"/>
        <v>0229-03</v>
      </c>
      <c r="AE143" s="91" t="str">
        <f t="shared" si="58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143" s="88" t="str">
        <f t="shared" si="59"/>
        <v>"C:\Program Files (x86)\AstroGrep\AstroGrep.exe" /spath="%USERPROFILE%\AppData\Local\Temp\OnboardLogs" /stypes="app*4016*20161204*" /stext=" 04:.+((SYSTEM_STATE.+slice.+state.+changed )|(ment ac)|(multiple cpu faults)|(system.+state.+changed )|(\[timeout)|(PRM\|1\|D)|(kpr)|(kdp)|(\|lc)|(penalty))" /e /r /s</v>
      </c>
      <c r="AG143" s="1" t="str">
        <f t="shared" si="60"/>
        <v>EC</v>
      </c>
      <c r="AH143" s="92" t="str">
        <f t="shared" si="61"/>
        <v>"%USERPROFILE%\Documents\GitHub\eaglep3\Utilities\RefineRTDCRunTimes.py" --tripid 229-03 --locoid 4016 --swversion DE.1.0.8.0 --startMP 204:757 --initTime 2016-12-03T20:49:05 --startdatetime 2016-12-03T21:00:17 --delay 1 --endMP 204:233351 --enddatetime 2016-12-03T21:35:11 --enforcementcount 0 &gt;&gt;C:\Users\stu\Documents\GitHub\eaglep3-reporting\EC\2016-12-03-refined-times.txt</v>
      </c>
      <c r="AI143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{"issue":{"subject":"","project_id":79,"tracker_id":40,"status_id":1,"priority_id":2,"assigned_to_id":23,"start_date":"2016-12-03","description":"","custom_fields":[{"id":1,"name":"Subdivision","value":"EC"},{"id":4,"name":"Milepost","value":"23.3351"},{"id":17,"name":"Train ID","value":"229-03"},{"id":16,"name":"Locomotive ID","value":"4016"},{"id":130,"name":"Impact","value":""},{"id":150,"name":"Time of Event (Mountain Time)","value":"21:35:11"},{"id":151,"name":"Denver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643</v>
      </c>
      <c r="B144" s="7">
        <v>4001</v>
      </c>
      <c r="C144" s="22" t="s">
        <v>209</v>
      </c>
      <c r="D144" s="22" t="s">
        <v>776</v>
      </c>
      <c r="E144" s="13">
        <v>42707.910717592589</v>
      </c>
      <c r="F144" s="13">
        <v>42707.914131944446</v>
      </c>
      <c r="G144" s="7">
        <v>0</v>
      </c>
      <c r="H144" s="22" t="s">
        <v>410</v>
      </c>
      <c r="I144" s="13">
        <v>42707.940138888887</v>
      </c>
      <c r="J144" s="7">
        <v>0</v>
      </c>
      <c r="K144" s="109" t="str">
        <f t="shared" si="49"/>
        <v>4001/4002</v>
      </c>
      <c r="L144" s="22" t="str">
        <f>VLOOKUP(A144,'Trips&amp;Operators'!$C$1:$G$99999,5,FALSE)</f>
        <v>LEVIN SCOTT</v>
      </c>
      <c r="M144" s="6">
        <f t="shared" si="50"/>
        <v>2.6006944441178348E-2</v>
      </c>
      <c r="N144" s="7">
        <f t="shared" si="63"/>
        <v>37.449999995296821</v>
      </c>
      <c r="O144" s="7"/>
      <c r="P144" s="7"/>
      <c r="Q144" s="23"/>
      <c r="R144" s="23"/>
      <c r="S144" s="35">
        <f t="shared" si="64"/>
        <v>1</v>
      </c>
      <c r="T144" s="50" t="str">
        <f t="shared" si="51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20:51:26-700',mode:absolute,to:'2016-12-03 23:33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4" s="52" t="str">
        <f t="shared" si="53"/>
        <v>N</v>
      </c>
      <c r="X144" s="177">
        <f t="shared" ref="X144:X158" si="65">VALUE(LEFT(AD144,4))-VALUE(LEFT(AD143,4))</f>
        <v>1</v>
      </c>
      <c r="Y144" s="67">
        <f t="shared" si="55"/>
        <v>23.271899999999999</v>
      </c>
      <c r="Z144" s="67">
        <f t="shared" si="46"/>
        <v>1.2699999999999999E-2</v>
      </c>
      <c r="AA144" s="67">
        <f t="shared" si="56"/>
        <v>23.2592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57"/>
        <v>0230-03</v>
      </c>
      <c r="AE144" s="91" t="str">
        <f t="shared" si="58"/>
        <v>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 &amp; aws s3 cp s3://rtdc.mdm.uploadarchive.raw/RTDC4001/ "%USERPROFILE%\AppData\Local\Temp\OnboardLogs"\RTDC4001\2016-12-04 --exclude "*" --recursive --include "*20161204*" &amp; "%USERPROFILE%\Documents\GitHub\mrs-test-scripts\Headless Mode &amp; Sideloading\WalkAndUnGZ.bat" "%USERPROFILE%\AppData\Local\Temp\OnboardLogs"\RTDC4001\2016-12-04</v>
      </c>
      <c r="AF144" s="88" t="str">
        <f t="shared" si="59"/>
        <v>"C:\Program Files (x86)\AstroGrep\AstroGrep.exe" /spath="%USERPROFILE%\AppData\Local\Temp\OnboardLogs" /stypes="app*4001*20161204*" /stext=" 05:.+((SYSTEM_STATE.+slice.+state.+changed )|(ment ac)|(multiple cpu faults)|(system.+state.+changed )|(\[timeout)|(PRM\|1\|D)|(kpr)|(kdp)|(\|lc)|(penalty))" /e /r /s</v>
      </c>
      <c r="AG144" s="1" t="str">
        <f t="shared" si="60"/>
        <v>EC</v>
      </c>
      <c r="AH144" s="92" t="str">
        <f t="shared" si="61"/>
        <v>"%USERPROFILE%\Documents\GitHub\eaglep3\Utilities\RefineRTDCRunTimes.py" --tripid 230-03 --locoid 4001 --swversion DE.1.0.8.0 --startMP 204:232719 --initTime 2016-12-03T21:51:26 --startdatetime 2016-12-03T21:56:21 --delay 0 --endMP 204:127 --enddatetime 2016-12-03T22:33:48 --enforcementcount 0 &gt;&gt;C:\Users\stu\Documents\GitHub\eaglep3-reporting\EC\2016-12-03-refined-times.txt</v>
      </c>
      <c r="AI144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{"issue":{"subject":"","project_id":79,"tracker_id":40,"status_id":1,"priority_id":2,"assigned_to_id":23,"start_date":"2016-12-03","description":"","custom_fields":[{"id":1,"name":"Subdivision","value":"EC"},{"id":4,"name":"Milepost","value":"0.0127"},{"id":17,"name":"Train ID","value":"230-03"},{"id":16,"name":"Locomotive ID","value":"4001"},{"id":130,"name":"Impact","value":""},{"id":150,"name":"Time of Event (Mountain Time)","value":"22:33:48"},{"id":151,"name":"Denver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642</v>
      </c>
      <c r="B145" s="7">
        <v>4027</v>
      </c>
      <c r="C145" s="22" t="s">
        <v>209</v>
      </c>
      <c r="D145" s="22" t="s">
        <v>777</v>
      </c>
      <c r="E145" s="13">
        <v>42707.881469907406</v>
      </c>
      <c r="F145" s="13">
        <v>42707.895995370367</v>
      </c>
      <c r="G145" s="7">
        <v>4</v>
      </c>
      <c r="H145" s="22" t="s">
        <v>687</v>
      </c>
      <c r="I145" s="13">
        <v>42707.921111111114</v>
      </c>
      <c r="J145" s="7">
        <v>0</v>
      </c>
      <c r="K145" s="109" t="str">
        <f t="shared" si="49"/>
        <v>4027/4028</v>
      </c>
      <c r="L145" s="22" t="str">
        <f>VLOOKUP(A145,'Trips&amp;Operators'!$C$1:$G$99999,5,FALSE)</f>
        <v>NEWELL JAMES</v>
      </c>
      <c r="M145" s="6">
        <f t="shared" si="50"/>
        <v>2.5115740747423843E-2</v>
      </c>
      <c r="N145" s="7">
        <f t="shared" si="63"/>
        <v>36.166666676290333</v>
      </c>
      <c r="O145" s="7"/>
      <c r="P145" s="7"/>
      <c r="Q145" s="23"/>
      <c r="R145" s="23"/>
      <c r="S145" s="35">
        <f t="shared" si="64"/>
        <v>1</v>
      </c>
      <c r="T145" s="50" t="str">
        <f t="shared" si="51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20:09:19-700',mode:absolute,to:'2016-12-03 23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5" s="52" t="str">
        <f t="shared" si="53"/>
        <v>N</v>
      </c>
      <c r="X145" s="177">
        <f t="shared" si="65"/>
        <v>1</v>
      </c>
      <c r="Y145" s="67">
        <f t="shared" si="55"/>
        <v>7.3700000000000002E-2</v>
      </c>
      <c r="Z145" s="67">
        <f t="shared" ref="Z145:Z176" si="66">RIGHT(H145,LEN(H145)-4)/10000</f>
        <v>23.3291</v>
      </c>
      <c r="AA145" s="67">
        <f t="shared" si="56"/>
        <v>23.255400000000002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57"/>
        <v>0231-03</v>
      </c>
      <c r="AE145" s="91" t="str">
        <f t="shared" si="58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145" s="88" t="str">
        <f t="shared" si="59"/>
        <v>"C:\Program Files (x86)\AstroGrep\AstroGrep.exe" /spath="%USERPROFILE%\AppData\Local\Temp\OnboardLogs" /stypes="app*4027*20161204*" /stext=" 05:.+((SYSTEM_STATE.+slice.+state.+changed )|(ment ac)|(multiple cpu faults)|(system.+state.+changed )|(\[timeout)|(PRM\|1\|D)|(kpr)|(kdp)|(\|lc)|(penalty))" /e /r /s</v>
      </c>
      <c r="AG145" s="1" t="str">
        <f t="shared" si="60"/>
        <v>EC</v>
      </c>
      <c r="AH145" s="92" t="str">
        <f t="shared" si="61"/>
        <v>"%USERPROFILE%\Documents\GitHub\eaglep3\Utilities\RefineRTDCRunTimes.py" --tripid 231-03 --locoid 4027 --swversion DE.1.0.8.0 --startMP 204:737 --initTime 2016-12-03T21:09:19 --startdatetime 2016-12-03T21:30:14 --delay 4 --endMP 204:233291 --enddatetime 2016-12-03T22:06:24 --enforcementcount 0 &gt;&gt;C:\Users\stu\Documents\GitHub\eaglep3-reporting\EC\2016-12-03-refined-times.txt</v>
      </c>
      <c r="AI145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{"issue":{"subject":"","project_id":79,"tracker_id":40,"status_id":1,"priority_id":2,"assigned_to_id":23,"start_date":"2016-12-03","description":"","custom_fields":[{"id":1,"name":"Subdivision","value":"EC"},{"id":4,"name":"Milepost","value":"23.3291"},{"id":17,"name":"Train ID","value":"231-03"},{"id":16,"name":"Locomotive ID","value":"4027"},{"id":130,"name":"Impact","value":""},{"id":150,"name":"Time of Event (Mountain Time)","value":"22:06:24"},{"id":151,"name":"Denver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644</v>
      </c>
      <c r="B146" s="7">
        <v>4043</v>
      </c>
      <c r="C146" s="22" t="s">
        <v>209</v>
      </c>
      <c r="D146" s="22" t="s">
        <v>778</v>
      </c>
      <c r="E146" s="13">
        <v>42707.924780092595</v>
      </c>
      <c r="F146" s="13">
        <v>42707.934907407405</v>
      </c>
      <c r="G146" s="7">
        <v>1</v>
      </c>
      <c r="H146" s="22" t="s">
        <v>232</v>
      </c>
      <c r="I146" s="13">
        <v>42707.960960648146</v>
      </c>
      <c r="J146" s="7">
        <v>0</v>
      </c>
      <c r="K146" s="109" t="str">
        <f t="shared" si="49"/>
        <v>4043/4044</v>
      </c>
      <c r="L146" s="22" t="str">
        <f>VLOOKUP(A146,'Trips&amp;Operators'!$C$1:$G$99999,5,FALSE)</f>
        <v>NEWELL JAMES</v>
      </c>
      <c r="M146" s="6">
        <f t="shared" si="50"/>
        <v>2.6053240741021E-2</v>
      </c>
      <c r="N146" s="7">
        <f t="shared" si="63"/>
        <v>37.51666666707024</v>
      </c>
      <c r="O146" s="7"/>
      <c r="P146" s="7"/>
      <c r="Q146" s="23"/>
      <c r="R146" s="23"/>
      <c r="S146" s="35">
        <f t="shared" si="64"/>
        <v>1</v>
      </c>
      <c r="T146" s="50" t="str">
        <f t="shared" si="51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21:11:41-700',mode:absolute,to:'2016-12-04 00:03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6" s="52" t="str">
        <f t="shared" si="53"/>
        <v>N</v>
      </c>
      <c r="X146" s="177">
        <f t="shared" si="65"/>
        <v>1</v>
      </c>
      <c r="Y146" s="67">
        <f t="shared" si="55"/>
        <v>23.2654</v>
      </c>
      <c r="Z146" s="67">
        <f t="shared" si="66"/>
        <v>1.41E-2</v>
      </c>
      <c r="AA146" s="67">
        <f t="shared" si="56"/>
        <v>23.251300000000001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57"/>
        <v>0232-03</v>
      </c>
      <c r="AE146" s="91" t="str">
        <f t="shared" si="58"/>
        <v>aws s3 cp s3://rtdc.mdm.uploadarchive.raw/RTDC4043/ "%USERPROFILE%\AppData\Local\Temp\OnboardLogs"\RTDC4043\2016-12-03 --exclude "*" --recursive --include "*20161203*" &amp; "%USERPROFILE%\Documents\GitHub\mrs-test-scripts\Headless Mode &amp; Sideloading\WalkAndUnGZ.bat" "%USERPROFILE%\AppData\Local\Temp\OnboardLogs"\RTDC4043\2016-12-03 &amp; 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</v>
      </c>
      <c r="AF146" s="88" t="str">
        <f t="shared" si="59"/>
        <v>"C:\Program Files (x86)\AstroGrep\AstroGrep.exe" /spath="%USERPROFILE%\AppData\Local\Temp\OnboardLogs" /stypes="app*4043*20161204*" /stext=" 06:.+((SYSTEM_STATE.+slice.+state.+changed )|(ment ac)|(multiple cpu faults)|(system.+state.+changed )|(\[timeout)|(PRM\|1\|D)|(kpr)|(kdp)|(\|lc)|(penalty))" /e /r /s</v>
      </c>
      <c r="AG146" s="1" t="str">
        <f t="shared" si="60"/>
        <v>EC</v>
      </c>
      <c r="AH146" s="92" t="str">
        <f t="shared" si="61"/>
        <v>"%USERPROFILE%\Documents\GitHub\eaglep3\Utilities\RefineRTDCRunTimes.py" --tripid 232-03 --locoid 4043 --swversion DE.1.0.8.0 --startMP 204:232654 --initTime 2016-12-03T22:11:41 --startdatetime 2016-12-03T22:26:16 --delay 1 --endMP 204:141 --enddatetime 2016-12-03T23:03:47 --enforcementcount 0 &gt;&gt;C:\Users\stu\Documents\GitHub\eaglep3-reporting\EC\2016-12-03-refined-times.txt</v>
      </c>
      <c r="AI146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{"issue":{"subject":"","project_id":79,"tracker_id":40,"status_id":1,"priority_id":2,"assigned_to_id":23,"start_date":"2016-12-03","description":"","custom_fields":[{"id":1,"name":"Subdivision","value":"EC"},{"id":4,"name":"Milepost","value":"0.0141"},{"id":17,"name":"Train ID","value":"232-03"},{"id":16,"name":"Locomotive ID","value":"4043"},{"id":130,"name":"Impact","value":""},{"id":150,"name":"Time of Event (Mountain Time)","value":"23:03:47"},{"id":151,"name":"Denver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462</v>
      </c>
      <c r="B147" s="7">
        <v>4014</v>
      </c>
      <c r="C147" s="22" t="s">
        <v>209</v>
      </c>
      <c r="D147" s="22" t="s">
        <v>779</v>
      </c>
      <c r="E147" s="13">
        <v>42707.915254629632</v>
      </c>
      <c r="F147" s="13">
        <v>42707.91710648148</v>
      </c>
      <c r="G147" s="7">
        <v>1</v>
      </c>
      <c r="H147" s="22" t="s">
        <v>780</v>
      </c>
      <c r="I147" s="13">
        <v>42707.941990740743</v>
      </c>
      <c r="J147" s="7">
        <v>0</v>
      </c>
      <c r="K147" s="109" t="str">
        <f t="shared" si="49"/>
        <v>4013/4014</v>
      </c>
      <c r="L147" s="22" t="str">
        <f>VLOOKUP(A147,'Trips&amp;Operators'!$C$1:$G$99999,5,FALSE)</f>
        <v>CHANDLER KELVIN</v>
      </c>
      <c r="M147" s="6">
        <f t="shared" si="50"/>
        <v>2.4884259262762498E-2</v>
      </c>
      <c r="N147" s="7">
        <f t="shared" si="63"/>
        <v>35.833333338377997</v>
      </c>
      <c r="O147" s="7"/>
      <c r="P147" s="7"/>
      <c r="Q147" s="23"/>
      <c r="R147" s="23"/>
      <c r="S147" s="35">
        <f t="shared" si="64"/>
        <v>1</v>
      </c>
      <c r="T147" s="50" t="str">
        <f t="shared" si="51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20:57:58-700',mode:absolute,to:'2016-12-03 23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7" s="52" t="str">
        <f t="shared" si="53"/>
        <v>N</v>
      </c>
      <c r="X147" s="177">
        <f t="shared" si="65"/>
        <v>1</v>
      </c>
      <c r="Y147" s="67">
        <f t="shared" si="55"/>
        <v>7.0800000000000002E-2</v>
      </c>
      <c r="Z147" s="67">
        <f t="shared" si="66"/>
        <v>23.325299999999999</v>
      </c>
      <c r="AA147" s="67">
        <f t="shared" si="56"/>
        <v>23.2545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57"/>
        <v>0233-03</v>
      </c>
      <c r="AE147" s="91" t="str">
        <f t="shared" si="58"/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AF147" s="88" t="str">
        <f t="shared" si="59"/>
        <v>"C:\Program Files (x86)\AstroGrep\AstroGrep.exe" /spath="%USERPROFILE%\AppData\Local\Temp\OnboardLogs" /stypes="app*4014*20161204*" /stext=" 05:.+((SYSTEM_STATE.+slice.+state.+changed )|(ment ac)|(multiple cpu faults)|(system.+state.+changed )|(\[timeout)|(PRM\|1\|D)|(kpr)|(kdp)|(\|lc)|(penalty))" /e /r /s</v>
      </c>
      <c r="AG147" s="1" t="str">
        <f t="shared" si="60"/>
        <v>EC</v>
      </c>
      <c r="AH147" s="92" t="str">
        <f t="shared" si="61"/>
        <v>"%USERPROFILE%\Documents\GitHub\eaglep3\Utilities\RefineRTDCRunTimes.py" --tripid 233-03 --locoid 4014 --swversion DE.1.0.8.0 --startMP 204:708 --initTime 2016-12-03T21:57:58 --startdatetime 2016-12-03T22:00:38 --delay 1 --endMP 204:233253 --enddatetime 2016-12-03T22:36:28 --enforcementcount 0 &gt;&gt;C:\Users\stu\Documents\GitHub\eaglep3-reporting\EC\2016-12-03-refined-times.txt</v>
      </c>
      <c r="AI147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{"issue":{"subject":"","project_id":79,"tracker_id":40,"status_id":1,"priority_id":2,"assigned_to_id":23,"start_date":"2016-12-03","description":"","custom_fields":[{"id":1,"name":"Subdivision","value":"EC"},{"id":4,"name":"Milepost","value":"23.3253"},{"id":17,"name":"Train ID","value":"233-03"},{"id":16,"name":"Locomotive ID","value":"4014"},{"id":130,"name":"Impact","value":""},{"id":150,"name":"Time of Event (Mountain Time)","value":"22:36:28"},{"id":151,"name":"Denver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x14ac:dyDescent="0.25">
      <c r="A148" s="37" t="s">
        <v>466</v>
      </c>
      <c r="B148" s="7">
        <v>4019</v>
      </c>
      <c r="C148" s="22" t="s">
        <v>209</v>
      </c>
      <c r="D148" s="22" t="s">
        <v>781</v>
      </c>
      <c r="E148" s="13">
        <v>42707.953946759262</v>
      </c>
      <c r="F148" s="13">
        <v>42707.959432870368</v>
      </c>
      <c r="G148" s="7">
        <v>1</v>
      </c>
      <c r="H148" s="22" t="s">
        <v>782</v>
      </c>
      <c r="I148" s="13">
        <v>42707.985625000001</v>
      </c>
      <c r="J148" s="7">
        <v>0</v>
      </c>
      <c r="K148" s="109" t="str">
        <f t="shared" si="49"/>
        <v>4019/4020</v>
      </c>
      <c r="L148" s="22" t="str">
        <f>VLOOKUP(A148,'Trips&amp;Operators'!$C$1:$G$99999,5,FALSE)</f>
        <v>CHANDLER KELVIN</v>
      </c>
      <c r="M148" s="6">
        <f t="shared" si="50"/>
        <v>2.6192129633272998E-2</v>
      </c>
      <c r="N148" s="7">
        <f t="shared" si="63"/>
        <v>37.716666671913117</v>
      </c>
      <c r="O148" s="7"/>
      <c r="P148" s="7"/>
      <c r="Q148" s="23"/>
      <c r="R148" s="23"/>
      <c r="S148" s="35">
        <f t="shared" si="64"/>
        <v>1</v>
      </c>
      <c r="T148" s="50" t="str">
        <f t="shared" si="51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21:53:41-700',mode:absolute,to:'2016-12-04 00:39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8" s="52" t="str">
        <f t="shared" si="53"/>
        <v>N</v>
      </c>
      <c r="X148" s="177">
        <f t="shared" si="65"/>
        <v>1</v>
      </c>
      <c r="Y148" s="67">
        <f t="shared" si="55"/>
        <v>23.261900000000001</v>
      </c>
      <c r="Z148" s="67">
        <f t="shared" si="66"/>
        <v>9.5999999999999992E-3</v>
      </c>
      <c r="AA148" s="67">
        <f t="shared" si="56"/>
        <v>23.252300000000002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57"/>
        <v>0234-03</v>
      </c>
      <c r="AE148" s="91" t="str">
        <f t="shared" si="58"/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AF148" s="88" t="str">
        <f t="shared" si="59"/>
        <v>"C:\Program Files (x86)\AstroGrep\AstroGrep.exe" /spath="%USERPROFILE%\AppData\Local\Temp\OnboardLogs" /stypes="app*4019*20161204*" /stext=" 06:.+((SYSTEM_STATE.+slice.+state.+changed )|(ment ac)|(multiple cpu faults)|(system.+state.+changed )|(\[timeout)|(PRM\|1\|D)|(kpr)|(kdp)|(\|lc)|(penalty))" /e /r /s</v>
      </c>
      <c r="AG148" s="1" t="str">
        <f t="shared" si="60"/>
        <v>EC</v>
      </c>
      <c r="AH148" s="92" t="str">
        <f t="shared" si="61"/>
        <v>"%USERPROFILE%\Documents\GitHub\eaglep3\Utilities\RefineRTDCRunTimes.py" --tripid 234-03 --locoid 4019 --swversion DE.1.0.8.0 --startMP 204:232619 --initTime 2016-12-03T22:53:41 --startdatetime 2016-12-03T23:01:35 --delay 1 --endMP 204:96 --enddatetime 2016-12-03T23:39:18 --enforcementcount 0 &gt;&gt;C:\Users\stu\Documents\GitHub\eaglep3-reporting\EC\2016-12-03-refined-times.txt</v>
      </c>
      <c r="AI148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{"issue":{"subject":"","project_id":79,"tracker_id":40,"status_id":1,"priority_id":2,"assigned_to_id":23,"start_date":"2016-12-03","description":"","custom_fields":[{"id":1,"name":"Subdivision","value":"EC"},{"id":4,"name":"Milepost","value":"0.0096"},{"id":17,"name":"Train ID","value":"234-03"},{"id":16,"name":"Locomotive ID","value":"4019"},{"id":130,"name":"Impact","value":""},{"id":150,"name":"Time of Event (Mountain Time)","value":"23:39:18"},{"id":151,"name":"Denver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464</v>
      </c>
      <c r="B149" s="7">
        <v>4011</v>
      </c>
      <c r="C149" s="22" t="s">
        <v>209</v>
      </c>
      <c r="D149" s="22" t="s">
        <v>417</v>
      </c>
      <c r="E149" s="13">
        <v>42707.932708333334</v>
      </c>
      <c r="F149" s="13">
        <v>42707.937835648147</v>
      </c>
      <c r="G149" s="7">
        <v>1</v>
      </c>
      <c r="H149" s="22" t="s">
        <v>411</v>
      </c>
      <c r="I149" s="13">
        <v>42707.962164351855</v>
      </c>
      <c r="J149" s="7">
        <v>0</v>
      </c>
      <c r="K149" s="109" t="str">
        <f t="shared" si="49"/>
        <v>4011/4012</v>
      </c>
      <c r="L149" s="22" t="str">
        <f>VLOOKUP(A149,'Trips&amp;Operators'!$C$1:$G$99999,5,FALSE)</f>
        <v>STAMBAUGH JAMES</v>
      </c>
      <c r="M149" s="6">
        <f t="shared" si="50"/>
        <v>2.4328703708306421E-2</v>
      </c>
      <c r="N149" s="7">
        <f t="shared" si="63"/>
        <v>35.033333339961246</v>
      </c>
      <c r="O149" s="7"/>
      <c r="P149" s="7"/>
      <c r="Q149" s="23"/>
      <c r="R149" s="23"/>
      <c r="S149" s="35">
        <f t="shared" si="64"/>
        <v>1</v>
      </c>
      <c r="T149" s="50" t="str">
        <f t="shared" si="51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21:23:06-700',mode:absolute,to:'2016-12-04 00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9" s="52" t="str">
        <f t="shared" si="53"/>
        <v>N</v>
      </c>
      <c r="X149" s="177">
        <f t="shared" si="65"/>
        <v>1</v>
      </c>
      <c r="Y149" s="67">
        <f t="shared" si="55"/>
        <v>7.4300000000000005E-2</v>
      </c>
      <c r="Z149" s="67">
        <f t="shared" si="66"/>
        <v>23.338899999999999</v>
      </c>
      <c r="AA149" s="67">
        <f t="shared" si="56"/>
        <v>23.264599999999998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57"/>
        <v>0235-03</v>
      </c>
      <c r="AE149" s="91" t="str">
        <f t="shared" si="58"/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AF149" s="88" t="str">
        <f t="shared" si="59"/>
        <v>"C:\Program Files (x86)\AstroGrep\AstroGrep.exe" /spath="%USERPROFILE%\AppData\Local\Temp\OnboardLogs" /stypes="app*4011*20161204*" /stext=" 06:.+((SYSTEM_STATE.+slice.+state.+changed )|(ment ac)|(multiple cpu faults)|(system.+state.+changed )|(\[timeout)|(PRM\|1\|D)|(kpr)|(kdp)|(\|lc)|(penalty))" /e /r /s</v>
      </c>
      <c r="AG149" s="1" t="str">
        <f t="shared" si="60"/>
        <v>EC</v>
      </c>
      <c r="AH149" s="92" t="str">
        <f t="shared" si="61"/>
        <v>"%USERPROFILE%\Documents\GitHub\eaglep3\Utilities\RefineRTDCRunTimes.py" --tripid 235-03 --locoid 4011 --swversion DE.1.0.8.0 --startMP 204:743 --initTime 2016-12-03T22:23:06 --startdatetime 2016-12-03T22:30:29 --delay 1 --endMP 204:233389 --enddatetime 2016-12-03T23:05:31 --enforcementcount 0 &gt;&gt;C:\Users\stu\Documents\GitHub\eaglep3-reporting\EC\2016-12-03-refined-times.txt</v>
      </c>
      <c r="AI149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{"issue":{"subject":"","project_id":79,"tracker_id":40,"status_id":1,"priority_id":2,"assigned_to_id":23,"start_date":"2016-12-03","description":"","custom_fields":[{"id":1,"name":"Subdivision","value":"EC"},{"id":4,"name":"Milepost","value":"23.3389"},{"id":17,"name":"Train ID","value":"235-03"},{"id":16,"name":"Locomotive ID","value":"4011"},{"id":130,"name":"Impact","value":""},{"id":150,"name":"Time of Event (Mountain Time)","value":"23:05:31"},{"id":151,"name":"Denver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646</v>
      </c>
      <c r="B150" s="7">
        <v>4039</v>
      </c>
      <c r="C150" s="22" t="s">
        <v>209</v>
      </c>
      <c r="D150" s="22" t="s">
        <v>783</v>
      </c>
      <c r="E150" s="13">
        <v>42707.972627314812</v>
      </c>
      <c r="F150" s="13">
        <v>42707.976631944446</v>
      </c>
      <c r="G150" s="7">
        <v>1</v>
      </c>
      <c r="H150" s="22" t="s">
        <v>784</v>
      </c>
      <c r="I150" s="13">
        <v>42708.003483796296</v>
      </c>
      <c r="J150" s="7">
        <v>0</v>
      </c>
      <c r="K150" s="109" t="str">
        <f t="shared" si="49"/>
        <v>4039/4040</v>
      </c>
      <c r="L150" s="22" t="str">
        <f>VLOOKUP(A150,'Trips&amp;Operators'!$C$1:$G$99999,5,FALSE)</f>
        <v>STAMBAUGH JAMES</v>
      </c>
      <c r="M150" s="6">
        <f t="shared" si="50"/>
        <v>2.6851851849642117E-2</v>
      </c>
      <c r="N150" s="7">
        <f t="shared" si="63"/>
        <v>38.666666663484648</v>
      </c>
      <c r="O150" s="7"/>
      <c r="P150" s="7"/>
      <c r="Q150" s="23"/>
      <c r="R150" s="23"/>
      <c r="S150" s="35">
        <f t="shared" si="64"/>
        <v>1</v>
      </c>
      <c r="T150" s="50" t="str">
        <f t="shared" si="51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22:20:35-700',mode:absolute,to:'2016-12-04 01:05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0" s="52" t="str">
        <f t="shared" si="53"/>
        <v>N</v>
      </c>
      <c r="X150" s="177">
        <f t="shared" si="65"/>
        <v>1</v>
      </c>
      <c r="Y150" s="67">
        <f t="shared" si="55"/>
        <v>23.276499999999999</v>
      </c>
      <c r="Z150" s="67">
        <f t="shared" si="66"/>
        <v>8.6999999999999994E-3</v>
      </c>
      <c r="AA150" s="67">
        <f t="shared" si="56"/>
        <v>23.267799999999998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57"/>
        <v>0236-03</v>
      </c>
      <c r="AE150" s="91" t="str">
        <f t="shared" si="58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150" s="88" t="str">
        <f t="shared" si="59"/>
        <v>"C:\Program Files (x86)\AstroGrep\AstroGrep.exe" /spath="%USERPROFILE%\AppData\Local\Temp\OnboardLogs" /stypes="app*4039*20161204*" /stext=" 07:.+((SYSTEM_STATE.+slice.+state.+changed )|(ment ac)|(multiple cpu faults)|(system.+state.+changed )|(\[timeout)|(PRM\|1\|D)|(kpr)|(kdp)|(\|lc)|(penalty))" /e /r /s</v>
      </c>
      <c r="AG150" s="1" t="str">
        <f t="shared" si="60"/>
        <v>EC</v>
      </c>
      <c r="AH150" s="92" t="str">
        <f t="shared" si="61"/>
        <v>"%USERPROFILE%\Documents\GitHub\eaglep3\Utilities\RefineRTDCRunTimes.py" --tripid 236-03 --locoid 4039 --swversion DE.1.0.8.0 --startMP 204:232765 --initTime 2016-12-03T23:20:35 --startdatetime 2016-12-03T23:26:21 --delay 1 --endMP 204:87 --enddatetime 2016-12-04T00:05:01 --enforcementcount 0 &gt;&gt;C:\Users\stu\Documents\GitHub\eaglep3-reporting\EC\2016-12-03-refined-times.txt</v>
      </c>
      <c r="AI150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{"issue":{"subject":"","project_id":79,"tracker_id":40,"status_id":1,"priority_id":2,"assigned_to_id":23,"start_date":"2016-12-04","description":"","custom_fields":[{"id":1,"name":"Subdivision","value":"EC"},{"id":4,"name":"Milepost","value":"0.0087"},{"id":17,"name":"Train ID","value":"236-03"},{"id":16,"name":"Locomotive ID","value":"4039"},{"id":130,"name":"Impact","value":""},{"id":150,"name":"Time of Event (Mountain Time)","value":"00:05:01"},{"id":151,"name":"Denver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465</v>
      </c>
      <c r="B151" s="7">
        <v>4016</v>
      </c>
      <c r="C151" s="22" t="s">
        <v>209</v>
      </c>
      <c r="D151" s="22" t="s">
        <v>785</v>
      </c>
      <c r="E151" s="13">
        <v>42707.954189814816</v>
      </c>
      <c r="F151" s="13">
        <v>42707.958564814813</v>
      </c>
      <c r="G151" s="7">
        <v>1</v>
      </c>
      <c r="H151" s="22" t="s">
        <v>407</v>
      </c>
      <c r="I151" s="13">
        <v>42707.984178240738</v>
      </c>
      <c r="J151" s="7">
        <v>0</v>
      </c>
      <c r="K151" s="109" t="str">
        <f t="shared" si="49"/>
        <v>4015/4016</v>
      </c>
      <c r="L151" s="22" t="str">
        <f>VLOOKUP(A151,'Trips&amp;Operators'!$C$1:$G$99999,5,FALSE)</f>
        <v>LEVIN SCOTT</v>
      </c>
      <c r="M151" s="6">
        <f t="shared" si="50"/>
        <v>2.5613425925257616E-2</v>
      </c>
      <c r="N151" s="7">
        <f t="shared" si="63"/>
        <v>36.883333332370967</v>
      </c>
      <c r="O151" s="7"/>
      <c r="P151" s="7"/>
      <c r="Q151" s="23"/>
      <c r="R151" s="23"/>
      <c r="S151" s="35">
        <f t="shared" si="64"/>
        <v>1</v>
      </c>
      <c r="T151" s="50" t="str">
        <f t="shared" si="51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21:54:02-700',mode:absolute,to:'2016-12-04 00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1" s="52" t="str">
        <f t="shared" si="53"/>
        <v>N</v>
      </c>
      <c r="X151" s="177">
        <f t="shared" si="65"/>
        <v>1</v>
      </c>
      <c r="Y151" s="67">
        <f t="shared" si="55"/>
        <v>7.4099999999999999E-2</v>
      </c>
      <c r="Z151" s="67">
        <f t="shared" si="66"/>
        <v>23.336099999999998</v>
      </c>
      <c r="AA151" s="67">
        <f t="shared" si="56"/>
        <v>23.261999999999997</v>
      </c>
      <c r="AB151" s="64" t="str">
        <f>VLOOKUP(A151,Enforcements!$C$7:$K$19,8,0)</f>
        <v>Signal based authority (5)</v>
      </c>
      <c r="AC151" s="60" t="str">
        <f>VLOOKUP(A151,Enforcements!$C$7:$E$19,3,0)</f>
        <v>SIGNAL</v>
      </c>
      <c r="AD151" s="61" t="str">
        <f t="shared" si="57"/>
        <v>0237-03</v>
      </c>
      <c r="AE151" s="91" t="str">
        <f t="shared" si="58"/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AF151" s="88" t="str">
        <f t="shared" si="59"/>
        <v>"C:\Program Files (x86)\AstroGrep\AstroGrep.exe" /spath="%USERPROFILE%\AppData\Local\Temp\OnboardLogs" /stypes="app*4016*20161204*" /stext=" 06:.+((SYSTEM_STATE.+slice.+state.+changed )|(ment ac)|(multiple cpu faults)|(system.+state.+changed )|(\[timeout)|(PRM\|1\|D)|(kpr)|(kdp)|(\|lc)|(penalty))" /e /r /s</v>
      </c>
      <c r="AG151" s="1" t="str">
        <f t="shared" si="60"/>
        <v>EC</v>
      </c>
      <c r="AH151" s="92" t="str">
        <f t="shared" si="61"/>
        <v>"%USERPROFILE%\Documents\GitHub\eaglep3\Utilities\RefineRTDCRunTimes.py" --tripid 237-03 --locoid 4016 --swversion DE.1.0.8.0 --startMP 204:741 --initTime 2016-12-03T22:54:02 --startdatetime 2016-12-03T23:00:20 --delay 1 --endMP 204:233361 --enddatetime 2016-12-03T23:37:13 --enforcementcount 0 &gt;&gt;C:\Users\stu\Documents\GitHub\eaglep3-reporting\EC\2016-12-03-refined-times.txt</v>
      </c>
      <c r="AI151" s="119" t="str">
        <f t="shared" si="62"/>
        <v>echo {"issue":{"subject":"","project_id":79,"tracker_id":40,"status_id":1,"priority_id":2,"assigned_to_id":23,"start_date":"2016-12-03","description":"","custom_fields":[{"id":1,"name":"Subdivision","value":"EC"},{"id":4,"name":"Milepost","value":"23.3361"},{"id":17,"name":"Train ID","value":"237-03"},{"id":16,"name":"Locomotive ID","value":"4016"},{"id":130,"name":"Impact","value":""},{"id":150,"name":"Time of Event (Mountain Time)","value":"23:37:13"},{"id":151,"name":"Denver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651</v>
      </c>
      <c r="B152" s="7">
        <v>4001</v>
      </c>
      <c r="C152" s="22" t="s">
        <v>209</v>
      </c>
      <c r="D152" s="22" t="s">
        <v>776</v>
      </c>
      <c r="E152" s="13">
        <v>42707.993935185186</v>
      </c>
      <c r="F152" s="13">
        <v>42707.997418981482</v>
      </c>
      <c r="G152" s="7">
        <v>1</v>
      </c>
      <c r="H152" s="22" t="s">
        <v>771</v>
      </c>
      <c r="I152" s="13">
        <v>42708.026678240742</v>
      </c>
      <c r="J152" s="7">
        <v>0</v>
      </c>
      <c r="K152" s="109" t="str">
        <f t="shared" si="49"/>
        <v>4001/4002</v>
      </c>
      <c r="L152" s="22" t="str">
        <f>VLOOKUP(A152,'Trips&amp;Operators'!$C$1:$G$99999,5,FALSE)</f>
        <v>LEVIN SCOTT</v>
      </c>
      <c r="M152" s="6">
        <f t="shared" si="50"/>
        <v>2.9259259259561077E-2</v>
      </c>
      <c r="N152" s="7">
        <f t="shared" si="63"/>
        <v>42.133333333767951</v>
      </c>
      <c r="O152" s="7"/>
      <c r="P152" s="7"/>
      <c r="Q152" s="23"/>
      <c r="R152" s="23"/>
      <c r="S152" s="35">
        <f t="shared" si="64"/>
        <v>1</v>
      </c>
      <c r="T152" s="50" t="str">
        <f t="shared" si="51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22:51:16-700',mode:absolute,to:'2016-12-04 01:38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2" s="52" t="str">
        <f t="shared" si="53"/>
        <v>N</v>
      </c>
      <c r="X152" s="177">
        <f t="shared" si="65"/>
        <v>1</v>
      </c>
      <c r="Y152" s="67">
        <f t="shared" si="55"/>
        <v>23.271899999999999</v>
      </c>
      <c r="Z152" s="67">
        <f t="shared" si="66"/>
        <v>1.18E-2</v>
      </c>
      <c r="AA152" s="67">
        <f t="shared" si="56"/>
        <v>23.260099999999998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57"/>
        <v>0238-03</v>
      </c>
      <c r="AE152" s="91" t="str">
        <f t="shared" si="58"/>
        <v>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 &amp; aws s3 cp s3://rtdc.mdm.uploadarchive.raw/RTDC4001/ "%USERPROFILE%\AppData\Local\Temp\OnboardLogs"\RTDC4001\2016-12-04 --exclude "*" --recursive --include "*20161204*" &amp; "%USERPROFILE%\Documents\GitHub\mrs-test-scripts\Headless Mode &amp; Sideloading\WalkAndUnGZ.bat" "%USERPROFILE%\AppData\Local\Temp\OnboardLogs"\RTDC4001\2016-12-04</v>
      </c>
      <c r="AF152" s="88" t="str">
        <f t="shared" si="59"/>
        <v>"C:\Program Files (x86)\AstroGrep\AstroGrep.exe" /spath="%USERPROFILE%\AppData\Local\Temp\OnboardLogs" /stypes="app*4001*20161204*" /stext=" 07:.+((SYSTEM_STATE.+slice.+state.+changed )|(ment ac)|(multiple cpu faults)|(system.+state.+changed )|(\[timeout)|(PRM\|1\|D)|(kpr)|(kdp)|(\|lc)|(penalty))" /e /r /s</v>
      </c>
      <c r="AG152" s="1" t="str">
        <f t="shared" si="60"/>
        <v>EC</v>
      </c>
      <c r="AH152" s="92" t="str">
        <f t="shared" si="61"/>
        <v>"%USERPROFILE%\Documents\GitHub\eaglep3\Utilities\RefineRTDCRunTimes.py" --tripid 238-03 --locoid 4001 --swversion DE.1.0.8.0 --startMP 204:232719 --initTime 2016-12-03T23:51:16 --startdatetime 2016-12-03T23:56:17 --delay 1 --endMP 204:118 --enddatetime 2016-12-04T00:38:25 --enforcementcount 0 &gt;&gt;C:\Users\stu\Documents\GitHub\eaglep3-reporting\EC\2016-12-03-refined-times.txt</v>
      </c>
      <c r="AI152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{"issue":{"subject":"","project_id":79,"tracker_id":40,"status_id":1,"priority_id":2,"assigned_to_id":23,"start_date":"2016-12-04","description":"","custom_fields":[{"id":1,"name":"Subdivision","value":"EC"},{"id":4,"name":"Milepost","value":"0.0118"},{"id":17,"name":"Train ID","value":"238-03"},{"id":16,"name":"Locomotive ID","value":"4001"},{"id":130,"name":"Impact","value":""},{"id":150,"name":"Time of Event (Mountain Time)","value":"00:38:25"},{"id":151,"name":"Denver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647</v>
      </c>
      <c r="B153" s="7">
        <v>4027</v>
      </c>
      <c r="C153" s="22" t="s">
        <v>209</v>
      </c>
      <c r="D153" s="22" t="s">
        <v>669</v>
      </c>
      <c r="E153" s="13">
        <v>42707.97347222222</v>
      </c>
      <c r="F153" s="13">
        <v>42707.979386574072</v>
      </c>
      <c r="G153" s="7">
        <v>1</v>
      </c>
      <c r="H153" s="22" t="s">
        <v>294</v>
      </c>
      <c r="I153" s="13">
        <v>42708.006678240738</v>
      </c>
      <c r="J153" s="7">
        <v>0</v>
      </c>
      <c r="K153" s="109" t="str">
        <f t="shared" si="49"/>
        <v>4027/4028</v>
      </c>
      <c r="L153" s="22" t="str">
        <f>VLOOKUP(A153,'Trips&amp;Operators'!$C$1:$G$99999,5,FALSE)</f>
        <v>NEWELL JAMES</v>
      </c>
      <c r="M153" s="6">
        <f t="shared" si="50"/>
        <v>2.7291666665405501E-2</v>
      </c>
      <c r="N153" s="7">
        <f t="shared" si="63"/>
        <v>39.299999998183921</v>
      </c>
      <c r="O153" s="7"/>
      <c r="P153" s="7"/>
      <c r="Q153" s="23"/>
      <c r="R153" s="23"/>
      <c r="S153" s="35">
        <f t="shared" si="64"/>
        <v>1</v>
      </c>
      <c r="T153" s="50" t="str">
        <f t="shared" si="51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22:21:48-700',mode:absolute,to:'2016-12-04 01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3" s="52" t="str">
        <f t="shared" si="53"/>
        <v>N</v>
      </c>
      <c r="X153" s="177">
        <f t="shared" si="65"/>
        <v>1</v>
      </c>
      <c r="Y153" s="67">
        <f t="shared" si="55"/>
        <v>7.0999999999999994E-2</v>
      </c>
      <c r="Z153" s="67">
        <f t="shared" si="66"/>
        <v>23.328900000000001</v>
      </c>
      <c r="AA153" s="67">
        <f t="shared" si="56"/>
        <v>23.257899999999999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57"/>
        <v>0239-03</v>
      </c>
      <c r="AE153" s="91" t="str">
        <f t="shared" si="58"/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AF153" s="88" t="str">
        <f t="shared" si="59"/>
        <v>"C:\Program Files (x86)\AstroGrep\AstroGrep.exe" /spath="%USERPROFILE%\AppData\Local\Temp\OnboardLogs" /stypes="app*4027*20161204*" /stext=" 07:.+((SYSTEM_STATE.+slice.+state.+changed )|(ment ac)|(multiple cpu faults)|(system.+state.+changed )|(\[timeout)|(PRM\|1\|D)|(kpr)|(kdp)|(\|lc)|(penalty))" /e /r /s</v>
      </c>
      <c r="AG153" s="1" t="str">
        <f t="shared" si="60"/>
        <v>EC</v>
      </c>
      <c r="AH153" s="92" t="str">
        <f t="shared" si="61"/>
        <v>"%USERPROFILE%\Documents\GitHub\eaglep3\Utilities\RefineRTDCRunTimes.py" --tripid 239-03 --locoid 4027 --swversion DE.1.0.8.0 --startMP 204:710 --initTime 2016-12-03T23:21:48 --startdatetime 2016-12-03T23:30:19 --delay 1 --endMP 204:233289 --enddatetime 2016-12-04T00:09:37 --enforcementcount 0 &gt;&gt;C:\Users\stu\Documents\GitHub\eaglep3-reporting\EC\2016-12-03-refined-times.txt</v>
      </c>
      <c r="AI153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{"issue":{"subject":"","project_id":79,"tracker_id":40,"status_id":1,"priority_id":2,"assigned_to_id":23,"start_date":"2016-12-04","description":"","custom_fields":[{"id":1,"name":"Subdivision","value":"EC"},{"id":4,"name":"Milepost","value":"23.3289"},{"id":17,"name":"Train ID","value":"239-03"},{"id":16,"name":"Locomotive ID","value":"4027"},{"id":130,"name":"Impact","value":""},{"id":150,"name":"Time of Event (Mountain Time)","value":"00:09:37"},{"id":151,"name":"Denver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653</v>
      </c>
      <c r="B154" s="7">
        <v>4043</v>
      </c>
      <c r="C154" s="22" t="s">
        <v>209</v>
      </c>
      <c r="D154" s="22" t="s">
        <v>786</v>
      </c>
      <c r="E154" s="13">
        <v>42708.011157407411</v>
      </c>
      <c r="F154" s="13">
        <v>42708.018287037034</v>
      </c>
      <c r="G154" s="7">
        <v>1</v>
      </c>
      <c r="H154" s="22" t="s">
        <v>216</v>
      </c>
      <c r="I154" s="13">
        <v>42708.043969907405</v>
      </c>
      <c r="J154" s="7">
        <v>0</v>
      </c>
      <c r="K154" s="109" t="str">
        <f t="shared" si="49"/>
        <v>4043/4044</v>
      </c>
      <c r="L154" s="22" t="str">
        <f>VLOOKUP(A154,'Trips&amp;Operators'!$C$1:$G$99999,5,FALSE)</f>
        <v>NEWELL JAMES</v>
      </c>
      <c r="M154" s="6">
        <f t="shared" si="50"/>
        <v>2.5682870371383615E-2</v>
      </c>
      <c r="N154" s="7">
        <f t="shared" si="63"/>
        <v>36.983333334792405</v>
      </c>
      <c r="O154" s="7"/>
      <c r="P154" s="7"/>
      <c r="Q154" s="23"/>
      <c r="R154" s="23"/>
      <c r="S154" s="35">
        <f t="shared" si="64"/>
        <v>1</v>
      </c>
      <c r="T154" s="50" t="str">
        <f t="shared" si="51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23:16:04-700',mode:absolute,to:'2016-12-04 02:03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4" s="52" t="str">
        <f t="shared" si="53"/>
        <v>N</v>
      </c>
      <c r="X154" s="177">
        <f t="shared" si="65"/>
        <v>1</v>
      </c>
      <c r="Y154" s="67">
        <f t="shared" si="55"/>
        <v>23.265999999999998</v>
      </c>
      <c r="Z154" s="67">
        <f t="shared" si="66"/>
        <v>1.4999999999999999E-2</v>
      </c>
      <c r="AA154" s="67">
        <f t="shared" si="56"/>
        <v>23.250999999999998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57"/>
        <v>0240-03</v>
      </c>
      <c r="AE154" s="91" t="str">
        <f t="shared" si="58"/>
        <v>aws s3 cp s3://rtdc.mdm.uploadarchive.raw/RTDC4043/ "%USERPROFILE%\AppData\Local\Temp\OnboardLogs"\RTDC4043\2016-12-04 --exclude "*" --recursive --include "*20161204*" &amp; "%USERPROFILE%\Documents\GitHub\mrs-test-scripts\Headless Mode &amp; Sideloading\WalkAndUnGZ.bat" "%USERPROFILE%\AppData\Local\Temp\OnboardLogs"\RTDC4043\2016-12-04 &amp; aws s3 cp s3://rtdc.mdm.uploadarchive.raw/RTDC4043/ "%USERPROFILE%\AppData\Local\Temp\OnboardLogs"\RTDC4043\2016-12-05 --exclude "*" --recursive --include "*20161205*" &amp; "%USERPROFILE%\Documents\GitHub\mrs-test-scripts\Headless Mode &amp; Sideloading\WalkAndUnGZ.bat" "%USERPROFILE%\AppData\Local\Temp\OnboardLogs"\RTDC4043\2016-12-05</v>
      </c>
      <c r="AF154" s="88" t="str">
        <f t="shared" si="59"/>
        <v>"C:\Program Files (x86)\AstroGrep\AstroGrep.exe" /spath="%USERPROFILE%\AppData\Local\Temp\OnboardLogs" /stypes="app*4043*20161204*" /stext=" 08:.+((SYSTEM_STATE.+slice.+state.+changed )|(ment ac)|(multiple cpu faults)|(system.+state.+changed )|(\[timeout)|(PRM\|1\|D)|(kpr)|(kdp)|(\|lc)|(penalty))" /e /r /s</v>
      </c>
      <c r="AG154" s="1" t="str">
        <f t="shared" si="60"/>
        <v>EC</v>
      </c>
      <c r="AH154" s="92" t="str">
        <f t="shared" si="61"/>
        <v>"%USERPROFILE%\Documents\GitHub\eaglep3\Utilities\RefineRTDCRunTimes.py" --tripid 240-03 --locoid 4043 --swversion DE.1.0.8.0 --startMP 204:232660 --initTime 2016-12-04T00:16:04 --startdatetime 2016-12-04T00:26:20 --delay 1 --endMP 204:150 --enddatetime 2016-12-04T01:03:19 --enforcementcount 0 &gt;&gt;C:\Users\stu\Documents\GitHub\eaglep3-reporting\EC\2016-12-03-refined-times.txt</v>
      </c>
      <c r="AI154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{"issue":{"subject":"","project_id":79,"tracker_id":40,"status_id":1,"priority_id":2,"assigned_to_id":23,"start_date":"2016-12-04","description":"","custom_fields":[{"id":1,"name":"Subdivision","value":"EC"},{"id":4,"name":"Milepost","value":"0.015"},{"id":17,"name":"Train ID","value":"240-03"},{"id":16,"name":"Locomotive ID","value":"4043"},{"id":130,"name":"Impact","value":""},{"id":150,"name":"Time of Event (Mountain Time)","value":"01:03:19"},{"id":151,"name":"Denver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652</v>
      </c>
      <c r="B155" s="7">
        <v>4020</v>
      </c>
      <c r="C155" s="22" t="s">
        <v>209</v>
      </c>
      <c r="D155" s="22" t="s">
        <v>787</v>
      </c>
      <c r="E155" s="13">
        <v>42707.999826388892</v>
      </c>
      <c r="F155" s="13">
        <v>42708.001122685186</v>
      </c>
      <c r="G155" s="7">
        <v>1</v>
      </c>
      <c r="H155" s="22" t="s">
        <v>788</v>
      </c>
      <c r="I155" s="13">
        <v>42708.025543981479</v>
      </c>
      <c r="J155" s="7">
        <v>0</v>
      </c>
      <c r="K155" s="109" t="str">
        <f t="shared" si="49"/>
        <v>4019/4020</v>
      </c>
      <c r="L155" s="22" t="str">
        <f>VLOOKUP(A155,'Trips&amp;Operators'!$C$1:$G$99999,5,FALSE)</f>
        <v>CHANDLER KELVIN</v>
      </c>
      <c r="M155" s="6">
        <f t="shared" si="50"/>
        <v>2.4421296293439809E-2</v>
      </c>
      <c r="N155" s="7">
        <f t="shared" si="63"/>
        <v>35.166666662553325</v>
      </c>
      <c r="O155" s="7"/>
      <c r="P155" s="7"/>
      <c r="Q155" s="23"/>
      <c r="R155" s="23"/>
      <c r="S155" s="35">
        <f t="shared" si="64"/>
        <v>1</v>
      </c>
      <c r="T155" s="50" t="str">
        <f t="shared" si="51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22:59:45-700',mode:absolute,to:'2016-12-04 01:36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5" s="52" t="str">
        <f t="shared" si="53"/>
        <v>N</v>
      </c>
      <c r="X155" s="177">
        <f t="shared" si="65"/>
        <v>1</v>
      </c>
      <c r="Y155" s="67">
        <f t="shared" si="55"/>
        <v>0.04</v>
      </c>
      <c r="Z155" s="67">
        <f t="shared" si="66"/>
        <v>23.328700000000001</v>
      </c>
      <c r="AA155" s="67">
        <f t="shared" si="56"/>
        <v>23.288700000000002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57"/>
        <v>0241-03</v>
      </c>
      <c r="AE155" s="91" t="str">
        <f t="shared" si="58"/>
        <v>aws s3 cp s3://rtdc.mdm.uploadarchive.raw/RTDC4020/ "%USERPROFILE%\AppData\Local\Temp\OnboardLogs"\RTDC4020\2016-12-04 --exclude "*" --recursive --include "*20161204*" &amp; "%USERPROFILE%\Documents\GitHub\mrs-test-scripts\Headless Mode &amp; Sideloading\WalkAndUnGZ.bat" "%USERPROFILE%\AppData\Local\Temp\OnboardLogs"\RTDC4020\2016-12-04 &amp; aws s3 cp s3://rtdc.mdm.uploadarchive.raw/RTDC4020/ "%USERPROFILE%\AppData\Local\Temp\OnboardLogs"\RTDC4020\2016-12-05 --exclude "*" --recursive --include "*20161205*" &amp; "%USERPROFILE%\Documents\GitHub\mrs-test-scripts\Headless Mode &amp; Sideloading\WalkAndUnGZ.bat" "%USERPROFILE%\AppData\Local\Temp\OnboardLogs"\RTDC4020\2016-12-05</v>
      </c>
      <c r="AF155" s="88" t="str">
        <f t="shared" si="59"/>
        <v>"C:\Program Files (x86)\AstroGrep\AstroGrep.exe" /spath="%USERPROFILE%\AppData\Local\Temp\OnboardLogs" /stypes="app*4020*20161204*" /stext=" 07:.+((SYSTEM_STATE.+slice.+state.+changed )|(ment ac)|(multiple cpu faults)|(system.+state.+changed )|(\[timeout)|(PRM\|1\|D)|(kpr)|(kdp)|(\|lc)|(penalty))" /e /r /s</v>
      </c>
      <c r="AG155" s="1" t="str">
        <f t="shared" si="60"/>
        <v>EC</v>
      </c>
      <c r="AH155" s="92" t="str">
        <f t="shared" si="61"/>
        <v>"%USERPROFILE%\Documents\GitHub\eaglep3\Utilities\RefineRTDCRunTimes.py" --tripid 241-03 --locoid 4020 --swversion DE.1.0.8.0 --startMP 204:400 --initTime 2016-12-03T23:59:45 --startdatetime 2016-12-04T00:01:37 --delay 1 --endMP 204:233287 --enddatetime 2016-12-04T00:36:47 --enforcementcount 0 &gt;&gt;C:\Users\stu\Documents\GitHub\eaglep3-reporting\EC\2016-12-03-refined-times.txt</v>
      </c>
      <c r="AI155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{"issue":{"subject":"","project_id":79,"tracker_id":40,"status_id":1,"priority_id":2,"assigned_to_id":23,"start_date":"2016-12-04","description":"","custom_fields":[{"id":1,"name":"Subdivision","value":"EC"},{"id":4,"name":"Milepost","value":"23.3287"},{"id":17,"name":"Train ID","value":"241-03"},{"id":16,"name":"Locomotive ID","value":"4020"},{"id":130,"name":"Impact","value":""},{"id":150,"name":"Time of Event (Mountain Time)","value":"00:36:47"},{"id":151,"name":"Denver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655</v>
      </c>
      <c r="B156" s="7">
        <v>4019</v>
      </c>
      <c r="C156" s="22" t="s">
        <v>209</v>
      </c>
      <c r="D156" s="22" t="s">
        <v>789</v>
      </c>
      <c r="E156" s="13">
        <v>42708.03528935185</v>
      </c>
      <c r="F156" s="13">
        <v>42708.039282407408</v>
      </c>
      <c r="G156" s="7">
        <v>1</v>
      </c>
      <c r="H156" s="22" t="s">
        <v>211</v>
      </c>
      <c r="I156" s="13">
        <v>42708.066030092596</v>
      </c>
      <c r="J156" s="7">
        <v>0</v>
      </c>
      <c r="K156" s="109" t="str">
        <f t="shared" si="49"/>
        <v>4019/4020</v>
      </c>
      <c r="L156" s="22" t="str">
        <f>VLOOKUP(A156,'Trips&amp;Operators'!$C$1:$G$99999,5,FALSE)</f>
        <v>CHANDLER KELVIN</v>
      </c>
      <c r="M156" s="6">
        <f t="shared" si="50"/>
        <v>2.6747685187729076E-2</v>
      </c>
      <c r="N156" s="7">
        <f t="shared" si="63"/>
        <v>38.516666670329869</v>
      </c>
      <c r="O156" s="7"/>
      <c r="P156" s="7"/>
      <c r="Q156" s="23"/>
      <c r="R156" s="23"/>
      <c r="S156" s="35">
        <f t="shared" si="64"/>
        <v>1</v>
      </c>
      <c r="T156" s="50" t="str">
        <f t="shared" si="51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23:50:49-700',mode:absolute,to:'2016-12-04 02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56" s="52" t="str">
        <f t="shared" si="53"/>
        <v>N</v>
      </c>
      <c r="X156" s="177">
        <f t="shared" si="65"/>
        <v>1</v>
      </c>
      <c r="Y156" s="67">
        <f t="shared" si="55"/>
        <v>23.294899999999998</v>
      </c>
      <c r="Z156" s="67">
        <f t="shared" si="66"/>
        <v>1.5800000000000002E-2</v>
      </c>
      <c r="AA156" s="67">
        <f t="shared" si="56"/>
        <v>23.2791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57"/>
        <v>0242-03</v>
      </c>
      <c r="AE156" s="91" t="str">
        <f t="shared" si="58"/>
        <v>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 &amp; aws s3 cp s3://rtdc.mdm.uploadarchive.raw/RTDC4019/ "%USERPROFILE%\AppData\Local\Temp\OnboardLogs"\RTDC4019\2016-12-05 --exclude "*" --recursive --include "*20161205*" &amp; "%USERPROFILE%\Documents\GitHub\mrs-test-scripts\Headless Mode &amp; Sideloading\WalkAndUnGZ.bat" "%USERPROFILE%\AppData\Local\Temp\OnboardLogs"\RTDC4019\2016-12-05</v>
      </c>
      <c r="AF156" s="88" t="str">
        <f t="shared" si="59"/>
        <v>"C:\Program Files (x86)\AstroGrep\AstroGrep.exe" /spath="%USERPROFILE%\AppData\Local\Temp\OnboardLogs" /stypes="app*4019*20161204*" /stext=" 08:.+((SYSTEM_STATE.+slice.+state.+changed )|(ment ac)|(multiple cpu faults)|(system.+state.+changed )|(\[timeout)|(PRM\|1\|D)|(kpr)|(kdp)|(\|lc)|(penalty))" /e /r /s</v>
      </c>
      <c r="AG156" s="1" t="str">
        <f t="shared" si="60"/>
        <v>EC</v>
      </c>
      <c r="AH156" s="92" t="str">
        <f t="shared" si="61"/>
        <v>"%USERPROFILE%\Documents\GitHub\eaglep3\Utilities\RefineRTDCRunTimes.py" --tripid 242-03 --locoid 4019 --swversion DE.1.0.8.0 --startMP 204:232949 --initTime 2016-12-04T00:50:49 --startdatetime 2016-12-04T00:56:34 --delay 1 --endMP 204:158 --enddatetime 2016-12-04T01:35:05 --enforcementcount 0 &gt;&gt;C:\Users\stu\Documents\GitHub\eaglep3-reporting\EC\2016-12-03-refined-times.txt</v>
      </c>
      <c r="AI156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{"issue":{"subject":"","project_id":79,"tracker_id":40,"status_id":1,"priority_id":2,"assigned_to_id":23,"start_date":"2016-12-04","description":"","custom_fields":[{"id":1,"name":"Subdivision","value":"EC"},{"id":4,"name":"Milepost","value":"0.0158"},{"id":17,"name":"Train ID","value":"242-03"},{"id":16,"name":"Locomotive ID","value":"4019"},{"id":130,"name":"Impact","value":""},{"id":150,"name":"Time of Event (Mountain Time)","value":"01:35:05"},{"id":151,"name":"Denver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654</v>
      </c>
      <c r="B157" s="7">
        <v>4011</v>
      </c>
      <c r="C157" s="22" t="s">
        <v>209</v>
      </c>
      <c r="D157" s="22" t="s">
        <v>790</v>
      </c>
      <c r="E157" s="13">
        <v>42708.013055555559</v>
      </c>
      <c r="F157" s="13">
        <v>42708.021273148152</v>
      </c>
      <c r="G157" s="7">
        <v>1</v>
      </c>
      <c r="H157" s="22" t="s">
        <v>791</v>
      </c>
      <c r="I157" s="13">
        <v>42708.045208333337</v>
      </c>
      <c r="J157" s="7">
        <v>0</v>
      </c>
      <c r="K157" s="109" t="str">
        <f t="shared" si="49"/>
        <v>4011/4012</v>
      </c>
      <c r="L157" s="22" t="str">
        <f>VLOOKUP(A157,'Trips&amp;Operators'!$C$1:$G$99999,5,FALSE)</f>
        <v>STAMBAUGH JAMES</v>
      </c>
      <c r="M157" s="6">
        <f t="shared" si="50"/>
        <v>2.3935185185109731E-2</v>
      </c>
      <c r="N157" s="7">
        <f t="shared" si="63"/>
        <v>34.466666666558012</v>
      </c>
      <c r="O157" s="7"/>
      <c r="P157" s="7"/>
      <c r="Q157" s="23"/>
      <c r="R157" s="23"/>
      <c r="S157" s="35">
        <f t="shared" si="64"/>
        <v>1</v>
      </c>
      <c r="T157" s="50" t="str">
        <f t="shared" si="51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23:18:48-700',mode:absolute,to:'2016-12-04 02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7" s="52" t="str">
        <f t="shared" si="53"/>
        <v>N</v>
      </c>
      <c r="X157" s="177">
        <f t="shared" si="65"/>
        <v>1</v>
      </c>
      <c r="Y157" s="67">
        <f t="shared" si="55"/>
        <v>7.1300000000000002E-2</v>
      </c>
      <c r="Z157" s="67">
        <f t="shared" si="66"/>
        <v>23.3414</v>
      </c>
      <c r="AA157" s="67">
        <f t="shared" si="56"/>
        <v>23.270099999999999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57"/>
        <v>0243-03</v>
      </c>
      <c r="AE157" s="91" t="str">
        <f t="shared" si="58"/>
        <v>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 &amp; aws s3 cp s3://rtdc.mdm.uploadarchive.raw/RTDC4011/ "%USERPROFILE%\AppData\Local\Temp\OnboardLogs"\RTDC4011\2016-12-05 --exclude "*" --recursive --include "*20161205*" &amp; "%USERPROFILE%\Documents\GitHub\mrs-test-scripts\Headless Mode &amp; Sideloading\WalkAndUnGZ.bat" "%USERPROFILE%\AppData\Local\Temp\OnboardLogs"\RTDC4011\2016-12-05</v>
      </c>
      <c r="AF157" s="88" t="str">
        <f t="shared" si="59"/>
        <v>"C:\Program Files (x86)\AstroGrep\AstroGrep.exe" /spath="%USERPROFILE%\AppData\Local\Temp\OnboardLogs" /stypes="app*4011*20161204*" /stext=" 08:.+((SYSTEM_STATE.+slice.+state.+changed )|(ment ac)|(multiple cpu faults)|(system.+state.+changed )|(\[timeout)|(PRM\|1\|D)|(kpr)|(kdp)|(\|lc)|(penalty))" /e /r /s</v>
      </c>
      <c r="AG157" s="1" t="str">
        <f t="shared" si="60"/>
        <v>EC</v>
      </c>
      <c r="AH157" s="92" t="str">
        <f t="shared" si="61"/>
        <v>"%USERPROFILE%\Documents\GitHub\eaglep3\Utilities\RefineRTDCRunTimes.py" --tripid 243-03 --locoid 4011 --swversion DE.1.0.8.0 --startMP 204:713 --initTime 2016-12-04T00:18:48 --startdatetime 2016-12-04T00:30:38 --delay 1 --endMP 204:233414 --enddatetime 2016-12-04T01:05:06 --enforcementcount 0 &gt;&gt;C:\Users\stu\Documents\GitHub\eaglep3-reporting\EC\2016-12-03-refined-times.txt</v>
      </c>
      <c r="AI157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{"issue":{"subject":"","project_id":79,"tracker_id":40,"status_id":1,"priority_id":2,"assigned_to_id":23,"start_date":"2016-12-04","description":"","custom_fields":[{"id":1,"name":"Subdivision","value":"EC"},{"id":4,"name":"Milepost","value":"23.3414"},{"id":17,"name":"Train ID","value":"243-03"},{"id":16,"name":"Locomotive ID","value":"4011"},{"id":130,"name":"Impact","value":""},{"id":150,"name":"Time of Event (Mountain Time)","value":"01:05:06"},{"id":151,"name":"Denver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658</v>
      </c>
      <c r="B158" s="7">
        <v>4039</v>
      </c>
      <c r="C158" s="22" t="s">
        <v>209</v>
      </c>
      <c r="D158" s="22" t="s">
        <v>792</v>
      </c>
      <c r="E158" s="13">
        <v>42708.056319444448</v>
      </c>
      <c r="F158" s="13">
        <v>42708.059988425928</v>
      </c>
      <c r="G158" s="7">
        <v>1</v>
      </c>
      <c r="H158" s="22" t="s">
        <v>229</v>
      </c>
      <c r="I158" s="13">
        <v>42708.085879629631</v>
      </c>
      <c r="J158" s="7">
        <v>0</v>
      </c>
      <c r="K158" s="109" t="str">
        <f t="shared" si="49"/>
        <v>4039/4040</v>
      </c>
      <c r="L158" s="22" t="str">
        <f>VLOOKUP(A158,'Trips&amp;Operators'!$C$1:$G$99999,5,FALSE)</f>
        <v>STAMBAUGH JAMES</v>
      </c>
      <c r="M158" s="6">
        <f t="shared" si="50"/>
        <v>2.5891203702485655E-2</v>
      </c>
      <c r="N158" s="7">
        <f t="shared" si="63"/>
        <v>37.283333331579342</v>
      </c>
      <c r="O158" s="7"/>
      <c r="P158" s="7"/>
      <c r="Q158" s="23"/>
      <c r="R158" s="23"/>
      <c r="S158" s="35">
        <f t="shared" si="64"/>
        <v>1</v>
      </c>
      <c r="T158" s="50" t="str">
        <f t="shared" si="51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https://search-rtdc-monitor-bjffxe2xuh6vdkpspy63sjmuny.us-east-1.es.amazonaws.com/_plugin/kibana/#/discover/Steve-Slow-Train-Analysis-(2080s-and-2083s)?_g=(refreshInterval:(display:Off,section:0,value:0),time:(from:'2016-12-04 00:21:06-700',mode:absolute,to:'2016-12-04 03:03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58" s="52" t="str">
        <f t="shared" si="53"/>
        <v>N</v>
      </c>
      <c r="X158" s="177">
        <f t="shared" si="65"/>
        <v>1</v>
      </c>
      <c r="Y158" s="67">
        <f t="shared" si="55"/>
        <v>23.276</v>
      </c>
      <c r="Z158" s="67">
        <f t="shared" si="66"/>
        <v>1.54E-2</v>
      </c>
      <c r="AA158" s="67">
        <f t="shared" si="56"/>
        <v>23.2606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57"/>
        <v>0244-03</v>
      </c>
      <c r="AE158" s="91" t="str">
        <f t="shared" si="58"/>
        <v>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 &amp; aws s3 cp s3://rtdc.mdm.uploadarchive.raw/RTDC4039/ "%USERPROFILE%\AppData\Local\Temp\OnboardLogs"\RTDC4039\2016-12-05 --exclude "*" --recursive --include "*20161205*" &amp; "%USERPROFILE%\Documents\GitHub\mrs-test-scripts\Headless Mode &amp; Sideloading\WalkAndUnGZ.bat" "%USERPROFILE%\AppData\Local\Temp\OnboardLogs"\RTDC4039\2016-12-05</v>
      </c>
      <c r="AF158" s="88" t="str">
        <f t="shared" si="59"/>
        <v>"C:\Program Files (x86)\AstroGrep\AstroGrep.exe" /spath="%USERPROFILE%\AppData\Local\Temp\OnboardLogs" /stypes="app*4039*20161204*" /stext=" 09:.+((SYSTEM_STATE.+slice.+state.+changed )|(ment ac)|(multiple cpu faults)|(system.+state.+changed )|(\[timeout)|(PRM\|1\|D)|(kpr)|(kdp)|(\|lc)|(penalty))" /e /r /s</v>
      </c>
      <c r="AG158" s="1" t="str">
        <f t="shared" si="60"/>
        <v>EC</v>
      </c>
      <c r="AH158" s="92" t="str">
        <f t="shared" si="61"/>
        <v>"%USERPROFILE%\Documents\GitHub\eaglep3\Utilities\RefineRTDCRunTimes.py" --tripid 244-03 --locoid 4039 --swversion DE.1.0.8.0 --startMP 204:232760 --initTime 2016-12-04T01:21:06 --startdatetime 2016-12-04T01:26:23 --delay 1 --endMP 204:154 --enddatetime 2016-12-04T02:03:40 --enforcementcount 0 &gt;&gt;C:\Users\stu\Documents\GitHub\eaglep3-reporting\EC\2016-12-03-refined-times.txt</v>
      </c>
      <c r="AI158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{"issue":{"subject":"","project_id":79,"tracker_id":40,"status_id":1,"priority_id":2,"assigned_to_id":23,"start_date":"2016-12-04","description":"","custom_fields":[{"id":1,"name":"Subdivision","value":"EC"},{"id":4,"name":"Milepost","value":"0.0154"},{"id":17,"name":"Train ID","value":"244-03"},{"id":16,"name":"Locomotive ID","value":"4039"},{"id":130,"name":"Impact","value":""},{"id":150,"name":"Time of Event (Mountain Time)","value":"02:03:40"},{"id":151,"name":"Denver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656</v>
      </c>
      <c r="B159" s="7">
        <v>4016</v>
      </c>
      <c r="C159" s="22" t="s">
        <v>209</v>
      </c>
      <c r="D159" s="22" t="s">
        <v>793</v>
      </c>
      <c r="E159" s="13">
        <v>42708.037685185183</v>
      </c>
      <c r="F159" s="13">
        <v>42708.041875000003</v>
      </c>
      <c r="G159" s="7">
        <v>1</v>
      </c>
      <c r="H159" s="22" t="s">
        <v>407</v>
      </c>
      <c r="I159" s="13">
        <v>42708.065879629627</v>
      </c>
      <c r="J159" s="7">
        <v>0</v>
      </c>
      <c r="K159" s="109" t="str">
        <f t="shared" si="49"/>
        <v>4015/4016</v>
      </c>
      <c r="L159" s="22" t="str">
        <f>VLOOKUP(A159,'Trips&amp;Operators'!$C$1:$G$99999,5,FALSE)</f>
        <v>LEVIN SCOTT</v>
      </c>
      <c r="M159" s="6">
        <f t="shared" si="50"/>
        <v>2.4004629623959772E-2</v>
      </c>
      <c r="N159" s="7">
        <f t="shared" si="63"/>
        <v>34.566666658502072</v>
      </c>
      <c r="O159" s="7"/>
      <c r="P159" s="7"/>
      <c r="Q159" s="23"/>
      <c r="R159" s="23"/>
      <c r="S159" s="35">
        <f t="shared" si="64"/>
        <v>1</v>
      </c>
      <c r="T159" s="50" t="str">
        <f t="shared" si="51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23:54:16-700',mode:absolute,to:'2016-12-04 02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9" s="52" t="str">
        <f t="shared" si="53"/>
        <v>N</v>
      </c>
      <c r="X159" s="177">
        <f t="shared" ref="X159:X164" si="67">VALUE(LEFT(AD159,4))-VALUE(LEFT(AD158,4))</f>
        <v>1</v>
      </c>
      <c r="Y159" s="67">
        <f t="shared" si="55"/>
        <v>7.4999999999999997E-2</v>
      </c>
      <c r="Z159" s="67">
        <f t="shared" si="66"/>
        <v>23.336099999999998</v>
      </c>
      <c r="AA159" s="67">
        <f t="shared" si="56"/>
        <v>23.261099999999999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57"/>
        <v>0245-03</v>
      </c>
      <c r="AE159" s="91" t="str">
        <f t="shared" si="58"/>
        <v>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 &amp; aws s3 cp s3://rtdc.mdm.uploadarchive.raw/RTDC4016/ "%USERPROFILE%\AppData\Local\Temp\OnboardLogs"\RTDC4016\2016-12-05 --exclude "*" --recursive --include "*20161205*" &amp; "%USERPROFILE%\Documents\GitHub\mrs-test-scripts\Headless Mode &amp; Sideloading\WalkAndUnGZ.bat" "%USERPROFILE%\AppData\Local\Temp\OnboardLogs"\RTDC4016\2016-12-05</v>
      </c>
      <c r="AF159" s="88" t="str">
        <f t="shared" si="59"/>
        <v>"C:\Program Files (x86)\AstroGrep\AstroGrep.exe" /spath="%USERPROFILE%\AppData\Local\Temp\OnboardLogs" /stypes="app*4016*20161204*" /stext=" 08:.+((SYSTEM_STATE.+slice.+state.+changed )|(ment ac)|(multiple cpu faults)|(system.+state.+changed )|(\[timeout)|(PRM\|1\|D)|(kpr)|(kdp)|(\|lc)|(penalty))" /e /r /s</v>
      </c>
      <c r="AG159" s="1" t="str">
        <f t="shared" si="60"/>
        <v>EC</v>
      </c>
      <c r="AH159" s="92" t="str">
        <f t="shared" si="61"/>
        <v>"%USERPROFILE%\Documents\GitHub\eaglep3\Utilities\RefineRTDCRunTimes.py" --tripid 245-03 --locoid 4016 --swversion DE.1.0.8.0 --startMP 204:750 --initTime 2016-12-04T00:54:16 --startdatetime 2016-12-04T01:00:18 --delay 1 --endMP 204:233361 --enddatetime 2016-12-04T01:34:52 --enforcementcount 0 &gt;&gt;C:\Users\stu\Documents\GitHub\eaglep3-reporting\EC\2016-12-03-refined-times.txt</v>
      </c>
      <c r="AI159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{"issue":{"subject":"","project_id":79,"tracker_id":40,"status_id":1,"priority_id":2,"assigned_to_id":23,"start_date":"2016-12-04","description":"","custom_fields":[{"id":1,"name":"Subdivision","value":"EC"},{"id":4,"name":"Milepost","value":"23.3361"},{"id":17,"name":"Train ID","value":"245-03"},{"id":16,"name":"Locomotive ID","value":"4016"},{"id":130,"name":"Impact","value":""},{"id":150,"name":"Time of Event (Mountain Time)","value":"01:34:52"},{"id":151,"name":"Denver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660</v>
      </c>
      <c r="B160" s="7">
        <v>4001</v>
      </c>
      <c r="C160" s="22" t="s">
        <v>209</v>
      </c>
      <c r="D160" s="22" t="s">
        <v>794</v>
      </c>
      <c r="E160" s="13">
        <v>42708.07613425926</v>
      </c>
      <c r="F160" s="13">
        <v>42708.080752314818</v>
      </c>
      <c r="G160" s="7">
        <v>1</v>
      </c>
      <c r="H160" s="22" t="s">
        <v>795</v>
      </c>
      <c r="I160" s="13">
        <v>42708.106539351851</v>
      </c>
      <c r="J160" s="7">
        <v>0</v>
      </c>
      <c r="K160" s="109" t="str">
        <f t="shared" si="49"/>
        <v>4001/4002</v>
      </c>
      <c r="L160" s="22" t="str">
        <f>VLOOKUP(A160,'Trips&amp;Operators'!$C$1:$G$99999,5,FALSE)</f>
        <v>LEVIN SCOTT</v>
      </c>
      <c r="M160" s="6">
        <f t="shared" si="50"/>
        <v>2.5787037033296656E-2</v>
      </c>
      <c r="N160" s="7">
        <f t="shared" si="63"/>
        <v>37.133333327947184</v>
      </c>
      <c r="O160" s="7"/>
      <c r="P160" s="7"/>
      <c r="Q160" s="23"/>
      <c r="R160" s="23"/>
      <c r="S160" s="35">
        <f t="shared" si="64"/>
        <v>1</v>
      </c>
      <c r="T160" s="50" t="str">
        <f t="shared" si="51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https://search-rtdc-monitor-bjffxe2xuh6vdkpspy63sjmuny.us-east-1.es.amazonaws.com/_plugin/kibana/#/discover/Steve-Slow-Train-Analysis-(2080s-and-2083s)?_g=(refreshInterval:(display:Off,section:0,value:0),time:(from:'2016-12-04 00:49:38-700',mode:absolute,to:'2016-12-04 03:33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0" s="52" t="str">
        <f t="shared" si="53"/>
        <v>N</v>
      </c>
      <c r="X160" s="177">
        <f t="shared" si="67"/>
        <v>1</v>
      </c>
      <c r="Y160" s="67">
        <f t="shared" si="55"/>
        <v>23.272300000000001</v>
      </c>
      <c r="Z160" s="67">
        <f t="shared" si="66"/>
        <v>1.2999999999999999E-2</v>
      </c>
      <c r="AA160" s="67">
        <f t="shared" si="56"/>
        <v>23.2593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57"/>
        <v>0246-03</v>
      </c>
      <c r="AE160" s="91" t="str">
        <f t="shared" si="58"/>
        <v>aws s3 cp s3://rtdc.mdm.uploadarchive.raw/RTDC4001/ "%USERPROFILE%\AppData\Local\Temp\OnboardLogs"\RTDC4001\2016-12-04 --exclude "*" --recursive --include "*20161204*" &amp; "%USERPROFILE%\Documents\GitHub\mrs-test-scripts\Headless Mode &amp; Sideloading\WalkAndUnGZ.bat" "%USERPROFILE%\AppData\Local\Temp\OnboardLogs"\RTDC4001\2016-12-04 &amp; aws s3 cp s3://rtdc.mdm.uploadarchive.raw/RTDC4001/ "%USERPROFILE%\AppData\Local\Temp\OnboardLogs"\RTDC4001\2016-12-05 --exclude "*" --recursive --include "*20161205*" &amp; "%USERPROFILE%\Documents\GitHub\mrs-test-scripts\Headless Mode &amp; Sideloading\WalkAndUnGZ.bat" "%USERPROFILE%\AppData\Local\Temp\OnboardLogs"\RTDC4001\2016-12-05</v>
      </c>
      <c r="AF160" s="88" t="str">
        <f t="shared" si="59"/>
        <v>"C:\Program Files (x86)\AstroGrep\AstroGrep.exe" /spath="%USERPROFILE%\AppData\Local\Temp\OnboardLogs" /stypes="app*4001*20161204*" /stext=" 09:.+((SYSTEM_STATE.+slice.+state.+changed )|(ment ac)|(multiple cpu faults)|(system.+state.+changed )|(\[timeout)|(PRM\|1\|D)|(kpr)|(kdp)|(\|lc)|(penalty))" /e /r /s</v>
      </c>
      <c r="AG160" s="1" t="str">
        <f t="shared" si="60"/>
        <v>EC</v>
      </c>
      <c r="AH160" s="92" t="str">
        <f t="shared" si="61"/>
        <v>"%USERPROFILE%\Documents\GitHub\eaglep3\Utilities\RefineRTDCRunTimes.py" --tripid 246-03 --locoid 4001 --swversion DE.1.0.8.0 --startMP 204:232723 --initTime 2016-12-04T01:49:38 --startdatetime 2016-12-04T01:56:17 --delay 1 --endMP 204:130 --enddatetime 2016-12-04T02:33:25 --enforcementcount 0 &gt;&gt;C:\Users\stu\Documents\GitHub\eaglep3-reporting\EC\2016-12-03-refined-times.txt</v>
      </c>
      <c r="AI160" s="119" t="str">
        <f t="shared" si="62"/>
        <v>echo {"issue":{"subject":"","project_id":79,"tracker_id":40,"status_id":1,"priority_id":2,"assigned_to_id":23,"start_date":"2016-12-04","description":"","custom_fields":[{"id":1,"name":"Subdivision","value":"EC"},{"id":4,"name":"Milepost","value":"0.013"},{"id":17,"name":"Train ID","value":"246-03"},{"id":16,"name":"Locomotive ID","value":"4001"},{"id":130,"name":"Impact","value":""},{"id":150,"name":"Time of Event (Mountain Time)","value":"02:33:25"},{"id":151,"name":"Denver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7" t="s">
        <v>502</v>
      </c>
      <c r="B161" s="7">
        <v>4030</v>
      </c>
      <c r="C161" s="22" t="s">
        <v>209</v>
      </c>
      <c r="D161" s="22" t="s">
        <v>422</v>
      </c>
      <c r="E161" s="13">
        <v>42707.234351851854</v>
      </c>
      <c r="F161" s="13">
        <v>42707.235902777778</v>
      </c>
      <c r="G161" s="7">
        <v>1</v>
      </c>
      <c r="H161" s="22" t="s">
        <v>710</v>
      </c>
      <c r="I161" s="13">
        <v>42707.246712962966</v>
      </c>
      <c r="J161" s="7">
        <v>0</v>
      </c>
      <c r="K161" s="109" t="str">
        <f t="shared" si="49"/>
        <v>4029/4030</v>
      </c>
      <c r="L161" s="22" t="str">
        <f>VLOOKUP(A161,'Trips&amp;Operators'!$C$1:$G$99999,5,FALSE)</f>
        <v>YORK EDGAR</v>
      </c>
      <c r="M161" s="6">
        <f t="shared" si="50"/>
        <v>1.0810185187438037E-2</v>
      </c>
      <c r="N161" s="7">
        <f t="shared" si="63"/>
        <v>15.566666669910774</v>
      </c>
      <c r="O161" s="7"/>
      <c r="P161" s="7"/>
      <c r="Q161" s="23"/>
      <c r="R161" s="23"/>
      <c r="S161" s="35">
        <f t="shared" si="64"/>
        <v>1</v>
      </c>
      <c r="T161" s="50" t="str">
        <f t="shared" si="51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04:37:28-700',mode:absolute,to:'2016-12-03 06:55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1" s="52" t="str">
        <f t="shared" si="53"/>
        <v>N</v>
      </c>
      <c r="X161" s="177">
        <f t="shared" si="67"/>
        <v>1554</v>
      </c>
      <c r="Y161" s="67">
        <f t="shared" si="55"/>
        <v>5.8616999999999999</v>
      </c>
      <c r="Z161" s="67">
        <f t="shared" si="66"/>
        <v>7.3800000000000004E-2</v>
      </c>
      <c r="AA161" s="67">
        <f t="shared" si="56"/>
        <v>5.7878999999999996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57"/>
        <v>1800-03</v>
      </c>
      <c r="AE161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61" s="88" t="str">
        <f t="shared" si="59"/>
        <v>"C:\Program Files (x86)\AstroGrep\AstroGrep.exe" /spath="%USERPROFILE%\AppData\Local\Temp\OnboardLogs" /stypes="app*4030*20161203*" /stext=" 12:.+((SYSTEM_STATE.+slice.+state.+changed )|(ment ac)|(multiple cpu faults)|(system.+state.+changed )|(\[timeout)|(PRM\|1\|D)|(kpr)|(kdp)|(\|lc)|(penalty))" /e /r /s</v>
      </c>
      <c r="AG161" s="1" t="str">
        <f t="shared" si="60"/>
        <v>NW</v>
      </c>
      <c r="AH161" s="92" t="str">
        <f t="shared" si="61"/>
        <v>"%USERPROFILE%\Documents\GitHub\eaglep3\Utilities\RefineRTDCRunTimes.py" --tripid 1800-03 --locoid 4030 --swversion DE.1.0.8.0 --startMP 300:58617 --initTime 2016-12-03T05:37:28 --startdatetime 2016-12-03T05:39:42 --delay 1 --endMP 204:738 --enddatetime 2016-12-03T05:55:16 --enforcementcount 0 &gt;&gt;C:\Users\stu\Documents\GitHub\eaglep3-reporting\EC\2016-12-03-refined-times.txt</v>
      </c>
      <c r="AI161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{"issue":{"subject":"","project_id":79,"tracker_id":40,"status_id":1,"priority_id":2,"assigned_to_id":23,"start_date":"2016-12-03","description":"","custom_fields":[{"id":1,"name":"Subdivision","value":"NW"},{"id":4,"name":"Milepost","value":"0.0738"},{"id":17,"name":"Train ID","value":"1800-03"},{"id":16,"name":"Locomotive ID","value":"4030"},{"id":130,"name":"Impact","value":""},{"id":150,"name":"Time of Event (Mountain Time)","value":"05:55:16"},{"id":151,"name":"Denver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504</v>
      </c>
      <c r="B162" s="7">
        <v>4029</v>
      </c>
      <c r="C162" s="22" t="s">
        <v>209</v>
      </c>
      <c r="D162" s="22" t="s">
        <v>711</v>
      </c>
      <c r="E162" s="13">
        <v>42707.247974537036</v>
      </c>
      <c r="F162" s="13">
        <v>42707.265138888892</v>
      </c>
      <c r="G162" s="7">
        <v>0</v>
      </c>
      <c r="H162" s="22" t="s">
        <v>416</v>
      </c>
      <c r="I162" s="13">
        <v>42707.273692129631</v>
      </c>
      <c r="J162" s="7">
        <v>0</v>
      </c>
      <c r="K162" s="109" t="str">
        <f t="shared" si="49"/>
        <v>4029/4030</v>
      </c>
      <c r="L162" s="22" t="str">
        <f>VLOOKUP(A162,'Trips&amp;Operators'!$C$1:$G$99999,5,FALSE)</f>
        <v>YORK EDGAR</v>
      </c>
      <c r="M162" s="6">
        <f t="shared" si="50"/>
        <v>8.55324073927477E-3</v>
      </c>
      <c r="N162" s="7">
        <f t="shared" si="63"/>
        <v>12.316666664555669</v>
      </c>
      <c r="O162" s="7"/>
      <c r="P162" s="7"/>
      <c r="Q162" s="23"/>
      <c r="R162" s="23"/>
      <c r="S162" s="35">
        <f t="shared" si="64"/>
        <v>1</v>
      </c>
      <c r="T162" s="50" t="str">
        <f t="shared" si="51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04:57:05-700',mode:absolute,to:'2016-12-03 07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2" s="52" t="str">
        <f t="shared" si="53"/>
        <v>N</v>
      </c>
      <c r="X162" s="177">
        <f t="shared" si="67"/>
        <v>1</v>
      </c>
      <c r="Y162" s="67">
        <f t="shared" si="55"/>
        <v>0.1018</v>
      </c>
      <c r="Z162" s="67">
        <f t="shared" si="66"/>
        <v>5.8928000000000003</v>
      </c>
      <c r="AA162" s="67">
        <f t="shared" si="56"/>
        <v>5.7910000000000004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57"/>
        <v>1801-03</v>
      </c>
      <c r="AE162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62" s="88" t="str">
        <f t="shared" si="59"/>
        <v>"C:\Program Files (x86)\AstroGrep\AstroGrep.exe" /spath="%USERPROFILE%\AppData\Local\Temp\OnboardLogs" /stypes="app*4029*20161203*" /stext=" 13:.+((SYSTEM_STATE.+slice.+state.+changed )|(ment ac)|(multiple cpu faults)|(system.+state.+changed )|(\[timeout)|(PRM\|1\|D)|(kpr)|(kdp)|(\|lc)|(penalty))" /e /r /s</v>
      </c>
      <c r="AG162" s="1" t="str">
        <f t="shared" si="60"/>
        <v>NW</v>
      </c>
      <c r="AH162" s="92" t="str">
        <f t="shared" si="61"/>
        <v>"%USERPROFILE%\Documents\GitHub\eaglep3\Utilities\RefineRTDCRunTimes.py" --tripid 1801-03 --locoid 4029 --swversion DE.1.0.8.0 --startMP 204:1018 --initTime 2016-12-03T05:57:05 --startdatetime 2016-12-03T06:21:48 --delay 0 --endMP 300:58928 --enddatetime 2016-12-03T06:34:07 --enforcementcount 0 &gt;&gt;C:\Users\stu\Documents\GitHub\eaglep3-reporting\EC\2016-12-03-refined-times.txt</v>
      </c>
      <c r="AI162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{"issue":{"subject":"","project_id":79,"tracker_id":40,"status_id":1,"priority_id":2,"assigned_to_id":23,"start_date":"2016-12-03","description":"","custom_fields":[{"id":1,"name":"Subdivision","value":"NW"},{"id":4,"name":"Milepost","value":"5.8928"},{"id":17,"name":"Train ID","value":"1801-03"},{"id":16,"name":"Locomotive ID","value":"4029"},{"id":130,"name":"Impact","value":""},{"id":150,"name":"Time of Event (Mountain Time)","value":"06:34:07"},{"id":151,"name":"Denver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509</v>
      </c>
      <c r="B163" s="7">
        <v>4030</v>
      </c>
      <c r="C163" s="22" t="s">
        <v>209</v>
      </c>
      <c r="D163" s="22" t="s">
        <v>422</v>
      </c>
      <c r="E163" s="13">
        <v>42707.275393518517</v>
      </c>
      <c r="F163" s="13">
        <v>42707.276620370372</v>
      </c>
      <c r="G163" s="7">
        <v>1</v>
      </c>
      <c r="H163" s="22" t="s">
        <v>423</v>
      </c>
      <c r="I163" s="13">
        <v>42707.287881944445</v>
      </c>
      <c r="J163" s="7">
        <v>0</v>
      </c>
      <c r="K163" s="109" t="str">
        <f t="shared" si="49"/>
        <v>4029/4030</v>
      </c>
      <c r="L163" s="22" t="str">
        <f>VLOOKUP(A163,'Trips&amp;Operators'!$C$1:$G$99999,5,FALSE)</f>
        <v>YORK EDGAR</v>
      </c>
      <c r="M163" s="6">
        <f t="shared" si="50"/>
        <v>1.1261574072705116E-2</v>
      </c>
      <c r="N163" s="7">
        <f t="shared" si="63"/>
        <v>16.216666664695367</v>
      </c>
      <c r="O163" s="7"/>
      <c r="P163" s="7"/>
      <c r="Q163" s="23"/>
      <c r="R163" s="23"/>
      <c r="S163" s="35">
        <f t="shared" si="64"/>
        <v>1</v>
      </c>
      <c r="T163" s="50" t="str">
        <f t="shared" si="51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05:36:34-700',mode:absolute,to:'2016-12-03 07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3" s="52" t="str">
        <f t="shared" si="53"/>
        <v>N</v>
      </c>
      <c r="X163" s="177">
        <f t="shared" si="67"/>
        <v>1</v>
      </c>
      <c r="Y163" s="67">
        <f t="shared" si="55"/>
        <v>5.8616999999999999</v>
      </c>
      <c r="Z163" s="67">
        <f t="shared" si="66"/>
        <v>7.3099999999999998E-2</v>
      </c>
      <c r="AA163" s="67">
        <f t="shared" si="56"/>
        <v>5.7885999999999997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57"/>
        <v>1802-03</v>
      </c>
      <c r="AE163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63" s="88" t="str">
        <f t="shared" si="59"/>
        <v>"C:\Program Files (x86)\AstroGrep\AstroGrep.exe" /spath="%USERPROFILE%\AppData\Local\Temp\OnboardLogs" /stypes="app*4030*20161203*" /stext=" 13:.+((SYSTEM_STATE.+slice.+state.+changed )|(ment ac)|(multiple cpu faults)|(system.+state.+changed )|(\[timeout)|(PRM\|1\|D)|(kpr)|(kdp)|(\|lc)|(penalty))" /e /r /s</v>
      </c>
      <c r="AG163" s="1" t="str">
        <f t="shared" si="60"/>
        <v>NW</v>
      </c>
      <c r="AH163" s="92" t="str">
        <f t="shared" si="61"/>
        <v>"%USERPROFILE%\Documents\GitHub\eaglep3\Utilities\RefineRTDCRunTimes.py" --tripid 1802-03 --locoid 4030 --swversion DE.1.0.8.0 --startMP 300:58617 --initTime 2016-12-03T06:36:34 --startdatetime 2016-12-03T06:38:20 --delay 1 --endMP 204:731 --enddatetime 2016-12-03T06:54:33 --enforcementcount 0 &gt;&gt;C:\Users\stu\Documents\GitHub\eaglep3-reporting\EC\2016-12-03-refined-times.txt</v>
      </c>
      <c r="AI163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{"issue":{"subject":"","project_id":79,"tracker_id":40,"status_id":1,"priority_id":2,"assigned_to_id":23,"start_date":"2016-12-03","description":"","custom_fields":[{"id":1,"name":"Subdivision","value":"NW"},{"id":4,"name":"Milepost","value":"0.0731"},{"id":17,"name":"Train ID","value":"1802-03"},{"id":16,"name":"Locomotive ID","value":"4030"},{"id":130,"name":"Impact","value":""},{"id":150,"name":"Time of Event (Mountain Time)","value":"06:54:33"},{"id":151,"name":"Denver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x14ac:dyDescent="0.25">
      <c r="A164" s="37" t="s">
        <v>513</v>
      </c>
      <c r="B164" s="7">
        <v>4029</v>
      </c>
      <c r="C164" s="22" t="s">
        <v>209</v>
      </c>
      <c r="D164" s="22" t="s">
        <v>431</v>
      </c>
      <c r="E164" s="13">
        <v>42707.289166666669</v>
      </c>
      <c r="F164" s="13">
        <v>42707.306550925925</v>
      </c>
      <c r="G164" s="7">
        <v>1</v>
      </c>
      <c r="H164" s="22" t="s">
        <v>432</v>
      </c>
      <c r="I164" s="13">
        <v>42707.315358796295</v>
      </c>
      <c r="J164" s="7">
        <v>0</v>
      </c>
      <c r="K164" s="109" t="str">
        <f t="shared" si="49"/>
        <v>4029/4030</v>
      </c>
      <c r="L164" s="22" t="str">
        <f>VLOOKUP(A164,'Trips&amp;Operators'!$C$1:$G$99999,5,FALSE)</f>
        <v>YORK EDGAR</v>
      </c>
      <c r="M164" s="6">
        <f t="shared" si="50"/>
        <v>8.8078703702194616E-3</v>
      </c>
      <c r="N164" s="7">
        <f t="shared" si="63"/>
        <v>12.683333333116025</v>
      </c>
      <c r="O164" s="7"/>
      <c r="P164" s="7"/>
      <c r="Q164" s="23"/>
      <c r="R164" s="23"/>
      <c r="S164" s="35">
        <f t="shared" si="64"/>
        <v>1</v>
      </c>
      <c r="T164" s="50" t="str">
        <f t="shared" si="51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05:56:24-700',mode:absolute,to:'2016-12-03 08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4" s="52" t="str">
        <f t="shared" si="53"/>
        <v>N</v>
      </c>
      <c r="X164" s="177">
        <f t="shared" si="67"/>
        <v>1</v>
      </c>
      <c r="Y164" s="67">
        <f t="shared" si="55"/>
        <v>0.1027</v>
      </c>
      <c r="Z164" s="67">
        <f t="shared" si="66"/>
        <v>5.8930999999999996</v>
      </c>
      <c r="AA164" s="67">
        <f t="shared" si="56"/>
        <v>5.7904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57"/>
        <v>1803-03</v>
      </c>
      <c r="AE164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64" s="88" t="str">
        <f t="shared" si="59"/>
        <v>"C:\Program Files (x86)\AstroGrep\AstroGrep.exe" /spath="%USERPROFILE%\AppData\Local\Temp\OnboardLogs" /stypes="app*4029*20161203*" /stext=" 14:.+((SYSTEM_STATE.+slice.+state.+changed )|(ment ac)|(multiple cpu faults)|(system.+state.+changed )|(\[timeout)|(PRM\|1\|D)|(kpr)|(kdp)|(\|lc)|(penalty))" /e /r /s</v>
      </c>
      <c r="AG164" s="1" t="str">
        <f t="shared" si="60"/>
        <v>NW</v>
      </c>
      <c r="AH164" s="92" t="str">
        <f t="shared" si="61"/>
        <v>"%USERPROFILE%\Documents\GitHub\eaglep3\Utilities\RefineRTDCRunTimes.py" --tripid 1803-03 --locoid 4029 --swversion DE.1.0.8.0 --startMP 204:1027 --initTime 2016-12-03T06:56:24 --startdatetime 2016-12-03T07:21:26 --delay 1 --endMP 300:58931 --enddatetime 2016-12-03T07:34:07 --enforcementcount 0 &gt;&gt;C:\Users\stu\Documents\GitHub\eaglep3-reporting\EC\2016-12-03-refined-times.txt</v>
      </c>
      <c r="AI164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{"issue":{"subject":"","project_id":79,"tracker_id":40,"status_id":1,"priority_id":2,"assigned_to_id":23,"start_date":"2016-12-03","description":"","custom_fields":[{"id":1,"name":"Subdivision","value":"NW"},{"id":4,"name":"Milepost","value":"5.8931"},{"id":17,"name":"Train ID","value":"1803-03"},{"id":16,"name":"Locomotive ID","value":"4029"},{"id":130,"name":"Impact","value":""},{"id":150,"name":"Time of Event (Mountain Time)","value":"07:34:07"},{"id":151,"name":"Denver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519</v>
      </c>
      <c r="B165" s="7">
        <v>4030</v>
      </c>
      <c r="C165" s="22" t="s">
        <v>209</v>
      </c>
      <c r="D165" s="22" t="s">
        <v>268</v>
      </c>
      <c r="E165" s="13">
        <v>42707.317766203705</v>
      </c>
      <c r="F165" s="13">
        <v>42707.319953703707</v>
      </c>
      <c r="G165" s="7">
        <v>1</v>
      </c>
      <c r="H165" s="22" t="s">
        <v>712</v>
      </c>
      <c r="I165" s="13">
        <v>42707.329201388886</v>
      </c>
      <c r="J165" s="7">
        <v>0</v>
      </c>
      <c r="K165" s="109" t="str">
        <f t="shared" si="49"/>
        <v>4029/4030</v>
      </c>
      <c r="L165" s="22" t="str">
        <f>VLOOKUP(A165,'Trips&amp;Operators'!$C$1:$G$99999,5,FALSE)</f>
        <v>YORK EDGAR</v>
      </c>
      <c r="M165" s="6">
        <f t="shared" si="50"/>
        <v>9.2476851787068881E-3</v>
      </c>
      <c r="N165" s="7">
        <f t="shared" si="63"/>
        <v>13.316666657337919</v>
      </c>
      <c r="O165" s="7"/>
      <c r="P165" s="7"/>
      <c r="Q165" s="23"/>
      <c r="R165" s="23"/>
      <c r="S165" s="35">
        <f t="shared" si="64"/>
        <v>1</v>
      </c>
      <c r="T165" s="50" t="str">
        <f t="shared" si="51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06:37:35-700',mode:absolute,to:'2016-12-03 08:54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5" s="52" t="str">
        <f t="shared" si="53"/>
        <v>N</v>
      </c>
      <c r="X165" s="177">
        <f t="shared" ref="X165:X196" si="68">VALUE(LEFT(AD165,4))-VALUE(LEFT(AD164,4))</f>
        <v>1</v>
      </c>
      <c r="Y165" s="67">
        <f t="shared" si="55"/>
        <v>5.8611000000000004</v>
      </c>
      <c r="Z165" s="67">
        <f t="shared" si="66"/>
        <v>7.1999999999999995E-2</v>
      </c>
      <c r="AA165" s="67">
        <f t="shared" si="56"/>
        <v>5.7891000000000004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57"/>
        <v>1804-03</v>
      </c>
      <c r="AE165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65" s="88" t="str">
        <f t="shared" si="59"/>
        <v>"C:\Program Files (x86)\AstroGrep\AstroGrep.exe" /spath="%USERPROFILE%\AppData\Local\Temp\OnboardLogs" /stypes="app*4030*20161203*" /stext=" 14:.+((SYSTEM_STATE.+slice.+state.+changed )|(ment ac)|(multiple cpu faults)|(system.+state.+changed )|(\[timeout)|(PRM\|1\|D)|(kpr)|(kdp)|(\|lc)|(penalty))" /e /r /s</v>
      </c>
      <c r="AG165" s="1" t="str">
        <f t="shared" si="60"/>
        <v>NW</v>
      </c>
      <c r="AH165" s="92" t="str">
        <f t="shared" si="61"/>
        <v>"%USERPROFILE%\Documents\GitHub\eaglep3\Utilities\RefineRTDCRunTimes.py" --tripid 1804-03 --locoid 4030 --swversion DE.1.0.8.0 --startMP 300:58611 --initTime 2016-12-03T07:37:35 --startdatetime 2016-12-03T07:40:44 --delay 1 --endMP 204:720 --enddatetime 2016-12-03T07:54:03 --enforcementcount 0 &gt;&gt;C:\Users\stu\Documents\GitHub\eaglep3-reporting\EC\2016-12-03-refined-times.txt</v>
      </c>
      <c r="AI165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{"issue":{"subject":"","project_id":79,"tracker_id":40,"status_id":1,"priority_id":2,"assigned_to_id":23,"start_date":"2016-12-03","description":"","custom_fields":[{"id":1,"name":"Subdivision","value":"NW"},{"id":4,"name":"Milepost","value":"0.072"},{"id":17,"name":"Train ID","value":"1804-03"},{"id":16,"name":"Locomotive ID","value":"4030"},{"id":130,"name":"Impact","value":""},{"id":150,"name":"Time of Event (Mountain Time)","value":"07:54:03"},{"id":151,"name":"Denver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523</v>
      </c>
      <c r="B166" s="7">
        <v>4029</v>
      </c>
      <c r="C166" s="22" t="s">
        <v>209</v>
      </c>
      <c r="D166" s="22" t="s">
        <v>431</v>
      </c>
      <c r="E166" s="13">
        <v>42707.330254629633</v>
      </c>
      <c r="F166" s="13">
        <v>42707.34847222222</v>
      </c>
      <c r="G166" s="7">
        <v>1</v>
      </c>
      <c r="H166" s="22" t="s">
        <v>427</v>
      </c>
      <c r="I166" s="13">
        <v>42707.357615740744</v>
      </c>
      <c r="J166" s="7">
        <v>0</v>
      </c>
      <c r="K166" s="109" t="str">
        <f t="shared" si="49"/>
        <v>4029/4030</v>
      </c>
      <c r="L166" s="22" t="str">
        <f>VLOOKUP(A166,'Trips&amp;Operators'!$C$1:$G$99999,5,FALSE)</f>
        <v>YORK EDGAR</v>
      </c>
      <c r="M166" s="6">
        <f t="shared" si="50"/>
        <v>9.1435185240698047E-3</v>
      </c>
      <c r="N166" s="7">
        <f t="shared" si="63"/>
        <v>13.166666674660519</v>
      </c>
      <c r="O166" s="7"/>
      <c r="P166" s="7"/>
      <c r="Q166" s="23"/>
      <c r="R166" s="23"/>
      <c r="S166" s="35">
        <f t="shared" si="64"/>
        <v>1</v>
      </c>
      <c r="T166" s="50" t="str">
        <f t="shared" si="51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06:55:34-700',mode:absolute,to:'2016-12-03 09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6" s="52" t="str">
        <f t="shared" si="53"/>
        <v>N</v>
      </c>
      <c r="X166" s="177">
        <f t="shared" si="68"/>
        <v>1</v>
      </c>
      <c r="Y166" s="67">
        <f t="shared" si="55"/>
        <v>0.1027</v>
      </c>
      <c r="Z166" s="67">
        <f t="shared" si="66"/>
        <v>5.8924000000000003</v>
      </c>
      <c r="AA166" s="67">
        <f t="shared" si="56"/>
        <v>5.7897000000000007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57"/>
        <v>1805-03</v>
      </c>
      <c r="AE166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66" s="88" t="str">
        <f t="shared" si="59"/>
        <v>"C:\Program Files (x86)\AstroGrep\AstroGrep.exe" /spath="%USERPROFILE%\AppData\Local\Temp\OnboardLogs" /stypes="app*4029*20161203*" /stext=" 15:.+((SYSTEM_STATE.+slice.+state.+changed )|(ment ac)|(multiple cpu faults)|(system.+state.+changed )|(\[timeout)|(PRM\|1\|D)|(kpr)|(kdp)|(\|lc)|(penalty))" /e /r /s</v>
      </c>
      <c r="AG166" s="1" t="str">
        <f t="shared" si="60"/>
        <v>NW</v>
      </c>
      <c r="AH166" s="92" t="str">
        <f t="shared" si="61"/>
        <v>"%USERPROFILE%\Documents\GitHub\eaglep3\Utilities\RefineRTDCRunTimes.py" --tripid 1805-03 --locoid 4029 --swversion DE.1.0.8.0 --startMP 204:1027 --initTime 2016-12-03T07:55:34 --startdatetime 2016-12-03T08:21:48 --delay 1 --endMP 300:58924 --enddatetime 2016-12-03T08:34:58 --enforcementcount 0 &gt;&gt;C:\Users\stu\Documents\GitHub\eaglep3-reporting\EC\2016-12-03-refined-times.txt</v>
      </c>
      <c r="AI166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{"issue":{"subject":"","project_id":79,"tracker_id":40,"status_id":1,"priority_id":2,"assigned_to_id":23,"start_date":"2016-12-03","description":"","custom_fields":[{"id":1,"name":"Subdivision","value":"NW"},{"id":4,"name":"Milepost","value":"5.8924"},{"id":17,"name":"Train ID","value":"1805-03"},{"id":16,"name":"Locomotive ID","value":"4029"},{"id":130,"name":"Impact","value":""},{"id":150,"name":"Time of Event (Mountain Time)","value":"08:34:58"},{"id":151,"name":"Denver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527</v>
      </c>
      <c r="B167" s="7">
        <v>4030</v>
      </c>
      <c r="C167" s="22" t="s">
        <v>209</v>
      </c>
      <c r="D167" s="22" t="s">
        <v>418</v>
      </c>
      <c r="E167" s="13">
        <v>42707.359629629631</v>
      </c>
      <c r="F167" s="13">
        <v>42707.36173611111</v>
      </c>
      <c r="G167" s="7">
        <v>1</v>
      </c>
      <c r="H167" s="22" t="s">
        <v>713</v>
      </c>
      <c r="I167" s="13">
        <v>42707.370925925927</v>
      </c>
      <c r="J167" s="7">
        <v>0</v>
      </c>
      <c r="K167" s="109" t="str">
        <f t="shared" si="49"/>
        <v>4029/4030</v>
      </c>
      <c r="L167" s="22" t="str">
        <f>VLOOKUP(A167,'Trips&amp;Operators'!$C$1:$G$99999,5,FALSE)</f>
        <v>YORK EDGAR</v>
      </c>
      <c r="M167" s="6">
        <f t="shared" si="50"/>
        <v>9.189814816636499E-3</v>
      </c>
      <c r="N167" s="7">
        <f t="shared" si="63"/>
        <v>13.233333335956559</v>
      </c>
      <c r="O167" s="7"/>
      <c r="P167" s="7"/>
      <c r="Q167" s="23"/>
      <c r="R167" s="23"/>
      <c r="S167" s="35">
        <f t="shared" si="64"/>
        <v>1</v>
      </c>
      <c r="T167" s="50" t="str">
        <f t="shared" si="51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07:37:52-700',mode:absolute,to:'2016-12-03 09:54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7" s="52" t="str">
        <f t="shared" si="53"/>
        <v>N</v>
      </c>
      <c r="X167" s="177">
        <f t="shared" si="68"/>
        <v>1</v>
      </c>
      <c r="Y167" s="67">
        <f t="shared" si="55"/>
        <v>5.8619000000000003</v>
      </c>
      <c r="Z167" s="67">
        <f t="shared" si="66"/>
        <v>7.4700000000000003E-2</v>
      </c>
      <c r="AA167" s="67">
        <f t="shared" si="56"/>
        <v>5.7872000000000003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57"/>
        <v>1806-03</v>
      </c>
      <c r="AE167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67" s="88" t="str">
        <f t="shared" si="59"/>
        <v>"C:\Program Files (x86)\AstroGrep\AstroGrep.exe" /spath="%USERPROFILE%\AppData\Local\Temp\OnboardLogs" /stypes="app*4030*20161203*" /stext=" 15:.+((SYSTEM_STATE.+slice.+state.+changed )|(ment ac)|(multiple cpu faults)|(system.+state.+changed )|(\[timeout)|(PRM\|1\|D)|(kpr)|(kdp)|(\|lc)|(penalty))" /e /r /s</v>
      </c>
      <c r="AG167" s="1" t="str">
        <f t="shared" si="60"/>
        <v>NW</v>
      </c>
      <c r="AH167" s="92" t="str">
        <f t="shared" si="61"/>
        <v>"%USERPROFILE%\Documents\GitHub\eaglep3\Utilities\RefineRTDCRunTimes.py" --tripid 1806-03 --locoid 4030 --swversion DE.1.0.8.0 --startMP 300:58619 --initTime 2016-12-03T08:37:52 --startdatetime 2016-12-03T08:40:54 --delay 1 --endMP 204:747 --enddatetime 2016-12-03T08:54:08 --enforcementcount 0 &gt;&gt;C:\Users\stu\Documents\GitHub\eaglep3-reporting\EC\2016-12-03-refined-times.txt</v>
      </c>
      <c r="AI167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{"issue":{"subject":"","project_id":79,"tracker_id":40,"status_id":1,"priority_id":2,"assigned_to_id":23,"start_date":"2016-12-03","description":"","custom_fields":[{"id":1,"name":"Subdivision","value":"NW"},{"id":4,"name":"Milepost","value":"0.0747"},{"id":17,"name":"Train ID","value":"1806-03"},{"id":16,"name":"Locomotive ID","value":"4030"},{"id":130,"name":"Impact","value":""},{"id":150,"name":"Time of Event (Mountain Time)","value":"08:54:08"},{"id":151,"name":"Denver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529</v>
      </c>
      <c r="B168" s="7">
        <v>4029</v>
      </c>
      <c r="C168" s="22" t="s">
        <v>209</v>
      </c>
      <c r="D168" s="22" t="s">
        <v>714</v>
      </c>
      <c r="E168" s="13">
        <v>42707.371979166666</v>
      </c>
      <c r="F168" s="13">
        <v>42707.389756944445</v>
      </c>
      <c r="G168" s="7">
        <v>0</v>
      </c>
      <c r="H168" s="22" t="s">
        <v>429</v>
      </c>
      <c r="I168" s="13">
        <v>42707.398275462961</v>
      </c>
      <c r="J168" s="7">
        <v>0</v>
      </c>
      <c r="K168" s="109" t="str">
        <f t="shared" si="49"/>
        <v>4029/4030</v>
      </c>
      <c r="L168" s="22" t="str">
        <f>VLOOKUP(A168,'Trips&amp;Operators'!$C$1:$G$99999,5,FALSE)</f>
        <v>YORK EDGAR</v>
      </c>
      <c r="M168" s="6">
        <f t="shared" si="50"/>
        <v>8.5185185162117705E-3</v>
      </c>
      <c r="N168" s="7">
        <f t="shared" si="63"/>
        <v>12.266666663344949</v>
      </c>
      <c r="O168" s="7"/>
      <c r="P168" s="7"/>
      <c r="Q168" s="23"/>
      <c r="R168" s="23"/>
      <c r="S168" s="35">
        <f t="shared" si="64"/>
        <v>1</v>
      </c>
      <c r="T168" s="50" t="str">
        <f t="shared" si="51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07:55:39-700',mode:absolute,to:'2016-12-03 10:33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8" s="52" t="str">
        <f t="shared" si="53"/>
        <v>N</v>
      </c>
      <c r="X168" s="177">
        <f t="shared" si="68"/>
        <v>1</v>
      </c>
      <c r="Y168" s="67">
        <f t="shared" si="55"/>
        <v>0.1032</v>
      </c>
      <c r="Z168" s="67">
        <f t="shared" si="66"/>
        <v>5.8929</v>
      </c>
      <c r="AA168" s="67">
        <f t="shared" si="56"/>
        <v>5.7896999999999998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57"/>
        <v>1807-03</v>
      </c>
      <c r="AE168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68" s="88" t="str">
        <f t="shared" si="59"/>
        <v>"C:\Program Files (x86)\AstroGrep\AstroGrep.exe" /spath="%USERPROFILE%\AppData\Local\Temp\OnboardLogs" /stypes="app*4029*20161203*" /stext=" 16:.+((SYSTEM_STATE.+slice.+state.+changed )|(ment ac)|(multiple cpu faults)|(system.+state.+changed )|(\[timeout)|(PRM\|1\|D)|(kpr)|(kdp)|(\|lc)|(penalty))" /e /r /s</v>
      </c>
      <c r="AG168" s="1" t="str">
        <f t="shared" si="60"/>
        <v>NW</v>
      </c>
      <c r="AH168" s="92" t="str">
        <f t="shared" si="61"/>
        <v>"%USERPROFILE%\Documents\GitHub\eaglep3\Utilities\RefineRTDCRunTimes.py" --tripid 1807-03 --locoid 4029 --swversion DE.1.0.8.0 --startMP 204:1032 --initTime 2016-12-03T08:55:39 --startdatetime 2016-12-03T09:21:15 --delay 0 --endMP 300:58929 --enddatetime 2016-12-03T09:33:31 --enforcementcount 0 &gt;&gt;C:\Users\stu\Documents\GitHub\eaglep3-reporting\EC\2016-12-03-refined-times.txt</v>
      </c>
      <c r="AI168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{"issue":{"subject":"","project_id":79,"tracker_id":40,"status_id":1,"priority_id":2,"assigned_to_id":23,"start_date":"2016-12-03","description":"","custom_fields":[{"id":1,"name":"Subdivision","value":"NW"},{"id":4,"name":"Milepost","value":"5.8929"},{"id":17,"name":"Train ID","value":"1807-03"},{"id":16,"name":"Locomotive ID","value":"4029"},{"id":130,"name":"Impact","value":""},{"id":150,"name":"Time of Event (Mountain Time)","value":"09:33:31"},{"id":151,"name":"Denver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535</v>
      </c>
      <c r="B169" s="7">
        <v>4030</v>
      </c>
      <c r="C169" s="22" t="s">
        <v>209</v>
      </c>
      <c r="D169" s="22" t="s">
        <v>430</v>
      </c>
      <c r="E169" s="13">
        <v>42707.400231481479</v>
      </c>
      <c r="F169" s="13">
        <v>42707.402384259258</v>
      </c>
      <c r="G169" s="7">
        <v>0</v>
      </c>
      <c r="H169" s="22" t="s">
        <v>423</v>
      </c>
      <c r="I169" s="13">
        <v>42707.412534722222</v>
      </c>
      <c r="J169" s="7">
        <v>0</v>
      </c>
      <c r="K169" s="109" t="str">
        <f t="shared" si="49"/>
        <v>4029/4030</v>
      </c>
      <c r="L169" s="22" t="str">
        <f>VLOOKUP(A169,'Trips&amp;Operators'!$C$1:$G$99999,5,FALSE)</f>
        <v>YORK EDGAR</v>
      </c>
      <c r="M169" s="6">
        <f t="shared" si="50"/>
        <v>1.0150462963792961E-2</v>
      </c>
      <c r="N169" s="7">
        <f t="shared" si="63"/>
        <v>14.616666667861864</v>
      </c>
      <c r="O169" s="7"/>
      <c r="P169" s="7"/>
      <c r="Q169" s="23"/>
      <c r="R169" s="23"/>
      <c r="S169" s="35">
        <f t="shared" si="64"/>
        <v>1</v>
      </c>
      <c r="T169" s="50" t="str">
        <f t="shared" si="51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08:36:20-700',mode:absolute,to:'2016-12-03 10:54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9" s="52" t="str">
        <f t="shared" si="53"/>
        <v>N</v>
      </c>
      <c r="X169" s="177">
        <f t="shared" si="68"/>
        <v>1</v>
      </c>
      <c r="Y169" s="67">
        <f t="shared" si="55"/>
        <v>5.8620999999999999</v>
      </c>
      <c r="Z169" s="67">
        <f t="shared" si="66"/>
        <v>7.3099999999999998E-2</v>
      </c>
      <c r="AA169" s="67">
        <f t="shared" si="56"/>
        <v>5.7889999999999997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57"/>
        <v>1808-03</v>
      </c>
      <c r="AE169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69" s="88" t="str">
        <f t="shared" si="59"/>
        <v>"C:\Program Files (x86)\AstroGrep\AstroGrep.exe" /spath="%USERPROFILE%\AppData\Local\Temp\OnboardLogs" /stypes="app*4030*20161203*" /stext=" 16:.+((SYSTEM_STATE.+slice.+state.+changed )|(ment ac)|(multiple cpu faults)|(system.+state.+changed )|(\[timeout)|(PRM\|1\|D)|(kpr)|(kdp)|(\|lc)|(penalty))" /e /r /s</v>
      </c>
      <c r="AG169" s="1" t="str">
        <f t="shared" si="60"/>
        <v>NW</v>
      </c>
      <c r="AH169" s="92" t="str">
        <f t="shared" si="61"/>
        <v>"%USERPROFILE%\Documents\GitHub\eaglep3\Utilities\RefineRTDCRunTimes.py" --tripid 1808-03 --locoid 4030 --swversion DE.1.0.8.0 --startMP 300:58621 --initTime 2016-12-03T09:36:20 --startdatetime 2016-12-03T09:39:26 --delay 0 --endMP 204:731 --enddatetime 2016-12-03T09:54:03 --enforcementcount 0 &gt;&gt;C:\Users\stu\Documents\GitHub\eaglep3-reporting\EC\2016-12-03-refined-times.txt</v>
      </c>
      <c r="AI169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{"issue":{"subject":"","project_id":79,"tracker_id":40,"status_id":1,"priority_id":2,"assigned_to_id":23,"start_date":"2016-12-03","description":"","custom_fields":[{"id":1,"name":"Subdivision","value":"NW"},{"id":4,"name":"Milepost","value":"0.0731"},{"id":17,"name":"Train ID","value":"1808-03"},{"id":16,"name":"Locomotive ID","value":"4030"},{"id":130,"name":"Impact","value":""},{"id":150,"name":"Time of Event (Mountain Time)","value":"09:54:03"},{"id":151,"name":"Denver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538</v>
      </c>
      <c r="B170" s="7">
        <v>4029</v>
      </c>
      <c r="C170" s="22" t="s">
        <v>209</v>
      </c>
      <c r="D170" s="22" t="s">
        <v>715</v>
      </c>
      <c r="E170" s="13">
        <v>42707.413495370369</v>
      </c>
      <c r="F170" s="13">
        <v>42707.431770833333</v>
      </c>
      <c r="G170" s="7">
        <v>1</v>
      </c>
      <c r="H170" s="22" t="s">
        <v>432</v>
      </c>
      <c r="I170" s="13">
        <v>42707.440486111111</v>
      </c>
      <c r="J170" s="7">
        <v>0</v>
      </c>
      <c r="K170" s="109" t="str">
        <f t="shared" si="49"/>
        <v>4029/4030</v>
      </c>
      <c r="L170" s="22" t="str">
        <f>VLOOKUP(A170,'Trips&amp;Operators'!$C$1:$G$99999,5,FALSE)</f>
        <v>YORK EDGAR</v>
      </c>
      <c r="M170" s="6">
        <f t="shared" si="50"/>
        <v>8.7152777778101154E-3</v>
      </c>
      <c r="N170" s="7">
        <f t="shared" si="63"/>
        <v>12.550000000046566</v>
      </c>
      <c r="O170" s="7"/>
      <c r="P170" s="7"/>
      <c r="Q170" s="23"/>
      <c r="R170" s="23"/>
      <c r="S170" s="35">
        <f t="shared" si="64"/>
        <v>1</v>
      </c>
      <c r="T170" s="50" t="str">
        <f t="shared" si="51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08:55:26-700',mode:absolute,to:'2016-12-03 11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0" s="52" t="str">
        <f t="shared" si="53"/>
        <v>N</v>
      </c>
      <c r="X170" s="177">
        <f t="shared" si="68"/>
        <v>1</v>
      </c>
      <c r="Y170" s="67">
        <f t="shared" si="55"/>
        <v>0.1021</v>
      </c>
      <c r="Z170" s="67">
        <f t="shared" si="66"/>
        <v>5.8930999999999996</v>
      </c>
      <c r="AA170" s="67">
        <f t="shared" si="56"/>
        <v>5.7909999999999995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57"/>
        <v>1809-03</v>
      </c>
      <c r="AE170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70" s="88" t="str">
        <f t="shared" si="59"/>
        <v>"C:\Program Files (x86)\AstroGrep\AstroGrep.exe" /spath="%USERPROFILE%\AppData\Local\Temp\OnboardLogs" /stypes="app*4029*20161203*" /stext=" 17:.+((SYSTEM_STATE.+slice.+state.+changed )|(ment ac)|(multiple cpu faults)|(system.+state.+changed )|(\[timeout)|(PRM\|1\|D)|(kpr)|(kdp)|(\|lc)|(penalty))" /e /r /s</v>
      </c>
      <c r="AG170" s="1" t="str">
        <f t="shared" si="60"/>
        <v>NW</v>
      </c>
      <c r="AH170" s="92" t="str">
        <f t="shared" si="61"/>
        <v>"%USERPROFILE%\Documents\GitHub\eaglep3\Utilities\RefineRTDCRunTimes.py" --tripid 1809-03 --locoid 4029 --swversion DE.1.0.8.0 --startMP 204:1021 --initTime 2016-12-03T09:55:26 --startdatetime 2016-12-03T10:21:45 --delay 1 --endMP 300:58931 --enddatetime 2016-12-03T10:34:18 --enforcementcount 0 &gt;&gt;C:\Users\stu\Documents\GitHub\eaglep3-reporting\EC\2016-12-03-refined-times.txt</v>
      </c>
      <c r="AI170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{"issue":{"subject":"","project_id":79,"tracker_id":40,"status_id":1,"priority_id":2,"assigned_to_id":23,"start_date":"2016-12-03","description":"","custom_fields":[{"id":1,"name":"Subdivision","value":"NW"},{"id":4,"name":"Milepost","value":"5.8931"},{"id":17,"name":"Train ID","value":"1809-03"},{"id":16,"name":"Locomotive ID","value":"4029"},{"id":130,"name":"Impact","value":""},{"id":150,"name":"Time of Event (Mountain Time)","value":"10:34:18"},{"id":151,"name":"Denver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546</v>
      </c>
      <c r="B171" s="7">
        <v>4030</v>
      </c>
      <c r="C171" s="22" t="s">
        <v>209</v>
      </c>
      <c r="D171" s="22" t="s">
        <v>418</v>
      </c>
      <c r="E171" s="13">
        <v>42707.442395833335</v>
      </c>
      <c r="F171" s="13">
        <v>42707.444166666668</v>
      </c>
      <c r="G171" s="7">
        <v>1</v>
      </c>
      <c r="H171" s="22" t="s">
        <v>716</v>
      </c>
      <c r="I171" s="13">
        <v>42707.455185185187</v>
      </c>
      <c r="J171" s="7">
        <v>0</v>
      </c>
      <c r="K171" s="109" t="str">
        <f t="shared" si="49"/>
        <v>4029/4030</v>
      </c>
      <c r="L171" s="22" t="str">
        <f>VLOOKUP(A171,'Trips&amp;Operators'!$C$1:$G$99999,5,FALSE)</f>
        <v>YORK EDGAR</v>
      </c>
      <c r="M171" s="6">
        <f t="shared" si="50"/>
        <v>1.1018518518540077E-2</v>
      </c>
      <c r="N171" s="7">
        <f t="shared" si="63"/>
        <v>15.866666666697711</v>
      </c>
      <c r="O171" s="7"/>
      <c r="P171" s="7"/>
      <c r="Q171" s="23"/>
      <c r="R171" s="23"/>
      <c r="S171" s="35">
        <f t="shared" si="64"/>
        <v>1</v>
      </c>
      <c r="T171" s="50" t="str">
        <f t="shared" si="51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09:37:03-700',mode:absolute,to:'2016-12-03 11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1" s="52" t="str">
        <f t="shared" si="53"/>
        <v>N</v>
      </c>
      <c r="X171" s="177">
        <f t="shared" si="68"/>
        <v>1</v>
      </c>
      <c r="Y171" s="67">
        <f t="shared" si="55"/>
        <v>5.8619000000000003</v>
      </c>
      <c r="Z171" s="67">
        <f t="shared" si="66"/>
        <v>7.2900000000000006E-2</v>
      </c>
      <c r="AA171" s="67">
        <f t="shared" si="56"/>
        <v>5.7890000000000006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57"/>
        <v>1810-03</v>
      </c>
      <c r="AE171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71" s="88" t="str">
        <f t="shared" si="59"/>
        <v>"C:\Program Files (x86)\AstroGrep\AstroGrep.exe" /spath="%USERPROFILE%\AppData\Local\Temp\OnboardLogs" /stypes="app*4030*20161203*" /stext=" 17:.+((SYSTEM_STATE.+slice.+state.+changed )|(ment ac)|(multiple cpu faults)|(system.+state.+changed )|(\[timeout)|(PRM\|1\|D)|(kpr)|(kdp)|(\|lc)|(penalty))" /e /r /s</v>
      </c>
      <c r="AG171" s="1" t="str">
        <f t="shared" si="60"/>
        <v>NW</v>
      </c>
      <c r="AH171" s="92" t="str">
        <f t="shared" si="61"/>
        <v>"%USERPROFILE%\Documents\GitHub\eaglep3\Utilities\RefineRTDCRunTimes.py" --tripid 1810-03 --locoid 4030 --swversion DE.1.0.8.0 --startMP 300:58619 --initTime 2016-12-03T10:37:03 --startdatetime 2016-12-03T10:39:36 --delay 1 --endMP 204:729 --enddatetime 2016-12-03T10:55:28 --enforcementcount 0 &gt;&gt;C:\Users\stu\Documents\GitHub\eaglep3-reporting\EC\2016-12-03-refined-times.txt</v>
      </c>
      <c r="AI171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{"issue":{"subject":"","project_id":79,"tracker_id":40,"status_id":1,"priority_id":2,"assigned_to_id":23,"start_date":"2016-12-03","description":"","custom_fields":[{"id":1,"name":"Subdivision","value":"NW"},{"id":4,"name":"Milepost","value":"0.0729"},{"id":17,"name":"Train ID","value":"1810-03"},{"id":16,"name":"Locomotive ID","value":"4030"},{"id":130,"name":"Impact","value":""},{"id":150,"name":"Time of Event (Mountain Time)","value":"10:55:28"},{"id":151,"name":"Denver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7" t="s">
        <v>552</v>
      </c>
      <c r="B172" s="7">
        <v>4029</v>
      </c>
      <c r="C172" s="22" t="s">
        <v>209</v>
      </c>
      <c r="D172" s="22" t="s">
        <v>420</v>
      </c>
      <c r="E172" s="13">
        <v>42707.462407407409</v>
      </c>
      <c r="F172" s="13">
        <v>42707.47351851852</v>
      </c>
      <c r="G172" s="7">
        <v>1</v>
      </c>
      <c r="H172" s="22" t="s">
        <v>717</v>
      </c>
      <c r="I172" s="13">
        <v>42707.483599537038</v>
      </c>
      <c r="J172" s="7">
        <v>0</v>
      </c>
      <c r="K172" s="109" t="str">
        <f t="shared" si="49"/>
        <v>4029/4030</v>
      </c>
      <c r="L172" s="22" t="str">
        <f>VLOOKUP(A172,'Trips&amp;Operators'!$C$1:$G$99999,5,FALSE)</f>
        <v>YORK EDGAR</v>
      </c>
      <c r="M172" s="6">
        <f t="shared" si="50"/>
        <v>1.0081018517666962E-2</v>
      </c>
      <c r="N172" s="7">
        <f t="shared" si="63"/>
        <v>14.516666665440425</v>
      </c>
      <c r="O172" s="7"/>
      <c r="P172" s="7"/>
      <c r="Q172" s="23"/>
      <c r="R172" s="23"/>
      <c r="S172" s="35">
        <f t="shared" si="64"/>
        <v>1</v>
      </c>
      <c r="T172" s="50" t="str">
        <f t="shared" si="51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10:05:52-700',mode:absolute,to:'2016-12-03 12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2" s="52" t="str">
        <f t="shared" si="53"/>
        <v>N</v>
      </c>
      <c r="X172" s="177">
        <f t="shared" si="68"/>
        <v>1</v>
      </c>
      <c r="Y172" s="67">
        <f t="shared" si="55"/>
        <v>0.1023</v>
      </c>
      <c r="Z172" s="67">
        <f t="shared" si="66"/>
        <v>5.8933</v>
      </c>
      <c r="AA172" s="67">
        <f t="shared" si="56"/>
        <v>5.7910000000000004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57"/>
        <v>1811-03</v>
      </c>
      <c r="AE172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72" s="88" t="str">
        <f t="shared" si="59"/>
        <v>"C:\Program Files (x86)\AstroGrep\AstroGrep.exe" /spath="%USERPROFILE%\AppData\Local\Temp\OnboardLogs" /stypes="app*4029*20161203*" /stext=" 18:.+((SYSTEM_STATE.+slice.+state.+changed )|(ment ac)|(multiple cpu faults)|(system.+state.+changed )|(\[timeout)|(PRM\|1\|D)|(kpr)|(kdp)|(\|lc)|(penalty))" /e /r /s</v>
      </c>
      <c r="AG172" s="1" t="str">
        <f t="shared" si="60"/>
        <v>NW</v>
      </c>
      <c r="AH172" s="92" t="str">
        <f t="shared" si="61"/>
        <v>"%USERPROFILE%\Documents\GitHub\eaglep3\Utilities\RefineRTDCRunTimes.py" --tripid 1811-03 --locoid 4029 --swversion DE.1.0.8.0 --startMP 204:1023 --initTime 2016-12-03T11:05:52 --startdatetime 2016-12-03T11:21:52 --delay 1 --endMP 300:58933 --enddatetime 2016-12-03T11:36:23 --enforcementcount 0 &gt;&gt;C:\Users\stu\Documents\GitHub\eaglep3-reporting\EC\2016-12-03-refined-times.txt</v>
      </c>
      <c r="AI172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{"issue":{"subject":"","project_id":79,"tracker_id":40,"status_id":1,"priority_id":2,"assigned_to_id":23,"start_date":"2016-12-03","description":"","custom_fields":[{"id":1,"name":"Subdivision","value":"NW"},{"id":4,"name":"Milepost","value":"5.8933"},{"id":17,"name":"Train ID","value":"1811-03"},{"id":16,"name":"Locomotive ID","value":"4029"},{"id":130,"name":"Impact","value":""},{"id":150,"name":"Time of Event (Mountain Time)","value":"11:36:23"},{"id":151,"name":"Denver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s="21" customFormat="1" x14ac:dyDescent="0.25">
      <c r="A173" s="37" t="s">
        <v>445</v>
      </c>
      <c r="B173" s="7">
        <v>4030</v>
      </c>
      <c r="C173" s="22" t="s">
        <v>209</v>
      </c>
      <c r="D173" s="22" t="s">
        <v>268</v>
      </c>
      <c r="E173" s="13">
        <v>42707.484907407408</v>
      </c>
      <c r="F173" s="13">
        <v>42707.486226851855</v>
      </c>
      <c r="G173" s="7">
        <v>1</v>
      </c>
      <c r="H173" s="22" t="s">
        <v>425</v>
      </c>
      <c r="I173" s="13">
        <v>42707.496192129627</v>
      </c>
      <c r="J173" s="7">
        <v>0</v>
      </c>
      <c r="K173" s="109" t="str">
        <f t="shared" si="49"/>
        <v>4029/4030</v>
      </c>
      <c r="L173" s="22" t="str">
        <f>VLOOKUP(A173,'Trips&amp;Operators'!$C$1:$G$99999,5,FALSE)</f>
        <v>YORK EDGAR</v>
      </c>
      <c r="M173" s="6">
        <f t="shared" si="50"/>
        <v>9.965277771698311E-3</v>
      </c>
      <c r="N173" s="7">
        <f t="shared" si="63"/>
        <v>14.349999991245568</v>
      </c>
      <c r="O173" s="7"/>
      <c r="P173" s="7"/>
      <c r="Q173" s="23"/>
      <c r="R173" s="23"/>
      <c r="S173" s="35">
        <f t="shared" si="64"/>
        <v>1</v>
      </c>
      <c r="T173" s="50" t="str">
        <f t="shared" si="51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10:38:16-700',mode:absolute,to:'2016-12-03 12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3" s="52" t="str">
        <f t="shared" si="53"/>
        <v>N</v>
      </c>
      <c r="X173" s="177">
        <f t="shared" si="68"/>
        <v>1</v>
      </c>
      <c r="Y173" s="67">
        <f t="shared" si="55"/>
        <v>5.8611000000000004</v>
      </c>
      <c r="Z173" s="67">
        <f t="shared" si="66"/>
        <v>7.3999999999999996E-2</v>
      </c>
      <c r="AA173" s="67">
        <f t="shared" si="56"/>
        <v>5.7871000000000006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57"/>
        <v>1812-03</v>
      </c>
      <c r="AE173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73" s="88" t="str">
        <f t="shared" si="59"/>
        <v>"C:\Program Files (x86)\AstroGrep\AstroGrep.exe" /spath="%USERPROFILE%\AppData\Local\Temp\OnboardLogs" /stypes="app*4030*20161203*" /stext=" 18:.+((SYSTEM_STATE.+slice.+state.+changed )|(ment ac)|(multiple cpu faults)|(system.+state.+changed )|(\[timeout)|(PRM\|1\|D)|(kpr)|(kdp)|(\|lc)|(penalty))" /e /r /s</v>
      </c>
      <c r="AG173" s="1" t="str">
        <f t="shared" si="60"/>
        <v>NW</v>
      </c>
      <c r="AH173" s="92" t="str">
        <f t="shared" si="61"/>
        <v>"%USERPROFILE%\Documents\GitHub\eaglep3\Utilities\RefineRTDCRunTimes.py" --tripid 1812-03 --locoid 4030 --swversion DE.1.0.8.0 --startMP 300:58611 --initTime 2016-12-03T11:38:16 --startdatetime 2016-12-03T11:40:10 --delay 1 --endMP 204:740 --enddatetime 2016-12-03T11:54:31 --enforcementcount 0 &gt;&gt;C:\Users\stu\Documents\GitHub\eaglep3-reporting\EC\2016-12-03-refined-times.txt</v>
      </c>
      <c r="AI173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{"issue":{"subject":"","project_id":79,"tracker_id":40,"status_id":1,"priority_id":2,"assigned_to_id":23,"start_date":"2016-12-03","description":"","custom_fields":[{"id":1,"name":"Subdivision","value":"NW"},{"id":4,"name":"Milepost","value":"0.074"},{"id":17,"name":"Train ID","value":"1812-03"},{"id":16,"name":"Locomotive ID","value":"4030"},{"id":130,"name":"Impact","value":""},{"id":150,"name":"Time of Event (Mountain Time)","value":"11:54:31"},{"id":151,"name":"Denver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559</v>
      </c>
      <c r="B174" s="7">
        <v>4029</v>
      </c>
      <c r="C174" s="22" t="s">
        <v>209</v>
      </c>
      <c r="D174" s="22" t="s">
        <v>420</v>
      </c>
      <c r="E174" s="13">
        <v>42707.497291666667</v>
      </c>
      <c r="F174" s="13">
        <v>42707.515173611115</v>
      </c>
      <c r="G174" s="7">
        <v>1</v>
      </c>
      <c r="H174" s="22" t="s">
        <v>432</v>
      </c>
      <c r="I174" s="13">
        <v>42707.524155092593</v>
      </c>
      <c r="J174" s="7">
        <v>0</v>
      </c>
      <c r="K174" s="109" t="str">
        <f t="shared" si="49"/>
        <v>4029/4030</v>
      </c>
      <c r="L174" s="22" t="str">
        <f>VLOOKUP(A174,'Trips&amp;Operators'!$C$1:$G$99999,5,FALSE)</f>
        <v>YORK EDGAR</v>
      </c>
      <c r="M174" s="6">
        <f t="shared" si="50"/>
        <v>8.9814814782585017E-3</v>
      </c>
      <c r="N174" s="7">
        <f t="shared" ref="N174:N205" si="69">24*60*SUM($M174:$M174)</f>
        <v>12.933333328692243</v>
      </c>
      <c r="O174" s="7"/>
      <c r="P174" s="7"/>
      <c r="Q174" s="23"/>
      <c r="R174" s="23"/>
      <c r="S174" s="35">
        <f t="shared" ref="S174:S205" si="70">SUM(U174:U174)/IF(AG174="EC",12,1)</f>
        <v>1</v>
      </c>
      <c r="T174" s="50" t="str">
        <f t="shared" si="51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10:56:06-700',mode:absolute,to:'2016-12-03 13:34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4" s="52" t="str">
        <f t="shared" si="53"/>
        <v>N</v>
      </c>
      <c r="X174" s="177">
        <f t="shared" si="68"/>
        <v>1</v>
      </c>
      <c r="Y174" s="67">
        <f t="shared" si="55"/>
        <v>0.1023</v>
      </c>
      <c r="Z174" s="67">
        <f t="shared" si="66"/>
        <v>5.8930999999999996</v>
      </c>
      <c r="AA174" s="67">
        <f t="shared" si="56"/>
        <v>5.7907999999999999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57"/>
        <v>1813-03</v>
      </c>
      <c r="AE174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74" s="88" t="str">
        <f t="shared" si="59"/>
        <v>"C:\Program Files (x86)\AstroGrep\AstroGrep.exe" /spath="%USERPROFILE%\AppData\Local\Temp\OnboardLogs" /stypes="app*4029*20161203*" /stext=" 19:.+((SYSTEM_STATE.+slice.+state.+changed )|(ment ac)|(multiple cpu faults)|(system.+state.+changed )|(\[timeout)|(PRM\|1\|D)|(kpr)|(kdp)|(\|lc)|(penalty))" /e /r /s</v>
      </c>
      <c r="AG174" s="1" t="str">
        <f t="shared" si="60"/>
        <v>NW</v>
      </c>
      <c r="AH174" s="92" t="str">
        <f t="shared" si="61"/>
        <v>"%USERPROFILE%\Documents\GitHub\eaglep3\Utilities\RefineRTDCRunTimes.py" --tripid 1813-03 --locoid 4029 --swversion DE.1.0.8.0 --startMP 204:1023 --initTime 2016-12-03T11:56:06 --startdatetime 2016-12-03T12:21:51 --delay 1 --endMP 300:58931 --enddatetime 2016-12-03T12:34:47 --enforcementcount 0 &gt;&gt;C:\Users\stu\Documents\GitHub\eaglep3-reporting\EC\2016-12-03-refined-times.txt</v>
      </c>
      <c r="AI174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{"issue":{"subject":"","project_id":79,"tracker_id":40,"status_id":1,"priority_id":2,"assigned_to_id":23,"start_date":"2016-12-03","description":"","custom_fields":[{"id":1,"name":"Subdivision","value":"NW"},{"id":4,"name":"Milepost","value":"5.8931"},{"id":17,"name":"Train ID","value":"1813-03"},{"id":16,"name":"Locomotive ID","value":"4029"},{"id":130,"name":"Impact","value":""},{"id":150,"name":"Time of Event (Mountain Time)","value":"12:34:47"},{"id":151,"name":"Denver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7" t="s">
        <v>568</v>
      </c>
      <c r="B175" s="7">
        <v>4030</v>
      </c>
      <c r="C175" s="22" t="s">
        <v>209</v>
      </c>
      <c r="D175" s="22" t="s">
        <v>304</v>
      </c>
      <c r="E175" s="13">
        <v>42707.525729166664</v>
      </c>
      <c r="F175" s="13">
        <v>42707.527905092589</v>
      </c>
      <c r="G175" s="7">
        <v>1</v>
      </c>
      <c r="H175" s="22" t="s">
        <v>434</v>
      </c>
      <c r="I175" s="13">
        <v>42707.537453703706</v>
      </c>
      <c r="J175" s="7">
        <v>0</v>
      </c>
      <c r="K175" s="109" t="str">
        <f t="shared" si="49"/>
        <v>4029/4030</v>
      </c>
      <c r="L175" s="22" t="str">
        <f>VLOOKUP(A175,'Trips&amp;Operators'!$C$1:$G$99999,5,FALSE)</f>
        <v>YORK EDGAR</v>
      </c>
      <c r="M175" s="6">
        <f t="shared" si="50"/>
        <v>9.5486111167701893E-3</v>
      </c>
      <c r="N175" s="7">
        <f t="shared" si="69"/>
        <v>13.750000008149073</v>
      </c>
      <c r="O175" s="7"/>
      <c r="P175" s="7"/>
      <c r="Q175" s="23"/>
      <c r="R175" s="23"/>
      <c r="S175" s="35">
        <f t="shared" si="70"/>
        <v>1</v>
      </c>
      <c r="T175" s="50" t="str">
        <f t="shared" si="51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11:37:03-700',mode:absolute,to:'2016-12-03 13:53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5" s="52" t="str">
        <f t="shared" si="53"/>
        <v>N</v>
      </c>
      <c r="X175" s="177">
        <f t="shared" si="68"/>
        <v>1</v>
      </c>
      <c r="Y175" s="67">
        <f t="shared" si="55"/>
        <v>5.8623000000000003</v>
      </c>
      <c r="Z175" s="67">
        <f t="shared" si="66"/>
        <v>7.3300000000000004E-2</v>
      </c>
      <c r="AA175" s="67">
        <f t="shared" si="56"/>
        <v>5.7890000000000006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57"/>
        <v>1814-03</v>
      </c>
      <c r="AE175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75" s="88" t="str">
        <f t="shared" si="59"/>
        <v>"C:\Program Files (x86)\AstroGrep\AstroGrep.exe" /spath="%USERPROFILE%\AppData\Local\Temp\OnboardLogs" /stypes="app*4030*20161203*" /stext=" 19:.+((SYSTEM_STATE.+slice.+state.+changed )|(ment ac)|(multiple cpu faults)|(system.+state.+changed )|(\[timeout)|(PRM\|1\|D)|(kpr)|(kdp)|(\|lc)|(penalty))" /e /r /s</v>
      </c>
      <c r="AG175" s="1" t="str">
        <f t="shared" si="60"/>
        <v>NW</v>
      </c>
      <c r="AH175" s="92" t="str">
        <f t="shared" si="61"/>
        <v>"%USERPROFILE%\Documents\GitHub\eaglep3\Utilities\RefineRTDCRunTimes.py" --tripid 1814-03 --locoid 4030 --swversion DE.1.0.8.0 --startMP 300:58623 --initTime 2016-12-03T12:37:03 --startdatetime 2016-12-03T12:40:11 --delay 1 --endMP 204:733 --enddatetime 2016-12-03T12:53:56 --enforcementcount 0 &gt;&gt;C:\Users\stu\Documents\GitHub\eaglep3-reporting\EC\2016-12-03-refined-times.txt</v>
      </c>
      <c r="AI175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{"issue":{"subject":"","project_id":79,"tracker_id":40,"status_id":1,"priority_id":2,"assigned_to_id":23,"start_date":"2016-12-03","description":"","custom_fields":[{"id":1,"name":"Subdivision","value":"NW"},{"id":4,"name":"Milepost","value":"0.0733"},{"id":17,"name":"Train ID","value":"1814-03"},{"id":16,"name":"Locomotive ID","value":"4030"},{"id":130,"name":"Impact","value":""},{"id":150,"name":"Time of Event (Mountain Time)","value":"12:53:56"},{"id":151,"name":"Denver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7" t="s">
        <v>572</v>
      </c>
      <c r="B176" s="7">
        <v>4029</v>
      </c>
      <c r="C176" s="22" t="s">
        <v>209</v>
      </c>
      <c r="D176" s="22" t="s">
        <v>718</v>
      </c>
      <c r="E176" s="13">
        <v>42707.542164351849</v>
      </c>
      <c r="F176" s="13">
        <v>42707.556400462963</v>
      </c>
      <c r="G176" s="7">
        <v>1</v>
      </c>
      <c r="H176" s="22" t="s">
        <v>432</v>
      </c>
      <c r="I176" s="13">
        <v>42707.564988425926</v>
      </c>
      <c r="J176" s="7">
        <v>0</v>
      </c>
      <c r="K176" s="109" t="str">
        <f t="shared" si="49"/>
        <v>4029/4030</v>
      </c>
      <c r="L176" s="22" t="str">
        <f>VLOOKUP(A176,'Trips&amp;Operators'!$C$1:$G$99999,5,FALSE)</f>
        <v>YORK EDGAR</v>
      </c>
      <c r="M176" s="6">
        <f t="shared" si="50"/>
        <v>8.5879629623377696E-3</v>
      </c>
      <c r="N176" s="7">
        <f t="shared" si="69"/>
        <v>12.366666665766388</v>
      </c>
      <c r="O176" s="7"/>
      <c r="P176" s="7"/>
      <c r="Q176" s="23"/>
      <c r="R176" s="23"/>
      <c r="S176" s="35">
        <f t="shared" si="70"/>
        <v>1</v>
      </c>
      <c r="T176" s="50" t="str">
        <f t="shared" si="51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12:00:43-700',mode:absolute,to:'2016-12-03 14:33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6" s="52" t="str">
        <f t="shared" si="53"/>
        <v>N</v>
      </c>
      <c r="X176" s="177">
        <f t="shared" si="68"/>
        <v>1</v>
      </c>
      <c r="Y176" s="67">
        <f t="shared" si="55"/>
        <v>0.10340000000000001</v>
      </c>
      <c r="Z176" s="67">
        <f t="shared" si="66"/>
        <v>5.8930999999999996</v>
      </c>
      <c r="AA176" s="67">
        <f t="shared" si="56"/>
        <v>5.7896999999999998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57"/>
        <v>1815-03</v>
      </c>
      <c r="AE176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76" s="88" t="str">
        <f t="shared" si="59"/>
        <v>"C:\Program Files (x86)\AstroGrep\AstroGrep.exe" /spath="%USERPROFILE%\AppData\Local\Temp\OnboardLogs" /stypes="app*4029*20161203*" /stext=" 20:.+((SYSTEM_STATE.+slice.+state.+changed )|(ment ac)|(multiple cpu faults)|(system.+state.+changed )|(\[timeout)|(PRM\|1\|D)|(kpr)|(kdp)|(\|lc)|(penalty))" /e /r /s</v>
      </c>
      <c r="AG176" s="1" t="str">
        <f t="shared" si="60"/>
        <v>NW</v>
      </c>
      <c r="AH176" s="92" t="str">
        <f t="shared" si="61"/>
        <v>"%USERPROFILE%\Documents\GitHub\eaglep3\Utilities\RefineRTDCRunTimes.py" --tripid 1815-03 --locoid 4029 --swversion DE.1.0.8.0 --startMP 204:1034 --initTime 2016-12-03T13:00:43 --startdatetime 2016-12-03T13:21:13 --delay 1 --endMP 300:58931 --enddatetime 2016-12-03T13:33:35 --enforcementcount 0 &gt;&gt;C:\Users\stu\Documents\GitHub\eaglep3-reporting\EC\2016-12-03-refined-times.txt</v>
      </c>
      <c r="AI176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{"issue":{"subject":"","project_id":79,"tracker_id":40,"status_id":1,"priority_id":2,"assigned_to_id":23,"start_date":"2016-12-03","description":"","custom_fields":[{"id":1,"name":"Subdivision","value":"NW"},{"id":4,"name":"Milepost","value":"5.8931"},{"id":17,"name":"Train ID","value":"1815-03"},{"id":16,"name":"Locomotive ID","value":"4029"},{"id":130,"name":"Impact","value":""},{"id":150,"name":"Time of Event (Mountain Time)","value":"13:33:35"},{"id":151,"name":"Denver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7" t="s">
        <v>578</v>
      </c>
      <c r="B177" s="7">
        <v>4030</v>
      </c>
      <c r="C177" s="22" t="s">
        <v>209</v>
      </c>
      <c r="D177" s="22" t="s">
        <v>422</v>
      </c>
      <c r="E177" s="13">
        <v>42707.567731481482</v>
      </c>
      <c r="F177" s="13">
        <v>42707.569050925929</v>
      </c>
      <c r="G177" s="7">
        <v>1</v>
      </c>
      <c r="H177" s="22" t="s">
        <v>434</v>
      </c>
      <c r="I177" s="13">
        <v>42707.579502314817</v>
      </c>
      <c r="J177" s="7">
        <v>0</v>
      </c>
      <c r="K177" s="109" t="str">
        <f t="shared" si="49"/>
        <v>4029/4030</v>
      </c>
      <c r="L177" s="22" t="str">
        <f>VLOOKUP(A177,'Trips&amp;Operators'!$C$1:$G$99999,5,FALSE)</f>
        <v>YORK EDGAR</v>
      </c>
      <c r="M177" s="6">
        <f t="shared" si="50"/>
        <v>1.0451388887304347E-2</v>
      </c>
      <c r="N177" s="7">
        <f t="shared" si="69"/>
        <v>15.04999999771826</v>
      </c>
      <c r="O177" s="7"/>
      <c r="P177" s="7"/>
      <c r="Q177" s="23"/>
      <c r="R177" s="23"/>
      <c r="S177" s="35">
        <f t="shared" si="70"/>
        <v>1</v>
      </c>
      <c r="T177" s="50" t="str">
        <f t="shared" si="51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12:37:32-700',mode:absolute,to:'2016-12-03 14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7" s="52" t="str">
        <f t="shared" si="53"/>
        <v>N</v>
      </c>
      <c r="X177" s="177">
        <f t="shared" si="68"/>
        <v>1</v>
      </c>
      <c r="Y177" s="67">
        <f t="shared" si="55"/>
        <v>5.8616999999999999</v>
      </c>
      <c r="Z177" s="67">
        <f t="shared" ref="Z177:Z208" si="71">RIGHT(H177,LEN(H177)-4)/10000</f>
        <v>7.3300000000000004E-2</v>
      </c>
      <c r="AA177" s="67">
        <f t="shared" si="56"/>
        <v>5.7884000000000002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57"/>
        <v>1816-03</v>
      </c>
      <c r="AE177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77" s="88" t="str">
        <f t="shared" si="59"/>
        <v>"C:\Program Files (x86)\AstroGrep\AstroGrep.exe" /spath="%USERPROFILE%\AppData\Local\Temp\OnboardLogs" /stypes="app*4030*20161203*" /stext=" 20:.+((SYSTEM_STATE.+slice.+state.+changed )|(ment ac)|(multiple cpu faults)|(system.+state.+changed )|(\[timeout)|(PRM\|1\|D)|(kpr)|(kdp)|(\|lc)|(penalty))" /e /r /s</v>
      </c>
      <c r="AG177" s="1" t="str">
        <f t="shared" si="60"/>
        <v>NW</v>
      </c>
      <c r="AH177" s="92" t="str">
        <f t="shared" si="61"/>
        <v>"%USERPROFILE%\Documents\GitHub\eaglep3\Utilities\RefineRTDCRunTimes.py" --tripid 1816-03 --locoid 4030 --swversion DE.1.0.8.0 --startMP 300:58617 --initTime 2016-12-03T13:37:32 --startdatetime 2016-12-03T13:39:26 --delay 1 --endMP 204:733 --enddatetime 2016-12-03T13:54:29 --enforcementcount 0 &gt;&gt;C:\Users\stu\Documents\GitHub\eaglep3-reporting\EC\2016-12-03-refined-times.txt</v>
      </c>
      <c r="AI177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{"issue":{"subject":"","project_id":79,"tracker_id":40,"status_id":1,"priority_id":2,"assigned_to_id":23,"start_date":"2016-12-03","description":"","custom_fields":[{"id":1,"name":"Subdivision","value":"NW"},{"id":4,"name":"Milepost","value":"0.0733"},{"id":17,"name":"Train ID","value":"1816-03"},{"id":16,"name":"Locomotive ID","value":"4030"},{"id":130,"name":"Impact","value":""},{"id":150,"name":"Time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7" t="s">
        <v>581</v>
      </c>
      <c r="B178" s="7">
        <v>4029</v>
      </c>
      <c r="C178" s="22" t="s">
        <v>209</v>
      </c>
      <c r="D178" s="22" t="s">
        <v>719</v>
      </c>
      <c r="E178" s="13">
        <v>42707.584340277775</v>
      </c>
      <c r="F178" s="13">
        <v>42707.598171296297</v>
      </c>
      <c r="G178" s="7">
        <v>2</v>
      </c>
      <c r="H178" s="22" t="s">
        <v>720</v>
      </c>
      <c r="I178" s="13">
        <v>42707.60769675926</v>
      </c>
      <c r="J178" s="7">
        <v>0</v>
      </c>
      <c r="K178" s="109" t="str">
        <f t="shared" si="49"/>
        <v>4029/4030</v>
      </c>
      <c r="L178" s="22" t="str">
        <f>VLOOKUP(A178,'Trips&amp;Operators'!$C$1:$G$99999,5,FALSE)</f>
        <v>HOLCOMB KAMDEN</v>
      </c>
      <c r="M178" s="6">
        <f t="shared" si="50"/>
        <v>9.5254629632108845E-3</v>
      </c>
      <c r="N178" s="7">
        <f t="shared" si="69"/>
        <v>13.716666667023674</v>
      </c>
      <c r="O178" s="7"/>
      <c r="P178" s="7"/>
      <c r="Q178" s="23"/>
      <c r="R178" s="23"/>
      <c r="S178" s="35">
        <f t="shared" si="70"/>
        <v>1</v>
      </c>
      <c r="T178" s="50" t="str">
        <f t="shared" si="51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13:01:27-700',mode:absolute,to:'2016-12-03 15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8" s="52" t="str">
        <f t="shared" si="53"/>
        <v>N</v>
      </c>
      <c r="X178" s="177">
        <f t="shared" si="68"/>
        <v>1</v>
      </c>
      <c r="Y178" s="67">
        <f t="shared" si="55"/>
        <v>0.1014</v>
      </c>
      <c r="Z178" s="67">
        <f t="shared" si="71"/>
        <v>5.8914</v>
      </c>
      <c r="AA178" s="67">
        <f t="shared" si="56"/>
        <v>5.79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57"/>
        <v>1817-03</v>
      </c>
      <c r="AE178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78" s="88" t="str">
        <f t="shared" si="59"/>
        <v>"C:\Program Files (x86)\AstroGrep\AstroGrep.exe" /spath="%USERPROFILE%\AppData\Local\Temp\OnboardLogs" /stypes="app*4029*20161203*" /stext=" 21:.+((SYSTEM_STATE.+slice.+state.+changed )|(ment ac)|(multiple cpu faults)|(system.+state.+changed )|(\[timeout)|(PRM\|1\|D)|(kpr)|(kdp)|(\|lc)|(penalty))" /e /r /s</v>
      </c>
      <c r="AG178" s="1" t="str">
        <f t="shared" si="60"/>
        <v>NW</v>
      </c>
      <c r="AH178" s="92" t="str">
        <f t="shared" si="61"/>
        <v>"%USERPROFILE%\Documents\GitHub\eaglep3\Utilities\RefineRTDCRunTimes.py" --tripid 1817-03 --locoid 4029 --swversion DE.1.0.8.0 --startMP 204:1014 --initTime 2016-12-03T14:01:27 --startdatetime 2016-12-03T14:21:22 --delay 2 --endMP 300:58914 --enddatetime 2016-12-03T14:35:05 --enforcementcount 0 &gt;&gt;C:\Users\stu\Documents\GitHub\eaglep3-reporting\EC\2016-12-03-refined-times.txt</v>
      </c>
      <c r="AI178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{"issue":{"subject":"","project_id":79,"tracker_id":40,"status_id":1,"priority_id":2,"assigned_to_id":23,"start_date":"2016-12-03","description":"","custom_fields":[{"id":1,"name":"Subdivision","value":"NW"},{"id":4,"name":"Milepost","value":"5.8914"},{"id":17,"name":"Train ID","value":"1817-03"},{"id":16,"name":"Locomotive ID","value":"4029"},{"id":130,"name":"Impact","value":""},{"id":150,"name":"Time of Event (Mountain Time)","value":"14:35:05"},{"id":151,"name":"Denver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588</v>
      </c>
      <c r="B179" s="7">
        <v>4030</v>
      </c>
      <c r="C179" s="22" t="s">
        <v>209</v>
      </c>
      <c r="D179" s="22" t="s">
        <v>721</v>
      </c>
      <c r="E179" s="13">
        <v>42707.608680555553</v>
      </c>
      <c r="F179" s="13">
        <v>42707.61041666667</v>
      </c>
      <c r="G179" s="7">
        <v>1</v>
      </c>
      <c r="H179" s="22" t="s">
        <v>722</v>
      </c>
      <c r="I179" s="13">
        <v>42707.621678240743</v>
      </c>
      <c r="J179" s="7">
        <v>0</v>
      </c>
      <c r="K179" s="109" t="str">
        <f t="shared" si="49"/>
        <v>4029/4030</v>
      </c>
      <c r="L179" s="22" t="str">
        <f>VLOOKUP(A179,'Trips&amp;Operators'!$C$1:$G$99999,5,FALSE)</f>
        <v>HOLCOMB KAMDEN</v>
      </c>
      <c r="M179" s="6">
        <f t="shared" si="50"/>
        <v>1.1261574072705116E-2</v>
      </c>
      <c r="N179" s="7">
        <f t="shared" si="69"/>
        <v>16.216666664695367</v>
      </c>
      <c r="O179" s="7"/>
      <c r="P179" s="7"/>
      <c r="Q179" s="23"/>
      <c r="R179" s="23"/>
      <c r="S179" s="35">
        <f t="shared" si="70"/>
        <v>1</v>
      </c>
      <c r="T179" s="50" t="str">
        <f t="shared" si="51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13:36:30-700',mode:absolute,to:'2016-12-03 15:55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79" s="52" t="str">
        <f t="shared" si="53"/>
        <v>N</v>
      </c>
      <c r="X179" s="177">
        <f t="shared" si="68"/>
        <v>1</v>
      </c>
      <c r="Y179" s="67">
        <f t="shared" si="55"/>
        <v>5.8597999999999999</v>
      </c>
      <c r="Z179" s="67">
        <f t="shared" si="71"/>
        <v>6.8900000000000003E-2</v>
      </c>
      <c r="AA179" s="67">
        <f t="shared" si="56"/>
        <v>5.7908999999999997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57"/>
        <v>1818-03</v>
      </c>
      <c r="AE179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79" s="88" t="str">
        <f t="shared" si="59"/>
        <v>"C:\Program Files (x86)\AstroGrep\AstroGrep.exe" /spath="%USERPROFILE%\AppData\Local\Temp\OnboardLogs" /stypes="app*4030*20161203*" /stext=" 21:.+((SYSTEM_STATE.+slice.+state.+changed )|(ment ac)|(multiple cpu faults)|(system.+state.+changed )|(\[timeout)|(PRM\|1\|D)|(kpr)|(kdp)|(\|lc)|(penalty))" /e /r /s</v>
      </c>
      <c r="AG179" s="1" t="str">
        <f t="shared" si="60"/>
        <v>NW</v>
      </c>
      <c r="AH179" s="92" t="str">
        <f t="shared" si="61"/>
        <v>"%USERPROFILE%\Documents\GitHub\eaglep3\Utilities\RefineRTDCRunTimes.py" --tripid 1818-03 --locoid 4030 --swversion DE.1.0.8.0 --startMP 300:58598 --initTime 2016-12-03T14:36:30 --startdatetime 2016-12-03T14:39:00 --delay 1 --endMP 204:689 --enddatetime 2016-12-03T14:55:13 --enforcementcount 0 &gt;&gt;C:\Users\stu\Documents\GitHub\eaglep3-reporting\EC\2016-12-03-refined-times.txt</v>
      </c>
      <c r="AI179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{"issue":{"subject":"","project_id":79,"tracker_id":40,"status_id":1,"priority_id":2,"assigned_to_id":23,"start_date":"2016-12-03","description":"","custom_fields":[{"id":1,"name":"Subdivision","value":"NW"},{"id":4,"name":"Milepost","value":"0.0689"},{"id":17,"name":"Train ID","value":"1818-03"},{"id":16,"name":"Locomotive ID","value":"4030"},{"id":130,"name":"Impact","value":""},{"id":150,"name":"Time of Event (Mountain Time)","value":"14:55:13"},{"id":151,"name":"Denver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447</v>
      </c>
      <c r="B180" s="7">
        <v>4029</v>
      </c>
      <c r="C180" s="22" t="s">
        <v>209</v>
      </c>
      <c r="D180" s="22" t="s">
        <v>723</v>
      </c>
      <c r="E180" s="13">
        <v>42707.634895833333</v>
      </c>
      <c r="F180" s="13">
        <v>42707.639872685184</v>
      </c>
      <c r="G180" s="7">
        <v>1</v>
      </c>
      <c r="H180" s="22" t="s">
        <v>429</v>
      </c>
      <c r="I180" s="13">
        <v>42707.649733796294</v>
      </c>
      <c r="J180" s="7">
        <v>0</v>
      </c>
      <c r="K180" s="109" t="str">
        <f t="shared" si="49"/>
        <v>4029/4030</v>
      </c>
      <c r="L180" s="22" t="str">
        <f>VLOOKUP(A180,'Trips&amp;Operators'!$C$1:$G$99999,5,FALSE)</f>
        <v>HOLCOMB KAMDEN</v>
      </c>
      <c r="M180" s="6">
        <f t="shared" si="50"/>
        <v>9.8611111097852699E-3</v>
      </c>
      <c r="N180" s="7">
        <f t="shared" si="69"/>
        <v>14.199999998090789</v>
      </c>
      <c r="O180" s="7"/>
      <c r="P180" s="7"/>
      <c r="Q180" s="23"/>
      <c r="R180" s="23"/>
      <c r="S180" s="35">
        <f t="shared" si="70"/>
        <v>1</v>
      </c>
      <c r="T180" s="50" t="str">
        <f t="shared" si="51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14:14:15-700',mode:absolute,to:'2016-12-03 16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0" s="52" t="str">
        <f t="shared" si="53"/>
        <v>N</v>
      </c>
      <c r="X180" s="177">
        <f t="shared" si="68"/>
        <v>1</v>
      </c>
      <c r="Y180" s="67">
        <f t="shared" si="55"/>
        <v>9.8299999999999998E-2</v>
      </c>
      <c r="Z180" s="67">
        <f t="shared" si="71"/>
        <v>5.8929</v>
      </c>
      <c r="AA180" s="67">
        <f t="shared" si="56"/>
        <v>5.7946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57"/>
        <v>1819-03</v>
      </c>
      <c r="AE180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80" s="88" t="str">
        <f t="shared" si="59"/>
        <v>"C:\Program Files (x86)\AstroGrep\AstroGrep.exe" /spath="%USERPROFILE%\AppData\Local\Temp\OnboardLogs" /stypes="app*4029*20161203*" /stext=" 22:.+((SYSTEM_STATE.+slice.+state.+changed )|(ment ac)|(multiple cpu faults)|(system.+state.+changed )|(\[timeout)|(PRM\|1\|D)|(kpr)|(kdp)|(\|lc)|(penalty))" /e /r /s</v>
      </c>
      <c r="AG180" s="1" t="str">
        <f t="shared" si="60"/>
        <v>NW</v>
      </c>
      <c r="AH180" s="92" t="str">
        <f t="shared" si="61"/>
        <v>"%USERPROFILE%\Documents\GitHub\eaglep3\Utilities\RefineRTDCRunTimes.py" --tripid 1819-03 --locoid 4029 --swversion DE.1.0.8.0 --startMP 204:983 --initTime 2016-12-03T15:14:15 --startdatetime 2016-12-03T15:21:25 --delay 1 --endMP 300:58929 --enddatetime 2016-12-03T15:35:37 --enforcementcount 0 &gt;&gt;C:\Users\stu\Documents\GitHub\eaglep3-reporting\EC\2016-12-03-refined-times.txt</v>
      </c>
      <c r="AI180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{"issue":{"subject":"","project_id":79,"tracker_id":40,"status_id":1,"priority_id":2,"assigned_to_id":23,"start_date":"2016-12-03","description":"","custom_fields":[{"id":1,"name":"Subdivision","value":"NW"},{"id":4,"name":"Milepost","value":"5.8929"},{"id":17,"name":"Train ID","value":"1819-03"},{"id":16,"name":"Locomotive ID","value":"4029"},{"id":130,"name":"Impact","value":""},{"id":150,"name":"Time of Event (Mountain Time)","value":"15:35:37"},{"id":151,"name":"Denver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595</v>
      </c>
      <c r="B181" s="7">
        <v>4030</v>
      </c>
      <c r="C181" s="22" t="s">
        <v>209</v>
      </c>
      <c r="D181" s="22" t="s">
        <v>268</v>
      </c>
      <c r="E181" s="13">
        <v>42707.650879629633</v>
      </c>
      <c r="F181" s="13">
        <v>42707.652314814812</v>
      </c>
      <c r="G181" s="7">
        <v>1</v>
      </c>
      <c r="H181" s="22" t="s">
        <v>724</v>
      </c>
      <c r="I181" s="13">
        <v>42707.663148148145</v>
      </c>
      <c r="J181" s="7">
        <v>0</v>
      </c>
      <c r="K181" s="109" t="str">
        <f t="shared" si="49"/>
        <v>4029/4030</v>
      </c>
      <c r="L181" s="22" t="str">
        <f>VLOOKUP(A181,'Trips&amp;Operators'!$C$1:$G$99999,5,FALSE)</f>
        <v>HOLCOMB KAMDEN</v>
      </c>
      <c r="M181" s="6">
        <f t="shared" si="50"/>
        <v>1.0833333333721384E-2</v>
      </c>
      <c r="N181" s="7">
        <f t="shared" si="69"/>
        <v>15.600000000558794</v>
      </c>
      <c r="O181" s="7"/>
      <c r="P181" s="7"/>
      <c r="Q181" s="23"/>
      <c r="R181" s="23"/>
      <c r="S181" s="35">
        <f t="shared" si="70"/>
        <v>1</v>
      </c>
      <c r="T181" s="50" t="str">
        <f t="shared" si="51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14:37:16-700',mode:absolute,to:'2016-12-03 16:54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1" s="52" t="str">
        <f t="shared" si="53"/>
        <v>N</v>
      </c>
      <c r="X181" s="177">
        <f t="shared" si="68"/>
        <v>1</v>
      </c>
      <c r="Y181" s="67">
        <f t="shared" si="55"/>
        <v>5.8611000000000004</v>
      </c>
      <c r="Z181" s="67">
        <f t="shared" si="71"/>
        <v>6.7100000000000007E-2</v>
      </c>
      <c r="AA181" s="67">
        <f t="shared" si="56"/>
        <v>5.7940000000000005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57"/>
        <v>1820-03</v>
      </c>
      <c r="AE181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81" s="88" t="str">
        <f t="shared" si="59"/>
        <v>"C:\Program Files (x86)\AstroGrep\AstroGrep.exe" /spath="%USERPROFILE%\AppData\Local\Temp\OnboardLogs" /stypes="app*4030*20161203*" /stext=" 22:.+((SYSTEM_STATE.+slice.+state.+changed )|(ment ac)|(multiple cpu faults)|(system.+state.+changed )|(\[timeout)|(PRM\|1\|D)|(kpr)|(kdp)|(\|lc)|(penalty))" /e /r /s</v>
      </c>
      <c r="AG181" s="1" t="str">
        <f t="shared" si="60"/>
        <v>NW</v>
      </c>
      <c r="AH181" s="92" t="str">
        <f t="shared" si="61"/>
        <v>"%USERPROFILE%\Documents\GitHub\eaglep3\Utilities\RefineRTDCRunTimes.py" --tripid 1820-03 --locoid 4030 --swversion DE.1.0.8.0 --startMP 300:58611 --initTime 2016-12-03T15:37:16 --startdatetime 2016-12-03T15:39:20 --delay 1 --endMP 204:671 --enddatetime 2016-12-03T15:54:56 --enforcementcount 0 &gt;&gt;C:\Users\stu\Documents\GitHub\eaglep3-reporting\EC\2016-12-03-refined-times.txt</v>
      </c>
      <c r="AI181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{"issue":{"subject":"","project_id":79,"tracker_id":40,"status_id":1,"priority_id":2,"assigned_to_id":23,"start_date":"2016-12-03","description":"","custom_fields":[{"id":1,"name":"Subdivision","value":"NW"},{"id":4,"name":"Milepost","value":"0.0671"},{"id":17,"name":"Train ID","value":"1820-03"},{"id":16,"name":"Locomotive ID","value":"4030"},{"id":130,"name":"Impact","value":""},{"id":150,"name":"Time of Event (Mountain Time)","value":"15:54:56"},{"id":151,"name":"Denver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601</v>
      </c>
      <c r="B182" s="7">
        <v>4029</v>
      </c>
      <c r="C182" s="22" t="s">
        <v>209</v>
      </c>
      <c r="D182" s="22" t="s">
        <v>426</v>
      </c>
      <c r="E182" s="13">
        <v>42707.67591435185</v>
      </c>
      <c r="F182" s="13">
        <v>42707.681516203702</v>
      </c>
      <c r="G182" s="7">
        <v>1</v>
      </c>
      <c r="H182" s="22" t="s">
        <v>301</v>
      </c>
      <c r="I182" s="13">
        <v>42707.691886574074</v>
      </c>
      <c r="J182" s="7">
        <v>0</v>
      </c>
      <c r="K182" s="109" t="str">
        <f t="shared" si="49"/>
        <v>4029/4030</v>
      </c>
      <c r="L182" s="22" t="str">
        <f>VLOOKUP(A182,'Trips&amp;Operators'!$C$1:$G$99999,5,FALSE)</f>
        <v>HOLCOMB KAMDEN</v>
      </c>
      <c r="M182" s="6">
        <f t="shared" si="50"/>
        <v>1.0370370371674653E-2</v>
      </c>
      <c r="N182" s="7">
        <f t="shared" si="69"/>
        <v>14.933333335211501</v>
      </c>
      <c r="O182" s="7"/>
      <c r="P182" s="7"/>
      <c r="Q182" s="23"/>
      <c r="R182" s="23"/>
      <c r="S182" s="35">
        <f t="shared" si="70"/>
        <v>1</v>
      </c>
      <c r="T182" s="50" t="str">
        <f t="shared" si="51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15:13:19-700',mode:absolute,to:'2016-12-03 17:36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2" s="52" t="str">
        <f t="shared" si="53"/>
        <v>N</v>
      </c>
      <c r="X182" s="177">
        <f t="shared" si="68"/>
        <v>1</v>
      </c>
      <c r="Y182" s="67">
        <f t="shared" si="55"/>
        <v>9.74E-2</v>
      </c>
      <c r="Z182" s="67">
        <f t="shared" si="71"/>
        <v>5.8935000000000004</v>
      </c>
      <c r="AA182" s="67">
        <f t="shared" si="56"/>
        <v>5.7961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57"/>
        <v>1821-03</v>
      </c>
      <c r="AE182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82" s="88" t="str">
        <f t="shared" si="59"/>
        <v>"C:\Program Files (x86)\AstroGrep\AstroGrep.exe" /spath="%USERPROFILE%\AppData\Local\Temp\OnboardLogs" /stypes="app*4029*20161203*" /stext=" 23:.+((SYSTEM_STATE.+slice.+state.+changed )|(ment ac)|(multiple cpu faults)|(system.+state.+changed )|(\[timeout)|(PRM\|1\|D)|(kpr)|(kdp)|(\|lc)|(penalty))" /e /r /s</v>
      </c>
      <c r="AG182" s="1" t="str">
        <f t="shared" si="60"/>
        <v>NW</v>
      </c>
      <c r="AH182" s="92" t="str">
        <f t="shared" si="61"/>
        <v>"%USERPROFILE%\Documents\GitHub\eaglep3\Utilities\RefineRTDCRunTimes.py" --tripid 1821-03 --locoid 4029 --swversion DE.1.0.8.0 --startMP 204:974 --initTime 2016-12-03T16:13:19 --startdatetime 2016-12-03T16:21:23 --delay 1 --endMP 300:58935 --enddatetime 2016-12-03T16:36:19 --enforcementcount 0 &gt;&gt;C:\Users\stu\Documents\GitHub\eaglep3-reporting\EC\2016-12-03-refined-times.txt</v>
      </c>
      <c r="AI182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{"issue":{"subject":"","project_id":79,"tracker_id":40,"status_id":1,"priority_id":2,"assigned_to_id":23,"start_date":"2016-12-03","description":"","custom_fields":[{"id":1,"name":"Subdivision","value":"NW"},{"id":4,"name":"Milepost","value":"5.8935"},{"id":17,"name":"Train ID","value":"1821-03"},{"id":16,"name":"Locomotive ID","value":"4029"},{"id":130,"name":"Impact","value":""},{"id":150,"name":"Time of Event (Mountain Time)","value":"16:36:19"},{"id":151,"name":"Denver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s="21" customFormat="1" x14ac:dyDescent="0.25">
      <c r="A183" s="37" t="s">
        <v>605</v>
      </c>
      <c r="B183" s="7">
        <v>4030</v>
      </c>
      <c r="C183" s="22" t="s">
        <v>209</v>
      </c>
      <c r="D183" s="22" t="s">
        <v>430</v>
      </c>
      <c r="E183" s="13">
        <v>42707.692939814813</v>
      </c>
      <c r="F183" s="13">
        <v>42707.69425925926</v>
      </c>
      <c r="G183" s="7">
        <v>1</v>
      </c>
      <c r="H183" s="22" t="s">
        <v>317</v>
      </c>
      <c r="I183" s="13">
        <v>42707.705983796295</v>
      </c>
      <c r="J183" s="7">
        <v>0</v>
      </c>
      <c r="K183" s="109" t="str">
        <f t="shared" si="49"/>
        <v>4029/4030</v>
      </c>
      <c r="L183" s="22" t="str">
        <f>VLOOKUP(A183,'Trips&amp;Operators'!$C$1:$G$99999,5,FALSE)</f>
        <v>HOLCOMB KAMDEN</v>
      </c>
      <c r="M183" s="6">
        <f t="shared" si="50"/>
        <v>1.1724537034751847E-2</v>
      </c>
      <c r="N183" s="7">
        <f t="shared" si="69"/>
        <v>16.88333333004266</v>
      </c>
      <c r="O183" s="7"/>
      <c r="P183" s="7"/>
      <c r="Q183" s="23"/>
      <c r="R183" s="23"/>
      <c r="S183" s="35">
        <f t="shared" si="70"/>
        <v>1</v>
      </c>
      <c r="T183" s="50" t="str">
        <f t="shared" si="51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15:37:50-700',mode:absolute,to:'2016-12-03 17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3" s="52" t="str">
        <f t="shared" si="53"/>
        <v>N</v>
      </c>
      <c r="X183" s="177">
        <f t="shared" si="68"/>
        <v>1</v>
      </c>
      <c r="Y183" s="67">
        <f t="shared" si="55"/>
        <v>5.8620999999999999</v>
      </c>
      <c r="Z183" s="67">
        <f t="shared" si="71"/>
        <v>6.9199999999999998E-2</v>
      </c>
      <c r="AA183" s="67">
        <f t="shared" si="56"/>
        <v>5.7928999999999995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57"/>
        <v>1822-03</v>
      </c>
      <c r="AE183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83" s="88" t="str">
        <f t="shared" si="59"/>
        <v>"C:\Program Files (x86)\AstroGrep\AstroGrep.exe" /spath="%USERPROFILE%\AppData\Local\Temp\OnboardLogs" /stypes="app*4030*20161203*" /stext=" 23:.+((SYSTEM_STATE.+slice.+state.+changed )|(ment ac)|(multiple cpu faults)|(system.+state.+changed )|(\[timeout)|(PRM\|1\|D)|(kpr)|(kdp)|(\|lc)|(penalty))" /e /r /s</v>
      </c>
      <c r="AG183" s="1" t="str">
        <f t="shared" si="60"/>
        <v>NW</v>
      </c>
      <c r="AH183" s="92" t="str">
        <f t="shared" si="61"/>
        <v>"%USERPROFILE%\Documents\GitHub\eaglep3\Utilities\RefineRTDCRunTimes.py" --tripid 1822-03 --locoid 4030 --swversion DE.1.0.8.0 --startMP 300:58621 --initTime 2016-12-03T16:37:50 --startdatetime 2016-12-03T16:39:44 --delay 1 --endMP 204:692 --enddatetime 2016-12-03T16:56:37 --enforcementcount 0 &gt;&gt;C:\Users\stu\Documents\GitHub\eaglep3-reporting\EC\2016-12-03-refined-times.txt</v>
      </c>
      <c r="AI183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{"issue":{"subject":"","project_id":79,"tracker_id":40,"status_id":1,"priority_id":2,"assigned_to_id":23,"start_date":"2016-12-03","description":"","custom_fields":[{"id":1,"name":"Subdivision","value":"NW"},{"id":4,"name":"Milepost","value":"0.0692"},{"id":17,"name":"Train ID","value":"1822-03"},{"id":16,"name":"Locomotive ID","value":"4030"},{"id":130,"name":"Impact","value":""},{"id":150,"name":"Time of Event (Mountain Time)","value":"16:56:37"},{"id":151,"name":"Denver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611</v>
      </c>
      <c r="B184" s="7">
        <v>4029</v>
      </c>
      <c r="C184" s="22" t="s">
        <v>209</v>
      </c>
      <c r="D184" s="22" t="s">
        <v>303</v>
      </c>
      <c r="E184" s="13">
        <v>42707.709421296298</v>
      </c>
      <c r="F184" s="13">
        <v>42707.72315972222</v>
      </c>
      <c r="G184" s="7">
        <v>1</v>
      </c>
      <c r="H184" s="22" t="s">
        <v>432</v>
      </c>
      <c r="I184" s="13">
        <v>42707.732928240737</v>
      </c>
      <c r="J184" s="7">
        <v>0</v>
      </c>
      <c r="K184" s="109" t="str">
        <f t="shared" si="49"/>
        <v>4029/4030</v>
      </c>
      <c r="L184" s="22" t="str">
        <f>VLOOKUP(A184,'Trips&amp;Operators'!$C$1:$G$99999,5,FALSE)</f>
        <v>HOLCOMB KAMDEN</v>
      </c>
      <c r="M184" s="6">
        <f t="shared" si="50"/>
        <v>9.7685185173759237E-3</v>
      </c>
      <c r="N184" s="7">
        <f t="shared" si="69"/>
        <v>14.06666666502133</v>
      </c>
      <c r="O184" s="7"/>
      <c r="P184" s="7"/>
      <c r="Q184" s="23"/>
      <c r="R184" s="23"/>
      <c r="S184" s="35">
        <f t="shared" si="70"/>
        <v>1</v>
      </c>
      <c r="T184" s="50" t="str">
        <f t="shared" si="51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16:01:34-700',mode:absolute,to:'2016-12-03 18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4" s="52" t="str">
        <f t="shared" si="53"/>
        <v>N</v>
      </c>
      <c r="X184" s="177">
        <f t="shared" si="68"/>
        <v>1</v>
      </c>
      <c r="Y184" s="67">
        <f t="shared" si="55"/>
        <v>9.7100000000000006E-2</v>
      </c>
      <c r="Z184" s="67">
        <f t="shared" si="71"/>
        <v>5.8930999999999996</v>
      </c>
      <c r="AA184" s="67">
        <f t="shared" si="56"/>
        <v>5.7959999999999994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57"/>
        <v>1823-03</v>
      </c>
      <c r="AE184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84" s="88" t="str">
        <f t="shared" si="59"/>
        <v>"C:\Program Files (x86)\AstroGrep\AstroGrep.exe" /spath="%USERPROFILE%\AppData\Local\Temp\OnboardLogs" /stypes="app*4029*20161204*" /stext=" 00:.+((SYSTEM_STATE.+slice.+state.+changed )|(ment ac)|(multiple cpu faults)|(system.+state.+changed )|(\[timeout)|(PRM\|1\|D)|(kpr)|(kdp)|(\|lc)|(penalty))" /e /r /s</v>
      </c>
      <c r="AG184" s="1" t="str">
        <f t="shared" si="60"/>
        <v>NW</v>
      </c>
      <c r="AH184" s="92" t="str">
        <f t="shared" si="61"/>
        <v>"%USERPROFILE%\Documents\GitHub\eaglep3\Utilities\RefineRTDCRunTimes.py" --tripid 1823-03 --locoid 4029 --swversion DE.1.0.8.0 --startMP 204:971 --initTime 2016-12-03T17:01:34 --startdatetime 2016-12-03T17:21:21 --delay 1 --endMP 300:58931 --enddatetime 2016-12-03T17:35:25 --enforcementcount 0 &gt;&gt;C:\Users\stu\Documents\GitHub\eaglep3-reporting\EC\2016-12-03-refined-times.txt</v>
      </c>
      <c r="AI184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{"issue":{"subject":"","project_id":79,"tracker_id":40,"status_id":1,"priority_id":2,"assigned_to_id":23,"start_date":"2016-12-03","description":"","custom_fields":[{"id":1,"name":"Subdivision","value":"NW"},{"id":4,"name":"Milepost","value":"5.8931"},{"id":17,"name":"Train ID","value":"1823-03"},{"id":16,"name":"Locomotive ID","value":"4029"},{"id":130,"name":"Impact","value":""},{"id":150,"name":"Time of Event (Mountain Time)","value":"17:35:25"},{"id":151,"name":"Denver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450</v>
      </c>
      <c r="B185" s="7">
        <v>4030</v>
      </c>
      <c r="C185" s="22" t="s">
        <v>209</v>
      </c>
      <c r="D185" s="22" t="s">
        <v>422</v>
      </c>
      <c r="E185" s="13">
        <v>42707.733842592592</v>
      </c>
      <c r="F185" s="13">
        <v>42707.735231481478</v>
      </c>
      <c r="G185" s="7">
        <v>1</v>
      </c>
      <c r="H185" s="22" t="s">
        <v>725</v>
      </c>
      <c r="I185" s="13">
        <v>42707.746400462966</v>
      </c>
      <c r="J185" s="7">
        <v>0</v>
      </c>
      <c r="K185" s="109" t="str">
        <f t="shared" si="49"/>
        <v>4029/4030</v>
      </c>
      <c r="L185" s="22" t="str">
        <f>VLOOKUP(A185,'Trips&amp;Operators'!$C$1:$G$99999,5,FALSE)</f>
        <v>HOLCOMB KAMDEN</v>
      </c>
      <c r="M185" s="6">
        <f t="shared" si="50"/>
        <v>1.1168981487571727E-2</v>
      </c>
      <c r="N185" s="7">
        <f t="shared" si="69"/>
        <v>16.083333342103288</v>
      </c>
      <c r="O185" s="7"/>
      <c r="P185" s="7"/>
      <c r="Q185" s="23"/>
      <c r="R185" s="23"/>
      <c r="S185" s="35">
        <f t="shared" si="70"/>
        <v>1</v>
      </c>
      <c r="T185" s="50" t="str">
        <f t="shared" si="51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16:36:44-700',mode:absolute,to:'2016-12-03 18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5" s="52" t="str">
        <f t="shared" si="53"/>
        <v>N</v>
      </c>
      <c r="X185" s="177">
        <f t="shared" si="68"/>
        <v>1</v>
      </c>
      <c r="Y185" s="67">
        <f t="shared" si="55"/>
        <v>5.8616999999999999</v>
      </c>
      <c r="Z185" s="67">
        <f t="shared" si="71"/>
        <v>7.0499999999999993E-2</v>
      </c>
      <c r="AA185" s="67">
        <f t="shared" si="56"/>
        <v>5.7911999999999999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57"/>
        <v>1824-03</v>
      </c>
      <c r="AE185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85" s="88" t="str">
        <f t="shared" si="59"/>
        <v>"C:\Program Files (x86)\AstroGrep\AstroGrep.exe" /spath="%USERPROFILE%\AppData\Local\Temp\OnboardLogs" /stypes="app*4030*20161204*" /stext=" 00:.+((SYSTEM_STATE.+slice.+state.+changed )|(ment ac)|(multiple cpu faults)|(system.+state.+changed )|(\[timeout)|(PRM\|1\|D)|(kpr)|(kdp)|(\|lc)|(penalty))" /e /r /s</v>
      </c>
      <c r="AG185" s="1" t="str">
        <f t="shared" si="60"/>
        <v>NW</v>
      </c>
      <c r="AH185" s="92" t="str">
        <f t="shared" si="61"/>
        <v>"%USERPROFILE%\Documents\GitHub\eaglep3\Utilities\RefineRTDCRunTimes.py" --tripid 1824-03 --locoid 4030 --swversion DE.1.0.8.0 --startMP 300:58617 --initTime 2016-12-03T17:36:44 --startdatetime 2016-12-03T17:38:44 --delay 1 --endMP 204:705 --enddatetime 2016-12-03T17:54:49 --enforcementcount 0 &gt;&gt;C:\Users\stu\Documents\GitHub\eaglep3-reporting\EC\2016-12-03-refined-times.txt</v>
      </c>
      <c r="AI185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{"issue":{"subject":"","project_id":79,"tracker_id":40,"status_id":1,"priority_id":2,"assigned_to_id":23,"start_date":"2016-12-03","description":"","custom_fields":[{"id":1,"name":"Subdivision","value":"NW"},{"id":4,"name":"Milepost","value":"0.0705"},{"id":17,"name":"Train ID","value":"1824-03"},{"id":16,"name":"Locomotive ID","value":"4030"},{"id":130,"name":"Impact","value":""},{"id":150,"name":"Time of Event (Mountain Time)","value":"17:54:49"},{"id":151,"name":"Denver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453</v>
      </c>
      <c r="B186" s="7">
        <v>4029</v>
      </c>
      <c r="C186" s="22" t="s">
        <v>209</v>
      </c>
      <c r="D186" s="22" t="s">
        <v>726</v>
      </c>
      <c r="E186" s="13">
        <v>42707.761180555557</v>
      </c>
      <c r="F186" s="13">
        <v>42707.764999999999</v>
      </c>
      <c r="G186" s="7">
        <v>1</v>
      </c>
      <c r="H186" s="22" t="s">
        <v>717</v>
      </c>
      <c r="I186" s="13">
        <v>42707.775312500002</v>
      </c>
      <c r="J186" s="7">
        <v>0</v>
      </c>
      <c r="K186" s="109" t="str">
        <f t="shared" si="49"/>
        <v>4029/4030</v>
      </c>
      <c r="L186" s="22" t="str">
        <f>VLOOKUP(A186,'Trips&amp;Operators'!$C$1:$G$99999,5,FALSE)</f>
        <v>HOLCOMB KAMDEN</v>
      </c>
      <c r="M186" s="6">
        <f t="shared" si="50"/>
        <v>1.0312500002328306E-2</v>
      </c>
      <c r="N186" s="7">
        <f t="shared" si="69"/>
        <v>14.850000003352761</v>
      </c>
      <c r="O186" s="7"/>
      <c r="P186" s="7"/>
      <c r="Q186" s="23"/>
      <c r="R186" s="23"/>
      <c r="S186" s="35">
        <f t="shared" si="70"/>
        <v>1</v>
      </c>
      <c r="T186" s="50" t="str">
        <f t="shared" si="51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17:16:06-700',mode:absolute,to:'2016-12-03 19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6" s="52" t="str">
        <f t="shared" si="53"/>
        <v>N</v>
      </c>
      <c r="X186" s="177">
        <f t="shared" si="68"/>
        <v>1</v>
      </c>
      <c r="Y186" s="67">
        <f t="shared" si="55"/>
        <v>9.9299999999999999E-2</v>
      </c>
      <c r="Z186" s="67">
        <f t="shared" si="71"/>
        <v>5.8933</v>
      </c>
      <c r="AA186" s="67">
        <f t="shared" si="56"/>
        <v>5.7939999999999996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57"/>
        <v>1825-03</v>
      </c>
      <c r="AE186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86" s="88" t="str">
        <f t="shared" si="59"/>
        <v>"C:\Program Files (x86)\AstroGrep\AstroGrep.exe" /spath="%USERPROFILE%\AppData\Local\Temp\OnboardLogs" /stypes="app*4029*20161204*" /stext=" 01:.+((SYSTEM_STATE.+slice.+state.+changed )|(ment ac)|(multiple cpu faults)|(system.+state.+changed )|(\[timeout)|(PRM\|1\|D)|(kpr)|(kdp)|(\|lc)|(penalty))" /e /r /s</v>
      </c>
      <c r="AG186" s="1" t="str">
        <f t="shared" si="60"/>
        <v>NW</v>
      </c>
      <c r="AH186" s="92" t="str">
        <f t="shared" si="61"/>
        <v>"%USERPROFILE%\Documents\GitHub\eaglep3\Utilities\RefineRTDCRunTimes.py" --tripid 1825-03 --locoid 4029 --swversion DE.1.0.8.0 --startMP 204:993 --initTime 2016-12-03T18:16:06 --startdatetime 2016-12-03T18:21:36 --delay 1 --endMP 300:58933 --enddatetime 2016-12-03T18:36:27 --enforcementcount 0 &gt;&gt;C:\Users\stu\Documents\GitHub\eaglep3-reporting\EC\2016-12-03-refined-times.txt</v>
      </c>
      <c r="AI186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{"issue":{"subject":"","project_id":79,"tracker_id":40,"status_id":1,"priority_id":2,"assigned_to_id":23,"start_date":"2016-12-03","description":"","custom_fields":[{"id":1,"name":"Subdivision","value":"NW"},{"id":4,"name":"Milepost","value":"5.8933"},{"id":17,"name":"Train ID","value":"1825-03"},{"id":16,"name":"Locomotive ID","value":"4029"},{"id":130,"name":"Impact","value":""},{"id":150,"name":"Time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628</v>
      </c>
      <c r="B187" s="7">
        <v>4030</v>
      </c>
      <c r="C187" s="22" t="s">
        <v>209</v>
      </c>
      <c r="D187" s="22" t="s">
        <v>424</v>
      </c>
      <c r="E187" s="13">
        <v>42707.776400462964</v>
      </c>
      <c r="F187" s="13">
        <v>42707.77789351852</v>
      </c>
      <c r="G187" s="7">
        <v>1</v>
      </c>
      <c r="H187" s="22" t="s">
        <v>419</v>
      </c>
      <c r="I187" s="13">
        <v>42707.788784722223</v>
      </c>
      <c r="J187" s="7">
        <v>0</v>
      </c>
      <c r="K187" s="109" t="str">
        <f t="shared" si="49"/>
        <v>4029/4030</v>
      </c>
      <c r="L187" s="22" t="str">
        <f>VLOOKUP(A187,'Trips&amp;Operators'!$C$1:$G$99999,5,FALSE)</f>
        <v>HOLCOMB KAMDEN</v>
      </c>
      <c r="M187" s="6">
        <f t="shared" si="50"/>
        <v>1.0891203703067731E-2</v>
      </c>
      <c r="N187" s="7">
        <f t="shared" si="69"/>
        <v>15.683333332417533</v>
      </c>
      <c r="O187" s="7"/>
      <c r="P187" s="7"/>
      <c r="Q187" s="23"/>
      <c r="R187" s="23"/>
      <c r="S187" s="35">
        <f t="shared" si="70"/>
        <v>1</v>
      </c>
      <c r="T187" s="50" t="str">
        <f t="shared" si="51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17:38:01-700',mode:absolute,to:'2016-12-03 19:55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7" s="52" t="str">
        <f t="shared" si="53"/>
        <v>N</v>
      </c>
      <c r="X187" s="177">
        <f t="shared" si="68"/>
        <v>1</v>
      </c>
      <c r="Y187" s="67">
        <f t="shared" si="55"/>
        <v>5.8625999999999996</v>
      </c>
      <c r="Z187" s="67">
        <f t="shared" si="71"/>
        <v>7.0099999999999996E-2</v>
      </c>
      <c r="AA187" s="67">
        <f t="shared" si="56"/>
        <v>5.7924999999999995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57"/>
        <v>1826-03</v>
      </c>
      <c r="AE187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87" s="88" t="str">
        <f t="shared" si="59"/>
        <v>"C:\Program Files (x86)\AstroGrep\AstroGrep.exe" /spath="%USERPROFILE%\AppData\Local\Temp\OnboardLogs" /stypes="app*4030*20161204*" /stext=" 01:.+((SYSTEM_STATE.+slice.+state.+changed )|(ment ac)|(multiple cpu faults)|(system.+state.+changed )|(\[timeout)|(PRM\|1\|D)|(kpr)|(kdp)|(\|lc)|(penalty))" /e /r /s</v>
      </c>
      <c r="AG187" s="1" t="str">
        <f t="shared" si="60"/>
        <v>NW</v>
      </c>
      <c r="AH187" s="92" t="str">
        <f t="shared" si="61"/>
        <v>"%USERPROFILE%\Documents\GitHub\eaglep3\Utilities\RefineRTDCRunTimes.py" --tripid 1826-03 --locoid 4030 --swversion DE.1.0.8.0 --startMP 300:58626 --initTime 2016-12-03T18:38:01 --startdatetime 2016-12-03T18:40:10 --delay 1 --endMP 204:701 --enddatetime 2016-12-03T18:55:51 --enforcementcount 0 &gt;&gt;C:\Users\stu\Documents\GitHub\eaglep3-reporting\EC\2016-12-03-refined-times.txt</v>
      </c>
      <c r="AI187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{"issue":{"subject":"","project_id":79,"tracker_id":40,"status_id":1,"priority_id":2,"assigned_to_id":23,"start_date":"2016-12-03","description":"","custom_fields":[{"id":1,"name":"Subdivision","value":"NW"},{"id":4,"name":"Milepost","value":"0.0701"},{"id":17,"name":"Train ID","value":"1826-03"},{"id":16,"name":"Locomotive ID","value":"4030"},{"id":130,"name":"Impact","value":""},{"id":150,"name":"Time of Event (Mountain Time)","value":"18:55:51"},{"id":151,"name":"Denver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632</v>
      </c>
      <c r="B188" s="7">
        <v>4029</v>
      </c>
      <c r="C188" s="22" t="s">
        <v>209</v>
      </c>
      <c r="D188" s="22" t="s">
        <v>727</v>
      </c>
      <c r="E188" s="13">
        <v>42707.801145833335</v>
      </c>
      <c r="F188" s="13">
        <v>42707.806481481479</v>
      </c>
      <c r="G188" s="7">
        <v>1</v>
      </c>
      <c r="H188" s="22" t="s">
        <v>429</v>
      </c>
      <c r="I188" s="13">
        <v>42707.816759259258</v>
      </c>
      <c r="J188" s="7">
        <v>0</v>
      </c>
      <c r="K188" s="109" t="str">
        <f t="shared" si="49"/>
        <v>4029/4030</v>
      </c>
      <c r="L188" s="22" t="str">
        <f>VLOOKUP(A188,'Trips&amp;Operators'!$C$1:$G$99999,5,FALSE)</f>
        <v>HOLCOMB KAMDEN</v>
      </c>
      <c r="M188" s="6">
        <f t="shared" si="50"/>
        <v>1.0277777779265307E-2</v>
      </c>
      <c r="N188" s="7">
        <f t="shared" si="69"/>
        <v>14.800000002142042</v>
      </c>
      <c r="O188" s="7"/>
      <c r="P188" s="7"/>
      <c r="Q188" s="23"/>
      <c r="R188" s="23"/>
      <c r="S188" s="35">
        <f t="shared" si="70"/>
        <v>1</v>
      </c>
      <c r="T188" s="50" t="str">
        <f t="shared" si="51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18:13:39-700',mode:absolute,to:'2016-12-03 20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88" s="52" t="str">
        <f t="shared" si="53"/>
        <v>N</v>
      </c>
      <c r="X188" s="177">
        <f t="shared" si="68"/>
        <v>1</v>
      </c>
      <c r="Y188" s="67">
        <f t="shared" si="55"/>
        <v>9.69E-2</v>
      </c>
      <c r="Z188" s="67">
        <f t="shared" si="71"/>
        <v>5.8929</v>
      </c>
      <c r="AA188" s="67">
        <f t="shared" si="56"/>
        <v>5.7960000000000003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57"/>
        <v>1827-03</v>
      </c>
      <c r="AE188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88" s="88" t="str">
        <f t="shared" si="59"/>
        <v>"C:\Program Files (x86)\AstroGrep\AstroGrep.exe" /spath="%USERPROFILE%\AppData\Local\Temp\OnboardLogs" /stypes="app*4029*20161204*" /stext=" 02:.+((SYSTEM_STATE.+slice.+state.+changed )|(ment ac)|(multiple cpu faults)|(system.+state.+changed )|(\[timeout)|(PRM\|1\|D)|(kpr)|(kdp)|(\|lc)|(penalty))" /e /r /s</v>
      </c>
      <c r="AG188" s="1" t="str">
        <f t="shared" si="60"/>
        <v>NW</v>
      </c>
      <c r="AH188" s="92" t="str">
        <f t="shared" si="61"/>
        <v>"%USERPROFILE%\Documents\GitHub\eaglep3\Utilities\RefineRTDCRunTimes.py" --tripid 1827-03 --locoid 4029 --swversion DE.1.0.8.0 --startMP 204:969 --initTime 2016-12-03T19:13:39 --startdatetime 2016-12-03T19:21:20 --delay 1 --endMP 300:58929 --enddatetime 2016-12-03T19:36:08 --enforcementcount 0 &gt;&gt;C:\Users\stu\Documents\GitHub\eaglep3-reporting\EC\2016-12-03-refined-times.txt</v>
      </c>
      <c r="AI188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{"issue":{"subject":"","project_id":79,"tracker_id":40,"status_id":1,"priority_id":2,"assigned_to_id":23,"start_date":"2016-12-03","description":"","custom_fields":[{"id":1,"name":"Subdivision","value":"NW"},{"id":4,"name":"Milepost","value":"5.8929"},{"id":17,"name":"Train ID","value":"1827-03"},{"id":16,"name":"Locomotive ID","value":"4029"},{"id":130,"name":"Impact","value":""},{"id":150,"name":"Time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s="21" customFormat="1" x14ac:dyDescent="0.25">
      <c r="A189" s="37" t="s">
        <v>456</v>
      </c>
      <c r="B189" s="7">
        <v>4030</v>
      </c>
      <c r="C189" s="22" t="s">
        <v>209</v>
      </c>
      <c r="D189" s="22" t="s">
        <v>728</v>
      </c>
      <c r="E189" s="13">
        <v>42707.817696759259</v>
      </c>
      <c r="F189" s="13">
        <v>42707.819305555553</v>
      </c>
      <c r="G189" s="7">
        <v>1</v>
      </c>
      <c r="H189" s="22" t="s">
        <v>729</v>
      </c>
      <c r="I189" s="13">
        <v>42707.831805555557</v>
      </c>
      <c r="J189" s="7">
        <v>0</v>
      </c>
      <c r="K189" s="109" t="str">
        <f t="shared" si="49"/>
        <v>4029/4030</v>
      </c>
      <c r="L189" s="22" t="str">
        <f>VLOOKUP(A189,'Trips&amp;Operators'!$C$1:$G$99999,5,FALSE)</f>
        <v>HOLCOMB KAMDEN</v>
      </c>
      <c r="M189" s="6">
        <f t="shared" si="50"/>
        <v>1.2500000004365575E-2</v>
      </c>
      <c r="N189" s="7">
        <f t="shared" si="69"/>
        <v>18.000000006286427</v>
      </c>
      <c r="O189" s="7"/>
      <c r="P189" s="7"/>
      <c r="Q189" s="23"/>
      <c r="R189" s="23"/>
      <c r="S189" s="35">
        <f t="shared" si="70"/>
        <v>1</v>
      </c>
      <c r="T189" s="50" t="str">
        <f t="shared" si="51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18:37:29-700',mode:absolute,to:'2016-12-03 20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9" s="52" t="str">
        <f t="shared" si="53"/>
        <v>N</v>
      </c>
      <c r="X189" s="177">
        <f t="shared" si="68"/>
        <v>1</v>
      </c>
      <c r="Y189" s="67">
        <f t="shared" si="55"/>
        <v>5.8608000000000002</v>
      </c>
      <c r="Z189" s="67">
        <f t="shared" si="71"/>
        <v>6.6100000000000006E-2</v>
      </c>
      <c r="AA189" s="67">
        <f t="shared" si="56"/>
        <v>5.7947000000000006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57"/>
        <v>1828-03</v>
      </c>
      <c r="AE189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89" s="88" t="str">
        <f t="shared" si="59"/>
        <v>"C:\Program Files (x86)\AstroGrep\AstroGrep.exe" /spath="%USERPROFILE%\AppData\Local\Temp\OnboardLogs" /stypes="app*4030*20161204*" /stext=" 02:.+((SYSTEM_STATE.+slice.+state.+changed )|(ment ac)|(multiple cpu faults)|(system.+state.+changed )|(\[timeout)|(PRM\|1\|D)|(kpr)|(kdp)|(\|lc)|(penalty))" /e /r /s</v>
      </c>
      <c r="AG189" s="1" t="str">
        <f t="shared" si="60"/>
        <v>NW</v>
      </c>
      <c r="AH189" s="92" t="str">
        <f t="shared" si="61"/>
        <v>"%USERPROFILE%\Documents\GitHub\eaglep3\Utilities\RefineRTDCRunTimes.py" --tripid 1828-03 --locoid 4030 --swversion DE.1.0.8.0 --startMP 300:58608 --initTime 2016-12-03T19:37:29 --startdatetime 2016-12-03T19:39:48 --delay 1 --endMP 204:661 --enddatetime 2016-12-03T19:57:48 --enforcementcount 0 &gt;&gt;C:\Users\stu\Documents\GitHub\eaglep3-reporting\EC\2016-12-03-refined-times.txt</v>
      </c>
      <c r="AI189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{"issue":{"subject":"","project_id":79,"tracker_id":40,"status_id":1,"priority_id":2,"assigned_to_id":23,"start_date":"2016-12-03","description":"","custom_fields":[{"id":1,"name":"Subdivision","value":"NW"},{"id":4,"name":"Milepost","value":"0.0661"},{"id":17,"name":"Train ID","value":"1828-03"},{"id":16,"name":"Locomotive ID","value":"4030"},{"id":130,"name":"Impact","value":""},{"id":150,"name":"Time of Event (Mountain Time)","value":"19:57:48"},{"id":151,"name":"Denver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1" customFormat="1" x14ac:dyDescent="0.25">
      <c r="A190" s="37" t="s">
        <v>457</v>
      </c>
      <c r="B190" s="7">
        <v>4029</v>
      </c>
      <c r="C190" s="22" t="s">
        <v>209</v>
      </c>
      <c r="D190" s="22" t="s">
        <v>730</v>
      </c>
      <c r="E190" s="13">
        <v>42707.841620370367</v>
      </c>
      <c r="F190" s="13">
        <v>42707.864861111113</v>
      </c>
      <c r="G190" s="7">
        <v>1</v>
      </c>
      <c r="H190" s="22" t="s">
        <v>421</v>
      </c>
      <c r="I190" s="13">
        <v>42707.874409722222</v>
      </c>
      <c r="J190" s="7">
        <v>0</v>
      </c>
      <c r="K190" s="109" t="str">
        <f t="shared" si="49"/>
        <v>4029/4030</v>
      </c>
      <c r="L190" s="22" t="str">
        <f>VLOOKUP(A190,'Trips&amp;Operators'!$C$1:$G$99999,5,FALSE)</f>
        <v>HOLCOMB KAMDEN</v>
      </c>
      <c r="M190" s="6">
        <f t="shared" si="50"/>
        <v>9.5486111094942316E-3</v>
      </c>
      <c r="N190" s="7">
        <f t="shared" si="69"/>
        <v>13.749999997671694</v>
      </c>
      <c r="O190" s="7"/>
      <c r="P190" s="7"/>
      <c r="Q190" s="23"/>
      <c r="R190" s="23"/>
      <c r="S190" s="35">
        <f t="shared" si="70"/>
        <v>1</v>
      </c>
      <c r="T190" s="50" t="str">
        <f t="shared" si="51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19:11:56-700',mode:absolute,to:'2016-12-03 21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0" s="52" t="str">
        <f t="shared" si="53"/>
        <v>N</v>
      </c>
      <c r="X190" s="177">
        <f t="shared" si="68"/>
        <v>1</v>
      </c>
      <c r="Y190" s="67">
        <f t="shared" si="55"/>
        <v>9.6500000000000002E-2</v>
      </c>
      <c r="Z190" s="67">
        <f t="shared" si="71"/>
        <v>5.8925999999999998</v>
      </c>
      <c r="AA190" s="67">
        <f t="shared" si="56"/>
        <v>5.7961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57"/>
        <v>1829-03</v>
      </c>
      <c r="AE190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90" s="88" t="str">
        <f t="shared" si="59"/>
        <v>"C:\Program Files (x86)\AstroGrep\AstroGrep.exe" /spath="%USERPROFILE%\AppData\Local\Temp\OnboardLogs" /stypes="app*4029*20161204*" /stext=" 03:.+((SYSTEM_STATE.+slice.+state.+changed )|(ment ac)|(multiple cpu faults)|(system.+state.+changed )|(\[timeout)|(PRM\|1\|D)|(kpr)|(kdp)|(\|lc)|(penalty))" /e /r /s</v>
      </c>
      <c r="AG190" s="1" t="str">
        <f t="shared" si="60"/>
        <v>NW</v>
      </c>
      <c r="AH190" s="92" t="str">
        <f t="shared" si="61"/>
        <v>"%USERPROFILE%\Documents\GitHub\eaglep3\Utilities\RefineRTDCRunTimes.py" --tripid 1829-03 --locoid 4029 --swversion DE.1.0.8.0 --startMP 204:965 --initTime 2016-12-03T20:11:56 --startdatetime 2016-12-03T20:45:24 --delay 1 --endMP 300:58926 --enddatetime 2016-12-03T20:59:09 --enforcementcount 0 &gt;&gt;C:\Users\stu\Documents\GitHub\eaglep3-reporting\EC\2016-12-03-refined-times.txt</v>
      </c>
      <c r="AI190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{"issue":{"subject":"","project_id":79,"tracker_id":40,"status_id":1,"priority_id":2,"assigned_to_id":23,"start_date":"2016-12-03","description":"","custom_fields":[{"id":1,"name":"Subdivision","value":"NW"},{"id":4,"name":"Milepost","value":"5.8926"},{"id":17,"name":"Train ID","value":"1829-03"},{"id":16,"name":"Locomotive ID","value":"4029"},{"id":130,"name":"Impact","value":""},{"id":150,"name":"Time of Event (Mountain Time)","value":"20:59:09"},{"id":151,"name":"Denver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1" customFormat="1" x14ac:dyDescent="0.25">
      <c r="A191" s="37" t="s">
        <v>458</v>
      </c>
      <c r="B191" s="7">
        <v>4030</v>
      </c>
      <c r="C191" s="22" t="s">
        <v>209</v>
      </c>
      <c r="D191" s="22" t="s">
        <v>418</v>
      </c>
      <c r="E191" s="13">
        <v>42707.863321759258</v>
      </c>
      <c r="F191" s="13">
        <v>42707.864861111113</v>
      </c>
      <c r="G191" s="7">
        <v>1</v>
      </c>
      <c r="H191" s="22" t="s">
        <v>729</v>
      </c>
      <c r="I191" s="13">
        <v>42707.874409722222</v>
      </c>
      <c r="J191" s="7">
        <v>0</v>
      </c>
      <c r="K191" s="109" t="str">
        <f t="shared" si="49"/>
        <v>4029/4030</v>
      </c>
      <c r="L191" s="22" t="str">
        <f>VLOOKUP(A191,'Trips&amp;Operators'!$C$1:$G$99999,5,FALSE)</f>
        <v>HOLCOMB KAMDEN</v>
      </c>
      <c r="M191" s="6">
        <f t="shared" si="50"/>
        <v>9.5486111094942316E-3</v>
      </c>
      <c r="N191" s="7">
        <f t="shared" si="69"/>
        <v>13.749999997671694</v>
      </c>
      <c r="O191" s="7"/>
      <c r="P191" s="7"/>
      <c r="Q191" s="23"/>
      <c r="R191" s="23"/>
      <c r="S191" s="35">
        <f t="shared" si="70"/>
        <v>1</v>
      </c>
      <c r="T191" s="50" t="str">
        <f t="shared" si="51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19:43:11-700',mode:absolute,to:'2016-12-03 21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1" s="52" t="str">
        <f t="shared" si="53"/>
        <v>N</v>
      </c>
      <c r="X191" s="177">
        <f t="shared" si="68"/>
        <v>1</v>
      </c>
      <c r="Y191" s="67">
        <f t="shared" si="55"/>
        <v>5.8619000000000003</v>
      </c>
      <c r="Z191" s="67">
        <f t="shared" si="71"/>
        <v>6.6100000000000006E-2</v>
      </c>
      <c r="AA191" s="67">
        <f t="shared" si="56"/>
        <v>5.7958000000000007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57"/>
        <v>1830-03</v>
      </c>
      <c r="AE191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91" s="88" t="str">
        <f t="shared" si="59"/>
        <v>"C:\Program Files (x86)\AstroGrep\AstroGrep.exe" /spath="%USERPROFILE%\AppData\Local\Temp\OnboardLogs" /stypes="app*4030*20161204*" /stext=" 03:.+((SYSTEM_STATE.+slice.+state.+changed )|(ment ac)|(multiple cpu faults)|(system.+state.+changed )|(\[timeout)|(PRM\|1\|D)|(kpr)|(kdp)|(\|lc)|(penalty))" /e /r /s</v>
      </c>
      <c r="AG191" s="1" t="str">
        <f t="shared" si="60"/>
        <v>NW</v>
      </c>
      <c r="AH191" s="92" t="str">
        <f t="shared" si="61"/>
        <v>"%USERPROFILE%\Documents\GitHub\eaglep3\Utilities\RefineRTDCRunTimes.py" --tripid 1830-03 --locoid 4030 --swversion DE.1.0.8.0 --startMP 300:58619 --initTime 2016-12-03T20:43:11 --startdatetime 2016-12-03T20:45:24 --delay 1 --endMP 204:661 --enddatetime 2016-12-03T20:59:09 --enforcementcount 0 &gt;&gt;C:\Users\stu\Documents\GitHub\eaglep3-reporting\EC\2016-12-03-refined-times.txt</v>
      </c>
      <c r="AI191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{"issue":{"subject":"","project_id":79,"tracker_id":40,"status_id":1,"priority_id":2,"assigned_to_id":23,"start_date":"2016-12-03","description":"","custom_fields":[{"id":1,"name":"Subdivision","value":"NW"},{"id":4,"name":"Milepost","value":"0.0661"},{"id":17,"name":"Train ID","value":"1830-03"},{"id":16,"name":"Locomotive ID","value":"4030"},{"id":130,"name":"Impact","value":""},{"id":150,"name":"Time of Event (Mountain Time)","value":"20:59:09"},{"id":151,"name":"Denver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7" t="s">
        <v>641</v>
      </c>
      <c r="B192" s="7">
        <v>4029</v>
      </c>
      <c r="C192" s="22" t="s">
        <v>209</v>
      </c>
      <c r="D192" s="22" t="s">
        <v>426</v>
      </c>
      <c r="E192" s="13">
        <v>42707.88208333333</v>
      </c>
      <c r="F192" s="13">
        <v>42707.889837962961</v>
      </c>
      <c r="G192" s="7">
        <v>1</v>
      </c>
      <c r="H192" s="22" t="s">
        <v>731</v>
      </c>
      <c r="I192" s="13">
        <v>42707.899884259263</v>
      </c>
      <c r="J192" s="7">
        <v>0</v>
      </c>
      <c r="K192" s="109" t="str">
        <f t="shared" si="49"/>
        <v>4029/4030</v>
      </c>
      <c r="L192" s="22" t="str">
        <f>VLOOKUP(A192,'Trips&amp;Operators'!$C$1:$G$99999,5,FALSE)</f>
        <v>HOLCOMB KAMDEN</v>
      </c>
      <c r="M192" s="6">
        <f t="shared" si="50"/>
        <v>1.004629630187992E-2</v>
      </c>
      <c r="N192" s="7">
        <f t="shared" si="69"/>
        <v>14.466666674707085</v>
      </c>
      <c r="O192" s="7"/>
      <c r="P192" s="7"/>
      <c r="Q192" s="23"/>
      <c r="R192" s="23"/>
      <c r="S192" s="35">
        <f t="shared" si="70"/>
        <v>1</v>
      </c>
      <c r="T192" s="50" t="str">
        <f t="shared" si="51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20:10:12-700',mode:absolute,to:'2016-12-03 22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2" s="52" t="str">
        <f t="shared" si="53"/>
        <v>N</v>
      </c>
      <c r="X192" s="177">
        <f t="shared" si="68"/>
        <v>1</v>
      </c>
      <c r="Y192" s="67">
        <f t="shared" si="55"/>
        <v>9.74E-2</v>
      </c>
      <c r="Z192" s="67">
        <f t="shared" si="71"/>
        <v>5.8954000000000004</v>
      </c>
      <c r="AA192" s="67">
        <f t="shared" si="56"/>
        <v>5.798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57"/>
        <v>1831-03</v>
      </c>
      <c r="AE192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92" s="88" t="str">
        <f t="shared" si="59"/>
        <v>"C:\Program Files (x86)\AstroGrep\AstroGrep.exe" /spath="%USERPROFILE%\AppData\Local\Temp\OnboardLogs" /stypes="app*4029*20161204*" /stext=" 04:.+((SYSTEM_STATE.+slice.+state.+changed )|(ment ac)|(multiple cpu faults)|(system.+state.+changed )|(\[timeout)|(PRM\|1\|D)|(kpr)|(kdp)|(\|lc)|(penalty))" /e /r /s</v>
      </c>
      <c r="AG192" s="1" t="str">
        <f t="shared" si="60"/>
        <v>NW</v>
      </c>
      <c r="AH192" s="92" t="str">
        <f t="shared" si="61"/>
        <v>"%USERPROFILE%\Documents\GitHub\eaglep3\Utilities\RefineRTDCRunTimes.py" --tripid 1831-03 --locoid 4029 --swversion DE.1.0.8.0 --startMP 204:974 --initTime 2016-12-03T21:10:12 --startdatetime 2016-12-03T21:21:22 --delay 1 --endMP 300:58954 --enddatetime 2016-12-03T21:35:50 --enforcementcount 0 &gt;&gt;C:\Users\stu\Documents\GitHub\eaglep3-reporting\EC\2016-12-03-refined-times.txt</v>
      </c>
      <c r="AI192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{"issue":{"subject":"","project_id":79,"tracker_id":40,"status_id":1,"priority_id":2,"assigned_to_id":23,"start_date":"2016-12-03","description":"","custom_fields":[{"id":1,"name":"Subdivision","value":"NW"},{"id":4,"name":"Milepost","value":"5.8954"},{"id":17,"name":"Train ID","value":"1831-03"},{"id":16,"name":"Locomotive ID","value":"4029"},{"id":130,"name":"Impact","value":""},{"id":150,"name":"Time of Event (Mountain Time)","value":"21:35:50"},{"id":151,"name":"Denver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460</v>
      </c>
      <c r="B193" s="7">
        <v>4030</v>
      </c>
      <c r="C193" s="22" t="s">
        <v>209</v>
      </c>
      <c r="D193" s="22" t="s">
        <v>333</v>
      </c>
      <c r="E193" s="13">
        <v>42707.900960648149</v>
      </c>
      <c r="F193" s="13">
        <v>42707.902662037035</v>
      </c>
      <c r="G193" s="7">
        <v>1</v>
      </c>
      <c r="H193" s="22" t="s">
        <v>433</v>
      </c>
      <c r="I193" s="13">
        <v>42707.913969907408</v>
      </c>
      <c r="J193" s="7">
        <v>0</v>
      </c>
      <c r="K193" s="109" t="str">
        <f t="shared" si="49"/>
        <v>4029/4030</v>
      </c>
      <c r="L193" s="22" t="str">
        <f>VLOOKUP(A193,'Trips&amp;Operators'!$C$1:$G$99999,5,FALSE)</f>
        <v>HOLCOMB KAMDEN</v>
      </c>
      <c r="M193" s="6">
        <f t="shared" si="50"/>
        <v>1.1307870372547768E-2</v>
      </c>
      <c r="N193" s="7">
        <f t="shared" si="69"/>
        <v>16.283333336468786</v>
      </c>
      <c r="O193" s="7"/>
      <c r="P193" s="7"/>
      <c r="Q193" s="23"/>
      <c r="R193" s="23"/>
      <c r="S193" s="35">
        <f t="shared" si="70"/>
        <v>1</v>
      </c>
      <c r="T193" s="50" t="str">
        <f t="shared" si="51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20:37:23-700',mode:absolute,to:'2016-12-03 22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3" s="52" t="str">
        <f t="shared" si="53"/>
        <v>N</v>
      </c>
      <c r="X193" s="177">
        <f t="shared" si="68"/>
        <v>1</v>
      </c>
      <c r="Y193" s="67">
        <f t="shared" si="55"/>
        <v>5.8638000000000003</v>
      </c>
      <c r="Z193" s="67">
        <f t="shared" si="71"/>
        <v>6.6299999999999998E-2</v>
      </c>
      <c r="AA193" s="67">
        <f t="shared" si="56"/>
        <v>5.7975000000000003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57"/>
        <v>1832-03</v>
      </c>
      <c r="AE193" s="91" t="str">
        <f t="shared" si="58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193" s="88" t="str">
        <f t="shared" si="59"/>
        <v>"C:\Program Files (x86)\AstroGrep\AstroGrep.exe" /spath="%USERPROFILE%\AppData\Local\Temp\OnboardLogs" /stypes="app*4030*20161204*" /stext=" 04:.+((SYSTEM_STATE.+slice.+state.+changed )|(ment ac)|(multiple cpu faults)|(system.+state.+changed )|(\[timeout)|(PRM\|1\|D)|(kpr)|(kdp)|(\|lc)|(penalty))" /e /r /s</v>
      </c>
      <c r="AG193" s="1" t="str">
        <f t="shared" si="60"/>
        <v>NW</v>
      </c>
      <c r="AH193" s="92" t="str">
        <f t="shared" si="61"/>
        <v>"%USERPROFILE%\Documents\GitHub\eaglep3\Utilities\RefineRTDCRunTimes.py" --tripid 1832-03 --locoid 4030 --swversion DE.1.0.8.0 --startMP 300:58638 --initTime 2016-12-03T21:37:23 --startdatetime 2016-12-03T21:39:50 --delay 1 --endMP 204:663 --enddatetime 2016-12-03T21:56:07 --enforcementcount 0 &gt;&gt;C:\Users\stu\Documents\GitHub\eaglep3-reporting\EC\2016-12-03-refined-times.txt</v>
      </c>
      <c r="AI193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{"issue":{"subject":"","project_id":79,"tracker_id":40,"status_id":1,"priority_id":2,"assigned_to_id":23,"start_date":"2016-12-03","description":"","custom_fields":[{"id":1,"name":"Subdivision","value":"NW"},{"id":4,"name":"Milepost","value":"0.0663"},{"id":17,"name":"Train ID","value":"1832-03"},{"id":16,"name":"Locomotive ID","value":"4030"},{"id":130,"name":"Impact","value":""},{"id":150,"name":"Time of Event (Mountain Time)","value":"21:56:07"},{"id":151,"name":"Denver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645</v>
      </c>
      <c r="B194" s="7">
        <v>4029</v>
      </c>
      <c r="C194" s="22" t="s">
        <v>209</v>
      </c>
      <c r="D194" s="22" t="s">
        <v>732</v>
      </c>
      <c r="E194" s="13">
        <v>42707.928587962961</v>
      </c>
      <c r="F194" s="13">
        <v>42707.931504629632</v>
      </c>
      <c r="G194" s="7">
        <v>1</v>
      </c>
      <c r="H194" s="22" t="s">
        <v>731</v>
      </c>
      <c r="I194" s="13">
        <v>42707.941192129627</v>
      </c>
      <c r="J194" s="7">
        <v>0</v>
      </c>
      <c r="K194" s="109" t="str">
        <f t="shared" si="49"/>
        <v>4029/4030</v>
      </c>
      <c r="L194" s="22" t="str">
        <f>VLOOKUP(A194,'Trips&amp;Operators'!$C$1:$G$99999,5,FALSE)</f>
        <v>HOLCOMB KAMDEN</v>
      </c>
      <c r="M194" s="6">
        <f t="shared" si="50"/>
        <v>9.6874999944702722E-3</v>
      </c>
      <c r="N194" s="7">
        <f t="shared" si="69"/>
        <v>13.949999992037192</v>
      </c>
      <c r="O194" s="7"/>
      <c r="P194" s="7"/>
      <c r="Q194" s="23"/>
      <c r="R194" s="23"/>
      <c r="S194" s="35">
        <f t="shared" si="70"/>
        <v>1</v>
      </c>
      <c r="T194" s="50" t="str">
        <f t="shared" si="51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21:17:10-700',mode:absolute,to:'2016-12-03 23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4" s="52" t="str">
        <f t="shared" si="53"/>
        <v>N</v>
      </c>
      <c r="X194" s="177">
        <f t="shared" si="68"/>
        <v>1</v>
      </c>
      <c r="Y194" s="67">
        <f t="shared" si="55"/>
        <v>9.64E-2</v>
      </c>
      <c r="Z194" s="67">
        <f t="shared" si="71"/>
        <v>5.8954000000000004</v>
      </c>
      <c r="AA194" s="67">
        <f t="shared" si="56"/>
        <v>5.7990000000000004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57"/>
        <v>1833-03</v>
      </c>
      <c r="AE194" s="91" t="str">
        <f t="shared" si="58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194" s="88" t="str">
        <f t="shared" si="59"/>
        <v>"C:\Program Files (x86)\AstroGrep\AstroGrep.exe" /spath="%USERPROFILE%\AppData\Local\Temp\OnboardLogs" /stypes="app*4029*20161204*" /stext=" 05:.+((SYSTEM_STATE.+slice.+state.+changed )|(ment ac)|(multiple cpu faults)|(system.+state.+changed )|(\[timeout)|(PRM\|1\|D)|(kpr)|(kdp)|(\|lc)|(penalty))" /e /r /s</v>
      </c>
      <c r="AG194" s="1" t="str">
        <f t="shared" si="60"/>
        <v>NW</v>
      </c>
      <c r="AH194" s="92" t="str">
        <f t="shared" si="61"/>
        <v>"%USERPROFILE%\Documents\GitHub\eaglep3\Utilities\RefineRTDCRunTimes.py" --tripid 1833-03 --locoid 4029 --swversion DE.1.0.8.0 --startMP 204:964 --initTime 2016-12-03T22:17:10 --startdatetime 2016-12-03T22:21:22 --delay 1 --endMP 300:58954 --enddatetime 2016-12-03T22:35:19 --enforcementcount 0 &gt;&gt;C:\Users\stu\Documents\GitHub\eaglep3-reporting\EC\2016-12-03-refined-times.txt</v>
      </c>
      <c r="AI194" s="119" t="str">
        <f t="shared" si="62"/>
        <v>echo {"issue":{"subject":"","project_id":79,"tracker_id":40,"status_id":1,"priority_id":2,"assigned_to_id":23,"start_date":"2016-12-03","description":"","custom_fields":[{"id":1,"name":"Subdivision","value":"NW"},{"id":4,"name":"Milepost","value":"5.8954"},{"id":17,"name":"Train ID","value":"1833-03"},{"id":16,"name":"Locomotive ID","value":"4029"},{"id":130,"name":"Impact","value":""},{"id":150,"name":"Time of Event (Mountain Time)","value":"22:35:19"},{"id":151,"name":"Denver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476</v>
      </c>
      <c r="B195" s="7">
        <v>4041</v>
      </c>
      <c r="C195" s="22" t="s">
        <v>209</v>
      </c>
      <c r="D195" s="22" t="s">
        <v>796</v>
      </c>
      <c r="E195" s="13">
        <v>42707.119039351855</v>
      </c>
      <c r="F195" s="13">
        <v>42707.121192129627</v>
      </c>
      <c r="G195" s="7">
        <v>2</v>
      </c>
      <c r="H195" s="22" t="s">
        <v>285</v>
      </c>
      <c r="I195" s="13">
        <v>42707.126932870371</v>
      </c>
      <c r="J195" s="7">
        <v>0</v>
      </c>
      <c r="K195" s="109" t="str">
        <f t="shared" si="49"/>
        <v>4041/4042</v>
      </c>
      <c r="L195" s="22" t="str">
        <f>VLOOKUP(A195,'Trips&amp;Operators'!$C$1:$G$99999,5,FALSE)</f>
        <v>MAELZER KURT</v>
      </c>
      <c r="M195" s="6">
        <f t="shared" si="50"/>
        <v>5.7407407439313829E-3</v>
      </c>
      <c r="N195" s="7">
        <f t="shared" si="69"/>
        <v>8.2666666712611914</v>
      </c>
      <c r="O195" s="7"/>
      <c r="P195" s="7"/>
      <c r="Q195" s="23"/>
      <c r="R195" s="23"/>
      <c r="S195" s="35">
        <f t="shared" si="70"/>
        <v>1</v>
      </c>
      <c r="T195" s="50" t="str">
        <f t="shared" si="51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01:51:25-700',mode:absolute,to:'2016-12-03 04:02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5" s="52" t="str">
        <f t="shared" si="53"/>
        <v>Y</v>
      </c>
      <c r="X195" s="177">
        <f t="shared" si="68"/>
        <v>-1531</v>
      </c>
      <c r="Y195" s="67">
        <f t="shared" si="55"/>
        <v>2.1254</v>
      </c>
      <c r="Z195" s="67">
        <f t="shared" si="71"/>
        <v>1.6E-2</v>
      </c>
      <c r="AA195" s="67">
        <f t="shared" si="56"/>
        <v>2.1093999999999999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57"/>
        <v>0302-03</v>
      </c>
      <c r="AE195" s="91" t="str">
        <f t="shared" si="58"/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AF195" s="88" t="str">
        <f t="shared" si="59"/>
        <v>"C:\Program Files (x86)\AstroGrep\AstroGrep.exe" /spath="%USERPROFILE%\AppData\Local\Temp\OnboardLogs" /stypes="app*4041*20161203*" /stext=" 10:.+((SYSTEM_STATE.+slice.+state.+changed )|(ment ac)|(multiple cpu faults)|(system.+state.+changed )|(\[timeout)|(PRM\|1\|D)|(kpr)|(kdp)|(\|lc)|(penalty))" /e /r /s</v>
      </c>
      <c r="AG195" s="1" t="str">
        <f t="shared" si="60"/>
        <v>Other</v>
      </c>
      <c r="AH195" s="92" t="str">
        <f t="shared" si="61"/>
        <v>"%USERPROFILE%\Documents\GitHub\eaglep3\Utilities\RefineRTDCRunTimes.py" --tripid 302-03 --locoid 4041 --swversion DE.1.0.8.0 --startMP 300:21254 --initTime 2016-12-03T02:51:25 --startdatetime 2016-12-03T02:54:31 --delay 2 --endMP 204:160 --enddatetime 2016-12-03T03:02:47 --enforcementcount 0 &gt;&gt;C:\Users\stu\Documents\GitHub\eaglep3-reporting\EC\2016-12-03-refined-times.txt</v>
      </c>
      <c r="AI195" s="119" t="str">
        <f t="shared" si="62"/>
        <v>echo {"issue":{"subject":"","project_id":79,"tracker_id":40,"status_id":1,"priority_id":2,"assigned_to_id":23,"start_date":"2016-12-03","description":"","custom_fields":[{"id":1,"name":"Subdivision","value":"Other"},{"id":4,"name":"Milepost","value":"0.016"},{"id":17,"name":"Train ID","value":"302-03"},{"id":16,"name":"Locomotive ID","value":"4041"},{"id":130,"name":"Impact","value":""},{"id":150,"name":"Time of Event (Mountain Time)","value":"03:02:47"},{"id":151,"name":"Denver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629</v>
      </c>
      <c r="B196" s="7">
        <v>4022</v>
      </c>
      <c r="C196" s="22" t="s">
        <v>209</v>
      </c>
      <c r="D196" s="22" t="s">
        <v>797</v>
      </c>
      <c r="E196" s="13">
        <v>42707.777291666665</v>
      </c>
      <c r="F196" s="13">
        <v>42707.779317129629</v>
      </c>
      <c r="G196" s="7">
        <v>1</v>
      </c>
      <c r="H196" s="22" t="s">
        <v>415</v>
      </c>
      <c r="I196" s="13">
        <v>42707.785324074073</v>
      </c>
      <c r="J196" s="7">
        <v>0</v>
      </c>
      <c r="K196" s="109" t="str">
        <f t="shared" si="49"/>
        <v>4021/4022</v>
      </c>
      <c r="L196" s="22" t="str">
        <f>VLOOKUP(A196,'Trips&amp;Operators'!$C$1:$G$99999,5,FALSE)</f>
        <v>SHOOK JOHN</v>
      </c>
      <c r="M196" s="6">
        <f t="shared" si="50"/>
        <v>6.0069444443797693E-3</v>
      </c>
      <c r="N196" s="7">
        <f t="shared" si="69"/>
        <v>8.6499999999068677</v>
      </c>
      <c r="O196" s="7"/>
      <c r="P196" s="7"/>
      <c r="Q196" s="23"/>
      <c r="R196" s="23"/>
      <c r="S196" s="35">
        <f t="shared" si="70"/>
        <v>1</v>
      </c>
      <c r="T196" s="50" t="str">
        <f t="shared" si="51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17:39:18-700',mode:absolute,to:'2016-12-03 19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96" s="52" t="str">
        <f t="shared" si="53"/>
        <v>Y</v>
      </c>
      <c r="X196" s="177">
        <f t="shared" si="68"/>
        <v>1</v>
      </c>
      <c r="Y196" s="67">
        <f t="shared" si="55"/>
        <v>0.1216</v>
      </c>
      <c r="Z196" s="67">
        <f t="shared" si="71"/>
        <v>2.331</v>
      </c>
      <c r="AA196" s="67">
        <f t="shared" si="56"/>
        <v>2.2094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57"/>
        <v>0303-03</v>
      </c>
      <c r="AE196" s="91" t="str">
        <f t="shared" si="58"/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AF196" s="88" t="str">
        <f t="shared" si="59"/>
        <v>"C:\Program Files (x86)\AstroGrep\AstroGrep.exe" /spath="%USERPROFILE%\AppData\Local\Temp\OnboardLogs" /stypes="app*4022*20161204*" /stext=" 01:.+((SYSTEM_STATE.+slice.+state.+changed )|(ment ac)|(multiple cpu faults)|(system.+state.+changed )|(\[timeout)|(PRM\|1\|D)|(kpr)|(kdp)|(\|lc)|(penalty))" /e /r /s</v>
      </c>
      <c r="AG196" s="1" t="str">
        <f t="shared" si="60"/>
        <v>Other</v>
      </c>
      <c r="AH196" s="92" t="str">
        <f t="shared" si="61"/>
        <v>"%USERPROFILE%\Documents\GitHub\eaglep3\Utilities\RefineRTDCRunTimes.py" --tripid 303-03 --locoid 4022 --swversion DE.1.0.8.0 --startMP 204:1216 --initTime 2016-12-03T18:39:18 --startdatetime 2016-12-03T18:42:13 --delay 1 --endMP 300:23310 --enddatetime 2016-12-03T18:50:52 --enforcementcount 0 &gt;&gt;C:\Users\stu\Documents\GitHub\eaglep3-reporting\EC\2016-12-03-refined-times.txt</v>
      </c>
      <c r="AI196" s="119" t="str">
        <f t="shared" si="62"/>
        <v>echo {"issue":{"subject":"","project_id":79,"tracker_id":40,"status_id":1,"priority_id":2,"assigned_to_id":23,"start_date":"2016-12-03","description":"","custom_fields":[{"id":1,"name":"Subdivision","value":"Other"},{"id":4,"name":"Milepost","value":"2.331"},{"id":17,"name":"Train ID","value":"303-03"},{"id":16,"name":"Locomotive ID","value":"4022"},{"id":130,"name":"Impact","value":""},{"id":150,"name":"Time of Event (Mountain Time)","value":"18:50:52"},{"id":151,"name":"Denver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478</v>
      </c>
      <c r="B197" s="7">
        <v>4004</v>
      </c>
      <c r="C197" s="22" t="s">
        <v>209</v>
      </c>
      <c r="D197" s="22" t="s">
        <v>798</v>
      </c>
      <c r="E197" s="13">
        <v>42707.139861111114</v>
      </c>
      <c r="F197" s="13">
        <v>42707.140856481485</v>
      </c>
      <c r="G197" s="7">
        <v>1</v>
      </c>
      <c r="H197" s="22" t="s">
        <v>784</v>
      </c>
      <c r="I197" s="13">
        <v>42707.148055555554</v>
      </c>
      <c r="J197" s="7">
        <v>0</v>
      </c>
      <c r="K197" s="109" t="str">
        <f t="shared" si="49"/>
        <v>4003/4004</v>
      </c>
      <c r="L197" s="22" t="str">
        <f>VLOOKUP(A197,'Trips&amp;Operators'!$C$1:$G$99999,5,FALSE)</f>
        <v>ROBINSON KADDIBA</v>
      </c>
      <c r="M197" s="6">
        <f t="shared" si="50"/>
        <v>7.1990740689216182E-3</v>
      </c>
      <c r="N197" s="7">
        <f t="shared" si="69"/>
        <v>10.36666665924713</v>
      </c>
      <c r="O197" s="7"/>
      <c r="P197" s="7"/>
      <c r="Q197" s="23"/>
      <c r="R197" s="23"/>
      <c r="S197" s="35">
        <f t="shared" si="70"/>
        <v>1</v>
      </c>
      <c r="T197" s="50" t="str">
        <f t="shared" si="51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02:21:24-700',mode:absolute,to:'2016-12-03 04:33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7" s="52" t="str">
        <f t="shared" si="53"/>
        <v>Y</v>
      </c>
      <c r="X197" s="177">
        <f t="shared" ref="X197:X214" si="72">VALUE(LEFT(AD197,4))-VALUE(LEFT(AD196,4))</f>
        <v>1</v>
      </c>
      <c r="Y197" s="67">
        <f t="shared" si="55"/>
        <v>2.3264</v>
      </c>
      <c r="Z197" s="67">
        <f t="shared" si="71"/>
        <v>8.6999999999999994E-3</v>
      </c>
      <c r="AA197" s="67">
        <f t="shared" si="56"/>
        <v>2.3176999999999999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57"/>
        <v>0304-03</v>
      </c>
      <c r="AE197" s="91" t="str">
        <f t="shared" si="58"/>
        <v>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 &amp; 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</v>
      </c>
      <c r="AF197" s="88" t="str">
        <f t="shared" si="59"/>
        <v>"C:\Program Files (x86)\AstroGrep\AstroGrep.exe" /spath="%USERPROFILE%\AppData\Local\Temp\OnboardLogs" /stypes="app*4004*20161203*" /stext=" 10:.+((SYSTEM_STATE.+slice.+state.+changed )|(ment ac)|(multiple cpu faults)|(system.+state.+changed )|(\[timeout)|(PRM\|1\|D)|(kpr)|(kdp)|(\|lc)|(penalty))" /e /r /s</v>
      </c>
      <c r="AG197" s="1" t="str">
        <f t="shared" si="60"/>
        <v>Other</v>
      </c>
      <c r="AH197" s="92" t="str">
        <f t="shared" si="61"/>
        <v>"%USERPROFILE%\Documents\GitHub\eaglep3\Utilities\RefineRTDCRunTimes.py" --tripid 304-03 --locoid 4004 --swversion DE.1.0.8.0 --startMP 300:23264 --initTime 2016-12-03T03:21:24 --startdatetime 2016-12-03T03:22:50 --delay 1 --endMP 204:87 --enddatetime 2016-12-03T03:33:12 --enforcementcount 0 &gt;&gt;C:\Users\stu\Documents\GitHub\eaglep3-reporting\EC\2016-12-03-refined-times.txt</v>
      </c>
      <c r="AI197" s="119" t="str">
        <f t="shared" si="62"/>
        <v>echo {"issue":{"subject":"","project_id":79,"tracker_id":40,"status_id":1,"priority_id":2,"assigned_to_id":23,"start_date":"2016-12-03","description":"","custom_fields":[{"id":1,"name":"Subdivision","value":"Other"},{"id":4,"name":"Milepost","value":"0.0087"},{"id":17,"name":"Train ID","value":"304-03"},{"id":16,"name":"Locomotive ID","value":"4004"},{"id":130,"name":"Impact","value":""},{"id":150,"name":"Time of Event (Mountain Time)","value":"03:33:12"},{"id":151,"name":"Denver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631</v>
      </c>
      <c r="B198" s="7">
        <v>4042</v>
      </c>
      <c r="C198" s="22" t="s">
        <v>209</v>
      </c>
      <c r="D198" s="22" t="s">
        <v>688</v>
      </c>
      <c r="E198" s="13">
        <v>42707.799560185187</v>
      </c>
      <c r="F198" s="13">
        <v>25568.708333333332</v>
      </c>
      <c r="G198" s="7">
        <v>1</v>
      </c>
      <c r="H198" s="22" t="s">
        <v>414</v>
      </c>
      <c r="I198" s="13">
        <v>25568.708333333332</v>
      </c>
      <c r="J198" s="7">
        <v>0</v>
      </c>
      <c r="K198" s="109" t="str">
        <f t="shared" si="49"/>
        <v>4041/4042</v>
      </c>
      <c r="L198" s="22" t="str">
        <f>VLOOKUP(A198,'Trips&amp;Operators'!$C$1:$G$99999,5,FALSE)</f>
        <v>CLARK KATHLEEN</v>
      </c>
      <c r="M198" s="6">
        <f t="shared" si="50"/>
        <v>0</v>
      </c>
      <c r="N198" s="7">
        <f t="shared" si="69"/>
        <v>0</v>
      </c>
      <c r="O198" s="7"/>
      <c r="P198" s="7"/>
      <c r="Q198" s="23"/>
      <c r="R198" s="23"/>
      <c r="S198" s="35">
        <f t="shared" si="70"/>
        <v>1</v>
      </c>
      <c r="T198" s="50" t="str">
        <f t="shared" si="51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18:11:22-700',mode:absolute,to:'1969-12-31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98" s="52" t="str">
        <f t="shared" si="53"/>
        <v>Y</v>
      </c>
      <c r="X198" s="177">
        <f t="shared" si="72"/>
        <v>1</v>
      </c>
      <c r="Y198" s="67">
        <f t="shared" si="55"/>
        <v>4.7500000000000001E-2</v>
      </c>
      <c r="Z198" s="67">
        <f t="shared" si="71"/>
        <v>2.3308</v>
      </c>
      <c r="AA198" s="67">
        <f t="shared" si="56"/>
        <v>2.2833000000000001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57"/>
        <v>0305-03</v>
      </c>
      <c r="AE198" s="91" t="str">
        <f t="shared" si="5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198" s="88" t="str">
        <f t="shared" si="59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198" s="1" t="str">
        <f t="shared" si="60"/>
        <v>Other</v>
      </c>
      <c r="AH198" s="92" t="str">
        <f t="shared" si="61"/>
        <v>"%USERPROFILE%\Documents\GitHub\eaglep3\Utilities\RefineRTDCRunTimes.py" --tripid 305-03 --locoid 4042 --swversion DE.1.0.8.0 --startMP 204:475 --initTime 2016-12-03T19:11:22 --startdatetime 1969-12-31T17:00:00 --delay 1 --endMP 300:23308 --enddatetime 1969-12-31T17:00:00 --enforcementcount 0 &gt;&gt;C:\Users\stu\Documents\GitHub\eaglep3-reporting\EC\2016-12-03-refined-times.txt</v>
      </c>
      <c r="AI198" s="119" t="str">
        <f t="shared" si="62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ID","value":"305-03"},{"id":16,"name":"Locomotive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479</v>
      </c>
      <c r="B199" s="7">
        <v>4037</v>
      </c>
      <c r="C199" s="22" t="s">
        <v>209</v>
      </c>
      <c r="D199" s="22" t="s">
        <v>799</v>
      </c>
      <c r="E199" s="13">
        <v>42707.163807870369</v>
      </c>
      <c r="F199" s="13">
        <v>42707.164953703701</v>
      </c>
      <c r="G199" s="7">
        <v>1</v>
      </c>
      <c r="H199" s="22" t="s">
        <v>800</v>
      </c>
      <c r="I199" s="13">
        <v>42707.171261574076</v>
      </c>
      <c r="J199" s="7">
        <v>0</v>
      </c>
      <c r="K199" s="109" t="str">
        <f t="shared" si="49"/>
        <v>4037/4038</v>
      </c>
      <c r="L199" s="22" t="str">
        <f>VLOOKUP(A199,'Trips&amp;Operators'!$C$1:$G$99999,5,FALSE)</f>
        <v>ACKERMAN JARED</v>
      </c>
      <c r="M199" s="6">
        <f t="shared" si="50"/>
        <v>6.3078703751671128E-3</v>
      </c>
      <c r="N199" s="7">
        <f t="shared" si="69"/>
        <v>9.0833333402406424</v>
      </c>
      <c r="O199" s="7"/>
      <c r="P199" s="7"/>
      <c r="Q199" s="23"/>
      <c r="R199" s="23"/>
      <c r="S199" s="35">
        <f t="shared" si="70"/>
        <v>1</v>
      </c>
      <c r="T199" s="50" t="str">
        <f t="shared" si="51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02:55:53-700',mode:absolute,to:'2016-12-03 05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199" s="52" t="str">
        <f t="shared" si="53"/>
        <v>Y</v>
      </c>
      <c r="X199" s="177">
        <f t="shared" si="72"/>
        <v>1</v>
      </c>
      <c r="Y199" s="67">
        <f t="shared" si="55"/>
        <v>2.2326999999999999</v>
      </c>
      <c r="Z199" s="67">
        <f t="shared" si="71"/>
        <v>1.03E-2</v>
      </c>
      <c r="AA199" s="67">
        <f t="shared" si="56"/>
        <v>2.2223999999999999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57"/>
        <v>0306-03</v>
      </c>
      <c r="AE199" s="91" t="str">
        <f t="shared" si="58"/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AF199" s="88" t="str">
        <f t="shared" si="59"/>
        <v>"C:\Program Files (x86)\AstroGrep\AstroGrep.exe" /spath="%USERPROFILE%\AppData\Local\Temp\OnboardLogs" /stypes="app*4037*20161203*" /stext=" 11:.+((SYSTEM_STATE.+slice.+state.+changed )|(ment ac)|(multiple cpu faults)|(system.+state.+changed )|(\[timeout)|(PRM\|1\|D)|(kpr)|(kdp)|(\|lc)|(penalty))" /e /r /s</v>
      </c>
      <c r="AG199" s="1" t="str">
        <f t="shared" si="60"/>
        <v>Other</v>
      </c>
      <c r="AH199" s="92" t="str">
        <f t="shared" si="61"/>
        <v>"%USERPROFILE%\Documents\GitHub\eaglep3\Utilities\RefineRTDCRunTimes.py" --tripid 306-03 --locoid 4037 --swversion DE.1.0.8.0 --startMP 300:22327 --initTime 2016-12-03T03:55:53 --startdatetime 2016-12-03T03:57:32 --delay 1 --endMP 204:103 --enddatetime 2016-12-03T04:06:37 --enforcementcount 0 &gt;&gt;C:\Users\stu\Documents\GitHub\eaglep3-reporting\EC\2016-12-03-refined-times.txt</v>
      </c>
      <c r="AI199" s="119" t="str">
        <f t="shared" si="62"/>
        <v>echo {"issue":{"subject":"","project_id":79,"tracker_id":40,"status_id":1,"priority_id":2,"assigned_to_id":23,"start_date":"2016-12-03","description":"","custom_fields":[{"id":1,"name":"Subdivision","value":"Other"},{"id":4,"name":"Milepost","value":"0.0103"},{"id":17,"name":"Train ID","value":"306-03"},{"id":16,"name":"Locomotive ID","value":"4037"},{"id":130,"name":"Impact","value":""},{"id":150,"name":"Time of Event (Mountain Time)","value":"04:06:37"},{"id":151,"name":"Denver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635</v>
      </c>
      <c r="B200" s="7">
        <v>4038</v>
      </c>
      <c r="C200" s="22" t="s">
        <v>209</v>
      </c>
      <c r="D200" s="22" t="s">
        <v>801</v>
      </c>
      <c r="E200" s="13">
        <v>42707.820613425924</v>
      </c>
      <c r="F200" s="13">
        <v>25568.708333333332</v>
      </c>
      <c r="G200" s="7">
        <v>1</v>
      </c>
      <c r="H200" s="22" t="s">
        <v>802</v>
      </c>
      <c r="I200" s="13">
        <v>25568.708333333332</v>
      </c>
      <c r="J200" s="7">
        <v>0</v>
      </c>
      <c r="K200" s="109" t="str">
        <f t="shared" si="49"/>
        <v>4037/4038</v>
      </c>
      <c r="L200" s="22" t="str">
        <f>VLOOKUP(A200,'Trips&amp;Operators'!$C$1:$G$99999,5,FALSE)</f>
        <v>ARVIDSON DANIEL</v>
      </c>
      <c r="M200" s="6">
        <f t="shared" si="50"/>
        <v>0</v>
      </c>
      <c r="N200" s="7">
        <f t="shared" si="69"/>
        <v>0</v>
      </c>
      <c r="O200" s="7"/>
      <c r="P200" s="7"/>
      <c r="Q200" s="23"/>
      <c r="R200" s="23"/>
      <c r="S200" s="35">
        <f t="shared" si="70"/>
        <v>1</v>
      </c>
      <c r="T200" s="50" t="str">
        <f t="shared" si="51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18:41:41-700',mode:absolute,to:'1969-12-31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00" s="52" t="str">
        <f t="shared" si="53"/>
        <v>Y</v>
      </c>
      <c r="X200" s="177">
        <f t="shared" si="72"/>
        <v>1</v>
      </c>
      <c r="Y200" s="67">
        <f t="shared" si="55"/>
        <v>4.5900000000000003E-2</v>
      </c>
      <c r="Z200" s="67">
        <f t="shared" si="71"/>
        <v>2.3066</v>
      </c>
      <c r="AA200" s="67">
        <f t="shared" si="56"/>
        <v>2.2606999999999999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57"/>
        <v>0307-03</v>
      </c>
      <c r="AE200" s="91" t="str">
        <f t="shared" si="58"/>
        <v>aws s3 cp s3://rtdc.mdm.uploadarchive.raw/RTDC4038/ "%USERPROFILE%\AppData\Local\Temp\OnboardLogs"\RTDC4038\1969-12-31 --exclude "*" --recursive --include "*19691231*" &amp; "%USERPROFILE%\Documents\GitHub\mrs-test-scripts\Headless Mode &amp; Sideloading\WalkAndUnGZ.bat" "%USERPROFILE%\AppData\Local\Temp\OnboardLogs"\RTDC4038\1969-12-31 &amp; aws s3 cp s3://rtdc.mdm.uploadarchive.raw/RTDC4038/ "%USERPROFILE%\AppData\Local\Temp\OnboardLogs"\RTDC4038\1970-01-01 --exclude "*" --recursive --include "*19700101*" &amp; "%USERPROFILE%\Documents\GitHub\mrs-test-scripts\Headless Mode &amp; Sideloading\WalkAndUnGZ.bat" "%USERPROFILE%\AppData\Local\Temp\OnboardLogs"\RTDC4038\1970-01-01</v>
      </c>
      <c r="AF200" s="88" t="str">
        <f t="shared" si="59"/>
        <v>"C:\Program Files (x86)\AstroGrep\AstroGrep.exe" /spath="%USERPROFILE%\AppData\Local\Temp\OnboardLogs" /stypes="app*4038*19700101*" /stext=" 00:.+((SYSTEM_STATE.+slice.+state.+changed )|(ment ac)|(multiple cpu faults)|(system.+state.+changed )|(\[timeout)|(PRM\|1\|D)|(kpr)|(kdp)|(\|lc)|(penalty))" /e /r /s</v>
      </c>
      <c r="AG200" s="1" t="str">
        <f t="shared" si="60"/>
        <v>Other</v>
      </c>
      <c r="AH200" s="92" t="str">
        <f t="shared" si="61"/>
        <v>"%USERPROFILE%\Documents\GitHub\eaglep3\Utilities\RefineRTDCRunTimes.py" --tripid 307-03 --locoid 4038 --swversion DE.1.0.8.0 --startMP 204:459 --initTime 2016-12-03T19:41:41 --startdatetime 1969-12-31T17:00:00 --delay 1 --endMP 300:23066 --enddatetime 1969-12-31T17:00:00 --enforcementcount 0 &gt;&gt;C:\Users\stu\Documents\GitHub\eaglep3-reporting\EC\2016-12-03-refined-times.txt</v>
      </c>
      <c r="AI200" s="119" t="str">
        <f t="shared" si="62"/>
        <v>echo {"issue":{"subject":"","project_id":79,"tracker_id":40,"status_id":1,"priority_id":2,"assigned_to_id":23,"start_date":"1969-12-31","description":"","custom_fields":[{"id":1,"name":"Subdivision","value":"Other"},{"id":4,"name":"Milepost","value":"2.3066"},{"id":17,"name":"Train ID","value":"307-03"},{"id":16,"name":"Locomotive ID","value":"4038"},{"id":130,"name":"Impact","value":""},{"id":150,"name":"Time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484</v>
      </c>
      <c r="B201" s="7">
        <v>4039</v>
      </c>
      <c r="C201" s="22" t="s">
        <v>209</v>
      </c>
      <c r="D201" s="22" t="s">
        <v>803</v>
      </c>
      <c r="E201" s="13">
        <v>42707.175995370373</v>
      </c>
      <c r="F201" s="13">
        <v>42707.177430555559</v>
      </c>
      <c r="G201" s="7">
        <v>1</v>
      </c>
      <c r="H201" s="22" t="s">
        <v>192</v>
      </c>
      <c r="I201" s="13">
        <v>42707.183599537035</v>
      </c>
      <c r="J201" s="7">
        <v>0</v>
      </c>
      <c r="K201" s="109" t="str">
        <f t="shared" si="49"/>
        <v>4039/4040</v>
      </c>
      <c r="L201" s="22" t="str">
        <f>VLOOKUP(A201,'Trips&amp;Operators'!$C$1:$G$99999,5,FALSE)</f>
        <v>DAVIS WENDY</v>
      </c>
      <c r="M201" s="6">
        <f t="shared" si="50"/>
        <v>6.168981475639157E-3</v>
      </c>
      <c r="N201" s="7">
        <f t="shared" si="69"/>
        <v>8.8833333249203861</v>
      </c>
      <c r="O201" s="7"/>
      <c r="P201" s="7"/>
      <c r="Q201" s="23"/>
      <c r="R201" s="23"/>
      <c r="S201" s="35">
        <f t="shared" si="70"/>
        <v>1</v>
      </c>
      <c r="T201" s="50" t="str">
        <f t="shared" si="51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03:13:26-700',mode:absolute,to:'2016-12-03 05:24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1" s="52" t="str">
        <f t="shared" si="53"/>
        <v>Y</v>
      </c>
      <c r="X201" s="177">
        <f t="shared" si="72"/>
        <v>1</v>
      </c>
      <c r="Y201" s="67">
        <f t="shared" si="55"/>
        <v>2.1949999999999998</v>
      </c>
      <c r="Z201" s="67">
        <f t="shared" si="71"/>
        <v>1.49E-2</v>
      </c>
      <c r="AA201" s="67">
        <f t="shared" si="56"/>
        <v>2.1800999999999999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57"/>
        <v>0308-03</v>
      </c>
      <c r="AE201" s="91" t="str">
        <f t="shared" si="58"/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AF201" s="88" t="str">
        <f t="shared" si="59"/>
        <v>"C:\Program Files (x86)\AstroGrep\AstroGrep.exe" /spath="%USERPROFILE%\AppData\Local\Temp\OnboardLogs" /stypes="app*4039*20161203*" /stext=" 11:.+((SYSTEM_STATE.+slice.+state.+changed )|(ment ac)|(multiple cpu faults)|(system.+state.+changed )|(\[timeout)|(PRM\|1\|D)|(kpr)|(kdp)|(\|lc)|(penalty))" /e /r /s</v>
      </c>
      <c r="AG201" s="1" t="str">
        <f t="shared" si="60"/>
        <v>Other</v>
      </c>
      <c r="AH201" s="92" t="str">
        <f t="shared" si="61"/>
        <v>"%USERPROFILE%\Documents\GitHub\eaglep3\Utilities\RefineRTDCRunTimes.py" --tripid 308-03 --locoid 4039 --swversion DE.1.0.8.0 --startMP 300:21950 --initTime 2016-12-03T04:13:26 --startdatetime 2016-12-03T04:15:30 --delay 1 --endMP 204:149 --enddatetime 2016-12-03T04:24:23 --enforcementcount 0 &gt;&gt;C:\Users\stu\Documents\GitHub\eaglep3-reporting\EC\2016-12-03-refined-times.txt</v>
      </c>
      <c r="AI201" s="119" t="str">
        <f t="shared" si="62"/>
        <v>echo {"issue":{"subject":"","project_id":79,"tracker_id":40,"status_id":1,"priority_id":2,"assigned_to_id":23,"start_date":"2016-12-03","description":"","custom_fields":[{"id":1,"name":"Subdivision","value":"Other"},{"id":4,"name":"Milepost","value":"0.0149"},{"id":17,"name":"Train ID","value":"308-03"},{"id":16,"name":"Locomotive ID","value":"4039"},{"id":130,"name":"Impact","value":""},{"id":150,"name":"Time of Event (Mountain Time)","value":"04:24:23"},{"id":151,"name":"Denver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657</v>
      </c>
      <c r="B202" s="7">
        <v>4027</v>
      </c>
      <c r="C202" s="22" t="s">
        <v>209</v>
      </c>
      <c r="D202" s="22" t="s">
        <v>417</v>
      </c>
      <c r="E202" s="13">
        <v>42708.0465625</v>
      </c>
      <c r="F202" s="13">
        <v>25568.708333333332</v>
      </c>
      <c r="G202" s="7">
        <v>1</v>
      </c>
      <c r="H202" s="22" t="s">
        <v>415</v>
      </c>
      <c r="I202" s="13">
        <v>25568.708333333332</v>
      </c>
      <c r="J202" s="7">
        <v>0</v>
      </c>
      <c r="K202" s="109" t="str">
        <f t="shared" si="49"/>
        <v>4027/4028</v>
      </c>
      <c r="L202" s="22" t="str">
        <f>VLOOKUP(A202,'Trips&amp;Operators'!$C$1:$G$99999,5,FALSE)</f>
        <v>NEWELL JAMES</v>
      </c>
      <c r="M202" s="6">
        <f t="shared" si="50"/>
        <v>0</v>
      </c>
      <c r="N202" s="7">
        <f t="shared" si="69"/>
        <v>0</v>
      </c>
      <c r="O202" s="7"/>
      <c r="P202" s="7"/>
      <c r="Q202" s="23"/>
      <c r="R202" s="23"/>
      <c r="S202" s="35">
        <f t="shared" si="70"/>
        <v>1</v>
      </c>
      <c r="T202" s="50" t="str">
        <f t="shared" si="51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https://search-rtdc-monitor-bjffxe2xuh6vdkpspy63sjmuny.us-east-1.es.amazonaws.com/_plugin/kibana/#/discover/Steve-Slow-Train-Analysis-(2080s-and-2083s)?_g=(refreshInterval:(display:Off,section:0,value:0),time:(from:'2016-12-04 00:07:03-700',mode:absolute,to:'1969-12-31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02" s="52" t="str">
        <f t="shared" si="53"/>
        <v>Y</v>
      </c>
      <c r="X202" s="177">
        <f t="shared" si="72"/>
        <v>1</v>
      </c>
      <c r="Y202" s="67">
        <f t="shared" si="55"/>
        <v>7.4300000000000005E-2</v>
      </c>
      <c r="Z202" s="67">
        <f t="shared" si="71"/>
        <v>2.331</v>
      </c>
      <c r="AA202" s="67">
        <f t="shared" si="56"/>
        <v>2.2566999999999999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57"/>
        <v>0309-03</v>
      </c>
      <c r="AE202" s="91" t="str">
        <f t="shared" si="58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02" s="88" t="str">
        <f t="shared" si="59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02" s="1" t="str">
        <f t="shared" si="60"/>
        <v>Other</v>
      </c>
      <c r="AH202" s="92" t="str">
        <f t="shared" ref="AH202:AH214" si="73"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309-03 --locoid 4027 --swversion DE.1.0.8.0 --startMP 204:743 --initTime 2016-12-04T01:07:03 --startdatetime 1969-12-31T17:00:00 --delay 1 --endMP 300:23310 --enddatetime 1969-12-31T17:00:00 --enforcementcount 0 &gt;&gt;C:\Users\stu\Documents\GitHub\eaglep3-reporting\EC\2016-12-03-refined-times.txt</v>
      </c>
      <c r="AI202" s="119" t="str">
        <f t="shared" ref="AI202:AI214" si="74"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ID","value":"309-03"},{"id":16,"name":"Locomotive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487</v>
      </c>
      <c r="B203" s="7">
        <v>4021</v>
      </c>
      <c r="C203" s="22" t="s">
        <v>209</v>
      </c>
      <c r="D203" s="22" t="s">
        <v>804</v>
      </c>
      <c r="E203" s="13">
        <v>42707.180092592593</v>
      </c>
      <c r="F203" s="13">
        <v>42707.181377314817</v>
      </c>
      <c r="G203" s="7">
        <v>1</v>
      </c>
      <c r="H203" s="22" t="s">
        <v>285</v>
      </c>
      <c r="I203" s="13">
        <v>42707.187534722223</v>
      </c>
      <c r="J203" s="7">
        <v>0</v>
      </c>
      <c r="K203" s="109" t="str">
        <f t="shared" si="49"/>
        <v>4021/4022</v>
      </c>
      <c r="L203" s="22" t="str">
        <f>VLOOKUP(A203,'Trips&amp;Operators'!$C$1:$G$99999,5,FALSE)</f>
        <v>KILLION DAVID</v>
      </c>
      <c r="M203" s="6">
        <f t="shared" si="50"/>
        <v>6.1574074061354622E-3</v>
      </c>
      <c r="N203" s="7">
        <f t="shared" si="69"/>
        <v>8.8666666648350656</v>
      </c>
      <c r="O203" s="7"/>
      <c r="P203" s="7"/>
      <c r="Q203" s="23"/>
      <c r="R203" s="23"/>
      <c r="S203" s="35">
        <f t="shared" si="70"/>
        <v>1</v>
      </c>
      <c r="T203" s="50" t="str">
        <f t="shared" si="51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https://search-rtdc-monitor-bjffxe2xuh6vdkpspy63sjmuny.us-east-1.es.amazonaws.com/_plugin/kibana/#/discover/Steve-Slow-Train-Analysis-(2080s-and-2083s)?_g=(refreshInterval:(display:Off,section:0,value:0),time:(from:'2016-12-03 03:19:20-700',mode:absolute,to:'2016-12-03 05:30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03" s="52" t="str">
        <f t="shared" si="53"/>
        <v>Y</v>
      </c>
      <c r="X203" s="177">
        <f t="shared" si="72"/>
        <v>1</v>
      </c>
      <c r="Y203" s="67">
        <f t="shared" si="55"/>
        <v>2.3207</v>
      </c>
      <c r="Z203" s="67">
        <f t="shared" si="71"/>
        <v>1.6E-2</v>
      </c>
      <c r="AA203" s="67">
        <f t="shared" si="56"/>
        <v>2.3047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57"/>
        <v>0310-03</v>
      </c>
      <c r="AE203" s="91" t="str">
        <f t="shared" si="58"/>
        <v>aws s3 cp s3://rtdc.mdm.uploadarchive.raw/RTDC4021/ "%USERPROFILE%\AppData\Local\Temp\OnboardLogs"\RTDC4021\2016-12-03 --exclude "*" --recursive --include "*20161203*" &amp; "%USERPROFILE%\Documents\GitHub\mrs-test-scripts\Headless Mode &amp; Sideloading\WalkAndUnGZ.bat" "%USERPROFILE%\AppData\Local\Temp\OnboardLogs"\RTDC4021\2016-12-03 &amp; aws s3 cp s3://rtdc.mdm.uploadarchive.raw/RTDC4021/ "%USERPROFILE%\AppData\Local\Temp\OnboardLogs"\RTDC4021\2016-12-04 --exclude "*" --recursive --include "*20161204*" &amp; "%USERPROFILE%\Documents\GitHub\mrs-test-scripts\Headless Mode &amp; Sideloading\WalkAndUnGZ.bat" "%USERPROFILE%\AppData\Local\Temp\OnboardLogs"\RTDC4021\2016-12-04</v>
      </c>
      <c r="AF203" s="88" t="str">
        <f t="shared" si="59"/>
        <v>"C:\Program Files (x86)\AstroGrep\AstroGrep.exe" /spath="%USERPROFILE%\AppData\Local\Temp\OnboardLogs" /stypes="app*4021*20161203*" /stext=" 11:.+((SYSTEM_STATE.+slice.+state.+changed )|(ment ac)|(multiple cpu faults)|(system.+state.+changed )|(\[timeout)|(PRM\|1\|D)|(kpr)|(kdp)|(\|lc)|(penalty))" /e /r /s</v>
      </c>
      <c r="AG203" s="1" t="str">
        <f t="shared" si="60"/>
        <v>Other</v>
      </c>
      <c r="AH203" s="92" t="str">
        <f t="shared" si="73"/>
        <v>"%USERPROFILE%\Documents\GitHub\eaglep3\Utilities\RefineRTDCRunTimes.py" --tripid 310-03 --locoid 4021 --swversion DE.1.0.8.0 --startMP 300:23207 --initTime 2016-12-03T04:19:20 --startdatetime 2016-12-03T04:21:11 --delay 1 --endMP 204:160 --enddatetime 2016-12-03T04:30:03 --enforcementcount 0 &gt;&gt;C:\Users\stu\Documents\GitHub\eaglep3-reporting\EC\2016-12-03-refined-times.txt</v>
      </c>
      <c r="AI203" s="119" t="str">
        <f t="shared" si="74"/>
        <v>echo {"issue":{"subject":"","project_id":79,"tracker_id":40,"status_id":1,"priority_id":2,"assigned_to_id":23,"start_date":"2016-12-03","description":"","custom_fields":[{"id":1,"name":"Subdivision","value":"Other"},{"id":4,"name":"Milepost","value":"0.016"},{"id":17,"name":"Train ID","value":"310-03"},{"id":16,"name":"Locomotive ID","value":"4021"},{"id":130,"name":"Impact","value":""},{"id":150,"name":"Time of Event (Mountain Time)","value":"04:30:03"},{"id":151,"name":"Denver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659</v>
      </c>
      <c r="B204" s="7">
        <v>4020</v>
      </c>
      <c r="C204" s="22" t="s">
        <v>209</v>
      </c>
      <c r="D204" s="22" t="s">
        <v>266</v>
      </c>
      <c r="E204" s="13">
        <v>42708.068229166667</v>
      </c>
      <c r="F204" s="13">
        <v>25568.708333333332</v>
      </c>
      <c r="G204" s="7">
        <v>1</v>
      </c>
      <c r="H204" s="22" t="s">
        <v>805</v>
      </c>
      <c r="I204" s="13">
        <v>25568.708333333332</v>
      </c>
      <c r="J204" s="7">
        <v>0</v>
      </c>
      <c r="K204" s="109" t="str">
        <f t="shared" si="49"/>
        <v>4019/4020</v>
      </c>
      <c r="L204" s="22" t="str">
        <f>VLOOKUP(A204,'Trips&amp;Operators'!$C$1:$G$99999,5,FALSE)</f>
        <v>CHANDLER KELVIN</v>
      </c>
      <c r="M204" s="6">
        <f t="shared" si="50"/>
        <v>0</v>
      </c>
      <c r="N204" s="7">
        <f t="shared" si="69"/>
        <v>0</v>
      </c>
      <c r="O204" s="7"/>
      <c r="P204" s="7"/>
      <c r="Q204" s="23"/>
      <c r="R204" s="23"/>
      <c r="S204" s="35">
        <f t="shared" si="70"/>
        <v>1</v>
      </c>
      <c r="T204" s="50" t="str">
        <f t="shared" si="51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2"/>
        <v>https://search-rtdc-monitor-bjffxe2xuh6vdkpspy63sjmuny.us-east-1.es.amazonaws.com/_plugin/kibana/#/discover/Steve-Slow-Train-Analysis-(2080s-and-2083s)?_g=(refreshInterval:(display:Off,section:0,value:0),time:(from:'2016-12-04 00:38:15-700',mode:absolute,to:'1969-12-31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4" s="52" t="str">
        <f t="shared" si="53"/>
        <v>Y</v>
      </c>
      <c r="X204" s="177">
        <f t="shared" si="72"/>
        <v>1</v>
      </c>
      <c r="Y204" s="67">
        <f t="shared" si="55"/>
        <v>4.6699999999999998E-2</v>
      </c>
      <c r="Z204" s="67">
        <f t="shared" si="71"/>
        <v>2.3302</v>
      </c>
      <c r="AA204" s="67">
        <f t="shared" si="56"/>
        <v>2.2835000000000001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57"/>
        <v>0311-03</v>
      </c>
      <c r="AE204" s="91" t="str">
        <f t="shared" si="58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4" s="88" t="str">
        <f t="shared" si="59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4" s="1" t="str">
        <f t="shared" si="60"/>
        <v>Other</v>
      </c>
      <c r="AH204" s="92" t="str">
        <f t="shared" si="73"/>
        <v>"%USERPROFILE%\Documents\GitHub\eaglep3\Utilities\RefineRTDCRunTimes.py" --tripid 311-03 --locoid 4020 --swversion DE.1.0.8.0 --startMP 204:467 --initTime 2016-12-04T01:38:15 --startdatetime 1969-12-31T17:00:00 --delay 1 --endMP 300:23302 --enddatetime 1969-12-31T17:00:00 --enforcementcount 0 &gt;&gt;C:\Users\stu\Documents\GitHub\eaglep3-reporting\EC\2016-12-03-refined-times.txt</v>
      </c>
      <c r="AI204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ID","value":"311-03"},{"id":16,"name":"Locomotive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474</v>
      </c>
      <c r="B205" s="7">
        <v>4002</v>
      </c>
      <c r="C205" s="22" t="s">
        <v>209</v>
      </c>
      <c r="D205" s="22" t="s">
        <v>806</v>
      </c>
      <c r="E205" s="13">
        <v>42707.087731481479</v>
      </c>
      <c r="F205" s="13">
        <v>25568.708333333332</v>
      </c>
      <c r="G205" s="7">
        <v>2</v>
      </c>
      <c r="H205" s="22" t="s">
        <v>807</v>
      </c>
      <c r="I205" s="13">
        <v>25568.708333333332</v>
      </c>
      <c r="J205" s="7">
        <v>0</v>
      </c>
      <c r="K205" s="109" t="str">
        <f t="shared" ref="K205:K214" si="75">IF(ISEVEN(B205),(B205-1)&amp;"/"&amp;B205,B205&amp;"/"&amp;(B205+1))</f>
        <v>4001/4002</v>
      </c>
      <c r="L205" s="22" t="str">
        <f>VLOOKUP(A205,'Trips&amp;Operators'!$C$1:$G$99999,5,FALSE)</f>
        <v>STAMBAUGH JAMES</v>
      </c>
      <c r="M205" s="6">
        <f t="shared" ref="M205:M214" si="76">I205-F205</f>
        <v>0</v>
      </c>
      <c r="N205" s="7">
        <f t="shared" si="69"/>
        <v>0</v>
      </c>
      <c r="O205" s="7"/>
      <c r="P205" s="7"/>
      <c r="Q205" s="23"/>
      <c r="R205" s="23"/>
      <c r="S205" s="35">
        <f t="shared" si="70"/>
        <v>1</v>
      </c>
      <c r="T205" s="50" t="str">
        <f t="shared" ref="T205:T214" si="77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14" si="78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https://search-rtdc-monitor-bjffxe2xuh6vdkpspy63sjmuny.us-east-1.es.amazonaws.com/_plugin/kibana/#/discover/Steve-Slow-Train-Analysis-(2080s-and-2083s)?_g=(refreshInterval:(display:Off,section:0,value:0),time:(from:'2016-12-03 01:06:20-700',mode:absolute,to:'1969-12-31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5" s="52" t="str">
        <f t="shared" ref="W205:W214" si="79">IF(AA205&lt;IF(AG205="EC",23,5.65),"Y","N")</f>
        <v>Y</v>
      </c>
      <c r="X205" s="177">
        <f t="shared" si="72"/>
        <v>2</v>
      </c>
      <c r="Y205" s="67">
        <f t="shared" ref="Y205:Y214" si="80">RIGHT(D205,LEN(D205)-4)/10000</f>
        <v>0.13020000000000001</v>
      </c>
      <c r="Z205" s="67">
        <f t="shared" si="71"/>
        <v>2.3296999999999999</v>
      </c>
      <c r="AA205" s="67">
        <f t="shared" ref="AA205:AA214" si="81">ABS(Z205-Y205)</f>
        <v>2.1995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ref="AD205:AD214" si="82">IF(LEN(A205)=6,"0"&amp;A205,A205)</f>
        <v>0313-02</v>
      </c>
      <c r="AE205" s="91" t="str">
        <f t="shared" ref="AE205:AE214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5" s="88" t="str">
        <f t="shared" ref="AF205:AF214" si="8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5" s="1" t="str">
        <f t="shared" ref="AG205:AG214" si="85">IFERROR(IF(VALUE(LEFT(AD205,2))&lt;=2,"EC",IF(OR(VALUE(LEFT(AD205,2))=8,VALUE(LEFT(AD205,2))=18),"NW","Other")),"Other")</f>
        <v>Other</v>
      </c>
      <c r="AH205" s="92" t="str">
        <f t="shared" si="73"/>
        <v>"%USERPROFILE%\Documents\GitHub\eaglep3\Utilities\RefineRTDCRunTimes.py" --tripid 313-02 --locoid 4002 --swversion DE.1.0.8.0 --startMP 204:1302 --initTime 2016-12-03T02:06:20 --startdatetime 1969-12-31T17:00:00 --delay 2 --endMP 300:23297 --enddatetime 1969-12-31T17:00:00 --enforcementcount 0 &gt;&gt;C:\Users\stu\Documents\GitHub\eaglep3-reporting\EC\2016-12-03-refined-times.txt</v>
      </c>
      <c r="AI205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ID","value":"313-02"},{"id":16,"name":"Locomotive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661</v>
      </c>
      <c r="B206" s="7">
        <v>4011</v>
      </c>
      <c r="C206" s="22" t="s">
        <v>209</v>
      </c>
      <c r="D206" s="22" t="s">
        <v>808</v>
      </c>
      <c r="E206" s="13">
        <v>42708.088645833333</v>
      </c>
      <c r="F206" s="13">
        <v>25568.708333333332</v>
      </c>
      <c r="G206" s="7">
        <v>2</v>
      </c>
      <c r="H206" s="22" t="s">
        <v>805</v>
      </c>
      <c r="I206" s="13">
        <v>25568.708333333332</v>
      </c>
      <c r="J206" s="7">
        <v>0</v>
      </c>
      <c r="K206" s="109" t="str">
        <f t="shared" si="75"/>
        <v>4011/4012</v>
      </c>
      <c r="L206" s="22" t="str">
        <f>VLOOKUP(A206,'Trips&amp;Operators'!$C$1:$G$99999,5,FALSE)</f>
        <v>STAMBAUGH JAMES</v>
      </c>
      <c r="M206" s="6">
        <f t="shared" si="76"/>
        <v>0</v>
      </c>
      <c r="N206" s="7">
        <f t="shared" ref="N206:N214" si="86">24*60*SUM($M206:$M206)</f>
        <v>0</v>
      </c>
      <c r="O206" s="7"/>
      <c r="P206" s="7"/>
      <c r="Q206" s="23"/>
      <c r="R206" s="23"/>
      <c r="S206" s="35">
        <f t="shared" ref="S206:S214" si="87">SUM(U206:U206)/IF(AG206="EC",12,1)</f>
        <v>1</v>
      </c>
      <c r="T206" s="50" t="str">
        <f t="shared" si="7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https://search-rtdc-monitor-bjffxe2xuh6vdkpspy63sjmuny.us-east-1.es.amazonaws.com/_plugin/kibana/#/discover/Steve-Slow-Train-Analysis-(2080s-and-2083s)?_g=(refreshInterval:(display:Off,section:0,value:0),time:(from:'2016-12-04 01:07:39-700',mode:absolute,to:'1969-12-31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6" s="52" t="str">
        <f t="shared" si="79"/>
        <v>Y</v>
      </c>
      <c r="X206" s="177">
        <f t="shared" si="72"/>
        <v>0</v>
      </c>
      <c r="Y206" s="67">
        <f t="shared" si="80"/>
        <v>7.4399999999999994E-2</v>
      </c>
      <c r="Z206" s="67">
        <f t="shared" si="71"/>
        <v>2.3302</v>
      </c>
      <c r="AA206" s="67">
        <f t="shared" si="81"/>
        <v>2.2558000000000002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82"/>
        <v>0313-03</v>
      </c>
      <c r="AE206" s="91" t="str">
        <f t="shared" si="83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06" s="88" t="str">
        <f t="shared" si="84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06" s="1" t="str">
        <f t="shared" si="85"/>
        <v>Other</v>
      </c>
      <c r="AH206" s="92" t="str">
        <f t="shared" si="73"/>
        <v>"%USERPROFILE%\Documents\GitHub\eaglep3\Utilities\RefineRTDCRunTimes.py" --tripid 313-03 --locoid 4011 --swversion DE.1.0.8.0 --startMP 204:744 --initTime 2016-12-04T02:07:39 --startdatetime 1969-12-31T17:00:00 --delay 2 --endMP 300:23302 --enddatetime 1969-12-31T17:00:00 --enforcementcount 0 &gt;&gt;C:\Users\stu\Documents\GitHub\eaglep3-reporting\EC\2016-12-03-refined-times.txt</v>
      </c>
      <c r="AI206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ID","value":"313-03"},{"id":16,"name":"Locomotive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475</v>
      </c>
      <c r="B207" s="7">
        <v>4044</v>
      </c>
      <c r="C207" s="22" t="s">
        <v>209</v>
      </c>
      <c r="D207" s="22" t="s">
        <v>809</v>
      </c>
      <c r="E207" s="13">
        <v>42707.1091087963</v>
      </c>
      <c r="F207" s="13">
        <v>25568.708333333332</v>
      </c>
      <c r="G207" s="7">
        <v>1</v>
      </c>
      <c r="H207" s="22" t="s">
        <v>810</v>
      </c>
      <c r="I207" s="13">
        <v>25568.708333333332</v>
      </c>
      <c r="J207" s="7">
        <v>0</v>
      </c>
      <c r="K207" s="109" t="str">
        <f t="shared" si="75"/>
        <v>4043/4044</v>
      </c>
      <c r="L207" s="22" t="str">
        <f>VLOOKUP(A207,'Trips&amp;Operators'!$C$1:$G$99999,5,FALSE)</f>
        <v>LEVIN SCOTT</v>
      </c>
      <c r="M207" s="6">
        <f t="shared" si="76"/>
        <v>0</v>
      </c>
      <c r="N207" s="7">
        <f t="shared" si="86"/>
        <v>0</v>
      </c>
      <c r="O207" s="7"/>
      <c r="P207" s="7"/>
      <c r="Q207" s="23"/>
      <c r="R207" s="23"/>
      <c r="S207" s="35">
        <f t="shared" si="87"/>
        <v>1</v>
      </c>
      <c r="T207" s="50" t="str">
        <f t="shared" si="7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https://search-rtdc-monitor-bjffxe2xuh6vdkpspy63sjmuny.us-east-1.es.amazonaws.com/_plugin/kibana/#/discover/Steve-Slow-Train-Analysis-(2080s-and-2083s)?_g=(refreshInterval:(display:Off,section:0,value:0),time:(from:'2016-12-03 01:37:07-700',mode:absolute,to:'1969-12-31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7" s="52" t="str">
        <f t="shared" si="79"/>
        <v>Y</v>
      </c>
      <c r="X207" s="177">
        <f t="shared" si="72"/>
        <v>2</v>
      </c>
      <c r="Y207" s="67">
        <f t="shared" si="80"/>
        <v>7.6499999999999999E-2</v>
      </c>
      <c r="Z207" s="67">
        <f t="shared" si="71"/>
        <v>2.3311999999999999</v>
      </c>
      <c r="AA207" s="67">
        <f t="shared" si="81"/>
        <v>2.2547000000000001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2"/>
        <v>0315-02</v>
      </c>
      <c r="AE207" s="91" t="str">
        <f t="shared" si="83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7" s="88" t="str">
        <f t="shared" si="84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7" s="1" t="str">
        <f t="shared" si="85"/>
        <v>Other</v>
      </c>
      <c r="AH207" s="92" t="str">
        <f t="shared" si="73"/>
        <v>"%USERPROFILE%\Documents\GitHub\eaglep3\Utilities\RefineRTDCRunTimes.py" --tripid 315-02 --locoid 4044 --swversion DE.1.0.8.0 --startMP 204:765 --initTime 2016-12-03T02:37:07 --startdatetime 1969-12-31T17:00:00 --delay 1 --endMP 300:23312 --enddatetime 1969-12-31T17:00:00 --enforcementcount 0 &gt;&gt;C:\Users\stu\Documents\GitHub\eaglep3-reporting\EC\2016-12-03-refined-times.txt</v>
      </c>
      <c r="AI207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ID","value":"315-02"},{"id":16,"name":"Locomotive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662</v>
      </c>
      <c r="B208" s="7">
        <v>4016</v>
      </c>
      <c r="C208" s="22" t="s">
        <v>209</v>
      </c>
      <c r="D208" s="22" t="s">
        <v>428</v>
      </c>
      <c r="E208" s="13">
        <v>42708.109826388885</v>
      </c>
      <c r="F208" s="13">
        <v>25568.708333333332</v>
      </c>
      <c r="G208" s="7">
        <v>1</v>
      </c>
      <c r="H208" s="22" t="s">
        <v>332</v>
      </c>
      <c r="I208" s="13">
        <v>25568.708333333332</v>
      </c>
      <c r="J208" s="7">
        <v>0</v>
      </c>
      <c r="K208" s="109" t="str">
        <f t="shared" si="75"/>
        <v>4015/4016</v>
      </c>
      <c r="L208" s="22" t="str">
        <f>VLOOKUP(A208,'Trips&amp;Operators'!$C$1:$G$99999,5,FALSE)</f>
        <v>LEVIN SCOTT</v>
      </c>
      <c r="M208" s="6">
        <f t="shared" si="76"/>
        <v>0</v>
      </c>
      <c r="N208" s="7">
        <f t="shared" si="86"/>
        <v>0</v>
      </c>
      <c r="O208" s="7"/>
      <c r="P208" s="7"/>
      <c r="Q208" s="23"/>
      <c r="R208" s="23"/>
      <c r="S208" s="35">
        <f t="shared" si="87"/>
        <v>1</v>
      </c>
      <c r="T208" s="50" t="str">
        <f t="shared" si="7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https://search-rtdc-monitor-bjffxe2xuh6vdkpspy63sjmuny.us-east-1.es.amazonaws.com/_plugin/kibana/#/discover/Steve-Slow-Train-Analysis-(2080s-and-2083s)?_g=(refreshInterval:(display:Off,section:0,value:0),time:(from:'2016-12-04 01:38:09-700',mode:absolute,to:'1969-12-31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8" s="52" t="str">
        <f t="shared" si="79"/>
        <v>Y</v>
      </c>
      <c r="X208" s="177">
        <f t="shared" si="72"/>
        <v>0</v>
      </c>
      <c r="Y208" s="67">
        <f t="shared" si="80"/>
        <v>7.5399999999999995E-2</v>
      </c>
      <c r="Z208" s="67">
        <f t="shared" si="71"/>
        <v>2.3346</v>
      </c>
      <c r="AA208" s="67">
        <f t="shared" si="81"/>
        <v>2.2591999999999999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2"/>
        <v>0315-03</v>
      </c>
      <c r="AE208" s="91" t="str">
        <f t="shared" si="83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8" s="88" t="str">
        <f t="shared" si="84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8" s="1" t="str">
        <f t="shared" si="85"/>
        <v>Other</v>
      </c>
      <c r="AH208" s="92" t="str">
        <f t="shared" si="73"/>
        <v>"%USERPROFILE%\Documents\GitHub\eaglep3\Utilities\RefineRTDCRunTimes.py" --tripid 315-03 --locoid 4016 --swversion DE.1.0.8.0 --startMP 204:754 --initTime 2016-12-04T02:38:09 --startdatetime 1969-12-31T17:00:00 --delay 1 --endMP 300:23346 --enddatetime 1969-12-31T17:00:00 --enforcementcount 0 &gt;&gt;C:\Users\stu\Documents\GitHub\eaglep3-reporting\EC\2016-12-03-refined-times.txt</v>
      </c>
      <c r="AI208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ID","value":"315-03"},{"id":16,"name":"Locomotive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499</v>
      </c>
      <c r="B209" s="7">
        <v>4029</v>
      </c>
      <c r="C209" s="22" t="s">
        <v>209</v>
      </c>
      <c r="D209" s="22" t="s">
        <v>737</v>
      </c>
      <c r="E209" s="13">
        <v>42707.227268518516</v>
      </c>
      <c r="F209" s="13">
        <v>42707.228333333333</v>
      </c>
      <c r="G209" s="7">
        <v>0</v>
      </c>
      <c r="H209" s="22" t="s">
        <v>432</v>
      </c>
      <c r="I209" s="13">
        <v>42707.233020833337</v>
      </c>
      <c r="J209" s="7">
        <v>0</v>
      </c>
      <c r="K209" s="109" t="str">
        <f t="shared" si="75"/>
        <v>4029/4030</v>
      </c>
      <c r="L209" s="22" t="str">
        <f>VLOOKUP(A209,'Trips&amp;Operators'!$C$1:$G$99999,5,FALSE)</f>
        <v>YORK EDGAR</v>
      </c>
      <c r="M209" s="6">
        <f t="shared" si="76"/>
        <v>4.6875000043655746E-3</v>
      </c>
      <c r="N209" s="7">
        <f t="shared" si="86"/>
        <v>6.7500000062864274</v>
      </c>
      <c r="O209" s="7"/>
      <c r="P209" s="7"/>
      <c r="Q209" s="23"/>
      <c r="R209" s="23"/>
      <c r="S209" s="35">
        <f t="shared" si="87"/>
        <v>0</v>
      </c>
      <c r="T209" s="50" t="str">
        <f t="shared" si="77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https://search-rtdc-monitor-bjffxe2xuh6vdkpspy63sjmuny.us-east-1.es.amazonaws.com/_plugin/kibana/#/discover/Steve-Slow-Train-Analysis-(2080s-and-2083s)?_g=(refreshInterval:(display:Off,section:0,value:0),time:(from:'2016-12-03 04:27:16-700',mode:absolute,to:'2016-12-03 06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9" s="52" t="str">
        <f t="shared" si="79"/>
        <v>Y</v>
      </c>
      <c r="X209" s="177">
        <f t="shared" si="72"/>
        <v>1586</v>
      </c>
      <c r="Y209" s="67">
        <f t="shared" si="80"/>
        <v>3.0238999999999998</v>
      </c>
      <c r="Z209" s="67">
        <f t="shared" ref="Z209:Z214" si="88">RIGHT(H209,LEN(H209)-4)/10000</f>
        <v>5.8930999999999996</v>
      </c>
      <c r="AA209" s="67">
        <f t="shared" si="81"/>
        <v>2.8691999999999998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2"/>
        <v>1901-03</v>
      </c>
      <c r="AE209" s="91" t="str">
        <f t="shared" si="83"/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AF209" s="88" t="str">
        <f t="shared" si="84"/>
        <v>"C:\Program Files (x86)\AstroGrep\AstroGrep.exe" /spath="%USERPROFILE%\AppData\Local\Temp\OnboardLogs" /stypes="app*4029*20161203*" /stext=" 12:.+((SYSTEM_STATE.+slice.+state.+changed )|(ment ac)|(multiple cpu faults)|(system.+state.+changed )|(\[timeout)|(PRM\|1\|D)|(kpr)|(kdp)|(\|lc)|(penalty))" /e /r /s</v>
      </c>
      <c r="AG209" s="1" t="str">
        <f t="shared" si="85"/>
        <v>Other</v>
      </c>
      <c r="AH209" s="92" t="str">
        <f t="shared" si="73"/>
        <v>"%USERPROFILE%\Documents\GitHub\eaglep3\Utilities\RefineRTDCRunTimes.py" --tripid 1901-03 --locoid 4029 --swversion DE.1.0.8.0 --startMP 300:30239 --initTime 2016-12-03T05:27:16 --startdatetime 2016-12-03T05:28:48 --delay 0 --endMP 300:58931 --enddatetime 2016-12-03T05:35:33 --enforcementcount 0 &gt;&gt;C:\Users\stu\Documents\GitHub\eaglep3-reporting\EC\2016-12-03-refined-times.txt</v>
      </c>
      <c r="AI209" s="119" t="str">
        <f t="shared" si="74"/>
        <v>echo {"issue":{"subject":"","project_id":79,"tracker_id":40,"status_id":1,"priority_id":2,"assigned_to_id":23,"start_date":"2016-12-03","description":"","custom_fields":[{"id":1,"name":"Subdivision","value":"Other"},{"id":4,"name":"Milepost","value":"5.8931"},{"id":17,"name":"Train ID","value":"1901-03"},{"id":16,"name":"Locomotive ID","value":"4029"},{"id":130,"name":"Impact","value":""},{"id":150,"name":"Time of Event (Mountain Time)","value":"05:35:33"},{"id":151,"name":"Denver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463</v>
      </c>
      <c r="B210" s="7">
        <v>4030</v>
      </c>
      <c r="C210" s="22" t="s">
        <v>209</v>
      </c>
      <c r="D210" s="22" t="s">
        <v>302</v>
      </c>
      <c r="E210" s="13">
        <v>42707.942685185182</v>
      </c>
      <c r="F210" s="13">
        <v>42707.945462962962</v>
      </c>
      <c r="G210" s="7">
        <v>1</v>
      </c>
      <c r="H210" s="22" t="s">
        <v>738</v>
      </c>
      <c r="I210" s="13">
        <v>42707.950358796297</v>
      </c>
      <c r="J210" s="7">
        <v>0</v>
      </c>
      <c r="K210" s="109" t="str">
        <f t="shared" si="75"/>
        <v>4029/4030</v>
      </c>
      <c r="L210" s="22" t="str">
        <f>VLOOKUP(A210,'Trips&amp;Operators'!$C$1:$G$99999,5,FALSE)</f>
        <v>HOLCOMB KAMDEN</v>
      </c>
      <c r="M210" s="6">
        <f t="shared" si="76"/>
        <v>4.8958333354676142E-3</v>
      </c>
      <c r="N210" s="7">
        <f t="shared" si="86"/>
        <v>7.0500000030733645</v>
      </c>
      <c r="O210" s="7"/>
      <c r="P210" s="7"/>
      <c r="Q210" s="23"/>
      <c r="R210" s="23"/>
      <c r="S210" s="35">
        <f t="shared" si="87"/>
        <v>0</v>
      </c>
      <c r="T210" s="50" t="str">
        <f t="shared" si="77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https://search-rtdc-monitor-bjffxe2xuh6vdkpspy63sjmuny.us-east-1.es.amazonaws.com/_plugin/kibana/#/discover/Steve-Slow-Train-Analysis-(2080s-and-2083s)?_g=(refreshInterval:(display:Off,section:0,value:0),time:(from:'2016-12-03 21:37:28-700',mode:absolute,to:'2016-12-03 23:48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0" s="52" t="str">
        <f t="shared" si="79"/>
        <v>Y</v>
      </c>
      <c r="X210" s="177">
        <f t="shared" si="72"/>
        <v>1</v>
      </c>
      <c r="Y210" s="67">
        <f t="shared" si="80"/>
        <v>5.8635999999999999</v>
      </c>
      <c r="Z210" s="67">
        <f t="shared" si="88"/>
        <v>2.1366999999999998</v>
      </c>
      <c r="AA210" s="67">
        <f t="shared" si="81"/>
        <v>3.7269000000000001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2"/>
        <v>1902-03</v>
      </c>
      <c r="AE210" s="91" t="str">
        <f t="shared" si="83"/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AF210" s="88" t="str">
        <f t="shared" si="84"/>
        <v>"C:\Program Files (x86)\AstroGrep\AstroGrep.exe" /spath="%USERPROFILE%\AppData\Local\Temp\OnboardLogs" /stypes="app*4030*20161204*" /stext=" 05:.+((SYSTEM_STATE.+slice.+state.+changed )|(ment ac)|(multiple cpu faults)|(system.+state.+changed )|(\[timeout)|(PRM\|1\|D)|(kpr)|(kdp)|(\|lc)|(penalty))" /e /r /s</v>
      </c>
      <c r="AG210" s="1" t="str">
        <f t="shared" si="85"/>
        <v>Other</v>
      </c>
      <c r="AH210" s="92" t="str">
        <f t="shared" si="73"/>
        <v>"%USERPROFILE%\Documents\GitHub\eaglep3\Utilities\RefineRTDCRunTimes.py" --tripid 1902-03 --locoid 4030 --swversion DE.1.0.8.0 --startMP 300:58636 --initTime 2016-12-03T22:37:28 --startdatetime 2016-12-03T22:41:28 --delay 1 --endMP 300:21367 --enddatetime 2016-12-03T22:48:31 --enforcementcount 0 &gt;&gt;C:\Users\stu\Documents\GitHub\eaglep3-reporting\EC\2016-12-03-refined-times.txt</v>
      </c>
      <c r="AI210" s="119" t="str">
        <f t="shared" si="74"/>
        <v>echo {"issue":{"subject":"","project_id":79,"tracker_id":40,"status_id":1,"priority_id":2,"assigned_to_id":23,"start_date":"2016-12-03","description":"","custom_fields":[{"id":1,"name":"Subdivision","value":"Other"},{"id":4,"name":"Milepost","value":"2.1367"},{"id":17,"name":"Train ID","value":"1902-03"},{"id":16,"name":"Locomotive ID","value":"4030"},{"id":130,"name":"Impact","value":""},{"id":150,"name":"Time of Event (Mountain Time)","value":"22:48:31"},{"id":151,"name":"Denver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648</v>
      </c>
      <c r="B211" s="7">
        <v>4014</v>
      </c>
      <c r="C211" s="22" t="s">
        <v>209</v>
      </c>
      <c r="D211" s="22" t="s">
        <v>417</v>
      </c>
      <c r="E211" s="13">
        <v>42707.990983796299</v>
      </c>
      <c r="F211" s="13">
        <v>25568.708333333332</v>
      </c>
      <c r="G211" s="7">
        <v>2</v>
      </c>
      <c r="H211" s="22" t="s">
        <v>811</v>
      </c>
      <c r="I211" s="13">
        <v>25568.708333333332</v>
      </c>
      <c r="J211" s="7">
        <v>0</v>
      </c>
      <c r="K211" s="109" t="str">
        <f t="shared" si="75"/>
        <v>4013/4014</v>
      </c>
      <c r="L211" s="22" t="str">
        <f>VLOOKUP(A211,'Trips&amp;Operators'!$C$1:$G$99999,5,FALSE)</f>
        <v>MCREYNOLDS KYLE</v>
      </c>
      <c r="M211" s="6">
        <f t="shared" si="76"/>
        <v>0</v>
      </c>
      <c r="N211" s="7">
        <f t="shared" si="86"/>
        <v>0</v>
      </c>
      <c r="O211" s="7"/>
      <c r="P211" s="7"/>
      <c r="Q211" s="23"/>
      <c r="R211" s="23"/>
      <c r="S211" s="35">
        <f t="shared" si="87"/>
        <v>0</v>
      </c>
      <c r="T211" s="50" t="e">
        <f t="shared" si="77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https://search-rtdc-monitor-bjffxe2xuh6vdkpspy63sjmuny.us-east-1.es.amazonaws.com/_plugin/kibana/#/discover/Steve-Slow-Train-Analysis-(2080s-and-2083s)?_g=(refreshInterval:(display:Off,section:0,value:0),time:(from:'2016-12-03 22:47:01-700',mode:absolute,to:'1969-12-31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1" s="52" t="str">
        <f t="shared" si="79"/>
        <v>Y</v>
      </c>
      <c r="X211" s="177" t="e">
        <f t="shared" si="72"/>
        <v>#VALUE!</v>
      </c>
      <c r="Y211" s="67">
        <f t="shared" si="80"/>
        <v>7.4300000000000005E-2</v>
      </c>
      <c r="Z211" s="67">
        <f t="shared" si="88"/>
        <v>2.3298999999999999</v>
      </c>
      <c r="AA211" s="67">
        <f t="shared" si="81"/>
        <v>2.2555999999999998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2"/>
        <v>55-03</v>
      </c>
      <c r="AE211" s="91" t="str">
        <f t="shared" si="83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1" s="88" t="str">
        <f t="shared" si="84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1" s="1" t="str">
        <f t="shared" si="85"/>
        <v>Other</v>
      </c>
      <c r="AH211" s="92" t="str">
        <f t="shared" si="73"/>
        <v>"%USERPROFILE%\Documents\GitHub\eaglep3\Utilities\RefineRTDCRunTimes.py" --tripid 55-03 --locoid 4014 --swversion DE.1.0.8.0 --startMP 204:743 --initTime 2016-12-03T23:47:01 --startdatetime 1969-12-31T17:00:00 --delay 2 --endMP 300:23299 --enddatetime 1969-12-31T17:00:00 --enforcementcount 0 &gt;&gt;C:\Users\stu\Documents\GitHub\eaglep3-reporting\EC\2016-12-03-refined-times.txt</v>
      </c>
      <c r="AI211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ID","value":"55-03"},{"id":16,"name":"Locomotive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606</v>
      </c>
      <c r="B212" s="7">
        <v>4001</v>
      </c>
      <c r="C212" s="22" t="s">
        <v>209</v>
      </c>
      <c r="D212" s="22" t="s">
        <v>812</v>
      </c>
      <c r="E212" s="13">
        <v>42707.693935185183</v>
      </c>
      <c r="F212" s="13">
        <v>42707.695520833331</v>
      </c>
      <c r="G212" s="7">
        <v>1</v>
      </c>
      <c r="H212" s="22" t="s">
        <v>813</v>
      </c>
      <c r="I212" s="13">
        <v>42707.703599537039</v>
      </c>
      <c r="J212" s="7">
        <v>0</v>
      </c>
      <c r="K212" s="109" t="str">
        <f t="shared" si="75"/>
        <v>4001/4002</v>
      </c>
      <c r="L212" s="22" t="str">
        <f>VLOOKUP(A212,'Trips&amp;Operators'!$C$1:$G$99999,5,FALSE)</f>
        <v>WHITED DUSTIN</v>
      </c>
      <c r="M212" s="6">
        <f t="shared" si="76"/>
        <v>8.078703707724344E-3</v>
      </c>
      <c r="N212" s="7">
        <f t="shared" si="86"/>
        <v>11.633333339123055</v>
      </c>
      <c r="O212" s="7"/>
      <c r="P212" s="7"/>
      <c r="Q212" s="23"/>
      <c r="R212" s="23"/>
      <c r="S212" s="35">
        <f t="shared" si="87"/>
        <v>0</v>
      </c>
      <c r="T212" s="50" t="e">
        <f t="shared" si="7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https://search-rtdc-monitor-bjffxe2xuh6vdkpspy63sjmuny.us-east-1.es.amazonaws.com/_plugin/kibana/#/discover/Steve-Slow-Train-Analysis-(2080s-and-2083s)?_g=(refreshInterval:(display:Off,section:0,value:0),time:(from:'2016-12-03 15:39:16-700',mode:absolute,to:'2016-12-03 17:53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12" s="52" t="str">
        <f t="shared" si="79"/>
        <v>Y</v>
      </c>
      <c r="X212" s="177" t="e">
        <f t="shared" si="72"/>
        <v>#VALUE!</v>
      </c>
      <c r="Y212" s="67">
        <f t="shared" si="80"/>
        <v>2.2052999999999998</v>
      </c>
      <c r="Z212" s="67">
        <f t="shared" si="88"/>
        <v>9.1000000000000004E-3</v>
      </c>
      <c r="AA212" s="67">
        <f t="shared" si="81"/>
        <v>2.1961999999999997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2"/>
        <v>66-03</v>
      </c>
      <c r="AE212" s="91" t="str">
        <f t="shared" si="83"/>
        <v>aws s3 cp s3://rtdc.mdm.uploadarchive.raw/RTDC4001/ "%USERPROFILE%\AppData\Local\Temp\OnboardLogs"\RTDC4001\2016-12-03 --exclude "*" --recursive --include "*20161203*" &amp; "%USERPROFILE%\Documents\GitHub\mrs-test-scripts\Headless Mode &amp; Sideloading\WalkAndUnGZ.bat" "%USERPROFILE%\AppData\Local\Temp\OnboardLogs"\RTDC4001\2016-12-03 &amp; aws s3 cp s3://rtdc.mdm.uploadarchive.raw/RTDC4001/ "%USERPROFILE%\AppData\Local\Temp\OnboardLogs"\RTDC4001\2016-12-04 --exclude "*" --recursive --include "*20161204*" &amp; "%USERPROFILE%\Documents\GitHub\mrs-test-scripts\Headless Mode &amp; Sideloading\WalkAndUnGZ.bat" "%USERPROFILE%\AppData\Local\Temp\OnboardLogs"\RTDC4001\2016-12-04</v>
      </c>
      <c r="AF212" s="88" t="str">
        <f t="shared" si="84"/>
        <v>"C:\Program Files (x86)\AstroGrep\AstroGrep.exe" /spath="%USERPROFILE%\AppData\Local\Temp\OnboardLogs" /stypes="app*4001*20161203*" /stext=" 23:.+((SYSTEM_STATE.+slice.+state.+changed )|(ment ac)|(multiple cpu faults)|(system.+state.+changed )|(\[timeout)|(PRM\|1\|D)|(kpr)|(kdp)|(\|lc)|(penalty))" /e /r /s</v>
      </c>
      <c r="AG212" s="1" t="str">
        <f t="shared" si="85"/>
        <v>Other</v>
      </c>
      <c r="AH212" s="92" t="str">
        <f t="shared" si="73"/>
        <v>"%USERPROFILE%\Documents\GitHub\eaglep3\Utilities\RefineRTDCRunTimes.py" --tripid 66-03 --locoid 4001 --swversion DE.1.0.8.0 --startMP 300:22053 --initTime 2016-12-03T16:39:16 --startdatetime 2016-12-03T16:41:33 --delay 1 --endMP 204:91 --enddatetime 2016-12-03T16:53:11 --enforcementcount 0 &gt;&gt;C:\Users\stu\Documents\GitHub\eaglep3-reporting\EC\2016-12-03-refined-times.txt</v>
      </c>
      <c r="AI212" s="119" t="str">
        <f t="shared" si="74"/>
        <v>echo {"issue":{"subject":"","project_id":79,"tracker_id":40,"status_id":1,"priority_id":2,"assigned_to_id":23,"start_date":"2016-12-03","description":"","custom_fields":[{"id":1,"name":"Subdivision","value":"Other"},{"id":4,"name":"Milepost","value":"0.0091"},{"id":17,"name":"Train ID","value":"66-03"},{"id":16,"name":"Locomotive ID","value":"4001"},{"id":130,"name":"Impact","value":""},{"id":150,"name":"Time of Event (Mountain Time)","value":"16:53:11"},{"id":151,"name":"Denver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452</v>
      </c>
      <c r="B213" s="7">
        <v>4010</v>
      </c>
      <c r="C213" s="22" t="s">
        <v>209</v>
      </c>
      <c r="D213" s="22" t="s">
        <v>814</v>
      </c>
      <c r="E213" s="13">
        <v>42707.744328703702</v>
      </c>
      <c r="F213" s="13">
        <v>42707.745740740742</v>
      </c>
      <c r="G213" s="7">
        <v>1</v>
      </c>
      <c r="H213" s="22" t="s">
        <v>815</v>
      </c>
      <c r="I213" s="13">
        <v>42707.761099537034</v>
      </c>
      <c r="J213" s="7">
        <v>0</v>
      </c>
      <c r="K213" s="109" t="str">
        <f t="shared" si="75"/>
        <v>4009/4010</v>
      </c>
      <c r="L213" s="22" t="str">
        <f>VLOOKUP(A213,'Trips&amp;Operators'!$C$1:$G$99999,5,FALSE)</f>
        <v>BADERTSCHER DIANE</v>
      </c>
      <c r="M213" s="6">
        <f t="shared" si="76"/>
        <v>1.5358796292275656E-2</v>
      </c>
      <c r="N213" s="7">
        <f t="shared" si="86"/>
        <v>22.116666660876945</v>
      </c>
      <c r="O213" s="7"/>
      <c r="P213" s="7"/>
      <c r="Q213" s="23"/>
      <c r="R213" s="23"/>
      <c r="S213" s="35">
        <f t="shared" si="87"/>
        <v>0</v>
      </c>
      <c r="T213" s="50" t="e">
        <f t="shared" si="7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https://search-rtdc-monitor-bjffxe2xuh6vdkpspy63sjmuny.us-east-1.es.amazonaws.com/_plugin/kibana/#/discover/Steve-Slow-Train-Analysis-(2080s-and-2083s)?_g=(refreshInterval:(display:Off,section:0,value:0),time:(from:'2016-12-03 16:51:50-700',mode:absolute,to:'2016-12-03 19:15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3" s="52" t="str">
        <f t="shared" si="79"/>
        <v>Y</v>
      </c>
      <c r="X213" s="177" t="e">
        <f t="shared" si="72"/>
        <v>#VALUE!</v>
      </c>
      <c r="Y213" s="67">
        <f t="shared" si="80"/>
        <v>2.2323</v>
      </c>
      <c r="Z213" s="67">
        <f t="shared" si="88"/>
        <v>8.7900000000000006E-2</v>
      </c>
      <c r="AA213" s="67">
        <f t="shared" si="81"/>
        <v>2.1444000000000001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2"/>
        <v>72-03</v>
      </c>
      <c r="AE213" s="91" t="str">
        <f t="shared" si="83"/>
        <v>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 &amp; aws s3 cp s3://rtdc.mdm.uploadarchive.raw/RTDC4010/ "%USERPROFILE%\AppData\Local\Temp\OnboardLogs"\RTDC4010\2016-12-04 --exclude "*" --recursive --include "*20161204*" &amp; "%USERPROFILE%\Documents\GitHub\mrs-test-scripts\Headless Mode &amp; Sideloading\WalkAndUnGZ.bat" "%USERPROFILE%\AppData\Local\Temp\OnboardLogs"\RTDC4010\2016-12-04</v>
      </c>
      <c r="AF213" s="88" t="str">
        <f t="shared" si="84"/>
        <v>"C:\Program Files (x86)\AstroGrep\AstroGrep.exe" /spath="%USERPROFILE%\AppData\Local\Temp\OnboardLogs" /stypes="app*4010*20161204*" /stext=" 01:.+((SYSTEM_STATE.+slice.+state.+changed )|(ment ac)|(multiple cpu faults)|(system.+state.+changed )|(\[timeout)|(PRM\|1\|D)|(kpr)|(kdp)|(\|lc)|(penalty))" /e /r /s</v>
      </c>
      <c r="AG213" s="1" t="str">
        <f t="shared" si="85"/>
        <v>Other</v>
      </c>
      <c r="AH213" s="92" t="str">
        <f t="shared" si="73"/>
        <v>"%USERPROFILE%\Documents\GitHub\eaglep3\Utilities\RefineRTDCRunTimes.py" --tripid 72-03 --locoid 4010 --swversion DE.1.0.8.0 --startMP 300:22323 --initTime 2016-12-03T17:51:50 --startdatetime 2016-12-03T17:53:52 --delay 1 --endMP 204:879 --enddatetime 2016-12-03T18:15:59 --enforcementcount 0 &gt;&gt;C:\Users\stu\Documents\GitHub\eaglep3-reporting\EC\2016-12-03-refined-times.txt</v>
      </c>
      <c r="AI213" s="119" t="str">
        <f t="shared" si="74"/>
        <v>echo {"issue":{"subject":"","project_id":79,"tracker_id":40,"status_id":1,"priority_id":2,"assigned_to_id":23,"start_date":"2016-12-03","description":"","custom_fields":[{"id":1,"name":"Subdivision","value":"Other"},{"id":4,"name":"Milepost","value":"0.0879"},{"id":17,"name":"Train ID","value":"72-03"},{"id":16,"name":"Locomotive ID","value":"4010"},{"id":130,"name":"Impact","value":""},{"id":150,"name":"Time of Event (Mountain Time)","value":"18:15:59"},{"id":151,"name":"Denver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613</v>
      </c>
      <c r="B214" s="7">
        <v>4003</v>
      </c>
      <c r="C214" s="22" t="s">
        <v>209</v>
      </c>
      <c r="D214" s="22" t="s">
        <v>816</v>
      </c>
      <c r="E214" s="13">
        <v>42707.712534722225</v>
      </c>
      <c r="F214" s="13">
        <v>25568.708333333332</v>
      </c>
      <c r="G214" s="7">
        <v>1</v>
      </c>
      <c r="H214" s="22" t="s">
        <v>332</v>
      </c>
      <c r="I214" s="13">
        <v>25568.708333333332</v>
      </c>
      <c r="J214" s="7">
        <v>0</v>
      </c>
      <c r="K214" s="109" t="str">
        <f t="shared" si="75"/>
        <v>4003/4004</v>
      </c>
      <c r="L214" s="22" t="str">
        <f>VLOOKUP(A214,'Trips&amp;Operators'!$C$1:$G$99999,5,FALSE)</f>
        <v>HAITHCOX MICHAEL</v>
      </c>
      <c r="M214" s="6">
        <f t="shared" si="76"/>
        <v>0</v>
      </c>
      <c r="N214" s="7">
        <f t="shared" si="86"/>
        <v>0</v>
      </c>
      <c r="O214" s="7"/>
      <c r="P214" s="7"/>
      <c r="Q214" s="23"/>
      <c r="R214" s="23"/>
      <c r="S214" s="35">
        <f t="shared" si="87"/>
        <v>0</v>
      </c>
      <c r="T214" s="50" t="e">
        <f t="shared" si="7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78"/>
        <v>https://search-rtdc-monitor-bjffxe2xuh6vdkpspy63sjmuny.us-east-1.es.amazonaws.com/_plugin/kibana/#/discover/Steve-Slow-Train-Analysis-(2080s-and-2083s)?_g=(refreshInterval:(display:Off,section:0,value:0),time:(from:'2016-12-03 16:06:03-700',mode:absolute,to:'1969-12-31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4" s="52" t="str">
        <f t="shared" si="79"/>
        <v>Y</v>
      </c>
      <c r="X214" s="177" t="e">
        <f t="shared" si="72"/>
        <v>#VALUE!</v>
      </c>
      <c r="Y214" s="67">
        <f t="shared" si="80"/>
        <v>0.14749999999999999</v>
      </c>
      <c r="Z214" s="67">
        <f t="shared" si="88"/>
        <v>2.3346</v>
      </c>
      <c r="AA214" s="67">
        <f t="shared" si="81"/>
        <v>2.1871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2"/>
        <v>75-03</v>
      </c>
      <c r="AE214" s="91" t="str">
        <f t="shared" si="83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14" s="88" t="str">
        <f t="shared" si="84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14" s="1" t="str">
        <f t="shared" si="85"/>
        <v>Other</v>
      </c>
      <c r="AH214" s="92" t="str">
        <f t="shared" si="73"/>
        <v>"%USERPROFILE%\Documents\GitHub\eaglep3\Utilities\RefineRTDCRunTimes.py" --tripid 75-03 --locoid 4003 --swversion DE.1.0.8.0 --startMP 204:1475 --initTime 2016-12-03T17:06:03 --startdatetime 1969-12-31T17:00:00 --delay 1 --endMP 300:23346 --enddatetime 1969-12-31T17:00:00 --enforcementcount 0 &gt;&gt;C:\Users\stu\Documents\GitHub\eaglep3-reporting\EC\2016-12-03-refined-times.txt</v>
      </c>
      <c r="AI214" s="119" t="str">
        <f t="shared" si="74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ID","value":"75-03"},{"id":16,"name":"Locomotive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</sheetData>
  <autoFilter ref="A12:AG234"/>
  <sortState ref="A13:AH200">
    <sortCondition ref="AG13:AG200"/>
    <sortCondition ref="AD13:AD200"/>
  </sortState>
  <mergeCells count="1">
    <mergeCell ref="A11:P11"/>
  </mergeCells>
  <conditionalFormatting sqref="W11:W12 W244:X1048576 W13:X214">
    <cfRule type="cellIs" dxfId="10" priority="344" operator="equal">
      <formula>"Y"</formula>
    </cfRule>
  </conditionalFormatting>
  <conditionalFormatting sqref="X244:X1048576 X13:X214">
    <cfRule type="cellIs" dxfId="9" priority="327" operator="greaterThan">
      <formula>1</formula>
    </cfRule>
  </conditionalFormatting>
  <conditionalFormatting sqref="X244:X1048576 X12:X214">
    <cfRule type="cellIs" dxfId="8" priority="324" operator="equal">
      <formula>0</formula>
    </cfRule>
  </conditionalFormatting>
  <conditionalFormatting sqref="A13:S214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Values'!$C$2:$C$15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workbookViewId="0">
      <selection activeCell="K41" sqref="K4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18.285156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  <col min="31" max="16384" width="9.140625" style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7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35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- 2016-12-03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236</v>
      </c>
    </row>
    <row r="7" spans="1:30" ht="0" hidden="1" customHeight="1" x14ac:dyDescent="0.25">
      <c r="A7" s="36">
        <v>42707.757372685184</v>
      </c>
      <c r="B7" s="31" t="s">
        <v>212</v>
      </c>
      <c r="C7" s="31" t="s">
        <v>451</v>
      </c>
      <c r="D7" s="31" t="s">
        <v>49</v>
      </c>
      <c r="E7" s="31" t="s">
        <v>306</v>
      </c>
      <c r="F7" s="47">
        <v>210</v>
      </c>
      <c r="G7" s="47">
        <v>284</v>
      </c>
      <c r="H7" s="47">
        <v>34714</v>
      </c>
      <c r="I7" s="47">
        <v>34144</v>
      </c>
      <c r="J7" s="31" t="s">
        <v>307</v>
      </c>
      <c r="K7" s="47">
        <v>33257</v>
      </c>
      <c r="L7" s="154" t="s">
        <v>51</v>
      </c>
      <c r="M7" s="155">
        <f t="shared" ref="M7:M48" si="0">CONVERT((I7-K7)/10000,"mi","ft")*IF(L7="Increasing Mileposts (1)",-1,1)</f>
        <v>468.33600000000001</v>
      </c>
      <c r="N7" s="156" t="str">
        <f>VLOOKUP(C7,'Trips&amp;Operators'!$C$1:$G$99999,5,FALSE)</f>
        <v>MOSES BRADLEY</v>
      </c>
      <c r="O7" s="182" t="s">
        <v>196</v>
      </c>
      <c r="P7" s="157" t="s">
        <v>842</v>
      </c>
      <c r="Q7" s="31"/>
      <c r="R7" s="100" t="str">
        <f>VLOOKUP(C7,'Train Runs'!$A$13:$AE$9978,31,0)</f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S7" s="103" t="str">
        <f>VLOOKUP(C7,'Train Runs'!$A$13:$AE$9978,22,0)</f>
        <v>https://search-rtdc-monitor-bjffxe2xuh6vdkpspy63sjmuny.us-east-1.es.amazonaws.com/_plugin/kibana/#/discover/Steve-Slow-Train-Analysis-(2080s-and-2083s)?_g=(refreshInterval:(display:Off,section:0,value:0),time:(from:'2016-12-03 16:34:16-700',mode:absolute,to:'2016-12-03 19:21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7" s="105" t="str">
        <f t="shared" ref="T7:T4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/stypes="*4039*201612040*" /stext=" 01:.+((SYSTEM_STATE.+slice.+state.+changed )|(ment ac)|(multiple cpu faults)|(system.+state.+changed )|(\[timeout)|(PRM\|1\|D)|(kpr)|(kdp)|(\|lc)|(penalty))" /e /r /s</v>
      </c>
      <c r="U7" s="9" t="str">
        <f t="shared" ref="U7:U48" si="2">MID(B7,13,4)</f>
        <v>4039</v>
      </c>
      <c r="V7" s="36">
        <f t="shared" ref="V7:V48" si="3">A7-utc_offset/24</f>
        <v>42708.049039351848</v>
      </c>
      <c r="W7" s="50" t="str">
        <f t="shared" ref="W7:W48" si="4">IF(VALUE(LEFT(IF(LEN(C7)=6,"0"&amp;C7,C7),2))&lt;=2,"EC",IF(OR(VALUE(LEFT(IF(LEN(C7)=6,"0"&amp;C7,C7),2))=8,VALUE(LEFT(IF(LEN(C7)=6,"0"&amp;C7,C7),2))=18),"NW","Other"))</f>
        <v>EC</v>
      </c>
      <c r="X7" s="50" t="str">
        <f t="shared" ref="X7:X48" si="5">IF(AND(E7="TRACK WARRANT AUTHORITY",G7&lt;10),"OMIT","KEEP")</f>
        <v>KEEP</v>
      </c>
      <c r="Y7" s="119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arrival","project_id":79,"tracker_id":40,"status_id":1,"priority_id":2,"assigned_to_id":23,"start_date":"2016-12-03","description":"","custom_fields":[{"id":1,"name":"Subdivision","value":"EC"},{"id":4,"name":"Milepost","value":"3.3257"},{"id":17,"name":"Train ID","value":"206-03"},{"id":16,"name":"Locomotive ID","value":"4039"},{"id":130,"name":"Impact","value":""},{"id":150,"name":"Time of Event (Mountain Time)","value":"18:10:37"},{"id":151,"name":"Denver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"%USERPROFILE%\AppData\Local\Temp\OnboardLogs"\RTDC4039\*4039*201612040*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"%USERPROFILE%\AppData\Local\Temp\OnboardLogs"\RTDC4039\*4039*201612040* &gt;&gt; 42707-slicedisagreementcheck.txt</v>
      </c>
    </row>
    <row r="8" spans="1:30" x14ac:dyDescent="0.25">
      <c r="A8" s="36">
        <v>42707.272766203707</v>
      </c>
      <c r="B8" s="31" t="s">
        <v>219</v>
      </c>
      <c r="C8" s="31" t="s">
        <v>436</v>
      </c>
      <c r="D8" s="31" t="s">
        <v>98</v>
      </c>
      <c r="E8" s="31" t="s">
        <v>197</v>
      </c>
      <c r="F8" s="47">
        <v>200</v>
      </c>
      <c r="G8" s="47">
        <v>252</v>
      </c>
      <c r="H8" s="47">
        <v>5330</v>
      </c>
      <c r="I8" s="47">
        <v>6043</v>
      </c>
      <c r="J8" s="31" t="s">
        <v>198</v>
      </c>
      <c r="K8" s="47">
        <v>4677</v>
      </c>
      <c r="L8" s="154" t="s">
        <v>50</v>
      </c>
      <c r="M8" s="155">
        <f t="shared" si="0"/>
        <v>-721.24800000000005</v>
      </c>
      <c r="N8" s="156" t="str">
        <f>VLOOKUP(C8,'Trips&amp;Operators'!$C$1:$G$99999,5,FALSE)</f>
        <v>KILLION DAVID</v>
      </c>
      <c r="O8" s="182" t="s">
        <v>196</v>
      </c>
      <c r="P8" s="157"/>
      <c r="Q8" s="31"/>
      <c r="R8" s="100" t="str">
        <f>VLOOKUP(C8,'Train Runs'!$A$13:$AE$9978,31,0)</f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S8" s="103" t="str">
        <f>VLOOKUP(C8,'Train Runs'!$A$13:$AE$9978,22,0)</f>
        <v>https://search-rtdc-monitor-bjffxe2xuh6vdkpspy63sjmuny.us-east-1.es.amazonaws.com/_plugin/kibana/#/discover/Steve-Slow-Train-Analysis-(2080s-and-2083s)?_g=(refreshInterval:(display:Off,section:0,value:0),time:(from:'2016-12-03 05:22:43-700',mode:absolute,to:'2016-12-03 08:08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8" s="105" t="str">
        <f t="shared" si="1"/>
        <v>"C:\Program Files (x86)\AstroGrep\AstroGrep.exe" /spath="%USERPROFILE%\AppData\Local\Temp\OnboardLogs" /stypes="*4022*201612031*" /stext=" 13:.+((SYSTEM_STATE.+slice.+state.+changed )|(ment ac)|(multiple cpu faults)|(system.+state.+changed )|(\[timeout)|(PRM\|1\|D)|(kpr)|(kdp)|(\|lc)|(penalty))" /e /r /s</v>
      </c>
      <c r="U8" s="9" t="str">
        <f t="shared" si="2"/>
        <v>4022</v>
      </c>
      <c r="V8" s="36">
        <f t="shared" si="3"/>
        <v>42707.564432870371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{"issue":{"subject":"","project_id":79,"tracker_id":40,"status_id":1,"priority_id":2,"assigned_to_id":23,"start_date":"2016-12-03","description":"","custom_fields":[{"id":1,"name":"Subdivision","value":"EC"},{"id":4,"name":"Milepost","value":"0.4677"},{"id":17,"name":"Train ID","value":"123-03"},{"id":16,"name":"Locomotive ID","value":"4022"},{"id":130,"name":"Impact","value":""},{"id":150,"name":"Time of Event (Mountain Time)","value":"06:32:47"},{"id":151,"name":"Denver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"%USERPROFILE%\AppData\Local\Temp\OnboardLogs"\RTDC4022\*4022*201612031*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"%USERPROFILE%\AppData\Local\Temp\OnboardLogs"\RTDC4022\*4022*201612031* &gt;&gt; 42707-slicedisagreementcheck.txt</v>
      </c>
    </row>
    <row r="9" spans="1:30" x14ac:dyDescent="0.25">
      <c r="A9" s="36">
        <v>42707.419571759259</v>
      </c>
      <c r="B9" s="31" t="s">
        <v>219</v>
      </c>
      <c r="C9" s="31" t="s">
        <v>442</v>
      </c>
      <c r="D9" s="31" t="s">
        <v>49</v>
      </c>
      <c r="E9" s="31" t="s">
        <v>197</v>
      </c>
      <c r="F9" s="47">
        <v>400</v>
      </c>
      <c r="G9" s="47">
        <v>479</v>
      </c>
      <c r="H9" s="47">
        <v>17269</v>
      </c>
      <c r="I9" s="47">
        <v>18084</v>
      </c>
      <c r="J9" s="31" t="s">
        <v>198</v>
      </c>
      <c r="K9" s="47">
        <v>17867</v>
      </c>
      <c r="L9" s="154" t="s">
        <v>50</v>
      </c>
      <c r="M9" s="155">
        <f t="shared" si="0"/>
        <v>-114.57599999999999</v>
      </c>
      <c r="N9" s="156" t="str">
        <f>VLOOKUP(C9,'Trips&amp;Operators'!$C$1:$G$99999,5,FALSE)</f>
        <v>KILLION DAVID</v>
      </c>
      <c r="O9" s="182" t="s">
        <v>196</v>
      </c>
      <c r="P9" s="157"/>
      <c r="Q9" s="31"/>
      <c r="R9" s="100" t="str">
        <f>VLOOKUP(C9,'Train Runs'!$A$13:$AE$9978,31,0)</f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S9" s="103" t="str">
        <f>VLOOKUP(C9,'Train Runs'!$A$13:$AE$9978,22,0)</f>
        <v>https://search-rtdc-monitor-bjffxe2xuh6vdkpspy63sjmuny.us-east-1.es.amazonaws.com/_plugin/kibana/#/discover/Steve-Slow-Train-Analysis-(2080s-and-2083s)?_g=(refreshInterval:(display:Off,section:0,value:0),time:(from:'2016-12-03 08:54:42-700',mode:absolute,to:'2016-12-03 11:38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9" s="105" t="str">
        <f t="shared" si="1"/>
        <v>"C:\Program Files (x86)\AstroGrep\AstroGrep.exe" /spath="%USERPROFILE%\AppData\Local\Temp\OnboardLogs" /stypes="*4022*201612031*" /stext=" 17:.+((SYSTEM_STATE.+slice.+state.+changed )|(ment ac)|(multiple cpu faults)|(system.+state.+changed )|(\[timeout)|(PRM\|1\|D)|(kpr)|(kdp)|(\|lc)|(penalty))" /e /r /s</v>
      </c>
      <c r="U9" s="9" t="str">
        <f t="shared" si="2"/>
        <v>4022</v>
      </c>
      <c r="V9" s="36">
        <f t="shared" si="3"/>
        <v>42707.711238425924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{"issue":{"subject":"","project_id":79,"tracker_id":40,"status_id":1,"priority_id":2,"assigned_to_id":23,"start_date":"2016-12-03","description":"","custom_fields":[{"id":1,"name":"Subdivision","value":"EC"},{"id":4,"name":"Milepost","value":"1.7867"},{"id":17,"name":"Train ID","value":"151-03"},{"id":16,"name":"Locomotive ID","value":"4022"},{"id":130,"name":"Impact","value":""},{"id":150,"name":"Time of Event (Mountain Time)","value":"10:04:11"},{"id":151,"name":"Denver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"%USERPROFILE%\AppData\Local\Temp\OnboardLogs"\RTDC4022\*4022*201612031*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"%USERPROFILE%\AppData\Local\Temp\OnboardLogs"\RTDC4022\*4022*201612031* &gt;&gt; 42707-slicedisagreementcheck.txt</v>
      </c>
    </row>
    <row r="10" spans="1:30" x14ac:dyDescent="0.25">
      <c r="A10" s="36">
        <v>42707.351979166669</v>
      </c>
      <c r="B10" s="31" t="s">
        <v>356</v>
      </c>
      <c r="C10" s="31" t="s">
        <v>438</v>
      </c>
      <c r="D10" s="31" t="s">
        <v>49</v>
      </c>
      <c r="E10" s="31" t="s">
        <v>197</v>
      </c>
      <c r="F10" s="47">
        <v>400</v>
      </c>
      <c r="G10" s="47">
        <v>460</v>
      </c>
      <c r="H10" s="47">
        <v>120350</v>
      </c>
      <c r="I10" s="47">
        <v>118969</v>
      </c>
      <c r="J10" s="31" t="s">
        <v>198</v>
      </c>
      <c r="K10" s="47">
        <v>119716</v>
      </c>
      <c r="L10" s="154" t="s">
        <v>51</v>
      </c>
      <c r="M10" s="155">
        <f t="shared" si="0"/>
        <v>-394.416</v>
      </c>
      <c r="N10" s="156" t="str">
        <f>VLOOKUP(C10,'Trips&amp;Operators'!$C$1:$G$99999,5,FALSE)</f>
        <v>STRICKLAND EVAN</v>
      </c>
      <c r="O10" s="182" t="s">
        <v>196</v>
      </c>
      <c r="P10" s="157"/>
      <c r="Q10" s="31"/>
      <c r="R10" s="100" t="str">
        <f>VLOOKUP(C10,'Train Runs'!$A$13:$AE$9978,31,0)</f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S10" s="103" t="str">
        <f>VLOOKUP(C10,'Train Runs'!$A$13:$AE$9978,22,0)</f>
        <v>https://search-rtdc-monitor-bjffxe2xuh6vdkpspy63sjmuny.us-east-1.es.amazonaws.com/_plugin/kibana/#/discover/Steve-Slow-Train-Analysis-(2080s-and-2083s)?_g=(refreshInterval:(display:Off,section:0,value:0),time:(from:'2016-12-03 07:04:28-700',mode:absolute,to:'2016-12-03 09:50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0" s="105" t="str">
        <f t="shared" si="1"/>
        <v>"C:\Program Files (x86)\AstroGrep\AstroGrep.exe" /spath="%USERPROFILE%\AppData\Local\Temp\OnboardLogs" /stypes="*4028*201612031*" /stext=" 15:.+((SYSTEM_STATE.+slice.+state.+changed )|(ment ac)|(multiple cpu faults)|(system.+state.+changed )|(\[timeout)|(PRM\|1\|D)|(kpr)|(kdp)|(\|lc)|(penalty))" /e /r /s</v>
      </c>
      <c r="U10" s="9" t="str">
        <f t="shared" si="2"/>
        <v>4028</v>
      </c>
      <c r="V10" s="36">
        <f t="shared" si="3"/>
        <v>42707.643645833334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{"issue":{"subject":"","project_id":79,"tracker_id":40,"status_id":1,"priority_id":2,"assigned_to_id":23,"start_date":"2016-12-03","description":"","custom_fields":[{"id":1,"name":"Subdivision","value":"EC"},{"id":4,"name":"Milepost","value":"11.9716"},{"id":17,"name":"Train ID","value":"130-03"},{"id":16,"name":"Locomotive ID","value":"4028"},{"id":130,"name":"Impact","value":""},{"id":150,"name":"Time of Event (Mountain Time)","value":"08:26:51"},{"id":151,"name":"Denver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"%USERPROFILE%\AppData\Local\Temp\OnboardLogs"\RTDC4028\*4028*201612031*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"%USERPROFILE%\AppData\Local\Temp\OnboardLogs"\RTDC4028\*4028*201612031* &gt;&gt; 42707-slicedisagreementcheck.txt</v>
      </c>
    </row>
    <row r="11" spans="1:30" x14ac:dyDescent="0.25">
      <c r="A11" s="36">
        <v>42707.498182870368</v>
      </c>
      <c r="B11" s="31" t="s">
        <v>356</v>
      </c>
      <c r="C11" s="31" t="s">
        <v>443</v>
      </c>
      <c r="D11" s="31" t="s">
        <v>49</v>
      </c>
      <c r="E11" s="31" t="s">
        <v>197</v>
      </c>
      <c r="F11" s="47">
        <v>400</v>
      </c>
      <c r="G11" s="47">
        <v>493</v>
      </c>
      <c r="H11" s="47">
        <v>121245</v>
      </c>
      <c r="I11" s="47">
        <v>119820</v>
      </c>
      <c r="J11" s="31" t="s">
        <v>198</v>
      </c>
      <c r="K11" s="47">
        <v>119716</v>
      </c>
      <c r="L11" s="154" t="s">
        <v>51</v>
      </c>
      <c r="M11" s="155">
        <f t="shared" si="0"/>
        <v>54.911999999999999</v>
      </c>
      <c r="N11" s="156" t="str">
        <f>VLOOKUP(C11,'Trips&amp;Operators'!$C$1:$G$99999,5,FALSE)</f>
        <v>STRICKLAND EVAN</v>
      </c>
      <c r="O11" s="182" t="s">
        <v>196</v>
      </c>
      <c r="P11" s="157"/>
      <c r="Q11" s="31"/>
      <c r="R11" s="100" t="str">
        <f>VLOOKUP(C11,'Train Runs'!$A$13:$AE$9978,31,0)</f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S11" s="103" t="str">
        <f>VLOOKUP(C11,'Train Runs'!$A$13:$AE$9978,22,0)</f>
        <v>https://search-rtdc-monitor-bjffxe2xuh6vdkpspy63sjmuny.us-east-1.es.amazonaws.com/_plugin/kibana/#/discover/Steve-Slow-Train-Analysis-(2080s-and-2083s)?_g=(refreshInterval:(display:Off,section:0,value:0),time:(from:'2016-12-03 10:33:34-700',mode:absolute,to:'2016-12-03 13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1" s="105" t="str">
        <f t="shared" si="1"/>
        <v>"C:\Program Files (x86)\AstroGrep\AstroGrep.exe" /spath="%USERPROFILE%\AppData\Local\Temp\OnboardLogs" /stypes="*4028*201612031*" /stext=" 18:.+((SYSTEM_STATE.+slice.+state.+changed )|(ment ac)|(multiple cpu faults)|(system.+state.+changed )|(\[timeout)|(PRM\|1\|D)|(kpr)|(kdp)|(\|lc)|(penalty))" /e /r /s</v>
      </c>
      <c r="U11" s="9" t="str">
        <f t="shared" si="2"/>
        <v>4028</v>
      </c>
      <c r="V11" s="36">
        <f t="shared" si="3"/>
        <v>42707.789849537032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{"issue":{"subject":"","project_id":79,"tracker_id":40,"status_id":1,"priority_id":2,"assigned_to_id":23,"start_date":"2016-12-03","description":"","custom_fields":[{"id":1,"name":"Subdivision","value":"EC"},{"id":4,"name":"Milepost","value":"11.9716"},{"id":17,"name":"Train ID","value":"158-03"},{"id":16,"name":"Locomotive ID","value":"4028"},{"id":130,"name":"Impact","value":""},{"id":150,"name":"Time of Event (Mountain Time)","value":"11:57:23"},{"id":151,"name":"Denver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"%USERPROFILE%\AppData\Local\Temp\OnboardLogs"\RTDC4028\*4028*201612031*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"%USERPROFILE%\AppData\Local\Temp\OnboardLogs"\RTDC4028\*4028*201612031* &gt;&gt; 42707-slicedisagreementcheck.txt</v>
      </c>
    </row>
    <row r="12" spans="1:30" x14ac:dyDescent="0.25">
      <c r="A12" s="36">
        <v>42707.810740740744</v>
      </c>
      <c r="B12" s="31" t="s">
        <v>360</v>
      </c>
      <c r="C12" s="31" t="s">
        <v>455</v>
      </c>
      <c r="D12" s="31" t="s">
        <v>49</v>
      </c>
      <c r="E12" s="31" t="s">
        <v>197</v>
      </c>
      <c r="F12" s="47">
        <v>400</v>
      </c>
      <c r="G12" s="47">
        <v>494</v>
      </c>
      <c r="H12" s="47">
        <v>121262</v>
      </c>
      <c r="I12" s="47">
        <v>119842</v>
      </c>
      <c r="J12" s="31" t="s">
        <v>198</v>
      </c>
      <c r="K12" s="47">
        <v>119716</v>
      </c>
      <c r="L12" s="154" t="s">
        <v>51</v>
      </c>
      <c r="M12" s="155">
        <f t="shared" si="0"/>
        <v>66.528000000000006</v>
      </c>
      <c r="N12" s="156" t="str">
        <f>VLOOKUP(C12,'Trips&amp;Operators'!$C$1:$G$99999,5,FALSE)</f>
        <v>CHANDLER KELVIN</v>
      </c>
      <c r="O12" s="182" t="s">
        <v>196</v>
      </c>
      <c r="P12" s="157"/>
      <c r="Q12" s="31"/>
      <c r="R12" s="100" t="str">
        <f>VLOOKUP(C12,'Train Runs'!$A$13:$AE$9978,31,0)</f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S12" s="103" t="str">
        <f>VLOOKUP(C12,'Train Runs'!$A$13:$AE$9978,22,0)</f>
        <v>https://search-rtdc-monitor-bjffxe2xuh6vdkpspy63sjmuny.us-east-1.es.amazonaws.com/_plugin/kibana/#/discover/Steve-Slow-Train-Analysis-(2080s-and-2083s)?_g=(refreshInterval:(display:Off,section:0,value:0),time:(from:'2016-12-03 18:08:53-700',mode:absolute,to:'2016-12-03 20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2" s="105" t="str">
        <f t="shared" si="1"/>
        <v>"C:\Program Files (x86)\AstroGrep\AstroGrep.exe" /spath="%USERPROFILE%\AppData\Local\Temp\OnboardLogs" /stypes="*4019*201612040*" /stext=" 02:.+((SYSTEM_STATE.+slice.+state.+changed )|(ment ac)|(multiple cpu faults)|(system.+state.+changed )|(\[timeout)|(PRM\|1\|D)|(kpr)|(kdp)|(\|lc)|(penalty))" /e /r /s</v>
      </c>
      <c r="U12" s="9" t="str">
        <f t="shared" si="2"/>
        <v>4019</v>
      </c>
      <c r="V12" s="36">
        <f t="shared" si="3"/>
        <v>42708.102407407408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{"issue":{"subject":"","project_id":79,"tracker_id":40,"status_id":1,"priority_id":2,"assigned_to_id":23,"start_date":"2016-12-03","description":"","custom_fields":[{"id":1,"name":"Subdivision","value":"EC"},{"id":4,"name":"Milepost","value":"11.9716"},{"id":17,"name":"Train ID","value":"218-03"},{"id":16,"name":"Locomotive ID","value":"4019"},{"id":130,"name":"Impact","value":""},{"id":150,"name":"Time of Event (Mountain Time)","value":"19:27:28"},{"id":151,"name":"Denver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"%USERPROFILE%\AppData\Local\Temp\OnboardLogs"\RTDC4019\*4019*201612040*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"%USERPROFILE%\AppData\Local\Temp\OnboardLogs"\RTDC4019\*4019*201612040* &gt;&gt; 42707-slicedisagreementcheck.txt</v>
      </c>
    </row>
    <row r="13" spans="1:30" x14ac:dyDescent="0.25">
      <c r="A13" s="36">
        <v>42707.491516203707</v>
      </c>
      <c r="B13" s="31" t="s">
        <v>356</v>
      </c>
      <c r="C13" s="31" t="s">
        <v>443</v>
      </c>
      <c r="D13" s="31" t="s">
        <v>98</v>
      </c>
      <c r="E13" s="31" t="s">
        <v>197</v>
      </c>
      <c r="F13" s="47">
        <v>600</v>
      </c>
      <c r="G13" s="47">
        <v>652</v>
      </c>
      <c r="H13" s="47">
        <v>184621</v>
      </c>
      <c r="I13" s="47">
        <v>181557</v>
      </c>
      <c r="J13" s="31" t="s">
        <v>198</v>
      </c>
      <c r="K13" s="47">
        <v>190834</v>
      </c>
      <c r="L13" s="154" t="s">
        <v>51</v>
      </c>
      <c r="M13" s="155">
        <f t="shared" si="0"/>
        <v>-4898.2560000000003</v>
      </c>
      <c r="N13" s="156" t="str">
        <f>VLOOKUP(C13,'Trips&amp;Operators'!$C$1:$G$99999,5,FALSE)</f>
        <v>STRICKLAND EVAN</v>
      </c>
      <c r="O13" s="182" t="s">
        <v>196</v>
      </c>
      <c r="P13" s="157"/>
      <c r="Q13" s="31"/>
      <c r="R13" s="100" t="str">
        <f>VLOOKUP(C13,'Train Runs'!$A$13:$AE$9978,31,0)</f>
        <v>aws s3 cp s3://rtdc.mdm.uploadarchive.raw/RTDC4028/ "%USERPROFILE%\AppData\Local\Temp\OnboardLogs"\RTDC4028\2016-12-03 --exclude "*" --recursive --include "*20161203*" &amp; "%USERPROFILE%\Documents\GitHub\mrs-test-scripts\Headless Mode &amp; Sideloading\WalkAndUnGZ.bat" "%USERPROFILE%\AppData\Local\Temp\OnboardLogs"\RTDC4028\2016-12-03 &amp; aws s3 cp s3://rtdc.mdm.uploadarchive.raw/RTDC4028/ "%USERPROFILE%\AppData\Local\Temp\OnboardLogs"\RTDC4028\2016-12-04 --exclude "*" --recursive --include "*20161204*" &amp; "%USERPROFILE%\Documents\GitHub\mrs-test-scripts\Headless Mode &amp; Sideloading\WalkAndUnGZ.bat" "%USERPROFILE%\AppData\Local\Temp\OnboardLogs"\RTDC4028\2016-12-04</v>
      </c>
      <c r="S13" s="103" t="str">
        <f>VLOOKUP(C13,'Train Runs'!$A$13:$AE$9978,22,0)</f>
        <v>https://search-rtdc-monitor-bjffxe2xuh6vdkpspy63sjmuny.us-east-1.es.amazonaws.com/_plugin/kibana/#/discover/Steve-Slow-Train-Analysis-(2080s-and-2083s)?_g=(refreshInterval:(display:Off,section:0,value:0),time:(from:'2016-12-03 10:33:34-700',mode:absolute,to:'2016-12-03 13:21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3" s="105" t="str">
        <f t="shared" si="1"/>
        <v>"C:\Program Files (x86)\AstroGrep\AstroGrep.exe" /spath="%USERPROFILE%\AppData\Local\Temp\OnboardLogs" /stypes="*4028*201612031*" /stext=" 18:.+((SYSTEM_STATE.+slice.+state.+changed )|(ment ac)|(multiple cpu faults)|(system.+state.+changed )|(\[timeout)|(PRM\|1\|D)|(kpr)|(kdp)|(\|lc)|(penalty))" /e /r /s</v>
      </c>
      <c r="U13" s="9" t="str">
        <f t="shared" si="2"/>
        <v>4028</v>
      </c>
      <c r="V13" s="36">
        <f t="shared" si="3"/>
        <v>42707.783182870371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{"issue":{"subject":"","project_id":79,"tracker_id":40,"status_id":1,"priority_id":2,"assigned_to_id":23,"start_date":"2016-12-03","description":"","custom_fields":[{"id":1,"name":"Subdivision","value":"EC"},{"id":4,"name":"Milepost","value":"19.0834"},{"id":17,"name":"Train ID","value":"158-03"},{"id":16,"name":"Locomotive ID","value":"4028"},{"id":130,"name":"Impact","value":""},{"id":150,"name":"Time of Event (Mountain Time)","value":"11:47:47"},{"id":151,"name":"Denver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"%USERPROFILE%\AppData\Local\Temp\OnboardLogs"\RTDC4028\*4028*201612031*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"%USERPROFILE%\AppData\Local\Temp\OnboardLogs"\RTDC4028\*4028*201612031* &gt;&gt; 42707-slicedisagreementcheck.txt</v>
      </c>
    </row>
    <row r="14" spans="1:30" x14ac:dyDescent="0.25">
      <c r="A14" s="36">
        <v>42707.79047453704</v>
      </c>
      <c r="B14" s="31" t="s">
        <v>222</v>
      </c>
      <c r="C14" s="31" t="s">
        <v>454</v>
      </c>
      <c r="D14" s="31" t="s">
        <v>98</v>
      </c>
      <c r="E14" s="31" t="s">
        <v>197</v>
      </c>
      <c r="F14" s="47">
        <v>350</v>
      </c>
      <c r="G14" s="47">
        <v>400</v>
      </c>
      <c r="H14" s="47">
        <v>227628</v>
      </c>
      <c r="I14" s="47">
        <v>226847</v>
      </c>
      <c r="J14" s="31" t="s">
        <v>198</v>
      </c>
      <c r="K14" s="47">
        <v>232080</v>
      </c>
      <c r="L14" s="154" t="s">
        <v>51</v>
      </c>
      <c r="M14" s="155">
        <f t="shared" si="0"/>
        <v>-2763.0239999999999</v>
      </c>
      <c r="N14" s="156" t="str">
        <f>VLOOKUP(C14,'Trips&amp;Operators'!$C$1:$G$99999,5,FALSE)</f>
        <v>ARVIDSON DANIEL</v>
      </c>
      <c r="O14" s="182" t="s">
        <v>196</v>
      </c>
      <c r="P14" s="157"/>
      <c r="Q14" s="31"/>
      <c r="R14" s="100" t="str">
        <f>VLOOKUP(C14,'Train Runs'!$A$13:$AE$9978,31,0)</f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S14" s="103" t="str">
        <f>VLOOKUP(C14,'Train Runs'!$A$13:$AE$9978,22,0)</f>
        <v>https://search-rtdc-monitor-bjffxe2xuh6vdkpspy63sjmuny.us-east-1.es.amazonaws.com/_plugin/kibana/#/discover/Steve-Slow-Train-Analysis-(2080s-and-2083s)?_g=(refreshInterval:(display:Off,section:0,value:0),time:(from:'2016-12-03 17:49:19-700',mode:absolute,to:'2016-12-03 20:38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14" s="105" t="str">
        <f t="shared" si="1"/>
        <v>"C:\Program Files (x86)\AstroGrep\AstroGrep.exe" /spath="%USERPROFILE%\AppData\Local\Temp\OnboardLogs" /stypes="*4037*201612040*" /stext=" 01:.+((SYSTEM_STATE.+slice.+state.+changed )|(ment ac)|(multiple cpu faults)|(system.+state.+changed )|(\[timeout)|(PRM\|1\|D)|(kpr)|(kdp)|(\|lc)|(penalty))" /e /r /s</v>
      </c>
      <c r="U14" s="9" t="str">
        <f t="shared" si="2"/>
        <v>4037</v>
      </c>
      <c r="V14" s="36">
        <f t="shared" si="3"/>
        <v>42708.082141203704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{"issue":{"subject":"","project_id":79,"tracker_id":40,"status_id":1,"priority_id":2,"assigned_to_id":23,"start_date":"2016-12-03","description":"","custom_fields":[{"id":1,"name":"Subdivision","value":"EC"},{"id":4,"name":"Milepost","value":"23.208"},{"id":17,"name":"Train ID","value":"216-03"},{"id":16,"name":"Locomotive ID","value":"4037"},{"id":130,"name":"Impact","value":""},{"id":150,"name":"Time of Event (Mountain Time)","value":"18:58:17"},{"id":151,"name":"Denver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"%USERPROFILE%\AppData\Local\Temp\OnboardLogs"\RTDC4037\*4037*201612040*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"%USERPROFILE%\AppData\Local\Temp\OnboardLogs"\RTDC4037\*4037*201612040* &gt;&gt; 42707-slicedisagreementcheck.txt</v>
      </c>
    </row>
    <row r="15" spans="1:30" x14ac:dyDescent="0.25">
      <c r="A15" s="36">
        <v>42707.283402777779</v>
      </c>
      <c r="B15" s="31" t="s">
        <v>219</v>
      </c>
      <c r="C15" s="31" t="s">
        <v>436</v>
      </c>
      <c r="D15" s="31" t="s">
        <v>49</v>
      </c>
      <c r="E15" s="31" t="s">
        <v>199</v>
      </c>
      <c r="F15" s="47">
        <v>0</v>
      </c>
      <c r="G15" s="47">
        <v>716</v>
      </c>
      <c r="H15" s="47">
        <v>81293</v>
      </c>
      <c r="I15" s="47">
        <v>84869</v>
      </c>
      <c r="J15" s="31" t="s">
        <v>200</v>
      </c>
      <c r="K15" s="47">
        <v>81738</v>
      </c>
      <c r="L15" s="154" t="s">
        <v>50</v>
      </c>
      <c r="M15" s="155">
        <f t="shared" si="0"/>
        <v>-1653.1679999999999</v>
      </c>
      <c r="N15" s="156" t="str">
        <f>VLOOKUP(C15,'Trips&amp;Operators'!$C$1:$G$99999,5,FALSE)</f>
        <v>KILLION DAVID</v>
      </c>
      <c r="O15" s="182" t="s">
        <v>238</v>
      </c>
      <c r="P15" s="157" t="s">
        <v>845</v>
      </c>
      <c r="Q15" s="31"/>
      <c r="R15" s="100" t="str">
        <f>VLOOKUP(C15,'Train Runs'!$A$13:$AE$9978,31,0)</f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S15" s="103" t="str">
        <f>VLOOKUP(C15,'Train Runs'!$A$13:$AE$9978,22,0)</f>
        <v>https://search-rtdc-monitor-bjffxe2xuh6vdkpspy63sjmuny.us-east-1.es.amazonaws.com/_plugin/kibana/#/discover/Steve-Slow-Train-Analysis-(2080s-and-2083s)?_g=(refreshInterval:(display:Off,section:0,value:0),time:(from:'2016-12-03 05:22:43-700',mode:absolute,to:'2016-12-03 08:08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5" s="105" t="str">
        <f t="shared" si="1"/>
        <v>"C:\Program Files (x86)\AstroGrep\AstroGrep.exe" /spath="%USERPROFILE%\AppData\Local\Temp\OnboardLogs" /stypes="*4022*201612031*" /stext=" 13:.+((SYSTEM_STATE.+slice.+state.+changed )|(ment ac)|(multiple cpu faults)|(system.+state.+changed )|(\[timeout)|(PRM\|1\|D)|(kpr)|(kdp)|(\|lc)|(penalty))" /e /r /s</v>
      </c>
      <c r="U15" s="9" t="str">
        <f t="shared" si="2"/>
        <v>4022</v>
      </c>
      <c r="V15" s="36">
        <f t="shared" si="3"/>
        <v>42707.575069444443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{"issue":{"subject":"Code9 issue at EC0816RH 75-1T 1N","project_id":79,"tracker_id":40,"status_id":1,"priority_id":2,"assigned_to_id":23,"start_date":"2016-12-03","description":"","custom_fields":[{"id":1,"name":"Subdivision","value":"EC"},{"id":4,"name":"Milepost","value":"8.1738"},{"id":17,"name":"Train ID","value":"123-03"},{"id":16,"name":"Locomotive ID","value":"4022"},{"id":130,"name":"Impact","value":""},{"id":150,"name":"Time of Event (Mountain Time)","value":"06:48:06"},{"id":151,"name":"Denver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"%USERPROFILE%\AppData\Local\Temp\OnboardLogs"\RTDC4022\*4022*201612031*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"%USERPROFILE%\AppData\Local\Temp\OnboardLogs"\RTDC4022\*4022*201612031* &gt;&gt; 42707-slicedisagreementcheck.txt</v>
      </c>
    </row>
    <row r="16" spans="1:30" x14ac:dyDescent="0.25">
      <c r="A16" s="36">
        <v>42707.285370370373</v>
      </c>
      <c r="B16" s="31" t="s">
        <v>219</v>
      </c>
      <c r="C16" s="31" t="s">
        <v>436</v>
      </c>
      <c r="D16" s="31" t="s">
        <v>98</v>
      </c>
      <c r="E16" s="31" t="s">
        <v>199</v>
      </c>
      <c r="F16" s="47">
        <v>200</v>
      </c>
      <c r="G16" s="47">
        <v>259</v>
      </c>
      <c r="H16" s="47">
        <v>87115</v>
      </c>
      <c r="I16" s="47">
        <v>88279</v>
      </c>
      <c r="J16" s="31" t="s">
        <v>200</v>
      </c>
      <c r="K16" s="47">
        <v>81738</v>
      </c>
      <c r="L16" s="154" t="s">
        <v>50</v>
      </c>
      <c r="M16" s="155">
        <f t="shared" si="0"/>
        <v>-3453.6480000000001</v>
      </c>
      <c r="N16" s="156" t="str">
        <f>VLOOKUP(C16,'Trips&amp;Operators'!$C$1:$G$99999,5,FALSE)</f>
        <v>KILLION DAVID</v>
      </c>
      <c r="O16" s="182" t="s">
        <v>196</v>
      </c>
      <c r="P16" s="157" t="s">
        <v>843</v>
      </c>
      <c r="Q16" s="31"/>
      <c r="R16" s="100" t="str">
        <f>VLOOKUP(C16,'Train Runs'!$A$13:$AE$9978,31,0)</f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S16" s="103" t="str">
        <f>VLOOKUP(C16,'Train Runs'!$A$13:$AE$9978,22,0)</f>
        <v>https://search-rtdc-monitor-bjffxe2xuh6vdkpspy63sjmuny.us-east-1.es.amazonaws.com/_plugin/kibana/#/discover/Steve-Slow-Train-Analysis-(2080s-and-2083s)?_g=(refreshInterval:(display:Off,section:0,value:0),time:(from:'2016-12-03 05:22:43-700',mode:absolute,to:'2016-12-03 08:08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16" s="105" t="str">
        <f t="shared" si="1"/>
        <v>"C:\Program Files (x86)\AstroGrep\AstroGrep.exe" /spath="%USERPROFILE%\AppData\Local\Temp\OnboardLogs" /stypes="*4022*201612031*" /stext=" 13:.+((SYSTEM_STATE.+slice.+state.+changed )|(ment ac)|(multiple cpu faults)|(system.+state.+changed )|(\[timeout)|(PRM\|1\|D)|(kpr)|(kdp)|(\|lc)|(penalty))" /e /r /s</v>
      </c>
      <c r="U16" s="9" t="str">
        <f t="shared" si="2"/>
        <v>4022</v>
      </c>
      <c r="V16" s="36">
        <f t="shared" si="3"/>
        <v>42707.577037037037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Overspeed","project_id":79,"tracker_id":40,"status_id":1,"priority_id":2,"assigned_to_id":23,"start_date":"2016-12-03","description":"","custom_fields":[{"id":1,"name":"Subdivision","value":"EC"},{"id":4,"name":"Milepost","value":"8.1738"},{"id":17,"name":"Train ID","value":"123-03"},{"id":16,"name":"Locomotive ID","value":"4022"},{"id":130,"name":"Impact","value":""},{"id":150,"name":"Time of Event (Mountain Time)","value":"06:50:56"},{"id":151,"name":"Denver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"%USERPROFILE%\AppData\Local\Temp\OnboardLogs"\RTDC4022\*4022*201612031*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"%USERPROFILE%\AppData\Local\Temp\OnboardLogs"\RTDC4022\*4022*201612031* &gt;&gt; 42707-slicedisagreementcheck.txt</v>
      </c>
    </row>
    <row r="17" spans="1:30" x14ac:dyDescent="0.25">
      <c r="A17" s="36">
        <v>42707.969884259262</v>
      </c>
      <c r="B17" s="31" t="s">
        <v>289</v>
      </c>
      <c r="C17" s="31" t="s">
        <v>465</v>
      </c>
      <c r="D17" s="31" t="s">
        <v>49</v>
      </c>
      <c r="E17" s="31" t="s">
        <v>199</v>
      </c>
      <c r="F17" s="47">
        <v>0</v>
      </c>
      <c r="G17" s="47">
        <v>670</v>
      </c>
      <c r="H17" s="47">
        <v>81111</v>
      </c>
      <c r="I17" s="47">
        <v>83854</v>
      </c>
      <c r="J17" s="31" t="s">
        <v>200</v>
      </c>
      <c r="K17" s="47">
        <v>81738</v>
      </c>
      <c r="L17" s="154" t="s">
        <v>50</v>
      </c>
      <c r="M17" s="155">
        <f t="shared" si="0"/>
        <v>-1117.248</v>
      </c>
      <c r="N17" s="156" t="str">
        <f>VLOOKUP(C17,'Trips&amp;Operators'!$C$1:$G$99999,5,FALSE)</f>
        <v>LEVIN SCOTT</v>
      </c>
      <c r="O17" s="182" t="s">
        <v>238</v>
      </c>
      <c r="P17" s="157" t="s">
        <v>845</v>
      </c>
      <c r="Q17" s="31"/>
      <c r="R17" s="100" t="str">
        <f>VLOOKUP(C17,'Train Runs'!$A$13:$AE$9978,31,0)</f>
        <v>aws s3 cp s3://rtdc.mdm.uploadarchive.raw/RTDC4016/ "%USERPROFILE%\AppData\Local\Temp\OnboardLogs"\RTDC4016\2016-12-03 --exclude "*" --recursive --include "*20161203*" &amp; "%USERPROFILE%\Documents\GitHub\mrs-test-scripts\Headless Mode &amp; Sideloading\WalkAndUnGZ.bat" "%USERPROFILE%\AppData\Local\Temp\OnboardLogs"\RTDC4016\2016-12-03 &amp; aws s3 cp s3://rtdc.mdm.uploadarchive.raw/RTDC4016/ "%USERPROFILE%\AppData\Local\Temp\OnboardLogs"\RTDC4016\2016-12-04 --exclude "*" --recursive --include "*20161204*" &amp; "%USERPROFILE%\Documents\GitHub\mrs-test-scripts\Headless Mode &amp; Sideloading\WalkAndUnGZ.bat" "%USERPROFILE%\AppData\Local\Temp\OnboardLogs"\RTDC4016\2016-12-04</v>
      </c>
      <c r="S17" s="103" t="str">
        <f>VLOOKUP(C17,'Train Runs'!$A$13:$AE$9978,22,0)</f>
        <v>https://search-rtdc-monitor-bjffxe2xuh6vdkpspy63sjmuny.us-east-1.es.amazonaws.com/_plugin/kibana/#/discover/Steve-Slow-Train-Analysis-(2080s-and-2083s)?_g=(refreshInterval:(display:Off,section:0,value:0),time:(from:'2016-12-03 21:54:02-700',mode:absolute,to:'2016-12-04 00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7" s="105" t="str">
        <f t="shared" si="1"/>
        <v>"C:\Program Files (x86)\AstroGrep\AstroGrep.exe" /spath="%USERPROFILE%\AppData\Local\Temp\OnboardLogs" /stypes="*4016*201612040*" /stext=" 06:.+((SYSTEM_STATE.+slice.+state.+changed )|(ment ac)|(multiple cpu faults)|(system.+state.+changed )|(\[timeout)|(PRM\|1\|D)|(kpr)|(kdp)|(\|lc)|(penalty))" /e /r /s</v>
      </c>
      <c r="U17" s="9" t="str">
        <f t="shared" si="2"/>
        <v>4016</v>
      </c>
      <c r="V17" s="36">
        <f t="shared" si="3"/>
        <v>42708.261550925927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{"issue":{"subject":"Code9 issue at EC0816RH 75-1T 1N","project_id":79,"tracker_id":40,"status_id":1,"priority_id":2,"assigned_to_id":23,"start_date":"2016-12-03","description":"","custom_fields":[{"id":1,"name":"Subdivision","value":"EC"},{"id":4,"name":"Milepost","value":"8.1738"},{"id":17,"name":"Train ID","value":"237-03"},{"id":16,"name":"Locomotive ID","value":"4016"},{"id":130,"name":"Impact","value":""},{"id":150,"name":"Time of Event (Mountain Time)","value":"23:16:38"},{"id":151,"name":"Denver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"%USERPROFILE%\AppData\Local\Temp\OnboardLogs"\RTDC4016\*4016*201612040*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"%USERPROFILE%\AppData\Local\Temp\OnboardLogs"\RTDC4016\*4016*201612040* &gt;&gt; 42707-slicedisagreementcheck.txt</v>
      </c>
    </row>
    <row r="18" spans="1:30" x14ac:dyDescent="0.25">
      <c r="A18" s="36">
        <v>42707.359780092593</v>
      </c>
      <c r="B18" s="31" t="s">
        <v>259</v>
      </c>
      <c r="C18" s="31" t="s">
        <v>439</v>
      </c>
      <c r="D18" s="31" t="s">
        <v>49</v>
      </c>
      <c r="E18" s="31" t="s">
        <v>199</v>
      </c>
      <c r="F18" s="47">
        <v>0</v>
      </c>
      <c r="G18" s="47">
        <v>545</v>
      </c>
      <c r="H18" s="47">
        <v>149866</v>
      </c>
      <c r="I18" s="47">
        <v>147868</v>
      </c>
      <c r="J18" s="31" t="s">
        <v>200</v>
      </c>
      <c r="K18" s="47">
        <v>149700</v>
      </c>
      <c r="L18" s="154" t="s">
        <v>51</v>
      </c>
      <c r="M18" s="155">
        <f t="shared" si="0"/>
        <v>-967.29600000000005</v>
      </c>
      <c r="N18" s="156" t="str">
        <f>VLOOKUP(C18,'Trips&amp;Operators'!$C$1:$G$99999,5,FALSE)</f>
        <v>ROBINSON KADDIBA</v>
      </c>
      <c r="O18" s="182" t="s">
        <v>238</v>
      </c>
      <c r="P18" s="157" t="s">
        <v>834</v>
      </c>
      <c r="Q18" s="31"/>
      <c r="R18" s="100" t="str">
        <f>VLOOKUP(C18,'Train Runs'!$A$13:$AE$9978,31,0)</f>
        <v>aws s3 cp s3://rtdc.mdm.uploadarchive.raw/RTDC4004/ "%USERPROFILE%\AppData\Local\Temp\OnboardLogs"\RTDC4004\2016-12-03 --exclude "*" --recursive --include "*20161203*" &amp; "%USERPROFILE%\Documents\GitHub\mrs-test-scripts\Headless Mode &amp; Sideloading\WalkAndUnGZ.bat" "%USERPROFILE%\AppData\Local\Temp\OnboardLogs"\RTDC4004\2016-12-03 &amp; aws s3 cp s3://rtdc.mdm.uploadarchive.raw/RTDC4004/ "%USERPROFILE%\AppData\Local\Temp\OnboardLogs"\RTDC4004\2016-12-04 --exclude "*" --recursive --include "*20161204*" &amp; "%USERPROFILE%\Documents\GitHub\mrs-test-scripts\Headless Mode &amp; Sideloading\WalkAndUnGZ.bat" "%USERPROFILE%\AppData\Local\Temp\OnboardLogs"\RTDC4004\2016-12-04</v>
      </c>
      <c r="S18" s="103" t="str">
        <f>VLOOKUP(C18,'Train Runs'!$A$13:$AE$9978,22,0)</f>
        <v>https://search-rtdc-monitor-bjffxe2xuh6vdkpspy63sjmuny.us-east-1.es.amazonaws.com/_plugin/kibana/#/discover/Steve-Slow-Train-Analysis-(2080s-and-2083s)?_g=(refreshInterval:(display:Off,section:0,value:0),time:(from:'2016-12-03 07:16:58-700',mode:absolute,to:'2016-12-03 09:38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18" s="105" t="str">
        <f t="shared" si="1"/>
        <v>"C:\Program Files (x86)\AstroGrep\AstroGrep.exe" /spath="%USERPROFILE%\AppData\Local\Temp\OnboardLogs" /stypes="*4004*201612031*" /stext=" 15:.+((SYSTEM_STATE.+slice.+state.+changed )|(ment ac)|(multiple cpu faults)|(system.+state.+changed )|(\[timeout)|(PRM\|1\|D)|(kpr)|(kdp)|(\|lc)|(penalty))" /e /r /s</v>
      </c>
      <c r="U18" s="9" t="str">
        <f t="shared" si="2"/>
        <v>4004</v>
      </c>
      <c r="V18" s="36">
        <f t="shared" si="3"/>
        <v>42707.651446759257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{"issue":{"subject":"Premature downgrade at EC1497","project_id":79,"tracker_id":40,"status_id":1,"priority_id":2,"assigned_to_id":23,"start_date":"2016-12-03","description":"At 08:37:39, EC1497RH 154-2T 2S dropped from 270 to STOP &amp; PROCEED. Do logs show anything odd at this time?","custom_fields":[{"id":1,"name":"Subdivision","value":"EC"},{"id":4,"name":"Milepost","value":"14.97"},{"id":17,"name":"Train ID","value":"132-03"},{"id":16,"name":"Locomotive ID","value":"4004"},{"id":130,"name":"Impact","value":"Enforcement"},{"id":150,"name":"Time of Event (Mountain Time)","value":"08:38:05"},{"id":151,"name":"Denver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8" s="53" t="s">
        <v>835</v>
      </c>
      <c r="AA18" s="53" t="s">
        <v>125</v>
      </c>
      <c r="AB18" s="53" t="s">
        <v>130</v>
      </c>
      <c r="AC18" s="138" t="str">
        <f t="shared" si="7"/>
        <v>grep -hSE -A100 "Enforcement Action" "%USERPROFILE%\AppData\Local\Temp\OnboardLogs"\RTDC4004\*4004*201612031*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"%USERPROFILE%\AppData\Local\Temp\OnboardLogs"\RTDC4004\*4004*201612031* &gt;&gt; 42707-slicedisagreementcheck.txt</v>
      </c>
    </row>
    <row r="19" spans="1:30" x14ac:dyDescent="0.25">
      <c r="A19" s="36">
        <v>42707.394699074073</v>
      </c>
      <c r="B19" s="31" t="s">
        <v>357</v>
      </c>
      <c r="C19" s="31" t="s">
        <v>441</v>
      </c>
      <c r="D19" s="31" t="s">
        <v>49</v>
      </c>
      <c r="E19" s="31" t="s">
        <v>199</v>
      </c>
      <c r="F19" s="47">
        <v>0</v>
      </c>
      <c r="G19" s="47">
        <v>312</v>
      </c>
      <c r="H19" s="47">
        <v>155319</v>
      </c>
      <c r="I19" s="47">
        <v>156153</v>
      </c>
      <c r="J19" s="31" t="s">
        <v>200</v>
      </c>
      <c r="K19" s="47">
        <v>155600</v>
      </c>
      <c r="L19" s="154" t="s">
        <v>50</v>
      </c>
      <c r="M19" s="155">
        <f t="shared" si="0"/>
        <v>-291.98399999999998</v>
      </c>
      <c r="N19" s="156" t="str">
        <f>VLOOKUP(C19,'Trips&amp;Operators'!$C$1:$G$99999,5,FALSE)</f>
        <v>STRICKLAND EVAN</v>
      </c>
      <c r="O19" s="182" t="s">
        <v>238</v>
      </c>
      <c r="P19" s="157" t="s">
        <v>836</v>
      </c>
      <c r="Q19" s="31"/>
      <c r="R19" s="100" t="str">
        <f>VLOOKUP(C19,'Train Runs'!$A$13:$AE$9978,31,0)</f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S19" s="103" t="str">
        <f>VLOOKUP(C19,'Train Runs'!$A$13:$AE$9978,22,0)</f>
        <v>https://search-rtdc-monitor-bjffxe2xuh6vdkpspy63sjmuny.us-east-1.es.amazonaws.com/_plugin/kibana/#/discover/Steve-Slow-Train-Analysis-(2080s-and-2083s)?_g=(refreshInterval:(display:Off,section:0,value:0),time:(from:'2016-12-03 07:53:03-700',mode:absolute,to:'2016-12-03 10:28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9" s="105" t="str">
        <f t="shared" si="1"/>
        <v>"C:\Program Files (x86)\AstroGrep\AstroGrep.exe" /spath="%USERPROFILE%\AppData\Local\Temp\OnboardLogs" /stypes="*4027*201612031*" /stext=" 16:.+((SYSTEM_STATE.+slice.+state.+changed )|(ment ac)|(multiple cpu faults)|(system.+state.+changed )|(\[timeout)|(PRM\|1\|D)|(kpr)|(kdp)|(\|lc)|(penalty))" /e /r /s</v>
      </c>
      <c r="U19" s="9" t="str">
        <f t="shared" si="2"/>
        <v>4027</v>
      </c>
      <c r="V19" s="36">
        <f t="shared" si="3"/>
        <v>42707.686365740738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{"issue":{"subject":"CP Pena ELXS Failure","project_id":79,"tracker_id":40,"status_id":1,"priority_id":2,"assigned_to_id":23,"start_date":"2016-12-03","description":"At roughly 09:28, CP Pena dropped offline briefly. Was there a main/standby transfer at this time or something else?","custom_fields":[{"id":1,"name":"Subdivision","value":"EC"},{"id":4,"name":"Milepost","value":"15.56"},{"id":17,"name":"Train ID","value":"143-03"},{"id":16,"name":"Locomotive ID","value":"4027"},{"id":130,"name":"Impact","value":"Enforcement"},{"id":150,"name":"Time of Event (Mountain Time)","value":"09:28:22"},{"id":151,"name":"Denver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9" s="53" t="s">
        <v>837</v>
      </c>
      <c r="AA19" s="53" t="s">
        <v>125</v>
      </c>
      <c r="AB19" s="53" t="s">
        <v>130</v>
      </c>
      <c r="AC19" s="138" t="str">
        <f t="shared" si="7"/>
        <v>grep -hSE -A100 "Enforcement Action" "%USERPROFILE%\AppData\Local\Temp\OnboardLogs"\RTDC4027\*4027*201612031*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"%USERPROFILE%\AppData\Local\Temp\OnboardLogs"\RTDC4027\*4027*201612031* &gt;&gt; 42707-slicedisagreementcheck.txt</v>
      </c>
    </row>
    <row r="20" spans="1:30" x14ac:dyDescent="0.25">
      <c r="A20" s="36">
        <v>42707.395115740743</v>
      </c>
      <c r="B20" s="31" t="s">
        <v>357</v>
      </c>
      <c r="C20" s="31" t="s">
        <v>441</v>
      </c>
      <c r="D20" s="31" t="s">
        <v>98</v>
      </c>
      <c r="E20" s="31" t="s">
        <v>199</v>
      </c>
      <c r="F20" s="47">
        <v>0</v>
      </c>
      <c r="G20" s="47">
        <v>20</v>
      </c>
      <c r="H20" s="47">
        <v>156129</v>
      </c>
      <c r="I20" s="47">
        <v>156126</v>
      </c>
      <c r="J20" s="31" t="s">
        <v>200</v>
      </c>
      <c r="K20" s="47">
        <v>155600</v>
      </c>
      <c r="L20" s="154" t="s">
        <v>50</v>
      </c>
      <c r="M20" s="155">
        <f t="shared" si="0"/>
        <v>-277.72800000000001</v>
      </c>
      <c r="N20" s="156" t="str">
        <f>VLOOKUP(C20,'Trips&amp;Operators'!$C$1:$G$99999,5,FALSE)</f>
        <v>STRICKLAND EVAN</v>
      </c>
      <c r="O20" s="182" t="s">
        <v>238</v>
      </c>
      <c r="P20" s="157" t="s">
        <v>836</v>
      </c>
      <c r="Q20" s="31"/>
      <c r="R20" s="100" t="str">
        <f>VLOOKUP(C20,'Train Runs'!$A$13:$AE$9978,31,0)</f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S20" s="103" t="str">
        <f>VLOOKUP(C20,'Train Runs'!$A$13:$AE$9978,22,0)</f>
        <v>https://search-rtdc-monitor-bjffxe2xuh6vdkpspy63sjmuny.us-east-1.es.amazonaws.com/_plugin/kibana/#/discover/Steve-Slow-Train-Analysis-(2080s-and-2083s)?_g=(refreshInterval:(display:Off,section:0,value:0),time:(from:'2016-12-03 07:53:03-700',mode:absolute,to:'2016-12-03 10:28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20" s="105" t="str">
        <f t="shared" si="1"/>
        <v>"C:\Program Files (x86)\AstroGrep\AstroGrep.exe" /spath="%USERPROFILE%\AppData\Local\Temp\OnboardLogs" /stypes="*4027*201612031*" /stext=" 16:.+((SYSTEM_STATE.+slice.+state.+changed )|(ment ac)|(multiple cpu faults)|(system.+state.+changed )|(\[timeout)|(PRM\|1\|D)|(kpr)|(kdp)|(\|lc)|(penalty))" /e /r /s</v>
      </c>
      <c r="U20" s="9" t="str">
        <f t="shared" si="2"/>
        <v>4027</v>
      </c>
      <c r="V20" s="36">
        <f t="shared" si="3"/>
        <v>42707.686782407407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{"issue":{"subject":"CP Pena ELXS Failure","project_id":79,"tracker_id":40,"status_id":1,"priority_id":2,"assigned_to_id":23,"start_date":"2016-12-03","description":"","custom_fields":[{"id":1,"name":"Subdivision","value":"EC"},{"id":4,"name":"Milepost","value":"15.56"},{"id":17,"name":"Train ID","value":"143-03"},{"id":16,"name":"Locomotive ID","value":"4027"},{"id":130,"name":"Impact","value":""},{"id":150,"name":"Time of Event (Mountain Time)","value":"09:28:58"},{"id":151,"name":"Denver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"%USERPROFILE%\AppData\Local\Temp\OnboardLogs"\RTDC4027\*4027*201612031*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"%USERPROFILE%\AppData\Local\Temp\OnboardLogs"\RTDC4027\*4027*201612031* &gt;&gt; 42707-slicedisagreementcheck.txt</v>
      </c>
    </row>
    <row r="21" spans="1:30" x14ac:dyDescent="0.25">
      <c r="A21" s="36">
        <v>42707.376574074071</v>
      </c>
      <c r="B21" s="31" t="s">
        <v>212</v>
      </c>
      <c r="C21" s="31" t="s">
        <v>440</v>
      </c>
      <c r="D21" s="31" t="s">
        <v>49</v>
      </c>
      <c r="E21" s="31" t="s">
        <v>199</v>
      </c>
      <c r="F21" s="47">
        <v>0</v>
      </c>
      <c r="G21" s="47">
        <v>85</v>
      </c>
      <c r="H21" s="47">
        <v>192431</v>
      </c>
      <c r="I21" s="47">
        <v>192332</v>
      </c>
      <c r="J21" s="31" t="s">
        <v>200</v>
      </c>
      <c r="K21" s="47">
        <v>191723</v>
      </c>
      <c r="L21" s="154" t="s">
        <v>51</v>
      </c>
      <c r="M21" s="155">
        <f t="shared" si="0"/>
        <v>321.55200000000002</v>
      </c>
      <c r="N21" s="156" t="str">
        <f>VLOOKUP(C21,'Trips&amp;Operators'!$C$1:$G$99999,5,FALSE)</f>
        <v>DAVIS WENDY</v>
      </c>
      <c r="O21" s="182" t="s">
        <v>196</v>
      </c>
      <c r="P21" s="157" t="s">
        <v>844</v>
      </c>
      <c r="Q21" s="31"/>
      <c r="R21" s="100" t="str">
        <f>VLOOKUP(C21,'Train Runs'!$A$13:$AE$9978,31,0)</f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S21" s="103" t="str">
        <f>VLOOKUP(C21,'Train Runs'!$A$13:$AE$9978,22,0)</f>
        <v>https://search-rtdc-monitor-bjffxe2xuh6vdkpspy63sjmuny.us-east-1.es.amazonaws.com/_plugin/kibana/#/discover/Steve-Slow-Train-Analysis-(2080s-and-2083s)?_g=(refreshInterval:(display:Off,section:0,value:0),time:(from:'2016-12-03 07:48:19-700',mode:absolute,to:'2016-12-03 10:40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1" s="105" t="str">
        <f t="shared" si="1"/>
        <v>"C:\Program Files (x86)\AstroGrep\AstroGrep.exe" /spath="%USERPROFILE%\AppData\Local\Temp\OnboardLogs" /stypes="*4039*201612031*" /stext=" 16:.+((SYSTEM_STATE.+slice.+state.+changed )|(ment ac)|(multiple cpu faults)|(system.+state.+changed )|(\[timeout)|(PRM\|1\|D)|(kpr)|(kdp)|(\|lc)|(penalty))" /e /r /s</v>
      </c>
      <c r="U21" s="9" t="str">
        <f t="shared" si="2"/>
        <v>4039</v>
      </c>
      <c r="V21" s="36">
        <f t="shared" si="3"/>
        <v>42707.668240740735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{"issue":{"subject":"Pena 4S STOP","project_id":79,"tracker_id":40,"status_id":1,"priority_id":2,"assigned_to_id":23,"start_date":"2016-12-03","description":"","custom_fields":[{"id":1,"name":"Subdivision","value":"EC"},{"id":4,"name":"Milepost","value":"19.1723"},{"id":17,"name":"Train ID","value":"136-03"},{"id":16,"name":"Locomotive ID","value":"4039"},{"id":130,"name":"Impact","value":""},{"id":150,"name":"Time of Event (Mountain Time)","value":"09:02:16"},{"id":151,"name":"Denver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"%USERPROFILE%\AppData\Local\Temp\OnboardLogs"\RTDC4039\*4039*201612031*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"%USERPROFILE%\AppData\Local\Temp\OnboardLogs"\RTDC4039\*4039*201612031* &gt;&gt; 42707-slicedisagreementcheck.txt</v>
      </c>
    </row>
    <row r="22" spans="1:30" x14ac:dyDescent="0.25">
      <c r="A22" s="36">
        <v>42707.493773148148</v>
      </c>
      <c r="B22" s="31" t="s">
        <v>210</v>
      </c>
      <c r="C22" s="31" t="s">
        <v>444</v>
      </c>
      <c r="D22" s="31" t="s">
        <v>98</v>
      </c>
      <c r="E22" s="31" t="s">
        <v>199</v>
      </c>
      <c r="F22" s="47">
        <v>0</v>
      </c>
      <c r="G22" s="47">
        <v>5</v>
      </c>
      <c r="H22" s="47">
        <v>105478</v>
      </c>
      <c r="I22" s="47">
        <v>105509</v>
      </c>
      <c r="J22" s="31" t="s">
        <v>200</v>
      </c>
      <c r="K22" s="47">
        <v>103445</v>
      </c>
      <c r="L22" s="154" t="s">
        <v>50</v>
      </c>
      <c r="M22" s="155">
        <f>CONVERT((I22-K22)/10000,"mi","ft")*IF(L22="Increasing Mileposts (1)",-1,1)</f>
        <v>-1089.7919999999999</v>
      </c>
      <c r="N22" s="156" t="str">
        <f>VLOOKUP(C22,'Trips&amp;Operators'!$C$1:$G$99999,5,FALSE)</f>
        <v>MOSES BRADLEY</v>
      </c>
      <c r="O22" s="182" t="s">
        <v>238</v>
      </c>
      <c r="P22" s="157" t="s">
        <v>838</v>
      </c>
      <c r="Q22" s="31"/>
      <c r="R22" s="100" t="str">
        <f>VLOOKUP(C22,'Train Runs'!$A$13:$AE$9978,31,0)</f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S22" s="103" t="str">
        <f>VLOOKUP(C22,'Train Runs'!$A$13:$AE$9978,22,0)</f>
        <v>https://search-rtdc-monitor-bjffxe2xuh6vdkpspy63sjmuny.us-east-1.es.amazonaws.com/_plugin/kibana/#/discover/Steve-Slow-Train-Analysis-(2080s-and-2083s)?_g=(refreshInterval:(display:Off,section:0,value:0),time:(from:'2016-12-03 10:58:30-700',mode:absolute,to:'2016-12-03 13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2" s="105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/stypes="*4040*201612031*" /stext=" 18:.+((SYSTEM_STATE.+slice.+state.+changed )|(ment ac)|(multiple cpu faults)|(system.+state.+changed )|(\[timeout)|(PRM\|1\|D)|(kpr)|(kdp)|(\|lc)|(penalty))" /e /r /s</v>
      </c>
      <c r="U22" s="9" t="str">
        <f>MID(B22,13,4)</f>
        <v>4040</v>
      </c>
      <c r="V22" s="36">
        <f>A22-utc_offset/24</f>
        <v>42707.785439814812</v>
      </c>
      <c r="W22" s="50" t="str">
        <f>IF(VALUE(LEFT(IF(LEN(C22)=6,"0"&amp;C22,C22),2))&lt;=2,"EC",IF(OR(VALUE(LEFT(IF(LEN(C22)=6,"0"&amp;C22,C22),2))=8,VALUE(LEFT(IF(LEN(C22)=6,"0"&amp;C22,C22),2))=18),"NW","Other"))</f>
        <v>EC</v>
      </c>
      <c r="X22" s="50" t="str">
        <f>IF(AND(E22="TRACK WARRANT AUTHORITY",G22&lt;10),"OMIT","KEEP")</f>
        <v>KEEP</v>
      </c>
      <c r="Y22" s="11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drop","project_id":79,"tracker_id":40,"status_id":1,"priority_id":2,"assigned_to_id":23,"start_date":"2016-12-03","description":"","custom_fields":[{"id":1,"name":"Subdivision","value":"EC"},{"id":4,"name":"Milepost","value":"10.3445"},{"id":17,"name":"Train ID","value":"163-03"},{"id":16,"name":"Locomotive ID","value":"4040"},{"id":130,"name":"Impact","value":""},{"id":150,"name":"Time of Event (Mountain Time)","value":"11:51:02"},{"id":151,"name":"Denver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"%USERPROFILE%\AppData\Local\Temp\OnboardLogs"\RTDC4040\*4040*201612031*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"%USERPROFILE%\AppData\Local\Temp\OnboardLogs"\RTDC4040\*4040*201612031* &gt;&gt; 42707-slicedisagreementcheck.txt</v>
      </c>
    </row>
    <row r="23" spans="1:30" x14ac:dyDescent="0.25">
      <c r="A23" s="36">
        <v>42707.493217592593</v>
      </c>
      <c r="B23" s="31" t="s">
        <v>210</v>
      </c>
      <c r="C23" s="31" t="s">
        <v>444</v>
      </c>
      <c r="D23" s="31" t="s">
        <v>49</v>
      </c>
      <c r="E23" s="31" t="s">
        <v>346</v>
      </c>
      <c r="F23" s="47">
        <v>0</v>
      </c>
      <c r="G23" s="47">
        <v>798</v>
      </c>
      <c r="H23" s="47">
        <v>101834</v>
      </c>
      <c r="I23" s="47">
        <v>105473</v>
      </c>
      <c r="J23" s="31" t="s">
        <v>347</v>
      </c>
      <c r="K23" s="47">
        <v>107939</v>
      </c>
      <c r="L23" s="154" t="s">
        <v>50</v>
      </c>
      <c r="M23" s="155">
        <f t="shared" si="0"/>
        <v>1302.048</v>
      </c>
      <c r="N23" s="156" t="str">
        <f>VLOOKUP(C23,'Trips&amp;Operators'!$C$1:$G$99999,5,FALSE)</f>
        <v>MOSES BRADLEY</v>
      </c>
      <c r="O23" s="182" t="s">
        <v>238</v>
      </c>
      <c r="P23" s="157" t="s">
        <v>838</v>
      </c>
      <c r="Q23" s="31"/>
      <c r="R23" s="100" t="str">
        <f>VLOOKUP(C23,'Train Runs'!$A$13:$AE$9978,31,0)</f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S23" s="103" t="str">
        <f>VLOOKUP(C23,'Train Runs'!$A$13:$AE$9978,22,0)</f>
        <v>https://search-rtdc-monitor-bjffxe2xuh6vdkpspy63sjmuny.us-east-1.es.amazonaws.com/_plugin/kibana/#/discover/Steve-Slow-Train-Analysis-(2080s-and-2083s)?_g=(refreshInterval:(display:Off,section:0,value:0),time:(from:'2016-12-03 10:58:30-700',mode:absolute,to:'2016-12-03 13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23" s="105" t="str">
        <f t="shared" si="1"/>
        <v>"C:\Program Files (x86)\AstroGrep\AstroGrep.exe" /spath="%USERPROFILE%\AppData\Local\Temp\OnboardLogs" /stypes="*4040*201612031*" /stext=" 18:.+((SYSTEM_STATE.+slice.+state.+changed )|(ment ac)|(multiple cpu faults)|(system.+state.+changed )|(\[timeout)|(PRM\|1\|D)|(kpr)|(kdp)|(\|lc)|(penalty))" /e /r /s</v>
      </c>
      <c r="U23" s="9" t="str">
        <f t="shared" si="2"/>
        <v>4040</v>
      </c>
      <c r="V23" s="36">
        <f t="shared" si="3"/>
        <v>42707.784884259258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{"issue":{"subject":"Wi-MAX data drop","project_id":79,"tracker_id":40,"status_id":1,"priority_id":2,"assigned_to_id":23,"start_date":"2016-12-03","description":"http://stevetu21.github.io/eaglep3/load_kml.html?kml=http://rtdc.gmaps-snips.s3.amazonaws.com/79b1899f-b0d1-4f96-8cf6-49039c5d7fa1.kml","custom_fields":[{"id":1,"name":"Subdivision","value":"EC"},{"id":4,"name":"Milepost","value":"10.7939"},{"id":17,"name":"Train ID","value":"163-03"},{"id":16,"name":"Locomotive ID","value":"4040"},{"id":130,"name":"Impact","value":"Enforcement"},{"id":150,"name":"Time of Event (Mountain Time)","value":"11:50:14"},{"id":151,"name":"Denver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s="183" t="s">
        <v>839</v>
      </c>
      <c r="AA23" s="53" t="s">
        <v>125</v>
      </c>
      <c r="AB23" s="53" t="s">
        <v>138</v>
      </c>
      <c r="AC23" s="138" t="str">
        <f t="shared" si="7"/>
        <v>grep -hSE -A100 "Enforcement Action" "%USERPROFILE%\AppData\Local\Temp\OnboardLogs"\RTDC4040\*4040*201612031*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"%USERPROFILE%\AppData\Local\Temp\OnboardLogs"\RTDC4040\*4040*201612031* &gt;&gt; 42707-slicedisagreementcheck.txt</v>
      </c>
    </row>
    <row r="24" spans="1:30" ht="15" customHeight="1" x14ac:dyDescent="0.25">
      <c r="A24" s="36">
        <v>42707.422314814816</v>
      </c>
      <c r="B24" s="31" t="s">
        <v>219</v>
      </c>
      <c r="C24" s="31" t="s">
        <v>442</v>
      </c>
      <c r="D24" s="31" t="s">
        <v>98</v>
      </c>
      <c r="E24" s="31" t="s">
        <v>309</v>
      </c>
      <c r="F24" s="47">
        <v>150</v>
      </c>
      <c r="G24" s="47">
        <v>202</v>
      </c>
      <c r="H24" s="47">
        <v>27492</v>
      </c>
      <c r="I24" s="47">
        <v>27666</v>
      </c>
      <c r="J24" s="31" t="s">
        <v>307</v>
      </c>
      <c r="K24" s="47">
        <v>27000</v>
      </c>
      <c r="L24" s="154" t="s">
        <v>50</v>
      </c>
      <c r="M24" s="155">
        <f t="shared" si="0"/>
        <v>-351.64800000000002</v>
      </c>
      <c r="N24" s="156" t="str">
        <f>VLOOKUP(C24,'Trips&amp;Operators'!$C$1:$G$99999,5,FALSE)</f>
        <v>KILLION DAVID</v>
      </c>
      <c r="O24" s="182" t="s">
        <v>196</v>
      </c>
      <c r="P24" s="157"/>
      <c r="Q24" s="31"/>
      <c r="R24" s="100" t="str">
        <f>VLOOKUP(C24,'Train Runs'!$A$13:$AE$9978,31,0)</f>
        <v>aws s3 cp s3://rtdc.mdm.uploadarchive.raw/RTDC4022/ "%USERPROFILE%\AppData\Local\Temp\OnboardLogs"\RTDC4022\2016-12-03 --exclude "*" --recursive --include "*20161203*" &amp; "%USERPROFILE%\Documents\GitHub\mrs-test-scripts\Headless Mode &amp; Sideloading\WalkAndUnGZ.bat" "%USERPROFILE%\AppData\Local\Temp\OnboardLogs"\RTDC4022\2016-12-03 &amp; aws s3 cp s3://rtdc.mdm.uploadarchive.raw/RTDC4022/ "%USERPROFILE%\AppData\Local\Temp\OnboardLogs"\RTDC4022\2016-12-04 --exclude "*" --recursive --include "*20161204*" &amp; "%USERPROFILE%\Documents\GitHub\mrs-test-scripts\Headless Mode &amp; Sideloading\WalkAndUnGZ.bat" "%USERPROFILE%\AppData\Local\Temp\OnboardLogs"\RTDC4022\2016-12-04</v>
      </c>
      <c r="S24" s="103" t="str">
        <f>VLOOKUP(C24,'Train Runs'!$A$13:$AE$9978,22,0)</f>
        <v>https://search-rtdc-monitor-bjffxe2xuh6vdkpspy63sjmuny.us-east-1.es.amazonaws.com/_plugin/kibana/#/discover/Steve-Slow-Train-Analysis-(2080s-and-2083s)?_g=(refreshInterval:(display:Off,section:0,value:0),time:(from:'2016-12-03 08:54:42-700',mode:absolute,to:'2016-12-03 11:38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24" s="105" t="str">
        <f t="shared" si="1"/>
        <v>"C:\Program Files (x86)\AstroGrep\AstroGrep.exe" /spath="%USERPROFILE%\AppData\Local\Temp\OnboardLogs" /stypes="*4022*201612031*" /stext=" 17:.+((SYSTEM_STATE.+slice.+state.+changed )|(ment ac)|(multiple cpu faults)|(system.+state.+changed )|(\[timeout)|(PRM\|1\|D)|(kpr)|(kdp)|(\|lc)|(penalty))" /e /r /s</v>
      </c>
      <c r="U24" s="9" t="str">
        <f t="shared" si="2"/>
        <v>4022</v>
      </c>
      <c r="V24" s="36">
        <f t="shared" si="3"/>
        <v>42707.71398148148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{"issue":{"subject":"","project_id":79,"tracker_id":40,"status_id":1,"priority_id":2,"assigned_to_id":23,"start_date":"2016-12-03","description":"","custom_fields":[{"id":1,"name":"Subdivision","value":"EC"},{"id":4,"name":"Milepost","value":"2.7"},{"id":17,"name":"Train ID","value":"151-03"},{"id":16,"name":"Locomotive ID","value":"4022"},{"id":130,"name":"Impact","value":""},{"id":150,"name":"Time of Event (Mountain Time)","value":"10:08:08"},{"id":151,"name":"Denver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"%USERPROFILE%\AppData\Local\Temp\OnboardLogs"\RTDC4022\*4022*201612031*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"%USERPROFILE%\AppData\Local\Temp\OnboardLogs"\RTDC4022\*4022*201612031* &gt;&gt; 42707-slicedisagreementcheck.txt</v>
      </c>
    </row>
    <row r="25" spans="1:30" x14ac:dyDescent="0.25">
      <c r="A25" s="36">
        <v>42707.664467592593</v>
      </c>
      <c r="B25" s="31" t="s">
        <v>222</v>
      </c>
      <c r="C25" s="31" t="s">
        <v>448</v>
      </c>
      <c r="D25" s="31" t="s">
        <v>98</v>
      </c>
      <c r="E25" s="31" t="s">
        <v>309</v>
      </c>
      <c r="F25" s="47">
        <v>150</v>
      </c>
      <c r="G25" s="47">
        <v>206</v>
      </c>
      <c r="H25" s="47">
        <v>26727</v>
      </c>
      <c r="I25" s="47">
        <v>26401</v>
      </c>
      <c r="J25" s="31" t="s">
        <v>307</v>
      </c>
      <c r="K25" s="47">
        <v>27399</v>
      </c>
      <c r="L25" s="154" t="s">
        <v>51</v>
      </c>
      <c r="M25" s="155">
        <f t="shared" si="0"/>
        <v>-526.94399999999996</v>
      </c>
      <c r="N25" s="156" t="str">
        <f>VLOOKUP(C25,'Trips&amp;Operators'!$C$1:$G$99999,5,FALSE)</f>
        <v>STEWART MICHAEL</v>
      </c>
      <c r="O25" s="182" t="s">
        <v>196</v>
      </c>
      <c r="P25" s="157"/>
      <c r="Q25" s="31"/>
      <c r="R25" s="100" t="str">
        <f>VLOOKUP(C25,'Train Runs'!$A$13:$AE$9978,31,0)</f>
        <v>aws s3 cp s3://rtdc.mdm.uploadarchive.raw/RTDC4037/ "%USERPROFILE%\AppData\Local\Temp\OnboardLogs"\RTDC4037\2016-12-03 --exclude "*" --recursive --include "*20161203*" &amp; "%USERPROFILE%\Documents\GitHub\mrs-test-scripts\Headless Mode &amp; Sideloading\WalkAndUnGZ.bat" "%USERPROFILE%\AppData\Local\Temp\OnboardLogs"\RTDC4037\2016-12-03 &amp; aws s3 cp s3://rtdc.mdm.uploadarchive.raw/RTDC4037/ "%USERPROFILE%\AppData\Local\Temp\OnboardLogs"\RTDC4037\2016-12-04 --exclude "*" --recursive --include "*20161204*" &amp; "%USERPROFILE%\Documents\GitHub\mrs-test-scripts\Headless Mode &amp; Sideloading\WalkAndUnGZ.bat" "%USERPROFILE%\AppData\Local\Temp\OnboardLogs"\RTDC4037\2016-12-04</v>
      </c>
      <c r="S25" s="103" t="str">
        <f>VLOOKUP(C25,'Train Runs'!$A$13:$AE$9978,22,0)</f>
        <v>https://search-rtdc-monitor-bjffxe2xuh6vdkpspy63sjmuny.us-east-1.es.amazonaws.com/_plugin/kibana/#/discover/Steve-Slow-Train-Analysis-(2080s-and-2083s)?_g=(refreshInterval:(display:Off,section:0,value:0),time:(from:'2016-12-03 14:19:48-700',mode:absolute,to:'2016-12-03 17:04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5" s="105" t="str">
        <f t="shared" si="1"/>
        <v>"C:\Program Files (x86)\AstroGrep\AstroGrep.exe" /spath="%USERPROFILE%\AppData\Local\Temp\OnboardLogs" /stypes="*4037*201612032*" /stext=" 22:.+((SYSTEM_STATE.+slice.+state.+changed )|(ment ac)|(multiple cpu faults)|(system.+state.+changed )|(\[timeout)|(PRM\|1\|D)|(kpr)|(kdp)|(\|lc)|(penalty))" /e /r /s</v>
      </c>
      <c r="U25" s="9" t="str">
        <f t="shared" si="2"/>
        <v>4037</v>
      </c>
      <c r="V25" s="36">
        <f t="shared" si="3"/>
        <v>42707.956134259257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{"issue":{"subject":"","project_id":79,"tracker_id":40,"status_id":1,"priority_id":2,"assigned_to_id":23,"start_date":"2016-12-03","description":"","custom_fields":[{"id":1,"name":"Subdivision","value":"EC"},{"id":4,"name":"Milepost","value":"2.7399"},{"id":17,"name":"Train ID","value":"188-03"},{"id":16,"name":"Locomotive ID","value":"4037"},{"id":130,"name":"Impact","value":""},{"id":150,"name":"Time of Event (Mountain Time)","value":"15:56:50"},{"id":151,"name":"Denver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"%USERPROFILE%\AppData\Local\Temp\OnboardLogs"\RTDC4037\*4037*201612032*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"%USERPROFILE%\AppData\Local\Temp\OnboardLogs"\RTDC4037\*4037*201612032* &gt;&gt; 42707-slicedisagreementcheck.txt</v>
      </c>
    </row>
    <row r="26" spans="1:30" x14ac:dyDescent="0.25">
      <c r="A26" s="36">
        <v>42707.284085648149</v>
      </c>
      <c r="B26" s="31" t="s">
        <v>253</v>
      </c>
      <c r="C26" s="31" t="s">
        <v>437</v>
      </c>
      <c r="D26" s="31" t="s">
        <v>49</v>
      </c>
      <c r="E26" s="31" t="s">
        <v>201</v>
      </c>
      <c r="F26" s="47">
        <v>0</v>
      </c>
      <c r="G26" s="47">
        <v>38</v>
      </c>
      <c r="H26" s="47">
        <v>139</v>
      </c>
      <c r="I26" s="47">
        <v>116</v>
      </c>
      <c r="J26" s="31" t="s">
        <v>202</v>
      </c>
      <c r="K26" s="47">
        <v>1</v>
      </c>
      <c r="L26" s="154" t="s">
        <v>51</v>
      </c>
      <c r="M26" s="155">
        <f t="shared" si="0"/>
        <v>60.72</v>
      </c>
      <c r="N26" s="156" t="str">
        <f>VLOOKUP(C26,'Trips&amp;Operators'!$C$1:$G$99999,5,FALSE)</f>
        <v>MAELZER KURT</v>
      </c>
      <c r="O26" s="182" t="s">
        <v>196</v>
      </c>
      <c r="P26" s="157"/>
      <c r="Q26" s="31"/>
      <c r="R26" s="100" t="str">
        <f>VLOOKUP(C26,'Train Runs'!$A$13:$AE$9978,31,0)</f>
        <v>aws s3 cp s3://rtdc.mdm.uploadarchive.raw/RTDC4041/ "%USERPROFILE%\AppData\Local\Temp\OnboardLogs"\RTDC4041\2016-12-03 --exclude "*" --recursive --include "*20161203*" &amp; "%USERPROFILE%\Documents\GitHub\mrs-test-scripts\Headless Mode &amp; Sideloading\WalkAndUnGZ.bat" "%USERPROFILE%\AppData\Local\Temp\OnboardLogs"\RTDC4041\2016-12-03 &amp; aws s3 cp s3://rtdc.mdm.uploadarchive.raw/RTDC4041/ "%USERPROFILE%\AppData\Local\Temp\OnboardLogs"\RTDC4041\2016-12-04 --exclude "*" --recursive --include "*20161204*" &amp; "%USERPROFILE%\Documents\GitHub\mrs-test-scripts\Headless Mode &amp; Sideloading\WalkAndUnGZ.bat" "%USERPROFILE%\AppData\Local\Temp\OnboardLogs"\RTDC4041\2016-12-04</v>
      </c>
      <c r="S26" s="103" t="str">
        <f>VLOOKUP(C26,'Train Runs'!$A$13:$AE$9978,22,0)</f>
        <v>https://search-rtdc-monitor-bjffxe2xuh6vdkpspy63sjmuny.us-east-1.es.amazonaws.com/_plugin/kibana/#/discover/Steve-Slow-Train-Analysis-(2080s-and-2083s)?_g=(refreshInterval:(display:Off,section:0,value:0),time:(from:'2016-12-03 05:04:36-700',mode:absolute,to:'2016-12-03 07:49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6" s="105" t="str">
        <f t="shared" si="1"/>
        <v>"C:\Program Files (x86)\AstroGrep\AstroGrep.exe" /spath="%USERPROFILE%\AppData\Local\Temp\OnboardLogs" /stypes="*4041*201612031*" /stext=" 13:.+((SYSTEM_STATE.+slice.+state.+changed )|(ment ac)|(multiple cpu faults)|(system.+state.+changed )|(\[timeout)|(PRM\|1\|D)|(kpr)|(kdp)|(\|lc)|(penalty))" /e /r /s</v>
      </c>
      <c r="U26" s="9" t="str">
        <f t="shared" si="2"/>
        <v>4041</v>
      </c>
      <c r="V26" s="36">
        <f t="shared" si="3"/>
        <v>42707.575752314813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{"issue":{"subject":"","project_id":79,"tracker_id":40,"status_id":1,"priority_id":2,"assigned_to_id":23,"start_date":"2016-12-03","description":"","custom_fields":[{"id":1,"name":"Subdivision","value":"EC"},{"id":4,"name":"Milepost","value":"0.0001"},{"id":17,"name":"Train ID","value":"114-03"},{"id":16,"name":"Locomotive ID","value":"4041"},{"id":130,"name":"Impact","value":""},{"id":150,"name":"Time of Event (Mountain Time)","value":"06:49:05"},{"id":151,"name":"Denver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"%USERPROFILE%\AppData\Local\Temp\OnboardLogs"\RTDC4041\*4041*201612031*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"%USERPROFILE%\AppData\Local\Temp\OnboardLogs"\RTDC4041\*4041*201612031* &gt;&gt; 42707-slicedisagreementcheck.txt</v>
      </c>
    </row>
    <row r="27" spans="1:30" x14ac:dyDescent="0.25">
      <c r="A27" s="36">
        <v>42707.6797337963</v>
      </c>
      <c r="B27" s="31" t="s">
        <v>234</v>
      </c>
      <c r="C27" s="31" t="s">
        <v>449</v>
      </c>
      <c r="D27" s="31" t="s">
        <v>49</v>
      </c>
      <c r="E27" s="31" t="s">
        <v>201</v>
      </c>
      <c r="F27" s="47">
        <v>0</v>
      </c>
      <c r="G27" s="47">
        <v>56</v>
      </c>
      <c r="H27" s="47">
        <v>192</v>
      </c>
      <c r="I27" s="47">
        <v>139</v>
      </c>
      <c r="J27" s="31" t="s">
        <v>202</v>
      </c>
      <c r="K27" s="47">
        <v>1</v>
      </c>
      <c r="L27" s="154" t="s">
        <v>51</v>
      </c>
      <c r="M27" s="155">
        <f t="shared" si="0"/>
        <v>72.864000000000004</v>
      </c>
      <c r="N27" s="156" t="str">
        <f>VLOOKUP(C27,'Trips&amp;Operators'!$C$1:$G$99999,5,FALSE)</f>
        <v>BARTLETT KIANDRA</v>
      </c>
      <c r="O27" s="182" t="s">
        <v>196</v>
      </c>
      <c r="P27" s="157"/>
      <c r="Q27" s="31"/>
      <c r="R27" s="100" t="str">
        <f>VLOOKUP(C27,'Train Runs'!$A$13:$AE$9978,31,0)</f>
        <v>aws s3 cp s3://rtdc.mdm.uploadarchive.raw/RTDC4013/ "%USERPROFILE%\AppData\Local\Temp\OnboardLogs"\RTDC4013\2016-12-03 --exclude "*" --recursive --include "*20161203*" &amp; "%USERPROFILE%\Documents\GitHub\mrs-test-scripts\Headless Mode &amp; Sideloading\WalkAndUnGZ.bat" "%USERPROFILE%\AppData\Local\Temp\OnboardLogs"\RTDC4013\2016-12-03 &amp; aws s3 cp s3://rtdc.mdm.uploadarchive.raw/RTDC4013/ "%USERPROFILE%\AppData\Local\Temp\OnboardLogs"\RTDC4013\2016-12-04 --exclude "*" --recursive --include "*20161204*" &amp; "%USERPROFILE%\Documents\GitHub\mrs-test-scripts\Headless Mode &amp; Sideloading\WalkAndUnGZ.bat" "%USERPROFILE%\AppData\Local\Temp\OnboardLogs"\RTDC4013\2016-12-04</v>
      </c>
      <c r="S27" s="103" t="str">
        <f>VLOOKUP(C27,'Train Runs'!$A$13:$AE$9978,22,0)</f>
        <v>https://search-rtdc-monitor-bjffxe2xuh6vdkpspy63sjmuny.us-east-1.es.amazonaws.com/_plugin/kibana/#/discover/Steve-Slow-Train-Analysis-(2080s-and-2083s)?_g=(refreshInterval:(display:Off,section:0,value:0),time:(from:'2016-12-03 14:24:48-700',mode:absolute,to:'2016-12-03 17:18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7" s="105" t="str">
        <f t="shared" si="1"/>
        <v>"C:\Program Files (x86)\AstroGrep\AstroGrep.exe" /spath="%USERPROFILE%\AppData\Local\Temp\OnboardLogs" /stypes="*4013*201612032*" /stext=" 23:.+((SYSTEM_STATE.+slice.+state.+changed )|(ment ac)|(multiple cpu faults)|(system.+state.+changed )|(\[timeout)|(PRM\|1\|D)|(kpr)|(kdp)|(\|lc)|(penalty))" /e /r /s</v>
      </c>
      <c r="U27" s="9" t="str">
        <f t="shared" si="2"/>
        <v>4013</v>
      </c>
      <c r="V27" s="36">
        <f t="shared" si="3"/>
        <v>42707.971400462964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{"issue":{"subject":"","project_id":79,"tracker_id":40,"status_id":1,"priority_id":2,"assigned_to_id":23,"start_date":"2016-12-03","description":"","custom_fields":[{"id":1,"name":"Subdivision","value":"EC"},{"id":4,"name":"Milepost","value":"0.0001"},{"id":17,"name":"Train ID","value":"190-03"},{"id":16,"name":"Locomotive ID","value":"4013"},{"id":130,"name":"Impact","value":""},{"id":150,"name":"Time of Event (Mountain Time)","value":"16:18:49"},{"id":151,"name":"Denver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"%USERPROFILE%\AppData\Local\Temp\OnboardLogs"\RTDC4013\*4013*201612032*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"%USERPROFILE%\AppData\Local\Temp\OnboardLogs"\RTDC4013\*4013*201612032* &gt;&gt; 42707-slicedisagreementcheck.txt</v>
      </c>
    </row>
    <row r="28" spans="1:30" x14ac:dyDescent="0.25">
      <c r="A28" s="36">
        <v>42707.828414351854</v>
      </c>
      <c r="B28" s="31" t="s">
        <v>360</v>
      </c>
      <c r="C28" s="31" t="s">
        <v>455</v>
      </c>
      <c r="D28" s="31" t="s">
        <v>49</v>
      </c>
      <c r="E28" s="31" t="s">
        <v>201</v>
      </c>
      <c r="F28" s="47">
        <v>0</v>
      </c>
      <c r="G28" s="47">
        <v>22</v>
      </c>
      <c r="H28" s="47">
        <v>56</v>
      </c>
      <c r="I28" s="47">
        <v>41</v>
      </c>
      <c r="J28" s="31" t="s">
        <v>202</v>
      </c>
      <c r="K28" s="47">
        <v>1</v>
      </c>
      <c r="L28" s="154" t="s">
        <v>51</v>
      </c>
      <c r="M28" s="155">
        <f t="shared" si="0"/>
        <v>21.12</v>
      </c>
      <c r="N28" s="156" t="str">
        <f>VLOOKUP(C28,'Trips&amp;Operators'!$C$1:$G$99999,5,FALSE)</f>
        <v>CHANDLER KELVIN</v>
      </c>
      <c r="O28" s="182" t="s">
        <v>196</v>
      </c>
      <c r="P28" s="157"/>
      <c r="Q28" s="31"/>
      <c r="R28" s="100" t="str">
        <f>VLOOKUP(C28,'Train Runs'!$A$13:$AE$9978,31,0)</f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S28" s="103" t="str">
        <f>VLOOKUP(C28,'Train Runs'!$A$13:$AE$9978,22,0)</f>
        <v>https://search-rtdc-monitor-bjffxe2xuh6vdkpspy63sjmuny.us-east-1.es.amazonaws.com/_plugin/kibana/#/discover/Steve-Slow-Train-Analysis-(2080s-and-2083s)?_g=(refreshInterval:(display:Off,section:0,value:0),time:(from:'2016-12-03 18:08:53-700',mode:absolute,to:'2016-12-03 20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8" s="105" t="str">
        <f t="shared" si="1"/>
        <v>"C:\Program Files (x86)\AstroGrep\AstroGrep.exe" /spath="%USERPROFILE%\AppData\Local\Temp\OnboardLogs" /stypes="*4019*201612040*" /stext=" 02:.+((SYSTEM_STATE.+slice.+state.+changed )|(ment ac)|(multiple cpu faults)|(system.+state.+changed )|(\[timeout)|(PRM\|1\|D)|(kpr)|(kdp)|(\|lc)|(penalty))" /e /r /s</v>
      </c>
      <c r="U28" s="9" t="str">
        <f t="shared" si="2"/>
        <v>4019</v>
      </c>
      <c r="V28" s="36">
        <f t="shared" si="3"/>
        <v>42708.120081018518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{"issue":{"subject":"","project_id":79,"tracker_id":40,"status_id":1,"priority_id":2,"assigned_to_id":23,"start_date":"2016-12-03","description":"","custom_fields":[{"id":1,"name":"Subdivision","value":"EC"},{"id":4,"name":"Milepost","value":"0.0001"},{"id":17,"name":"Train ID","value":"218-03"},{"id":16,"name":"Locomotive ID","value":"4019"},{"id":130,"name":"Impact","value":""},{"id":150,"name":"Time of Event (Mountain Time)","value":"19:52:55"},{"id":151,"name":"Denver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"%USERPROFILE%\AppData\Local\Temp\OnboardLogs"\RTDC4019\*4019*201612040*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"%USERPROFILE%\AppData\Local\Temp\OnboardLogs"\RTDC4019\*4019*201612040* &gt;&gt; 42707-slicedisagreementcheck.txt</v>
      </c>
    </row>
    <row r="29" spans="1:30" x14ac:dyDescent="0.25">
      <c r="A29" s="36">
        <v>42707.899976851855</v>
      </c>
      <c r="B29" s="31" t="s">
        <v>360</v>
      </c>
      <c r="C29" s="31" t="s">
        <v>459</v>
      </c>
      <c r="D29" s="31" t="s">
        <v>49</v>
      </c>
      <c r="E29" s="31" t="s">
        <v>201</v>
      </c>
      <c r="F29" s="47">
        <v>0</v>
      </c>
      <c r="G29" s="47">
        <v>51</v>
      </c>
      <c r="H29" s="47">
        <v>141</v>
      </c>
      <c r="I29" s="47">
        <v>90</v>
      </c>
      <c r="J29" s="31" t="s">
        <v>202</v>
      </c>
      <c r="K29" s="47">
        <v>1</v>
      </c>
      <c r="L29" s="154" t="s">
        <v>51</v>
      </c>
      <c r="M29" s="155">
        <f t="shared" si="0"/>
        <v>46.991999999999997</v>
      </c>
      <c r="N29" s="156" t="str">
        <f>VLOOKUP(C29,'Trips&amp;Operators'!$C$1:$G$99999,5,FALSE)</f>
        <v>CHANDLER KELVIN</v>
      </c>
      <c r="O29" s="182" t="s">
        <v>196</v>
      </c>
      <c r="P29" s="157"/>
      <c r="Q29" s="31"/>
      <c r="R29" s="100" t="str">
        <f>VLOOKUP(C29,'Train Runs'!$A$13:$AE$9978,31,0)</f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S29" s="103" t="str">
        <f>VLOOKUP(C29,'Train Runs'!$A$13:$AE$9978,22,0)</f>
        <v>https://search-rtdc-monitor-bjffxe2xuh6vdkpspy63sjmuny.us-east-1.es.amazonaws.com/_plugin/kibana/#/discover/Steve-Slow-Train-Analysis-(2080s-and-2083s)?_g=(refreshInterval:(display:Off,section:0,value:0),time:(from:'2016-12-03 19:55:07-700',mode:absolute,to:'2016-12-03 22:35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9" s="105" t="str">
        <f t="shared" si="1"/>
        <v>"C:\Program Files (x86)\AstroGrep\AstroGrep.exe" /spath="%USERPROFILE%\AppData\Local\Temp\OnboardLogs" /stypes="*4019*201612040*" /stext=" 04:.+((SYSTEM_STATE.+slice.+state.+changed )|(ment ac)|(multiple cpu faults)|(system.+state.+changed )|(\[timeout)|(PRM\|1\|D)|(kpr)|(kdp)|(\|lc)|(penalty))" /e /r /s</v>
      </c>
      <c r="U29" s="9" t="str">
        <f t="shared" si="2"/>
        <v>4019</v>
      </c>
      <c r="V29" s="36">
        <f t="shared" si="3"/>
        <v>42708.191643518519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{"issue":{"subject":"","project_id":79,"tracker_id":40,"status_id":1,"priority_id":2,"assigned_to_id":23,"start_date":"2016-12-03","description":"","custom_fields":[{"id":1,"name":"Subdivision","value":"EC"},{"id":4,"name":"Milepost","value":"0.0001"},{"id":17,"name":"Train ID","value":"226-03"},{"id":16,"name":"Locomotive ID","value":"4019"},{"id":130,"name":"Impact","value":""},{"id":150,"name":"Time of Event (Mountain Time)","value":"21:35:58"},{"id":151,"name":"Denver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"%USERPROFILE%\AppData\Local\Temp\OnboardLogs"\RTDC4019\*4019*201612040*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"%USERPROFILE%\AppData\Local\Temp\OnboardLogs"\RTDC4019\*4019*201612040* &gt;&gt; 42707-slicedisagreementcheck.txt</v>
      </c>
    </row>
    <row r="30" spans="1:30" ht="15" customHeight="1" x14ac:dyDescent="0.25">
      <c r="A30" s="36">
        <v>42707.91914351852</v>
      </c>
      <c r="B30" s="31" t="s">
        <v>212</v>
      </c>
      <c r="C30" s="31" t="s">
        <v>461</v>
      </c>
      <c r="D30" s="31" t="s">
        <v>49</v>
      </c>
      <c r="E30" s="31" t="s">
        <v>201</v>
      </c>
      <c r="F30" s="47">
        <v>0</v>
      </c>
      <c r="G30" s="47">
        <v>30</v>
      </c>
      <c r="H30" s="47">
        <v>114</v>
      </c>
      <c r="I30" s="47">
        <v>85</v>
      </c>
      <c r="J30" s="31" t="s">
        <v>202</v>
      </c>
      <c r="K30" s="47">
        <v>1</v>
      </c>
      <c r="L30" s="154" t="s">
        <v>51</v>
      </c>
      <c r="M30" s="155">
        <f t="shared" si="0"/>
        <v>44.351999999999997</v>
      </c>
      <c r="N30" s="156" t="str">
        <f>VLOOKUP(C30,'Trips&amp;Operators'!$C$1:$G$99999,5,FALSE)</f>
        <v>STAMBAUGH JAMES</v>
      </c>
      <c r="O30" s="182" t="s">
        <v>196</v>
      </c>
      <c r="P30" s="157"/>
      <c r="Q30" s="31"/>
      <c r="R30" s="100" t="str">
        <f>VLOOKUP(C30,'Train Runs'!$A$13:$AE$9978,31,0)</f>
        <v>aws s3 cp s3://rtdc.mdm.uploadarchive.raw/RTDC4039/ "%USERPROFILE%\AppData\Local\Temp\OnboardLogs"\RTDC4039\2016-12-03 --exclude "*" --recursive --include "*20161203*" &amp; "%USERPROFILE%\Documents\GitHub\mrs-test-scripts\Headless Mode &amp; Sideloading\WalkAndUnGZ.bat" "%USERPROFILE%\AppData\Local\Temp\OnboardLogs"\RTDC4039\2016-12-03 &amp; aws s3 cp s3://rtdc.mdm.uploadarchive.raw/RTDC4039/ "%USERPROFILE%\AppData\Local\Temp\OnboardLogs"\RTDC4039\2016-12-04 --exclude "*" --recursive --include "*20161204*" &amp; "%USERPROFILE%\Documents\GitHub\mrs-test-scripts\Headless Mode &amp; Sideloading\WalkAndUnGZ.bat" "%USERPROFILE%\AppData\Local\Temp\OnboardLogs"\RTDC4039\2016-12-04</v>
      </c>
      <c r="S30" s="103" t="str">
        <f>VLOOKUP(C30,'Train Runs'!$A$13:$AE$9978,22,0)</f>
        <v>https://search-rtdc-monitor-bjffxe2xuh6vdkpspy63sjmuny.us-east-1.es.amazonaws.com/_plugin/kibana/#/discover/Steve-Slow-Train-Analysis-(2080s-and-2083s)?_g=(refreshInterval:(display:Off,section:0,value:0),time:(from:'2016-12-03 20:22:25-700',mode:absolute,to:'2016-12-03 23:03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0" s="105" t="str">
        <f t="shared" si="1"/>
        <v>"C:\Program Files (x86)\AstroGrep\AstroGrep.exe" /spath="%USERPROFILE%\AppData\Local\Temp\OnboardLogs" /stypes="*4039*201612040*" /stext=" 05:.+((SYSTEM_STATE.+slice.+state.+changed )|(ment ac)|(multiple cpu faults)|(system.+state.+changed )|(\[timeout)|(PRM\|1\|D)|(kpr)|(kdp)|(\|lc)|(penalty))" /e /r /s</v>
      </c>
      <c r="U30" s="9" t="str">
        <f t="shared" si="2"/>
        <v>4039</v>
      </c>
      <c r="V30" s="36">
        <f t="shared" si="3"/>
        <v>42708.210810185185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{"issue":{"subject":"","project_id":79,"tracker_id":40,"status_id":1,"priority_id":2,"assigned_to_id":23,"start_date":"2016-12-03","description":"","custom_fields":[{"id":1,"name":"Subdivision","value":"EC"},{"id":4,"name":"Milepost","value":"0.0001"},{"id":17,"name":"Train ID","value":"228-03"},{"id":16,"name":"Locomotive ID","value":"4039"},{"id":130,"name":"Impact","value":""},{"id":150,"name":"Time of Event (Mountain Time)","value":"22:03:34"},{"id":151,"name":"Denver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"%USERPROFILE%\AppData\Local\Temp\OnboardLogs"\RTDC4039\*4039*201612040*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"%USERPROFILE%\AppData\Local\Temp\OnboardLogs"\RTDC4039\*4039*201612040* &gt;&gt; 42707-slicedisagreementcheck.txt</v>
      </c>
    </row>
    <row r="31" spans="1:30" ht="15" customHeight="1" x14ac:dyDescent="0.25">
      <c r="A31" s="36">
        <v>42707.985625000001</v>
      </c>
      <c r="B31" s="31" t="s">
        <v>360</v>
      </c>
      <c r="C31" s="31" t="s">
        <v>466</v>
      </c>
      <c r="D31" s="31" t="s">
        <v>49</v>
      </c>
      <c r="E31" s="31" t="s">
        <v>201</v>
      </c>
      <c r="F31" s="47">
        <v>0</v>
      </c>
      <c r="G31" s="47">
        <v>26</v>
      </c>
      <c r="H31" s="47">
        <v>72</v>
      </c>
      <c r="I31" s="47">
        <v>59</v>
      </c>
      <c r="J31" s="31" t="s">
        <v>202</v>
      </c>
      <c r="K31" s="47">
        <v>1</v>
      </c>
      <c r="L31" s="154" t="s">
        <v>51</v>
      </c>
      <c r="M31" s="155">
        <f t="shared" si="0"/>
        <v>30.623999999999999</v>
      </c>
      <c r="N31" s="156" t="str">
        <f>VLOOKUP(C31,'Trips&amp;Operators'!$C$1:$G$99999,5,FALSE)</f>
        <v>CHANDLER KELVIN</v>
      </c>
      <c r="O31" s="182" t="s">
        <v>196</v>
      </c>
      <c r="P31" s="157"/>
      <c r="Q31" s="31"/>
      <c r="R31" s="100" t="str">
        <f>VLOOKUP(C31,'Train Runs'!$A$13:$AE$9978,31,0)</f>
        <v>aws s3 cp s3://rtdc.mdm.uploadarchive.raw/RTDC4019/ "%USERPROFILE%\AppData\Local\Temp\OnboardLogs"\RTDC4019\2016-12-03 --exclude "*" --recursive --include "*20161203*" &amp; "%USERPROFILE%\Documents\GitHub\mrs-test-scripts\Headless Mode &amp; Sideloading\WalkAndUnGZ.bat" "%USERPROFILE%\AppData\Local\Temp\OnboardLogs"\RTDC4019\2016-12-03 &amp; aws s3 cp s3://rtdc.mdm.uploadarchive.raw/RTDC4019/ "%USERPROFILE%\AppData\Local\Temp\OnboardLogs"\RTDC4019\2016-12-04 --exclude "*" --recursive --include "*20161204*" &amp; "%USERPROFILE%\Documents\GitHub\mrs-test-scripts\Headless Mode &amp; Sideloading\WalkAndUnGZ.bat" "%USERPROFILE%\AppData\Local\Temp\OnboardLogs"\RTDC4019\2016-12-04</v>
      </c>
      <c r="S31" s="103" t="str">
        <f>VLOOKUP(C31,'Train Runs'!$A$13:$AE$9978,22,0)</f>
        <v>https://search-rtdc-monitor-bjffxe2xuh6vdkpspy63sjmuny.us-east-1.es.amazonaws.com/_plugin/kibana/#/discover/Steve-Slow-Train-Analysis-(2080s-and-2083s)?_g=(refreshInterval:(display:Off,section:0,value:0),time:(from:'2016-12-03 21:53:41-700',mode:absolute,to:'2016-12-04 00:39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1" s="105" t="str">
        <f t="shared" si="1"/>
        <v>"C:\Program Files (x86)\AstroGrep\AstroGrep.exe" /spath="%USERPROFILE%\AppData\Local\Temp\OnboardLogs" /stypes="*4019*201612040*" /stext=" 06:.+((SYSTEM_STATE.+slice.+state.+changed )|(ment ac)|(multiple cpu faults)|(system.+state.+changed )|(\[timeout)|(PRM\|1\|D)|(kpr)|(kdp)|(\|lc)|(penalty))" /e /r /s</v>
      </c>
      <c r="U31" s="9" t="str">
        <f t="shared" si="2"/>
        <v>4019</v>
      </c>
      <c r="V31" s="36">
        <f t="shared" si="3"/>
        <v>42708.277291666665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{"issue":{"subject":"","project_id":79,"tracker_id":40,"status_id":1,"priority_id":2,"assigned_to_id":23,"start_date":"2016-12-03","description":"","custom_fields":[{"id":1,"name":"Subdivision","value":"EC"},{"id":4,"name":"Milepost","value":"0.0001"},{"id":17,"name":"Train ID","value":"234-03"},{"id":16,"name":"Locomotive ID","value":"4019"},{"id":130,"name":"Impact","value":""},{"id":150,"name":"Time of Event (Mountain Time)","value":"23:39:18"},{"id":151,"name":"Denver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"%USERPROFILE%\AppData\Local\Temp\OnboardLogs"\RTDC4019\*4019*201612040*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"%USERPROFILE%\AppData\Local\Temp\OnboardLogs"\RTDC4019\*4019*201612040* &gt;&gt; 42707-slicedisagreementcheck.txt</v>
      </c>
    </row>
    <row r="32" spans="1:30" x14ac:dyDescent="0.25">
      <c r="A32" s="36">
        <v>42707.182037037041</v>
      </c>
      <c r="B32" s="31" t="s">
        <v>357</v>
      </c>
      <c r="C32" s="31" t="s">
        <v>435</v>
      </c>
      <c r="D32" s="31" t="s">
        <v>49</v>
      </c>
      <c r="E32" s="31" t="s">
        <v>201</v>
      </c>
      <c r="F32" s="47">
        <v>0</v>
      </c>
      <c r="G32" s="47">
        <v>9</v>
      </c>
      <c r="H32" s="47">
        <v>233478</v>
      </c>
      <c r="I32" s="47">
        <v>233483</v>
      </c>
      <c r="J32" s="31" t="s">
        <v>202</v>
      </c>
      <c r="K32" s="47">
        <v>233491</v>
      </c>
      <c r="L32" s="154" t="s">
        <v>50</v>
      </c>
      <c r="M32" s="155">
        <f t="shared" si="0"/>
        <v>4.2240000000000002</v>
      </c>
      <c r="N32" s="156" t="str">
        <f>VLOOKUP(C32,'Trips&amp;Operators'!$C$1:$G$99999,5,FALSE)</f>
        <v>ROBINSON KADDIBA</v>
      </c>
      <c r="O32" s="182" t="s">
        <v>196</v>
      </c>
      <c r="P32" s="157"/>
      <c r="Q32" s="31"/>
      <c r="R32" s="100" t="str">
        <f>VLOOKUP(C32,'Train Runs'!$A$13:$AE$9978,31,0)</f>
        <v>aws s3 cp s3://rtdc.mdm.uploadarchive.raw/RTDC4027/ "%USERPROFILE%\AppData\Local\Temp\OnboardLogs"\RTDC4027\2016-12-03 --exclude "*" --recursive --include "*20161203*" &amp; "%USERPROFILE%\Documents\GitHub\mrs-test-scripts\Headless Mode &amp; Sideloading\WalkAndUnGZ.bat" "%USERPROFILE%\AppData\Local\Temp\OnboardLogs"\RTDC4027\2016-12-03 &amp; aws s3 cp s3://rtdc.mdm.uploadarchive.raw/RTDC4027/ "%USERPROFILE%\AppData\Local\Temp\OnboardLogs"\RTDC4027\2016-12-04 --exclude "*" --recursive --include "*20161204*" &amp; "%USERPROFILE%\Documents\GitHub\mrs-test-scripts\Headless Mode &amp; Sideloading\WalkAndUnGZ.bat" "%USERPROFILE%\AppData\Local\Temp\OnboardLogs"\RTDC4027\2016-12-04</v>
      </c>
      <c r="S32" s="103" t="str">
        <f>VLOOKUP(C32,'Train Runs'!$A$13:$AE$9978,22,0)</f>
        <v>https://search-rtdc-monitor-bjffxe2xuh6vdkpspy63sjmuny.us-east-1.es.amazonaws.com/_plugin/kibana/#/discover/Steve-Slow-Train-Analysis-(2080s-and-2083s)?_g=(refreshInterval:(display:Off,section:0,value:0),time:(from:'2016-12-03 02:36:51-700',mode:absolute,to:'2016-12-03 05:20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32" s="105" t="str">
        <f t="shared" si="1"/>
        <v>"C:\Program Files (x86)\AstroGrep\AstroGrep.exe" /spath="%USERPROFILE%\AppData\Local\Temp\OnboardLogs" /stypes="*4027*201612031*" /stext=" 11:.+((SYSTEM_STATE.+slice.+state.+changed )|(ment ac)|(multiple cpu faults)|(system.+state.+changed )|(\[timeout)|(PRM\|1\|D)|(kpr)|(kdp)|(\|lc)|(penalty))" /e /r /s</v>
      </c>
      <c r="U32" s="9" t="str">
        <f t="shared" si="2"/>
        <v>4027</v>
      </c>
      <c r="V32" s="36">
        <f t="shared" si="3"/>
        <v>42707.473703703705</v>
      </c>
      <c r="W32" s="50" t="str">
        <f t="shared" si="4"/>
        <v>EC</v>
      </c>
      <c r="X32" s="50" t="str">
        <f t="shared" si="5"/>
        <v>OMIT</v>
      </c>
      <c r="Y32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{"issue":{"subject":"","project_id":79,"tracker_id":40,"status_id":1,"priority_id":2,"assigned_to_id":23,"start_date":"2016-12-03","description":"","custom_fields":[{"id":1,"name":"Subdivision","value":"EC"},{"id":4,"name":"Milepost","value":"23.3491"},{"id":17,"name":"Train ID","value":"103-03"},{"id":16,"name":"Locomotive ID","value":"4027"},{"id":130,"name":"Impact","value":""},{"id":150,"name":"Time of Event (Mountain Time)","value":"04:22:08"},{"id":151,"name":"Denver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"%USERPROFILE%\AppData\Local\Temp\OnboardLogs"\RTDC4027\*4027*201612031*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"%USERPROFILE%\AppData\Local\Temp\OnboardLogs"\RTDC4027\*4027*201612031* &gt;&gt; 42707-slicedisagreementcheck.txt</v>
      </c>
    </row>
    <row r="33" spans="1:30" x14ac:dyDescent="0.25">
      <c r="A33" s="36">
        <v>42707.577280092592</v>
      </c>
      <c r="B33" s="31" t="s">
        <v>210</v>
      </c>
      <c r="C33" s="31" t="s">
        <v>446</v>
      </c>
      <c r="D33" s="31" t="s">
        <v>49</v>
      </c>
      <c r="E33" s="31" t="s">
        <v>201</v>
      </c>
      <c r="F33" s="47">
        <v>0</v>
      </c>
      <c r="G33" s="47">
        <v>53</v>
      </c>
      <c r="H33" s="47">
        <v>233306</v>
      </c>
      <c r="I33" s="47">
        <v>233346</v>
      </c>
      <c r="J33" s="31" t="s">
        <v>202</v>
      </c>
      <c r="K33" s="47">
        <v>233491</v>
      </c>
      <c r="L33" s="154" t="s">
        <v>50</v>
      </c>
      <c r="M33" s="155">
        <f t="shared" si="0"/>
        <v>76.56</v>
      </c>
      <c r="N33" s="156" t="str">
        <f>VLOOKUP(C33,'Trips&amp;Operators'!$C$1:$G$99999,5,FALSE)</f>
        <v>MOSES BRADLEY</v>
      </c>
      <c r="O33" s="182" t="s">
        <v>196</v>
      </c>
      <c r="P33" s="157"/>
      <c r="Q33" s="31"/>
      <c r="R33" s="100" t="str">
        <f>VLOOKUP(C33,'Train Runs'!$A$13:$AE$9978,31,0)</f>
        <v>aws s3 cp s3://rtdc.mdm.uploadarchive.raw/RTDC4040/ "%USERPROFILE%\AppData\Local\Temp\OnboardLogs"\RTDC4040\2016-12-03 --exclude "*" --recursive --include "*20161203*" &amp; "%USERPROFILE%\Documents\GitHub\mrs-test-scripts\Headless Mode &amp; Sideloading\WalkAndUnGZ.bat" "%USERPROFILE%\AppData\Local\Temp\OnboardLogs"\RTDC4040\2016-12-03 &amp; aws s3 cp s3://rtdc.mdm.uploadarchive.raw/RTDC4040/ "%USERPROFILE%\AppData\Local\Temp\OnboardLogs"\RTDC4040\2016-12-04 --exclude "*" --recursive --include "*20161204*" &amp; "%USERPROFILE%\Documents\GitHub\mrs-test-scripts\Headless Mode &amp; Sideloading\WalkAndUnGZ.bat" "%USERPROFILE%\AppData\Local\Temp\OnboardLogs"\RTDC4040\2016-12-04</v>
      </c>
      <c r="S33" s="103" t="str">
        <f>VLOOKUP(C33,'Train Runs'!$A$13:$AE$9978,22,0)</f>
        <v>https://search-rtdc-monitor-bjffxe2xuh6vdkpspy63sjmuny.us-east-1.es.amazonaws.com/_plugin/kibana/#/discover/Steve-Slow-Train-Analysis-(2080s-and-2083s)?_g=(refreshInterval:(display:Off,section:0,value:0),time:(from:'2016-12-03 12:12:57-700',mode:absolute,to:'2016-12-03 14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3" s="105" t="str">
        <f t="shared" si="1"/>
        <v>"C:\Program Files (x86)\AstroGrep\AstroGrep.exe" /spath="%USERPROFILE%\AppData\Local\Temp\OnboardLogs" /stypes="*4040*201612032*" /stext=" 20:.+((SYSTEM_STATE.+slice.+state.+changed )|(ment ac)|(multiple cpu faults)|(system.+state.+changed )|(\[timeout)|(PRM\|1\|D)|(kpr)|(kdp)|(\|lc)|(penalty))" /e /r /s</v>
      </c>
      <c r="U33" s="9" t="str">
        <f t="shared" si="2"/>
        <v>4040</v>
      </c>
      <c r="V33" s="36">
        <f t="shared" si="3"/>
        <v>42707.868946759256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{"issue":{"subject":"","project_id":79,"tracker_id":40,"status_id":1,"priority_id":2,"assigned_to_id":23,"start_date":"2016-12-03","description":"","custom_fields":[{"id":1,"name":"Subdivision","value":"EC"},{"id":4,"name":"Milepost","value":"23.3491"},{"id":17,"name":"Train ID","value":"177-03"},{"id":16,"name":"Locomotive ID","value":"4040"},{"id":130,"name":"Impact","value":""},{"id":150,"name":"Time of Event (Mountain Time)","value":"13:51:17"},{"id":151,"name":"Denver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"%USERPROFILE%\AppData\Local\Temp\OnboardLogs"\RTDC4040\*4040*201612032*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"%USERPROFILE%\AppData\Local\Temp\OnboardLogs"\RTDC4040\*4040*201612032* &gt;&gt; 42707-slicedisagreementcheck.txt</v>
      </c>
    </row>
    <row r="34" spans="1:30" x14ac:dyDescent="0.25">
      <c r="A34" s="36">
        <v>42707.942685185182</v>
      </c>
      <c r="B34" s="31" t="s">
        <v>233</v>
      </c>
      <c r="C34" s="31" t="s">
        <v>462</v>
      </c>
      <c r="D34" s="31" t="s">
        <v>49</v>
      </c>
      <c r="E34" s="31" t="s">
        <v>201</v>
      </c>
      <c r="F34" s="47">
        <v>0</v>
      </c>
      <c r="G34" s="47">
        <v>84</v>
      </c>
      <c r="H34" s="47">
        <v>233200</v>
      </c>
      <c r="I34" s="47">
        <v>233289</v>
      </c>
      <c r="J34" s="31" t="s">
        <v>202</v>
      </c>
      <c r="K34" s="47">
        <v>233491</v>
      </c>
      <c r="L34" s="154" t="s">
        <v>50</v>
      </c>
      <c r="M34" s="155">
        <f t="shared" si="0"/>
        <v>106.65600000000001</v>
      </c>
      <c r="N34" s="156" t="str">
        <f>VLOOKUP(C34,'Trips&amp;Operators'!$C$1:$G$99999,5,FALSE)</f>
        <v>CHANDLER KELVIN</v>
      </c>
      <c r="O34" s="182" t="s">
        <v>196</v>
      </c>
      <c r="P34" s="157"/>
      <c r="Q34" s="31"/>
      <c r="R34" s="100" t="str">
        <f>VLOOKUP(C34,'Train Runs'!$A$13:$AE$9978,31,0)</f>
        <v>aws s3 cp s3://rtdc.mdm.uploadarchive.raw/RTDC4014/ "%USERPROFILE%\AppData\Local\Temp\OnboardLogs"\RTDC4014\2016-12-03 --exclude "*" --recursive --include "*20161203*" &amp; "%USERPROFILE%\Documents\GitHub\mrs-test-scripts\Headless Mode &amp; Sideloading\WalkAndUnGZ.bat" "%USERPROFILE%\AppData\Local\Temp\OnboardLogs"\RTDC4014\2016-12-03 &amp; aws s3 cp s3://rtdc.mdm.uploadarchive.raw/RTDC4014/ "%USERPROFILE%\AppData\Local\Temp\OnboardLogs"\RTDC4014\2016-12-04 --exclude "*" --recursive --include "*20161204*" &amp; "%USERPROFILE%\Documents\GitHub\mrs-test-scripts\Headless Mode &amp; Sideloading\WalkAndUnGZ.bat" "%USERPROFILE%\AppData\Local\Temp\OnboardLogs"\RTDC4014\2016-12-04</v>
      </c>
      <c r="S34" s="103" t="str">
        <f>VLOOKUP(C34,'Train Runs'!$A$13:$AE$9978,22,0)</f>
        <v>https://search-rtdc-monitor-bjffxe2xuh6vdkpspy63sjmuny.us-east-1.es.amazonaws.com/_plugin/kibana/#/discover/Steve-Slow-Train-Analysis-(2080s-and-2083s)?_g=(refreshInterval:(display:Off,section:0,value:0),time:(from:'2016-12-03 20:57:58-700',mode:absolute,to:'2016-12-03 23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34" s="105" t="str">
        <f t="shared" si="1"/>
        <v>"C:\Program Files (x86)\AstroGrep\AstroGrep.exe" /spath="%USERPROFILE%\AppData\Local\Temp\OnboardLogs" /stypes="*4014*201612040*" /stext=" 05:.+((SYSTEM_STATE.+slice.+state.+changed )|(ment ac)|(multiple cpu faults)|(system.+state.+changed )|(\[timeout)|(PRM\|1\|D)|(kpr)|(kdp)|(\|lc)|(penalty))" /e /r /s</v>
      </c>
      <c r="U34" s="9" t="str">
        <f t="shared" si="2"/>
        <v>4014</v>
      </c>
      <c r="V34" s="36">
        <f t="shared" si="3"/>
        <v>42708.234351851846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{"issue":{"subject":"","project_id":79,"tracker_id":40,"status_id":1,"priority_id":2,"assigned_to_id":23,"start_date":"2016-12-03","description":"","custom_fields":[{"id":1,"name":"Subdivision","value":"EC"},{"id":4,"name":"Milepost","value":"23.3491"},{"id":17,"name":"Train ID","value":"233-03"},{"id":16,"name":"Locomotive ID","value":"4014"},{"id":130,"name":"Impact","value":""},{"id":150,"name":"Time of Event (Mountain Time)","value":"22:37:28"},{"id":151,"name":"Denver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"%USERPROFILE%\AppData\Local\Temp\OnboardLogs"\RTDC4014\*4014*201612040*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"%USERPROFILE%\AppData\Local\Temp\OnboardLogs"\RTDC4014\*4014*201612040* &gt;&gt; 42707-slicedisagreementcheck.txt</v>
      </c>
    </row>
    <row r="35" spans="1:30" x14ac:dyDescent="0.25">
      <c r="A35" s="36">
        <v>42707.962152777778</v>
      </c>
      <c r="B35" s="31" t="s">
        <v>208</v>
      </c>
      <c r="C35" s="31" t="s">
        <v>464</v>
      </c>
      <c r="D35" s="31" t="s">
        <v>49</v>
      </c>
      <c r="E35" s="31" t="s">
        <v>201</v>
      </c>
      <c r="F35" s="47">
        <v>0</v>
      </c>
      <c r="G35" s="47">
        <v>18</v>
      </c>
      <c r="H35" s="47">
        <v>233426</v>
      </c>
      <c r="I35" s="47">
        <v>233428</v>
      </c>
      <c r="J35" s="31" t="s">
        <v>202</v>
      </c>
      <c r="K35" s="47">
        <v>233491</v>
      </c>
      <c r="L35" s="154" t="s">
        <v>50</v>
      </c>
      <c r="M35" s="155">
        <f t="shared" si="0"/>
        <v>33.264000000000003</v>
      </c>
      <c r="N35" s="156" t="str">
        <f>VLOOKUP(C35,'Trips&amp;Operators'!$C$1:$G$99999,5,FALSE)</f>
        <v>STAMBAUGH JAMES</v>
      </c>
      <c r="O35" s="182" t="s">
        <v>196</v>
      </c>
      <c r="P35" s="157"/>
      <c r="Q35" s="31"/>
      <c r="R35" s="100" t="str">
        <f>VLOOKUP(C35,'Train Runs'!$A$13:$AE$9978,31,0)</f>
        <v>aws s3 cp s3://rtdc.mdm.uploadarchive.raw/RTDC4011/ "%USERPROFILE%\AppData\Local\Temp\OnboardLogs"\RTDC4011\2016-12-03 --exclude "*" --recursive --include "*20161203*" &amp; "%USERPROFILE%\Documents\GitHub\mrs-test-scripts\Headless Mode &amp; Sideloading\WalkAndUnGZ.bat" "%USERPROFILE%\AppData\Local\Temp\OnboardLogs"\RTDC4011\2016-12-03 &amp; aws s3 cp s3://rtdc.mdm.uploadarchive.raw/RTDC4011/ "%USERPROFILE%\AppData\Local\Temp\OnboardLogs"\RTDC4011\2016-12-04 --exclude "*" --recursive --include "*20161204*" &amp; "%USERPROFILE%\Documents\GitHub\mrs-test-scripts\Headless Mode &amp; Sideloading\WalkAndUnGZ.bat" "%USERPROFILE%\AppData\Local\Temp\OnboardLogs"\RTDC4011\2016-12-04</v>
      </c>
      <c r="S35" s="103" t="str">
        <f>VLOOKUP(C35,'Train Runs'!$A$13:$AE$9978,22,0)</f>
        <v>https://search-rtdc-monitor-bjffxe2xuh6vdkpspy63sjmuny.us-east-1.es.amazonaws.com/_plugin/kibana/#/discover/Steve-Slow-Train-Analysis-(2080s-and-2083s)?_g=(refreshInterval:(display:Off,section:0,value:0),time:(from:'2016-12-03 21:23:06-700',mode:absolute,to:'2016-12-04 00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 t="shared" si="1"/>
        <v>"C:\Program Files (x86)\AstroGrep\AstroGrep.exe" /spath="%USERPROFILE%\AppData\Local\Temp\OnboardLogs" /stypes="*4011*201612040*" /stext=" 06:.+((SYSTEM_STATE.+slice.+state.+changed )|(ment ac)|(multiple cpu faults)|(system.+state.+changed )|(\[timeout)|(PRM\|1\|D)|(kpr)|(kdp)|(\|lc)|(penalty))" /e /r /s</v>
      </c>
      <c r="U35" s="9" t="str">
        <f t="shared" si="2"/>
        <v>4011</v>
      </c>
      <c r="V35" s="36">
        <f t="shared" si="3"/>
        <v>42708.253819444442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{"issue":{"subject":"","project_id":79,"tracker_id":40,"status_id":1,"priority_id":2,"assigned_to_id":23,"start_date":"2016-12-03","description":"","custom_fields":[{"id":1,"name":"Subdivision","value":"EC"},{"id":4,"name":"Milepost","value":"23.3491"},{"id":17,"name":"Train ID","value":"235-03"},{"id":16,"name":"Locomotive ID","value":"4011"},{"id":130,"name":"Impact","value":""},{"id":150,"name":"Time of Event (Mountain Time)","value":"23:05:30"},{"id":151,"name":"Denver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"%USERPROFILE%\AppData\Local\Temp\OnboardLogs"\RTDC4011\*4011*201612040*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"%USERPROFILE%\AppData\Local\Temp\OnboardLogs"\RTDC4011\*4011*201612040* &gt;&gt; 42707-slicedisagreementcheck.txt</v>
      </c>
    </row>
    <row r="36" spans="1:30" x14ac:dyDescent="0.25">
      <c r="A36" s="36">
        <v>42707.766180555554</v>
      </c>
      <c r="B36" s="31" t="s">
        <v>308</v>
      </c>
      <c r="C36" s="31" t="s">
        <v>453</v>
      </c>
      <c r="D36" s="31" t="s">
        <v>98</v>
      </c>
      <c r="E36" s="31" t="s">
        <v>197</v>
      </c>
      <c r="F36" s="47">
        <v>150</v>
      </c>
      <c r="G36" s="47">
        <v>205</v>
      </c>
      <c r="H36" s="47">
        <v>5334</v>
      </c>
      <c r="I36" s="47">
        <v>5674</v>
      </c>
      <c r="J36" s="31" t="s">
        <v>198</v>
      </c>
      <c r="K36" s="47">
        <v>574</v>
      </c>
      <c r="L36" s="154" t="s">
        <v>50</v>
      </c>
      <c r="M36" s="155">
        <f t="shared" si="0"/>
        <v>-2692.8</v>
      </c>
      <c r="N36" s="156" t="str">
        <f>VLOOKUP(C36,'Trips&amp;Operators'!$C$1:$G$99999,5,FALSE)</f>
        <v>HOLCOMB KAMDEN</v>
      </c>
      <c r="O36" s="182" t="s">
        <v>196</v>
      </c>
      <c r="P36" s="157"/>
      <c r="Q36" s="31"/>
      <c r="R36" s="100" t="str">
        <f>VLOOKUP(C36,'Train Runs'!$A$13:$AE$9978,31,0)</f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S36" s="103" t="str">
        <f>VLOOKUP(C36,'Train Runs'!$A$13:$AE$9978,22,0)</f>
        <v>https://search-rtdc-monitor-bjffxe2xuh6vdkpspy63sjmuny.us-east-1.es.amazonaws.com/_plugin/kibana/#/discover/Steve-Slow-Train-Analysis-(2080s-and-2083s)?_g=(refreshInterval:(display:Off,section:0,value:0),time:(from:'2016-12-03 17:16:06-700',mode:absolute,to:'2016-12-03 19:36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6" s="105" t="str">
        <f t="shared" si="1"/>
        <v>"C:\Program Files (x86)\AstroGrep\AstroGrep.exe" /spath="%USERPROFILE%\AppData\Local\Temp\OnboardLogs" /stypes="*4029*201612040*" /stext=" 01:.+((SYSTEM_STATE.+slice.+state.+changed )|(ment ac)|(multiple cpu faults)|(system.+state.+changed )|(\[timeout)|(PRM\|1\|D)|(kpr)|(kdp)|(\|lc)|(penalty))" /e /r /s</v>
      </c>
      <c r="U36" s="9" t="str">
        <f t="shared" si="2"/>
        <v>4029</v>
      </c>
      <c r="V36" s="36">
        <f t="shared" si="3"/>
        <v>42708.057847222219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{"issue":{"subject":"","project_id":79,"tracker_id":40,"status_id":1,"priority_id":2,"assigned_to_id":23,"start_date":"2016-12-03","description":"","custom_fields":[{"id":1,"name":"Subdivision","value":"NW"},{"id":4,"name":"Milepost","value":"0.0574"},{"id":17,"name":"Train ID","value":"1825-03"},{"id":16,"name":"Locomotive ID","value":"4029"},{"id":130,"name":"Impact","value":""},{"id":150,"name":"Time of Event (Mountain Time)","value":"18:23:18"},{"id":151,"name":"Denver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"%USERPROFILE%\AppData\Local\Temp\OnboardLogs"\RTDC4029\*4029*201612040*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"%USERPROFILE%\AppData\Local\Temp\OnboardLogs"\RTDC4029\*4029*201612040* &gt;&gt; 42707-slicedisagreementcheck.txt</v>
      </c>
    </row>
    <row r="37" spans="1:30" x14ac:dyDescent="0.25">
      <c r="A37" s="36">
        <v>42707.850289351853</v>
      </c>
      <c r="B37" s="31" t="s">
        <v>308</v>
      </c>
      <c r="C37" s="31" t="s">
        <v>457</v>
      </c>
      <c r="D37" s="31" t="s">
        <v>98</v>
      </c>
      <c r="E37" s="31" t="s">
        <v>197</v>
      </c>
      <c r="F37" s="47">
        <v>150</v>
      </c>
      <c r="G37" s="47">
        <v>203</v>
      </c>
      <c r="H37" s="47">
        <v>5323</v>
      </c>
      <c r="I37" s="47">
        <v>5612</v>
      </c>
      <c r="J37" s="31" t="s">
        <v>198</v>
      </c>
      <c r="K37" s="47">
        <v>574</v>
      </c>
      <c r="L37" s="154" t="s">
        <v>50</v>
      </c>
      <c r="M37" s="155">
        <f t="shared" si="0"/>
        <v>-2660.0639999999999</v>
      </c>
      <c r="N37" s="156" t="str">
        <f>VLOOKUP(C37,'Trips&amp;Operators'!$C$1:$G$99999,5,FALSE)</f>
        <v>HOLCOMB KAMDEN</v>
      </c>
      <c r="O37" s="182" t="s">
        <v>196</v>
      </c>
      <c r="P37" s="157"/>
      <c r="Q37" s="31"/>
      <c r="R37" s="100" t="str">
        <f>VLOOKUP(C37,'Train Runs'!$A$13:$AE$9978,31,0)</f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S37" s="103" t="str">
        <f>VLOOKUP(C37,'Train Runs'!$A$13:$AE$9978,22,0)</f>
        <v>https://search-rtdc-monitor-bjffxe2xuh6vdkpspy63sjmuny.us-east-1.es.amazonaws.com/_plugin/kibana/#/discover/Steve-Slow-Train-Analysis-(2080s-and-2083s)?_g=(refreshInterval:(display:Off,section:0,value:0),time:(from:'2016-12-03 19:11:56-700',mode:absolute,to:'2016-12-03 21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7" s="105" t="str">
        <f t="shared" si="1"/>
        <v>"C:\Program Files (x86)\AstroGrep\AstroGrep.exe" /spath="%USERPROFILE%\AppData\Local\Temp\OnboardLogs" /stypes="*4029*201612040*" /stext=" 03:.+((SYSTEM_STATE.+slice.+state.+changed )|(ment ac)|(multiple cpu faults)|(system.+state.+changed )|(\[timeout)|(PRM\|1\|D)|(kpr)|(kdp)|(\|lc)|(penalty))" /e /r /s</v>
      </c>
      <c r="U37" s="9" t="str">
        <f t="shared" si="2"/>
        <v>4029</v>
      </c>
      <c r="V37" s="36">
        <f t="shared" si="3"/>
        <v>42708.141956018517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{"issue":{"subject":"","project_id":79,"tracker_id":40,"status_id":1,"priority_id":2,"assigned_to_id":23,"start_date":"2016-12-03","description":"","custom_fields":[{"id":1,"name":"Subdivision","value":"NW"},{"id":4,"name":"Milepost","value":"0.0574"},{"id":17,"name":"Train ID","value":"1829-03"},{"id":16,"name":"Locomotive ID","value":"4029"},{"id":130,"name":"Impact","value":""},{"id":150,"name":"Time of Event (Mountain Time)","value":"20:24:25"},{"id":151,"name":"Denver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"%USERPROFILE%\AppData\Local\Temp\OnboardLogs"\RTDC4029\*4029*201612040*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"%USERPROFILE%\AppData\Local\Temp\OnboardLogs"\RTDC4029\*4029*201612040* &gt;&gt; 42707-slicedisagreementcheck.txt</v>
      </c>
    </row>
    <row r="38" spans="1:30" x14ac:dyDescent="0.25">
      <c r="A38" s="36">
        <v>42707.494027777779</v>
      </c>
      <c r="B38" s="31" t="s">
        <v>305</v>
      </c>
      <c r="C38" s="31" t="s">
        <v>445</v>
      </c>
      <c r="D38" s="31" t="s">
        <v>49</v>
      </c>
      <c r="E38" s="31" t="s">
        <v>197</v>
      </c>
      <c r="F38" s="47">
        <v>200</v>
      </c>
      <c r="G38" s="47">
        <v>385</v>
      </c>
      <c r="H38" s="47">
        <v>8144</v>
      </c>
      <c r="I38" s="47">
        <v>7254</v>
      </c>
      <c r="J38" s="31" t="s">
        <v>198</v>
      </c>
      <c r="K38" s="47">
        <v>5782</v>
      </c>
      <c r="L38" s="154" t="s">
        <v>51</v>
      </c>
      <c r="M38" s="155">
        <f t="shared" si="0"/>
        <v>777.21600000000001</v>
      </c>
      <c r="N38" s="156" t="str">
        <f>VLOOKUP(C38,'Trips&amp;Operators'!$C$1:$G$99999,5,FALSE)</f>
        <v>YORK EDGAR</v>
      </c>
      <c r="O38" s="182" t="s">
        <v>196</v>
      </c>
      <c r="P38" s="157"/>
      <c r="Q38" s="31"/>
      <c r="R38" s="100" t="str">
        <f>VLOOKUP(C38,'Train Runs'!$A$13:$AE$9978,31,0)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38" s="103" t="str">
        <f>VLOOKUP(C38,'Train Runs'!$A$13:$AE$9978,22,0)</f>
        <v>https://search-rtdc-monitor-bjffxe2xuh6vdkpspy63sjmuny.us-east-1.es.amazonaws.com/_plugin/kibana/#/discover/Steve-Slow-Train-Analysis-(2080s-and-2083s)?_g=(refreshInterval:(display:Off,section:0,value:0),time:(from:'2016-12-03 10:38:16-700',mode:absolute,to:'2016-12-03 12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8" s="105" t="str">
        <f t="shared" si="1"/>
        <v>"C:\Program Files (x86)\AstroGrep\AstroGrep.exe" /spath="%USERPROFILE%\AppData\Local\Temp\OnboardLogs" /stypes="*4030*201612031*" /stext=" 18:.+((SYSTEM_STATE.+slice.+state.+changed )|(ment ac)|(multiple cpu faults)|(system.+state.+changed )|(\[timeout)|(PRM\|1\|D)|(kpr)|(kdp)|(\|lc)|(penalty))" /e /r /s</v>
      </c>
      <c r="U38" s="9" t="str">
        <f t="shared" si="2"/>
        <v>4030</v>
      </c>
      <c r="V38" s="36">
        <f t="shared" si="3"/>
        <v>42707.785694444443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{"issue":{"subject":"","project_id":79,"tracker_id":40,"status_id":1,"priority_id":2,"assigned_to_id":23,"start_date":"2016-12-03","description":"","custom_fields":[{"id":1,"name":"Subdivision","value":"NW"},{"id":4,"name":"Milepost","value":"0.5782"},{"id":17,"name":"Train ID","value":"1812-03"},{"id":16,"name":"Locomotive ID","value":"4030"},{"id":130,"name":"Impact","value":""},{"id":150,"name":"Time of Event (Mountain Time)","value":"11:51:24"},{"id":151,"name":"Denver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"%USERPROFILE%\AppData\Local\Temp\OnboardLogs"\RTDC4030\*4030*201612031*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"%USERPROFILE%\AppData\Local\Temp\OnboardLogs"\RTDC4030\*4030*201612031* &gt;&gt; 42707-slicedisagreementcheck.txt</v>
      </c>
    </row>
    <row r="39" spans="1:30" x14ac:dyDescent="0.25">
      <c r="A39" s="36">
        <v>42707.908750000002</v>
      </c>
      <c r="B39" s="31" t="s">
        <v>305</v>
      </c>
      <c r="C39" s="31" t="s">
        <v>460</v>
      </c>
      <c r="D39" s="31" t="s">
        <v>49</v>
      </c>
      <c r="E39" s="31" t="s">
        <v>197</v>
      </c>
      <c r="F39" s="47">
        <v>300</v>
      </c>
      <c r="G39" s="47">
        <v>400</v>
      </c>
      <c r="H39" s="47">
        <v>24944</v>
      </c>
      <c r="I39" s="47">
        <v>23781</v>
      </c>
      <c r="J39" s="31" t="s">
        <v>198</v>
      </c>
      <c r="K39" s="47">
        <v>23561</v>
      </c>
      <c r="L39" s="154" t="s">
        <v>51</v>
      </c>
      <c r="M39" s="155">
        <f t="shared" si="0"/>
        <v>116.16</v>
      </c>
      <c r="N39" s="156" t="str">
        <f>VLOOKUP(C39,'Trips&amp;Operators'!$C$1:$G$99999,5,FALSE)</f>
        <v>HOLCOMB KAMDEN</v>
      </c>
      <c r="O39" s="182" t="s">
        <v>196</v>
      </c>
      <c r="P39" s="157"/>
      <c r="Q39" s="31"/>
      <c r="R39" s="100" t="str">
        <f>VLOOKUP(C39,'Train Runs'!$A$13:$AE$9978,31,0)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39" s="103" t="str">
        <f>VLOOKUP(C39,'Train Runs'!$A$13:$AE$9978,22,0)</f>
        <v>https://search-rtdc-monitor-bjffxe2xuh6vdkpspy63sjmuny.us-east-1.es.amazonaws.com/_plugin/kibana/#/discover/Steve-Slow-Train-Analysis-(2080s-and-2083s)?_g=(refreshInterval:(display:Off,section:0,value:0),time:(from:'2016-12-03 20:37:23-700',mode:absolute,to:'2016-12-03 22:56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9" s="105" t="str">
        <f t="shared" si="1"/>
        <v>"C:\Program Files (x86)\AstroGrep\AstroGrep.exe" /spath="%USERPROFILE%\AppData\Local\Temp\OnboardLogs" /stypes="*4030*201612040*" /stext=" 04:.+((SYSTEM_STATE.+slice.+state.+changed )|(ment ac)|(multiple cpu faults)|(system.+state.+changed )|(\[timeout)|(PRM\|1\|D)|(kpr)|(kdp)|(\|lc)|(penalty))" /e /r /s</v>
      </c>
      <c r="U39" s="9" t="str">
        <f t="shared" si="2"/>
        <v>4030</v>
      </c>
      <c r="V39" s="36">
        <f t="shared" si="3"/>
        <v>42708.200416666667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{"issue":{"subject":"","project_id":79,"tracker_id":40,"status_id":1,"priority_id":2,"assigned_to_id":23,"start_date":"2016-12-03","description":"","custom_fields":[{"id":1,"name":"Subdivision","value":"NW"},{"id":4,"name":"Milepost","value":"2.3561"},{"id":17,"name":"Train ID","value":"1832-03"},{"id":16,"name":"Locomotive ID","value":"4030"},{"id":130,"name":"Impact","value":""},{"id":150,"name":"Time of Event (Mountain Time)","value":"21:48:36"},{"id":151,"name":"Denver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"%USERPROFILE%\AppData\Local\Temp\OnboardLogs"\RTDC4030\*4030*201612040*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"%USERPROFILE%\AppData\Local\Temp\OnboardLogs"\RTDC4030\*4030*201612040* &gt;&gt; 42707-slicedisagreementcheck.txt</v>
      </c>
    </row>
    <row r="40" spans="1:30" x14ac:dyDescent="0.25">
      <c r="A40" s="36">
        <v>42707.64744212963</v>
      </c>
      <c r="B40" s="31" t="s">
        <v>308</v>
      </c>
      <c r="C40" s="31" t="s">
        <v>447</v>
      </c>
      <c r="D40" s="31" t="s">
        <v>49</v>
      </c>
      <c r="E40" s="31" t="s">
        <v>197</v>
      </c>
      <c r="F40" s="47">
        <v>150</v>
      </c>
      <c r="G40" s="47">
        <v>321</v>
      </c>
      <c r="H40" s="47">
        <v>56120</v>
      </c>
      <c r="I40" s="47">
        <v>56752</v>
      </c>
      <c r="J40" s="31" t="s">
        <v>198</v>
      </c>
      <c r="K40" s="47">
        <v>57008</v>
      </c>
      <c r="L40" s="154" t="s">
        <v>50</v>
      </c>
      <c r="M40" s="155">
        <f t="shared" si="0"/>
        <v>135.16800000000001</v>
      </c>
      <c r="N40" s="156" t="str">
        <f>VLOOKUP(C40,'Trips&amp;Operators'!$C$1:$G$99999,5,FALSE)</f>
        <v>HOLCOMB KAMDEN</v>
      </c>
      <c r="O40" s="182" t="s">
        <v>196</v>
      </c>
      <c r="P40" s="157"/>
      <c r="Q40" s="31"/>
      <c r="R40" s="100" t="str">
        <f>VLOOKUP(C40,'Train Runs'!$A$13:$AE$9978,31,0)</f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S40" s="103" t="str">
        <f>VLOOKUP(C40,'Train Runs'!$A$13:$AE$9978,22,0)</f>
        <v>https://search-rtdc-monitor-bjffxe2xuh6vdkpspy63sjmuny.us-east-1.es.amazonaws.com/_plugin/kibana/#/discover/Steve-Slow-Train-Analysis-(2080s-and-2083s)?_g=(refreshInterval:(display:Off,section:0,value:0),time:(from:'2016-12-03 14:14:15-700',mode:absolute,to:'2016-12-03 16:35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0" s="105" t="str">
        <f t="shared" si="1"/>
        <v>"C:\Program Files (x86)\AstroGrep\AstroGrep.exe" /spath="%USERPROFILE%\AppData\Local\Temp\OnboardLogs" /stypes="*4029*201612032*" /stext=" 22:.+((SYSTEM_STATE.+slice.+state.+changed )|(ment ac)|(multiple cpu faults)|(system.+state.+changed )|(\[timeout)|(PRM\|1\|D)|(kpr)|(kdp)|(\|lc)|(penalty))" /e /r /s</v>
      </c>
      <c r="U40" s="9" t="str">
        <f t="shared" si="2"/>
        <v>4029</v>
      </c>
      <c r="V40" s="36">
        <f t="shared" si="3"/>
        <v>42707.939108796294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{"issue":{"subject":"","project_id":79,"tracker_id":40,"status_id":1,"priority_id":2,"assigned_to_id":23,"start_date":"2016-12-03","description":"","custom_fields":[{"id":1,"name":"Subdivision","value":"NW"},{"id":4,"name":"Milepost","value":"5.7008"},{"id":17,"name":"Train ID","value":"1819-03"},{"id":16,"name":"Locomotive ID","value":"4029"},{"id":130,"name":"Impact","value":""},{"id":150,"name":"Time of Event (Mountain Time)","value":"15:32:19"},{"id":151,"name":"Denver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"%USERPROFILE%\AppData\Local\Temp\OnboardLogs"\RTDC4029\*4029*201612032*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"%USERPROFILE%\AppData\Local\Temp\OnboardLogs"\RTDC4029\*4029*201612032* &gt;&gt; 42707-slicedisagreementcheck.txt</v>
      </c>
    </row>
    <row r="41" spans="1:30" x14ac:dyDescent="0.25">
      <c r="A41" s="36">
        <v>42707.826956018522</v>
      </c>
      <c r="B41" s="31" t="s">
        <v>305</v>
      </c>
      <c r="C41" s="31" t="s">
        <v>456</v>
      </c>
      <c r="D41" s="31" t="s">
        <v>98</v>
      </c>
      <c r="E41" s="31" t="s">
        <v>199</v>
      </c>
      <c r="F41" s="47">
        <v>200</v>
      </c>
      <c r="G41" s="47">
        <v>252</v>
      </c>
      <c r="H41" s="47">
        <v>17585</v>
      </c>
      <c r="I41" s="47">
        <v>16923</v>
      </c>
      <c r="J41" s="31" t="s">
        <v>200</v>
      </c>
      <c r="K41" s="47">
        <v>19000</v>
      </c>
      <c r="L41" s="154" t="s">
        <v>51</v>
      </c>
      <c r="M41" s="155">
        <f t="shared" si="0"/>
        <v>-1096.6559999999999</v>
      </c>
      <c r="N41" s="156" t="str">
        <f>VLOOKUP(C41,'Trips&amp;Operators'!$C$1:$G$99999,5,FALSE)</f>
        <v>HOLCOMB KAMDEN</v>
      </c>
      <c r="O41" s="182" t="s">
        <v>196</v>
      </c>
      <c r="P41" s="157" t="s">
        <v>843</v>
      </c>
      <c r="Q41" s="31"/>
      <c r="R41" s="100" t="str">
        <f>VLOOKUP(C41,'Train Runs'!$A$13:$AE$9978,31,0)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41" s="103" t="str">
        <f>VLOOKUP(C41,'Train Runs'!$A$13:$AE$9978,22,0)</f>
        <v>https://search-rtdc-monitor-bjffxe2xuh6vdkpspy63sjmuny.us-east-1.es.amazonaws.com/_plugin/kibana/#/discover/Steve-Slow-Train-Analysis-(2080s-and-2083s)?_g=(refreshInterval:(display:Off,section:0,value:0),time:(from:'2016-12-03 18:37:29-700',mode:absolute,to:'2016-12-03 20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1" s="105" t="str">
        <f t="shared" si="1"/>
        <v>"C:\Program Files (x86)\AstroGrep\AstroGrep.exe" /spath="%USERPROFILE%\AppData\Local\Temp\OnboardLogs" /stypes="*4030*201612040*" /stext=" 02:.+((SYSTEM_STATE.+slice.+state.+changed )|(ment ac)|(multiple cpu faults)|(system.+state.+changed )|(\[timeout)|(PRM\|1\|D)|(kpr)|(kdp)|(\|lc)|(penalty))" /e /r /s</v>
      </c>
      <c r="U41" s="9" t="str">
        <f t="shared" si="2"/>
        <v>4030</v>
      </c>
      <c r="V41" s="36">
        <f t="shared" si="3"/>
        <v>42708.118622685186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Overspeed","project_id":79,"tracker_id":40,"status_id":1,"priority_id":2,"assigned_to_id":23,"start_date":"2016-12-03","description":"","custom_fields":[{"id":1,"name":"Subdivision","value":"NW"},{"id":4,"name":"Milepost","value":"1.9"},{"id":17,"name":"Train ID","value":"1828-03"},{"id":16,"name":"Locomotive ID","value":"4030"},{"id":130,"name":"Impact","value":""},{"id":150,"name":"Time of Event (Mountain Time)","value":"19:50:49"},{"id":151,"name":"Denver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"%USERPROFILE%\AppData\Local\Temp\OnboardLogs"\RTDC4030\*4030*201612040*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"%USERPROFILE%\AppData\Local\Temp\OnboardLogs"\RTDC4030\*4030*201612040* &gt;&gt; 42707-slicedisagreementcheck.txt</v>
      </c>
    </row>
    <row r="42" spans="1:30" x14ac:dyDescent="0.25">
      <c r="A42" s="36">
        <v>42707.870995370373</v>
      </c>
      <c r="B42" s="31" t="s">
        <v>305</v>
      </c>
      <c r="C42" s="31" t="s">
        <v>458</v>
      </c>
      <c r="D42" s="31" t="s">
        <v>49</v>
      </c>
      <c r="E42" s="31" t="s">
        <v>309</v>
      </c>
      <c r="F42" s="47">
        <v>100</v>
      </c>
      <c r="G42" s="47">
        <v>202</v>
      </c>
      <c r="H42" s="47">
        <v>11613</v>
      </c>
      <c r="I42" s="47">
        <v>11253</v>
      </c>
      <c r="J42" s="31" t="s">
        <v>307</v>
      </c>
      <c r="K42" s="47">
        <v>11000</v>
      </c>
      <c r="L42" s="154" t="s">
        <v>51</v>
      </c>
      <c r="M42" s="155">
        <f t="shared" si="0"/>
        <v>133.584</v>
      </c>
      <c r="N42" s="156" t="str">
        <f>VLOOKUP(C42,'Trips&amp;Operators'!$C$1:$G$99999,5,FALSE)</f>
        <v>HOLCOMB KAMDEN</v>
      </c>
      <c r="O42" s="182" t="s">
        <v>196</v>
      </c>
      <c r="P42" s="157"/>
      <c r="Q42" s="31"/>
      <c r="R42" s="100" t="str">
        <f>VLOOKUP(C42,'Train Runs'!$A$13:$AE$9978,31,0)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42" s="103" t="str">
        <f>VLOOKUP(C42,'Train Runs'!$A$13:$AE$9978,22,0)</f>
        <v>https://search-rtdc-monitor-bjffxe2xuh6vdkpspy63sjmuny.us-east-1.es.amazonaws.com/_plugin/kibana/#/discover/Steve-Slow-Train-Analysis-(2080s-and-2083s)?_g=(refreshInterval:(display:Off,section:0,value:0),time:(from:'2016-12-03 19:43:11-700',mode:absolute,to:'2016-12-03 21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2" s="105" t="str">
        <f t="shared" si="1"/>
        <v>"C:\Program Files (x86)\AstroGrep\AstroGrep.exe" /spath="%USERPROFILE%\AppData\Local\Temp\OnboardLogs" /stypes="*4030*201612040*" /stext=" 03:.+((SYSTEM_STATE.+slice.+state.+changed )|(ment ac)|(multiple cpu faults)|(system.+state.+changed )|(\[timeout)|(PRM\|1\|D)|(kpr)|(kdp)|(\|lc)|(penalty))" /e /r /s</v>
      </c>
      <c r="U42" s="9" t="str">
        <f t="shared" si="2"/>
        <v>4030</v>
      </c>
      <c r="V42" s="36">
        <f t="shared" si="3"/>
        <v>42708.162662037037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{"issue":{"subject":"","project_id":79,"tracker_id":40,"status_id":1,"priority_id":2,"assigned_to_id":23,"start_date":"2016-12-03","description":"","custom_fields":[{"id":1,"name":"Subdivision","value":"NW"},{"id":4,"name":"Milepost","value":"1.1"},{"id":17,"name":"Train ID","value":"1830-03"},{"id":16,"name":"Locomotive ID","value":"4030"},{"id":130,"name":"Impact","value":""},{"id":150,"name":"Time of Event (Mountain Time)","value":"20:54:14"},{"id":151,"name":"Denver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"%USERPROFILE%\AppData\Local\Temp\OnboardLogs"\RTDC4030\*4030*201612040*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"%USERPROFILE%\AppData\Local\Temp\OnboardLogs"\RTDC4030\*4030*201612040* &gt;&gt; 42707-slicedisagreementcheck.txt</v>
      </c>
    </row>
    <row r="43" spans="1:30" x14ac:dyDescent="0.25">
      <c r="A43" s="36">
        <v>42707.746400462966</v>
      </c>
      <c r="B43" s="31" t="s">
        <v>305</v>
      </c>
      <c r="C43" s="31" t="s">
        <v>450</v>
      </c>
      <c r="D43" s="31" t="s">
        <v>49</v>
      </c>
      <c r="E43" s="31" t="s">
        <v>201</v>
      </c>
      <c r="F43" s="47">
        <v>0</v>
      </c>
      <c r="G43" s="47">
        <v>110</v>
      </c>
      <c r="H43" s="47">
        <v>1002</v>
      </c>
      <c r="I43" s="47">
        <v>923</v>
      </c>
      <c r="J43" s="31" t="s">
        <v>202</v>
      </c>
      <c r="K43" s="47">
        <v>575</v>
      </c>
      <c r="L43" s="154" t="s">
        <v>51</v>
      </c>
      <c r="M43" s="155">
        <f t="shared" si="0"/>
        <v>183.744</v>
      </c>
      <c r="N43" s="156" t="str">
        <f>VLOOKUP(C43,'Trips&amp;Operators'!$C$1:$G$99999,5,FALSE)</f>
        <v>HOLCOMB KAMDEN</v>
      </c>
      <c r="O43" s="182" t="s">
        <v>196</v>
      </c>
      <c r="P43" s="157"/>
      <c r="Q43" s="31"/>
      <c r="R43" s="100" t="str">
        <f>VLOOKUP(C43,'Train Runs'!$A$13:$AE$9978,31,0)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43" s="103" t="str">
        <f>VLOOKUP(C43,'Train Runs'!$A$13:$AE$9978,22,0)</f>
        <v>https://search-rtdc-monitor-bjffxe2xuh6vdkpspy63sjmuny.us-east-1.es.amazonaws.com/_plugin/kibana/#/discover/Steve-Slow-Train-Analysis-(2080s-and-2083s)?_g=(refreshInterval:(display:Off,section:0,value:0),time:(from:'2016-12-03 16:36:44-700',mode:absolute,to:'2016-12-03 18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3" s="105" t="str">
        <f t="shared" si="1"/>
        <v>"C:\Program Files (x86)\AstroGrep\AstroGrep.exe" /spath="%USERPROFILE%\AppData\Local\Temp\OnboardLogs" /stypes="*4030*201612040*" /stext=" 00:.+((SYSTEM_STATE.+slice.+state.+changed )|(ment ac)|(multiple cpu faults)|(system.+state.+changed )|(\[timeout)|(PRM\|1\|D)|(kpr)|(kdp)|(\|lc)|(penalty))" /e /r /s</v>
      </c>
      <c r="U43" s="9" t="str">
        <f t="shared" si="2"/>
        <v>4030</v>
      </c>
      <c r="V43" s="36">
        <f t="shared" si="3"/>
        <v>42708.03806712963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{"issue":{"subject":"","project_id":79,"tracker_id":40,"status_id":1,"priority_id":2,"assigned_to_id":23,"start_date":"2016-12-03","description":"","custom_fields":[{"id":1,"name":"Subdivision","value":"NW"},{"id":4,"name":"Milepost","value":"0.0575"},{"id":17,"name":"Train ID","value":"1824-03"},{"id":16,"name":"Locomotive ID","value":"4030"},{"id":130,"name":"Impact","value":""},{"id":150,"name":"Time of Event (Mountain Time)","value":"17:54:49"},{"id":151,"name":"Denver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"%USERPROFILE%\AppData\Local\Temp\OnboardLogs"\RTDC4030\*4030*201612040*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"%USERPROFILE%\AppData\Local\Temp\OnboardLogs"\RTDC4030\*4030*201612040* &gt;&gt; 42707-slicedisagreementcheck.txt</v>
      </c>
    </row>
    <row r="44" spans="1:30" x14ac:dyDescent="0.25">
      <c r="A44" s="36">
        <v>42707.746921296297</v>
      </c>
      <c r="B44" s="31" t="s">
        <v>305</v>
      </c>
      <c r="C44" s="31" t="s">
        <v>450</v>
      </c>
      <c r="D44" s="31" t="s">
        <v>49</v>
      </c>
      <c r="E44" s="31" t="s">
        <v>201</v>
      </c>
      <c r="F44" s="47">
        <v>0</v>
      </c>
      <c r="G44" s="47">
        <v>50</v>
      </c>
      <c r="H44" s="47">
        <v>706</v>
      </c>
      <c r="I44" s="47">
        <v>675</v>
      </c>
      <c r="J44" s="31" t="s">
        <v>202</v>
      </c>
      <c r="K44" s="47">
        <v>575</v>
      </c>
      <c r="L44" s="154" t="s">
        <v>51</v>
      </c>
      <c r="M44" s="155">
        <f t="shared" si="0"/>
        <v>52.8</v>
      </c>
      <c r="N44" s="156" t="str">
        <f>VLOOKUP(C44,'Trips&amp;Operators'!$C$1:$G$99999,5,FALSE)</f>
        <v>HOLCOMB KAMDEN</v>
      </c>
      <c r="O44" s="182" t="s">
        <v>196</v>
      </c>
      <c r="P44" s="157"/>
      <c r="Q44" s="31"/>
      <c r="R44" s="100" t="str">
        <f>VLOOKUP(C44,'Train Runs'!$A$13:$AE$9978,31,0)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44" s="103" t="str">
        <f>VLOOKUP(C44,'Train Runs'!$A$13:$AE$9978,22,0)</f>
        <v>https://search-rtdc-monitor-bjffxe2xuh6vdkpspy63sjmuny.us-east-1.es.amazonaws.com/_plugin/kibana/#/discover/Steve-Slow-Train-Analysis-(2080s-and-2083s)?_g=(refreshInterval:(display:Off,section:0,value:0),time:(from:'2016-12-03 16:36:44-700',mode:absolute,to:'2016-12-03 18:54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4" s="105" t="str">
        <f t="shared" si="1"/>
        <v>"C:\Program Files (x86)\AstroGrep\AstroGrep.exe" /spath="%USERPROFILE%\AppData\Local\Temp\OnboardLogs" /stypes="*4030*201612040*" /stext=" 00:.+((SYSTEM_STATE.+slice.+state.+changed )|(ment ac)|(multiple cpu faults)|(system.+state.+changed )|(\[timeout)|(PRM\|1\|D)|(kpr)|(kdp)|(\|lc)|(penalty))" /e /r /s</v>
      </c>
      <c r="U44" s="9" t="str">
        <f t="shared" si="2"/>
        <v>4030</v>
      </c>
      <c r="V44" s="36">
        <f t="shared" si="3"/>
        <v>42708.038587962961</v>
      </c>
      <c r="W44" s="50" t="str">
        <f t="shared" si="4"/>
        <v>NW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{"issue":{"subject":"","project_id":79,"tracker_id":40,"status_id":1,"priority_id":2,"assigned_to_id":23,"start_date":"2016-12-03","description":"","custom_fields":[{"id":1,"name":"Subdivision","value":"NW"},{"id":4,"name":"Milepost","value":"0.0575"},{"id":17,"name":"Train ID","value":"1824-03"},{"id":16,"name":"Locomotive ID","value":"4030"},{"id":130,"name":"Impact","value":""},{"id":150,"name":"Time of Event (Mountain Time)","value":"17:55:34"},{"id":151,"name":"Denver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"%USERPROFILE%\AppData\Local\Temp\OnboardLogs"\RTDC4030\*4030*201612040*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"%USERPROFILE%\AppData\Local\Temp\OnboardLogs"\RTDC4030\*4030*201612040* &gt;&gt; 42707-slicedisagreementcheck.txt</v>
      </c>
    </row>
    <row r="45" spans="1:30" x14ac:dyDescent="0.25">
      <c r="A45" s="36">
        <v>42707.860659722224</v>
      </c>
      <c r="B45" s="31" t="s">
        <v>308</v>
      </c>
      <c r="C45" s="31" t="s">
        <v>457</v>
      </c>
      <c r="D45" s="31" t="s">
        <v>49</v>
      </c>
      <c r="E45" s="31" t="s">
        <v>201</v>
      </c>
      <c r="F45" s="47">
        <v>0</v>
      </c>
      <c r="G45" s="47">
        <v>48</v>
      </c>
      <c r="H45" s="47">
        <v>58926</v>
      </c>
      <c r="I45" s="47">
        <v>58958</v>
      </c>
      <c r="J45" s="31" t="s">
        <v>202</v>
      </c>
      <c r="K45" s="47">
        <v>59048</v>
      </c>
      <c r="L45" s="154" t="s">
        <v>50</v>
      </c>
      <c r="M45" s="155">
        <f t="shared" si="0"/>
        <v>47.52</v>
      </c>
      <c r="N45" s="156" t="str">
        <f>VLOOKUP(C45,'Trips&amp;Operators'!$C$1:$G$99999,5,FALSE)</f>
        <v>HOLCOMB KAMDEN</v>
      </c>
      <c r="O45" s="182" t="s">
        <v>196</v>
      </c>
      <c r="P45" s="157"/>
      <c r="Q45" s="31"/>
      <c r="R45" s="100" t="str">
        <f>VLOOKUP(C45,'Train Runs'!$A$13:$AE$9978,31,0)</f>
        <v>aws s3 cp s3://rtdc.mdm.uploadarchive.raw/RTDC4029/ "%USERPROFILE%\AppData\Local\Temp\OnboardLogs"\RTDC4029\2016-12-03 --exclude "*" --recursive --include "*20161203*" &amp; "%USERPROFILE%\Documents\GitHub\mrs-test-scripts\Headless Mode &amp; Sideloading\WalkAndUnGZ.bat" "%USERPROFILE%\AppData\Local\Temp\OnboardLogs"\RTDC4029\2016-12-03 &amp; aws s3 cp s3://rtdc.mdm.uploadarchive.raw/RTDC4029/ "%USERPROFILE%\AppData\Local\Temp\OnboardLogs"\RTDC4029\2016-12-04 --exclude "*" --recursive --include "*20161204*" &amp; "%USERPROFILE%\Documents\GitHub\mrs-test-scripts\Headless Mode &amp; Sideloading\WalkAndUnGZ.bat" "%USERPROFILE%\AppData\Local\Temp\OnboardLogs"\RTDC4029\2016-12-04</v>
      </c>
      <c r="S45" s="103" t="str">
        <f>VLOOKUP(C45,'Train Runs'!$A$13:$AE$9978,22,0)</f>
        <v>https://search-rtdc-monitor-bjffxe2xuh6vdkpspy63sjmuny.us-east-1.es.amazonaws.com/_plugin/kibana/#/discover/Steve-Slow-Train-Analysis-(2080s-and-2083s)?_g=(refreshInterval:(display:Off,section:0,value:0),time:(from:'2016-12-03 19:11:56-700',mode:absolute,to:'2016-12-03 21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45" s="105" t="str">
        <f t="shared" si="1"/>
        <v>"C:\Program Files (x86)\AstroGrep\AstroGrep.exe" /spath="%USERPROFILE%\AppData\Local\Temp\OnboardLogs" /stypes="*4029*201612040*" /stext=" 03:.+((SYSTEM_STATE.+slice.+state.+changed )|(ment ac)|(multiple cpu faults)|(system.+state.+changed )|(\[timeout)|(PRM\|1\|D)|(kpr)|(kdp)|(\|lc)|(penalty))" /e /r /s</v>
      </c>
      <c r="U45" s="9" t="str">
        <f t="shared" si="2"/>
        <v>4029</v>
      </c>
      <c r="V45" s="36">
        <f t="shared" si="3"/>
        <v>42708.152326388888</v>
      </c>
      <c r="W45" s="50" t="str">
        <f t="shared" si="4"/>
        <v>NW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{"issue":{"subject":"","project_id":79,"tracker_id":40,"status_id":1,"priority_id":2,"assigned_to_id":23,"start_date":"2016-12-03","description":"","custom_fields":[{"id":1,"name":"Subdivision","value":"NW"},{"id":4,"name":"Milepost","value":"5.9048"},{"id":17,"name":"Train ID","value":"1829-03"},{"id":16,"name":"Locomotive ID","value":"4029"},{"id":130,"name":"Impact","value":""},{"id":150,"name":"Time of Event (Mountain Time)","value":"20:39:21"},{"id":151,"name":"Denver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"%USERPROFILE%\AppData\Local\Temp\OnboardLogs"\RTDC4029\*4029*201612040*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"%USERPROFILE%\AppData\Local\Temp\OnboardLogs"\RTDC4029\*4029*201612040* &gt;&gt; 42707-slicedisagreementcheck.txt</v>
      </c>
    </row>
    <row r="46" spans="1:30" x14ac:dyDescent="0.25">
      <c r="A46" s="36">
        <v>42707.946956018517</v>
      </c>
      <c r="B46" s="31" t="s">
        <v>305</v>
      </c>
      <c r="C46" s="31" t="s">
        <v>463</v>
      </c>
      <c r="D46" s="31" t="s">
        <v>49</v>
      </c>
      <c r="E46" s="31" t="s">
        <v>197</v>
      </c>
      <c r="F46" s="47">
        <v>400</v>
      </c>
      <c r="G46" s="47">
        <v>463</v>
      </c>
      <c r="H46" s="47">
        <v>51106</v>
      </c>
      <c r="I46" s="47">
        <v>49683</v>
      </c>
      <c r="J46" s="31" t="s">
        <v>198</v>
      </c>
      <c r="K46" s="47">
        <v>49775</v>
      </c>
      <c r="L46" s="154" t="s">
        <v>51</v>
      </c>
      <c r="M46" s="155">
        <f t="shared" si="0"/>
        <v>-48.576000000000001</v>
      </c>
      <c r="N46" s="156" t="str">
        <f>VLOOKUP(C46,'Trips&amp;Operators'!$C$1:$G$99999,5,FALSE)</f>
        <v>HOLCOMB KAMDEN</v>
      </c>
      <c r="O46" s="182" t="s">
        <v>196</v>
      </c>
      <c r="P46" s="157"/>
      <c r="Q46" s="31"/>
      <c r="R46" s="100" t="str">
        <f>VLOOKUP(C46,'Train Runs'!$A$13:$AE$9978,31,0)</f>
        <v>aws s3 cp s3://rtdc.mdm.uploadarchive.raw/RTDC4030/ "%USERPROFILE%\AppData\Local\Temp\OnboardLogs"\RTDC4030\2016-12-03 --exclude "*" --recursive --include "*20161203*" &amp; "%USERPROFILE%\Documents\GitHub\mrs-test-scripts\Headless Mode &amp; Sideloading\WalkAndUnGZ.bat" "%USERPROFILE%\AppData\Local\Temp\OnboardLogs"\RTDC4030\2016-12-03 &amp; aws s3 cp s3://rtdc.mdm.uploadarchive.raw/RTDC4030/ "%USERPROFILE%\AppData\Local\Temp\OnboardLogs"\RTDC4030\2016-12-04 --exclude "*" --recursive --include "*20161204*" &amp; "%USERPROFILE%\Documents\GitHub\mrs-test-scripts\Headless Mode &amp; Sideloading\WalkAndUnGZ.bat" "%USERPROFILE%\AppData\Local\Temp\OnboardLogs"\RTDC4030\2016-12-04</v>
      </c>
      <c r="S46" s="103" t="str">
        <f>VLOOKUP(C46,'Train Runs'!$A$13:$AE$9978,22,0)</f>
        <v>https://search-rtdc-monitor-bjffxe2xuh6vdkpspy63sjmuny.us-east-1.es.amazonaws.com/_plugin/kibana/#/discover/Steve-Slow-Train-Analysis-(2080s-and-2083s)?_g=(refreshInterval:(display:Off,section:0,value:0),time:(from:'2016-12-03 21:37:28-700',mode:absolute,to:'2016-12-03 23:48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46" s="105" t="str">
        <f t="shared" si="1"/>
        <v>"C:\Program Files (x86)\AstroGrep\AstroGrep.exe" /spath="%USERPROFILE%\AppData\Local\Temp\OnboardLogs" /stypes="*4030*201612040*" /stext=" 05:.+((SYSTEM_STATE.+slice.+state.+changed )|(ment ac)|(multiple cpu faults)|(system.+state.+changed )|(\[timeout)|(PRM\|1\|D)|(kpr)|(kdp)|(\|lc)|(penalty))" /e /r /s</v>
      </c>
      <c r="U46" s="9" t="str">
        <f t="shared" si="2"/>
        <v>4030</v>
      </c>
      <c r="V46" s="36">
        <f t="shared" si="3"/>
        <v>42708.238622685181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{"issue":{"subject":"","project_id":79,"tracker_id":40,"status_id":1,"priority_id":2,"assigned_to_id":23,"start_date":"2016-12-03","description":"","custom_fields":[{"id":1,"name":"Subdivision","value":"Other"},{"id":4,"name":"Milepost","value":"4.9775"},{"id":17,"name":"Train ID","value":"1902-03"},{"id":16,"name":"Locomotive ID","value":"4030"},{"id":130,"name":"Impact","value":""},{"id":150,"name":"Time of Event (Mountain Time)","value":"22:43:37"},{"id":151,"name":"Denver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"%USERPROFILE%\AppData\Local\Temp\OnboardLogs"\RTDC4030\*4030*201612040*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"%USERPROFILE%\AppData\Local\Temp\OnboardLogs"\RTDC4030\*4030*201612040* &gt;&gt; 42707-slicedisagreementcheck.txt</v>
      </c>
    </row>
    <row r="47" spans="1:30" x14ac:dyDescent="0.25">
      <c r="A47" s="36">
        <v>42707.761099537034</v>
      </c>
      <c r="B47" s="31" t="s">
        <v>262</v>
      </c>
      <c r="C47" s="31" t="s">
        <v>452</v>
      </c>
      <c r="D47" s="31" t="s">
        <v>49</v>
      </c>
      <c r="E47" s="31" t="s">
        <v>201</v>
      </c>
      <c r="F47" s="47">
        <v>0</v>
      </c>
      <c r="G47" s="47">
        <v>18</v>
      </c>
      <c r="H47" s="47">
        <v>888</v>
      </c>
      <c r="I47" s="47">
        <v>879</v>
      </c>
      <c r="J47" s="31" t="s">
        <v>202</v>
      </c>
      <c r="K47" s="47">
        <v>839</v>
      </c>
      <c r="L47" s="154" t="s">
        <v>51</v>
      </c>
      <c r="M47" s="155">
        <f t="shared" si="0"/>
        <v>21.12</v>
      </c>
      <c r="N47" s="156" t="str">
        <f>VLOOKUP(C47,'Trips&amp;Operators'!$C$1:$G$99999,5,FALSE)</f>
        <v>BADERTSCHER DIANE</v>
      </c>
      <c r="O47" s="182" t="s">
        <v>196</v>
      </c>
      <c r="P47" s="157"/>
      <c r="Q47" s="31"/>
      <c r="R47" s="100" t="str">
        <f>VLOOKUP(C47,'Train Runs'!$A$13:$AE$9978,31,0)</f>
        <v>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 &amp; aws s3 cp s3://rtdc.mdm.uploadarchive.raw/RTDC4010/ "%USERPROFILE%\AppData\Local\Temp\OnboardLogs"\RTDC4010\2016-12-04 --exclude "*" --recursive --include "*20161204*" &amp; "%USERPROFILE%\Documents\GitHub\mrs-test-scripts\Headless Mode &amp; Sideloading\WalkAndUnGZ.bat" "%USERPROFILE%\AppData\Local\Temp\OnboardLogs"\RTDC4010\2016-12-04</v>
      </c>
      <c r="S47" s="103" t="str">
        <f>VLOOKUP(C47,'Train Runs'!$A$13:$AE$9978,22,0)</f>
        <v>https://search-rtdc-monitor-bjffxe2xuh6vdkpspy63sjmuny.us-east-1.es.amazonaws.com/_plugin/kibana/#/discover/Steve-Slow-Train-Analysis-(2080s-and-2083s)?_g=(refreshInterval:(display:Off,section:0,value:0),time:(from:'2016-12-03 16:51:50-700',mode:absolute,to:'2016-12-03 19:15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7" s="105" t="str">
        <f t="shared" si="1"/>
        <v>"C:\Program Files (x86)\AstroGrep\AstroGrep.exe" /spath="%USERPROFILE%\AppData\Local\Temp\OnboardLogs" /stypes="*4010*201612040*" /stext=" 01:.+((SYSTEM_STATE.+slice.+state.+changed )|(ment ac)|(multiple cpu faults)|(system.+state.+changed )|(\[timeout)|(PRM\|1\|D)|(kpr)|(kdp)|(\|lc)|(penalty))" /e /r /s</v>
      </c>
      <c r="U47" s="9" t="str">
        <f t="shared" si="2"/>
        <v>4010</v>
      </c>
      <c r="V47" s="36">
        <f t="shared" si="3"/>
        <v>42708.052766203698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{"issue":{"subject":"","project_id":79,"tracker_id":40,"status_id":1,"priority_id":2,"assigned_to_id":23,"start_date":"2016-12-03","description":"","custom_fields":[{"id":1,"name":"Subdivision","value":"Other"},{"id":4,"name":"Milepost","value":"0.0839"},{"id":17,"name":"Train ID","value":"72-03"},{"id":16,"name":"Locomotive ID","value":"4010"},{"id":130,"name":"Impact","value":""},{"id":150,"name":"Time of Event (Mountain Time)","value":"18:15:59"},{"id":151,"name":"Denver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"%USERPROFILE%\AppData\Local\Temp\OnboardLogs"\RTDC4010\*4010*201612040*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"%USERPROFILE%\AppData\Local\Temp\OnboardLogs"\RTDC4010\*4010*201612040* &gt;&gt; 42707-slicedisagreementcheck.txt</v>
      </c>
    </row>
    <row r="48" spans="1:30" x14ac:dyDescent="0.25">
      <c r="A48" s="36">
        <v>42707.761666666665</v>
      </c>
      <c r="B48" s="31" t="s">
        <v>262</v>
      </c>
      <c r="C48" s="31" t="s">
        <v>452</v>
      </c>
      <c r="D48" s="31" t="s">
        <v>49</v>
      </c>
      <c r="E48" s="31" t="s">
        <v>201</v>
      </c>
      <c r="F48" s="47">
        <v>0</v>
      </c>
      <c r="G48" s="47">
        <v>9</v>
      </c>
      <c r="H48" s="47">
        <v>850</v>
      </c>
      <c r="I48" s="47">
        <v>843</v>
      </c>
      <c r="J48" s="31" t="s">
        <v>202</v>
      </c>
      <c r="K48" s="47">
        <v>839</v>
      </c>
      <c r="L48" s="154" t="s">
        <v>51</v>
      </c>
      <c r="M48" s="155">
        <f t="shared" si="0"/>
        <v>2.1120000000000001</v>
      </c>
      <c r="N48" s="156" t="str">
        <f>VLOOKUP(C48,'Trips&amp;Operators'!$C$1:$G$99999,5,FALSE)</f>
        <v>BADERTSCHER DIANE</v>
      </c>
      <c r="O48" s="182" t="s">
        <v>196</v>
      </c>
      <c r="P48" s="157"/>
      <c r="Q48" s="31"/>
      <c r="R48" s="100" t="str">
        <f>VLOOKUP(C48,'Train Runs'!$A$13:$AE$9978,31,0)</f>
        <v>aws s3 cp s3://rtdc.mdm.uploadarchive.raw/RTDC4010/ "%USERPROFILE%\AppData\Local\Temp\OnboardLogs"\RTDC4010\2016-12-03 --exclude "*" --recursive --include "*20161203*" &amp; "%USERPROFILE%\Documents\GitHub\mrs-test-scripts\Headless Mode &amp; Sideloading\WalkAndUnGZ.bat" "%USERPROFILE%\AppData\Local\Temp\OnboardLogs"\RTDC4010\2016-12-03 &amp; aws s3 cp s3://rtdc.mdm.uploadarchive.raw/RTDC4010/ "%USERPROFILE%\AppData\Local\Temp\OnboardLogs"\RTDC4010\2016-12-04 --exclude "*" --recursive --include "*20161204*" &amp; "%USERPROFILE%\Documents\GitHub\mrs-test-scripts\Headless Mode &amp; Sideloading\WalkAndUnGZ.bat" "%USERPROFILE%\AppData\Local\Temp\OnboardLogs"\RTDC4010\2016-12-04</v>
      </c>
      <c r="S48" s="103" t="str">
        <f>VLOOKUP(C48,'Train Runs'!$A$13:$AE$9978,22,0)</f>
        <v>https://search-rtdc-monitor-bjffxe2xuh6vdkpspy63sjmuny.us-east-1.es.amazonaws.com/_plugin/kibana/#/discover/Steve-Slow-Train-Analysis-(2080s-and-2083s)?_g=(refreshInterval:(display:Off,section:0,value:0),time:(from:'2016-12-03 16:51:50-700',mode:absolute,to:'2016-12-03 19:15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8" s="105" t="str">
        <f t="shared" si="1"/>
        <v>"C:\Program Files (x86)\AstroGrep\AstroGrep.exe" /spath="%USERPROFILE%\AppData\Local\Temp\OnboardLogs" /stypes="*4010*201612040*" /stext=" 01:.+((SYSTEM_STATE.+slice.+state.+changed )|(ment ac)|(multiple cpu faults)|(system.+state.+changed )|(\[timeout)|(PRM\|1\|D)|(kpr)|(kdp)|(\|lc)|(penalty))" /e /r /s</v>
      </c>
      <c r="U48" s="9" t="str">
        <f t="shared" si="2"/>
        <v>4010</v>
      </c>
      <c r="V48" s="36">
        <f t="shared" si="3"/>
        <v>42708.05333333333</v>
      </c>
      <c r="W48" s="50" t="str">
        <f t="shared" si="4"/>
        <v>Other</v>
      </c>
      <c r="X48" s="50" t="str">
        <f t="shared" si="5"/>
        <v>OMIT</v>
      </c>
      <c r="Y48" s="119" t="str">
        <f t="shared" si="6"/>
        <v>echo {"issue":{"subject":"","project_id":79,"tracker_id":40,"status_id":1,"priority_id":2,"assigned_to_id":23,"start_date":"2016-12-03","description":"","custom_fields":[{"id":1,"name":"Subdivision","value":"Other"},{"id":4,"name":"Milepost","value":"0.0839"},{"id":17,"name":"Train ID","value":"72-03"},{"id":16,"name":"Locomotive ID","value":"4010"},{"id":130,"name":"Impact","value":""},{"id":150,"name":"Time of Event (Mountain Time)","value":"18:16:48"},{"id":151,"name":"Denver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"%USERPROFILE%\AppData\Local\Temp\OnboardLogs"\RTDC4010\*4010*201612040*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"%USERPROFILE%\AppData\Local\Temp\OnboardLogs"\RTDC4010\*4010*201612040* &gt;&gt; 42707-slicedisagreementcheck.txt</v>
      </c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8">
      <sortCondition ref="V6:V46"/>
    </sortState>
  </autoFilter>
  <sortState ref="A8:AD48">
    <sortCondition ref="W7:W48"/>
    <sortCondition ref="E7:E48"/>
    <sortCondition ref="K7:K48"/>
    <sortCondition ref="C7:C48"/>
    <sortCondition ref="F7:F48"/>
  </sortState>
  <mergeCells count="1">
    <mergeCell ref="A5:O5"/>
  </mergeCells>
  <conditionalFormatting sqref="O6:P6 R6 O76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hyperlinks>
    <hyperlink ref="Z2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AA7:AA17 AA18:AA48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AB7:AB17 AB18:AB48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A3" sqref="A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2016-12-03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-03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3" s="31" t="e">
        <f>VLOOKUP(B3,'Train Runs'!$A$13:$A$99975,1,FALSE)</f>
        <v>#N/A</v>
      </c>
      <c r="K3" s="31" t="e">
        <f>IF(VLOOKUP(A3,$K$40:$K$63,1,FALSE),"Cancelled")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-03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4" s="31" t="e">
        <f>VLOOKUP(B4,'Train Runs'!$A$13:$A$99975,1,FALSE)</f>
        <v>#N/A</v>
      </c>
      <c r="K4" s="31" t="e">
        <f>IF(VLOOKUP(A4,$K$40:$K$63,1,FALSE),"Cancelled")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-03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5" s="31" t="e">
        <f>VLOOKUP(B5,'Train Runs'!$A$13:$A$99975,1,FALSE)</f>
        <v>#N/A</v>
      </c>
      <c r="K5" s="31" t="e">
        <f>IF(VLOOKUP(A5,$K$40:$K$63,1,FALSE),"Cancelled")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-03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0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6" s="31" t="e">
        <f>VLOOKUP(B6,'Train Runs'!$A$13:$A$99975,1,FALSE)</f>
        <v>#N/A</v>
      </c>
      <c r="K6" s="31" t="e">
        <f t="shared" ref="K6:K10" si="2">IF(VLOOKUP(A6,$K$40:$K$63,1,FALSE),"Cancelled")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-03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7" s="31" t="e">
        <f>VLOOKUP(B7,'Train Runs'!$A$13:$A$99975,1,FALSE)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-03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8" s="31" t="e">
        <f>VLOOKUP(B8,'Train Runs'!$A$13:$A$99975,1,FALSE)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-03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9" s="31" t="e">
        <f>VLOOKUP(B9,'Train Runs'!$A$13:$A$99975,1,FALSE)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-03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-03%22)),sort:!(Time,asc))</v>
      </c>
      <c r="J10" s="31" t="e">
        <f>VLOOKUP(B10,'Train Runs'!$A$13:$A$99975,1,FALSE)</f>
        <v>#N/A</v>
      </c>
      <c r="K10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345</v>
      </c>
      <c r="G1" s="8" t="s">
        <v>344</v>
      </c>
    </row>
    <row r="2" spans="1:7" x14ac:dyDescent="0.25">
      <c r="A2" s="8">
        <v>42707.034710648149</v>
      </c>
      <c r="B2" s="21" t="s">
        <v>184</v>
      </c>
      <c r="C2" s="21" t="s">
        <v>467</v>
      </c>
      <c r="D2" s="165">
        <v>1300000</v>
      </c>
      <c r="E2" s="21" t="s">
        <v>113</v>
      </c>
      <c r="F2" s="21" t="s">
        <v>342</v>
      </c>
      <c r="G2" s="8" t="str">
        <f>E2&amp;" "&amp;F2</f>
        <v>LEVIN SCOTT</v>
      </c>
    </row>
    <row r="3" spans="1:7" x14ac:dyDescent="0.25">
      <c r="A3" s="8">
        <v>42707.035057870373</v>
      </c>
      <c r="B3" s="21" t="s">
        <v>215</v>
      </c>
      <c r="C3" s="21" t="s">
        <v>468</v>
      </c>
      <c r="D3" s="165">
        <v>1800000</v>
      </c>
      <c r="E3" s="21" t="s">
        <v>271</v>
      </c>
      <c r="F3" s="21" t="s">
        <v>469</v>
      </c>
      <c r="G3" s="8" t="str">
        <f t="shared" ref="G3:G66" si="0">E3&amp;" "&amp;F3</f>
        <v>CHANDLER KELVIN</v>
      </c>
    </row>
    <row r="4" spans="1:7" x14ac:dyDescent="0.25">
      <c r="A4" s="8">
        <v>42707.048159722224</v>
      </c>
      <c r="B4" s="21" t="s">
        <v>219</v>
      </c>
      <c r="C4" s="21" t="s">
        <v>470</v>
      </c>
      <c r="D4" s="165">
        <v>1230000</v>
      </c>
      <c r="E4" s="21" t="s">
        <v>297</v>
      </c>
      <c r="F4" s="21" t="s">
        <v>335</v>
      </c>
      <c r="G4" s="8" t="str">
        <f t="shared" si="0"/>
        <v>YANAI IAN</v>
      </c>
    </row>
    <row r="5" spans="1:7" x14ac:dyDescent="0.25">
      <c r="A5" s="8">
        <v>42707.056574074071</v>
      </c>
      <c r="B5" s="21" t="s">
        <v>262</v>
      </c>
      <c r="C5" s="21" t="s">
        <v>471</v>
      </c>
      <c r="D5" s="165">
        <v>2000000</v>
      </c>
      <c r="E5" s="21" t="s">
        <v>214</v>
      </c>
      <c r="F5" s="21" t="s">
        <v>343</v>
      </c>
      <c r="G5" s="8" t="str">
        <f t="shared" si="0"/>
        <v>STAMBAUGH JAMES</v>
      </c>
    </row>
    <row r="6" spans="1:7" x14ac:dyDescent="0.25">
      <c r="A6" s="8">
        <v>42707.070486111108</v>
      </c>
      <c r="B6" s="21" t="s">
        <v>208</v>
      </c>
      <c r="C6" s="21" t="s">
        <v>472</v>
      </c>
      <c r="D6" s="165">
        <v>1800000</v>
      </c>
      <c r="E6" s="21" t="s">
        <v>271</v>
      </c>
      <c r="F6" s="21" t="s">
        <v>469</v>
      </c>
      <c r="G6" s="8" t="str">
        <f t="shared" si="0"/>
        <v>CHANDLER KELVIN</v>
      </c>
    </row>
    <row r="7" spans="1:7" x14ac:dyDescent="0.25">
      <c r="A7" s="8">
        <v>42707.078761574077</v>
      </c>
      <c r="B7" s="21" t="s">
        <v>360</v>
      </c>
      <c r="C7" s="21" t="s">
        <v>473</v>
      </c>
      <c r="D7" s="165">
        <v>1300000</v>
      </c>
      <c r="E7" s="21" t="s">
        <v>113</v>
      </c>
      <c r="F7" s="21" t="s">
        <v>342</v>
      </c>
      <c r="G7" s="8" t="str">
        <f t="shared" si="0"/>
        <v>LEVIN SCOTT</v>
      </c>
    </row>
    <row r="8" spans="1:7" x14ac:dyDescent="0.25">
      <c r="A8" s="8">
        <v>42707.088449074072</v>
      </c>
      <c r="B8" s="21" t="s">
        <v>217</v>
      </c>
      <c r="C8" s="21" t="s">
        <v>474</v>
      </c>
      <c r="D8" s="165">
        <v>2000000</v>
      </c>
      <c r="E8" s="21" t="s">
        <v>214</v>
      </c>
      <c r="F8" s="21" t="s">
        <v>343</v>
      </c>
      <c r="G8" s="8" t="str">
        <f t="shared" si="0"/>
        <v>STAMBAUGH JAMES</v>
      </c>
    </row>
    <row r="9" spans="1:7" ht="15.75" thickBot="1" x14ac:dyDescent="0.3">
      <c r="A9" s="25">
        <v>42707.109386574077</v>
      </c>
      <c r="B9" s="21" t="s">
        <v>184</v>
      </c>
      <c r="C9" s="21" t="s">
        <v>475</v>
      </c>
      <c r="D9" s="165">
        <v>1300000</v>
      </c>
      <c r="E9" s="21" t="s">
        <v>113</v>
      </c>
      <c r="F9" s="21" t="s">
        <v>342</v>
      </c>
      <c r="G9" s="8" t="str">
        <f t="shared" si="0"/>
        <v>LEVIN SCOTT</v>
      </c>
    </row>
    <row r="10" spans="1:7" x14ac:dyDescent="0.25">
      <c r="A10" s="8">
        <v>42707.119409722225</v>
      </c>
      <c r="B10" s="21" t="s">
        <v>253</v>
      </c>
      <c r="C10" s="21" t="s">
        <v>476</v>
      </c>
      <c r="D10" s="165">
        <v>2010000</v>
      </c>
      <c r="E10" s="21" t="s">
        <v>318</v>
      </c>
      <c r="F10" s="21" t="s">
        <v>336</v>
      </c>
      <c r="G10" s="8" t="str">
        <f t="shared" si="0"/>
        <v>MAELZER KURT</v>
      </c>
    </row>
    <row r="11" spans="1:7" x14ac:dyDescent="0.25">
      <c r="A11" s="8">
        <v>42707.130057870374</v>
      </c>
      <c r="B11" s="21" t="s">
        <v>289</v>
      </c>
      <c r="C11" s="21" t="s">
        <v>477</v>
      </c>
      <c r="D11" s="165">
        <v>2010000</v>
      </c>
      <c r="E11" s="21" t="s">
        <v>318</v>
      </c>
      <c r="F11" s="21" t="s">
        <v>336</v>
      </c>
      <c r="G11" s="8" t="str">
        <f t="shared" si="0"/>
        <v>MAELZER KURT</v>
      </c>
    </row>
    <row r="12" spans="1:7" x14ac:dyDescent="0.25">
      <c r="A12" s="8">
        <v>42707.137696759259</v>
      </c>
      <c r="B12" s="21" t="s">
        <v>259</v>
      </c>
      <c r="C12" s="21" t="s">
        <v>478</v>
      </c>
      <c r="D12" s="165">
        <v>2140000</v>
      </c>
      <c r="E12" s="21" t="s">
        <v>352</v>
      </c>
      <c r="F12" s="21" t="s">
        <v>353</v>
      </c>
      <c r="G12" s="8" t="str">
        <f t="shared" si="0"/>
        <v>ROBINSON KADDIBA</v>
      </c>
    </row>
    <row r="13" spans="1:7" x14ac:dyDescent="0.25">
      <c r="A13" s="8">
        <v>42707.138344907406</v>
      </c>
      <c r="B13" s="21" t="s">
        <v>259</v>
      </c>
      <c r="C13" s="21" t="s">
        <v>478</v>
      </c>
      <c r="D13" s="165">
        <v>2140000</v>
      </c>
      <c r="E13" s="21" t="s">
        <v>352</v>
      </c>
      <c r="F13" s="21" t="s">
        <v>353</v>
      </c>
      <c r="G13" s="8" t="str">
        <f t="shared" si="0"/>
        <v>ROBINSON KADDIBA</v>
      </c>
    </row>
    <row r="14" spans="1:7" x14ac:dyDescent="0.25">
      <c r="A14" s="8">
        <v>42707.13962962963</v>
      </c>
      <c r="B14" s="21" t="s">
        <v>259</v>
      </c>
      <c r="C14" s="21" t="s">
        <v>435</v>
      </c>
      <c r="D14" s="165">
        <v>2140000</v>
      </c>
      <c r="E14" s="21" t="s">
        <v>352</v>
      </c>
      <c r="F14" s="21" t="s">
        <v>353</v>
      </c>
      <c r="G14" s="8" t="str">
        <f t="shared" si="0"/>
        <v>ROBINSON KADDIBA</v>
      </c>
    </row>
    <row r="15" spans="1:7" x14ac:dyDescent="0.25">
      <c r="A15" s="8">
        <v>42707.140289351853</v>
      </c>
      <c r="B15" s="21" t="s">
        <v>259</v>
      </c>
      <c r="C15" s="21" t="s">
        <v>478</v>
      </c>
      <c r="D15" s="165">
        <v>2140000</v>
      </c>
      <c r="E15" s="21" t="s">
        <v>352</v>
      </c>
      <c r="F15" s="21" t="s">
        <v>353</v>
      </c>
      <c r="G15" s="8" t="str">
        <f t="shared" si="0"/>
        <v>ROBINSON KADDIBA</v>
      </c>
    </row>
    <row r="16" spans="1:7" x14ac:dyDescent="0.25">
      <c r="A16" s="8">
        <v>42707.15116898148</v>
      </c>
      <c r="B16" s="21" t="s">
        <v>357</v>
      </c>
      <c r="C16" s="21" t="s">
        <v>435</v>
      </c>
      <c r="D16" s="165">
        <v>2140000</v>
      </c>
      <c r="E16" s="21" t="s">
        <v>352</v>
      </c>
      <c r="F16" s="21" t="s">
        <v>353</v>
      </c>
      <c r="G16" s="8" t="str">
        <f t="shared" si="0"/>
        <v>ROBINSON KADDIBA</v>
      </c>
    </row>
    <row r="17" spans="1:7" x14ac:dyDescent="0.25">
      <c r="A17" s="8">
        <v>42707.163101851853</v>
      </c>
      <c r="B17" s="21" t="s">
        <v>222</v>
      </c>
      <c r="C17" s="21" t="s">
        <v>479</v>
      </c>
      <c r="D17" s="165">
        <v>1260000</v>
      </c>
      <c r="E17" s="21" t="s">
        <v>480</v>
      </c>
      <c r="F17" s="21" t="s">
        <v>481</v>
      </c>
      <c r="G17" s="8" t="str">
        <f t="shared" si="0"/>
        <v>ACKERMAN JARED</v>
      </c>
    </row>
    <row r="18" spans="1:7" x14ac:dyDescent="0.25">
      <c r="A18" s="8">
        <v>42707.164247685185</v>
      </c>
      <c r="B18" s="21" t="s">
        <v>222</v>
      </c>
      <c r="C18" s="21" t="s">
        <v>479</v>
      </c>
      <c r="D18" s="165">
        <v>1260000</v>
      </c>
      <c r="E18" s="21" t="s">
        <v>480</v>
      </c>
      <c r="F18" s="21" t="s">
        <v>481</v>
      </c>
      <c r="G18" s="8" t="str">
        <f t="shared" si="0"/>
        <v>ACKERMAN JARED</v>
      </c>
    </row>
    <row r="19" spans="1:7" x14ac:dyDescent="0.25">
      <c r="A19" s="8">
        <v>42707.166932870372</v>
      </c>
      <c r="B19" s="21" t="s">
        <v>253</v>
      </c>
      <c r="C19" s="21" t="s">
        <v>482</v>
      </c>
      <c r="D19" s="165">
        <v>2010000</v>
      </c>
      <c r="E19" s="21" t="s">
        <v>318</v>
      </c>
      <c r="F19" s="21" t="s">
        <v>336</v>
      </c>
      <c r="G19" s="8" t="str">
        <f t="shared" si="0"/>
        <v>MAELZER KURT</v>
      </c>
    </row>
    <row r="20" spans="1:7" x14ac:dyDescent="0.25">
      <c r="A20" s="8">
        <v>42707.174756944441</v>
      </c>
      <c r="B20" s="21" t="s">
        <v>233</v>
      </c>
      <c r="C20" s="21" t="s">
        <v>483</v>
      </c>
      <c r="D20" s="165">
        <v>1260000</v>
      </c>
      <c r="E20" s="21" t="s">
        <v>480</v>
      </c>
      <c r="F20" s="21" t="s">
        <v>481</v>
      </c>
      <c r="G20" s="8" t="str">
        <f t="shared" si="0"/>
        <v>ACKERMAN JARED</v>
      </c>
    </row>
    <row r="21" spans="1:7" x14ac:dyDescent="0.25">
      <c r="A21" s="8">
        <v>42707.176550925928</v>
      </c>
      <c r="B21" s="21" t="s">
        <v>212</v>
      </c>
      <c r="C21" s="21" t="s">
        <v>484</v>
      </c>
      <c r="D21" s="165">
        <v>1990000</v>
      </c>
      <c r="E21" s="21" t="s">
        <v>485</v>
      </c>
      <c r="F21" s="21" t="s">
        <v>486</v>
      </c>
      <c r="G21" s="8" t="str">
        <f t="shared" si="0"/>
        <v>DAVIS WENDY</v>
      </c>
    </row>
    <row r="22" spans="1:7" x14ac:dyDescent="0.25">
      <c r="A22" s="27">
        <v>42707.180567129632</v>
      </c>
      <c r="B22" s="21" t="s">
        <v>310</v>
      </c>
      <c r="C22" s="21" t="s">
        <v>487</v>
      </c>
      <c r="D22" s="165">
        <v>2030000</v>
      </c>
      <c r="E22" s="21" t="s">
        <v>488</v>
      </c>
      <c r="F22" s="21" t="s">
        <v>338</v>
      </c>
      <c r="G22" s="8" t="str">
        <f t="shared" si="0"/>
        <v>KILLION DAVID</v>
      </c>
    </row>
    <row r="23" spans="1:7" x14ac:dyDescent="0.25">
      <c r="A23" s="8">
        <v>42707.185486111113</v>
      </c>
      <c r="B23" s="21" t="s">
        <v>210</v>
      </c>
      <c r="C23" s="21" t="s">
        <v>489</v>
      </c>
      <c r="D23" s="165">
        <v>1990000</v>
      </c>
      <c r="E23" s="21" t="s">
        <v>485</v>
      </c>
      <c r="F23" s="21" t="s">
        <v>486</v>
      </c>
      <c r="G23" s="8" t="str">
        <f t="shared" si="0"/>
        <v>DAVIS WENDY</v>
      </c>
    </row>
    <row r="24" spans="1:7" x14ac:dyDescent="0.25">
      <c r="A24" s="8">
        <v>42707.19127314815</v>
      </c>
      <c r="B24" s="21" t="s">
        <v>219</v>
      </c>
      <c r="C24" s="21" t="s">
        <v>490</v>
      </c>
      <c r="D24" s="165">
        <v>2030000</v>
      </c>
      <c r="E24" s="21" t="s">
        <v>488</v>
      </c>
      <c r="F24" s="21" t="s">
        <v>338</v>
      </c>
      <c r="G24" s="8" t="str">
        <f t="shared" si="0"/>
        <v>KILLION DAVID</v>
      </c>
    </row>
    <row r="25" spans="1:7" x14ac:dyDescent="0.25">
      <c r="A25" s="8">
        <v>42707.191562499997</v>
      </c>
      <c r="B25" s="21" t="s">
        <v>259</v>
      </c>
      <c r="C25" s="21" t="s">
        <v>491</v>
      </c>
      <c r="D25" s="165">
        <v>2140000</v>
      </c>
      <c r="E25" s="21" t="s">
        <v>352</v>
      </c>
      <c r="F25" s="21" t="s">
        <v>353</v>
      </c>
      <c r="G25" s="8" t="str">
        <f t="shared" si="0"/>
        <v>ROBINSON KADDIBA</v>
      </c>
    </row>
    <row r="26" spans="1:7" x14ac:dyDescent="0.25">
      <c r="A26" s="8">
        <v>42707.204085648147</v>
      </c>
      <c r="B26" s="21" t="s">
        <v>289</v>
      </c>
      <c r="C26" s="21" t="s">
        <v>492</v>
      </c>
      <c r="D26" s="165">
        <v>1100000</v>
      </c>
      <c r="E26" s="21" t="s">
        <v>493</v>
      </c>
      <c r="F26" s="21" t="s">
        <v>494</v>
      </c>
      <c r="G26" s="8" t="str">
        <f t="shared" si="0"/>
        <v>GEBRETEKLE DAGNEW</v>
      </c>
    </row>
    <row r="27" spans="1:7" x14ac:dyDescent="0.25">
      <c r="A27" s="8">
        <v>42707.205393518518</v>
      </c>
      <c r="B27" s="21" t="s">
        <v>252</v>
      </c>
      <c r="C27" s="21" t="s">
        <v>495</v>
      </c>
      <c r="D27" s="165">
        <v>2010000</v>
      </c>
      <c r="E27" s="21" t="s">
        <v>318</v>
      </c>
      <c r="F27" s="21" t="s">
        <v>336</v>
      </c>
      <c r="G27" s="8" t="str">
        <f t="shared" si="0"/>
        <v>MAELZER KURT</v>
      </c>
    </row>
    <row r="28" spans="1:7" x14ac:dyDescent="0.25">
      <c r="A28" s="8">
        <v>42707.21130787037</v>
      </c>
      <c r="B28" s="21" t="s">
        <v>222</v>
      </c>
      <c r="C28" s="21" t="s">
        <v>496</v>
      </c>
      <c r="D28" s="165">
        <v>1260000</v>
      </c>
      <c r="E28" s="21" t="s">
        <v>480</v>
      </c>
      <c r="F28" s="21" t="s">
        <v>481</v>
      </c>
      <c r="G28" s="8" t="str">
        <f t="shared" si="0"/>
        <v>ACKERMAN JARED</v>
      </c>
    </row>
    <row r="29" spans="1:7" x14ac:dyDescent="0.25">
      <c r="A29" s="8">
        <v>42707.221724537034</v>
      </c>
      <c r="B29" s="21" t="s">
        <v>212</v>
      </c>
      <c r="C29" s="21" t="s">
        <v>497</v>
      </c>
      <c r="D29" s="165">
        <v>1990000</v>
      </c>
      <c r="E29" s="21" t="s">
        <v>485</v>
      </c>
      <c r="F29" s="21" t="s">
        <v>486</v>
      </c>
      <c r="G29" s="8" t="str">
        <f t="shared" si="0"/>
        <v>DAVIS WENDY</v>
      </c>
    </row>
    <row r="30" spans="1:7" x14ac:dyDescent="0.25">
      <c r="A30" s="8">
        <v>42707.22446759259</v>
      </c>
      <c r="B30" s="21" t="s">
        <v>357</v>
      </c>
      <c r="C30" s="21" t="s">
        <v>498</v>
      </c>
      <c r="D30" s="165">
        <v>1760000</v>
      </c>
      <c r="E30" s="21" t="s">
        <v>354</v>
      </c>
      <c r="F30" s="21" t="s">
        <v>355</v>
      </c>
      <c r="G30" s="8" t="str">
        <f t="shared" si="0"/>
        <v>STRICKLAND EVAN</v>
      </c>
    </row>
    <row r="31" spans="1:7" x14ac:dyDescent="0.25">
      <c r="A31" s="8">
        <v>42707.226770833331</v>
      </c>
      <c r="B31" s="21" t="s">
        <v>308</v>
      </c>
      <c r="C31" s="21" t="s">
        <v>499</v>
      </c>
      <c r="D31" s="165">
        <v>1830000</v>
      </c>
      <c r="E31" s="21" t="s">
        <v>358</v>
      </c>
      <c r="F31" s="21" t="s">
        <v>359</v>
      </c>
      <c r="G31" s="8" t="str">
        <f t="shared" si="0"/>
        <v>YORK EDGAR</v>
      </c>
    </row>
    <row r="32" spans="1:7" x14ac:dyDescent="0.25">
      <c r="A32" s="8">
        <v>42707.227546296293</v>
      </c>
      <c r="B32" s="21" t="s">
        <v>308</v>
      </c>
      <c r="C32" s="21" t="s">
        <v>499</v>
      </c>
      <c r="D32" s="165">
        <v>1830000</v>
      </c>
      <c r="E32" s="21" t="s">
        <v>358</v>
      </c>
      <c r="F32" s="21" t="s">
        <v>359</v>
      </c>
      <c r="G32" s="8" t="str">
        <f t="shared" si="0"/>
        <v>YORK EDGAR</v>
      </c>
    </row>
    <row r="33" spans="1:7" x14ac:dyDescent="0.25">
      <c r="A33" s="8">
        <v>42707.232534722221</v>
      </c>
      <c r="B33" s="21" t="s">
        <v>310</v>
      </c>
      <c r="C33" s="21" t="s">
        <v>500</v>
      </c>
      <c r="D33" s="165">
        <v>2030000</v>
      </c>
      <c r="E33" s="21" t="s">
        <v>488</v>
      </c>
      <c r="F33" s="21" t="s">
        <v>338</v>
      </c>
      <c r="G33" s="8" t="str">
        <f t="shared" si="0"/>
        <v>KILLION DAVID</v>
      </c>
    </row>
    <row r="34" spans="1:7" x14ac:dyDescent="0.25">
      <c r="A34" s="8">
        <v>42707.234189814815</v>
      </c>
      <c r="B34" s="21" t="s">
        <v>258</v>
      </c>
      <c r="C34" s="21" t="s">
        <v>501</v>
      </c>
      <c r="D34" s="165">
        <v>2140000</v>
      </c>
      <c r="E34" s="21" t="s">
        <v>352</v>
      </c>
      <c r="F34" s="21" t="s">
        <v>353</v>
      </c>
      <c r="G34" s="8" t="str">
        <f t="shared" si="0"/>
        <v>ROBINSON KADDIBA</v>
      </c>
    </row>
    <row r="35" spans="1:7" x14ac:dyDescent="0.25">
      <c r="A35" s="8">
        <v>42707.234861111108</v>
      </c>
      <c r="B35" s="21" t="s">
        <v>305</v>
      </c>
      <c r="C35" s="21" t="s">
        <v>502</v>
      </c>
      <c r="D35" s="165">
        <v>1830000</v>
      </c>
      <c r="E35" s="21" t="s">
        <v>358</v>
      </c>
      <c r="F35" s="21" t="s">
        <v>359</v>
      </c>
      <c r="G35" s="8" t="str">
        <f t="shared" si="0"/>
        <v>YORK EDGAR</v>
      </c>
    </row>
    <row r="36" spans="1:7" x14ac:dyDescent="0.25">
      <c r="A36" s="8">
        <v>42707.242604166669</v>
      </c>
      <c r="B36" s="21" t="s">
        <v>348</v>
      </c>
      <c r="C36" s="21" t="s">
        <v>503</v>
      </c>
      <c r="D36" s="165">
        <v>1100000</v>
      </c>
      <c r="E36" s="21" t="s">
        <v>493</v>
      </c>
      <c r="F36" s="21" t="s">
        <v>494</v>
      </c>
      <c r="G36" s="8" t="str">
        <f t="shared" si="0"/>
        <v>GEBRETEKLE DAGNEW</v>
      </c>
    </row>
    <row r="37" spans="1:7" x14ac:dyDescent="0.25">
      <c r="A37" s="8">
        <v>42707.248333333337</v>
      </c>
      <c r="B37" s="21" t="s">
        <v>308</v>
      </c>
      <c r="C37" s="21" t="s">
        <v>504</v>
      </c>
      <c r="D37" s="165">
        <v>1830000</v>
      </c>
      <c r="E37" s="21" t="s">
        <v>358</v>
      </c>
      <c r="F37" s="21" t="s">
        <v>359</v>
      </c>
      <c r="G37" s="8" t="str">
        <f t="shared" si="0"/>
        <v>YORK EDGAR</v>
      </c>
    </row>
    <row r="38" spans="1:7" x14ac:dyDescent="0.25">
      <c r="A38" s="8">
        <v>42707.248680555553</v>
      </c>
      <c r="B38" s="21" t="s">
        <v>233</v>
      </c>
      <c r="C38" s="21" t="s">
        <v>505</v>
      </c>
      <c r="D38" s="165">
        <v>1260000</v>
      </c>
      <c r="E38" s="21" t="s">
        <v>480</v>
      </c>
      <c r="F38" s="21" t="s">
        <v>481</v>
      </c>
      <c r="G38" s="8" t="str">
        <f t="shared" si="0"/>
        <v>ACKERMAN JARED</v>
      </c>
    </row>
    <row r="39" spans="1:7" x14ac:dyDescent="0.25">
      <c r="A39" s="8">
        <v>42707.253599537034</v>
      </c>
      <c r="B39" s="21" t="s">
        <v>253</v>
      </c>
      <c r="C39" s="21" t="s">
        <v>437</v>
      </c>
      <c r="D39" s="165">
        <v>2010000</v>
      </c>
      <c r="E39" s="21" t="s">
        <v>318</v>
      </c>
      <c r="F39" s="21" t="s">
        <v>336</v>
      </c>
      <c r="G39" s="8" t="str">
        <f t="shared" si="0"/>
        <v>MAELZER KURT</v>
      </c>
    </row>
    <row r="40" spans="1:7" x14ac:dyDescent="0.25">
      <c r="A40" s="8">
        <v>42707.25677083333</v>
      </c>
      <c r="B40" s="26" t="s">
        <v>210</v>
      </c>
      <c r="C40" s="21" t="s">
        <v>506</v>
      </c>
      <c r="D40" s="165">
        <v>1990000</v>
      </c>
      <c r="E40" s="21" t="s">
        <v>485</v>
      </c>
      <c r="F40" s="21" t="s">
        <v>486</v>
      </c>
      <c r="G40" s="8" t="str">
        <f t="shared" si="0"/>
        <v>DAVIS WENDY</v>
      </c>
    </row>
    <row r="41" spans="1:7" x14ac:dyDescent="0.25">
      <c r="A41" s="8">
        <v>42707.263252314813</v>
      </c>
      <c r="B41" s="21" t="s">
        <v>356</v>
      </c>
      <c r="C41" s="21" t="s">
        <v>507</v>
      </c>
      <c r="D41" s="165">
        <v>1760000</v>
      </c>
      <c r="E41" s="21" t="s">
        <v>354</v>
      </c>
      <c r="F41" s="21" t="s">
        <v>355</v>
      </c>
      <c r="G41" s="8" t="str">
        <f t="shared" si="0"/>
        <v>STRICKLAND EVAN</v>
      </c>
    </row>
    <row r="42" spans="1:7" x14ac:dyDescent="0.25">
      <c r="A42" s="8">
        <v>42707.266273148147</v>
      </c>
      <c r="B42" s="21" t="s">
        <v>219</v>
      </c>
      <c r="C42" s="21" t="s">
        <v>436</v>
      </c>
      <c r="D42" s="165">
        <v>2030000</v>
      </c>
      <c r="E42" s="21" t="s">
        <v>488</v>
      </c>
      <c r="F42" s="21" t="s">
        <v>338</v>
      </c>
      <c r="G42" s="8" t="str">
        <f t="shared" si="0"/>
        <v>KILLION DAVID</v>
      </c>
    </row>
    <row r="43" spans="1:7" x14ac:dyDescent="0.25">
      <c r="A43" s="8">
        <v>42707.267650462964</v>
      </c>
      <c r="B43" s="21" t="s">
        <v>259</v>
      </c>
      <c r="C43" s="21" t="s">
        <v>508</v>
      </c>
      <c r="D43" s="165">
        <v>2140000</v>
      </c>
      <c r="E43" s="21" t="s">
        <v>352</v>
      </c>
      <c r="F43" s="21" t="s">
        <v>353</v>
      </c>
      <c r="G43" s="8" t="str">
        <f t="shared" si="0"/>
        <v>ROBINSON KADDIBA</v>
      </c>
    </row>
    <row r="44" spans="1:7" x14ac:dyDescent="0.25">
      <c r="A44" s="8">
        <v>42707.275694444441</v>
      </c>
      <c r="B44" s="21" t="s">
        <v>305</v>
      </c>
      <c r="C44" s="21" t="s">
        <v>509</v>
      </c>
      <c r="D44" s="165">
        <v>1830000</v>
      </c>
      <c r="E44" s="21" t="s">
        <v>358</v>
      </c>
      <c r="F44" s="21" t="s">
        <v>359</v>
      </c>
      <c r="G44" s="8" t="str">
        <f t="shared" si="0"/>
        <v>YORK EDGAR</v>
      </c>
    </row>
    <row r="45" spans="1:7" x14ac:dyDescent="0.25">
      <c r="A45" s="8">
        <v>42707.277141203704</v>
      </c>
      <c r="B45" s="21" t="s">
        <v>289</v>
      </c>
      <c r="C45" s="21" t="s">
        <v>510</v>
      </c>
      <c r="D45" s="165">
        <v>1100000</v>
      </c>
      <c r="E45" s="21" t="s">
        <v>493</v>
      </c>
      <c r="F45" s="21" t="s">
        <v>494</v>
      </c>
      <c r="G45" s="8" t="str">
        <f t="shared" si="0"/>
        <v>GEBRETEKLE DAGNEW</v>
      </c>
    </row>
    <row r="46" spans="1:7" x14ac:dyDescent="0.25">
      <c r="A46" s="8">
        <v>42707.283460648148</v>
      </c>
      <c r="B46" s="21" t="s">
        <v>234</v>
      </c>
      <c r="C46" s="21" t="s">
        <v>511</v>
      </c>
      <c r="D46" s="165">
        <v>1260000</v>
      </c>
      <c r="E46" s="21" t="s">
        <v>480</v>
      </c>
      <c r="F46" s="21" t="s">
        <v>481</v>
      </c>
      <c r="G46" s="8" t="str">
        <f t="shared" si="0"/>
        <v>ACKERMAN JARED</v>
      </c>
    </row>
    <row r="47" spans="1:7" x14ac:dyDescent="0.25">
      <c r="A47" s="8">
        <v>42707.287175925929</v>
      </c>
      <c r="B47" s="21" t="s">
        <v>252</v>
      </c>
      <c r="C47" s="21" t="s">
        <v>512</v>
      </c>
      <c r="D47" s="165">
        <v>2010000</v>
      </c>
      <c r="E47" s="21" t="s">
        <v>318</v>
      </c>
      <c r="F47" s="21" t="s">
        <v>336</v>
      </c>
      <c r="G47" s="8" t="str">
        <f t="shared" si="0"/>
        <v>MAELZER KURT</v>
      </c>
    </row>
    <row r="48" spans="1:7" x14ac:dyDescent="0.25">
      <c r="A48" s="8">
        <v>42707.289502314816</v>
      </c>
      <c r="B48" s="21" t="s">
        <v>308</v>
      </c>
      <c r="C48" s="21" t="s">
        <v>513</v>
      </c>
      <c r="D48" s="165">
        <v>1830000</v>
      </c>
      <c r="E48" s="21" t="s">
        <v>358</v>
      </c>
      <c r="F48" s="21" t="s">
        <v>359</v>
      </c>
      <c r="G48" s="8" t="str">
        <f t="shared" si="0"/>
        <v>YORK EDGAR</v>
      </c>
    </row>
    <row r="49" spans="1:7" x14ac:dyDescent="0.25">
      <c r="A49" s="8">
        <v>42707.296354166669</v>
      </c>
      <c r="B49" s="21" t="s">
        <v>212</v>
      </c>
      <c r="C49" s="21" t="s">
        <v>514</v>
      </c>
      <c r="D49" s="165">
        <v>1990000</v>
      </c>
      <c r="E49" s="21" t="s">
        <v>485</v>
      </c>
      <c r="F49" s="21" t="s">
        <v>486</v>
      </c>
      <c r="G49" s="8" t="str">
        <f t="shared" si="0"/>
        <v>DAVIS WENDY</v>
      </c>
    </row>
    <row r="50" spans="1:7" x14ac:dyDescent="0.25">
      <c r="A50" s="8">
        <v>42707.298738425925</v>
      </c>
      <c r="B50" s="21" t="s">
        <v>357</v>
      </c>
      <c r="C50" s="21" t="s">
        <v>515</v>
      </c>
      <c r="D50" s="165">
        <v>1760000</v>
      </c>
      <c r="E50" s="21" t="s">
        <v>354</v>
      </c>
      <c r="F50" s="21" t="s">
        <v>355</v>
      </c>
      <c r="G50" s="8" t="str">
        <f t="shared" si="0"/>
        <v>STRICKLAND EVAN</v>
      </c>
    </row>
    <row r="51" spans="1:7" x14ac:dyDescent="0.25">
      <c r="A51" s="8">
        <v>42707.307430555556</v>
      </c>
      <c r="B51" s="21" t="s">
        <v>310</v>
      </c>
      <c r="C51" s="21" t="s">
        <v>516</v>
      </c>
      <c r="D51" s="165">
        <v>2030000</v>
      </c>
      <c r="E51" s="21" t="s">
        <v>488</v>
      </c>
      <c r="F51" s="21" t="s">
        <v>338</v>
      </c>
      <c r="G51" s="8" t="str">
        <f t="shared" si="0"/>
        <v>KILLION DAVID</v>
      </c>
    </row>
    <row r="52" spans="1:7" x14ac:dyDescent="0.25">
      <c r="A52" s="8">
        <v>42707.307962962965</v>
      </c>
      <c r="B52" s="21" t="s">
        <v>258</v>
      </c>
      <c r="C52" s="21" t="s">
        <v>517</v>
      </c>
      <c r="D52" s="165">
        <v>2140000</v>
      </c>
      <c r="E52" s="21" t="s">
        <v>352</v>
      </c>
      <c r="F52" s="21" t="s">
        <v>353</v>
      </c>
      <c r="G52" s="8" t="str">
        <f t="shared" si="0"/>
        <v>ROBINSON KADDIBA</v>
      </c>
    </row>
    <row r="53" spans="1:7" x14ac:dyDescent="0.25">
      <c r="A53" s="8">
        <v>42707.317916666667</v>
      </c>
      <c r="B53" s="21" t="s">
        <v>348</v>
      </c>
      <c r="C53" s="21" t="s">
        <v>518</v>
      </c>
      <c r="D53" s="165">
        <v>1100000</v>
      </c>
      <c r="E53" s="21" t="s">
        <v>493</v>
      </c>
      <c r="F53" s="21" t="s">
        <v>494</v>
      </c>
      <c r="G53" s="8" t="str">
        <f t="shared" si="0"/>
        <v>GEBRETEKLE DAGNEW</v>
      </c>
    </row>
    <row r="54" spans="1:7" x14ac:dyDescent="0.25">
      <c r="A54" s="8">
        <v>42707.318148148152</v>
      </c>
      <c r="B54" s="21" t="s">
        <v>305</v>
      </c>
      <c r="C54" s="21" t="s">
        <v>519</v>
      </c>
      <c r="D54" s="165">
        <v>1830000</v>
      </c>
      <c r="E54" s="21" t="s">
        <v>358</v>
      </c>
      <c r="F54" s="21" t="s">
        <v>359</v>
      </c>
      <c r="G54" s="8" t="str">
        <f t="shared" si="0"/>
        <v>YORK EDGAR</v>
      </c>
    </row>
    <row r="55" spans="1:7" x14ac:dyDescent="0.25">
      <c r="A55" s="8">
        <v>42707.319004629629</v>
      </c>
      <c r="B55" s="21" t="s">
        <v>233</v>
      </c>
      <c r="C55" s="21" t="s">
        <v>520</v>
      </c>
      <c r="D55" s="165">
        <v>1260000</v>
      </c>
      <c r="E55" s="21" t="s">
        <v>480</v>
      </c>
      <c r="F55" s="21" t="s">
        <v>481</v>
      </c>
      <c r="G55" s="8" t="str">
        <f t="shared" si="0"/>
        <v>ACKERMAN JARED</v>
      </c>
    </row>
    <row r="56" spans="1:7" x14ac:dyDescent="0.25">
      <c r="A56" s="8">
        <v>42707.323472222219</v>
      </c>
      <c r="B56" s="21" t="s">
        <v>253</v>
      </c>
      <c r="C56" s="21" t="s">
        <v>521</v>
      </c>
      <c r="D56" s="165">
        <v>2010000</v>
      </c>
      <c r="E56" s="21" t="s">
        <v>318</v>
      </c>
      <c r="F56" s="21" t="s">
        <v>336</v>
      </c>
      <c r="G56" s="8" t="str">
        <f t="shared" si="0"/>
        <v>MAELZER KURT</v>
      </c>
    </row>
    <row r="57" spans="1:7" x14ac:dyDescent="0.25">
      <c r="A57" s="8">
        <v>42707.328275462962</v>
      </c>
      <c r="B57" s="21" t="s">
        <v>210</v>
      </c>
      <c r="C57" s="21" t="s">
        <v>522</v>
      </c>
      <c r="D57" s="165">
        <v>1990000</v>
      </c>
      <c r="E57" s="21" t="s">
        <v>485</v>
      </c>
      <c r="F57" s="21" t="s">
        <v>486</v>
      </c>
      <c r="G57" s="8" t="str">
        <f t="shared" si="0"/>
        <v>DAVIS WENDY</v>
      </c>
    </row>
    <row r="58" spans="1:7" x14ac:dyDescent="0.25">
      <c r="A58" s="8">
        <v>42707.330520833333</v>
      </c>
      <c r="B58" s="21" t="s">
        <v>308</v>
      </c>
      <c r="C58" s="21" t="s">
        <v>523</v>
      </c>
      <c r="D58" s="165">
        <v>1830000</v>
      </c>
      <c r="E58" s="21" t="s">
        <v>358</v>
      </c>
      <c r="F58" s="21" t="s">
        <v>359</v>
      </c>
      <c r="G58" s="8" t="str">
        <f t="shared" si="0"/>
        <v>YORK EDGAR</v>
      </c>
    </row>
    <row r="59" spans="1:7" x14ac:dyDescent="0.25">
      <c r="A59" s="8">
        <v>42707.337118055555</v>
      </c>
      <c r="B59" s="21" t="s">
        <v>356</v>
      </c>
      <c r="C59" s="21" t="s">
        <v>438</v>
      </c>
      <c r="D59" s="165">
        <v>1760000</v>
      </c>
      <c r="E59" s="21" t="s">
        <v>354</v>
      </c>
      <c r="F59" s="21" t="s">
        <v>355</v>
      </c>
      <c r="G59" s="8" t="str">
        <f t="shared" si="0"/>
        <v>STRICKLAND EVAN</v>
      </c>
    </row>
    <row r="60" spans="1:7" x14ac:dyDescent="0.25">
      <c r="A60" s="8">
        <v>42707.340787037036</v>
      </c>
      <c r="B60" s="21" t="s">
        <v>219</v>
      </c>
      <c r="C60" s="21" t="s">
        <v>524</v>
      </c>
      <c r="D60" s="165">
        <v>2030000</v>
      </c>
      <c r="E60" s="21" t="s">
        <v>488</v>
      </c>
      <c r="F60" s="21" t="s">
        <v>338</v>
      </c>
      <c r="G60" s="8" t="str">
        <f t="shared" si="0"/>
        <v>KILLION DAVID</v>
      </c>
    </row>
    <row r="61" spans="1:7" x14ac:dyDescent="0.25">
      <c r="A61" s="8">
        <v>42707.345520833333</v>
      </c>
      <c r="B61" s="21" t="s">
        <v>259</v>
      </c>
      <c r="C61" s="21" t="s">
        <v>439</v>
      </c>
      <c r="D61" s="165">
        <v>2140000</v>
      </c>
      <c r="E61" s="21" t="s">
        <v>352</v>
      </c>
      <c r="F61" s="21" t="s">
        <v>353</v>
      </c>
      <c r="G61" s="8" t="str">
        <f t="shared" si="0"/>
        <v>ROBINSON KADDIBA</v>
      </c>
    </row>
    <row r="62" spans="1:7" x14ac:dyDescent="0.25">
      <c r="A62" s="8">
        <v>42707.351446759261</v>
      </c>
      <c r="B62" s="21" t="s">
        <v>289</v>
      </c>
      <c r="C62" s="21" t="s">
        <v>525</v>
      </c>
      <c r="D62" s="165">
        <v>1100000</v>
      </c>
      <c r="E62" s="21" t="s">
        <v>493</v>
      </c>
      <c r="F62" s="21" t="s">
        <v>494</v>
      </c>
      <c r="G62" s="8" t="str">
        <f t="shared" si="0"/>
        <v>GEBRETEKLE DAGNEW</v>
      </c>
    </row>
    <row r="63" spans="1:7" x14ac:dyDescent="0.25">
      <c r="A63" s="8">
        <v>42707.356064814812</v>
      </c>
      <c r="B63" s="21" t="s">
        <v>234</v>
      </c>
      <c r="C63" s="21" t="s">
        <v>526</v>
      </c>
      <c r="D63" s="165">
        <v>1260000</v>
      </c>
      <c r="E63" s="21" t="s">
        <v>480</v>
      </c>
      <c r="F63" s="21" t="s">
        <v>481</v>
      </c>
      <c r="G63" s="8" t="str">
        <f t="shared" si="0"/>
        <v>ACKERMAN JARED</v>
      </c>
    </row>
    <row r="64" spans="1:7" x14ac:dyDescent="0.25">
      <c r="A64" s="27">
        <v>42707.359976851854</v>
      </c>
      <c r="B64" s="21" t="s">
        <v>305</v>
      </c>
      <c r="C64" s="21" t="s">
        <v>527</v>
      </c>
      <c r="D64" s="165">
        <v>1830000</v>
      </c>
      <c r="E64" s="21" t="s">
        <v>358</v>
      </c>
      <c r="F64" s="21" t="s">
        <v>359</v>
      </c>
      <c r="G64" s="8" t="str">
        <f t="shared" si="0"/>
        <v>YORK EDGAR</v>
      </c>
    </row>
    <row r="65" spans="1:7" x14ac:dyDescent="0.25">
      <c r="A65" s="8">
        <v>42707.361435185187</v>
      </c>
      <c r="B65" s="21" t="s">
        <v>252</v>
      </c>
      <c r="C65" s="21" t="s">
        <v>528</v>
      </c>
      <c r="D65" s="165">
        <v>2010000</v>
      </c>
      <c r="E65" s="21" t="s">
        <v>318</v>
      </c>
      <c r="F65" s="21" t="s">
        <v>336</v>
      </c>
      <c r="G65" s="8" t="str">
        <f t="shared" si="0"/>
        <v>MAELZER KURT</v>
      </c>
    </row>
    <row r="66" spans="1:7" x14ac:dyDescent="0.25">
      <c r="A66" s="8">
        <v>42707.367199074077</v>
      </c>
      <c r="B66" s="21" t="s">
        <v>212</v>
      </c>
      <c r="C66" s="21" t="s">
        <v>440</v>
      </c>
      <c r="D66" s="165">
        <v>1990000</v>
      </c>
      <c r="E66" s="21" t="s">
        <v>485</v>
      </c>
      <c r="F66" s="21" t="s">
        <v>486</v>
      </c>
      <c r="G66" s="8" t="str">
        <f t="shared" si="0"/>
        <v>DAVIS WENDY</v>
      </c>
    </row>
    <row r="67" spans="1:7" x14ac:dyDescent="0.25">
      <c r="A67" s="8">
        <v>42707.370821759258</v>
      </c>
      <c r="B67" s="21" t="s">
        <v>259</v>
      </c>
      <c r="C67" s="21" t="s">
        <v>439</v>
      </c>
      <c r="D67" s="165">
        <v>2140000</v>
      </c>
      <c r="E67" s="21" t="s">
        <v>352</v>
      </c>
      <c r="F67" s="21" t="s">
        <v>353</v>
      </c>
      <c r="G67" s="8" t="str">
        <f t="shared" ref="G67:G130" si="1">E67&amp;" "&amp;F67</f>
        <v>ROBINSON KADDIBA</v>
      </c>
    </row>
    <row r="68" spans="1:7" x14ac:dyDescent="0.25">
      <c r="A68" s="8">
        <v>42707.370844907404</v>
      </c>
      <c r="B68" s="21" t="s">
        <v>357</v>
      </c>
      <c r="C68" s="21" t="s">
        <v>441</v>
      </c>
      <c r="D68" s="165">
        <v>1760000</v>
      </c>
      <c r="E68" s="21" t="s">
        <v>354</v>
      </c>
      <c r="F68" s="21" t="s">
        <v>355</v>
      </c>
      <c r="G68" s="8" t="str">
        <f t="shared" si="1"/>
        <v>STRICKLAND EVAN</v>
      </c>
    </row>
    <row r="69" spans="1:7" x14ac:dyDescent="0.25">
      <c r="A69" s="8">
        <v>42707.372256944444</v>
      </c>
      <c r="B69" s="21" t="s">
        <v>308</v>
      </c>
      <c r="C69" s="21" t="s">
        <v>529</v>
      </c>
      <c r="D69" s="165">
        <v>1830000</v>
      </c>
      <c r="E69" s="21" t="s">
        <v>358</v>
      </c>
      <c r="F69" s="21" t="s">
        <v>359</v>
      </c>
      <c r="G69" s="8" t="str">
        <f t="shared" si="1"/>
        <v>YORK EDGAR</v>
      </c>
    </row>
    <row r="70" spans="1:7" x14ac:dyDescent="0.25">
      <c r="A70" s="8">
        <v>42707.377303240741</v>
      </c>
      <c r="B70" s="21" t="s">
        <v>310</v>
      </c>
      <c r="C70" s="21" t="s">
        <v>530</v>
      </c>
      <c r="D70" s="165">
        <v>2030000</v>
      </c>
      <c r="E70" s="21" t="s">
        <v>488</v>
      </c>
      <c r="F70" s="21" t="s">
        <v>338</v>
      </c>
      <c r="G70" s="8" t="str">
        <f t="shared" si="1"/>
        <v>KILLION DAVID</v>
      </c>
    </row>
    <row r="71" spans="1:7" x14ac:dyDescent="0.25">
      <c r="A71" s="8">
        <v>42707.382847222223</v>
      </c>
      <c r="B71" s="21" t="s">
        <v>221</v>
      </c>
      <c r="C71" s="21" t="s">
        <v>531</v>
      </c>
      <c r="D71" s="165">
        <v>1360000</v>
      </c>
      <c r="E71" s="21" t="s">
        <v>319</v>
      </c>
      <c r="F71" s="21" t="s">
        <v>339</v>
      </c>
      <c r="G71" s="8" t="str">
        <f t="shared" si="1"/>
        <v>SANTIZO D. EDY</v>
      </c>
    </row>
    <row r="72" spans="1:7" x14ac:dyDescent="0.25">
      <c r="A72" s="8">
        <v>42707.390740740739</v>
      </c>
      <c r="B72" s="21" t="s">
        <v>348</v>
      </c>
      <c r="C72" s="21" t="s">
        <v>532</v>
      </c>
      <c r="D72" s="165">
        <v>1100000</v>
      </c>
      <c r="E72" s="21" t="s">
        <v>493</v>
      </c>
      <c r="F72" s="21" t="s">
        <v>494</v>
      </c>
      <c r="G72" s="8" t="str">
        <f t="shared" si="1"/>
        <v>GEBRETEKLE DAGNEW</v>
      </c>
    </row>
    <row r="73" spans="1:7" x14ac:dyDescent="0.25">
      <c r="A73" s="8">
        <v>42707.391886574071</v>
      </c>
      <c r="B73" s="21" t="s">
        <v>233</v>
      </c>
      <c r="C73" s="21" t="s">
        <v>533</v>
      </c>
      <c r="D73" s="165">
        <v>1260000</v>
      </c>
      <c r="E73" s="21" t="s">
        <v>480</v>
      </c>
      <c r="F73" s="21" t="s">
        <v>481</v>
      </c>
      <c r="G73" s="8" t="str">
        <f t="shared" si="1"/>
        <v>ACKERMAN JARED</v>
      </c>
    </row>
    <row r="74" spans="1:7" x14ac:dyDescent="0.25">
      <c r="A74" s="8">
        <v>42707.394942129627</v>
      </c>
      <c r="B74" s="21" t="s">
        <v>253</v>
      </c>
      <c r="C74" s="21" t="s">
        <v>534</v>
      </c>
      <c r="D74" s="165">
        <v>2010000</v>
      </c>
      <c r="E74" s="21" t="s">
        <v>318</v>
      </c>
      <c r="F74" s="21" t="s">
        <v>336</v>
      </c>
      <c r="G74" s="8" t="str">
        <f t="shared" si="1"/>
        <v>MAELZER KURT</v>
      </c>
    </row>
    <row r="75" spans="1:7" x14ac:dyDescent="0.25">
      <c r="A75" s="8">
        <v>42707.400509259256</v>
      </c>
      <c r="B75" s="21" t="s">
        <v>305</v>
      </c>
      <c r="C75" s="21" t="s">
        <v>535</v>
      </c>
      <c r="D75" s="165">
        <v>1830000</v>
      </c>
      <c r="E75" s="21" t="s">
        <v>358</v>
      </c>
      <c r="F75" s="21" t="s">
        <v>359</v>
      </c>
      <c r="G75" s="8" t="str">
        <f t="shared" si="1"/>
        <v>YORK EDGAR</v>
      </c>
    </row>
    <row r="76" spans="1:7" x14ac:dyDescent="0.25">
      <c r="A76" s="8">
        <v>42707.404918981483</v>
      </c>
      <c r="B76" s="21" t="s">
        <v>210</v>
      </c>
      <c r="C76" s="21" t="s">
        <v>536</v>
      </c>
      <c r="D76" s="165">
        <v>1990000</v>
      </c>
      <c r="E76" s="21" t="s">
        <v>485</v>
      </c>
      <c r="F76" s="21" t="s">
        <v>486</v>
      </c>
      <c r="G76" s="8" t="str">
        <f t="shared" si="1"/>
        <v>DAVIS WENDY</v>
      </c>
    </row>
    <row r="77" spans="1:7" x14ac:dyDescent="0.25">
      <c r="A77" s="8">
        <v>42707.409814814811</v>
      </c>
      <c r="B77" s="21" t="s">
        <v>356</v>
      </c>
      <c r="C77" s="21" t="s">
        <v>537</v>
      </c>
      <c r="D77" s="165">
        <v>1760000</v>
      </c>
      <c r="E77" s="21" t="s">
        <v>354</v>
      </c>
      <c r="F77" s="21" t="s">
        <v>355</v>
      </c>
      <c r="G77" s="8" t="str">
        <f t="shared" si="1"/>
        <v>STRICKLAND EVAN</v>
      </c>
    </row>
    <row r="78" spans="1:7" x14ac:dyDescent="0.25">
      <c r="A78" s="8">
        <v>42707.413402777776</v>
      </c>
      <c r="B78" s="21" t="s">
        <v>219</v>
      </c>
      <c r="C78" s="21" t="s">
        <v>442</v>
      </c>
      <c r="D78" s="165">
        <v>2030000</v>
      </c>
      <c r="E78" s="21" t="s">
        <v>488</v>
      </c>
      <c r="F78" s="21" t="s">
        <v>338</v>
      </c>
      <c r="G78" s="8" t="str">
        <f t="shared" si="1"/>
        <v>KILLION DAVID</v>
      </c>
    </row>
    <row r="79" spans="1:7" x14ac:dyDescent="0.25">
      <c r="A79" s="8">
        <v>42707.413865740738</v>
      </c>
      <c r="B79" s="21" t="s">
        <v>308</v>
      </c>
      <c r="C79" s="21" t="s">
        <v>538</v>
      </c>
      <c r="D79" s="165">
        <v>1830000</v>
      </c>
      <c r="E79" s="21" t="s">
        <v>358</v>
      </c>
      <c r="F79" s="21" t="s">
        <v>359</v>
      </c>
      <c r="G79" s="8" t="str">
        <f t="shared" si="1"/>
        <v>YORK EDGAR</v>
      </c>
    </row>
    <row r="80" spans="1:7" x14ac:dyDescent="0.25">
      <c r="A80" s="8">
        <v>42707.414768518516</v>
      </c>
      <c r="B80" s="21" t="s">
        <v>222</v>
      </c>
      <c r="C80" s="21" t="s">
        <v>539</v>
      </c>
      <c r="D80" s="165">
        <v>1360000</v>
      </c>
      <c r="E80" s="21" t="s">
        <v>319</v>
      </c>
      <c r="F80" s="21" t="s">
        <v>339</v>
      </c>
      <c r="G80" s="8" t="str">
        <f t="shared" si="1"/>
        <v>SANTIZO D. EDY</v>
      </c>
    </row>
    <row r="81" spans="1:7" x14ac:dyDescent="0.25">
      <c r="A81" s="8">
        <v>42707.425300925926</v>
      </c>
      <c r="B81" s="21" t="s">
        <v>289</v>
      </c>
      <c r="C81" s="21" t="s">
        <v>540</v>
      </c>
      <c r="D81" s="165">
        <v>1100000</v>
      </c>
      <c r="E81" s="21" t="s">
        <v>493</v>
      </c>
      <c r="F81" s="21" t="s">
        <v>494</v>
      </c>
      <c r="G81" s="8" t="str">
        <f t="shared" si="1"/>
        <v>GEBRETEKLE DAGNEW</v>
      </c>
    </row>
    <row r="82" spans="1:7" x14ac:dyDescent="0.25">
      <c r="A82" s="8">
        <v>42707.427916666667</v>
      </c>
      <c r="B82" s="21" t="s">
        <v>234</v>
      </c>
      <c r="C82" s="21" t="s">
        <v>541</v>
      </c>
      <c r="D82" s="165">
        <v>1260000</v>
      </c>
      <c r="E82" s="21" t="s">
        <v>480</v>
      </c>
      <c r="F82" s="21" t="s">
        <v>481</v>
      </c>
      <c r="G82" s="8" t="str">
        <f t="shared" si="1"/>
        <v>ACKERMAN JARED</v>
      </c>
    </row>
    <row r="83" spans="1:7" x14ac:dyDescent="0.25">
      <c r="A83" s="8">
        <v>42707.43482638889</v>
      </c>
      <c r="B83" s="21" t="s">
        <v>252</v>
      </c>
      <c r="C83" s="21" t="s">
        <v>542</v>
      </c>
      <c r="D83" s="165">
        <v>930000</v>
      </c>
      <c r="E83" s="21" t="s">
        <v>543</v>
      </c>
      <c r="F83" s="21" t="s">
        <v>544</v>
      </c>
      <c r="G83" s="8" t="str">
        <f t="shared" si="1"/>
        <v>CLARK KATHLEEN</v>
      </c>
    </row>
    <row r="84" spans="1:7" x14ac:dyDescent="0.25">
      <c r="A84" s="8">
        <v>42707.438437500001</v>
      </c>
      <c r="B84" s="21" t="s">
        <v>212</v>
      </c>
      <c r="C84" s="21" t="s">
        <v>545</v>
      </c>
      <c r="D84" s="165">
        <v>1990000</v>
      </c>
      <c r="E84" s="21" t="s">
        <v>485</v>
      </c>
      <c r="F84" s="21" t="s">
        <v>486</v>
      </c>
      <c r="G84" s="8" t="str">
        <f t="shared" si="1"/>
        <v>DAVIS WENDY</v>
      </c>
    </row>
    <row r="85" spans="1:7" x14ac:dyDescent="0.25">
      <c r="A85" s="8">
        <v>42707.442754629628</v>
      </c>
      <c r="B85" s="21" t="s">
        <v>305</v>
      </c>
      <c r="C85" s="21" t="s">
        <v>546</v>
      </c>
      <c r="D85" s="165">
        <v>1830000</v>
      </c>
      <c r="E85" s="21" t="s">
        <v>358</v>
      </c>
      <c r="F85" s="21" t="s">
        <v>359</v>
      </c>
      <c r="G85" s="8" t="str">
        <f t="shared" si="1"/>
        <v>YORK EDGAR</v>
      </c>
    </row>
    <row r="86" spans="1:7" x14ac:dyDescent="0.25">
      <c r="A86" s="8">
        <v>42707.445405092592</v>
      </c>
      <c r="B86" s="21" t="s">
        <v>357</v>
      </c>
      <c r="C86" s="21" t="s">
        <v>547</v>
      </c>
      <c r="D86" s="165">
        <v>1760000</v>
      </c>
      <c r="E86" s="21" t="s">
        <v>354</v>
      </c>
      <c r="F86" s="21" t="s">
        <v>355</v>
      </c>
      <c r="G86" s="8" t="str">
        <f t="shared" si="1"/>
        <v>STRICKLAND EVAN</v>
      </c>
    </row>
    <row r="87" spans="1:7" x14ac:dyDescent="0.25">
      <c r="A87" s="8">
        <v>42707.449108796296</v>
      </c>
      <c r="B87" s="21" t="s">
        <v>310</v>
      </c>
      <c r="C87" s="21" t="s">
        <v>548</v>
      </c>
      <c r="D87" s="165">
        <v>2030000</v>
      </c>
      <c r="E87" s="21" t="s">
        <v>488</v>
      </c>
      <c r="F87" s="21" t="s">
        <v>338</v>
      </c>
      <c r="G87" s="8" t="str">
        <f t="shared" si="1"/>
        <v>KILLION DAVID</v>
      </c>
    </row>
    <row r="88" spans="1:7" x14ac:dyDescent="0.25">
      <c r="A88" s="8">
        <v>42707.454571759263</v>
      </c>
      <c r="B88" s="21" t="s">
        <v>221</v>
      </c>
      <c r="C88" s="21" t="s">
        <v>549</v>
      </c>
      <c r="D88" s="165">
        <v>880000</v>
      </c>
      <c r="E88" s="21" t="s">
        <v>550</v>
      </c>
      <c r="F88" s="21" t="s">
        <v>337</v>
      </c>
      <c r="G88" s="8" t="str">
        <f t="shared" si="1"/>
        <v>STEWART MICHAEL</v>
      </c>
    </row>
    <row r="89" spans="1:7" x14ac:dyDescent="0.25">
      <c r="A89" s="8">
        <v>42707.461875000001</v>
      </c>
      <c r="B89" s="21" t="s">
        <v>348</v>
      </c>
      <c r="C89" s="21" t="s">
        <v>551</v>
      </c>
      <c r="D89" s="165">
        <v>1100000</v>
      </c>
      <c r="E89" s="21" t="s">
        <v>493</v>
      </c>
      <c r="F89" s="21" t="s">
        <v>494</v>
      </c>
      <c r="G89" s="8" t="str">
        <f t="shared" si="1"/>
        <v>GEBRETEKLE DAGNEW</v>
      </c>
    </row>
    <row r="90" spans="1:7" x14ac:dyDescent="0.25">
      <c r="A90" s="8">
        <v>42707.462812500002</v>
      </c>
      <c r="B90" s="21" t="s">
        <v>308</v>
      </c>
      <c r="C90" s="21" t="s">
        <v>552</v>
      </c>
      <c r="D90" s="165">
        <v>1830000</v>
      </c>
      <c r="E90" s="21" t="s">
        <v>358</v>
      </c>
      <c r="F90" s="21" t="s">
        <v>359</v>
      </c>
      <c r="G90" s="8" t="str">
        <f t="shared" si="1"/>
        <v>YORK EDGAR</v>
      </c>
    </row>
    <row r="91" spans="1:7" x14ac:dyDescent="0.25">
      <c r="A91" s="8">
        <v>42707.465127314812</v>
      </c>
      <c r="B91" s="21" t="s">
        <v>233</v>
      </c>
      <c r="C91" s="21" t="s">
        <v>553</v>
      </c>
      <c r="D91" s="165">
        <v>1280000</v>
      </c>
      <c r="E91" s="21" t="s">
        <v>554</v>
      </c>
      <c r="F91" s="21" t="s">
        <v>555</v>
      </c>
      <c r="G91" s="8" t="str">
        <f t="shared" si="1"/>
        <v>BARTLETT KIANDRA</v>
      </c>
    </row>
    <row r="92" spans="1:7" x14ac:dyDescent="0.25">
      <c r="A92" s="8">
        <v>42707.469733796293</v>
      </c>
      <c r="B92" s="21" t="s">
        <v>253</v>
      </c>
      <c r="C92" s="21" t="s">
        <v>556</v>
      </c>
      <c r="D92" s="165">
        <v>930000</v>
      </c>
      <c r="E92" s="21" t="s">
        <v>543</v>
      </c>
      <c r="F92" s="21" t="s">
        <v>544</v>
      </c>
      <c r="G92" s="8" t="str">
        <f t="shared" si="1"/>
        <v>CLARK KATHLEEN</v>
      </c>
    </row>
    <row r="93" spans="1:7" x14ac:dyDescent="0.25">
      <c r="A93" s="8">
        <v>42707.476759259262</v>
      </c>
      <c r="B93" s="21" t="s">
        <v>210</v>
      </c>
      <c r="C93" s="21" t="s">
        <v>444</v>
      </c>
      <c r="D93" s="165">
        <v>2040000</v>
      </c>
      <c r="E93" s="21" t="s">
        <v>320</v>
      </c>
      <c r="F93" s="21" t="s">
        <v>340</v>
      </c>
      <c r="G93" s="8" t="str">
        <f t="shared" si="1"/>
        <v>MOSES BRADLEY</v>
      </c>
    </row>
    <row r="94" spans="1:7" x14ac:dyDescent="0.25">
      <c r="A94" s="8">
        <v>42707.482175925928</v>
      </c>
      <c r="B94" s="21" t="s">
        <v>356</v>
      </c>
      <c r="C94" s="21" t="s">
        <v>443</v>
      </c>
      <c r="D94" s="165">
        <v>1760000</v>
      </c>
      <c r="E94" s="21" t="s">
        <v>354</v>
      </c>
      <c r="F94" s="21" t="s">
        <v>355</v>
      </c>
      <c r="G94" s="8" t="str">
        <f t="shared" si="1"/>
        <v>STRICKLAND EVAN</v>
      </c>
    </row>
    <row r="95" spans="1:7" x14ac:dyDescent="0.25">
      <c r="A95" s="8">
        <v>42707.485173611109</v>
      </c>
      <c r="B95" s="21" t="s">
        <v>305</v>
      </c>
      <c r="C95" s="21" t="s">
        <v>445</v>
      </c>
      <c r="D95" s="165">
        <v>1830000</v>
      </c>
      <c r="E95" s="21" t="s">
        <v>358</v>
      </c>
      <c r="F95" s="21" t="s">
        <v>359</v>
      </c>
      <c r="G95" s="8" t="str">
        <f t="shared" si="1"/>
        <v>YORK EDGAR</v>
      </c>
    </row>
    <row r="96" spans="1:7" x14ac:dyDescent="0.25">
      <c r="A96" s="8">
        <v>42707.485706018517</v>
      </c>
      <c r="B96" s="21" t="s">
        <v>219</v>
      </c>
      <c r="C96" s="21" t="s">
        <v>557</v>
      </c>
      <c r="D96" s="165">
        <v>2020000</v>
      </c>
      <c r="E96" s="21" t="s">
        <v>362</v>
      </c>
      <c r="F96" s="21" t="s">
        <v>334</v>
      </c>
      <c r="G96" s="8" t="str">
        <f t="shared" si="1"/>
        <v>SHOOK JOHN</v>
      </c>
    </row>
    <row r="97" spans="1:7" x14ac:dyDescent="0.25">
      <c r="A97" s="8">
        <v>42707.49391203704</v>
      </c>
      <c r="B97" s="21" t="s">
        <v>222</v>
      </c>
      <c r="C97" s="21" t="s">
        <v>558</v>
      </c>
      <c r="D97" s="165">
        <v>880000</v>
      </c>
      <c r="E97" s="21" t="s">
        <v>550</v>
      </c>
      <c r="F97" s="21" t="s">
        <v>337</v>
      </c>
      <c r="G97" s="8" t="str">
        <f t="shared" si="1"/>
        <v>STEWART MICHAEL</v>
      </c>
    </row>
    <row r="98" spans="1:7" x14ac:dyDescent="0.25">
      <c r="A98" s="8">
        <v>42707.497615740744</v>
      </c>
      <c r="B98" s="21" t="s">
        <v>308</v>
      </c>
      <c r="C98" s="21" t="s">
        <v>559</v>
      </c>
      <c r="D98" s="165">
        <v>1830000</v>
      </c>
      <c r="E98" s="21" t="s">
        <v>358</v>
      </c>
      <c r="F98" s="21" t="s">
        <v>359</v>
      </c>
      <c r="G98" s="8" t="str">
        <f t="shared" si="1"/>
        <v>YORK EDGAR</v>
      </c>
    </row>
    <row r="99" spans="1:7" x14ac:dyDescent="0.25">
      <c r="A99" s="8">
        <v>42707.497754629629</v>
      </c>
      <c r="B99" s="21" t="s">
        <v>289</v>
      </c>
      <c r="C99" s="21" t="s">
        <v>560</v>
      </c>
      <c r="D99" s="165">
        <v>1770000</v>
      </c>
      <c r="E99" s="21" t="s">
        <v>561</v>
      </c>
      <c r="F99" s="21" t="s">
        <v>562</v>
      </c>
      <c r="G99" s="8" t="str">
        <f t="shared" si="1"/>
        <v>BRUDER RICHARD</v>
      </c>
    </row>
    <row r="100" spans="1:7" x14ac:dyDescent="0.25">
      <c r="A100" s="8">
        <v>42707.498090277775</v>
      </c>
      <c r="B100" s="21" t="s">
        <v>234</v>
      </c>
      <c r="C100" s="21" t="s">
        <v>563</v>
      </c>
      <c r="D100" s="165">
        <v>1280000</v>
      </c>
      <c r="E100" s="21" t="s">
        <v>554</v>
      </c>
      <c r="F100" s="21" t="s">
        <v>555</v>
      </c>
      <c r="G100" s="8" t="str">
        <f t="shared" si="1"/>
        <v>BARTLETT KIANDRA</v>
      </c>
    </row>
    <row r="101" spans="1:7" x14ac:dyDescent="0.25">
      <c r="A101" s="8">
        <v>42707.499131944445</v>
      </c>
      <c r="B101" s="21" t="s">
        <v>210</v>
      </c>
      <c r="C101" s="21" t="s">
        <v>444</v>
      </c>
      <c r="D101" s="165">
        <v>2040000</v>
      </c>
      <c r="E101" s="21" t="s">
        <v>320</v>
      </c>
      <c r="F101" s="21" t="s">
        <v>340</v>
      </c>
      <c r="G101" s="8" t="str">
        <f t="shared" si="1"/>
        <v>MOSES BRADLEY</v>
      </c>
    </row>
    <row r="102" spans="1:7" x14ac:dyDescent="0.25">
      <c r="A102" s="8">
        <v>42707.506284722222</v>
      </c>
      <c r="B102" s="21" t="s">
        <v>252</v>
      </c>
      <c r="C102" s="21" t="s">
        <v>564</v>
      </c>
      <c r="D102" s="165">
        <v>930000</v>
      </c>
      <c r="E102" s="21" t="s">
        <v>543</v>
      </c>
      <c r="F102" s="21" t="s">
        <v>544</v>
      </c>
      <c r="G102" s="8" t="str">
        <f t="shared" si="1"/>
        <v>CLARK KATHLEEN</v>
      </c>
    </row>
    <row r="103" spans="1:7" x14ac:dyDescent="0.25">
      <c r="A103" s="8">
        <v>42707.515115740738</v>
      </c>
      <c r="B103" s="21" t="s">
        <v>212</v>
      </c>
      <c r="C103" s="21" t="s">
        <v>565</v>
      </c>
      <c r="D103" s="165">
        <v>2040000</v>
      </c>
      <c r="E103" s="21" t="s">
        <v>320</v>
      </c>
      <c r="F103" s="21" t="s">
        <v>340</v>
      </c>
      <c r="G103" s="8" t="str">
        <f t="shared" si="1"/>
        <v>MOSES BRADLEY</v>
      </c>
    </row>
    <row r="104" spans="1:7" x14ac:dyDescent="0.25">
      <c r="A104" s="8">
        <v>42707.519641203704</v>
      </c>
      <c r="B104" s="21" t="s">
        <v>357</v>
      </c>
      <c r="C104" s="21" t="s">
        <v>566</v>
      </c>
      <c r="D104" s="165">
        <v>2260000</v>
      </c>
      <c r="E104" s="21" t="s">
        <v>365</v>
      </c>
      <c r="F104" s="21" t="s">
        <v>366</v>
      </c>
      <c r="G104" s="8" t="str">
        <f t="shared" si="1"/>
        <v>ARVIDSON DANIEL</v>
      </c>
    </row>
    <row r="105" spans="1:7" x14ac:dyDescent="0.25">
      <c r="A105" s="8">
        <v>42707.524942129632</v>
      </c>
      <c r="B105" s="21" t="s">
        <v>310</v>
      </c>
      <c r="C105" s="21" t="s">
        <v>567</v>
      </c>
      <c r="D105" s="165">
        <v>2020000</v>
      </c>
      <c r="E105" s="21" t="s">
        <v>362</v>
      </c>
      <c r="F105" s="21" t="s">
        <v>334</v>
      </c>
      <c r="G105" s="8" t="str">
        <f t="shared" si="1"/>
        <v>SHOOK JOHN</v>
      </c>
    </row>
    <row r="106" spans="1:7" x14ac:dyDescent="0.25">
      <c r="A106" s="8">
        <v>42707.52615740741</v>
      </c>
      <c r="B106" s="21" t="s">
        <v>305</v>
      </c>
      <c r="C106" s="21" t="s">
        <v>568</v>
      </c>
      <c r="D106" s="165">
        <v>1830000</v>
      </c>
      <c r="E106" s="21" t="s">
        <v>358</v>
      </c>
      <c r="F106" s="21" t="s">
        <v>359</v>
      </c>
      <c r="G106" s="8" t="str">
        <f t="shared" si="1"/>
        <v>YORK EDGAR</v>
      </c>
    </row>
    <row r="107" spans="1:7" x14ac:dyDescent="0.25">
      <c r="A107" s="8">
        <v>42707.531504629631</v>
      </c>
      <c r="B107" s="21" t="s">
        <v>221</v>
      </c>
      <c r="C107" s="21" t="s">
        <v>569</v>
      </c>
      <c r="D107" s="165">
        <v>880000</v>
      </c>
      <c r="E107" s="21" t="s">
        <v>550</v>
      </c>
      <c r="F107" s="21" t="s">
        <v>337</v>
      </c>
      <c r="G107" s="8" t="str">
        <f t="shared" si="1"/>
        <v>STEWART MICHAEL</v>
      </c>
    </row>
    <row r="108" spans="1:7" x14ac:dyDescent="0.25">
      <c r="A108" s="8">
        <v>42707.535601851851</v>
      </c>
      <c r="B108" s="21" t="s">
        <v>348</v>
      </c>
      <c r="C108" s="21" t="s">
        <v>570</v>
      </c>
      <c r="D108" s="165">
        <v>1770000</v>
      </c>
      <c r="E108" s="21" t="s">
        <v>561</v>
      </c>
      <c r="F108" s="21" t="s">
        <v>562</v>
      </c>
      <c r="G108" s="8" t="str">
        <f t="shared" si="1"/>
        <v>BRUDER RICHARD</v>
      </c>
    </row>
    <row r="109" spans="1:7" x14ac:dyDescent="0.25">
      <c r="A109" s="8">
        <v>42707.536076388889</v>
      </c>
      <c r="B109" s="21" t="s">
        <v>233</v>
      </c>
      <c r="C109" s="21" t="s">
        <v>571</v>
      </c>
      <c r="D109" s="165">
        <v>1280000</v>
      </c>
      <c r="E109" s="21" t="s">
        <v>554</v>
      </c>
      <c r="F109" s="21" t="s">
        <v>555</v>
      </c>
      <c r="G109" s="8" t="str">
        <f t="shared" si="1"/>
        <v>BARTLETT KIANDRA</v>
      </c>
    </row>
    <row r="110" spans="1:7" x14ac:dyDescent="0.25">
      <c r="A110" s="8">
        <v>42707.542511574073</v>
      </c>
      <c r="B110" s="21" t="s">
        <v>308</v>
      </c>
      <c r="C110" s="21" t="s">
        <v>572</v>
      </c>
      <c r="D110" s="165">
        <v>1830000</v>
      </c>
      <c r="E110" s="21" t="s">
        <v>358</v>
      </c>
      <c r="F110" s="21" t="s">
        <v>359</v>
      </c>
      <c r="G110" s="8" t="str">
        <f t="shared" si="1"/>
        <v>YORK EDGAR</v>
      </c>
    </row>
    <row r="111" spans="1:7" x14ac:dyDescent="0.25">
      <c r="A111" s="8">
        <v>42707.544664351852</v>
      </c>
      <c r="B111" s="21" t="s">
        <v>253</v>
      </c>
      <c r="C111" s="21" t="s">
        <v>573</v>
      </c>
      <c r="D111" s="165">
        <v>930000</v>
      </c>
      <c r="E111" s="21" t="s">
        <v>543</v>
      </c>
      <c r="F111" s="21" t="s">
        <v>544</v>
      </c>
      <c r="G111" s="8" t="str">
        <f t="shared" si="1"/>
        <v>CLARK KATHLEEN</v>
      </c>
    </row>
    <row r="112" spans="1:7" x14ac:dyDescent="0.25">
      <c r="A112" s="8">
        <v>42707.551018518519</v>
      </c>
      <c r="B112" s="21" t="s">
        <v>210</v>
      </c>
      <c r="C112" s="21" t="s">
        <v>446</v>
      </c>
      <c r="D112" s="165">
        <v>2040000</v>
      </c>
      <c r="E112" s="21" t="s">
        <v>320</v>
      </c>
      <c r="F112" s="21" t="s">
        <v>340</v>
      </c>
      <c r="G112" s="8" t="str">
        <f t="shared" si="1"/>
        <v>MOSES BRADLEY</v>
      </c>
    </row>
    <row r="113" spans="1:7" x14ac:dyDescent="0.25">
      <c r="A113" s="8">
        <v>42707.553310185183</v>
      </c>
      <c r="B113" s="21" t="s">
        <v>356</v>
      </c>
      <c r="C113" s="21" t="s">
        <v>574</v>
      </c>
      <c r="D113" s="165">
        <v>2260000</v>
      </c>
      <c r="E113" s="21" t="s">
        <v>365</v>
      </c>
      <c r="F113" s="21" t="s">
        <v>366</v>
      </c>
      <c r="G113" s="8" t="str">
        <f t="shared" si="1"/>
        <v>ARVIDSON DANIEL</v>
      </c>
    </row>
    <row r="114" spans="1:7" x14ac:dyDescent="0.25">
      <c r="A114" s="8">
        <v>42707.557175925926</v>
      </c>
      <c r="B114" s="21" t="s">
        <v>219</v>
      </c>
      <c r="C114" s="21" t="s">
        <v>575</v>
      </c>
      <c r="D114" s="165">
        <v>2020000</v>
      </c>
      <c r="E114" s="21" t="s">
        <v>362</v>
      </c>
      <c r="F114" s="21" t="s">
        <v>334</v>
      </c>
      <c r="G114" s="8" t="str">
        <f t="shared" si="1"/>
        <v>SHOOK JOHN</v>
      </c>
    </row>
    <row r="115" spans="1:7" x14ac:dyDescent="0.25">
      <c r="A115" s="8">
        <v>42707.567094907405</v>
      </c>
      <c r="B115" s="21" t="s">
        <v>289</v>
      </c>
      <c r="C115" s="21" t="s">
        <v>576</v>
      </c>
      <c r="D115" s="165">
        <v>1770000</v>
      </c>
      <c r="E115" s="21" t="s">
        <v>561</v>
      </c>
      <c r="F115" s="21" t="s">
        <v>562</v>
      </c>
      <c r="G115" s="8" t="str">
        <f t="shared" si="1"/>
        <v>BRUDER RICHARD</v>
      </c>
    </row>
    <row r="116" spans="1:7" x14ac:dyDescent="0.25">
      <c r="A116" s="8">
        <v>42707.568020833336</v>
      </c>
      <c r="B116" s="21" t="s">
        <v>222</v>
      </c>
      <c r="C116" s="21" t="s">
        <v>577</v>
      </c>
      <c r="D116" s="165">
        <v>880000</v>
      </c>
      <c r="E116" s="21" t="s">
        <v>550</v>
      </c>
      <c r="F116" s="21" t="s">
        <v>337</v>
      </c>
      <c r="G116" s="8" t="str">
        <f t="shared" si="1"/>
        <v>STEWART MICHAEL</v>
      </c>
    </row>
    <row r="117" spans="1:7" x14ac:dyDescent="0.25">
      <c r="A117" s="8">
        <v>42707.568020833336</v>
      </c>
      <c r="B117" s="21" t="s">
        <v>305</v>
      </c>
      <c r="C117" s="21" t="s">
        <v>578</v>
      </c>
      <c r="D117" s="165">
        <v>1830000</v>
      </c>
      <c r="E117" s="21" t="s">
        <v>358</v>
      </c>
      <c r="F117" s="21" t="s">
        <v>359</v>
      </c>
      <c r="G117" s="8" t="str">
        <f t="shared" si="1"/>
        <v>YORK EDGAR</v>
      </c>
    </row>
    <row r="118" spans="1:7" x14ac:dyDescent="0.25">
      <c r="A118" s="8">
        <v>42707.571099537039</v>
      </c>
      <c r="B118" s="21" t="s">
        <v>234</v>
      </c>
      <c r="C118" s="21" t="s">
        <v>579</v>
      </c>
      <c r="D118" s="165">
        <v>1280000</v>
      </c>
      <c r="E118" s="21" t="s">
        <v>554</v>
      </c>
      <c r="F118" s="21" t="s">
        <v>555</v>
      </c>
      <c r="G118" s="8" t="str">
        <f t="shared" si="1"/>
        <v>BARTLETT KIANDRA</v>
      </c>
    </row>
    <row r="119" spans="1:7" x14ac:dyDescent="0.25">
      <c r="A119" s="8">
        <v>42707.57984953704</v>
      </c>
      <c r="B119" s="21" t="s">
        <v>252</v>
      </c>
      <c r="C119" s="21" t="s">
        <v>580</v>
      </c>
      <c r="D119" s="165">
        <v>930000</v>
      </c>
      <c r="E119" s="21" t="s">
        <v>543</v>
      </c>
      <c r="F119" s="21" t="s">
        <v>544</v>
      </c>
      <c r="G119" s="8" t="str">
        <f t="shared" si="1"/>
        <v>CLARK KATHLEEN</v>
      </c>
    </row>
    <row r="120" spans="1:7" x14ac:dyDescent="0.25">
      <c r="A120" s="8">
        <v>42707.585381944446</v>
      </c>
      <c r="B120" s="21" t="s">
        <v>308</v>
      </c>
      <c r="C120" s="21" t="s">
        <v>581</v>
      </c>
      <c r="D120" s="165">
        <v>2420000</v>
      </c>
      <c r="E120" s="21" t="s">
        <v>220</v>
      </c>
      <c r="F120" s="21" t="s">
        <v>582</v>
      </c>
      <c r="G120" s="8" t="str">
        <f t="shared" si="1"/>
        <v>HOLCOMB KAMDEN</v>
      </c>
    </row>
    <row r="121" spans="1:7" x14ac:dyDescent="0.25">
      <c r="A121" s="8">
        <v>42707.588287037041</v>
      </c>
      <c r="B121" s="21" t="s">
        <v>212</v>
      </c>
      <c r="C121" s="21" t="s">
        <v>583</v>
      </c>
      <c r="D121" s="165">
        <v>2040000</v>
      </c>
      <c r="E121" s="21" t="s">
        <v>320</v>
      </c>
      <c r="F121" s="21" t="s">
        <v>340</v>
      </c>
      <c r="G121" s="8" t="str">
        <f t="shared" si="1"/>
        <v>MOSES BRADLEY</v>
      </c>
    </row>
    <row r="122" spans="1:7" x14ac:dyDescent="0.25">
      <c r="A122" s="8">
        <v>42707.590231481481</v>
      </c>
      <c r="B122" s="26" t="s">
        <v>357</v>
      </c>
      <c r="C122" s="21" t="s">
        <v>584</v>
      </c>
      <c r="D122" s="165">
        <v>2260000</v>
      </c>
      <c r="E122" s="21" t="s">
        <v>365</v>
      </c>
      <c r="F122" s="21" t="s">
        <v>366</v>
      </c>
      <c r="G122" s="8" t="str">
        <f t="shared" si="1"/>
        <v>ARVIDSON DANIEL</v>
      </c>
    </row>
    <row r="123" spans="1:7" x14ac:dyDescent="0.25">
      <c r="A123" s="8">
        <v>42707.597453703704</v>
      </c>
      <c r="B123" s="21" t="s">
        <v>310</v>
      </c>
      <c r="C123" s="21" t="s">
        <v>585</v>
      </c>
      <c r="D123" s="165">
        <v>2020000</v>
      </c>
      <c r="E123" s="21" t="s">
        <v>362</v>
      </c>
      <c r="F123" s="21" t="s">
        <v>334</v>
      </c>
      <c r="G123" s="8" t="str">
        <f t="shared" si="1"/>
        <v>SHOOK JOHN</v>
      </c>
    </row>
    <row r="124" spans="1:7" x14ac:dyDescent="0.25">
      <c r="A124" s="8">
        <v>42707.600798611114</v>
      </c>
      <c r="B124" s="21" t="s">
        <v>221</v>
      </c>
      <c r="C124" s="21" t="s">
        <v>586</v>
      </c>
      <c r="D124" s="165">
        <v>880000</v>
      </c>
      <c r="E124" s="21" t="s">
        <v>550</v>
      </c>
      <c r="F124" s="21" t="s">
        <v>337</v>
      </c>
      <c r="G124" s="8" t="str">
        <f t="shared" si="1"/>
        <v>STEWART MICHAEL</v>
      </c>
    </row>
    <row r="125" spans="1:7" x14ac:dyDescent="0.25">
      <c r="A125" s="8">
        <v>42707.605567129627</v>
      </c>
      <c r="B125" s="21" t="s">
        <v>348</v>
      </c>
      <c r="C125" s="21" t="s">
        <v>587</v>
      </c>
      <c r="D125" s="165">
        <v>1770000</v>
      </c>
      <c r="E125" s="21" t="s">
        <v>561</v>
      </c>
      <c r="F125" s="21" t="s">
        <v>562</v>
      </c>
      <c r="G125" s="8" t="str">
        <f t="shared" si="1"/>
        <v>BRUDER RICHARD</v>
      </c>
    </row>
    <row r="126" spans="1:7" x14ac:dyDescent="0.25">
      <c r="A126" s="8">
        <v>42707.609247685185</v>
      </c>
      <c r="B126" s="21" t="s">
        <v>305</v>
      </c>
      <c r="C126" s="21" t="s">
        <v>588</v>
      </c>
      <c r="D126" s="165">
        <v>2420000</v>
      </c>
      <c r="E126" s="21" t="s">
        <v>220</v>
      </c>
      <c r="F126" s="21" t="s">
        <v>582</v>
      </c>
      <c r="G126" s="8" t="str">
        <f t="shared" si="1"/>
        <v>HOLCOMB KAMDEN</v>
      </c>
    </row>
    <row r="127" spans="1:7" x14ac:dyDescent="0.25">
      <c r="A127" s="8">
        <v>42707.609560185185</v>
      </c>
      <c r="B127" s="21" t="s">
        <v>233</v>
      </c>
      <c r="C127" s="21" t="s">
        <v>589</v>
      </c>
      <c r="D127" s="165">
        <v>1280000</v>
      </c>
      <c r="E127" s="21" t="s">
        <v>554</v>
      </c>
      <c r="F127" s="21" t="s">
        <v>555</v>
      </c>
      <c r="G127" s="8" t="str">
        <f t="shared" si="1"/>
        <v>BARTLETT KIANDRA</v>
      </c>
    </row>
    <row r="128" spans="1:7" x14ac:dyDescent="0.25">
      <c r="A128" s="8">
        <v>42707.618287037039</v>
      </c>
      <c r="B128" s="21" t="s">
        <v>253</v>
      </c>
      <c r="C128" s="21" t="s">
        <v>590</v>
      </c>
      <c r="D128" s="165">
        <v>930000</v>
      </c>
      <c r="E128" s="21" t="s">
        <v>543</v>
      </c>
      <c r="F128" s="21" t="s">
        <v>544</v>
      </c>
      <c r="G128" s="8" t="str">
        <f t="shared" si="1"/>
        <v>CLARK KATHLEEN</v>
      </c>
    </row>
    <row r="129" spans="1:7" x14ac:dyDescent="0.25">
      <c r="A129" s="8">
        <v>42707.622245370374</v>
      </c>
      <c r="B129" s="21" t="s">
        <v>210</v>
      </c>
      <c r="C129" s="21" t="s">
        <v>591</v>
      </c>
      <c r="D129" s="165">
        <v>2040000</v>
      </c>
      <c r="E129" s="21" t="s">
        <v>320</v>
      </c>
      <c r="F129" s="21" t="s">
        <v>340</v>
      </c>
      <c r="G129" s="8" t="str">
        <f t="shared" si="1"/>
        <v>MOSES BRADLEY</v>
      </c>
    </row>
    <row r="130" spans="1:7" x14ac:dyDescent="0.25">
      <c r="A130" s="8">
        <v>42707.630659722221</v>
      </c>
      <c r="B130" s="21" t="s">
        <v>219</v>
      </c>
      <c r="C130" s="21" t="s">
        <v>592</v>
      </c>
      <c r="D130" s="165">
        <v>2020000</v>
      </c>
      <c r="E130" s="21" t="s">
        <v>362</v>
      </c>
      <c r="F130" s="21" t="s">
        <v>334</v>
      </c>
      <c r="G130" s="8" t="str">
        <f t="shared" si="1"/>
        <v>SHOOK JOHN</v>
      </c>
    </row>
    <row r="131" spans="1:7" x14ac:dyDescent="0.25">
      <c r="A131" s="8">
        <v>42707.631215277775</v>
      </c>
      <c r="B131" s="21" t="s">
        <v>356</v>
      </c>
      <c r="C131" s="21" t="s">
        <v>593</v>
      </c>
      <c r="D131" s="165">
        <v>2260000</v>
      </c>
      <c r="E131" s="21" t="s">
        <v>365</v>
      </c>
      <c r="F131" s="21" t="s">
        <v>366</v>
      </c>
      <c r="G131" s="8" t="str">
        <f t="shared" ref="G131:G194" si="2">E131&amp;" "&amp;F131</f>
        <v>ARVIDSON DANIEL</v>
      </c>
    </row>
    <row r="132" spans="1:7" x14ac:dyDescent="0.25">
      <c r="A132" s="8">
        <v>42707.635266203702</v>
      </c>
      <c r="B132" s="21" t="s">
        <v>308</v>
      </c>
      <c r="C132" s="21" t="s">
        <v>447</v>
      </c>
      <c r="D132" s="165">
        <v>2420000</v>
      </c>
      <c r="E132" s="21" t="s">
        <v>220</v>
      </c>
      <c r="F132" s="21" t="s">
        <v>582</v>
      </c>
      <c r="G132" s="8" t="str">
        <f t="shared" si="2"/>
        <v>HOLCOMB KAMDEN</v>
      </c>
    </row>
    <row r="133" spans="1:7" x14ac:dyDescent="0.25">
      <c r="A133" s="8">
        <v>42707.639525462961</v>
      </c>
      <c r="B133" s="21" t="s">
        <v>222</v>
      </c>
      <c r="C133" s="21" t="s">
        <v>448</v>
      </c>
      <c r="D133" s="165">
        <v>880000</v>
      </c>
      <c r="E133" s="21" t="s">
        <v>550</v>
      </c>
      <c r="F133" s="21" t="s">
        <v>337</v>
      </c>
      <c r="G133" s="8" t="str">
        <f t="shared" si="2"/>
        <v>STEWART MICHAEL</v>
      </c>
    </row>
    <row r="134" spans="1:7" x14ac:dyDescent="0.25">
      <c r="A134" s="8">
        <v>42707.63994212963</v>
      </c>
      <c r="B134" s="21" t="s">
        <v>289</v>
      </c>
      <c r="C134" s="21" t="s">
        <v>594</v>
      </c>
      <c r="D134" s="165">
        <v>1770000</v>
      </c>
      <c r="E134" s="21" t="s">
        <v>561</v>
      </c>
      <c r="F134" s="21" t="s">
        <v>562</v>
      </c>
      <c r="G134" s="8" t="str">
        <f t="shared" si="2"/>
        <v>BRUDER RICHARD</v>
      </c>
    </row>
    <row r="135" spans="1:7" x14ac:dyDescent="0.25">
      <c r="A135" s="8">
        <v>42707.642650462964</v>
      </c>
      <c r="B135" s="21" t="s">
        <v>234</v>
      </c>
      <c r="C135" s="21" t="s">
        <v>449</v>
      </c>
      <c r="D135" s="165">
        <v>1280000</v>
      </c>
      <c r="E135" s="21" t="s">
        <v>554</v>
      </c>
      <c r="F135" s="21" t="s">
        <v>555</v>
      </c>
      <c r="G135" s="8" t="str">
        <f t="shared" si="2"/>
        <v>BARTLETT KIANDRA</v>
      </c>
    </row>
    <row r="136" spans="1:7" x14ac:dyDescent="0.25">
      <c r="A136" s="8">
        <v>42707.651180555556</v>
      </c>
      <c r="B136" s="21" t="s">
        <v>305</v>
      </c>
      <c r="C136" s="21" t="s">
        <v>595</v>
      </c>
      <c r="D136" s="165">
        <v>2420000</v>
      </c>
      <c r="E136" s="21" t="s">
        <v>220</v>
      </c>
      <c r="F136" s="21" t="s">
        <v>582</v>
      </c>
      <c r="G136" s="8" t="str">
        <f t="shared" si="2"/>
        <v>HOLCOMB KAMDEN</v>
      </c>
    </row>
    <row r="137" spans="1:7" x14ac:dyDescent="0.25">
      <c r="A137" s="8">
        <v>42707.651898148149</v>
      </c>
      <c r="B137" s="21" t="s">
        <v>252</v>
      </c>
      <c r="C137" s="21" t="s">
        <v>596</v>
      </c>
      <c r="D137" s="165">
        <v>930000</v>
      </c>
      <c r="E137" s="21" t="s">
        <v>543</v>
      </c>
      <c r="F137" s="21" t="s">
        <v>544</v>
      </c>
      <c r="G137" s="8" t="str">
        <f t="shared" si="2"/>
        <v>CLARK KATHLEEN</v>
      </c>
    </row>
    <row r="138" spans="1:7" x14ac:dyDescent="0.25">
      <c r="A138" s="8">
        <v>42707.652129629627</v>
      </c>
      <c r="B138" s="21" t="s">
        <v>212</v>
      </c>
      <c r="C138" s="21" t="s">
        <v>597</v>
      </c>
      <c r="D138" s="165">
        <v>2040000</v>
      </c>
      <c r="E138" s="21" t="s">
        <v>320</v>
      </c>
      <c r="F138" s="21" t="s">
        <v>340</v>
      </c>
      <c r="G138" s="8" t="str">
        <f t="shared" si="2"/>
        <v>MOSES BRADLEY</v>
      </c>
    </row>
    <row r="139" spans="1:7" x14ac:dyDescent="0.25">
      <c r="A139" s="8">
        <v>42707.664421296293</v>
      </c>
      <c r="B139" s="21" t="s">
        <v>357</v>
      </c>
      <c r="C139" s="21" t="s">
        <v>598</v>
      </c>
      <c r="D139" s="165">
        <v>2260000</v>
      </c>
      <c r="E139" s="21" t="s">
        <v>365</v>
      </c>
      <c r="F139" s="21" t="s">
        <v>366</v>
      </c>
      <c r="G139" s="8" t="str">
        <f t="shared" si="2"/>
        <v>ARVIDSON DANIEL</v>
      </c>
    </row>
    <row r="140" spans="1:7" x14ac:dyDescent="0.25">
      <c r="A140" s="8">
        <v>42707.670925925922</v>
      </c>
      <c r="B140" s="21" t="s">
        <v>310</v>
      </c>
      <c r="C140" s="21" t="s">
        <v>599</v>
      </c>
      <c r="D140" s="165">
        <v>2020000</v>
      </c>
      <c r="E140" s="21" t="s">
        <v>362</v>
      </c>
      <c r="F140" s="21" t="s">
        <v>334</v>
      </c>
      <c r="G140" s="8" t="str">
        <f t="shared" si="2"/>
        <v>SHOOK JOHN</v>
      </c>
    </row>
    <row r="141" spans="1:7" x14ac:dyDescent="0.25">
      <c r="A141" s="8">
        <v>42707.672199074077</v>
      </c>
      <c r="B141" s="21" t="s">
        <v>221</v>
      </c>
      <c r="C141" s="21" t="s">
        <v>600</v>
      </c>
      <c r="D141" s="165">
        <v>880000</v>
      </c>
      <c r="E141" s="21" t="s">
        <v>550</v>
      </c>
      <c r="F141" s="21" t="s">
        <v>337</v>
      </c>
      <c r="G141" s="8" t="str">
        <f t="shared" si="2"/>
        <v>STEWART MICHAEL</v>
      </c>
    </row>
    <row r="142" spans="1:7" x14ac:dyDescent="0.25">
      <c r="A142" s="8">
        <v>42707.676412037035</v>
      </c>
      <c r="B142" s="21" t="s">
        <v>308</v>
      </c>
      <c r="C142" s="21" t="s">
        <v>601</v>
      </c>
      <c r="D142" s="165">
        <v>2420000</v>
      </c>
      <c r="E142" s="21" t="s">
        <v>220</v>
      </c>
      <c r="F142" s="21" t="s">
        <v>582</v>
      </c>
      <c r="G142" s="8" t="str">
        <f t="shared" si="2"/>
        <v>HOLCOMB KAMDEN</v>
      </c>
    </row>
    <row r="143" spans="1:7" x14ac:dyDescent="0.25">
      <c r="A143" s="8">
        <v>42707.678981481484</v>
      </c>
      <c r="B143" s="21" t="s">
        <v>348</v>
      </c>
      <c r="C143" s="21" t="s">
        <v>602</v>
      </c>
      <c r="D143" s="165">
        <v>1770000</v>
      </c>
      <c r="E143" s="21" t="s">
        <v>561</v>
      </c>
      <c r="F143" s="21" t="s">
        <v>562</v>
      </c>
      <c r="G143" s="8" t="str">
        <f t="shared" si="2"/>
        <v>BRUDER RICHARD</v>
      </c>
    </row>
    <row r="144" spans="1:7" x14ac:dyDescent="0.25">
      <c r="A144" s="8">
        <v>42707.682037037041</v>
      </c>
      <c r="B144" s="21" t="s">
        <v>233</v>
      </c>
      <c r="C144" s="21" t="s">
        <v>603</v>
      </c>
      <c r="D144" s="165">
        <v>1280000</v>
      </c>
      <c r="E144" s="21" t="s">
        <v>554</v>
      </c>
      <c r="F144" s="21" t="s">
        <v>555</v>
      </c>
      <c r="G144" s="8" t="str">
        <f t="shared" si="2"/>
        <v>BARTLETT KIANDRA</v>
      </c>
    </row>
    <row r="145" spans="1:7" x14ac:dyDescent="0.25">
      <c r="A145" s="8">
        <v>42707.691817129627</v>
      </c>
      <c r="B145" s="21" t="s">
        <v>253</v>
      </c>
      <c r="C145" s="21" t="s">
        <v>604</v>
      </c>
      <c r="D145" s="165">
        <v>930000</v>
      </c>
      <c r="E145" s="21" t="s">
        <v>543</v>
      </c>
      <c r="F145" s="21" t="s">
        <v>544</v>
      </c>
      <c r="G145" s="8" t="str">
        <f t="shared" si="2"/>
        <v>CLARK KATHLEEN</v>
      </c>
    </row>
    <row r="146" spans="1:7" x14ac:dyDescent="0.25">
      <c r="A146" s="8">
        <v>42707.69332175926</v>
      </c>
      <c r="B146" s="21" t="s">
        <v>305</v>
      </c>
      <c r="C146" s="21" t="s">
        <v>605</v>
      </c>
      <c r="D146" s="165">
        <v>2420000</v>
      </c>
      <c r="E146" s="21" t="s">
        <v>220</v>
      </c>
      <c r="F146" s="21" t="s">
        <v>582</v>
      </c>
      <c r="G146" s="8" t="str">
        <f t="shared" si="2"/>
        <v>HOLCOMB KAMDEN</v>
      </c>
    </row>
    <row r="147" spans="1:7" x14ac:dyDescent="0.25">
      <c r="A147" s="8">
        <v>42707.694618055553</v>
      </c>
      <c r="B147" s="21" t="s">
        <v>290</v>
      </c>
      <c r="C147" s="21" t="s">
        <v>606</v>
      </c>
      <c r="D147" s="165">
        <v>2480000</v>
      </c>
      <c r="E147" s="21" t="s">
        <v>607</v>
      </c>
      <c r="F147" s="21" t="s">
        <v>361</v>
      </c>
      <c r="G147" s="8" t="str">
        <f t="shared" si="2"/>
        <v>WHITED DUSTIN</v>
      </c>
    </row>
    <row r="148" spans="1:7" x14ac:dyDescent="0.25">
      <c r="A148" s="8">
        <v>42707.696145833332</v>
      </c>
      <c r="B148" s="21" t="s">
        <v>210</v>
      </c>
      <c r="C148" s="21" t="s">
        <v>608</v>
      </c>
      <c r="D148" s="165">
        <v>2040000</v>
      </c>
      <c r="E148" s="21" t="s">
        <v>320</v>
      </c>
      <c r="F148" s="21" t="s">
        <v>340</v>
      </c>
      <c r="G148" s="8" t="str">
        <f t="shared" si="2"/>
        <v>MOSES BRADLEY</v>
      </c>
    </row>
    <row r="149" spans="1:7" x14ac:dyDescent="0.25">
      <c r="A149" s="8">
        <v>42707.702187499999</v>
      </c>
      <c r="B149" s="21" t="s">
        <v>356</v>
      </c>
      <c r="C149" s="21" t="s">
        <v>609</v>
      </c>
      <c r="D149" s="165">
        <v>2260000</v>
      </c>
      <c r="E149" s="21" t="s">
        <v>365</v>
      </c>
      <c r="F149" s="21" t="s">
        <v>366</v>
      </c>
      <c r="G149" s="8" t="str">
        <f t="shared" si="2"/>
        <v>ARVIDSON DANIEL</v>
      </c>
    </row>
    <row r="150" spans="1:7" x14ac:dyDescent="0.25">
      <c r="A150" s="8">
        <v>42707.703645833331</v>
      </c>
      <c r="B150" s="21" t="s">
        <v>219</v>
      </c>
      <c r="C150" s="21" t="s">
        <v>610</v>
      </c>
      <c r="D150" s="165">
        <v>2020000</v>
      </c>
      <c r="E150" s="21" t="s">
        <v>362</v>
      </c>
      <c r="F150" s="21" t="s">
        <v>334</v>
      </c>
      <c r="G150" s="8" t="str">
        <f t="shared" si="2"/>
        <v>SHOOK JOHN</v>
      </c>
    </row>
    <row r="151" spans="1:7" x14ac:dyDescent="0.25">
      <c r="A151" s="8">
        <v>42707.709803240738</v>
      </c>
      <c r="B151" s="21" t="s">
        <v>308</v>
      </c>
      <c r="C151" s="21" t="s">
        <v>611</v>
      </c>
      <c r="D151" s="165">
        <v>2420000</v>
      </c>
      <c r="E151" s="21" t="s">
        <v>220</v>
      </c>
      <c r="F151" s="21" t="s">
        <v>582</v>
      </c>
      <c r="G151" s="8" t="str">
        <f t="shared" si="2"/>
        <v>HOLCOMB KAMDEN</v>
      </c>
    </row>
    <row r="152" spans="1:7" x14ac:dyDescent="0.25">
      <c r="A152" s="8">
        <v>42707.712870370371</v>
      </c>
      <c r="B152" s="21" t="s">
        <v>222</v>
      </c>
      <c r="C152" s="21" t="s">
        <v>612</v>
      </c>
      <c r="D152" s="165">
        <v>880000</v>
      </c>
      <c r="E152" s="21" t="s">
        <v>550</v>
      </c>
      <c r="F152" s="21" t="s">
        <v>337</v>
      </c>
      <c r="G152" s="8" t="str">
        <f t="shared" si="2"/>
        <v>STEWART MICHAEL</v>
      </c>
    </row>
    <row r="153" spans="1:7" x14ac:dyDescent="0.25">
      <c r="A153" s="8">
        <v>42707.71297453704</v>
      </c>
      <c r="B153" s="21" t="s">
        <v>258</v>
      </c>
      <c r="C153" s="21" t="s">
        <v>613</v>
      </c>
      <c r="D153" s="165">
        <v>2090000</v>
      </c>
      <c r="E153" s="21" t="s">
        <v>614</v>
      </c>
      <c r="F153" s="21" t="s">
        <v>337</v>
      </c>
      <c r="G153" s="8" t="str">
        <f t="shared" si="2"/>
        <v>HAITHCOX MICHAEL</v>
      </c>
    </row>
    <row r="154" spans="1:7" x14ac:dyDescent="0.25">
      <c r="A154" s="8">
        <v>42707.713136574072</v>
      </c>
      <c r="B154" s="21" t="s">
        <v>289</v>
      </c>
      <c r="C154" s="21" t="s">
        <v>615</v>
      </c>
      <c r="D154" s="165">
        <v>1770000</v>
      </c>
      <c r="E154" s="21" t="s">
        <v>561</v>
      </c>
      <c r="F154" s="21" t="s">
        <v>562</v>
      </c>
      <c r="G154" s="8" t="str">
        <f t="shared" si="2"/>
        <v>BRUDER RICHARD</v>
      </c>
    </row>
    <row r="155" spans="1:7" x14ac:dyDescent="0.25">
      <c r="A155" s="8">
        <v>42707.718275462961</v>
      </c>
      <c r="B155" s="21" t="s">
        <v>234</v>
      </c>
      <c r="C155" s="21" t="s">
        <v>616</v>
      </c>
      <c r="D155" s="165">
        <v>1280000</v>
      </c>
      <c r="E155" s="21" t="s">
        <v>554</v>
      </c>
      <c r="F155" s="21" t="s">
        <v>555</v>
      </c>
      <c r="G155" s="8" t="str">
        <f t="shared" si="2"/>
        <v>BARTLETT KIANDRA</v>
      </c>
    </row>
    <row r="156" spans="1:7" x14ac:dyDescent="0.25">
      <c r="A156" s="8">
        <v>42707.725289351853</v>
      </c>
      <c r="B156" s="21" t="s">
        <v>252</v>
      </c>
      <c r="C156" s="21" t="s">
        <v>617</v>
      </c>
      <c r="D156" s="165">
        <v>930000</v>
      </c>
      <c r="E156" s="21" t="s">
        <v>543</v>
      </c>
      <c r="F156" s="21" t="s">
        <v>544</v>
      </c>
      <c r="G156" s="8" t="str">
        <f t="shared" si="2"/>
        <v>CLARK KATHLEEN</v>
      </c>
    </row>
    <row r="157" spans="1:7" x14ac:dyDescent="0.25">
      <c r="A157" s="8">
        <v>42707.732627314814</v>
      </c>
      <c r="B157" s="21" t="s">
        <v>212</v>
      </c>
      <c r="C157" s="21" t="s">
        <v>451</v>
      </c>
      <c r="D157" s="165">
        <v>2040000</v>
      </c>
      <c r="E157" s="21" t="s">
        <v>320</v>
      </c>
      <c r="F157" s="21" t="s">
        <v>340</v>
      </c>
      <c r="G157" s="8" t="str">
        <f t="shared" si="2"/>
        <v>MOSES BRADLEY</v>
      </c>
    </row>
    <row r="158" spans="1:7" x14ac:dyDescent="0.25">
      <c r="A158" s="8">
        <v>42707.734155092592</v>
      </c>
      <c r="B158" s="21" t="s">
        <v>305</v>
      </c>
      <c r="C158" s="21" t="s">
        <v>450</v>
      </c>
      <c r="D158" s="165">
        <v>2420000</v>
      </c>
      <c r="E158" s="21" t="s">
        <v>220</v>
      </c>
      <c r="F158" s="21" t="s">
        <v>582</v>
      </c>
      <c r="G158" s="8" t="str">
        <f t="shared" si="2"/>
        <v>HOLCOMB KAMDEN</v>
      </c>
    </row>
    <row r="159" spans="1:7" x14ac:dyDescent="0.25">
      <c r="A159" s="8">
        <v>42707.738912037035</v>
      </c>
      <c r="B159" s="21" t="s">
        <v>357</v>
      </c>
      <c r="C159" s="21" t="s">
        <v>618</v>
      </c>
      <c r="D159" s="165">
        <v>1810000</v>
      </c>
      <c r="E159" s="21" t="s">
        <v>619</v>
      </c>
      <c r="F159" s="21" t="s">
        <v>343</v>
      </c>
      <c r="G159" s="8" t="str">
        <f t="shared" si="2"/>
        <v>NEWELL JAMES</v>
      </c>
    </row>
    <row r="160" spans="1:7" x14ac:dyDescent="0.25">
      <c r="A160" s="8">
        <v>42707.740590277775</v>
      </c>
      <c r="B160" s="21" t="s">
        <v>357</v>
      </c>
      <c r="C160" s="21" t="s">
        <v>618</v>
      </c>
      <c r="D160" s="165">
        <v>1810000</v>
      </c>
      <c r="E160" s="21" t="s">
        <v>619</v>
      </c>
      <c r="F160" s="21" t="s">
        <v>343</v>
      </c>
      <c r="G160" s="8" t="str">
        <f t="shared" si="2"/>
        <v>NEWELL JAMES</v>
      </c>
    </row>
    <row r="161" spans="1:7" x14ac:dyDescent="0.25">
      <c r="A161" s="8">
        <v>42707.741469907407</v>
      </c>
      <c r="B161" s="21" t="s">
        <v>310</v>
      </c>
      <c r="C161" s="21" t="s">
        <v>620</v>
      </c>
      <c r="D161" s="165">
        <v>2020000</v>
      </c>
      <c r="E161" s="21" t="s">
        <v>362</v>
      </c>
      <c r="F161" s="21" t="s">
        <v>334</v>
      </c>
      <c r="G161" s="8" t="str">
        <f t="shared" si="2"/>
        <v>SHOOK JOHN</v>
      </c>
    </row>
    <row r="162" spans="1:7" x14ac:dyDescent="0.25">
      <c r="A162" s="8">
        <v>42707.744930555556</v>
      </c>
      <c r="B162" s="21" t="s">
        <v>262</v>
      </c>
      <c r="C162" s="21" t="s">
        <v>452</v>
      </c>
      <c r="D162" s="165">
        <v>2550000</v>
      </c>
      <c r="E162" s="21" t="s">
        <v>218</v>
      </c>
      <c r="F162" s="21" t="s">
        <v>621</v>
      </c>
      <c r="G162" s="8" t="str">
        <f t="shared" si="2"/>
        <v>BADERTSCHER DIANE</v>
      </c>
    </row>
    <row r="163" spans="1:7" x14ac:dyDescent="0.25">
      <c r="A163" s="8">
        <v>42707.7496875</v>
      </c>
      <c r="B163" s="21" t="s">
        <v>221</v>
      </c>
      <c r="C163" s="21" t="s">
        <v>622</v>
      </c>
      <c r="D163" s="165">
        <v>2260000</v>
      </c>
      <c r="E163" s="21" t="s">
        <v>365</v>
      </c>
      <c r="F163" s="21" t="s">
        <v>366</v>
      </c>
      <c r="G163" s="8" t="str">
        <f t="shared" si="2"/>
        <v>ARVIDSON DANIEL</v>
      </c>
    </row>
    <row r="164" spans="1:7" x14ac:dyDescent="0.25">
      <c r="A164" s="8">
        <v>42707.751828703702</v>
      </c>
      <c r="B164" s="21" t="s">
        <v>348</v>
      </c>
      <c r="C164" s="21" t="s">
        <v>623</v>
      </c>
      <c r="D164" s="165">
        <v>1770000</v>
      </c>
      <c r="E164" s="21" t="s">
        <v>561</v>
      </c>
      <c r="F164" s="21" t="s">
        <v>562</v>
      </c>
      <c r="G164" s="8" t="str">
        <f t="shared" si="2"/>
        <v>BRUDER RICHARD</v>
      </c>
    </row>
    <row r="165" spans="1:7" x14ac:dyDescent="0.25">
      <c r="A165" s="8">
        <v>42707.761504629627</v>
      </c>
      <c r="B165" s="21" t="s">
        <v>308</v>
      </c>
      <c r="C165" s="21" t="s">
        <v>453</v>
      </c>
      <c r="D165" s="165">
        <v>2420000</v>
      </c>
      <c r="E165" s="21" t="s">
        <v>220</v>
      </c>
      <c r="F165" s="21" t="s">
        <v>582</v>
      </c>
      <c r="G165" s="8" t="str">
        <f t="shared" si="2"/>
        <v>HOLCOMB KAMDEN</v>
      </c>
    </row>
    <row r="166" spans="1:7" x14ac:dyDescent="0.25">
      <c r="A166" s="8">
        <v>42707.764050925929</v>
      </c>
      <c r="B166" s="21" t="s">
        <v>253</v>
      </c>
      <c r="C166" s="21" t="s">
        <v>624</v>
      </c>
      <c r="D166" s="165">
        <v>930000</v>
      </c>
      <c r="E166" s="21" t="s">
        <v>543</v>
      </c>
      <c r="F166" s="21" t="s">
        <v>544</v>
      </c>
      <c r="G166" s="8" t="str">
        <f t="shared" si="2"/>
        <v>CLARK KATHLEEN</v>
      </c>
    </row>
    <row r="167" spans="1:7" x14ac:dyDescent="0.25">
      <c r="A167" s="8">
        <v>42707.765092592592</v>
      </c>
      <c r="B167" s="21" t="s">
        <v>233</v>
      </c>
      <c r="C167" s="21" t="s">
        <v>625</v>
      </c>
      <c r="D167" s="165">
        <v>1800000</v>
      </c>
      <c r="E167" s="21" t="s">
        <v>271</v>
      </c>
      <c r="F167" s="21" t="s">
        <v>469</v>
      </c>
      <c r="G167" s="8" t="str">
        <f t="shared" si="2"/>
        <v>CHANDLER KELVIN</v>
      </c>
    </row>
    <row r="168" spans="1:7" x14ac:dyDescent="0.25">
      <c r="A168" s="8">
        <v>42707.769629629627</v>
      </c>
      <c r="B168" s="21" t="s">
        <v>208</v>
      </c>
      <c r="C168" s="21" t="s">
        <v>626</v>
      </c>
      <c r="D168" s="165">
        <v>2000000</v>
      </c>
      <c r="E168" s="21" t="s">
        <v>214</v>
      </c>
      <c r="F168" s="21" t="s">
        <v>343</v>
      </c>
      <c r="G168" s="8" t="str">
        <f t="shared" si="2"/>
        <v>STAMBAUGH JAMES</v>
      </c>
    </row>
    <row r="169" spans="1:7" x14ac:dyDescent="0.25">
      <c r="A169" s="8">
        <v>42707.772430555553</v>
      </c>
      <c r="B169" s="21" t="s">
        <v>311</v>
      </c>
      <c r="C169" s="21" t="s">
        <v>627</v>
      </c>
      <c r="D169" s="165">
        <v>1810000</v>
      </c>
      <c r="E169" s="21" t="s">
        <v>619</v>
      </c>
      <c r="F169" s="21" t="s">
        <v>343</v>
      </c>
      <c r="G169" s="8" t="str">
        <f t="shared" si="2"/>
        <v>NEWELL JAMES</v>
      </c>
    </row>
    <row r="170" spans="1:7" x14ac:dyDescent="0.25">
      <c r="A170" s="8">
        <v>42707.776863425926</v>
      </c>
      <c r="B170" s="21" t="s">
        <v>305</v>
      </c>
      <c r="C170" s="21" t="s">
        <v>628</v>
      </c>
      <c r="D170" s="165">
        <v>2420000</v>
      </c>
      <c r="E170" s="21" t="s">
        <v>220</v>
      </c>
      <c r="F170" s="21" t="s">
        <v>582</v>
      </c>
      <c r="G170" s="8" t="str">
        <f t="shared" si="2"/>
        <v>HOLCOMB KAMDEN</v>
      </c>
    </row>
    <row r="171" spans="1:7" x14ac:dyDescent="0.25">
      <c r="A171" s="8">
        <v>42707.777800925927</v>
      </c>
      <c r="B171" s="21" t="s">
        <v>219</v>
      </c>
      <c r="C171" s="21" t="s">
        <v>629</v>
      </c>
      <c r="D171" s="165">
        <v>2020000</v>
      </c>
      <c r="E171" s="21" t="s">
        <v>362</v>
      </c>
      <c r="F171" s="21" t="s">
        <v>334</v>
      </c>
      <c r="G171" s="8" t="str">
        <f t="shared" si="2"/>
        <v>SHOOK JOHN</v>
      </c>
    </row>
    <row r="172" spans="1:7" x14ac:dyDescent="0.25">
      <c r="A172" s="8">
        <v>42707.784722222219</v>
      </c>
      <c r="B172" s="21" t="s">
        <v>222</v>
      </c>
      <c r="C172" s="21" t="s">
        <v>454</v>
      </c>
      <c r="D172" s="165">
        <v>2260000</v>
      </c>
      <c r="E172" s="21" t="s">
        <v>365</v>
      </c>
      <c r="F172" s="21" t="s">
        <v>366</v>
      </c>
      <c r="G172" s="8" t="str">
        <f t="shared" si="2"/>
        <v>ARVIDSON DANIEL</v>
      </c>
    </row>
    <row r="173" spans="1:7" x14ac:dyDescent="0.25">
      <c r="A173" s="8">
        <v>42707.79210648148</v>
      </c>
      <c r="B173" s="21" t="s">
        <v>289</v>
      </c>
      <c r="C173" s="21" t="s">
        <v>630</v>
      </c>
      <c r="D173" s="165">
        <v>1300000</v>
      </c>
      <c r="E173" s="21" t="s">
        <v>113</v>
      </c>
      <c r="F173" s="21" t="s">
        <v>342</v>
      </c>
      <c r="G173" s="8" t="str">
        <f t="shared" si="2"/>
        <v>LEVIN SCOTT</v>
      </c>
    </row>
    <row r="174" spans="1:7" x14ac:dyDescent="0.25">
      <c r="A174" s="8">
        <v>42707.792638888888</v>
      </c>
      <c r="B174" s="21" t="s">
        <v>289</v>
      </c>
      <c r="C174" s="21" t="s">
        <v>630</v>
      </c>
      <c r="D174" s="165">
        <v>1300000</v>
      </c>
      <c r="E174" s="21" t="s">
        <v>113</v>
      </c>
      <c r="F174" s="21" t="s">
        <v>342</v>
      </c>
      <c r="G174" s="8" t="str">
        <f t="shared" si="2"/>
        <v>LEVIN SCOTT</v>
      </c>
    </row>
    <row r="175" spans="1:7" x14ac:dyDescent="0.25">
      <c r="A175" s="8">
        <v>42707.793576388889</v>
      </c>
      <c r="B175" s="21" t="s">
        <v>289</v>
      </c>
      <c r="C175" s="21" t="s">
        <v>630</v>
      </c>
      <c r="D175" s="165">
        <v>1300000</v>
      </c>
      <c r="E175" s="21" t="s">
        <v>113</v>
      </c>
      <c r="F175" s="21" t="s">
        <v>342</v>
      </c>
      <c r="G175" s="8" t="str">
        <f t="shared" si="2"/>
        <v>LEVIN SCOTT</v>
      </c>
    </row>
    <row r="176" spans="1:7" x14ac:dyDescent="0.25">
      <c r="A176" s="8">
        <v>42707.798483796294</v>
      </c>
      <c r="B176" s="21" t="s">
        <v>360</v>
      </c>
      <c r="C176" s="21" t="s">
        <v>455</v>
      </c>
      <c r="D176" s="165">
        <v>1800000</v>
      </c>
      <c r="E176" s="21" t="s">
        <v>271</v>
      </c>
      <c r="F176" s="21" t="s">
        <v>469</v>
      </c>
      <c r="G176" s="8" t="str">
        <f t="shared" si="2"/>
        <v>CHANDLER KELVIN</v>
      </c>
    </row>
    <row r="177" spans="1:7" x14ac:dyDescent="0.25">
      <c r="A177" s="8">
        <v>42707.799895833334</v>
      </c>
      <c r="B177" s="21" t="s">
        <v>252</v>
      </c>
      <c r="C177" s="21" t="s">
        <v>631</v>
      </c>
      <c r="D177" s="165">
        <v>930000</v>
      </c>
      <c r="E177" s="21" t="s">
        <v>543</v>
      </c>
      <c r="F177" s="21" t="s">
        <v>544</v>
      </c>
      <c r="G177" s="8" t="str">
        <f t="shared" si="2"/>
        <v>CLARK KATHLEEN</v>
      </c>
    </row>
    <row r="178" spans="1:7" x14ac:dyDescent="0.25">
      <c r="A178" s="8">
        <v>42707.801481481481</v>
      </c>
      <c r="B178" s="21" t="s">
        <v>308</v>
      </c>
      <c r="C178" s="21" t="s">
        <v>632</v>
      </c>
      <c r="D178" s="165">
        <v>2420000</v>
      </c>
      <c r="E178" s="21" t="s">
        <v>220</v>
      </c>
      <c r="F178" s="21" t="s">
        <v>582</v>
      </c>
      <c r="G178" s="8" t="str">
        <f t="shared" si="2"/>
        <v>HOLCOMB KAMDEN</v>
      </c>
    </row>
    <row r="179" spans="1:7" x14ac:dyDescent="0.25">
      <c r="A179" s="8">
        <v>42707.807673611111</v>
      </c>
      <c r="B179" s="21" t="s">
        <v>212</v>
      </c>
      <c r="C179" s="21" t="s">
        <v>633</v>
      </c>
      <c r="D179" s="165">
        <v>2000000</v>
      </c>
      <c r="E179" s="21" t="s">
        <v>214</v>
      </c>
      <c r="F179" s="21" t="s">
        <v>343</v>
      </c>
      <c r="G179" s="8" t="str">
        <f t="shared" si="2"/>
        <v>STAMBAUGH JAMES</v>
      </c>
    </row>
    <row r="180" spans="1:7" x14ac:dyDescent="0.25">
      <c r="A180" s="8">
        <v>42707.810173611113</v>
      </c>
      <c r="B180" s="21" t="s">
        <v>183</v>
      </c>
      <c r="C180" s="21" t="s">
        <v>634</v>
      </c>
      <c r="D180" s="165">
        <v>2550000</v>
      </c>
      <c r="E180" s="21" t="s">
        <v>218</v>
      </c>
      <c r="F180" s="21" t="s">
        <v>621</v>
      </c>
      <c r="G180" s="8" t="str">
        <f t="shared" si="2"/>
        <v>BADERTSCHER DIANE</v>
      </c>
    </row>
    <row r="181" spans="1:7" x14ac:dyDescent="0.25">
      <c r="A181" s="8">
        <v>42707.818171296298</v>
      </c>
      <c r="B181" s="21" t="s">
        <v>305</v>
      </c>
      <c r="C181" s="21" t="s">
        <v>456</v>
      </c>
      <c r="D181" s="165">
        <v>2420000</v>
      </c>
      <c r="E181" s="21" t="s">
        <v>220</v>
      </c>
      <c r="F181" s="21" t="s">
        <v>582</v>
      </c>
      <c r="G181" s="8" t="str">
        <f t="shared" si="2"/>
        <v>HOLCOMB KAMDEN</v>
      </c>
    </row>
    <row r="182" spans="1:7" x14ac:dyDescent="0.25">
      <c r="A182" s="8">
        <v>42707.82104166667</v>
      </c>
      <c r="B182" s="21" t="s">
        <v>221</v>
      </c>
      <c r="C182" s="21" t="s">
        <v>635</v>
      </c>
      <c r="D182" s="165">
        <v>2260000</v>
      </c>
      <c r="E182" s="21" t="s">
        <v>365</v>
      </c>
      <c r="F182" s="21" t="s">
        <v>366</v>
      </c>
      <c r="G182" s="8" t="str">
        <f t="shared" si="2"/>
        <v>ARVIDSON DANIEL</v>
      </c>
    </row>
    <row r="183" spans="1:7" x14ac:dyDescent="0.25">
      <c r="A183" s="8">
        <v>42707.827766203707</v>
      </c>
      <c r="B183" s="21" t="s">
        <v>290</v>
      </c>
      <c r="C183" s="21" t="s">
        <v>636</v>
      </c>
      <c r="D183" s="165">
        <v>1300000</v>
      </c>
      <c r="E183" s="21" t="s">
        <v>113</v>
      </c>
      <c r="F183" s="21" t="s">
        <v>342</v>
      </c>
      <c r="G183" s="8" t="str">
        <f t="shared" si="2"/>
        <v>LEVIN SCOTT</v>
      </c>
    </row>
    <row r="184" spans="1:7" x14ac:dyDescent="0.25">
      <c r="A184" s="8">
        <v>42707.832939814813</v>
      </c>
      <c r="B184" s="21" t="s">
        <v>233</v>
      </c>
      <c r="C184" s="21" t="s">
        <v>637</v>
      </c>
      <c r="D184" s="165">
        <v>1800000</v>
      </c>
      <c r="E184" s="21" t="s">
        <v>271</v>
      </c>
      <c r="F184" s="21" t="s">
        <v>469</v>
      </c>
      <c r="G184" s="8" t="str">
        <f t="shared" si="2"/>
        <v>CHANDLER KELVIN</v>
      </c>
    </row>
    <row r="185" spans="1:7" x14ac:dyDescent="0.25">
      <c r="A185" s="8">
        <v>42707.841238425928</v>
      </c>
      <c r="B185" s="21" t="s">
        <v>208</v>
      </c>
      <c r="C185" s="21" t="s">
        <v>638</v>
      </c>
      <c r="D185" s="165">
        <v>2000000</v>
      </c>
      <c r="E185" s="21" t="s">
        <v>214</v>
      </c>
      <c r="F185" s="21" t="s">
        <v>343</v>
      </c>
      <c r="G185" s="8" t="str">
        <f t="shared" si="2"/>
        <v>STAMBAUGH JAMES</v>
      </c>
    </row>
    <row r="186" spans="1:7" x14ac:dyDescent="0.25">
      <c r="A186" s="8">
        <v>42707.841944444444</v>
      </c>
      <c r="B186" s="21" t="s">
        <v>308</v>
      </c>
      <c r="C186" s="21" t="s">
        <v>457</v>
      </c>
      <c r="D186" s="165">
        <v>2420000</v>
      </c>
      <c r="E186" s="21" t="s">
        <v>220</v>
      </c>
      <c r="F186" s="21" t="s">
        <v>582</v>
      </c>
      <c r="G186" s="8" t="str">
        <f t="shared" si="2"/>
        <v>HOLCOMB KAMDEN</v>
      </c>
    </row>
    <row r="187" spans="1:7" x14ac:dyDescent="0.25">
      <c r="A187" s="8">
        <v>42707.84443287037</v>
      </c>
      <c r="B187" s="21" t="s">
        <v>262</v>
      </c>
      <c r="C187" s="21" t="s">
        <v>639</v>
      </c>
      <c r="D187" s="165">
        <v>2550000</v>
      </c>
      <c r="E187" s="21" t="s">
        <v>218</v>
      </c>
      <c r="F187" s="21" t="s">
        <v>621</v>
      </c>
      <c r="G187" s="8" t="str">
        <f t="shared" si="2"/>
        <v>BADERTSCHER DIANE</v>
      </c>
    </row>
    <row r="188" spans="1:7" x14ac:dyDescent="0.25">
      <c r="A188" s="8">
        <v>42707.847881944443</v>
      </c>
      <c r="B188" s="21" t="s">
        <v>208</v>
      </c>
      <c r="C188" s="21" t="s">
        <v>638</v>
      </c>
      <c r="D188" s="165">
        <v>2000000</v>
      </c>
      <c r="E188" s="21" t="s">
        <v>214</v>
      </c>
      <c r="F188" s="21" t="s">
        <v>343</v>
      </c>
      <c r="G188" s="8" t="str">
        <f t="shared" si="2"/>
        <v>STAMBAUGH JAMES</v>
      </c>
    </row>
    <row r="189" spans="1:7" x14ac:dyDescent="0.25">
      <c r="A189" s="8">
        <v>42707.850358796299</v>
      </c>
      <c r="B189" s="21" t="s">
        <v>208</v>
      </c>
      <c r="C189" s="21" t="s">
        <v>638</v>
      </c>
      <c r="D189" s="165">
        <v>2000000</v>
      </c>
      <c r="E189" s="21" t="s">
        <v>214</v>
      </c>
      <c r="F189" s="21" t="s">
        <v>343</v>
      </c>
      <c r="G189" s="8" t="str">
        <f t="shared" si="2"/>
        <v>STAMBAUGH JAMES</v>
      </c>
    </row>
    <row r="190" spans="1:7" x14ac:dyDescent="0.25">
      <c r="A190" s="8">
        <v>42707.858657407407</v>
      </c>
      <c r="B190" s="21" t="s">
        <v>208</v>
      </c>
      <c r="C190" s="21" t="s">
        <v>638</v>
      </c>
      <c r="D190" s="165">
        <v>2000000</v>
      </c>
      <c r="E190" s="21" t="s">
        <v>214</v>
      </c>
      <c r="F190" s="21" t="s">
        <v>343</v>
      </c>
      <c r="G190" s="8" t="str">
        <f t="shared" si="2"/>
        <v>STAMBAUGH JAMES</v>
      </c>
    </row>
    <row r="191" spans="1:7" x14ac:dyDescent="0.25">
      <c r="A191" s="8">
        <v>42707.862662037034</v>
      </c>
      <c r="B191" s="21" t="s">
        <v>305</v>
      </c>
      <c r="C191" s="21" t="s">
        <v>457</v>
      </c>
      <c r="D191" s="165">
        <v>2420000</v>
      </c>
      <c r="E191" s="21" t="s">
        <v>220</v>
      </c>
      <c r="F191" s="21" t="s">
        <v>582</v>
      </c>
      <c r="G191" s="8" t="str">
        <f t="shared" si="2"/>
        <v>HOLCOMB KAMDEN</v>
      </c>
    </row>
    <row r="192" spans="1:7" x14ac:dyDescent="0.25">
      <c r="A192" s="8">
        <v>42707.863622685189</v>
      </c>
      <c r="B192" s="21" t="s">
        <v>305</v>
      </c>
      <c r="C192" s="21" t="s">
        <v>458</v>
      </c>
      <c r="D192" s="165">
        <v>2420000</v>
      </c>
      <c r="E192" s="21" t="s">
        <v>220</v>
      </c>
      <c r="F192" s="21" t="s">
        <v>582</v>
      </c>
      <c r="G192" s="8" t="str">
        <f t="shared" si="2"/>
        <v>HOLCOMB KAMDEN</v>
      </c>
    </row>
    <row r="193" spans="1:7" x14ac:dyDescent="0.25">
      <c r="A193" s="8">
        <v>42707.86791666667</v>
      </c>
      <c r="B193" s="21" t="s">
        <v>289</v>
      </c>
      <c r="C193" s="21" t="s">
        <v>640</v>
      </c>
      <c r="D193" s="165">
        <v>1300000</v>
      </c>
      <c r="E193" s="21" t="s">
        <v>113</v>
      </c>
      <c r="F193" s="21" t="s">
        <v>342</v>
      </c>
      <c r="G193" s="8" t="str">
        <f t="shared" si="2"/>
        <v>LEVIN SCOTT</v>
      </c>
    </row>
    <row r="194" spans="1:7" x14ac:dyDescent="0.25">
      <c r="A194" s="8">
        <v>42707.872037037036</v>
      </c>
      <c r="B194" s="21" t="s">
        <v>360</v>
      </c>
      <c r="C194" s="21" t="s">
        <v>459</v>
      </c>
      <c r="D194" s="165">
        <v>1800000</v>
      </c>
      <c r="E194" s="21" t="s">
        <v>271</v>
      </c>
      <c r="F194" s="21" t="s">
        <v>469</v>
      </c>
      <c r="G194" s="8" t="str">
        <f t="shared" si="2"/>
        <v>CHANDLER KELVIN</v>
      </c>
    </row>
    <row r="195" spans="1:7" x14ac:dyDescent="0.25">
      <c r="A195" s="8">
        <v>42707.882430555554</v>
      </c>
      <c r="B195" s="21" t="s">
        <v>308</v>
      </c>
      <c r="C195" s="21" t="s">
        <v>641</v>
      </c>
      <c r="D195" s="165">
        <v>2420000</v>
      </c>
      <c r="E195" s="21" t="s">
        <v>220</v>
      </c>
      <c r="F195" s="21" t="s">
        <v>582</v>
      </c>
      <c r="G195" s="8" t="str">
        <f t="shared" ref="G195:G258" si="3">E195&amp;" "&amp;F195</f>
        <v>HOLCOMB KAMDEN</v>
      </c>
    </row>
    <row r="196" spans="1:7" x14ac:dyDescent="0.25">
      <c r="A196" s="8">
        <v>42707.883530092593</v>
      </c>
      <c r="B196" s="21" t="s">
        <v>357</v>
      </c>
      <c r="C196" s="21" t="s">
        <v>642</v>
      </c>
      <c r="D196" s="165">
        <v>1810000</v>
      </c>
      <c r="E196" s="21" t="s">
        <v>619</v>
      </c>
      <c r="F196" s="21" t="s">
        <v>343</v>
      </c>
      <c r="G196" s="8" t="str">
        <f t="shared" si="3"/>
        <v>NEWELL JAMES</v>
      </c>
    </row>
    <row r="197" spans="1:7" x14ac:dyDescent="0.25">
      <c r="A197" s="8">
        <v>42707.890879629631</v>
      </c>
      <c r="B197" s="21" t="s">
        <v>212</v>
      </c>
      <c r="C197" s="21" t="s">
        <v>461</v>
      </c>
      <c r="D197" s="165">
        <v>2000000</v>
      </c>
      <c r="E197" s="21" t="s">
        <v>214</v>
      </c>
      <c r="F197" s="21" t="s">
        <v>343</v>
      </c>
      <c r="G197" s="8" t="str">
        <f t="shared" si="3"/>
        <v>STAMBAUGH JAMES</v>
      </c>
    </row>
    <row r="198" spans="1:7" x14ac:dyDescent="0.25">
      <c r="A198" s="8">
        <v>42707.901412037034</v>
      </c>
      <c r="B198" s="21" t="s">
        <v>305</v>
      </c>
      <c r="C198" s="21" t="s">
        <v>460</v>
      </c>
      <c r="D198" s="165">
        <v>2420000</v>
      </c>
      <c r="E198" s="21" t="s">
        <v>220</v>
      </c>
      <c r="F198" s="21" t="s">
        <v>582</v>
      </c>
      <c r="G198" s="8" t="str">
        <f t="shared" si="3"/>
        <v>HOLCOMB KAMDEN</v>
      </c>
    </row>
    <row r="199" spans="1:7" x14ac:dyDescent="0.25">
      <c r="A199" s="8">
        <v>42707.911041666666</v>
      </c>
      <c r="B199" s="21" t="s">
        <v>290</v>
      </c>
      <c r="C199" s="21" t="s">
        <v>643</v>
      </c>
      <c r="D199" s="165">
        <v>1300000</v>
      </c>
      <c r="E199" s="21" t="s">
        <v>113</v>
      </c>
      <c r="F199" s="21" t="s">
        <v>342</v>
      </c>
      <c r="G199" s="8" t="str">
        <f t="shared" si="3"/>
        <v>LEVIN SCOTT</v>
      </c>
    </row>
    <row r="200" spans="1:7" x14ac:dyDescent="0.25">
      <c r="A200" s="8">
        <v>42707.915798611109</v>
      </c>
      <c r="B200" s="21" t="s">
        <v>233</v>
      </c>
      <c r="C200" s="21" t="s">
        <v>462</v>
      </c>
      <c r="D200" s="165">
        <v>1800000</v>
      </c>
      <c r="E200" s="21" t="s">
        <v>271</v>
      </c>
      <c r="F200" s="21" t="s">
        <v>469</v>
      </c>
      <c r="G200" s="8" t="str">
        <f t="shared" si="3"/>
        <v>CHANDLER KELVIN</v>
      </c>
    </row>
    <row r="201" spans="1:7" x14ac:dyDescent="0.25">
      <c r="A201" s="8">
        <v>42707.925567129627</v>
      </c>
      <c r="B201" s="21" t="s">
        <v>311</v>
      </c>
      <c r="C201" s="21" t="s">
        <v>644</v>
      </c>
      <c r="D201" s="165">
        <v>1810000</v>
      </c>
      <c r="E201" s="21" t="s">
        <v>619</v>
      </c>
      <c r="F201" s="21" t="s">
        <v>343</v>
      </c>
      <c r="G201" s="8" t="str">
        <f t="shared" si="3"/>
        <v>NEWELL JAMES</v>
      </c>
    </row>
    <row r="202" spans="1:7" x14ac:dyDescent="0.25">
      <c r="A202" s="27">
        <v>42707.92895833333</v>
      </c>
      <c r="B202" s="21" t="s">
        <v>308</v>
      </c>
      <c r="C202" s="21" t="s">
        <v>645</v>
      </c>
      <c r="D202" s="165">
        <v>2420000</v>
      </c>
      <c r="E202" s="21" t="s">
        <v>220</v>
      </c>
      <c r="F202" s="21" t="s">
        <v>582</v>
      </c>
      <c r="G202" s="8" t="str">
        <f t="shared" si="3"/>
        <v>HOLCOMB KAMDEN</v>
      </c>
    </row>
    <row r="203" spans="1:7" x14ac:dyDescent="0.25">
      <c r="A203" s="8">
        <v>42707.933287037034</v>
      </c>
      <c r="B203" s="21" t="s">
        <v>208</v>
      </c>
      <c r="C203" s="21" t="s">
        <v>464</v>
      </c>
      <c r="D203" s="165">
        <v>2000000</v>
      </c>
      <c r="E203" s="21" t="s">
        <v>214</v>
      </c>
      <c r="F203" s="21" t="s">
        <v>343</v>
      </c>
      <c r="G203" s="8" t="str">
        <f t="shared" si="3"/>
        <v>STAMBAUGH JAMES</v>
      </c>
    </row>
    <row r="204" spans="1:7" x14ac:dyDescent="0.25">
      <c r="A204" s="8">
        <v>42707.943148148152</v>
      </c>
      <c r="B204" s="21" t="s">
        <v>305</v>
      </c>
      <c r="C204" s="21" t="s">
        <v>463</v>
      </c>
      <c r="D204" s="165">
        <v>2420000</v>
      </c>
      <c r="E204" s="21" t="s">
        <v>220</v>
      </c>
      <c r="F204" s="21" t="s">
        <v>582</v>
      </c>
      <c r="G204" s="8" t="str">
        <f t="shared" si="3"/>
        <v>HOLCOMB KAMDEN</v>
      </c>
    </row>
    <row r="205" spans="1:7" x14ac:dyDescent="0.25">
      <c r="A205" s="8">
        <v>42707.954236111109</v>
      </c>
      <c r="B205" s="21" t="s">
        <v>360</v>
      </c>
      <c r="C205" s="21" t="s">
        <v>466</v>
      </c>
      <c r="D205" s="165">
        <v>1800000</v>
      </c>
      <c r="E205" s="21" t="s">
        <v>271</v>
      </c>
      <c r="F205" s="21" t="s">
        <v>469</v>
      </c>
      <c r="G205" s="8" t="str">
        <f t="shared" si="3"/>
        <v>CHANDLER KELVIN</v>
      </c>
    </row>
    <row r="206" spans="1:7" x14ac:dyDescent="0.25">
      <c r="A206" s="8">
        <v>42707.954571759263</v>
      </c>
      <c r="B206" s="21" t="s">
        <v>289</v>
      </c>
      <c r="C206" s="21" t="s">
        <v>465</v>
      </c>
      <c r="D206" s="165">
        <v>1300000</v>
      </c>
      <c r="E206" s="21" t="s">
        <v>113</v>
      </c>
      <c r="F206" s="21" t="s">
        <v>342</v>
      </c>
      <c r="G206" s="8" t="str">
        <f t="shared" si="3"/>
        <v>LEVIN SCOTT</v>
      </c>
    </row>
    <row r="207" spans="1:7" x14ac:dyDescent="0.25">
      <c r="A207" s="8">
        <v>42707.973020833335</v>
      </c>
      <c r="B207" s="21" t="s">
        <v>212</v>
      </c>
      <c r="C207" s="21" t="s">
        <v>646</v>
      </c>
      <c r="D207" s="165">
        <v>2000000</v>
      </c>
      <c r="E207" s="21" t="s">
        <v>214</v>
      </c>
      <c r="F207" s="21" t="s">
        <v>343</v>
      </c>
      <c r="G207" s="8" t="str">
        <f t="shared" si="3"/>
        <v>STAMBAUGH JAMES</v>
      </c>
    </row>
    <row r="208" spans="1:7" x14ac:dyDescent="0.25">
      <c r="A208" s="8">
        <v>42707.973819444444</v>
      </c>
      <c r="B208" s="21" t="s">
        <v>357</v>
      </c>
      <c r="C208" s="21" t="s">
        <v>647</v>
      </c>
      <c r="D208" s="165">
        <v>1810000</v>
      </c>
      <c r="E208" s="21" t="s">
        <v>619</v>
      </c>
      <c r="F208" s="21" t="s">
        <v>343</v>
      </c>
      <c r="G208" s="8" t="str">
        <f t="shared" si="3"/>
        <v>NEWELL JAMES</v>
      </c>
    </row>
    <row r="209" spans="1:7" x14ac:dyDescent="0.25">
      <c r="A209" s="8">
        <v>42707.991863425923</v>
      </c>
      <c r="B209" s="21" t="s">
        <v>233</v>
      </c>
      <c r="C209" s="21" t="s">
        <v>648</v>
      </c>
      <c r="D209" s="165">
        <v>2540000</v>
      </c>
      <c r="E209" s="21" t="s">
        <v>649</v>
      </c>
      <c r="F209" s="21" t="s">
        <v>650</v>
      </c>
      <c r="G209" s="8" t="str">
        <f t="shared" si="3"/>
        <v>MCREYNOLDS KYLE</v>
      </c>
    </row>
    <row r="210" spans="1:7" x14ac:dyDescent="0.25">
      <c r="A210" s="8">
        <v>42707.994490740741</v>
      </c>
      <c r="B210" s="21" t="s">
        <v>290</v>
      </c>
      <c r="C210" s="21" t="s">
        <v>651</v>
      </c>
      <c r="D210" s="165">
        <v>1300000</v>
      </c>
      <c r="E210" s="21" t="s">
        <v>113</v>
      </c>
      <c r="F210" s="21" t="s">
        <v>342</v>
      </c>
      <c r="G210" s="8" t="str">
        <f t="shared" si="3"/>
        <v>LEVIN SCOTT</v>
      </c>
    </row>
    <row r="211" spans="1:7" x14ac:dyDescent="0.25">
      <c r="A211" s="8">
        <v>42707.998877314814</v>
      </c>
      <c r="B211" s="21" t="s">
        <v>363</v>
      </c>
      <c r="C211" s="21" t="s">
        <v>652</v>
      </c>
      <c r="D211" s="165">
        <v>1800000</v>
      </c>
      <c r="E211" s="21" t="s">
        <v>271</v>
      </c>
      <c r="F211" s="21" t="s">
        <v>469</v>
      </c>
      <c r="G211" s="8" t="str">
        <f t="shared" si="3"/>
        <v>CHANDLER KELVIN</v>
      </c>
    </row>
    <row r="212" spans="1:7" x14ac:dyDescent="0.25">
      <c r="A212" s="8">
        <v>42708.000138888892</v>
      </c>
      <c r="B212" s="21" t="s">
        <v>363</v>
      </c>
      <c r="C212" s="21" t="s">
        <v>652</v>
      </c>
      <c r="D212" s="165">
        <v>1800000</v>
      </c>
      <c r="E212" s="21" t="s">
        <v>271</v>
      </c>
      <c r="F212" s="21" t="s">
        <v>469</v>
      </c>
      <c r="G212" s="8" t="str">
        <f t="shared" si="3"/>
        <v>CHANDLER KELVIN</v>
      </c>
    </row>
    <row r="213" spans="1:7" x14ac:dyDescent="0.25">
      <c r="A213" s="8">
        <v>42708.011493055557</v>
      </c>
      <c r="B213" s="21" t="s">
        <v>311</v>
      </c>
      <c r="C213" s="21" t="s">
        <v>653</v>
      </c>
      <c r="D213" s="165">
        <v>1810000</v>
      </c>
      <c r="E213" s="21" t="s">
        <v>619</v>
      </c>
      <c r="F213" s="21" t="s">
        <v>343</v>
      </c>
      <c r="G213" s="8" t="str">
        <f t="shared" si="3"/>
        <v>NEWELL JAMES</v>
      </c>
    </row>
    <row r="214" spans="1:7" x14ac:dyDescent="0.25">
      <c r="A214" s="8">
        <v>42708.01357638889</v>
      </c>
      <c r="B214" s="21" t="s">
        <v>208</v>
      </c>
      <c r="C214" s="21" t="s">
        <v>654</v>
      </c>
      <c r="D214" s="165">
        <v>2000000</v>
      </c>
      <c r="E214" s="21" t="s">
        <v>214</v>
      </c>
      <c r="F214" s="21" t="s">
        <v>343</v>
      </c>
      <c r="G214" s="8" t="str">
        <f t="shared" si="3"/>
        <v>STAMBAUGH JAMES</v>
      </c>
    </row>
    <row r="215" spans="1:7" x14ac:dyDescent="0.25">
      <c r="A215" s="8">
        <v>42708.035729166666</v>
      </c>
      <c r="B215" s="21" t="s">
        <v>360</v>
      </c>
      <c r="C215" s="21" t="s">
        <v>655</v>
      </c>
      <c r="D215" s="165">
        <v>1800000</v>
      </c>
      <c r="E215" s="21" t="s">
        <v>271</v>
      </c>
      <c r="F215" s="21" t="s">
        <v>469</v>
      </c>
      <c r="G215" s="8" t="str">
        <f t="shared" si="3"/>
        <v>CHANDLER KELVIN</v>
      </c>
    </row>
    <row r="216" spans="1:7" x14ac:dyDescent="0.25">
      <c r="A216" s="8">
        <v>42708.037997685184</v>
      </c>
      <c r="B216" s="21" t="s">
        <v>289</v>
      </c>
      <c r="C216" s="21" t="s">
        <v>656</v>
      </c>
      <c r="D216" s="165">
        <v>1300000</v>
      </c>
      <c r="E216" s="21" t="s">
        <v>113</v>
      </c>
      <c r="F216" s="21" t="s">
        <v>342</v>
      </c>
      <c r="G216" s="8" t="str">
        <f t="shared" si="3"/>
        <v>LEVIN SCOTT</v>
      </c>
    </row>
    <row r="217" spans="1:7" x14ac:dyDescent="0.25">
      <c r="A217" s="8">
        <v>42708.046875</v>
      </c>
      <c r="B217" s="21" t="s">
        <v>357</v>
      </c>
      <c r="C217" s="21" t="s">
        <v>657</v>
      </c>
      <c r="D217" s="165">
        <v>1810000</v>
      </c>
      <c r="E217" s="21" t="s">
        <v>619</v>
      </c>
      <c r="F217" s="21" t="s">
        <v>343</v>
      </c>
      <c r="G217" s="8" t="str">
        <f t="shared" si="3"/>
        <v>NEWELL JAMES</v>
      </c>
    </row>
    <row r="218" spans="1:7" x14ac:dyDescent="0.25">
      <c r="A218" s="8">
        <v>42708.056666666664</v>
      </c>
      <c r="B218" s="21" t="s">
        <v>212</v>
      </c>
      <c r="C218" s="21" t="s">
        <v>658</v>
      </c>
      <c r="D218" s="165">
        <v>2000000</v>
      </c>
      <c r="E218" s="21" t="s">
        <v>214</v>
      </c>
      <c r="F218" s="21" t="s">
        <v>343</v>
      </c>
      <c r="G218" s="8" t="str">
        <f t="shared" si="3"/>
        <v>STAMBAUGH JAMES</v>
      </c>
    </row>
    <row r="219" spans="1:7" x14ac:dyDescent="0.25">
      <c r="A219" s="8">
        <v>42708.068576388891</v>
      </c>
      <c r="B219" s="21" t="s">
        <v>363</v>
      </c>
      <c r="C219" s="21" t="s">
        <v>659</v>
      </c>
      <c r="D219" s="165">
        <v>1800000</v>
      </c>
      <c r="E219" s="21" t="s">
        <v>271</v>
      </c>
      <c r="F219" s="21" t="s">
        <v>469</v>
      </c>
      <c r="G219" s="8" t="str">
        <f t="shared" si="3"/>
        <v>CHANDLER KELVIN</v>
      </c>
    </row>
    <row r="220" spans="1:7" x14ac:dyDescent="0.25">
      <c r="A220" s="8">
        <v>42708.07644675926</v>
      </c>
      <c r="B220" s="21" t="s">
        <v>290</v>
      </c>
      <c r="C220" s="21" t="s">
        <v>660</v>
      </c>
      <c r="D220" s="165">
        <v>1300000</v>
      </c>
      <c r="E220" s="21" t="s">
        <v>113</v>
      </c>
      <c r="F220" s="21" t="s">
        <v>342</v>
      </c>
      <c r="G220" s="8" t="str">
        <f t="shared" si="3"/>
        <v>LEVIN SCOTT</v>
      </c>
    </row>
    <row r="221" spans="1:7" x14ac:dyDescent="0.25">
      <c r="A221" s="8">
        <v>42708.089722222219</v>
      </c>
      <c r="B221" s="21" t="s">
        <v>208</v>
      </c>
      <c r="C221" s="21" t="s">
        <v>661</v>
      </c>
      <c r="D221" s="165">
        <v>2000000</v>
      </c>
      <c r="E221" s="21" t="s">
        <v>214</v>
      </c>
      <c r="F221" s="21" t="s">
        <v>343</v>
      </c>
      <c r="G221" s="8" t="str">
        <f t="shared" si="3"/>
        <v>STAMBAUGH JAMES</v>
      </c>
    </row>
    <row r="222" spans="1:7" x14ac:dyDescent="0.25">
      <c r="A222" s="8">
        <v>42708.109305555554</v>
      </c>
      <c r="B222" s="21" t="s">
        <v>289</v>
      </c>
      <c r="C222" s="21" t="s">
        <v>662</v>
      </c>
      <c r="D222" s="165">
        <v>1300000</v>
      </c>
      <c r="E222" s="21" t="s">
        <v>113</v>
      </c>
      <c r="F222" s="21" t="s">
        <v>342</v>
      </c>
      <c r="G222" s="8" t="str">
        <f t="shared" si="3"/>
        <v>LEVIN SCOTT</v>
      </c>
    </row>
    <row r="223" spans="1:7" x14ac:dyDescent="0.25">
      <c r="A223" s="8">
        <v>42708.110219907408</v>
      </c>
      <c r="B223" s="21" t="s">
        <v>289</v>
      </c>
      <c r="C223" s="21" t="s">
        <v>662</v>
      </c>
      <c r="D223" s="165">
        <v>1300000</v>
      </c>
      <c r="E223" s="21" t="s">
        <v>113</v>
      </c>
      <c r="F223" s="21" t="s">
        <v>342</v>
      </c>
      <c r="G223" s="8" t="str">
        <f t="shared" si="3"/>
        <v>LEVIN SCOTT</v>
      </c>
    </row>
    <row r="224" spans="1:7" x14ac:dyDescent="0.25">
      <c r="A224" s="8">
        <v>42705.858946759261</v>
      </c>
      <c r="B224" t="s">
        <v>259</v>
      </c>
      <c r="C224" t="s">
        <v>367</v>
      </c>
      <c r="D224" s="165">
        <v>2600000</v>
      </c>
      <c r="E224" t="s">
        <v>254</v>
      </c>
      <c r="F224" s="21" t="s">
        <v>338</v>
      </c>
      <c r="G224" s="8" t="str">
        <f t="shared" si="3"/>
        <v>DAVIDSON DAVID</v>
      </c>
    </row>
    <row r="225" spans="1:7" x14ac:dyDescent="0.25">
      <c r="A225" s="8">
        <v>42705.868333333332</v>
      </c>
      <c r="B225" t="s">
        <v>269</v>
      </c>
      <c r="C225" t="s">
        <v>368</v>
      </c>
      <c r="D225" s="165">
        <v>1300000</v>
      </c>
      <c r="E225" t="s">
        <v>113</v>
      </c>
      <c r="F225" s="21" t="s">
        <v>342</v>
      </c>
      <c r="G225" s="8" t="str">
        <f t="shared" si="3"/>
        <v>LEVIN SCOTT</v>
      </c>
    </row>
    <row r="226" spans="1:7" x14ac:dyDescent="0.25">
      <c r="A226" s="8">
        <v>42705.872083333335</v>
      </c>
      <c r="B226" t="s">
        <v>364</v>
      </c>
      <c r="C226" t="s">
        <v>369</v>
      </c>
      <c r="D226" s="165">
        <v>1180000</v>
      </c>
      <c r="E226" t="s">
        <v>291</v>
      </c>
      <c r="F226" s="21" t="s">
        <v>341</v>
      </c>
      <c r="G226" s="8" t="str">
        <f t="shared" si="3"/>
        <v>LEVERE CRAIG</v>
      </c>
    </row>
    <row r="227" spans="1:7" x14ac:dyDescent="0.25">
      <c r="A227" s="8">
        <v>42705.872442129628</v>
      </c>
      <c r="B227" t="s">
        <v>258</v>
      </c>
      <c r="C227" t="s">
        <v>370</v>
      </c>
      <c r="D227" s="165">
        <v>1230000</v>
      </c>
      <c r="E227" t="s">
        <v>297</v>
      </c>
      <c r="F227" s="21" t="s">
        <v>335</v>
      </c>
      <c r="G227" s="8" t="str">
        <f t="shared" si="3"/>
        <v>YANAI IAN</v>
      </c>
    </row>
    <row r="228" spans="1:7" x14ac:dyDescent="0.25">
      <c r="A228" s="8">
        <v>42705.888680555552</v>
      </c>
      <c r="B228" t="s">
        <v>262</v>
      </c>
      <c r="C228" t="s">
        <v>371</v>
      </c>
      <c r="D228" s="165">
        <v>2000000</v>
      </c>
      <c r="E228" t="s">
        <v>214</v>
      </c>
      <c r="F228" s="21" t="s">
        <v>343</v>
      </c>
      <c r="G228" s="8" t="str">
        <f t="shared" si="3"/>
        <v>STAMBAUGH JAMES</v>
      </c>
    </row>
    <row r="229" spans="1:7" x14ac:dyDescent="0.25">
      <c r="A229" s="8">
        <v>42705.893194444441</v>
      </c>
      <c r="B229" t="s">
        <v>221</v>
      </c>
      <c r="C229" t="s">
        <v>372</v>
      </c>
      <c r="D229" s="165">
        <v>1290000</v>
      </c>
      <c r="E229" t="s">
        <v>292</v>
      </c>
      <c r="F229" s="21" t="s">
        <v>334</v>
      </c>
      <c r="G229" s="8" t="str">
        <f t="shared" si="3"/>
        <v>COOLAHAN JOHN</v>
      </c>
    </row>
    <row r="230" spans="1:7" x14ac:dyDescent="0.25">
      <c r="A230" s="8">
        <v>42705.901932870373</v>
      </c>
      <c r="B230" t="s">
        <v>259</v>
      </c>
      <c r="C230" t="s">
        <v>373</v>
      </c>
      <c r="D230" s="165">
        <v>1230000</v>
      </c>
      <c r="E230" t="s">
        <v>297</v>
      </c>
      <c r="F230" s="21" t="s">
        <v>335</v>
      </c>
      <c r="G230" s="8" t="str">
        <f t="shared" si="3"/>
        <v>YANAI IAN</v>
      </c>
    </row>
    <row r="231" spans="1:7" x14ac:dyDescent="0.25">
      <c r="A231" s="8">
        <v>42705.906342592592</v>
      </c>
      <c r="B231" t="s">
        <v>349</v>
      </c>
      <c r="C231" t="s">
        <v>374</v>
      </c>
      <c r="D231" s="165">
        <v>1180000</v>
      </c>
      <c r="E231" t="s">
        <v>291</v>
      </c>
      <c r="F231" s="21" t="s">
        <v>341</v>
      </c>
      <c r="G231" s="8" t="str">
        <f t="shared" si="3"/>
        <v>LEVERE CRAIG</v>
      </c>
    </row>
    <row r="232" spans="1:7" x14ac:dyDescent="0.25">
      <c r="A232" s="8">
        <v>42705.910381944443</v>
      </c>
      <c r="B232" t="s">
        <v>244</v>
      </c>
      <c r="C232" t="s">
        <v>375</v>
      </c>
      <c r="D232" s="165">
        <v>1300000</v>
      </c>
      <c r="E232" t="s">
        <v>113</v>
      </c>
      <c r="F232" s="21" t="s">
        <v>342</v>
      </c>
      <c r="G232" s="8" t="str">
        <f t="shared" si="3"/>
        <v>LEVIN SCOTT</v>
      </c>
    </row>
    <row r="233" spans="1:7" x14ac:dyDescent="0.25">
      <c r="A233" s="8">
        <v>42705.914166666669</v>
      </c>
      <c r="B233" t="s">
        <v>258</v>
      </c>
      <c r="C233" t="s">
        <v>376</v>
      </c>
      <c r="D233" s="165">
        <v>1230000</v>
      </c>
      <c r="E233" t="s">
        <v>297</v>
      </c>
      <c r="F233" s="21" t="s">
        <v>335</v>
      </c>
      <c r="G233" s="8" t="str">
        <f t="shared" si="3"/>
        <v>YANAI IAN</v>
      </c>
    </row>
    <row r="234" spans="1:7" x14ac:dyDescent="0.25">
      <c r="A234" s="8">
        <v>42705.921944444446</v>
      </c>
      <c r="B234" t="s">
        <v>183</v>
      </c>
      <c r="C234" t="s">
        <v>377</v>
      </c>
      <c r="D234" s="165">
        <v>2000000</v>
      </c>
      <c r="E234" t="s">
        <v>214</v>
      </c>
      <c r="F234" s="21" t="s">
        <v>343</v>
      </c>
      <c r="G234" s="8" t="str">
        <f t="shared" si="3"/>
        <v>STAMBAUGH JAMES</v>
      </c>
    </row>
    <row r="235" spans="1:7" x14ac:dyDescent="0.25">
      <c r="A235" s="8">
        <v>42705.929074074076</v>
      </c>
      <c r="B235" t="s">
        <v>222</v>
      </c>
      <c r="C235" t="s">
        <v>378</v>
      </c>
      <c r="D235" s="165">
        <v>1290000</v>
      </c>
      <c r="E235" t="s">
        <v>292</v>
      </c>
      <c r="F235" s="21" t="s">
        <v>334</v>
      </c>
      <c r="G235" s="8" t="str">
        <f t="shared" si="3"/>
        <v>COOLAHAN JOHN</v>
      </c>
    </row>
    <row r="236" spans="1:7" x14ac:dyDescent="0.25">
      <c r="A236" s="8">
        <v>42705.941400462965</v>
      </c>
      <c r="B236" t="s">
        <v>259</v>
      </c>
      <c r="C236" t="s">
        <v>379</v>
      </c>
      <c r="D236" s="165">
        <v>1230000</v>
      </c>
      <c r="E236" t="s">
        <v>297</v>
      </c>
      <c r="F236" s="21" t="s">
        <v>335</v>
      </c>
      <c r="G236" s="8" t="str">
        <f t="shared" si="3"/>
        <v>YANAI IAN</v>
      </c>
    </row>
    <row r="237" spans="1:7" x14ac:dyDescent="0.25">
      <c r="A237" s="8">
        <v>42705.951643518521</v>
      </c>
      <c r="B237" t="s">
        <v>364</v>
      </c>
      <c r="C237" t="s">
        <v>380</v>
      </c>
      <c r="D237" s="165">
        <v>1180000</v>
      </c>
      <c r="E237" t="s">
        <v>291</v>
      </c>
      <c r="F237" s="21" t="s">
        <v>341</v>
      </c>
      <c r="G237" s="8" t="str">
        <f t="shared" si="3"/>
        <v>LEVERE CRAIG</v>
      </c>
    </row>
    <row r="238" spans="1:7" x14ac:dyDescent="0.25">
      <c r="A238" s="8">
        <v>42705.952060185184</v>
      </c>
      <c r="B238" t="s">
        <v>269</v>
      </c>
      <c r="C238" t="s">
        <v>381</v>
      </c>
      <c r="D238" s="165">
        <v>1300000</v>
      </c>
      <c r="E238" t="s">
        <v>113</v>
      </c>
      <c r="F238" s="21" t="s">
        <v>342</v>
      </c>
      <c r="G238" s="8" t="str">
        <f t="shared" si="3"/>
        <v>LEVIN SCOTT</v>
      </c>
    </row>
    <row r="239" spans="1:7" x14ac:dyDescent="0.25">
      <c r="A239" s="8">
        <v>42705.97446759259</v>
      </c>
      <c r="B239" t="s">
        <v>262</v>
      </c>
      <c r="C239" t="s">
        <v>382</v>
      </c>
      <c r="D239" s="165">
        <v>2000000</v>
      </c>
      <c r="E239" t="s">
        <v>214</v>
      </c>
      <c r="F239" s="21" t="s">
        <v>343</v>
      </c>
      <c r="G239" s="8" t="str">
        <f t="shared" si="3"/>
        <v>STAMBAUGH JAMES</v>
      </c>
    </row>
    <row r="240" spans="1:7" x14ac:dyDescent="0.25">
      <c r="A240" s="8">
        <v>42705.976018518515</v>
      </c>
      <c r="B240" t="s">
        <v>221</v>
      </c>
      <c r="C240" t="s">
        <v>383</v>
      </c>
      <c r="D240" s="165">
        <v>1290000</v>
      </c>
      <c r="E240" t="s">
        <v>292</v>
      </c>
      <c r="F240" s="21" t="s">
        <v>334</v>
      </c>
      <c r="G240" s="8" t="str">
        <f t="shared" si="3"/>
        <v>COOLAHAN JOHN</v>
      </c>
    </row>
    <row r="241" spans="1:7" x14ac:dyDescent="0.25">
      <c r="A241" s="8">
        <v>42705.993807870371</v>
      </c>
      <c r="B241" t="s">
        <v>349</v>
      </c>
      <c r="C241" t="s">
        <v>384</v>
      </c>
      <c r="D241" s="165">
        <v>1180000</v>
      </c>
      <c r="E241" t="s">
        <v>291</v>
      </c>
      <c r="F241" s="21" t="s">
        <v>341</v>
      </c>
      <c r="G241" s="8" t="str">
        <f t="shared" si="3"/>
        <v>LEVERE CRAIG</v>
      </c>
    </row>
    <row r="242" spans="1:7" x14ac:dyDescent="0.25">
      <c r="A242" s="8">
        <v>42705.99627314815</v>
      </c>
      <c r="B242" t="s">
        <v>244</v>
      </c>
      <c r="C242" t="s">
        <v>385</v>
      </c>
      <c r="D242" s="165">
        <v>1300000</v>
      </c>
      <c r="E242" t="s">
        <v>113</v>
      </c>
      <c r="F242" s="21" t="s">
        <v>342</v>
      </c>
      <c r="G242" s="8" t="str">
        <f t="shared" si="3"/>
        <v>LEVIN SCOTT</v>
      </c>
    </row>
    <row r="243" spans="1:7" x14ac:dyDescent="0.25">
      <c r="A243" s="8">
        <v>42706.004305555558</v>
      </c>
      <c r="B243" t="s">
        <v>183</v>
      </c>
      <c r="C243" t="s">
        <v>386</v>
      </c>
      <c r="D243" s="165">
        <v>2000000</v>
      </c>
      <c r="E243" t="s">
        <v>214</v>
      </c>
      <c r="F243" s="21" t="s">
        <v>343</v>
      </c>
      <c r="G243" s="8" t="str">
        <f t="shared" si="3"/>
        <v>STAMBAUGH JAMES</v>
      </c>
    </row>
    <row r="244" spans="1:7" x14ac:dyDescent="0.25">
      <c r="A244" s="8">
        <v>42706.00990740741</v>
      </c>
      <c r="B244" t="s">
        <v>222</v>
      </c>
      <c r="C244" t="s">
        <v>351</v>
      </c>
      <c r="D244" s="165">
        <v>1290000</v>
      </c>
      <c r="E244" t="s">
        <v>292</v>
      </c>
      <c r="F244" s="21" t="s">
        <v>334</v>
      </c>
      <c r="G244" s="8" t="str">
        <f t="shared" si="3"/>
        <v>COOLAHAN JOHN</v>
      </c>
    </row>
    <row r="245" spans="1:7" x14ac:dyDescent="0.25">
      <c r="A245" s="8">
        <v>42706.026990740742</v>
      </c>
      <c r="B245" t="s">
        <v>364</v>
      </c>
      <c r="C245" t="s">
        <v>387</v>
      </c>
      <c r="D245" s="165">
        <v>1180000</v>
      </c>
      <c r="E245" t="s">
        <v>291</v>
      </c>
      <c r="F245" s="21" t="s">
        <v>341</v>
      </c>
      <c r="G245" s="8" t="str">
        <f t="shared" si="3"/>
        <v>LEVERE CRAIG</v>
      </c>
    </row>
    <row r="246" spans="1:7" x14ac:dyDescent="0.25">
      <c r="A246" s="8">
        <v>42706.035787037035</v>
      </c>
      <c r="B246" t="s">
        <v>269</v>
      </c>
      <c r="C246" t="s">
        <v>350</v>
      </c>
      <c r="D246" s="165">
        <v>1300000</v>
      </c>
      <c r="E246" t="s">
        <v>113</v>
      </c>
      <c r="F246" s="21" t="s">
        <v>342</v>
      </c>
      <c r="G246" s="8" t="str">
        <f t="shared" si="3"/>
        <v>LEVIN SCOTT</v>
      </c>
    </row>
    <row r="247" spans="1:7" x14ac:dyDescent="0.25">
      <c r="A247" s="8">
        <v>42706.04965277778</v>
      </c>
      <c r="B247" t="s">
        <v>308</v>
      </c>
      <c r="C247" t="s">
        <v>388</v>
      </c>
      <c r="D247" s="165">
        <v>1290000</v>
      </c>
      <c r="E247" t="s">
        <v>292</v>
      </c>
      <c r="F247" s="21" t="s">
        <v>334</v>
      </c>
      <c r="G247" s="8" t="str">
        <f t="shared" si="3"/>
        <v>COOLAHAN JOHN</v>
      </c>
    </row>
    <row r="248" spans="1:7" x14ac:dyDescent="0.25">
      <c r="A248" s="8">
        <v>42706.05704861111</v>
      </c>
      <c r="B248" t="s">
        <v>262</v>
      </c>
      <c r="C248" t="s">
        <v>389</v>
      </c>
      <c r="D248" s="165">
        <v>2000000</v>
      </c>
      <c r="E248" t="s">
        <v>214</v>
      </c>
      <c r="F248" s="21" t="s">
        <v>343</v>
      </c>
      <c r="G248" s="8" t="str">
        <f t="shared" si="3"/>
        <v>STAMBAUGH JAMES</v>
      </c>
    </row>
    <row r="249" spans="1:7" x14ac:dyDescent="0.25">
      <c r="A249" s="8">
        <v>42706.06658564815</v>
      </c>
      <c r="B249" t="s">
        <v>244</v>
      </c>
      <c r="C249" t="s">
        <v>390</v>
      </c>
      <c r="D249" s="165">
        <v>1300000</v>
      </c>
      <c r="E249" t="s">
        <v>113</v>
      </c>
      <c r="F249" s="21" t="s">
        <v>342</v>
      </c>
      <c r="G249" s="8" t="str">
        <f t="shared" si="3"/>
        <v>LEVIN SCOTT</v>
      </c>
    </row>
    <row r="250" spans="1:7" x14ac:dyDescent="0.25">
      <c r="A250" s="8">
        <v>42700.022650462961</v>
      </c>
      <c r="B250" t="s">
        <v>154</v>
      </c>
      <c r="C250" t="s">
        <v>273</v>
      </c>
      <c r="D250" s="165">
        <v>2530000</v>
      </c>
      <c r="E250" t="s">
        <v>272</v>
      </c>
      <c r="F250" s="21" t="str">
        <f t="shared" ref="F250:F265" si="4">B250</f>
        <v>rtdc.l.rtdc.4051:itc</v>
      </c>
      <c r="G250" s="8" t="str">
        <f t="shared" si="3"/>
        <v>LALONDE rtdc.l.rtdc.4051:itc</v>
      </c>
    </row>
    <row r="251" spans="1:7" x14ac:dyDescent="0.25">
      <c r="A251" s="8">
        <v>42700.032500000001</v>
      </c>
      <c r="B251" t="s">
        <v>234</v>
      </c>
      <c r="C251" t="s">
        <v>270</v>
      </c>
      <c r="D251" s="165">
        <v>1800000</v>
      </c>
      <c r="E251" t="s">
        <v>271</v>
      </c>
      <c r="F251" s="21" t="str">
        <f t="shared" si="4"/>
        <v>rtdc.l.rtdc.4013:itc</v>
      </c>
      <c r="G251" s="8" t="str">
        <f t="shared" si="3"/>
        <v>CHANDLER rtdc.l.rtdc.4013:itc</v>
      </c>
    </row>
    <row r="252" spans="1:7" x14ac:dyDescent="0.25">
      <c r="A252" s="8">
        <v>42700.037488425929</v>
      </c>
      <c r="B252" t="s">
        <v>210</v>
      </c>
      <c r="C252" t="s">
        <v>275</v>
      </c>
      <c r="D252" s="165">
        <v>2600000</v>
      </c>
      <c r="E252" t="s">
        <v>254</v>
      </c>
      <c r="F252" s="21" t="str">
        <f t="shared" si="4"/>
        <v>rtdc.l.rtdc.4040:itc</v>
      </c>
      <c r="G252" s="8" t="str">
        <f t="shared" si="3"/>
        <v>DAVIDSON rtdc.l.rtdc.4040:itc</v>
      </c>
    </row>
    <row r="253" spans="1:7" x14ac:dyDescent="0.25">
      <c r="A253" s="8">
        <v>42700.045208333337</v>
      </c>
      <c r="B253" t="s">
        <v>155</v>
      </c>
      <c r="C253" t="s">
        <v>274</v>
      </c>
      <c r="D253" s="165">
        <v>2530000</v>
      </c>
      <c r="E253" t="s">
        <v>272</v>
      </c>
      <c r="F253" s="21" t="str">
        <f t="shared" si="4"/>
        <v>rtdc.l.rtdc.4052:itc</v>
      </c>
      <c r="G253" s="8" t="str">
        <f t="shared" si="3"/>
        <v>LALONDE rtdc.l.rtdc.4052:itc</v>
      </c>
    </row>
    <row r="254" spans="1:7" x14ac:dyDescent="0.25">
      <c r="A254" s="8">
        <v>42700.045347222222</v>
      </c>
      <c r="B254" t="s">
        <v>246</v>
      </c>
      <c r="C254" t="s">
        <v>276</v>
      </c>
      <c r="D254" s="165">
        <v>2630000</v>
      </c>
      <c r="E254" t="s">
        <v>255</v>
      </c>
      <c r="F254" s="21" t="str">
        <f t="shared" si="4"/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253</v>
      </c>
      <c r="C255" t="s">
        <v>277</v>
      </c>
      <c r="D255" s="165">
        <v>2000000</v>
      </c>
      <c r="E255" t="s">
        <v>214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273</v>
      </c>
      <c r="D256" s="165">
        <v>2530000</v>
      </c>
      <c r="E256" t="s">
        <v>272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233</v>
      </c>
      <c r="C257" t="s">
        <v>278</v>
      </c>
      <c r="D257" s="165">
        <v>1800000</v>
      </c>
      <c r="E257" t="s">
        <v>271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212</v>
      </c>
      <c r="C258" t="s">
        <v>279</v>
      </c>
      <c r="D258" s="165">
        <v>2600000</v>
      </c>
      <c r="E258" t="s">
        <v>254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274</v>
      </c>
      <c r="D259" s="165">
        <v>2530000</v>
      </c>
      <c r="E259" t="s">
        <v>272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252</v>
      </c>
      <c r="C260" t="s">
        <v>280</v>
      </c>
      <c r="D260" s="165">
        <v>2000000</v>
      </c>
      <c r="E260" t="s">
        <v>214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273</v>
      </c>
      <c r="D261" s="165">
        <v>2530000</v>
      </c>
      <c r="E261" t="s">
        <v>272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210</v>
      </c>
      <c r="C262" t="s">
        <v>281</v>
      </c>
      <c r="D262" s="165">
        <v>2600000</v>
      </c>
      <c r="E262" t="s">
        <v>254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208</v>
      </c>
      <c r="C263" t="s">
        <v>223</v>
      </c>
      <c r="D263" s="165">
        <v>2000000</v>
      </c>
      <c r="E263" t="s">
        <v>214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219</v>
      </c>
      <c r="C264" t="s">
        <v>224</v>
      </c>
      <c r="D264" s="165">
        <v>2550000</v>
      </c>
      <c r="E264" t="s">
        <v>218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222</v>
      </c>
      <c r="C265" t="s">
        <v>225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217</v>
      </c>
      <c r="C266" t="s">
        <v>226</v>
      </c>
      <c r="D266" s="165">
        <v>2420000</v>
      </c>
      <c r="E266" t="s">
        <v>220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215</v>
      </c>
      <c r="C267" t="s">
        <v>227</v>
      </c>
      <c r="D267" s="165">
        <v>2000000</v>
      </c>
      <c r="E267" t="s">
        <v>214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221</v>
      </c>
      <c r="C268" t="s">
        <v>228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171</v>
      </c>
      <c r="I1" s="164" t="s">
        <v>172</v>
      </c>
      <c r="J1" s="164" t="s">
        <v>166</v>
      </c>
      <c r="K1" s="164" t="s">
        <v>164</v>
      </c>
      <c r="L1" s="164" t="s">
        <v>159</v>
      </c>
      <c r="M1" s="164" t="s">
        <v>169</v>
      </c>
      <c r="N1" s="164" t="s">
        <v>163</v>
      </c>
      <c r="O1" s="164" t="s">
        <v>170</v>
      </c>
      <c r="P1" s="164" t="s">
        <v>167</v>
      </c>
      <c r="Q1"/>
      <c r="R1"/>
    </row>
    <row r="2" spans="1:18" x14ac:dyDescent="0.25">
      <c r="A2" s="165">
        <v>24.77</v>
      </c>
      <c r="B2" s="165">
        <v>0.23</v>
      </c>
      <c r="C2" s="165">
        <v>19.940000000000001</v>
      </c>
      <c r="D2" s="8">
        <v>42707</v>
      </c>
      <c r="E2" s="165">
        <v>0.82</v>
      </c>
      <c r="F2" s="165" t="s">
        <v>663</v>
      </c>
      <c r="G2" s="165">
        <v>288.81</v>
      </c>
      <c r="H2" s="165">
        <v>0</v>
      </c>
      <c r="I2" s="165">
        <v>0</v>
      </c>
      <c r="J2" s="165">
        <v>1026.6300000000001</v>
      </c>
      <c r="K2" s="165" t="s">
        <v>664</v>
      </c>
      <c r="L2" s="165">
        <v>24.77</v>
      </c>
      <c r="M2" s="165">
        <v>1480748400</v>
      </c>
      <c r="N2" s="165">
        <v>1.1000000000000001</v>
      </c>
      <c r="O2" s="165">
        <v>219</v>
      </c>
      <c r="P2" s="165">
        <v>1.92</v>
      </c>
      <c r="Q2"/>
      <c r="R2"/>
    </row>
    <row r="3" spans="1:18" x14ac:dyDescent="0.25">
      <c r="A3" s="165">
        <v>23.82</v>
      </c>
      <c r="B3" s="165">
        <v>0.18</v>
      </c>
      <c r="C3" s="165">
        <v>18.63</v>
      </c>
      <c r="D3" s="8">
        <v>42707.041666666664</v>
      </c>
      <c r="E3" s="165">
        <v>0.8</v>
      </c>
      <c r="F3" s="165" t="s">
        <v>663</v>
      </c>
      <c r="G3" s="165">
        <v>285.94</v>
      </c>
      <c r="H3" s="165">
        <v>0</v>
      </c>
      <c r="I3" s="165">
        <v>0</v>
      </c>
      <c r="J3" s="165">
        <v>1026.4000000000001</v>
      </c>
      <c r="K3" s="165" t="s">
        <v>664</v>
      </c>
      <c r="L3" s="165">
        <v>23.82</v>
      </c>
      <c r="M3" s="165">
        <v>1480752000</v>
      </c>
      <c r="N3" s="165">
        <v>1.1000000000000001</v>
      </c>
      <c r="O3" s="165">
        <v>242</v>
      </c>
      <c r="P3" s="165">
        <v>2.06</v>
      </c>
      <c r="Q3"/>
      <c r="R3"/>
    </row>
    <row r="4" spans="1:18" x14ac:dyDescent="0.25">
      <c r="A4" s="165">
        <v>21.92</v>
      </c>
      <c r="B4" s="165">
        <v>0.14000000000000001</v>
      </c>
      <c r="C4" s="165">
        <v>16.86</v>
      </c>
      <c r="D4" s="8">
        <v>42707.083333333336</v>
      </c>
      <c r="E4" s="165">
        <v>0.8</v>
      </c>
      <c r="F4" s="165" t="s">
        <v>663</v>
      </c>
      <c r="G4" s="165">
        <v>283.08</v>
      </c>
      <c r="H4" s="165">
        <v>0</v>
      </c>
      <c r="I4" s="165">
        <v>0</v>
      </c>
      <c r="J4" s="165">
        <v>1026.1600000000001</v>
      </c>
      <c r="K4" s="165" t="s">
        <v>664</v>
      </c>
      <c r="L4" s="165">
        <v>21.92</v>
      </c>
      <c r="M4" s="165">
        <v>1480755600</v>
      </c>
      <c r="N4" s="165">
        <v>1.1000000000000001</v>
      </c>
      <c r="O4" s="165">
        <v>231</v>
      </c>
      <c r="P4" s="165">
        <v>1.67</v>
      </c>
      <c r="Q4"/>
      <c r="R4"/>
    </row>
    <row r="5" spans="1:18" x14ac:dyDescent="0.25">
      <c r="A5" s="165">
        <v>21.21</v>
      </c>
      <c r="B5" s="165">
        <v>0.1</v>
      </c>
      <c r="C5" s="165">
        <v>16.239999999999998</v>
      </c>
      <c r="D5" s="8">
        <v>42707.125</v>
      </c>
      <c r="E5" s="165">
        <v>0.81</v>
      </c>
      <c r="F5" s="165" t="s">
        <v>663</v>
      </c>
      <c r="G5" s="165">
        <v>280.5</v>
      </c>
      <c r="H5" s="165">
        <v>0</v>
      </c>
      <c r="I5" s="165">
        <v>0</v>
      </c>
      <c r="J5" s="165">
        <v>1025.6600000000001</v>
      </c>
      <c r="K5" s="165" t="s">
        <v>664</v>
      </c>
      <c r="L5" s="165">
        <v>21.21</v>
      </c>
      <c r="M5" s="165">
        <v>1480759200</v>
      </c>
      <c r="N5" s="165">
        <v>1.1000000000000001</v>
      </c>
      <c r="O5" s="165">
        <v>254</v>
      </c>
      <c r="P5" s="165">
        <v>2.2000000000000002</v>
      </c>
      <c r="Q5"/>
      <c r="R5"/>
    </row>
    <row r="6" spans="1:18" x14ac:dyDescent="0.25">
      <c r="A6" s="165">
        <v>20.92</v>
      </c>
      <c r="B6" s="165">
        <v>0.11</v>
      </c>
      <c r="C6" s="165">
        <v>15.84</v>
      </c>
      <c r="D6" s="8">
        <v>42707.166666666664</v>
      </c>
      <c r="E6" s="165">
        <v>0.8</v>
      </c>
      <c r="F6" s="165" t="s">
        <v>663</v>
      </c>
      <c r="G6" s="165">
        <v>278.13</v>
      </c>
      <c r="H6" s="165">
        <v>0</v>
      </c>
      <c r="I6" s="165">
        <v>0</v>
      </c>
      <c r="J6" s="165">
        <v>1025.01</v>
      </c>
      <c r="K6" s="165" t="s">
        <v>664</v>
      </c>
      <c r="L6" s="165">
        <v>20.92</v>
      </c>
      <c r="M6" s="165">
        <v>1480762800</v>
      </c>
      <c r="N6" s="165">
        <v>1.1000000000000001</v>
      </c>
      <c r="O6" s="165">
        <v>241</v>
      </c>
      <c r="P6" s="165">
        <v>1.94</v>
      </c>
      <c r="Q6"/>
      <c r="R6"/>
    </row>
    <row r="7" spans="1:18" x14ac:dyDescent="0.25">
      <c r="A7" s="165">
        <v>19.260000000000002</v>
      </c>
      <c r="B7" s="165">
        <v>0.16</v>
      </c>
      <c r="C7" s="165">
        <v>14.32</v>
      </c>
      <c r="D7" s="8">
        <v>42707.208333333336</v>
      </c>
      <c r="E7" s="165">
        <v>0.81</v>
      </c>
      <c r="F7" s="165" t="s">
        <v>663</v>
      </c>
      <c r="G7" s="165">
        <v>276.33999999999997</v>
      </c>
      <c r="H7" s="165">
        <v>0</v>
      </c>
      <c r="I7" s="165">
        <v>0</v>
      </c>
      <c r="J7" s="165">
        <v>1024.51</v>
      </c>
      <c r="K7" s="165" t="s">
        <v>664</v>
      </c>
      <c r="L7" s="165">
        <v>19.260000000000002</v>
      </c>
      <c r="M7" s="165">
        <v>1480766400</v>
      </c>
      <c r="N7" s="165">
        <v>1.1000000000000001</v>
      </c>
      <c r="O7" s="165">
        <v>250</v>
      </c>
      <c r="P7" s="165">
        <v>2.21</v>
      </c>
      <c r="Q7"/>
      <c r="R7"/>
    </row>
    <row r="8" spans="1:18" x14ac:dyDescent="0.25">
      <c r="A8" s="165">
        <v>18.93</v>
      </c>
      <c r="B8" s="165">
        <v>0.2</v>
      </c>
      <c r="C8" s="165">
        <v>13.47</v>
      </c>
      <c r="D8" s="8">
        <v>42707.25</v>
      </c>
      <c r="E8" s="165">
        <v>0.79</v>
      </c>
      <c r="F8" s="165" t="s">
        <v>663</v>
      </c>
      <c r="G8" s="165">
        <v>275.14999999999998</v>
      </c>
      <c r="H8" s="165">
        <v>0</v>
      </c>
      <c r="I8" s="165">
        <v>0</v>
      </c>
      <c r="J8" s="165">
        <v>1024.6300000000001</v>
      </c>
      <c r="K8" s="165" t="s">
        <v>664</v>
      </c>
      <c r="L8" s="165">
        <v>18.93</v>
      </c>
      <c r="M8" s="165">
        <v>1480770000</v>
      </c>
      <c r="N8" s="165">
        <v>1.1000000000000001</v>
      </c>
      <c r="O8" s="165">
        <v>239</v>
      </c>
      <c r="P8" s="165">
        <v>1.9</v>
      </c>
      <c r="Q8"/>
      <c r="R8"/>
    </row>
    <row r="9" spans="1:18" x14ac:dyDescent="0.25">
      <c r="A9" s="165">
        <v>18.54</v>
      </c>
      <c r="B9" s="165">
        <v>0.23</v>
      </c>
      <c r="C9" s="165">
        <v>13.21</v>
      </c>
      <c r="D9" s="8">
        <v>42707.291666666664</v>
      </c>
      <c r="E9" s="165">
        <v>0.79</v>
      </c>
      <c r="F9" s="165" t="s">
        <v>663</v>
      </c>
      <c r="G9" s="165">
        <v>274.55</v>
      </c>
      <c r="H9" s="165">
        <v>0</v>
      </c>
      <c r="I9" s="165">
        <v>0</v>
      </c>
      <c r="J9" s="165">
        <v>1024.82</v>
      </c>
      <c r="K9" s="165" t="s">
        <v>664</v>
      </c>
      <c r="L9" s="165">
        <v>18.54</v>
      </c>
      <c r="M9" s="165">
        <v>1480773600</v>
      </c>
      <c r="N9" s="165">
        <v>1.1000000000000001</v>
      </c>
      <c r="O9" s="165">
        <v>297</v>
      </c>
      <c r="P9" s="165">
        <v>2.0099999999999998</v>
      </c>
      <c r="Q9"/>
      <c r="R9"/>
    </row>
    <row r="10" spans="1:18" x14ac:dyDescent="0.25">
      <c r="A10" s="165">
        <v>21.5</v>
      </c>
      <c r="B10" s="165">
        <v>0.27</v>
      </c>
      <c r="C10" s="165">
        <v>16.11</v>
      </c>
      <c r="D10" s="8">
        <v>42707.333333333336</v>
      </c>
      <c r="E10" s="165">
        <v>0.79</v>
      </c>
      <c r="F10" s="165" t="s">
        <v>284</v>
      </c>
      <c r="G10" s="165">
        <v>274.85000000000002</v>
      </c>
      <c r="H10" s="165">
        <v>0</v>
      </c>
      <c r="I10" s="165">
        <v>0</v>
      </c>
      <c r="J10" s="165">
        <v>1024.26</v>
      </c>
      <c r="K10" s="165" t="s">
        <v>298</v>
      </c>
      <c r="L10" s="165">
        <v>21.5</v>
      </c>
      <c r="M10" s="165">
        <v>1480777200</v>
      </c>
      <c r="N10" s="165"/>
      <c r="O10" s="165">
        <v>274</v>
      </c>
      <c r="P10" s="165">
        <v>1.5</v>
      </c>
      <c r="Q10"/>
      <c r="R10"/>
    </row>
    <row r="11" spans="1:18" x14ac:dyDescent="0.25">
      <c r="A11" s="165">
        <v>24.62</v>
      </c>
      <c r="B11" s="165">
        <v>0.34</v>
      </c>
      <c r="C11" s="165">
        <v>18.71</v>
      </c>
      <c r="D11" s="8">
        <v>42707.375</v>
      </c>
      <c r="E11" s="165">
        <v>0.78</v>
      </c>
      <c r="F11" s="165" t="s">
        <v>284</v>
      </c>
      <c r="G11" s="165">
        <v>276.45999999999998</v>
      </c>
      <c r="H11" s="165">
        <v>0</v>
      </c>
      <c r="I11" s="165">
        <v>0</v>
      </c>
      <c r="J11" s="165">
        <v>1022.38</v>
      </c>
      <c r="K11" s="165" t="s">
        <v>298</v>
      </c>
      <c r="L11" s="165">
        <v>24.62</v>
      </c>
      <c r="M11" s="165">
        <v>1480780800</v>
      </c>
      <c r="N11" s="165"/>
      <c r="O11" s="165">
        <v>282</v>
      </c>
      <c r="P11" s="165">
        <v>1.03</v>
      </c>
      <c r="Q11"/>
      <c r="R11"/>
    </row>
    <row r="12" spans="1:18" x14ac:dyDescent="0.25">
      <c r="A12" s="165">
        <v>30.85</v>
      </c>
      <c r="B12" s="165">
        <v>0.53</v>
      </c>
      <c r="C12" s="165">
        <v>20.39</v>
      </c>
      <c r="D12" s="8">
        <v>42707.416666666664</v>
      </c>
      <c r="E12" s="165">
        <v>0.65</v>
      </c>
      <c r="F12" s="165" t="s">
        <v>663</v>
      </c>
      <c r="G12" s="165">
        <v>278.98</v>
      </c>
      <c r="H12" s="165">
        <v>0</v>
      </c>
      <c r="I12" s="165">
        <v>0</v>
      </c>
      <c r="J12" s="165">
        <v>1020.48</v>
      </c>
      <c r="K12" s="165" t="s">
        <v>664</v>
      </c>
      <c r="L12" s="165">
        <v>30.85</v>
      </c>
      <c r="M12" s="165">
        <v>1480784400</v>
      </c>
      <c r="N12" s="165">
        <v>1.1000000000000001</v>
      </c>
      <c r="O12" s="165">
        <v>158</v>
      </c>
      <c r="P12" s="165">
        <v>0.28999999999999998</v>
      </c>
      <c r="Q12"/>
      <c r="R12"/>
    </row>
    <row r="13" spans="1:18" x14ac:dyDescent="0.25">
      <c r="A13" s="165">
        <v>34.14</v>
      </c>
      <c r="B13" s="165">
        <v>0.6</v>
      </c>
      <c r="C13" s="165">
        <v>20.03</v>
      </c>
      <c r="D13" s="8">
        <v>42707.458333333336</v>
      </c>
      <c r="E13" s="165">
        <v>0.56000000000000005</v>
      </c>
      <c r="F13" s="165" t="s">
        <v>663</v>
      </c>
      <c r="G13" s="165">
        <v>281.45999999999998</v>
      </c>
      <c r="H13" s="165">
        <v>0</v>
      </c>
      <c r="I13" s="165">
        <v>0</v>
      </c>
      <c r="J13" s="165">
        <v>1019.02</v>
      </c>
      <c r="K13" s="165" t="s">
        <v>664</v>
      </c>
      <c r="L13" s="165">
        <v>34.14</v>
      </c>
      <c r="M13" s="165">
        <v>1480788000</v>
      </c>
      <c r="N13" s="165">
        <v>1.1000000000000001</v>
      </c>
      <c r="O13" s="165">
        <v>323</v>
      </c>
      <c r="P13" s="165">
        <v>0.68</v>
      </c>
      <c r="Q13"/>
      <c r="R13"/>
    </row>
    <row r="14" spans="1:18" x14ac:dyDescent="0.25">
      <c r="A14" s="165">
        <v>36.26</v>
      </c>
      <c r="B14" s="165">
        <v>0.66</v>
      </c>
      <c r="C14" s="165">
        <v>17.04</v>
      </c>
      <c r="D14" s="8">
        <v>42707.5</v>
      </c>
      <c r="E14" s="165">
        <v>0.45</v>
      </c>
      <c r="F14" s="165" t="s">
        <v>663</v>
      </c>
      <c r="G14" s="165">
        <v>284.06</v>
      </c>
      <c r="H14" s="165">
        <v>0</v>
      </c>
      <c r="I14" s="165">
        <v>0</v>
      </c>
      <c r="J14" s="165">
        <v>1018.09</v>
      </c>
      <c r="K14" s="165" t="s">
        <v>664</v>
      </c>
      <c r="L14" s="165">
        <v>36.26</v>
      </c>
      <c r="M14" s="165">
        <v>1480791600</v>
      </c>
      <c r="N14" s="165">
        <v>1</v>
      </c>
      <c r="O14" s="165">
        <v>21</v>
      </c>
      <c r="P14" s="165">
        <v>1.48</v>
      </c>
      <c r="Q14"/>
      <c r="R14"/>
    </row>
    <row r="15" spans="1:18" x14ac:dyDescent="0.25">
      <c r="A15" s="165">
        <v>39.799999999999997</v>
      </c>
      <c r="B15" s="165">
        <v>0.73</v>
      </c>
      <c r="C15" s="165">
        <v>17.88</v>
      </c>
      <c r="D15" s="8">
        <v>42707.541666666664</v>
      </c>
      <c r="E15" s="165">
        <v>0.41</v>
      </c>
      <c r="F15" s="165" t="s">
        <v>663</v>
      </c>
      <c r="G15" s="165">
        <v>286.62</v>
      </c>
      <c r="H15" s="165">
        <v>0</v>
      </c>
      <c r="I15" s="165">
        <v>0</v>
      </c>
      <c r="J15" s="165">
        <v>1017.45</v>
      </c>
      <c r="K15" s="165" t="s">
        <v>664</v>
      </c>
      <c r="L15" s="165">
        <v>39.799999999999997</v>
      </c>
      <c r="M15" s="165">
        <v>1480795200</v>
      </c>
      <c r="N15" s="165">
        <v>1.1000000000000001</v>
      </c>
      <c r="O15" s="165">
        <v>342</v>
      </c>
      <c r="P15" s="165">
        <v>1.57</v>
      </c>
      <c r="Q15"/>
      <c r="R15"/>
    </row>
    <row r="16" spans="1:18" x14ac:dyDescent="0.25">
      <c r="A16" s="165">
        <v>41.75</v>
      </c>
      <c r="B16" s="165">
        <v>0.66</v>
      </c>
      <c r="C16" s="165">
        <v>15.3</v>
      </c>
      <c r="D16" s="8">
        <v>42707.583333333336</v>
      </c>
      <c r="E16" s="165">
        <v>0.34</v>
      </c>
      <c r="F16" s="165" t="s">
        <v>284</v>
      </c>
      <c r="G16" s="165">
        <v>287.75</v>
      </c>
      <c r="H16" s="165">
        <v>0</v>
      </c>
      <c r="I16" s="165">
        <v>0</v>
      </c>
      <c r="J16" s="165">
        <v>1017.13</v>
      </c>
      <c r="K16" s="165" t="s">
        <v>391</v>
      </c>
      <c r="L16" s="165">
        <v>41.75</v>
      </c>
      <c r="M16" s="165">
        <v>1480798800</v>
      </c>
      <c r="N16" s="165">
        <v>2.74</v>
      </c>
      <c r="O16" s="165">
        <v>354</v>
      </c>
      <c r="P16" s="165">
        <v>2.59</v>
      </c>
      <c r="Q16"/>
      <c r="R16"/>
    </row>
    <row r="17" spans="1:18" x14ac:dyDescent="0.25">
      <c r="A17" s="165">
        <v>39.520000000000003</v>
      </c>
      <c r="B17" s="165">
        <v>0.62</v>
      </c>
      <c r="C17" s="165">
        <v>14.41</v>
      </c>
      <c r="D17" s="8">
        <v>42707.625</v>
      </c>
      <c r="E17" s="165">
        <v>0.33</v>
      </c>
      <c r="F17" s="165" t="s">
        <v>284</v>
      </c>
      <c r="G17" s="165">
        <v>286.08999999999997</v>
      </c>
      <c r="H17" s="165">
        <v>0</v>
      </c>
      <c r="I17" s="165">
        <v>0</v>
      </c>
      <c r="J17" s="165">
        <v>1017.22</v>
      </c>
      <c r="K17" s="165" t="s">
        <v>391</v>
      </c>
      <c r="L17" s="165">
        <v>41.41</v>
      </c>
      <c r="M17" s="165">
        <v>1480802400</v>
      </c>
      <c r="N17" s="165">
        <v>2.79</v>
      </c>
      <c r="O17" s="165">
        <v>357</v>
      </c>
      <c r="P17" s="165">
        <v>3.41</v>
      </c>
      <c r="Q17"/>
      <c r="R17"/>
    </row>
    <row r="18" spans="1:18" x14ac:dyDescent="0.25">
      <c r="A18" s="165">
        <v>36.950000000000003</v>
      </c>
      <c r="B18" s="165">
        <v>0.56000000000000005</v>
      </c>
      <c r="C18" s="165">
        <v>15.33</v>
      </c>
      <c r="D18" s="8">
        <v>42707.666666666664</v>
      </c>
      <c r="E18" s="165">
        <v>0.37</v>
      </c>
      <c r="F18" s="165" t="s">
        <v>284</v>
      </c>
      <c r="G18" s="165">
        <v>283</v>
      </c>
      <c r="H18" s="165">
        <v>0</v>
      </c>
      <c r="I18" s="165">
        <v>0</v>
      </c>
      <c r="J18" s="165">
        <v>1017.59</v>
      </c>
      <c r="K18" s="165" t="s">
        <v>298</v>
      </c>
      <c r="L18" s="165">
        <v>39.6</v>
      </c>
      <c r="M18" s="165">
        <v>1480806000</v>
      </c>
      <c r="N18" s="165">
        <v>5.07</v>
      </c>
      <c r="O18" s="165">
        <v>359</v>
      </c>
      <c r="P18" s="165">
        <v>3.89</v>
      </c>
      <c r="Q18"/>
      <c r="R18"/>
    </row>
    <row r="19" spans="1:18" x14ac:dyDescent="0.25">
      <c r="A19" s="165">
        <v>36.96</v>
      </c>
      <c r="B19" s="165">
        <v>0.36</v>
      </c>
      <c r="C19" s="165">
        <v>16.16</v>
      </c>
      <c r="D19" s="8">
        <v>42707.708333333336</v>
      </c>
      <c r="E19" s="165">
        <v>0.42</v>
      </c>
      <c r="F19" s="165" t="s">
        <v>283</v>
      </c>
      <c r="G19" s="165">
        <v>281.11</v>
      </c>
      <c r="H19" s="165">
        <v>0</v>
      </c>
      <c r="I19" s="165">
        <v>0</v>
      </c>
      <c r="J19" s="165">
        <v>1018.26</v>
      </c>
      <c r="K19" s="165" t="s">
        <v>298</v>
      </c>
      <c r="L19" s="165">
        <v>36.96</v>
      </c>
      <c r="M19" s="165">
        <v>1480809600</v>
      </c>
      <c r="N19" s="165">
        <v>5.48</v>
      </c>
      <c r="O19" s="165">
        <v>355</v>
      </c>
      <c r="P19" s="165">
        <v>2.16</v>
      </c>
      <c r="Q19"/>
      <c r="R19"/>
    </row>
    <row r="20" spans="1:18" x14ac:dyDescent="0.25">
      <c r="A20" s="165">
        <v>32.950000000000003</v>
      </c>
      <c r="B20" s="165">
        <v>0.27</v>
      </c>
      <c r="C20" s="165">
        <v>12.66</v>
      </c>
      <c r="D20" s="8">
        <v>42707.75</v>
      </c>
      <c r="E20" s="165">
        <v>0.43</v>
      </c>
      <c r="F20" s="165" t="s">
        <v>283</v>
      </c>
      <c r="G20" s="165">
        <v>282.14999999999998</v>
      </c>
      <c r="H20" s="165">
        <v>0</v>
      </c>
      <c r="I20" s="165">
        <v>0</v>
      </c>
      <c r="J20" s="165">
        <v>1018.85</v>
      </c>
      <c r="K20" s="165" t="s">
        <v>298</v>
      </c>
      <c r="L20" s="165">
        <v>32.950000000000003</v>
      </c>
      <c r="M20" s="165">
        <v>1480813200</v>
      </c>
      <c r="N20" s="165">
        <v>6.31</v>
      </c>
      <c r="O20" s="165">
        <v>331</v>
      </c>
      <c r="P20" s="165">
        <v>1.17</v>
      </c>
      <c r="Q20"/>
      <c r="R20"/>
    </row>
    <row r="21" spans="1:18" x14ac:dyDescent="0.25">
      <c r="A21" s="165">
        <v>32.75</v>
      </c>
      <c r="B21" s="165">
        <v>0.15</v>
      </c>
      <c r="C21" s="165">
        <v>13.85</v>
      </c>
      <c r="D21" s="8">
        <v>42707.791666666664</v>
      </c>
      <c r="E21" s="165">
        <v>0.45</v>
      </c>
      <c r="F21" s="165" t="s">
        <v>665</v>
      </c>
      <c r="G21" s="165">
        <v>284.39</v>
      </c>
      <c r="H21" s="165">
        <v>0</v>
      </c>
      <c r="I21" s="165">
        <v>0</v>
      </c>
      <c r="J21" s="165">
        <v>1019.92</v>
      </c>
      <c r="K21" s="165" t="s">
        <v>666</v>
      </c>
      <c r="L21" s="165">
        <v>32.75</v>
      </c>
      <c r="M21" s="165">
        <v>1480816800</v>
      </c>
      <c r="N21" s="165">
        <v>10</v>
      </c>
      <c r="O21" s="165">
        <v>319</v>
      </c>
      <c r="P21" s="165">
        <v>1.97</v>
      </c>
      <c r="Q21"/>
      <c r="R21"/>
    </row>
    <row r="22" spans="1:18" x14ac:dyDescent="0.25">
      <c r="A22" s="165">
        <v>31.1</v>
      </c>
      <c r="B22" s="165">
        <v>0.1</v>
      </c>
      <c r="C22" s="165">
        <v>12.97</v>
      </c>
      <c r="D22" s="8">
        <v>42707.833333333336</v>
      </c>
      <c r="E22" s="165">
        <v>0.46</v>
      </c>
      <c r="F22" s="165" t="s">
        <v>665</v>
      </c>
      <c r="G22" s="165">
        <v>285.32</v>
      </c>
      <c r="H22" s="165">
        <v>0</v>
      </c>
      <c r="I22" s="165">
        <v>0</v>
      </c>
      <c r="J22" s="165">
        <v>1020.93</v>
      </c>
      <c r="K22" s="165" t="s">
        <v>666</v>
      </c>
      <c r="L22" s="165">
        <v>31.1</v>
      </c>
      <c r="M22" s="165">
        <v>1480820400</v>
      </c>
      <c r="N22" s="165">
        <v>6.96</v>
      </c>
      <c r="O22" s="165">
        <v>281</v>
      </c>
      <c r="P22" s="165">
        <v>2</v>
      </c>
      <c r="Q22"/>
      <c r="R22"/>
    </row>
    <row r="23" spans="1:18" x14ac:dyDescent="0.25">
      <c r="A23" s="165">
        <v>27.35</v>
      </c>
      <c r="B23" s="165">
        <v>0.13</v>
      </c>
      <c r="C23" s="165">
        <v>12.77</v>
      </c>
      <c r="D23" s="8">
        <v>42707.875</v>
      </c>
      <c r="E23" s="165">
        <v>0.46</v>
      </c>
      <c r="F23" s="165" t="s">
        <v>665</v>
      </c>
      <c r="G23" s="165">
        <v>283.72000000000003</v>
      </c>
      <c r="H23" s="165">
        <v>0</v>
      </c>
      <c r="I23" s="165">
        <v>0</v>
      </c>
      <c r="J23" s="165">
        <v>1021.57</v>
      </c>
      <c r="K23" s="165" t="s">
        <v>666</v>
      </c>
      <c r="L23" s="165">
        <v>30.93</v>
      </c>
      <c r="M23" s="165">
        <v>1480824000</v>
      </c>
      <c r="N23" s="165">
        <v>6.04</v>
      </c>
      <c r="O23" s="165">
        <v>290</v>
      </c>
      <c r="P23" s="165">
        <v>3.57</v>
      </c>
      <c r="Q23"/>
      <c r="R23"/>
    </row>
    <row r="24" spans="1:18" x14ac:dyDescent="0.25">
      <c r="A24" s="165">
        <v>24.28</v>
      </c>
      <c r="B24" s="165">
        <v>0.11</v>
      </c>
      <c r="C24" s="165">
        <v>10.62</v>
      </c>
      <c r="D24" s="8">
        <v>42707.916666666664</v>
      </c>
      <c r="E24" s="165">
        <v>0.44</v>
      </c>
      <c r="F24" s="165" t="s">
        <v>665</v>
      </c>
      <c r="G24" s="165">
        <v>280.81</v>
      </c>
      <c r="H24" s="165">
        <v>0</v>
      </c>
      <c r="I24" s="165">
        <v>0</v>
      </c>
      <c r="J24" s="165">
        <v>1021.99</v>
      </c>
      <c r="K24" s="165" t="s">
        <v>666</v>
      </c>
      <c r="L24" s="165">
        <v>30.07</v>
      </c>
      <c r="M24" s="165">
        <v>1480827600</v>
      </c>
      <c r="N24" s="165">
        <v>6.07</v>
      </c>
      <c r="O24" s="165">
        <v>280</v>
      </c>
      <c r="P24" s="165">
        <v>5.59</v>
      </c>
      <c r="Q24"/>
      <c r="R24"/>
    </row>
    <row r="25" spans="1:18" x14ac:dyDescent="0.25">
      <c r="A25" s="165">
        <v>22.41</v>
      </c>
      <c r="B25" s="165">
        <v>0.12</v>
      </c>
      <c r="C25" s="165">
        <v>8</v>
      </c>
      <c r="D25" s="8">
        <v>42707.958333333336</v>
      </c>
      <c r="E25" s="165">
        <v>0.41</v>
      </c>
      <c r="F25" s="165" t="s">
        <v>665</v>
      </c>
      <c r="G25" s="165">
        <v>277.66000000000003</v>
      </c>
      <c r="H25" s="165">
        <v>0</v>
      </c>
      <c r="I25" s="165">
        <v>0</v>
      </c>
      <c r="J25" s="165">
        <v>1022.4</v>
      </c>
      <c r="K25" s="165" t="s">
        <v>666</v>
      </c>
      <c r="L25" s="165">
        <v>28.96</v>
      </c>
      <c r="M25" s="165">
        <v>1480831200</v>
      </c>
      <c r="N25" s="165">
        <v>6.51</v>
      </c>
      <c r="O25" s="165">
        <v>283</v>
      </c>
      <c r="P25" s="165">
        <v>6.25</v>
      </c>
      <c r="Q25"/>
      <c r="R25"/>
    </row>
    <row r="26" spans="1:18" x14ac:dyDescent="0.25">
      <c r="A26" s="165">
        <v>23.43</v>
      </c>
      <c r="B26" s="165">
        <v>0.16</v>
      </c>
      <c r="C26" s="165">
        <v>7.2</v>
      </c>
      <c r="D26" s="8">
        <v>42708</v>
      </c>
      <c r="E26" s="165">
        <v>0.41</v>
      </c>
      <c r="F26" s="165" t="s">
        <v>665</v>
      </c>
      <c r="G26" s="165">
        <v>274.43</v>
      </c>
      <c r="H26" s="165">
        <v>0</v>
      </c>
      <c r="I26" s="165">
        <v>0</v>
      </c>
      <c r="J26" s="165">
        <v>1022.92</v>
      </c>
      <c r="K26" s="165" t="s">
        <v>666</v>
      </c>
      <c r="L26" s="165">
        <v>27.59</v>
      </c>
      <c r="M26" s="165">
        <v>1480834800</v>
      </c>
      <c r="N26" s="165">
        <v>6.92</v>
      </c>
      <c r="O26" s="165">
        <v>269</v>
      </c>
      <c r="P26" s="165">
        <v>3.64</v>
      </c>
      <c r="Q26"/>
      <c r="R26"/>
    </row>
    <row r="27" spans="1:18" x14ac:dyDescent="0.25">
      <c r="A27" s="165">
        <v>23.54</v>
      </c>
      <c r="B27" s="165">
        <v>0.06</v>
      </c>
      <c r="C27" s="165">
        <v>7.99</v>
      </c>
      <c r="D27" s="8">
        <v>42708.041666666664</v>
      </c>
      <c r="E27" s="165">
        <v>0.44</v>
      </c>
      <c r="F27" s="165" t="s">
        <v>665</v>
      </c>
      <c r="G27" s="165">
        <v>271.19</v>
      </c>
      <c r="H27" s="165">
        <v>0</v>
      </c>
      <c r="I27" s="165">
        <v>0</v>
      </c>
      <c r="J27" s="165">
        <v>1023.5</v>
      </c>
      <c r="K27" s="165" t="s">
        <v>666</v>
      </c>
      <c r="L27" s="165">
        <v>27.18</v>
      </c>
      <c r="M27" s="165">
        <v>1480838400</v>
      </c>
      <c r="N27" s="165">
        <v>6.76</v>
      </c>
      <c r="O27" s="165">
        <v>264</v>
      </c>
      <c r="P27" s="165">
        <v>3.22</v>
      </c>
      <c r="Q27"/>
      <c r="R27"/>
    </row>
    <row r="28" spans="1:18" x14ac:dyDescent="0.25">
      <c r="A28" s="165">
        <v>25.98</v>
      </c>
      <c r="B28" s="165">
        <v>0</v>
      </c>
      <c r="C28" s="165">
        <v>8.17</v>
      </c>
      <c r="D28" s="8">
        <v>42708.083333333336</v>
      </c>
      <c r="E28" s="165">
        <v>0.46</v>
      </c>
      <c r="F28" s="165" t="s">
        <v>665</v>
      </c>
      <c r="G28" s="165">
        <v>267.95</v>
      </c>
      <c r="H28" s="165">
        <v>0</v>
      </c>
      <c r="I28" s="165">
        <v>0</v>
      </c>
      <c r="J28" s="165">
        <v>1024.06</v>
      </c>
      <c r="K28" s="165" t="s">
        <v>666</v>
      </c>
      <c r="L28" s="165">
        <v>25.98</v>
      </c>
      <c r="M28" s="165">
        <v>1480842000</v>
      </c>
      <c r="N28" s="165">
        <v>4.72</v>
      </c>
      <c r="O28" s="165">
        <v>252</v>
      </c>
      <c r="P28" s="165">
        <v>1.31</v>
      </c>
      <c r="Q28"/>
      <c r="R28"/>
    </row>
    <row r="29" spans="1:18" x14ac:dyDescent="0.25">
      <c r="A29" s="165">
        <v>22.36</v>
      </c>
      <c r="B29" s="165">
        <v>0.01</v>
      </c>
      <c r="C29" s="165">
        <v>5.87</v>
      </c>
      <c r="D29" s="8">
        <v>42708.125</v>
      </c>
      <c r="E29" s="165">
        <v>0.48</v>
      </c>
      <c r="F29" s="165" t="s">
        <v>665</v>
      </c>
      <c r="G29" s="165">
        <v>265.55</v>
      </c>
      <c r="H29" s="165">
        <v>0</v>
      </c>
      <c r="I29" s="165">
        <v>0</v>
      </c>
      <c r="J29" s="165">
        <v>1024.56</v>
      </c>
      <c r="K29" s="165" t="s">
        <v>666</v>
      </c>
      <c r="L29" s="165">
        <v>22.36</v>
      </c>
      <c r="M29" s="165">
        <v>1480845600</v>
      </c>
      <c r="N29" s="165">
        <v>6.95</v>
      </c>
      <c r="O29" s="165">
        <v>241</v>
      </c>
      <c r="P29" s="165">
        <v>2.14</v>
      </c>
      <c r="Q29"/>
      <c r="R29"/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3"/>
  <sheetViews>
    <sheetView workbookViewId="0">
      <selection activeCell="M28" sqref="M28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68" bestFit="1" customWidth="1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42707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06">
        <f t="shared" ref="M3:M14" si="0">AVERAGE(K3:L3)</f>
        <v>2.7201</v>
      </c>
      <c r="O3" t="s">
        <v>103</v>
      </c>
      <c r="P3" s="68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06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06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06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06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06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06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06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06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06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06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06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205</v>
      </c>
      <c r="J17" s="33"/>
      <c r="K17" s="34"/>
      <c r="L17" s="34"/>
    </row>
    <row r="18" spans="3:13" x14ac:dyDescent="0.25">
      <c r="C18" t="s">
        <v>817</v>
      </c>
      <c r="J18" s="33" t="s">
        <v>85</v>
      </c>
      <c r="K18" s="34"/>
      <c r="L18" s="34"/>
      <c r="M18" s="68" t="str">
        <f>"""C:\Program Files (x86)\AstroGrep\AstroGrep.exe"""</f>
        <v>"C:\Program Files (x86)\AstroGrep\AstroGrep.exe"</v>
      </c>
    </row>
    <row r="19" spans="3:13" x14ac:dyDescent="0.25">
      <c r="C19" t="s">
        <v>818</v>
      </c>
      <c r="J19" s="33" t="s">
        <v>86</v>
      </c>
      <c r="K19" s="34"/>
      <c r="L19" s="34"/>
      <c r="M19" s="68" t="s">
        <v>112</v>
      </c>
    </row>
    <row r="20" spans="3:13" x14ac:dyDescent="0.25">
      <c r="C20" t="s">
        <v>819</v>
      </c>
      <c r="J20" t="s">
        <v>87</v>
      </c>
      <c r="M20" s="68" t="s">
        <v>296</v>
      </c>
    </row>
    <row r="21" spans="3:13" x14ac:dyDescent="0.25">
      <c r="C21" t="s">
        <v>820</v>
      </c>
      <c r="J21" s="21" t="s">
        <v>90</v>
      </c>
      <c r="K21" s="21" t="s">
        <v>91</v>
      </c>
      <c r="M21" s="68" t="s">
        <v>182</v>
      </c>
    </row>
    <row r="22" spans="3:13" x14ac:dyDescent="0.25">
      <c r="C22" t="s">
        <v>832</v>
      </c>
      <c r="J22" s="21" t="s">
        <v>92</v>
      </c>
      <c r="K22" s="21" t="s">
        <v>93</v>
      </c>
      <c r="M22" s="68" t="s">
        <v>111</v>
      </c>
    </row>
    <row r="23" spans="3:13" x14ac:dyDescent="0.25">
      <c r="C23" t="s">
        <v>821</v>
      </c>
      <c r="J23" s="29" t="s">
        <v>95</v>
      </c>
      <c r="K23" s="21"/>
      <c r="M23" s="69">
        <v>-7</v>
      </c>
    </row>
    <row r="24" spans="3:13" x14ac:dyDescent="0.25">
      <c r="C24" t="s">
        <v>822</v>
      </c>
      <c r="J24" s="21" t="s">
        <v>108</v>
      </c>
      <c r="K24" s="21"/>
      <c r="M24" s="68" t="s">
        <v>110</v>
      </c>
    </row>
    <row r="25" spans="3:13" x14ac:dyDescent="0.25">
      <c r="C25" t="s">
        <v>823</v>
      </c>
      <c r="J25" t="s">
        <v>151</v>
      </c>
      <c r="M25" s="68" t="b">
        <v>1</v>
      </c>
    </row>
    <row r="26" spans="3:13" x14ac:dyDescent="0.25">
      <c r="C26" t="s">
        <v>824</v>
      </c>
      <c r="J26" t="s">
        <v>152</v>
      </c>
      <c r="M26" s="68" t="str">
        <f>"C:\Users\stu\Documents\GitHub\eaglep3-reporting\EC\"&amp;TEXT(A2,"yyyy-mm-dd")&amp;"-refined-times.txt"</f>
        <v>C:\Users\stu\Documents\GitHub\eaglep3-reporting\EC\2016-12-03-refined-times.txt</v>
      </c>
    </row>
    <row r="27" spans="3:13" x14ac:dyDescent="0.25">
      <c r="C27" t="s">
        <v>825</v>
      </c>
      <c r="J27" t="s">
        <v>188</v>
      </c>
      <c r="M27" s="68" t="str">
        <f>"C:\Users\stu\Documents\GitHub\eaglep3-reporting\EC\"&amp;TEXT(A2,"YYYY-MM-DD")&amp;"-Enforcements.txt"</f>
        <v>C:\Users\stu\Documents\GitHub\eaglep3-reporting\EC\2016-12-03-Enforcements.txt</v>
      </c>
    </row>
    <row r="28" spans="3:13" x14ac:dyDescent="0.25">
      <c r="C28" t="s">
        <v>826</v>
      </c>
      <c r="J28" t="s">
        <v>189</v>
      </c>
      <c r="M28" s="106" t="str">
        <f>"C:\Users\stu\Documents\GitHub\eaglep3-reporting\EC\"&amp;TEXT(A2,"YYYY-MM-DD")&amp;"-Runs-Refined.txt"</f>
        <v>C:\Users\stu\Documents\GitHub\eaglep3-reporting\EC\2016-12-03-Runs-Refined.txt</v>
      </c>
    </row>
    <row r="29" spans="3:13" x14ac:dyDescent="0.25">
      <c r="C29" t="s">
        <v>827</v>
      </c>
      <c r="J29" t="s">
        <v>190</v>
      </c>
      <c r="M29" s="106" t="str">
        <f>"C:\Users\stu\Documents\GitHub\eaglep3-reporting\EC\"&amp;TEXT(A2,"YYYY-MM-DD")&amp;"-Trips.txt"</f>
        <v>C:\Users\stu\Documents\GitHub\eaglep3-reporting\EC\2016-12-03-Trips.txt</v>
      </c>
    </row>
    <row r="30" spans="3:13" x14ac:dyDescent="0.25">
      <c r="C30" t="s">
        <v>828</v>
      </c>
      <c r="J30" t="s">
        <v>191</v>
      </c>
      <c r="M30" s="106" t="str">
        <f>"C:\Users\stu\Documents\GitHub\eaglep3-reporting\EC\"&amp;TEXT(A2,"YYYY-MM-DD")&amp;"-Weather.txt"</f>
        <v>C:\Users\stu\Documents\GitHub\eaglep3-reporting\EC\2016-12-03-Weather.txt</v>
      </c>
    </row>
    <row r="31" spans="3:13" x14ac:dyDescent="0.25">
      <c r="C31" t="s">
        <v>829</v>
      </c>
    </row>
    <row r="32" spans="3:13" x14ac:dyDescent="0.25">
      <c r="C32" t="s">
        <v>830</v>
      </c>
    </row>
    <row r="33" spans="3:3" x14ac:dyDescent="0.25">
      <c r="C33" t="s">
        <v>831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79" workbookViewId="0">
      <selection activeCell="C99" sqref="C9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846</v>
      </c>
      <c r="B1" t="str">
        <f t="shared" ref="B1:B64" si="0">MID(A1,6,23)</f>
        <v>2016/12/03 11:22:04.562</v>
      </c>
      <c r="C1" t="e">
        <f>ABS(B1-#REF!)</f>
        <v>#REF!</v>
      </c>
    </row>
    <row r="2" spans="1:3" x14ac:dyDescent="0.25">
      <c r="A2" t="s">
        <v>847</v>
      </c>
      <c r="B2" s="21" t="str">
        <f t="shared" si="0"/>
        <v>2016/12/03 13:32:31.001</v>
      </c>
      <c r="C2">
        <f>ABS(B2-B1)</f>
        <v>9.0583784724003635E-2</v>
      </c>
    </row>
    <row r="3" spans="1:3" x14ac:dyDescent="0.25">
      <c r="A3" t="s">
        <v>848</v>
      </c>
      <c r="B3" s="21" t="str">
        <f t="shared" si="0"/>
        <v>2016/12/03 13:32:31.705</v>
      </c>
      <c r="C3" s="21">
        <f t="shared" ref="C3:C66" si="1">ABS(B3-B2)</f>
        <v>8.1481484812684357E-6</v>
      </c>
    </row>
    <row r="4" spans="1:3" x14ac:dyDescent="0.25">
      <c r="A4" t="s">
        <v>849</v>
      </c>
      <c r="B4" s="21" t="str">
        <f t="shared" si="0"/>
        <v>2016/12/03 13:32:32.065</v>
      </c>
      <c r="C4" s="21">
        <f t="shared" si="1"/>
        <v>4.166664439253509E-6</v>
      </c>
    </row>
    <row r="5" spans="1:3" x14ac:dyDescent="0.25">
      <c r="A5" t="s">
        <v>850</v>
      </c>
      <c r="B5" s="21" t="str">
        <f t="shared" si="0"/>
        <v>2016/12/03 13:47:33.001</v>
      </c>
      <c r="C5" s="21">
        <f t="shared" si="1"/>
        <v>1.0427499997604173E-2</v>
      </c>
    </row>
    <row r="6" spans="1:3" x14ac:dyDescent="0.25">
      <c r="A6" t="s">
        <v>851</v>
      </c>
      <c r="B6" s="21" t="str">
        <f t="shared" si="0"/>
        <v>2016/12/03 13:47:33.072</v>
      </c>
      <c r="C6" s="21">
        <f t="shared" si="1"/>
        <v>8.2176120486110449E-7</v>
      </c>
    </row>
    <row r="7" spans="1:3" x14ac:dyDescent="0.25">
      <c r="A7" t="s">
        <v>852</v>
      </c>
      <c r="B7" s="21" t="str">
        <f t="shared" si="0"/>
        <v>2016/12/03 13:47:33.697</v>
      </c>
      <c r="C7" s="21">
        <f t="shared" si="1"/>
        <v>7.233793439809233E-6</v>
      </c>
    </row>
    <row r="8" spans="1:3" x14ac:dyDescent="0.25">
      <c r="A8" t="s">
        <v>853</v>
      </c>
      <c r="B8" s="21" t="str">
        <f t="shared" si="0"/>
        <v>2016/12/03 13:49:00.360</v>
      </c>
      <c r="C8" s="21">
        <f t="shared" si="1"/>
        <v>1.003043980745133E-3</v>
      </c>
    </row>
    <row r="9" spans="1:3" x14ac:dyDescent="0.25">
      <c r="A9" t="s">
        <v>854</v>
      </c>
      <c r="B9" s="21" t="str">
        <f t="shared" si="0"/>
        <v>2016/12/03 13:49:00.363</v>
      </c>
      <c r="C9" s="21">
        <f t="shared" si="1"/>
        <v>3.4728145692497492E-8</v>
      </c>
    </row>
    <row r="10" spans="1:3" x14ac:dyDescent="0.25">
      <c r="A10" t="s">
        <v>855</v>
      </c>
      <c r="B10" s="21" t="str">
        <f t="shared" si="0"/>
        <v>2016/12/03 13:49:00.486</v>
      </c>
      <c r="C10" s="21">
        <f t="shared" si="1"/>
        <v>1.4236065908335149E-6</v>
      </c>
    </row>
    <row r="11" spans="1:3" x14ac:dyDescent="0.25">
      <c r="A11" t="s">
        <v>856</v>
      </c>
      <c r="B11" s="21" t="str">
        <f t="shared" si="0"/>
        <v>2016/12/03 13:50:39.007</v>
      </c>
      <c r="C11" s="21">
        <f t="shared" si="1"/>
        <v>1.140289350587409E-3</v>
      </c>
    </row>
    <row r="12" spans="1:3" x14ac:dyDescent="0.25">
      <c r="A12" t="s">
        <v>857</v>
      </c>
      <c r="B12" s="21" t="str">
        <f t="shared" si="0"/>
        <v>2016/12/03 13:50:39.069</v>
      </c>
      <c r="C12" s="21">
        <f t="shared" si="1"/>
        <v>7.1759859565645456E-7</v>
      </c>
    </row>
    <row r="13" spans="1:3" x14ac:dyDescent="0.25">
      <c r="A13" t="s">
        <v>858</v>
      </c>
      <c r="B13" s="21" t="str">
        <f t="shared" si="0"/>
        <v>2016/12/03 13:50:39.701</v>
      </c>
      <c r="C13" s="21">
        <f t="shared" si="1"/>
        <v>7.3148112278431654E-6</v>
      </c>
    </row>
    <row r="14" spans="1:3" x14ac:dyDescent="0.25">
      <c r="A14" t="s">
        <v>859</v>
      </c>
      <c r="B14" s="21" t="str">
        <f t="shared" si="0"/>
        <v>2016/12/03 15:26:29.468</v>
      </c>
      <c r="C14" s="21">
        <f t="shared" si="1"/>
        <v>6.6548229166073725E-2</v>
      </c>
    </row>
    <row r="15" spans="1:3" x14ac:dyDescent="0.25">
      <c r="A15" t="s">
        <v>860</v>
      </c>
      <c r="B15" s="21" t="str">
        <f t="shared" si="0"/>
        <v>2016/12/03 15:26:29.737</v>
      </c>
      <c r="C15" s="21">
        <f t="shared" si="1"/>
        <v>3.113425918854773E-6</v>
      </c>
    </row>
    <row r="16" spans="1:3" x14ac:dyDescent="0.25">
      <c r="A16" t="s">
        <v>861</v>
      </c>
      <c r="B16" s="21" t="str">
        <f t="shared" si="0"/>
        <v>2016/12/03 15:26:29.868</v>
      </c>
      <c r="C16" s="21">
        <f t="shared" si="1"/>
        <v>1.5162077033892274E-6</v>
      </c>
    </row>
    <row r="17" spans="1:3" x14ac:dyDescent="0.25">
      <c r="A17" t="s">
        <v>862</v>
      </c>
      <c r="B17" s="21" t="str">
        <f t="shared" si="0"/>
        <v>2016/12/03 15:37:40.574</v>
      </c>
      <c r="C17" s="21">
        <f t="shared" si="1"/>
        <v>7.7628009239560924E-3</v>
      </c>
    </row>
    <row r="18" spans="1:3" x14ac:dyDescent="0.25">
      <c r="A18" t="s">
        <v>863</v>
      </c>
      <c r="B18" s="21" t="str">
        <f t="shared" si="0"/>
        <v>2016/12/03 15:37:40.952</v>
      </c>
      <c r="C18" s="21">
        <f t="shared" si="1"/>
        <v>4.3749969336204231E-6</v>
      </c>
    </row>
    <row r="19" spans="1:3" x14ac:dyDescent="0.25">
      <c r="A19" t="s">
        <v>864</v>
      </c>
      <c r="B19" s="21" t="str">
        <f t="shared" si="0"/>
        <v>2016/12/03 15:37:41.475</v>
      </c>
      <c r="C19" s="21">
        <f t="shared" si="1"/>
        <v>6.0532402130775154E-6</v>
      </c>
    </row>
    <row r="20" spans="1:3" x14ac:dyDescent="0.25">
      <c r="A20" t="s">
        <v>865</v>
      </c>
      <c r="B20" s="21" t="str">
        <f t="shared" si="0"/>
        <v>2016/12/03 16:02:08.504</v>
      </c>
      <c r="C20" s="21">
        <f t="shared" si="1"/>
        <v>1.6979502317553852E-2</v>
      </c>
    </row>
    <row r="21" spans="1:3" x14ac:dyDescent="0.25">
      <c r="A21" t="s">
        <v>866</v>
      </c>
      <c r="B21" s="21" t="str">
        <f t="shared" si="0"/>
        <v>2016/12/03 16:02:08.517</v>
      </c>
      <c r="C21" s="21">
        <f t="shared" si="1"/>
        <v>1.5045952750369906E-7</v>
      </c>
    </row>
    <row r="22" spans="1:3" x14ac:dyDescent="0.25">
      <c r="A22" t="s">
        <v>867</v>
      </c>
      <c r="B22" s="21" t="str">
        <f t="shared" si="0"/>
        <v>2016/12/03 16:02:08.827</v>
      </c>
      <c r="C22" s="21">
        <f t="shared" si="1"/>
        <v>3.5879638744518161E-6</v>
      </c>
    </row>
    <row r="23" spans="1:3" x14ac:dyDescent="0.25">
      <c r="A23" t="s">
        <v>868</v>
      </c>
      <c r="B23" s="21" t="str">
        <f t="shared" si="0"/>
        <v>2016/12/03 16:28:04.573</v>
      </c>
      <c r="C23" s="21">
        <f t="shared" si="1"/>
        <v>1.800631944934139E-2</v>
      </c>
    </row>
    <row r="24" spans="1:3" x14ac:dyDescent="0.25">
      <c r="A24" t="s">
        <v>869</v>
      </c>
      <c r="B24" s="21" t="str">
        <f t="shared" si="0"/>
        <v>2016/12/03 16:28:05.090</v>
      </c>
      <c r="C24" s="21">
        <f t="shared" si="1"/>
        <v>5.9837911976501346E-6</v>
      </c>
    </row>
    <row r="25" spans="1:3" x14ac:dyDescent="0.25">
      <c r="A25" t="s">
        <v>870</v>
      </c>
      <c r="B25" s="21" t="str">
        <f t="shared" si="0"/>
        <v>2016/12/03 16:28:05.129</v>
      </c>
      <c r="C25" s="21">
        <f t="shared" si="1"/>
        <v>4.5139313442632556E-7</v>
      </c>
    </row>
    <row r="26" spans="1:3" x14ac:dyDescent="0.25">
      <c r="A26" t="s">
        <v>871</v>
      </c>
      <c r="B26" s="21" t="str">
        <f t="shared" si="0"/>
        <v>2016/12/03 16:28:57.124</v>
      </c>
      <c r="C26" s="21">
        <f t="shared" si="1"/>
        <v>6.0179398133186623E-4</v>
      </c>
    </row>
    <row r="27" spans="1:3" x14ac:dyDescent="0.25">
      <c r="A27" t="s">
        <v>872</v>
      </c>
      <c r="B27" s="21" t="str">
        <f t="shared" si="0"/>
        <v>2016/12/03 16:28:57.559</v>
      </c>
      <c r="C27" s="21">
        <f t="shared" si="1"/>
        <v>5.0347225624136627E-6</v>
      </c>
    </row>
    <row r="28" spans="1:3" x14ac:dyDescent="0.25">
      <c r="A28" t="s">
        <v>873</v>
      </c>
      <c r="B28" s="21" t="str">
        <f t="shared" si="0"/>
        <v>2016/12/03 16:28:58.068</v>
      </c>
      <c r="C28" s="21">
        <f t="shared" si="1"/>
        <v>5.8912046370096505E-6</v>
      </c>
    </row>
    <row r="29" spans="1:3" x14ac:dyDescent="0.25">
      <c r="A29" t="s">
        <v>874</v>
      </c>
      <c r="B29" s="21" t="str">
        <f t="shared" si="0"/>
        <v>2016/12/03 17:03:48.390</v>
      </c>
      <c r="C29" s="21">
        <f t="shared" si="1"/>
        <v>2.4193541663407814E-2</v>
      </c>
    </row>
    <row r="30" spans="1:3" x14ac:dyDescent="0.25">
      <c r="A30" t="s">
        <v>875</v>
      </c>
      <c r="B30" s="21" t="str">
        <f t="shared" si="0"/>
        <v>2016/12/03 17:03:49.099</v>
      </c>
      <c r="C30" s="21">
        <f t="shared" si="1"/>
        <v>8.2060214481316507E-6</v>
      </c>
    </row>
    <row r="31" spans="1:3" x14ac:dyDescent="0.25">
      <c r="A31" t="s">
        <v>876</v>
      </c>
      <c r="B31" s="21" t="str">
        <f t="shared" si="0"/>
        <v>2016/12/03 17:03:49.228</v>
      </c>
      <c r="C31" s="21">
        <f t="shared" si="1"/>
        <v>1.4930556062608957E-6</v>
      </c>
    </row>
    <row r="32" spans="1:3" x14ac:dyDescent="0.25">
      <c r="A32" t="s">
        <v>877</v>
      </c>
      <c r="B32" s="21" t="str">
        <f t="shared" si="0"/>
        <v>2016/12/03 17:07:57.371</v>
      </c>
      <c r="C32" s="21">
        <f t="shared" si="1"/>
        <v>2.8720254631480202E-3</v>
      </c>
    </row>
    <row r="33" spans="1:3" x14ac:dyDescent="0.25">
      <c r="A33" t="s">
        <v>878</v>
      </c>
      <c r="B33" s="21" t="str">
        <f t="shared" si="0"/>
        <v>2016/12/03 17:07:58.092</v>
      </c>
      <c r="C33" s="21">
        <f t="shared" si="1"/>
        <v>8.3449049270711839E-6</v>
      </c>
    </row>
    <row r="34" spans="1:3" x14ac:dyDescent="0.25">
      <c r="A34" t="s">
        <v>879</v>
      </c>
      <c r="B34" s="21" t="str">
        <f t="shared" si="0"/>
        <v>2016/12/03 17:07:58.217</v>
      </c>
      <c r="C34" s="21">
        <f t="shared" si="1"/>
        <v>1.4467586879618466E-6</v>
      </c>
    </row>
    <row r="35" spans="1:3" x14ac:dyDescent="0.25">
      <c r="A35" t="s">
        <v>880</v>
      </c>
      <c r="B35" s="21" t="str">
        <f t="shared" si="0"/>
        <v>2016/12/03 18:47:14.874</v>
      </c>
      <c r="C35" s="21">
        <f t="shared" si="1"/>
        <v>6.8942789352149703E-2</v>
      </c>
    </row>
    <row r="36" spans="1:3" x14ac:dyDescent="0.25">
      <c r="A36" t="s">
        <v>881</v>
      </c>
      <c r="B36" s="21" t="str">
        <f t="shared" si="0"/>
        <v>2016/12/03 18:47:15.479</v>
      </c>
      <c r="C36" s="21">
        <f t="shared" si="1"/>
        <v>7.0023161242716014E-6</v>
      </c>
    </row>
    <row r="37" spans="1:3" x14ac:dyDescent="0.25">
      <c r="A37" t="s">
        <v>882</v>
      </c>
      <c r="B37" s="21" t="str">
        <f t="shared" si="0"/>
        <v>2016/12/03 18:47:15.748</v>
      </c>
      <c r="C37" s="21">
        <f t="shared" si="1"/>
        <v>3.113425918854773E-6</v>
      </c>
    </row>
    <row r="38" spans="1:3" x14ac:dyDescent="0.25">
      <c r="A38" t="s">
        <v>883</v>
      </c>
      <c r="B38" s="21" t="str">
        <f t="shared" si="0"/>
        <v>2016/12/03 18:49:41.555</v>
      </c>
      <c r="C38" s="21">
        <f t="shared" si="1"/>
        <v>1.6875810179044493E-3</v>
      </c>
    </row>
    <row r="39" spans="1:3" x14ac:dyDescent="0.25">
      <c r="A39" t="s">
        <v>884</v>
      </c>
      <c r="B39" s="21" t="str">
        <f t="shared" si="0"/>
        <v>2016/12/03 18:49:41.564</v>
      </c>
      <c r="C39" s="21">
        <f t="shared" si="1"/>
        <v>1.0416260920464993E-7</v>
      </c>
    </row>
    <row r="40" spans="1:3" x14ac:dyDescent="0.25">
      <c r="A40" t="s">
        <v>885</v>
      </c>
      <c r="B40" s="21" t="str">
        <f t="shared" si="0"/>
        <v>2016/12/03 18:49:41.778</v>
      </c>
      <c r="C40" s="21">
        <f t="shared" si="1"/>
        <v>2.4768523871898651E-6</v>
      </c>
    </row>
    <row r="41" spans="1:3" x14ac:dyDescent="0.25">
      <c r="A41" t="s">
        <v>886</v>
      </c>
      <c r="B41" s="21" t="str">
        <f t="shared" si="0"/>
        <v>2016/12/03 18:49:41.787</v>
      </c>
      <c r="C41" s="21">
        <f t="shared" si="1"/>
        <v>1.0416988516226411E-7</v>
      </c>
    </row>
    <row r="42" spans="1:3" x14ac:dyDescent="0.25">
      <c r="A42" t="s">
        <v>887</v>
      </c>
      <c r="B42" s="21" t="str">
        <f t="shared" si="0"/>
        <v>2016/12/03 18:50:55.760</v>
      </c>
      <c r="C42" s="21">
        <f t="shared" si="1"/>
        <v>8.5616898286389187E-4</v>
      </c>
    </row>
    <row r="43" spans="1:3" x14ac:dyDescent="0.25">
      <c r="A43" t="s">
        <v>888</v>
      </c>
      <c r="B43" s="21" t="str">
        <f t="shared" si="0"/>
        <v>2016/12/03 18:50:56.526</v>
      </c>
      <c r="C43" s="21">
        <f t="shared" si="1"/>
        <v>8.8657398009672761E-6</v>
      </c>
    </row>
    <row r="44" spans="1:3" x14ac:dyDescent="0.25">
      <c r="A44" t="s">
        <v>889</v>
      </c>
      <c r="B44" s="21" t="str">
        <f t="shared" si="0"/>
        <v>2016/12/03 18:51:07.159</v>
      </c>
      <c r="C44" s="21">
        <f t="shared" si="1"/>
        <v>1.2306712596910074E-4</v>
      </c>
    </row>
    <row r="45" spans="1:3" x14ac:dyDescent="0.25">
      <c r="A45" t="s">
        <v>890</v>
      </c>
      <c r="B45" s="21" t="str">
        <f t="shared" si="0"/>
        <v>2016/12/03 18:51:07.380</v>
      </c>
      <c r="C45" s="21">
        <f t="shared" si="1"/>
        <v>2.5578701752237976E-6</v>
      </c>
    </row>
    <row r="46" spans="1:3" x14ac:dyDescent="0.25">
      <c r="A46" t="s">
        <v>891</v>
      </c>
      <c r="B46" s="21" t="str">
        <f t="shared" si="0"/>
        <v>2016/12/03 18:51:07.658</v>
      </c>
      <c r="C46" s="21">
        <f t="shared" si="1"/>
        <v>3.2175958040170372E-6</v>
      </c>
    </row>
    <row r="47" spans="1:3" x14ac:dyDescent="0.25">
      <c r="A47" t="s">
        <v>892</v>
      </c>
      <c r="B47" s="21" t="str">
        <f t="shared" si="0"/>
        <v>2016/12/03 18:57:01.470</v>
      </c>
      <c r="C47" s="21">
        <f t="shared" si="1"/>
        <v>4.095046293514315E-3</v>
      </c>
    </row>
    <row r="48" spans="1:3" x14ac:dyDescent="0.25">
      <c r="A48" t="s">
        <v>893</v>
      </c>
      <c r="B48" s="21" t="str">
        <f t="shared" si="0"/>
        <v>2016/12/03 18:57:01.738</v>
      </c>
      <c r="C48" s="21">
        <f t="shared" si="1"/>
        <v>3.1018571462482214E-6</v>
      </c>
    </row>
    <row r="49" spans="1:3" x14ac:dyDescent="0.25">
      <c r="A49" t="s">
        <v>894</v>
      </c>
      <c r="B49" s="21" t="str">
        <f t="shared" si="0"/>
        <v>2016/12/03 18:57:01.879</v>
      </c>
      <c r="C49" s="21">
        <f t="shared" si="1"/>
        <v>1.631939085200429E-6</v>
      </c>
    </row>
    <row r="50" spans="1:3" x14ac:dyDescent="0.25">
      <c r="A50" t="s">
        <v>895</v>
      </c>
      <c r="B50" s="21" t="str">
        <f t="shared" si="0"/>
        <v>2016/12/03 20:51:11.543</v>
      </c>
      <c r="C50" s="21">
        <f t="shared" si="1"/>
        <v>7.927851851854939E-2</v>
      </c>
    </row>
    <row r="51" spans="1:3" x14ac:dyDescent="0.25">
      <c r="A51" t="s">
        <v>896</v>
      </c>
      <c r="B51" s="21" t="str">
        <f t="shared" si="0"/>
        <v>2016/12/03 20:51:11.759</v>
      </c>
      <c r="C51" s="21">
        <f t="shared" si="1"/>
        <v>2.5000044843181968E-6</v>
      </c>
    </row>
    <row r="52" spans="1:3" x14ac:dyDescent="0.25">
      <c r="A52" t="s">
        <v>897</v>
      </c>
      <c r="B52" s="21" t="str">
        <f t="shared" si="0"/>
        <v>2016/12/03 22:32:04.229</v>
      </c>
      <c r="C52" s="21">
        <f t="shared" si="1"/>
        <v>7.0051736111054197E-2</v>
      </c>
    </row>
    <row r="53" spans="1:3" x14ac:dyDescent="0.25">
      <c r="A53" t="s">
        <v>898</v>
      </c>
      <c r="B53" s="21" t="str">
        <f t="shared" si="0"/>
        <v>2016/12/03 22:32:05.191</v>
      </c>
      <c r="C53" s="21">
        <f t="shared" si="1"/>
        <v>1.1134259693790227E-5</v>
      </c>
    </row>
    <row r="54" spans="1:3" x14ac:dyDescent="0.25">
      <c r="A54" t="s">
        <v>899</v>
      </c>
      <c r="B54" s="21" t="str">
        <f t="shared" si="0"/>
        <v>2016/12/03 22:56:37.657</v>
      </c>
      <c r="C54" s="21">
        <f t="shared" si="1"/>
        <v>1.7042430554283783E-2</v>
      </c>
    </row>
    <row r="55" spans="1:3" x14ac:dyDescent="0.25">
      <c r="A55" t="s">
        <v>900</v>
      </c>
      <c r="B55" s="21" t="str">
        <f t="shared" si="0"/>
        <v>2016/12/03 22:56:38.147</v>
      </c>
      <c r="C55" s="21">
        <f t="shared" si="1"/>
        <v>5.6712960940785706E-6</v>
      </c>
    </row>
    <row r="56" spans="1:3" x14ac:dyDescent="0.25">
      <c r="A56" t="s">
        <v>901</v>
      </c>
      <c r="B56" s="21" t="str">
        <f t="shared" si="0"/>
        <v>2016/12/03 22:56:38.463</v>
      </c>
      <c r="C56" s="21">
        <f t="shared" si="1"/>
        <v>3.6574056139215827E-6</v>
      </c>
    </row>
    <row r="57" spans="1:3" x14ac:dyDescent="0.25">
      <c r="A57" t="s">
        <v>902</v>
      </c>
      <c r="B57" s="21" t="str">
        <f t="shared" si="0"/>
        <v>2016/12/03 23:18:43.008</v>
      </c>
      <c r="C57" s="21">
        <f t="shared" si="1"/>
        <v>1.5330381946114358E-2</v>
      </c>
    </row>
    <row r="58" spans="1:3" x14ac:dyDescent="0.25">
      <c r="A58" t="s">
        <v>903</v>
      </c>
      <c r="B58" s="21" t="str">
        <f t="shared" si="0"/>
        <v>2016/12/03 23:18:43.521</v>
      </c>
      <c r="C58" s="21">
        <f t="shared" si="1"/>
        <v>5.9375015553086996E-6</v>
      </c>
    </row>
    <row r="59" spans="1:3" x14ac:dyDescent="0.25">
      <c r="A59" t="s">
        <v>904</v>
      </c>
      <c r="B59" s="21" t="str">
        <f t="shared" si="0"/>
        <v>2016/12/03 23:18:43.557</v>
      </c>
      <c r="C59" s="21">
        <f t="shared" si="1"/>
        <v>4.1666498873382807E-7</v>
      </c>
    </row>
    <row r="60" spans="1:3" x14ac:dyDescent="0.25">
      <c r="A60" t="s">
        <v>905</v>
      </c>
      <c r="B60" s="21" t="str">
        <f t="shared" si="0"/>
        <v>2016/12/04 00:54:42.368</v>
      </c>
      <c r="C60" s="21">
        <f t="shared" si="1"/>
        <v>6.6652905094088055E-2</v>
      </c>
    </row>
    <row r="61" spans="1:3" x14ac:dyDescent="0.25">
      <c r="A61" t="s">
        <v>906</v>
      </c>
      <c r="B61" s="21" t="str">
        <f t="shared" si="0"/>
        <v>2016/12/04 00:54:42.400</v>
      </c>
      <c r="C61" s="21">
        <f t="shared" si="1"/>
        <v>3.7036807043477893E-7</v>
      </c>
    </row>
    <row r="62" spans="1:3" x14ac:dyDescent="0.25">
      <c r="A62" t="s">
        <v>907</v>
      </c>
      <c r="B62" s="21" t="str">
        <f t="shared" si="0"/>
        <v>2016/12/04 00:54:42.643</v>
      </c>
      <c r="C62" s="21">
        <f t="shared" si="1"/>
        <v>2.8124995878897607E-6</v>
      </c>
    </row>
    <row r="63" spans="1:3" x14ac:dyDescent="0.25">
      <c r="A63" t="s">
        <v>908</v>
      </c>
      <c r="B63" s="21" t="str">
        <f t="shared" si="0"/>
        <v>2016/12/04 00:55:28.371</v>
      </c>
      <c r="C63" s="21">
        <f t="shared" si="1"/>
        <v>5.292592613841407E-4</v>
      </c>
    </row>
    <row r="64" spans="1:3" x14ac:dyDescent="0.25">
      <c r="A64" t="s">
        <v>909</v>
      </c>
      <c r="B64" s="21" t="str">
        <f t="shared" si="0"/>
        <v>2016/12/04 00:55:28.398</v>
      </c>
      <c r="C64" s="21">
        <f t="shared" si="1"/>
        <v>3.1249510357156396E-7</v>
      </c>
    </row>
    <row r="65" spans="1:3" x14ac:dyDescent="0.25">
      <c r="A65" t="s">
        <v>910</v>
      </c>
      <c r="B65" s="21" t="str">
        <f t="shared" ref="B65:B75" si="2">MID(A65,6,23)</f>
        <v>2016/12/04 00:55:28.645</v>
      </c>
      <c r="C65" s="21">
        <f t="shared" si="1"/>
        <v>2.8587965061888099E-6</v>
      </c>
    </row>
    <row r="66" spans="1:3" x14ac:dyDescent="0.25">
      <c r="A66" t="s">
        <v>911</v>
      </c>
      <c r="B66" s="21" t="str">
        <f t="shared" si="2"/>
        <v>2016/12/04 01:10:23.519</v>
      </c>
      <c r="C66" s="21">
        <f t="shared" si="1"/>
        <v>1.0357337967434432E-2</v>
      </c>
    </row>
    <row r="67" spans="1:3" x14ac:dyDescent="0.25">
      <c r="A67" t="s">
        <v>912</v>
      </c>
      <c r="B67" s="21" t="str">
        <f t="shared" si="2"/>
        <v>2016/12/04 01:10:23.524</v>
      </c>
      <c r="C67" s="21">
        <f t="shared" ref="C67:C75" si="3">ABS(B67-B66)</f>
        <v>5.7865690905600786E-8</v>
      </c>
    </row>
    <row r="68" spans="1:3" x14ac:dyDescent="0.25">
      <c r="A68" t="s">
        <v>913</v>
      </c>
      <c r="B68" s="21" t="str">
        <f t="shared" si="2"/>
        <v>2016/12/04 01:10:23.842</v>
      </c>
      <c r="C68" s="21">
        <f t="shared" si="3"/>
        <v>3.6805577110499144E-6</v>
      </c>
    </row>
    <row r="69" spans="1:3" x14ac:dyDescent="0.25">
      <c r="A69" t="s">
        <v>914</v>
      </c>
      <c r="B69" s="21" t="str">
        <f t="shared" si="2"/>
        <v>2016/12/04 01:23:07.201</v>
      </c>
      <c r="C69" s="21">
        <f t="shared" si="3"/>
        <v>8.8351736121694557E-3</v>
      </c>
    </row>
    <row r="70" spans="1:3" x14ac:dyDescent="0.25">
      <c r="A70" t="s">
        <v>915</v>
      </c>
      <c r="B70" s="21" t="str">
        <f t="shared" si="2"/>
        <v>2016/12/04 01:23:07.237</v>
      </c>
      <c r="C70" s="21">
        <f t="shared" si="3"/>
        <v>4.1666498873382807E-7</v>
      </c>
    </row>
    <row r="71" spans="1:3" x14ac:dyDescent="0.25">
      <c r="A71" t="s">
        <v>916</v>
      </c>
      <c r="B71" s="21" t="str">
        <f t="shared" si="2"/>
        <v>2016/12/04 01:58:01.667</v>
      </c>
      <c r="C71" s="21">
        <f t="shared" si="3"/>
        <v>2.4241087965492625E-2</v>
      </c>
    </row>
    <row r="72" spans="1:3" x14ac:dyDescent="0.25">
      <c r="A72" t="s">
        <v>917</v>
      </c>
      <c r="B72" s="21" t="str">
        <f t="shared" si="2"/>
        <v>2016/12/04 01:58:02.154</v>
      </c>
      <c r="C72" s="21">
        <f t="shared" si="3"/>
        <v>5.6365752243436873E-6</v>
      </c>
    </row>
    <row r="73" spans="1:3" x14ac:dyDescent="0.25">
      <c r="A73" t="s">
        <v>918</v>
      </c>
      <c r="B73" s="21" t="str">
        <f t="shared" si="2"/>
        <v>2016/12/04 01:58:02.460</v>
      </c>
      <c r="C73" s="21">
        <f t="shared" si="3"/>
        <v>3.5416669561527669E-6</v>
      </c>
    </row>
    <row r="74" spans="1:3" x14ac:dyDescent="0.25">
      <c r="A74" t="s">
        <v>919</v>
      </c>
      <c r="B74" s="21" t="str">
        <f t="shared" si="2"/>
        <v>2016/12/04 02:27:06.450</v>
      </c>
      <c r="C74" s="21">
        <f t="shared" si="3"/>
        <v>2.0185069442959502E-2</v>
      </c>
    </row>
    <row r="75" spans="1:3" x14ac:dyDescent="0.25">
      <c r="A75" t="s">
        <v>920</v>
      </c>
      <c r="B75" s="21" t="str">
        <f t="shared" si="2"/>
        <v>2016/12/04 02:27:06.499</v>
      </c>
      <c r="C75" s="21">
        <f t="shared" si="3"/>
        <v>5.6713179219514132E-7</v>
      </c>
    </row>
    <row r="76" spans="1:3" x14ac:dyDescent="0.25">
      <c r="A76" t="s">
        <v>921</v>
      </c>
      <c r="B76" s="21" t="str">
        <f t="shared" ref="B76:B81" si="4">MID(A76,6,23)</f>
        <v>2016/12/04 02:50:30.879</v>
      </c>
      <c r="C76" s="21">
        <f t="shared" ref="C76:C81" si="5">ABS(B76-B75)</f>
        <v>1.6254398142336868E-2</v>
      </c>
    </row>
    <row r="77" spans="1:3" x14ac:dyDescent="0.25">
      <c r="A77" t="s">
        <v>922</v>
      </c>
      <c r="B77" s="21" t="str">
        <f t="shared" si="4"/>
        <v>2016/12/04 02:50:31.382</v>
      </c>
      <c r="C77" s="21">
        <f t="shared" si="5"/>
        <v>5.8217628975398839E-6</v>
      </c>
    </row>
    <row r="78" spans="1:3" x14ac:dyDescent="0.25">
      <c r="A78" t="s">
        <v>923</v>
      </c>
      <c r="B78" s="21" t="str">
        <f t="shared" si="4"/>
        <v>2016/12/04 02:50:31.657</v>
      </c>
      <c r="C78" s="21">
        <f t="shared" si="5"/>
        <v>3.1828676583245397E-6</v>
      </c>
    </row>
    <row r="79" spans="1:3" x14ac:dyDescent="0.25">
      <c r="A79" t="s">
        <v>924</v>
      </c>
      <c r="B79" s="21" t="str">
        <f t="shared" si="4"/>
        <v>2016/12/04 02:52:49.476</v>
      </c>
      <c r="C79" s="21">
        <f t="shared" si="5"/>
        <v>1.5951273162500001E-3</v>
      </c>
    </row>
    <row r="80" spans="1:3" x14ac:dyDescent="0.25">
      <c r="A80" t="s">
        <v>925</v>
      </c>
      <c r="B80" s="21" t="str">
        <f t="shared" si="4"/>
        <v>2016/12/04 02:52:50.428</v>
      </c>
      <c r="C80" s="21">
        <f t="shared" si="5"/>
        <v>1.1018521036021411E-5</v>
      </c>
    </row>
    <row r="81" spans="1:3" x14ac:dyDescent="0.25">
      <c r="A81" t="s">
        <v>926</v>
      </c>
      <c r="B81" s="21" t="str">
        <f t="shared" si="4"/>
        <v>2016/12/04 03:24:15.206</v>
      </c>
      <c r="C81" s="21">
        <f t="shared" si="5"/>
        <v>2.1814560182974674E-2</v>
      </c>
    </row>
    <row r="82" spans="1:3" x14ac:dyDescent="0.25">
      <c r="A82" t="s">
        <v>927</v>
      </c>
      <c r="B82" s="21" t="str">
        <f t="shared" ref="B82:B97" si="6">MID(A82,6,23)</f>
        <v>2016/12/04 03:24:15.225</v>
      </c>
      <c r="C82" s="21">
        <f t="shared" ref="C82:C97" si="7">ABS(B82-B81)</f>
        <v>2.1990854293107986E-7</v>
      </c>
    </row>
    <row r="83" spans="1:3" x14ac:dyDescent="0.25">
      <c r="A83" t="s">
        <v>928</v>
      </c>
      <c r="B83" s="21" t="str">
        <f t="shared" si="6"/>
        <v>2016/12/04 03:24:15.245</v>
      </c>
      <c r="C83" s="21">
        <f t="shared" si="7"/>
        <v>2.3147731553763151E-7</v>
      </c>
    </row>
    <row r="84" spans="1:3" x14ac:dyDescent="0.25">
      <c r="A84" t="s">
        <v>929</v>
      </c>
      <c r="B84" s="21" t="str">
        <f t="shared" si="6"/>
        <v>2016/12/04 03:39:15.191</v>
      </c>
      <c r="C84" s="21">
        <f t="shared" si="7"/>
        <v>1.0416041666758247E-2</v>
      </c>
    </row>
    <row r="85" spans="1:3" x14ac:dyDescent="0.25">
      <c r="A85" t="s">
        <v>930</v>
      </c>
      <c r="B85" s="21" t="str">
        <f t="shared" si="6"/>
        <v>2016/12/04 03:39:15.202</v>
      </c>
      <c r="C85" s="21">
        <f t="shared" si="7"/>
        <v>1.2731470633298159E-7</v>
      </c>
    </row>
    <row r="86" spans="1:3" x14ac:dyDescent="0.25">
      <c r="A86" t="s">
        <v>931</v>
      </c>
      <c r="B86" s="21" t="str">
        <f t="shared" si="6"/>
        <v>2016/12/04 03:39:15.229</v>
      </c>
      <c r="C86" s="21">
        <f t="shared" si="7"/>
        <v>3.1250237952917814E-7</v>
      </c>
    </row>
    <row r="87" spans="1:3" x14ac:dyDescent="0.25">
      <c r="A87" t="s">
        <v>932</v>
      </c>
      <c r="B87" s="21" t="str">
        <f t="shared" si="6"/>
        <v>2016/12/04 03:54:01.380</v>
      </c>
      <c r="C87" s="21">
        <f t="shared" si="7"/>
        <v>1.0256377318000887E-2</v>
      </c>
    </row>
    <row r="88" spans="1:3" x14ac:dyDescent="0.25">
      <c r="A88" t="s">
        <v>933</v>
      </c>
      <c r="B88" s="21" t="str">
        <f t="shared" si="6"/>
        <v>2016/12/04 03:54:01.646</v>
      </c>
      <c r="C88" s="21">
        <f t="shared" si="7"/>
        <v>3.0787050491198897E-6</v>
      </c>
    </row>
    <row r="89" spans="1:3" x14ac:dyDescent="0.25">
      <c r="A89" t="s">
        <v>934</v>
      </c>
      <c r="B89" s="21" t="str">
        <f t="shared" si="6"/>
        <v>2016/12/04 04:35:51.430</v>
      </c>
      <c r="C89" s="21">
        <f t="shared" si="7"/>
        <v>2.9048425923974719E-2</v>
      </c>
    </row>
    <row r="90" spans="1:3" x14ac:dyDescent="0.25">
      <c r="A90" t="s">
        <v>935</v>
      </c>
      <c r="B90" s="21" t="str">
        <f t="shared" si="6"/>
        <v>2016/12/04 04:35:51.485</v>
      </c>
      <c r="C90" s="21">
        <f t="shared" si="7"/>
        <v>6.3657353166490793E-7</v>
      </c>
    </row>
    <row r="91" spans="1:3" x14ac:dyDescent="0.25">
      <c r="A91" t="s">
        <v>936</v>
      </c>
      <c r="B91" s="21" t="str">
        <f t="shared" si="6"/>
        <v>2016/12/04 04:48:17.386</v>
      </c>
      <c r="C91" s="21">
        <f t="shared" si="7"/>
        <v>8.6331134225474671E-3</v>
      </c>
    </row>
    <row r="92" spans="1:3" x14ac:dyDescent="0.25">
      <c r="A92" t="s">
        <v>937</v>
      </c>
      <c r="B92" s="21" t="str">
        <f t="shared" si="6"/>
        <v>2016/12/04 04:48:17.652</v>
      </c>
      <c r="C92" s="21">
        <f t="shared" si="7"/>
        <v>3.0787050491198897E-6</v>
      </c>
    </row>
    <row r="93" spans="1:3" x14ac:dyDescent="0.25">
      <c r="A93" t="s">
        <v>938</v>
      </c>
      <c r="B93" s="21" t="str">
        <f t="shared" si="6"/>
        <v>2016/12/04 05:03:28.827</v>
      </c>
      <c r="C93" s="21">
        <f t="shared" si="7"/>
        <v>1.0546006946242414E-2</v>
      </c>
    </row>
    <row r="94" spans="1:3" x14ac:dyDescent="0.25">
      <c r="A94" t="s">
        <v>939</v>
      </c>
      <c r="B94" s="21" t="str">
        <f t="shared" si="6"/>
        <v>2016/12/04 05:03:29.490</v>
      </c>
      <c r="C94" s="21">
        <f t="shared" si="7"/>
        <v>7.6736105256713927E-6</v>
      </c>
    </row>
    <row r="95" spans="1:3" x14ac:dyDescent="0.25">
      <c r="A95" t="s">
        <v>940</v>
      </c>
      <c r="B95" s="21" t="str">
        <f t="shared" si="6"/>
        <v>2016/12/04 05:03:29.518</v>
      </c>
      <c r="C95" s="21">
        <f t="shared" si="7"/>
        <v>3.2407115213572979E-7</v>
      </c>
    </row>
    <row r="96" spans="1:3" x14ac:dyDescent="0.25">
      <c r="A96" t="s">
        <v>941</v>
      </c>
      <c r="B96" s="21" t="str">
        <f t="shared" si="6"/>
        <v>2016/12/04 05:37:19.878</v>
      </c>
      <c r="C96" s="21">
        <f t="shared" si="7"/>
        <v>2.3499537041061558E-2</v>
      </c>
    </row>
    <row r="97" spans="1:3" x14ac:dyDescent="0.25">
      <c r="A97" t="s">
        <v>942</v>
      </c>
      <c r="B97" s="21" t="str">
        <f t="shared" si="6"/>
        <v>2016/12/04 05:37:20.980</v>
      </c>
      <c r="C97" s="21">
        <f t="shared" si="7"/>
        <v>1.2754630006384104E-5</v>
      </c>
    </row>
    <row r="98" spans="1:3" x14ac:dyDescent="0.25">
      <c r="A98" t="s">
        <v>943</v>
      </c>
      <c r="B98" s="21" t="str">
        <f t="shared" ref="B98:B108" si="8">MID(A98,6,23)</f>
        <v>2016/12/04 05:43:15.384</v>
      </c>
      <c r="C98" s="21">
        <f t="shared" ref="C98:C108" si="9">ABS(B98-B97)</f>
        <v>4.1018981501110829E-3</v>
      </c>
    </row>
    <row r="99" spans="1:3" x14ac:dyDescent="0.25">
      <c r="A99" t="s">
        <v>944</v>
      </c>
      <c r="B99" s="21" t="str">
        <f t="shared" si="8"/>
        <v>2016/12/04 05:43:15.654</v>
      </c>
      <c r="C99" s="21">
        <f t="shared" si="9"/>
        <v>3.1249946914613247E-6</v>
      </c>
    </row>
    <row r="100" spans="1:3" x14ac:dyDescent="0.25">
      <c r="A100" t="s">
        <v>945</v>
      </c>
      <c r="B100" s="21" t="str">
        <f t="shared" si="8"/>
        <v>2016/12/04 06:05:26.446</v>
      </c>
      <c r="C100" s="21">
        <f t="shared" si="9"/>
        <v>1.5402685188746545E-2</v>
      </c>
    </row>
    <row r="101" spans="1:3" x14ac:dyDescent="0.25">
      <c r="A101" t="s">
        <v>946</v>
      </c>
      <c r="B101" s="21" t="str">
        <f t="shared" si="8"/>
        <v>2016/12/04 06:05:27.148</v>
      </c>
      <c r="C101" s="21">
        <f t="shared" si="9"/>
        <v>8.1249963841401041E-6</v>
      </c>
    </row>
    <row r="102" spans="1:3" x14ac:dyDescent="0.25">
      <c r="A102" t="s">
        <v>947</v>
      </c>
      <c r="B102" s="21" t="str">
        <f t="shared" si="8"/>
        <v>2016/12/04 06:05:27.195</v>
      </c>
      <c r="C102" s="21">
        <f t="shared" si="9"/>
        <v>5.4397969506680965E-7</v>
      </c>
    </row>
    <row r="103" spans="1:3" x14ac:dyDescent="0.25">
      <c r="A103" t="s">
        <v>948</v>
      </c>
      <c r="B103" s="21" t="str">
        <f t="shared" si="8"/>
        <v>2016/12/04 06:16:09.363</v>
      </c>
      <c r="C103" s="21">
        <f t="shared" si="9"/>
        <v>7.4325000023236498E-3</v>
      </c>
    </row>
    <row r="104" spans="1:3" x14ac:dyDescent="0.25">
      <c r="A104" t="s">
        <v>949</v>
      </c>
      <c r="B104" s="21" t="str">
        <f t="shared" si="8"/>
        <v>2016/12/04 06:16:10.178</v>
      </c>
      <c r="C104" s="21">
        <f t="shared" si="9"/>
        <v>9.4328715931624174E-6</v>
      </c>
    </row>
    <row r="105" spans="1:3" x14ac:dyDescent="0.25">
      <c r="A105" t="s">
        <v>950</v>
      </c>
      <c r="B105" s="21" t="str">
        <f t="shared" si="8"/>
        <v>2016/12/04 06:39:14.429</v>
      </c>
      <c r="C105" s="21">
        <f t="shared" si="9"/>
        <v>1.602142360934522E-2</v>
      </c>
    </row>
    <row r="106" spans="1:3" x14ac:dyDescent="0.25">
      <c r="A106" t="s">
        <v>951</v>
      </c>
      <c r="B106" s="21" t="str">
        <f t="shared" si="8"/>
        <v>2016/12/04 06:39:14.477</v>
      </c>
      <c r="C106" s="21">
        <f t="shared" si="9"/>
        <v>5.5555574363097548E-7</v>
      </c>
    </row>
    <row r="107" spans="1:3" x14ac:dyDescent="0.25">
      <c r="A107" t="s">
        <v>952</v>
      </c>
      <c r="B107" s="21" t="str">
        <f t="shared" si="8"/>
        <v>2016/12/04 08:56:52.494</v>
      </c>
      <c r="C107" s="21">
        <f t="shared" si="9"/>
        <v>9.5578900465625338E-2</v>
      </c>
    </row>
    <row r="108" spans="1:3" x14ac:dyDescent="0.25">
      <c r="A108" t="s">
        <v>953</v>
      </c>
      <c r="B108" s="21" t="str">
        <f t="shared" si="8"/>
        <v>2016/12/04 08:56:52.842</v>
      </c>
      <c r="C108" s="21">
        <f t="shared" si="9"/>
        <v>4.0277736843563616E-6</v>
      </c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2016-12-05T18:57:39Z</dcterms:modified>
</cp:coreProperties>
</file>