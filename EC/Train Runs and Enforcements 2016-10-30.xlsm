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X18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96" i="1"/>
  <c r="AA96" i="1" l="1"/>
  <c r="AG14" i="1"/>
  <c r="AG96" i="1"/>
  <c r="W96" i="1" s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P26" i="1" s="1"/>
  <c r="V26" i="1"/>
  <c r="S20" i="3" s="1"/>
  <c r="Y26" i="1"/>
  <c r="Z26" i="1"/>
  <c r="AB26" i="1"/>
  <c r="AC26" i="1"/>
  <c r="AD26" i="1"/>
  <c r="X26" i="1" s="1"/>
  <c r="AE26" i="1"/>
  <c r="R20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R16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S13" i="3" s="1"/>
  <c r="Y41" i="1"/>
  <c r="Z41" i="1"/>
  <c r="AB41" i="1"/>
  <c r="AC41" i="1"/>
  <c r="AD41" i="1"/>
  <c r="T41" i="1" s="1"/>
  <c r="AE41" i="1"/>
  <c r="R11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21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S15" i="3" s="1"/>
  <c r="Y49" i="1"/>
  <c r="Z49" i="1"/>
  <c r="AB49" i="1"/>
  <c r="AC49" i="1"/>
  <c r="AD49" i="1"/>
  <c r="AG49" i="1" s="1"/>
  <c r="AE49" i="1"/>
  <c r="R15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R10" i="3" s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7" i="3" s="1"/>
  <c r="Y54" i="1"/>
  <c r="Z54" i="1"/>
  <c r="AB54" i="1"/>
  <c r="AC54" i="1"/>
  <c r="AD54" i="1"/>
  <c r="T54" i="1" s="1"/>
  <c r="AE54" i="1"/>
  <c r="R7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S9" i="3" s="1"/>
  <c r="Y63" i="1"/>
  <c r="Z63" i="1"/>
  <c r="AB63" i="1"/>
  <c r="AC63" i="1"/>
  <c r="AD63" i="1"/>
  <c r="T63" i="1" s="1"/>
  <c r="AE63" i="1"/>
  <c r="R9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S29" i="3" s="1"/>
  <c r="Y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S22" i="3" s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S23" i="3" s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S24" i="3" s="1"/>
  <c r="Y78" i="1"/>
  <c r="Z78" i="1"/>
  <c r="AB78" i="1"/>
  <c r="AC78" i="1"/>
  <c r="AD78" i="1"/>
  <c r="AE78" i="1"/>
  <c r="R24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S30" i="3" s="1"/>
  <c r="Y81" i="1"/>
  <c r="Z81" i="1"/>
  <c r="AB81" i="1"/>
  <c r="AC81" i="1"/>
  <c r="AD81" i="1"/>
  <c r="AE81" i="1"/>
  <c r="R30" i="3" s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25" i="3" s="1"/>
  <c r="Y90" i="1"/>
  <c r="Z90" i="1"/>
  <c r="AB90" i="1"/>
  <c r="AC90" i="1"/>
  <c r="AD90" i="1"/>
  <c r="T90" i="1" s="1"/>
  <c r="AE90" i="1"/>
  <c r="R25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157" i="1"/>
  <c r="L157" i="1"/>
  <c r="M157" i="1"/>
  <c r="P157" i="1" s="1"/>
  <c r="V157" i="1"/>
  <c r="Y157" i="1"/>
  <c r="Z157" i="1"/>
  <c r="AB157" i="1"/>
  <c r="AC157" i="1"/>
  <c r="AD157" i="1"/>
  <c r="AE157" i="1"/>
  <c r="AF157" i="1"/>
  <c r="AH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K159" i="1"/>
  <c r="L159" i="1"/>
  <c r="M159" i="1"/>
  <c r="N159" i="1" s="1"/>
  <c r="V159" i="1"/>
  <c r="S36" i="3" s="1"/>
  <c r="Y159" i="1"/>
  <c r="Z159" i="1"/>
  <c r="AB159" i="1"/>
  <c r="AC159" i="1"/>
  <c r="AD159" i="1"/>
  <c r="T159" i="1" s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7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00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01" i="1"/>
  <c r="K165" i="1"/>
  <c r="L165" i="1"/>
  <c r="M165" i="1"/>
  <c r="N165" i="1" s="1"/>
  <c r="V165" i="1"/>
  <c r="S37" i="3" s="1"/>
  <c r="Y165" i="1"/>
  <c r="Z165" i="1"/>
  <c r="AB165" i="1"/>
  <c r="AC165" i="1"/>
  <c r="AD165" i="1"/>
  <c r="T165" i="1" s="1"/>
  <c r="AE165" i="1"/>
  <c r="AF165" i="1"/>
  <c r="AH10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3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3" i="1"/>
  <c r="K176" i="1"/>
  <c r="L176" i="1"/>
  <c r="M176" i="1"/>
  <c r="N176" i="1" s="1"/>
  <c r="V176" i="1"/>
  <c r="S39" i="3" s="1"/>
  <c r="Y176" i="1"/>
  <c r="Z176" i="1"/>
  <c r="AB176" i="1"/>
  <c r="AC176" i="1"/>
  <c r="AD176" i="1"/>
  <c r="T176" i="1" s="1"/>
  <c r="AE176" i="1"/>
  <c r="R34" i="3" s="1"/>
  <c r="AF176" i="1"/>
  <c r="AH114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7" i="1"/>
  <c r="AH11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2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2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6" i="1"/>
  <c r="K95" i="1"/>
  <c r="L95" i="1"/>
  <c r="M95" i="1"/>
  <c r="N95" i="1" s="1"/>
  <c r="V95" i="1"/>
  <c r="S31" i="3" s="1"/>
  <c r="Y95" i="1"/>
  <c r="Z95" i="1"/>
  <c r="AB95" i="1"/>
  <c r="AC95" i="1"/>
  <c r="AD95" i="1"/>
  <c r="T95" i="1" s="1"/>
  <c r="AE95" i="1"/>
  <c r="R31" i="3" s="1"/>
  <c r="AF95" i="1"/>
  <c r="AH127" i="1"/>
  <c r="K187" i="1"/>
  <c r="L187" i="1"/>
  <c r="M187" i="1"/>
  <c r="N187" i="1" s="1"/>
  <c r="V187" i="1"/>
  <c r="S35" i="3" s="1"/>
  <c r="Y187" i="1"/>
  <c r="Z187" i="1"/>
  <c r="AI187" i="1" s="1"/>
  <c r="AB187" i="1"/>
  <c r="AC187" i="1"/>
  <c r="AD187" i="1"/>
  <c r="AG187" i="1" s="1"/>
  <c r="AE187" i="1"/>
  <c r="R35" i="3" s="1"/>
  <c r="AF187" i="1"/>
  <c r="AH12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3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4" i="1"/>
  <c r="K100" i="1"/>
  <c r="L100" i="1"/>
  <c r="M100" i="1"/>
  <c r="N100" i="1" s="1"/>
  <c r="V100" i="1"/>
  <c r="S26" i="3" s="1"/>
  <c r="Y100" i="1"/>
  <c r="Z100" i="1"/>
  <c r="AB100" i="1"/>
  <c r="AC100" i="1"/>
  <c r="AD100" i="1"/>
  <c r="T100" i="1" s="1"/>
  <c r="AE100" i="1"/>
  <c r="R26" i="3" s="1"/>
  <c r="AF100" i="1"/>
  <c r="AH135" i="1"/>
  <c r="K101" i="1"/>
  <c r="L101" i="1"/>
  <c r="M101" i="1"/>
  <c r="N101" i="1" s="1"/>
  <c r="V101" i="1"/>
  <c r="S32" i="3" s="1"/>
  <c r="Y101" i="1"/>
  <c r="Z101" i="1"/>
  <c r="AB101" i="1"/>
  <c r="AC101" i="1"/>
  <c r="AD101" i="1"/>
  <c r="AG101" i="1" s="1"/>
  <c r="AE101" i="1"/>
  <c r="R32" i="3" s="1"/>
  <c r="AF101" i="1"/>
  <c r="AH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3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39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40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1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2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3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K108" i="1"/>
  <c r="L108" i="1"/>
  <c r="M108" i="1"/>
  <c r="N108" i="1" s="1"/>
  <c r="V108" i="1"/>
  <c r="S27" i="3" s="1"/>
  <c r="Y108" i="1"/>
  <c r="Z108" i="1"/>
  <c r="AB108" i="1"/>
  <c r="AC108" i="1"/>
  <c r="AD108" i="1"/>
  <c r="AG108" i="1" s="1"/>
  <c r="AE108" i="1"/>
  <c r="R27" i="3" s="1"/>
  <c r="AF108" i="1"/>
  <c r="AH145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K115" i="1"/>
  <c r="L115" i="1"/>
  <c r="M115" i="1"/>
  <c r="N115" i="1" s="1"/>
  <c r="V115" i="1"/>
  <c r="S33" i="3" s="1"/>
  <c r="Y115" i="1"/>
  <c r="Z115" i="1"/>
  <c r="AB115" i="1"/>
  <c r="AC115" i="1"/>
  <c r="AD115" i="1"/>
  <c r="AG115" i="1" s="1"/>
  <c r="AE115" i="1"/>
  <c r="R33" i="3" s="1"/>
  <c r="AF115" i="1"/>
  <c r="AH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K118" i="1"/>
  <c r="L118" i="1"/>
  <c r="M118" i="1"/>
  <c r="N118" i="1" s="1"/>
  <c r="V118" i="1"/>
  <c r="S17" i="3" s="1"/>
  <c r="Y118" i="1"/>
  <c r="Z118" i="1"/>
  <c r="AB118" i="1"/>
  <c r="AC118" i="1"/>
  <c r="AD118" i="1"/>
  <c r="T118" i="1" s="1"/>
  <c r="AE118" i="1"/>
  <c r="R17" i="3" s="1"/>
  <c r="AF118" i="1"/>
  <c r="AH155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56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2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3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4" i="1"/>
  <c r="AI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7" i="1"/>
  <c r="K132" i="1"/>
  <c r="L132" i="1"/>
  <c r="M132" i="1"/>
  <c r="N132" i="1" s="1"/>
  <c r="V132" i="1"/>
  <c r="S28" i="3" s="1"/>
  <c r="Y132" i="1"/>
  <c r="Z132" i="1"/>
  <c r="AB132" i="1"/>
  <c r="AC132" i="1"/>
  <c r="AD132" i="1"/>
  <c r="AG132" i="1" s="1"/>
  <c r="AE132" i="1"/>
  <c r="R28" i="3" s="1"/>
  <c r="AF132" i="1"/>
  <c r="AH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K154" i="1"/>
  <c r="L154" i="1"/>
  <c r="M154" i="1"/>
  <c r="N154" i="1" s="1"/>
  <c r="V154" i="1"/>
  <c r="S8" i="3" s="1"/>
  <c r="Y154" i="1"/>
  <c r="Z154" i="1"/>
  <c r="AB154" i="1"/>
  <c r="AC154" i="1"/>
  <c r="AD154" i="1"/>
  <c r="T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H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K203" i="1"/>
  <c r="L203" i="1"/>
  <c r="M203" i="1"/>
  <c r="N203" i="1" s="1"/>
  <c r="V203" i="1"/>
  <c r="Y203" i="1"/>
  <c r="Z203" i="1"/>
  <c r="AI203" i="1" s="1"/>
  <c r="AB203" i="1"/>
  <c r="AC203" i="1"/>
  <c r="AD203" i="1"/>
  <c r="AG203" i="1" s="1"/>
  <c r="AE203" i="1"/>
  <c r="AF203" i="1"/>
  <c r="AH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5" i="1"/>
  <c r="K206" i="1"/>
  <c r="L206" i="1"/>
  <c r="M206" i="1"/>
  <c r="N206" i="1" s="1"/>
  <c r="V206" i="1"/>
  <c r="S42" i="3" s="1"/>
  <c r="Y206" i="1"/>
  <c r="Z206" i="1"/>
  <c r="AB206" i="1"/>
  <c r="AC206" i="1"/>
  <c r="AD206" i="1"/>
  <c r="T206" i="1" s="1"/>
  <c r="AE206" i="1"/>
  <c r="R45" i="3" s="1"/>
  <c r="AF206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S41" i="3" s="1"/>
  <c r="Y209" i="1"/>
  <c r="Z209" i="1"/>
  <c r="AB209" i="1"/>
  <c r="AC209" i="1"/>
  <c r="AD209" i="1"/>
  <c r="T209" i="1" s="1"/>
  <c r="AE209" i="1"/>
  <c r="R41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K215" i="1"/>
  <c r="L215" i="1"/>
  <c r="M215" i="1"/>
  <c r="N215" i="1" s="1"/>
  <c r="V215" i="1"/>
  <c r="Y215" i="1"/>
  <c r="Z215" i="1"/>
  <c r="AI215" i="1" s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19" i="1"/>
  <c r="K220" i="1"/>
  <c r="L220" i="1"/>
  <c r="M220" i="1"/>
  <c r="N220" i="1" s="1"/>
  <c r="V220" i="1"/>
  <c r="S43" i="3" s="1"/>
  <c r="Y220" i="1"/>
  <c r="Z220" i="1"/>
  <c r="AB220" i="1"/>
  <c r="AC220" i="1"/>
  <c r="AD220" i="1"/>
  <c r="AE220" i="1"/>
  <c r="R43" i="3" s="1"/>
  <c r="AF220" i="1"/>
  <c r="AH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1" i="1"/>
  <c r="K222" i="1"/>
  <c r="L222" i="1"/>
  <c r="M222" i="1"/>
  <c r="N222" i="1" s="1"/>
  <c r="V222" i="1"/>
  <c r="Y222" i="1"/>
  <c r="Z222" i="1"/>
  <c r="AB222" i="1"/>
  <c r="AC222" i="1"/>
  <c r="AD222" i="1"/>
  <c r="X222" i="1" s="1"/>
  <c r="AE222" i="1"/>
  <c r="AF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K225" i="1"/>
  <c r="L225" i="1"/>
  <c r="M225" i="1"/>
  <c r="N225" i="1" s="1"/>
  <c r="V225" i="1"/>
  <c r="S40" i="3" s="1"/>
  <c r="Y225" i="1"/>
  <c r="Z225" i="1"/>
  <c r="AB225" i="1"/>
  <c r="AC225" i="1"/>
  <c r="AD225" i="1"/>
  <c r="AG225" i="1" s="1"/>
  <c r="AE225" i="1"/>
  <c r="R40" i="3" s="1"/>
  <c r="AF225" i="1"/>
  <c r="AH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K227" i="1"/>
  <c r="L227" i="1"/>
  <c r="M227" i="1"/>
  <c r="N227" i="1" s="1"/>
  <c r="V227" i="1"/>
  <c r="S46" i="3" s="1"/>
  <c r="Y227" i="1"/>
  <c r="Z227" i="1"/>
  <c r="AB227" i="1"/>
  <c r="AC227" i="1"/>
  <c r="AD227" i="1"/>
  <c r="AG227" i="1" s="1"/>
  <c r="AE227" i="1"/>
  <c r="R46" i="3" s="1"/>
  <c r="AF227" i="1"/>
  <c r="AH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32" i="1"/>
  <c r="M18" i="3"/>
  <c r="N18" i="3"/>
  <c r="R18" i="3"/>
  <c r="S18" i="3"/>
  <c r="U18" i="3"/>
  <c r="T18" i="3" s="1"/>
  <c r="V18" i="3"/>
  <c r="W18" i="3"/>
  <c r="Y18" i="3" s="1"/>
  <c r="X18" i="3"/>
  <c r="AC18" i="3"/>
  <c r="M19" i="3"/>
  <c r="N19" i="3"/>
  <c r="R19" i="3"/>
  <c r="S19" i="3"/>
  <c r="U19" i="3"/>
  <c r="AC19" i="3" s="1"/>
  <c r="V19" i="3"/>
  <c r="W19" i="3"/>
  <c r="X19" i="3"/>
  <c r="M36" i="3"/>
  <c r="N36" i="3"/>
  <c r="R36" i="3"/>
  <c r="U36" i="3"/>
  <c r="AC36" i="3" s="1"/>
  <c r="V36" i="3"/>
  <c r="W36" i="3"/>
  <c r="X36" i="3"/>
  <c r="Y36" i="3"/>
  <c r="M20" i="3"/>
  <c r="N20" i="3"/>
  <c r="U20" i="3"/>
  <c r="T20" i="3" s="1"/>
  <c r="V20" i="3"/>
  <c r="W20" i="3"/>
  <c r="Y20" i="3" s="1"/>
  <c r="X20" i="3"/>
  <c r="M16" i="3"/>
  <c r="N16" i="3"/>
  <c r="S16" i="3"/>
  <c r="U16" i="3"/>
  <c r="T16" i="3" s="1"/>
  <c r="V16" i="3"/>
  <c r="W16" i="3"/>
  <c r="X16" i="3"/>
  <c r="AC16" i="3"/>
  <c r="M11" i="3"/>
  <c r="N11" i="3"/>
  <c r="S11" i="3"/>
  <c r="U11" i="3"/>
  <c r="AC11" i="3" s="1"/>
  <c r="V11" i="3"/>
  <c r="W11" i="3"/>
  <c r="Y11" i="3" s="1"/>
  <c r="X11" i="3"/>
  <c r="M13" i="3"/>
  <c r="N13" i="3"/>
  <c r="U13" i="3"/>
  <c r="AC13" i="3" s="1"/>
  <c r="V13" i="3"/>
  <c r="W13" i="3"/>
  <c r="X13" i="3"/>
  <c r="M14" i="3"/>
  <c r="N14" i="3"/>
  <c r="S14" i="3"/>
  <c r="U14" i="3"/>
  <c r="T14" i="3" s="1"/>
  <c r="V14" i="3"/>
  <c r="W14" i="3"/>
  <c r="X14" i="3"/>
  <c r="Y14" i="3"/>
  <c r="M15" i="3"/>
  <c r="N15" i="3"/>
  <c r="U15" i="3"/>
  <c r="T15" i="3" s="1"/>
  <c r="V15" i="3"/>
  <c r="W15" i="3"/>
  <c r="X15" i="3"/>
  <c r="AC15" i="3"/>
  <c r="M21" i="3"/>
  <c r="N21" i="3"/>
  <c r="S21" i="3"/>
  <c r="U21" i="3"/>
  <c r="AC21" i="3" s="1"/>
  <c r="V21" i="3"/>
  <c r="W21" i="3"/>
  <c r="X21" i="3"/>
  <c r="M10" i="3"/>
  <c r="N10" i="3"/>
  <c r="S10" i="3"/>
  <c r="T10" i="3"/>
  <c r="U10" i="3"/>
  <c r="AC10" i="3" s="1"/>
  <c r="V10" i="3"/>
  <c r="W10" i="3"/>
  <c r="Y10" i="3" s="1"/>
  <c r="X10" i="3"/>
  <c r="M37" i="3"/>
  <c r="N37" i="3"/>
  <c r="R37" i="3"/>
  <c r="U37" i="3"/>
  <c r="T37" i="3" s="1"/>
  <c r="V37" i="3"/>
  <c r="W37" i="3"/>
  <c r="X37" i="3"/>
  <c r="M9" i="3"/>
  <c r="N9" i="3"/>
  <c r="U9" i="3"/>
  <c r="T9" i="3" s="1"/>
  <c r="V9" i="3"/>
  <c r="W9" i="3"/>
  <c r="X9" i="3"/>
  <c r="AC9" i="3"/>
  <c r="M7" i="3"/>
  <c r="N7" i="3"/>
  <c r="U7" i="3"/>
  <c r="AC7" i="3" s="1"/>
  <c r="V7" i="3"/>
  <c r="W7" i="3"/>
  <c r="X7" i="3"/>
  <c r="M12" i="3"/>
  <c r="N12" i="3"/>
  <c r="R12" i="3"/>
  <c r="S12" i="3"/>
  <c r="T12" i="3"/>
  <c r="U12" i="3"/>
  <c r="AC12" i="3" s="1"/>
  <c r="V12" i="3"/>
  <c r="W12" i="3"/>
  <c r="Y12" i="3" s="1"/>
  <c r="X12" i="3"/>
  <c r="M29" i="3"/>
  <c r="N29" i="3"/>
  <c r="R29" i="3"/>
  <c r="U29" i="3"/>
  <c r="T29" i="3" s="1"/>
  <c r="V29" i="3"/>
  <c r="W29" i="3"/>
  <c r="Y29" i="3" s="1"/>
  <c r="X29" i="3"/>
  <c r="M22" i="3"/>
  <c r="N22" i="3"/>
  <c r="R22" i="3"/>
  <c r="U22" i="3"/>
  <c r="T22" i="3" s="1"/>
  <c r="V22" i="3"/>
  <c r="W22" i="3"/>
  <c r="Y22" i="3" s="1"/>
  <c r="X22" i="3"/>
  <c r="AC22" i="3"/>
  <c r="M23" i="3"/>
  <c r="N23" i="3"/>
  <c r="R23" i="3"/>
  <c r="U23" i="3"/>
  <c r="AC23" i="3" s="1"/>
  <c r="V23" i="3"/>
  <c r="W23" i="3"/>
  <c r="X23" i="3"/>
  <c r="M30" i="3"/>
  <c r="N30" i="3"/>
  <c r="U30" i="3"/>
  <c r="AC30" i="3" s="1"/>
  <c r="V30" i="3"/>
  <c r="W30" i="3"/>
  <c r="X30" i="3"/>
  <c r="Y30" i="3"/>
  <c r="M24" i="3"/>
  <c r="N24" i="3"/>
  <c r="U24" i="3"/>
  <c r="T24" i="3" s="1"/>
  <c r="V24" i="3"/>
  <c r="W24" i="3"/>
  <c r="Y24" i="3" s="1"/>
  <c r="X24" i="3"/>
  <c r="M42" i="3"/>
  <c r="N42" i="3"/>
  <c r="U42" i="3"/>
  <c r="T42" i="3" s="1"/>
  <c r="V42" i="3"/>
  <c r="W42" i="3"/>
  <c r="X42" i="3"/>
  <c r="AC42" i="3"/>
  <c r="M45" i="3"/>
  <c r="N45" i="3"/>
  <c r="U45" i="3"/>
  <c r="AC45" i="3" s="1"/>
  <c r="V45" i="3"/>
  <c r="W45" i="3"/>
  <c r="Y45" i="3" s="1"/>
  <c r="X45" i="3"/>
  <c r="M41" i="3"/>
  <c r="N41" i="3"/>
  <c r="U41" i="3"/>
  <c r="AC41" i="3" s="1"/>
  <c r="V41" i="3"/>
  <c r="W41" i="3"/>
  <c r="X41" i="3"/>
  <c r="M31" i="3"/>
  <c r="N31" i="3"/>
  <c r="U31" i="3"/>
  <c r="T31" i="3" s="1"/>
  <c r="V31" i="3"/>
  <c r="W31" i="3"/>
  <c r="X31" i="3"/>
  <c r="Y31" i="3"/>
  <c r="M25" i="3"/>
  <c r="N25" i="3"/>
  <c r="U25" i="3"/>
  <c r="T25" i="3" s="1"/>
  <c r="V25" i="3"/>
  <c r="W25" i="3"/>
  <c r="X25" i="3"/>
  <c r="AC25" i="3"/>
  <c r="M38" i="3"/>
  <c r="N38" i="3"/>
  <c r="R38" i="3"/>
  <c r="S38" i="3"/>
  <c r="U38" i="3"/>
  <c r="AC38" i="3" s="1"/>
  <c r="V38" i="3"/>
  <c r="W38" i="3"/>
  <c r="X38" i="3"/>
  <c r="M32" i="3"/>
  <c r="N32" i="3"/>
  <c r="T32" i="3"/>
  <c r="U32" i="3"/>
  <c r="AC32" i="3" s="1"/>
  <c r="V32" i="3"/>
  <c r="W32" i="3"/>
  <c r="Y32" i="3" s="1"/>
  <c r="X32" i="3"/>
  <c r="M34" i="3"/>
  <c r="N34" i="3"/>
  <c r="U34" i="3"/>
  <c r="T34" i="3" s="1"/>
  <c r="V34" i="3"/>
  <c r="W34" i="3"/>
  <c r="X34" i="3"/>
  <c r="M39" i="3"/>
  <c r="N39" i="3"/>
  <c r="U39" i="3"/>
  <c r="T39" i="3" s="1"/>
  <c r="V39" i="3"/>
  <c r="W39" i="3"/>
  <c r="X39" i="3"/>
  <c r="AC39" i="3"/>
  <c r="M26" i="3"/>
  <c r="N26" i="3"/>
  <c r="T26" i="3"/>
  <c r="U26" i="3"/>
  <c r="AC26" i="3" s="1"/>
  <c r="V26" i="3"/>
  <c r="W26" i="3"/>
  <c r="X26" i="3"/>
  <c r="M27" i="3"/>
  <c r="N27" i="3"/>
  <c r="U27" i="3"/>
  <c r="AC27" i="3" s="1"/>
  <c r="V27" i="3"/>
  <c r="W27" i="3"/>
  <c r="Y27" i="3" s="1"/>
  <c r="X27" i="3"/>
  <c r="M33" i="3"/>
  <c r="N33" i="3"/>
  <c r="U33" i="3"/>
  <c r="T33" i="3" s="1"/>
  <c r="V33" i="3"/>
  <c r="W33" i="3"/>
  <c r="Y33" i="3" s="1"/>
  <c r="X33" i="3"/>
  <c r="M43" i="3"/>
  <c r="N43" i="3"/>
  <c r="U43" i="3"/>
  <c r="T43" i="3" s="1"/>
  <c r="V43" i="3"/>
  <c r="W43" i="3"/>
  <c r="X43" i="3"/>
  <c r="M17" i="3"/>
  <c r="N17" i="3"/>
  <c r="T17" i="3"/>
  <c r="U17" i="3"/>
  <c r="AC17" i="3" s="1"/>
  <c r="V17" i="3"/>
  <c r="W17" i="3"/>
  <c r="Y17" i="3" s="1"/>
  <c r="X17" i="3"/>
  <c r="M40" i="3"/>
  <c r="N40" i="3"/>
  <c r="U40" i="3"/>
  <c r="AC40" i="3" s="1"/>
  <c r="V40" i="3"/>
  <c r="W40" i="3"/>
  <c r="Y40" i="3" s="1"/>
  <c r="X40" i="3"/>
  <c r="M28" i="3"/>
  <c r="N28" i="3"/>
  <c r="U28" i="3"/>
  <c r="T28" i="3" s="1"/>
  <c r="V28" i="3"/>
  <c r="W28" i="3"/>
  <c r="Y28" i="3" s="1"/>
  <c r="X28" i="3"/>
  <c r="M35" i="3"/>
  <c r="N35" i="3"/>
  <c r="U35" i="3"/>
  <c r="T35" i="3" s="1"/>
  <c r="V35" i="3"/>
  <c r="W35" i="3"/>
  <c r="X35" i="3"/>
  <c r="AC35" i="3"/>
  <c r="M46" i="3"/>
  <c r="N46" i="3"/>
  <c r="T46" i="3"/>
  <c r="U46" i="3"/>
  <c r="AC46" i="3" s="1"/>
  <c r="V46" i="3"/>
  <c r="W46" i="3"/>
  <c r="X46" i="3"/>
  <c r="M47" i="3"/>
  <c r="N47" i="3"/>
  <c r="U47" i="3"/>
  <c r="AC47" i="3" s="1"/>
  <c r="V47" i="3"/>
  <c r="W47" i="3"/>
  <c r="Y47" i="3" s="1"/>
  <c r="X47" i="3"/>
  <c r="M8" i="3"/>
  <c r="N8" i="3"/>
  <c r="R8" i="3"/>
  <c r="U8" i="3"/>
  <c r="T8" i="3" s="1"/>
  <c r="V8" i="3"/>
  <c r="W8" i="3"/>
  <c r="Y8" i="3" s="1"/>
  <c r="X8" i="3"/>
  <c r="AA81" i="1" l="1"/>
  <c r="AA80" i="1"/>
  <c r="W80" i="1" s="1"/>
  <c r="AI96" i="1"/>
  <c r="S34" i="3"/>
  <c r="T17" i="1"/>
  <c r="X17" i="1"/>
  <c r="T16" i="1"/>
  <c r="X16" i="1"/>
  <c r="T15" i="1"/>
  <c r="X15" i="1"/>
  <c r="AI14" i="1"/>
  <c r="U14" i="1"/>
  <c r="S14" i="1" s="1"/>
  <c r="W14" i="1"/>
  <c r="AG156" i="1"/>
  <c r="X156" i="1"/>
  <c r="AA165" i="1"/>
  <c r="W165" i="1" s="1"/>
  <c r="AA164" i="1"/>
  <c r="W164" i="1" s="1"/>
  <c r="AI160" i="1"/>
  <c r="AA73" i="1"/>
  <c r="AA72" i="1"/>
  <c r="W72" i="1" s="1"/>
  <c r="T158" i="1"/>
  <c r="X158" i="1"/>
  <c r="T157" i="1"/>
  <c r="X157" i="1"/>
  <c r="AG165" i="1"/>
  <c r="X68" i="1"/>
  <c r="T56" i="1"/>
  <c r="T98" i="1"/>
  <c r="X98" i="1"/>
  <c r="AG97" i="1"/>
  <c r="X97" i="1"/>
  <c r="AA152" i="1"/>
  <c r="W152" i="1" s="1"/>
  <c r="AA142" i="1"/>
  <c r="AA141" i="1"/>
  <c r="AA138" i="1"/>
  <c r="AA137" i="1"/>
  <c r="AA136" i="1"/>
  <c r="AA110" i="1"/>
  <c r="AA109" i="1"/>
  <c r="AA107" i="1"/>
  <c r="AA106" i="1"/>
  <c r="AA105" i="1"/>
  <c r="W105" i="1" s="1"/>
  <c r="AA103" i="1"/>
  <c r="AA202" i="1"/>
  <c r="AG17" i="1"/>
  <c r="U96" i="1"/>
  <c r="S96" i="1" s="1"/>
  <c r="AA95" i="1"/>
  <c r="AA17" i="1"/>
  <c r="W17" i="1" s="1"/>
  <c r="AA16" i="1"/>
  <c r="AA15" i="1"/>
  <c r="AG201" i="1"/>
  <c r="T52" i="1"/>
  <c r="X96" i="1"/>
  <c r="R14" i="3"/>
  <c r="R13" i="3"/>
  <c r="T72" i="1"/>
  <c r="U72" i="1" s="1"/>
  <c r="S72" i="1" s="1"/>
  <c r="T40" i="1"/>
  <c r="X40" i="1"/>
  <c r="T39" i="1"/>
  <c r="X39" i="1"/>
  <c r="AG134" i="1"/>
  <c r="T38" i="1"/>
  <c r="U38" i="1" s="1"/>
  <c r="S38" i="1" s="1"/>
  <c r="X38" i="1"/>
  <c r="T37" i="1"/>
  <c r="X37" i="1"/>
  <c r="T36" i="1"/>
  <c r="X36" i="1"/>
  <c r="AG206" i="1"/>
  <c r="AA215" i="1"/>
  <c r="W215" i="1" s="1"/>
  <c r="AI211" i="1"/>
  <c r="AA209" i="1"/>
  <c r="AG118" i="1"/>
  <c r="U118" i="1" s="1"/>
  <c r="S118" i="1" s="1"/>
  <c r="AA70" i="1"/>
  <c r="AG63" i="1"/>
  <c r="U63" i="1" s="1"/>
  <c r="S63" i="1" s="1"/>
  <c r="AG25" i="1"/>
  <c r="X25" i="1"/>
  <c r="T29" i="1"/>
  <c r="X29" i="1"/>
  <c r="T232" i="1"/>
  <c r="AG123" i="1"/>
  <c r="U123" i="1" s="1"/>
  <c r="S123" i="1" s="1"/>
  <c r="X123" i="1"/>
  <c r="AG98" i="1"/>
  <c r="AI98" i="1" s="1"/>
  <c r="AG159" i="1"/>
  <c r="T27" i="1"/>
  <c r="S47" i="3"/>
  <c r="X219" i="1"/>
  <c r="AG214" i="1"/>
  <c r="X214" i="1"/>
  <c r="AA124" i="1"/>
  <c r="W124" i="1" s="1"/>
  <c r="T28" i="1"/>
  <c r="AA203" i="1"/>
  <c r="W203" i="1" s="1"/>
  <c r="AA195" i="1"/>
  <c r="AA194" i="1"/>
  <c r="AA193" i="1"/>
  <c r="W193" i="1" s="1"/>
  <c r="AI134" i="1"/>
  <c r="AA98" i="1"/>
  <c r="AA186" i="1"/>
  <c r="AA179" i="1"/>
  <c r="AG174" i="1"/>
  <c r="AA159" i="1"/>
  <c r="AA158" i="1"/>
  <c r="AA69" i="1"/>
  <c r="AA66" i="1"/>
  <c r="AA65" i="1"/>
  <c r="AA48" i="1"/>
  <c r="AA34" i="1"/>
  <c r="AA32" i="1"/>
  <c r="AG22" i="1"/>
  <c r="AI22" i="1" s="1"/>
  <c r="AA232" i="1"/>
  <c r="R47" i="3"/>
  <c r="AG226" i="1"/>
  <c r="AI226" i="1" s="1"/>
  <c r="AA224" i="1"/>
  <c r="AA222" i="1"/>
  <c r="AI221" i="1"/>
  <c r="AA213" i="1"/>
  <c r="AA212" i="1"/>
  <c r="AG191" i="1"/>
  <c r="AA150" i="1"/>
  <c r="AA149" i="1"/>
  <c r="AA148" i="1"/>
  <c r="AG142" i="1"/>
  <c r="X140" i="1"/>
  <c r="AA122" i="1"/>
  <c r="AA121" i="1"/>
  <c r="AA120" i="1"/>
  <c r="W120" i="1" s="1"/>
  <c r="AG116" i="1"/>
  <c r="AI116" i="1" s="1"/>
  <c r="X116" i="1"/>
  <c r="AA100" i="1"/>
  <c r="AG188" i="1"/>
  <c r="AG182" i="1"/>
  <c r="U182" i="1" s="1"/>
  <c r="S182" i="1" s="1"/>
  <c r="AA174" i="1"/>
  <c r="W174" i="1" s="1"/>
  <c r="AA173" i="1"/>
  <c r="AA87" i="1"/>
  <c r="AA86" i="1"/>
  <c r="AA77" i="1"/>
  <c r="AA76" i="1"/>
  <c r="W76" i="1" s="1"/>
  <c r="AG67" i="1"/>
  <c r="T42" i="1"/>
  <c r="U42" i="1" s="1"/>
  <c r="S42" i="1" s="1"/>
  <c r="T31" i="1"/>
  <c r="T25" i="1"/>
  <c r="AA130" i="1"/>
  <c r="AA129" i="1"/>
  <c r="AA99" i="1"/>
  <c r="AA189" i="1"/>
  <c r="AA183" i="1"/>
  <c r="AA93" i="1"/>
  <c r="W93" i="1" s="1"/>
  <c r="AA166" i="1"/>
  <c r="AA85" i="1"/>
  <c r="AA84" i="1"/>
  <c r="AA58" i="1"/>
  <c r="AI49" i="1"/>
  <c r="AA43" i="1"/>
  <c r="AA42" i="1"/>
  <c r="AA31" i="1"/>
  <c r="W31" i="1" s="1"/>
  <c r="AA25" i="1"/>
  <c r="AA20" i="1"/>
  <c r="AA19" i="1"/>
  <c r="AA208" i="1"/>
  <c r="AG150" i="1"/>
  <c r="X148" i="1"/>
  <c r="AG228" i="1"/>
  <c r="U228" i="1" s="1"/>
  <c r="X211" i="1"/>
  <c r="AG130" i="1"/>
  <c r="AI130" i="1" s="1"/>
  <c r="AG99" i="1"/>
  <c r="U99" i="1" s="1"/>
  <c r="S99" i="1" s="1"/>
  <c r="X99" i="1"/>
  <c r="W98" i="1"/>
  <c r="W159" i="1"/>
  <c r="AG85" i="1"/>
  <c r="T76" i="1"/>
  <c r="U76" i="1" s="1"/>
  <c r="S76" i="1" s="1"/>
  <c r="AA54" i="1"/>
  <c r="AA52" i="1"/>
  <c r="W52" i="1" s="1"/>
  <c r="AA47" i="1"/>
  <c r="AA46" i="1"/>
  <c r="AG20" i="1"/>
  <c r="S45" i="3"/>
  <c r="AG205" i="1"/>
  <c r="AG199" i="1"/>
  <c r="AI199" i="1" s="1"/>
  <c r="R39" i="3"/>
  <c r="R42" i="3"/>
  <c r="U232" i="1"/>
  <c r="AA231" i="1"/>
  <c r="W231" i="1" s="1"/>
  <c r="AA230" i="1"/>
  <c r="AA229" i="1"/>
  <c r="T229" i="1"/>
  <c r="AA216" i="1"/>
  <c r="AA210" i="1"/>
  <c r="X206" i="1"/>
  <c r="AA205" i="1"/>
  <c r="AA204" i="1"/>
  <c r="X203" i="1"/>
  <c r="AA199" i="1"/>
  <c r="AA198" i="1"/>
  <c r="AA197" i="1"/>
  <c r="T193" i="1"/>
  <c r="AA154" i="1"/>
  <c r="AA153" i="1"/>
  <c r="AI150" i="1"/>
  <c r="AA146" i="1"/>
  <c r="AA145" i="1"/>
  <c r="AA144" i="1"/>
  <c r="AI142" i="1"/>
  <c r="AA132" i="1"/>
  <c r="W132" i="1" s="1"/>
  <c r="X127" i="1"/>
  <c r="AA126" i="1"/>
  <c r="AA125" i="1"/>
  <c r="AI118" i="1"/>
  <c r="AA115" i="1"/>
  <c r="W115" i="1" s="1"/>
  <c r="AA114" i="1"/>
  <c r="AA113" i="1"/>
  <c r="T112" i="1"/>
  <c r="AA190" i="1"/>
  <c r="X186" i="1"/>
  <c r="AA185" i="1"/>
  <c r="AA178" i="1"/>
  <c r="W178" i="1" s="1"/>
  <c r="AA177" i="1"/>
  <c r="AG93" i="1"/>
  <c r="U93" i="1" s="1"/>
  <c r="S93" i="1" s="1"/>
  <c r="AA163" i="1"/>
  <c r="AA157" i="1"/>
  <c r="W157" i="1" s="1"/>
  <c r="AG87" i="1"/>
  <c r="T80" i="1"/>
  <c r="U80" i="1" s="1"/>
  <c r="S80" i="1" s="1"/>
  <c r="AA74" i="1"/>
  <c r="X72" i="1"/>
  <c r="AA64" i="1"/>
  <c r="W64" i="1" s="1"/>
  <c r="T64" i="1"/>
  <c r="AA60" i="1"/>
  <c r="AA50" i="1"/>
  <c r="X42" i="1"/>
  <c r="AA41" i="1"/>
  <c r="AA40" i="1"/>
  <c r="AG36" i="1"/>
  <c r="AI36" i="1" s="1"/>
  <c r="AA35" i="1"/>
  <c r="T35" i="1"/>
  <c r="AG28" i="1"/>
  <c r="U25" i="1"/>
  <c r="S25" i="1" s="1"/>
  <c r="AG146" i="1"/>
  <c r="X132" i="1"/>
  <c r="AG126" i="1"/>
  <c r="AI126" i="1" s="1"/>
  <c r="AG102" i="1"/>
  <c r="AI102" i="1" s="1"/>
  <c r="AG185" i="1"/>
  <c r="AG181" i="1"/>
  <c r="AI181" i="1" s="1"/>
  <c r="AG172" i="1"/>
  <c r="AG163" i="1"/>
  <c r="U163" i="1" s="1"/>
  <c r="S163" i="1" s="1"/>
  <c r="AG157" i="1"/>
  <c r="U157" i="1" s="1"/>
  <c r="AG83" i="1"/>
  <c r="U83" i="1" s="1"/>
  <c r="S83" i="1" s="1"/>
  <c r="AG75" i="1"/>
  <c r="X64" i="1"/>
  <c r="AG43" i="1"/>
  <c r="X43" i="1"/>
  <c r="AG35" i="1"/>
  <c r="AA26" i="1"/>
  <c r="AA18" i="1"/>
  <c r="X229" i="1"/>
  <c r="AG154" i="1"/>
  <c r="AA226" i="1"/>
  <c r="W226" i="1" s="1"/>
  <c r="AA223" i="1"/>
  <c r="W223" i="1" s="1"/>
  <c r="AA220" i="1"/>
  <c r="AA219" i="1"/>
  <c r="W219" i="1" s="1"/>
  <c r="AA214" i="1"/>
  <c r="W214" i="1" s="1"/>
  <c r="AA211" i="1"/>
  <c r="W211" i="1" s="1"/>
  <c r="AG209" i="1"/>
  <c r="AG195" i="1"/>
  <c r="W195" i="1" s="1"/>
  <c r="AA191" i="1"/>
  <c r="W191" i="1" s="1"/>
  <c r="AA156" i="1"/>
  <c r="AA140" i="1"/>
  <c r="W140" i="1" s="1"/>
  <c r="AG138" i="1"/>
  <c r="AI138" i="1" s="1"/>
  <c r="X135" i="1"/>
  <c r="AA134" i="1"/>
  <c r="W134" i="1" s="1"/>
  <c r="AA133" i="1"/>
  <c r="AA128" i="1"/>
  <c r="W128" i="1" s="1"/>
  <c r="X124" i="1"/>
  <c r="AG122" i="1"/>
  <c r="AI122" i="1" s="1"/>
  <c r="AA116" i="1"/>
  <c r="AA201" i="1"/>
  <c r="W201" i="1" s="1"/>
  <c r="AG189" i="1"/>
  <c r="AG186" i="1"/>
  <c r="W186" i="1" s="1"/>
  <c r="AA182" i="1"/>
  <c r="AG176" i="1"/>
  <c r="AG168" i="1"/>
  <c r="AI168" i="1" s="1"/>
  <c r="AG89" i="1"/>
  <c r="U89" i="1" s="1"/>
  <c r="S89" i="1" s="1"/>
  <c r="W85" i="1"/>
  <c r="W84" i="1"/>
  <c r="AA78" i="1"/>
  <c r="X76" i="1"/>
  <c r="AG71" i="1"/>
  <c r="U71" i="1" s="1"/>
  <c r="S71" i="1" s="1"/>
  <c r="AA68" i="1"/>
  <c r="W68" i="1" s="1"/>
  <c r="T68" i="1"/>
  <c r="U68" i="1" s="1"/>
  <c r="S68" i="1" s="1"/>
  <c r="AA62" i="1"/>
  <c r="T60" i="1"/>
  <c r="AA56" i="1"/>
  <c r="AA38" i="1"/>
  <c r="W38" i="1" s="1"/>
  <c r="AA36" i="1"/>
  <c r="AG32" i="1"/>
  <c r="AI32" i="1" s="1"/>
  <c r="AI219" i="1"/>
  <c r="X225" i="1"/>
  <c r="AG224" i="1"/>
  <c r="U224" i="1" s="1"/>
  <c r="AG222" i="1"/>
  <c r="AI222" i="1" s="1"/>
  <c r="AA218" i="1"/>
  <c r="AA217" i="1"/>
  <c r="T215" i="1"/>
  <c r="U215" i="1" s="1"/>
  <c r="S215" i="1" s="1"/>
  <c r="X210" i="1"/>
  <c r="AG210" i="1"/>
  <c r="W210" i="1" s="1"/>
  <c r="AG207" i="1"/>
  <c r="X207" i="1"/>
  <c r="T196" i="1"/>
  <c r="X196" i="1"/>
  <c r="AG196" i="1"/>
  <c r="AI152" i="1"/>
  <c r="W113" i="1"/>
  <c r="T222" i="1"/>
  <c r="U222" i="1" s="1"/>
  <c r="S222" i="1" s="1"/>
  <c r="T219" i="1"/>
  <c r="U219" i="1" s="1"/>
  <c r="S219" i="1" s="1"/>
  <c r="T218" i="1"/>
  <c r="T211" i="1"/>
  <c r="U211" i="1" s="1"/>
  <c r="S211" i="1" s="1"/>
  <c r="W209" i="1"/>
  <c r="X200" i="1"/>
  <c r="AG200" i="1"/>
  <c r="T200" i="1"/>
  <c r="W197" i="1"/>
  <c r="T197" i="1"/>
  <c r="U197" i="1" s="1"/>
  <c r="S197" i="1" s="1"/>
  <c r="U193" i="1"/>
  <c r="S193" i="1" s="1"/>
  <c r="AI191" i="1"/>
  <c r="X152" i="1"/>
  <c r="AG144" i="1"/>
  <c r="U144" i="1" s="1"/>
  <c r="S144" i="1" s="1"/>
  <c r="X144" i="1"/>
  <c r="W232" i="1"/>
  <c r="AG230" i="1"/>
  <c r="AA228" i="1"/>
  <c r="W228" i="1" s="1"/>
  <c r="AA227" i="1"/>
  <c r="W227" i="1" s="1"/>
  <c r="AA225" i="1"/>
  <c r="W225" i="1" s="1"/>
  <c r="T225" i="1"/>
  <c r="U225" i="1" s="1"/>
  <c r="S225" i="1" s="1"/>
  <c r="AG218" i="1"/>
  <c r="AG217" i="1"/>
  <c r="U217" i="1" s="1"/>
  <c r="S217" i="1" s="1"/>
  <c r="X215" i="1"/>
  <c r="T213" i="1"/>
  <c r="AG213" i="1"/>
  <c r="T210" i="1"/>
  <c r="AA207" i="1"/>
  <c r="T203" i="1"/>
  <c r="U203" i="1" s="1"/>
  <c r="S203" i="1" s="1"/>
  <c r="X193" i="1"/>
  <c r="T155" i="1"/>
  <c r="X155" i="1"/>
  <c r="AG155" i="1"/>
  <c r="W154" i="1"/>
  <c r="X151" i="1"/>
  <c r="AG151" i="1"/>
  <c r="T151" i="1"/>
  <c r="W148" i="1"/>
  <c r="AI146" i="1"/>
  <c r="X143" i="1"/>
  <c r="AG143" i="1"/>
  <c r="T143" i="1"/>
  <c r="U143" i="1" s="1"/>
  <c r="S143" i="1" s="1"/>
  <c r="W136" i="1"/>
  <c r="W109" i="1"/>
  <c r="X197" i="1"/>
  <c r="X192" i="1"/>
  <c r="AG192" i="1"/>
  <c r="T192" i="1"/>
  <c r="W156" i="1"/>
  <c r="T156" i="1"/>
  <c r="U156" i="1" s="1"/>
  <c r="S156" i="1" s="1"/>
  <c r="T152" i="1"/>
  <c r="U152" i="1" s="1"/>
  <c r="S152" i="1" s="1"/>
  <c r="AI108" i="1"/>
  <c r="AI104" i="1"/>
  <c r="T148" i="1"/>
  <c r="U148" i="1" s="1"/>
  <c r="S148" i="1" s="1"/>
  <c r="W142" i="1"/>
  <c r="T140" i="1"/>
  <c r="U140" i="1" s="1"/>
  <c r="S140" i="1" s="1"/>
  <c r="X136" i="1"/>
  <c r="T132" i="1"/>
  <c r="U132" i="1" s="1"/>
  <c r="S132" i="1" s="1"/>
  <c r="X128" i="1"/>
  <c r="T124" i="1"/>
  <c r="U124" i="1" s="1"/>
  <c r="S124" i="1" s="1"/>
  <c r="X120" i="1"/>
  <c r="AA118" i="1"/>
  <c r="W118" i="1" s="1"/>
  <c r="AA117" i="1"/>
  <c r="X113" i="1"/>
  <c r="AI112" i="1"/>
  <c r="X112" i="1"/>
  <c r="X109" i="1"/>
  <c r="T108" i="1"/>
  <c r="U108" i="1" s="1"/>
  <c r="S108" i="1" s="1"/>
  <c r="X105" i="1"/>
  <c r="T104" i="1"/>
  <c r="U104" i="1" s="1"/>
  <c r="S104" i="1" s="1"/>
  <c r="X201" i="1"/>
  <c r="AA97" i="1"/>
  <c r="X189" i="1"/>
  <c r="AA184" i="1"/>
  <c r="W184" i="1" s="1"/>
  <c r="X182" i="1"/>
  <c r="AG177" i="1"/>
  <c r="W177" i="1" s="1"/>
  <c r="X94" i="1"/>
  <c r="AG173" i="1"/>
  <c r="X173" i="1"/>
  <c r="AG170" i="1"/>
  <c r="U170" i="1" s="1"/>
  <c r="S170" i="1" s="1"/>
  <c r="AA168" i="1"/>
  <c r="W168" i="1" s="1"/>
  <c r="AA167" i="1"/>
  <c r="W167" i="1" s="1"/>
  <c r="AA162" i="1"/>
  <c r="AG161" i="1"/>
  <c r="U161" i="1" s="1"/>
  <c r="S161" i="1" s="1"/>
  <c r="AG158" i="1"/>
  <c r="W158" i="1" s="1"/>
  <c r="AG91" i="1"/>
  <c r="AA89" i="1"/>
  <c r="AA88" i="1"/>
  <c r="W88" i="1" s="1"/>
  <c r="AA83" i="1"/>
  <c r="AI28" i="1"/>
  <c r="AA200" i="1"/>
  <c r="W200" i="1" s="1"/>
  <c r="AA192" i="1"/>
  <c r="AA151" i="1"/>
  <c r="AG147" i="1"/>
  <c r="X147" i="1"/>
  <c r="AA143" i="1"/>
  <c r="AG139" i="1"/>
  <c r="X139" i="1"/>
  <c r="AA135" i="1"/>
  <c r="T135" i="1"/>
  <c r="AG131" i="1"/>
  <c r="X131" i="1"/>
  <c r="AA127" i="1"/>
  <c r="T127" i="1"/>
  <c r="AA119" i="1"/>
  <c r="T119" i="1"/>
  <c r="AA111" i="1"/>
  <c r="W111" i="1" s="1"/>
  <c r="AA108" i="1"/>
  <c r="W108" i="1" s="1"/>
  <c r="AA104" i="1"/>
  <c r="W104" i="1" s="1"/>
  <c r="AA102" i="1"/>
  <c r="U98" i="1"/>
  <c r="S98" i="1" s="1"/>
  <c r="AA188" i="1"/>
  <c r="W188" i="1" s="1"/>
  <c r="U185" i="1"/>
  <c r="AA181" i="1"/>
  <c r="W181" i="1" s="1"/>
  <c r="U174" i="1"/>
  <c r="S174" i="1" s="1"/>
  <c r="AA171" i="1"/>
  <c r="W171" i="1" s="1"/>
  <c r="AG162" i="1"/>
  <c r="AI162" i="1" s="1"/>
  <c r="X162" i="1"/>
  <c r="U159" i="1"/>
  <c r="S159" i="1" s="1"/>
  <c r="AA92" i="1"/>
  <c r="W92" i="1" s="1"/>
  <c r="W87" i="1"/>
  <c r="U85" i="1"/>
  <c r="X46" i="1"/>
  <c r="U43" i="1"/>
  <c r="S43" i="1" s="1"/>
  <c r="AI43" i="1"/>
  <c r="T30" i="1"/>
  <c r="AG30" i="1"/>
  <c r="X31" i="1"/>
  <c r="X21" i="1"/>
  <c r="AG21" i="1"/>
  <c r="AI21" i="1" s="1"/>
  <c r="T21" i="1"/>
  <c r="X22" i="1"/>
  <c r="T136" i="1"/>
  <c r="U136" i="1" s="1"/>
  <c r="S136" i="1" s="1"/>
  <c r="T128" i="1"/>
  <c r="U128" i="1" s="1"/>
  <c r="S128" i="1" s="1"/>
  <c r="T120" i="1"/>
  <c r="U120" i="1" s="1"/>
  <c r="S120" i="1" s="1"/>
  <c r="T113" i="1"/>
  <c r="U113" i="1" s="1"/>
  <c r="S113" i="1" s="1"/>
  <c r="T109" i="1"/>
  <c r="U109" i="1" s="1"/>
  <c r="S109" i="1" s="1"/>
  <c r="T105" i="1"/>
  <c r="U105" i="1" s="1"/>
  <c r="S105" i="1" s="1"/>
  <c r="AA101" i="1"/>
  <c r="AA187" i="1"/>
  <c r="AA180" i="1"/>
  <c r="AA94" i="1"/>
  <c r="W94" i="1" s="1"/>
  <c r="T94" i="1"/>
  <c r="AA175" i="1"/>
  <c r="AA170" i="1"/>
  <c r="AA169" i="1"/>
  <c r="AG166" i="1"/>
  <c r="X166" i="1"/>
  <c r="AA161" i="1"/>
  <c r="AA160" i="1"/>
  <c r="W160" i="1" s="1"/>
  <c r="AA91" i="1"/>
  <c r="AA90" i="1"/>
  <c r="AG86" i="1"/>
  <c r="X86" i="1"/>
  <c r="AI83" i="1"/>
  <c r="T45" i="1"/>
  <c r="AG45" i="1"/>
  <c r="AG26" i="1"/>
  <c r="T26" i="1"/>
  <c r="AA206" i="1"/>
  <c r="W206" i="1" s="1"/>
  <c r="AA196" i="1"/>
  <c r="W196" i="1" s="1"/>
  <c r="AA155" i="1"/>
  <c r="W155" i="1" s="1"/>
  <c r="AA147" i="1"/>
  <c r="AA139" i="1"/>
  <c r="AG135" i="1"/>
  <c r="U135" i="1" s="1"/>
  <c r="S135" i="1" s="1"/>
  <c r="AA131" i="1"/>
  <c r="AG127" i="1"/>
  <c r="AA123" i="1"/>
  <c r="AG119" i="1"/>
  <c r="U201" i="1"/>
  <c r="S201" i="1" s="1"/>
  <c r="U102" i="1"/>
  <c r="S102" i="1" s="1"/>
  <c r="U189" i="1"/>
  <c r="S189" i="1" s="1"/>
  <c r="U188" i="1"/>
  <c r="U181" i="1"/>
  <c r="S181" i="1" s="1"/>
  <c r="AG169" i="1"/>
  <c r="X169" i="1"/>
  <c r="AG90" i="1"/>
  <c r="X90" i="1"/>
  <c r="U87" i="1"/>
  <c r="S87" i="1" s="1"/>
  <c r="AI87" i="1"/>
  <c r="T81" i="1"/>
  <c r="AG81" i="1"/>
  <c r="X82" i="1"/>
  <c r="AA79" i="1"/>
  <c r="AA61" i="1"/>
  <c r="AA59" i="1"/>
  <c r="AG57" i="1"/>
  <c r="AI57" i="1" s="1"/>
  <c r="AA55" i="1"/>
  <c r="AG53" i="1"/>
  <c r="AI53" i="1" s="1"/>
  <c r="AA51" i="1"/>
  <c r="AG47" i="1"/>
  <c r="W47" i="1" s="1"/>
  <c r="AG46" i="1"/>
  <c r="W42" i="1"/>
  <c r="AG39" i="1"/>
  <c r="W35" i="1"/>
  <c r="U31" i="1"/>
  <c r="W25" i="1"/>
  <c r="AA176" i="1"/>
  <c r="AG79" i="1"/>
  <c r="AG77" i="1"/>
  <c r="AI77" i="1" s="1"/>
  <c r="AA75" i="1"/>
  <c r="W75" i="1" s="1"/>
  <c r="AG73" i="1"/>
  <c r="AI73" i="1" s="1"/>
  <c r="AA71" i="1"/>
  <c r="AG69" i="1"/>
  <c r="AI69" i="1" s="1"/>
  <c r="AA67" i="1"/>
  <c r="W67" i="1" s="1"/>
  <c r="AG65" i="1"/>
  <c r="AI65" i="1" s="1"/>
  <c r="AA63" i="1"/>
  <c r="AG61" i="1"/>
  <c r="AI61" i="1" s="1"/>
  <c r="X60" i="1"/>
  <c r="AG59" i="1"/>
  <c r="U59" i="1" s="1"/>
  <c r="S59" i="1" s="1"/>
  <c r="X56" i="1"/>
  <c r="AG55" i="1"/>
  <c r="AI55" i="1" s="1"/>
  <c r="X52" i="1"/>
  <c r="AG51" i="1"/>
  <c r="AI51" i="1" s="1"/>
  <c r="X47" i="1"/>
  <c r="AA44" i="1"/>
  <c r="AG41" i="1"/>
  <c r="U41" i="1" s="1"/>
  <c r="S41" i="1" s="1"/>
  <c r="AA37" i="1"/>
  <c r="AG34" i="1"/>
  <c r="X32" i="1"/>
  <c r="AA30" i="1"/>
  <c r="AA29" i="1"/>
  <c r="AA28" i="1"/>
  <c r="W28" i="1" s="1"/>
  <c r="AG27" i="1"/>
  <c r="AI27" i="1" s="1"/>
  <c r="AG24" i="1"/>
  <c r="U24" i="1" s="1"/>
  <c r="S24" i="1" s="1"/>
  <c r="AA21" i="1"/>
  <c r="AG18" i="1"/>
  <c r="W18" i="1" s="1"/>
  <c r="X18" i="1"/>
  <c r="AA57" i="1"/>
  <c r="W57" i="1" s="1"/>
  <c r="AA53" i="1"/>
  <c r="AA49" i="1"/>
  <c r="W49" i="1" s="1"/>
  <c r="AA33" i="1"/>
  <c r="AA27" i="1"/>
  <c r="AA24" i="1"/>
  <c r="AA23" i="1"/>
  <c r="AA22" i="1"/>
  <c r="AI227" i="1"/>
  <c r="U226" i="1"/>
  <c r="S226" i="1" s="1"/>
  <c r="AI225" i="1"/>
  <c r="AI231" i="1"/>
  <c r="AI223" i="1"/>
  <c r="AI229" i="1"/>
  <c r="U229" i="1"/>
  <c r="S229" i="1" s="1"/>
  <c r="W229" i="1"/>
  <c r="S232" i="1"/>
  <c r="X231" i="1"/>
  <c r="T231" i="1"/>
  <c r="U231" i="1" s="1"/>
  <c r="S231" i="1" s="1"/>
  <c r="AI228" i="1"/>
  <c r="S228" i="1"/>
  <c r="X227" i="1"/>
  <c r="T227" i="1"/>
  <c r="U227" i="1" s="1"/>
  <c r="S227" i="1" s="1"/>
  <c r="AI224" i="1"/>
  <c r="S224" i="1"/>
  <c r="X223" i="1"/>
  <c r="T223" i="1"/>
  <c r="U223" i="1" s="1"/>
  <c r="S223" i="1" s="1"/>
  <c r="AI232" i="1"/>
  <c r="X230" i="1"/>
  <c r="X226" i="1"/>
  <c r="AA221" i="1"/>
  <c r="W221" i="1" s="1"/>
  <c r="T220" i="1"/>
  <c r="X220" i="1"/>
  <c r="AG220" i="1"/>
  <c r="W213" i="1"/>
  <c r="T221" i="1"/>
  <c r="U221" i="1" s="1"/>
  <c r="S221" i="1" s="1"/>
  <c r="X221" i="1"/>
  <c r="AI218" i="1"/>
  <c r="AI217" i="1"/>
  <c r="T216" i="1"/>
  <c r="X216" i="1"/>
  <c r="AG216" i="1"/>
  <c r="W216" i="1" s="1"/>
  <c r="X232" i="1"/>
  <c r="X228" i="1"/>
  <c r="X224" i="1"/>
  <c r="AI213" i="1"/>
  <c r="T212" i="1"/>
  <c r="X212" i="1"/>
  <c r="AG212" i="1"/>
  <c r="W212" i="1" s="1"/>
  <c r="U214" i="1"/>
  <c r="S214" i="1" s="1"/>
  <c r="U206" i="1"/>
  <c r="S206" i="1" s="1"/>
  <c r="U196" i="1"/>
  <c r="S196" i="1" s="1"/>
  <c r="U155" i="1"/>
  <c r="S155" i="1" s="1"/>
  <c r="U151" i="1"/>
  <c r="S151" i="1" s="1"/>
  <c r="U147" i="1"/>
  <c r="S147" i="1" s="1"/>
  <c r="U139" i="1"/>
  <c r="S139" i="1" s="1"/>
  <c r="U131" i="1"/>
  <c r="S131" i="1" s="1"/>
  <c r="U119" i="1"/>
  <c r="S119" i="1" s="1"/>
  <c r="T114" i="1"/>
  <c r="X114" i="1"/>
  <c r="AG114" i="1"/>
  <c r="T111" i="1"/>
  <c r="U111" i="1" s="1"/>
  <c r="S111" i="1" s="1"/>
  <c r="X111" i="1"/>
  <c r="U209" i="1"/>
  <c r="S209" i="1" s="1"/>
  <c r="U205" i="1"/>
  <c r="S205" i="1" s="1"/>
  <c r="U191" i="1"/>
  <c r="S191" i="1" s="1"/>
  <c r="U154" i="1"/>
  <c r="S154" i="1" s="1"/>
  <c r="U150" i="1"/>
  <c r="S150" i="1" s="1"/>
  <c r="U146" i="1"/>
  <c r="S146" i="1" s="1"/>
  <c r="U142" i="1"/>
  <c r="S142" i="1" s="1"/>
  <c r="U138" i="1"/>
  <c r="S138" i="1" s="1"/>
  <c r="U134" i="1"/>
  <c r="S134" i="1" s="1"/>
  <c r="U130" i="1"/>
  <c r="S130" i="1" s="1"/>
  <c r="U126" i="1"/>
  <c r="S126" i="1" s="1"/>
  <c r="AI148" i="1"/>
  <c r="AI132" i="1"/>
  <c r="AI124" i="1"/>
  <c r="X217" i="1"/>
  <c r="AI214" i="1"/>
  <c r="X213" i="1"/>
  <c r="AI210" i="1"/>
  <c r="X209" i="1"/>
  <c r="AG208" i="1"/>
  <c r="AI206" i="1"/>
  <c r="X205" i="1"/>
  <c r="AG204" i="1"/>
  <c r="W204" i="1" s="1"/>
  <c r="X199" i="1"/>
  <c r="AG198" i="1"/>
  <c r="AI198" i="1" s="1"/>
  <c r="X195" i="1"/>
  <c r="AG194" i="1"/>
  <c r="AI194" i="1" s="1"/>
  <c r="X191" i="1"/>
  <c r="X154" i="1"/>
  <c r="AG153" i="1"/>
  <c r="X150" i="1"/>
  <c r="AG149" i="1"/>
  <c r="AI149" i="1" s="1"/>
  <c r="AI182" i="1"/>
  <c r="X146" i="1"/>
  <c r="AG145" i="1"/>
  <c r="AI145" i="1" s="1"/>
  <c r="X142" i="1"/>
  <c r="AG141" i="1"/>
  <c r="AI141" i="1" s="1"/>
  <c r="X138" i="1"/>
  <c r="AG137" i="1"/>
  <c r="W137" i="1" s="1"/>
  <c r="AI171" i="1"/>
  <c r="X134" i="1"/>
  <c r="AG133" i="1"/>
  <c r="AI133" i="1" s="1"/>
  <c r="AI167" i="1"/>
  <c r="X130" i="1"/>
  <c r="AG129" i="1"/>
  <c r="X126" i="1"/>
  <c r="AG125" i="1"/>
  <c r="AI125" i="1" s="1"/>
  <c r="AI159" i="1"/>
  <c r="X122" i="1"/>
  <c r="AG121" i="1"/>
  <c r="W121" i="1" s="1"/>
  <c r="AI156" i="1"/>
  <c r="X118" i="1"/>
  <c r="AG117" i="1"/>
  <c r="AI117" i="1" s="1"/>
  <c r="T115" i="1"/>
  <c r="U115" i="1" s="1"/>
  <c r="S115" i="1" s="1"/>
  <c r="X115" i="1"/>
  <c r="W107" i="1"/>
  <c r="W103" i="1"/>
  <c r="W101" i="1"/>
  <c r="W187" i="1"/>
  <c r="W180" i="1"/>
  <c r="AI209" i="1"/>
  <c r="X208" i="1"/>
  <c r="AI205" i="1"/>
  <c r="X204" i="1"/>
  <c r="AI201" i="1"/>
  <c r="X198" i="1"/>
  <c r="AI197" i="1"/>
  <c r="X194" i="1"/>
  <c r="AI193" i="1"/>
  <c r="AI189" i="1"/>
  <c r="X153" i="1"/>
  <c r="AI185" i="1"/>
  <c r="X149" i="1"/>
  <c r="X145" i="1"/>
  <c r="AI178" i="1"/>
  <c r="X141" i="1"/>
  <c r="AI174" i="1"/>
  <c r="X137" i="1"/>
  <c r="AI170" i="1"/>
  <c r="X133" i="1"/>
  <c r="AI166" i="1"/>
  <c r="X129" i="1"/>
  <c r="X125" i="1"/>
  <c r="X121" i="1"/>
  <c r="AI155" i="1"/>
  <c r="X117" i="1"/>
  <c r="AA112" i="1"/>
  <c r="W112" i="1" s="1"/>
  <c r="U112" i="1"/>
  <c r="S112" i="1" s="1"/>
  <c r="AI144" i="1"/>
  <c r="AI140" i="1"/>
  <c r="AI136" i="1"/>
  <c r="AI128" i="1"/>
  <c r="AI120" i="1"/>
  <c r="AG110" i="1"/>
  <c r="AI110" i="1" s="1"/>
  <c r="X107" i="1"/>
  <c r="T107" i="1"/>
  <c r="U107" i="1" s="1"/>
  <c r="S107" i="1" s="1"/>
  <c r="AG106" i="1"/>
  <c r="AI106" i="1" s="1"/>
  <c r="X103" i="1"/>
  <c r="T103" i="1"/>
  <c r="U103" i="1" s="1"/>
  <c r="S103" i="1" s="1"/>
  <c r="AG202" i="1"/>
  <c r="AI202" i="1" s="1"/>
  <c r="AI137" i="1"/>
  <c r="X101" i="1"/>
  <c r="T101" i="1"/>
  <c r="U101" i="1" s="1"/>
  <c r="S101" i="1" s="1"/>
  <c r="AG100" i="1"/>
  <c r="AI100" i="1" s="1"/>
  <c r="T97" i="1"/>
  <c r="U97" i="1" s="1"/>
  <c r="S97" i="1" s="1"/>
  <c r="AG190" i="1"/>
  <c r="W190" i="1" s="1"/>
  <c r="AI129" i="1"/>
  <c r="S188" i="1"/>
  <c r="X187" i="1"/>
  <c r="T187" i="1"/>
  <c r="U187" i="1" s="1"/>
  <c r="S187" i="1" s="1"/>
  <c r="AG95" i="1"/>
  <c r="AI95" i="1" s="1"/>
  <c r="S185" i="1"/>
  <c r="X184" i="1"/>
  <c r="T184" i="1"/>
  <c r="U184" i="1" s="1"/>
  <c r="S184" i="1" s="1"/>
  <c r="AG183" i="1"/>
  <c r="AI183" i="1" s="1"/>
  <c r="AI121" i="1"/>
  <c r="T180" i="1"/>
  <c r="U180" i="1" s="1"/>
  <c r="S180" i="1" s="1"/>
  <c r="AG179" i="1"/>
  <c r="AI179" i="1" s="1"/>
  <c r="AI115" i="1"/>
  <c r="U94" i="1"/>
  <c r="S94" i="1" s="1"/>
  <c r="AI114" i="1"/>
  <c r="AG175" i="1"/>
  <c r="AI175" i="1" s="1"/>
  <c r="T175" i="1"/>
  <c r="X175" i="1"/>
  <c r="AI107" i="1"/>
  <c r="U169" i="1"/>
  <c r="S169" i="1" s="1"/>
  <c r="U168" i="1"/>
  <c r="S168" i="1" s="1"/>
  <c r="AI103" i="1"/>
  <c r="U166" i="1"/>
  <c r="S166" i="1" s="1"/>
  <c r="U165" i="1"/>
  <c r="S165" i="1" s="1"/>
  <c r="AI94" i="1"/>
  <c r="AI90" i="1"/>
  <c r="U90" i="1"/>
  <c r="S90" i="1" s="1"/>
  <c r="AI86" i="1"/>
  <c r="U86" i="1"/>
  <c r="S86" i="1" s="1"/>
  <c r="X110" i="1"/>
  <c r="X106" i="1"/>
  <c r="X202" i="1"/>
  <c r="X100" i="1"/>
  <c r="X190" i="1"/>
  <c r="X95" i="1"/>
  <c r="X183" i="1"/>
  <c r="T178" i="1"/>
  <c r="U178" i="1" s="1"/>
  <c r="S178" i="1" s="1"/>
  <c r="AA172" i="1"/>
  <c r="W172" i="1" s="1"/>
  <c r="X108" i="1"/>
  <c r="X104" i="1"/>
  <c r="X102" i="1"/>
  <c r="X188" i="1"/>
  <c r="X185" i="1"/>
  <c r="AI111" i="1"/>
  <c r="AI109" i="1"/>
  <c r="AI105" i="1"/>
  <c r="W166" i="1"/>
  <c r="AI101" i="1"/>
  <c r="W162" i="1"/>
  <c r="AI92" i="1"/>
  <c r="W90" i="1"/>
  <c r="AI88" i="1"/>
  <c r="AI84" i="1"/>
  <c r="X171" i="1"/>
  <c r="T171" i="1"/>
  <c r="U171" i="1" s="1"/>
  <c r="S171" i="1" s="1"/>
  <c r="X167" i="1"/>
  <c r="T167" i="1"/>
  <c r="U167" i="1" s="1"/>
  <c r="S167" i="1" s="1"/>
  <c r="X164" i="1"/>
  <c r="T164" i="1"/>
  <c r="U164" i="1" s="1"/>
  <c r="S164" i="1" s="1"/>
  <c r="X160" i="1"/>
  <c r="T160" i="1"/>
  <c r="U160" i="1" s="1"/>
  <c r="S160" i="1" s="1"/>
  <c r="S157" i="1"/>
  <c r="X92" i="1"/>
  <c r="T92" i="1"/>
  <c r="U92" i="1" s="1"/>
  <c r="S92" i="1" s="1"/>
  <c r="X88" i="1"/>
  <c r="T88" i="1"/>
  <c r="U88" i="1" s="1"/>
  <c r="S88" i="1" s="1"/>
  <c r="AI85" i="1"/>
  <c r="S85" i="1"/>
  <c r="X84" i="1"/>
  <c r="T84" i="1"/>
  <c r="U84" i="1" s="1"/>
  <c r="S84" i="1" s="1"/>
  <c r="X80" i="1"/>
  <c r="U60" i="1"/>
  <c r="S60" i="1" s="1"/>
  <c r="AI60" i="1"/>
  <c r="U56" i="1"/>
  <c r="S56" i="1" s="1"/>
  <c r="AI56" i="1"/>
  <c r="U52" i="1"/>
  <c r="S52" i="1" s="1"/>
  <c r="AI52" i="1"/>
  <c r="X177" i="1"/>
  <c r="X174" i="1"/>
  <c r="X170" i="1"/>
  <c r="X93" i="1"/>
  <c r="X163" i="1"/>
  <c r="X159" i="1"/>
  <c r="X91" i="1"/>
  <c r="X87" i="1"/>
  <c r="X83" i="1"/>
  <c r="AA82" i="1"/>
  <c r="T82" i="1"/>
  <c r="T78" i="1"/>
  <c r="X78" i="1"/>
  <c r="AG78" i="1"/>
  <c r="W78" i="1" s="1"/>
  <c r="AI76" i="1"/>
  <c r="AI72" i="1"/>
  <c r="AI68" i="1"/>
  <c r="U64" i="1"/>
  <c r="S64" i="1" s="1"/>
  <c r="AI64" i="1"/>
  <c r="U51" i="1"/>
  <c r="S51" i="1" s="1"/>
  <c r="U75" i="1"/>
  <c r="S75" i="1" s="1"/>
  <c r="U67" i="1"/>
  <c r="S67" i="1" s="1"/>
  <c r="X176" i="1"/>
  <c r="X172" i="1"/>
  <c r="X168" i="1"/>
  <c r="X165" i="1"/>
  <c r="X161" i="1"/>
  <c r="X89" i="1"/>
  <c r="X85" i="1"/>
  <c r="AG82" i="1"/>
  <c r="AI80" i="1"/>
  <c r="W60" i="1"/>
  <c r="W56" i="1"/>
  <c r="X79" i="1"/>
  <c r="X75" i="1"/>
  <c r="AG74" i="1"/>
  <c r="X71" i="1"/>
  <c r="AG70" i="1"/>
  <c r="W70" i="1" s="1"/>
  <c r="X67" i="1"/>
  <c r="AG66" i="1"/>
  <c r="W66" i="1" s="1"/>
  <c r="X63" i="1"/>
  <c r="AG62" i="1"/>
  <c r="X59" i="1"/>
  <c r="AG58" i="1"/>
  <c r="X55" i="1"/>
  <c r="AG54" i="1"/>
  <c r="X51" i="1"/>
  <c r="AG50" i="1"/>
  <c r="T49" i="1"/>
  <c r="U49" i="1" s="1"/>
  <c r="S49" i="1" s="1"/>
  <c r="X49" i="1"/>
  <c r="AA45" i="1"/>
  <c r="W45" i="1" s="1"/>
  <c r="U17" i="1"/>
  <c r="S17" i="1" s="1"/>
  <c r="AI75" i="1"/>
  <c r="X74" i="1"/>
  <c r="X70" i="1"/>
  <c r="AI67" i="1"/>
  <c r="X66" i="1"/>
  <c r="X62" i="1"/>
  <c r="AI59" i="1"/>
  <c r="X58" i="1"/>
  <c r="U57" i="1"/>
  <c r="S57" i="1" s="1"/>
  <c r="X54" i="1"/>
  <c r="U53" i="1"/>
  <c r="S53" i="1" s="1"/>
  <c r="X50" i="1"/>
  <c r="X81" i="1"/>
  <c r="X77" i="1"/>
  <c r="X73" i="1"/>
  <c r="X69" i="1"/>
  <c r="X65" i="1"/>
  <c r="X61" i="1"/>
  <c r="X57" i="1"/>
  <c r="X53" i="1"/>
  <c r="T48" i="1"/>
  <c r="X48" i="1"/>
  <c r="AG48" i="1"/>
  <c r="AI45" i="1"/>
  <c r="U46" i="1"/>
  <c r="S46" i="1" s="1"/>
  <c r="U45" i="1"/>
  <c r="S45" i="1" s="1"/>
  <c r="U34" i="1"/>
  <c r="S34" i="1" s="1"/>
  <c r="U30" i="1"/>
  <c r="S30" i="1" s="1"/>
  <c r="U20" i="1"/>
  <c r="S20" i="1" s="1"/>
  <c r="AG16" i="1"/>
  <c r="AI46" i="1"/>
  <c r="X45" i="1"/>
  <c r="AG44" i="1"/>
  <c r="AI42" i="1"/>
  <c r="X41" i="1"/>
  <c r="AG40" i="1"/>
  <c r="AI38" i="1"/>
  <c r="AG37" i="1"/>
  <c r="AI35" i="1"/>
  <c r="X34" i="1"/>
  <c r="AG33" i="1"/>
  <c r="AI31" i="1"/>
  <c r="S31" i="1"/>
  <c r="X30" i="1"/>
  <c r="AG29" i="1"/>
  <c r="AI25" i="1"/>
  <c r="X24" i="1"/>
  <c r="AG23" i="1"/>
  <c r="X20" i="1"/>
  <c r="AG19" i="1"/>
  <c r="AI17" i="1"/>
  <c r="AG15" i="1"/>
  <c r="X44" i="1"/>
  <c r="AI34" i="1"/>
  <c r="X33" i="1"/>
  <c r="AI30" i="1"/>
  <c r="X23" i="1"/>
  <c r="AI20" i="1"/>
  <c r="X19" i="1"/>
  <c r="AC43" i="3"/>
  <c r="T30" i="3"/>
  <c r="Y41" i="3"/>
  <c r="Y37" i="3"/>
  <c r="Y13" i="3"/>
  <c r="T36" i="3"/>
  <c r="Y35" i="3"/>
  <c r="Y39" i="3"/>
  <c r="Y25" i="3"/>
  <c r="T41" i="3"/>
  <c r="Y7" i="3"/>
  <c r="Y15" i="3"/>
  <c r="T13" i="3"/>
  <c r="Y38" i="3"/>
  <c r="T47" i="3"/>
  <c r="T27" i="3"/>
  <c r="T45" i="3"/>
  <c r="T7" i="3"/>
  <c r="T11" i="3"/>
  <c r="Y46" i="3"/>
  <c r="T40" i="3"/>
  <c r="Y43" i="3"/>
  <c r="Y26" i="3"/>
  <c r="T38" i="3"/>
  <c r="T23" i="3"/>
  <c r="T21" i="3"/>
  <c r="T19" i="3"/>
  <c r="Y42" i="3"/>
  <c r="Y23" i="3"/>
  <c r="Y9" i="3"/>
  <c r="Y21" i="3"/>
  <c r="Y16" i="3"/>
  <c r="Y19" i="3"/>
  <c r="Y34" i="3"/>
  <c r="AC8" i="3"/>
  <c r="AC28" i="3"/>
  <c r="AC33" i="3"/>
  <c r="AC34" i="3"/>
  <c r="AC31" i="3"/>
  <c r="AC24" i="3"/>
  <c r="AC29" i="3"/>
  <c r="AC37" i="3"/>
  <c r="AC14" i="3"/>
  <c r="AC20" i="3"/>
  <c r="M44" i="3"/>
  <c r="N44" i="3"/>
  <c r="R44" i="3"/>
  <c r="S44" i="3"/>
  <c r="U44" i="3"/>
  <c r="T44" i="3" s="1"/>
  <c r="V44" i="3"/>
  <c r="W44" i="3"/>
  <c r="X44" i="3"/>
  <c r="W86" i="1" l="1"/>
  <c r="W150" i="1"/>
  <c r="W97" i="1"/>
  <c r="U200" i="1"/>
  <c r="S200" i="1" s="1"/>
  <c r="W205" i="1"/>
  <c r="AI24" i="1"/>
  <c r="AI41" i="1"/>
  <c r="AI71" i="1"/>
  <c r="W21" i="1"/>
  <c r="W176" i="1"/>
  <c r="W173" i="1"/>
  <c r="U192" i="1"/>
  <c r="S192" i="1" s="1"/>
  <c r="W199" i="1"/>
  <c r="W189" i="1"/>
  <c r="AI163" i="1"/>
  <c r="AI195" i="1"/>
  <c r="U195" i="1"/>
  <c r="S195" i="1" s="1"/>
  <c r="W71" i="1"/>
  <c r="U32" i="1"/>
  <c r="S32" i="1" s="1"/>
  <c r="W163" i="1"/>
  <c r="AI63" i="1"/>
  <c r="U55" i="1"/>
  <c r="S55" i="1" s="1"/>
  <c r="AI93" i="1"/>
  <c r="U61" i="1"/>
  <c r="S61" i="1" s="1"/>
  <c r="U69" i="1"/>
  <c r="S69" i="1" s="1"/>
  <c r="U77" i="1"/>
  <c r="S77" i="1" s="1"/>
  <c r="AI97" i="1"/>
  <c r="U162" i="1"/>
  <c r="S162" i="1" s="1"/>
  <c r="AI186" i="1"/>
  <c r="U122" i="1"/>
  <c r="S122" i="1" s="1"/>
  <c r="U210" i="1"/>
  <c r="S210" i="1" s="1"/>
  <c r="W77" i="1"/>
  <c r="W41" i="1"/>
  <c r="W139" i="1"/>
  <c r="W192" i="1"/>
  <c r="W83" i="1"/>
  <c r="W182" i="1"/>
  <c r="W116" i="1"/>
  <c r="U28" i="1"/>
  <c r="S28" i="1" s="1"/>
  <c r="W58" i="1"/>
  <c r="U173" i="1"/>
  <c r="S173" i="1" s="1"/>
  <c r="U158" i="1"/>
  <c r="S158" i="1" s="1"/>
  <c r="U116" i="1"/>
  <c r="S116" i="1" s="1"/>
  <c r="AI158" i="1"/>
  <c r="W34" i="1"/>
  <c r="W63" i="1"/>
  <c r="W131" i="1"/>
  <c r="W91" i="1"/>
  <c r="U199" i="1"/>
  <c r="S199" i="1" s="1"/>
  <c r="W27" i="1"/>
  <c r="W46" i="1"/>
  <c r="U186" i="1"/>
  <c r="S186" i="1" s="1"/>
  <c r="U36" i="1"/>
  <c r="S36" i="1" s="1"/>
  <c r="W20" i="1"/>
  <c r="W43" i="1"/>
  <c r="W50" i="1"/>
  <c r="U73" i="1"/>
  <c r="S73" i="1" s="1"/>
  <c r="AI89" i="1"/>
  <c r="AI99" i="1"/>
  <c r="W123" i="1"/>
  <c r="W126" i="1"/>
  <c r="W22" i="1"/>
  <c r="W89" i="1"/>
  <c r="U65" i="1"/>
  <c r="S65" i="1" s="1"/>
  <c r="U27" i="1"/>
  <c r="S27" i="1" s="1"/>
  <c r="U22" i="1"/>
  <c r="S22" i="1" s="1"/>
  <c r="W102" i="1"/>
  <c r="W99" i="1"/>
  <c r="U127" i="1"/>
  <c r="S127" i="1" s="1"/>
  <c r="W147" i="1"/>
  <c r="U213" i="1"/>
  <c r="S213" i="1" s="1"/>
  <c r="W122" i="1"/>
  <c r="U35" i="1"/>
  <c r="S35" i="1" s="1"/>
  <c r="W161" i="1"/>
  <c r="W170" i="1"/>
  <c r="W143" i="1"/>
  <c r="W26" i="1"/>
  <c r="W169" i="1"/>
  <c r="W151" i="1"/>
  <c r="W222" i="1"/>
  <c r="W36" i="1"/>
  <c r="W130" i="1"/>
  <c r="U176" i="1"/>
  <c r="S176" i="1" s="1"/>
  <c r="AI176" i="1"/>
  <c r="W138" i="1"/>
  <c r="W53" i="1"/>
  <c r="W30" i="1"/>
  <c r="W224" i="1"/>
  <c r="W207" i="1"/>
  <c r="W144" i="1"/>
  <c r="W32" i="1"/>
  <c r="W185" i="1"/>
  <c r="W146" i="1"/>
  <c r="W69" i="1"/>
  <c r="U21" i="1"/>
  <c r="S21" i="1" s="1"/>
  <c r="U172" i="1"/>
  <c r="S172" i="1" s="1"/>
  <c r="AI172" i="1"/>
  <c r="W153" i="1"/>
  <c r="AI153" i="1"/>
  <c r="W73" i="1"/>
  <c r="U39" i="1"/>
  <c r="S39" i="1" s="1"/>
  <c r="AI39" i="1"/>
  <c r="W51" i="1"/>
  <c r="W59" i="1"/>
  <c r="U26" i="1"/>
  <c r="S26" i="1" s="1"/>
  <c r="AI26" i="1"/>
  <c r="U218" i="1"/>
  <c r="S218" i="1" s="1"/>
  <c r="W217" i="1"/>
  <c r="W61" i="1"/>
  <c r="U81" i="1"/>
  <c r="S81" i="1" s="1"/>
  <c r="AI81" i="1"/>
  <c r="W127" i="1"/>
  <c r="W135" i="1"/>
  <c r="U230" i="1"/>
  <c r="S230" i="1" s="1"/>
  <c r="AI230" i="1"/>
  <c r="W218" i="1"/>
  <c r="W230" i="1"/>
  <c r="W175" i="1"/>
  <c r="AI190" i="1"/>
  <c r="W24" i="1"/>
  <c r="W65" i="1"/>
  <c r="AI79" i="1"/>
  <c r="U79" i="1"/>
  <c r="S79" i="1" s="1"/>
  <c r="W55" i="1"/>
  <c r="W79" i="1"/>
  <c r="W39" i="1"/>
  <c r="U207" i="1"/>
  <c r="S207" i="1" s="1"/>
  <c r="AI207" i="1"/>
  <c r="U18" i="1"/>
  <c r="S18" i="1" s="1"/>
  <c r="AI18" i="1"/>
  <c r="U47" i="1"/>
  <c r="S47" i="1" s="1"/>
  <c r="AI47" i="1"/>
  <c r="W119" i="1"/>
  <c r="U91" i="1"/>
  <c r="S91" i="1" s="1"/>
  <c r="AI91" i="1"/>
  <c r="U177" i="1"/>
  <c r="S177" i="1" s="1"/>
  <c r="W81" i="1"/>
  <c r="AI15" i="1"/>
  <c r="U15" i="1"/>
  <c r="S15" i="1" s="1"/>
  <c r="AI19" i="1"/>
  <c r="U19" i="1"/>
  <c r="S19" i="1" s="1"/>
  <c r="AI23" i="1"/>
  <c r="U23" i="1"/>
  <c r="S23" i="1" s="1"/>
  <c r="AI29" i="1"/>
  <c r="U29" i="1"/>
  <c r="S29" i="1" s="1"/>
  <c r="AI33" i="1"/>
  <c r="U33" i="1"/>
  <c r="S33" i="1" s="1"/>
  <c r="AI37" i="1"/>
  <c r="U37" i="1"/>
  <c r="S37" i="1" s="1"/>
  <c r="AI40" i="1"/>
  <c r="U40" i="1"/>
  <c r="S40" i="1" s="1"/>
  <c r="AI44" i="1"/>
  <c r="U44" i="1"/>
  <c r="S44" i="1" s="1"/>
  <c r="AI16" i="1"/>
  <c r="U16" i="1"/>
  <c r="S16" i="1" s="1"/>
  <c r="W15" i="1"/>
  <c r="AI62" i="1"/>
  <c r="U62" i="1"/>
  <c r="S62" i="1" s="1"/>
  <c r="W23" i="1"/>
  <c r="W40" i="1"/>
  <c r="W16" i="1"/>
  <c r="W82" i="1"/>
  <c r="AI123" i="1"/>
  <c r="U183" i="1"/>
  <c r="S183" i="1" s="1"/>
  <c r="AI139" i="1"/>
  <c r="U202" i="1"/>
  <c r="S202" i="1" s="1"/>
  <c r="U117" i="1"/>
  <c r="S117" i="1" s="1"/>
  <c r="AI154" i="1"/>
  <c r="U133" i="1"/>
  <c r="S133" i="1" s="1"/>
  <c r="AI169" i="1"/>
  <c r="U149" i="1"/>
  <c r="S149" i="1" s="1"/>
  <c r="AI184" i="1"/>
  <c r="U198" i="1"/>
  <c r="S198" i="1" s="1"/>
  <c r="AI200" i="1"/>
  <c r="U114" i="1"/>
  <c r="S114" i="1" s="1"/>
  <c r="AI151" i="1"/>
  <c r="U212" i="1"/>
  <c r="S212" i="1"/>
  <c r="AI212" i="1"/>
  <c r="W117" i="1"/>
  <c r="W133" i="1"/>
  <c r="W149" i="1"/>
  <c r="W198" i="1"/>
  <c r="W37" i="1"/>
  <c r="W19" i="1"/>
  <c r="AI54" i="1"/>
  <c r="U54" i="1"/>
  <c r="S54" i="1" s="1"/>
  <c r="U48" i="1"/>
  <c r="S48" i="1" s="1"/>
  <c r="AI48" i="1"/>
  <c r="W29" i="1"/>
  <c r="W44" i="1"/>
  <c r="AI50" i="1"/>
  <c r="U50" i="1"/>
  <c r="S50" i="1" s="1"/>
  <c r="AI58" i="1"/>
  <c r="U58" i="1"/>
  <c r="S58" i="1" s="1"/>
  <c r="AI66" i="1"/>
  <c r="U66" i="1"/>
  <c r="S66" i="1" s="1"/>
  <c r="AI74" i="1"/>
  <c r="U74" i="1"/>
  <c r="S74" i="1" s="1"/>
  <c r="AI82" i="1"/>
  <c r="U82" i="1"/>
  <c r="S82" i="1" s="1"/>
  <c r="W74" i="1"/>
  <c r="AI127" i="1"/>
  <c r="U95" i="1"/>
  <c r="S95" i="1" s="1"/>
  <c r="AI143" i="1"/>
  <c r="U106" i="1"/>
  <c r="S106" i="1" s="1"/>
  <c r="W106" i="1"/>
  <c r="U129" i="1"/>
  <c r="S129" i="1" s="1"/>
  <c r="AI165" i="1"/>
  <c r="U145" i="1"/>
  <c r="S145" i="1" s="1"/>
  <c r="AI180" i="1"/>
  <c r="U194" i="1"/>
  <c r="S194" i="1" s="1"/>
  <c r="AI196" i="1"/>
  <c r="W183" i="1"/>
  <c r="U220" i="1"/>
  <c r="S220" i="1" s="1"/>
  <c r="AI220" i="1"/>
  <c r="W220" i="1"/>
  <c r="W33" i="1"/>
  <c r="W54" i="1"/>
  <c r="W48" i="1"/>
  <c r="W62" i="1"/>
  <c r="U175" i="1"/>
  <c r="S175" i="1" s="1"/>
  <c r="AI113" i="1"/>
  <c r="AI131" i="1"/>
  <c r="U190" i="1"/>
  <c r="S190" i="1" s="1"/>
  <c r="U110" i="1"/>
  <c r="S110" i="1" s="1"/>
  <c r="AI147" i="1"/>
  <c r="U125" i="1"/>
  <c r="S125" i="1" s="1"/>
  <c r="AI161" i="1"/>
  <c r="U141" i="1"/>
  <c r="S141" i="1" s="1"/>
  <c r="AI177" i="1"/>
  <c r="AI192" i="1"/>
  <c r="U208" i="1"/>
  <c r="S208" i="1" s="1"/>
  <c r="AI208" i="1"/>
  <c r="W114" i="1"/>
  <c r="W129" i="1"/>
  <c r="W145" i="1"/>
  <c r="W194" i="1"/>
  <c r="W125" i="1"/>
  <c r="W141" i="1"/>
  <c r="W208" i="1"/>
  <c r="AI70" i="1"/>
  <c r="U70" i="1"/>
  <c r="S70" i="1" s="1"/>
  <c r="AI78" i="1"/>
  <c r="U78" i="1"/>
  <c r="S78" i="1" s="1"/>
  <c r="AI119" i="1"/>
  <c r="U179" i="1"/>
  <c r="S179" i="1" s="1"/>
  <c r="AI135" i="1"/>
  <c r="U100" i="1"/>
  <c r="S100" i="1" s="1"/>
  <c r="W179" i="1"/>
  <c r="W95" i="1"/>
  <c r="W100" i="1"/>
  <c r="W202" i="1"/>
  <c r="W110" i="1"/>
  <c r="U121" i="1"/>
  <c r="S121" i="1" s="1"/>
  <c r="AI157" i="1"/>
  <c r="U137" i="1"/>
  <c r="S137" i="1" s="1"/>
  <c r="AI173" i="1"/>
  <c r="U153" i="1"/>
  <c r="S153" i="1" s="1"/>
  <c r="AI188" i="1"/>
  <c r="U204" i="1"/>
  <c r="S204" i="1" s="1"/>
  <c r="AI204" i="1"/>
  <c r="U216" i="1"/>
  <c r="S216" i="1" s="1"/>
  <c r="AI216" i="1"/>
  <c r="Y44" i="3"/>
  <c r="AC44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AC13" i="1"/>
  <c r="AB13" i="1"/>
  <c r="Z13" i="1"/>
  <c r="Y13" i="1"/>
  <c r="V13" i="1"/>
  <c r="M13" i="1"/>
  <c r="L13" i="1"/>
  <c r="K13" i="1"/>
  <c r="X14" i="1" l="1"/>
  <c r="F9" i="6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<sst xmlns="http://schemas.openxmlformats.org/spreadsheetml/2006/main" count="2277" uniqueCount="791">
  <si>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</si>
  <si>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</si>
  <si>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</si>
  <si>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</si>
  <si>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</si>
  <si>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</si>
  <si>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</si>
  <si>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</si>
  <si>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</si>
  <si>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</si>
  <si>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</si>
  <si>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</si>
  <si>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</si>
  <si>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</si>
  <si>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</si>
  <si>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</si>
  <si>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</si>
  <si>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</si>
  <si>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</si>
  <si>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</si>
  <si>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</si>
  <si>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</si>
  <si>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</si>
  <si>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</si>
  <si>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</si>
  <si>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</si>
  <si>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</si>
  <si>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</si>
  <si>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</si>
  <si>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</si>
  <si>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</si>
  <si>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</si>
  <si>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</si>
  <si>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</si>
  <si>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</si>
  <si>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</si>
  <si>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</si>
  <si>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</si>
  <si>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</si>
  <si>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</si>
  <si>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</si>
  <si>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</si>
  <si>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</si>
  <si>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</si>
  <si>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</si>
  <si>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</si>
  <si>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</si>
  <si>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</si>
  <si>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</si>
  <si>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</si>
  <si>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</si>
  <si>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</si>
  <si>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</si>
  <si>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</si>
  <si>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</si>
  <si>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</si>
  <si>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</si>
  <si>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</si>
  <si>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</si>
  <si>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</si>
  <si>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</si>
  <si>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</si>
  <si>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</si>
  <si>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</si>
  <si>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</si>
  <si>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</si>
  <si>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</si>
  <si>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</si>
  <si>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</si>
  <si>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</si>
  <si>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</si>
  <si>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</si>
  <si>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</si>
  <si>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</si>
  <si>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</si>
  <si>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</si>
  <si>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</si>
  <si>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</si>
  <si>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</si>
  <si>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</si>
  <si>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</si>
  <si>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</si>
  <si>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</si>
  <si>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</si>
  <si>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</si>
  <si>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</si>
  <si>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</si>
  <si>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</si>
  <si>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</si>
  <si>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</si>
  <si>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</si>
  <si>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</si>
  <si>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</si>
  <si>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</si>
  <si>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</si>
  <si>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</si>
  <si>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</si>
  <si>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</si>
  <si>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</si>
  <si>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</si>
  <si>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</si>
  <si>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</si>
  <si>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</si>
  <si>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</si>
  <si>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</si>
  <si>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</si>
  <si>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</si>
  <si>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</si>
  <si>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</si>
  <si>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</si>
  <si>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</si>
  <si>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</si>
  <si>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</si>
  <si>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</si>
  <si>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</si>
  <si>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</si>
  <si>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</si>
  <si>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</si>
  <si>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</si>
  <si>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</si>
  <si>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</si>
  <si>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</si>
  <si>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</si>
  <si>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</si>
  <si>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</si>
  <si>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</si>
  <si>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</si>
  <si>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</si>
  <si>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</si>
  <si>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</si>
  <si>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</si>
  <si>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</si>
  <si>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</si>
  <si>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</si>
  <si>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</si>
  <si>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</si>
  <si>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</si>
  <si>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</si>
  <si>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</si>
  <si>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</si>
  <si>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</si>
  <si>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</si>
  <si>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</si>
  <si>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</si>
  <si>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</si>
  <si>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</si>
  <si>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</si>
  <si>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</si>
  <si>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</si>
  <si>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</si>
  <si>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</si>
  <si>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</si>
  <si>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</si>
  <si>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</si>
  <si>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</si>
  <si>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</si>
  <si>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</si>
  <si>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</si>
  <si>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</si>
  <si>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</si>
  <si>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</si>
  <si>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</si>
  <si>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</si>
  <si>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</si>
  <si>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</si>
  <si>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</si>
  <si>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</si>
  <si>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</si>
  <si>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</si>
  <si>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</si>
  <si>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</si>
  <si>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</si>
  <si>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</si>
  <si>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</si>
  <si>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</si>
  <si>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</si>
  <si>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</si>
  <si>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</si>
  <si>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</si>
  <si>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</si>
  <si>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</si>
  <si>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</si>
  <si>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</si>
  <si>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</si>
  <si>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</si>
  <si>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</si>
  <si>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</si>
  <si>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</si>
  <si>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</si>
  <si>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</si>
  <si>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</si>
  <si>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</si>
  <si>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</si>
  <si>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</si>
  <si>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</si>
  <si>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</si>
  <si>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</si>
  <si>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</si>
  <si>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</si>
  <si>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</si>
  <si>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</si>
  <si>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</si>
  <si>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</si>
  <si>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</si>
  <si>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</si>
  <si>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</si>
  <si>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</si>
  <si>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</si>
  <si>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</si>
  <si>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</si>
  <si>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</si>
  <si>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</si>
  <si>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</si>
  <si>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</si>
  <si>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</si>
  <si>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</si>
  <si>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</si>
  <si>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</si>
  <si>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</si>
  <si>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</si>
  <si>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</si>
  <si>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</si>
  <si>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</si>
  <si>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</si>
  <si>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</si>
  <si>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</si>
  <si>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</si>
  <si>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</si>
  <si>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</si>
  <si>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</si>
  <si>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</si>
  <si>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</si>
  <si>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</si>
  <si>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</si>
  <si>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</si>
  <si>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</si>
  <si>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Summary for DUS 2016-10-12: Partly cloudy until night.</t>
  </si>
  <si>
    <t>204:232977</t>
  </si>
  <si>
    <t>204:232994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</si>
  <si>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</si>
  <si>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</si>
  <si>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</si>
  <si>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</si>
  <si>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</si>
  <si>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</si>
  <si>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</si>
  <si>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DELGADO</t>
  </si>
  <si>
    <t>204:449</t>
  </si>
  <si>
    <t>204:138</t>
  </si>
  <si>
    <t>rtdc.l.rtdc.4016:itc</t>
  </si>
  <si>
    <t>rtdc.l.rtdc.4015:itc</t>
  </si>
  <si>
    <t>244-18</t>
  </si>
  <si>
    <t>313-18</t>
  </si>
  <si>
    <t>315-18</t>
  </si>
  <si>
    <t>204:462</t>
  </si>
  <si>
    <t>YOUNG</t>
  </si>
  <si>
    <t>204:232993</t>
  </si>
  <si>
    <t>rtdc.l.rtdc.4037:itc</t>
  </si>
  <si>
    <t>204:233291</t>
  </si>
  <si>
    <t>204:232985</t>
  </si>
  <si>
    <t>204:233307</t>
  </si>
  <si>
    <t>rtdc.l.rtdc.4011:itc</t>
  </si>
  <si>
    <t>204:457</t>
  </si>
  <si>
    <t>204:167</t>
  </si>
  <si>
    <t>rtdc.l.rtdc.4021:itc</t>
  </si>
  <si>
    <t>204:232998</t>
  </si>
  <si>
    <t>rtdc.l.rtdc.4002:itc</t>
  </si>
  <si>
    <t>rtdc.l.rtdc.4001:itc</t>
  </si>
  <si>
    <t>204:233319</t>
  </si>
  <si>
    <t>204:161</t>
  </si>
  <si>
    <t>204:233317</t>
  </si>
  <si>
    <t>204:233308</t>
  </si>
  <si>
    <t>204:464</t>
  </si>
  <si>
    <t>204:233301</t>
  </si>
  <si>
    <t>204:232969</t>
  </si>
  <si>
    <t>204:232981</t>
  </si>
  <si>
    <t>204:232978</t>
  </si>
  <si>
    <t>204:233305</t>
  </si>
  <si>
    <t>204:232988</t>
  </si>
  <si>
    <t>204:165</t>
  </si>
  <si>
    <t>204:232963</t>
  </si>
  <si>
    <t>204:233314</t>
  </si>
  <si>
    <t>204:440</t>
  </si>
  <si>
    <t>204:233334</t>
  </si>
  <si>
    <t>DE.1.0.8.0</t>
  </si>
  <si>
    <t>rtdc.l.rtdc.4040:itc</t>
  </si>
  <si>
    <t>MAELZER</t>
  </si>
  <si>
    <t>STRICKLAND</t>
  </si>
  <si>
    <t>rtdc.l.rtdc.4038:itc</t>
  </si>
  <si>
    <t>MOSES</t>
  </si>
  <si>
    <t>204:232979</t>
  </si>
  <si>
    <t>204:232983</t>
  </si>
  <si>
    <t>204:139</t>
  </si>
  <si>
    <t>204:233287</t>
  </si>
  <si>
    <t>204:480</t>
  </si>
  <si>
    <t>204:435</t>
  </si>
  <si>
    <t>204:233288</t>
  </si>
  <si>
    <t>204:458</t>
  </si>
  <si>
    <t>204:233270</t>
  </si>
  <si>
    <t>300:58621</t>
  </si>
  <si>
    <t>rtdc.l.rtdc.4005:itc</t>
  </si>
  <si>
    <t>rtdc.l.rtdc.4013:itc</t>
  </si>
  <si>
    <t>rtdc.l.rtdc.4014:itc</t>
  </si>
  <si>
    <t>MALAVE</t>
  </si>
  <si>
    <t>rtdc.l.rtdc.4022:itc</t>
  </si>
  <si>
    <t>rtdc.l.rtdc.4027:itc</t>
  </si>
  <si>
    <t>SHOOK</t>
  </si>
  <si>
    <t>SMITH</t>
  </si>
  <si>
    <t>66-27</t>
  </si>
  <si>
    <t>67-27</t>
  </si>
  <si>
    <t>309-27</t>
  </si>
  <si>
    <t>311-27</t>
  </si>
  <si>
    <t>244-27</t>
  </si>
  <si>
    <t>313-27</t>
  </si>
  <si>
    <t>315-27</t>
  </si>
  <si>
    <t>partly-cloudy-night</t>
  </si>
  <si>
    <t>Partly Cloudy</t>
  </si>
  <si>
    <t>partly-cloudy-day</t>
  </si>
  <si>
    <t>Mostly Cloudy</t>
  </si>
  <si>
    <t>204:233283</t>
  </si>
  <si>
    <t>204:233280</t>
  </si>
  <si>
    <t>204:136</t>
  </si>
  <si>
    <t>204:438</t>
  </si>
  <si>
    <t>204:134</t>
  </si>
  <si>
    <t>204:233289</t>
  </si>
  <si>
    <t>204:437</t>
  </si>
  <si>
    <t>204:233010</t>
  </si>
  <si>
    <t>204:473</t>
  </si>
  <si>
    <t>204:233040</t>
  </si>
  <si>
    <t>204:482</t>
  </si>
  <si>
    <t>204:232975</t>
  </si>
  <si>
    <t>204:233278</t>
  </si>
  <si>
    <t>204:444</t>
  </si>
  <si>
    <t>300:23301</t>
  </si>
  <si>
    <t>300:58613</t>
  </si>
  <si>
    <t>204:673</t>
  </si>
  <si>
    <t>204:1018</t>
  </si>
  <si>
    <t>300:58926</t>
  </si>
  <si>
    <t>300:58922</t>
  </si>
  <si>
    <t>204:153</t>
  </si>
  <si>
    <t>rtdc.l.rtdc.4026:itc</t>
  </si>
  <si>
    <t>rtdc.l.rtdc.4006:itc</t>
  </si>
  <si>
    <t>rtdc.l.rtdc.4054:itc</t>
  </si>
  <si>
    <t>rtdc.l.rtdc.4053:itc</t>
  </si>
  <si>
    <t>rtdc.l.rtdc.4012:itc</t>
  </si>
  <si>
    <t>DAVIS</t>
  </si>
  <si>
    <t>rtdc.l.rtdc.4025:itc</t>
  </si>
  <si>
    <t>CLARK</t>
  </si>
  <si>
    <t>NEWELL</t>
  </si>
  <si>
    <t>PUGH</t>
  </si>
  <si>
    <t>BRANDNER</t>
  </si>
  <si>
    <t>CHANDLER</t>
  </si>
  <si>
    <t>204:232973</t>
  </si>
  <si>
    <t>204:741</t>
  </si>
  <si>
    <t>204:233286</t>
  </si>
  <si>
    <t>204:130</t>
  </si>
  <si>
    <t>204:739</t>
  </si>
  <si>
    <t>204:233285</t>
  </si>
  <si>
    <t>204:233303</t>
  </si>
  <si>
    <t>204:232972</t>
  </si>
  <si>
    <t>204:233004</t>
  </si>
  <si>
    <t>204:232957</t>
  </si>
  <si>
    <t>204:160</t>
  </si>
  <si>
    <t>204:232984</t>
  </si>
  <si>
    <t>204:129</t>
  </si>
  <si>
    <t>204:486</t>
  </si>
  <si>
    <t>204:158</t>
  </si>
  <si>
    <t>204:475</t>
  </si>
  <si>
    <t>204:233311</t>
  </si>
  <si>
    <t>204:127</t>
  </si>
  <si>
    <t>204:233009</t>
  </si>
  <si>
    <t>204:232989</t>
  </si>
  <si>
    <t>204:233320</t>
  </si>
  <si>
    <t>204:232976</t>
  </si>
  <si>
    <t>300:23321</t>
  </si>
  <si>
    <t>300:23306</t>
  </si>
  <si>
    <t>204:522</t>
  </si>
  <si>
    <t>204:713</t>
  </si>
  <si>
    <t>204:771</t>
  </si>
  <si>
    <t>300:58928</t>
  </si>
  <si>
    <t>204:1048</t>
  </si>
  <si>
    <t>300:58933</t>
  </si>
  <si>
    <t>300:58615</t>
  </si>
  <si>
    <t>300:58929</t>
  </si>
  <si>
    <t>300:58606</t>
  </si>
  <si>
    <t>204:731</t>
  </si>
  <si>
    <t>204:754</t>
  </si>
  <si>
    <t>204:745</t>
  </si>
  <si>
    <t>300:58931</t>
  </si>
  <si>
    <t>300:58604</t>
  </si>
  <si>
    <t>300:58611</t>
  </si>
  <si>
    <t>304-30</t>
  </si>
  <si>
    <t>105-30</t>
  </si>
  <si>
    <t>1802-30</t>
  </si>
  <si>
    <t>114-30</t>
  </si>
  <si>
    <t>122-30</t>
  </si>
  <si>
    <t>129-30</t>
  </si>
  <si>
    <t>137-30</t>
  </si>
  <si>
    <t>132-30</t>
  </si>
  <si>
    <t>138-30</t>
  </si>
  <si>
    <t>1808-30</t>
  </si>
  <si>
    <t>151-30</t>
  </si>
  <si>
    <t>rtdc.l.rtdc.4045:itc</t>
  </si>
  <si>
    <t>142-30</t>
  </si>
  <si>
    <t>149-30</t>
  </si>
  <si>
    <t>153-30</t>
  </si>
  <si>
    <t>154-30</t>
  </si>
  <si>
    <t>158-30</t>
  </si>
  <si>
    <t>rtdc.l.rtdc.4046:itc</t>
  </si>
  <si>
    <t>169-30</t>
  </si>
  <si>
    <t>166-30</t>
  </si>
  <si>
    <t>52-30</t>
  </si>
  <si>
    <t>55-30</t>
  </si>
  <si>
    <t>183-30</t>
  </si>
  <si>
    <t>178-30</t>
  </si>
  <si>
    <t>1818-30</t>
  </si>
  <si>
    <t>189-30</t>
  </si>
  <si>
    <t>1819-30</t>
  </si>
  <si>
    <t>188-30</t>
  </si>
  <si>
    <t>196-30</t>
  </si>
  <si>
    <t>203-30</t>
  </si>
  <si>
    <t>76-30</t>
  </si>
  <si>
    <t>206-30</t>
  </si>
  <si>
    <t>80-30</t>
  </si>
  <si>
    <t>220-30</t>
  </si>
  <si>
    <t>1830-30</t>
  </si>
  <si>
    <t>82-30</t>
  </si>
  <si>
    <t>242-30</t>
  </si>
  <si>
    <t>245-29</t>
  </si>
  <si>
    <t>242-29</t>
  </si>
  <si>
    <t>51-29</t>
  </si>
  <si>
    <t>309-29</t>
  </si>
  <si>
    <t>244-29</t>
  </si>
  <si>
    <t>50-29</t>
  </si>
  <si>
    <t>246-29</t>
  </si>
  <si>
    <t>313-29</t>
  </si>
  <si>
    <t>315-29</t>
  </si>
  <si>
    <t>302-30</t>
  </si>
  <si>
    <t>KILLION</t>
  </si>
  <si>
    <t>ACKERMAN</t>
  </si>
  <si>
    <t>103-30</t>
  </si>
  <si>
    <t>306-30</t>
  </si>
  <si>
    <t>102-30</t>
  </si>
  <si>
    <t>308-30</t>
  </si>
  <si>
    <t>310-30</t>
  </si>
  <si>
    <t>107-30</t>
  </si>
  <si>
    <t>104-30</t>
  </si>
  <si>
    <t>111-30</t>
  </si>
  <si>
    <t>DE LA ROSA</t>
  </si>
  <si>
    <t>109-30</t>
  </si>
  <si>
    <t>113-30</t>
  </si>
  <si>
    <t>106-30</t>
  </si>
  <si>
    <t>108-30</t>
  </si>
  <si>
    <t>1901-30</t>
  </si>
  <si>
    <t>STARKS</t>
  </si>
  <si>
    <t>115-30</t>
  </si>
  <si>
    <t>ROCHA</t>
  </si>
  <si>
    <t>117-30</t>
  </si>
  <si>
    <t>110-30</t>
  </si>
  <si>
    <t>1800-30</t>
  </si>
  <si>
    <t>112-30</t>
  </si>
  <si>
    <t>119-30</t>
  </si>
  <si>
    <t>1801-30</t>
  </si>
  <si>
    <t>121-30</t>
  </si>
  <si>
    <t>116-30</t>
  </si>
  <si>
    <t>123-30</t>
  </si>
  <si>
    <t>118-30</t>
  </si>
  <si>
    <t>125-30</t>
  </si>
  <si>
    <t>120-30</t>
  </si>
  <si>
    <t>127-30</t>
  </si>
  <si>
    <t>1803-30</t>
  </si>
  <si>
    <t>124-30</t>
  </si>
  <si>
    <t>131-30</t>
  </si>
  <si>
    <t>126-30</t>
  </si>
  <si>
    <t>1804-30</t>
  </si>
  <si>
    <t>133-30</t>
  </si>
  <si>
    <t>128-30</t>
  </si>
  <si>
    <t>135-30</t>
  </si>
  <si>
    <t>130-30</t>
  </si>
  <si>
    <t>1805-30</t>
  </si>
  <si>
    <t>139-30</t>
  </si>
  <si>
    <t>134-30</t>
  </si>
  <si>
    <t>1806-30</t>
  </si>
  <si>
    <t>141-30</t>
  </si>
  <si>
    <t>136-30</t>
  </si>
  <si>
    <t>143-30</t>
  </si>
  <si>
    <t>145-30</t>
  </si>
  <si>
    <t>140-30</t>
  </si>
  <si>
    <t>1807-30</t>
  </si>
  <si>
    <t>147-30</t>
  </si>
  <si>
    <t>144-30</t>
  </si>
  <si>
    <t>146-30</t>
  </si>
  <si>
    <t>1809-30</t>
  </si>
  <si>
    <t>148-30</t>
  </si>
  <si>
    <t>155-30</t>
  </si>
  <si>
    <t>150-30</t>
  </si>
  <si>
    <t>1810-30</t>
  </si>
  <si>
    <t>157-30</t>
  </si>
  <si>
    <t>159-30</t>
  </si>
  <si>
    <t>STEWART</t>
  </si>
  <si>
    <t>152-30</t>
  </si>
  <si>
    <t>161-30</t>
  </si>
  <si>
    <t>BARTLETT</t>
  </si>
  <si>
    <t>1811-30</t>
  </si>
  <si>
    <t>156-30</t>
  </si>
  <si>
    <t>163-30</t>
  </si>
  <si>
    <t>BRUDER</t>
  </si>
  <si>
    <t>1812-30</t>
  </si>
  <si>
    <t>165-30</t>
  </si>
  <si>
    <t>160-30</t>
  </si>
  <si>
    <t>162-30</t>
  </si>
  <si>
    <t>167-30</t>
  </si>
  <si>
    <t>50-30</t>
  </si>
  <si>
    <t>1813-30</t>
  </si>
  <si>
    <t>164-30</t>
  </si>
  <si>
    <t>171-30</t>
  </si>
  <si>
    <t>51-30</t>
  </si>
  <si>
    <t>1814-30</t>
  </si>
  <si>
    <t>173-30</t>
  </si>
  <si>
    <t>168-30</t>
  </si>
  <si>
    <t>175-30</t>
  </si>
  <si>
    <t>170-30</t>
  </si>
  <si>
    <t>177-30</t>
  </si>
  <si>
    <t>1815-30</t>
  </si>
  <si>
    <t>172-30</t>
  </si>
  <si>
    <t>179-30</t>
  </si>
  <si>
    <t>174-30</t>
  </si>
  <si>
    <t>1816-30</t>
  </si>
  <si>
    <t>176-30</t>
  </si>
  <si>
    <t>181-30</t>
  </si>
  <si>
    <t>JACKSON</t>
  </si>
  <si>
    <t>ISHMAEL</t>
  </si>
  <si>
    <t>185-30</t>
  </si>
  <si>
    <t>53-30</t>
  </si>
  <si>
    <t>1817-30</t>
  </si>
  <si>
    <t>180-30</t>
  </si>
  <si>
    <t>187-30</t>
  </si>
  <si>
    <t>195-30</t>
  </si>
  <si>
    <t>182-30</t>
  </si>
  <si>
    <t>191-30</t>
  </si>
  <si>
    <t>54-30</t>
  </si>
  <si>
    <t>186-30</t>
  </si>
  <si>
    <t>193-30</t>
  </si>
  <si>
    <t>197-30</t>
  </si>
  <si>
    <t>190-30</t>
  </si>
  <si>
    <t>1820-30</t>
  </si>
  <si>
    <t>192-30</t>
  </si>
  <si>
    <t>199-30</t>
  </si>
  <si>
    <t>201-30</t>
  </si>
  <si>
    <t>194-30</t>
  </si>
  <si>
    <t>1821-30</t>
  </si>
  <si>
    <t>70-30</t>
  </si>
  <si>
    <t>198-30</t>
  </si>
  <si>
    <t>205-30</t>
  </si>
  <si>
    <t>71-30</t>
  </si>
  <si>
    <t>1822-30</t>
  </si>
  <si>
    <t>200-30</t>
  </si>
  <si>
    <t>207-30</t>
  </si>
  <si>
    <t>202-30</t>
  </si>
  <si>
    <t>1823-30</t>
  </si>
  <si>
    <t>204-30</t>
  </si>
  <si>
    <t>209-30</t>
  </si>
  <si>
    <t>74-30</t>
  </si>
  <si>
    <t>211-30</t>
  </si>
  <si>
    <t>1824-30</t>
  </si>
  <si>
    <t>213-30</t>
  </si>
  <si>
    <t>CRAYTON</t>
  </si>
  <si>
    <t>208-30</t>
  </si>
  <si>
    <t>215-30</t>
  </si>
  <si>
    <t>210-30</t>
  </si>
  <si>
    <t>1825-30</t>
  </si>
  <si>
    <t>217-30</t>
  </si>
  <si>
    <t>212-30</t>
  </si>
  <si>
    <t>214-30</t>
  </si>
  <si>
    <t>219-30</t>
  </si>
  <si>
    <t>1826-30</t>
  </si>
  <si>
    <t>77-30</t>
  </si>
  <si>
    <t>81-30</t>
  </si>
  <si>
    <t>HAITHCOX</t>
  </si>
  <si>
    <t>216-30</t>
  </si>
  <si>
    <t>221-30</t>
  </si>
  <si>
    <t>218-30</t>
  </si>
  <si>
    <t>1827-30</t>
  </si>
  <si>
    <t>83-30</t>
  </si>
  <si>
    <t>MAHAN</t>
  </si>
  <si>
    <t>223-30</t>
  </si>
  <si>
    <t>1828-30</t>
  </si>
  <si>
    <t>85-30</t>
  </si>
  <si>
    <t>222-30</t>
  </si>
  <si>
    <t>225-30</t>
  </si>
  <si>
    <t>1829-30</t>
  </si>
  <si>
    <t>224-30</t>
  </si>
  <si>
    <t>rtdc.l.rtdc.4003:itc</t>
  </si>
  <si>
    <t>79-30</t>
  </si>
  <si>
    <t>87-30</t>
  </si>
  <si>
    <t>227-30</t>
  </si>
  <si>
    <t>84-30</t>
  </si>
  <si>
    <t>226-30</t>
  </si>
  <si>
    <t>229-30</t>
  </si>
  <si>
    <t>1831-30</t>
  </si>
  <si>
    <t>231-30</t>
  </si>
  <si>
    <t>228-30</t>
  </si>
  <si>
    <t>91-30</t>
  </si>
  <si>
    <t>233-30</t>
  </si>
  <si>
    <t>1832-30</t>
  </si>
  <si>
    <t>230-30</t>
  </si>
  <si>
    <t>1833-30</t>
  </si>
  <si>
    <t>235-30</t>
  </si>
  <si>
    <t>232-30</t>
  </si>
  <si>
    <t>1902-30</t>
  </si>
  <si>
    <t>234-30</t>
  </si>
  <si>
    <t>57-30</t>
  </si>
  <si>
    <t>GOLIGHTLY</t>
  </si>
  <si>
    <t>237-30</t>
  </si>
  <si>
    <t>239-30</t>
  </si>
  <si>
    <t>236-30</t>
  </si>
  <si>
    <t>56-30</t>
  </si>
  <si>
    <t>238-30</t>
  </si>
  <si>
    <t>241-30</t>
  </si>
  <si>
    <t>240-30</t>
  </si>
  <si>
    <t>243-30</t>
  </si>
  <si>
    <t>309-30</t>
  </si>
  <si>
    <t>311-30</t>
  </si>
  <si>
    <t>244-30</t>
  </si>
  <si>
    <t>313-30</t>
  </si>
  <si>
    <t>315-30</t>
  </si>
  <si>
    <t>clear-night</t>
  </si>
  <si>
    <t>Clear</t>
  </si>
  <si>
    <t>204:232641</t>
  </si>
  <si>
    <t>204:232664</t>
  </si>
  <si>
    <t>204:232685</t>
  </si>
  <si>
    <t>204:123</t>
  </si>
  <si>
    <t>204:233257</t>
  </si>
  <si>
    <t>204:232950</t>
  </si>
  <si>
    <t>204:18765</t>
  </si>
  <si>
    <t>204:1165</t>
  </si>
  <si>
    <t>204:233253</t>
  </si>
  <si>
    <t>204:127810</t>
  </si>
  <si>
    <t>204:232968</t>
  </si>
  <si>
    <t>204:763</t>
  </si>
  <si>
    <t>204:232996</t>
  </si>
  <si>
    <t>204:801</t>
  </si>
  <si>
    <t>204:1496</t>
  </si>
  <si>
    <t>204:172</t>
  </si>
  <si>
    <t>204:759</t>
  </si>
  <si>
    <t>204:232980</t>
  </si>
  <si>
    <t>204:2092</t>
  </si>
  <si>
    <t>204:233284</t>
  </si>
  <si>
    <t>204:232959</t>
  </si>
  <si>
    <t>204:442</t>
  </si>
  <si>
    <t>204:232962</t>
  </si>
  <si>
    <t>204:431</t>
  </si>
  <si>
    <t>204:232966</t>
  </si>
  <si>
    <t>204:126907</t>
  </si>
  <si>
    <t>204:232967</t>
  </si>
  <si>
    <t>204:247</t>
  </si>
  <si>
    <t>204:233306</t>
  </si>
  <si>
    <t>204:232991</t>
  </si>
  <si>
    <t>204:327</t>
  </si>
  <si>
    <t>204:233316</t>
  </si>
  <si>
    <t>204:539</t>
  </si>
  <si>
    <t>204:233346</t>
  </si>
  <si>
    <t>204:1181</t>
  </si>
  <si>
    <t>300:51959</t>
  </si>
  <si>
    <t>204:999</t>
  </si>
  <si>
    <t>204:752</t>
  </si>
  <si>
    <t>300:58617</t>
  </si>
  <si>
    <t>204:1023</t>
  </si>
  <si>
    <t>204:719</t>
  </si>
  <si>
    <t>204:1013</t>
  </si>
  <si>
    <t>300:58626</t>
  </si>
  <si>
    <t>204:619</t>
  </si>
  <si>
    <t>204:233326</t>
  </si>
  <si>
    <t>300:58608</t>
  </si>
  <si>
    <t>204:715</t>
  </si>
  <si>
    <t>204:1006</t>
  </si>
  <si>
    <t>204:1021</t>
  </si>
  <si>
    <t>300:58941</t>
  </si>
  <si>
    <t>300:58619</t>
  </si>
  <si>
    <t>204:724</t>
  </si>
  <si>
    <t>300:58946</t>
  </si>
  <si>
    <t>204:233003</t>
  </si>
  <si>
    <t>204:169</t>
  </si>
  <si>
    <t>204:733</t>
  </si>
  <si>
    <t>204:1028</t>
  </si>
  <si>
    <t>300:58935</t>
  </si>
  <si>
    <t>300:58623</t>
  </si>
  <si>
    <t>300:58634</t>
  </si>
  <si>
    <t>204:1046</t>
  </si>
  <si>
    <t>300:58939</t>
  </si>
  <si>
    <t>204:717</t>
  </si>
  <si>
    <t>204:1009</t>
  </si>
  <si>
    <t>204:233145</t>
  </si>
  <si>
    <t>204:1069</t>
  </si>
  <si>
    <t>204:329</t>
  </si>
  <si>
    <t>204:233345</t>
  </si>
  <si>
    <t>204:233063</t>
  </si>
  <si>
    <t>204:233132</t>
  </si>
  <si>
    <t>204:232828</t>
  </si>
  <si>
    <t>204:233341</t>
  </si>
  <si>
    <t>300:29714</t>
  </si>
  <si>
    <t>300:58628</t>
  </si>
  <si>
    <t>300:21490</t>
  </si>
  <si>
    <t>204:232823</t>
  </si>
  <si>
    <t>204:220</t>
  </si>
  <si>
    <t>204:233380</t>
  </si>
  <si>
    <t>204:233032</t>
  </si>
  <si>
    <t>204:233117</t>
  </si>
  <si>
    <t>204:232796</t>
  </si>
  <si>
    <t>204:233372</t>
  </si>
  <si>
    <t>204:233066</t>
  </si>
  <si>
    <t>204:232992</t>
  </si>
  <si>
    <t>204:174</t>
  </si>
  <si>
    <t>204:233353</t>
  </si>
  <si>
    <t>204:233332</t>
  </si>
  <si>
    <t>204:233276</t>
  </si>
  <si>
    <t>204:232965</t>
  </si>
  <si>
    <t>204:500</t>
  </si>
  <si>
    <t>204:233328</t>
  </si>
  <si>
    <t>204:232955</t>
  </si>
  <si>
    <t>300:23042</t>
  </si>
  <si>
    <t>300:22359</t>
  </si>
  <si>
    <t>204:68</t>
  </si>
  <si>
    <t>300:23222</t>
  </si>
  <si>
    <t>300:22839</t>
  </si>
  <si>
    <t>300:23372</t>
  </si>
  <si>
    <t>300:23302</t>
  </si>
  <si>
    <t>300:23007</t>
  </si>
  <si>
    <t>300:23032</t>
  </si>
  <si>
    <t>300:22270</t>
  </si>
  <si>
    <t>300:22212</t>
  </si>
  <si>
    <t>204:878</t>
  </si>
  <si>
    <t>204:1038</t>
  </si>
  <si>
    <t>300:31328</t>
  </si>
  <si>
    <t>300:24730</t>
  </si>
  <si>
    <t>300:23192</t>
  </si>
  <si>
    <t>300:24231</t>
  </si>
  <si>
    <t>300:23278</t>
  </si>
  <si>
    <t>204:1827</t>
  </si>
  <si>
    <t>204:2098</t>
  </si>
  <si>
    <t>204:128084</t>
  </si>
  <si>
    <t>204:835</t>
  </si>
  <si>
    <t>204:128090</t>
  </si>
  <si>
    <t>204:10285</t>
  </si>
  <si>
    <t>204:10525</t>
  </si>
  <si>
    <t>204:128349</t>
  </si>
  <si>
    <t>204:1108</t>
  </si>
  <si>
    <t>204:128346</t>
  </si>
  <si>
    <t>204:233166</t>
  </si>
  <si>
    <t>204:193354</t>
  </si>
  <si>
    <t>204:233168</t>
  </si>
  <si>
    <t>204:193657</t>
  </si>
  <si>
    <t>204:194774</t>
  </si>
  <si>
    <t>204:1467</t>
  </si>
  <si>
    <t>300:24233</t>
  </si>
  <si>
    <t>204:233097</t>
  </si>
  <si>
    <t>204:1097</t>
  </si>
  <si>
    <t>300:23040</t>
  </si>
  <si>
    <t>204:1147</t>
  </si>
  <si>
    <t>300:24559</t>
  </si>
  <si>
    <t>300:24048</t>
  </si>
  <si>
    <t>204:1138</t>
  </si>
  <si>
    <t>300:23297</t>
  </si>
  <si>
    <t>300:23274</t>
  </si>
  <si>
    <t>300:5238</t>
  </si>
  <si>
    <t>204:875</t>
  </si>
  <si>
    <t>204:478</t>
  </si>
  <si>
    <t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t>
  </si>
  <si>
    <t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t>
  </si>
  <si>
    <t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t>
  </si>
  <si>
    <t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t>
  </si>
  <si>
    <t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t>
  </si>
  <si>
    <t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t>
  </si>
  <si>
    <t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t>
  </si>
  <si>
    <t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t>
  </si>
  <si>
    <t>At 04:40:48, wheel tach fault encountered and caused location to go unknown</t>
  </si>
  <si>
    <t>Onboard in-route failure - primary slice kept flipping</t>
  </si>
  <si>
    <t>Starting 06:10:03, primary slice kept flipping resulting in the overall system state staying at disengaged, preventing a succesful PTC run</t>
  </si>
  <si>
    <t>Wheel tach fault - slip detected</t>
  </si>
  <si>
    <t>184-30</t>
  </si>
  <si>
    <t>Did not init</t>
  </si>
  <si>
    <t>Police held train at station</t>
  </si>
  <si>
    <t>101-30</t>
  </si>
  <si>
    <t>Went active past Westminster 2S, could have proceeded @ restricted to next signal instead of cutting out</t>
  </si>
  <si>
    <t>Onboard in-route failure delayed departure</t>
  </si>
  <si>
    <t>multiple cpu faults at 2016-10-30 22:20:49 UTC</t>
  </si>
  <si>
    <t>40th 4S STOP, cleared afterward</t>
  </si>
  <si>
    <t>Overspeed - went active past Westminster 2S</t>
  </si>
  <si>
    <t>Overspeed - wheel tach slip caused disengaged</t>
  </si>
  <si>
    <t>Early arrival - hard acceleration @ MP 5.7729 (CP QUEBEC)</t>
  </si>
  <si>
    <t>Early arrival - by 1 second, accelerated just a bit too hard? Left station a bit too soon (was there for 32 sec)?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</si>
</sst>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2">
        <dxf>
          <fill>
            <patternFill>
              <bgColor theme="5" tint="0.79998168889431442"/>
            </patternFill>
          </fill>
        </dxf>
        <dxf>
          <fill>
            <patternFill>
              <bgColor theme="5" tint="0.79998168889431442"/>
            </patternFill>
          </fill>
        </dxf>
      </x15:dxf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4"/>
  <sheetViews>
    <sheetView topLeftCell="A13" zoomScaleNormal="100" workbookViewId="0">
      <selection activeCell="R27" sqref="R2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42673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COUNTIFS($N$13:$N$9407,"&gt;0",$AG$13:$AG$9407,I1)</f>
        <v>141</v>
      </c>
      <c r="K5" s="44"/>
      <c r="L5" s="44"/>
      <c r="M5" s="45">
        <f>AVERAGEIFS($N$13:$N$9407,$AG$13:$AG$9407,I1)</f>
        <v>38.419976359272894</v>
      </c>
      <c r="N5" s="43">
        <f t="array" ref="N5">MIN(IF($AG$13:$AG$9407=I1,IF(ISNUMBER($N$13:$N$9407),IF($N$13:$N$9407&gt;0,$N$13:$N$9407))))</f>
        <v>34.133333339123055</v>
      </c>
      <c r="O5" s="3">
        <f t="array" ref="O5">MAX(IF($AG$13:$AG$9407=I1,IF(ISNUMBER($N$13:$N$9407),IF($N$13:$N$9407&gt;0,$N$13:$N$9407))))</f>
        <v>63.633333330508322</v>
      </c>
      <c r="P5" s="2"/>
      <c r="R5" s="80" t="s">
        <v>17</v>
      </c>
      <c r="S5" s="55">
        <f>COUNTIFS($N$13:$N$9407,"&gt;0",$AG$13:$AG$9407,R1)</f>
        <v>33</v>
      </c>
      <c r="T5" s="44"/>
      <c r="U5" s="168"/>
      <c r="V5" s="45">
        <f>AVERAGEIFS($N$13:$N$9407,$AG$13:$AG$9407,R1)</f>
        <v>15.529797980456021</v>
      </c>
      <c r="W5" s="43">
        <f t="array" ref="W5">MIN(IF($AG$13:$AG$9407=R1,IF(ISNUMBER($N$13:$N$9407),IF($N$13:$N$9407&gt;0,$N$13:$N$9407))))</f>
        <v>13.366666669026017</v>
      </c>
      <c r="X5" s="173">
        <f t="array" ref="X5">MAX(IF($AG$13:$AG$9407=R1,IF(ISNUMBER($N$13:$N$9407),IF($N$13:$N$9407&gt;0,$N$13:$N$9407))))</f>
        <v>26.116666673915461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COUNT($O$13:$O$179)</f>
        <v>0</v>
      </c>
      <c r="K6" s="44"/>
      <c r="L6" s="44"/>
      <c r="M6" s="45">
        <f>IFERROR(AVERAGE($O$13:$O$179),0)</f>
        <v>0</v>
      </c>
      <c r="N6" s="43">
        <f>MIN($O$13:$O$179)</f>
        <v>0</v>
      </c>
      <c r="O6" s="3">
        <f>MAX($O$13:$O$179)</f>
        <v>0</v>
      </c>
      <c r="P6" s="2"/>
      <c r="R6" s="81" t="s">
        <v>43</v>
      </c>
      <c r="S6" s="55">
        <f>COUNT($O$13:$O$179)</f>
        <v>0</v>
      </c>
      <c r="T6" s="44"/>
      <c r="U6" s="168"/>
      <c r="V6" s="45">
        <f>IFERROR(AVERAGE($O$13:$O$179),0)</f>
        <v>0</v>
      </c>
      <c r="W6" s="43">
        <f>MIN($O$13:$O$179)</f>
        <v>0</v>
      </c>
      <c r="X6" s="173">
        <f>MAX($O$13:$O$179)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COUNTIFS($P$13:$P$9407,"&gt;0",$AG$13:$AG$9407,I1)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COUNTIFS($P$13:$P$9407,"&gt;0",$AG$13:$AG$9407,R1)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38.419976359272894</v>
      </c>
      <c r="N8" s="43">
        <f>N5</f>
        <v>34.133333339123055</v>
      </c>
      <c r="O8" s="3">
        <f>O5</f>
        <v>63.633333330508322</v>
      </c>
      <c r="P8" s="2"/>
      <c r="R8" s="80" t="s">
        <v>16</v>
      </c>
      <c r="S8" s="55">
        <f>S5</f>
        <v>33</v>
      </c>
      <c r="T8" s="44"/>
      <c r="U8" s="168"/>
      <c r="V8" s="45">
        <f>V5</f>
        <v>15.529797980456021</v>
      </c>
      <c r="W8" s="43">
        <f>W5</f>
        <v>13.366666669026017</v>
      </c>
      <c r="X8" s="173">
        <f>X5</f>
        <v>26.116666673915461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0.97058823529411764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- 2016-10-30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AVERAGE(S13:S116)</f>
        <v>0.98076923076923073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782</v>
      </c>
      <c r="B13" s="7"/>
      <c r="C13" s="22" t="s">
        <v>284</v>
      </c>
      <c r="D13" s="22" t="s">
        <v>628</v>
      </c>
      <c r="E13" s="13">
        <v>42673.168194444443</v>
      </c>
      <c r="F13" s="13"/>
      <c r="G13" s="7">
        <v>1</v>
      </c>
      <c r="H13" s="13" t="s">
        <v>366</v>
      </c>
      <c r="I13" s="13"/>
      <c r="J13" s="7">
        <v>0</v>
      </c>
      <c r="K13" s="112" t="str">
        <f t="shared" ref="K13:K74" si="0">IF(ISEVEN(B13),(B13-1)&amp;"/"&amp;B13,B13&amp;"/"&amp;(B13+1))</f>
        <v>-1/</v>
      </c>
      <c r="L13" s="22" t="e">
        <f>VLOOKUP(A13,'Trips&amp;Operators'!$C$1:$E$10000,3,FALSE)</f>
        <v>#N/A</v>
      </c>
      <c r="M13" s="6">
        <f t="shared" ref="M13:M74" si="1">I13-F13</f>
        <v>0</v>
      </c>
      <c r="N13" s="7"/>
      <c r="O13" s="7"/>
      <c r="P13" s="7">
        <v>1</v>
      </c>
      <c r="Q13" s="23"/>
      <c r="R13" s="23" t="s">
        <v>780</v>
      </c>
      <c r="S13" s="35">
        <f t="shared" ref="S13:S74" si="2">SUM(U13:U13)/IF(AG13="EC",12,1)</f>
        <v>0</v>
      </c>
      <c r="T13" s="50" t="str">
        <f t="shared" ref="T13:T74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 t="shared" ref="V13:V7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https://search-rtdc-monitor-bjffxe2xuh6vdkpspy63sjmuny.us-east-1.es.amazonaws.com/_plugin/kibana/#/discover/Steve-Slow-Train-Analysis-(2080s-and-2083s)?_g=(refreshInterval:(display:Off,section:0,value:0),time:(from:'2016-10-30 03:02:12-0600',mode:absolute,to:'1900-01-00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3" s="52" t="str">
        <f t="shared" ref="W13:W74" si="5">IF(AA13&lt;IF(AG13="EC",23,5.65),"Y","N")</f>
        <v>N</v>
      </c>
      <c r="X13" s="177" t="e">
        <f t="shared" ref="X13:X74" si="6">VALUE(LEFT(AD13,4))-VALUE(LEFT(AD12,4))</f>
        <v>#VALUE!</v>
      </c>
      <c r="Y13" s="67">
        <f t="shared" ref="Y13:Y74" si="7">RIGHT(D13,LEN(D13)-4)/10000</f>
        <v>23.264099999999999</v>
      </c>
      <c r="Z13" s="67">
        <f t="shared" ref="Z13:Z74" si="8">RIGHT(H13,LEN(H13)-4)/10000</f>
        <v>1.5800000000000002E-2</v>
      </c>
      <c r="AA13" s="67">
        <f t="shared" ref="AA13:AA74" si="9">ABS(Z13-Y13)</f>
        <v>23.2483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4" si="10">IF(LEN(A13)=6,"0"&amp;A13,A13)</f>
        <v>0101-30</v>
      </c>
      <c r="AE13" s="91" t="str">
        <f t="shared" ref="AE13:AE7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88" t="str">
        <f t="shared" ref="AF13:AF74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" s="1" t="str">
        <f t="shared" ref="AG13:AG74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 --swversion DE.1.0.8.0 --startMP 204:232641 --initTime 2016-10-30T04:02:12 --startdatetime 1900-01-00T00:00:00 --delay 1 --endMP 204:158 --enddatetime 1900-01-00T00:00:00 --enforcementcount 0 &gt;&gt;C:\Users\stu\Documents\GitHub\eaglep3-reporting\EC\2016-10-30-refined-times.txt</v>
      </c>
      <c r="AI13" s="122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init","project_id":79,"tracker_id":40,"status_id":1,"priority_id":2,"assigned_to_id":23,"start_date":"1900-01-00","description":"","custom_fields":[{"id":1,"name":"Subdivision","value":"EC"},{"id":4,"name":"Milepost","value":"0.0158"},{"id":17,"name":"Train ID","value":"101-30"},{"id":16,"name":"Locomotive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442</v>
      </c>
      <c r="B14" s="7">
        <v>4030</v>
      </c>
      <c r="C14" s="22" t="s">
        <v>284</v>
      </c>
      <c r="D14" s="22" t="s">
        <v>628</v>
      </c>
      <c r="E14" s="13">
        <v>42673.168194444443</v>
      </c>
      <c r="F14" s="13">
        <v>42673.174490740741</v>
      </c>
      <c r="G14" s="7">
        <v>1</v>
      </c>
      <c r="H14" s="13" t="s">
        <v>366</v>
      </c>
      <c r="I14" s="13">
        <v>42673.201168981483</v>
      </c>
      <c r="J14" s="7">
        <v>0</v>
      </c>
      <c r="K14" s="112" t="str">
        <f t="shared" ref="K14" si="16">IF(ISEVEN(B14),(B14-1)&amp;"/"&amp;B14,B14&amp;"/"&amp;(B14+1))</f>
        <v>4029/4030</v>
      </c>
      <c r="L14" s="22" t="str">
        <f>VLOOKUP(A14,'Trips&amp;Operators'!$C$1:$E$10000,3,FALSE)</f>
        <v>KILLION</v>
      </c>
      <c r="M14" s="6">
        <f t="shared" ref="M14" si="17">I14-F14</f>
        <v>2.6678240741603076E-2</v>
      </c>
      <c r="N14" s="7">
        <f t="shared" ref="N14:P74" si="18">24*60*SUM($M14:$M14)</f>
        <v>38.41666666790843</v>
      </c>
      <c r="O14" s="7"/>
      <c r="P14" s="7"/>
      <c r="Q14" s="23"/>
      <c r="R14" s="23"/>
      <c r="S14" s="35">
        <f t="shared" ref="S14" si="19">SUM(U14:U14)/IF(AG14="EC",12,1)</f>
        <v>1</v>
      </c>
      <c r="T14" s="50" t="str">
        <f t="shared" ref="T14" si="20"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ref="V14" si="21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https://search-rtdc-monitor-bjffxe2xuh6vdkpspy63sjmuny.us-east-1.es.amazonaws.com/_plugin/kibana/#/discover/Steve-Slow-Train-Analysis-(2080s-and-2083s)?_g=(refreshInterval:(display:Off,section:0,value:0),time:(from:'2016-10-30 03:02:12-0600',mode:absolute,to:'2016-10-30 05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ref="W14" si="22">IF(AA14&lt;IF(AG14="EC",23,5.65),"Y","N")</f>
        <v>N</v>
      </c>
      <c r="X14" s="177">
        <f t="shared" ref="X14:X17" si="23">VALUE(LEFT(AD14,4))-VALUE(LEFT(AD13,4))</f>
        <v>1</v>
      </c>
      <c r="Y14" s="67">
        <f t="shared" ref="Y14" si="24">RIGHT(D14,LEN(D14)-4)/10000</f>
        <v>23.264099999999999</v>
      </c>
      <c r="Z14" s="67">
        <f t="shared" ref="Z14" si="25">RIGHT(H14,LEN(H14)-4)/10000</f>
        <v>1.5800000000000002E-2</v>
      </c>
      <c r="AA14" s="67">
        <f t="shared" ref="AA14" si="26">ABS(Z14-Y14)</f>
        <v>23.2483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ref="AD14" si="27">IF(LEN(A14)=6,"0"&amp;A14,A14)</f>
        <v>0102-30</v>
      </c>
      <c r="AE14" s="91" t="str">
        <f t="shared" ref="AE14" si="28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4" s="88" t="str">
        <f t="shared" ref="AF14" si="29"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/stypes="app*4030*20161030*" /stext=" 10:.+((SYSTEM_STATE.+slice.+state.+changed )|(ment ac)|(system.+state.+changed )|(\[timeout)|(PRM\|1\|D)|(kpr)|(kdp)|(\|lc)|(penalty))" /e /r /s</v>
      </c>
      <c r="AG14" s="1" t="str">
        <f t="shared" ref="AG14" si="30">IFERROR(IF(VALUE(LEFT(AD14,2))&lt;=2,"EC",IF(OR(VALUE(LEFT(AD14,2))=8,VALUE(LEFT(AD14,2))=18),"NW","Other")),"Other")</f>
        <v>EC</v>
      </c>
      <c r="AH14" s="92" t="str">
        <f t="shared" ref="AH14" si="31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4030 --swversion DE.1.0.8.0 --startMP 204:232641 --initTime 2016-10-30T04:02:12 --startdatetime 2016-10-30T04:11:16 --delay 1 --endMP 204:158 --enddatetime 2016-10-30T04:49:41 --enforcementcount 0 &gt;&gt;C:\Users\stu\Documents\GitHub\eaglep3-reporting\EC\2016-10-30-refined-times.txt</v>
      </c>
      <c r="AI14" s="122" t="str">
        <f t="shared" ref="AI14" si="32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ID","value":"102-30"},{"id":16,"name":"Locomotive ID","value":"4030"},{"id":130,"name":"Impact","value":""},{"id":150,"name":"Time of Event (Mountain Time)","value":"04:49:41"},{"id":151,"name":"Denver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7" t="s">
        <v>440</v>
      </c>
      <c r="B15" s="7">
        <v>4006</v>
      </c>
      <c r="C15" s="22" t="s">
        <v>284</v>
      </c>
      <c r="D15" s="22" t="s">
        <v>335</v>
      </c>
      <c r="E15" s="13">
        <v>42673.151180555556</v>
      </c>
      <c r="F15" s="13">
        <v>42673.156574074077</v>
      </c>
      <c r="G15" s="7">
        <v>1</v>
      </c>
      <c r="H15" s="13" t="s">
        <v>271</v>
      </c>
      <c r="I15" s="13">
        <v>42673.181759259256</v>
      </c>
      <c r="J15" s="7">
        <v>0</v>
      </c>
      <c r="K15" s="112" t="str">
        <f t="shared" si="0"/>
        <v>4005/4006</v>
      </c>
      <c r="L15" s="22" t="str">
        <f>VLOOKUP(A15,'Trips&amp;Operators'!$C$1:$E$10000,3,FALSE)</f>
        <v>ACKERMAN</v>
      </c>
      <c r="M15" s="6">
        <f t="shared" si="1"/>
        <v>2.5185185178997926E-2</v>
      </c>
      <c r="N15" s="7">
        <f t="shared" si="18"/>
        <v>36.266666657757014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02:37:42-0600',mode:absolute,to:'2016-10-30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" s="52" t="str">
        <f t="shared" si="5"/>
        <v>N</v>
      </c>
      <c r="X15" s="177">
        <f t="shared" si="23"/>
        <v>1</v>
      </c>
      <c r="Y15" s="67">
        <f t="shared" si="7"/>
        <v>6.7299999999999999E-2</v>
      </c>
      <c r="Z15" s="67">
        <f t="shared" si="8"/>
        <v>23.3308</v>
      </c>
      <c r="AA15" s="67">
        <f t="shared" si="9"/>
        <v>23.263500000000001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0"/>
        <v>0103-30</v>
      </c>
      <c r="AE15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15" s="88" t="str">
        <f t="shared" si="12"/>
        <v>"C:\Program Files (x86)\AstroGrep\AstroGrep.exe" /spath="%USERPROFILE%\AppData\Local\Temp\OnboardLogs" /stypes="app*4006*20161030*" /stext=" 10:.+((SYSTEM_STATE.+slice.+state.+changed )|(ment ac)|(system.+state.+changed )|(\[timeout)|(PRM\|1\|D)|(kpr)|(kdp)|(\|lc)|(penalty))" /e /r /s</v>
      </c>
      <c r="AG15" s="1" t="str">
        <f t="shared" si="13"/>
        <v>EC</v>
      </c>
      <c r="AH15" s="92" t="str">
        <f t="shared" ref="AH15:AH75" si="3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103-30 --locoid 4006 --swversion DE.1.0.8.0 --startMP 204:673 --initTime 2016-10-30T03:37:42 --startdatetime 2016-10-30T03:45:28 --delay 1 --endMP 204:233308 --enddatetime 2016-10-30T04:21:44 --enforcementcount 0 &gt;&gt;C:\Users\stu\Documents\GitHub\eaglep3-reporting\EC\2016-10-30-refined-times.txt</v>
      </c>
      <c r="AI15" s="122" t="str">
        <f t="shared" ref="AI15:AI75" si="3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ID","value":"103-30"},{"id":16,"name":"Locomotive ID","value":"4006"},{"id":130,"name":"Impact","value":""},{"id":150,"name":"Time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4026</v>
      </c>
      <c r="C16" s="22" t="s">
        <v>284</v>
      </c>
      <c r="D16" s="22" t="s">
        <v>629</v>
      </c>
      <c r="E16" s="13">
        <v>42673.190775462965</v>
      </c>
      <c r="F16" s="13">
        <v>42673.195335648146</v>
      </c>
      <c r="G16" s="7">
        <v>2</v>
      </c>
      <c r="H16" s="13" t="s">
        <v>269</v>
      </c>
      <c r="I16" s="13">
        <v>42673.222800925927</v>
      </c>
      <c r="J16" s="7">
        <v>0</v>
      </c>
      <c r="K16" s="112" t="str">
        <f t="shared" si="0"/>
        <v>4025/4026</v>
      </c>
      <c r="L16" s="22" t="str">
        <f>VLOOKUP(A16,'Trips&amp;Operators'!$C$1:$E$10000,3,FALSE)</f>
        <v>ACKERMAN</v>
      </c>
      <c r="M16" s="6">
        <f t="shared" si="1"/>
        <v>2.7465277780720498E-2</v>
      </c>
      <c r="N16" s="7">
        <f t="shared" si="18"/>
        <v>39.550000004237518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03:34:43-0600',mode:absolute,to:'2016-10-30 06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2" t="str">
        <f t="shared" si="5"/>
        <v>N</v>
      </c>
      <c r="X16" s="177">
        <f t="shared" si="23"/>
        <v>1</v>
      </c>
      <c r="Y16" s="67">
        <f t="shared" si="7"/>
        <v>23.266400000000001</v>
      </c>
      <c r="Z16" s="67">
        <f t="shared" si="8"/>
        <v>1.61E-2</v>
      </c>
      <c r="AA16" s="67">
        <f t="shared" si="9"/>
        <v>23.250299999999999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0"/>
        <v>0104-30</v>
      </c>
      <c r="AE16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6" s="88" t="str">
        <f t="shared" si="12"/>
        <v>"C:\Program Files (x86)\AstroGrep\AstroGrep.exe" /spath="%USERPROFILE%\AppData\Local\Temp\OnboardLogs" /stypes="app*4026*20161030*" /stext=" 11:.+((SYSTEM_STATE.+slice.+state.+changed )|(ment ac)|(system.+state.+changed )|(\[timeout)|(PRM\|1\|D)|(kpr)|(kdp)|(\|lc)|(penalty))" /e /r /s</v>
      </c>
      <c r="AG16" s="1" t="str">
        <f t="shared" si="13"/>
        <v>EC</v>
      </c>
      <c r="AH16" s="92" t="str">
        <f t="shared" si="33"/>
        <v>"%USERPROFILE%\Documents\GitHub\eaglep3\Utilities\RefineRTDCRunTimes.py" --tripid 104-30 --locoid 4026 --swversion DE.1.0.8.0 --startMP 204:232664 --initTime 2016-10-30T04:34:43 --startdatetime 2016-10-30T04:41:17 --delay 2 --endMP 204:161 --enddatetime 2016-10-30T05:20:50 --enforcementcount 0 &gt;&gt;C:\Users\stu\Documents\GitHub\eaglep3-reporting\EC\2016-10-30-refined-times.txt</v>
      </c>
      <c r="AI1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ID","value":"104-30"},{"id":16,"name":"Locomotive ID","value":"4026"},{"id":130,"name":"Impact","value":""},{"id":150,"name":"Time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392</v>
      </c>
      <c r="B17" s="7">
        <v>4038</v>
      </c>
      <c r="C17" s="22" t="s">
        <v>284</v>
      </c>
      <c r="D17" s="22" t="s">
        <v>356</v>
      </c>
      <c r="E17" s="13">
        <v>42673.172453703701</v>
      </c>
      <c r="F17" s="13">
        <v>42673.177384259259</v>
      </c>
      <c r="G17" s="7">
        <v>1</v>
      </c>
      <c r="H17" s="13" t="s">
        <v>283</v>
      </c>
      <c r="I17" s="13">
        <v>42673.20380787037</v>
      </c>
      <c r="J17" s="7">
        <v>0</v>
      </c>
      <c r="K17" s="112" t="str">
        <f t="shared" si="0"/>
        <v>4037/4038</v>
      </c>
      <c r="L17" s="22" t="str">
        <f>VLOOKUP(A17,'Trips&amp;Operators'!$C$1:$E$10000,3,FALSE)</f>
        <v>MAELZER</v>
      </c>
      <c r="M17" s="6">
        <f t="shared" si="1"/>
        <v>2.6423611110658385E-2</v>
      </c>
      <c r="N17" s="7">
        <f t="shared" si="18"/>
        <v>38.049999999348074</v>
      </c>
      <c r="O17" s="7"/>
      <c r="P17" s="7"/>
      <c r="Q17" s="23"/>
      <c r="R17" s="23" t="s">
        <v>778</v>
      </c>
      <c r="S17" s="35">
        <f t="shared" si="2"/>
        <v>1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" s="52" t="str">
        <f t="shared" si="5"/>
        <v>N</v>
      </c>
      <c r="X17" s="177">
        <f t="shared" si="23"/>
        <v>1</v>
      </c>
      <c r="Y17" s="67">
        <f t="shared" si="7"/>
        <v>7.3899999999999993E-2</v>
      </c>
      <c r="Z17" s="67">
        <f t="shared" si="8"/>
        <v>23.333400000000001</v>
      </c>
      <c r="AA17" s="67">
        <f t="shared" si="9"/>
        <v>23.259500000000003</v>
      </c>
      <c r="AB17" s="64" t="str">
        <f>VLOOKUP(A17,Enforcements!$C$7:$K$21,8,0)</f>
        <v>Signal based authority (5)</v>
      </c>
      <c r="AC17" s="60" t="str">
        <f>VLOOKUP(A17,Enforcements!$C$7:$E$21,3,0)</f>
        <v>SIGNAL</v>
      </c>
      <c r="AD17" s="61" t="str">
        <f t="shared" si="10"/>
        <v>0105-30</v>
      </c>
      <c r="AE17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7" s="88" t="str">
        <f t="shared" si="12"/>
        <v>"C:\Program Files (x86)\AstroGrep\AstroGrep.exe" /spath="%USERPROFILE%\AppData\Local\Temp\OnboardLogs" /stypes="app*4038*20161030*" /stext=" 10:.+((SYSTEM_STATE.+slice.+state.+changed )|(ment ac)|(system.+state.+changed )|(\[timeout)|(PRM\|1\|D)|(kpr)|(kdp)|(\|lc)|(penalty))" /e /r /s</v>
      </c>
      <c r="AG17" s="1" t="str">
        <f t="shared" si="13"/>
        <v>EC</v>
      </c>
      <c r="AH17" s="92" t="str">
        <f t="shared" si="33"/>
        <v>"%USERPROFILE%\Documents\GitHub\eaglep3\Utilities\RefineRTDCRunTimes.py" --tripid 105-30 --locoid 4038 --swversion DE.1.0.8.0 --startMP 204:739 --initTime 2016-10-30T04:08:20 --startdatetime 2016-10-30T04:15:26 --delay 1 --endMP 204:233334 --enddatetime 2016-10-30T04:53:29 --enforcementcount 0 &gt;&gt;C:\Users\stu\Documents\GitHub\eaglep3-reporting\EC\2016-10-30-refined-times.txt</v>
      </c>
      <c r="AI17" s="122" t="str">
        <f t="shared" si="34"/>
        <v>echo {"issue":{"subject":"Wheel tach fault - slip detected","project_id":79,"tracker_id":40,"status_id":1,"priority_id":2,"assigned_to_id":23,"start_date":"2016-10-30","description":"At 04:40:48, wheel tach fault encountered and caused location to go unknown","custom_fields":[{"id":1,"name":"Subdivision","value":"EC"},{"id":4,"name":"Milepost","value":"23.3334"},{"id":17,"name":"Train ID","value":"105-30"},{"id":16,"name":"Locomotive ID","value":"4038"},{"id":130,"name":"Impact","value":"Unexpected Cut-Out or Disengaged"},{"id":150,"name":"Time of Event (Mountain Time)","value":"04:53:29"},{"id":151,"name":"Denver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" s="53" t="s">
        <v>775</v>
      </c>
      <c r="AK17" s="53" t="s">
        <v>131</v>
      </c>
      <c r="AL17" s="53" t="s">
        <v>178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451</v>
      </c>
      <c r="B18" s="7">
        <v>4045</v>
      </c>
      <c r="C18" s="22" t="s">
        <v>284</v>
      </c>
      <c r="D18" s="22" t="s">
        <v>630</v>
      </c>
      <c r="E18" s="13">
        <v>42673.209756944445</v>
      </c>
      <c r="F18" s="13">
        <v>42673.216273148151</v>
      </c>
      <c r="G18" s="7">
        <v>1</v>
      </c>
      <c r="H18" s="13" t="s">
        <v>631</v>
      </c>
      <c r="I18" s="13">
        <v>42673.245324074072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MAELZER</v>
      </c>
      <c r="M18" s="6">
        <f t="shared" si="1"/>
        <v>2.9050925921183079E-2</v>
      </c>
      <c r="N18" s="7">
        <f t="shared" si="18"/>
        <v>41.833333326503634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04:02:03-0600',mode:absolute,to:'2016-10-30 06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5"/>
        <v>N</v>
      </c>
      <c r="X18" s="177">
        <f t="shared" si="6"/>
        <v>1</v>
      </c>
      <c r="Y18" s="67">
        <f t="shared" si="7"/>
        <v>23.2685</v>
      </c>
      <c r="Z18" s="67">
        <f t="shared" si="8"/>
        <v>1.23E-2</v>
      </c>
      <c r="AA18" s="67">
        <f t="shared" si="9"/>
        <v>23.2562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0"/>
        <v>0106-30</v>
      </c>
      <c r="AE18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18" s="88" t="str">
        <f t="shared" si="12"/>
        <v>"C:\Program Files (x86)\AstroGrep\AstroGrep.exe" /spath="%USERPROFILE%\AppData\Local\Temp\OnboardLogs" /stypes="app*4045*20161030*" /stext=" 11:.+((SYSTEM_STATE.+slice.+state.+changed )|(ment ac)|(system.+state.+changed )|(\[timeout)|(PRM\|1\|D)|(kpr)|(kdp)|(\|lc)|(penalty))" /e /r /s</v>
      </c>
      <c r="AG18" s="1" t="str">
        <f t="shared" si="13"/>
        <v>EC</v>
      </c>
      <c r="AH18" s="92" t="str">
        <f t="shared" si="33"/>
        <v>"%USERPROFILE%\Documents\GitHub\eaglep3\Utilities\RefineRTDCRunTimes.py" --tripid 106-30 --locoid 4045 --swversion DE.1.0.8.0 --startMP 204:232685 --initTime 2016-10-30T05:02:03 --startdatetime 2016-10-30T05:11:26 --delay 1 --endMP 204:123 --enddatetime 2016-10-30T05:53:16 --enforcementcount 0 &gt;&gt;C:\Users\stu\Documents\GitHub\eaglep3-reporting\EC\2016-10-30-refined-times.txt</v>
      </c>
      <c r="AI1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{"issue":{"subject":"","project_id":79,"tracker_id":40,"status_id":1,"priority_id":2,"assigned_to_id":23,"start_date":"2016-10-30","description":"","custom_fields":[{"id":1,"name":"Subdivision","value":"EC"},{"id":4,"name":"Milepost","value":"0.0123"},{"id":17,"name":"Train ID","value":"106-30"},{"id":16,"name":"Locomotive ID","value":"4045"},{"id":130,"name":"Impact","value":""},{"id":150,"name":"Time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4027</v>
      </c>
      <c r="C19" s="22" t="s">
        <v>284</v>
      </c>
      <c r="D19" s="22" t="s">
        <v>216</v>
      </c>
      <c r="E19" s="13">
        <v>42673.182071759256</v>
      </c>
      <c r="F19" s="13">
        <v>42673.187719907408</v>
      </c>
      <c r="G19" s="7">
        <v>1</v>
      </c>
      <c r="H19" s="13" t="s">
        <v>324</v>
      </c>
      <c r="I19" s="13">
        <v>42673.215196759258</v>
      </c>
      <c r="J19" s="7">
        <v>0</v>
      </c>
      <c r="K19" s="112" t="str">
        <f t="shared" si="0"/>
        <v>4027/4028</v>
      </c>
      <c r="L19" s="22" t="str">
        <f>VLOOKUP(A19,'Trips&amp;Operators'!$C$1:$E$10000,3,FALSE)</f>
        <v>DAVIS</v>
      </c>
      <c r="M19" s="6">
        <f t="shared" si="1"/>
        <v>2.7476851850224193E-2</v>
      </c>
      <c r="N19" s="7">
        <f t="shared" si="18"/>
        <v>39.566666664322838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03:22:11-0600',mode:absolute,to:'2016-10-30 06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2" t="str">
        <f t="shared" si="5"/>
        <v>N</v>
      </c>
      <c r="X19" s="177">
        <f t="shared" si="6"/>
        <v>1</v>
      </c>
      <c r="Y19" s="67">
        <f t="shared" si="7"/>
        <v>4.4699999999999997E-2</v>
      </c>
      <c r="Z19" s="67">
        <f t="shared" si="8"/>
        <v>23.328900000000001</v>
      </c>
      <c r="AA19" s="67">
        <f t="shared" si="9"/>
        <v>23.284200000000002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0"/>
        <v>0107-30</v>
      </c>
      <c r="AE19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9" s="88" t="str">
        <f t="shared" si="12"/>
        <v>"C:\Program Files (x86)\AstroGrep\AstroGrep.exe" /spath="%USERPROFILE%\AppData\Local\Temp\OnboardLogs" /stypes="app*4027*20161030*" /stext=" 11:.+((SYSTEM_STATE.+slice.+state.+changed )|(ment ac)|(system.+state.+changed )|(\[timeout)|(PRM\|1\|D)|(kpr)|(kdp)|(\|lc)|(penalty))" /e /r /s</v>
      </c>
      <c r="AG19" s="1" t="str">
        <f t="shared" si="13"/>
        <v>EC</v>
      </c>
      <c r="AH19" s="92" t="str">
        <f t="shared" si="33"/>
        <v>"%USERPROFILE%\Documents\GitHub\eaglep3\Utilities\RefineRTDCRunTimes.py" --tripid 107-30 --locoid 4027 --swversion DE.1.0.8.0 --startMP 204:447 --initTime 2016-10-30T04:22:11 --startdatetime 2016-10-30T04:30:19 --delay 1 --endMP 204:233289 --enddatetime 2016-10-30T05:09:53 --enforcementcount 0 &gt;&gt;C:\Users\stu\Documents\GitHub\eaglep3-reporting\EC\2016-10-30-refined-times.txt</v>
      </c>
      <c r="AI1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{"issue":{"subject":"","project_id":79,"tracker_id":40,"status_id":1,"priority_id":2,"assigned_to_id":23,"start_date":"2016-10-30","description":"","custom_fields":[{"id":1,"name":"Subdivision","value":"EC"},{"id":4,"name":"Milepost","value":"23.3289"},{"id":17,"name":"Train ID","value":"107-30"},{"id":16,"name":"Locomotive ID","value":"4027"},{"id":130,"name":"Impact","value":""},{"id":150,"name":"Time of Event (Mountain Time)","value":"05:09:53"},{"id":151,"name":"Denver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452</v>
      </c>
      <c r="B20" s="7">
        <v>4028</v>
      </c>
      <c r="C20" s="22" t="s">
        <v>284</v>
      </c>
      <c r="D20" s="22" t="s">
        <v>265</v>
      </c>
      <c r="E20" s="13">
        <v>42673.219247685185</v>
      </c>
      <c r="F20" s="13">
        <v>42673.226550925923</v>
      </c>
      <c r="G20" s="7">
        <v>2</v>
      </c>
      <c r="H20" s="13" t="s">
        <v>176</v>
      </c>
      <c r="I20" s="13">
        <v>42673.257395833331</v>
      </c>
      <c r="J20" s="7">
        <v>0</v>
      </c>
      <c r="K20" s="112" t="str">
        <f t="shared" si="0"/>
        <v>4027/4028</v>
      </c>
      <c r="L20" s="22" t="str">
        <f>VLOOKUP(A20,'Trips&amp;Operators'!$C$1:$E$10000,3,FALSE)</f>
        <v>DAVIS</v>
      </c>
      <c r="M20" s="6">
        <f t="shared" si="1"/>
        <v>3.0844907407299615E-2</v>
      </c>
      <c r="N20" s="7">
        <f t="shared" si="18"/>
        <v>44.416666666511446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04:15:43-0600',mode:absolute,to:'2016-10-30 07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2" t="str">
        <f t="shared" si="5"/>
        <v>N</v>
      </c>
      <c r="X20" s="177">
        <f t="shared" si="6"/>
        <v>1</v>
      </c>
      <c r="Y20" s="67">
        <f t="shared" si="7"/>
        <v>23.299800000000001</v>
      </c>
      <c r="Z20" s="67">
        <f t="shared" si="8"/>
        <v>1.52E-2</v>
      </c>
      <c r="AA20" s="67">
        <f t="shared" si="9"/>
        <v>23.284600000000001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0"/>
        <v>0108-30</v>
      </c>
      <c r="AE20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20" s="88" t="str">
        <f t="shared" si="12"/>
        <v>"C:\Program Files (x86)\AstroGrep\AstroGrep.exe" /spath="%USERPROFILE%\AppData\Local\Temp\OnboardLogs" /stypes="app*4028*20161030*" /stext=" 12:.+((SYSTEM_STATE.+slice.+state.+changed )|(ment ac)|(system.+state.+changed )|(\[timeout)|(PRM\|1\|D)|(kpr)|(kdp)|(\|lc)|(penalty))" /e /r /s</v>
      </c>
      <c r="AG20" s="1" t="str">
        <f t="shared" si="13"/>
        <v>EC</v>
      </c>
      <c r="AH20" s="92" t="str">
        <f t="shared" si="33"/>
        <v>"%USERPROFILE%\Documents\GitHub\eaglep3\Utilities\RefineRTDCRunTimes.py" --tripid 108-30 --locoid 4028 --swversion DE.1.0.8.0 --startMP 204:232998 --initTime 2016-10-30T05:15:43 --startdatetime 2016-10-30T05:26:14 --delay 2 --endMP 204:152 --enddatetime 2016-10-30T06:10:39 --enforcementcount 0 &gt;&gt;C:\Users\stu\Documents\GitHub\eaglep3-reporting\EC\2016-10-30-refined-times.txt</v>
      </c>
      <c r="AI2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ID","value":"108-30"},{"id":16,"name":"Locomotive ID","value":"4028"},{"id":130,"name":"Impact","value":""},{"id":150,"name":"Time of Event (Mountain Time)","value":"06:10:39"},{"id":151,"name":"Denver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449</v>
      </c>
      <c r="B21" s="7">
        <v>4002</v>
      </c>
      <c r="C21" s="22" t="s">
        <v>284</v>
      </c>
      <c r="D21" s="22" t="s">
        <v>219</v>
      </c>
      <c r="E21" s="13">
        <v>42673.196701388886</v>
      </c>
      <c r="F21" s="13">
        <v>42673.198449074072</v>
      </c>
      <c r="G21" s="7">
        <v>2</v>
      </c>
      <c r="H21" s="13" t="s">
        <v>632</v>
      </c>
      <c r="I21" s="13">
        <v>42673.223460648151</v>
      </c>
      <c r="J21" s="7">
        <v>0</v>
      </c>
      <c r="K21" s="112" t="str">
        <f t="shared" si="0"/>
        <v>4001/4002</v>
      </c>
      <c r="L21" s="22" t="str">
        <f>VLOOKUP(A21,'Trips&amp;Operators'!$C$1:$E$10000,3,FALSE)</f>
        <v>MALAVE</v>
      </c>
      <c r="M21" s="6">
        <f t="shared" si="1"/>
        <v>2.5011574078234844E-2</v>
      </c>
      <c r="N21" s="7">
        <f t="shared" si="18"/>
        <v>36.016666672658175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03:43:15-0600',mode:absolute,to:'2016-10-30 06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52" t="str">
        <f t="shared" si="5"/>
        <v>N</v>
      </c>
      <c r="X21" s="177">
        <f t="shared" si="6"/>
        <v>1</v>
      </c>
      <c r="Y21" s="67">
        <f t="shared" si="7"/>
        <v>4.5499999999999999E-2</v>
      </c>
      <c r="Z21" s="67">
        <f t="shared" si="8"/>
        <v>23.325700000000001</v>
      </c>
      <c r="AA21" s="67">
        <f t="shared" si="9"/>
        <v>23.280200000000001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0"/>
        <v>0109-30</v>
      </c>
      <c r="AE21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21" s="88" t="str">
        <f t="shared" si="12"/>
        <v>"C:\Program Files (x86)\AstroGrep\AstroGrep.exe" /spath="%USERPROFILE%\AppData\Local\Temp\OnboardLogs" /stypes="app*4002*20161030*" /stext=" 11:.+((SYSTEM_STATE.+slice.+state.+changed )|(ment ac)|(system.+state.+changed )|(\[timeout)|(PRM\|1\|D)|(kpr)|(kdp)|(\|lc)|(penalty))" /e /r /s</v>
      </c>
      <c r="AG21" s="1" t="str">
        <f t="shared" si="13"/>
        <v>EC</v>
      </c>
      <c r="AH21" s="92" t="str">
        <f t="shared" si="33"/>
        <v>"%USERPROFILE%\Documents\GitHub\eaglep3\Utilities\RefineRTDCRunTimes.py" --tripid 109-30 --locoid 4002 --swversion DE.1.0.8.0 --startMP 204:455 --initTime 2016-10-30T04:43:15 --startdatetime 2016-10-30T04:45:46 --delay 2 --endMP 204:233257 --enddatetime 2016-10-30T05:21:47 --enforcementcount 0 &gt;&gt;C:\Users\stu\Documents\GitHub\eaglep3-reporting\EC\2016-10-30-refined-times.txt</v>
      </c>
      <c r="AI2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{"issue":{"subject":"","project_id":79,"tracker_id":40,"status_id":1,"priority_id":2,"assigned_to_id":23,"start_date":"2016-10-30","description":"","custom_fields":[{"id":1,"name":"Subdivision","value":"EC"},{"id":4,"name":"Milepost","value":"23.3257"},{"id":17,"name":"Train ID","value":"109-30"},{"id":16,"name":"Locomotive ID","value":"4002"},{"id":130,"name":"Impact","value":""},{"id":150,"name":"Time of Event (Mountain Time)","value":"05:21:47"},{"id":151,"name":"Denver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458</v>
      </c>
      <c r="B22" s="7">
        <v>4001</v>
      </c>
      <c r="C22" s="22" t="s">
        <v>284</v>
      </c>
      <c r="D22" s="22" t="s">
        <v>633</v>
      </c>
      <c r="E22" s="13">
        <v>42673.235173611109</v>
      </c>
      <c r="F22" s="13">
        <v>42673.237013888887</v>
      </c>
      <c r="G22" s="7">
        <v>2</v>
      </c>
      <c r="H22" s="13" t="s">
        <v>634</v>
      </c>
      <c r="I22" s="13">
        <v>42673.264155092591</v>
      </c>
      <c r="J22" s="7">
        <v>0</v>
      </c>
      <c r="K22" s="112" t="str">
        <f t="shared" si="0"/>
        <v>4001/4002</v>
      </c>
      <c r="L22" s="22" t="str">
        <f>VLOOKUP(A22,'Trips&amp;Operators'!$C$1:$E$10000,3,FALSE)</f>
        <v>MALAVE</v>
      </c>
      <c r="M22" s="6">
        <f t="shared" si="1"/>
        <v>2.7141203703649808E-2</v>
      </c>
      <c r="N22" s="7">
        <f t="shared" si="18"/>
        <v>39.083333333255723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04:38:39-0600',mode:absolute,to:'2016-10-30 07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52" t="str">
        <f t="shared" si="5"/>
        <v>N</v>
      </c>
      <c r="X22" s="177">
        <f t="shared" si="6"/>
        <v>1</v>
      </c>
      <c r="Y22" s="67">
        <f t="shared" si="7"/>
        <v>23.295000000000002</v>
      </c>
      <c r="Z22" s="67">
        <v>0.04</v>
      </c>
      <c r="AA22" s="67">
        <f t="shared" si="9"/>
        <v>23.255000000000003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0"/>
        <v>0110-30</v>
      </c>
      <c r="AE22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22" s="88" t="str">
        <f t="shared" si="12"/>
        <v>"C:\Program Files (x86)\AstroGrep\AstroGrep.exe" /spath="%USERPROFILE%\AppData\Local\Temp\OnboardLogs" /stypes="app*4001*20161030*" /stext=" 12:.+((SYSTEM_STATE.+slice.+state.+changed )|(ment ac)|(system.+state.+changed )|(\[timeout)|(PRM\|1\|D)|(kpr)|(kdp)|(\|lc)|(penalty))" /e /r /s</v>
      </c>
      <c r="AG22" s="1" t="str">
        <f t="shared" si="13"/>
        <v>EC</v>
      </c>
      <c r="AH22" s="92" t="str">
        <f t="shared" si="33"/>
        <v>"%USERPROFILE%\Documents\GitHub\eaglep3\Utilities\RefineRTDCRunTimes.py" --tripid 110-30 --locoid 4001 --swversion DE.1.0.8.0 --startMP 204:232950 --initTime 2016-10-30T05:38:39 --startdatetime 2016-10-30T05:41:18 --delay 2 --endMP 204:18765 --enddatetime 2016-10-30T06:20:23 --enforcementcount 0 &gt;&gt;C:\Users\stu\Documents\GitHub\eaglep3-reporting\EC\2016-10-30-refined-times.txt</v>
      </c>
      <c r="AI2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{"issue":{"subject":"","project_id":79,"tracker_id":40,"status_id":1,"priority_id":2,"assigned_to_id":23,"start_date":"2016-10-30","description":"","custom_fields":[{"id":1,"name":"Subdivision","value":"EC"},{"id":4,"name":"Milepost","value":"0.04"},{"id":17,"name":"Train ID","value":"110-30"},{"id":16,"name":"Locomotive ID","value":"4001"},{"id":130,"name":"Impact","value":""},{"id":150,"name":"Time of Event (Mountain Time)","value":"06:20:23"},{"id":151,"name":"Denver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4053</v>
      </c>
      <c r="C23" s="22" t="s">
        <v>284</v>
      </c>
      <c r="D23" s="22" t="s">
        <v>635</v>
      </c>
      <c r="E23" s="13">
        <v>42673.194247685184</v>
      </c>
      <c r="F23" s="13">
        <v>42673.208587962959</v>
      </c>
      <c r="G23" s="7">
        <v>1</v>
      </c>
      <c r="H23" s="13" t="s">
        <v>636</v>
      </c>
      <c r="I23" s="13">
        <v>42673.236331018517</v>
      </c>
      <c r="J23" s="7">
        <v>0</v>
      </c>
      <c r="K23" s="112" t="str">
        <f t="shared" si="0"/>
        <v>4053/4054</v>
      </c>
      <c r="L23" s="22" t="str">
        <f>VLOOKUP(A23,'Trips&amp;Operators'!$C$1:$E$10000,3,FALSE)</f>
        <v>DE LA ROSA</v>
      </c>
      <c r="M23" s="6">
        <f t="shared" si="1"/>
        <v>2.7743055557948537E-2</v>
      </c>
      <c r="N23" s="7">
        <f t="shared" si="18"/>
        <v>39.950000003445894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03:39:43-0600',mode:absolute,to:'2016-10-30 06:40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" s="52" t="str">
        <f t="shared" si="5"/>
        <v>N</v>
      </c>
      <c r="X23" s="177">
        <f t="shared" si="6"/>
        <v>1</v>
      </c>
      <c r="Y23" s="67">
        <f t="shared" si="7"/>
        <v>0.11650000000000001</v>
      </c>
      <c r="Z23" s="67">
        <f t="shared" si="8"/>
        <v>23.325299999999999</v>
      </c>
      <c r="AA23" s="67">
        <f t="shared" si="9"/>
        <v>23.2088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0"/>
        <v>0111-30</v>
      </c>
      <c r="AE23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23" s="88" t="str">
        <f t="shared" si="12"/>
        <v>"C:\Program Files (x86)\AstroGrep\AstroGrep.exe" /spath="%USERPROFILE%\AppData\Local\Temp\OnboardLogs" /stypes="app*4053*20161030*" /stext=" 11:.+((SYSTEM_STATE.+slice.+state.+changed )|(ment ac)|(system.+state.+changed )|(\[timeout)|(PRM\|1\|D)|(kpr)|(kdp)|(\|lc)|(penalty))" /e /r /s</v>
      </c>
      <c r="AG23" s="1" t="str">
        <f t="shared" si="13"/>
        <v>EC</v>
      </c>
      <c r="AH23" s="92" t="str">
        <f t="shared" si="33"/>
        <v>"%USERPROFILE%\Documents\GitHub\eaglep3\Utilities\RefineRTDCRunTimes.py" --tripid 111-30 --locoid 4053 --swversion DE.1.0.8.0 --startMP 204:1165 --initTime 2016-10-30T04:39:43 --startdatetime 2016-10-30T05:00:22 --delay 1 --endMP 204:233253 --enddatetime 2016-10-30T05:40:19 --enforcementcount 0 &gt;&gt;C:\Users\stu\Documents\GitHub\eaglep3-reporting\EC\2016-10-30-refined-times.txt</v>
      </c>
      <c r="AI2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{"issue":{"subject":"","project_id":79,"tracker_id":40,"status_id":1,"priority_id":2,"assigned_to_id":23,"start_date":"2016-10-30","description":"","custom_fields":[{"id":1,"name":"Subdivision","value":"EC"},{"id":4,"name":"Milepost","value":"23.3253"},{"id":17,"name":"Train ID","value":"111-30"},{"id":16,"name":"Locomotive ID","value":"4053"},{"id":130,"name":"Impact","value":""},{"id":150,"name":"Time of Event (Mountain Time)","value":"05:40:19"},{"id":151,"name":"Denver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460</v>
      </c>
      <c r="B24" s="7">
        <v>4054</v>
      </c>
      <c r="C24" s="22" t="s">
        <v>284</v>
      </c>
      <c r="D24" s="22" t="s">
        <v>275</v>
      </c>
      <c r="E24" s="13">
        <v>42673.24119212963</v>
      </c>
      <c r="F24" s="13">
        <v>42673.247488425928</v>
      </c>
      <c r="G24" s="7">
        <v>1</v>
      </c>
      <c r="H24" s="13" t="s">
        <v>214</v>
      </c>
      <c r="I24" s="13">
        <v>42673.273738425924</v>
      </c>
      <c r="J24" s="7">
        <v>0</v>
      </c>
      <c r="K24" s="112" t="str">
        <f t="shared" si="0"/>
        <v>4053/4054</v>
      </c>
      <c r="L24" s="22" t="str">
        <f>VLOOKUP(A24,'Trips&amp;Operators'!$C$1:$E$10000,3,FALSE)</f>
        <v>DE LA ROSA</v>
      </c>
      <c r="M24" s="6">
        <f t="shared" si="1"/>
        <v>2.6249999995343387E-2</v>
      </c>
      <c r="N24" s="7">
        <f t="shared" si="18"/>
        <v>37.799999993294477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04:47:19-0600',mode:absolute,to:'2016-10-30 07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4" s="52" t="str">
        <f t="shared" si="5"/>
        <v>N</v>
      </c>
      <c r="X24" s="177">
        <f t="shared" si="6"/>
        <v>1</v>
      </c>
      <c r="Y24" s="67">
        <f t="shared" si="7"/>
        <v>23.298100000000002</v>
      </c>
      <c r="Z24" s="67">
        <f t="shared" si="8"/>
        <v>1.43E-2</v>
      </c>
      <c r="AA24" s="67">
        <f t="shared" si="9"/>
        <v>23.283800000000003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0"/>
        <v>0112-30</v>
      </c>
      <c r="AE24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24" s="88" t="str">
        <f t="shared" si="12"/>
        <v>"C:\Program Files (x86)\AstroGrep\AstroGrep.exe" /spath="%USERPROFILE%\AppData\Local\Temp\OnboardLogs" /stypes="app*4054*20161030*" /stext=" 12:.+((SYSTEM_STATE.+slice.+state.+changed )|(ment ac)|(system.+state.+changed )|(\[timeout)|(PRM\|1\|D)|(kpr)|(kdp)|(\|lc)|(penalty))" /e /r /s</v>
      </c>
      <c r="AG24" s="1" t="str">
        <f t="shared" si="13"/>
        <v>EC</v>
      </c>
      <c r="AH24" s="92" t="str">
        <f t="shared" si="33"/>
        <v>"%USERPROFILE%\Documents\GitHub\eaglep3\Utilities\RefineRTDCRunTimes.py" --tripid 112-30 --locoid 4054 --swversion DE.1.0.8.0 --startMP 204:232981 --initTime 2016-10-30T05:47:19 --startdatetime 2016-10-30T05:56:23 --delay 1 --endMP 204:143 --enddatetime 2016-10-30T06:34:11 --enforcementcount 0 &gt;&gt;C:\Users\stu\Documents\GitHub\eaglep3-reporting\EC\2016-10-30-refined-times.txt</v>
      </c>
      <c r="AI2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ID","value":"112-30"},{"id":16,"name":"Locomotive ID","value":"4054"},{"id":130,"name":"Impact","value":""},{"id":150,"name":"Time of Event (Mountain Time)","value":"06:34:11"},{"id":151,"name":"Denver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450</v>
      </c>
      <c r="B25" s="7">
        <v>4029</v>
      </c>
      <c r="C25" s="22" t="s">
        <v>284</v>
      </c>
      <c r="D25" s="22" t="s">
        <v>367</v>
      </c>
      <c r="E25" s="13">
        <v>42673.210381944446</v>
      </c>
      <c r="F25" s="13">
        <v>42673.218935185185</v>
      </c>
      <c r="G25" s="7">
        <v>1</v>
      </c>
      <c r="H25" s="13" t="s">
        <v>298</v>
      </c>
      <c r="I25" s="13">
        <v>42673.244513888887</v>
      </c>
      <c r="J25" s="7">
        <v>0</v>
      </c>
      <c r="K25" s="112" t="str">
        <f t="shared" si="0"/>
        <v>4029/4030</v>
      </c>
      <c r="L25" s="22" t="str">
        <f>VLOOKUP(A25,'Trips&amp;Operators'!$C$1:$E$10000,3,FALSE)</f>
        <v>KILLION</v>
      </c>
      <c r="M25" s="6">
        <f t="shared" si="1"/>
        <v>2.5578703702194616E-2</v>
      </c>
      <c r="N25" s="7">
        <f t="shared" si="18"/>
        <v>36.833333331160247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04:02:57-0600',mode:absolute,to:'2016-10-30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5"/>
        <v>N</v>
      </c>
      <c r="X25" s="177">
        <f t="shared" si="6"/>
        <v>1</v>
      </c>
      <c r="Y25" s="67">
        <f t="shared" si="7"/>
        <v>4.7500000000000001E-2</v>
      </c>
      <c r="Z25" s="67">
        <f t="shared" si="8"/>
        <v>23.327000000000002</v>
      </c>
      <c r="AA25" s="67">
        <f t="shared" si="9"/>
        <v>23.279500000000002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0"/>
        <v>0113-30</v>
      </c>
      <c r="AE25" s="91" t="str">
        <f t="shared" si="11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25" s="88" t="str">
        <f t="shared" si="12"/>
        <v>"C:\Program Files (x86)\AstroGrep\AstroGrep.exe" /spath="%USERPROFILE%\AppData\Local\Temp\OnboardLogs" /stypes="app*4029*20161030*" /stext=" 11:.+((SYSTEM_STATE.+slice.+state.+changed )|(ment ac)|(system.+state.+changed )|(\[timeout)|(PRM\|1\|D)|(kpr)|(kdp)|(\|lc)|(penalty))" /e /r /s</v>
      </c>
      <c r="AG25" s="1" t="str">
        <f t="shared" si="13"/>
        <v>EC</v>
      </c>
      <c r="AH25" s="92" t="str">
        <f t="shared" si="33"/>
        <v>"%USERPROFILE%\Documents\GitHub\eaglep3\Utilities\RefineRTDCRunTimes.py" --tripid 113-30 --locoid 4029 --swversion DE.1.0.8.0 --startMP 204:475 --initTime 2016-10-30T05:02:57 --startdatetime 2016-10-30T05:15:16 --delay 1 --endMP 204:233270 --enddatetime 2016-10-30T05:52:06 --enforcementcount 0 &gt;&gt;C:\Users\stu\Documents\GitHub\eaglep3-reporting\EC\2016-10-30-refined-times.txt</v>
      </c>
      <c r="AI2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{"issue":{"subject":"","project_id":79,"tracker_id":40,"status_id":1,"priority_id":2,"assigned_to_id":23,"start_date":"2016-10-30","description":"","custom_fields":[{"id":1,"name":"Subdivision","value":"EC"},{"id":4,"name":"Milepost","value":"23.327"},{"id":17,"name":"Train ID","value":"113-30"},{"id":16,"name":"Locomotive ID","value":"4029"},{"id":130,"name":"Impact","value":""},{"id":150,"name":"Time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394</v>
      </c>
      <c r="B26" s="7">
        <v>4030</v>
      </c>
      <c r="C26" s="22" t="s">
        <v>284</v>
      </c>
      <c r="D26" s="22" t="s">
        <v>637</v>
      </c>
      <c r="E26" s="13">
        <v>42673.259768518517</v>
      </c>
      <c r="F26" s="13">
        <v>42673.28087962963</v>
      </c>
      <c r="G26" s="7">
        <v>18</v>
      </c>
      <c r="H26" s="13" t="s">
        <v>323</v>
      </c>
      <c r="I26" s="13">
        <v>42673.294872685183</v>
      </c>
      <c r="J26" s="7">
        <v>1</v>
      </c>
      <c r="K26" s="112" t="str">
        <f t="shared" si="0"/>
        <v>4029/4030</v>
      </c>
      <c r="L26" s="22" t="str">
        <f>VLOOKUP(A26,'Trips&amp;Operators'!$C$1:$E$10000,3,FALSE)</f>
        <v>KILLION</v>
      </c>
      <c r="M26" s="6">
        <f t="shared" si="1"/>
        <v>1.3993055552418809E-2</v>
      </c>
      <c r="N26" s="7"/>
      <c r="O26" s="7"/>
      <c r="P26" s="7">
        <f t="shared" si="18"/>
        <v>20.149999995483086</v>
      </c>
      <c r="Q26" s="23"/>
      <c r="R26" s="23" t="s">
        <v>776</v>
      </c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05:14:04-0600',mode:absolute,to:'2016-10-30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5"/>
        <v>Y</v>
      </c>
      <c r="X26" s="177">
        <f t="shared" si="6"/>
        <v>1</v>
      </c>
      <c r="Y26" s="67">
        <f t="shared" si="7"/>
        <v>12.781000000000001</v>
      </c>
      <c r="Z26" s="67">
        <f t="shared" si="8"/>
        <v>1.34E-2</v>
      </c>
      <c r="AA26" s="67">
        <f t="shared" si="9"/>
        <v>12.7676</v>
      </c>
      <c r="AB26" s="64" t="str">
        <f>VLOOKUP(A26,Enforcements!$C$7:$K$21,8,0)</f>
        <v>Form based authority (4)</v>
      </c>
      <c r="AC26" s="60" t="str">
        <f>VLOOKUP(A26,Enforcements!$C$7:$E$21,3,0)</f>
        <v>TRACK WARRANT AUTHORITY</v>
      </c>
      <c r="AD26" s="61" t="str">
        <f t="shared" si="10"/>
        <v>0114-30</v>
      </c>
      <c r="AE26" s="91" t="str">
        <f t="shared" si="11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26" s="88" t="str">
        <f t="shared" si="12"/>
        <v>"C:\Program Files (x86)\AstroGrep\AstroGrep.exe" /spath="%USERPROFILE%\AppData\Local\Temp\OnboardLogs" /stypes="app*4030*20161030*" /stext=" 13:.+((SYSTEM_STATE.+slice.+state.+changed )|(ment ac)|(system.+state.+changed )|(\[timeout)|(PRM\|1\|D)|(kpr)|(kdp)|(\|lc)|(penalty))" /e /r /s</v>
      </c>
      <c r="AG26" s="1" t="str">
        <f t="shared" si="13"/>
        <v>EC</v>
      </c>
      <c r="AH26" s="92" t="str">
        <f t="shared" si="33"/>
        <v>"%USERPROFILE%\Documents\GitHub\eaglep3\Utilities\RefineRTDCRunTimes.py" --tripid 114-30 --locoid 4030 --swversion DE.1.0.8.0 --startMP 204:127810 --initTime 2016-10-30T06:14:04 --startdatetime 2016-10-30T06:44:28 --delay 18 --endMP 204:134 --enddatetime 2016-10-30T07:04:37 --enforcementcount 1 &gt;&gt;C:\Users\stu\Documents\GitHub\eaglep3-reporting\EC\2016-10-30-refined-times.txt</v>
      </c>
      <c r="AI26" s="122" t="str">
        <f t="shared" si="34"/>
        <v>echo {"issue":{"subject":"Onboard in-route failure - primary slice kept flipping","project_id":79,"tracker_id":40,"status_id":1,"priority_id":2,"assigned_to_id":23,"start_date":"2016-10-30","description":"Starting 06:10:03, primary slice kept flipping resulting in the overall system state staying at disengaged, preventing a succesful PTC run","custom_fields":[{"id":1,"name":"Subdivision","value":"EC"},{"id":4,"name":"Milepost","value":"0.0134"},{"id":17,"name":"Train ID","value":"114-30"},{"id":16,"name":"Locomotive ID","value":"4030"},{"id":130,"name":"Impact","value":"Unexpected Cut-Out or Disengaged"},{"id":150,"name":"Time of Event (Mountain Time)","value":"07:04:37"},{"id":151,"name":"Denver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6" s="53" t="s">
        <v>777</v>
      </c>
      <c r="AK26" s="53" t="s">
        <v>131</v>
      </c>
      <c r="AL26" s="53" t="s">
        <v>178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455</v>
      </c>
      <c r="B27" s="7">
        <v>4006</v>
      </c>
      <c r="C27" s="22" t="s">
        <v>284</v>
      </c>
      <c r="D27" s="22" t="s">
        <v>353</v>
      </c>
      <c r="E27" s="13">
        <v>42673.227916666663</v>
      </c>
      <c r="F27" s="13">
        <v>42673.229444444441</v>
      </c>
      <c r="G27" s="7">
        <v>1</v>
      </c>
      <c r="H27" s="13" t="s">
        <v>213</v>
      </c>
      <c r="I27" s="13">
        <v>42673.253854166665</v>
      </c>
      <c r="J27" s="7">
        <v>0</v>
      </c>
      <c r="K27" s="112" t="str">
        <f t="shared" si="0"/>
        <v>4005/4006</v>
      </c>
      <c r="L27" s="22" t="str">
        <f>VLOOKUP(A27,'Trips&amp;Operators'!$C$1:$E$10000,3,FALSE)</f>
        <v>ROCHA</v>
      </c>
      <c r="M27" s="6">
        <f t="shared" si="1"/>
        <v>2.4409722223936114E-2</v>
      </c>
      <c r="N27" s="7">
        <f t="shared" si="18"/>
        <v>35.150000002468005</v>
      </c>
      <c r="O27" s="7"/>
      <c r="P27" s="7"/>
      <c r="Q27" s="23"/>
      <c r="R27" s="23" t="s">
        <v>778</v>
      </c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04:28:12-0600',mode:absolute,to:'2016-10-30 07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7" s="52" t="str">
        <f t="shared" si="5"/>
        <v>N</v>
      </c>
      <c r="X27" s="177">
        <f t="shared" si="6"/>
        <v>1</v>
      </c>
      <c r="Y27" s="67">
        <f t="shared" si="7"/>
        <v>7.4099999999999999E-2</v>
      </c>
      <c r="Z27" s="67">
        <f t="shared" si="8"/>
        <v>23.3293</v>
      </c>
      <c r="AA27" s="67">
        <f t="shared" si="9"/>
        <v>23.255199999999999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0"/>
        <v>0115-30</v>
      </c>
      <c r="AE27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27" s="88" t="str">
        <f t="shared" si="12"/>
        <v>"C:\Program Files (x86)\AstroGrep\AstroGrep.exe" /spath="%USERPROFILE%\AppData\Local\Temp\OnboardLogs" /stypes="app*4006*20161030*" /stext=" 12:.+((SYSTEM_STATE.+slice.+state.+changed )|(ment ac)|(system.+state.+changed )|(\[timeout)|(PRM\|1\|D)|(kpr)|(kdp)|(\|lc)|(penalty))" /e /r /s</v>
      </c>
      <c r="AG27" s="1" t="str">
        <f t="shared" si="13"/>
        <v>EC</v>
      </c>
      <c r="AH27" s="92" t="str">
        <f t="shared" si="33"/>
        <v>"%USERPROFILE%\Documents\GitHub\eaglep3\Utilities\RefineRTDCRunTimes.py" --tripid 115-30 --locoid 4006 --swversion DE.1.0.8.0 --startMP 204:741 --initTime 2016-10-30T05:28:12 --startdatetime 2016-10-30T05:30:24 --delay 1 --endMP 204:233293 --enddatetime 2016-10-30T06:05:33 --enforcementcount 0 &gt;&gt;C:\Users\stu\Documents\GitHub\eaglep3-reporting\EC\2016-10-30-refined-times.txt</v>
      </c>
      <c r="AI27" s="122" t="str">
        <f t="shared" si="34"/>
        <v>echo {"issue":{"subject":"Wheel tach fault - slip detected","project_id":79,"tracker_id":40,"status_id":1,"priority_id":2,"assigned_to_id":23,"start_date":"2016-10-30","description":"","custom_fields":[{"id":1,"name":"Subdivision","value":"EC"},{"id":4,"name":"Milepost","value":"23.3293"},{"id":17,"name":"Train ID","value":"115-30"},{"id":16,"name":"Locomotive ID","value":"4006"},{"id":130,"name":"Impact","value":""},{"id":150,"name":"Time of Event (Mountain Time)","value":"06:05:33"},{"id":151,"name":"Denver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464</v>
      </c>
      <c r="B28" s="7">
        <v>4005</v>
      </c>
      <c r="C28" s="22" t="s">
        <v>284</v>
      </c>
      <c r="D28" s="22" t="s">
        <v>638</v>
      </c>
      <c r="E28" s="13">
        <v>42673.266145833331</v>
      </c>
      <c r="F28" s="13">
        <v>42673.268321759257</v>
      </c>
      <c r="G28" s="7">
        <v>1</v>
      </c>
      <c r="H28" s="13" t="s">
        <v>262</v>
      </c>
      <c r="I28" s="13">
        <v>42673.298564814817</v>
      </c>
      <c r="J28" s="7">
        <v>0</v>
      </c>
      <c r="K28" s="112" t="str">
        <f t="shared" si="0"/>
        <v>4005/4006</v>
      </c>
      <c r="L28" s="22" t="str">
        <f>VLOOKUP(A28,'Trips&amp;Operators'!$C$1:$E$10000,3,FALSE)</f>
        <v>ROCHA</v>
      </c>
      <c r="M28" s="6">
        <f t="shared" si="1"/>
        <v>3.0243055560276844E-2</v>
      </c>
      <c r="N28" s="7">
        <f t="shared" si="18"/>
        <v>43.550000006798655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05:23:15-0600',mode:absolute,to:'2016-10-30 08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8" s="52" t="str">
        <f t="shared" si="5"/>
        <v>N</v>
      </c>
      <c r="X28" s="177">
        <f t="shared" si="6"/>
        <v>1</v>
      </c>
      <c r="Y28" s="67">
        <f t="shared" si="7"/>
        <v>23.296800000000001</v>
      </c>
      <c r="Z28" s="67">
        <f t="shared" si="8"/>
        <v>4.5699999999999998E-2</v>
      </c>
      <c r="AA28" s="67">
        <f t="shared" si="9"/>
        <v>23.251100000000001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0"/>
        <v>0116-30</v>
      </c>
      <c r="AE28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28" s="88" t="str">
        <f t="shared" si="12"/>
        <v>"C:\Program Files (x86)\AstroGrep\AstroGrep.exe" /spath="%USERPROFILE%\AppData\Local\Temp\OnboardLogs" /stypes="app*4005*20161030*" /stext=" 13:.+((SYSTEM_STATE.+slice.+state.+changed )|(ment ac)|(system.+state.+changed )|(\[timeout)|(PRM\|1\|D)|(kpr)|(kdp)|(\|lc)|(penalty))" /e /r /s</v>
      </c>
      <c r="AG28" s="1" t="str">
        <f t="shared" si="13"/>
        <v>EC</v>
      </c>
      <c r="AH28" s="92" t="str">
        <f t="shared" si="33"/>
        <v>"%USERPROFILE%\Documents\GitHub\eaglep3\Utilities\RefineRTDCRunTimes.py" --tripid 116-30 --locoid 4005 --swversion DE.1.0.8.0 --startMP 204:232968 --initTime 2016-10-30T06:23:15 --startdatetime 2016-10-30T06:26:23 --delay 1 --endMP 204:457 --enddatetime 2016-10-30T07:09:56 --enforcementcount 0 &gt;&gt;C:\Users\stu\Documents\GitHub\eaglep3-reporting\EC\2016-10-30-refined-times.txt</v>
      </c>
      <c r="AI2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{"issue":{"subject":"","project_id":79,"tracker_id":40,"status_id":1,"priority_id":2,"assigned_to_id":23,"start_date":"2016-10-30","description":"","custom_fields":[{"id":1,"name":"Subdivision","value":"EC"},{"id":4,"name":"Milepost","value":"0.0457"},{"id":17,"name":"Train ID","value":"116-30"},{"id":16,"name":"Locomotive ID","value":"4005"},{"id":130,"name":"Impact","value":""},{"id":150,"name":"Time of Event (Mountain Time)","value":"07:09:56"},{"id":151,"name":"Denver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457</v>
      </c>
      <c r="B29" s="7">
        <v>4025</v>
      </c>
      <c r="C29" s="22" t="s">
        <v>284</v>
      </c>
      <c r="D29" s="22" t="s">
        <v>254</v>
      </c>
      <c r="E29" s="13">
        <v>42673.230879629627</v>
      </c>
      <c r="F29" s="13">
        <v>42673.239768518521</v>
      </c>
      <c r="G29" s="7">
        <v>2</v>
      </c>
      <c r="H29" s="13" t="s">
        <v>324</v>
      </c>
      <c r="I29" s="13">
        <v>42673.265266203707</v>
      </c>
      <c r="J29" s="7">
        <v>0</v>
      </c>
      <c r="K29" s="112" t="str">
        <f t="shared" si="0"/>
        <v>4025/4026</v>
      </c>
      <c r="L29" s="22" t="str">
        <f>VLOOKUP(A29,'Trips&amp;Operators'!$C$1:$E$10000,3,FALSE)</f>
        <v>ACKERMAN</v>
      </c>
      <c r="M29" s="6">
        <f t="shared" si="1"/>
        <v>2.5497685186564922E-2</v>
      </c>
      <c r="N29" s="7">
        <f t="shared" si="18"/>
        <v>36.716666668653488</v>
      </c>
      <c r="O29" s="7"/>
      <c r="P29" s="7"/>
      <c r="Q29" s="23"/>
      <c r="R29" s="23"/>
      <c r="S29" s="35">
        <f t="shared" si="2"/>
        <v>1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04:32:28-0600',mode:absolute,to:'2016-10-30 07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2" t="str">
        <f t="shared" si="5"/>
        <v>N</v>
      </c>
      <c r="X29" s="177">
        <f t="shared" si="6"/>
        <v>1</v>
      </c>
      <c r="Y29" s="67">
        <f t="shared" si="7"/>
        <v>4.6199999999999998E-2</v>
      </c>
      <c r="Z29" s="67">
        <f t="shared" si="8"/>
        <v>23.328900000000001</v>
      </c>
      <c r="AA29" s="67">
        <f t="shared" si="9"/>
        <v>23.282700000000002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0"/>
        <v>0117-30</v>
      </c>
      <c r="AE29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29" s="88" t="str">
        <f t="shared" si="12"/>
        <v>"C:\Program Files (x86)\AstroGrep\AstroGrep.exe" /spath="%USERPROFILE%\AppData\Local\Temp\OnboardLogs" /stypes="app*4025*20161030*" /stext=" 12:.+((SYSTEM_STATE.+slice.+state.+changed )|(ment ac)|(system.+state.+changed )|(\[timeout)|(PRM\|1\|D)|(kpr)|(kdp)|(\|lc)|(penalty))" /e /r /s</v>
      </c>
      <c r="AG29" s="1" t="str">
        <f t="shared" si="13"/>
        <v>EC</v>
      </c>
      <c r="AH29" s="92" t="str">
        <f t="shared" si="33"/>
        <v>"%USERPROFILE%\Documents\GitHub\eaglep3\Utilities\RefineRTDCRunTimes.py" --tripid 117-30 --locoid 4025 --swversion DE.1.0.8.0 --startMP 204:462 --initTime 2016-10-30T05:32:28 --startdatetime 2016-10-30T05:45:16 --delay 2 --endMP 204:233289 --enddatetime 2016-10-30T06:21:59 --enforcementcount 0 &gt;&gt;C:\Users\stu\Documents\GitHub\eaglep3-reporting\EC\2016-10-30-refined-times.txt</v>
      </c>
      <c r="AI2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{"issue":{"subject":"","project_id":79,"tracker_id":40,"status_id":1,"priority_id":2,"assigned_to_id":23,"start_date":"2016-10-30","description":"","custom_fields":[{"id":1,"name":"Subdivision","value":"EC"},{"id":4,"name":"Milepost","value":"23.3289"},{"id":17,"name":"Train ID","value":"117-30"},{"id":16,"name":"Locomotive ID","value":"4025"},{"id":130,"name":"Impact","value":""},{"id":150,"name":"Time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4026</v>
      </c>
      <c r="C30" s="22" t="s">
        <v>284</v>
      </c>
      <c r="D30" s="22" t="s">
        <v>274</v>
      </c>
      <c r="E30" s="13">
        <v>42673.272847222222</v>
      </c>
      <c r="F30" s="13">
        <v>42673.278807870367</v>
      </c>
      <c r="G30" s="7">
        <v>1</v>
      </c>
      <c r="H30" s="13" t="s">
        <v>211</v>
      </c>
      <c r="I30" s="13">
        <v>42673.306967592594</v>
      </c>
      <c r="J30" s="7">
        <v>0</v>
      </c>
      <c r="K30" s="112" t="str">
        <f t="shared" si="0"/>
        <v>4025/4026</v>
      </c>
      <c r="L30" s="22" t="str">
        <f>VLOOKUP(A30,'Trips&amp;Operators'!$C$1:$E$10000,3,FALSE)</f>
        <v>ACKERMAN</v>
      </c>
      <c r="M30" s="6">
        <f t="shared" si="1"/>
        <v>2.8159722227428574E-2</v>
      </c>
      <c r="N30" s="7">
        <f t="shared" si="18"/>
        <v>40.550000007497147</v>
      </c>
      <c r="O30" s="7"/>
      <c r="P30" s="7"/>
      <c r="Q30" s="23"/>
      <c r="R30" s="23"/>
      <c r="S30" s="35">
        <f t="shared" si="2"/>
        <v>1</v>
      </c>
      <c r="T30" s="50" t="str">
        <f t="shared" si="3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05:32:54-0600',mode:absolute,to:'2016-10-30 08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2" t="str">
        <f t="shared" si="5"/>
        <v>N</v>
      </c>
      <c r="X30" s="177">
        <f t="shared" si="6"/>
        <v>1</v>
      </c>
      <c r="Y30" s="67">
        <f t="shared" si="7"/>
        <v>23.296900000000001</v>
      </c>
      <c r="Z30" s="67">
        <f t="shared" si="8"/>
        <v>1.4500000000000001E-2</v>
      </c>
      <c r="AA30" s="67">
        <f t="shared" si="9"/>
        <v>23.282399999999999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0"/>
        <v>0118-30</v>
      </c>
      <c r="AE30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30" s="88" t="str">
        <f t="shared" si="12"/>
        <v>"C:\Program Files (x86)\AstroGrep\AstroGrep.exe" /spath="%USERPROFILE%\AppData\Local\Temp\OnboardLogs" /stypes="app*4026*20161030*" /stext=" 13:.+((SYSTEM_STATE.+slice.+state.+changed )|(ment ac)|(system.+state.+changed )|(\[timeout)|(PRM\|1\|D)|(kpr)|(kdp)|(\|lc)|(penalty))" /e /r /s</v>
      </c>
      <c r="AG30" s="1" t="str">
        <f t="shared" si="13"/>
        <v>EC</v>
      </c>
      <c r="AH30" s="92" t="str">
        <f t="shared" si="33"/>
        <v>"%USERPROFILE%\Documents\GitHub\eaglep3\Utilities\RefineRTDCRunTimes.py" --tripid 118-30 --locoid 4026 --swversion DE.1.0.8.0 --startMP 204:232969 --initTime 2016-10-30T06:32:54 --startdatetime 2016-10-30T06:41:29 --delay 1 --endMP 204:145 --enddatetime 2016-10-30T07:22:02 --enforcementcount 0 &gt;&gt;C:\Users\stu\Documents\GitHub\eaglep3-reporting\EC\2016-10-30-refined-times.txt</v>
      </c>
      <c r="AI3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{"issue":{"subject":"","project_id":79,"tracker_id":40,"status_id":1,"priority_id":2,"assigned_to_id":23,"start_date":"2016-10-30","description":"","custom_fields":[{"id":1,"name":"Subdivision","value":"EC"},{"id":4,"name":"Milepost","value":"0.0145"},{"id":17,"name":"Train ID","value":"118-30"},{"id":16,"name":"Locomotive ID","value":"4026"},{"id":130,"name":"Impact","value":""},{"id":150,"name":"Time of Event (Mountain Time)","value":"07:22:02"},{"id":151,"name":"Denver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461</v>
      </c>
      <c r="B31" s="7">
        <v>4038</v>
      </c>
      <c r="C31" s="22" t="s">
        <v>284</v>
      </c>
      <c r="D31" s="22" t="s">
        <v>639</v>
      </c>
      <c r="E31" s="13">
        <v>42673.249097222222</v>
      </c>
      <c r="F31" s="13">
        <v>42673.250578703701</v>
      </c>
      <c r="G31" s="7">
        <v>1</v>
      </c>
      <c r="H31" s="13" t="s">
        <v>218</v>
      </c>
      <c r="I31" s="13">
        <v>42673.277083333334</v>
      </c>
      <c r="J31" s="7">
        <v>0</v>
      </c>
      <c r="K31" s="112" t="str">
        <f t="shared" si="0"/>
        <v>4037/4038</v>
      </c>
      <c r="L31" s="22" t="str">
        <f>VLOOKUP(A31,'Trips&amp;Operators'!$C$1:$E$10000,3,FALSE)</f>
        <v>MAELZER</v>
      </c>
      <c r="M31" s="6">
        <f t="shared" si="1"/>
        <v>2.6504629633564036E-2</v>
      </c>
      <c r="N31" s="7">
        <f t="shared" si="18"/>
        <v>38.166666672332212</v>
      </c>
      <c r="O31" s="7"/>
      <c r="P31" s="7"/>
      <c r="Q31" s="23"/>
      <c r="R31" s="23" t="s">
        <v>778</v>
      </c>
      <c r="S31" s="35">
        <f t="shared" si="2"/>
        <v>1</v>
      </c>
      <c r="T31" s="50" t="str">
        <f t="shared" si="3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04:58:42-0600',mode:absolute,to:'2016-10-30 07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1" s="52" t="str">
        <f t="shared" si="5"/>
        <v>N</v>
      </c>
      <c r="X31" s="177">
        <f t="shared" si="6"/>
        <v>1</v>
      </c>
      <c r="Y31" s="67">
        <f t="shared" si="7"/>
        <v>7.6300000000000007E-2</v>
      </c>
      <c r="Z31" s="67">
        <f t="shared" si="8"/>
        <v>23.33</v>
      </c>
      <c r="AA31" s="67">
        <f t="shared" si="9"/>
        <v>23.253699999999998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0"/>
        <v>0119-30</v>
      </c>
      <c r="AE31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31" s="88" t="str">
        <f t="shared" si="12"/>
        <v>"C:\Program Files (x86)\AstroGrep\AstroGrep.exe" /spath="%USERPROFILE%\AppData\Local\Temp\OnboardLogs" /stypes="app*4038*20161030*" /stext=" 12:.+((SYSTEM_STATE.+slice.+state.+changed )|(ment ac)|(system.+state.+changed )|(\[timeout)|(PRM\|1\|D)|(kpr)|(kdp)|(\|lc)|(penalty))" /e /r /s</v>
      </c>
      <c r="AG31" s="1" t="str">
        <f t="shared" si="13"/>
        <v>EC</v>
      </c>
      <c r="AH31" s="92" t="str">
        <f t="shared" si="33"/>
        <v>"%USERPROFILE%\Documents\GitHub\eaglep3\Utilities\RefineRTDCRunTimes.py" --tripid 119-30 --locoid 4038 --swversion DE.1.0.8.0 --startMP 204:763 --initTime 2016-10-30T05:58:42 --startdatetime 2016-10-30T06:00:50 --delay 1 --endMP 204:233300 --enddatetime 2016-10-30T06:39:00 --enforcementcount 0 &gt;&gt;C:\Users\stu\Documents\GitHub\eaglep3-reporting\EC\2016-10-30-refined-times.txt</v>
      </c>
      <c r="AI31" s="122" t="str">
        <f t="shared" si="34"/>
        <v>echo {"issue":{"subject":"Wheel tach fault - slip detected","project_id":79,"tracker_id":40,"status_id":1,"priority_id":2,"assigned_to_id":23,"start_date":"2016-10-30","description":"","custom_fields":[{"id":1,"name":"Subdivision","value":"EC"},{"id":4,"name":"Milepost","value":"23.33"},{"id":17,"name":"Train ID","value":"119-30"},{"id":16,"name":"Locomotive ID","value":"4038"},{"id":130,"name":"Impact","value":""},{"id":150,"name":"Time of Event (Mountain Time)","value":"06:39:00"},{"id":151,"name":"Denver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468</v>
      </c>
      <c r="B32" s="7">
        <v>4037</v>
      </c>
      <c r="C32" s="22" t="s">
        <v>284</v>
      </c>
      <c r="D32" s="22" t="s">
        <v>640</v>
      </c>
      <c r="E32" s="13">
        <v>42673.285416666666</v>
      </c>
      <c r="F32" s="13">
        <v>42673.289166666669</v>
      </c>
      <c r="G32" s="7">
        <v>1</v>
      </c>
      <c r="H32" s="13" t="s">
        <v>355</v>
      </c>
      <c r="I32" s="13">
        <v>42673.315972222219</v>
      </c>
      <c r="J32" s="7">
        <v>0</v>
      </c>
      <c r="K32" s="112" t="str">
        <f t="shared" si="0"/>
        <v>4037/4038</v>
      </c>
      <c r="L32" s="22" t="str">
        <f>VLOOKUP(A32,'Trips&amp;Operators'!$C$1:$E$10000,3,FALSE)</f>
        <v>MAELZER</v>
      </c>
      <c r="M32" s="6">
        <f t="shared" si="1"/>
        <v>2.6805555549799465E-2</v>
      </c>
      <c r="N32" s="7">
        <f t="shared" si="18"/>
        <v>38.599999991711229</v>
      </c>
      <c r="O32" s="7"/>
      <c r="P32" s="7"/>
      <c r="Q32" s="23"/>
      <c r="R32" s="23"/>
      <c r="S32" s="35">
        <f t="shared" si="2"/>
        <v>1</v>
      </c>
      <c r="T32" s="50" t="str">
        <f t="shared" si="3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05:51:00-0600',mode:absolute,to:'2016-10-30 08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2" s="52" t="str">
        <f t="shared" si="5"/>
        <v>N</v>
      </c>
      <c r="X32" s="177">
        <f t="shared" si="6"/>
        <v>1</v>
      </c>
      <c r="Y32" s="67">
        <f t="shared" si="7"/>
        <v>23.299600000000002</v>
      </c>
      <c r="Z32" s="67">
        <f t="shared" si="8"/>
        <v>1.2999999999999999E-2</v>
      </c>
      <c r="AA32" s="67">
        <f t="shared" si="9"/>
        <v>23.2866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0"/>
        <v>0120-30</v>
      </c>
      <c r="AE32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32" s="88" t="str">
        <f t="shared" si="12"/>
        <v>"C:\Program Files (x86)\AstroGrep\AstroGrep.exe" /spath="%USERPROFILE%\AppData\Local\Temp\OnboardLogs" /stypes="app*4037*20161030*" /stext=" 13:.+((SYSTEM_STATE.+slice.+state.+changed )|(ment ac)|(system.+state.+changed )|(\[timeout)|(PRM\|1\|D)|(kpr)|(kdp)|(\|lc)|(penalty))" /e /r /s</v>
      </c>
      <c r="AG32" s="1" t="str">
        <f t="shared" si="13"/>
        <v>EC</v>
      </c>
      <c r="AH32" s="92" t="str">
        <f t="shared" si="33"/>
        <v>"%USERPROFILE%\Documents\GitHub\eaglep3\Utilities\RefineRTDCRunTimes.py" --tripid 120-30 --locoid 4037 --swversion DE.1.0.8.0 --startMP 204:232996 --initTime 2016-10-30T06:51:00 --startdatetime 2016-10-30T06:56:24 --delay 1 --endMP 204:130 --enddatetime 2016-10-30T07:35:00 --enforcementcount 0 &gt;&gt;C:\Users\stu\Documents\GitHub\eaglep3-reporting\EC\2016-10-30-refined-times.txt</v>
      </c>
      <c r="AI3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{"issue":{"subject":"","project_id":79,"tracker_id":40,"status_id":1,"priority_id":2,"assigned_to_id":23,"start_date":"2016-10-30","description":"","custom_fields":[{"id":1,"name":"Subdivision","value":"EC"},{"id":4,"name":"Milepost","value":"0.013"},{"id":17,"name":"Train ID","value":"120-30"},{"id":16,"name":"Locomotive ID","value":"4037"},{"id":130,"name":"Impact","value":""},{"id":150,"name":"Time of Event (Mountain Time)","value":"07:35:00"},{"id":151,"name":"Denver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463</v>
      </c>
      <c r="B33" s="7">
        <v>4027</v>
      </c>
      <c r="C33" s="22" t="s">
        <v>284</v>
      </c>
      <c r="D33" s="22" t="s">
        <v>216</v>
      </c>
      <c r="E33" s="13">
        <v>42673.258402777778</v>
      </c>
      <c r="F33" s="13">
        <v>42673.260567129626</v>
      </c>
      <c r="G33" s="7">
        <v>1</v>
      </c>
      <c r="H33" s="13" t="s">
        <v>258</v>
      </c>
      <c r="I33" s="13">
        <v>42673.28837962963</v>
      </c>
      <c r="J33" s="7">
        <v>0</v>
      </c>
      <c r="K33" s="112" t="str">
        <f t="shared" si="0"/>
        <v>4027/4028</v>
      </c>
      <c r="L33" s="22" t="str">
        <f>VLOOKUP(A33,'Trips&amp;Operators'!$C$1:$E$10000,3,FALSE)</f>
        <v>DAVIS</v>
      </c>
      <c r="M33" s="6">
        <f t="shared" si="1"/>
        <v>2.7812500004074536E-2</v>
      </c>
      <c r="N33" s="7">
        <f t="shared" si="18"/>
        <v>40.050000005867332</v>
      </c>
      <c r="O33" s="7"/>
      <c r="P33" s="7"/>
      <c r="Q33" s="23"/>
      <c r="R33" s="23"/>
      <c r="S33" s="35">
        <f t="shared" si="2"/>
        <v>1</v>
      </c>
      <c r="T33" s="50" t="str">
        <f t="shared" si="3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05:12:06-0600',mode:absolute,to:'2016-10-30 07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2" t="str">
        <f t="shared" si="5"/>
        <v>N</v>
      </c>
      <c r="X33" s="177">
        <f t="shared" si="6"/>
        <v>1</v>
      </c>
      <c r="Y33" s="67">
        <f t="shared" si="7"/>
        <v>4.4699999999999997E-2</v>
      </c>
      <c r="Z33" s="67">
        <f t="shared" si="8"/>
        <v>23.3291</v>
      </c>
      <c r="AA33" s="67">
        <f t="shared" si="9"/>
        <v>23.284400000000002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0"/>
        <v>0121-30</v>
      </c>
      <c r="AE33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33" s="88" t="str">
        <f t="shared" si="12"/>
        <v>"C:\Program Files (x86)\AstroGrep\AstroGrep.exe" /spath="%USERPROFILE%\AppData\Local\Temp\OnboardLogs" /stypes="app*4027*20161030*" /stext=" 12:.+((SYSTEM_STATE.+slice.+state.+changed )|(ment ac)|(system.+state.+changed )|(\[timeout)|(PRM\|1\|D)|(kpr)|(kdp)|(\|lc)|(penalty))" /e /r /s</v>
      </c>
      <c r="AG33" s="1" t="str">
        <f t="shared" si="13"/>
        <v>EC</v>
      </c>
      <c r="AH33" s="92" t="str">
        <f t="shared" si="33"/>
        <v>"%USERPROFILE%\Documents\GitHub\eaglep3\Utilities\RefineRTDCRunTimes.py" --tripid 121-30 --locoid 4027 --swversion DE.1.0.8.0 --startMP 204:447 --initTime 2016-10-30T06:12:06 --startdatetime 2016-10-30T06:15:13 --delay 1 --endMP 204:233291 --enddatetime 2016-10-30T06:55:16 --enforcementcount 0 &gt;&gt;C:\Users\stu\Documents\GitHub\eaglep3-reporting\EC\2016-10-30-refined-times.txt</v>
      </c>
      <c r="AI3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ID","value":"121-30"},{"id":16,"name":"Locomotive ID","value":"4027"},{"id":130,"name":"Impact","value":""},{"id":150,"name":"Time of Event (Mountain Time)","value":"06:55:16"},{"id":151,"name":"Denver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395</v>
      </c>
      <c r="B34" s="7">
        <v>4028</v>
      </c>
      <c r="C34" s="22" t="s">
        <v>284</v>
      </c>
      <c r="D34" s="22" t="s">
        <v>276</v>
      </c>
      <c r="E34" s="13">
        <v>42673.293726851851</v>
      </c>
      <c r="F34" s="13">
        <v>42673.299456018518</v>
      </c>
      <c r="G34" s="7">
        <v>1</v>
      </c>
      <c r="H34" s="13" t="s">
        <v>292</v>
      </c>
      <c r="I34" s="13">
        <v>42673.328449074077</v>
      </c>
      <c r="J34" s="7">
        <v>0</v>
      </c>
      <c r="K34" s="112" t="str">
        <f t="shared" si="0"/>
        <v>4027/4028</v>
      </c>
      <c r="L34" s="22" t="str">
        <f>VLOOKUP(A34,'Trips&amp;Operators'!$C$1:$E$10000,3,FALSE)</f>
        <v>DAVIS</v>
      </c>
      <c r="M34" s="6">
        <f t="shared" si="1"/>
        <v>2.899305555911269E-2</v>
      </c>
      <c r="N34" s="7">
        <f t="shared" si="18"/>
        <v>41.750000005122274</v>
      </c>
      <c r="O34" s="7"/>
      <c r="P34" s="7"/>
      <c r="Q34" s="23"/>
      <c r="R34" s="23"/>
      <c r="S34" s="35">
        <f t="shared" si="2"/>
        <v>1</v>
      </c>
      <c r="T34" s="50" t="str">
        <f t="shared" si="3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06:02:58-0600',mode:absolute,to:'2016-10-30 08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2" t="str">
        <f t="shared" si="5"/>
        <v>N</v>
      </c>
      <c r="X34" s="177">
        <f t="shared" si="6"/>
        <v>1</v>
      </c>
      <c r="Y34" s="67">
        <f t="shared" si="7"/>
        <v>23.297799999999999</v>
      </c>
      <c r="Z34" s="67">
        <f t="shared" si="8"/>
        <v>1.3899999999999999E-2</v>
      </c>
      <c r="AA34" s="67">
        <f t="shared" si="9"/>
        <v>23.283899999999999</v>
      </c>
      <c r="AB34" s="64" t="str">
        <f>VLOOKUP(A34,Enforcements!$C$7:$K$21,8,0)</f>
        <v>Signal based authority (5)</v>
      </c>
      <c r="AC34" s="60" t="str">
        <f>VLOOKUP(A34,Enforcements!$C$7:$E$21,3,0)</f>
        <v>SIGNAL</v>
      </c>
      <c r="AD34" s="61" t="str">
        <f t="shared" si="10"/>
        <v>0122-30</v>
      </c>
      <c r="AE34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34" s="88" t="str">
        <f t="shared" si="12"/>
        <v>"C:\Program Files (x86)\AstroGrep\AstroGrep.exe" /spath="%USERPROFILE%\AppData\Local\Temp\OnboardLogs" /stypes="app*4028*20161030*" /stext=" 13:.+((SYSTEM_STATE.+slice.+state.+changed )|(ment ac)|(system.+state.+changed )|(\[timeout)|(PRM\|1\|D)|(kpr)|(kdp)|(\|lc)|(penalty))" /e /r /s</v>
      </c>
      <c r="AG34" s="1" t="str">
        <f t="shared" si="13"/>
        <v>EC</v>
      </c>
      <c r="AH34" s="92" t="str">
        <f t="shared" si="33"/>
        <v>"%USERPROFILE%\Documents\GitHub\eaglep3\Utilities\RefineRTDCRunTimes.py" --tripid 122-30 --locoid 4028 --swversion DE.1.0.8.0 --startMP 204:232978 --initTime 2016-10-30T07:02:58 --startdatetime 2016-10-30T07:11:13 --delay 1 --endMP 204:139 --enddatetime 2016-10-30T07:52:58 --enforcementcount 0 &gt;&gt;C:\Users\stu\Documents\GitHub\eaglep3-reporting\EC\2016-10-30-refined-times.txt</v>
      </c>
      <c r="AI3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ID","value":"122-30"},{"id":16,"name":"Locomotive ID","value":"4028"},{"id":130,"name":"Impact","value":""},{"id":150,"name":"Time of Event (Mountain Time)","value":"07:52:58"},{"id":151,"name":"Denver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465</v>
      </c>
      <c r="B35" s="7">
        <v>4002</v>
      </c>
      <c r="C35" s="22" t="s">
        <v>284</v>
      </c>
      <c r="D35" s="22" t="s">
        <v>641</v>
      </c>
      <c r="E35" s="13">
        <v>42673.269467592596</v>
      </c>
      <c r="F35" s="13">
        <v>42673.271122685182</v>
      </c>
      <c r="G35" s="7">
        <v>1</v>
      </c>
      <c r="H35" s="13" t="s">
        <v>293</v>
      </c>
      <c r="I35" s="13">
        <v>42673.295752314814</v>
      </c>
      <c r="J35" s="7">
        <v>0</v>
      </c>
      <c r="K35" s="112" t="str">
        <f t="shared" si="0"/>
        <v>4001/4002</v>
      </c>
      <c r="L35" s="22" t="str">
        <f>VLOOKUP(A35,'Trips&amp;Operators'!$C$1:$E$10000,3,FALSE)</f>
        <v>MALAVE</v>
      </c>
      <c r="M35" s="6">
        <f t="shared" si="1"/>
        <v>2.4629629631817807E-2</v>
      </c>
      <c r="N35" s="7">
        <f t="shared" si="18"/>
        <v>35.466666669817641</v>
      </c>
      <c r="O35" s="7"/>
      <c r="P35" s="7"/>
      <c r="Q35" s="23"/>
      <c r="R35" s="23"/>
      <c r="S35" s="35">
        <f t="shared" si="2"/>
        <v>1</v>
      </c>
      <c r="T35" s="50" t="str">
        <f t="shared" si="3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05:28:02-0600',mode:absolute,to:'2016-10-30 08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5" s="52" t="str">
        <f t="shared" si="5"/>
        <v>N</v>
      </c>
      <c r="X35" s="177">
        <f t="shared" si="6"/>
        <v>1</v>
      </c>
      <c r="Y35" s="67">
        <f t="shared" si="7"/>
        <v>8.0100000000000005E-2</v>
      </c>
      <c r="Z35" s="67">
        <f t="shared" si="8"/>
        <v>23.328700000000001</v>
      </c>
      <c r="AA35" s="67">
        <f t="shared" si="9"/>
        <v>23.2486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0"/>
        <v>0123-30</v>
      </c>
      <c r="AE35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35" s="88" t="str">
        <f t="shared" si="12"/>
        <v>"C:\Program Files (x86)\AstroGrep\AstroGrep.exe" /spath="%USERPROFILE%\AppData\Local\Temp\OnboardLogs" /stypes="app*4002*20161030*" /stext=" 13:.+((SYSTEM_STATE.+slice.+state.+changed )|(ment ac)|(system.+state.+changed )|(\[timeout)|(PRM\|1\|D)|(kpr)|(kdp)|(\|lc)|(penalty))" /e /r /s</v>
      </c>
      <c r="AG35" s="1" t="str">
        <f t="shared" si="13"/>
        <v>EC</v>
      </c>
      <c r="AH35" s="92" t="str">
        <f t="shared" si="33"/>
        <v>"%USERPROFILE%\Documents\GitHub\eaglep3\Utilities\RefineRTDCRunTimes.py" --tripid 123-30 --locoid 4002 --swversion DE.1.0.8.0 --startMP 204:801 --initTime 2016-10-30T06:28:02 --startdatetime 2016-10-30T06:30:25 --delay 1 --endMP 204:233287 --enddatetime 2016-10-30T07:05:53 --enforcementcount 0 &gt;&gt;C:\Users\stu\Documents\GitHub\eaglep3-reporting\EC\2016-10-30-refined-times.txt</v>
      </c>
      <c r="AI3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ID","value":"123-30"},{"id":16,"name":"Locomotive ID","value":"4002"},{"id":130,"name":"Impact","value":""},{"id":150,"name":"Time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471</v>
      </c>
      <c r="B36" s="7">
        <v>4001</v>
      </c>
      <c r="C36" s="22" t="s">
        <v>284</v>
      </c>
      <c r="D36" s="22" t="s">
        <v>359</v>
      </c>
      <c r="E36" s="13">
        <v>42673.308240740742</v>
      </c>
      <c r="F36" s="13">
        <v>42673.310069444444</v>
      </c>
      <c r="G36" s="7">
        <v>2</v>
      </c>
      <c r="H36" s="13" t="s">
        <v>362</v>
      </c>
      <c r="I36" s="13">
        <v>42673.337962962964</v>
      </c>
      <c r="J36" s="7">
        <v>0</v>
      </c>
      <c r="K36" s="112" t="str">
        <f t="shared" si="0"/>
        <v>4001/4002</v>
      </c>
      <c r="L36" s="22" t="str">
        <f>VLOOKUP(A36,'Trips&amp;Operators'!$C$1:$E$10000,3,FALSE)</f>
        <v>MALAVE</v>
      </c>
      <c r="M36" s="6">
        <f t="shared" si="1"/>
        <v>2.789351851970423E-2</v>
      </c>
      <c r="N36" s="7">
        <f t="shared" si="18"/>
        <v>40.166666668374091</v>
      </c>
      <c r="O36" s="7"/>
      <c r="P36" s="7"/>
      <c r="Q36" s="23"/>
      <c r="R36" s="23"/>
      <c r="S36" s="35">
        <f t="shared" si="2"/>
        <v>1</v>
      </c>
      <c r="T36" s="50" t="str">
        <f t="shared" si="3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06:23:52-0600',mode:absolute,to:'2016-10-30 09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6" s="52" t="str">
        <f t="shared" si="5"/>
        <v>N</v>
      </c>
      <c r="X36" s="177">
        <f t="shared" si="6"/>
        <v>1</v>
      </c>
      <c r="Y36" s="67">
        <f t="shared" si="7"/>
        <v>23.2972</v>
      </c>
      <c r="Z36" s="67">
        <f t="shared" si="8"/>
        <v>1.6E-2</v>
      </c>
      <c r="AA36" s="67">
        <f t="shared" si="9"/>
        <v>23.281200000000002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0"/>
        <v>0124-30</v>
      </c>
      <c r="AE36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36" s="88" t="str">
        <f t="shared" si="12"/>
        <v>"C:\Program Files (x86)\AstroGrep\AstroGrep.exe" /spath="%USERPROFILE%\AppData\Local\Temp\OnboardLogs" /stypes="app*4001*20161030*" /stext=" 14:.+((SYSTEM_STATE.+slice.+state.+changed )|(ment ac)|(system.+state.+changed )|(\[timeout)|(PRM\|1\|D)|(kpr)|(kdp)|(\|lc)|(penalty))" /e /r /s</v>
      </c>
      <c r="AG36" s="1" t="str">
        <f t="shared" si="13"/>
        <v>EC</v>
      </c>
      <c r="AH36" s="92" t="str">
        <f t="shared" si="33"/>
        <v>"%USERPROFILE%\Documents\GitHub\eaglep3\Utilities\RefineRTDCRunTimes.py" --tripid 124-30 --locoid 4001 --swversion DE.1.0.8.0 --startMP 204:232972 --initTime 2016-10-30T07:23:52 --startdatetime 2016-10-30T07:26:30 --delay 2 --endMP 204:160 --enddatetime 2016-10-30T08:06:40 --enforcementcount 0 &gt;&gt;C:\Users\stu\Documents\GitHub\eaglep3-reporting\EC\2016-10-30-refined-times.txt</v>
      </c>
      <c r="AI3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{"issue":{"subject":"","project_id":79,"tracker_id":40,"status_id":1,"priority_id":2,"assigned_to_id":23,"start_date":"2016-10-30","description":"","custom_fields":[{"id":1,"name":"Subdivision","value":"EC"},{"id":4,"name":"Milepost","value":"0.016"},{"id":17,"name":"Train ID","value":"124-30"},{"id":16,"name":"Locomotive ID","value":"4001"},{"id":130,"name":"Impact","value":""},{"id":150,"name":"Time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467</v>
      </c>
      <c r="B37" s="7">
        <v>4053</v>
      </c>
      <c r="C37" s="22" t="s">
        <v>284</v>
      </c>
      <c r="D37" s="22" t="s">
        <v>247</v>
      </c>
      <c r="E37" s="13">
        <v>42673.279606481483</v>
      </c>
      <c r="F37" s="13">
        <v>42673.281458333331</v>
      </c>
      <c r="G37" s="7">
        <v>1</v>
      </c>
      <c r="H37" s="13" t="s">
        <v>221</v>
      </c>
      <c r="I37" s="13">
        <v>42673.313425925924</v>
      </c>
      <c r="J37" s="7">
        <v>0</v>
      </c>
      <c r="K37" s="112" t="str">
        <f t="shared" si="0"/>
        <v>4053/4054</v>
      </c>
      <c r="L37" s="22" t="str">
        <f>VLOOKUP(A37,'Trips&amp;Operators'!$C$1:$E$10000,3,FALSE)</f>
        <v>STRICKLAND</v>
      </c>
      <c r="M37" s="6">
        <f t="shared" si="1"/>
        <v>3.1967592592991423E-2</v>
      </c>
      <c r="N37" s="7">
        <f t="shared" si="18"/>
        <v>46.033333333907649</v>
      </c>
      <c r="O37" s="7"/>
      <c r="P37" s="7"/>
      <c r="Q37" s="23"/>
      <c r="R37" s="23"/>
      <c r="S37" s="35">
        <f t="shared" si="2"/>
        <v>1</v>
      </c>
      <c r="T37" s="50" t="str">
        <f t="shared" si="3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05:42:38-0600',mode:absolute,to:'2016-10-30 08:31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7" s="52" t="str">
        <f t="shared" si="5"/>
        <v>N</v>
      </c>
      <c r="X37" s="177">
        <f t="shared" si="6"/>
        <v>1</v>
      </c>
      <c r="Y37" s="67">
        <f t="shared" si="7"/>
        <v>4.4900000000000002E-2</v>
      </c>
      <c r="Z37" s="67">
        <f t="shared" si="8"/>
        <v>23.329499999999999</v>
      </c>
      <c r="AA37" s="67">
        <f t="shared" si="9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0"/>
        <v>0125-30</v>
      </c>
      <c r="AE37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37" s="88" t="str">
        <f t="shared" si="12"/>
        <v>"C:\Program Files (x86)\AstroGrep\AstroGrep.exe" /spath="%USERPROFILE%\AppData\Local\Temp\OnboardLogs" /stypes="app*4053*20161030*" /stext=" 13:.+((SYSTEM_STATE.+slice.+state.+changed )|(ment ac)|(system.+state.+changed )|(\[timeout)|(PRM\|1\|D)|(kpr)|(kdp)|(\|lc)|(penalty))" /e /r /s</v>
      </c>
      <c r="AG37" s="1" t="str">
        <f t="shared" si="13"/>
        <v>EC</v>
      </c>
      <c r="AH37" s="92" t="str">
        <f t="shared" si="33"/>
        <v>"%USERPROFILE%\Documents\GitHub\eaglep3\Utilities\RefineRTDCRunTimes.py" --tripid 125-30 --locoid 4053 --swversion DE.1.0.8.0 --startMP 204:449 --initTime 2016-10-30T06:42:38 --startdatetime 2016-10-30T06:45:18 --delay 1 --endMP 204:233295 --enddatetime 2016-10-30T07:31:20 --enforcementcount 0 &gt;&gt;C:\Users\stu\Documents\GitHub\eaglep3-reporting\EC\2016-10-30-refined-times.txt</v>
      </c>
      <c r="AI3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{"issue":{"subject":"","project_id":79,"tracker_id":40,"status_id":1,"priority_id":2,"assigned_to_id":23,"start_date":"2016-10-30","description":"","custom_fields":[{"id":1,"name":"Subdivision","value":"EC"},{"id":4,"name":"Milepost","value":"23.3295"},{"id":17,"name":"Train ID","value":"125-30"},{"id":16,"name":"Locomotive ID","value":"4053"},{"id":130,"name":"Impact","value":""},{"id":150,"name":"Time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473</v>
      </c>
      <c r="B38" s="7">
        <v>4054</v>
      </c>
      <c r="C38" s="22" t="s">
        <v>284</v>
      </c>
      <c r="D38" s="22" t="s">
        <v>280</v>
      </c>
      <c r="E38" s="13">
        <v>42673.316851851851</v>
      </c>
      <c r="F38" s="13">
        <v>42673.320381944446</v>
      </c>
      <c r="G38" s="7">
        <v>1</v>
      </c>
      <c r="H38" s="13" t="s">
        <v>248</v>
      </c>
      <c r="I38" s="13">
        <v>42673.348726851851</v>
      </c>
      <c r="J38" s="7">
        <v>0</v>
      </c>
      <c r="K38" s="112" t="str">
        <f t="shared" si="0"/>
        <v>4053/4054</v>
      </c>
      <c r="L38" s="22" t="str">
        <f>VLOOKUP(A38,'Trips&amp;Operators'!$C$1:$E$10000,3,FALSE)</f>
        <v>DE LA ROSA</v>
      </c>
      <c r="M38" s="6">
        <f t="shared" si="1"/>
        <v>2.8344907404971309E-2</v>
      </c>
      <c r="N38" s="7">
        <f t="shared" si="18"/>
        <v>40.816666663158685</v>
      </c>
      <c r="O38" s="7"/>
      <c r="P38" s="7"/>
      <c r="Q38" s="23"/>
      <c r="R38" s="23"/>
      <c r="S38" s="35">
        <f t="shared" si="2"/>
        <v>1</v>
      </c>
      <c r="T38" s="50" t="str">
        <f t="shared" si="3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06:36:16-0600',mode:absolute,to:'2016-10-30 09:22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8" s="52" t="str">
        <f t="shared" si="5"/>
        <v>N</v>
      </c>
      <c r="X38" s="177">
        <f t="shared" si="6"/>
        <v>1</v>
      </c>
      <c r="Y38" s="67">
        <f t="shared" si="7"/>
        <v>23.296299999999999</v>
      </c>
      <c r="Z38" s="67">
        <f t="shared" si="8"/>
        <v>1.38E-2</v>
      </c>
      <c r="AA38" s="67">
        <f t="shared" si="9"/>
        <v>23.282499999999999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0"/>
        <v>0126-30</v>
      </c>
      <c r="AE38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38" s="88" t="str">
        <f t="shared" si="12"/>
        <v>"C:\Program Files (x86)\AstroGrep\AstroGrep.exe" /spath="%USERPROFILE%\AppData\Local\Temp\OnboardLogs" /stypes="app*4054*20161030*" /stext=" 14:.+((SYSTEM_STATE.+slice.+state.+changed )|(ment ac)|(system.+state.+changed )|(\[timeout)|(PRM\|1\|D)|(kpr)|(kdp)|(\|lc)|(penalty))" /e /r /s</v>
      </c>
      <c r="AG38" s="1" t="str">
        <f t="shared" si="13"/>
        <v>EC</v>
      </c>
      <c r="AH38" s="92" t="str">
        <f t="shared" si="33"/>
        <v>"%USERPROFILE%\Documents\GitHub\eaglep3\Utilities\RefineRTDCRunTimes.py" --tripid 126-30 --locoid 4054 --swversion DE.1.0.8.0 --startMP 204:232963 --initTime 2016-10-30T07:36:16 --startdatetime 2016-10-30T07:41:21 --delay 1 --endMP 204:138 --enddatetime 2016-10-30T08:22:10 --enforcementcount 0 &gt;&gt;C:\Users\stu\Documents\GitHub\eaglep3-reporting\EC\2016-10-30-refined-times.txt</v>
      </c>
      <c r="AI3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ID","value":"126-30"},{"id":16,"name":"Locomotive ID","value":"4054"},{"id":130,"name":"Impact","value":""},{"id":150,"name":"Time of Event (Mountain Time)","value":"08:22:10"},{"id":151,"name":"Denver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469</v>
      </c>
      <c r="B39" s="7">
        <v>4046</v>
      </c>
      <c r="C39" s="22" t="s">
        <v>284</v>
      </c>
      <c r="D39" s="22" t="s">
        <v>642</v>
      </c>
      <c r="E39" s="13">
        <v>42673.292615740742</v>
      </c>
      <c r="F39" s="13">
        <v>42673.294085648151</v>
      </c>
      <c r="G39" s="7">
        <v>1</v>
      </c>
      <c r="H39" s="13" t="s">
        <v>192</v>
      </c>
      <c r="I39" s="13">
        <v>42673.324236111112</v>
      </c>
      <c r="J39" s="7">
        <v>0</v>
      </c>
      <c r="K39" s="112" t="str">
        <f t="shared" si="0"/>
        <v>4045/4046</v>
      </c>
      <c r="L39" s="22" t="str">
        <f>VLOOKUP(A39,'Trips&amp;Operators'!$C$1:$E$10000,3,FALSE)</f>
        <v>STRICKLAND</v>
      </c>
      <c r="M39" s="6">
        <f t="shared" si="1"/>
        <v>3.015046296059154E-2</v>
      </c>
      <c r="N39" s="7">
        <f t="shared" si="18"/>
        <v>43.416666663251817</v>
      </c>
      <c r="O39" s="7"/>
      <c r="P39" s="7"/>
      <c r="Q39" s="23"/>
      <c r="R39" s="23"/>
      <c r="S39" s="35">
        <f t="shared" si="2"/>
        <v>1</v>
      </c>
      <c r="T39" s="50" t="str">
        <f t="shared" si="3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06:01:22-0600',mode:absolute,to:'2016-10-30 08:46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9" s="52" t="str">
        <f t="shared" si="5"/>
        <v>N</v>
      </c>
      <c r="X39" s="177">
        <f t="shared" si="6"/>
        <v>1</v>
      </c>
      <c r="Y39" s="67">
        <f t="shared" si="7"/>
        <v>0.14960000000000001</v>
      </c>
      <c r="Z39" s="67">
        <f t="shared" si="8"/>
        <v>23.329699999999999</v>
      </c>
      <c r="AA39" s="67">
        <f t="shared" si="9"/>
        <v>23.180099999999999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0"/>
        <v>0127-30</v>
      </c>
      <c r="AE39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39" s="88" t="str">
        <f t="shared" si="12"/>
        <v>"C:\Program Files (x86)\AstroGrep\AstroGrep.exe" /spath="%USERPROFILE%\AppData\Local\Temp\OnboardLogs" /stypes="app*4046*20161030*" /stext=" 13:.+((SYSTEM_STATE.+slice.+state.+changed )|(ment ac)|(system.+state.+changed )|(\[timeout)|(PRM\|1\|D)|(kpr)|(kdp)|(\|lc)|(penalty))" /e /r /s</v>
      </c>
      <c r="AG39" s="1" t="str">
        <f t="shared" si="13"/>
        <v>EC</v>
      </c>
      <c r="AH39" s="92" t="str">
        <f t="shared" si="33"/>
        <v>"%USERPROFILE%\Documents\GitHub\eaglep3\Utilities\RefineRTDCRunTimes.py" --tripid 127-30 --locoid 4046 --swversion DE.1.0.8.0 --startMP 204:1496 --initTime 2016-10-30T07:01:22 --startdatetime 2016-10-30T07:03:29 --delay 1 --endMP 204:233297 --enddatetime 2016-10-30T07:46:54 --enforcementcount 0 &gt;&gt;C:\Users\stu\Documents\GitHub\eaglep3-reporting\EC\2016-10-30-refined-times.txt</v>
      </c>
      <c r="AI3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ID","value":"127-30"},{"id":16,"name":"Locomotive ID","value":"4046"},{"id":130,"name":"Impact","value":""},{"id":150,"name":"Time of Event (Mountain Time)","value":"07:46:54"},{"id":151,"name":"Denver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476</v>
      </c>
      <c r="B40" s="7">
        <v>4045</v>
      </c>
      <c r="C40" s="22" t="s">
        <v>284</v>
      </c>
      <c r="D40" s="22" t="s">
        <v>373</v>
      </c>
      <c r="E40" s="13">
        <v>42673.325439814813</v>
      </c>
      <c r="F40" s="13">
        <v>42673.330949074072</v>
      </c>
      <c r="G40" s="7">
        <v>1</v>
      </c>
      <c r="H40" s="13" t="s">
        <v>643</v>
      </c>
      <c r="I40" s="13">
        <v>42673.357870370368</v>
      </c>
      <c r="J40" s="7">
        <v>0</v>
      </c>
      <c r="K40" s="112" t="str">
        <f t="shared" si="0"/>
        <v>4045/4046</v>
      </c>
      <c r="L40" s="22" t="str">
        <f>VLOOKUP(A40,'Trips&amp;Operators'!$C$1:$E$10000,3,FALSE)</f>
        <v>STRICKLAND</v>
      </c>
      <c r="M40" s="6">
        <f t="shared" si="1"/>
        <v>2.6921296295768116E-2</v>
      </c>
      <c r="N40" s="7">
        <f t="shared" si="18"/>
        <v>38.766666665906087</v>
      </c>
      <c r="O40" s="7"/>
      <c r="P40" s="7"/>
      <c r="Q40" s="23"/>
      <c r="R40" s="23"/>
      <c r="S40" s="35">
        <f t="shared" si="2"/>
        <v>1</v>
      </c>
      <c r="T40" s="50" t="str">
        <f t="shared" si="3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06:48:38-0600',mode:absolute,to:'2016-10-30 09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0" s="52" t="str">
        <f t="shared" si="5"/>
        <v>N</v>
      </c>
      <c r="X40" s="177">
        <f t="shared" si="6"/>
        <v>1</v>
      </c>
      <c r="Y40" s="67">
        <f t="shared" si="7"/>
        <v>23.297599999999999</v>
      </c>
      <c r="Z40" s="67">
        <f t="shared" si="8"/>
        <v>1.72E-2</v>
      </c>
      <c r="AA40" s="67">
        <f t="shared" si="9"/>
        <v>23.2804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0"/>
        <v>0128-30</v>
      </c>
      <c r="AE40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40" s="88" t="str">
        <f t="shared" si="12"/>
        <v>"C:\Program Files (x86)\AstroGrep\AstroGrep.exe" /spath="%USERPROFILE%\AppData\Local\Temp\OnboardLogs" /stypes="app*4045*20161030*" /stext=" 14:.+((SYSTEM_STATE.+slice.+state.+changed )|(ment ac)|(system.+state.+changed )|(\[timeout)|(PRM\|1\|D)|(kpr)|(kdp)|(\|lc)|(penalty))" /e /r /s</v>
      </c>
      <c r="AG40" s="1" t="str">
        <f t="shared" si="13"/>
        <v>EC</v>
      </c>
      <c r="AH40" s="92" t="str">
        <f t="shared" si="33"/>
        <v>"%USERPROFILE%\Documents\GitHub\eaglep3\Utilities\RefineRTDCRunTimes.py" --tripid 128-30 --locoid 4045 --swversion DE.1.0.8.0 --startMP 204:232976 --initTime 2016-10-30T07:48:38 --startdatetime 2016-10-30T07:56:34 --delay 1 --endMP 204:172 --enddatetime 2016-10-30T08:35:20 --enforcementcount 0 &gt;&gt;C:\Users\stu\Documents\GitHub\eaglep3-reporting\EC\2016-10-30-refined-times.txt</v>
      </c>
      <c r="AI4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{"issue":{"subject":"","project_id":79,"tracker_id":40,"status_id":1,"priority_id":2,"assigned_to_id":23,"start_date":"2016-10-30","description":"","custom_fields":[{"id":1,"name":"Subdivision","value":"EC"},{"id":4,"name":"Milepost","value":"0.0172"},{"id":17,"name":"Train ID","value":"128-30"},{"id":16,"name":"Locomotive ID","value":"4045"},{"id":130,"name":"Impact","value":""},{"id":150,"name":"Time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396</v>
      </c>
      <c r="B41" s="7">
        <v>4006</v>
      </c>
      <c r="C41" s="22" t="s">
        <v>284</v>
      </c>
      <c r="D41" s="22" t="s">
        <v>644</v>
      </c>
      <c r="E41" s="13">
        <v>42673.300219907411</v>
      </c>
      <c r="F41" s="13">
        <v>42673.306747685187</v>
      </c>
      <c r="G41" s="7">
        <v>1</v>
      </c>
      <c r="H41" s="13" t="s">
        <v>331</v>
      </c>
      <c r="I41" s="13">
        <v>42673.33184027778</v>
      </c>
      <c r="J41" s="7">
        <v>0</v>
      </c>
      <c r="K41" s="112" t="str">
        <f t="shared" si="0"/>
        <v>4005/4006</v>
      </c>
      <c r="L41" s="22" t="str">
        <f>VLOOKUP(A41,'Trips&amp;Operators'!$C$1:$E$10000,3,FALSE)</f>
        <v>ROCHA</v>
      </c>
      <c r="M41" s="6">
        <f t="shared" si="1"/>
        <v>2.5092592593864538E-2</v>
      </c>
      <c r="N41" s="7">
        <f t="shared" si="18"/>
        <v>36.133333335164934</v>
      </c>
      <c r="O41" s="7"/>
      <c r="P41" s="7"/>
      <c r="Q41" s="23"/>
      <c r="R41" s="23"/>
      <c r="S41" s="35">
        <f t="shared" si="2"/>
        <v>1</v>
      </c>
      <c r="T41" s="50" t="str">
        <f t="shared" si="3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41" s="52" t="str">
        <f t="shared" si="5"/>
        <v>N</v>
      </c>
      <c r="X41" s="177">
        <f t="shared" si="6"/>
        <v>1</v>
      </c>
      <c r="Y41" s="67">
        <f t="shared" si="7"/>
        <v>7.5899999999999995E-2</v>
      </c>
      <c r="Z41" s="67">
        <f t="shared" si="8"/>
        <v>23.3278</v>
      </c>
      <c r="AA41" s="67">
        <f t="shared" si="9"/>
        <v>23.251899999999999</v>
      </c>
      <c r="AB41" s="64" t="str">
        <f>VLOOKUP(A41,Enforcements!$C$7:$K$21,8,0)</f>
        <v>Speed (6)</v>
      </c>
      <c r="AC41" s="60" t="str">
        <f>VLOOKUP(A41,Enforcements!$C$7:$E$21,3,0)</f>
        <v>PERMANENT SPEED RESTRICTION</v>
      </c>
      <c r="AD41" s="61" t="str">
        <f t="shared" si="10"/>
        <v>0129-30</v>
      </c>
      <c r="AE41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41" s="88" t="str">
        <f t="shared" si="12"/>
        <v>"C:\Program Files (x86)\AstroGrep\AstroGrep.exe" /spath="%USERPROFILE%\AppData\Local\Temp\OnboardLogs" /stypes="app*4006*20161030*" /stext=" 13:.+((SYSTEM_STATE.+slice.+state.+changed )|(ment ac)|(system.+state.+changed )|(\[timeout)|(PRM\|1\|D)|(kpr)|(kdp)|(\|lc)|(penalty))" /e /r /s</v>
      </c>
      <c r="AG41" s="1" t="str">
        <f t="shared" si="13"/>
        <v>EC</v>
      </c>
      <c r="AH41" s="92" t="str">
        <f t="shared" si="33"/>
        <v>"%USERPROFILE%\Documents\GitHub\eaglep3\Utilities\RefineRTDCRunTimes.py" --tripid 129-30 --locoid 4006 --swversion DE.1.0.8.0 --startMP 204:759 --initTime 2016-10-30T07:12:19 --startdatetime 2016-10-30T07:21:43 --delay 1 --endMP 204:233278 --enddatetime 2016-10-30T07:57:51 --enforcementcount 0 &gt;&gt;C:\Users\stu\Documents\GitHub\eaglep3-reporting\EC\2016-10-30-refined-times.txt</v>
      </c>
      <c r="AI4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{"issue":{"subject":"","project_id":79,"tracker_id":40,"status_id":1,"priority_id":2,"assigned_to_id":23,"start_date":"2016-10-30","description":"","custom_fields":[{"id":1,"name":"Subdivision","value":"EC"},{"id":4,"name":"Milepost","value":"23.3278"},{"id":17,"name":"Train ID","value":"129-30"},{"id":16,"name":"Locomotive ID","value":"4006"},{"id":130,"name":"Impact","value":""},{"id":150,"name":"Time of Event (Mountain Time)","value":"07:57:51"},{"id":151,"name":"Denver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478</v>
      </c>
      <c r="B42" s="7">
        <v>4005</v>
      </c>
      <c r="C42" s="22" t="s">
        <v>284</v>
      </c>
      <c r="D42" s="22" t="s">
        <v>645</v>
      </c>
      <c r="E42" s="13">
        <v>42673.33935185185</v>
      </c>
      <c r="F42" s="13">
        <v>42673.341192129628</v>
      </c>
      <c r="G42" s="7">
        <v>1</v>
      </c>
      <c r="H42" s="13" t="s">
        <v>646</v>
      </c>
      <c r="I42" s="13">
        <v>42673.366597222222</v>
      </c>
      <c r="J42" s="7">
        <v>0</v>
      </c>
      <c r="K42" s="112" t="str">
        <f t="shared" si="0"/>
        <v>4005/4006</v>
      </c>
      <c r="L42" s="22" t="str">
        <f>VLOOKUP(A42,'Trips&amp;Operators'!$C$1:$E$10000,3,FALSE)</f>
        <v>ROCHA</v>
      </c>
      <c r="M42" s="6">
        <f t="shared" si="1"/>
        <v>2.5405092594155576E-2</v>
      </c>
      <c r="N42" s="7">
        <f t="shared" si="18"/>
        <v>36.58333333558403</v>
      </c>
      <c r="O42" s="7"/>
      <c r="P42" s="7"/>
      <c r="Q42" s="23"/>
      <c r="R42" s="23"/>
      <c r="S42" s="35">
        <f t="shared" si="2"/>
        <v>1</v>
      </c>
      <c r="T42" s="50" t="str">
        <f t="shared" si="3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07:08:40-0600',mode:absolute,to:'2016-10-30 09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42" s="52" t="str">
        <f t="shared" si="5"/>
        <v>N</v>
      </c>
      <c r="X42" s="177">
        <f t="shared" si="6"/>
        <v>1</v>
      </c>
      <c r="Y42" s="67">
        <f t="shared" si="7"/>
        <v>23.297999999999998</v>
      </c>
      <c r="Z42" s="67">
        <f t="shared" si="8"/>
        <v>0.2092</v>
      </c>
      <c r="AA42" s="67">
        <f t="shared" si="9"/>
        <v>23.088799999999999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0"/>
        <v>0130-30</v>
      </c>
      <c r="AE42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42" s="88" t="str">
        <f t="shared" si="12"/>
        <v>"C:\Program Files (x86)\AstroGrep\AstroGrep.exe" /spath="%USERPROFILE%\AppData\Local\Temp\OnboardLogs" /stypes="app*4005*20161030*" /stext=" 14:.+((SYSTEM_STATE.+slice.+state.+changed )|(ment ac)|(system.+state.+changed )|(\[timeout)|(PRM\|1\|D)|(kpr)|(kdp)|(\|lc)|(penalty))" /e /r /s</v>
      </c>
      <c r="AG42" s="1" t="str">
        <f t="shared" si="13"/>
        <v>EC</v>
      </c>
      <c r="AH42" s="92" t="str">
        <f t="shared" si="33"/>
        <v>"%USERPROFILE%\Documents\GitHub\eaglep3\Utilities\RefineRTDCRunTimes.py" --tripid 130-30 --locoid 4005 --swversion DE.1.0.8.0 --startMP 204:232980 --initTime 2016-10-30T08:08:40 --startdatetime 2016-10-30T08:11:19 --delay 1 --endMP 204:2092 --enddatetime 2016-10-30T08:47:54 --enforcementcount 0 &gt;&gt;C:\Users\stu\Documents\GitHub\eaglep3-reporting\EC\2016-10-30-refined-times.txt</v>
      </c>
      <c r="AI4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{"issue":{"subject":"","project_id":79,"tracker_id":40,"status_id":1,"priority_id":2,"assigned_to_id":23,"start_date":"2016-10-30","description":"","custom_fields":[{"id":1,"name":"Subdivision","value":"EC"},{"id":4,"name":"Milepost","value":"0.2092"},{"id":17,"name":"Train ID","value":"130-30"},{"id":16,"name":"Locomotive ID","value":"4005"},{"id":130,"name":"Impact","value":""},{"id":150,"name":"Time of Event (Mountain Time)","value":"08:47:54"},{"id":151,"name":"Denver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472</v>
      </c>
      <c r="B43" s="7">
        <v>4025</v>
      </c>
      <c r="C43" s="22" t="s">
        <v>284</v>
      </c>
      <c r="D43" s="22" t="s">
        <v>225</v>
      </c>
      <c r="E43" s="13">
        <v>42673.308275462965</v>
      </c>
      <c r="F43" s="13">
        <v>42673.313425925924</v>
      </c>
      <c r="G43" s="7">
        <v>1</v>
      </c>
      <c r="H43" s="13" t="s">
        <v>213</v>
      </c>
      <c r="I43" s="13">
        <v>42673.337858796294</v>
      </c>
      <c r="J43" s="7">
        <v>0</v>
      </c>
      <c r="K43" s="112" t="str">
        <f t="shared" si="0"/>
        <v>4025/4026</v>
      </c>
      <c r="L43" s="22" t="str">
        <f>VLOOKUP(A43,'Trips&amp;Operators'!$C$1:$E$10000,3,FALSE)</f>
        <v>ACKERMAN</v>
      </c>
      <c r="M43" s="6">
        <f t="shared" si="1"/>
        <v>2.4432870370219462E-2</v>
      </c>
      <c r="N43" s="7">
        <f t="shared" si="18"/>
        <v>35.183333333116025</v>
      </c>
      <c r="O43" s="7"/>
      <c r="P43" s="7"/>
      <c r="Q43" s="23"/>
      <c r="R43" s="23"/>
      <c r="S43" s="35">
        <f t="shared" si="2"/>
        <v>1</v>
      </c>
      <c r="T43" s="50" t="str">
        <f t="shared" si="3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06:23:55-0600',mode:absolute,to:'2016-10-30 09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3" s="52" t="str">
        <f t="shared" si="5"/>
        <v>N</v>
      </c>
      <c r="X43" s="177">
        <f t="shared" si="6"/>
        <v>1</v>
      </c>
      <c r="Y43" s="67">
        <f t="shared" si="7"/>
        <v>4.6899999999999997E-2</v>
      </c>
      <c r="Z43" s="67">
        <f t="shared" si="8"/>
        <v>23.3293</v>
      </c>
      <c r="AA43" s="67">
        <f t="shared" si="9"/>
        <v>23.282399999999999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0"/>
        <v>0131-30</v>
      </c>
      <c r="AE43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43" s="88" t="str">
        <f t="shared" si="12"/>
        <v>"C:\Program Files (x86)\AstroGrep\AstroGrep.exe" /spath="%USERPROFILE%\AppData\Local\Temp\OnboardLogs" /stypes="app*4025*20161030*" /stext=" 14:.+((SYSTEM_STATE.+slice.+state.+changed )|(ment ac)|(system.+state.+changed )|(\[timeout)|(PRM\|1\|D)|(kpr)|(kdp)|(\|lc)|(penalty))" /e /r /s</v>
      </c>
      <c r="AG43" s="1" t="str">
        <f t="shared" si="13"/>
        <v>EC</v>
      </c>
      <c r="AH43" s="92" t="str">
        <f t="shared" si="33"/>
        <v>"%USERPROFILE%\Documents\GitHub\eaglep3\Utilities\RefineRTDCRunTimes.py" --tripid 131-30 --locoid 4025 --swversion DE.1.0.8.0 --startMP 204:469 --initTime 2016-10-30T07:23:55 --startdatetime 2016-10-30T07:31:20 --delay 1 --endMP 204:233293 --enddatetime 2016-10-30T08:06:31 --enforcementcount 0 &gt;&gt;C:\Users\stu\Documents\GitHub\eaglep3-reporting\EC\2016-10-30-refined-times.txt</v>
      </c>
      <c r="AI4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{"issue":{"subject":"","project_id":79,"tracker_id":40,"status_id":1,"priority_id":2,"assigned_to_id":23,"start_date":"2016-10-30","description":"","custom_fields":[{"id":1,"name":"Subdivision","value":"EC"},{"id":4,"name":"Milepost","value":"23.3293"},{"id":17,"name":"Train ID","value":"131-30"},{"id":16,"name":"Locomotive ID","value":"4025"},{"id":130,"name":"Impact","value":""},{"id":150,"name":"Time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398</v>
      </c>
      <c r="B44" s="7">
        <v>4026</v>
      </c>
      <c r="C44" s="22" t="s">
        <v>284</v>
      </c>
      <c r="D44" s="22" t="s">
        <v>291</v>
      </c>
      <c r="E44" s="13">
        <v>42673.346377314818</v>
      </c>
      <c r="F44" s="13">
        <v>42673.351574074077</v>
      </c>
      <c r="G44" s="7">
        <v>1</v>
      </c>
      <c r="H44" s="13" t="s">
        <v>292</v>
      </c>
      <c r="I44" s="13">
        <v>42673.377812500003</v>
      </c>
      <c r="J44" s="7">
        <v>0</v>
      </c>
      <c r="K44" s="112" t="str">
        <f t="shared" si="0"/>
        <v>4025/4026</v>
      </c>
      <c r="L44" s="22" t="str">
        <f>VLOOKUP(A44,'Trips&amp;Operators'!$C$1:$E$10000,3,FALSE)</f>
        <v>ACKERMAN</v>
      </c>
      <c r="M44" s="6">
        <f t="shared" si="1"/>
        <v>2.6238425925839692E-2</v>
      </c>
      <c r="N44" s="7">
        <f t="shared" si="18"/>
        <v>37.783333333209157</v>
      </c>
      <c r="O44" s="7"/>
      <c r="P44" s="7"/>
      <c r="Q44" s="23"/>
      <c r="R44" s="23"/>
      <c r="S44" s="35">
        <f t="shared" si="2"/>
        <v>1</v>
      </c>
      <c r="T44" s="50" t="str">
        <f t="shared" si="3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07:18:47-0600',mode:absolute,to:'2016-10-30 10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4" s="52" t="str">
        <f t="shared" si="5"/>
        <v>N</v>
      </c>
      <c r="X44" s="177">
        <f t="shared" si="6"/>
        <v>1</v>
      </c>
      <c r="Y44" s="67">
        <f t="shared" si="7"/>
        <v>23.298300000000001</v>
      </c>
      <c r="Z44" s="67">
        <f t="shared" si="8"/>
        <v>1.3899999999999999E-2</v>
      </c>
      <c r="AA44" s="67">
        <f t="shared" si="9"/>
        <v>23.284400000000002</v>
      </c>
      <c r="AB44" s="64" t="str">
        <f>VLOOKUP(A44,Enforcements!$C$7:$K$21,8,0)</f>
        <v>Form based authority (4)</v>
      </c>
      <c r="AC44" s="60" t="str">
        <f>VLOOKUP(A44,Enforcements!$C$7:$E$21,3,0)</f>
        <v>TRACK WARRANT AUTHORITY</v>
      </c>
      <c r="AD44" s="61" t="str">
        <f t="shared" si="10"/>
        <v>0132-30</v>
      </c>
      <c r="AE44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44" s="88" t="str">
        <f t="shared" si="12"/>
        <v>"C:\Program Files (x86)\AstroGrep\AstroGrep.exe" /spath="%USERPROFILE%\AppData\Local\Temp\OnboardLogs" /stypes="app*4026*20161030*" /stext=" 15:.+((SYSTEM_STATE.+slice.+state.+changed )|(ment ac)|(system.+state.+changed )|(\[timeout)|(PRM\|1\|D)|(kpr)|(kdp)|(\|lc)|(penalty))" /e /r /s</v>
      </c>
      <c r="AG44" s="1" t="str">
        <f t="shared" si="13"/>
        <v>EC</v>
      </c>
      <c r="AH44" s="92" t="str">
        <f t="shared" si="33"/>
        <v>"%USERPROFILE%\Documents\GitHub\eaglep3\Utilities\RefineRTDCRunTimes.py" --tripid 132-30 --locoid 4026 --swversion DE.1.0.8.0 --startMP 204:232983 --initTime 2016-10-30T08:18:47 --startdatetime 2016-10-30T08:26:16 --delay 1 --endMP 204:139 --enddatetime 2016-10-30T09:04:03 --enforcementcount 0 &gt;&gt;C:\Users\stu\Documents\GitHub\eaglep3-reporting\EC\2016-10-30-refined-times.txt</v>
      </c>
      <c r="AI4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ID","value":"132-30"},{"id":16,"name":"Locomotive ID","value":"4026"},{"id":130,"name":"Impact","value":""},{"id":150,"name":"Time of Event (Mountain Time)","value":"09:04:03"},{"id":151,"name":"Denver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475</v>
      </c>
      <c r="B45" s="7">
        <v>4038</v>
      </c>
      <c r="C45" s="22" t="s">
        <v>284</v>
      </c>
      <c r="D45" s="22" t="s">
        <v>247</v>
      </c>
      <c r="E45" s="13">
        <v>42673.317835648151</v>
      </c>
      <c r="F45" s="13">
        <v>42673.323263888888</v>
      </c>
      <c r="G45" s="7">
        <v>1</v>
      </c>
      <c r="H45" s="13" t="s">
        <v>273</v>
      </c>
      <c r="I45" s="13">
        <v>42673.34820601852</v>
      </c>
      <c r="J45" s="7">
        <v>0</v>
      </c>
      <c r="K45" s="112" t="str">
        <f t="shared" si="0"/>
        <v>4037/4038</v>
      </c>
      <c r="L45" s="22" t="str">
        <f>VLOOKUP(A45,'Trips&amp;Operators'!$C$1:$E$10000,3,FALSE)</f>
        <v>MAELZER</v>
      </c>
      <c r="M45" s="6">
        <f t="shared" si="1"/>
        <v>2.4942129632108845E-2</v>
      </c>
      <c r="N45" s="7">
        <f t="shared" si="18"/>
        <v>35.916666670236737</v>
      </c>
      <c r="O45" s="7"/>
      <c r="P45" s="7"/>
      <c r="Q45" s="23"/>
      <c r="R45" s="23"/>
      <c r="S45" s="35">
        <f t="shared" si="2"/>
        <v>1</v>
      </c>
      <c r="T45" s="50" t="str">
        <f t="shared" si="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06:37:41-0600',mode:absolute,to:'2016-10-30 09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5" s="52" t="str">
        <f t="shared" si="5"/>
        <v>N</v>
      </c>
      <c r="X45" s="177">
        <f t="shared" si="6"/>
        <v>1</v>
      </c>
      <c r="Y45" s="67">
        <f t="shared" si="7"/>
        <v>4.4900000000000002E-2</v>
      </c>
      <c r="Z45" s="67">
        <f t="shared" si="8"/>
        <v>23.330100000000002</v>
      </c>
      <c r="AA45" s="67">
        <f t="shared" si="9"/>
        <v>23.285200000000003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0"/>
        <v>0133-30</v>
      </c>
      <c r="AE45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45" s="88" t="str">
        <f t="shared" si="12"/>
        <v>"C:\Program Files (x86)\AstroGrep\AstroGrep.exe" /spath="%USERPROFILE%\AppData\Local\Temp\OnboardLogs" /stypes="app*4038*20161030*" /stext=" 14:.+((SYSTEM_STATE.+slice.+state.+changed )|(ment ac)|(system.+state.+changed )|(\[timeout)|(PRM\|1\|D)|(kpr)|(kdp)|(\|lc)|(penalty))" /e /r /s</v>
      </c>
      <c r="AG45" s="1" t="str">
        <f t="shared" si="13"/>
        <v>EC</v>
      </c>
      <c r="AH45" s="92" t="str">
        <f t="shared" si="33"/>
        <v>"%USERPROFILE%\Documents\GitHub\eaglep3\Utilities\RefineRTDCRunTimes.py" --tripid 133-30 --locoid 4038 --swversion DE.1.0.8.0 --startMP 204:449 --initTime 2016-10-30T07:37:41 --startdatetime 2016-10-30T07:45:30 --delay 1 --endMP 204:233301 --enddatetime 2016-10-30T08:21:25 --enforcementcount 0 &gt;&gt;C:\Users\stu\Documents\GitHub\eaglep3-reporting\EC\2016-10-30-refined-times.txt</v>
      </c>
      <c r="AI4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ID","value":"133-30"},{"id":16,"name":"Locomotive ID","value":"4038"},{"id":130,"name":"Impact","value":""},{"id":150,"name":"Time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481</v>
      </c>
      <c r="B46" s="7">
        <v>4037</v>
      </c>
      <c r="C46" s="22" t="s">
        <v>284</v>
      </c>
      <c r="D46" s="22" t="s">
        <v>645</v>
      </c>
      <c r="E46" s="13">
        <v>42673.358263888891</v>
      </c>
      <c r="F46" s="13">
        <v>42673.36204861111</v>
      </c>
      <c r="G46" s="7">
        <v>1</v>
      </c>
      <c r="H46" s="13" t="s">
        <v>212</v>
      </c>
      <c r="I46" s="13">
        <v>42673.388043981482</v>
      </c>
      <c r="J46" s="7">
        <v>0</v>
      </c>
      <c r="K46" s="112" t="str">
        <f t="shared" si="0"/>
        <v>4037/4038</v>
      </c>
      <c r="L46" s="22" t="str">
        <f>VLOOKUP(A46,'Trips&amp;Operators'!$C$1:$E$10000,3,FALSE)</f>
        <v>MAELZER</v>
      </c>
      <c r="M46" s="6">
        <f t="shared" si="1"/>
        <v>2.5995370371674653E-2</v>
      </c>
      <c r="N46" s="7">
        <f t="shared" si="18"/>
        <v>37.433333335211501</v>
      </c>
      <c r="O46" s="7"/>
      <c r="P46" s="7"/>
      <c r="Q46" s="23"/>
      <c r="R46" s="23"/>
      <c r="S46" s="35">
        <f t="shared" si="2"/>
        <v>1</v>
      </c>
      <c r="T46" s="50" t="str">
        <f t="shared" si="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07:35:54-0600',mode:absolute,to:'2016-10-30 10:18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6" s="52" t="str">
        <f t="shared" si="5"/>
        <v>N</v>
      </c>
      <c r="X46" s="177">
        <f t="shared" si="6"/>
        <v>1</v>
      </c>
      <c r="Y46" s="67">
        <f t="shared" si="7"/>
        <v>23.297999999999998</v>
      </c>
      <c r="Z46" s="67">
        <f t="shared" si="8"/>
        <v>1.49E-2</v>
      </c>
      <c r="AA46" s="67">
        <f t="shared" si="9"/>
        <v>23.283099999999997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0"/>
        <v>0134-30</v>
      </c>
      <c r="AE46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46" s="88" t="str">
        <f t="shared" si="12"/>
        <v>"C:\Program Files (x86)\AstroGrep\AstroGrep.exe" /spath="%USERPROFILE%\AppData\Local\Temp\OnboardLogs" /stypes="app*4037*20161030*" /stext=" 15:.+((SYSTEM_STATE.+slice.+state.+changed )|(ment ac)|(system.+state.+changed )|(\[timeout)|(PRM\|1\|D)|(kpr)|(kdp)|(\|lc)|(penalty))" /e /r /s</v>
      </c>
      <c r="AG46" s="1" t="str">
        <f t="shared" si="13"/>
        <v>EC</v>
      </c>
      <c r="AH46" s="92" t="str">
        <f t="shared" si="33"/>
        <v>"%USERPROFILE%\Documents\GitHub\eaglep3\Utilities\RefineRTDCRunTimes.py" --tripid 134-30 --locoid 4037 --swversion DE.1.0.8.0 --startMP 204:232980 --initTime 2016-10-30T08:35:54 --startdatetime 2016-10-30T08:41:21 --delay 1 --endMP 204:149 --enddatetime 2016-10-30T09:18:47 --enforcementcount 0 &gt;&gt;C:\Users\stu\Documents\GitHub\eaglep3-reporting\EC\2016-10-30-refined-times.txt</v>
      </c>
      <c r="AI4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ID","value":"134-30"},{"id":16,"name":"Locomotive ID","value":"4037"},{"id":130,"name":"Impact","value":""},{"id":150,"name":"Time of Event (Mountain Time)","value":"09:18:47"},{"id":151,"name":"Denver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477</v>
      </c>
      <c r="B47" s="7">
        <v>4027</v>
      </c>
      <c r="C47" s="22" t="s">
        <v>284</v>
      </c>
      <c r="D47" s="22" t="s">
        <v>295</v>
      </c>
      <c r="E47" s="13">
        <v>42673.33</v>
      </c>
      <c r="F47" s="13">
        <v>42673.333483796298</v>
      </c>
      <c r="G47" s="7">
        <v>1</v>
      </c>
      <c r="H47" s="13" t="s">
        <v>245</v>
      </c>
      <c r="I47" s="13">
        <v>42673.3596875</v>
      </c>
      <c r="J47" s="7">
        <v>0</v>
      </c>
      <c r="K47" s="112" t="str">
        <f t="shared" si="0"/>
        <v>4027/4028</v>
      </c>
      <c r="L47" s="22" t="str">
        <f>VLOOKUP(A47,'Trips&amp;Operators'!$C$1:$E$10000,3,FALSE)</f>
        <v>DAVIS</v>
      </c>
      <c r="M47" s="6">
        <f t="shared" si="1"/>
        <v>2.6203703702776693E-2</v>
      </c>
      <c r="N47" s="7">
        <f t="shared" si="18"/>
        <v>37.733333331998438</v>
      </c>
      <c r="O47" s="7"/>
      <c r="P47" s="7"/>
      <c r="Q47" s="23"/>
      <c r="R47" s="23"/>
      <c r="S47" s="35">
        <f t="shared" si="2"/>
        <v>1</v>
      </c>
      <c r="T47" s="50" t="str">
        <f t="shared" si="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06:55:12-0600',mode:absolute,to:'2016-10-30 09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7" s="52" t="str">
        <f t="shared" si="5"/>
        <v>N</v>
      </c>
      <c r="X47" s="177">
        <f t="shared" si="6"/>
        <v>1</v>
      </c>
      <c r="Y47" s="67">
        <f t="shared" si="7"/>
        <v>4.3499999999999997E-2</v>
      </c>
      <c r="Z47" s="67">
        <f t="shared" si="8"/>
        <v>23.330400000000001</v>
      </c>
      <c r="AA47" s="67">
        <f t="shared" si="9"/>
        <v>23.286899999999999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0"/>
        <v>0135-30</v>
      </c>
      <c r="AE47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47" s="88" t="str">
        <f t="shared" si="12"/>
        <v>"C:\Program Files (x86)\AstroGrep\AstroGrep.exe" /spath="%USERPROFILE%\AppData\Local\Temp\OnboardLogs" /stypes="app*4027*20161030*" /stext=" 14:.+((SYSTEM_STATE.+slice.+state.+changed )|(ment ac)|(system.+state.+changed )|(\[timeout)|(PRM\|1\|D)|(kpr)|(kdp)|(\|lc)|(penalty))" /e /r /s</v>
      </c>
      <c r="AG47" s="1" t="str">
        <f t="shared" si="13"/>
        <v>EC</v>
      </c>
      <c r="AH47" s="92" t="str">
        <f t="shared" si="33"/>
        <v>"%USERPROFILE%\Documents\GitHub\eaglep3\Utilities\RefineRTDCRunTimes.py" --tripid 135-30 --locoid 4027 --swversion DE.1.0.8.0 --startMP 204:435 --initTime 2016-10-30T07:55:12 --startdatetime 2016-10-30T08:00:13 --delay 1 --endMP 204:233304 --enddatetime 2016-10-30T08:37:57 --enforcementcount 0 &gt;&gt;C:\Users\stu\Documents\GitHub\eaglep3-reporting\EC\2016-10-30-refined-times.txt</v>
      </c>
      <c r="AI4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{"issue":{"subject":"","project_id":79,"tracker_id":40,"status_id":1,"priority_id":2,"assigned_to_id":23,"start_date":"2016-10-30","description":"","custom_fields":[{"id":1,"name":"Subdivision","value":"EC"},{"id":4,"name":"Milepost","value":"23.3304"},{"id":17,"name":"Train ID","value":"135-30"},{"id":16,"name":"Locomotive ID","value":"4027"},{"id":130,"name":"Impact","value":""},{"id":150,"name":"Time of Event (Mountain Time)","value":"08:37:57"},{"id":151,"name":"Denver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484</v>
      </c>
      <c r="B48" s="7">
        <v>4028</v>
      </c>
      <c r="C48" s="22" t="s">
        <v>284</v>
      </c>
      <c r="D48" s="22" t="s">
        <v>256</v>
      </c>
      <c r="E48" s="13">
        <v>42673.367476851854</v>
      </c>
      <c r="F48" s="13">
        <v>42673.372395833336</v>
      </c>
      <c r="G48" s="7">
        <v>1</v>
      </c>
      <c r="H48" s="13" t="s">
        <v>248</v>
      </c>
      <c r="I48" s="13">
        <v>42673.399143518516</v>
      </c>
      <c r="J48" s="7">
        <v>0</v>
      </c>
      <c r="K48" s="112" t="str">
        <f t="shared" si="0"/>
        <v>4027/4028</v>
      </c>
      <c r="L48" s="22" t="str">
        <f>VLOOKUP(A48,'Trips&amp;Operators'!$C$1:$E$10000,3,FALSE)</f>
        <v>DAVIS</v>
      </c>
      <c r="M48" s="6">
        <f t="shared" si="1"/>
        <v>2.6747685180453118E-2</v>
      </c>
      <c r="N48" s="7">
        <f t="shared" si="18"/>
        <v>38.51666665985249</v>
      </c>
      <c r="O48" s="7"/>
      <c r="P48" s="7"/>
      <c r="Q48" s="23"/>
      <c r="R48" s="23"/>
      <c r="S48" s="35">
        <f t="shared" si="2"/>
        <v>1</v>
      </c>
      <c r="T48" s="50" t="str">
        <f t="shared" si="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07:49:10-0600',mode:absolute,to:'2016-10-30 10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8" s="52" t="str">
        <f t="shared" si="5"/>
        <v>N</v>
      </c>
      <c r="X48" s="177">
        <f t="shared" si="6"/>
        <v>1</v>
      </c>
      <c r="Y48" s="67">
        <f t="shared" si="7"/>
        <v>23.299299999999999</v>
      </c>
      <c r="Z48" s="67">
        <f t="shared" si="8"/>
        <v>1.38E-2</v>
      </c>
      <c r="AA48" s="67">
        <f t="shared" si="9"/>
        <v>23.285499999999999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0"/>
        <v>0136-30</v>
      </c>
      <c r="AE48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48" s="88" t="str">
        <f t="shared" si="12"/>
        <v>"C:\Program Files (x86)\AstroGrep\AstroGrep.exe" /spath="%USERPROFILE%\AppData\Local\Temp\OnboardLogs" /stypes="app*4028*20161030*" /stext=" 15:.+((SYSTEM_STATE.+slice.+state.+changed )|(ment ac)|(system.+state.+changed )|(\[timeout)|(PRM\|1\|D)|(kpr)|(kdp)|(\|lc)|(penalty))" /e /r /s</v>
      </c>
      <c r="AG48" s="1" t="str">
        <f t="shared" si="13"/>
        <v>EC</v>
      </c>
      <c r="AH48" s="92" t="str">
        <f t="shared" si="33"/>
        <v>"%USERPROFILE%\Documents\GitHub\eaglep3\Utilities\RefineRTDCRunTimes.py" --tripid 136-30 --locoid 4028 --swversion DE.1.0.8.0 --startMP 204:232993 --initTime 2016-10-30T08:49:10 --startdatetime 2016-10-30T08:56:15 --delay 1 --endMP 204:138 --enddatetime 2016-10-30T09:34:46 --enforcementcount 0 &gt;&gt;C:\Users\stu\Documents\GitHub\eaglep3-reporting\EC\2016-10-30-refined-times.txt</v>
      </c>
      <c r="AI4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ID","value":"136-30"},{"id":16,"name":"Locomotive ID","value":"4028"},{"id":130,"name":"Impact","value":""},{"id":150,"name":"Time of Event (Mountain Time)","value":"09:34:46"},{"id":151,"name":"Denver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397</v>
      </c>
      <c r="B49" s="7">
        <v>4002</v>
      </c>
      <c r="C49" s="22" t="s">
        <v>284</v>
      </c>
      <c r="D49" s="22" t="s">
        <v>272</v>
      </c>
      <c r="E49" s="13">
        <v>42673.342210648145</v>
      </c>
      <c r="F49" s="13">
        <v>42673.343958333331</v>
      </c>
      <c r="G49" s="7">
        <v>1</v>
      </c>
      <c r="H49" s="13" t="s">
        <v>647</v>
      </c>
      <c r="I49" s="13">
        <v>42673.368680555555</v>
      </c>
      <c r="J49" s="7">
        <v>0</v>
      </c>
      <c r="K49" s="112" t="str">
        <f t="shared" si="0"/>
        <v>4001/4002</v>
      </c>
      <c r="L49" s="22" t="str">
        <f>VLOOKUP(A49,'Trips&amp;Operators'!$C$1:$E$10000,3,FALSE)</f>
        <v>MALAVE</v>
      </c>
      <c r="M49" s="6">
        <f t="shared" si="1"/>
        <v>2.4722222224227153E-2</v>
      </c>
      <c r="N49" s="7">
        <f t="shared" si="18"/>
        <v>35.6000000028871</v>
      </c>
      <c r="O49" s="7"/>
      <c r="P49" s="7"/>
      <c r="Q49" s="23"/>
      <c r="R49" s="23"/>
      <c r="S49" s="35">
        <f t="shared" si="2"/>
        <v>1</v>
      </c>
      <c r="T49" s="50" t="str">
        <f t="shared" si="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07:12:47-0600',mode:absolute,to:'2016-10-30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9" s="52" t="str">
        <f t="shared" si="5"/>
        <v>N</v>
      </c>
      <c r="X49" s="177">
        <f t="shared" si="6"/>
        <v>1</v>
      </c>
      <c r="Y49" s="67">
        <f t="shared" si="7"/>
        <v>4.6399999999999997E-2</v>
      </c>
      <c r="Z49" s="67">
        <f t="shared" si="8"/>
        <v>23.328399999999998</v>
      </c>
      <c r="AA49" s="67">
        <f t="shared" si="9"/>
        <v>23.282</v>
      </c>
      <c r="AB49" s="64" t="str">
        <f>VLOOKUP(A49,Enforcements!$C$7:$K$21,8,0)</f>
        <v>Speed (6)</v>
      </c>
      <c r="AC49" s="60" t="str">
        <f>VLOOKUP(A49,Enforcements!$C$7:$E$21,3,0)</f>
        <v>PERMANENT SPEED RESTRICTION</v>
      </c>
      <c r="AD49" s="61" t="str">
        <f t="shared" si="10"/>
        <v>0137-30</v>
      </c>
      <c r="AE49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49" s="88" t="str">
        <f t="shared" si="12"/>
        <v>"C:\Program Files (x86)\AstroGrep\AstroGrep.exe" /spath="%USERPROFILE%\AppData\Local\Temp\OnboardLogs" /stypes="app*4002*20161030*" /stext=" 14:.+((SYSTEM_STATE.+slice.+state.+changed )|(ment ac)|(system.+state.+changed )|(\[timeout)|(PRM\|1\|D)|(kpr)|(kdp)|(\|lc)|(penalty))" /e /r /s</v>
      </c>
      <c r="AG49" s="1" t="str">
        <f t="shared" si="13"/>
        <v>EC</v>
      </c>
      <c r="AH49" s="92" t="str">
        <f t="shared" si="33"/>
        <v>"%USERPROFILE%\Documents\GitHub\eaglep3\Utilities\RefineRTDCRunTimes.py" --tripid 137-30 --locoid 4002 --swversion DE.1.0.8.0 --startMP 204:464 --initTime 2016-10-30T08:12:47 --startdatetime 2016-10-30T08:15:18 --delay 1 --endMP 204:233284 --enddatetime 2016-10-30T08:50:54 --enforcementcount 0 &gt;&gt;C:\Users\stu\Documents\GitHub\eaglep3-reporting\EC\2016-10-30-refined-times.txt</v>
      </c>
      <c r="AI4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{"issue":{"subject":"","project_id":79,"tracker_id":40,"status_id":1,"priority_id":2,"assigned_to_id":23,"start_date":"2016-10-30","description":"","custom_fields":[{"id":1,"name":"Subdivision","value":"EC"},{"id":4,"name":"Milepost","value":"23.3284"},{"id":17,"name":"Train ID","value":"137-30"},{"id":16,"name":"Locomotive ID","value":"4002"},{"id":130,"name":"Impact","value":""},{"id":150,"name":"Time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399</v>
      </c>
      <c r="B50" s="7">
        <v>4001</v>
      </c>
      <c r="C50" s="22" t="s">
        <v>284</v>
      </c>
      <c r="D50" s="22" t="s">
        <v>361</v>
      </c>
      <c r="E50" s="13">
        <v>42673.379872685182</v>
      </c>
      <c r="F50" s="13">
        <v>42673.3828587963</v>
      </c>
      <c r="G50" s="7">
        <v>4</v>
      </c>
      <c r="H50" s="13" t="s">
        <v>181</v>
      </c>
      <c r="I50" s="13">
        <v>42673.409687500003</v>
      </c>
      <c r="J50" s="7">
        <v>0</v>
      </c>
      <c r="K50" s="112" t="str">
        <f t="shared" si="0"/>
        <v>4001/4002</v>
      </c>
      <c r="L50" s="22" t="str">
        <f>VLOOKUP(A50,'Trips&amp;Operators'!$C$1:$E$10000,3,FALSE)</f>
        <v>MALAVE</v>
      </c>
      <c r="M50" s="6">
        <f t="shared" si="1"/>
        <v>2.6828703703358769E-2</v>
      </c>
      <c r="N50" s="7">
        <f t="shared" si="18"/>
        <v>38.633333332836628</v>
      </c>
      <c r="O50" s="7"/>
      <c r="P50" s="7"/>
      <c r="Q50" s="23"/>
      <c r="R50" s="23"/>
      <c r="S50" s="35">
        <f t="shared" si="2"/>
        <v>1</v>
      </c>
      <c r="T50" s="50" t="str">
        <f t="shared" si="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08:07:01-0600',mode:absolute,to:'2016-10-30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0" s="52" t="str">
        <f t="shared" si="5"/>
        <v>N</v>
      </c>
      <c r="X50" s="177">
        <f t="shared" si="6"/>
        <v>1</v>
      </c>
      <c r="Y50" s="67">
        <f t="shared" si="7"/>
        <v>23.2957</v>
      </c>
      <c r="Z50" s="67">
        <f t="shared" si="8"/>
        <v>1.41E-2</v>
      </c>
      <c r="AA50" s="67">
        <f t="shared" si="9"/>
        <v>23.281600000000001</v>
      </c>
      <c r="AB50" s="64" t="str">
        <f>VLOOKUP(A50,Enforcements!$C$7:$K$21,8,0)</f>
        <v>Speed (6)</v>
      </c>
      <c r="AC50" s="60" t="str">
        <f>VLOOKUP(A50,Enforcements!$C$7:$E$21,3,0)</f>
        <v>PERMANENT SPEED RESTRICTION</v>
      </c>
      <c r="AD50" s="61" t="str">
        <f t="shared" si="10"/>
        <v>0138-30</v>
      </c>
      <c r="AE50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50" s="88" t="str">
        <f t="shared" si="12"/>
        <v>"C:\Program Files (x86)\AstroGrep\AstroGrep.exe" /spath="%USERPROFILE%\AppData\Local\Temp\OnboardLogs" /stypes="app*4001*20161030*" /stext=" 15:.+((SYSTEM_STATE.+slice.+state.+changed )|(ment ac)|(system.+state.+changed )|(\[timeout)|(PRM\|1\|D)|(kpr)|(kdp)|(\|lc)|(penalty))" /e /r /s</v>
      </c>
      <c r="AG50" s="1" t="str">
        <f t="shared" si="13"/>
        <v>EC</v>
      </c>
      <c r="AH50" s="92" t="str">
        <f t="shared" si="33"/>
        <v>"%USERPROFILE%\Documents\GitHub\eaglep3\Utilities\RefineRTDCRunTimes.py" --tripid 138-30 --locoid 4001 --swversion DE.1.0.8.0 --startMP 204:232957 --initTime 2016-10-30T09:07:01 --startdatetime 2016-10-30T09:11:19 --delay 4 --endMP 204:141 --enddatetime 2016-10-30T09:49:57 --enforcementcount 0 &gt;&gt;C:\Users\stu\Documents\GitHub\eaglep3-reporting\EC\2016-10-30-refined-times.txt</v>
      </c>
      <c r="AI5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ID","value":"138-30"},{"id":16,"name":"Locomotive ID","value":"4001"},{"id":130,"name":"Impact","value":""},{"id":150,"name":"Time of Event (Mountain Time)","value":"09:49:57"},{"id":151,"name":"Denver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480</v>
      </c>
      <c r="B51" s="7">
        <v>4053</v>
      </c>
      <c r="C51" s="22" t="s">
        <v>284</v>
      </c>
      <c r="D51" s="22" t="s">
        <v>332</v>
      </c>
      <c r="E51" s="13">
        <v>42673.353067129632</v>
      </c>
      <c r="F51" s="13">
        <v>42673.354780092595</v>
      </c>
      <c r="G51" s="7">
        <v>1</v>
      </c>
      <c r="H51" s="13" t="s">
        <v>357</v>
      </c>
      <c r="I51" s="13">
        <v>42673.37872685185</v>
      </c>
      <c r="J51" s="7">
        <v>0</v>
      </c>
      <c r="K51" s="112" t="str">
        <f t="shared" si="0"/>
        <v>4053/4054</v>
      </c>
      <c r="L51" s="22" t="str">
        <f>VLOOKUP(A51,'Trips&amp;Operators'!$C$1:$E$10000,3,FALSE)</f>
        <v>DE LA ROSA</v>
      </c>
      <c r="M51" s="6">
        <f t="shared" si="1"/>
        <v>2.3946759254613426E-2</v>
      </c>
      <c r="N51" s="7">
        <f t="shared" si="18"/>
        <v>34.483333326643333</v>
      </c>
      <c r="O51" s="7"/>
      <c r="P51" s="7"/>
      <c r="Q51" s="23"/>
      <c r="R51" s="23"/>
      <c r="S51" s="35">
        <f t="shared" si="2"/>
        <v>1</v>
      </c>
      <c r="T51" s="50" t="str">
        <f t="shared" si="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07:28:25-0600',mode:absolute,to:'2016-10-30 10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1" s="52" t="str">
        <f t="shared" si="5"/>
        <v>N</v>
      </c>
      <c r="X51" s="177">
        <f t="shared" si="6"/>
        <v>1</v>
      </c>
      <c r="Y51" s="67">
        <f t="shared" si="7"/>
        <v>4.4400000000000002E-2</v>
      </c>
      <c r="Z51" s="67">
        <f t="shared" si="8"/>
        <v>23.328499999999998</v>
      </c>
      <c r="AA51" s="67">
        <f t="shared" si="9"/>
        <v>23.284099999999999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0"/>
        <v>0139-30</v>
      </c>
      <c r="AE51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51" s="88" t="str">
        <f t="shared" si="12"/>
        <v>"C:\Program Files (x86)\AstroGrep\AstroGrep.exe" /spath="%USERPROFILE%\AppData\Local\Temp\OnboardLogs" /stypes="app*4053*20161030*" /stext=" 15:.+((SYSTEM_STATE.+slice.+state.+changed )|(ment ac)|(system.+state.+changed )|(\[timeout)|(PRM\|1\|D)|(kpr)|(kdp)|(\|lc)|(penalty))" /e /r /s</v>
      </c>
      <c r="AG51" s="1" t="str">
        <f t="shared" si="13"/>
        <v>EC</v>
      </c>
      <c r="AH51" s="92" t="str">
        <f t="shared" si="33"/>
        <v>"%USERPROFILE%\Documents\GitHub\eaglep3\Utilities\RefineRTDCRunTimes.py" --tripid 139-30 --locoid 4053 --swversion DE.1.0.8.0 --startMP 204:444 --initTime 2016-10-30T08:28:25 --startdatetime 2016-10-30T08:30:53 --delay 1 --endMP 204:233285 --enddatetime 2016-10-30T09:05:22 --enforcementcount 0 &gt;&gt;C:\Users\stu\Documents\GitHub\eaglep3-reporting\EC\2016-10-30-refined-times.txt</v>
      </c>
      <c r="AI5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{"issue":{"subject":"","project_id":79,"tracker_id":40,"status_id":1,"priority_id":2,"assigned_to_id":23,"start_date":"2016-10-30","description":"","custom_fields":[{"id":1,"name":"Subdivision","value":"EC"},{"id":4,"name":"Milepost","value":"23.3285"},{"id":17,"name":"Train ID","value":"139-30"},{"id":16,"name":"Locomotive ID","value":"4053"},{"id":130,"name":"Impact","value":""},{"id":150,"name":"Time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487</v>
      </c>
      <c r="B52" s="7">
        <v>4054</v>
      </c>
      <c r="C52" s="22" t="s">
        <v>284</v>
      </c>
      <c r="D52" s="22" t="s">
        <v>373</v>
      </c>
      <c r="E52" s="13">
        <v>42673.385347222225</v>
      </c>
      <c r="F52" s="13">
        <v>42673.393368055556</v>
      </c>
      <c r="G52" s="7">
        <v>2</v>
      </c>
      <c r="H52" s="13" t="s">
        <v>292</v>
      </c>
      <c r="I52" s="13">
        <v>42673.418645833335</v>
      </c>
      <c r="J52" s="7">
        <v>0</v>
      </c>
      <c r="K52" s="112" t="str">
        <f t="shared" si="0"/>
        <v>4053/4054</v>
      </c>
      <c r="L52" s="22" t="str">
        <f>VLOOKUP(A52,'Trips&amp;Operators'!$C$1:$E$10000,3,FALSE)</f>
        <v>DE LA ROSA</v>
      </c>
      <c r="M52" s="6">
        <f t="shared" si="1"/>
        <v>2.527777777868323E-2</v>
      </c>
      <c r="N52" s="7">
        <f t="shared" si="18"/>
        <v>36.400000001303852</v>
      </c>
      <c r="O52" s="7"/>
      <c r="P52" s="7"/>
      <c r="Q52" s="23"/>
      <c r="R52" s="23"/>
      <c r="S52" s="35">
        <f t="shared" si="2"/>
        <v>1</v>
      </c>
      <c r="T52" s="50" t="str">
        <f t="shared" si="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08:14:54-0600',mode:absolute,to:'2016-10-30 11:02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2" s="52" t="str">
        <f t="shared" si="5"/>
        <v>N</v>
      </c>
      <c r="X52" s="177">
        <f t="shared" si="6"/>
        <v>1</v>
      </c>
      <c r="Y52" s="67">
        <f t="shared" si="7"/>
        <v>23.297599999999999</v>
      </c>
      <c r="Z52" s="67">
        <f t="shared" si="8"/>
        <v>1.3899999999999999E-2</v>
      </c>
      <c r="AA52" s="67">
        <f t="shared" si="9"/>
        <v>23.2837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0"/>
        <v>0140-30</v>
      </c>
      <c r="AE52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52" s="88" t="str">
        <f t="shared" si="12"/>
        <v>"C:\Program Files (x86)\AstroGrep\AstroGrep.exe" /spath="%USERPROFILE%\AppData\Local\Temp\OnboardLogs" /stypes="app*4054*20161030*" /stext=" 16:.+((SYSTEM_STATE.+slice.+state.+changed )|(ment ac)|(system.+state.+changed )|(\[timeout)|(PRM\|1\|D)|(kpr)|(kdp)|(\|lc)|(penalty))" /e /r /s</v>
      </c>
      <c r="AG52" s="1" t="str">
        <f t="shared" si="13"/>
        <v>EC</v>
      </c>
      <c r="AH52" s="92" t="str">
        <f t="shared" si="33"/>
        <v>"%USERPROFILE%\Documents\GitHub\eaglep3\Utilities\RefineRTDCRunTimes.py" --tripid 140-30 --locoid 4054 --swversion DE.1.0.8.0 --startMP 204:232976 --initTime 2016-10-30T09:14:54 --startdatetime 2016-10-30T09:26:27 --delay 2 --endMP 204:139 --enddatetime 2016-10-30T10:02:51 --enforcementcount 0 &gt;&gt;C:\Users\stu\Documents\GitHub\eaglep3-reporting\EC\2016-10-30-refined-times.txt</v>
      </c>
      <c r="AI5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ID","value":"140-30"},{"id":16,"name":"Locomotive ID","value":"4054"},{"id":130,"name":"Impact","value":""},{"id":150,"name":"Time of Event (Mountain Time)","value":"10:02:51"},{"id":151,"name":"Denver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7" t="s">
        <v>483</v>
      </c>
      <c r="B53" s="7">
        <v>4046</v>
      </c>
      <c r="C53" s="22" t="s">
        <v>284</v>
      </c>
      <c r="D53" s="22" t="s">
        <v>272</v>
      </c>
      <c r="E53" s="13">
        <v>42673.359710648147</v>
      </c>
      <c r="F53" s="13">
        <v>42673.364768518521</v>
      </c>
      <c r="G53" s="7">
        <v>1</v>
      </c>
      <c r="H53" s="13" t="s">
        <v>213</v>
      </c>
      <c r="I53" s="13">
        <v>42673.388981481483</v>
      </c>
      <c r="J53" s="7">
        <v>0</v>
      </c>
      <c r="K53" s="112" t="str">
        <f t="shared" si="0"/>
        <v>4045/4046</v>
      </c>
      <c r="L53" s="22" t="str">
        <f>VLOOKUP(A53,'Trips&amp;Operators'!$C$1:$E$10000,3,FALSE)</f>
        <v>KILLION</v>
      </c>
      <c r="M53" s="6">
        <f t="shared" si="1"/>
        <v>2.421296296233777E-2</v>
      </c>
      <c r="N53" s="7">
        <f t="shared" si="18"/>
        <v>34.866666665766388</v>
      </c>
      <c r="O53" s="7"/>
      <c r="P53" s="7"/>
      <c r="Q53" s="23"/>
      <c r="R53" s="23"/>
      <c r="S53" s="35">
        <f t="shared" si="2"/>
        <v>1</v>
      </c>
      <c r="T53" s="50" t="str">
        <f t="shared" si="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07:37:59-0600',mode:absolute,to:'2016-10-30 10:20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3" s="52" t="str">
        <f t="shared" si="5"/>
        <v>N</v>
      </c>
      <c r="X53" s="177">
        <f t="shared" si="6"/>
        <v>1</v>
      </c>
      <c r="Y53" s="67">
        <f t="shared" si="7"/>
        <v>4.6399999999999997E-2</v>
      </c>
      <c r="Z53" s="67">
        <f t="shared" si="8"/>
        <v>23.3293</v>
      </c>
      <c r="AA53" s="67">
        <f t="shared" si="9"/>
        <v>23.282900000000001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0"/>
        <v>0141-30</v>
      </c>
      <c r="AE53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53" s="88" t="str">
        <f t="shared" si="12"/>
        <v>"C:\Program Files (x86)\AstroGrep\AstroGrep.exe" /spath="%USERPROFILE%\AppData\Local\Temp\OnboardLogs" /stypes="app*4046*20161030*" /stext=" 15:.+((SYSTEM_STATE.+slice.+state.+changed )|(ment ac)|(system.+state.+changed )|(\[timeout)|(PRM\|1\|D)|(kpr)|(kdp)|(\|lc)|(penalty))" /e /r /s</v>
      </c>
      <c r="AG53" s="1" t="str">
        <f t="shared" si="13"/>
        <v>EC</v>
      </c>
      <c r="AH53" s="92" t="str">
        <f t="shared" si="33"/>
        <v>"%USERPROFILE%\Documents\GitHub\eaglep3\Utilities\RefineRTDCRunTimes.py" --tripid 141-30 --locoid 4046 --swversion DE.1.0.8.0 --startMP 204:464 --initTime 2016-10-30T08:37:59 --startdatetime 2016-10-30T08:45:16 --delay 1 --endMP 204:233293 --enddatetime 2016-10-30T09:20:08 --enforcementcount 0 &gt;&gt;C:\Users\stu\Documents\GitHub\eaglep3-reporting\EC\2016-10-30-refined-times.txt</v>
      </c>
      <c r="AI5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{"issue":{"subject":"","project_id":79,"tracker_id":40,"status_id":1,"priority_id":2,"assigned_to_id":23,"start_date":"2016-10-30","description":"","custom_fields":[{"id":1,"name":"Subdivision","value":"EC"},{"id":4,"name":"Milepost","value":"23.3293"},{"id":17,"name":"Train ID","value":"141-30"},{"id":16,"name":"Locomotive ID","value":"4046"},{"id":130,"name":"Impact","value":""},{"id":150,"name":"Time of Event (Mountain Time)","value":"09:20:08"},{"id":151,"name":"Denver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403</v>
      </c>
      <c r="B54" s="7">
        <v>4045</v>
      </c>
      <c r="C54" s="22" t="s">
        <v>284</v>
      </c>
      <c r="D54" s="22" t="s">
        <v>648</v>
      </c>
      <c r="E54" s="13">
        <v>42673.394131944442</v>
      </c>
      <c r="F54" s="13">
        <v>42673.403634259259</v>
      </c>
      <c r="G54" s="7">
        <v>1</v>
      </c>
      <c r="H54" s="13" t="s">
        <v>321</v>
      </c>
      <c r="I54" s="13">
        <v>42673.430219907408</v>
      </c>
      <c r="J54" s="7">
        <v>0</v>
      </c>
      <c r="K54" s="112" t="str">
        <f t="shared" si="0"/>
        <v>4045/4046</v>
      </c>
      <c r="L54" s="22" t="str">
        <f>VLOOKUP(A54,'Trips&amp;Operators'!$C$1:$E$10000,3,FALSE)</f>
        <v>KILLION</v>
      </c>
      <c r="M54" s="6">
        <f t="shared" si="1"/>
        <v>2.658564814919373E-2</v>
      </c>
      <c r="N54" s="7">
        <f t="shared" si="18"/>
        <v>38.283333334838971</v>
      </c>
      <c r="O54" s="7"/>
      <c r="P54" s="7"/>
      <c r="Q54" s="23"/>
      <c r="R54" s="23"/>
      <c r="S54" s="35">
        <f t="shared" si="2"/>
        <v>1</v>
      </c>
      <c r="T54" s="50" t="str">
        <f t="shared" si="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08:27:33-0600',mode:absolute,to:'2016-10-30 11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4" s="52" t="str">
        <f t="shared" si="5"/>
        <v>N</v>
      </c>
      <c r="X54" s="177">
        <f t="shared" si="6"/>
        <v>1</v>
      </c>
      <c r="Y54" s="67">
        <f t="shared" si="7"/>
        <v>23.2959</v>
      </c>
      <c r="Z54" s="67">
        <f t="shared" si="8"/>
        <v>1.3599999999999999E-2</v>
      </c>
      <c r="AA54" s="67">
        <f t="shared" si="9"/>
        <v>23.282299999999999</v>
      </c>
      <c r="AB54" s="64" t="str">
        <f>VLOOKUP(A54,Enforcements!$C$7:$K$21,8,0)</f>
        <v>Bulletin (2)</v>
      </c>
      <c r="AC54" s="60" t="str">
        <f>VLOOKUP(A54,Enforcements!$C$7:$E$21,3,0)</f>
        <v>GRADE CROSSING</v>
      </c>
      <c r="AD54" s="61" t="str">
        <f t="shared" si="10"/>
        <v>0142-30</v>
      </c>
      <c r="AE54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54" s="88" t="str">
        <f t="shared" si="12"/>
        <v>"C:\Program Files (x86)\AstroGrep\AstroGrep.exe" /spath="%USERPROFILE%\AppData\Local\Temp\OnboardLogs" /stypes="app*4045*20161030*" /stext=" 16:.+((SYSTEM_STATE.+slice.+state.+changed )|(ment ac)|(system.+state.+changed )|(\[timeout)|(PRM\|1\|D)|(kpr)|(kdp)|(\|lc)|(penalty))" /e /r /s</v>
      </c>
      <c r="AG54" s="1" t="str">
        <f t="shared" si="13"/>
        <v>EC</v>
      </c>
      <c r="AH54" s="92" t="str">
        <f t="shared" si="33"/>
        <v>"%USERPROFILE%\Documents\GitHub\eaglep3\Utilities\RefineRTDCRunTimes.py" --tripid 142-30 --locoid 4045 --swversion DE.1.0.8.0 --startMP 204:232959 --initTime 2016-10-30T09:27:33 --startdatetime 2016-10-30T09:41:14 --delay 1 --endMP 204:136 --enddatetime 2016-10-30T10:19:31 --enforcementcount 0 &gt;&gt;C:\Users\stu\Documents\GitHub\eaglep3-reporting\EC\2016-10-30-refined-times.txt</v>
      </c>
      <c r="AI5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{"issue":{"subject":"","project_id":79,"tracker_id":40,"status_id":1,"priority_id":2,"assigned_to_id":23,"start_date":"2016-10-30","description":"","custom_fields":[{"id":1,"name":"Subdivision","value":"EC"},{"id":4,"name":"Milepost","value":"0.0136"},{"id":17,"name":"Train ID","value":"142-30"},{"id":16,"name":"Locomotive ID","value":"4045"},{"id":130,"name":"Impact","value":""},{"id":150,"name":"Time of Event (Mountain Time)","value":"10:19:31"},{"id":151,"name":"Denver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485</v>
      </c>
      <c r="B55" s="7">
        <v>4006</v>
      </c>
      <c r="C55" s="22" t="s">
        <v>284</v>
      </c>
      <c r="D55" s="22" t="s">
        <v>649</v>
      </c>
      <c r="E55" s="13">
        <v>42673.373460648145</v>
      </c>
      <c r="F55" s="13">
        <v>42673.375347222223</v>
      </c>
      <c r="G55" s="7">
        <v>1</v>
      </c>
      <c r="H55" s="13" t="s">
        <v>293</v>
      </c>
      <c r="I55" s="13">
        <v>42673.400069444448</v>
      </c>
      <c r="J55" s="7">
        <v>0</v>
      </c>
      <c r="K55" s="112" t="str">
        <f t="shared" si="0"/>
        <v>4005/4006</v>
      </c>
      <c r="L55" s="22" t="str">
        <f>VLOOKUP(A55,'Trips&amp;Operators'!$C$1:$E$10000,3,FALSE)</f>
        <v>ROCHA</v>
      </c>
      <c r="M55" s="6">
        <f t="shared" si="1"/>
        <v>2.4722222224227153E-2</v>
      </c>
      <c r="N55" s="7">
        <f t="shared" si="18"/>
        <v>35.6000000028871</v>
      </c>
      <c r="O55" s="7"/>
      <c r="P55" s="7"/>
      <c r="Q55" s="23"/>
      <c r="R55" s="23"/>
      <c r="S55" s="35">
        <f t="shared" si="2"/>
        <v>1</v>
      </c>
      <c r="T55" s="50" t="str">
        <f t="shared" si="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07:57:47-0600',mode:absolute,to:'2016-10-30 10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5" s="52" t="str">
        <f t="shared" si="5"/>
        <v>N</v>
      </c>
      <c r="X55" s="177">
        <f t="shared" si="6"/>
        <v>1</v>
      </c>
      <c r="Y55" s="67">
        <f t="shared" si="7"/>
        <v>4.4200000000000003E-2</v>
      </c>
      <c r="Z55" s="67">
        <f t="shared" si="8"/>
        <v>23.328700000000001</v>
      </c>
      <c r="AA55" s="67">
        <f t="shared" si="9"/>
        <v>23.284500000000001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0"/>
        <v>0143-30</v>
      </c>
      <c r="AE55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55" s="88" t="str">
        <f t="shared" si="12"/>
        <v>"C:\Program Files (x86)\AstroGrep\AstroGrep.exe" /spath="%USERPROFILE%\AppData\Local\Temp\OnboardLogs" /stypes="app*4006*20161030*" /stext=" 15:.+((SYSTEM_STATE.+slice.+state.+changed )|(ment ac)|(system.+state.+changed )|(\[timeout)|(PRM\|1\|D)|(kpr)|(kdp)|(\|lc)|(penalty))" /e /r /s</v>
      </c>
      <c r="AG55" s="1" t="str">
        <f t="shared" si="13"/>
        <v>EC</v>
      </c>
      <c r="AH55" s="92" t="str">
        <f t="shared" si="33"/>
        <v>"%USERPROFILE%\Documents\GitHub\eaglep3\Utilities\RefineRTDCRunTimes.py" --tripid 143-30 --locoid 4006 --swversion DE.1.0.8.0 --startMP 204:442 --initTime 2016-10-30T08:57:47 --startdatetime 2016-10-30T09:00:30 --delay 1 --endMP 204:233287 --enddatetime 2016-10-30T09:36:06 --enforcementcount 0 &gt;&gt;C:\Users\stu\Documents\GitHub\eaglep3-reporting\EC\2016-10-30-refined-times.txt</v>
      </c>
      <c r="AI5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ID","value":"143-30"},{"id":16,"name":"Locomotive ID","value":"4006"},{"id":130,"name":"Impact","value":""},{"id":150,"name":"Time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490</v>
      </c>
      <c r="B56" s="7">
        <v>4005</v>
      </c>
      <c r="C56" s="22" t="s">
        <v>284</v>
      </c>
      <c r="D56" s="22" t="s">
        <v>650</v>
      </c>
      <c r="E56" s="13">
        <v>42673.411909722221</v>
      </c>
      <c r="F56" s="13">
        <v>42673.4141087963</v>
      </c>
      <c r="G56" s="7">
        <v>1</v>
      </c>
      <c r="H56" s="13" t="s">
        <v>241</v>
      </c>
      <c r="I56" s="13">
        <v>42673.439398148148</v>
      </c>
      <c r="J56" s="7">
        <v>0</v>
      </c>
      <c r="K56" s="112" t="str">
        <f t="shared" si="0"/>
        <v>4005/4006</v>
      </c>
      <c r="L56" s="22" t="str">
        <f>VLOOKUP(A56,'Trips&amp;Operators'!$C$1:$E$10000,3,FALSE)</f>
        <v>ROCHA</v>
      </c>
      <c r="M56" s="6">
        <f t="shared" si="1"/>
        <v>2.5289351848186925E-2</v>
      </c>
      <c r="N56" s="7">
        <f t="shared" si="18"/>
        <v>36.416666661389172</v>
      </c>
      <c r="O56" s="7"/>
      <c r="P56" s="7"/>
      <c r="Q56" s="23"/>
      <c r="R56" s="23"/>
      <c r="S56" s="35">
        <f t="shared" si="2"/>
        <v>1</v>
      </c>
      <c r="T56" s="50" t="str">
        <f t="shared" si="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08:53:09-0600',mode:absolute,to:'2016-10-30 11:32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56" s="52" t="str">
        <f t="shared" si="5"/>
        <v>N</v>
      </c>
      <c r="X56" s="177">
        <f t="shared" si="6"/>
        <v>1</v>
      </c>
      <c r="Y56" s="67">
        <f t="shared" si="7"/>
        <v>23.296199999999999</v>
      </c>
      <c r="Z56" s="67">
        <f t="shared" si="8"/>
        <v>1.5599999999999999E-2</v>
      </c>
      <c r="AA56" s="67">
        <f t="shared" si="9"/>
        <v>23.2806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0"/>
        <v>0144-30</v>
      </c>
      <c r="AE56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56" s="88" t="str">
        <f t="shared" si="12"/>
        <v>"C:\Program Files (x86)\AstroGrep\AstroGrep.exe" /spath="%USERPROFILE%\AppData\Local\Temp\OnboardLogs" /stypes="app*4005*20161030*" /stext=" 16:.+((SYSTEM_STATE.+slice.+state.+changed )|(ment ac)|(system.+state.+changed )|(\[timeout)|(PRM\|1\|D)|(kpr)|(kdp)|(\|lc)|(penalty))" /e /r /s</v>
      </c>
      <c r="AG56" s="1" t="str">
        <f t="shared" si="13"/>
        <v>EC</v>
      </c>
      <c r="AH56" s="92" t="str">
        <f t="shared" si="33"/>
        <v>"%USERPROFILE%\Documents\GitHub\eaglep3\Utilities\RefineRTDCRunTimes.py" --tripid 144-30 --locoid 4005 --swversion DE.1.0.8.0 --startMP 204:232962 --initTime 2016-10-30T09:53:09 --startdatetime 2016-10-30T09:56:19 --delay 1 --endMP 204:156 --enddatetime 2016-10-30T10:32:44 --enforcementcount 0 &gt;&gt;C:\Users\stu\Documents\GitHub\eaglep3-reporting\EC\2016-10-30-refined-times.txt</v>
      </c>
      <c r="AI5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ID","value":"144-30"},{"id":16,"name":"Locomotive ID","value":"4005"},{"id":130,"name":"Impact","value":""},{"id":150,"name":"Time of Event (Mountain Time)","value":"10:32:44"},{"id":151,"name":"Denver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486</v>
      </c>
      <c r="B57" s="7">
        <v>4025</v>
      </c>
      <c r="C57" s="22" t="s">
        <v>284</v>
      </c>
      <c r="D57" s="22" t="s">
        <v>247</v>
      </c>
      <c r="E57" s="13">
        <v>42673.379293981481</v>
      </c>
      <c r="F57" s="13">
        <v>42673.385601851849</v>
      </c>
      <c r="G57" s="7">
        <v>1</v>
      </c>
      <c r="H57" s="13" t="s">
        <v>372</v>
      </c>
      <c r="I57" s="13">
        <v>42673.40997685185</v>
      </c>
      <c r="J57" s="7">
        <v>0</v>
      </c>
      <c r="K57" s="112" t="str">
        <f t="shared" si="0"/>
        <v>4025/4026</v>
      </c>
      <c r="L57" s="22" t="str">
        <f>VLOOKUP(A57,'Trips&amp;Operators'!$C$1:$E$10000,3,FALSE)</f>
        <v>ACKERMAN</v>
      </c>
      <c r="M57" s="6">
        <f t="shared" si="1"/>
        <v>2.4375000000873115E-2</v>
      </c>
      <c r="N57" s="7">
        <f t="shared" si="18"/>
        <v>35.100000001257285</v>
      </c>
      <c r="O57" s="7"/>
      <c r="P57" s="7"/>
      <c r="Q57" s="23"/>
      <c r="R57" s="23"/>
      <c r="S57" s="35">
        <f t="shared" si="2"/>
        <v>1</v>
      </c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08:06:11-0600',mode:absolute,to:'2016-10-30 10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7" s="52" t="str">
        <f t="shared" si="5"/>
        <v>N</v>
      </c>
      <c r="X57" s="177">
        <f t="shared" si="6"/>
        <v>1</v>
      </c>
      <c r="Y57" s="67">
        <f t="shared" si="7"/>
        <v>4.4900000000000002E-2</v>
      </c>
      <c r="Z57" s="67">
        <f t="shared" si="8"/>
        <v>23.332000000000001</v>
      </c>
      <c r="AA57" s="67">
        <f t="shared" si="9"/>
        <v>23.287100000000002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0"/>
        <v>0145-30</v>
      </c>
      <c r="AE57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57" s="88" t="str">
        <f t="shared" si="12"/>
        <v>"C:\Program Files (x86)\AstroGrep\AstroGrep.exe" /spath="%USERPROFILE%\AppData\Local\Temp\OnboardLogs" /stypes="app*4025*20161030*" /stext=" 15:.+((SYSTEM_STATE.+slice.+state.+changed )|(ment ac)|(system.+state.+changed )|(\[timeout)|(PRM\|1\|D)|(kpr)|(kdp)|(\|lc)|(penalty))" /e /r /s</v>
      </c>
      <c r="AG57" s="1" t="str">
        <f t="shared" si="13"/>
        <v>EC</v>
      </c>
      <c r="AH57" s="92" t="str">
        <f t="shared" si="33"/>
        <v>"%USERPROFILE%\Documents\GitHub\eaglep3\Utilities\RefineRTDCRunTimes.py" --tripid 145-30 --locoid 4025 --swversion DE.1.0.8.0 --startMP 204:449 --initTime 2016-10-30T09:06:11 --startdatetime 2016-10-30T09:15:16 --delay 1 --endMP 204:233320 --enddatetime 2016-10-30T09:50:22 --enforcementcount 0 &gt;&gt;C:\Users\stu\Documents\GitHub\eaglep3-reporting\EC\2016-10-30-refined-times.txt</v>
      </c>
      <c r="AI5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{"issue":{"subject":"","project_id":79,"tracker_id":40,"status_id":1,"priority_id":2,"assigned_to_id":23,"start_date":"2016-10-30","description":"","custom_fields":[{"id":1,"name":"Subdivision","value":"EC"},{"id":4,"name":"Milepost","value":"23.332"},{"id":17,"name":"Train ID","value":"145-30"},{"id":16,"name":"Locomotive ID","value":"4025"},{"id":130,"name":"Impact","value":""},{"id":150,"name":"Time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491</v>
      </c>
      <c r="B58" s="7">
        <v>4026</v>
      </c>
      <c r="C58" s="22" t="s">
        <v>284</v>
      </c>
      <c r="D58" s="22" t="s">
        <v>280</v>
      </c>
      <c r="E58" s="13">
        <v>42673.419189814813</v>
      </c>
      <c r="F58" s="13">
        <v>42673.424675925926</v>
      </c>
      <c r="G58" s="7">
        <v>1</v>
      </c>
      <c r="H58" s="13" t="s">
        <v>214</v>
      </c>
      <c r="I58" s="13">
        <v>42673.450868055559</v>
      </c>
      <c r="J58" s="7">
        <v>0</v>
      </c>
      <c r="K58" s="112" t="str">
        <f t="shared" si="0"/>
        <v>4025/4026</v>
      </c>
      <c r="L58" s="22" t="str">
        <f>VLOOKUP(A58,'Trips&amp;Operators'!$C$1:$E$10000,3,FALSE)</f>
        <v>ACKERMAN</v>
      </c>
      <c r="M58" s="6">
        <f t="shared" si="1"/>
        <v>2.6192129633272998E-2</v>
      </c>
      <c r="N58" s="7">
        <f t="shared" si="18"/>
        <v>37.716666671913117</v>
      </c>
      <c r="O58" s="7"/>
      <c r="P58" s="7"/>
      <c r="Q58" s="23"/>
      <c r="R58" s="23"/>
      <c r="S58" s="35">
        <f t="shared" si="2"/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09:03:38-0600',mode:absolute,to:'2016-10-30 11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8" s="52" t="str">
        <f t="shared" si="5"/>
        <v>N</v>
      </c>
      <c r="X58" s="177">
        <f t="shared" si="6"/>
        <v>1</v>
      </c>
      <c r="Y58" s="67">
        <f t="shared" si="7"/>
        <v>23.296299999999999</v>
      </c>
      <c r="Z58" s="67">
        <f t="shared" si="8"/>
        <v>1.43E-2</v>
      </c>
      <c r="AA58" s="67">
        <f t="shared" si="9"/>
        <v>23.282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0"/>
        <v>0146-30</v>
      </c>
      <c r="AE58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58" s="88" t="str">
        <f t="shared" si="12"/>
        <v>"C:\Program Files (x86)\AstroGrep\AstroGrep.exe" /spath="%USERPROFILE%\AppData\Local\Temp\OnboardLogs" /stypes="app*4026*20161030*" /stext=" 16:.+((SYSTEM_STATE.+slice.+state.+changed )|(ment ac)|(system.+state.+changed )|(\[timeout)|(PRM\|1\|D)|(kpr)|(kdp)|(\|lc)|(penalty))" /e /r /s</v>
      </c>
      <c r="AG58" s="1" t="str">
        <f t="shared" si="13"/>
        <v>EC</v>
      </c>
      <c r="AH58" s="92" t="str">
        <f t="shared" si="33"/>
        <v>"%USERPROFILE%\Documents\GitHub\eaglep3\Utilities\RefineRTDCRunTimes.py" --tripid 146-30 --locoid 4026 --swversion DE.1.0.8.0 --startMP 204:232963 --initTime 2016-10-30T10:03:38 --startdatetime 2016-10-30T10:11:32 --delay 1 --endMP 204:143 --enddatetime 2016-10-30T10:49:15 --enforcementcount 0 &gt;&gt;C:\Users\stu\Documents\GitHub\eaglep3-reporting\EC\2016-10-30-refined-times.txt</v>
      </c>
      <c r="AI5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{"issue":{"subject":"","project_id":79,"tracker_id":40,"status_id":1,"priority_id":2,"assigned_to_id":23,"start_date":"2016-10-30","description":"","custom_fields":[{"id":1,"name":"Subdivision","value":"EC"},{"id":4,"name":"Milepost","value":"0.0143"},{"id":17,"name":"Train ID","value":"146-30"},{"id":16,"name":"Locomotive ID","value":"4026"},{"id":130,"name":"Impact","value":""},{"id":150,"name":"Time of Event (Mountain Time)","value":"10:49:15"},{"id":151,"name":"Denver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489</v>
      </c>
      <c r="B59" s="7">
        <v>4038</v>
      </c>
      <c r="C59" s="22" t="s">
        <v>284</v>
      </c>
      <c r="D59" s="22" t="s">
        <v>272</v>
      </c>
      <c r="E59" s="13">
        <v>42673.3906712963</v>
      </c>
      <c r="F59" s="13">
        <v>42673.39607638889</v>
      </c>
      <c r="G59" s="7">
        <v>1</v>
      </c>
      <c r="H59" s="13" t="s">
        <v>270</v>
      </c>
      <c r="I59" s="13">
        <v>42673.420844907407</v>
      </c>
      <c r="J59" s="7">
        <v>0</v>
      </c>
      <c r="K59" s="112" t="str">
        <f t="shared" si="0"/>
        <v>4037/4038</v>
      </c>
      <c r="L59" s="22" t="str">
        <f>VLOOKUP(A59,'Trips&amp;Operators'!$C$1:$E$10000,3,FALSE)</f>
        <v>MAELZER</v>
      </c>
      <c r="M59" s="6">
        <f t="shared" si="1"/>
        <v>2.4768518516793847E-2</v>
      </c>
      <c r="N59" s="7">
        <f t="shared" si="18"/>
        <v>35.66666666418314</v>
      </c>
      <c r="O59" s="7"/>
      <c r="P59" s="7"/>
      <c r="Q59" s="23"/>
      <c r="R59" s="23"/>
      <c r="S59" s="35">
        <f t="shared" si="2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08:22:34-0600',mode:absolute,to:'2016-10-30 11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9" s="52" t="str">
        <f t="shared" si="5"/>
        <v>N</v>
      </c>
      <c r="X59" s="177">
        <f t="shared" si="6"/>
        <v>1</v>
      </c>
      <c r="Y59" s="67">
        <f t="shared" si="7"/>
        <v>4.6399999999999997E-2</v>
      </c>
      <c r="Z59" s="67">
        <f t="shared" si="8"/>
        <v>23.331700000000001</v>
      </c>
      <c r="AA59" s="67">
        <f t="shared" si="9"/>
        <v>23.285300000000003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0"/>
        <v>0147-30</v>
      </c>
      <c r="AE59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59" s="88" t="str">
        <f t="shared" si="12"/>
        <v>"C:\Program Files (x86)\AstroGrep\AstroGrep.exe" /spath="%USERPROFILE%\AppData\Local\Temp\OnboardLogs" /stypes="app*4038*20161030*" /stext=" 16:.+((SYSTEM_STATE.+slice.+state.+changed )|(ment ac)|(system.+state.+changed )|(\[timeout)|(PRM\|1\|D)|(kpr)|(kdp)|(\|lc)|(penalty))" /e /r /s</v>
      </c>
      <c r="AG59" s="1" t="str">
        <f t="shared" si="13"/>
        <v>EC</v>
      </c>
      <c r="AH59" s="92" t="str">
        <f t="shared" si="33"/>
        <v>"%USERPROFILE%\Documents\GitHub\eaglep3\Utilities\RefineRTDCRunTimes.py" --tripid 147-30 --locoid 4038 --swversion DE.1.0.8.0 --startMP 204:464 --initTime 2016-10-30T09:22:34 --startdatetime 2016-10-30T09:30:21 --delay 1 --endMP 204:233317 --enddatetime 2016-10-30T10:06:01 --enforcementcount 0 &gt;&gt;C:\Users\stu\Documents\GitHub\eaglep3-reporting\EC\2016-10-30-refined-times.txt</v>
      </c>
      <c r="AI5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{"issue":{"subject":"","project_id":79,"tracker_id":40,"status_id":1,"priority_id":2,"assigned_to_id":23,"start_date":"2016-10-30","description":"","custom_fields":[{"id":1,"name":"Subdivision","value":"EC"},{"id":4,"name":"Milepost","value":"23.3317"},{"id":17,"name":"Train ID","value":"147-30"},{"id":16,"name":"Locomotive ID","value":"4038"},{"id":130,"name":"Impact","value":""},{"id":150,"name":"Time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493</v>
      </c>
      <c r="B60" s="7">
        <v>4037</v>
      </c>
      <c r="C60" s="22" t="s">
        <v>284</v>
      </c>
      <c r="D60" s="22" t="s">
        <v>326</v>
      </c>
      <c r="E60" s="13">
        <v>42673.431712962964</v>
      </c>
      <c r="F60" s="13">
        <v>42673.435081018521</v>
      </c>
      <c r="G60" s="7">
        <v>2</v>
      </c>
      <c r="H60" s="13" t="s">
        <v>248</v>
      </c>
      <c r="I60" s="13">
        <v>42673.461030092592</v>
      </c>
      <c r="J60" s="7">
        <v>0</v>
      </c>
      <c r="K60" s="112" t="str">
        <f t="shared" si="0"/>
        <v>4037/4038</v>
      </c>
      <c r="L60" s="22" t="str">
        <f>VLOOKUP(A60,'Trips&amp;Operators'!$C$1:$E$10000,3,FALSE)</f>
        <v>MAELZER</v>
      </c>
      <c r="M60" s="6">
        <f t="shared" si="1"/>
        <v>2.5949074071832001E-2</v>
      </c>
      <c r="N60" s="7">
        <f t="shared" si="18"/>
        <v>37.366666663438082</v>
      </c>
      <c r="O60" s="7"/>
      <c r="P60" s="7"/>
      <c r="Q60" s="23"/>
      <c r="R60" s="23"/>
      <c r="S60" s="35">
        <f t="shared" si="2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09:21:40-0600',mode:absolute,to:'2016-10-30 12:03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0" s="52" t="str">
        <f t="shared" si="5"/>
        <v>N</v>
      </c>
      <c r="X60" s="177">
        <f t="shared" si="6"/>
        <v>1</v>
      </c>
      <c r="Y60" s="67">
        <f t="shared" si="7"/>
        <v>23.300999999999998</v>
      </c>
      <c r="Z60" s="67">
        <f t="shared" si="8"/>
        <v>1.38E-2</v>
      </c>
      <c r="AA60" s="67">
        <f t="shared" si="9"/>
        <v>23.287199999999999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0"/>
        <v>0148-30</v>
      </c>
      <c r="AE60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60" s="88" t="str">
        <f t="shared" si="12"/>
        <v>"C:\Program Files (x86)\AstroGrep\AstroGrep.exe" /spath="%USERPROFILE%\AppData\Local\Temp\OnboardLogs" /stypes="app*4037*20161030*" /stext=" 17:.+((SYSTEM_STATE.+slice.+state.+changed )|(ment ac)|(system.+state.+changed )|(\[timeout)|(PRM\|1\|D)|(kpr)|(kdp)|(\|lc)|(penalty))" /e /r /s</v>
      </c>
      <c r="AG60" s="1" t="str">
        <f t="shared" si="13"/>
        <v>EC</v>
      </c>
      <c r="AH60" s="92" t="str">
        <f t="shared" si="33"/>
        <v>"%USERPROFILE%\Documents\GitHub\eaglep3\Utilities\RefineRTDCRunTimes.py" --tripid 148-30 --locoid 4037 --swversion DE.1.0.8.0 --startMP 204:233010 --initTime 2016-10-30T10:21:40 --startdatetime 2016-10-30T10:26:31 --delay 2 --endMP 204:138 --enddatetime 2016-10-30T11:03:53 --enforcementcount 0 &gt;&gt;C:\Users\stu\Documents\GitHub\eaglep3-reporting\EC\2016-10-30-refined-times.txt</v>
      </c>
      <c r="AI6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{"issue":{"subject":"","project_id":79,"tracker_id":40,"status_id":1,"priority_id":2,"assigned_to_id":23,"start_date":"2016-10-30","description":"","custom_fields":[{"id":1,"name":"Subdivision","value":"EC"},{"id":4,"name":"Milepost","value":"0.0138"},{"id":17,"name":"Train ID","value":"148-30"},{"id":16,"name":"Locomotive ID","value":"4037"},{"id":130,"name":"Impact","value":""},{"id":150,"name":"Time of Event (Mountain Time)","value":"11:03:53"},{"id":151,"name":"Denver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404</v>
      </c>
      <c r="B61" s="7">
        <v>4027</v>
      </c>
      <c r="C61" s="22" t="s">
        <v>284</v>
      </c>
      <c r="D61" s="22" t="s">
        <v>651</v>
      </c>
      <c r="E61" s="13">
        <v>42673.400833333333</v>
      </c>
      <c r="F61" s="13">
        <v>42673.406400462962</v>
      </c>
      <c r="G61" s="7">
        <v>1</v>
      </c>
      <c r="H61" s="13" t="s">
        <v>368</v>
      </c>
      <c r="I61" s="13">
        <v>42673.432291666664</v>
      </c>
      <c r="J61" s="7">
        <v>0</v>
      </c>
      <c r="K61" s="112" t="str">
        <f t="shared" si="0"/>
        <v>4027/4028</v>
      </c>
      <c r="L61" s="22" t="str">
        <f>VLOOKUP(A61,'Trips&amp;Operators'!$C$1:$E$10000,3,FALSE)</f>
        <v>DAVIS</v>
      </c>
      <c r="M61" s="6">
        <f t="shared" si="1"/>
        <v>2.5891203702485655E-2</v>
      </c>
      <c r="N61" s="7">
        <f t="shared" si="18"/>
        <v>37.283333331579342</v>
      </c>
      <c r="O61" s="7"/>
      <c r="P61" s="7"/>
      <c r="Q61" s="23"/>
      <c r="R61" s="23"/>
      <c r="S61" s="35">
        <f t="shared" si="2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08:37:12-0600',mode:absolute,to:'2016-10-30 11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1" s="52" t="str">
        <f t="shared" si="5"/>
        <v>N</v>
      </c>
      <c r="X61" s="177">
        <f t="shared" si="6"/>
        <v>1</v>
      </c>
      <c r="Y61" s="67">
        <f t="shared" si="7"/>
        <v>4.3099999999999999E-2</v>
      </c>
      <c r="Z61" s="67">
        <f t="shared" si="8"/>
        <v>23.331099999999999</v>
      </c>
      <c r="AA61" s="67">
        <f t="shared" si="9"/>
        <v>23.288</v>
      </c>
      <c r="AB61" s="64" t="str">
        <f>VLOOKUP(A61,Enforcements!$C$7:$K$21,8,0)</f>
        <v>Speed (6)</v>
      </c>
      <c r="AC61" s="60" t="str">
        <f>VLOOKUP(A61,Enforcements!$C$7:$E$21,3,0)</f>
        <v>PERMANENT SPEED RESTRICTION</v>
      </c>
      <c r="AD61" s="61" t="str">
        <f t="shared" si="10"/>
        <v>0149-30</v>
      </c>
      <c r="AE61" s="91" t="str">
        <f t="shared" si="11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61" s="88" t="str">
        <f t="shared" si="12"/>
        <v>"C:\Program Files (x86)\AstroGrep\AstroGrep.exe" /spath="%USERPROFILE%\AppData\Local\Temp\OnboardLogs" /stypes="app*4027*20161030*" /stext=" 16:.+((SYSTEM_STATE.+slice.+state.+changed )|(ment ac)|(system.+state.+changed )|(\[timeout)|(PRM\|1\|D)|(kpr)|(kdp)|(\|lc)|(penalty))" /e /r /s</v>
      </c>
      <c r="AG61" s="1" t="str">
        <f t="shared" si="13"/>
        <v>EC</v>
      </c>
      <c r="AH61" s="92" t="str">
        <f t="shared" si="33"/>
        <v>"%USERPROFILE%\Documents\GitHub\eaglep3\Utilities\RefineRTDCRunTimes.py" --tripid 149-30 --locoid 4027 --swversion DE.1.0.8.0 --startMP 204:431 --initTime 2016-10-30T09:37:12 --startdatetime 2016-10-30T09:45:13 --delay 1 --endMP 204:233311 --enddatetime 2016-10-30T10:22:30 --enforcementcount 0 &gt;&gt;C:\Users\stu\Documents\GitHub\eaglep3-reporting\EC\2016-10-30-refined-times.txt</v>
      </c>
      <c r="AI6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{"issue":{"subject":"","project_id":79,"tracker_id":40,"status_id":1,"priority_id":2,"assigned_to_id":23,"start_date":"2016-10-30","description":"","custom_fields":[{"id":1,"name":"Subdivision","value":"EC"},{"id":4,"name":"Milepost","value":"23.3311"},{"id":17,"name":"Train ID","value":"149-30"},{"id":16,"name":"Locomotive ID","value":"4027"},{"id":130,"name":"Impact","value":""},{"id":150,"name":"Time of Event (Mountain Time)","value":"10:22:30"},{"id":151,"name":"Denver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495</v>
      </c>
      <c r="B62" s="7">
        <v>4028</v>
      </c>
      <c r="C62" s="22" t="s">
        <v>284</v>
      </c>
      <c r="D62" s="22" t="s">
        <v>276</v>
      </c>
      <c r="E62" s="13">
        <v>42673.441111111111</v>
      </c>
      <c r="F62" s="13">
        <v>42673.4453125</v>
      </c>
      <c r="G62" s="7">
        <v>1</v>
      </c>
      <c r="H62" s="13" t="s">
        <v>355</v>
      </c>
      <c r="I62" s="13">
        <v>42673.473078703704</v>
      </c>
      <c r="J62" s="7">
        <v>0</v>
      </c>
      <c r="K62" s="112" t="str">
        <f t="shared" si="0"/>
        <v>4027/4028</v>
      </c>
      <c r="L62" s="22" t="str">
        <f>VLOOKUP(A62,'Trips&amp;Operators'!$C$1:$E$10000,3,FALSE)</f>
        <v>DAVIS</v>
      </c>
      <c r="M62" s="6">
        <f t="shared" si="1"/>
        <v>2.7766203704231884E-2</v>
      </c>
      <c r="N62" s="7">
        <f t="shared" si="18"/>
        <v>39.983333334093913</v>
      </c>
      <c r="O62" s="7"/>
      <c r="P62" s="7"/>
      <c r="Q62" s="23"/>
      <c r="R62" s="23"/>
      <c r="S62" s="35">
        <f t="shared" si="2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09:35:12-0600',mode:absolute,to:'2016-10-30 12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2" s="52" t="str">
        <f t="shared" si="5"/>
        <v>N</v>
      </c>
      <c r="X62" s="177">
        <f t="shared" si="6"/>
        <v>1</v>
      </c>
      <c r="Y62" s="67">
        <f t="shared" si="7"/>
        <v>23.297799999999999</v>
      </c>
      <c r="Z62" s="67">
        <f t="shared" si="8"/>
        <v>1.2999999999999999E-2</v>
      </c>
      <c r="AA62" s="67">
        <f t="shared" si="9"/>
        <v>23.284799999999997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0"/>
        <v>0150-30</v>
      </c>
      <c r="AE62" s="91" t="str">
        <f t="shared" si="11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62" s="88" t="str">
        <f t="shared" si="12"/>
        <v>"C:\Program Files (x86)\AstroGrep\AstroGrep.exe" /spath="%USERPROFILE%\AppData\Local\Temp\OnboardLogs" /stypes="app*4028*20161030*" /stext=" 17:.+((SYSTEM_STATE.+slice.+state.+changed )|(ment ac)|(system.+state.+changed )|(\[timeout)|(PRM\|1\|D)|(kpr)|(kdp)|(\|lc)|(penalty))" /e /r /s</v>
      </c>
      <c r="AG62" s="1" t="str">
        <f t="shared" si="13"/>
        <v>EC</v>
      </c>
      <c r="AH62" s="92" t="str">
        <f t="shared" si="33"/>
        <v>"%USERPROFILE%\Documents\GitHub\eaglep3\Utilities\RefineRTDCRunTimes.py" --tripid 150-30 --locoid 4028 --swversion DE.1.0.8.0 --startMP 204:232978 --initTime 2016-10-30T10:35:12 --startdatetime 2016-10-30T10:41:15 --delay 1 --endMP 204:130 --enddatetime 2016-10-30T11:21:14 --enforcementcount 0 &gt;&gt;C:\Users\stu\Documents\GitHub\eaglep3-reporting\EC\2016-10-30-refined-times.txt</v>
      </c>
      <c r="AI6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{"issue":{"subject":"","project_id":79,"tracker_id":40,"status_id":1,"priority_id":2,"assigned_to_id":23,"start_date":"2016-10-30","description":"","custom_fields":[{"id":1,"name":"Subdivision","value":"EC"},{"id":4,"name":"Milepost","value":"0.013"},{"id":17,"name":"Train ID","value":"150-30"},{"id":16,"name":"Locomotive ID","value":"4028"},{"id":130,"name":"Impact","value":""},{"id":150,"name":"Time of Event (Mountain Time)","value":"11:21:14"},{"id":151,"name":"Denver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401</v>
      </c>
      <c r="B63" s="7">
        <v>4002</v>
      </c>
      <c r="C63" s="22" t="s">
        <v>284</v>
      </c>
      <c r="D63" s="22" t="s">
        <v>651</v>
      </c>
      <c r="E63" s="13">
        <v>42673.414814814816</v>
      </c>
      <c r="F63" s="13">
        <v>42673.456550925926</v>
      </c>
      <c r="G63" s="7">
        <v>1</v>
      </c>
      <c r="H63" s="13" t="s">
        <v>320</v>
      </c>
      <c r="I63" s="13">
        <v>42673.482314814813</v>
      </c>
      <c r="J63" s="7">
        <v>0</v>
      </c>
      <c r="K63" s="112" t="str">
        <f t="shared" si="0"/>
        <v>4001/4002</v>
      </c>
      <c r="L63" s="22" t="str">
        <f>VLOOKUP(A63,'Trips&amp;Operators'!$C$1:$E$10000,3,FALSE)</f>
        <v>MALAVE</v>
      </c>
      <c r="M63" s="6">
        <f t="shared" si="1"/>
        <v>2.5763888887013309E-2</v>
      </c>
      <c r="N63" s="7">
        <f t="shared" si="18"/>
        <v>37.099999997299165</v>
      </c>
      <c r="O63" s="7"/>
      <c r="P63" s="7"/>
      <c r="Q63" s="23"/>
      <c r="R63" s="23"/>
      <c r="S63" s="35">
        <f t="shared" si="2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08:57:20-0600',mode:absolute,to:'2016-10-30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3" s="52" t="str">
        <f t="shared" si="5"/>
        <v>N</v>
      </c>
      <c r="X63" s="177">
        <f t="shared" si="6"/>
        <v>1</v>
      </c>
      <c r="Y63" s="67">
        <f t="shared" si="7"/>
        <v>4.3099999999999999E-2</v>
      </c>
      <c r="Z63" s="67">
        <f t="shared" si="8"/>
        <v>23.327999999999999</v>
      </c>
      <c r="AA63" s="67">
        <f t="shared" si="9"/>
        <v>23.2849</v>
      </c>
      <c r="AB63" s="64" t="str">
        <f>VLOOKUP(A63,Enforcements!$C$7:$K$21,8,0)</f>
        <v>Speed (6)</v>
      </c>
      <c r="AC63" s="60" t="str">
        <f>VLOOKUP(A63,Enforcements!$C$7:$E$21,3,0)</f>
        <v>PERMANENT SPEED RESTRICTION</v>
      </c>
      <c r="AD63" s="61" t="str">
        <f t="shared" si="10"/>
        <v>0151-30</v>
      </c>
      <c r="AE63" s="91" t="str">
        <f t="shared" si="11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63" s="88" t="str">
        <f t="shared" si="12"/>
        <v>"C:\Program Files (x86)\AstroGrep\AstroGrep.exe" /spath="%USERPROFILE%\AppData\Local\Temp\OnboardLogs" /stypes="app*4002*20161030*" /stext=" 17:.+((SYSTEM_STATE.+slice.+state.+changed )|(ment ac)|(system.+state.+changed )|(\[timeout)|(PRM\|1\|D)|(kpr)|(kdp)|(\|lc)|(penalty))" /e /r /s</v>
      </c>
      <c r="AG63" s="1" t="str">
        <f t="shared" si="13"/>
        <v>EC</v>
      </c>
      <c r="AH63" s="92" t="str">
        <f t="shared" si="33"/>
        <v>"%USERPROFILE%\Documents\GitHub\eaglep3\Utilities\RefineRTDCRunTimes.py" --tripid 151-30 --locoid 4002 --swversion DE.1.0.8.0 --startMP 204:431 --initTime 2016-10-30T09:57:20 --startdatetime 2016-10-30T10:57:26 --delay 1 --endMP 204:233280 --enddatetime 2016-10-30T11:34:32 --enforcementcount 0 &gt;&gt;C:\Users\stu\Documents\GitHub\eaglep3-reporting\EC\2016-10-30-refined-times.txt</v>
      </c>
      <c r="AI6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{"issue":{"subject":"","project_id":79,"tracker_id":40,"status_id":1,"priority_id":2,"assigned_to_id":23,"start_date":"2016-10-30","description":"","custom_fields":[{"id":1,"name":"Subdivision","value":"EC"},{"id":4,"name":"Milepost","value":"23.328"},{"id":17,"name":"Train ID","value":"151-30"},{"id":16,"name":"Locomotive ID","value":"4002"},{"id":130,"name":"Impact","value":""},{"id":150,"name":"Time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500</v>
      </c>
      <c r="B64" s="7">
        <v>4001</v>
      </c>
      <c r="C64" s="22" t="s">
        <v>284</v>
      </c>
      <c r="D64" s="22" t="s">
        <v>652</v>
      </c>
      <c r="E64" s="13">
        <v>42673.455381944441</v>
      </c>
      <c r="F64" s="13">
        <v>42673.456550925926</v>
      </c>
      <c r="G64" s="7">
        <v>1</v>
      </c>
      <c r="H64" s="13" t="s">
        <v>175</v>
      </c>
      <c r="I64" s="13">
        <v>42673.482314814813</v>
      </c>
      <c r="J64" s="7">
        <v>0</v>
      </c>
      <c r="K64" s="112" t="str">
        <f t="shared" si="0"/>
        <v>4001/4002</v>
      </c>
      <c r="L64" s="22" t="str">
        <f>VLOOKUP(A64,'Trips&amp;Operators'!$C$1:$E$10000,3,FALSE)</f>
        <v>MALAVE</v>
      </c>
      <c r="M64" s="6">
        <f t="shared" si="1"/>
        <v>2.5763888887013309E-2</v>
      </c>
      <c r="N64" s="7">
        <f t="shared" si="18"/>
        <v>37.099999997299165</v>
      </c>
      <c r="O64" s="7"/>
      <c r="P64" s="7"/>
      <c r="Q64" s="23"/>
      <c r="R64" s="23"/>
      <c r="S64" s="35">
        <f t="shared" si="2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09:55:45-0600',mode:absolute,to:'2016-10-30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4" s="52" t="str">
        <f t="shared" si="5"/>
        <v>N</v>
      </c>
      <c r="X64" s="177">
        <f t="shared" si="6"/>
        <v>1</v>
      </c>
      <c r="Y64" s="67">
        <f t="shared" si="7"/>
        <v>23.296600000000002</v>
      </c>
      <c r="Z64" s="67">
        <f t="shared" si="8"/>
        <v>1.47E-2</v>
      </c>
      <c r="AA64" s="67">
        <f t="shared" si="9"/>
        <v>23.2819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0"/>
        <v>0152-30</v>
      </c>
      <c r="AE64" s="91" t="str">
        <f t="shared" si="11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64" s="88" t="str">
        <f t="shared" si="12"/>
        <v>"C:\Program Files (x86)\AstroGrep\AstroGrep.exe" /spath="%USERPROFILE%\AppData\Local\Temp\OnboardLogs" /stypes="app*4001*20161030*" /stext=" 17:.+((SYSTEM_STATE.+slice.+state.+changed )|(ment ac)|(system.+state.+changed )|(\[timeout)|(PRM\|1\|D)|(kpr)|(kdp)|(\|lc)|(penalty))" /e /r /s</v>
      </c>
      <c r="AG64" s="1" t="str">
        <f t="shared" si="13"/>
        <v>EC</v>
      </c>
      <c r="AH64" s="92" t="str">
        <f t="shared" si="33"/>
        <v>"%USERPROFILE%\Documents\GitHub\eaglep3\Utilities\RefineRTDCRunTimes.py" --tripid 152-30 --locoid 4001 --swversion DE.1.0.8.0 --startMP 204:232966 --initTime 2016-10-30T10:55:45 --startdatetime 2016-10-30T10:57:26 --delay 1 --endMP 204:147 --enddatetime 2016-10-30T11:34:32 --enforcementcount 0 &gt;&gt;C:\Users\stu\Documents\GitHub\eaglep3-reporting\EC\2016-10-30-refined-times.txt</v>
      </c>
      <c r="AI6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ID","value":"152-30"},{"id":16,"name":"Locomotive ID","value":"4001"},{"id":130,"name":"Impact","value":""},{"id":150,"name":"Time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405</v>
      </c>
      <c r="B65" s="7">
        <v>4053</v>
      </c>
      <c r="C65" s="22" t="s">
        <v>284</v>
      </c>
      <c r="D65" s="22" t="s">
        <v>262</v>
      </c>
      <c r="E65" s="13">
        <v>42673.421307870369</v>
      </c>
      <c r="F65" s="13">
        <v>42673.42732638889</v>
      </c>
      <c r="G65" s="7">
        <v>2</v>
      </c>
      <c r="H65" s="13" t="s">
        <v>653</v>
      </c>
      <c r="I65" s="13">
        <v>42673.452835648146</v>
      </c>
      <c r="J65" s="7">
        <v>0</v>
      </c>
      <c r="K65" s="112" t="str">
        <f t="shared" si="0"/>
        <v>4053/4054</v>
      </c>
      <c r="L65" s="22" t="str">
        <f>VLOOKUP(A65,'Trips&amp;Operators'!$C$1:$E$10000,3,FALSE)</f>
        <v>STRICKLAND</v>
      </c>
      <c r="M65" s="6">
        <f t="shared" si="1"/>
        <v>2.5509259256068617E-2</v>
      </c>
      <c r="N65" s="7">
        <f t="shared" si="18"/>
        <v>36.733333328738809</v>
      </c>
      <c r="O65" s="7"/>
      <c r="P65" s="7"/>
      <c r="Q65" s="23"/>
      <c r="R65" s="23"/>
      <c r="S65" s="35">
        <f t="shared" si="2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09:06:41-0600',mode:absolute,to:'2016-10-30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5" s="52" t="str">
        <f t="shared" si="5"/>
        <v>N</v>
      </c>
      <c r="X65" s="177">
        <f t="shared" si="6"/>
        <v>1</v>
      </c>
      <c r="Y65" s="67">
        <f t="shared" si="7"/>
        <v>4.5699999999999998E-2</v>
      </c>
      <c r="Z65" s="67">
        <v>23.3</v>
      </c>
      <c r="AA65" s="67">
        <f t="shared" si="9"/>
        <v>23.254300000000001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0"/>
        <v>0153-30</v>
      </c>
      <c r="AE65" s="91" t="str">
        <f t="shared" si="11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65" s="88" t="str">
        <f t="shared" si="12"/>
        <v>"C:\Program Files (x86)\AstroGrep\AstroGrep.exe" /spath="%USERPROFILE%\AppData\Local\Temp\OnboardLogs" /stypes="app*4053*20161030*" /stext=" 16:.+((SYSTEM_STATE.+slice.+state.+changed )|(ment ac)|(system.+state.+changed )|(\[timeout)|(PRM\|1\|D)|(kpr)|(kdp)|(\|lc)|(penalty))" /e /r /s</v>
      </c>
      <c r="AG65" s="1" t="str">
        <f t="shared" si="13"/>
        <v>EC</v>
      </c>
      <c r="AH65" s="92" t="str">
        <f t="shared" si="33"/>
        <v>"%USERPROFILE%\Documents\GitHub\eaglep3\Utilities\RefineRTDCRunTimes.py" --tripid 153-30 --locoid 4053 --swversion DE.1.0.8.0 --startMP 204:457 --initTime 2016-10-30T10:06:41 --startdatetime 2016-10-30T10:15:21 --delay 2 --endMP 204:126907 --enddatetime 2016-10-30T10:52:05 --enforcementcount 0 &gt;&gt;C:\Users\stu\Documents\GitHub\eaglep3-reporting\EC\2016-10-30-refined-times.txt</v>
      </c>
      <c r="AI6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{"issue":{"subject":"","project_id":79,"tracker_id":40,"status_id":1,"priority_id":2,"assigned_to_id":23,"start_date":"2016-10-30","description":"","custom_fields":[{"id":1,"name":"Subdivision","value":"EC"},{"id":4,"name":"Milepost","value":"23.3"},{"id":17,"name":"Train ID","value":"153-30"},{"id":16,"name":"Locomotive ID","value":"4053"},{"id":130,"name":"Impact","value":""},{"id":150,"name":"Time of Event (Mountain Time)","value":"10:52:05"},{"id":151,"name":"Denver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406</v>
      </c>
      <c r="B66" s="7">
        <v>4054</v>
      </c>
      <c r="C66" s="22" t="s">
        <v>284</v>
      </c>
      <c r="D66" s="22" t="s">
        <v>654</v>
      </c>
      <c r="E66" s="13">
        <v>42673.457766203705</v>
      </c>
      <c r="F66" s="13">
        <v>42673.466168981482</v>
      </c>
      <c r="G66" s="7">
        <v>1</v>
      </c>
      <c r="H66" s="13" t="s">
        <v>241</v>
      </c>
      <c r="I66" s="13">
        <v>42673.492025462961</v>
      </c>
      <c r="J66" s="7">
        <v>0</v>
      </c>
      <c r="K66" s="112" t="str">
        <f t="shared" si="0"/>
        <v>4053/4054</v>
      </c>
      <c r="L66" s="22" t="str">
        <f>VLOOKUP(A66,'Trips&amp;Operators'!$C$1:$E$10000,3,FALSE)</f>
        <v>STRICKLAND</v>
      </c>
      <c r="M66" s="6">
        <f t="shared" si="1"/>
        <v>2.5856481479422655E-2</v>
      </c>
      <c r="N66" s="7">
        <f t="shared" si="18"/>
        <v>37.233333330368623</v>
      </c>
      <c r="O66" s="7"/>
      <c r="P66" s="7"/>
      <c r="Q66" s="23"/>
      <c r="R66" s="23"/>
      <c r="S66" s="35">
        <f t="shared" si="2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09:59:11-0600',mode:absolute,to:'2016-10-30 12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6" s="52" t="str">
        <f t="shared" si="5"/>
        <v>N</v>
      </c>
      <c r="X66" s="177">
        <f t="shared" si="6"/>
        <v>1</v>
      </c>
      <c r="Y66" s="67">
        <f t="shared" si="7"/>
        <v>23.296700000000001</v>
      </c>
      <c r="Z66" s="67">
        <f t="shared" si="8"/>
        <v>1.5599999999999999E-2</v>
      </c>
      <c r="AA66" s="67">
        <f t="shared" si="9"/>
        <v>23.281100000000002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0"/>
        <v>0154-30</v>
      </c>
      <c r="AE66" s="91" t="str">
        <f t="shared" si="11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66" s="88" t="str">
        <f t="shared" si="12"/>
        <v>"C:\Program Files (x86)\AstroGrep\AstroGrep.exe" /spath="%USERPROFILE%\AppData\Local\Temp\OnboardLogs" /stypes="app*4054*20161030*" /stext=" 17:.+((SYSTEM_STATE.+slice.+state.+changed )|(ment ac)|(system.+state.+changed )|(\[timeout)|(PRM\|1\|D)|(kpr)|(kdp)|(\|lc)|(penalty))" /e /r /s</v>
      </c>
      <c r="AG66" s="1" t="str">
        <f t="shared" si="13"/>
        <v>EC</v>
      </c>
      <c r="AH66" s="92" t="str">
        <f t="shared" si="33"/>
        <v>"%USERPROFILE%\Documents\GitHub\eaglep3\Utilities\RefineRTDCRunTimes.py" --tripid 154-30 --locoid 4054 --swversion DE.1.0.8.0 --startMP 204:232967 --initTime 2016-10-30T10:59:11 --startdatetime 2016-10-30T11:11:17 --delay 1 --endMP 204:156 --enddatetime 2016-10-30T11:48:31 --enforcementcount 0 &gt;&gt;C:\Users\stu\Documents\GitHub\eaglep3-reporting\EC\2016-10-30-refined-times.txt</v>
      </c>
      <c r="AI66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ID","value":"154-30"},{"id":16,"name":"Locomotive ID","value":"4054"},{"id":130,"name":"Impact","value":""},{"id":150,"name":"Time of Event (Mountain Time)","value":"11:48:31"},{"id":151,"name":"Denver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494</v>
      </c>
      <c r="B67" s="7">
        <v>4046</v>
      </c>
      <c r="C67" s="22" t="s">
        <v>284</v>
      </c>
      <c r="D67" s="22" t="s">
        <v>272</v>
      </c>
      <c r="E67" s="13">
        <v>42673.43204861111</v>
      </c>
      <c r="F67" s="13">
        <v>42673.437662037039</v>
      </c>
      <c r="G67" s="7">
        <v>1</v>
      </c>
      <c r="H67" s="13" t="s">
        <v>281</v>
      </c>
      <c r="I67" s="13">
        <v>42673.463692129626</v>
      </c>
      <c r="J67" s="7">
        <v>0</v>
      </c>
      <c r="K67" s="112" t="str">
        <f t="shared" si="0"/>
        <v>4045/4046</v>
      </c>
      <c r="L67" s="22" t="str">
        <f>VLOOKUP(A67,'Trips&amp;Operators'!$C$1:$E$10000,3,FALSE)</f>
        <v>CLARK</v>
      </c>
      <c r="M67" s="6">
        <f t="shared" si="1"/>
        <v>2.6030092587461695E-2</v>
      </c>
      <c r="N67" s="7">
        <f t="shared" si="18"/>
        <v>37.483333325944841</v>
      </c>
      <c r="O67" s="7"/>
      <c r="P67" s="7"/>
      <c r="Q67" s="23"/>
      <c r="R67" s="23"/>
      <c r="S67" s="35">
        <f t="shared" si="2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09:22:09-0600',mode:absolute,to:'2016-10-30 12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7" s="52" t="str">
        <f t="shared" si="5"/>
        <v>N</v>
      </c>
      <c r="X67" s="177">
        <f t="shared" si="6"/>
        <v>1</v>
      </c>
      <c r="Y67" s="67">
        <f t="shared" si="7"/>
        <v>4.6399999999999997E-2</v>
      </c>
      <c r="Z67" s="67">
        <f t="shared" si="8"/>
        <v>23.331399999999999</v>
      </c>
      <c r="AA67" s="67">
        <f t="shared" si="9"/>
        <v>23.285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0"/>
        <v>0155-30</v>
      </c>
      <c r="AE67" s="91" t="str">
        <f t="shared" si="11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67" s="88" t="str">
        <f t="shared" si="12"/>
        <v>"C:\Program Files (x86)\AstroGrep\AstroGrep.exe" /spath="%USERPROFILE%\AppData\Local\Temp\OnboardLogs" /stypes="app*4046*20161030*" /stext=" 17:.+((SYSTEM_STATE.+slice.+state.+changed )|(ment ac)|(system.+state.+changed )|(\[timeout)|(PRM\|1\|D)|(kpr)|(kdp)|(\|lc)|(penalty))" /e /r /s</v>
      </c>
      <c r="AG67" s="1" t="str">
        <f t="shared" si="13"/>
        <v>EC</v>
      </c>
      <c r="AH67" s="92" t="str">
        <f t="shared" si="33"/>
        <v>"%USERPROFILE%\Documents\GitHub\eaglep3\Utilities\RefineRTDCRunTimes.py" --tripid 155-30 --locoid 4046 --swversion DE.1.0.8.0 --startMP 204:464 --initTime 2016-10-30T10:22:09 --startdatetime 2016-10-30T10:30:14 --delay 1 --endMP 204:233314 --enddatetime 2016-10-30T11:07:43 --enforcementcount 0 &gt;&gt;C:\Users\stu\Documents\GitHub\eaglep3-reporting\EC\2016-10-30-refined-times.txt</v>
      </c>
      <c r="AI67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{"issue":{"subject":"","project_id":79,"tracker_id":40,"status_id":1,"priority_id":2,"assigned_to_id":23,"start_date":"2016-10-30","description":"","custom_fields":[{"id":1,"name":"Subdivision","value":"EC"},{"id":4,"name":"Milepost","value":"23.3314"},{"id":17,"name":"Train ID","value":"155-30"},{"id":16,"name":"Locomotive ID","value":"4046"},{"id":130,"name":"Impact","value":""},{"id":150,"name":"Time of Event (Mountain Time)","value":"11:07:43"},{"id":151,"name":"Denver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504</v>
      </c>
      <c r="B68" s="7">
        <v>4045</v>
      </c>
      <c r="C68" s="22" t="s">
        <v>284</v>
      </c>
      <c r="D68" s="22" t="s">
        <v>238</v>
      </c>
      <c r="E68" s="13">
        <v>42673.473263888889</v>
      </c>
      <c r="F68" s="13">
        <v>42673.4765625</v>
      </c>
      <c r="G68" s="7">
        <v>1</v>
      </c>
      <c r="H68" s="13" t="s">
        <v>211</v>
      </c>
      <c r="I68" s="13">
        <v>42673.504050925927</v>
      </c>
      <c r="J68" s="7">
        <v>0</v>
      </c>
      <c r="K68" s="112" t="str">
        <f t="shared" si="0"/>
        <v>4045/4046</v>
      </c>
      <c r="L68" s="22" t="str">
        <f>VLOOKUP(A68,'Trips&amp;Operators'!$C$1:$E$10000,3,FALSE)</f>
        <v>CLARK</v>
      </c>
      <c r="M68" s="6">
        <f t="shared" si="1"/>
        <v>2.7488425927003846E-2</v>
      </c>
      <c r="N68" s="7">
        <f t="shared" si="18"/>
        <v>39.583333334885538</v>
      </c>
      <c r="O68" s="7"/>
      <c r="P68" s="7"/>
      <c r="Q68" s="23"/>
      <c r="R68" s="23"/>
      <c r="S68" s="35">
        <f t="shared" si="2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10:21:30-0600',mode:absolute,to:'2016-10-30 13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8" s="52" t="str">
        <f t="shared" si="5"/>
        <v>N</v>
      </c>
      <c r="X68" s="177">
        <f t="shared" si="6"/>
        <v>1</v>
      </c>
      <c r="Y68" s="67">
        <f t="shared" si="7"/>
        <v>23.299399999999999</v>
      </c>
      <c r="Z68" s="67">
        <f t="shared" si="8"/>
        <v>1.4500000000000001E-2</v>
      </c>
      <c r="AA68" s="67">
        <f t="shared" si="9"/>
        <v>23.284899999999997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0"/>
        <v>0156-30</v>
      </c>
      <c r="AE68" s="91" t="str">
        <f t="shared" si="11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68" s="88" t="str">
        <f t="shared" si="12"/>
        <v>"C:\Program Files (x86)\AstroGrep\AstroGrep.exe" /spath="%USERPROFILE%\AppData\Local\Temp\OnboardLogs" /stypes="app*4045*20161030*" /stext=" 18:.+((SYSTEM_STATE.+slice.+state.+changed )|(ment ac)|(system.+state.+changed )|(\[timeout)|(PRM\|1\|D)|(kpr)|(kdp)|(\|lc)|(penalty))" /e /r /s</v>
      </c>
      <c r="AG68" s="1" t="str">
        <f t="shared" si="13"/>
        <v>EC</v>
      </c>
      <c r="AH68" s="92" t="str">
        <f t="shared" si="33"/>
        <v>"%USERPROFILE%\Documents\GitHub\eaglep3\Utilities\RefineRTDCRunTimes.py" --tripid 156-30 --locoid 4045 --swversion DE.1.0.8.0 --startMP 204:232994 --initTime 2016-10-30T11:21:30 --startdatetime 2016-10-30T11:26:15 --delay 1 --endMP 204:145 --enddatetime 2016-10-30T12:05:50 --enforcementcount 0 &gt;&gt;C:\Users\stu\Documents\GitHub\eaglep3-reporting\EC\2016-10-30-refined-times.txt</v>
      </c>
      <c r="AI68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{"issue":{"subject":"","project_id":79,"tracker_id":40,"status_id":1,"priority_id":2,"assigned_to_id":23,"start_date":"2016-10-30","description":"","custom_fields":[{"id":1,"name":"Subdivision","value":"EC"},{"id":4,"name":"Milepost","value":"0.0145"},{"id":17,"name":"Train ID","value":"156-30"},{"id":16,"name":"Locomotive ID","value":"4045"},{"id":130,"name":"Impact","value":""},{"id":150,"name":"Time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497</v>
      </c>
      <c r="B69" s="7">
        <v>4006</v>
      </c>
      <c r="C69" s="22" t="s">
        <v>284</v>
      </c>
      <c r="D69" s="22" t="s">
        <v>220</v>
      </c>
      <c r="E69" s="13">
        <v>42673.44730324074</v>
      </c>
      <c r="F69" s="13">
        <v>42673.448530092595</v>
      </c>
      <c r="G69" s="7">
        <v>1</v>
      </c>
      <c r="H69" s="13" t="s">
        <v>192</v>
      </c>
      <c r="I69" s="13">
        <v>42673.472384259258</v>
      </c>
      <c r="J69" s="7">
        <v>0</v>
      </c>
      <c r="K69" s="112" t="str">
        <f t="shared" si="0"/>
        <v>4005/4006</v>
      </c>
      <c r="L69" s="22" t="str">
        <f>VLOOKUP(A69,'Trips&amp;Operators'!$C$1:$E$10000,3,FALSE)</f>
        <v>ROCHA</v>
      </c>
      <c r="M69" s="6">
        <f t="shared" si="1"/>
        <v>2.3854166662204079E-2</v>
      </c>
      <c r="N69" s="7">
        <f t="shared" si="18"/>
        <v>34.349999993573874</v>
      </c>
      <c r="O69" s="7"/>
      <c r="P69" s="7"/>
      <c r="Q69" s="23"/>
      <c r="R69" s="23"/>
      <c r="S69" s="35">
        <f t="shared" si="2"/>
        <v>1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09:44:07-0600',mode:absolute,to:'2016-10-30 12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9" s="52" t="str">
        <f t="shared" si="5"/>
        <v>N</v>
      </c>
      <c r="X69" s="177">
        <f t="shared" si="6"/>
        <v>1</v>
      </c>
      <c r="Y69" s="67">
        <f t="shared" si="7"/>
        <v>4.6600000000000003E-2</v>
      </c>
      <c r="Z69" s="67">
        <f t="shared" si="8"/>
        <v>23.329699999999999</v>
      </c>
      <c r="AA69" s="67">
        <f t="shared" si="9"/>
        <v>23.283099999999997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0"/>
        <v>0157-30</v>
      </c>
      <c r="AE69" s="91" t="str">
        <f t="shared" si="11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69" s="88" t="str">
        <f t="shared" si="12"/>
        <v>"C:\Program Files (x86)\AstroGrep\AstroGrep.exe" /spath="%USERPROFILE%\AppData\Local\Temp\OnboardLogs" /stypes="app*4006*20161030*" /stext=" 17:.+((SYSTEM_STATE.+slice.+state.+changed )|(ment ac)|(system.+state.+changed )|(\[timeout)|(PRM\|1\|D)|(kpr)|(kdp)|(\|lc)|(penalty))" /e /r /s</v>
      </c>
      <c r="AG69" s="1" t="str">
        <f t="shared" si="13"/>
        <v>EC</v>
      </c>
      <c r="AH69" s="92" t="str">
        <f t="shared" si="33"/>
        <v>"%USERPROFILE%\Documents\GitHub\eaglep3\Utilities\RefineRTDCRunTimes.py" --tripid 157-30 --locoid 4006 --swversion DE.1.0.8.0 --startMP 204:466 --initTime 2016-10-30T10:44:07 --startdatetime 2016-10-30T10:45:53 --delay 1 --endMP 204:233297 --enddatetime 2016-10-30T11:20:14 --enforcementcount 0 &gt;&gt;C:\Users\stu\Documents\GitHub\eaglep3-reporting\EC\2016-10-30-refined-times.txt</v>
      </c>
      <c r="AI69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ID","value":"157-30"},{"id":16,"name":"Locomotive ID","value":"4006"},{"id":130,"name":"Impact","value":""},{"id":150,"name":"Time of Event (Mountain Time)","value":"11:20:14"},{"id":151,"name":"Denver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407</v>
      </c>
      <c r="B70" s="7">
        <v>4005</v>
      </c>
      <c r="C70" s="22" t="s">
        <v>284</v>
      </c>
      <c r="D70" s="22" t="s">
        <v>352</v>
      </c>
      <c r="E70" s="13">
        <v>42673.485543981478</v>
      </c>
      <c r="F70" s="13">
        <v>42673.487395833334</v>
      </c>
      <c r="G70" s="7">
        <v>0</v>
      </c>
      <c r="H70" s="13" t="s">
        <v>655</v>
      </c>
      <c r="I70" s="13">
        <v>42673.512025462966</v>
      </c>
      <c r="J70" s="7">
        <v>0</v>
      </c>
      <c r="K70" s="112" t="str">
        <f t="shared" si="0"/>
        <v>4005/4006</v>
      </c>
      <c r="L70" s="22" t="str">
        <f>VLOOKUP(A70,'Trips&amp;Operators'!$C$1:$E$10000,3,FALSE)</f>
        <v>ROCHA</v>
      </c>
      <c r="M70" s="6">
        <f t="shared" si="1"/>
        <v>2.4629629631817807E-2</v>
      </c>
      <c r="N70" s="7">
        <f t="shared" si="18"/>
        <v>35.466666669817641</v>
      </c>
      <c r="O70" s="7"/>
      <c r="P70" s="7"/>
      <c r="Q70" s="23"/>
      <c r="R70" s="23"/>
      <c r="S70" s="35">
        <f t="shared" si="2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10:39:11-0600',mode:absolute,to:'2016-10-30 13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70" s="52" t="str">
        <f t="shared" si="5"/>
        <v>N</v>
      </c>
      <c r="X70" s="177">
        <f t="shared" si="6"/>
        <v>1</v>
      </c>
      <c r="Y70" s="67">
        <f t="shared" si="7"/>
        <v>23.2973</v>
      </c>
      <c r="Z70" s="67">
        <f t="shared" si="8"/>
        <v>2.47E-2</v>
      </c>
      <c r="AA70" s="67">
        <f t="shared" si="9"/>
        <v>23.272600000000001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0"/>
        <v>0158-30</v>
      </c>
      <c r="AE70" s="91" t="str">
        <f t="shared" si="11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70" s="88" t="str">
        <f t="shared" si="12"/>
        <v>"C:\Program Files (x86)\AstroGrep\AstroGrep.exe" /spath="%USERPROFILE%\AppData\Local\Temp\OnboardLogs" /stypes="app*4005*20161030*" /stext=" 18:.+((SYSTEM_STATE.+slice.+state.+changed )|(ment ac)|(system.+state.+changed )|(\[timeout)|(PRM\|1\|D)|(kpr)|(kdp)|(\|lc)|(penalty))" /e /r /s</v>
      </c>
      <c r="AG70" s="1" t="str">
        <f t="shared" si="13"/>
        <v>EC</v>
      </c>
      <c r="AH70" s="92" t="str">
        <f t="shared" si="33"/>
        <v>"%USERPROFILE%\Documents\GitHub\eaglep3\Utilities\RefineRTDCRunTimes.py" --tripid 158-30 --locoid 4005 --swversion DE.1.0.8.0 --startMP 204:232973 --initTime 2016-10-30T11:39:11 --startdatetime 2016-10-30T11:41:51 --delay 0 --endMP 204:247 --enddatetime 2016-10-30T12:17:19 --enforcementcount 0 &gt;&gt;C:\Users\stu\Documents\GitHub\eaglep3-reporting\EC\2016-10-30-refined-times.txt</v>
      </c>
      <c r="AI70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{"issue":{"subject":"","project_id":79,"tracker_id":40,"status_id":1,"priority_id":2,"assigned_to_id":23,"start_date":"2016-10-30","description":"","custom_fields":[{"id":1,"name":"Subdivision","value":"EC"},{"id":4,"name":"Milepost","value":"0.0247"},{"id":17,"name":"Train ID","value":"158-30"},{"id":16,"name":"Locomotive ID","value":"4005"},{"id":130,"name":"Impact","value":""},{"id":150,"name":"Time of Event (Mountain Time)","value":"12:17:19"},{"id":151,"name":"Denver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498</v>
      </c>
      <c r="B71" s="7">
        <v>4025</v>
      </c>
      <c r="C71" s="22" t="s">
        <v>284</v>
      </c>
      <c r="D71" s="22" t="s">
        <v>322</v>
      </c>
      <c r="E71" s="13">
        <v>42673.453101851854</v>
      </c>
      <c r="F71" s="13">
        <v>42673.458622685182</v>
      </c>
      <c r="G71" s="7">
        <v>2</v>
      </c>
      <c r="H71" s="13" t="s">
        <v>218</v>
      </c>
      <c r="I71" s="13">
        <v>42673.483483796299</v>
      </c>
      <c r="J71" s="7">
        <v>0</v>
      </c>
      <c r="K71" s="112" t="str">
        <f t="shared" si="0"/>
        <v>4025/4026</v>
      </c>
      <c r="L71" s="22" t="str">
        <f>VLOOKUP(A71,'Trips&amp;Operators'!$C$1:$E$10000,3,FALSE)</f>
        <v>STEWART</v>
      </c>
      <c r="M71" s="6">
        <f t="shared" si="1"/>
        <v>2.4861111116479151E-2</v>
      </c>
      <c r="N71" s="7">
        <f t="shared" si="18"/>
        <v>35.800000007729977</v>
      </c>
      <c r="O71" s="7"/>
      <c r="P71" s="7"/>
      <c r="Q71" s="23"/>
      <c r="R71" s="23"/>
      <c r="S71" s="35">
        <f t="shared" si="2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09:52:28-0600',mode:absolute,to:'2016-10-30 12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1" s="52" t="str">
        <f t="shared" si="5"/>
        <v>N</v>
      </c>
      <c r="X71" s="177">
        <f t="shared" si="6"/>
        <v>1</v>
      </c>
      <c r="Y71" s="67">
        <f t="shared" si="7"/>
        <v>4.3799999999999999E-2</v>
      </c>
      <c r="Z71" s="67">
        <f t="shared" si="8"/>
        <v>23.33</v>
      </c>
      <c r="AA71" s="67">
        <f t="shared" si="9"/>
        <v>23.286199999999997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0"/>
        <v>0159-30</v>
      </c>
      <c r="AE71" s="91" t="str">
        <f t="shared" si="11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71" s="88" t="str">
        <f t="shared" si="12"/>
        <v>"C:\Program Files (x86)\AstroGrep\AstroGrep.exe" /spath="%USERPROFILE%\AppData\Local\Temp\OnboardLogs" /stypes="app*4025*20161030*" /stext=" 17:.+((SYSTEM_STATE.+slice.+state.+changed )|(ment ac)|(system.+state.+changed )|(\[timeout)|(PRM\|1\|D)|(kpr)|(kdp)|(\|lc)|(penalty))" /e /r /s</v>
      </c>
      <c r="AG71" s="1" t="str">
        <f t="shared" si="13"/>
        <v>EC</v>
      </c>
      <c r="AH71" s="92" t="str">
        <f t="shared" si="33"/>
        <v>"%USERPROFILE%\Documents\GitHub\eaglep3\Utilities\RefineRTDCRunTimes.py" --tripid 159-30 --locoid 4025 --swversion DE.1.0.8.0 --startMP 204:438 --initTime 2016-10-30T10:52:28 --startdatetime 2016-10-30T11:00:25 --delay 2 --endMP 204:233300 --enddatetime 2016-10-30T11:36:13 --enforcementcount 0 &gt;&gt;C:\Users\stu\Documents\GitHub\eaglep3-reporting\EC\2016-10-30-refined-times.txt</v>
      </c>
      <c r="AI71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{"issue":{"subject":"","project_id":79,"tracker_id":40,"status_id":1,"priority_id":2,"assigned_to_id":23,"start_date":"2016-10-30","description":"","custom_fields":[{"id":1,"name":"Subdivision","value":"EC"},{"id":4,"name":"Milepost","value":"23.33"},{"id":17,"name":"Train ID","value":"159-30"},{"id":16,"name":"Locomotive ID","value":"4025"},{"id":130,"name":"Impact","value":""},{"id":150,"name":"Time of Event (Mountain Time)","value":"11:36:13"},{"id":151,"name":"Denver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4026</v>
      </c>
      <c r="C72" s="22" t="s">
        <v>284</v>
      </c>
      <c r="D72" s="22" t="s">
        <v>290</v>
      </c>
      <c r="E72" s="13">
        <v>42673.494513888887</v>
      </c>
      <c r="F72" s="13">
        <v>42673.497511574074</v>
      </c>
      <c r="G72" s="7">
        <v>1</v>
      </c>
      <c r="H72" s="13" t="s">
        <v>176</v>
      </c>
      <c r="I72" s="13">
        <v>42673.5234837963</v>
      </c>
      <c r="J72" s="7">
        <v>0</v>
      </c>
      <c r="K72" s="112" t="str">
        <f t="shared" si="0"/>
        <v>4025/4026</v>
      </c>
      <c r="L72" s="22" t="str">
        <f>VLOOKUP(A72,'Trips&amp;Operators'!$C$1:$E$10000,3,FALSE)</f>
        <v>STEWART</v>
      </c>
      <c r="M72" s="6">
        <f t="shared" si="1"/>
        <v>2.5972222225391306E-2</v>
      </c>
      <c r="N72" s="7">
        <f t="shared" si="18"/>
        <v>37.400000004563481</v>
      </c>
      <c r="O72" s="7"/>
      <c r="P72" s="7"/>
      <c r="Q72" s="23"/>
      <c r="R72" s="23"/>
      <c r="S72" s="35">
        <f t="shared" si="2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10:52:06-0600',mode:absolute,to:'2016-10-30 13:33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2" s="52" t="str">
        <f t="shared" si="5"/>
        <v>N</v>
      </c>
      <c r="X72" s="177">
        <f t="shared" si="6"/>
        <v>1</v>
      </c>
      <c r="Y72" s="67">
        <f t="shared" si="7"/>
        <v>23.297899999999998</v>
      </c>
      <c r="Z72" s="67">
        <f t="shared" si="8"/>
        <v>1.52E-2</v>
      </c>
      <c r="AA72" s="67">
        <f t="shared" si="9"/>
        <v>23.282699999999998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0"/>
        <v>0160-30</v>
      </c>
      <c r="AE72" s="91" t="str">
        <f t="shared" si="11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72" s="88" t="str">
        <f t="shared" si="12"/>
        <v>"C:\Program Files (x86)\AstroGrep\AstroGrep.exe" /spath="%USERPROFILE%\AppData\Local\Temp\OnboardLogs" /stypes="app*4026*20161030*" /stext=" 18:.+((SYSTEM_STATE.+slice.+state.+changed )|(ment ac)|(system.+state.+changed )|(\[timeout)|(PRM\|1\|D)|(kpr)|(kdp)|(\|lc)|(penalty))" /e /r /s</v>
      </c>
      <c r="AG72" s="1" t="str">
        <f t="shared" si="13"/>
        <v>EC</v>
      </c>
      <c r="AH72" s="92" t="str">
        <f t="shared" si="33"/>
        <v>"%USERPROFILE%\Documents\GitHub\eaglep3\Utilities\RefineRTDCRunTimes.py" --tripid 160-30 --locoid 4026 --swversion DE.1.0.8.0 --startMP 204:232979 --initTime 2016-10-30T11:52:06 --startdatetime 2016-10-30T11:56:25 --delay 1 --endMP 204:152 --enddatetime 2016-10-30T12:33:49 --enforcementcount 0 &gt;&gt;C:\Users\stu\Documents\GitHub\eaglep3-reporting\EC\2016-10-30-refined-times.txt</v>
      </c>
      <c r="AI72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ID","value":"160-30"},{"id":16,"name":"Locomotive ID","value":"4026"},{"id":130,"name":"Impact","value":""},{"id":150,"name":"Time of Event (Mountain Time)","value":"12:33:49"},{"id":151,"name":"Denver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501</v>
      </c>
      <c r="B73" s="7">
        <v>4038</v>
      </c>
      <c r="C73" s="22" t="s">
        <v>284</v>
      </c>
      <c r="D73" s="22" t="s">
        <v>322</v>
      </c>
      <c r="E73" s="13">
        <v>42673.462361111109</v>
      </c>
      <c r="F73" s="13">
        <v>42673.468969907408</v>
      </c>
      <c r="G73" s="7">
        <v>1</v>
      </c>
      <c r="H73" s="13" t="s">
        <v>258</v>
      </c>
      <c r="I73" s="13">
        <v>42673.493715277778</v>
      </c>
      <c r="J73" s="7">
        <v>0</v>
      </c>
      <c r="K73" s="112" t="str">
        <f t="shared" si="0"/>
        <v>4037/4038</v>
      </c>
      <c r="L73" s="22" t="str">
        <f>VLOOKUP(A73,'Trips&amp;Operators'!$C$1:$E$10000,3,FALSE)</f>
        <v>BARTLETT</v>
      </c>
      <c r="M73" s="6">
        <f t="shared" si="1"/>
        <v>2.47453703705105E-2</v>
      </c>
      <c r="N73" s="7">
        <f t="shared" si="18"/>
        <v>35.63333333353512</v>
      </c>
      <c r="O73" s="7"/>
      <c r="P73" s="7"/>
      <c r="Q73" s="23"/>
      <c r="R73" s="23"/>
      <c r="S73" s="35">
        <f t="shared" si="2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10:05:48-0600',mode:absolute,to:'2016-10-30 12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3" s="52" t="str">
        <f t="shared" si="5"/>
        <v>N</v>
      </c>
      <c r="X73" s="177">
        <f t="shared" si="6"/>
        <v>1</v>
      </c>
      <c r="Y73" s="67">
        <f t="shared" si="7"/>
        <v>4.3799999999999999E-2</v>
      </c>
      <c r="Z73" s="67">
        <f t="shared" si="8"/>
        <v>23.3291</v>
      </c>
      <c r="AA73" s="67">
        <f t="shared" si="9"/>
        <v>23.285299999999999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0"/>
        <v>0161-30</v>
      </c>
      <c r="AE73" s="91" t="str">
        <f t="shared" si="11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73" s="88" t="str">
        <f t="shared" si="12"/>
        <v>"C:\Program Files (x86)\AstroGrep\AstroGrep.exe" /spath="%USERPROFILE%\AppData\Local\Temp\OnboardLogs" /stypes="app*4038*20161030*" /stext=" 17:.+((SYSTEM_STATE.+slice.+state.+changed )|(ment ac)|(system.+state.+changed )|(\[timeout)|(PRM\|1\|D)|(kpr)|(kdp)|(\|lc)|(penalty))" /e /r /s</v>
      </c>
      <c r="AG73" s="1" t="str">
        <f t="shared" si="13"/>
        <v>EC</v>
      </c>
      <c r="AH73" s="92" t="str">
        <f t="shared" si="33"/>
        <v>"%USERPROFILE%\Documents\GitHub\eaglep3\Utilities\RefineRTDCRunTimes.py" --tripid 161-30 --locoid 4038 --swversion DE.1.0.8.0 --startMP 204:438 --initTime 2016-10-30T11:05:48 --startdatetime 2016-10-30T11:15:19 --delay 1 --endMP 204:233291 --enddatetime 2016-10-30T11:50:57 --enforcementcount 0 &gt;&gt;C:\Users\stu\Documents\GitHub\eaglep3-reporting\EC\2016-10-30-refined-times.txt</v>
      </c>
      <c r="AI73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ID","value":"161-30"},{"id":16,"name":"Locomotive ID","value":"4038"},{"id":130,"name":"Impact","value":""},{"id":150,"name":"Time of Event (Mountain Time)","value":"11:50:57"},{"id":151,"name":"Denver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510</v>
      </c>
      <c r="B74" s="7">
        <v>4037</v>
      </c>
      <c r="C74" s="22" t="s">
        <v>284</v>
      </c>
      <c r="D74" s="22" t="s">
        <v>645</v>
      </c>
      <c r="E74" s="13">
        <v>42673.49622685185</v>
      </c>
      <c r="F74" s="13">
        <v>42673.507847222223</v>
      </c>
      <c r="G74" s="7">
        <v>2</v>
      </c>
      <c r="H74" s="13" t="s">
        <v>321</v>
      </c>
      <c r="I74" s="13">
        <v>42673.533877314818</v>
      </c>
      <c r="J74" s="7">
        <v>0</v>
      </c>
      <c r="K74" s="112" t="str">
        <f t="shared" si="0"/>
        <v>4037/4038</v>
      </c>
      <c r="L74" s="22" t="str">
        <f>VLOOKUP(A74,'Trips&amp;Operators'!$C$1:$E$10000,3,FALSE)</f>
        <v>BARTLETT</v>
      </c>
      <c r="M74" s="6">
        <f t="shared" si="1"/>
        <v>2.6030092594737653E-2</v>
      </c>
      <c r="N74" s="7">
        <f t="shared" si="18"/>
        <v>37.48333333642222</v>
      </c>
      <c r="O74" s="7"/>
      <c r="P74" s="7"/>
      <c r="Q74" s="23"/>
      <c r="R74" s="23"/>
      <c r="S74" s="35">
        <f t="shared" si="2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https://search-rtdc-monitor-bjffxe2xuh6vdkpspy63sjmuny.us-east-1.es.amazonaws.com/_plugin/kibana/#/discover/Steve-Slow-Train-Analysis-(2080s-and-2083s)?_g=(refreshInterval:(display:Off,section:0,value:0),time:(from:'2016-10-30 10:54:34-0600',mode:absolute,to:'2016-10-30 13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4" s="52" t="str">
        <f t="shared" si="5"/>
        <v>N</v>
      </c>
      <c r="X74" s="177">
        <f t="shared" si="6"/>
        <v>1</v>
      </c>
      <c r="Y74" s="67">
        <f t="shared" si="7"/>
        <v>23.297999999999998</v>
      </c>
      <c r="Z74" s="67">
        <f t="shared" si="8"/>
        <v>1.3599999999999999E-2</v>
      </c>
      <c r="AA74" s="67">
        <f t="shared" si="9"/>
        <v>23.284399999999998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0"/>
        <v>0162-30</v>
      </c>
      <c r="AE74" s="91" t="str">
        <f t="shared" si="11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74" s="88" t="str">
        <f t="shared" si="12"/>
        <v>"C:\Program Files (x86)\AstroGrep\AstroGrep.exe" /spath="%USERPROFILE%\AppData\Local\Temp\OnboardLogs" /stypes="app*4037*20161030*" /stext=" 18:.+((SYSTEM_STATE.+slice.+state.+changed )|(ment ac)|(system.+state.+changed )|(\[timeout)|(PRM\|1\|D)|(kpr)|(kdp)|(\|lc)|(penalty))" /e /r /s</v>
      </c>
      <c r="AG74" s="1" t="str">
        <f t="shared" si="13"/>
        <v>EC</v>
      </c>
      <c r="AH74" s="92" t="str">
        <f t="shared" si="33"/>
        <v>"%USERPROFILE%\Documents\GitHub\eaglep3\Utilities\RefineRTDCRunTimes.py" --tripid 162-30 --locoid 4037 --swversion DE.1.0.8.0 --startMP 204:232980 --initTime 2016-10-30T11:54:34 --startdatetime 2016-10-30T12:11:18 --delay 2 --endMP 204:136 --enddatetime 2016-10-30T12:48:47 --enforcementcount 0 &gt;&gt;C:\Users\stu\Documents\GitHub\eaglep3-reporting\EC\2016-10-30-refined-times.txt</v>
      </c>
      <c r="AI74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{"issue":{"subject":"","project_id":79,"tracker_id":40,"status_id":1,"priority_id":2,"assigned_to_id":23,"start_date":"2016-10-30","description":"","custom_fields":[{"id":1,"name":"Subdivision","value":"EC"},{"id":4,"name":"Milepost","value":"0.0136"},{"id":17,"name":"Train ID","value":"162-30"},{"id":16,"name":"Locomotive ID","value":"4037"},{"id":130,"name":"Impact","value":""},{"id":150,"name":"Time of Event (Mountain Time)","value":"12:48:47"},{"id":151,"name":"Denver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505</v>
      </c>
      <c r="B75" s="7">
        <v>4027</v>
      </c>
      <c r="C75" s="22" t="s">
        <v>284</v>
      </c>
      <c r="D75" s="22" t="s">
        <v>325</v>
      </c>
      <c r="E75" s="13">
        <v>42673.476388888892</v>
      </c>
      <c r="F75" s="13">
        <v>42673.479351851849</v>
      </c>
      <c r="G75" s="7">
        <v>1</v>
      </c>
      <c r="H75" s="13" t="s">
        <v>656</v>
      </c>
      <c r="I75" s="13">
        <v>42673.504155092596</v>
      </c>
      <c r="J75" s="7">
        <v>0</v>
      </c>
      <c r="K75" s="112" t="str">
        <f t="shared" ref="K75:K139" si="35">IF(ISEVEN(B75),(B75-1)&amp;"/"&amp;B75,B75&amp;"/"&amp;(B75+1))</f>
        <v>4027/4028</v>
      </c>
      <c r="L75" s="22" t="str">
        <f>VLOOKUP(A75,'Trips&amp;Operators'!$C$1:$E$10000,3,FALSE)</f>
        <v>BRUDER</v>
      </c>
      <c r="M75" s="6">
        <f t="shared" ref="M75:M139" si="36">I75-F75</f>
        <v>2.4803240747132804E-2</v>
      </c>
      <c r="N75" s="7">
        <f t="shared" ref="N75:N139" si="37">24*60*SUM($M75:$M75)</f>
        <v>35.716666675871238</v>
      </c>
      <c r="O75" s="7"/>
      <c r="P75" s="7"/>
      <c r="Q75" s="23"/>
      <c r="R75" s="23"/>
      <c r="S75" s="35">
        <f t="shared" ref="S75:S139" si="38">SUM(U75:U75)/IF(AG75="EC",12,1)</f>
        <v>1</v>
      </c>
      <c r="T75" s="50" t="str">
        <f t="shared" ref="T75:T139" si="39"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ref="V75:V139" si="40"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https://search-rtdc-monitor-bjffxe2xuh6vdkpspy63sjmuny.us-east-1.es.amazonaws.com/_plugin/kibana/#/discover/Steve-Slow-Train-Analysis-(2080s-and-2083s)?_g=(refreshInterval:(display:Off,section:0,value:0),time:(from:'2016-10-30 10:26:00-0600',mode:absolute,to:'2016-10-30 13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5" s="52" t="str">
        <f t="shared" ref="W75:W139" si="41">IF(AA75&lt;IF(AG75="EC",23,5.65),"Y","N")</f>
        <v>N</v>
      </c>
      <c r="X75" s="177">
        <f t="shared" ref="X75:X139" si="42">VALUE(LEFT(AD75,4))-VALUE(LEFT(AD74,4))</f>
        <v>1</v>
      </c>
      <c r="Y75" s="67">
        <f t="shared" ref="Y75:Y139" si="43">RIGHT(D75,LEN(D75)-4)/10000</f>
        <v>4.3700000000000003E-2</v>
      </c>
      <c r="Z75" s="67">
        <f t="shared" ref="Z75:Z139" si="44">RIGHT(H75,LEN(H75)-4)/10000</f>
        <v>23.3306</v>
      </c>
      <c r="AA75" s="67">
        <f t="shared" ref="AA75:AA139" si="45">ABS(Z75-Y75)</f>
        <v>23.286899999999999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ref="AD75:AD139" si="46">IF(LEN(A75)=6,"0"&amp;A75,A75)</f>
        <v>0163-30</v>
      </c>
      <c r="AE75" s="91" t="str">
        <f t="shared" ref="AE75:AE139" si="47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75" s="88" t="str">
        <f t="shared" ref="AF75:AF139" si="48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/stypes="app*4027*20161030*" /stext=" 18:.+((SYSTEM_STATE.+slice.+state.+changed )|(ment ac)|(system.+state.+changed )|(\[timeout)|(PRM\|1\|D)|(kpr)|(kdp)|(\|lc)|(penalty))" /e /r /s</v>
      </c>
      <c r="AG75" s="1" t="str">
        <f t="shared" ref="AG75:AG139" si="49">IFERROR(IF(VALUE(LEFT(AD75,2))&lt;=2,"EC",IF(OR(VALUE(LEFT(AD75,2))=8,VALUE(LEFT(AD75,2))=18),"NW","Other")),"Other")</f>
        <v>EC</v>
      </c>
      <c r="AH75" s="92" t="str">
        <f t="shared" si="33"/>
        <v>"%USERPROFILE%\Documents\GitHub\eaglep3\Utilities\RefineRTDCRunTimes.py" --tripid 163-30 --locoid 4027 --swversion DE.1.0.8.0 --startMP 204:437 --initTime 2016-10-30T11:26:00 --startdatetime 2016-10-30T11:30:16 --delay 1 --endMP 204:233306 --enddatetime 2016-10-30T12:05:59 --enforcementcount 0 &gt;&gt;C:\Users\stu\Documents\GitHub\eaglep3-reporting\EC\2016-10-30-refined-times.txt</v>
      </c>
      <c r="AI75" s="122" t="str">
        <f t="shared" si="34"/>
        <v>echo {"issue":{"subject":"","project_id":79,"tracker_id":40,"status_id":1,"priority_id":2,"assigned_to_id":23,"start_date":"2016-10-30","description":"","custom_fields":[{"id":1,"name":"Subdivision","value":"EC"},{"id":4,"name":"Milepost","value":"23.3306"},{"id":17,"name":"Train ID","value":"163-30"},{"id":16,"name":"Locomotive ID","value":"4027"},{"id":130,"name":"Impact","value":""},{"id":150,"name":"Time of Event (Mountain Time)","value":"12:05:59"},{"id":151,"name":"Denver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4028</v>
      </c>
      <c r="C76" s="22" t="s">
        <v>284</v>
      </c>
      <c r="D76" s="22" t="s">
        <v>657</v>
      </c>
      <c r="E76" s="13">
        <v>42673.514282407406</v>
      </c>
      <c r="F76" s="13">
        <v>42673.518275462964</v>
      </c>
      <c r="G76" s="7">
        <v>1</v>
      </c>
      <c r="H76" s="13" t="s">
        <v>210</v>
      </c>
      <c r="I76" s="13">
        <v>42673.544004629628</v>
      </c>
      <c r="J76" s="7">
        <v>0</v>
      </c>
      <c r="K76" s="112" t="str">
        <f t="shared" si="35"/>
        <v>4027/4028</v>
      </c>
      <c r="L76" s="22" t="str">
        <f>VLOOKUP(A76,'Trips&amp;Operators'!$C$1:$E$10000,3,FALSE)</f>
        <v>BRUDER</v>
      </c>
      <c r="M76" s="6">
        <f t="shared" si="36"/>
        <v>2.5729166663950309E-2</v>
      </c>
      <c r="N76" s="7">
        <f t="shared" si="37"/>
        <v>37.049999996088445</v>
      </c>
      <c r="O76" s="7"/>
      <c r="P76" s="7"/>
      <c r="Q76" s="23"/>
      <c r="R76" s="23"/>
      <c r="S76" s="35">
        <f t="shared" si="38"/>
        <v>1</v>
      </c>
      <c r="T76" s="50" t="str">
        <f t="shared" si="39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11:20:34-0600',mode:absolute,to:'2016-10-30 14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6" s="52" t="str">
        <f t="shared" si="41"/>
        <v>N</v>
      </c>
      <c r="X76" s="177">
        <f t="shared" si="42"/>
        <v>1</v>
      </c>
      <c r="Y76" s="67">
        <f t="shared" si="43"/>
        <v>23.299099999999999</v>
      </c>
      <c r="Z76" s="67">
        <f t="shared" si="44"/>
        <v>1.54E-2</v>
      </c>
      <c r="AA76" s="67">
        <f t="shared" si="45"/>
        <v>23.2837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46"/>
        <v>0164-30</v>
      </c>
      <c r="AE76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76" s="88" t="str">
        <f t="shared" si="48"/>
        <v>"C:\Program Files (x86)\AstroGrep\AstroGrep.exe" /spath="%USERPROFILE%\AppData\Local\Temp\OnboardLogs" /stypes="app*4028*20161030*" /stext=" 19:.+((SYSTEM_STATE.+slice.+state.+changed )|(ment ac)|(system.+state.+changed )|(\[timeout)|(PRM\|1\|D)|(kpr)|(kdp)|(\|lc)|(penalty))" /e /r /s</v>
      </c>
      <c r="AG76" s="1" t="str">
        <f t="shared" si="49"/>
        <v>EC</v>
      </c>
      <c r="AH76" s="92" t="str">
        <f t="shared" ref="AH76:AH140" si="50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164-30 --locoid 4028 --swversion DE.1.0.8.0 --startMP 204:232991 --initTime 2016-10-30T12:20:34 --startdatetime 2016-10-30T12:26:19 --delay 1 --endMP 204:154 --enddatetime 2016-10-30T13:03:22 --enforcementcount 0 &gt;&gt;C:\Users\stu\Documents\GitHub\eaglep3-reporting\EC\2016-10-30-refined-times.txt</v>
      </c>
      <c r="AI76" s="122" t="str">
        <f t="shared" ref="AI76:AI140" si="51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ID","value":"164-30"},{"id":16,"name":"Locomotive ID","value":"4028"},{"id":130,"name":"Impact","value":""},{"id":150,"name":"Time of Event (Mountain Time)","value":"13:03:22"},{"id":151,"name":"Denver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508</v>
      </c>
      <c r="B77" s="7">
        <v>4002</v>
      </c>
      <c r="C77" s="22" t="s">
        <v>284</v>
      </c>
      <c r="D77" s="22" t="s">
        <v>239</v>
      </c>
      <c r="E77" s="13">
        <v>42673.485266203701</v>
      </c>
      <c r="F77" s="13">
        <v>42673.48978009259</v>
      </c>
      <c r="G77" s="7">
        <v>2</v>
      </c>
      <c r="H77" s="13" t="s">
        <v>223</v>
      </c>
      <c r="I77" s="13">
        <v>42673.514652777776</v>
      </c>
      <c r="J77" s="7">
        <v>0</v>
      </c>
      <c r="K77" s="112" t="str">
        <f t="shared" si="35"/>
        <v>4001/4002</v>
      </c>
      <c r="L77" s="22" t="str">
        <f>VLOOKUP(A77,'Trips&amp;Operators'!$C$1:$E$10000,3,FALSE)</f>
        <v>MOSES</v>
      </c>
      <c r="M77" s="6">
        <f t="shared" si="36"/>
        <v>2.4872685185982846E-2</v>
      </c>
      <c r="N77" s="7">
        <f t="shared" si="37"/>
        <v>35.816666667815298</v>
      </c>
      <c r="O77" s="7"/>
      <c r="P77" s="7"/>
      <c r="Q77" s="23"/>
      <c r="R77" s="23"/>
      <c r="S77" s="35">
        <f t="shared" si="38"/>
        <v>1</v>
      </c>
      <c r="T77" s="50" t="str">
        <f t="shared" si="39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10:38:47-0600',mode:absolute,to:'2016-10-30 13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7" s="52" t="str">
        <f t="shared" si="41"/>
        <v>N</v>
      </c>
      <c r="X77" s="177">
        <f t="shared" si="42"/>
        <v>1</v>
      </c>
      <c r="Y77" s="67">
        <f t="shared" si="43"/>
        <v>4.7100000000000003E-2</v>
      </c>
      <c r="Z77" s="67">
        <f t="shared" si="44"/>
        <v>23.329899999999999</v>
      </c>
      <c r="AA77" s="67">
        <f t="shared" si="45"/>
        <v>23.282799999999998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46"/>
        <v>0165-30</v>
      </c>
      <c r="AE77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77" s="88" t="str">
        <f t="shared" si="48"/>
        <v>"C:\Program Files (x86)\AstroGrep\AstroGrep.exe" /spath="%USERPROFILE%\AppData\Local\Temp\OnboardLogs" /stypes="app*4002*20161030*" /stext=" 18:.+((SYSTEM_STATE.+slice.+state.+changed )|(ment ac)|(system.+state.+changed )|(\[timeout)|(PRM\|1\|D)|(kpr)|(kdp)|(\|lc)|(penalty))" /e /r /s</v>
      </c>
      <c r="AG77" s="1" t="str">
        <f t="shared" si="49"/>
        <v>EC</v>
      </c>
      <c r="AH77" s="92" t="str">
        <f t="shared" si="50"/>
        <v>"%USERPROFILE%\Documents\GitHub\eaglep3\Utilities\RefineRTDCRunTimes.py" --tripid 165-30 --locoid 4002 --swversion DE.1.0.8.0 --startMP 204:471 --initTime 2016-10-30T11:38:47 --startdatetime 2016-10-30T11:45:17 --delay 2 --endMP 204:233299 --enddatetime 2016-10-30T12:21:06 --enforcementcount 0 &gt;&gt;C:\Users\stu\Documents\GitHub\eaglep3-reporting\EC\2016-10-30-refined-times.txt</v>
      </c>
      <c r="AI7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{"issue":{"subject":"","project_id":79,"tracker_id":40,"status_id":1,"priority_id":2,"assigned_to_id":23,"start_date":"2016-10-30","description":"","custom_fields":[{"id":1,"name":"Subdivision","value":"EC"},{"id":4,"name":"Milepost","value":"23.3299"},{"id":17,"name":"Train ID","value":"165-30"},{"id":16,"name":"Locomotive ID","value":"4002"},{"id":130,"name":"Impact","value":""},{"id":150,"name":"Time of Event (Mountain Time)","value":"12:21:06"},{"id":151,"name":"Denver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410</v>
      </c>
      <c r="B78" s="7">
        <v>4001</v>
      </c>
      <c r="C78" s="22" t="s">
        <v>284</v>
      </c>
      <c r="D78" s="22" t="s">
        <v>640</v>
      </c>
      <c r="E78" s="13">
        <v>42673.524027777778</v>
      </c>
      <c r="F78" s="13">
        <v>42673.528657407405</v>
      </c>
      <c r="G78" s="7">
        <v>1</v>
      </c>
      <c r="H78" s="13" t="s">
        <v>210</v>
      </c>
      <c r="I78" s="13">
        <v>42673.554791666669</v>
      </c>
      <c r="J78" s="7">
        <v>0</v>
      </c>
      <c r="K78" s="112" t="str">
        <f t="shared" si="35"/>
        <v>4001/4002</v>
      </c>
      <c r="L78" s="22" t="str">
        <f>VLOOKUP(A78,'Trips&amp;Operators'!$C$1:$E$10000,3,FALSE)</f>
        <v>MOSES</v>
      </c>
      <c r="M78" s="6">
        <f t="shared" si="36"/>
        <v>2.6134259263926651E-2</v>
      </c>
      <c r="N78" s="7">
        <f t="shared" si="37"/>
        <v>37.633333340054378</v>
      </c>
      <c r="O78" s="7"/>
      <c r="P78" s="7"/>
      <c r="Q78" s="23"/>
      <c r="R78" s="23"/>
      <c r="S78" s="35">
        <f t="shared" si="38"/>
        <v>1</v>
      </c>
      <c r="T78" s="50" t="str">
        <f t="shared" si="3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11:34:36-0600',mode:absolute,to:'2016-10-30 14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8" s="52" t="str">
        <f t="shared" si="41"/>
        <v>N</v>
      </c>
      <c r="X78" s="177">
        <f t="shared" si="42"/>
        <v>1</v>
      </c>
      <c r="Y78" s="67">
        <f t="shared" si="43"/>
        <v>23.299600000000002</v>
      </c>
      <c r="Z78" s="67">
        <f t="shared" si="44"/>
        <v>1.54E-2</v>
      </c>
      <c r="AA78" s="67">
        <f t="shared" si="45"/>
        <v>23.284200000000002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6"/>
        <v>0166-30</v>
      </c>
      <c r="AE78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78" s="88" t="str">
        <f t="shared" si="48"/>
        <v>"C:\Program Files (x86)\AstroGrep\AstroGrep.exe" /spath="%USERPROFILE%\AppData\Local\Temp\OnboardLogs" /stypes="app*4001*20161030*" /stext=" 19:.+((SYSTEM_STATE.+slice.+state.+changed )|(ment ac)|(system.+state.+changed )|(\[timeout)|(PRM\|1\|D)|(kpr)|(kdp)|(\|lc)|(penalty))" /e /r /s</v>
      </c>
      <c r="AG78" s="1" t="str">
        <f t="shared" si="49"/>
        <v>EC</v>
      </c>
      <c r="AH78" s="92" t="str">
        <f t="shared" si="50"/>
        <v>"%USERPROFILE%\Documents\GitHub\eaglep3\Utilities\RefineRTDCRunTimes.py" --tripid 166-30 --locoid 4001 --swversion DE.1.0.8.0 --startMP 204:232996 --initTime 2016-10-30T12:34:36 --startdatetime 2016-10-30T12:41:16 --delay 1 --endMP 204:154 --enddatetime 2016-10-30T13:18:54 --enforcementcount 0 &gt;&gt;C:\Users\stu\Documents\GitHub\eaglep3-reporting\EC\2016-10-30-refined-times.txt</v>
      </c>
      <c r="AI7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ID","value":"166-30"},{"id":16,"name":"Locomotive ID","value":"4001"},{"id":130,"name":"Impact","value":""},{"id":150,"name":"Time of Event (Mountain Time)","value":"13:18:54"},{"id":151,"name":"Denver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511</v>
      </c>
      <c r="B79" s="7">
        <v>4053</v>
      </c>
      <c r="C79" s="22" t="s">
        <v>284</v>
      </c>
      <c r="D79" s="22" t="s">
        <v>225</v>
      </c>
      <c r="E79" s="13">
        <v>42673.496678240743</v>
      </c>
      <c r="F79" s="13">
        <v>42673.500567129631</v>
      </c>
      <c r="G79" s="7">
        <v>1</v>
      </c>
      <c r="H79" s="13" t="s">
        <v>271</v>
      </c>
      <c r="I79" s="13">
        <v>42673.526944444442</v>
      </c>
      <c r="J79" s="7">
        <v>0</v>
      </c>
      <c r="K79" s="112" t="str">
        <f t="shared" si="35"/>
        <v>4053/4054</v>
      </c>
      <c r="L79" s="22" t="str">
        <f>VLOOKUP(A79,'Trips&amp;Operators'!$C$1:$E$10000,3,FALSE)</f>
        <v>YOUNG</v>
      </c>
      <c r="M79" s="6">
        <f t="shared" si="36"/>
        <v>2.6377314810815733E-2</v>
      </c>
      <c r="N79" s="7">
        <f t="shared" si="37"/>
        <v>37.983333327574655</v>
      </c>
      <c r="O79" s="7"/>
      <c r="P79" s="7"/>
      <c r="Q79" s="23"/>
      <c r="R79" s="23"/>
      <c r="S79" s="35">
        <f t="shared" si="38"/>
        <v>1</v>
      </c>
      <c r="T79" s="50" t="str">
        <f t="shared" si="3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10:55:13-0600',mode:absolute,to:'2016-10-30 13:38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9" s="52" t="str">
        <f t="shared" si="41"/>
        <v>N</v>
      </c>
      <c r="X79" s="177">
        <f t="shared" si="42"/>
        <v>1</v>
      </c>
      <c r="Y79" s="67">
        <f t="shared" si="43"/>
        <v>4.6899999999999997E-2</v>
      </c>
      <c r="Z79" s="67">
        <f t="shared" si="44"/>
        <v>23.3308</v>
      </c>
      <c r="AA79" s="67">
        <f t="shared" si="45"/>
        <v>23.283899999999999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6"/>
        <v>0167-30</v>
      </c>
      <c r="AE79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79" s="88" t="str">
        <f t="shared" si="48"/>
        <v>"C:\Program Files (x86)\AstroGrep\AstroGrep.exe" /spath="%USERPROFILE%\AppData\Local\Temp\OnboardLogs" /stypes="app*4053*20161030*" /stext=" 18:.+((SYSTEM_STATE.+slice.+state.+changed )|(ment ac)|(system.+state.+changed )|(\[timeout)|(PRM\|1\|D)|(kpr)|(kdp)|(\|lc)|(penalty))" /e /r /s</v>
      </c>
      <c r="AG79" s="1" t="str">
        <f t="shared" si="49"/>
        <v>EC</v>
      </c>
      <c r="AH79" s="92" t="str">
        <f t="shared" si="50"/>
        <v>"%USERPROFILE%\Documents\GitHub\eaglep3\Utilities\RefineRTDCRunTimes.py" --tripid 167-30 --locoid 4053 --swversion DE.1.0.8.0 --startMP 204:469 --initTime 2016-10-30T11:55:13 --startdatetime 2016-10-30T12:00:49 --delay 1 --endMP 204:233308 --enddatetime 2016-10-30T12:38:48 --enforcementcount 0 &gt;&gt;C:\Users\stu\Documents\GitHub\eaglep3-reporting\EC\2016-10-30-refined-times.txt</v>
      </c>
      <c r="AI7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ID","value":"167-30"},{"id":16,"name":"Locomotive ID","value":"4053"},{"id":130,"name":"Impact","value":""},{"id":150,"name":"Time of Event (Mountain Time)","value":"12:38:48"},{"id":151,"name":"Denver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519</v>
      </c>
      <c r="B80" s="7">
        <v>4054</v>
      </c>
      <c r="C80" s="22" t="s">
        <v>284</v>
      </c>
      <c r="D80" s="22" t="s">
        <v>360</v>
      </c>
      <c r="E80" s="13">
        <v>42673.533645833333</v>
      </c>
      <c r="F80" s="13">
        <v>42673.539097222223</v>
      </c>
      <c r="G80" s="7">
        <v>1</v>
      </c>
      <c r="H80" s="13" t="s">
        <v>658</v>
      </c>
      <c r="I80" s="13">
        <v>42673.568877314814</v>
      </c>
      <c r="J80" s="7">
        <v>0</v>
      </c>
      <c r="K80" s="112" t="str">
        <f t="shared" si="35"/>
        <v>4053/4054</v>
      </c>
      <c r="L80" s="22" t="str">
        <f>VLOOKUP(A80,'Trips&amp;Operators'!$C$1:$E$10000,3,FALSE)</f>
        <v>YOUNG</v>
      </c>
      <c r="M80" s="6">
        <f t="shared" si="36"/>
        <v>2.9780092590954155E-2</v>
      </c>
      <c r="N80" s="7">
        <f t="shared" si="37"/>
        <v>42.883333330973983</v>
      </c>
      <c r="O80" s="7"/>
      <c r="P80" s="7"/>
      <c r="Q80" s="23"/>
      <c r="R80" s="23"/>
      <c r="S80" s="35">
        <f t="shared" si="38"/>
        <v>1</v>
      </c>
      <c r="T80" s="50" t="str">
        <f t="shared" si="3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11:48:27-0600',mode:absolute,to:'2016-10-30 14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0" s="52" t="str">
        <f t="shared" si="41"/>
        <v>N</v>
      </c>
      <c r="X80" s="177">
        <f t="shared" si="42"/>
        <v>1</v>
      </c>
      <c r="Y80" s="67">
        <f t="shared" si="43"/>
        <v>23.3004</v>
      </c>
      <c r="Z80" s="67">
        <f t="shared" si="44"/>
        <v>3.27E-2</v>
      </c>
      <c r="AA80" s="67">
        <f t="shared" si="45"/>
        <v>23.267700000000001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6"/>
        <v>0168-30</v>
      </c>
      <c r="AE80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80" s="88" t="str">
        <f t="shared" si="48"/>
        <v>"C:\Program Files (x86)\AstroGrep\AstroGrep.exe" /spath="%USERPROFILE%\AppData\Local\Temp\OnboardLogs" /stypes="app*4054*20161030*" /stext=" 19:.+((SYSTEM_STATE.+slice.+state.+changed )|(ment ac)|(system.+state.+changed )|(\[timeout)|(PRM\|1\|D)|(kpr)|(kdp)|(\|lc)|(penalty))" /e /r /s</v>
      </c>
      <c r="AG80" s="1" t="str">
        <f t="shared" si="49"/>
        <v>EC</v>
      </c>
      <c r="AH80" s="92" t="str">
        <f t="shared" si="50"/>
        <v>"%USERPROFILE%\Documents\GitHub\eaglep3\Utilities\RefineRTDCRunTimes.py" --tripid 168-30 --locoid 4054 --swversion DE.1.0.8.0 --startMP 204:233004 --initTime 2016-10-30T12:48:27 --startdatetime 2016-10-30T12:56:18 --delay 1 --endMP 204:327 --enddatetime 2016-10-30T13:39:11 --enforcementcount 0 &gt;&gt;C:\Users\stu\Documents\GitHub\eaglep3-reporting\EC\2016-10-30-refined-times.txt</v>
      </c>
      <c r="AI8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{"issue":{"subject":"","project_id":79,"tracker_id":40,"status_id":1,"priority_id":2,"assigned_to_id":23,"start_date":"2016-10-30","description":"","custom_fields":[{"id":1,"name":"Subdivision","value":"EC"},{"id":4,"name":"Milepost","value":"0.0327"},{"id":17,"name":"Train ID","value":"168-30"},{"id":16,"name":"Locomotive ID","value":"4054"},{"id":130,"name":"Impact","value":""},{"id":150,"name":"Time of Event (Mountain Time)","value":"13:39:11"},{"id":151,"name":"Denver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409</v>
      </c>
      <c r="B81" s="7">
        <v>4046</v>
      </c>
      <c r="C81" s="22" t="s">
        <v>284</v>
      </c>
      <c r="D81" s="22" t="s">
        <v>219</v>
      </c>
      <c r="E81" s="13">
        <v>42673.505601851852</v>
      </c>
      <c r="F81" s="13">
        <v>42673.510613425926</v>
      </c>
      <c r="G81" s="7">
        <v>0</v>
      </c>
      <c r="H81" s="13" t="s">
        <v>659</v>
      </c>
      <c r="I81" s="13">
        <v>42673.53601851852</v>
      </c>
      <c r="J81" s="7">
        <v>0</v>
      </c>
      <c r="K81" s="112" t="str">
        <f t="shared" si="35"/>
        <v>4045/4046</v>
      </c>
      <c r="L81" s="22" t="str">
        <f>VLOOKUP(A81,'Trips&amp;Operators'!$C$1:$E$10000,3,FALSE)</f>
        <v>CLARK</v>
      </c>
      <c r="M81" s="6">
        <f t="shared" si="36"/>
        <v>2.5405092594155576E-2</v>
      </c>
      <c r="N81" s="7">
        <f t="shared" si="37"/>
        <v>36.58333333558403</v>
      </c>
      <c r="O81" s="7"/>
      <c r="P81" s="7"/>
      <c r="Q81" s="23"/>
      <c r="R81" s="23"/>
      <c r="S81" s="35">
        <f t="shared" si="38"/>
        <v>1</v>
      </c>
      <c r="T81" s="50" t="str">
        <f t="shared" si="3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11:08:04-0600',mode:absolute,to:'2016-10-30 13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1" s="52" t="str">
        <f t="shared" si="41"/>
        <v>N</v>
      </c>
      <c r="X81" s="177">
        <f t="shared" si="42"/>
        <v>1</v>
      </c>
      <c r="Y81" s="67">
        <f t="shared" si="43"/>
        <v>4.5499999999999999E-2</v>
      </c>
      <c r="Z81" s="67">
        <f t="shared" si="44"/>
        <v>23.331600000000002</v>
      </c>
      <c r="AA81" s="67">
        <f t="shared" si="45"/>
        <v>23.286100000000001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6"/>
        <v>0169-30</v>
      </c>
      <c r="AE81" s="91" t="str">
        <f t="shared" si="47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81" s="88" t="str">
        <f t="shared" si="48"/>
        <v>"C:\Program Files (x86)\AstroGrep\AstroGrep.exe" /spath="%USERPROFILE%\AppData\Local\Temp\OnboardLogs" /stypes="app*4046*20161030*" /stext=" 18:.+((SYSTEM_STATE.+slice.+state.+changed )|(ment ac)|(system.+state.+changed )|(\[timeout)|(PRM\|1\|D)|(kpr)|(kdp)|(\|lc)|(penalty))" /e /r /s</v>
      </c>
      <c r="AG81" s="1" t="str">
        <f t="shared" si="49"/>
        <v>EC</v>
      </c>
      <c r="AH81" s="92" t="str">
        <f t="shared" si="50"/>
        <v>"%USERPROFILE%\Documents\GitHub\eaglep3\Utilities\RefineRTDCRunTimes.py" --tripid 169-30 --locoid 4046 --swversion DE.1.0.8.0 --startMP 204:455 --initTime 2016-10-30T12:08:04 --startdatetime 2016-10-30T12:15:17 --delay 0 --endMP 204:233316 --enddatetime 2016-10-30T12:51:52 --enforcementcount 0 &gt;&gt;C:\Users\stu\Documents\GitHub\eaglep3-reporting\EC\2016-10-30-refined-times.txt</v>
      </c>
      <c r="AI8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{"issue":{"subject":"","project_id":79,"tracker_id":40,"status_id":1,"priority_id":2,"assigned_to_id":23,"start_date":"2016-10-30","description":"","custom_fields":[{"id":1,"name":"Subdivision","value":"EC"},{"id":4,"name":"Milepost","value":"23.3316"},{"id":17,"name":"Train ID","value":"169-30"},{"id":16,"name":"Locomotive ID","value":"4046"},{"id":130,"name":"Impact","value":""},{"id":150,"name":"Time of Event (Mountain Time)","value":"12:51:52"},{"id":151,"name":"Denver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521</v>
      </c>
      <c r="B82" s="7">
        <v>4045</v>
      </c>
      <c r="C82" s="22" t="s">
        <v>284</v>
      </c>
      <c r="D82" s="22" t="s">
        <v>330</v>
      </c>
      <c r="E82" s="13">
        <v>42673.544456018521</v>
      </c>
      <c r="F82" s="13">
        <v>42673.549525462964</v>
      </c>
      <c r="G82" s="7">
        <v>1</v>
      </c>
      <c r="H82" s="13" t="s">
        <v>175</v>
      </c>
      <c r="I82" s="13">
        <v>42673.576620370368</v>
      </c>
      <c r="J82" s="7">
        <v>0</v>
      </c>
      <c r="K82" s="112" t="str">
        <f t="shared" si="35"/>
        <v>4045/4046</v>
      </c>
      <c r="L82" s="22" t="str">
        <f>VLOOKUP(A82,'Trips&amp;Operators'!$C$1:$E$10000,3,FALSE)</f>
        <v>CLARK</v>
      </c>
      <c r="M82" s="6">
        <f t="shared" si="36"/>
        <v>2.7094907403807156E-2</v>
      </c>
      <c r="N82" s="7">
        <f t="shared" si="37"/>
        <v>39.016666661482304</v>
      </c>
      <c r="O82" s="7"/>
      <c r="P82" s="7"/>
      <c r="Q82" s="23"/>
      <c r="R82" s="23"/>
      <c r="S82" s="35">
        <f t="shared" si="38"/>
        <v>1</v>
      </c>
      <c r="T82" s="50" t="str">
        <f t="shared" si="3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12:04:01-0600',mode:absolute,to:'2016-10-30 14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2" s="52" t="str">
        <f t="shared" si="41"/>
        <v>N</v>
      </c>
      <c r="X82" s="177">
        <f t="shared" si="42"/>
        <v>1</v>
      </c>
      <c r="Y82" s="67">
        <f t="shared" si="43"/>
        <v>23.297499999999999</v>
      </c>
      <c r="Z82" s="67">
        <f t="shared" si="44"/>
        <v>1.47E-2</v>
      </c>
      <c r="AA82" s="67">
        <f t="shared" si="45"/>
        <v>23.282799999999998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6"/>
        <v>0170-30</v>
      </c>
      <c r="AE82" s="91" t="str">
        <f t="shared" si="47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82" s="88" t="str">
        <f t="shared" si="48"/>
        <v>"C:\Program Files (x86)\AstroGrep\AstroGrep.exe" /spath="%USERPROFILE%\AppData\Local\Temp\OnboardLogs" /stypes="app*4045*20161030*" /stext=" 19:.+((SYSTEM_STATE.+slice.+state.+changed )|(ment ac)|(system.+state.+changed )|(\[timeout)|(PRM\|1\|D)|(kpr)|(kdp)|(\|lc)|(penalty))" /e /r /s</v>
      </c>
      <c r="AG82" s="1" t="str">
        <f t="shared" si="49"/>
        <v>EC</v>
      </c>
      <c r="AH82" s="92" t="str">
        <f t="shared" si="50"/>
        <v>"%USERPROFILE%\Documents\GitHub\eaglep3\Utilities\RefineRTDCRunTimes.py" --tripid 170-30 --locoid 4045 --swversion DE.1.0.8.0 --startMP 204:232975 --initTime 2016-10-30T13:04:01 --startdatetime 2016-10-30T13:11:19 --delay 1 --endMP 204:147 --enddatetime 2016-10-30T13:50:20 --enforcementcount 0 &gt;&gt;C:\Users\stu\Documents\GitHub\eaglep3-reporting\EC\2016-10-30-refined-times.txt</v>
      </c>
      <c r="AI8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ID","value":"170-30"},{"id":16,"name":"Locomotive ID","value":"4045"},{"id":130,"name":"Impact","value":""},{"id":150,"name":"Time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515</v>
      </c>
      <c r="B83" s="7">
        <v>4006</v>
      </c>
      <c r="C83" s="22" t="s">
        <v>284</v>
      </c>
      <c r="D83" s="22" t="s">
        <v>660</v>
      </c>
      <c r="E83" s="13">
        <v>42673.515092592592</v>
      </c>
      <c r="F83" s="13">
        <v>42673.521111111113</v>
      </c>
      <c r="G83" s="7">
        <v>1</v>
      </c>
      <c r="H83" s="13" t="s">
        <v>661</v>
      </c>
      <c r="I83" s="13">
        <v>42673.546469907407</v>
      </c>
      <c r="J83" s="7">
        <v>0</v>
      </c>
      <c r="K83" s="112" t="str">
        <f t="shared" si="35"/>
        <v>4005/4006</v>
      </c>
      <c r="L83" s="22" t="str">
        <f>VLOOKUP(A83,'Trips&amp;Operators'!$C$1:$E$10000,3,FALSE)</f>
        <v>SHOOK</v>
      </c>
      <c r="M83" s="6">
        <f t="shared" si="36"/>
        <v>2.5358796294312924E-2</v>
      </c>
      <c r="N83" s="7">
        <f t="shared" si="37"/>
        <v>36.516666663810611</v>
      </c>
      <c r="O83" s="7"/>
      <c r="P83" s="7"/>
      <c r="Q83" s="23"/>
      <c r="R83" s="23"/>
      <c r="S83" s="35">
        <f t="shared" si="38"/>
        <v>1</v>
      </c>
      <c r="T83" s="50" t="str">
        <f t="shared" si="3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11:21:44-0600',mode:absolute,to:'2016-10-30 14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3" s="52" t="str">
        <f t="shared" si="41"/>
        <v>N</v>
      </c>
      <c r="X83" s="177">
        <f t="shared" si="42"/>
        <v>1</v>
      </c>
      <c r="Y83" s="67">
        <f t="shared" si="43"/>
        <v>5.3900000000000003E-2</v>
      </c>
      <c r="Z83" s="67">
        <f t="shared" si="44"/>
        <v>23.334599999999998</v>
      </c>
      <c r="AA83" s="67">
        <f t="shared" si="45"/>
        <v>23.2807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6"/>
        <v>0171-30</v>
      </c>
      <c r="AE83" s="91" t="str">
        <f t="shared" si="47"/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AF83" s="88" t="str">
        <f t="shared" si="48"/>
        <v>"C:\Program Files (x86)\AstroGrep\AstroGrep.exe" /spath="%USERPROFILE%\AppData\Local\Temp\OnboardLogs" /stypes="app*4006*20161030*" /stext=" 19:.+((SYSTEM_STATE.+slice.+state.+changed )|(ment ac)|(system.+state.+changed )|(\[timeout)|(PRM\|1\|D)|(kpr)|(kdp)|(\|lc)|(penalty))" /e /r /s</v>
      </c>
      <c r="AG83" s="1" t="str">
        <f t="shared" si="49"/>
        <v>EC</v>
      </c>
      <c r="AH83" s="92" t="str">
        <f t="shared" si="50"/>
        <v>"%USERPROFILE%\Documents\GitHub\eaglep3\Utilities\RefineRTDCRunTimes.py" --tripid 171-30 --locoid 4006 --swversion DE.1.0.8.0 --startMP 204:539 --initTime 2016-10-30T12:21:44 --startdatetime 2016-10-30T12:30:24 --delay 1 --endMP 204:233346 --enddatetime 2016-10-30T13:06:55 --enforcementcount 0 &gt;&gt;C:\Users\stu\Documents\GitHub\eaglep3-reporting\EC\2016-10-30-refined-times.txt</v>
      </c>
      <c r="AI8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{"issue":{"subject":"","project_id":79,"tracker_id":40,"status_id":1,"priority_id":2,"assigned_to_id":23,"start_date":"2016-10-30","description":"","custom_fields":[{"id":1,"name":"Subdivision","value":"EC"},{"id":4,"name":"Milepost","value":"23.3346"},{"id":17,"name":"Train ID","value":"171-30"},{"id":16,"name":"Locomotive ID","value":"4006"},{"id":130,"name":"Impact","value":""},{"id":150,"name":"Time of Event (Mountain Time)","value":"13:06:55"},{"id":151,"name":"Denver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524</v>
      </c>
      <c r="B84" s="7">
        <v>4005</v>
      </c>
      <c r="C84" s="22" t="s">
        <v>284</v>
      </c>
      <c r="D84" s="22" t="s">
        <v>328</v>
      </c>
      <c r="E84" s="13">
        <v>42673.555185185185</v>
      </c>
      <c r="F84" s="13">
        <v>42673.559930555559</v>
      </c>
      <c r="G84" s="7">
        <v>1</v>
      </c>
      <c r="H84" s="13" t="s">
        <v>662</v>
      </c>
      <c r="I84" s="13">
        <v>42673.58734953704</v>
      </c>
      <c r="J84" s="7">
        <v>0</v>
      </c>
      <c r="K84" s="112" t="str">
        <f t="shared" si="35"/>
        <v>4005/4006</v>
      </c>
      <c r="L84" s="22" t="str">
        <f>VLOOKUP(A84,'Trips&amp;Operators'!$C$1:$E$10000,3,FALSE)</f>
        <v>SHOOK</v>
      </c>
      <c r="M84" s="6">
        <f t="shared" si="36"/>
        <v>2.7418981480877846E-2</v>
      </c>
      <c r="N84" s="7">
        <f t="shared" si="37"/>
        <v>39.483333332464099</v>
      </c>
      <c r="O84" s="7"/>
      <c r="P84" s="7"/>
      <c r="Q84" s="23"/>
      <c r="R84" s="23"/>
      <c r="S84" s="35">
        <f t="shared" si="38"/>
        <v>1</v>
      </c>
      <c r="T84" s="50" t="str">
        <f t="shared" si="3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12:19:28-0600',mode:absolute,to:'2016-10-30 15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4" s="52" t="str">
        <f t="shared" si="41"/>
        <v>N</v>
      </c>
      <c r="X84" s="177">
        <f t="shared" si="42"/>
        <v>1</v>
      </c>
      <c r="Y84" s="67">
        <f t="shared" si="43"/>
        <v>23.303999999999998</v>
      </c>
      <c r="Z84" s="67">
        <f t="shared" si="44"/>
        <v>0.1181</v>
      </c>
      <c r="AA84" s="67">
        <f t="shared" si="45"/>
        <v>23.1859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6"/>
        <v>0172-30</v>
      </c>
      <c r="AE84" s="91" t="str">
        <f t="shared" si="47"/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AF84" s="88" t="str">
        <f t="shared" si="48"/>
        <v>"C:\Program Files (x86)\AstroGrep\AstroGrep.exe" /spath="%USERPROFILE%\AppData\Local\Temp\OnboardLogs" /stypes="app*4005*20161030*" /stext=" 20:.+((SYSTEM_STATE.+slice.+state.+changed )|(ment ac)|(system.+state.+changed )|(\[timeout)|(PRM\|1\|D)|(kpr)|(kdp)|(\|lc)|(penalty))" /e /r /s</v>
      </c>
      <c r="AG84" s="1" t="str">
        <f t="shared" si="49"/>
        <v>EC</v>
      </c>
      <c r="AH84" s="92" t="str">
        <f t="shared" si="50"/>
        <v>"%USERPROFILE%\Documents\GitHub\eaglep3\Utilities\RefineRTDCRunTimes.py" --tripid 172-30 --locoid 4005 --swversion DE.1.0.8.0 --startMP 204:233040 --initTime 2016-10-30T13:19:28 --startdatetime 2016-10-30T13:26:18 --delay 1 --endMP 204:1181 --enddatetime 2016-10-30T14:05:47 --enforcementcount 0 &gt;&gt;C:\Users\stu\Documents\GitHub\eaglep3-reporting\EC\2016-10-30-refined-times.txt</v>
      </c>
      <c r="AI8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{"issue":{"subject":"","project_id":79,"tracker_id":40,"status_id":1,"priority_id":2,"assigned_to_id":23,"start_date":"2016-10-30","description":"","custom_fields":[{"id":1,"name":"Subdivision","value":"EC"},{"id":4,"name":"Milepost","value":"0.1181"},{"id":17,"name":"Train ID","value":"172-30"},{"id":16,"name":"Locomotive ID","value":"4005"},{"id":130,"name":"Impact","value":""},{"id":150,"name":"Time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518</v>
      </c>
      <c r="B85" s="7">
        <v>4025</v>
      </c>
      <c r="C85" s="22" t="s">
        <v>284</v>
      </c>
      <c r="D85" s="22" t="s">
        <v>217</v>
      </c>
      <c r="E85" s="13">
        <v>42673.525439814817</v>
      </c>
      <c r="F85" s="13">
        <v>42673.531469907408</v>
      </c>
      <c r="G85" s="7">
        <v>2</v>
      </c>
      <c r="H85" s="13" t="s">
        <v>368</v>
      </c>
      <c r="I85" s="13">
        <v>42673.555821759262</v>
      </c>
      <c r="J85" s="7">
        <v>0</v>
      </c>
      <c r="K85" s="112" t="str">
        <f t="shared" si="35"/>
        <v>4025/4026</v>
      </c>
      <c r="L85" s="22" t="str">
        <f>VLOOKUP(A85,'Trips&amp;Operators'!$C$1:$E$10000,3,FALSE)</f>
        <v>STEWART</v>
      </c>
      <c r="M85" s="6">
        <f t="shared" si="36"/>
        <v>2.4351851854589768E-2</v>
      </c>
      <c r="N85" s="7">
        <f t="shared" si="37"/>
        <v>35.066666670609266</v>
      </c>
      <c r="O85" s="7"/>
      <c r="P85" s="7"/>
      <c r="Q85" s="23"/>
      <c r="R85" s="23"/>
      <c r="S85" s="35">
        <f t="shared" si="38"/>
        <v>1</v>
      </c>
      <c r="T85" s="50" t="str">
        <f t="shared" si="3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11:36:38-0600',mode:absolute,to:'2016-10-30 14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5" s="52" t="str">
        <f t="shared" si="41"/>
        <v>N</v>
      </c>
      <c r="X85" s="177">
        <f t="shared" si="42"/>
        <v>1</v>
      </c>
      <c r="Y85" s="67">
        <f t="shared" si="43"/>
        <v>4.53E-2</v>
      </c>
      <c r="Z85" s="67">
        <f t="shared" si="44"/>
        <v>23.331099999999999</v>
      </c>
      <c r="AA85" s="67">
        <f t="shared" si="45"/>
        <v>23.285799999999998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6"/>
        <v>0173-30</v>
      </c>
      <c r="AE85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85" s="88" t="str">
        <f t="shared" si="48"/>
        <v>"C:\Program Files (x86)\AstroGrep\AstroGrep.exe" /spath="%USERPROFILE%\AppData\Local\Temp\OnboardLogs" /stypes="app*4025*20161030*" /stext=" 19:.+((SYSTEM_STATE.+slice.+state.+changed )|(ment ac)|(system.+state.+changed )|(\[timeout)|(PRM\|1\|D)|(kpr)|(kdp)|(\|lc)|(penalty))" /e /r /s</v>
      </c>
      <c r="AG85" s="1" t="str">
        <f t="shared" si="49"/>
        <v>EC</v>
      </c>
      <c r="AH85" s="92" t="str">
        <f t="shared" si="50"/>
        <v>"%USERPROFILE%\Documents\GitHub\eaglep3\Utilities\RefineRTDCRunTimes.py" --tripid 173-30 --locoid 4025 --swversion DE.1.0.8.0 --startMP 204:453 --initTime 2016-10-30T12:36:38 --startdatetime 2016-10-30T12:45:19 --delay 2 --endMP 204:233311 --enddatetime 2016-10-30T13:20:23 --enforcementcount 0 &gt;&gt;C:\Users\stu\Documents\GitHub\eaglep3-reporting\EC\2016-10-30-refined-times.txt</v>
      </c>
      <c r="AI8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{"issue":{"subject":"","project_id":79,"tracker_id":40,"status_id":1,"priority_id":2,"assigned_to_id":23,"start_date":"2016-10-30","description":"","custom_fields":[{"id":1,"name":"Subdivision","value":"EC"},{"id":4,"name":"Milepost","value":"23.3311"},{"id":17,"name":"Train ID","value":"173-30"},{"id":16,"name":"Locomotive ID","value":"4025"},{"id":130,"name":"Impact","value":""},{"id":150,"name":"Time of Event (Mountain Time)","value":"13:20:23"},{"id":151,"name":"Denver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526</v>
      </c>
      <c r="B86" s="7">
        <v>4026</v>
      </c>
      <c r="C86" s="22" t="s">
        <v>284</v>
      </c>
      <c r="D86" s="22" t="s">
        <v>330</v>
      </c>
      <c r="E86" s="13">
        <v>42673.56653935185</v>
      </c>
      <c r="F86" s="13">
        <v>42673.570370370369</v>
      </c>
      <c r="G86" s="7">
        <v>1</v>
      </c>
      <c r="H86" s="13" t="s">
        <v>269</v>
      </c>
      <c r="I86" s="13">
        <v>42673.597048611111</v>
      </c>
      <c r="J86" s="7">
        <v>0</v>
      </c>
      <c r="K86" s="112" t="str">
        <f t="shared" si="35"/>
        <v>4025/4026</v>
      </c>
      <c r="L86" s="22" t="str">
        <f>VLOOKUP(A86,'Trips&amp;Operators'!$C$1:$E$10000,3,FALSE)</f>
        <v>STEWART</v>
      </c>
      <c r="M86" s="6">
        <f t="shared" si="36"/>
        <v>2.6678240741603076E-2</v>
      </c>
      <c r="N86" s="7">
        <f t="shared" si="37"/>
        <v>38.41666666790843</v>
      </c>
      <c r="O86" s="7"/>
      <c r="P86" s="7"/>
      <c r="Q86" s="23"/>
      <c r="R86" s="23"/>
      <c r="S86" s="35">
        <f t="shared" si="38"/>
        <v>1</v>
      </c>
      <c r="T86" s="50" t="str">
        <f t="shared" si="3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12:35:49-0600',mode:absolute,to:'2016-10-30 15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6" s="52" t="str">
        <f t="shared" si="41"/>
        <v>N</v>
      </c>
      <c r="X86" s="177">
        <f t="shared" si="42"/>
        <v>1</v>
      </c>
      <c r="Y86" s="67">
        <f t="shared" si="43"/>
        <v>23.297499999999999</v>
      </c>
      <c r="Z86" s="67">
        <f t="shared" si="44"/>
        <v>1.61E-2</v>
      </c>
      <c r="AA86" s="67">
        <f t="shared" si="45"/>
        <v>23.281399999999998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6"/>
        <v>0174-30</v>
      </c>
      <c r="AE86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86" s="88" t="str">
        <f t="shared" si="48"/>
        <v>"C:\Program Files (x86)\AstroGrep\AstroGrep.exe" /spath="%USERPROFILE%\AppData\Local\Temp\OnboardLogs" /stypes="app*4026*20161030*" /stext=" 20:.+((SYSTEM_STATE.+slice.+state.+changed )|(ment ac)|(system.+state.+changed )|(\[timeout)|(PRM\|1\|D)|(kpr)|(kdp)|(\|lc)|(penalty))" /e /r /s</v>
      </c>
      <c r="AG86" s="1" t="str">
        <f t="shared" si="49"/>
        <v>EC</v>
      </c>
      <c r="AH86" s="92" t="str">
        <f t="shared" si="50"/>
        <v>"%USERPROFILE%\Documents\GitHub\eaglep3\Utilities\RefineRTDCRunTimes.py" --tripid 174-30 --locoid 4026 --swversion DE.1.0.8.0 --startMP 204:232975 --initTime 2016-10-30T13:35:49 --startdatetime 2016-10-30T13:41:20 --delay 1 --endMP 204:161 --enddatetime 2016-10-30T14:19:45 --enforcementcount 0 &gt;&gt;C:\Users\stu\Documents\GitHub\eaglep3-reporting\EC\2016-10-30-refined-times.txt</v>
      </c>
      <c r="AI8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ID","value":"174-30"},{"id":16,"name":"Locomotive ID","value":"4026"},{"id":130,"name":"Impact","value":""},{"id":150,"name":"Time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520</v>
      </c>
      <c r="B87" s="7">
        <v>4038</v>
      </c>
      <c r="C87" s="22" t="s">
        <v>284</v>
      </c>
      <c r="D87" s="22" t="s">
        <v>254</v>
      </c>
      <c r="E87" s="13">
        <v>42673.535682870373</v>
      </c>
      <c r="F87" s="13">
        <v>42673.542002314818</v>
      </c>
      <c r="G87" s="7">
        <v>1</v>
      </c>
      <c r="H87" s="13" t="s">
        <v>319</v>
      </c>
      <c r="I87" s="13">
        <v>42673.566747685189</v>
      </c>
      <c r="J87" s="7">
        <v>0</v>
      </c>
      <c r="K87" s="112" t="str">
        <f t="shared" si="35"/>
        <v>4037/4038</v>
      </c>
      <c r="L87" s="22" t="str">
        <f>VLOOKUP(A87,'Trips&amp;Operators'!$C$1:$E$10000,3,FALSE)</f>
        <v>BARTLETT</v>
      </c>
      <c r="M87" s="6">
        <f t="shared" si="36"/>
        <v>2.47453703705105E-2</v>
      </c>
      <c r="N87" s="7">
        <f t="shared" si="37"/>
        <v>35.63333333353512</v>
      </c>
      <c r="O87" s="7"/>
      <c r="P87" s="7"/>
      <c r="Q87" s="23"/>
      <c r="R87" s="23"/>
      <c r="S87" s="35">
        <f t="shared" si="38"/>
        <v>1</v>
      </c>
      <c r="T87" s="50" t="str">
        <f t="shared" si="3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11:51:23-0600',mode:absolute,to:'2016-10-30 14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41"/>
        <v>N</v>
      </c>
      <c r="X87" s="177">
        <f t="shared" si="42"/>
        <v>1</v>
      </c>
      <c r="Y87" s="67">
        <f t="shared" si="43"/>
        <v>4.6199999999999998E-2</v>
      </c>
      <c r="Z87" s="67">
        <f t="shared" si="44"/>
        <v>23.328299999999999</v>
      </c>
      <c r="AA87" s="67">
        <f t="shared" si="45"/>
        <v>23.2821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6"/>
        <v>0175-30</v>
      </c>
      <c r="AE87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87" s="88" t="str">
        <f t="shared" si="48"/>
        <v>"C:\Program Files (x86)\AstroGrep\AstroGrep.exe" /spath="%USERPROFILE%\AppData\Local\Temp\OnboardLogs" /stypes="app*4038*20161030*" /stext=" 19:.+((SYSTEM_STATE.+slice.+state.+changed )|(ment ac)|(system.+state.+changed )|(\[timeout)|(PRM\|1\|D)|(kpr)|(kdp)|(\|lc)|(penalty))" /e /r /s</v>
      </c>
      <c r="AG87" s="1" t="str">
        <f t="shared" si="49"/>
        <v>EC</v>
      </c>
      <c r="AH87" s="92" t="str">
        <f t="shared" si="50"/>
        <v>"%USERPROFILE%\Documents\GitHub\eaglep3\Utilities\RefineRTDCRunTimes.py" --tripid 175-30 --locoid 4038 --swversion DE.1.0.8.0 --startMP 204:462 --initTime 2016-10-30T12:51:23 --startdatetime 2016-10-30T13:00:29 --delay 1 --endMP 204:233283 --enddatetime 2016-10-30T13:36:07 --enforcementcount 0 &gt;&gt;C:\Users\stu\Documents\GitHub\eaglep3-reporting\EC\2016-10-30-refined-times.txt</v>
      </c>
      <c r="AI8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{"issue":{"subject":"","project_id":79,"tracker_id":40,"status_id":1,"priority_id":2,"assigned_to_id":23,"start_date":"2016-10-30","description":"","custom_fields":[{"id":1,"name":"Subdivision","value":"EC"},{"id":4,"name":"Milepost","value":"23.3283"},{"id":17,"name":"Train ID","value":"175-30"},{"id":16,"name":"Locomotive ID","value":"4038"},{"id":130,"name":"Impact","value":""},{"id":150,"name":"Time of Event (Mountain Time)","value":"13:36:07"},{"id":151,"name":"Denver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528</v>
      </c>
      <c r="B88" s="7">
        <v>4037</v>
      </c>
      <c r="C88" s="22" t="s">
        <v>284</v>
      </c>
      <c r="D88" s="22" t="s">
        <v>265</v>
      </c>
      <c r="E88" s="13">
        <v>42673.568923611114</v>
      </c>
      <c r="F88" s="13">
        <v>42673.580810185187</v>
      </c>
      <c r="G88" s="7">
        <v>1</v>
      </c>
      <c r="H88" s="13" t="s">
        <v>212</v>
      </c>
      <c r="I88" s="13">
        <v>42673.607256944444</v>
      </c>
      <c r="J88" s="7">
        <v>0</v>
      </c>
      <c r="K88" s="112" t="str">
        <f t="shared" si="35"/>
        <v>4037/4038</v>
      </c>
      <c r="L88" s="22" t="str">
        <f>VLOOKUP(A88,'Trips&amp;Operators'!$C$1:$E$10000,3,FALSE)</f>
        <v>BARTLETT</v>
      </c>
      <c r="M88" s="6">
        <f t="shared" si="36"/>
        <v>2.6446759256941732E-2</v>
      </c>
      <c r="N88" s="7">
        <f t="shared" si="37"/>
        <v>38.083333329996094</v>
      </c>
      <c r="O88" s="7"/>
      <c r="P88" s="7"/>
      <c r="Q88" s="23"/>
      <c r="R88" s="23"/>
      <c r="S88" s="35">
        <f t="shared" si="38"/>
        <v>1</v>
      </c>
      <c r="T88" s="50" t="str">
        <f t="shared" si="3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12:39:15-0600',mode:absolute,to:'2016-10-30 15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2" t="str">
        <f t="shared" si="41"/>
        <v>N</v>
      </c>
      <c r="X88" s="177">
        <f t="shared" si="42"/>
        <v>1</v>
      </c>
      <c r="Y88" s="67">
        <f t="shared" si="43"/>
        <v>23.299800000000001</v>
      </c>
      <c r="Z88" s="67">
        <f t="shared" si="44"/>
        <v>1.49E-2</v>
      </c>
      <c r="AA88" s="67">
        <f t="shared" si="45"/>
        <v>23.2849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6"/>
        <v>0176-30</v>
      </c>
      <c r="AE88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88" s="88" t="str">
        <f t="shared" si="48"/>
        <v>"C:\Program Files (x86)\AstroGrep\AstroGrep.exe" /spath="%USERPROFILE%\AppData\Local\Temp\OnboardLogs" /stypes="app*4037*20161030*" /stext=" 20:.+((SYSTEM_STATE.+slice.+state.+changed )|(ment ac)|(system.+state.+changed )|(\[timeout)|(PRM\|1\|D)|(kpr)|(kdp)|(\|lc)|(penalty))" /e /r /s</v>
      </c>
      <c r="AG88" s="1" t="str">
        <f t="shared" si="49"/>
        <v>EC</v>
      </c>
      <c r="AH88" s="92" t="str">
        <f t="shared" si="50"/>
        <v>"%USERPROFILE%\Documents\GitHub\eaglep3\Utilities\RefineRTDCRunTimes.py" --tripid 176-30 --locoid 4037 --swversion DE.1.0.8.0 --startMP 204:232998 --initTime 2016-10-30T13:39:15 --startdatetime 2016-10-30T13:56:22 --delay 1 --endMP 204:149 --enddatetime 2016-10-30T14:34:27 --enforcementcount 0 &gt;&gt;C:\Users\stu\Documents\GitHub\eaglep3-reporting\EC\2016-10-30-refined-times.txt</v>
      </c>
      <c r="AI8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ID","value":"176-30"},{"id":16,"name":"Locomotive ID","value":"4037"},{"id":130,"name":"Impact","value":""},{"id":150,"name":"Time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522</v>
      </c>
      <c r="B89" s="7">
        <v>4027</v>
      </c>
      <c r="C89" s="22" t="s">
        <v>284</v>
      </c>
      <c r="D89" s="22" t="s">
        <v>224</v>
      </c>
      <c r="E89" s="13">
        <v>42673.54587962963</v>
      </c>
      <c r="F89" s="13">
        <v>42673.552291666667</v>
      </c>
      <c r="G89" s="7">
        <v>1</v>
      </c>
      <c r="H89" s="13" t="s">
        <v>273</v>
      </c>
      <c r="I89" s="13">
        <v>42673.57644675926</v>
      </c>
      <c r="J89" s="7">
        <v>0</v>
      </c>
      <c r="K89" s="112" t="str">
        <f t="shared" si="35"/>
        <v>4027/4028</v>
      </c>
      <c r="L89" s="22" t="str">
        <f>VLOOKUP(A89,'Trips&amp;Operators'!$C$1:$E$10000,3,FALSE)</f>
        <v>BRUDER</v>
      </c>
      <c r="M89" s="6">
        <f t="shared" si="36"/>
        <v>2.4155092592991423E-2</v>
      </c>
      <c r="N89" s="7">
        <f t="shared" si="37"/>
        <v>34.783333333907649</v>
      </c>
      <c r="O89" s="7"/>
      <c r="P89" s="7"/>
      <c r="Q89" s="23"/>
      <c r="R89" s="23"/>
      <c r="S89" s="35">
        <f t="shared" si="38"/>
        <v>1</v>
      </c>
      <c r="T89" s="50" t="str">
        <f t="shared" si="3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12:06:04-0600',mode:absolute,to:'2016-10-30 14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9" s="52" t="str">
        <f t="shared" si="41"/>
        <v>N</v>
      </c>
      <c r="X89" s="177">
        <f t="shared" si="42"/>
        <v>1</v>
      </c>
      <c r="Y89" s="67">
        <f t="shared" si="43"/>
        <v>4.5999999999999999E-2</v>
      </c>
      <c r="Z89" s="67">
        <f t="shared" si="44"/>
        <v>23.330100000000002</v>
      </c>
      <c r="AA89" s="67">
        <f t="shared" si="45"/>
        <v>23.284100000000002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46"/>
        <v>0177-30</v>
      </c>
      <c r="AE89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89" s="88" t="str">
        <f t="shared" si="48"/>
        <v>"C:\Program Files (x86)\AstroGrep\AstroGrep.exe" /spath="%USERPROFILE%\AppData\Local\Temp\OnboardLogs" /stypes="app*4027*20161030*" /stext=" 19:.+((SYSTEM_STATE.+slice.+state.+changed )|(ment ac)|(system.+state.+changed )|(\[timeout)|(PRM\|1\|D)|(kpr)|(kdp)|(\|lc)|(penalty))" /e /r /s</v>
      </c>
      <c r="AG89" s="1" t="str">
        <f t="shared" si="49"/>
        <v>EC</v>
      </c>
      <c r="AH89" s="92" t="str">
        <f t="shared" si="50"/>
        <v>"%USERPROFILE%\Documents\GitHub\eaglep3\Utilities\RefineRTDCRunTimes.py" --tripid 177-30 --locoid 4027 --swversion DE.1.0.8.0 --startMP 204:460 --initTime 2016-10-30T13:06:04 --startdatetime 2016-10-30T13:15:18 --delay 1 --endMP 204:233301 --enddatetime 2016-10-30T13:50:05 --enforcementcount 0 &gt;&gt;C:\Users\stu\Documents\GitHub\eaglep3-reporting\EC\2016-10-30-refined-times.txt</v>
      </c>
      <c r="AI8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ID","value":"177-30"},{"id":16,"name":"Locomotive ID","value":"4027"},{"id":130,"name":"Impact","value":""},{"id":150,"name":"Time of Event (Mountain Time)","value":"13:50:05"},{"id":151,"name":"Denver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414</v>
      </c>
      <c r="B90" s="7">
        <v>4028</v>
      </c>
      <c r="C90" s="22" t="s">
        <v>284</v>
      </c>
      <c r="D90" s="22" t="s">
        <v>237</v>
      </c>
      <c r="E90" s="13">
        <v>42673.584432870368</v>
      </c>
      <c r="F90" s="13">
        <v>42673.591192129628</v>
      </c>
      <c r="G90" s="7">
        <v>1</v>
      </c>
      <c r="H90" s="13" t="s">
        <v>269</v>
      </c>
      <c r="I90" s="13">
        <v>42673.616840277777</v>
      </c>
      <c r="J90" s="7">
        <v>0</v>
      </c>
      <c r="K90" s="112" t="str">
        <f t="shared" si="35"/>
        <v>4027/4028</v>
      </c>
      <c r="L90" s="22" t="str">
        <f>VLOOKUP(A90,'Trips&amp;Operators'!$C$1:$E$10000,3,FALSE)</f>
        <v>BRUDER</v>
      </c>
      <c r="M90" s="6">
        <f t="shared" si="36"/>
        <v>2.5648148148320615E-2</v>
      </c>
      <c r="N90" s="7">
        <f t="shared" si="37"/>
        <v>36.933333333581686</v>
      </c>
      <c r="O90" s="7"/>
      <c r="P90" s="7"/>
      <c r="Q90" s="23"/>
      <c r="R90" s="23"/>
      <c r="S90" s="35">
        <f t="shared" si="38"/>
        <v>1</v>
      </c>
      <c r="T90" s="50" t="str">
        <f t="shared" si="3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13:01:35-0600',mode:absolute,to:'2016-10-30 15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0" s="52" t="str">
        <f t="shared" si="41"/>
        <v>N</v>
      </c>
      <c r="X90" s="177">
        <f t="shared" si="42"/>
        <v>1</v>
      </c>
      <c r="Y90" s="67">
        <f t="shared" si="43"/>
        <v>23.297699999999999</v>
      </c>
      <c r="Z90" s="67">
        <f t="shared" si="44"/>
        <v>1.61E-2</v>
      </c>
      <c r="AA90" s="67">
        <f t="shared" si="45"/>
        <v>23.281599999999997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6"/>
        <v>0178-30</v>
      </c>
      <c r="AE90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90" s="88" t="str">
        <f t="shared" si="48"/>
        <v>"C:\Program Files (x86)\AstroGrep\AstroGrep.exe" /spath="%USERPROFILE%\AppData\Local\Temp\OnboardLogs" /stypes="app*4028*20161030*" /stext=" 20:.+((SYSTEM_STATE.+slice.+state.+changed )|(ment ac)|(system.+state.+changed )|(\[timeout)|(PRM\|1\|D)|(kpr)|(kdp)|(\|lc)|(penalty))" /e /r /s</v>
      </c>
      <c r="AG90" s="1" t="str">
        <f t="shared" si="49"/>
        <v>EC</v>
      </c>
      <c r="AH90" s="92" t="str">
        <f t="shared" si="50"/>
        <v>"%USERPROFILE%\Documents\GitHub\eaglep3\Utilities\RefineRTDCRunTimes.py" --tripid 178-30 --locoid 4028 --swversion DE.1.0.8.0 --startMP 204:232977 --initTime 2016-10-30T14:01:35 --startdatetime 2016-10-30T14:11:19 --delay 1 --endMP 204:161 --enddatetime 2016-10-30T14:48:15 --enforcementcount 0 &gt;&gt;C:\Users\stu\Documents\GitHub\eaglep3-reporting\EC\2016-10-30-refined-times.txt</v>
      </c>
      <c r="AI9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ID","value":"178-30"},{"id":16,"name":"Locomotive ID","value":"4028"},{"id":130,"name":"Impact","value":""},{"id":150,"name":"Time of Event (Mountain Time)","value":"14:48:15"},{"id":151,"name":"Denver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525</v>
      </c>
      <c r="B91" s="7">
        <v>4002</v>
      </c>
      <c r="C91" s="22" t="s">
        <v>284</v>
      </c>
      <c r="D91" s="22" t="s">
        <v>226</v>
      </c>
      <c r="E91" s="13">
        <v>42673.559432870374</v>
      </c>
      <c r="F91" s="13">
        <v>42673.562800925924</v>
      </c>
      <c r="G91" s="7">
        <v>1</v>
      </c>
      <c r="H91" s="13" t="s">
        <v>271</v>
      </c>
      <c r="I91" s="13">
        <v>42673.58935185185</v>
      </c>
      <c r="J91" s="7">
        <v>0</v>
      </c>
      <c r="K91" s="112" t="str">
        <f t="shared" si="35"/>
        <v>4001/4002</v>
      </c>
      <c r="L91" s="22" t="str">
        <f>VLOOKUP(A91,'Trips&amp;Operators'!$C$1:$E$10000,3,FALSE)</f>
        <v>MOSES</v>
      </c>
      <c r="M91" s="6">
        <f t="shared" si="36"/>
        <v>2.6550925926130731E-2</v>
      </c>
      <c r="N91" s="7">
        <f t="shared" si="37"/>
        <v>38.233333333628252</v>
      </c>
      <c r="O91" s="7"/>
      <c r="P91" s="7"/>
      <c r="Q91" s="23"/>
      <c r="R91" s="23"/>
      <c r="S91" s="35">
        <f t="shared" si="38"/>
        <v>1</v>
      </c>
      <c r="T91" s="50" t="str">
        <f t="shared" si="3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12:25:35-0600',mode:absolute,to:'2016-10-30 15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52" t="str">
        <f t="shared" si="41"/>
        <v>N</v>
      </c>
      <c r="X91" s="177">
        <f t="shared" si="42"/>
        <v>1</v>
      </c>
      <c r="Y91" s="67">
        <f t="shared" si="43"/>
        <v>4.5100000000000001E-2</v>
      </c>
      <c r="Z91" s="67">
        <f t="shared" si="44"/>
        <v>23.3308</v>
      </c>
      <c r="AA91" s="67">
        <f t="shared" si="45"/>
        <v>23.285699999999999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6"/>
        <v>0179-30</v>
      </c>
      <c r="AE91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91" s="88" t="str">
        <f t="shared" si="48"/>
        <v>"C:\Program Files (x86)\AstroGrep\AstroGrep.exe" /spath="%USERPROFILE%\AppData\Local\Temp\OnboardLogs" /stypes="app*4002*20161030*" /stext=" 20:.+((SYSTEM_STATE.+slice.+state.+changed )|(ment ac)|(system.+state.+changed )|(\[timeout)|(PRM\|1\|D)|(kpr)|(kdp)|(\|lc)|(penalty))" /e /r /s</v>
      </c>
      <c r="AG91" s="1" t="str">
        <f t="shared" si="49"/>
        <v>EC</v>
      </c>
      <c r="AH91" s="92" t="str">
        <f t="shared" si="50"/>
        <v>"%USERPROFILE%\Documents\GitHub\eaglep3\Utilities\RefineRTDCRunTimes.py" --tripid 179-30 --locoid 4002 --swversion DE.1.0.8.0 --startMP 204:451 --initTime 2016-10-30T13:25:35 --startdatetime 2016-10-30T13:30:26 --delay 1 --endMP 204:233308 --enddatetime 2016-10-30T14:08:40 --enforcementcount 0 &gt;&gt;C:\Users\stu\Documents\GitHub\eaglep3-reporting\EC\2016-10-30-refined-times.txt</v>
      </c>
      <c r="AI9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ID","value":"179-30"},{"id":16,"name":"Locomotive ID","value":"4002"},{"id":130,"name":"Impact","value":""},{"id":150,"name":"Time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535</v>
      </c>
      <c r="B92" s="7">
        <v>4001</v>
      </c>
      <c r="C92" s="22" t="s">
        <v>284</v>
      </c>
      <c r="D92" s="22" t="s">
        <v>238</v>
      </c>
      <c r="E92" s="13">
        <v>42673.598969907405</v>
      </c>
      <c r="F92" s="13">
        <v>42673.601817129631</v>
      </c>
      <c r="G92" s="7">
        <v>1</v>
      </c>
      <c r="H92" s="13" t="s">
        <v>181</v>
      </c>
      <c r="I92" s="13">
        <v>42673.630694444444</v>
      </c>
      <c r="J92" s="7">
        <v>0</v>
      </c>
      <c r="K92" s="112" t="str">
        <f t="shared" si="35"/>
        <v>4001/4002</v>
      </c>
      <c r="L92" s="22" t="str">
        <f>VLOOKUP(A92,'Trips&amp;Operators'!$C$1:$E$10000,3,FALSE)</f>
        <v>MOSES</v>
      </c>
      <c r="M92" s="6">
        <f t="shared" si="36"/>
        <v>2.8877314813144039E-2</v>
      </c>
      <c r="N92" s="7">
        <f t="shared" si="37"/>
        <v>41.583333330927417</v>
      </c>
      <c r="O92" s="7"/>
      <c r="P92" s="7"/>
      <c r="Q92" s="23"/>
      <c r="R92" s="23"/>
      <c r="S92" s="35">
        <f t="shared" si="38"/>
        <v>1</v>
      </c>
      <c r="T92" s="50" t="str">
        <f t="shared" si="3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13:22:31-0600',mode:absolute,to:'2016-10-30 16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52" t="str">
        <f t="shared" si="41"/>
        <v>N</v>
      </c>
      <c r="X92" s="177">
        <f t="shared" si="42"/>
        <v>1</v>
      </c>
      <c r="Y92" s="67">
        <f t="shared" si="43"/>
        <v>23.299399999999999</v>
      </c>
      <c r="Z92" s="67">
        <f t="shared" si="44"/>
        <v>1.41E-2</v>
      </c>
      <c r="AA92" s="67">
        <f t="shared" si="45"/>
        <v>23.285299999999999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6"/>
        <v>0180-30</v>
      </c>
      <c r="AE92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92" s="88" t="str">
        <f t="shared" si="48"/>
        <v>"C:\Program Files (x86)\AstroGrep\AstroGrep.exe" /spath="%USERPROFILE%\AppData\Local\Temp\OnboardLogs" /stypes="app*4001*20161030*" /stext=" 21:.+((SYSTEM_STATE.+slice.+state.+changed )|(ment ac)|(system.+state.+changed )|(\[timeout)|(PRM\|1\|D)|(kpr)|(kdp)|(\|lc)|(penalty))" /e /r /s</v>
      </c>
      <c r="AG92" s="1" t="str">
        <f t="shared" si="49"/>
        <v>EC</v>
      </c>
      <c r="AH92" s="92" t="str">
        <f t="shared" si="50"/>
        <v>"%USERPROFILE%\Documents\GitHub\eaglep3\Utilities\RefineRTDCRunTimes.py" --tripid 180-30 --locoid 4001 --swversion DE.1.0.8.0 --startMP 204:232994 --initTime 2016-10-30T14:22:31 --startdatetime 2016-10-30T14:26:37 --delay 1 --endMP 204:141 --enddatetime 2016-10-30T15:08:12 --enforcementcount 0 &gt;&gt;C:\Users\stu\Documents\GitHub\eaglep3-reporting\EC\2016-10-30-refined-times.txt</v>
      </c>
      <c r="AI9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ID","value":"180-30"},{"id":16,"name":"Locomotive ID","value":"4001"},{"id":130,"name":"Impact","value":""},{"id":150,"name":"Time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529</v>
      </c>
      <c r="B93" s="7">
        <v>4053</v>
      </c>
      <c r="C93" s="22" t="s">
        <v>284</v>
      </c>
      <c r="D93" s="22" t="s">
        <v>671</v>
      </c>
      <c r="E93" s="13">
        <v>42673.570972222224</v>
      </c>
      <c r="F93" s="13">
        <v>42673.573564814818</v>
      </c>
      <c r="G93" s="7">
        <v>1</v>
      </c>
      <c r="H93" s="13" t="s">
        <v>672</v>
      </c>
      <c r="I93" s="13">
        <v>42673.599560185183</v>
      </c>
      <c r="J93" s="7">
        <v>0</v>
      </c>
      <c r="K93" s="112" t="str">
        <f t="shared" si="35"/>
        <v>4053/4054</v>
      </c>
      <c r="L93" s="22" t="str">
        <f>VLOOKUP(A93,'Trips&amp;Operators'!$C$1:$E$10000,3,FALSE)</f>
        <v>YOUNG</v>
      </c>
      <c r="M93" s="6">
        <f t="shared" si="36"/>
        <v>2.5995370364398696E-2</v>
      </c>
      <c r="N93" s="7">
        <f t="shared" si="37"/>
        <v>37.433333324734122</v>
      </c>
      <c r="O93" s="7"/>
      <c r="P93" s="7"/>
      <c r="Q93" s="23"/>
      <c r="R93" s="23"/>
      <c r="S93" s="35">
        <f t="shared" si="38"/>
        <v>1</v>
      </c>
      <c r="T93" s="50" t="str">
        <f t="shared" si="3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12:42:12-0600',mode:absolute,to:'2016-10-30 15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3" s="52" t="str">
        <f t="shared" si="41"/>
        <v>N</v>
      </c>
      <c r="X93" s="177">
        <f t="shared" si="42"/>
        <v>1</v>
      </c>
      <c r="Y93" s="67">
        <f t="shared" si="43"/>
        <v>6.1899999999999997E-2</v>
      </c>
      <c r="Z93" s="67">
        <f t="shared" si="44"/>
        <v>23.332599999999999</v>
      </c>
      <c r="AA93" s="67">
        <f t="shared" si="45"/>
        <v>23.270699999999998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6"/>
        <v>0181-30</v>
      </c>
      <c r="AE93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93" s="88" t="str">
        <f t="shared" si="48"/>
        <v>"C:\Program Files (x86)\AstroGrep\AstroGrep.exe" /spath="%USERPROFILE%\AppData\Local\Temp\OnboardLogs" /stypes="app*4053*20161030*" /stext=" 20:.+((SYSTEM_STATE.+slice.+state.+changed )|(ment ac)|(system.+state.+changed )|(\[timeout)|(PRM\|1\|D)|(kpr)|(kdp)|(\|lc)|(penalty))" /e /r /s</v>
      </c>
      <c r="AG93" s="1" t="str">
        <f t="shared" si="49"/>
        <v>EC</v>
      </c>
      <c r="AH93" s="92" t="str">
        <f t="shared" si="50"/>
        <v>"%USERPROFILE%\Documents\GitHub\eaglep3\Utilities\RefineRTDCRunTimes.py" --tripid 181-30 --locoid 4053 --swversion DE.1.0.8.0 --startMP 204:619 --initTime 2016-10-30T13:42:12 --startdatetime 2016-10-30T13:45:56 --delay 1 --endMP 204:233326 --enddatetime 2016-10-30T14:23:22 --enforcementcount 0 &gt;&gt;C:\Users\stu\Documents\GitHub\eaglep3-reporting\EC\2016-10-30-refined-times.txt</v>
      </c>
      <c r="AI9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{"issue":{"subject":"","project_id":79,"tracker_id":40,"status_id":1,"priority_id":2,"assigned_to_id":23,"start_date":"2016-10-30","description":"","custom_fields":[{"id":1,"name":"Subdivision","value":"EC"},{"id":4,"name":"Milepost","value":"23.3326"},{"id":17,"name":"Train ID","value":"181-30"},{"id":16,"name":"Locomotive ID","value":"4053"},{"id":130,"name":"Impact","value":""},{"id":150,"name":"Time of Event (Mountain Time)","value":"14:23:22"},{"id":151,"name":"Denver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538</v>
      </c>
      <c r="B94" s="7">
        <v>4054</v>
      </c>
      <c r="C94" s="22" t="s">
        <v>284</v>
      </c>
      <c r="D94" s="22" t="s">
        <v>681</v>
      </c>
      <c r="E94" s="13">
        <v>42673.605532407404</v>
      </c>
      <c r="F94" s="13">
        <v>42673.613483796296</v>
      </c>
      <c r="G94" s="7">
        <v>1</v>
      </c>
      <c r="H94" s="13" t="s">
        <v>682</v>
      </c>
      <c r="I94" s="13">
        <v>42673.642893518518</v>
      </c>
      <c r="J94" s="7">
        <v>0</v>
      </c>
      <c r="K94" s="112" t="str">
        <f t="shared" si="35"/>
        <v>4053/4054</v>
      </c>
      <c r="L94" s="22" t="str">
        <f>VLOOKUP(A94,'Trips&amp;Operators'!$C$1:$E$10000,3,FALSE)</f>
        <v>YOUNG</v>
      </c>
      <c r="M94" s="6">
        <f t="shared" si="36"/>
        <v>2.940972222131677E-2</v>
      </c>
      <c r="N94" s="7">
        <f t="shared" si="37"/>
        <v>42.349999998696148</v>
      </c>
      <c r="O94" s="7"/>
      <c r="P94" s="7"/>
      <c r="Q94" s="23"/>
      <c r="R94" s="23"/>
      <c r="S94" s="35">
        <f t="shared" si="38"/>
        <v>1</v>
      </c>
      <c r="T94" s="50" t="str">
        <f t="shared" si="3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13:31:58-0600',mode:absolute,to:'2016-10-30 16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4" s="52" t="str">
        <f t="shared" si="41"/>
        <v>N</v>
      </c>
      <c r="X94" s="177">
        <f t="shared" si="42"/>
        <v>1</v>
      </c>
      <c r="Y94" s="67">
        <f t="shared" si="43"/>
        <v>23.3003</v>
      </c>
      <c r="Z94" s="67">
        <f t="shared" si="44"/>
        <v>1.6899999999999998E-2</v>
      </c>
      <c r="AA94" s="67">
        <f t="shared" si="45"/>
        <v>23.2834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6"/>
        <v>0182-30</v>
      </c>
      <c r="AE94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94" s="88" t="str">
        <f t="shared" si="48"/>
        <v>"C:\Program Files (x86)\AstroGrep\AstroGrep.exe" /spath="%USERPROFILE%\AppData\Local\Temp\OnboardLogs" /stypes="app*4054*20161030*" /stext=" 21:.+((SYSTEM_STATE.+slice.+state.+changed )|(ment ac)|(system.+state.+changed )|(\[timeout)|(PRM\|1\|D)|(kpr)|(kdp)|(\|lc)|(penalty))" /e /r /s</v>
      </c>
      <c r="AG94" s="1" t="str">
        <f t="shared" si="49"/>
        <v>EC</v>
      </c>
      <c r="AH94" s="92" t="str">
        <f t="shared" si="50"/>
        <v>"%USERPROFILE%\Documents\GitHub\eaglep3\Utilities\RefineRTDCRunTimes.py" --tripid 182-30 --locoid 4054 --swversion DE.1.0.8.0 --startMP 204:233003 --initTime 2016-10-30T14:31:58 --startdatetime 2016-10-30T14:43:25 --delay 1 --endMP 204:169 --enddatetime 2016-10-30T15:25:46 --enforcementcount 0 &gt;&gt;C:\Users\stu\Documents\GitHub\eaglep3-reporting\EC\2016-10-30-refined-times.txt</v>
      </c>
      <c r="AI9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{"issue":{"subject":"","project_id":79,"tracker_id":40,"status_id":1,"priority_id":2,"assigned_to_id":23,"start_date":"2016-10-30","description":"","custom_fields":[{"id":1,"name":"Subdivision","value":"EC"},{"id":4,"name":"Milepost","value":"0.0169"},{"id":17,"name":"Train ID","value":"182-30"},{"id":16,"name":"Locomotive ID","value":"4054"},{"id":130,"name":"Impact","value":""},{"id":150,"name":"Time of Event (Mountain Time)","value":"15:25:46"},{"id":151,"name":"Denver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413</v>
      </c>
      <c r="B95" s="7">
        <v>4046</v>
      </c>
      <c r="C95" s="22" t="s">
        <v>284</v>
      </c>
      <c r="D95" s="22" t="s">
        <v>262</v>
      </c>
      <c r="E95" s="13">
        <v>42673.580729166664</v>
      </c>
      <c r="F95" s="13">
        <v>42673.583518518521</v>
      </c>
      <c r="G95" s="7">
        <v>1</v>
      </c>
      <c r="H95" s="13" t="s">
        <v>692</v>
      </c>
      <c r="I95" s="13">
        <v>42673.613564814812</v>
      </c>
      <c r="J95" s="7">
        <v>0</v>
      </c>
      <c r="K95" s="112" t="str">
        <f t="shared" si="35"/>
        <v>4045/4046</v>
      </c>
      <c r="L95" s="22" t="str">
        <f>VLOOKUP(A95,'Trips&amp;Operators'!$C$1:$E$10000,3,FALSE)</f>
        <v>CLARK</v>
      </c>
      <c r="M95" s="6">
        <f t="shared" si="36"/>
        <v>3.0046296291402541E-2</v>
      </c>
      <c r="N95" s="7">
        <f t="shared" si="37"/>
        <v>43.266666659619659</v>
      </c>
      <c r="O95" s="7"/>
      <c r="P95" s="7"/>
      <c r="Q95" s="23"/>
      <c r="R95" s="23"/>
      <c r="S95" s="35">
        <f t="shared" si="38"/>
        <v>1</v>
      </c>
      <c r="T95" s="50" t="str">
        <f t="shared" si="3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12:56:15-0600',mode:absolute,to:'2016-10-30 15:43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5" s="52" t="str">
        <f t="shared" si="41"/>
        <v>N</v>
      </c>
      <c r="X95" s="177">
        <f t="shared" si="42"/>
        <v>1</v>
      </c>
      <c r="Y95" s="67">
        <f t="shared" si="43"/>
        <v>4.5699999999999998E-2</v>
      </c>
      <c r="Z95" s="67">
        <f t="shared" si="44"/>
        <v>23.314499999999999</v>
      </c>
      <c r="AA95" s="67">
        <f t="shared" si="45"/>
        <v>23.268799999999999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6"/>
        <v>0183-30</v>
      </c>
      <c r="AE95" s="91" t="str">
        <f t="shared" si="47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95" s="88" t="str">
        <f t="shared" si="48"/>
        <v>"C:\Program Files (x86)\AstroGrep\AstroGrep.exe" /spath="%USERPROFILE%\AppData\Local\Temp\OnboardLogs" /stypes="app*4046*20161030*" /stext=" 20:.+((SYSTEM_STATE.+slice.+state.+changed )|(ment ac)|(system.+state.+changed )|(\[timeout)|(PRM\|1\|D)|(kpr)|(kdp)|(\|lc)|(penalty))" /e /r /s</v>
      </c>
      <c r="AG95" s="1" t="str">
        <f t="shared" si="49"/>
        <v>EC</v>
      </c>
      <c r="AH95" s="92" t="str">
        <f t="shared" si="50"/>
        <v>"%USERPROFILE%\Documents\GitHub\eaglep3\Utilities\RefineRTDCRunTimes.py" --tripid 183-30 --locoid 4046 --swversion DE.1.0.8.0 --startMP 204:457 --initTime 2016-10-30T13:56:15 --startdatetime 2016-10-30T14:00:16 --delay 1 --endMP 204:233145 --enddatetime 2016-10-30T14:43:32 --enforcementcount 0 &gt;&gt;C:\Users\stu\Documents\GitHub\eaglep3-reporting\EC\2016-10-30-refined-times.txt</v>
      </c>
      <c r="AI9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{"issue":{"subject":"","project_id":79,"tracker_id":40,"status_id":1,"priority_id":2,"assigned_to_id":23,"start_date":"2016-10-30","description":"","custom_fields":[{"id":1,"name":"Subdivision","value":"EC"},{"id":4,"name":"Milepost","value":"23.3145"},{"id":17,"name":"Train ID","value":"183-30"},{"id":16,"name":"Locomotive ID","value":"4046"},{"id":130,"name":"Impact","value":""},{"id":150,"name":"Time of Event (Mountain Time)","value":"14:43:32"},{"id":151,"name":"Denver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779</v>
      </c>
      <c r="B96" s="7"/>
      <c r="C96" s="22" t="s">
        <v>284</v>
      </c>
      <c r="D96" s="22" t="s">
        <v>262</v>
      </c>
      <c r="E96" s="13">
        <v>42673.580729166664</v>
      </c>
      <c r="F96" s="13"/>
      <c r="G96" s="7">
        <v>1</v>
      </c>
      <c r="H96" s="13" t="s">
        <v>692</v>
      </c>
      <c r="I96" s="13"/>
      <c r="J96" s="7">
        <v>0</v>
      </c>
      <c r="K96" s="112" t="str">
        <f t="shared" ref="K96" si="52">IF(ISEVEN(B96),(B96-1)&amp;"/"&amp;B96,B96&amp;"/"&amp;(B96+1))</f>
        <v>-1/</v>
      </c>
      <c r="L96" s="22" t="e">
        <f>VLOOKUP(A96,'Trips&amp;Operators'!$C$1:$E$10000,3,FALSE)</f>
        <v>#N/A</v>
      </c>
      <c r="M96" s="6">
        <f t="shared" ref="M96" si="53">I96-F96</f>
        <v>0</v>
      </c>
      <c r="N96" s="7"/>
      <c r="O96" s="7"/>
      <c r="P96" s="7">
        <v>1</v>
      </c>
      <c r="Q96" s="23"/>
      <c r="R96" s="23" t="s">
        <v>780</v>
      </c>
      <c r="S96" s="35">
        <f t="shared" ref="S96" si="54">SUM(U96:U96)/IF(AG96="EC",12,1)</f>
        <v>0</v>
      </c>
      <c r="T96" s="50" t="str">
        <f t="shared" ref="T96" si="55"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98" t="str">
        <f t="shared" ref="V96" si="56"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https://search-rtdc-monitor-bjffxe2xuh6vdkpspy63sjmuny.us-east-1.es.amazonaws.com/_plugin/kibana/#/discover/Steve-Slow-Train-Analysis-(2080s-and-2083s)?_g=(refreshInterval:(display:Off,section:0,value:0),time:(from:'2016-10-30 12:56:15-0600',mode:absolute,to:'1900-01-00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96" s="52" t="str">
        <f t="shared" ref="W96" si="57">IF(AA96&lt;IF(AG96="EC",23,5.65),"Y","N")</f>
        <v>N</v>
      </c>
      <c r="X96" s="177">
        <f t="shared" si="42"/>
        <v>1</v>
      </c>
      <c r="Y96" s="67">
        <f t="shared" ref="Y96" si="58">RIGHT(D96,LEN(D96)-4)/10000</f>
        <v>4.5699999999999998E-2</v>
      </c>
      <c r="Z96" s="67">
        <f t="shared" ref="Z96" si="59">RIGHT(H96,LEN(H96)-4)/10000</f>
        <v>23.314499999999999</v>
      </c>
      <c r="AA96" s="67">
        <f t="shared" ref="AA96" si="60">ABS(Z96-Y96)</f>
        <v>23.268799999999999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ref="AD96" si="61">IF(LEN(A96)=6,"0"&amp;A96,A96)</f>
        <v>0184-30</v>
      </c>
      <c r="AE96" s="91" t="str">
        <f t="shared" ref="AE96" si="62"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96" s="88" t="str">
        <f t="shared" ref="AF96" si="63"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96" s="1" t="str">
        <f t="shared" ref="AG96" si="64">IFERROR(IF(VALUE(LEFT(AD96,2))&lt;=2,"EC",IF(OR(VALUE(LEFT(AD96,2))=8,VALUE(LEFT(AD96,2))=18),"NW","Other")),"Other")</f>
        <v>EC</v>
      </c>
      <c r="AH96" s="92" t="str">
        <f t="shared" ref="AH96" si="65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184-30 --locoid  --swversion DE.1.0.8.0 --startMP 204:457 --initTime 2016-10-30T13:56:15 --startdatetime 1900-01-00T00:00:00 --delay 1 --endMP 204:233145 --enddatetime 1900-01-00T00:00:00 --enforcementcount 0 &gt;&gt;C:\Users\stu\Documents\GitHub\eaglep3-reporting\EC\2016-10-30-refined-times.txt</v>
      </c>
      <c r="AI96" s="122" t="str">
        <f t="shared" ref="AI96" si="66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init","project_id":79,"tracker_id":40,"status_id":1,"priority_id":2,"assigned_to_id":23,"start_date":"1900-01-00","description":"","custom_fields":[{"id":1,"name":"Subdivision","value":"EC"},{"id":4,"name":"Milepost","value":"23.3145"},{"id":17,"name":"Train ID","value":"184-30"},{"id":16,"name":"Locomotive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</row>
    <row r="97" spans="1:91" s="1" customFormat="1" x14ac:dyDescent="0.25">
      <c r="A97" s="37" t="s">
        <v>532</v>
      </c>
      <c r="B97" s="7">
        <v>4029</v>
      </c>
      <c r="C97" s="22" t="s">
        <v>284</v>
      </c>
      <c r="D97" s="22" t="s">
        <v>694</v>
      </c>
      <c r="E97" s="13">
        <v>42673.591296296298</v>
      </c>
      <c r="F97" s="13">
        <v>42673.593993055554</v>
      </c>
      <c r="G97" s="7">
        <v>1</v>
      </c>
      <c r="H97" s="13" t="s">
        <v>695</v>
      </c>
      <c r="I97" s="13">
        <v>42673.619537037041</v>
      </c>
      <c r="J97" s="7">
        <v>0</v>
      </c>
      <c r="K97" s="112" t="str">
        <f t="shared" si="35"/>
        <v>4029/4030</v>
      </c>
      <c r="L97" s="22" t="str">
        <f>VLOOKUP(A97,'Trips&amp;Operators'!$C$1:$E$10000,3,FALSE)</f>
        <v>SHOOK</v>
      </c>
      <c r="M97" s="6">
        <f t="shared" si="36"/>
        <v>2.5543981486407574E-2</v>
      </c>
      <c r="N97" s="7">
        <f t="shared" si="37"/>
        <v>36.783333340426907</v>
      </c>
      <c r="O97" s="7"/>
      <c r="P97" s="7"/>
      <c r="Q97" s="23"/>
      <c r="R97" s="23"/>
      <c r="S97" s="35">
        <f t="shared" si="38"/>
        <v>1</v>
      </c>
      <c r="T97" s="50" t="str">
        <f t="shared" si="3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13:11:28-0600',mode:absolute,to:'2016-10-30 15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41"/>
        <v>N</v>
      </c>
      <c r="X97" s="177">
        <f t="shared" si="42"/>
        <v>1</v>
      </c>
      <c r="Y97" s="67">
        <f t="shared" si="43"/>
        <v>3.2899999999999999E-2</v>
      </c>
      <c r="Z97" s="67">
        <f t="shared" si="44"/>
        <v>23.334499999999998</v>
      </c>
      <c r="AA97" s="67">
        <f t="shared" si="45"/>
        <v>23.301599999999997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6"/>
        <v>0185-30</v>
      </c>
      <c r="AE97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97" s="88" t="str">
        <f t="shared" si="48"/>
        <v>"C:\Program Files (x86)\AstroGrep\AstroGrep.exe" /spath="%USERPROFILE%\AppData\Local\Temp\OnboardLogs" /stypes="app*4029*20161030*" /stext=" 20:.+((SYSTEM_STATE.+slice.+state.+changed )|(ment ac)|(system.+state.+changed )|(\[timeout)|(PRM\|1\|D)|(kpr)|(kdp)|(\|lc)|(penalty))" /e /r /s</v>
      </c>
      <c r="AG97" s="1" t="str">
        <f t="shared" si="49"/>
        <v>EC</v>
      </c>
      <c r="AH97" s="92" t="str">
        <f t="shared" si="50"/>
        <v>"%USERPROFILE%\Documents\GitHub\eaglep3\Utilities\RefineRTDCRunTimes.py" --tripid 185-30 --locoid 4029 --swversion DE.1.0.8.0 --startMP 204:329 --initTime 2016-10-30T14:11:28 --startdatetime 2016-10-30T14:15:21 --delay 1 --endMP 204:233345 --enddatetime 2016-10-30T14:52:08 --enforcementcount 0 &gt;&gt;C:\Users\stu\Documents\GitHub\eaglep3-reporting\EC\2016-10-30-refined-times.txt</v>
      </c>
      <c r="AI9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{"issue":{"subject":"","project_id":79,"tracker_id":40,"status_id":1,"priority_id":2,"assigned_to_id":23,"start_date":"2016-10-30","description":"","custom_fields":[{"id":1,"name":"Subdivision","value":"EC"},{"id":4,"name":"Milepost","value":"23.3345"},{"id":17,"name":"Train ID","value":"185-30"},{"id":16,"name":"Locomotive ID","value":"4029"},{"id":130,"name":"Impact","value":""},{"id":150,"name":"Time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541</v>
      </c>
      <c r="B98" s="7">
        <v>4030</v>
      </c>
      <c r="C98" s="22" t="s">
        <v>284</v>
      </c>
      <c r="D98" s="22" t="s">
        <v>696</v>
      </c>
      <c r="E98" s="13">
        <v>42673.625347222223</v>
      </c>
      <c r="F98" s="13">
        <v>42673.632777777777</v>
      </c>
      <c r="G98" s="7">
        <v>1</v>
      </c>
      <c r="H98" s="13" t="s">
        <v>181</v>
      </c>
      <c r="I98" s="13">
        <v>42673.659108796295</v>
      </c>
      <c r="J98" s="7">
        <v>0</v>
      </c>
      <c r="K98" s="112" t="str">
        <f t="shared" si="35"/>
        <v>4029/4030</v>
      </c>
      <c r="L98" s="22" t="str">
        <f>VLOOKUP(A98,'Trips&amp;Operators'!$C$1:$E$10000,3,FALSE)</f>
        <v>SHOOK</v>
      </c>
      <c r="M98" s="6">
        <f t="shared" si="36"/>
        <v>2.6331018518249039E-2</v>
      </c>
      <c r="N98" s="7">
        <f t="shared" si="37"/>
        <v>37.916666666278616</v>
      </c>
      <c r="O98" s="7"/>
      <c r="P98" s="7"/>
      <c r="Q98" s="23"/>
      <c r="R98" s="23"/>
      <c r="S98" s="35">
        <f t="shared" si="38"/>
        <v>1</v>
      </c>
      <c r="T98" s="50" t="str">
        <f t="shared" si="3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14:00:30-0600',mode:absolute,to:'2016-10-30 16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41"/>
        <v>N</v>
      </c>
      <c r="X98" s="177">
        <f t="shared" si="42"/>
        <v>1</v>
      </c>
      <c r="Y98" s="67">
        <f t="shared" si="43"/>
        <v>23.3063</v>
      </c>
      <c r="Z98" s="67">
        <f t="shared" si="44"/>
        <v>1.41E-2</v>
      </c>
      <c r="AA98" s="67">
        <f t="shared" si="45"/>
        <v>23.292200000000001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6"/>
        <v>0186-30</v>
      </c>
      <c r="AE98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98" s="88" t="str">
        <f t="shared" si="48"/>
        <v>"C:\Program Files (x86)\AstroGrep\AstroGrep.exe" /spath="%USERPROFILE%\AppData\Local\Temp\OnboardLogs" /stypes="app*4030*20161030*" /stext=" 21:.+((SYSTEM_STATE.+slice.+state.+changed )|(ment ac)|(system.+state.+changed )|(\[timeout)|(PRM\|1\|D)|(kpr)|(kdp)|(\|lc)|(penalty))" /e /r /s</v>
      </c>
      <c r="AG98" s="1" t="str">
        <f t="shared" si="49"/>
        <v>EC</v>
      </c>
      <c r="AH98" s="92" t="str">
        <f t="shared" si="50"/>
        <v>"%USERPROFILE%\Documents\GitHub\eaglep3\Utilities\RefineRTDCRunTimes.py" --tripid 186-30 --locoid 4030 --swversion DE.1.0.8.0 --startMP 204:233063 --initTime 2016-10-30T15:00:30 --startdatetime 2016-10-30T15:11:12 --delay 1 --endMP 204:141 --enddatetime 2016-10-30T15:49:07 --enforcementcount 0 &gt;&gt;C:\Users\stu\Documents\GitHub\eaglep3-reporting\EC\2016-10-30-refined-times.txt</v>
      </c>
      <c r="AI9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{"issue":{"subject":"","project_id":79,"tracker_id":40,"status_id":1,"priority_id":2,"assigned_to_id":23,"start_date":"2016-10-30","description":"","custom_fields":[{"id":1,"name":"Subdivision","value":"EC"},{"id":4,"name":"Milepost","value":"0.0141"},{"id":17,"name":"Train ID","value":"186-30"},{"id":16,"name":"Locomotive ID","value":"4030"},{"id":130,"name":"Impact","value":""},{"id":150,"name":"Time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536</v>
      </c>
      <c r="B99" s="7">
        <v>4025</v>
      </c>
      <c r="C99" s="22" t="s">
        <v>284</v>
      </c>
      <c r="D99" s="22" t="s">
        <v>329</v>
      </c>
      <c r="E99" s="13">
        <v>42673.599259259259</v>
      </c>
      <c r="F99" s="13">
        <v>42673.604421296295</v>
      </c>
      <c r="G99" s="7">
        <v>1</v>
      </c>
      <c r="H99" s="13" t="s">
        <v>697</v>
      </c>
      <c r="I99" s="13">
        <v>42673.63013888889</v>
      </c>
      <c r="J99" s="7">
        <v>0</v>
      </c>
      <c r="K99" s="112" t="str">
        <f t="shared" si="35"/>
        <v>4025/4026</v>
      </c>
      <c r="L99" s="22" t="str">
        <f>VLOOKUP(A99,'Trips&amp;Operators'!$C$1:$E$10000,3,FALSE)</f>
        <v>STEWART</v>
      </c>
      <c r="M99" s="6">
        <f t="shared" si="36"/>
        <v>2.5717592594446614E-2</v>
      </c>
      <c r="N99" s="7">
        <f t="shared" si="37"/>
        <v>37.033333336003125</v>
      </c>
      <c r="O99" s="7"/>
      <c r="P99" s="7"/>
      <c r="Q99" s="23"/>
      <c r="R99" s="23"/>
      <c r="S99" s="35">
        <f t="shared" si="38"/>
        <v>1</v>
      </c>
      <c r="T99" s="50" t="str">
        <f t="shared" si="3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13:22:56-0600',mode:absolute,to:'2016-10-30 16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52" t="str">
        <f t="shared" si="41"/>
        <v>N</v>
      </c>
      <c r="X99" s="177">
        <f t="shared" si="42"/>
        <v>1</v>
      </c>
      <c r="Y99" s="67">
        <f t="shared" si="43"/>
        <v>4.82E-2</v>
      </c>
      <c r="Z99" s="67">
        <f t="shared" si="44"/>
        <v>23.313199999999998</v>
      </c>
      <c r="AA99" s="67">
        <f t="shared" si="45"/>
        <v>23.264999999999997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6"/>
        <v>0187-30</v>
      </c>
      <c r="AE99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99" s="88" t="str">
        <f t="shared" si="48"/>
        <v>"C:\Program Files (x86)\AstroGrep\AstroGrep.exe" /spath="%USERPROFILE%\AppData\Local\Temp\OnboardLogs" /stypes="app*4025*20161030*" /stext=" 21:.+((SYSTEM_STATE.+slice.+state.+changed )|(ment ac)|(system.+state.+changed )|(\[timeout)|(PRM\|1\|D)|(kpr)|(kdp)|(\|lc)|(penalty))" /e /r /s</v>
      </c>
      <c r="AG99" s="1" t="str">
        <f t="shared" si="49"/>
        <v>EC</v>
      </c>
      <c r="AH99" s="92" t="str">
        <f t="shared" si="50"/>
        <v>"%USERPROFILE%\Documents\GitHub\eaglep3\Utilities\RefineRTDCRunTimes.py" --tripid 187-30 --locoid 4025 --swversion DE.1.0.8.0 --startMP 204:482 --initTime 2016-10-30T14:22:56 --startdatetime 2016-10-30T14:30:22 --delay 1 --endMP 204:233132 --enddatetime 2016-10-30T15:07:24 --enforcementcount 0 &gt;&gt;C:\Users\stu\Documents\GitHub\eaglep3-reporting\EC\2016-10-30-refined-times.txt</v>
      </c>
      <c r="AI9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{"issue":{"subject":"","project_id":79,"tracker_id":40,"status_id":1,"priority_id":2,"assigned_to_id":23,"start_date":"2016-10-30","description":"","custom_fields":[{"id":1,"name":"Subdivision","value":"EC"},{"id":4,"name":"Milepost","value":"23.3132"},{"id":17,"name":"Train ID","value":"187-30"},{"id":16,"name":"Locomotive ID","value":"4025"},{"id":130,"name":"Impact","value":""},{"id":150,"name":"Time of Event (Mountain Time)","value":"15:07:24"},{"id":151,"name":"Denver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418</v>
      </c>
      <c r="B100" s="7">
        <v>4026</v>
      </c>
      <c r="C100" s="22" t="s">
        <v>284</v>
      </c>
      <c r="D100" s="22" t="s">
        <v>698</v>
      </c>
      <c r="E100" s="13">
        <v>42673.639641203707</v>
      </c>
      <c r="F100" s="13">
        <v>42673.643530092595</v>
      </c>
      <c r="G100" s="7">
        <v>1</v>
      </c>
      <c r="H100" s="13" t="s">
        <v>210</v>
      </c>
      <c r="I100" s="13">
        <v>42673.668981481482</v>
      </c>
      <c r="J100" s="7">
        <v>0</v>
      </c>
      <c r="K100" s="112" t="str">
        <f t="shared" si="35"/>
        <v>4025/4026</v>
      </c>
      <c r="L100" s="22" t="str">
        <f>VLOOKUP(A100,'Trips&amp;Operators'!$C$1:$E$10000,3,FALSE)</f>
        <v>STEWART</v>
      </c>
      <c r="M100" s="6">
        <f t="shared" si="36"/>
        <v>2.545138888672227E-2</v>
      </c>
      <c r="N100" s="7">
        <f t="shared" si="37"/>
        <v>36.649999996880069</v>
      </c>
      <c r="O100" s="7"/>
      <c r="P100" s="7"/>
      <c r="Q100" s="23"/>
      <c r="R100" s="23"/>
      <c r="S100" s="35">
        <f t="shared" si="38"/>
        <v>1</v>
      </c>
      <c r="T100" s="50" t="str">
        <f t="shared" si="3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14:21:05-0600',mode:absolute,to:'2016-10-30 17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52" t="str">
        <f t="shared" si="41"/>
        <v>N</v>
      </c>
      <c r="X100" s="177">
        <f t="shared" si="42"/>
        <v>1</v>
      </c>
      <c r="Y100" s="67">
        <f t="shared" si="43"/>
        <v>23.282800000000002</v>
      </c>
      <c r="Z100" s="67">
        <f t="shared" si="44"/>
        <v>1.54E-2</v>
      </c>
      <c r="AA100" s="67">
        <f t="shared" si="45"/>
        <v>23.267400000000002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6"/>
        <v>0188-30</v>
      </c>
      <c r="AE100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00" s="88" t="str">
        <f t="shared" si="48"/>
        <v>"C:\Program Files (x86)\AstroGrep\AstroGrep.exe" /spath="%USERPROFILE%\AppData\Local\Temp\OnboardLogs" /stypes="app*4026*20161030*" /stext=" 22:.+((SYSTEM_STATE.+slice.+state.+changed )|(ment ac)|(system.+state.+changed )|(\[timeout)|(PRM\|1\|D)|(kpr)|(kdp)|(\|lc)|(penalty))" /e /r /s</v>
      </c>
      <c r="AG100" s="1" t="str">
        <f t="shared" si="49"/>
        <v>EC</v>
      </c>
      <c r="AH100" s="92" t="str">
        <f t="shared" si="50"/>
        <v>"%USERPROFILE%\Documents\GitHub\eaglep3\Utilities\RefineRTDCRunTimes.py" --tripid 188-30 --locoid 4026 --swversion DE.1.0.8.0 --startMP 204:232828 --initTime 2016-10-30T15:21:05 --startdatetime 2016-10-30T15:26:41 --delay 1 --endMP 204:154 --enddatetime 2016-10-30T16:03:20 --enforcementcount 0 &gt;&gt;C:\Users\stu\Documents\GitHub\eaglep3-reporting\EC\2016-10-30-refined-times.txt</v>
      </c>
      <c r="AI10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{"issue":{"subject":"","project_id":79,"tracker_id":40,"status_id":1,"priority_id":2,"assigned_to_id":23,"start_date":"2016-10-30","description":"","custom_fields":[{"id":1,"name":"Subdivision","value":"EC"},{"id":4,"name":"Milepost","value":"0.0154"},{"id":17,"name":"Train ID","value":"188-30"},{"id":16,"name":"Locomotive ID","value":"4026"},{"id":130,"name":"Impact","value":""},{"id":150,"name":"Time of Event (Mountain Time)","value":"16:03:20"},{"id":151,"name":"Denver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7" t="s">
        <v>416</v>
      </c>
      <c r="B101" s="7">
        <v>4038</v>
      </c>
      <c r="C101" s="22" t="s">
        <v>284</v>
      </c>
      <c r="D101" s="22" t="s">
        <v>219</v>
      </c>
      <c r="E101" s="13">
        <v>42673.608912037038</v>
      </c>
      <c r="F101" s="13">
        <v>42673.61478009259</v>
      </c>
      <c r="G101" s="7">
        <v>1</v>
      </c>
      <c r="H101" s="13" t="s">
        <v>699</v>
      </c>
      <c r="I101" s="13">
        <v>42673.639652777776</v>
      </c>
      <c r="J101" s="7">
        <v>0</v>
      </c>
      <c r="K101" s="112" t="str">
        <f t="shared" si="35"/>
        <v>4037/4038</v>
      </c>
      <c r="L101" s="22" t="str">
        <f>VLOOKUP(A101,'Trips&amp;Operators'!$C$1:$E$10000,3,FALSE)</f>
        <v>BARTLETT</v>
      </c>
      <c r="M101" s="6">
        <f t="shared" si="36"/>
        <v>2.4872685185982846E-2</v>
      </c>
      <c r="N101" s="7">
        <f t="shared" si="37"/>
        <v>35.816666667815298</v>
      </c>
      <c r="O101" s="7"/>
      <c r="P101" s="7"/>
      <c r="Q101" s="23"/>
      <c r="R101" s="23"/>
      <c r="S101" s="35">
        <f t="shared" si="38"/>
        <v>1</v>
      </c>
      <c r="T101" s="50" t="str">
        <f t="shared" si="3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13:36:50-0600',mode:absolute,to:'2016-10-30 16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2" t="str">
        <f t="shared" si="41"/>
        <v>N</v>
      </c>
      <c r="X101" s="177">
        <f t="shared" si="42"/>
        <v>1</v>
      </c>
      <c r="Y101" s="67">
        <f t="shared" si="43"/>
        <v>4.5499999999999999E-2</v>
      </c>
      <c r="Z101" s="67">
        <f t="shared" si="44"/>
        <v>23.334099999999999</v>
      </c>
      <c r="AA101" s="67">
        <f t="shared" si="45"/>
        <v>23.288599999999999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6"/>
        <v>0189-30</v>
      </c>
      <c r="AE101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01" s="88" t="str">
        <f t="shared" si="48"/>
        <v>"C:\Program Files (x86)\AstroGrep\AstroGrep.exe" /spath="%USERPROFILE%\AppData\Local\Temp\OnboardLogs" /stypes="app*4038*20161030*" /stext=" 21:.+((SYSTEM_STATE.+slice.+state.+changed )|(ment ac)|(system.+state.+changed )|(\[timeout)|(PRM\|1\|D)|(kpr)|(kdp)|(\|lc)|(penalty))" /e /r /s</v>
      </c>
      <c r="AG101" s="1" t="str">
        <f t="shared" si="49"/>
        <v>EC</v>
      </c>
      <c r="AH101" s="92" t="str">
        <f t="shared" si="50"/>
        <v>"%USERPROFILE%\Documents\GitHub\eaglep3\Utilities\RefineRTDCRunTimes.py" --tripid 189-30 --locoid 4038 --swversion DE.1.0.8.0 --startMP 204:455 --initTime 2016-10-30T14:36:50 --startdatetime 2016-10-30T14:45:17 --delay 1 --endMP 204:233341 --enddatetime 2016-10-30T15:21:06 --enforcementcount 0 &gt;&gt;C:\Users\stu\Documents\GitHub\eaglep3-reporting\EC\2016-10-30-refined-times.txt</v>
      </c>
      <c r="AI10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{"issue":{"subject":"","project_id":79,"tracker_id":40,"status_id":1,"priority_id":2,"assigned_to_id":23,"start_date":"2016-10-30","description":"","custom_fields":[{"id":1,"name":"Subdivision","value":"EC"},{"id":4,"name":"Milepost","value":"23.3341"},{"id":17,"name":"Train ID","value":"189-30"},{"id":16,"name":"Locomotive ID","value":"4038"},{"id":130,"name":"Impact","value":""},{"id":150,"name":"Time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544</v>
      </c>
      <c r="B102" s="7">
        <v>4037</v>
      </c>
      <c r="C102" s="22" t="s">
        <v>284</v>
      </c>
      <c r="D102" s="22" t="s">
        <v>370</v>
      </c>
      <c r="E102" s="13">
        <v>42673.649583333332</v>
      </c>
      <c r="F102" s="13">
        <v>42673.653877314813</v>
      </c>
      <c r="G102" s="7">
        <v>2</v>
      </c>
      <c r="H102" s="13" t="s">
        <v>292</v>
      </c>
      <c r="I102" s="13">
        <v>42673.679791666669</v>
      </c>
      <c r="J102" s="7">
        <v>0</v>
      </c>
      <c r="K102" s="112" t="str">
        <f t="shared" si="35"/>
        <v>4037/4038</v>
      </c>
      <c r="L102" s="22" t="str">
        <f>VLOOKUP(A102,'Trips&amp;Operators'!$C$1:$E$10000,3,FALSE)</f>
        <v>BARTLETT</v>
      </c>
      <c r="M102" s="6">
        <f t="shared" si="36"/>
        <v>2.5914351856044959E-2</v>
      </c>
      <c r="N102" s="7">
        <f t="shared" si="37"/>
        <v>37.316666672704741</v>
      </c>
      <c r="O102" s="7"/>
      <c r="P102" s="7"/>
      <c r="Q102" s="23"/>
      <c r="R102" s="23"/>
      <c r="S102" s="35">
        <f t="shared" si="38"/>
        <v>1</v>
      </c>
      <c r="T102" s="50" t="str">
        <f t="shared" si="3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14:35:24-0600',mode:absolute,to:'2016-10-30 17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2" t="str">
        <f t="shared" si="41"/>
        <v>N</v>
      </c>
      <c r="X102" s="177">
        <f t="shared" si="42"/>
        <v>1</v>
      </c>
      <c r="Y102" s="67">
        <f t="shared" si="43"/>
        <v>23.300899999999999</v>
      </c>
      <c r="Z102" s="67">
        <f t="shared" si="44"/>
        <v>1.3899999999999999E-2</v>
      </c>
      <c r="AA102" s="67">
        <f t="shared" si="45"/>
        <v>23.286999999999999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6"/>
        <v>0190-30</v>
      </c>
      <c r="AE102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02" s="88" t="str">
        <f t="shared" si="48"/>
        <v>"C:\Program Files (x86)\AstroGrep\AstroGrep.exe" /spath="%USERPROFILE%\AppData\Local\Temp\OnboardLogs" /stypes="app*4037*20161030*" /stext=" 22:.+((SYSTEM_STATE.+slice.+state.+changed )|(ment ac)|(system.+state.+changed )|(\[timeout)|(PRM\|1\|D)|(kpr)|(kdp)|(\|lc)|(penalty))" /e /r /s</v>
      </c>
      <c r="AG102" s="1" t="str">
        <f t="shared" si="49"/>
        <v>EC</v>
      </c>
      <c r="AH102" s="92" t="str">
        <f t="shared" si="50"/>
        <v>"%USERPROFILE%\Documents\GitHub\eaglep3\Utilities\RefineRTDCRunTimes.py" --tripid 190-30 --locoid 4037 --swversion DE.1.0.8.0 --startMP 204:233009 --initTime 2016-10-30T15:35:24 --startdatetime 2016-10-30T15:41:35 --delay 2 --endMP 204:139 --enddatetime 2016-10-30T16:18:54 --enforcementcount 0 &gt;&gt;C:\Users\stu\Documents\GitHub\eaglep3-reporting\EC\2016-10-30-refined-times.txt</v>
      </c>
      <c r="AI10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ID","value":"190-30"},{"id":16,"name":"Locomotive ID","value":"4037"},{"id":130,"name":"Impact","value":""},{"id":150,"name":"Time of Event (Mountain Time)","value":"16:18:54"},{"id":151,"name":"Denver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7" t="s">
        <v>539</v>
      </c>
      <c r="B103" s="7">
        <v>4027</v>
      </c>
      <c r="C103" s="22" t="s">
        <v>284</v>
      </c>
      <c r="D103" s="22" t="s">
        <v>297</v>
      </c>
      <c r="E103" s="13">
        <v>42673.619571759256</v>
      </c>
      <c r="F103" s="13">
        <v>42673.6252662037</v>
      </c>
      <c r="G103" s="7">
        <v>1</v>
      </c>
      <c r="H103" s="13" t="s">
        <v>358</v>
      </c>
      <c r="I103" s="13">
        <v>42673.656956018516</v>
      </c>
      <c r="J103" s="7">
        <v>0</v>
      </c>
      <c r="K103" s="112" t="str">
        <f t="shared" si="35"/>
        <v>4027/4028</v>
      </c>
      <c r="L103" s="22" t="str">
        <f>VLOOKUP(A103,'Trips&amp;Operators'!$C$1:$E$10000,3,FALSE)</f>
        <v>BRUDER</v>
      </c>
      <c r="M103" s="6">
        <f t="shared" si="36"/>
        <v>3.1689814815763384E-2</v>
      </c>
      <c r="N103" s="7">
        <f t="shared" si="37"/>
        <v>45.633333334699273</v>
      </c>
      <c r="O103" s="7"/>
      <c r="P103" s="7"/>
      <c r="Q103" s="23"/>
      <c r="R103" s="23"/>
      <c r="S103" s="35">
        <f t="shared" si="38"/>
        <v>1</v>
      </c>
      <c r="T103" s="50" t="str">
        <f t="shared" si="3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13:52:11-0600',mode:absolute,to:'2016-10-30 16:46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3" s="52" t="str">
        <f t="shared" si="41"/>
        <v>N</v>
      </c>
      <c r="X103" s="177">
        <f t="shared" si="42"/>
        <v>1</v>
      </c>
      <c r="Y103" s="67">
        <f t="shared" si="43"/>
        <v>4.58E-2</v>
      </c>
      <c r="Z103" s="67">
        <f t="shared" si="44"/>
        <v>23.330300000000001</v>
      </c>
      <c r="AA103" s="67">
        <f t="shared" si="45"/>
        <v>23.284500000000001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6"/>
        <v>0191-30</v>
      </c>
      <c r="AE103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03" s="88" t="str">
        <f t="shared" si="48"/>
        <v>"C:\Program Files (x86)\AstroGrep\AstroGrep.exe" /spath="%USERPROFILE%\AppData\Local\Temp\OnboardLogs" /stypes="app*4027*20161030*" /stext=" 21:.+((SYSTEM_STATE.+slice.+state.+changed )|(ment ac)|(system.+state.+changed )|(\[timeout)|(PRM\|1\|D)|(kpr)|(kdp)|(\|lc)|(penalty))" /e /r /s</v>
      </c>
      <c r="AG103" s="1" t="str">
        <f t="shared" si="49"/>
        <v>EC</v>
      </c>
      <c r="AH103" s="92" t="str">
        <f t="shared" si="50"/>
        <v>"%USERPROFILE%\Documents\GitHub\eaglep3\Utilities\RefineRTDCRunTimes.py" --tripid 191-30 --locoid 4027 --swversion DE.1.0.8.0 --startMP 204:458 --initTime 2016-10-30T14:52:11 --startdatetime 2016-10-30T15:00:23 --delay 1 --endMP 204:233303 --enddatetime 2016-10-30T15:46:01 --enforcementcount 0 &gt;&gt;C:\Users\stu\Documents\GitHub\eaglep3-reporting\EC\2016-10-30-refined-times.txt</v>
      </c>
      <c r="AI10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ID","value":"191-30"},{"id":16,"name":"Locomotive ID","value":"4027"},{"id":130,"name":"Impact","value":""},{"id":150,"name":"Time of Event (Mountain Time)","value":"15:46:01"},{"id":151,"name":"Denver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91" s="21" customFormat="1" x14ac:dyDescent="0.25">
      <c r="A104" s="37" t="s">
        <v>546</v>
      </c>
      <c r="B104" s="7">
        <v>4028</v>
      </c>
      <c r="C104" s="22" t="s">
        <v>284</v>
      </c>
      <c r="D104" s="22" t="s">
        <v>276</v>
      </c>
      <c r="E104" s="13">
        <v>42673.659884259258</v>
      </c>
      <c r="F104" s="13">
        <v>42673.664236111108</v>
      </c>
      <c r="G104" s="7">
        <v>1</v>
      </c>
      <c r="H104" s="13" t="s">
        <v>175</v>
      </c>
      <c r="I104" s="13">
        <v>42673.689571759256</v>
      </c>
      <c r="J104" s="7">
        <v>0</v>
      </c>
      <c r="K104" s="112" t="str">
        <f t="shared" si="35"/>
        <v>4027/4028</v>
      </c>
      <c r="L104" s="22" t="str">
        <f>VLOOKUP(A104,'Trips&amp;Operators'!$C$1:$E$10000,3,FALSE)</f>
        <v>BRUDER</v>
      </c>
      <c r="M104" s="6">
        <f t="shared" si="36"/>
        <v>2.5335648148029577E-2</v>
      </c>
      <c r="N104" s="7">
        <f t="shared" si="37"/>
        <v>36.483333333162591</v>
      </c>
      <c r="O104" s="7"/>
      <c r="P104" s="7"/>
      <c r="Q104" s="23"/>
      <c r="R104" s="23"/>
      <c r="S104" s="35">
        <f t="shared" si="38"/>
        <v>1</v>
      </c>
      <c r="T104" s="50" t="str">
        <f t="shared" si="3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14:50:14-0600',mode:absolute,to:'2016-10-30 17:32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4" s="52" t="str">
        <f t="shared" si="41"/>
        <v>N</v>
      </c>
      <c r="X104" s="177">
        <f t="shared" si="42"/>
        <v>1</v>
      </c>
      <c r="Y104" s="67">
        <f t="shared" si="43"/>
        <v>23.297799999999999</v>
      </c>
      <c r="Z104" s="67">
        <f t="shared" si="44"/>
        <v>1.47E-2</v>
      </c>
      <c r="AA104" s="67">
        <f t="shared" si="45"/>
        <v>23.283099999999997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6"/>
        <v>0192-30</v>
      </c>
      <c r="AE104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04" s="88" t="str">
        <f t="shared" si="48"/>
        <v>"C:\Program Files (x86)\AstroGrep\AstroGrep.exe" /spath="%USERPROFILE%\AppData\Local\Temp\OnboardLogs" /stypes="app*4028*20161030*" /stext=" 22:.+((SYSTEM_STATE.+slice.+state.+changed )|(ment ac)|(system.+state.+changed )|(\[timeout)|(PRM\|1\|D)|(kpr)|(kdp)|(\|lc)|(penalty))" /e /r /s</v>
      </c>
      <c r="AG104" s="1" t="str">
        <f t="shared" si="49"/>
        <v>EC</v>
      </c>
      <c r="AH104" s="92" t="str">
        <f t="shared" si="50"/>
        <v>"%USERPROFILE%\Documents\GitHub\eaglep3\Utilities\RefineRTDCRunTimes.py" --tripid 192-30 --locoid 4028 --swversion DE.1.0.8.0 --startMP 204:232978 --initTime 2016-10-30T15:50:14 --startdatetime 2016-10-30T15:56:30 --delay 1 --endMP 204:147 --enddatetime 2016-10-30T16:32:59 --enforcementcount 0 &gt;&gt;C:\Users\stu\Documents\GitHub\eaglep3-reporting\EC\2016-10-30-refined-times.txt</v>
      </c>
      <c r="AI10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ID","value":"192-30"},{"id":16,"name":"Locomotive ID","value":"4028"},{"id":130,"name":"Impact","value":""},{"id":150,"name":"Time of Event (Mountain Time)","value":"16:32:59"},{"id":151,"name":"Denver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542</v>
      </c>
      <c r="B105" s="7">
        <v>4002</v>
      </c>
      <c r="C105" s="22" t="s">
        <v>284</v>
      </c>
      <c r="D105" s="22" t="s">
        <v>332</v>
      </c>
      <c r="E105" s="13">
        <v>42673.633402777778</v>
      </c>
      <c r="F105" s="13">
        <v>42673.635601851849</v>
      </c>
      <c r="G105" s="7">
        <v>1</v>
      </c>
      <c r="H105" s="13" t="s">
        <v>372</v>
      </c>
      <c r="I105" s="13">
        <v>42673.667708333334</v>
      </c>
      <c r="J105" s="7">
        <v>0</v>
      </c>
      <c r="K105" s="112" t="str">
        <f t="shared" si="35"/>
        <v>4001/4002</v>
      </c>
      <c r="L105" s="22" t="str">
        <f>VLOOKUP(A105,'Trips&amp;Operators'!$C$1:$E$10000,3,FALSE)</f>
        <v>MOSES</v>
      </c>
      <c r="M105" s="6">
        <f t="shared" si="36"/>
        <v>3.2106481485243421E-2</v>
      </c>
      <c r="N105" s="7">
        <f t="shared" si="37"/>
        <v>46.233333338750526</v>
      </c>
      <c r="O105" s="7"/>
      <c r="P105" s="7"/>
      <c r="Q105" s="23"/>
      <c r="R105" s="23"/>
      <c r="S105" s="35">
        <f t="shared" si="38"/>
        <v>1</v>
      </c>
      <c r="T105" s="50" t="str">
        <f t="shared" si="3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14:12:06-0600',mode:absolute,to:'2016-10-30 17:01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52" t="str">
        <f t="shared" si="41"/>
        <v>N</v>
      </c>
      <c r="X105" s="177">
        <f t="shared" si="42"/>
        <v>1</v>
      </c>
      <c r="Y105" s="67">
        <f t="shared" si="43"/>
        <v>4.4400000000000002E-2</v>
      </c>
      <c r="Z105" s="67">
        <f t="shared" si="44"/>
        <v>23.332000000000001</v>
      </c>
      <c r="AA105" s="67">
        <f t="shared" si="45"/>
        <v>23.287600000000001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6"/>
        <v>0193-30</v>
      </c>
      <c r="AE105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105" s="88" t="str">
        <f t="shared" si="48"/>
        <v>"C:\Program Files (x86)\AstroGrep\AstroGrep.exe" /spath="%USERPROFILE%\AppData\Local\Temp\OnboardLogs" /stypes="app*4002*20161030*" /stext=" 22:.+((SYSTEM_STATE.+slice.+state.+changed )|(ment ac)|(system.+state.+changed )|(\[timeout)|(PRM\|1\|D)|(kpr)|(kdp)|(\|lc)|(penalty))" /e /r /s</v>
      </c>
      <c r="AG105" s="1" t="str">
        <f t="shared" si="49"/>
        <v>EC</v>
      </c>
      <c r="AH105" s="92" t="str">
        <f t="shared" si="50"/>
        <v>"%USERPROFILE%\Documents\GitHub\eaglep3\Utilities\RefineRTDCRunTimes.py" --tripid 193-30 --locoid 4002 --swversion DE.1.0.8.0 --startMP 204:444 --initTime 2016-10-30T15:12:06 --startdatetime 2016-10-30T15:15:16 --delay 1 --endMP 204:233320 --enddatetime 2016-10-30T16:01:30 --enforcementcount 0 &gt;&gt;C:\Users\stu\Documents\GitHub\eaglep3-reporting\EC\2016-10-30-refined-times.txt</v>
      </c>
      <c r="AI10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{"issue":{"subject":"","project_id":79,"tracker_id":40,"status_id":1,"priority_id":2,"assigned_to_id":23,"start_date":"2016-10-30","description":"","custom_fields":[{"id":1,"name":"Subdivision","value":"EC"},{"id":4,"name":"Milepost","value":"23.332"},{"id":17,"name":"Train ID","value":"193-30"},{"id":16,"name":"Locomotive ID","value":"4002"},{"id":130,"name":"Impact","value":""},{"id":150,"name":"Time of Event (Mountain Time)","value":"16:01:30"},{"id":151,"name":"Denver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549</v>
      </c>
      <c r="B106" s="7">
        <v>4001</v>
      </c>
      <c r="C106" s="22" t="s">
        <v>284</v>
      </c>
      <c r="D106" s="22" t="s">
        <v>238</v>
      </c>
      <c r="E106" s="13">
        <v>42673.671932870369</v>
      </c>
      <c r="F106" s="13">
        <v>42673.67465277778</v>
      </c>
      <c r="G106" s="7">
        <v>1</v>
      </c>
      <c r="H106" s="13" t="s">
        <v>215</v>
      </c>
      <c r="I106" s="13">
        <v>42673.701111111113</v>
      </c>
      <c r="J106" s="7">
        <v>0</v>
      </c>
      <c r="K106" s="112" t="str">
        <f t="shared" si="35"/>
        <v>4001/4002</v>
      </c>
      <c r="L106" s="22" t="str">
        <f>VLOOKUP(A106,'Trips&amp;Operators'!$C$1:$E$10000,3,FALSE)</f>
        <v>MOSES</v>
      </c>
      <c r="M106" s="6">
        <f t="shared" si="36"/>
        <v>2.6458333333721384E-2</v>
      </c>
      <c r="N106" s="7">
        <f t="shared" si="37"/>
        <v>38.100000000558794</v>
      </c>
      <c r="O106" s="7"/>
      <c r="P106" s="7"/>
      <c r="Q106" s="23"/>
      <c r="R106" s="23"/>
      <c r="S106" s="35">
        <f t="shared" si="38"/>
        <v>1</v>
      </c>
      <c r="T106" s="50" t="str">
        <f t="shared" si="3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15:07:35-0600',mode:absolute,to:'2016-10-30 17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52" t="str">
        <f t="shared" si="41"/>
        <v>N</v>
      </c>
      <c r="X106" s="177">
        <f t="shared" si="42"/>
        <v>1</v>
      </c>
      <c r="Y106" s="67">
        <f t="shared" si="43"/>
        <v>23.299399999999999</v>
      </c>
      <c r="Z106" s="67">
        <f t="shared" si="44"/>
        <v>1.4999999999999999E-2</v>
      </c>
      <c r="AA106" s="67">
        <f t="shared" si="45"/>
        <v>23.284399999999998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6"/>
        <v>0194-30</v>
      </c>
      <c r="AE106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06" s="88" t="str">
        <f t="shared" si="48"/>
        <v>"C:\Program Files (x86)\AstroGrep\AstroGrep.exe" /spath="%USERPROFILE%\AppData\Local\Temp\OnboardLogs" /stypes="app*4001*20161030*" /stext=" 22:.+((SYSTEM_STATE.+slice.+state.+changed )|(ment ac)|(system.+state.+changed )|(\[timeout)|(PRM\|1\|D)|(kpr)|(kdp)|(\|lc)|(penalty))" /e /r /s</v>
      </c>
      <c r="AG106" s="1" t="str">
        <f t="shared" si="49"/>
        <v>EC</v>
      </c>
      <c r="AH106" s="92" t="str">
        <f t="shared" si="50"/>
        <v>"%USERPROFILE%\Documents\GitHub\eaglep3\Utilities\RefineRTDCRunTimes.py" --tripid 194-30 --locoid 4001 --swversion DE.1.0.8.0 --startMP 204:232994 --initTime 2016-10-30T16:07:35 --startdatetime 2016-10-30T16:11:30 --delay 1 --endMP 204:150 --enddatetime 2016-10-30T16:49:36 --enforcementcount 0 &gt;&gt;C:\Users\stu\Documents\GitHub\eaglep3-reporting\EC\2016-10-30-refined-times.txt</v>
      </c>
      <c r="AI10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{"issue":{"subject":"","project_id":79,"tracker_id":40,"status_id":1,"priority_id":2,"assigned_to_id":23,"start_date":"2016-10-30","description":"","custom_fields":[{"id":1,"name":"Subdivision","value":"EC"},{"id":4,"name":"Milepost","value":"0.015"},{"id":17,"name":"Train ID","value":"194-30"},{"id":16,"name":"Locomotive ID","value":"4001"},{"id":130,"name":"Impact","value":""},{"id":150,"name":"Time of Event (Mountain Time)","value":"16:49:36"},{"id":151,"name":"Denver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537</v>
      </c>
      <c r="B107" s="7">
        <v>4053</v>
      </c>
      <c r="C107" s="22" t="s">
        <v>284</v>
      </c>
      <c r="D107" s="22" t="s">
        <v>367</v>
      </c>
      <c r="E107" s="13">
        <v>42673.644583333335</v>
      </c>
      <c r="F107" s="13">
        <v>42673.646053240744</v>
      </c>
      <c r="G107" s="7">
        <v>1</v>
      </c>
      <c r="H107" s="13" t="s">
        <v>697</v>
      </c>
      <c r="I107" s="13">
        <v>42673.673993055556</v>
      </c>
      <c r="J107" s="7">
        <v>0</v>
      </c>
      <c r="K107" s="112" t="str">
        <f t="shared" si="35"/>
        <v>4053/4054</v>
      </c>
      <c r="L107" s="22" t="str">
        <f>VLOOKUP(A107,'Trips&amp;Operators'!$C$1:$E$10000,3,FALSE)</f>
        <v>YOUNG</v>
      </c>
      <c r="M107" s="6">
        <f t="shared" si="36"/>
        <v>2.7939814812270924E-2</v>
      </c>
      <c r="N107" s="7">
        <f t="shared" si="37"/>
        <v>40.233333329670131</v>
      </c>
      <c r="O107" s="7"/>
      <c r="P107" s="7"/>
      <c r="Q107" s="23"/>
      <c r="R107" s="23"/>
      <c r="S107" s="35">
        <f t="shared" si="38"/>
        <v>1</v>
      </c>
      <c r="T107" s="50" t="str">
        <f t="shared" si="3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14:28:12-0600',mode:absolute,to:'2016-10-30 17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7" s="52" t="str">
        <f t="shared" si="41"/>
        <v>N</v>
      </c>
      <c r="X107" s="177">
        <f t="shared" si="42"/>
        <v>1</v>
      </c>
      <c r="Y107" s="67">
        <f t="shared" si="43"/>
        <v>4.7500000000000001E-2</v>
      </c>
      <c r="Z107" s="67">
        <f t="shared" si="44"/>
        <v>23.313199999999998</v>
      </c>
      <c r="AA107" s="67">
        <f t="shared" si="45"/>
        <v>23.265699999999999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6"/>
        <v>0195-30</v>
      </c>
      <c r="AE107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07" s="88" t="str">
        <f t="shared" si="48"/>
        <v>"C:\Program Files (x86)\AstroGrep\AstroGrep.exe" /spath="%USERPROFILE%\AppData\Local\Temp\OnboardLogs" /stypes="app*4053*20161030*" /stext=" 22:.+((SYSTEM_STATE.+slice.+state.+changed )|(ment ac)|(system.+state.+changed )|(\[timeout)|(PRM\|1\|D)|(kpr)|(kdp)|(\|lc)|(penalty))" /e /r /s</v>
      </c>
      <c r="AG107" s="1" t="str">
        <f t="shared" si="49"/>
        <v>EC</v>
      </c>
      <c r="AH107" s="92" t="str">
        <f t="shared" si="50"/>
        <v>"%USERPROFILE%\Documents\GitHub\eaglep3\Utilities\RefineRTDCRunTimes.py" --tripid 195-30 --locoid 4053 --swversion DE.1.0.8.0 --startMP 204:475 --initTime 2016-10-30T15:28:12 --startdatetime 2016-10-30T15:30:19 --delay 1 --endMP 204:233132 --enddatetime 2016-10-30T16:10:33 --enforcementcount 0 &gt;&gt;C:\Users\stu\Documents\GitHub\eaglep3-reporting\EC\2016-10-30-refined-times.txt</v>
      </c>
      <c r="AI10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{"issue":{"subject":"","project_id":79,"tracker_id":40,"status_id":1,"priority_id":2,"assigned_to_id":23,"start_date":"2016-10-30","description":"","custom_fields":[{"id":1,"name":"Subdivision","value":"EC"},{"id":4,"name":"Milepost","value":"23.3132"},{"id":17,"name":"Train ID","value":"195-30"},{"id":16,"name":"Locomotive ID","value":"4053"},{"id":130,"name":"Impact","value":""},{"id":150,"name":"Time of Event (Mountain Time)","value":"16:10:33"},{"id":151,"name":"Denver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419</v>
      </c>
      <c r="B108" s="7">
        <v>4054</v>
      </c>
      <c r="C108" s="22" t="s">
        <v>284</v>
      </c>
      <c r="D108" s="22" t="s">
        <v>703</v>
      </c>
      <c r="E108" s="13">
        <v>42673.679571759261</v>
      </c>
      <c r="F108" s="13">
        <v>42673.684953703705</v>
      </c>
      <c r="G108" s="7">
        <v>1</v>
      </c>
      <c r="H108" s="13" t="s">
        <v>704</v>
      </c>
      <c r="I108" s="13">
        <v>42673.71266203704</v>
      </c>
      <c r="J108" s="7">
        <v>0</v>
      </c>
      <c r="K108" s="112" t="str">
        <f t="shared" si="35"/>
        <v>4053/4054</v>
      </c>
      <c r="L108" s="22" t="str">
        <f>VLOOKUP(A108,'Trips&amp;Operators'!$C$1:$E$10000,3,FALSE)</f>
        <v>YOUNG</v>
      </c>
      <c r="M108" s="6">
        <f t="shared" si="36"/>
        <v>2.7708333334885538E-2</v>
      </c>
      <c r="N108" s="7">
        <f t="shared" si="37"/>
        <v>39.900000002235174</v>
      </c>
      <c r="O108" s="7"/>
      <c r="P108" s="7"/>
      <c r="Q108" s="23"/>
      <c r="R108" s="23"/>
      <c r="S108" s="35">
        <f t="shared" si="38"/>
        <v>1</v>
      </c>
      <c r="T108" s="50" t="str">
        <f t="shared" si="3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15:18:35-0600',mode:absolute,to:'2016-10-30 18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8" s="52" t="str">
        <f t="shared" si="41"/>
        <v>N</v>
      </c>
      <c r="X108" s="177">
        <f t="shared" si="42"/>
        <v>1</v>
      </c>
      <c r="Y108" s="67">
        <f t="shared" si="43"/>
        <v>23.282299999999999</v>
      </c>
      <c r="Z108" s="67">
        <f t="shared" si="44"/>
        <v>2.1999999999999999E-2</v>
      </c>
      <c r="AA108" s="67">
        <f t="shared" si="45"/>
        <v>23.260300000000001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6"/>
        <v>0196-30</v>
      </c>
      <c r="AE108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08" s="88" t="str">
        <f t="shared" si="48"/>
        <v>"C:\Program Files (x86)\AstroGrep\AstroGrep.exe" /spath="%USERPROFILE%\AppData\Local\Temp\OnboardLogs" /stypes="app*4054*20161030*" /stext=" 23:.+((SYSTEM_STATE.+slice.+state.+changed )|(ment ac)|(system.+state.+changed )|(\[timeout)|(PRM\|1\|D)|(kpr)|(kdp)|(\|lc)|(penalty))" /e /r /s</v>
      </c>
      <c r="AG108" s="1" t="str">
        <f t="shared" si="49"/>
        <v>EC</v>
      </c>
      <c r="AH108" s="92" t="str">
        <f t="shared" si="50"/>
        <v>"%USERPROFILE%\Documents\GitHub\eaglep3\Utilities\RefineRTDCRunTimes.py" --tripid 196-30 --locoid 4054 --swversion DE.1.0.8.0 --startMP 204:232823 --initTime 2016-10-30T16:18:35 --startdatetime 2016-10-30T16:26:20 --delay 1 --endMP 204:220 --enddatetime 2016-10-30T17:06:14 --enforcementcount 0 &gt;&gt;C:\Users\stu\Documents\GitHub\eaglep3-reporting\EC\2016-10-30-refined-times.txt</v>
      </c>
      <c r="AI10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{"issue":{"subject":"","project_id":79,"tracker_id":40,"status_id":1,"priority_id":2,"assigned_to_id":23,"start_date":"2016-10-30","description":"","custom_fields":[{"id":1,"name":"Subdivision","value":"EC"},{"id":4,"name":"Milepost","value":"0.022"},{"id":17,"name":"Train ID","value":"196-30"},{"id":16,"name":"Locomotive ID","value":"4054"},{"id":130,"name":"Impact","value":""},{"id":150,"name":"Time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543</v>
      </c>
      <c r="B109" s="7">
        <v>4016</v>
      </c>
      <c r="C109" s="22" t="s">
        <v>284</v>
      </c>
      <c r="D109" s="22" t="s">
        <v>220</v>
      </c>
      <c r="E109" s="13">
        <v>42673.647569444445</v>
      </c>
      <c r="F109" s="13">
        <v>42673.656458333331</v>
      </c>
      <c r="G109" s="7">
        <v>1</v>
      </c>
      <c r="H109" s="13" t="s">
        <v>358</v>
      </c>
      <c r="I109" s="13">
        <v>42673.681296296294</v>
      </c>
      <c r="J109" s="7">
        <v>0</v>
      </c>
      <c r="K109" s="112" t="str">
        <f t="shared" si="35"/>
        <v>4015/4016</v>
      </c>
      <c r="L109" s="22" t="str">
        <f>VLOOKUP(A109,'Trips&amp;Operators'!$C$1:$E$10000,3,FALSE)</f>
        <v>ISHMAEL</v>
      </c>
      <c r="M109" s="6">
        <f t="shared" si="36"/>
        <v>2.4837962962919846E-2</v>
      </c>
      <c r="N109" s="7">
        <f t="shared" si="37"/>
        <v>35.766666666604578</v>
      </c>
      <c r="O109" s="7"/>
      <c r="P109" s="7"/>
      <c r="Q109" s="23"/>
      <c r="R109" s="23"/>
      <c r="S109" s="35">
        <f t="shared" si="38"/>
        <v>1</v>
      </c>
      <c r="T109" s="50" t="str">
        <f t="shared" si="3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14:32:30-0600',mode:absolute,to:'2016-10-30 17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41"/>
        <v>N</v>
      </c>
      <c r="X109" s="177">
        <f t="shared" si="42"/>
        <v>1</v>
      </c>
      <c r="Y109" s="67">
        <f t="shared" si="43"/>
        <v>4.6600000000000003E-2</v>
      </c>
      <c r="Z109" s="67">
        <f t="shared" si="44"/>
        <v>23.330300000000001</v>
      </c>
      <c r="AA109" s="67">
        <f t="shared" si="45"/>
        <v>23.2837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6"/>
        <v>0197-30</v>
      </c>
      <c r="AE109" s="91" t="str">
        <f t="shared" si="47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09" s="88" t="str">
        <f t="shared" si="48"/>
        <v>"C:\Program Files (x86)\AstroGrep\AstroGrep.exe" /spath="%USERPROFILE%\AppData\Local\Temp\OnboardLogs" /stypes="app*4016*20161030*" /stext=" 22:.+((SYSTEM_STATE.+slice.+state.+changed )|(ment ac)|(system.+state.+changed )|(\[timeout)|(PRM\|1\|D)|(kpr)|(kdp)|(\|lc)|(penalty))" /e /r /s</v>
      </c>
      <c r="AG109" s="1" t="str">
        <f t="shared" si="49"/>
        <v>EC</v>
      </c>
      <c r="AH109" s="92" t="str">
        <f t="shared" si="50"/>
        <v>"%USERPROFILE%\Documents\GitHub\eaglep3\Utilities\RefineRTDCRunTimes.py" --tripid 197-30 --locoid 4016 --swversion DE.1.0.8.0 --startMP 204:466 --initTime 2016-10-30T15:32:30 --startdatetime 2016-10-30T15:45:18 --delay 1 --endMP 204:233303 --enddatetime 2016-10-30T16:21:04 --enforcementcount 0 &gt;&gt;C:\Users\stu\Documents\GitHub\eaglep3-reporting\EC\2016-10-30-refined-times.txt</v>
      </c>
      <c r="AI10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ID","value":"197-30"},{"id":16,"name":"Locomotive ID","value":"4016"},{"id":130,"name":"Impact","value":""},{"id":150,"name":"Time of Event (Mountain Time)","value":"16:21:04"},{"id":151,"name":"Denver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552</v>
      </c>
      <c r="B110" s="7">
        <v>4015</v>
      </c>
      <c r="C110" s="22" t="s">
        <v>284</v>
      </c>
      <c r="D110" s="22" t="s">
        <v>278</v>
      </c>
      <c r="E110" s="13">
        <v>42673.689131944448</v>
      </c>
      <c r="F110" s="13">
        <v>42673.695347222223</v>
      </c>
      <c r="G110" s="7">
        <v>1</v>
      </c>
      <c r="H110" s="13" t="s">
        <v>366</v>
      </c>
      <c r="I110" s="13">
        <v>42673.726956018516</v>
      </c>
      <c r="J110" s="7">
        <v>0</v>
      </c>
      <c r="K110" s="112" t="str">
        <f t="shared" si="35"/>
        <v>4015/4016</v>
      </c>
      <c r="L110" s="22" t="str">
        <f>VLOOKUP(A110,'Trips&amp;Operators'!$C$1:$E$10000,3,FALSE)</f>
        <v>ISHMAEL</v>
      </c>
      <c r="M110" s="6">
        <f t="shared" si="36"/>
        <v>3.1608796292857733E-2</v>
      </c>
      <c r="N110" s="7">
        <f t="shared" si="37"/>
        <v>45.516666661715135</v>
      </c>
      <c r="O110" s="7"/>
      <c r="P110" s="7"/>
      <c r="Q110" s="23"/>
      <c r="R110" s="23"/>
      <c r="S110" s="35">
        <f t="shared" si="38"/>
        <v>1</v>
      </c>
      <c r="T110" s="50" t="str">
        <f t="shared" si="3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15:32:21-0600',mode:absolute,to:'2016-10-30 18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41"/>
        <v>N</v>
      </c>
      <c r="X110" s="177">
        <f t="shared" si="42"/>
        <v>1</v>
      </c>
      <c r="Y110" s="67">
        <f t="shared" si="43"/>
        <v>23.2988</v>
      </c>
      <c r="Z110" s="67">
        <f t="shared" si="44"/>
        <v>1.5800000000000002E-2</v>
      </c>
      <c r="AA110" s="67">
        <f t="shared" si="45"/>
        <v>23.283000000000001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6"/>
        <v>0198-30</v>
      </c>
      <c r="AE110" s="91" t="str">
        <f t="shared" si="47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10" s="88" t="str">
        <f t="shared" si="48"/>
        <v>"C:\Program Files (x86)\AstroGrep\AstroGrep.exe" /spath="%USERPROFILE%\AppData\Local\Temp\OnboardLogs" /stypes="app*4015*20161030*" /stext=" 23:.+((SYSTEM_STATE.+slice.+state.+changed )|(ment ac)|(system.+state.+changed )|(\[timeout)|(PRM\|1\|D)|(kpr)|(kdp)|(\|lc)|(penalty))" /e /r /s</v>
      </c>
      <c r="AG110" s="1" t="str">
        <f t="shared" si="49"/>
        <v>EC</v>
      </c>
      <c r="AH110" s="92" t="str">
        <f t="shared" si="50"/>
        <v>"%USERPROFILE%\Documents\GitHub\eaglep3\Utilities\RefineRTDCRunTimes.py" --tripid 198-30 --locoid 4015 --swversion DE.1.0.8.0 --startMP 204:232988 --initTime 2016-10-30T16:32:21 --startdatetime 2016-10-30T16:41:18 --delay 1 --endMP 204:158 --enddatetime 2016-10-30T17:26:49 --enforcementcount 0 &gt;&gt;C:\Users\stu\Documents\GitHub\eaglep3-reporting\EC\2016-10-30-refined-times.txt</v>
      </c>
      <c r="AI11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ID","value":"198-30"},{"id":16,"name":"Locomotive ID","value":"4015"},{"id":130,"name":"Impact","value":""},{"id":150,"name":"Time of Event (Mountain Time)","value":"17:26:49"},{"id":151,"name":"Denver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547</v>
      </c>
      <c r="B111" s="7">
        <v>4029</v>
      </c>
      <c r="C111" s="22" t="s">
        <v>284</v>
      </c>
      <c r="D111" s="22" t="s">
        <v>217</v>
      </c>
      <c r="E111" s="13">
        <v>42673.661087962966</v>
      </c>
      <c r="F111" s="13">
        <v>42673.666851851849</v>
      </c>
      <c r="G111" s="7">
        <v>1</v>
      </c>
      <c r="H111" s="13" t="s">
        <v>705</v>
      </c>
      <c r="I111" s="13">
        <v>42673.692557870374</v>
      </c>
      <c r="J111" s="7">
        <v>0</v>
      </c>
      <c r="K111" s="112" t="str">
        <f t="shared" si="35"/>
        <v>4029/4030</v>
      </c>
      <c r="L111" s="22" t="str">
        <f>VLOOKUP(A111,'Trips&amp;Operators'!$C$1:$E$10000,3,FALSE)</f>
        <v>SHOOK</v>
      </c>
      <c r="M111" s="6">
        <f t="shared" si="36"/>
        <v>2.570601852494292E-2</v>
      </c>
      <c r="N111" s="7">
        <f t="shared" si="37"/>
        <v>37.016666675917804</v>
      </c>
      <c r="O111" s="7"/>
      <c r="P111" s="7"/>
      <c r="Q111" s="23"/>
      <c r="R111" s="23"/>
      <c r="S111" s="35">
        <f t="shared" si="38"/>
        <v>1</v>
      </c>
      <c r="T111" s="50" t="str">
        <f t="shared" si="3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14:51:58-0600',mode:absolute,to:'2016-10-30 17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41"/>
        <v>N</v>
      </c>
      <c r="X111" s="177">
        <f t="shared" si="42"/>
        <v>1</v>
      </c>
      <c r="Y111" s="67">
        <f t="shared" si="43"/>
        <v>4.53E-2</v>
      </c>
      <c r="Z111" s="67">
        <f t="shared" si="44"/>
        <v>23.338000000000001</v>
      </c>
      <c r="AA111" s="67">
        <f t="shared" si="45"/>
        <v>23.2927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6"/>
        <v>0199-30</v>
      </c>
      <c r="AE111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11" s="88" t="str">
        <f t="shared" si="48"/>
        <v>"C:\Program Files (x86)\AstroGrep\AstroGrep.exe" /spath="%USERPROFILE%\AppData\Local\Temp\OnboardLogs" /stypes="app*4029*20161030*" /stext=" 22:.+((SYSTEM_STATE.+slice.+state.+changed )|(ment ac)|(system.+state.+changed )|(\[timeout)|(PRM\|1\|D)|(kpr)|(kdp)|(\|lc)|(penalty))" /e /r /s</v>
      </c>
      <c r="AG111" s="1" t="str">
        <f t="shared" si="49"/>
        <v>EC</v>
      </c>
      <c r="AH111" s="92" t="str">
        <f t="shared" si="50"/>
        <v>"%USERPROFILE%\Documents\GitHub\eaglep3\Utilities\RefineRTDCRunTimes.py" --tripid 199-30 --locoid 4029 --swversion DE.1.0.8.0 --startMP 204:453 --initTime 2016-10-30T15:51:58 --startdatetime 2016-10-30T16:00:16 --delay 1 --endMP 204:233380 --enddatetime 2016-10-30T16:37:17 --enforcementcount 0 &gt;&gt;C:\Users\stu\Documents\GitHub\eaglep3-reporting\EC\2016-10-30-refined-times.txt</v>
      </c>
      <c r="AI11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{"issue":{"subject":"","project_id":79,"tracker_id":40,"status_id":1,"priority_id":2,"assigned_to_id":23,"start_date":"2016-10-30","description":"","custom_fields":[{"id":1,"name":"Subdivision","value":"EC"},{"id":4,"name":"Milepost","value":"23.338"},{"id":17,"name":"Train ID","value":"199-30"},{"id":16,"name":"Locomotive ID","value":"4029"},{"id":130,"name":"Impact","value":""},{"id":150,"name":"Time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556</v>
      </c>
      <c r="B112" s="7">
        <v>4030</v>
      </c>
      <c r="C112" s="22" t="s">
        <v>284</v>
      </c>
      <c r="D112" s="22" t="s">
        <v>706</v>
      </c>
      <c r="E112" s="13">
        <v>42673.700706018521</v>
      </c>
      <c r="F112" s="13">
        <v>42673.705775462964</v>
      </c>
      <c r="G112" s="7">
        <v>1</v>
      </c>
      <c r="H112" s="13" t="s">
        <v>323</v>
      </c>
      <c r="I112" s="13">
        <v>42673.732800925929</v>
      </c>
      <c r="J112" s="7">
        <v>0</v>
      </c>
      <c r="K112" s="112" t="str">
        <f t="shared" si="35"/>
        <v>4029/4030</v>
      </c>
      <c r="L112" s="22" t="str">
        <f>VLOOKUP(A112,'Trips&amp;Operators'!$C$1:$E$10000,3,FALSE)</f>
        <v>SHOOK</v>
      </c>
      <c r="M112" s="6">
        <f t="shared" si="36"/>
        <v>2.7025462964957114E-2</v>
      </c>
      <c r="N112" s="7">
        <f t="shared" si="37"/>
        <v>38.916666669538245</v>
      </c>
      <c r="O112" s="7"/>
      <c r="P112" s="7"/>
      <c r="Q112" s="23"/>
      <c r="R112" s="23"/>
      <c r="S112" s="35">
        <f t="shared" si="38"/>
        <v>1</v>
      </c>
      <c r="T112" s="50" t="str">
        <f t="shared" si="3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15:49:01-0600',mode:absolute,to:'2016-10-30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41"/>
        <v>N</v>
      </c>
      <c r="X112" s="177">
        <f t="shared" si="42"/>
        <v>1</v>
      </c>
      <c r="Y112" s="67">
        <f t="shared" si="43"/>
        <v>23.3032</v>
      </c>
      <c r="Z112" s="67">
        <f t="shared" si="44"/>
        <v>1.34E-2</v>
      </c>
      <c r="AA112" s="67">
        <f t="shared" si="45"/>
        <v>23.2898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6"/>
        <v>0200-30</v>
      </c>
      <c r="AE112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12" s="88" t="str">
        <f t="shared" si="48"/>
        <v>"C:\Program Files (x86)\AstroGrep\AstroGrep.exe" /spath="%USERPROFILE%\AppData\Local\Temp\OnboardLogs" /stypes="app*4030*20161030*" /stext=" 23:.+((SYSTEM_STATE.+slice.+state.+changed )|(ment ac)|(system.+state.+changed )|(\[timeout)|(PRM\|1\|D)|(kpr)|(kdp)|(\|lc)|(penalty))" /e /r /s</v>
      </c>
      <c r="AG112" s="1" t="str">
        <f t="shared" si="49"/>
        <v>EC</v>
      </c>
      <c r="AH112" s="92" t="str">
        <f t="shared" si="50"/>
        <v>"%USERPROFILE%\Documents\GitHub\eaglep3\Utilities\RefineRTDCRunTimes.py" --tripid 200-30 --locoid 4030 --swversion DE.1.0.8.0 --startMP 204:233032 --initTime 2016-10-30T16:49:01 --startdatetime 2016-10-30T16:56:19 --delay 1 --endMP 204:134 --enddatetime 2016-10-30T17:35:14 --enforcementcount 0 &gt;&gt;C:\Users\stu\Documents\GitHub\eaglep3-reporting\EC\2016-10-30-refined-times.txt</v>
      </c>
      <c r="AI11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{"issue":{"subject":"","project_id":79,"tracker_id":40,"status_id":1,"priority_id":2,"assigned_to_id":23,"start_date":"2016-10-30","description":"","custom_fields":[{"id":1,"name":"Subdivision","value":"EC"},{"id":4,"name":"Milepost","value":"0.0134"},{"id":17,"name":"Train ID","value":"200-30"},{"id":16,"name":"Locomotive ID","value":"4030"},{"id":130,"name":"Impact","value":""},{"id":150,"name":"Time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s="21" customFormat="1" x14ac:dyDescent="0.25">
      <c r="A113" s="37" t="s">
        <v>548</v>
      </c>
      <c r="B113" s="7">
        <v>4025</v>
      </c>
      <c r="C113" s="22" t="s">
        <v>284</v>
      </c>
      <c r="D113" s="22" t="s">
        <v>332</v>
      </c>
      <c r="E113" s="13">
        <v>42673.671215277776</v>
      </c>
      <c r="F113" s="13">
        <v>42673.677418981482</v>
      </c>
      <c r="G113" s="7">
        <v>1</v>
      </c>
      <c r="H113" s="13" t="s">
        <v>707</v>
      </c>
      <c r="I113" s="13">
        <v>42673.709328703706</v>
      </c>
      <c r="J113" s="7">
        <v>0</v>
      </c>
      <c r="K113" s="112" t="str">
        <f t="shared" si="35"/>
        <v>4025/4026</v>
      </c>
      <c r="L113" s="22" t="str">
        <f>VLOOKUP(A113,'Trips&amp;Operators'!$C$1:$E$10000,3,FALSE)</f>
        <v>STEWART</v>
      </c>
      <c r="M113" s="6">
        <f t="shared" si="36"/>
        <v>3.1909722223645076E-2</v>
      </c>
      <c r="N113" s="7">
        <f t="shared" si="37"/>
        <v>45.95000000204891</v>
      </c>
      <c r="O113" s="7"/>
      <c r="P113" s="7"/>
      <c r="Q113" s="23"/>
      <c r="R113" s="23"/>
      <c r="S113" s="35">
        <f t="shared" si="38"/>
        <v>1</v>
      </c>
      <c r="T113" s="50" t="str">
        <f t="shared" si="3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15:06:33-0600',mode:absolute,to:'2016-10-30 18:01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41"/>
        <v>N</v>
      </c>
      <c r="X113" s="177">
        <f t="shared" si="42"/>
        <v>1</v>
      </c>
      <c r="Y113" s="67">
        <f t="shared" si="43"/>
        <v>4.4400000000000002E-2</v>
      </c>
      <c r="Z113" s="67">
        <f t="shared" si="44"/>
        <v>23.311699999999998</v>
      </c>
      <c r="AA113" s="67">
        <f t="shared" si="45"/>
        <v>23.267299999999999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6"/>
        <v>0201-30</v>
      </c>
      <c r="AE113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113" s="88" t="str">
        <f t="shared" si="48"/>
        <v>"C:\Program Files (x86)\AstroGrep\AstroGrep.exe" /spath="%USERPROFILE%\AppData\Local\Temp\OnboardLogs" /stypes="app*4025*20161030*" /stext=" 23:.+((SYSTEM_STATE.+slice.+state.+changed )|(ment ac)|(system.+state.+changed )|(\[timeout)|(PRM\|1\|D)|(kpr)|(kdp)|(\|lc)|(penalty))" /e /r /s</v>
      </c>
      <c r="AG113" s="1" t="str">
        <f t="shared" si="49"/>
        <v>EC</v>
      </c>
      <c r="AH113" s="92" t="str">
        <f t="shared" si="50"/>
        <v>"%USERPROFILE%\Documents\GitHub\eaglep3\Utilities\RefineRTDCRunTimes.py" --tripid 201-30 --locoid 4025 --swversion DE.1.0.8.0 --startMP 204:444 --initTime 2016-10-30T16:06:33 --startdatetime 2016-10-30T16:15:29 --delay 1 --endMP 204:233117 --enddatetime 2016-10-30T17:01:26 --enforcementcount 0 &gt;&gt;C:\Users\stu\Documents\GitHub\eaglep3-reporting\EC\2016-10-30-refined-times.txt</v>
      </c>
      <c r="AI11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{"issue":{"subject":"","project_id":79,"tracker_id":40,"status_id":1,"priority_id":2,"assigned_to_id":23,"start_date":"2016-10-30","description":"","custom_fields":[{"id":1,"name":"Subdivision","value":"EC"},{"id":4,"name":"Milepost","value":"23.3117"},{"id":17,"name":"Train ID","value":"201-30"},{"id":16,"name":"Locomotive ID","value":"4025"},{"id":130,"name":"Impact","value":""},{"id":150,"name":"Time of Event (Mountain Time)","value":"17:01:26"},{"id":151,"name":"Denver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558</v>
      </c>
      <c r="B114" s="7">
        <v>4026</v>
      </c>
      <c r="C114" s="22" t="s">
        <v>284</v>
      </c>
      <c r="D114" s="22" t="s">
        <v>708</v>
      </c>
      <c r="E114" s="13">
        <v>42673.71365740741</v>
      </c>
      <c r="F114" s="13">
        <v>42673.716319444444</v>
      </c>
      <c r="G114" s="7">
        <v>1</v>
      </c>
      <c r="H114" s="13" t="s">
        <v>176</v>
      </c>
      <c r="I114" s="13">
        <v>42673.743518518517</v>
      </c>
      <c r="J114" s="7">
        <v>0</v>
      </c>
      <c r="K114" s="112" t="str">
        <f t="shared" si="35"/>
        <v>4025/4026</v>
      </c>
      <c r="L114" s="22" t="str">
        <f>VLOOKUP(A114,'Trips&amp;Operators'!$C$1:$E$10000,3,FALSE)</f>
        <v>STEWART</v>
      </c>
      <c r="M114" s="6">
        <f t="shared" si="36"/>
        <v>2.7199074072996154E-2</v>
      </c>
      <c r="N114" s="7">
        <f t="shared" si="37"/>
        <v>39.166666665114462</v>
      </c>
      <c r="O114" s="7"/>
      <c r="P114" s="7"/>
      <c r="Q114" s="23"/>
      <c r="R114" s="23"/>
      <c r="S114" s="35">
        <f t="shared" si="38"/>
        <v>1</v>
      </c>
      <c r="T114" s="50" t="str">
        <f t="shared" si="3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16:07:40-0600',mode:absolute,to:'2016-10-30 18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41"/>
        <v>N</v>
      </c>
      <c r="X114" s="177">
        <f t="shared" si="42"/>
        <v>1</v>
      </c>
      <c r="Y114" s="67">
        <f t="shared" si="43"/>
        <v>23.279599999999999</v>
      </c>
      <c r="Z114" s="67">
        <f t="shared" si="44"/>
        <v>1.52E-2</v>
      </c>
      <c r="AA114" s="67">
        <f t="shared" si="45"/>
        <v>23.264399999999998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6"/>
        <v>0202-30</v>
      </c>
      <c r="AE114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14" s="88" t="str">
        <f t="shared" si="48"/>
        <v>"C:\Program Files (x86)\AstroGrep\AstroGrep.exe" /spath="%USERPROFILE%\AppData\Local\Temp\OnboardLogs" /stypes="app*4026*20161030*" /stext=" 23:.+((SYSTEM_STATE.+slice.+state.+changed )|(ment ac)|(system.+state.+changed )|(\[timeout)|(PRM\|1\|D)|(kpr)|(kdp)|(\|lc)|(penalty))" /e /r /s</v>
      </c>
      <c r="AG114" s="1" t="str">
        <f t="shared" si="49"/>
        <v>EC</v>
      </c>
      <c r="AH114" s="92" t="str">
        <f t="shared" si="50"/>
        <v>"%USERPROFILE%\Documents\GitHub\eaglep3\Utilities\RefineRTDCRunTimes.py" --tripid 202-30 --locoid 4026 --swversion DE.1.0.8.0 --startMP 204:232796 --initTime 2016-10-30T17:07:40 --startdatetime 2016-10-30T17:11:30 --delay 1 --endMP 204:152 --enddatetime 2016-10-30T17:50:40 --enforcementcount 0 &gt;&gt;C:\Users\stu\Documents\GitHub\eaglep3-reporting\EC\2016-10-30-refined-times.txt</v>
      </c>
      <c r="AI11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ID","value":"202-30"},{"id":16,"name":"Locomotive ID","value":"4026"},{"id":130,"name":"Impact","value":""},{"id":150,"name":"Time of Event (Mountain Time)","value":"17:50:40"},{"id":151,"name":"Denver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420</v>
      </c>
      <c r="B115" s="7">
        <v>4038</v>
      </c>
      <c r="C115" s="22" t="s">
        <v>284</v>
      </c>
      <c r="D115" s="22" t="s">
        <v>239</v>
      </c>
      <c r="E115" s="13">
        <v>42673.681620370371</v>
      </c>
      <c r="F115" s="13">
        <v>42673.687800925924</v>
      </c>
      <c r="G115" s="7">
        <v>1</v>
      </c>
      <c r="H115" s="13" t="s">
        <v>709</v>
      </c>
      <c r="I115" s="13">
        <v>42673.714317129627</v>
      </c>
      <c r="J115" s="7">
        <v>0</v>
      </c>
      <c r="K115" s="112" t="str">
        <f t="shared" si="35"/>
        <v>4037/4038</v>
      </c>
      <c r="L115" s="22" t="str">
        <f>VLOOKUP(A115,'Trips&amp;Operators'!$C$1:$E$10000,3,FALSE)</f>
        <v>BARTLETT</v>
      </c>
      <c r="M115" s="6">
        <f t="shared" si="36"/>
        <v>2.6516203703067731E-2</v>
      </c>
      <c r="N115" s="7">
        <f t="shared" si="37"/>
        <v>38.183333332417533</v>
      </c>
      <c r="O115" s="7"/>
      <c r="P115" s="7"/>
      <c r="Q115" s="23"/>
      <c r="R115" s="23"/>
      <c r="S115" s="35">
        <f t="shared" si="38"/>
        <v>1</v>
      </c>
      <c r="T115" s="50" t="str">
        <f t="shared" si="3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15:21:32-0600',mode:absolute,to:'2016-10-30 18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41"/>
        <v>N</v>
      </c>
      <c r="X115" s="177">
        <f t="shared" si="42"/>
        <v>1</v>
      </c>
      <c r="Y115" s="67">
        <f t="shared" si="43"/>
        <v>4.7100000000000003E-2</v>
      </c>
      <c r="Z115" s="67">
        <f t="shared" si="44"/>
        <v>23.337199999999999</v>
      </c>
      <c r="AA115" s="67">
        <f t="shared" si="45"/>
        <v>23.290099999999999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6"/>
        <v>0203-30</v>
      </c>
      <c r="AE115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15" s="88" t="str">
        <f t="shared" si="48"/>
        <v>"C:\Program Files (x86)\AstroGrep\AstroGrep.exe" /spath="%USERPROFILE%\AppData\Local\Temp\OnboardLogs" /stypes="app*4038*20161030*" /stext=" 23:.+((SYSTEM_STATE.+slice.+state.+changed )|(ment ac)|(system.+state.+changed )|(\[timeout)|(PRM\|1\|D)|(kpr)|(kdp)|(\|lc)|(penalty))" /e /r /s</v>
      </c>
      <c r="AG115" s="1" t="str">
        <f t="shared" si="49"/>
        <v>EC</v>
      </c>
      <c r="AH115" s="92" t="str">
        <f t="shared" si="50"/>
        <v>"%USERPROFILE%\Documents\GitHub\eaglep3\Utilities\RefineRTDCRunTimes.py" --tripid 203-30 --locoid 4038 --swversion DE.1.0.8.0 --startMP 204:471 --initTime 2016-10-30T16:21:32 --startdatetime 2016-10-30T16:30:26 --delay 1 --endMP 204:233372 --enddatetime 2016-10-30T17:08:37 --enforcementcount 0 &gt;&gt;C:\Users\stu\Documents\GitHub\eaglep3-reporting\EC\2016-10-30-refined-times.txt</v>
      </c>
      <c r="AI11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{"issue":{"subject":"","project_id":79,"tracker_id":40,"status_id":1,"priority_id":2,"assigned_to_id":23,"start_date":"2016-10-30","description":"","custom_fields":[{"id":1,"name":"Subdivision","value":"EC"},{"id":4,"name":"Milepost","value":"23.3372"},{"id":17,"name":"Train ID","value":"203-30"},{"id":16,"name":"Locomotive ID","value":"4038"},{"id":130,"name":"Impact","value":""},{"id":150,"name":"Time of Event (Mountain Time)","value":"17:08:37"},{"id":151,"name":"Denver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560</v>
      </c>
      <c r="B116" s="7">
        <v>4037</v>
      </c>
      <c r="C116" s="22" t="s">
        <v>284</v>
      </c>
      <c r="D116" s="22" t="s">
        <v>710</v>
      </c>
      <c r="E116" s="13">
        <v>42673.716203703705</v>
      </c>
      <c r="F116" s="13">
        <v>42673.7265625</v>
      </c>
      <c r="G116" s="7">
        <v>1</v>
      </c>
      <c r="H116" s="13" t="s">
        <v>366</v>
      </c>
      <c r="I116" s="13">
        <v>42673.753483796296</v>
      </c>
      <c r="J116" s="7">
        <v>0</v>
      </c>
      <c r="K116" s="112" t="str">
        <f t="shared" si="35"/>
        <v>4037/4038</v>
      </c>
      <c r="L116" s="22" t="str">
        <f>VLOOKUP(A116,'Trips&amp;Operators'!$C$1:$E$10000,3,FALSE)</f>
        <v>BARTLETT</v>
      </c>
      <c r="M116" s="6">
        <f t="shared" si="36"/>
        <v>2.6921296295768116E-2</v>
      </c>
      <c r="N116" s="7">
        <f t="shared" si="37"/>
        <v>38.766666665906087</v>
      </c>
      <c r="O116" s="7"/>
      <c r="P116" s="7"/>
      <c r="Q116" s="23"/>
      <c r="R116" s="23"/>
      <c r="S116" s="35">
        <f t="shared" si="38"/>
        <v>1</v>
      </c>
      <c r="T116" s="50" t="str">
        <f t="shared" si="3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16:11:20-0600',mode:absolute,to:'2016-10-30 19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41"/>
        <v>N</v>
      </c>
      <c r="X116" s="177">
        <f t="shared" si="42"/>
        <v>1</v>
      </c>
      <c r="Y116" s="67">
        <f t="shared" si="43"/>
        <v>23.3066</v>
      </c>
      <c r="Z116" s="67">
        <f t="shared" si="44"/>
        <v>1.5800000000000002E-2</v>
      </c>
      <c r="AA116" s="67">
        <f t="shared" si="45"/>
        <v>23.290800000000001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6"/>
        <v>0204-30</v>
      </c>
      <c r="AE116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16" s="88" t="str">
        <f t="shared" si="48"/>
        <v>"C:\Program Files (x86)\AstroGrep\AstroGrep.exe" /spath="%USERPROFILE%\AppData\Local\Temp\OnboardLogs" /stypes="app*4037*20161031*" /stext=" 00:.+((SYSTEM_STATE.+slice.+state.+changed )|(ment ac)|(system.+state.+changed )|(\[timeout)|(PRM\|1\|D)|(kpr)|(kdp)|(\|lc)|(penalty))" /e /r /s</v>
      </c>
      <c r="AG116" s="1" t="str">
        <f t="shared" si="49"/>
        <v>EC</v>
      </c>
      <c r="AH116" s="92" t="str">
        <f t="shared" si="50"/>
        <v>"%USERPROFILE%\Documents\GitHub\eaglep3\Utilities\RefineRTDCRunTimes.py" --tripid 204-30 --locoid 4037 --swversion DE.1.0.8.0 --startMP 204:233066 --initTime 2016-10-30T17:11:20 --startdatetime 2016-10-30T17:26:15 --delay 1 --endMP 204:158 --enddatetime 2016-10-30T18:05:01 --enforcementcount 0 &gt;&gt;C:\Users\stu\Documents\GitHub\eaglep3-reporting\EC\2016-10-30-refined-times.txt</v>
      </c>
      <c r="AI11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ID","value":"204-30"},{"id":16,"name":"Locomotive ID","value":"4037"},{"id":130,"name":"Impact","value":""},{"id":150,"name":"Time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553</v>
      </c>
      <c r="B117" s="7">
        <v>4027</v>
      </c>
      <c r="C117" s="22" t="s">
        <v>284</v>
      </c>
      <c r="D117" s="22" t="s">
        <v>217</v>
      </c>
      <c r="E117" s="13">
        <v>42673.692256944443</v>
      </c>
      <c r="F117" s="13">
        <v>42673.698217592595</v>
      </c>
      <c r="G117" s="7">
        <v>6</v>
      </c>
      <c r="H117" s="13" t="s">
        <v>358</v>
      </c>
      <c r="I117" s="13">
        <v>42673.724016203705</v>
      </c>
      <c r="J117" s="7">
        <v>0</v>
      </c>
      <c r="K117" s="112" t="str">
        <f t="shared" si="35"/>
        <v>4027/4028</v>
      </c>
      <c r="L117" s="22" t="str">
        <f>VLOOKUP(A117,'Trips&amp;Operators'!$C$1:$E$10000,3,FALSE)</f>
        <v>BRUDER</v>
      </c>
      <c r="M117" s="6">
        <f t="shared" si="36"/>
        <v>2.5798611110076308E-2</v>
      </c>
      <c r="N117" s="7">
        <f t="shared" si="37"/>
        <v>37.149999998509884</v>
      </c>
      <c r="O117" s="7"/>
      <c r="P117" s="7"/>
      <c r="Q117" s="23"/>
      <c r="R117" s="23"/>
      <c r="S117" s="35">
        <f t="shared" si="38"/>
        <v>1</v>
      </c>
      <c r="T117" s="50" t="str">
        <f t="shared" si="3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15:36:51-0600',mode:absolute,to:'2016-10-30 18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7" s="52" t="str">
        <f t="shared" si="41"/>
        <v>N</v>
      </c>
      <c r="X117" s="177">
        <f t="shared" si="42"/>
        <v>1</v>
      </c>
      <c r="Y117" s="67">
        <f t="shared" si="43"/>
        <v>4.53E-2</v>
      </c>
      <c r="Z117" s="67">
        <f t="shared" si="44"/>
        <v>23.330300000000001</v>
      </c>
      <c r="AA117" s="67">
        <f t="shared" si="45"/>
        <v>23.285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6"/>
        <v>0205-30</v>
      </c>
      <c r="AE117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17" s="88" t="str">
        <f t="shared" si="48"/>
        <v>"C:\Program Files (x86)\AstroGrep\AstroGrep.exe" /spath="%USERPROFILE%\AppData\Local\Temp\OnboardLogs" /stypes="app*4027*20161030*" /stext=" 23:.+((SYSTEM_STATE.+slice.+state.+changed )|(ment ac)|(system.+state.+changed )|(\[timeout)|(PRM\|1\|D)|(kpr)|(kdp)|(\|lc)|(penalty))" /e /r /s</v>
      </c>
      <c r="AG117" s="1" t="str">
        <f t="shared" si="49"/>
        <v>EC</v>
      </c>
      <c r="AH117" s="92" t="str">
        <f t="shared" si="50"/>
        <v>"%USERPROFILE%\Documents\GitHub\eaglep3\Utilities\RefineRTDCRunTimes.py" --tripid 205-30 --locoid 4027 --swversion DE.1.0.8.0 --startMP 204:453 --initTime 2016-10-30T16:36:51 --startdatetime 2016-10-30T16:45:26 --delay 6 --endMP 204:233303 --enddatetime 2016-10-30T17:22:35 --enforcementcount 0 &gt;&gt;C:\Users\stu\Documents\GitHub\eaglep3-reporting\EC\2016-10-30-refined-times.txt</v>
      </c>
      <c r="AI11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ID","value":"205-30"},{"id":16,"name":"Locomotive ID","value":"4027"},{"id":130,"name":"Impact","value":""},{"id":150,"name":"Time of Event (Mountain Time)","value":"17:22:35"},{"id":151,"name":"Denver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422</v>
      </c>
      <c r="B118" s="7">
        <v>4028</v>
      </c>
      <c r="C118" s="22" t="s">
        <v>284</v>
      </c>
      <c r="D118" s="22" t="s">
        <v>237</v>
      </c>
      <c r="E118" s="13">
        <v>42673.732233796298</v>
      </c>
      <c r="F118" s="13">
        <v>42673.73710648148</v>
      </c>
      <c r="G118" s="7">
        <v>0</v>
      </c>
      <c r="H118" s="13" t="s">
        <v>241</v>
      </c>
      <c r="I118" s="13">
        <v>42673.763993055552</v>
      </c>
      <c r="J118" s="7">
        <v>0</v>
      </c>
      <c r="K118" s="112" t="str">
        <f t="shared" si="35"/>
        <v>4027/4028</v>
      </c>
      <c r="L118" s="22" t="str">
        <f>VLOOKUP(A118,'Trips&amp;Operators'!$C$1:$E$10000,3,FALSE)</f>
        <v>BRUDER</v>
      </c>
      <c r="M118" s="6">
        <f t="shared" si="36"/>
        <v>2.6886574072705116E-2</v>
      </c>
      <c r="N118" s="7">
        <f t="shared" si="37"/>
        <v>38.716666664695367</v>
      </c>
      <c r="O118" s="7"/>
      <c r="P118" s="7"/>
      <c r="Q118" s="23"/>
      <c r="R118" s="23"/>
      <c r="S118" s="35">
        <f t="shared" si="38"/>
        <v>1</v>
      </c>
      <c r="T118" s="50" t="str">
        <f t="shared" si="3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16:34:25-0600',mode:absolute,to:'2016-10-30 19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8" s="52" t="str">
        <f t="shared" si="41"/>
        <v>N</v>
      </c>
      <c r="X118" s="177">
        <f t="shared" si="42"/>
        <v>1</v>
      </c>
      <c r="Y118" s="67">
        <f t="shared" si="43"/>
        <v>23.297699999999999</v>
      </c>
      <c r="Z118" s="67">
        <f t="shared" si="44"/>
        <v>1.5599999999999999E-2</v>
      </c>
      <c r="AA118" s="67">
        <f t="shared" si="45"/>
        <v>23.2821</v>
      </c>
      <c r="AB118" s="64" t="str">
        <f>VLOOKUP(A118,Enforcements!$C$7:$K$21,8,0)</f>
        <v>Signal based authority (5)</v>
      </c>
      <c r="AC118" s="60" t="str">
        <f>VLOOKUP(A118,Enforcements!$C$7:$E$21,3,0)</f>
        <v>SIGNAL</v>
      </c>
      <c r="AD118" s="61" t="str">
        <f t="shared" si="46"/>
        <v>0206-30</v>
      </c>
      <c r="AE118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18" s="88" t="str">
        <f t="shared" si="48"/>
        <v>"C:\Program Files (x86)\AstroGrep\AstroGrep.exe" /spath="%USERPROFILE%\AppData\Local\Temp\OnboardLogs" /stypes="app*4028*20161031*" /stext=" 00:.+((SYSTEM_STATE.+slice.+state.+changed )|(ment ac)|(system.+state.+changed )|(\[timeout)|(PRM\|1\|D)|(kpr)|(kdp)|(\|lc)|(penalty))" /e /r /s</v>
      </c>
      <c r="AG118" s="1" t="str">
        <f t="shared" si="49"/>
        <v>EC</v>
      </c>
      <c r="AH118" s="92" t="str">
        <f t="shared" si="50"/>
        <v>"%USERPROFILE%\Documents\GitHub\eaglep3\Utilities\RefineRTDCRunTimes.py" --tripid 206-30 --locoid 4028 --swversion DE.1.0.8.0 --startMP 204:232977 --initTime 2016-10-30T17:34:25 --startdatetime 2016-10-30T17:41:26 --delay 0 --endMP 204:156 --enddatetime 2016-10-30T18:20:09 --enforcementcount 0 &gt;&gt;C:\Users\stu\Documents\GitHub\eaglep3-reporting\EC\2016-10-30-refined-times.txt</v>
      </c>
      <c r="AI11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{"issue":{"subject":"","project_id":79,"tracker_id":40,"status_id":1,"priority_id":2,"assigned_to_id":23,"start_date":"2016-10-30","description":"","custom_fields":[{"id":1,"name":"Subdivision","value":"EC"},{"id":4,"name":"Milepost","value":"0.0156"},{"id":17,"name":"Train ID","value":"206-30"},{"id":16,"name":"Locomotive ID","value":"4028"},{"id":130,"name":"Impact","value":""},{"id":150,"name":"Time of Event (Mountain Time)","value":"18:20:09"},{"id":151,"name":"Denver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557</v>
      </c>
      <c r="B119" s="7">
        <v>4002</v>
      </c>
      <c r="C119" s="22" t="s">
        <v>284</v>
      </c>
      <c r="D119" s="22" t="s">
        <v>297</v>
      </c>
      <c r="E119" s="13">
        <v>42673.705555555556</v>
      </c>
      <c r="F119" s="13">
        <v>42673.708564814813</v>
      </c>
      <c r="G119" s="7">
        <v>1</v>
      </c>
      <c r="H119" s="13" t="s">
        <v>268</v>
      </c>
      <c r="I119" s="13">
        <v>42673.7343287037</v>
      </c>
      <c r="J119" s="7">
        <v>0</v>
      </c>
      <c r="K119" s="112" t="str">
        <f t="shared" si="35"/>
        <v>4001/4002</v>
      </c>
      <c r="L119" s="22" t="str">
        <f>VLOOKUP(A119,'Trips&amp;Operators'!$C$1:$E$10000,3,FALSE)</f>
        <v>MOSES</v>
      </c>
      <c r="M119" s="6">
        <f t="shared" si="36"/>
        <v>2.5763888887013309E-2</v>
      </c>
      <c r="N119" s="7">
        <f t="shared" si="37"/>
        <v>37.099999997299165</v>
      </c>
      <c r="O119" s="7"/>
      <c r="P119" s="7"/>
      <c r="Q119" s="23"/>
      <c r="R119" s="23"/>
      <c r="S119" s="35">
        <f t="shared" si="38"/>
        <v>1</v>
      </c>
      <c r="T119" s="50" t="str">
        <f t="shared" si="3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15:56:00-0600',mode:absolute,to:'2016-10-30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9" s="52" t="str">
        <f t="shared" si="41"/>
        <v>N</v>
      </c>
      <c r="X119" s="177">
        <f t="shared" si="42"/>
        <v>1</v>
      </c>
      <c r="Y119" s="67">
        <f t="shared" si="43"/>
        <v>4.58E-2</v>
      </c>
      <c r="Z119" s="67">
        <f t="shared" si="44"/>
        <v>23.331900000000001</v>
      </c>
      <c r="AA119" s="67">
        <f t="shared" si="45"/>
        <v>23.286100000000001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6"/>
        <v>0207-30</v>
      </c>
      <c r="AE119" s="91" t="str">
        <f t="shared" si="47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119" s="88" t="str">
        <f t="shared" si="48"/>
        <v>"C:\Program Files (x86)\AstroGrep\AstroGrep.exe" /spath="%USERPROFILE%\AppData\Local\Temp\OnboardLogs" /stypes="app*4002*20161030*" /stext=" 23:.+((SYSTEM_STATE.+slice.+state.+changed )|(ment ac)|(system.+state.+changed )|(\[timeout)|(PRM\|1\|D)|(kpr)|(kdp)|(\|lc)|(penalty))" /e /r /s</v>
      </c>
      <c r="AG119" s="1" t="str">
        <f t="shared" si="49"/>
        <v>EC</v>
      </c>
      <c r="AH119" s="92" t="str">
        <f t="shared" si="50"/>
        <v>"%USERPROFILE%\Documents\GitHub\eaglep3\Utilities\RefineRTDCRunTimes.py" --tripid 207-30 --locoid 4002 --swversion DE.1.0.8.0 --startMP 204:458 --initTime 2016-10-30T16:56:00 --startdatetime 2016-10-30T17:00:20 --delay 1 --endMP 204:233319 --enddatetime 2016-10-30T17:37:26 --enforcementcount 0 &gt;&gt;C:\Users\stu\Documents\GitHub\eaglep3-reporting\EC\2016-10-30-refined-times.txt</v>
      </c>
      <c r="AI11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{"issue":{"subject":"","project_id":79,"tracker_id":40,"status_id":1,"priority_id":2,"assigned_to_id":23,"start_date":"2016-10-30","description":"","custom_fields":[{"id":1,"name":"Subdivision","value":"EC"},{"id":4,"name":"Milepost","value":"23.3319"},{"id":17,"name":"Train ID","value":"207-30"},{"id":16,"name":"Locomotive ID","value":"4002"},{"id":130,"name":"Impact","value":""},{"id":150,"name":"Time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567</v>
      </c>
      <c r="B120" s="7">
        <v>4001</v>
      </c>
      <c r="C120" s="22" t="s">
        <v>284</v>
      </c>
      <c r="D120" s="22" t="s">
        <v>657</v>
      </c>
      <c r="E120" s="13">
        <v>42673.745150462964</v>
      </c>
      <c r="F120" s="13">
        <v>42673.747673611113</v>
      </c>
      <c r="G120" s="7">
        <v>1</v>
      </c>
      <c r="H120" s="13" t="s">
        <v>176</v>
      </c>
      <c r="I120" s="13">
        <v>42673.775659722225</v>
      </c>
      <c r="J120" s="7">
        <v>0</v>
      </c>
      <c r="K120" s="112" t="str">
        <f t="shared" si="35"/>
        <v>4001/4002</v>
      </c>
      <c r="L120" s="22" t="str">
        <f>VLOOKUP(A120,'Trips&amp;Operators'!$C$1:$E$10000,3,FALSE)</f>
        <v>MOSES</v>
      </c>
      <c r="M120" s="6">
        <f t="shared" si="36"/>
        <v>2.7986111112113576E-2</v>
      </c>
      <c r="N120" s="7">
        <f t="shared" si="37"/>
        <v>40.30000000144355</v>
      </c>
      <c r="O120" s="7"/>
      <c r="P120" s="7"/>
      <c r="Q120" s="23"/>
      <c r="R120" s="23"/>
      <c r="S120" s="35">
        <f t="shared" si="38"/>
        <v>1</v>
      </c>
      <c r="T120" s="50" t="str">
        <f t="shared" si="3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16:53:01-0600',mode:absolute,to:'2016-10-30 19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52" t="str">
        <f t="shared" si="41"/>
        <v>N</v>
      </c>
      <c r="X120" s="177">
        <f t="shared" si="42"/>
        <v>1</v>
      </c>
      <c r="Y120" s="67">
        <f t="shared" si="43"/>
        <v>23.299099999999999</v>
      </c>
      <c r="Z120" s="67">
        <f t="shared" si="44"/>
        <v>1.52E-2</v>
      </c>
      <c r="AA120" s="67">
        <f t="shared" si="45"/>
        <v>23.283899999999999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6"/>
        <v>0208-30</v>
      </c>
      <c r="AE120" s="91" t="str">
        <f t="shared" si="47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20" s="88" t="str">
        <f t="shared" si="48"/>
        <v>"C:\Program Files (x86)\AstroGrep\AstroGrep.exe" /spath="%USERPROFILE%\AppData\Local\Temp\OnboardLogs" /stypes="app*4001*20161031*" /stext=" 00:.+((SYSTEM_STATE.+slice.+state.+changed )|(ment ac)|(system.+state.+changed )|(\[timeout)|(PRM\|1\|D)|(kpr)|(kdp)|(\|lc)|(penalty))" /e /r /s</v>
      </c>
      <c r="AG120" s="1" t="str">
        <f t="shared" si="49"/>
        <v>EC</v>
      </c>
      <c r="AH120" s="92" t="str">
        <f t="shared" si="50"/>
        <v>"%USERPROFILE%\Documents\GitHub\eaglep3\Utilities\RefineRTDCRunTimes.py" --tripid 208-30 --locoid 4001 --swversion DE.1.0.8.0 --startMP 204:232991 --initTime 2016-10-30T17:53:01 --startdatetime 2016-10-30T17:56:39 --delay 1 --endMP 204:152 --enddatetime 2016-10-30T18:36:57 --enforcementcount 0 &gt;&gt;C:\Users\stu\Documents\GitHub\eaglep3-reporting\EC\2016-10-30-refined-times.txt</v>
      </c>
      <c r="AI12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ID","value":"208-30"},{"id":16,"name":"Locomotive ID","value":"4001"},{"id":130,"name":"Impact","value":""},{"id":150,"name":"Time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7" t="s">
        <v>561</v>
      </c>
      <c r="B121" s="7">
        <v>4053</v>
      </c>
      <c r="C121" s="22" t="s">
        <v>284</v>
      </c>
      <c r="D121" s="22" t="s">
        <v>376</v>
      </c>
      <c r="E121" s="13">
        <v>42673.716099537036</v>
      </c>
      <c r="F121" s="13">
        <v>42673.7190625</v>
      </c>
      <c r="G121" s="7">
        <v>1</v>
      </c>
      <c r="H121" s="13" t="s">
        <v>192</v>
      </c>
      <c r="I121" s="13">
        <v>42673.745567129627</v>
      </c>
      <c r="J121" s="7">
        <v>0</v>
      </c>
      <c r="K121" s="112" t="str">
        <f t="shared" si="35"/>
        <v>4053/4054</v>
      </c>
      <c r="L121" s="22" t="str">
        <f>VLOOKUP(A121,'Trips&amp;Operators'!$C$1:$E$10000,3,FALSE)</f>
        <v>LEVERE</v>
      </c>
      <c r="M121" s="6">
        <f t="shared" si="36"/>
        <v>2.6504629626288079E-2</v>
      </c>
      <c r="N121" s="7">
        <f t="shared" si="37"/>
        <v>38.166666661854833</v>
      </c>
      <c r="O121" s="7"/>
      <c r="P121" s="7"/>
      <c r="Q121" s="23"/>
      <c r="R121" s="23"/>
      <c r="S121" s="35">
        <f t="shared" si="38"/>
        <v>1</v>
      </c>
      <c r="T121" s="50" t="str">
        <f t="shared" si="3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16:11:11-0600',mode:absolute,to:'2016-10-30 18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1" s="52" t="str">
        <f t="shared" si="41"/>
        <v>N</v>
      </c>
      <c r="X121" s="177">
        <f t="shared" si="42"/>
        <v>1</v>
      </c>
      <c r="Y121" s="67">
        <f t="shared" si="43"/>
        <v>5.2200000000000003E-2</v>
      </c>
      <c r="Z121" s="67">
        <f t="shared" si="44"/>
        <v>23.329699999999999</v>
      </c>
      <c r="AA121" s="67">
        <f t="shared" si="45"/>
        <v>23.2775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6"/>
        <v>0209-30</v>
      </c>
      <c r="AE121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21" s="88" t="str">
        <f t="shared" si="48"/>
        <v>"C:\Program Files (x86)\AstroGrep\AstroGrep.exe" /spath="%USERPROFILE%\AppData\Local\Temp\OnboardLogs" /stypes="app*4053*20161030*" /stext=" 23:.+((SYSTEM_STATE.+slice.+state.+changed )|(ment ac)|(system.+state.+changed )|(\[timeout)|(PRM\|1\|D)|(kpr)|(kdp)|(\|lc)|(penalty))" /e /r /s</v>
      </c>
      <c r="AG121" s="1" t="str">
        <f t="shared" si="49"/>
        <v>EC</v>
      </c>
      <c r="AH121" s="92" t="str">
        <f t="shared" si="50"/>
        <v>"%USERPROFILE%\Documents\GitHub\eaglep3\Utilities\RefineRTDCRunTimes.py" --tripid 209-30 --locoid 4053 --swversion DE.1.0.8.0 --startMP 204:522 --initTime 2016-10-30T17:11:11 --startdatetime 2016-10-30T17:15:27 --delay 1 --endMP 204:233297 --enddatetime 2016-10-30T17:53:37 --enforcementcount 0 &gt;&gt;C:\Users\stu\Documents\GitHub\eaglep3-reporting\EC\2016-10-30-refined-times.txt</v>
      </c>
      <c r="AI12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ID","value":"209-30"},{"id":16,"name":"Locomotive ID","value":"4053"},{"id":130,"name":"Impact","value":""},{"id":150,"name":"Time of Event (Mountain Time)","value":"17:53:37"},{"id":151,"name":"Denver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91" s="21" customFormat="1" x14ac:dyDescent="0.25">
      <c r="A122" s="37" t="s">
        <v>569</v>
      </c>
      <c r="B122" s="7">
        <v>4054</v>
      </c>
      <c r="C122" s="22" t="s">
        <v>284</v>
      </c>
      <c r="D122" s="22" t="s">
        <v>711</v>
      </c>
      <c r="E122" s="13">
        <v>42673.751527777778</v>
      </c>
      <c r="F122" s="13">
        <v>42673.757939814815</v>
      </c>
      <c r="G122" s="7">
        <v>1</v>
      </c>
      <c r="H122" s="13" t="s">
        <v>175</v>
      </c>
      <c r="I122" s="13">
        <v>42673.785208333335</v>
      </c>
      <c r="J122" s="7">
        <v>0</v>
      </c>
      <c r="K122" s="112" t="str">
        <f t="shared" si="35"/>
        <v>4053/4054</v>
      </c>
      <c r="L122" s="22" t="str">
        <f>VLOOKUP(A122,'Trips&amp;Operators'!$C$1:$E$10000,3,FALSE)</f>
        <v>LEVERE</v>
      </c>
      <c r="M122" s="6">
        <f t="shared" si="36"/>
        <v>2.7268518519122154E-2</v>
      </c>
      <c r="N122" s="7">
        <f t="shared" si="37"/>
        <v>39.266666667535901</v>
      </c>
      <c r="O122" s="7"/>
      <c r="P122" s="7"/>
      <c r="Q122" s="23"/>
      <c r="R122" s="23"/>
      <c r="S122" s="35">
        <f t="shared" si="38"/>
        <v>1</v>
      </c>
      <c r="T122" s="50" t="str">
        <f t="shared" si="3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17:02:12-0600',mode:absolute,to:'2016-10-30 19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2" s="52" t="str">
        <f t="shared" si="41"/>
        <v>N</v>
      </c>
      <c r="X122" s="177">
        <f t="shared" si="42"/>
        <v>1</v>
      </c>
      <c r="Y122" s="67">
        <f t="shared" si="43"/>
        <v>23.299199999999999</v>
      </c>
      <c r="Z122" s="67">
        <f t="shared" si="44"/>
        <v>1.47E-2</v>
      </c>
      <c r="AA122" s="67">
        <f t="shared" si="45"/>
        <v>23.284499999999998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6"/>
        <v>0210-30</v>
      </c>
      <c r="AE122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22" s="88" t="str">
        <f t="shared" si="48"/>
        <v>"C:\Program Files (x86)\AstroGrep\AstroGrep.exe" /spath="%USERPROFILE%\AppData\Local\Temp\OnboardLogs" /stypes="app*4054*20161031*" /stext=" 00:.+((SYSTEM_STATE.+slice.+state.+changed )|(ment ac)|(system.+state.+changed )|(\[timeout)|(PRM\|1\|D)|(kpr)|(kdp)|(\|lc)|(penalty))" /e /r /s</v>
      </c>
      <c r="AG122" s="1" t="str">
        <f t="shared" si="49"/>
        <v>EC</v>
      </c>
      <c r="AH122" s="92" t="str">
        <f t="shared" si="50"/>
        <v>"%USERPROFILE%\Documents\GitHub\eaglep3\Utilities\RefineRTDCRunTimes.py" --tripid 210-30 --locoid 4054 --swversion DE.1.0.8.0 --startMP 204:232992 --initTime 2016-10-30T18:02:12 --startdatetime 2016-10-30T18:11:26 --delay 1 --endMP 204:147 --enddatetime 2016-10-30T18:50:42 --enforcementcount 0 &gt;&gt;C:\Users\stu\Documents\GitHub\eaglep3-reporting\EC\2016-10-30-refined-times.txt</v>
      </c>
      <c r="AI12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ID","value":"210-30"},{"id":16,"name":"Locomotive ID","value":"4054"},{"id":130,"name":"Impact","value":""},{"id":150,"name":"Time of Event (Mountain Time)","value":"18:50:42"},{"id":151,"name":"Denver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563</v>
      </c>
      <c r="B123" s="7">
        <v>4016</v>
      </c>
      <c r="C123" s="22" t="s">
        <v>284</v>
      </c>
      <c r="D123" s="22" t="s">
        <v>225</v>
      </c>
      <c r="E123" s="13">
        <v>42673.729039351849</v>
      </c>
      <c r="F123" s="13">
        <v>42673.730717592596</v>
      </c>
      <c r="G123" s="7">
        <v>1</v>
      </c>
      <c r="H123" s="13" t="s">
        <v>271</v>
      </c>
      <c r="I123" s="13">
        <v>42673.757372685184</v>
      </c>
      <c r="J123" s="7">
        <v>0</v>
      </c>
      <c r="K123" s="112" t="str">
        <f t="shared" si="35"/>
        <v>4015/4016</v>
      </c>
      <c r="L123" s="22" t="str">
        <f>VLOOKUP(A123,'Trips&amp;Operators'!$C$1:$E$10000,3,FALSE)</f>
        <v>YOUNG</v>
      </c>
      <c r="M123" s="6">
        <f t="shared" si="36"/>
        <v>2.6655092588043772E-2</v>
      </c>
      <c r="N123" s="7">
        <f t="shared" si="37"/>
        <v>38.383333326783031</v>
      </c>
      <c r="O123" s="7"/>
      <c r="P123" s="7"/>
      <c r="Q123" s="23"/>
      <c r="R123" s="23"/>
      <c r="S123" s="35">
        <f t="shared" si="38"/>
        <v>1</v>
      </c>
      <c r="T123" s="50" t="str">
        <f t="shared" si="3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16:29:49-0600',mode:absolute,to:'2016-10-30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41"/>
        <v>N</v>
      </c>
      <c r="X123" s="177">
        <f t="shared" si="42"/>
        <v>1</v>
      </c>
      <c r="Y123" s="67">
        <f t="shared" si="43"/>
        <v>4.6899999999999997E-2</v>
      </c>
      <c r="Z123" s="67">
        <f t="shared" si="44"/>
        <v>23.3308</v>
      </c>
      <c r="AA123" s="67">
        <f t="shared" si="45"/>
        <v>23.283899999999999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6"/>
        <v>0211-30</v>
      </c>
      <c r="AE123" s="91" t="str">
        <f t="shared" si="47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123" s="88" t="str">
        <f t="shared" si="48"/>
        <v>"C:\Program Files (x86)\AstroGrep\AstroGrep.exe" /spath="%USERPROFILE%\AppData\Local\Temp\OnboardLogs" /stypes="app*4016*20161031*" /stext=" 00:.+((SYSTEM_STATE.+slice.+state.+changed )|(ment ac)|(system.+state.+changed )|(\[timeout)|(PRM\|1\|D)|(kpr)|(kdp)|(\|lc)|(penalty))" /e /r /s</v>
      </c>
      <c r="AG123" s="1" t="str">
        <f t="shared" si="49"/>
        <v>EC</v>
      </c>
      <c r="AH123" s="92" t="str">
        <f t="shared" si="50"/>
        <v>"%USERPROFILE%\Documents\GitHub\eaglep3\Utilities\RefineRTDCRunTimes.py" --tripid 211-30 --locoid 4016 --swversion DE.1.0.8.0 --startMP 204:469 --initTime 2016-10-30T17:29:49 --startdatetime 2016-10-30T17:32:14 --delay 1 --endMP 204:233308 --enddatetime 2016-10-30T18:10:37 --enforcementcount 0 &gt;&gt;C:\Users\stu\Documents\GitHub\eaglep3-reporting\EC\2016-10-30-refined-times.txt</v>
      </c>
      <c r="AI12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{"issue":{"subject":"","project_id":79,"tracker_id":40,"status_id":1,"priority_id":2,"assigned_to_id":23,"start_date":"2016-10-30","description":"","custom_fields":[{"id":1,"name":"Subdivision","value":"EC"},{"id":4,"name":"Milepost","value":"23.3308"},{"id":17,"name":"Train ID","value":"211-30"},{"id":16,"name":"Locomotive ID","value":"4016"},{"id":130,"name":"Impact","value":""},{"id":150,"name":"Time of Event (Mountain Time)","value":"18:10:37"},{"id":151,"name":"Denver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572</v>
      </c>
      <c r="B124" s="7">
        <v>4015</v>
      </c>
      <c r="C124" s="22" t="s">
        <v>284</v>
      </c>
      <c r="D124" s="22" t="s">
        <v>291</v>
      </c>
      <c r="E124" s="13">
        <v>42673.761365740742</v>
      </c>
      <c r="F124" s="13">
        <v>42673.768263888887</v>
      </c>
      <c r="G124" s="7">
        <v>6</v>
      </c>
      <c r="H124" s="13" t="s">
        <v>712</v>
      </c>
      <c r="I124" s="13">
        <v>42673.797303240739</v>
      </c>
      <c r="J124" s="7">
        <v>0</v>
      </c>
      <c r="K124" s="112" t="str">
        <f t="shared" si="35"/>
        <v>4015/4016</v>
      </c>
      <c r="L124" s="22" t="str">
        <f>VLOOKUP(A124,'Trips&amp;Operators'!$C$1:$E$10000,3,FALSE)</f>
        <v>YOUNG</v>
      </c>
      <c r="M124" s="6">
        <f t="shared" si="36"/>
        <v>2.9039351851679385E-2</v>
      </c>
      <c r="N124" s="7">
        <f t="shared" si="37"/>
        <v>41.816666666418314</v>
      </c>
      <c r="O124" s="7"/>
      <c r="P124" s="7"/>
      <c r="Q124" s="23"/>
      <c r="R124" s="23"/>
      <c r="S124" s="35">
        <f t="shared" si="38"/>
        <v>1</v>
      </c>
      <c r="T124" s="50" t="str">
        <f t="shared" si="3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17:16:22-0600',mode:absolute,to:'2016-10-30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41"/>
        <v>N</v>
      </c>
      <c r="X124" s="177">
        <f t="shared" si="42"/>
        <v>1</v>
      </c>
      <c r="Y124" s="67">
        <f t="shared" si="43"/>
        <v>23.298300000000001</v>
      </c>
      <c r="Z124" s="67">
        <f t="shared" si="44"/>
        <v>1.7399999999999999E-2</v>
      </c>
      <c r="AA124" s="67">
        <f t="shared" si="45"/>
        <v>23.280900000000003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6"/>
        <v>0212-30</v>
      </c>
      <c r="AE124" s="91" t="str">
        <f t="shared" si="47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124" s="88" t="str">
        <f t="shared" si="48"/>
        <v>"C:\Program Files (x86)\AstroGrep\AstroGrep.exe" /spath="%USERPROFILE%\AppData\Local\Temp\OnboardLogs" /stypes="app*4015*20161031*" /stext=" 01:.+((SYSTEM_STATE.+slice.+state.+changed )|(ment ac)|(system.+state.+changed )|(\[timeout)|(PRM\|1\|D)|(kpr)|(kdp)|(\|lc)|(penalty))" /e /r /s</v>
      </c>
      <c r="AG124" s="1" t="str">
        <f t="shared" si="49"/>
        <v>EC</v>
      </c>
      <c r="AH124" s="92" t="str">
        <f t="shared" si="50"/>
        <v>"%USERPROFILE%\Documents\GitHub\eaglep3\Utilities\RefineRTDCRunTimes.py" --tripid 212-30 --locoid 4015 --swversion DE.1.0.8.0 --startMP 204:232983 --initTime 2016-10-30T18:16:22 --startdatetime 2016-10-30T18:26:18 --delay 6 --endMP 204:174 --enddatetime 2016-10-30T19:08:07 --enforcementcount 0 &gt;&gt;C:\Users\stu\Documents\GitHub\eaglep3-reporting\EC\2016-10-30-refined-times.txt</v>
      </c>
      <c r="AI12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{"issue":{"subject":"","project_id":79,"tracker_id":40,"status_id":1,"priority_id":2,"assigned_to_id":23,"start_date":"2016-10-30","description":"","custom_fields":[{"id":1,"name":"Subdivision","value":"EC"},{"id":4,"name":"Milepost","value":"0.0174"},{"id":17,"name":"Train ID","value":"212-30"},{"id":16,"name":"Locomotive ID","value":"4015"},{"id":130,"name":"Impact","value":""},{"id":150,"name":"Time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565</v>
      </c>
      <c r="B125" s="7">
        <v>4029</v>
      </c>
      <c r="C125" s="22" t="s">
        <v>284</v>
      </c>
      <c r="D125" s="22" t="s">
        <v>322</v>
      </c>
      <c r="E125" s="13">
        <v>42673.73510416667</v>
      </c>
      <c r="F125" s="13">
        <v>42673.740277777775</v>
      </c>
      <c r="G125" s="7">
        <v>1</v>
      </c>
      <c r="H125" s="13" t="s">
        <v>258</v>
      </c>
      <c r="I125" s="13">
        <v>42673.765405092592</v>
      </c>
      <c r="J125" s="7">
        <v>0</v>
      </c>
      <c r="K125" s="112" t="str">
        <f t="shared" si="35"/>
        <v>4029/4030</v>
      </c>
      <c r="L125" s="22" t="str">
        <f>VLOOKUP(A125,'Trips&amp;Operators'!$C$1:$E$10000,3,FALSE)</f>
        <v>CRAYTON</v>
      </c>
      <c r="M125" s="6">
        <f t="shared" si="36"/>
        <v>2.5127314816927537E-2</v>
      </c>
      <c r="N125" s="7">
        <f t="shared" si="37"/>
        <v>36.183333336375654</v>
      </c>
      <c r="O125" s="7"/>
      <c r="P125" s="7"/>
      <c r="Q125" s="23"/>
      <c r="R125" s="23"/>
      <c r="S125" s="35">
        <f t="shared" si="38"/>
        <v>1</v>
      </c>
      <c r="T125" s="50" t="str">
        <f t="shared" si="3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16:38:33-0600',mode:absolute,to:'2016-10-30 19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41"/>
        <v>N</v>
      </c>
      <c r="X125" s="177">
        <f t="shared" si="42"/>
        <v>1</v>
      </c>
      <c r="Y125" s="67">
        <f t="shared" si="43"/>
        <v>4.3799999999999999E-2</v>
      </c>
      <c r="Z125" s="67">
        <f t="shared" si="44"/>
        <v>23.3291</v>
      </c>
      <c r="AA125" s="67">
        <f t="shared" si="45"/>
        <v>23.285299999999999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6"/>
        <v>0213-30</v>
      </c>
      <c r="AE125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25" s="88" t="str">
        <f t="shared" si="48"/>
        <v>"C:\Program Files (x86)\AstroGrep\AstroGrep.exe" /spath="%USERPROFILE%\AppData\Local\Temp\OnboardLogs" /stypes="app*4029*20161031*" /stext=" 00:.+((SYSTEM_STATE.+slice.+state.+changed )|(ment ac)|(system.+state.+changed )|(\[timeout)|(PRM\|1\|D)|(kpr)|(kdp)|(\|lc)|(penalty))" /e /r /s</v>
      </c>
      <c r="AG125" s="1" t="str">
        <f t="shared" si="49"/>
        <v>EC</v>
      </c>
      <c r="AH125" s="92" t="str">
        <f t="shared" si="50"/>
        <v>"%USERPROFILE%\Documents\GitHub\eaglep3\Utilities\RefineRTDCRunTimes.py" --tripid 213-30 --locoid 4029 --swversion DE.1.0.8.0 --startMP 204:438 --initTime 2016-10-30T17:38:33 --startdatetime 2016-10-30T17:46:00 --delay 1 --endMP 204:233291 --enddatetime 2016-10-30T18:22:11 --enforcementcount 0 &gt;&gt;C:\Users\stu\Documents\GitHub\eaglep3-reporting\EC\2016-10-30-refined-times.txt</v>
      </c>
      <c r="AI12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{"issue":{"subject":"","project_id":79,"tracker_id":40,"status_id":1,"priority_id":2,"assigned_to_id":23,"start_date":"2016-10-30","description":"","custom_fields":[{"id":1,"name":"Subdivision","value":"EC"},{"id":4,"name":"Milepost","value":"23.3291"},{"id":17,"name":"Train ID","value":"213-30"},{"id":16,"name":"Locomotive ID","value":"4029"},{"id":130,"name":"Impact","value":""},{"id":150,"name":"Time of Event (Mountain Time)","value":"18:22:11"},{"id":151,"name":"Denver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573</v>
      </c>
      <c r="B126" s="7">
        <v>4030</v>
      </c>
      <c r="C126" s="22" t="s">
        <v>284</v>
      </c>
      <c r="D126" s="22" t="s">
        <v>352</v>
      </c>
      <c r="E126" s="13">
        <v>42673.767164351855</v>
      </c>
      <c r="F126" s="13">
        <v>42673.778680555559</v>
      </c>
      <c r="G126" s="7">
        <v>2</v>
      </c>
      <c r="H126" s="13" t="s">
        <v>175</v>
      </c>
      <c r="I126" s="13">
        <v>42673.804965277777</v>
      </c>
      <c r="J126" s="7">
        <v>0</v>
      </c>
      <c r="K126" s="112" t="str">
        <f t="shared" si="35"/>
        <v>4029/4030</v>
      </c>
      <c r="L126" s="22" t="str">
        <f>VLOOKUP(A126,'Trips&amp;Operators'!$C$1:$E$10000,3,FALSE)</f>
        <v>CRAYTON</v>
      </c>
      <c r="M126" s="6">
        <f t="shared" si="36"/>
        <v>2.6284722218406387E-2</v>
      </c>
      <c r="N126" s="7">
        <f t="shared" si="37"/>
        <v>37.849999994505197</v>
      </c>
      <c r="O126" s="7"/>
      <c r="P126" s="7"/>
      <c r="Q126" s="23"/>
      <c r="R126" s="23"/>
      <c r="S126" s="35">
        <f t="shared" si="38"/>
        <v>1</v>
      </c>
      <c r="T126" s="50" t="str">
        <f t="shared" si="3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17:24:43-0600',mode:absolute,to:'2016-10-30 20:19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41"/>
        <v>N</v>
      </c>
      <c r="X126" s="177">
        <f t="shared" si="42"/>
        <v>1</v>
      </c>
      <c r="Y126" s="67">
        <f t="shared" si="43"/>
        <v>23.2973</v>
      </c>
      <c r="Z126" s="67">
        <f t="shared" si="44"/>
        <v>1.47E-2</v>
      </c>
      <c r="AA126" s="67">
        <f t="shared" si="45"/>
        <v>23.282599999999999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6"/>
        <v>0214-30</v>
      </c>
      <c r="AE126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26" s="88" t="str">
        <f t="shared" si="48"/>
        <v>"C:\Program Files (x86)\AstroGrep\AstroGrep.exe" /spath="%USERPROFILE%\AppData\Local\Temp\OnboardLogs" /stypes="app*4030*20161031*" /stext=" 01:.+((SYSTEM_STATE.+slice.+state.+changed )|(ment ac)|(system.+state.+changed )|(\[timeout)|(PRM\|1\|D)|(kpr)|(kdp)|(\|lc)|(penalty))" /e /r /s</v>
      </c>
      <c r="AG126" s="1" t="str">
        <f t="shared" si="49"/>
        <v>EC</v>
      </c>
      <c r="AH126" s="92" t="str">
        <f t="shared" si="50"/>
        <v>"%USERPROFILE%\Documents\GitHub\eaglep3\Utilities\RefineRTDCRunTimes.py" --tripid 214-30 --locoid 4030 --swversion DE.1.0.8.0 --startMP 204:232973 --initTime 2016-10-30T18:24:43 --startdatetime 2016-10-30T18:41:18 --delay 2 --endMP 204:147 --enddatetime 2016-10-30T19:19:09 --enforcementcount 0 &gt;&gt;C:\Users\stu\Documents\GitHub\eaglep3-reporting\EC\2016-10-30-refined-times.txt</v>
      </c>
      <c r="AI12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ID","value":"214-30"},{"id":16,"name":"Locomotive ID","value":"4030"},{"id":130,"name":"Impact","value":""},{"id":150,"name":"Time of Event (Mountain Time)","value":"19:19:09"},{"id":151,"name":"Denver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568</v>
      </c>
      <c r="B127" s="7">
        <v>4025</v>
      </c>
      <c r="C127" s="22" t="s">
        <v>284</v>
      </c>
      <c r="D127" s="22" t="s">
        <v>272</v>
      </c>
      <c r="E127" s="13">
        <v>42673.74628472222</v>
      </c>
      <c r="F127" s="13">
        <v>42673.750196759262</v>
      </c>
      <c r="G127" s="7">
        <v>1</v>
      </c>
      <c r="H127" s="13" t="s">
        <v>713</v>
      </c>
      <c r="I127" s="13">
        <v>42673.776655092595</v>
      </c>
      <c r="J127" s="7">
        <v>0</v>
      </c>
      <c r="K127" s="112" t="str">
        <f t="shared" si="35"/>
        <v>4025/4026</v>
      </c>
      <c r="L127" s="22" t="str">
        <f>VLOOKUP(A127,'Trips&amp;Operators'!$C$1:$E$10000,3,FALSE)</f>
        <v>SHOOK</v>
      </c>
      <c r="M127" s="6">
        <f t="shared" si="36"/>
        <v>2.6458333333721384E-2</v>
      </c>
      <c r="N127" s="7">
        <f t="shared" si="37"/>
        <v>38.100000000558794</v>
      </c>
      <c r="O127" s="7"/>
      <c r="P127" s="7"/>
      <c r="Q127" s="23"/>
      <c r="R127" s="23"/>
      <c r="S127" s="35">
        <f t="shared" si="38"/>
        <v>1</v>
      </c>
      <c r="T127" s="50" t="str">
        <f t="shared" si="3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7" s="52" t="str">
        <f t="shared" si="41"/>
        <v>N</v>
      </c>
      <c r="X127" s="177">
        <f t="shared" si="42"/>
        <v>1</v>
      </c>
      <c r="Y127" s="67">
        <f t="shared" si="43"/>
        <v>4.6399999999999997E-2</v>
      </c>
      <c r="Z127" s="67">
        <f t="shared" si="44"/>
        <v>23.3353</v>
      </c>
      <c r="AA127" s="67">
        <f t="shared" si="45"/>
        <v>23.288900000000002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6"/>
        <v>0215-30</v>
      </c>
      <c r="AE127" s="91" t="str">
        <f t="shared" si="47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127" s="88" t="str">
        <f t="shared" si="48"/>
        <v>"C:\Program Files (x86)\AstroGrep\AstroGrep.exe" /spath="%USERPROFILE%\AppData\Local\Temp\OnboardLogs" /stypes="app*4025*20161031*" /stext=" 00:.+((SYSTEM_STATE.+slice.+state.+changed )|(ment ac)|(system.+state.+changed )|(\[timeout)|(PRM\|1\|D)|(kpr)|(kdp)|(\|lc)|(penalty))" /e /r /s</v>
      </c>
      <c r="AG127" s="1" t="str">
        <f t="shared" si="49"/>
        <v>EC</v>
      </c>
      <c r="AH127" s="92" t="str">
        <f t="shared" si="50"/>
        <v>"%USERPROFILE%\Documents\GitHub\eaglep3\Utilities\RefineRTDCRunTimes.py" --tripid 215-30 --locoid 4025 --swversion DE.1.0.8.0 --startMP 204:464 --initTime 2016-10-30T17:54:39 --startdatetime 2016-10-30T18:00:17 --delay 1 --endMP 204:233353 --enddatetime 2016-10-30T18:38:23 --enforcementcount 0 &gt;&gt;C:\Users\stu\Documents\GitHub\eaglep3-reporting\EC\2016-10-30-refined-times.txt</v>
      </c>
      <c r="AI12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{"issue":{"subject":"","project_id":79,"tracker_id":40,"status_id":1,"priority_id":2,"assigned_to_id":23,"start_date":"2016-10-30","description":"","custom_fields":[{"id":1,"name":"Subdivision","value":"EC"},{"id":4,"name":"Milepost","value":"23.3353"},{"id":17,"name":"Train ID","value":"215-30"},{"id":16,"name":"Locomotive ID","value":"4025"},{"id":130,"name":"Impact","value":""},{"id":150,"name":"Time of Event (Mountain Time)","value":"18:38:23"},{"id":151,"name":"Denver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579</v>
      </c>
      <c r="B128" s="7">
        <v>4026</v>
      </c>
      <c r="C128" s="22" t="s">
        <v>284</v>
      </c>
      <c r="D128" s="22" t="s">
        <v>706</v>
      </c>
      <c r="E128" s="13">
        <v>42673.784930555557</v>
      </c>
      <c r="F128" s="13">
        <v>42673.789155092592</v>
      </c>
      <c r="G128" s="7">
        <v>1</v>
      </c>
      <c r="H128" s="13" t="s">
        <v>175</v>
      </c>
      <c r="I128" s="13">
        <v>42673.815763888888</v>
      </c>
      <c r="J128" s="7">
        <v>0</v>
      </c>
      <c r="K128" s="112" t="str">
        <f t="shared" si="35"/>
        <v>4025/4026</v>
      </c>
      <c r="L128" s="22" t="str">
        <f>VLOOKUP(A128,'Trips&amp;Operators'!$C$1:$E$10000,3,FALSE)</f>
        <v>SHOOK</v>
      </c>
      <c r="M128" s="6">
        <f t="shared" si="36"/>
        <v>2.6608796295477077E-2</v>
      </c>
      <c r="N128" s="7">
        <f t="shared" si="37"/>
        <v>38.316666665486991</v>
      </c>
      <c r="O128" s="7"/>
      <c r="P128" s="7"/>
      <c r="Q128" s="23"/>
      <c r="R128" s="23"/>
      <c r="S128" s="35">
        <f t="shared" si="38"/>
        <v>1</v>
      </c>
      <c r="T128" s="50" t="str">
        <f t="shared" si="3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17:50:18-0600',mode:absolute,to:'2016-10-30 20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8" s="52" t="str">
        <f t="shared" si="41"/>
        <v>N</v>
      </c>
      <c r="X128" s="177">
        <f t="shared" si="42"/>
        <v>1</v>
      </c>
      <c r="Y128" s="67">
        <f t="shared" si="43"/>
        <v>23.3032</v>
      </c>
      <c r="Z128" s="67">
        <f t="shared" si="44"/>
        <v>1.47E-2</v>
      </c>
      <c r="AA128" s="67">
        <f t="shared" si="45"/>
        <v>23.288499999999999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6"/>
        <v>0216-30</v>
      </c>
      <c r="AE128" s="91" t="str">
        <f t="shared" si="47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28" s="88" t="str">
        <f t="shared" si="48"/>
        <v>"C:\Program Files (x86)\AstroGrep\AstroGrep.exe" /spath="%USERPROFILE%\AppData\Local\Temp\OnboardLogs" /stypes="app*4026*20161031*" /stext=" 01:.+((SYSTEM_STATE.+slice.+state.+changed )|(ment ac)|(system.+state.+changed )|(\[timeout)|(PRM\|1\|D)|(kpr)|(kdp)|(\|lc)|(penalty))" /e /r /s</v>
      </c>
      <c r="AG128" s="1" t="str">
        <f t="shared" si="49"/>
        <v>EC</v>
      </c>
      <c r="AH128" s="92" t="str">
        <f t="shared" si="50"/>
        <v>"%USERPROFILE%\Documents\GitHub\eaglep3\Utilities\RefineRTDCRunTimes.py" --tripid 216-30 --locoid 4026 --swversion DE.1.0.8.0 --startMP 204:233032 --initTime 2016-10-30T18:50:18 --startdatetime 2016-10-30T18:56:23 --delay 1 --endMP 204:147 --enddatetime 2016-10-30T19:34:42 --enforcementcount 0 &gt;&gt;C:\Users\stu\Documents\GitHub\eaglep3-reporting\EC\2016-10-30-refined-times.txt</v>
      </c>
      <c r="AI12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ID","value":"216-30"},{"id":16,"name":"Locomotive ID","value":"4026"},{"id":130,"name":"Impact","value":""},{"id":150,"name":"Time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571</v>
      </c>
      <c r="B129" s="7">
        <v>4038</v>
      </c>
      <c r="C129" s="22" t="s">
        <v>284</v>
      </c>
      <c r="D129" s="22" t="s">
        <v>254</v>
      </c>
      <c r="E129" s="13">
        <v>42673.756076388891</v>
      </c>
      <c r="F129" s="13">
        <v>42673.761099537034</v>
      </c>
      <c r="G129" s="7">
        <v>1</v>
      </c>
      <c r="H129" s="13" t="s">
        <v>273</v>
      </c>
      <c r="I129" s="13">
        <v>42673.784803240742</v>
      </c>
      <c r="J129" s="7">
        <v>0</v>
      </c>
      <c r="K129" s="112" t="str">
        <f t="shared" si="35"/>
        <v>4037/4038</v>
      </c>
      <c r="L129" s="22" t="str">
        <f>VLOOKUP(A129,'Trips&amp;Operators'!$C$1:$E$10000,3,FALSE)</f>
        <v>NEWELL</v>
      </c>
      <c r="M129" s="6">
        <f t="shared" si="36"/>
        <v>2.3703703707724344E-2</v>
      </c>
      <c r="N129" s="7">
        <f t="shared" si="37"/>
        <v>34.133333339123055</v>
      </c>
      <c r="O129" s="7"/>
      <c r="P129" s="7"/>
      <c r="Q129" s="23"/>
      <c r="R129" s="23"/>
      <c r="S129" s="35">
        <f t="shared" si="38"/>
        <v>1</v>
      </c>
      <c r="T129" s="50" t="str">
        <f t="shared" si="3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17:08:45-0600',mode:absolute,to:'2016-10-30 19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41"/>
        <v>N</v>
      </c>
      <c r="X129" s="177">
        <f t="shared" si="42"/>
        <v>1</v>
      </c>
      <c r="Y129" s="67">
        <f t="shared" si="43"/>
        <v>4.6199999999999998E-2</v>
      </c>
      <c r="Z129" s="67">
        <f t="shared" si="44"/>
        <v>23.330100000000002</v>
      </c>
      <c r="AA129" s="67">
        <f t="shared" si="45"/>
        <v>23.283900000000003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6"/>
        <v>0217-30</v>
      </c>
      <c r="AE129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29" s="88" t="str">
        <f t="shared" si="48"/>
        <v>"C:\Program Files (x86)\AstroGrep\AstroGrep.exe" /spath="%USERPROFILE%\AppData\Local\Temp\OnboardLogs" /stypes="app*4038*20161031*" /stext=" 00:.+((SYSTEM_STATE.+slice.+state.+changed )|(ment ac)|(system.+state.+changed )|(\[timeout)|(PRM\|1\|D)|(kpr)|(kdp)|(\|lc)|(penalty))" /e /r /s</v>
      </c>
      <c r="AG129" s="1" t="str">
        <f t="shared" si="49"/>
        <v>EC</v>
      </c>
      <c r="AH129" s="92" t="str">
        <f t="shared" si="50"/>
        <v>"%USERPROFILE%\Documents\GitHub\eaglep3\Utilities\RefineRTDCRunTimes.py" --tripid 217-30 --locoid 4038 --swversion DE.1.0.8.0 --startMP 204:462 --initTime 2016-10-30T18:08:45 --startdatetime 2016-10-30T18:15:59 --delay 1 --endMP 204:233301 --enddatetime 2016-10-30T18:50:07 --enforcementcount 0 &gt;&gt;C:\Users\stu\Documents\GitHub\eaglep3-reporting\EC\2016-10-30-refined-times.txt</v>
      </c>
      <c r="AI12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{"issue":{"subject":"","project_id":79,"tracker_id":40,"status_id":1,"priority_id":2,"assigned_to_id":23,"start_date":"2016-10-30","description":"","custom_fields":[{"id":1,"name":"Subdivision","value":"EC"},{"id":4,"name":"Milepost","value":"23.3301"},{"id":17,"name":"Train ID","value":"217-30"},{"id":16,"name":"Locomotive ID","value":"4038"},{"id":130,"name":"Impact","value":""},{"id":150,"name":"Time of Event (Mountain Time)","value":"18:50:07"},{"id":151,"name":"Denver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581</v>
      </c>
      <c r="B130" s="7">
        <v>4037</v>
      </c>
      <c r="C130" s="22" t="s">
        <v>284</v>
      </c>
      <c r="D130" s="22" t="s">
        <v>276</v>
      </c>
      <c r="E130" s="13">
        <v>42673.789768518516</v>
      </c>
      <c r="F130" s="13">
        <v>42673.799479166664</v>
      </c>
      <c r="G130" s="7">
        <v>1</v>
      </c>
      <c r="H130" s="13" t="s">
        <v>292</v>
      </c>
      <c r="I130" s="13">
        <v>42673.825543981482</v>
      </c>
      <c r="J130" s="7">
        <v>0</v>
      </c>
      <c r="K130" s="112" t="str">
        <f t="shared" si="35"/>
        <v>4037/4038</v>
      </c>
      <c r="L130" s="22" t="str">
        <f>VLOOKUP(A130,'Trips&amp;Operators'!$C$1:$E$10000,3,FALSE)</f>
        <v>NEWELL</v>
      </c>
      <c r="M130" s="6">
        <f t="shared" si="36"/>
        <v>2.6064814817800652E-2</v>
      </c>
      <c r="N130" s="7">
        <f t="shared" si="37"/>
        <v>37.533333337632939</v>
      </c>
      <c r="O130" s="7"/>
      <c r="P130" s="7"/>
      <c r="Q130" s="23"/>
      <c r="R130" s="23"/>
      <c r="S130" s="35">
        <f t="shared" si="38"/>
        <v>1</v>
      </c>
      <c r="T130" s="50" t="str">
        <f t="shared" si="3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17:57:16-0600',mode:absolute,to:'2016-10-30 20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41"/>
        <v>N</v>
      </c>
      <c r="X130" s="177">
        <f t="shared" si="42"/>
        <v>1</v>
      </c>
      <c r="Y130" s="67">
        <f t="shared" si="43"/>
        <v>23.297799999999999</v>
      </c>
      <c r="Z130" s="67">
        <f t="shared" si="44"/>
        <v>1.3899999999999999E-2</v>
      </c>
      <c r="AA130" s="67">
        <f t="shared" si="45"/>
        <v>23.283899999999999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6"/>
        <v>0218-30</v>
      </c>
      <c r="AE130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30" s="88" t="str">
        <f t="shared" si="48"/>
        <v>"C:\Program Files (x86)\AstroGrep\AstroGrep.exe" /spath="%USERPROFILE%\AppData\Local\Temp\OnboardLogs" /stypes="app*4037*20161031*" /stext=" 01:.+((SYSTEM_STATE.+slice.+state.+changed )|(ment ac)|(system.+state.+changed )|(\[timeout)|(PRM\|1\|D)|(kpr)|(kdp)|(\|lc)|(penalty))" /e /r /s</v>
      </c>
      <c r="AG130" s="1" t="str">
        <f t="shared" si="49"/>
        <v>EC</v>
      </c>
      <c r="AH130" s="92" t="str">
        <f t="shared" si="50"/>
        <v>"%USERPROFILE%\Documents\GitHub\eaglep3\Utilities\RefineRTDCRunTimes.py" --tripid 218-30 --locoid 4037 --swversion DE.1.0.8.0 --startMP 204:232978 --initTime 2016-10-30T18:57:16 --startdatetime 2016-10-30T19:11:15 --delay 1 --endMP 204:139 --enddatetime 2016-10-30T19:48:47 --enforcementcount 0 &gt;&gt;C:\Users\stu\Documents\GitHub\eaglep3-reporting\EC\2016-10-30-refined-times.txt</v>
      </c>
      <c r="AI13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{"issue":{"subject":"","project_id":79,"tracker_id":40,"status_id":1,"priority_id":2,"assigned_to_id":23,"start_date":"2016-10-30","description":"","custom_fields":[{"id":1,"name":"Subdivision","value":"EC"},{"id":4,"name":"Milepost","value":"0.0139"},{"id":17,"name":"Train ID","value":"218-30"},{"id":16,"name":"Locomotive ID","value":"4037"},{"id":130,"name":"Impact","value":""},{"id":150,"name":"Time of Event (Mountain Time)","value":"19:48:47"},{"id":151,"name":"Denver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574</v>
      </c>
      <c r="B131" s="7">
        <v>4027</v>
      </c>
      <c r="C131" s="22" t="s">
        <v>284</v>
      </c>
      <c r="D131" s="22" t="s">
        <v>219</v>
      </c>
      <c r="E131" s="13">
        <v>42673.770358796297</v>
      </c>
      <c r="F131" s="13">
        <v>42673.771331018521</v>
      </c>
      <c r="G131" s="7">
        <v>1</v>
      </c>
      <c r="H131" s="13" t="s">
        <v>293</v>
      </c>
      <c r="I131" s="13">
        <v>42673.796666666669</v>
      </c>
      <c r="J131" s="7">
        <v>0</v>
      </c>
      <c r="K131" s="112" t="str">
        <f t="shared" si="35"/>
        <v>4027/4028</v>
      </c>
      <c r="L131" s="22" t="str">
        <f>VLOOKUP(A131,'Trips&amp;Operators'!$C$1:$E$10000,3,FALSE)</f>
        <v>CHANDLER</v>
      </c>
      <c r="M131" s="6">
        <f t="shared" si="36"/>
        <v>2.5335648148029577E-2</v>
      </c>
      <c r="N131" s="7">
        <f t="shared" si="37"/>
        <v>36.483333333162591</v>
      </c>
      <c r="O131" s="7"/>
      <c r="P131" s="7"/>
      <c r="Q131" s="23"/>
      <c r="R131" s="23"/>
      <c r="S131" s="35">
        <f t="shared" si="38"/>
        <v>1</v>
      </c>
      <c r="T131" s="50" t="str">
        <f t="shared" si="3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17:29:19-0600',mode:absolute,to:'2016-10-30 20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1" s="52" t="str">
        <f t="shared" si="41"/>
        <v>N</v>
      </c>
      <c r="X131" s="177">
        <f t="shared" si="42"/>
        <v>1</v>
      </c>
      <c r="Y131" s="67">
        <f t="shared" si="43"/>
        <v>4.5499999999999999E-2</v>
      </c>
      <c r="Z131" s="67">
        <f t="shared" si="44"/>
        <v>23.328700000000001</v>
      </c>
      <c r="AA131" s="67">
        <f t="shared" si="45"/>
        <v>23.283200000000001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6"/>
        <v>0219-30</v>
      </c>
      <c r="AE131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31" s="88" t="str">
        <f t="shared" si="48"/>
        <v>"C:\Program Files (x86)\AstroGrep\AstroGrep.exe" /spath="%USERPROFILE%\AppData\Local\Temp\OnboardLogs" /stypes="app*4027*20161031*" /stext=" 01:.+((SYSTEM_STATE.+slice.+state.+changed )|(ment ac)|(system.+state.+changed )|(\[timeout)|(PRM\|1\|D)|(kpr)|(kdp)|(\|lc)|(penalty))" /e /r /s</v>
      </c>
      <c r="AG131" s="1" t="str">
        <f t="shared" si="49"/>
        <v>EC</v>
      </c>
      <c r="AH131" s="92" t="str">
        <f t="shared" si="50"/>
        <v>"%USERPROFILE%\Documents\GitHub\eaglep3\Utilities\RefineRTDCRunTimes.py" --tripid 219-30 --locoid 4027 --swversion DE.1.0.8.0 --startMP 204:455 --initTime 2016-10-30T18:29:19 --startdatetime 2016-10-30T18:30:43 --delay 1 --endMP 204:233287 --enddatetime 2016-10-30T19:07:12 --enforcementcount 0 &gt;&gt;C:\Users\stu\Documents\GitHub\eaglep3-reporting\EC\2016-10-30-refined-times.txt</v>
      </c>
      <c r="AI131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{"issue":{"subject":"","project_id":79,"tracker_id":40,"status_id":1,"priority_id":2,"assigned_to_id":23,"start_date":"2016-10-30","description":"","custom_fields":[{"id":1,"name":"Subdivision","value":"EC"},{"id":4,"name":"Milepost","value":"23.3287"},{"id":17,"name":"Train ID","value":"219-30"},{"id":16,"name":"Locomotive ID","value":"4027"},{"id":130,"name":"Impact","value":""},{"id":150,"name":"Time of Event (Mountain Time)","value":"19:07:12"},{"id":151,"name":"Denver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424</v>
      </c>
      <c r="B132" s="7">
        <v>4028</v>
      </c>
      <c r="C132" s="22" t="s">
        <v>284</v>
      </c>
      <c r="D132" s="22" t="s">
        <v>373</v>
      </c>
      <c r="E132" s="13">
        <v>42673.809016203704</v>
      </c>
      <c r="F132" s="13">
        <v>42673.810266203705</v>
      </c>
      <c r="G132" s="7">
        <v>1</v>
      </c>
      <c r="H132" s="13" t="s">
        <v>279</v>
      </c>
      <c r="I132" s="13">
        <v>42673.837442129632</v>
      </c>
      <c r="J132" s="7">
        <v>0</v>
      </c>
      <c r="K132" s="112" t="str">
        <f t="shared" si="35"/>
        <v>4027/4028</v>
      </c>
      <c r="L132" s="22" t="str">
        <f>VLOOKUP(A132,'Trips&amp;Operators'!$C$1:$E$10000,3,FALSE)</f>
        <v>CHANDLER</v>
      </c>
      <c r="M132" s="6">
        <f t="shared" si="36"/>
        <v>2.7175925926712807E-2</v>
      </c>
      <c r="N132" s="7">
        <f t="shared" si="37"/>
        <v>39.133333334466442</v>
      </c>
      <c r="O132" s="7"/>
      <c r="P132" s="7"/>
      <c r="Q132" s="23"/>
      <c r="R132" s="23"/>
      <c r="S132" s="35">
        <f t="shared" si="38"/>
        <v>1</v>
      </c>
      <c r="T132" s="50" t="str">
        <f t="shared" si="3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18:24:59-0600',mode:absolute,to:'2016-10-30 21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2" s="52" t="str">
        <f t="shared" si="41"/>
        <v>N</v>
      </c>
      <c r="X132" s="177">
        <f t="shared" si="42"/>
        <v>1</v>
      </c>
      <c r="Y132" s="67">
        <f t="shared" si="43"/>
        <v>23.297599999999999</v>
      </c>
      <c r="Z132" s="67">
        <f t="shared" si="44"/>
        <v>1.6500000000000001E-2</v>
      </c>
      <c r="AA132" s="67">
        <f t="shared" si="45"/>
        <v>23.281099999999999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6"/>
        <v>0220-30</v>
      </c>
      <c r="AE132" s="91" t="str">
        <f t="shared" si="47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32" s="88" t="str">
        <f t="shared" si="48"/>
        <v>"C:\Program Files (x86)\AstroGrep\AstroGrep.exe" /spath="%USERPROFILE%\AppData\Local\Temp\OnboardLogs" /stypes="app*4028*20161031*" /stext=" 02:.+((SYSTEM_STATE.+slice.+state.+changed )|(ment ac)|(system.+state.+changed )|(\[timeout)|(PRM\|1\|D)|(kpr)|(kdp)|(\|lc)|(penalty))" /e /r /s</v>
      </c>
      <c r="AG132" s="1" t="str">
        <f t="shared" si="49"/>
        <v>EC</v>
      </c>
      <c r="AH132" s="92" t="str">
        <f t="shared" si="50"/>
        <v>"%USERPROFILE%\Documents\GitHub\eaglep3\Utilities\RefineRTDCRunTimes.py" --tripid 220-30 --locoid 4028 --swversion DE.1.0.8.0 --startMP 204:232976 --initTime 2016-10-30T19:24:59 --startdatetime 2016-10-30T19:26:47 --delay 1 --endMP 204:165 --enddatetime 2016-10-30T20:05:55 --enforcementcount 0 &gt;&gt;C:\Users\stu\Documents\GitHub\eaglep3-reporting\EC\2016-10-30-refined-times.txt</v>
      </c>
      <c r="AI132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{"issue":{"subject":"","project_id":79,"tracker_id":40,"status_id":1,"priority_id":2,"assigned_to_id":23,"start_date":"2016-10-30","description":"","custom_fields":[{"id":1,"name":"Subdivision","value":"EC"},{"id":4,"name":"Milepost","value":"0.0165"},{"id":17,"name":"Train ID","value":"220-30"},{"id":16,"name":"Locomotive ID","value":"4028"},{"id":130,"name":"Impact","value":""},{"id":150,"name":"Time of Event (Mountain Time)","value":"20:05:55"},{"id":151,"name":"Denver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580</v>
      </c>
      <c r="B133" s="7">
        <v>4053</v>
      </c>
      <c r="C133" s="22" t="s">
        <v>284</v>
      </c>
      <c r="D133" s="22" t="s">
        <v>216</v>
      </c>
      <c r="E133" s="13">
        <v>42673.786597222221</v>
      </c>
      <c r="F133" s="13">
        <v>42673.791863425926</v>
      </c>
      <c r="G133" s="7">
        <v>1</v>
      </c>
      <c r="H133" s="13" t="s">
        <v>656</v>
      </c>
      <c r="I133" s="13">
        <v>42673.817314814813</v>
      </c>
      <c r="J133" s="7">
        <v>0</v>
      </c>
      <c r="K133" s="112" t="str">
        <f t="shared" si="35"/>
        <v>4053/4054</v>
      </c>
      <c r="L133" s="22" t="str">
        <f>VLOOKUP(A133,'Trips&amp;Operators'!$C$1:$E$10000,3,FALSE)</f>
        <v>LEVERE</v>
      </c>
      <c r="M133" s="6">
        <f t="shared" si="36"/>
        <v>2.545138888672227E-2</v>
      </c>
      <c r="N133" s="7">
        <f t="shared" si="37"/>
        <v>36.649999996880069</v>
      </c>
      <c r="O133" s="7"/>
      <c r="P133" s="7"/>
      <c r="Q133" s="23"/>
      <c r="R133" s="23"/>
      <c r="S133" s="35">
        <f t="shared" si="38"/>
        <v>1</v>
      </c>
      <c r="T133" s="50" t="str">
        <f t="shared" si="3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17:52:42-0600',mode:absolute,to:'2016-10-30 20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3" s="52" t="str">
        <f t="shared" si="41"/>
        <v>N</v>
      </c>
      <c r="X133" s="177">
        <f t="shared" si="42"/>
        <v>1</v>
      </c>
      <c r="Y133" s="67">
        <f t="shared" si="43"/>
        <v>4.4699999999999997E-2</v>
      </c>
      <c r="Z133" s="67">
        <f t="shared" si="44"/>
        <v>23.3306</v>
      </c>
      <c r="AA133" s="67">
        <f t="shared" si="45"/>
        <v>23.285900000000002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6"/>
        <v>0221-30</v>
      </c>
      <c r="AE133" s="91" t="str">
        <f t="shared" si="47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33" s="88" t="str">
        <f t="shared" si="48"/>
        <v>"C:\Program Files (x86)\AstroGrep\AstroGrep.exe" /spath="%USERPROFILE%\AppData\Local\Temp\OnboardLogs" /stypes="app*4053*20161031*" /stext=" 01:.+((SYSTEM_STATE.+slice.+state.+changed )|(ment ac)|(system.+state.+changed )|(\[timeout)|(PRM\|1\|D)|(kpr)|(kdp)|(\|lc)|(penalty))" /e /r /s</v>
      </c>
      <c r="AG133" s="1" t="str">
        <f t="shared" si="49"/>
        <v>EC</v>
      </c>
      <c r="AH133" s="92" t="str">
        <f t="shared" si="50"/>
        <v>"%USERPROFILE%\Documents\GitHub\eaglep3\Utilities\RefineRTDCRunTimes.py" --tripid 221-30 --locoid 4053 --swversion DE.1.0.8.0 --startMP 204:447 --initTime 2016-10-30T18:52:42 --startdatetime 2016-10-30T19:00:17 --delay 1 --endMP 204:233306 --enddatetime 2016-10-30T19:36:56 --enforcementcount 0 &gt;&gt;C:\Users\stu\Documents\GitHub\eaglep3-reporting\EC\2016-10-30-refined-times.txt</v>
      </c>
      <c r="AI133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{"issue":{"subject":"","project_id":79,"tracker_id":40,"status_id":1,"priority_id":2,"assigned_to_id":23,"start_date":"2016-10-30","description":"","custom_fields":[{"id":1,"name":"Subdivision","value":"EC"},{"id":4,"name":"Milepost","value":"23.3306"},{"id":17,"name":"Train ID","value":"221-30"},{"id":16,"name":"Locomotive ID","value":"4053"},{"id":130,"name":"Impact","value":""},{"id":150,"name":"Time of Event (Mountain Time)","value":"19:36:56"},{"id":151,"name":"Denver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588</v>
      </c>
      <c r="B134" s="7">
        <v>4054</v>
      </c>
      <c r="C134" s="22" t="s">
        <v>284</v>
      </c>
      <c r="D134" s="22" t="s">
        <v>360</v>
      </c>
      <c r="E134" s="13">
        <v>42673.823194444441</v>
      </c>
      <c r="F134" s="13">
        <v>42673.830810185187</v>
      </c>
      <c r="G134" s="7">
        <v>1</v>
      </c>
      <c r="H134" s="13" t="s">
        <v>269</v>
      </c>
      <c r="I134" s="13">
        <v>42673.858067129629</v>
      </c>
      <c r="J134" s="7">
        <v>0</v>
      </c>
      <c r="K134" s="112" t="str">
        <f t="shared" si="35"/>
        <v>4053/4054</v>
      </c>
      <c r="L134" s="22" t="str">
        <f>VLOOKUP(A134,'Trips&amp;Operators'!$C$1:$E$10000,3,FALSE)</f>
        <v>LEVERE</v>
      </c>
      <c r="M134" s="6">
        <f t="shared" si="36"/>
        <v>2.7256944442342501E-2</v>
      </c>
      <c r="N134" s="7">
        <f t="shared" si="37"/>
        <v>39.249999996973202</v>
      </c>
      <c r="O134" s="7"/>
      <c r="P134" s="7"/>
      <c r="Q134" s="23"/>
      <c r="R134" s="23"/>
      <c r="S134" s="35">
        <f t="shared" si="38"/>
        <v>1</v>
      </c>
      <c r="T134" s="50" t="str">
        <f t="shared" si="3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18:45:24-0600',mode:absolute,to:'2016-10-30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4" s="52" t="str">
        <f t="shared" si="41"/>
        <v>N</v>
      </c>
      <c r="X134" s="177">
        <f t="shared" si="42"/>
        <v>1</v>
      </c>
      <c r="Y134" s="67">
        <f t="shared" si="43"/>
        <v>23.3004</v>
      </c>
      <c r="Z134" s="67">
        <f t="shared" si="44"/>
        <v>1.61E-2</v>
      </c>
      <c r="AA134" s="67">
        <f t="shared" si="45"/>
        <v>23.284299999999998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6"/>
        <v>0222-30</v>
      </c>
      <c r="AE134" s="91" t="str">
        <f t="shared" si="47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34" s="88" t="str">
        <f t="shared" si="48"/>
        <v>"C:\Program Files (x86)\AstroGrep\AstroGrep.exe" /spath="%USERPROFILE%\AppData\Local\Temp\OnboardLogs" /stypes="app*4054*20161031*" /stext=" 02:.+((SYSTEM_STATE.+slice.+state.+changed )|(ment ac)|(system.+state.+changed )|(\[timeout)|(PRM\|1\|D)|(kpr)|(kdp)|(\|lc)|(penalty))" /e /r /s</v>
      </c>
      <c r="AG134" s="1" t="str">
        <f t="shared" si="49"/>
        <v>EC</v>
      </c>
      <c r="AH134" s="92" t="str">
        <f t="shared" si="50"/>
        <v>"%USERPROFILE%\Documents\GitHub\eaglep3\Utilities\RefineRTDCRunTimes.py" --tripid 222-30 --locoid 4054 --swversion DE.1.0.8.0 --startMP 204:233004 --initTime 2016-10-30T19:45:24 --startdatetime 2016-10-30T19:56:22 --delay 1 --endMP 204:161 --enddatetime 2016-10-30T20:35:37 --enforcementcount 0 &gt;&gt;C:\Users\stu\Documents\GitHub\eaglep3-reporting\EC\2016-10-30-refined-times.txt</v>
      </c>
      <c r="AI134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ID","value":"222-30"},{"id":16,"name":"Locomotive ID","value":"4054"},{"id":130,"name":"Impact","value":""},{"id":150,"name":"Time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585</v>
      </c>
      <c r="B135" s="7">
        <v>4029</v>
      </c>
      <c r="C135" s="22" t="s">
        <v>284</v>
      </c>
      <c r="D135" s="22" t="s">
        <v>217</v>
      </c>
      <c r="E135" s="13">
        <v>42673.80672453704</v>
      </c>
      <c r="F135" s="13">
        <v>42673.812650462962</v>
      </c>
      <c r="G135" s="7">
        <v>1</v>
      </c>
      <c r="H135" s="13" t="s">
        <v>714</v>
      </c>
      <c r="I135" s="13">
        <v>42673.837789351855</v>
      </c>
      <c r="J135" s="7">
        <v>0</v>
      </c>
      <c r="K135" s="112" t="str">
        <f t="shared" si="35"/>
        <v>4029/4030</v>
      </c>
      <c r="L135" s="22" t="str">
        <f>VLOOKUP(A135,'Trips&amp;Operators'!$C$1:$E$10000,3,FALSE)</f>
        <v>CRAYTON</v>
      </c>
      <c r="M135" s="6">
        <f t="shared" si="36"/>
        <v>2.513888889370719E-2</v>
      </c>
      <c r="N135" s="7">
        <f t="shared" si="37"/>
        <v>36.200000006938353</v>
      </c>
      <c r="O135" s="7"/>
      <c r="P135" s="7"/>
      <c r="Q135" s="23"/>
      <c r="R135" s="23"/>
      <c r="S135" s="35">
        <f t="shared" si="38"/>
        <v>1</v>
      </c>
      <c r="T135" s="50" t="str">
        <f t="shared" si="3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18:21:41-0600',mode:absolute,to:'2016-10-30 21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5" s="52" t="str">
        <f t="shared" si="41"/>
        <v>N</v>
      </c>
      <c r="X135" s="177">
        <f t="shared" si="42"/>
        <v>1</v>
      </c>
      <c r="Y135" s="67">
        <f t="shared" si="43"/>
        <v>4.53E-2</v>
      </c>
      <c r="Z135" s="67">
        <f t="shared" si="44"/>
        <v>23.333200000000001</v>
      </c>
      <c r="AA135" s="67">
        <f t="shared" si="45"/>
        <v>23.2879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6"/>
        <v>0223-30</v>
      </c>
      <c r="AE135" s="91" t="str">
        <f t="shared" si="47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35" s="88" t="str">
        <f t="shared" si="48"/>
        <v>"C:\Program Files (x86)\AstroGrep\AstroGrep.exe" /spath="%USERPROFILE%\AppData\Local\Temp\OnboardLogs" /stypes="app*4029*20161031*" /stext=" 02:.+((SYSTEM_STATE.+slice.+state.+changed )|(ment ac)|(system.+state.+changed )|(\[timeout)|(PRM\|1\|D)|(kpr)|(kdp)|(\|lc)|(penalty))" /e /r /s</v>
      </c>
      <c r="AG135" s="1" t="str">
        <f t="shared" si="49"/>
        <v>EC</v>
      </c>
      <c r="AH135" s="92" t="str">
        <f t="shared" si="50"/>
        <v>"%USERPROFILE%\Documents\GitHub\eaglep3\Utilities\RefineRTDCRunTimes.py" --tripid 223-30 --locoid 4029 --swversion DE.1.0.8.0 --startMP 204:453 --initTime 2016-10-30T19:21:41 --startdatetime 2016-10-30T19:30:13 --delay 1 --endMP 204:233332 --enddatetime 2016-10-30T20:06:25 --enforcementcount 0 &gt;&gt;C:\Users\stu\Documents\GitHub\eaglep3-reporting\EC\2016-10-30-refined-times.txt</v>
      </c>
      <c r="AI135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{"issue":{"subject":"","project_id":79,"tracker_id":40,"status_id":1,"priority_id":2,"assigned_to_id":23,"start_date":"2016-10-30","description":"","custom_fields":[{"id":1,"name":"Subdivision","value":"EC"},{"id":4,"name":"Milepost","value":"23.3332"},{"id":17,"name":"Train ID","value":"223-30"},{"id":16,"name":"Locomotive ID","value":"4029"},{"id":130,"name":"Impact","value":""},{"id":150,"name":"Time of Event (Mountain Time)","value":"20:06:25"},{"id":151,"name":"Denver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591</v>
      </c>
      <c r="B136" s="7">
        <v>4030</v>
      </c>
      <c r="C136" s="22" t="s">
        <v>284</v>
      </c>
      <c r="D136" s="22" t="s">
        <v>259</v>
      </c>
      <c r="E136" s="13">
        <v>42673.845902777779</v>
      </c>
      <c r="F136" s="13">
        <v>42673.851539351854</v>
      </c>
      <c r="G136" s="7">
        <v>1</v>
      </c>
      <c r="H136" s="13" t="s">
        <v>176</v>
      </c>
      <c r="I136" s="13">
        <v>42673.877754629626</v>
      </c>
      <c r="J136" s="7">
        <v>0</v>
      </c>
      <c r="K136" s="112" t="str">
        <f t="shared" si="35"/>
        <v>4029/4030</v>
      </c>
      <c r="L136" s="22" t="str">
        <f>VLOOKUP(A136,'Trips&amp;Operators'!$C$1:$E$10000,3,FALSE)</f>
        <v>CRAYTON</v>
      </c>
      <c r="M136" s="6">
        <f t="shared" si="36"/>
        <v>2.6215277772280388E-2</v>
      </c>
      <c r="N136" s="7">
        <f t="shared" si="37"/>
        <v>37.749999992083758</v>
      </c>
      <c r="O136" s="7"/>
      <c r="P136" s="7"/>
      <c r="Q136" s="23"/>
      <c r="R136" s="23"/>
      <c r="S136" s="35">
        <f t="shared" si="38"/>
        <v>1</v>
      </c>
      <c r="T136" s="50" t="str">
        <f t="shared" si="3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19:18:06-0600',mode:absolute,to:'2016-10-30 22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6" s="52" t="str">
        <f t="shared" si="41"/>
        <v>N</v>
      </c>
      <c r="X136" s="177">
        <f t="shared" si="42"/>
        <v>1</v>
      </c>
      <c r="Y136" s="67">
        <f t="shared" si="43"/>
        <v>23.298500000000001</v>
      </c>
      <c r="Z136" s="67">
        <f t="shared" si="44"/>
        <v>1.52E-2</v>
      </c>
      <c r="AA136" s="67">
        <f t="shared" si="45"/>
        <v>23.283300000000001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6"/>
        <v>0224-30</v>
      </c>
      <c r="AE136" s="91" t="str">
        <f t="shared" si="47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36" s="88" t="str">
        <f t="shared" si="48"/>
        <v>"C:\Program Files (x86)\AstroGrep\AstroGrep.exe" /spath="%USERPROFILE%\AppData\Local\Temp\OnboardLogs" /stypes="app*4030*20161031*" /stext=" 03:.+((SYSTEM_STATE.+slice.+state.+changed )|(ment ac)|(system.+state.+changed )|(\[timeout)|(PRM\|1\|D)|(kpr)|(kdp)|(\|lc)|(penalty))" /e /r /s</v>
      </c>
      <c r="AG136" s="1" t="str">
        <f t="shared" si="49"/>
        <v>EC</v>
      </c>
      <c r="AH136" s="92" t="str">
        <f t="shared" si="50"/>
        <v>"%USERPROFILE%\Documents\GitHub\eaglep3\Utilities\RefineRTDCRunTimes.py" --tripid 224-30 --locoid 4030 --swversion DE.1.0.8.0 --startMP 204:232985 --initTime 2016-10-30T20:18:06 --startdatetime 2016-10-30T20:26:13 --delay 1 --endMP 204:152 --enddatetime 2016-10-30T21:03:58 --enforcementcount 0 &gt;&gt;C:\Users\stu\Documents\GitHub\eaglep3-reporting\EC\2016-10-30-refined-times.txt</v>
      </c>
      <c r="AI136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ID","value":"224-30"},{"id":16,"name":"Locomotive ID","value":"4030"},{"id":130,"name":"Impact","value":""},{"id":150,"name":"Time of Event (Mountain Time)","value":"21:03:58"},{"id":151,"name":"Denver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589</v>
      </c>
      <c r="B137" s="7">
        <v>4038</v>
      </c>
      <c r="C137" s="22" t="s">
        <v>284</v>
      </c>
      <c r="D137" s="22" t="s">
        <v>294</v>
      </c>
      <c r="E137" s="13">
        <v>42673.82712962963</v>
      </c>
      <c r="F137" s="13">
        <v>42673.833506944444</v>
      </c>
      <c r="G137" s="7">
        <v>1</v>
      </c>
      <c r="H137" s="13" t="s">
        <v>281</v>
      </c>
      <c r="I137" s="13">
        <v>42673.857754629629</v>
      </c>
      <c r="J137" s="7">
        <v>0</v>
      </c>
      <c r="K137" s="112" t="str">
        <f t="shared" si="35"/>
        <v>4037/4038</v>
      </c>
      <c r="L137" s="22" t="str">
        <f>VLOOKUP(A137,'Trips&amp;Operators'!$C$1:$E$10000,3,FALSE)</f>
        <v>NEWELL</v>
      </c>
      <c r="M137" s="6">
        <f t="shared" si="36"/>
        <v>2.4247685185400769E-2</v>
      </c>
      <c r="N137" s="7">
        <f t="shared" si="37"/>
        <v>34.916666666977108</v>
      </c>
      <c r="O137" s="7"/>
      <c r="P137" s="7"/>
      <c r="Q137" s="23"/>
      <c r="R137" s="23"/>
      <c r="S137" s="35">
        <f t="shared" si="38"/>
        <v>1</v>
      </c>
      <c r="T137" s="50" t="str">
        <f t="shared" si="3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18:51:04-0600',mode:absolute,to:'2016-10-30 21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7" s="52" t="str">
        <f t="shared" si="41"/>
        <v>N</v>
      </c>
      <c r="X137" s="177">
        <f t="shared" si="42"/>
        <v>1</v>
      </c>
      <c r="Y137" s="67">
        <f t="shared" si="43"/>
        <v>4.8000000000000001E-2</v>
      </c>
      <c r="Z137" s="67">
        <f t="shared" si="44"/>
        <v>23.331399999999999</v>
      </c>
      <c r="AA137" s="67">
        <f t="shared" si="45"/>
        <v>23.2834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6"/>
        <v>0225-30</v>
      </c>
      <c r="AE137" s="91" t="str">
        <f t="shared" si="47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37" s="88" t="str">
        <f t="shared" si="48"/>
        <v>"C:\Program Files (x86)\AstroGrep\AstroGrep.exe" /spath="%USERPROFILE%\AppData\Local\Temp\OnboardLogs" /stypes="app*4038*20161031*" /stext=" 02:.+((SYSTEM_STATE.+slice.+state.+changed )|(ment ac)|(system.+state.+changed )|(\[timeout)|(PRM\|1\|D)|(kpr)|(kdp)|(\|lc)|(penalty))" /e /r /s</v>
      </c>
      <c r="AG137" s="1" t="str">
        <f t="shared" si="49"/>
        <v>EC</v>
      </c>
      <c r="AH137" s="92" t="str">
        <f t="shared" si="50"/>
        <v>"%USERPROFILE%\Documents\GitHub\eaglep3\Utilities\RefineRTDCRunTimes.py" --tripid 225-30 --locoid 4038 --swversion DE.1.0.8.0 --startMP 204:480 --initTime 2016-10-30T19:51:04 --startdatetime 2016-10-30T20:00:15 --delay 1 --endMP 204:233314 --enddatetime 2016-10-30T20:35:10 --enforcementcount 0 &gt;&gt;C:\Users\stu\Documents\GitHub\eaglep3-reporting\EC\2016-10-30-refined-times.txt</v>
      </c>
      <c r="AI137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{"issue":{"subject":"","project_id":79,"tracker_id":40,"status_id":1,"priority_id":2,"assigned_to_id":23,"start_date":"2016-10-30","description":"","custom_fields":[{"id":1,"name":"Subdivision","value":"EC"},{"id":4,"name":"Milepost","value":"23.3314"},{"id":17,"name":"Train ID","value":"225-30"},{"id":16,"name":"Locomotive ID","value":"4038"},{"id":130,"name":"Impact","value":""},{"id":150,"name":"Time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597</v>
      </c>
      <c r="B138" s="7">
        <v>4037</v>
      </c>
      <c r="C138" s="22" t="s">
        <v>284</v>
      </c>
      <c r="D138" s="22" t="s">
        <v>238</v>
      </c>
      <c r="E138" s="13">
        <v>42673.859027777777</v>
      </c>
      <c r="F138" s="13">
        <v>42673.872442129628</v>
      </c>
      <c r="G138" s="7">
        <v>1</v>
      </c>
      <c r="H138" s="13" t="s">
        <v>212</v>
      </c>
      <c r="I138" s="13">
        <v>42673.900277777779</v>
      </c>
      <c r="J138" s="7">
        <v>0</v>
      </c>
      <c r="K138" s="112" t="str">
        <f t="shared" si="35"/>
        <v>4037/4038</v>
      </c>
      <c r="L138" s="22" t="str">
        <f>VLOOKUP(A138,'Trips&amp;Operators'!$C$1:$E$10000,3,FALSE)</f>
        <v>NEWELL</v>
      </c>
      <c r="M138" s="6">
        <f t="shared" si="36"/>
        <v>2.7835648150357883E-2</v>
      </c>
      <c r="N138" s="7">
        <f t="shared" si="37"/>
        <v>40.083333336515352</v>
      </c>
      <c r="O138" s="7"/>
      <c r="P138" s="7"/>
      <c r="Q138" s="23"/>
      <c r="R138" s="23"/>
      <c r="S138" s="35">
        <f t="shared" si="38"/>
        <v>1</v>
      </c>
      <c r="T138" s="50" t="str">
        <f t="shared" si="3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19:37:00-0600',mode:absolute,to:'2016-10-30 22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8" s="52" t="str">
        <f t="shared" si="41"/>
        <v>N</v>
      </c>
      <c r="X138" s="177">
        <f t="shared" si="42"/>
        <v>1</v>
      </c>
      <c r="Y138" s="67">
        <f t="shared" si="43"/>
        <v>23.299399999999999</v>
      </c>
      <c r="Z138" s="67">
        <f t="shared" si="44"/>
        <v>1.49E-2</v>
      </c>
      <c r="AA138" s="67">
        <f t="shared" si="45"/>
        <v>23.284499999999998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6"/>
        <v>0226-30</v>
      </c>
      <c r="AE138" s="91" t="str">
        <f t="shared" si="47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38" s="88" t="str">
        <f t="shared" si="48"/>
        <v>"C:\Program Files (x86)\AstroGrep\AstroGrep.exe" /spath="%USERPROFILE%\AppData\Local\Temp\OnboardLogs" /stypes="app*4037*20161031*" /stext=" 03:.+((SYSTEM_STATE.+slice.+state.+changed )|(ment ac)|(system.+state.+changed )|(\[timeout)|(PRM\|1\|D)|(kpr)|(kdp)|(\|lc)|(penalty))" /e /r /s</v>
      </c>
      <c r="AG138" s="1" t="str">
        <f t="shared" si="49"/>
        <v>EC</v>
      </c>
      <c r="AH138" s="92" t="str">
        <f t="shared" si="50"/>
        <v>"%USERPROFILE%\Documents\GitHub\eaglep3\Utilities\RefineRTDCRunTimes.py" --tripid 226-30 --locoid 4037 --swversion DE.1.0.8.0 --startMP 204:232994 --initTime 2016-10-30T20:37:00 --startdatetime 2016-10-30T20:56:19 --delay 1 --endMP 204:149 --enddatetime 2016-10-30T21:36:24 --enforcementcount 0 &gt;&gt;C:\Users\stu\Documents\GitHub\eaglep3-reporting\EC\2016-10-30-refined-times.txt</v>
      </c>
      <c r="AI138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{"issue":{"subject":"","project_id":79,"tracker_id":40,"status_id":1,"priority_id":2,"assigned_to_id":23,"start_date":"2016-10-30","description":"","custom_fields":[{"id":1,"name":"Subdivision","value":"EC"},{"id":4,"name":"Milepost","value":"0.0149"},{"id":17,"name":"Train ID","value":"226-30"},{"id":16,"name":"Locomotive ID","value":"4037"},{"id":130,"name":"Impact","value":""},{"id":150,"name":"Time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595</v>
      </c>
      <c r="B139" s="7">
        <v>4027</v>
      </c>
      <c r="C139" s="22" t="s">
        <v>284</v>
      </c>
      <c r="D139" s="22" t="s">
        <v>254</v>
      </c>
      <c r="E139" s="13">
        <v>42673.852870370371</v>
      </c>
      <c r="F139" s="13">
        <v>42673.854479166665</v>
      </c>
      <c r="G139" s="7">
        <v>1</v>
      </c>
      <c r="H139" s="13" t="s">
        <v>192</v>
      </c>
      <c r="I139" s="13">
        <v>42673.879201388889</v>
      </c>
      <c r="J139" s="7">
        <v>0</v>
      </c>
      <c r="K139" s="112" t="str">
        <f t="shared" si="35"/>
        <v>4027/4028</v>
      </c>
      <c r="L139" s="22" t="str">
        <f>VLOOKUP(A139,'Trips&amp;Operators'!$C$1:$E$10000,3,FALSE)</f>
        <v>CHANDLER</v>
      </c>
      <c r="M139" s="6">
        <f t="shared" si="36"/>
        <v>2.4722222224227153E-2</v>
      </c>
      <c r="N139" s="7">
        <f t="shared" si="37"/>
        <v>35.6000000028871</v>
      </c>
      <c r="O139" s="7"/>
      <c r="P139" s="7"/>
      <c r="Q139" s="23"/>
      <c r="R139" s="23"/>
      <c r="S139" s="35">
        <f t="shared" si="38"/>
        <v>1</v>
      </c>
      <c r="T139" s="50" t="str">
        <f t="shared" si="3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0"/>
        <v>https://search-rtdc-monitor-bjffxe2xuh6vdkpspy63sjmuny.us-east-1.es.amazonaws.com/_plugin/kibana/#/discover/Steve-Slow-Train-Analysis-(2080s-and-2083s)?_g=(refreshInterval:(display:Off,section:0,value:0),time:(from:'2016-10-30 19:28:08-0600',mode:absolute,to:'2016-10-30 22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9" s="52" t="str">
        <f t="shared" si="41"/>
        <v>N</v>
      </c>
      <c r="X139" s="177">
        <f t="shared" si="42"/>
        <v>1</v>
      </c>
      <c r="Y139" s="67">
        <f t="shared" si="43"/>
        <v>4.6199999999999998E-2</v>
      </c>
      <c r="Z139" s="67">
        <f t="shared" si="44"/>
        <v>23.329699999999999</v>
      </c>
      <c r="AA139" s="67">
        <f t="shared" si="45"/>
        <v>23.2835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6"/>
        <v>0227-30</v>
      </c>
      <c r="AE139" s="91" t="str">
        <f t="shared" si="47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39" s="88" t="str">
        <f t="shared" si="48"/>
        <v>"C:\Program Files (x86)\AstroGrep\AstroGrep.exe" /spath="%USERPROFILE%\AppData\Local\Temp\OnboardLogs" /stypes="app*4027*20161031*" /stext=" 03:.+((SYSTEM_STATE.+slice.+state.+changed )|(ment ac)|(system.+state.+changed )|(\[timeout)|(PRM\|1\|D)|(kpr)|(kdp)|(\|lc)|(penalty))" /e /r /s</v>
      </c>
      <c r="AG139" s="1" t="str">
        <f t="shared" si="49"/>
        <v>EC</v>
      </c>
      <c r="AH139" s="92" t="str">
        <f t="shared" si="50"/>
        <v>"%USERPROFILE%\Documents\GitHub\eaglep3\Utilities\RefineRTDCRunTimes.py" --tripid 227-30 --locoid 4027 --swversion DE.1.0.8.0 --startMP 204:462 --initTime 2016-10-30T20:28:08 --startdatetime 2016-10-30T20:30:27 --delay 1 --endMP 204:233297 --enddatetime 2016-10-30T21:06:03 --enforcementcount 0 &gt;&gt;C:\Users\stu\Documents\GitHub\eaglep3-reporting\EC\2016-10-30-refined-times.txt</v>
      </c>
      <c r="AI139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ID","value":"227-30"},{"id":16,"name":"Locomotive ID","value":"4027"},{"id":130,"name":"Impact","value":""},{"id":150,"name":"Time of Event (Mountain Time)","value":"21:06:03"},{"id":151,"name":"Denver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601</v>
      </c>
      <c r="B140" s="7">
        <v>4028</v>
      </c>
      <c r="C140" s="22" t="s">
        <v>284</v>
      </c>
      <c r="D140" s="22" t="s">
        <v>274</v>
      </c>
      <c r="E140" s="13">
        <v>42673.892083333332</v>
      </c>
      <c r="F140" s="13">
        <v>42673.893680555557</v>
      </c>
      <c r="G140" s="7">
        <v>1</v>
      </c>
      <c r="H140" s="13" t="s">
        <v>366</v>
      </c>
      <c r="I140" s="13">
        <v>42673.922546296293</v>
      </c>
      <c r="J140" s="7">
        <v>0</v>
      </c>
      <c r="K140" s="112" t="str">
        <f t="shared" ref="K140:K201" si="67">IF(ISEVEN(B140),(B140-1)&amp;"/"&amp;B140,B140&amp;"/"&amp;(B140+1))</f>
        <v>4027/4028</v>
      </c>
      <c r="L140" s="22" t="str">
        <f>VLOOKUP(A140,'Trips&amp;Operators'!$C$1:$E$10000,3,FALSE)</f>
        <v>CHANDLER</v>
      </c>
      <c r="M140" s="6">
        <f t="shared" ref="M140:M201" si="68">I140-F140</f>
        <v>2.8865740736364387E-2</v>
      </c>
      <c r="N140" s="7">
        <f t="shared" ref="N140:P201" si="69">24*60*SUM($M140:$M140)</f>
        <v>41.566666660364717</v>
      </c>
      <c r="O140" s="7"/>
      <c r="P140" s="7"/>
      <c r="Q140" s="23"/>
      <c r="R140" s="23"/>
      <c r="S140" s="35">
        <f t="shared" ref="S140:S201" si="70">SUM(U140:U140)/IF(AG140="EC",12,1)</f>
        <v>1</v>
      </c>
      <c r="T140" s="50" t="str">
        <f t="shared" ref="T140:T201" si="71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201" si="72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https://search-rtdc-monitor-bjffxe2xuh6vdkpspy63sjmuny.us-east-1.es.amazonaws.com/_plugin/kibana/#/discover/Steve-Slow-Train-Analysis-(2080s-and-2083s)?_g=(refreshInterval:(display:Off,section:0,value:0),time:(from:'2016-10-30 20:24:36-0600',mode:absolute,to:'2016-10-30 23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0" s="52" t="str">
        <f t="shared" ref="W140:W201" si="73">IF(AA140&lt;IF(AG140="EC",23,5.65),"Y","N")</f>
        <v>N</v>
      </c>
      <c r="X140" s="177">
        <f t="shared" ref="X140:X201" si="74">VALUE(LEFT(AD140,4))-VALUE(LEFT(AD139,4))</f>
        <v>1</v>
      </c>
      <c r="Y140" s="67">
        <f t="shared" ref="Y140:Y201" si="75">RIGHT(D140,LEN(D140)-4)/10000</f>
        <v>23.296900000000001</v>
      </c>
      <c r="Z140" s="67">
        <f t="shared" ref="Z140:Z201" si="76">RIGHT(H140,LEN(H140)-4)/10000</f>
        <v>1.5800000000000002E-2</v>
      </c>
      <c r="AA140" s="67">
        <f t="shared" ref="AA140:AA201" si="77">ABS(Z140-Y140)</f>
        <v>23.281100000000002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201" si="78">IF(LEN(A140)=6,"0"&amp;A140,A140)</f>
        <v>0228-30</v>
      </c>
      <c r="AE140" s="91" t="str">
        <f t="shared" ref="AE140:AE201" si="79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40" s="88" t="str">
        <f t="shared" ref="AF140:AF201" si="80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/stypes="app*4028*20161031*" /stext=" 04:.+((SYSTEM_STATE.+slice.+state.+changed )|(ment ac)|(system.+state.+changed )|(\[timeout)|(PRM\|1\|D)|(kpr)|(kdp)|(\|lc)|(penalty))" /e /r /s</v>
      </c>
      <c r="AG140" s="1" t="str">
        <f t="shared" ref="AG140:AG201" si="81">IFERROR(IF(VALUE(LEFT(AD140,2))&lt;=2,"EC",IF(OR(VALUE(LEFT(AD140,2))=8,VALUE(LEFT(AD140,2))=18),"NW","Other")),"Other")</f>
        <v>EC</v>
      </c>
      <c r="AH140" s="92" t="str">
        <f t="shared" si="50"/>
        <v>"%USERPROFILE%\Documents\GitHub\eaglep3\Utilities\RefineRTDCRunTimes.py" --tripid 228-30 --locoid 4028 --swversion DE.1.0.8.0 --startMP 204:232969 --initTime 2016-10-30T21:24:36 --startdatetime 2016-10-30T21:26:54 --delay 1 --endMP 204:158 --enddatetime 2016-10-30T22:08:28 --enforcementcount 0 &gt;&gt;C:\Users\stu\Documents\GitHub\eaglep3-reporting\EC\2016-10-30-refined-times.txt</v>
      </c>
      <c r="AI140" s="122" t="str">
        <f t="shared" si="51"/>
        <v>echo {"issue":{"subject":"","project_id":79,"tracker_id":40,"status_id":1,"priority_id":2,"assigned_to_id":23,"start_date":"2016-10-30","description":"","custom_fields":[{"id":1,"name":"Subdivision","value":"EC"},{"id":4,"name":"Milepost","value":"0.0158"},{"id":17,"name":"Train ID","value":"228-30"},{"id":16,"name":"Locomotive ID","value":"4028"},{"id":130,"name":"Impact","value":""},{"id":150,"name":"Time of Event (Mountain Time)","value":"22:08:28"},{"id":151,"name":"Denver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598</v>
      </c>
      <c r="B141" s="7">
        <v>4053</v>
      </c>
      <c r="C141" s="22" t="s">
        <v>284</v>
      </c>
      <c r="D141" s="22" t="s">
        <v>327</v>
      </c>
      <c r="E141" s="13">
        <v>42673.868784722225</v>
      </c>
      <c r="F141" s="13">
        <v>42673.875196759262</v>
      </c>
      <c r="G141" s="7">
        <v>1</v>
      </c>
      <c r="H141" s="13" t="s">
        <v>354</v>
      </c>
      <c r="I141" s="13">
        <v>42673.900451388887</v>
      </c>
      <c r="J141" s="7">
        <v>0</v>
      </c>
      <c r="K141" s="112" t="str">
        <f t="shared" si="67"/>
        <v>4053/4054</v>
      </c>
      <c r="L141" s="22" t="str">
        <f>VLOOKUP(A141,'Trips&amp;Operators'!$C$1:$E$10000,3,FALSE)</f>
        <v>LEVERE</v>
      </c>
      <c r="M141" s="6">
        <f t="shared" si="68"/>
        <v>2.5254629625123926E-2</v>
      </c>
      <c r="N141" s="7">
        <f t="shared" si="69"/>
        <v>36.366666660178453</v>
      </c>
      <c r="O141" s="7"/>
      <c r="P141" s="7"/>
      <c r="Q141" s="23"/>
      <c r="R141" s="23"/>
      <c r="S141" s="35">
        <f t="shared" si="70"/>
        <v>1</v>
      </c>
      <c r="T141" s="50" t="str">
        <f t="shared" si="71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19:51:03-0600',mode:absolute,to:'2016-10-30 22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1" s="52" t="str">
        <f t="shared" si="73"/>
        <v>N</v>
      </c>
      <c r="X141" s="177">
        <f t="shared" si="74"/>
        <v>1</v>
      </c>
      <c r="Y141" s="67">
        <f t="shared" si="75"/>
        <v>4.7300000000000002E-2</v>
      </c>
      <c r="Z141" s="67">
        <f t="shared" si="76"/>
        <v>23.328600000000002</v>
      </c>
      <c r="AA141" s="67">
        <f t="shared" si="77"/>
        <v>23.281300000000002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78"/>
        <v>0229-30</v>
      </c>
      <c r="AE141" s="91" t="str">
        <f t="shared" si="79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41" s="88" t="str">
        <f t="shared" si="80"/>
        <v>"C:\Program Files (x86)\AstroGrep\AstroGrep.exe" /spath="%USERPROFILE%\AppData\Local\Temp\OnboardLogs" /stypes="app*4053*20161031*" /stext=" 03:.+((SYSTEM_STATE.+slice.+state.+changed )|(ment ac)|(system.+state.+changed )|(\[timeout)|(PRM\|1\|D)|(kpr)|(kdp)|(\|lc)|(penalty))" /e /r /s</v>
      </c>
      <c r="AG141" s="1" t="str">
        <f t="shared" si="81"/>
        <v>EC</v>
      </c>
      <c r="AH141" s="92" t="str">
        <f t="shared" ref="AH141:AH202" si="8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229-30 --locoid 4053 --swversion DE.1.0.8.0 --startMP 204:473 --initTime 2016-10-30T20:51:03 --startdatetime 2016-10-30T21:00:17 --delay 1 --endMP 204:233286 --enddatetime 2016-10-30T21:36:39 --enforcementcount 0 &gt;&gt;C:\Users\stu\Documents\GitHub\eaglep3-reporting\EC\2016-10-30-refined-times.txt</v>
      </c>
      <c r="AI141" s="122" t="str">
        <f t="shared" ref="AI141:AI202" si="8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{"issue":{"subject":"","project_id":79,"tracker_id":40,"status_id":1,"priority_id":2,"assigned_to_id":23,"start_date":"2016-10-30","description":"","custom_fields":[{"id":1,"name":"Subdivision","value":"EC"},{"id":4,"name":"Milepost","value":"23.3286"},{"id":17,"name":"Train ID","value":"229-30"},{"id":16,"name":"Locomotive ID","value":"4053"},{"id":130,"name":"Impact","value":""},{"id":150,"name":"Time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605</v>
      </c>
      <c r="B142" s="7">
        <v>4054</v>
      </c>
      <c r="C142" s="22" t="s">
        <v>284</v>
      </c>
      <c r="D142" s="22" t="s">
        <v>278</v>
      </c>
      <c r="E142" s="13">
        <v>42673.908055555556</v>
      </c>
      <c r="F142" s="13">
        <v>42673.914247685185</v>
      </c>
      <c r="G142" s="7">
        <v>1</v>
      </c>
      <c r="H142" s="13" t="s">
        <v>175</v>
      </c>
      <c r="I142" s="13">
        <v>42673.941574074073</v>
      </c>
      <c r="J142" s="7">
        <v>0</v>
      </c>
      <c r="K142" s="112" t="str">
        <f t="shared" si="67"/>
        <v>4053/4054</v>
      </c>
      <c r="L142" s="22" t="str">
        <f>VLOOKUP(A142,'Trips&amp;Operators'!$C$1:$E$10000,3,FALSE)</f>
        <v>LEVERE</v>
      </c>
      <c r="M142" s="6">
        <f t="shared" si="68"/>
        <v>2.73263888884685E-2</v>
      </c>
      <c r="N142" s="7">
        <f t="shared" si="69"/>
        <v>39.34999999939464</v>
      </c>
      <c r="O142" s="7"/>
      <c r="P142" s="7"/>
      <c r="Q142" s="23"/>
      <c r="R142" s="23"/>
      <c r="S142" s="35">
        <f t="shared" si="70"/>
        <v>1</v>
      </c>
      <c r="T142" s="50" t="str">
        <f t="shared" si="71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20:47:36-0600',mode:absolute,to:'2016-10-30 23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2" s="52" t="str">
        <f t="shared" si="73"/>
        <v>N</v>
      </c>
      <c r="X142" s="177">
        <f t="shared" si="74"/>
        <v>1</v>
      </c>
      <c r="Y142" s="67">
        <f t="shared" si="75"/>
        <v>23.2988</v>
      </c>
      <c r="Z142" s="67">
        <f t="shared" si="76"/>
        <v>1.47E-2</v>
      </c>
      <c r="AA142" s="67">
        <f t="shared" si="77"/>
        <v>23.284099999999999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78"/>
        <v>0230-30</v>
      </c>
      <c r="AE142" s="91" t="str">
        <f t="shared" si="79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42" s="88" t="str">
        <f t="shared" si="80"/>
        <v>"C:\Program Files (x86)\AstroGrep\AstroGrep.exe" /spath="%USERPROFILE%\AppData\Local\Temp\OnboardLogs" /stypes="app*4054*20161031*" /stext=" 04:.+((SYSTEM_STATE.+slice.+state.+changed )|(ment ac)|(system.+state.+changed )|(\[timeout)|(PRM\|1\|D)|(kpr)|(kdp)|(\|lc)|(penalty))" /e /r /s</v>
      </c>
      <c r="AG142" s="1" t="str">
        <f t="shared" si="81"/>
        <v>EC</v>
      </c>
      <c r="AH142" s="92" t="str">
        <f t="shared" si="82"/>
        <v>"%USERPROFILE%\Documents\GitHub\eaglep3\Utilities\RefineRTDCRunTimes.py" --tripid 230-30 --locoid 4054 --swversion DE.1.0.8.0 --startMP 204:232988 --initTime 2016-10-30T21:47:36 --startdatetime 2016-10-30T21:56:31 --delay 1 --endMP 204:147 --enddatetime 2016-10-30T22:35:52 --enforcementcount 0 &gt;&gt;C:\Users\stu\Documents\GitHub\eaglep3-reporting\EC\2016-10-30-refined-times.txt</v>
      </c>
      <c r="AI142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{"issue":{"subject":"","project_id":79,"tracker_id":40,"status_id":1,"priority_id":2,"assigned_to_id":23,"start_date":"2016-10-30","description":"","custom_fields":[{"id":1,"name":"Subdivision","value":"EC"},{"id":4,"name":"Milepost","value":"0.0147"},{"id":17,"name":"Train ID","value":"230-30"},{"id":16,"name":"Locomotive ID","value":"4054"},{"id":130,"name":"Impact","value":""},{"id":150,"name":"Time of Event (Mountain Time)","value":"22:35:52"},{"id":151,"name":"Denver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600</v>
      </c>
      <c r="B143" s="7">
        <v>4029</v>
      </c>
      <c r="C143" s="22" t="s">
        <v>284</v>
      </c>
      <c r="D143" s="22" t="s">
        <v>225</v>
      </c>
      <c r="E143" s="13">
        <v>42673.880439814813</v>
      </c>
      <c r="F143" s="13">
        <v>42673.89644675926</v>
      </c>
      <c r="G143" s="7">
        <v>1</v>
      </c>
      <c r="H143" s="13" t="s">
        <v>260</v>
      </c>
      <c r="I143" s="13">
        <v>42673.940636574072</v>
      </c>
      <c r="J143" s="7">
        <v>0</v>
      </c>
      <c r="K143" s="112" t="str">
        <f t="shared" si="67"/>
        <v>4029/4030</v>
      </c>
      <c r="L143" s="22" t="str">
        <f>VLOOKUP(A143,'Trips&amp;Operators'!$C$1:$E$10000,3,FALSE)</f>
        <v>CRAYTON</v>
      </c>
      <c r="M143" s="6">
        <f t="shared" si="68"/>
        <v>4.4189814812853001E-2</v>
      </c>
      <c r="N143" s="7">
        <f t="shared" si="69"/>
        <v>63.633333330508322</v>
      </c>
      <c r="O143" s="7"/>
      <c r="P143" s="7"/>
      <c r="Q143" s="23"/>
      <c r="R143" s="23" t="s">
        <v>781</v>
      </c>
      <c r="S143" s="35">
        <f t="shared" si="70"/>
        <v>1</v>
      </c>
      <c r="T143" s="50" t="str">
        <f t="shared" si="71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20:07:50-0600',mode:absolute,to:'2016-10-30 23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3" s="52" t="str">
        <f t="shared" si="73"/>
        <v>N</v>
      </c>
      <c r="X143" s="177">
        <f t="shared" si="74"/>
        <v>1</v>
      </c>
      <c r="Y143" s="67">
        <f t="shared" si="75"/>
        <v>4.6899999999999997E-2</v>
      </c>
      <c r="Z143" s="67">
        <f t="shared" si="76"/>
        <v>23.3307</v>
      </c>
      <c r="AA143" s="67">
        <f t="shared" si="77"/>
        <v>23.283799999999999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78"/>
        <v>0231-30</v>
      </c>
      <c r="AE143" s="91" t="str">
        <f t="shared" si="79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43" s="88" t="str">
        <f t="shared" si="80"/>
        <v>"C:\Program Files (x86)\AstroGrep\AstroGrep.exe" /spath="%USERPROFILE%\AppData\Local\Temp\OnboardLogs" /stypes="app*4029*20161031*" /stext=" 04:.+((SYSTEM_STATE.+slice.+state.+changed )|(ment ac)|(system.+state.+changed )|(\[timeout)|(PRM\|1\|D)|(kpr)|(kdp)|(\|lc)|(penalty))" /e /r /s</v>
      </c>
      <c r="AG143" s="1" t="str">
        <f t="shared" si="81"/>
        <v>EC</v>
      </c>
      <c r="AH143" s="92" t="str">
        <f t="shared" si="82"/>
        <v>"%USERPROFILE%\Documents\GitHub\eaglep3\Utilities\RefineRTDCRunTimes.py" --tripid 231-30 --locoid 4029 --swversion DE.1.0.8.0 --startMP 204:469 --initTime 2016-10-30T21:07:50 --startdatetime 2016-10-30T21:30:53 --delay 1 --endMP 204:233307 --enddatetime 2016-10-30T22:34:31 --enforcementcount 0 &gt;&gt;C:\Users\stu\Documents\GitHub\eaglep3-reporting\EC\2016-10-30-refined-times.txt</v>
      </c>
      <c r="AI143" s="122" t="str">
        <f t="shared" si="83"/>
        <v>echo {"issue":{"subject":"Police held train at station","project_id":79,"tracker_id":40,"status_id":1,"priority_id":2,"assigned_to_id":23,"start_date":"2016-10-30","description":"","custom_fields":[{"id":1,"name":"Subdivision","value":"EC"},{"id":4,"name":"Milepost","value":"23.3307"},{"id":17,"name":"Train ID","value":"231-30"},{"id":16,"name":"Locomotive ID","value":"4029"},{"id":130,"name":"Impact","value":""},{"id":150,"name":"Time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608</v>
      </c>
      <c r="B144" s="7">
        <v>4030</v>
      </c>
      <c r="C144" s="22" t="s">
        <v>284</v>
      </c>
      <c r="D144" s="22" t="s">
        <v>238</v>
      </c>
      <c r="E144" s="13">
        <v>42673.942337962966</v>
      </c>
      <c r="F144" s="13">
        <v>42673.944039351853</v>
      </c>
      <c r="G144" s="7">
        <v>1</v>
      </c>
      <c r="H144" s="13" t="s">
        <v>176</v>
      </c>
      <c r="I144" s="13">
        <v>42673.970347222225</v>
      </c>
      <c r="J144" s="7">
        <v>0</v>
      </c>
      <c r="K144" s="112" t="str">
        <f t="shared" si="67"/>
        <v>4029/4030</v>
      </c>
      <c r="L144" s="22" t="str">
        <f>VLOOKUP(A144,'Trips&amp;Operators'!$C$1:$E$10000,3,FALSE)</f>
        <v>CRAYTON</v>
      </c>
      <c r="M144" s="6">
        <f t="shared" si="68"/>
        <v>2.6307870371965691E-2</v>
      </c>
      <c r="N144" s="7">
        <f t="shared" si="69"/>
        <v>37.883333335630596</v>
      </c>
      <c r="O144" s="7"/>
      <c r="P144" s="7"/>
      <c r="Q144" s="23"/>
      <c r="R144" s="23"/>
      <c r="S144" s="35">
        <f t="shared" si="70"/>
        <v>1</v>
      </c>
      <c r="T144" s="50" t="str">
        <f t="shared" si="71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21:36:58-0600',mode:absolute,to:'2016-10-31 00:17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si="73"/>
        <v>N</v>
      </c>
      <c r="X144" s="177">
        <f t="shared" si="74"/>
        <v>1</v>
      </c>
      <c r="Y144" s="67">
        <f t="shared" si="75"/>
        <v>23.299399999999999</v>
      </c>
      <c r="Z144" s="67">
        <f t="shared" si="76"/>
        <v>1.52E-2</v>
      </c>
      <c r="AA144" s="67">
        <f t="shared" si="77"/>
        <v>23.284199999999998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78"/>
        <v>0232-30</v>
      </c>
      <c r="AE144" s="91" t="str">
        <f t="shared" si="79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44" s="88" t="str">
        <f t="shared" si="80"/>
        <v>"C:\Program Files (x86)\AstroGrep\AstroGrep.exe" /spath="%USERPROFILE%\AppData\Local\Temp\OnboardLogs" /stypes="app*4030*20161031*" /stext=" 05:.+((SYSTEM_STATE.+slice.+state.+changed )|(ment ac)|(system.+state.+changed )|(\[timeout)|(PRM\|1\|D)|(kpr)|(kdp)|(\|lc)|(penalty))" /e /r /s</v>
      </c>
      <c r="AG144" s="1" t="str">
        <f t="shared" si="81"/>
        <v>EC</v>
      </c>
      <c r="AH144" s="92" t="str">
        <f t="shared" si="82"/>
        <v>"%USERPROFILE%\Documents\GitHub\eaglep3\Utilities\RefineRTDCRunTimes.py" --tripid 232-30 --locoid 4030 --swversion DE.1.0.8.0 --startMP 204:232994 --initTime 2016-10-30T22:36:58 --startdatetime 2016-10-30T22:39:25 --delay 1 --endMP 204:152 --enddatetime 2016-10-30T23:17:18 --enforcementcount 0 &gt;&gt;C:\Users\stu\Documents\GitHub\eaglep3-reporting\EC\2016-10-30-refined-times.txt</v>
      </c>
      <c r="AI144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{"issue":{"subject":"","project_id":79,"tracker_id":40,"status_id":1,"priority_id":2,"assigned_to_id":23,"start_date":"2016-10-30","description":"","custom_fields":[{"id":1,"name":"Subdivision","value":"EC"},{"id":4,"name":"Milepost","value":"0.0152"},{"id":17,"name":"Train ID","value":"232-30"},{"id":16,"name":"Locomotive ID","value":"4030"},{"id":130,"name":"Impact","value":""},{"id":150,"name":"Time of Event (Mountain Time)","value":"23:17:18"},{"id":151,"name":"Denver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603</v>
      </c>
      <c r="B145" s="7">
        <v>4038</v>
      </c>
      <c r="C145" s="22" t="s">
        <v>284</v>
      </c>
      <c r="D145" s="22" t="s">
        <v>247</v>
      </c>
      <c r="E145" s="13">
        <v>42673.902777777781</v>
      </c>
      <c r="F145" s="13">
        <v>42673.916817129626</v>
      </c>
      <c r="G145" s="7">
        <v>1</v>
      </c>
      <c r="H145" s="13" t="s">
        <v>192</v>
      </c>
      <c r="I145" s="13">
        <v>42673.94259259259</v>
      </c>
      <c r="J145" s="7">
        <v>0</v>
      </c>
      <c r="K145" s="112" t="str">
        <f t="shared" si="67"/>
        <v>4037/4038</v>
      </c>
      <c r="L145" s="22" t="str">
        <f>VLOOKUP(A145,'Trips&amp;Operators'!$C$1:$E$10000,3,FALSE)</f>
        <v>NEWELL</v>
      </c>
      <c r="M145" s="6">
        <f t="shared" si="68"/>
        <v>2.5775462963792961E-2</v>
      </c>
      <c r="N145" s="7">
        <f t="shared" si="69"/>
        <v>37.116666667861864</v>
      </c>
      <c r="O145" s="7"/>
      <c r="P145" s="7"/>
      <c r="Q145" s="23"/>
      <c r="R145" s="23"/>
      <c r="S145" s="35">
        <f t="shared" si="70"/>
        <v>1</v>
      </c>
      <c r="T145" s="50" t="str">
        <f t="shared" si="71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20:40:00-0600',mode:absolute,to:'2016-10-30 23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5" s="52" t="str">
        <f t="shared" si="73"/>
        <v>N</v>
      </c>
      <c r="X145" s="177">
        <f t="shared" si="74"/>
        <v>1</v>
      </c>
      <c r="Y145" s="67">
        <f t="shared" si="75"/>
        <v>4.4900000000000002E-2</v>
      </c>
      <c r="Z145" s="67">
        <f t="shared" si="76"/>
        <v>23.329699999999999</v>
      </c>
      <c r="AA145" s="67">
        <f t="shared" si="77"/>
        <v>23.284800000000001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8"/>
        <v>0233-30</v>
      </c>
      <c r="AE145" s="91" t="str">
        <f t="shared" si="79"/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AF145" s="88" t="str">
        <f t="shared" si="80"/>
        <v>"C:\Program Files (x86)\AstroGrep\AstroGrep.exe" /spath="%USERPROFILE%\AppData\Local\Temp\OnboardLogs" /stypes="app*4038*20161031*" /stext=" 04:.+((SYSTEM_STATE.+slice.+state.+changed )|(ment ac)|(system.+state.+changed )|(\[timeout)|(PRM\|1\|D)|(kpr)|(kdp)|(\|lc)|(penalty))" /e /r /s</v>
      </c>
      <c r="AG145" s="1" t="str">
        <f t="shared" si="81"/>
        <v>EC</v>
      </c>
      <c r="AH145" s="92" t="str">
        <f t="shared" si="82"/>
        <v>"%USERPROFILE%\Documents\GitHub\eaglep3\Utilities\RefineRTDCRunTimes.py" --tripid 233-30 --locoid 4038 --swversion DE.1.0.8.0 --startMP 204:449 --initTime 2016-10-30T21:40:00 --startdatetime 2016-10-30T22:00:13 --delay 1 --endMP 204:233297 --enddatetime 2016-10-30T22:37:20 --enforcementcount 0 &gt;&gt;C:\Users\stu\Documents\GitHub\eaglep3-reporting\EC\2016-10-30-refined-times.txt</v>
      </c>
      <c r="AI145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{"issue":{"subject":"","project_id":79,"tracker_id":40,"status_id":1,"priority_id":2,"assigned_to_id":23,"start_date":"2016-10-30","description":"","custom_fields":[{"id":1,"name":"Subdivision","value":"EC"},{"id":4,"name":"Milepost","value":"23.3297"},{"id":17,"name":"Train ID","value":"233-30"},{"id":16,"name":"Locomotive ID","value":"4038"},{"id":130,"name":"Impact","value":""},{"id":150,"name":"Time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4037</v>
      </c>
      <c r="C146" s="22" t="s">
        <v>284</v>
      </c>
      <c r="D146" s="22" t="s">
        <v>371</v>
      </c>
      <c r="E146" s="13">
        <v>42673.944525462961</v>
      </c>
      <c r="F146" s="13">
        <v>42673.955740740741</v>
      </c>
      <c r="G146" s="7">
        <v>1</v>
      </c>
      <c r="H146" s="13" t="s">
        <v>269</v>
      </c>
      <c r="I146" s="13">
        <v>42673.981354166666</v>
      </c>
      <c r="J146" s="7">
        <v>0</v>
      </c>
      <c r="K146" s="112" t="str">
        <f t="shared" si="67"/>
        <v>4037/4038</v>
      </c>
      <c r="L146" s="22" t="str">
        <f>VLOOKUP(A146,'Trips&amp;Operators'!$C$1:$E$10000,3,FALSE)</f>
        <v>NEWELL</v>
      </c>
      <c r="M146" s="6">
        <f t="shared" si="68"/>
        <v>2.5613425925257616E-2</v>
      </c>
      <c r="N146" s="7">
        <f t="shared" si="69"/>
        <v>36.883333332370967</v>
      </c>
      <c r="O146" s="7"/>
      <c r="P146" s="7"/>
      <c r="Q146" s="23"/>
      <c r="R146" s="23"/>
      <c r="S146" s="35">
        <f t="shared" si="70"/>
        <v>1</v>
      </c>
      <c r="T146" s="50" t="str">
        <f t="shared" si="71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21:40:07-0600',mode:absolute,to:'2016-10-31 00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6" s="52" t="str">
        <f t="shared" si="73"/>
        <v>N</v>
      </c>
      <c r="X146" s="177">
        <f t="shared" si="74"/>
        <v>1</v>
      </c>
      <c r="Y146" s="67">
        <f t="shared" si="75"/>
        <v>23.2989</v>
      </c>
      <c r="Z146" s="67">
        <f t="shared" si="76"/>
        <v>1.61E-2</v>
      </c>
      <c r="AA146" s="67">
        <f t="shared" si="77"/>
        <v>23.282799999999998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78"/>
        <v>0234-30</v>
      </c>
      <c r="AE146" s="91" t="str">
        <f t="shared" si="79"/>
        <v>aws s3 cp s3://rtdc.mdm.uploadarchive.raw/RTDC4037/ "%USERPROFILE%\AppData\Local\Temp\OnboardLogs"\RTDC4037\2016-10-30 --exclude "*" --recursive --include "*20161030*" &amp; "%USERPROFILE%\Documents\GitHub\mrs-test-scripts\Headless Mode &amp; Sideloading\WalkAndUnGZ.bat" "%USERPROFILE%\AppData\Local\Temp\OnboardLogs"\RTDC4037\2016-10-30 &amp; 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</v>
      </c>
      <c r="AF146" s="88" t="str">
        <f t="shared" si="80"/>
        <v>"C:\Program Files (x86)\AstroGrep\AstroGrep.exe" /spath="%USERPROFILE%\AppData\Local\Temp\OnboardLogs" /stypes="app*4037*20161031*" /stext=" 05:.+((SYSTEM_STATE.+slice.+state.+changed )|(ment ac)|(system.+state.+changed )|(\[timeout)|(PRM\|1\|D)|(kpr)|(kdp)|(\|lc)|(penalty))" /e /r /s</v>
      </c>
      <c r="AG146" s="1" t="str">
        <f t="shared" si="81"/>
        <v>EC</v>
      </c>
      <c r="AH146" s="92" t="str">
        <f t="shared" si="82"/>
        <v>"%USERPROFILE%\Documents\GitHub\eaglep3\Utilities\RefineRTDCRunTimes.py" --tripid 234-30 --locoid 4037 --swversion DE.1.0.8.0 --startMP 204:232989 --initTime 2016-10-30T22:40:07 --startdatetime 2016-10-30T22:56:16 --delay 1 --endMP 204:161 --enddatetime 2016-10-30T23:33:09 --enforcementcount 0 &gt;&gt;C:\Users\stu\Documents\GitHub\eaglep3-reporting\EC\2016-10-30-refined-times.txt</v>
      </c>
      <c r="AI146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{"issue":{"subject":"","project_id":79,"tracker_id":40,"status_id":1,"priority_id":2,"assigned_to_id":23,"start_date":"2016-10-30","description":"","custom_fields":[{"id":1,"name":"Subdivision","value":"EC"},{"id":4,"name":"Milepost","value":"0.0161"},{"id":17,"name":"Train ID","value":"234-30"},{"id":16,"name":"Locomotive ID","value":"4037"},{"id":130,"name":"Impact","value":""},{"id":150,"name":"Time of Event (Mountain Time)","value":"23:33:09"},{"id":151,"name":"Denver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607</v>
      </c>
      <c r="B147" s="7">
        <v>4027</v>
      </c>
      <c r="C147" s="22" t="s">
        <v>284</v>
      </c>
      <c r="D147" s="22" t="s">
        <v>332</v>
      </c>
      <c r="E147" s="13">
        <v>42673.936516203707</v>
      </c>
      <c r="F147" s="13">
        <v>42673.937777777777</v>
      </c>
      <c r="G147" s="7">
        <v>1</v>
      </c>
      <c r="H147" s="13" t="s">
        <v>715</v>
      </c>
      <c r="I147" s="13">
        <v>42673.962789351855</v>
      </c>
      <c r="J147" s="7">
        <v>0</v>
      </c>
      <c r="K147" s="112" t="str">
        <f t="shared" si="67"/>
        <v>4027/4028</v>
      </c>
      <c r="L147" s="22" t="str">
        <f>VLOOKUP(A147,'Trips&amp;Operators'!$C$1:$E$10000,3,FALSE)</f>
        <v>CHANDLER</v>
      </c>
      <c r="M147" s="6">
        <f t="shared" si="68"/>
        <v>2.5011574078234844E-2</v>
      </c>
      <c r="N147" s="7">
        <f t="shared" si="69"/>
        <v>36.016666672658175</v>
      </c>
      <c r="O147" s="7"/>
      <c r="P147" s="7"/>
      <c r="Q147" s="23"/>
      <c r="R147" s="23"/>
      <c r="S147" s="35">
        <f t="shared" si="70"/>
        <v>1</v>
      </c>
      <c r="T147" s="50" t="str">
        <f t="shared" si="71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21:28:35-0600',mode:absolute,to:'2016-10-31 00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7" s="52" t="str">
        <f t="shared" si="73"/>
        <v>N</v>
      </c>
      <c r="X147" s="177">
        <f t="shared" si="74"/>
        <v>1</v>
      </c>
      <c r="Y147" s="67">
        <f t="shared" si="75"/>
        <v>4.4400000000000002E-2</v>
      </c>
      <c r="Z147" s="67">
        <f t="shared" si="76"/>
        <v>23.3276</v>
      </c>
      <c r="AA147" s="67">
        <f t="shared" si="77"/>
        <v>23.283200000000001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78"/>
        <v>0235-30</v>
      </c>
      <c r="AE147" s="91" t="str">
        <f t="shared" si="79"/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AF147" s="88" t="str">
        <f t="shared" si="80"/>
        <v>"C:\Program Files (x86)\AstroGrep\AstroGrep.exe" /spath="%USERPROFILE%\AppData\Local\Temp\OnboardLogs" /stypes="app*4027*20161031*" /stext=" 05:.+((SYSTEM_STATE.+slice.+state.+changed )|(ment ac)|(system.+state.+changed )|(\[timeout)|(PRM\|1\|D)|(kpr)|(kdp)|(\|lc)|(penalty))" /e /r /s</v>
      </c>
      <c r="AG147" s="1" t="str">
        <f t="shared" si="81"/>
        <v>EC</v>
      </c>
      <c r="AH147" s="92" t="str">
        <f t="shared" si="82"/>
        <v>"%USERPROFILE%\Documents\GitHub\eaglep3\Utilities\RefineRTDCRunTimes.py" --tripid 235-30 --locoid 4027 --swversion DE.1.0.8.0 --startMP 204:444 --initTime 2016-10-30T22:28:35 --startdatetime 2016-10-30T22:30:24 --delay 1 --endMP 204:233276 --enddatetime 2016-10-30T23:06:25 --enforcementcount 0 &gt;&gt;C:\Users\stu\Documents\GitHub\eaglep3-reporting\EC\2016-10-30-refined-times.txt</v>
      </c>
      <c r="AI147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{"issue":{"subject":"","project_id":79,"tracker_id":40,"status_id":1,"priority_id":2,"assigned_to_id":23,"start_date":"2016-10-30","description":"","custom_fields":[{"id":1,"name":"Subdivision","value":"EC"},{"id":4,"name":"Milepost","value":"23.3276"},{"id":17,"name":"Train ID","value":"235-30"},{"id":16,"name":"Locomotive ID","value":"4027"},{"id":130,"name":"Impact","value":""},{"id":150,"name":"Time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615</v>
      </c>
      <c r="B148" s="7">
        <v>4028</v>
      </c>
      <c r="C148" s="22" t="s">
        <v>284</v>
      </c>
      <c r="D148" s="22" t="s">
        <v>716</v>
      </c>
      <c r="E148" s="13">
        <v>42673.973078703704</v>
      </c>
      <c r="F148" s="13">
        <v>42673.976620370369</v>
      </c>
      <c r="G148" s="7">
        <v>1</v>
      </c>
      <c r="H148" s="13" t="s">
        <v>214</v>
      </c>
      <c r="I148" s="13">
        <v>42674.007060185184</v>
      </c>
      <c r="J148" s="7">
        <v>0</v>
      </c>
      <c r="K148" s="112" t="str">
        <f t="shared" si="67"/>
        <v>4027/4028</v>
      </c>
      <c r="L148" s="22" t="str">
        <f>VLOOKUP(A148,'Trips&amp;Operators'!$C$1:$E$10000,3,FALSE)</f>
        <v>CHANDLER</v>
      </c>
      <c r="M148" s="6">
        <f t="shared" si="68"/>
        <v>3.0439814814599231E-2</v>
      </c>
      <c r="N148" s="7">
        <f t="shared" si="69"/>
        <v>43.833333333022892</v>
      </c>
      <c r="O148" s="7"/>
      <c r="P148" s="7"/>
      <c r="Q148" s="23"/>
      <c r="R148" s="23"/>
      <c r="S148" s="35">
        <f t="shared" si="70"/>
        <v>1</v>
      </c>
      <c r="T148" s="50" t="str">
        <f t="shared" si="71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22:21:14-0600',mode:absolute,to:'2016-10-31 01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8" s="52" t="str">
        <f t="shared" si="73"/>
        <v>N</v>
      </c>
      <c r="X148" s="177">
        <f t="shared" si="74"/>
        <v>1</v>
      </c>
      <c r="Y148" s="67">
        <f t="shared" si="75"/>
        <v>23.296500000000002</v>
      </c>
      <c r="Z148" s="67">
        <f t="shared" si="76"/>
        <v>1.43E-2</v>
      </c>
      <c r="AA148" s="67">
        <f t="shared" si="77"/>
        <v>23.282200000000003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78"/>
        <v>0236-30</v>
      </c>
      <c r="AE148" s="91" t="str">
        <f t="shared" si="79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48" s="88" t="str">
        <f t="shared" si="80"/>
        <v>"C:\Program Files (x86)\AstroGrep\AstroGrep.exe" /spath="%USERPROFILE%\AppData\Local\Temp\OnboardLogs" /stypes="app*4028*20161031*" /stext=" 06:.+((SYSTEM_STATE.+slice.+state.+changed )|(ment ac)|(system.+state.+changed )|(\[timeout)|(PRM\|1\|D)|(kpr)|(kdp)|(\|lc)|(penalty))" /e /r /s</v>
      </c>
      <c r="AG148" s="1" t="str">
        <f t="shared" si="81"/>
        <v>EC</v>
      </c>
      <c r="AH148" s="92" t="str">
        <f t="shared" si="82"/>
        <v>"%USERPROFILE%\Documents\GitHub\eaglep3\Utilities\RefineRTDCRunTimes.py" --tripid 236-30 --locoid 4028 --swversion DE.1.0.8.0 --startMP 204:232965 --initTime 2016-10-30T23:21:14 --startdatetime 2016-10-30T23:26:20 --delay 1 --endMP 204:143 --enddatetime 2016-10-31T00:10:10 --enforcementcount 0 &gt;&gt;C:\Users\stu\Documents\GitHub\eaglep3-reporting\EC\2016-10-30-refined-times.txt</v>
      </c>
      <c r="AI148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{"issue":{"subject":"","project_id":79,"tracker_id":40,"status_id":1,"priority_id":2,"assigned_to_id":23,"start_date":"2016-10-31","description":"","custom_fields":[{"id":1,"name":"Subdivision","value":"EC"},{"id":4,"name":"Milepost","value":"0.0143"},{"id":17,"name":"Train ID","value":"236-30"},{"id":16,"name":"Locomotive ID","value":"4028"},{"id":130,"name":"Impact","value":""},{"id":150,"name":"Time of Event (Mountain Time)","value":"00:10:10"},{"id":151,"name":"Denver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613</v>
      </c>
      <c r="B149" s="7">
        <v>4053</v>
      </c>
      <c r="C149" s="22" t="s">
        <v>284</v>
      </c>
      <c r="D149" s="22" t="s">
        <v>717</v>
      </c>
      <c r="E149" s="13">
        <v>42673.952407407407</v>
      </c>
      <c r="F149" s="13">
        <v>42673.958541666667</v>
      </c>
      <c r="G149" s="7">
        <v>1</v>
      </c>
      <c r="H149" s="13" t="s">
        <v>358</v>
      </c>
      <c r="I149" s="13">
        <v>42673.983749999999</v>
      </c>
      <c r="J149" s="7">
        <v>0</v>
      </c>
      <c r="K149" s="112" t="str">
        <f t="shared" si="67"/>
        <v>4053/4054</v>
      </c>
      <c r="L149" s="22" t="str">
        <f>VLOOKUP(A149,'Trips&amp;Operators'!$C$1:$E$10000,3,FALSE)</f>
        <v>LEVERE</v>
      </c>
      <c r="M149" s="6">
        <f t="shared" si="68"/>
        <v>2.5208333332557231E-2</v>
      </c>
      <c r="N149" s="7">
        <f t="shared" si="69"/>
        <v>36.299999998882413</v>
      </c>
      <c r="O149" s="7"/>
      <c r="P149" s="7"/>
      <c r="Q149" s="23"/>
      <c r="R149" s="23"/>
      <c r="S149" s="35">
        <f t="shared" si="70"/>
        <v>1</v>
      </c>
      <c r="T149" s="50" t="str">
        <f t="shared" si="71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21:51:28-0600',mode:absolute,to:'2016-10-31 00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9" s="52" t="str">
        <f t="shared" si="73"/>
        <v>N</v>
      </c>
      <c r="X149" s="177">
        <f t="shared" si="74"/>
        <v>1</v>
      </c>
      <c r="Y149" s="67">
        <f t="shared" si="75"/>
        <v>0.05</v>
      </c>
      <c r="Z149" s="67">
        <f t="shared" si="76"/>
        <v>23.330300000000001</v>
      </c>
      <c r="AA149" s="67">
        <f t="shared" si="77"/>
        <v>23.2803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78"/>
        <v>0237-30</v>
      </c>
      <c r="AE149" s="91" t="str">
        <f t="shared" si="79"/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AF149" s="88" t="str">
        <f t="shared" si="80"/>
        <v>"C:\Program Files (x86)\AstroGrep\AstroGrep.exe" /spath="%USERPROFILE%\AppData\Local\Temp\OnboardLogs" /stypes="app*4053*20161031*" /stext=" 05:.+((SYSTEM_STATE.+slice.+state.+changed )|(ment ac)|(system.+state.+changed )|(\[timeout)|(PRM\|1\|D)|(kpr)|(kdp)|(\|lc)|(penalty))" /e /r /s</v>
      </c>
      <c r="AG149" s="1" t="str">
        <f t="shared" si="81"/>
        <v>EC</v>
      </c>
      <c r="AH149" s="92" t="str">
        <f t="shared" si="82"/>
        <v>"%USERPROFILE%\Documents\GitHub\eaglep3\Utilities\RefineRTDCRunTimes.py" --tripid 237-30 --locoid 4053 --swversion DE.1.0.8.0 --startMP 204:500 --initTime 2016-10-30T22:51:28 --startdatetime 2016-10-30T23:00:18 --delay 1 --endMP 204:233303 --enddatetime 2016-10-30T23:36:36 --enforcementcount 0 &gt;&gt;C:\Users\stu\Documents\GitHub\eaglep3-reporting\EC\2016-10-30-refined-times.txt</v>
      </c>
      <c r="AI149" s="122" t="str">
        <f t="shared" si="83"/>
        <v>echo {"issue":{"subject":"","project_id":79,"tracker_id":40,"status_id":1,"priority_id":2,"assigned_to_id":23,"start_date":"2016-10-30","description":"","custom_fields":[{"id":1,"name":"Subdivision","value":"EC"},{"id":4,"name":"Milepost","value":"23.3303"},{"id":17,"name":"Train ID","value":"237-30"},{"id":16,"name":"Locomotive ID","value":"4053"},{"id":130,"name":"Impact","value":""},{"id":150,"name":"Time of Event (Mountain Time)","value":"23:36:36"},{"id":151,"name":"Denver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617</v>
      </c>
      <c r="B150" s="7">
        <v>4054</v>
      </c>
      <c r="C150" s="22" t="s">
        <v>284</v>
      </c>
      <c r="D150" s="22" t="s">
        <v>276</v>
      </c>
      <c r="E150" s="13">
        <v>42673.990567129629</v>
      </c>
      <c r="F150" s="13">
        <v>42673.997407407405</v>
      </c>
      <c r="G150" s="7">
        <v>1</v>
      </c>
      <c r="H150" s="13" t="s">
        <v>269</v>
      </c>
      <c r="I150" s="13">
        <v>42674.028310185182</v>
      </c>
      <c r="J150" s="7">
        <v>0</v>
      </c>
      <c r="K150" s="112" t="str">
        <f t="shared" si="67"/>
        <v>4053/4054</v>
      </c>
      <c r="L150" s="22" t="str">
        <f>VLOOKUP(A150,'Trips&amp;Operators'!$C$1:$E$10000,3,FALSE)</f>
        <v>LEVERE</v>
      </c>
      <c r="M150" s="6">
        <f t="shared" si="68"/>
        <v>3.0902777776645962E-2</v>
      </c>
      <c r="N150" s="7">
        <f t="shared" si="69"/>
        <v>44.499999998370185</v>
      </c>
      <c r="O150" s="7"/>
      <c r="P150" s="7"/>
      <c r="Q150" s="23"/>
      <c r="R150" s="23"/>
      <c r="S150" s="35">
        <f t="shared" si="70"/>
        <v>1</v>
      </c>
      <c r="T150" s="50" t="str">
        <f t="shared" si="71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22:46:25-0600',mode:absolute,to:'2016-10-31 01:40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0" s="52" t="str">
        <f t="shared" si="73"/>
        <v>N</v>
      </c>
      <c r="X150" s="177">
        <f t="shared" si="74"/>
        <v>1</v>
      </c>
      <c r="Y150" s="67">
        <f t="shared" si="75"/>
        <v>23.297799999999999</v>
      </c>
      <c r="Z150" s="67">
        <f t="shared" si="76"/>
        <v>1.61E-2</v>
      </c>
      <c r="AA150" s="67">
        <f t="shared" si="77"/>
        <v>23.281699999999997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78"/>
        <v>0238-30</v>
      </c>
      <c r="AE150" s="91" t="str">
        <f t="shared" si="79"/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AF150" s="88" t="str">
        <f t="shared" si="80"/>
        <v>"C:\Program Files (x86)\AstroGrep\AstroGrep.exe" /spath="%USERPROFILE%\AppData\Local\Temp\OnboardLogs" /stypes="app*4054*20161031*" /stext=" 06:.+((SYSTEM_STATE.+slice.+state.+changed )|(ment ac)|(system.+state.+changed )|(\[timeout)|(PRM\|1\|D)|(kpr)|(kdp)|(\|lc)|(penalty))" /e /r /s</v>
      </c>
      <c r="AG150" s="1" t="str">
        <f t="shared" si="81"/>
        <v>EC</v>
      </c>
      <c r="AH150" s="92" t="str">
        <f t="shared" si="82"/>
        <v>"%USERPROFILE%\Documents\GitHub\eaglep3\Utilities\RefineRTDCRunTimes.py" --tripid 238-30 --locoid 4054 --swversion DE.1.0.8.0 --startMP 204:232978 --initTime 2016-10-30T23:46:25 --startdatetime 2016-10-30T23:56:16 --delay 1 --endMP 204:161 --enddatetime 2016-10-31T00:40:46 --enforcementcount 0 &gt;&gt;C:\Users\stu\Documents\GitHub\eaglep3-reporting\EC\2016-10-30-refined-times.txt</v>
      </c>
      <c r="AI150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{"issue":{"subject":"","project_id":79,"tracker_id":40,"status_id":1,"priority_id":2,"assigned_to_id":23,"start_date":"2016-10-31","description":"","custom_fields":[{"id":1,"name":"Subdivision","value":"EC"},{"id":4,"name":"Milepost","value":"0.0161"},{"id":17,"name":"Train ID","value":"238-30"},{"id":16,"name":"Locomotive ID","value":"4054"},{"id":130,"name":"Impact","value":""},{"id":150,"name":"Time of Event (Mountain Time)","value":"00:40:46"},{"id":151,"name":"Denver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614</v>
      </c>
      <c r="B151" s="7">
        <v>4029</v>
      </c>
      <c r="C151" s="22" t="s">
        <v>284</v>
      </c>
      <c r="D151" s="22" t="s">
        <v>295</v>
      </c>
      <c r="E151" s="13">
        <v>42673.972812499997</v>
      </c>
      <c r="F151" s="13">
        <v>42673.97934027778</v>
      </c>
      <c r="G151" s="7">
        <v>1</v>
      </c>
      <c r="H151" s="13" t="s">
        <v>718</v>
      </c>
      <c r="I151" s="13">
        <v>42674.007847222223</v>
      </c>
      <c r="J151" s="7">
        <v>0</v>
      </c>
      <c r="K151" s="112" t="str">
        <f t="shared" si="67"/>
        <v>4029/4030</v>
      </c>
      <c r="L151" s="22" t="str">
        <f>VLOOKUP(A151,'Trips&amp;Operators'!$C$1:$E$10000,3,FALSE)</f>
        <v>CRAYTON</v>
      </c>
      <c r="M151" s="6">
        <f t="shared" si="68"/>
        <v>2.8506944443506654E-2</v>
      </c>
      <c r="N151" s="7">
        <f t="shared" si="69"/>
        <v>41.049999998649582</v>
      </c>
      <c r="O151" s="7"/>
      <c r="P151" s="7"/>
      <c r="Q151" s="23"/>
      <c r="R151" s="23"/>
      <c r="S151" s="35">
        <f t="shared" si="70"/>
        <v>1</v>
      </c>
      <c r="T151" s="50" t="str">
        <f t="shared" si="71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22:20:51-0600',mode:absolute,to:'2016-10-31 01:11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1" s="52" t="str">
        <f t="shared" si="73"/>
        <v>N</v>
      </c>
      <c r="X151" s="177">
        <f t="shared" si="74"/>
        <v>1</v>
      </c>
      <c r="Y151" s="67">
        <f t="shared" si="75"/>
        <v>4.3499999999999997E-2</v>
      </c>
      <c r="Z151" s="67">
        <f t="shared" si="76"/>
        <v>23.332799999999999</v>
      </c>
      <c r="AA151" s="67">
        <f t="shared" si="77"/>
        <v>23.289299999999997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78"/>
        <v>0239-30</v>
      </c>
      <c r="AE151" s="91" t="str">
        <f t="shared" si="79"/>
        <v>aws s3 cp s3://rtdc.mdm.uploadarchive.raw/RTDC4029/ "%USERPROFILE%\AppData\Local\Temp\OnboardLogs"\RTDC4029\2016-10-30 --exclude "*" --recursive --include "*20161030*" &amp; "%USERPROFILE%\Documents\GitHub\mrs-test-scripts\Headless Mode &amp; Sideloading\WalkAndUnGZ.bat" "%USERPROFILE%\AppData\Local\Temp\OnboardLogs"\RTDC4029\2016-10-30 &amp; aws s3 cp s3://rtdc.mdm.uploadarchive.raw/RTDC4029/ "%USERPROFILE%\AppData\Local\Temp\OnboardLogs"\RTDC4029\2016-10-31 --exclude "*" --recursive --include "*20161031*" &amp; "%USERPROFILE%\Documents\GitHub\mrs-test-scripts\Headless Mode &amp; Sideloading\WalkAndUnGZ.bat" "%USERPROFILE%\AppData\Local\Temp\OnboardLogs"\RTDC4029\2016-10-31</v>
      </c>
      <c r="AF151" s="88" t="str">
        <f t="shared" si="80"/>
        <v>"C:\Program Files (x86)\AstroGrep\AstroGrep.exe" /spath="%USERPROFILE%\AppData\Local\Temp\OnboardLogs" /stypes="app*4029*20161031*" /stext=" 06:.+((SYSTEM_STATE.+slice.+state.+changed )|(ment ac)|(system.+state.+changed )|(\[timeout)|(PRM\|1\|D)|(kpr)|(kdp)|(\|lc)|(penalty))" /e /r /s</v>
      </c>
      <c r="AG151" s="1" t="str">
        <f t="shared" si="81"/>
        <v>EC</v>
      </c>
      <c r="AH151" s="92" t="str">
        <f t="shared" si="82"/>
        <v>"%USERPROFILE%\Documents\GitHub\eaglep3\Utilities\RefineRTDCRunTimes.py" --tripid 239-30 --locoid 4029 --swversion DE.1.0.8.0 --startMP 204:435 --initTime 2016-10-30T23:20:51 --startdatetime 2016-10-30T23:30:15 --delay 1 --endMP 204:233328 --enddatetime 2016-10-31T00:11:18 --enforcementcount 0 &gt;&gt;C:\Users\stu\Documents\GitHub\eaglep3-reporting\EC\2016-10-30-refined-times.txt</v>
      </c>
      <c r="AI151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{"issue":{"subject":"","project_id":79,"tracker_id":40,"status_id":1,"priority_id":2,"assigned_to_id":23,"start_date":"2016-10-31","description":"","custom_fields":[{"id":1,"name":"Subdivision","value":"EC"},{"id":4,"name":"Milepost","value":"23.3328"},{"id":17,"name":"Train ID","value":"239-30"},{"id":16,"name":"Locomotive ID","value":"4029"},{"id":130,"name":"Impact","value":""},{"id":150,"name":"Time of Event (Mountain Time)","value":"00:11:18"},{"id":151,"name":"Denver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619</v>
      </c>
      <c r="B152" s="7">
        <v>4030</v>
      </c>
      <c r="C152" s="22" t="s">
        <v>284</v>
      </c>
      <c r="D152" s="22" t="s">
        <v>238</v>
      </c>
      <c r="E152" s="13">
        <v>42674.012766203705</v>
      </c>
      <c r="F152" s="13">
        <v>42674.01866898148</v>
      </c>
      <c r="G152" s="7">
        <v>1</v>
      </c>
      <c r="H152" s="13" t="s">
        <v>210</v>
      </c>
      <c r="I152" s="13">
        <v>42674.045081018521</v>
      </c>
      <c r="J152" s="7">
        <v>0</v>
      </c>
      <c r="K152" s="112" t="str">
        <f t="shared" si="67"/>
        <v>4029/4030</v>
      </c>
      <c r="L152" s="22" t="str">
        <f>VLOOKUP(A152,'Trips&amp;Operators'!$C$1:$E$10000,3,FALSE)</f>
        <v>CRAYTON</v>
      </c>
      <c r="M152" s="6">
        <f t="shared" si="68"/>
        <v>2.641203704115469E-2</v>
      </c>
      <c r="N152" s="7">
        <f t="shared" si="69"/>
        <v>38.033333339262754</v>
      </c>
      <c r="O152" s="7"/>
      <c r="P152" s="7"/>
      <c r="Q152" s="23"/>
      <c r="R152" s="23"/>
      <c r="S152" s="35">
        <f t="shared" si="70"/>
        <v>1</v>
      </c>
      <c r="T152" s="50" t="str">
        <f t="shared" si="71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23:18:23-0600',mode:absolute,to:'2016-10-31 02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73"/>
        <v>N</v>
      </c>
      <c r="X152" s="177">
        <f t="shared" si="74"/>
        <v>1</v>
      </c>
      <c r="Y152" s="67">
        <f t="shared" si="75"/>
        <v>23.299399999999999</v>
      </c>
      <c r="Z152" s="67">
        <f t="shared" si="76"/>
        <v>1.54E-2</v>
      </c>
      <c r="AA152" s="67">
        <f t="shared" si="77"/>
        <v>23.283999999999999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78"/>
        <v>0240-30</v>
      </c>
      <c r="AE152" s="91" t="str">
        <f t="shared" si="79"/>
        <v>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 &amp; 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</v>
      </c>
      <c r="AF152" s="88" t="str">
        <f t="shared" si="80"/>
        <v>"C:\Program Files (x86)\AstroGrep\AstroGrep.exe" /spath="%USERPROFILE%\AppData\Local\Temp\OnboardLogs" /stypes="app*4030*20161031*" /stext=" 07:.+((SYSTEM_STATE.+slice.+state.+changed )|(ment ac)|(system.+state.+changed )|(\[timeout)|(PRM\|1\|D)|(kpr)|(kdp)|(\|lc)|(penalty))" /e /r /s</v>
      </c>
      <c r="AG152" s="1" t="str">
        <f t="shared" si="81"/>
        <v>EC</v>
      </c>
      <c r="AH152" s="92" t="str">
        <f t="shared" si="82"/>
        <v>"%USERPROFILE%\Documents\GitHub\eaglep3\Utilities\RefineRTDCRunTimes.py" --tripid 240-30 --locoid 4030 --swversion DE.1.0.8.0 --startMP 204:232994 --initTime 2016-10-31T00:18:23 --startdatetime 2016-10-31T00:26:53 --delay 1 --endMP 204:154 --enddatetime 2016-10-31T01:04:55 --enforcementcount 0 &gt;&gt;C:\Users\stu\Documents\GitHub\eaglep3-reporting\EC\2016-10-30-refined-times.txt</v>
      </c>
      <c r="AI152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{"issue":{"subject":"","project_id":79,"tracker_id":40,"status_id":1,"priority_id":2,"assigned_to_id":23,"start_date":"2016-10-31","description":"","custom_fields":[{"id":1,"name":"Subdivision","value":"EC"},{"id":4,"name":"Milepost","value":"0.0154"},{"id":17,"name":"Train ID","value":"240-30"},{"id":16,"name":"Locomotive ID","value":"4030"},{"id":130,"name":"Impact","value":""},{"id":150,"name":"Time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618</v>
      </c>
      <c r="B153" s="7">
        <v>4038</v>
      </c>
      <c r="C153" s="22" t="s">
        <v>284</v>
      </c>
      <c r="D153" s="22" t="s">
        <v>282</v>
      </c>
      <c r="E153" s="13">
        <v>42673.994259259256</v>
      </c>
      <c r="F153" s="13">
        <v>42674.000173611108</v>
      </c>
      <c r="G153" s="7">
        <v>1</v>
      </c>
      <c r="H153" s="13" t="s">
        <v>221</v>
      </c>
      <c r="I153" s="13">
        <v>42674.024942129632</v>
      </c>
      <c r="J153" s="7">
        <v>0</v>
      </c>
      <c r="K153" s="112" t="str">
        <f t="shared" si="67"/>
        <v>4037/4038</v>
      </c>
      <c r="L153" s="22" t="str">
        <f>VLOOKUP(A153,'Trips&amp;Operators'!$C$1:$E$10000,3,FALSE)</f>
        <v>NEWELL</v>
      </c>
      <c r="M153" s="6">
        <f t="shared" si="68"/>
        <v>2.4768518524069805E-2</v>
      </c>
      <c r="N153" s="7">
        <f t="shared" si="69"/>
        <v>35.666666674660519</v>
      </c>
      <c r="O153" s="7"/>
      <c r="P153" s="7"/>
      <c r="Q153" s="23"/>
      <c r="R153" s="23"/>
      <c r="S153" s="35">
        <f t="shared" si="70"/>
        <v>1</v>
      </c>
      <c r="T153" s="50" t="str">
        <f t="shared" si="71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22:51:44-0600',mode:absolute,to:'2016-10-31 01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3" s="52" t="str">
        <f t="shared" si="73"/>
        <v>N</v>
      </c>
      <c r="X153" s="177">
        <f t="shared" si="74"/>
        <v>1</v>
      </c>
      <c r="Y153" s="67">
        <f t="shared" si="75"/>
        <v>4.3999999999999997E-2</v>
      </c>
      <c r="Z153" s="67">
        <f t="shared" si="76"/>
        <v>23.329499999999999</v>
      </c>
      <c r="AA153" s="67">
        <f t="shared" si="77"/>
        <v>23.285499999999999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78"/>
        <v>0241-30</v>
      </c>
      <c r="AE153" s="91" t="str">
        <f t="shared" si="79"/>
        <v>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 &amp; 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</v>
      </c>
      <c r="AF153" s="88" t="str">
        <f t="shared" si="80"/>
        <v>"C:\Program Files (x86)\AstroGrep\AstroGrep.exe" /spath="%USERPROFILE%\AppData\Local\Temp\OnboardLogs" /stypes="app*4038*20161031*" /stext=" 06:.+((SYSTEM_STATE.+slice.+state.+changed )|(ment ac)|(system.+state.+changed )|(\[timeout)|(PRM\|1\|D)|(kpr)|(kdp)|(\|lc)|(penalty))" /e /r /s</v>
      </c>
      <c r="AG153" s="1" t="str">
        <f t="shared" si="81"/>
        <v>EC</v>
      </c>
      <c r="AH153" s="92" t="str">
        <f t="shared" si="82"/>
        <v>"%USERPROFILE%\Documents\GitHub\eaglep3\Utilities\RefineRTDCRunTimes.py" --tripid 241-30 --locoid 4038 --swversion DE.1.0.8.0 --startMP 204:440 --initTime 2016-10-30T23:51:44 --startdatetime 2016-10-31T00:00:15 --delay 1 --endMP 204:233295 --enddatetime 2016-10-31T00:35:55 --enforcementcount 0 &gt;&gt;C:\Users\stu\Documents\GitHub\eaglep3-reporting\EC\2016-10-30-refined-times.txt</v>
      </c>
      <c r="AI153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{"issue":{"subject":"","project_id":79,"tracker_id":40,"status_id":1,"priority_id":2,"assigned_to_id":23,"start_date":"2016-10-31","description":"","custom_fields":[{"id":1,"name":"Subdivision","value":"EC"},{"id":4,"name":"Milepost","value":"23.3295"},{"id":17,"name":"Train ID","value":"241-30"},{"id":16,"name":"Locomotive ID","value":"4038"},{"id":130,"name":"Impact","value":""},{"id":150,"name":"Time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427</v>
      </c>
      <c r="B154" s="7">
        <v>4037</v>
      </c>
      <c r="C154" s="22" t="s">
        <v>284</v>
      </c>
      <c r="D154" s="22" t="s">
        <v>330</v>
      </c>
      <c r="E154" s="13">
        <v>42674.033530092594</v>
      </c>
      <c r="F154" s="13">
        <v>42674.039131944446</v>
      </c>
      <c r="G154" s="7">
        <v>1</v>
      </c>
      <c r="H154" s="13" t="s">
        <v>323</v>
      </c>
      <c r="I154" s="13">
        <v>42674.065196759257</v>
      </c>
      <c r="J154" s="7">
        <v>0</v>
      </c>
      <c r="K154" s="112" t="str">
        <f t="shared" si="67"/>
        <v>4037/4038</v>
      </c>
      <c r="L154" s="22" t="str">
        <f>VLOOKUP(A154,'Trips&amp;Operators'!$C$1:$E$10000,3,FALSE)</f>
        <v>NEWELL</v>
      </c>
      <c r="M154" s="6">
        <f t="shared" si="68"/>
        <v>2.6064814810524695E-2</v>
      </c>
      <c r="N154" s="7">
        <f t="shared" si="69"/>
        <v>37.53333332715556</v>
      </c>
      <c r="O154" s="7"/>
      <c r="P154" s="7"/>
      <c r="Q154" s="23"/>
      <c r="R154" s="23"/>
      <c r="S154" s="35">
        <f t="shared" si="70"/>
        <v>1</v>
      </c>
      <c r="T154" s="50" t="str">
        <f t="shared" si="71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23:48:17-0600',mode:absolute,to:'2016-10-31 02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4" s="52" t="str">
        <f t="shared" si="73"/>
        <v>N</v>
      </c>
      <c r="X154" s="177">
        <f t="shared" si="74"/>
        <v>1</v>
      </c>
      <c r="Y154" s="67">
        <f t="shared" si="75"/>
        <v>23.297499999999999</v>
      </c>
      <c r="Z154" s="67">
        <f t="shared" si="76"/>
        <v>1.34E-2</v>
      </c>
      <c r="AA154" s="67">
        <f t="shared" si="77"/>
        <v>23.284099999999999</v>
      </c>
      <c r="AB154" s="64" t="str">
        <f>VLOOKUP(A154,Enforcements!$C$7:$K$21,8,0)</f>
        <v>Bulletin (2)</v>
      </c>
      <c r="AC154" s="60" t="str">
        <f>VLOOKUP(A154,Enforcements!$C$7:$E$21,3,0)</f>
        <v>GRADE CROSSING</v>
      </c>
      <c r="AD154" s="61" t="str">
        <f t="shared" si="78"/>
        <v>0242-30</v>
      </c>
      <c r="AE154" s="91" t="str">
        <f t="shared" si="79"/>
        <v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v>
      </c>
      <c r="AF154" s="88" t="str">
        <f t="shared" si="80"/>
        <v>"C:\Program Files (x86)\AstroGrep\AstroGrep.exe" /spath="%USERPROFILE%\AppData\Local\Temp\OnboardLogs" /stypes="app*4037*20161031*" /stext=" 07:.+((SYSTEM_STATE.+slice.+state.+changed )|(ment ac)|(system.+state.+changed )|(\[timeout)|(PRM\|1\|D)|(kpr)|(kdp)|(\|lc)|(penalty))" /e /r /s</v>
      </c>
      <c r="AG154" s="1" t="str">
        <f t="shared" si="81"/>
        <v>EC</v>
      </c>
      <c r="AH154" s="92" t="str">
        <f t="shared" si="82"/>
        <v>"%USERPROFILE%\Documents\GitHub\eaglep3\Utilities\RefineRTDCRunTimes.py" --tripid 242-30 --locoid 4037 --swversion DE.1.0.8.0 --startMP 204:232975 --initTime 2016-10-31T00:48:17 --startdatetime 2016-10-31T00:56:21 --delay 1 --endMP 204:134 --enddatetime 2016-10-31T01:33:53 --enforcementcount 0 &gt;&gt;C:\Users\stu\Documents\GitHub\eaglep3-reporting\EC\2016-10-30-refined-times.txt</v>
      </c>
      <c r="AI154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{"issue":{"subject":"","project_id":79,"tracker_id":40,"status_id":1,"priority_id":2,"assigned_to_id":23,"start_date":"2016-10-31","description":"","custom_fields":[{"id":1,"name":"Subdivision","value":"EC"},{"id":4,"name":"Milepost","value":"0.0134"},{"id":17,"name":"Train ID","value":"242-30"},{"id":16,"name":"Locomotive ID","value":"4037"},{"id":130,"name":"Impact","value":""},{"id":150,"name":"Time of Event (Mountain Time)","value":"01:33:53"},{"id":151,"name":"Denver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620</v>
      </c>
      <c r="B155" s="7">
        <v>4027</v>
      </c>
      <c r="C155" s="22" t="s">
        <v>284</v>
      </c>
      <c r="D155" s="22" t="s">
        <v>239</v>
      </c>
      <c r="E155" s="13">
        <v>42674.018993055557</v>
      </c>
      <c r="F155" s="13">
        <v>42674.021053240744</v>
      </c>
      <c r="G155" s="7">
        <v>1</v>
      </c>
      <c r="H155" s="13" t="s">
        <v>296</v>
      </c>
      <c r="I155" s="13">
        <v>42674.047812500001</v>
      </c>
      <c r="J155" s="7">
        <v>0</v>
      </c>
      <c r="K155" s="112" t="str">
        <f t="shared" si="67"/>
        <v>4027/4028</v>
      </c>
      <c r="L155" s="22" t="str">
        <f>VLOOKUP(A155,'Trips&amp;Operators'!$C$1:$E$10000,3,FALSE)</f>
        <v>CHANDLER</v>
      </c>
      <c r="M155" s="6">
        <f t="shared" si="68"/>
        <v>2.675925925723277E-2</v>
      </c>
      <c r="N155" s="7">
        <f t="shared" si="69"/>
        <v>38.533333330415189</v>
      </c>
      <c r="O155" s="7"/>
      <c r="P155" s="7"/>
      <c r="Q155" s="23"/>
      <c r="R155" s="23"/>
      <c r="S155" s="35">
        <f t="shared" si="70"/>
        <v>1</v>
      </c>
      <c r="T155" s="50" t="str">
        <f t="shared" si="71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23:27:21-0600',mode:absolute,to:'2016-10-31 02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5" s="52" t="str">
        <f t="shared" si="73"/>
        <v>N</v>
      </c>
      <c r="X155" s="177">
        <f t="shared" si="74"/>
        <v>1</v>
      </c>
      <c r="Y155" s="67">
        <f t="shared" si="75"/>
        <v>4.7100000000000003E-2</v>
      </c>
      <c r="Z155" s="67">
        <f t="shared" si="76"/>
        <v>23.328800000000001</v>
      </c>
      <c r="AA155" s="67">
        <f t="shared" si="77"/>
        <v>23.281700000000001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78"/>
        <v>0243-30</v>
      </c>
      <c r="AE155" s="91" t="str">
        <f t="shared" si="79"/>
        <v>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 &amp; 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</v>
      </c>
      <c r="AF155" s="88" t="str">
        <f t="shared" si="80"/>
        <v>"C:\Program Files (x86)\AstroGrep\AstroGrep.exe" /spath="%USERPROFILE%\AppData\Local\Temp\OnboardLogs" /stypes="app*4027*20161031*" /stext=" 07:.+((SYSTEM_STATE.+slice.+state.+changed )|(ment ac)|(system.+state.+changed )|(\[timeout)|(PRM\|1\|D)|(kpr)|(kdp)|(\|lc)|(penalty))" /e /r /s</v>
      </c>
      <c r="AG155" s="1" t="str">
        <f t="shared" si="81"/>
        <v>EC</v>
      </c>
      <c r="AH155" s="92" t="str">
        <f t="shared" si="82"/>
        <v>"%USERPROFILE%\Documents\GitHub\eaglep3\Utilities\RefineRTDCRunTimes.py" --tripid 243-30 --locoid 4027 --swversion DE.1.0.8.0 --startMP 204:471 --initTime 2016-10-31T00:27:21 --startdatetime 2016-10-31T00:30:19 --delay 1 --endMP 204:233288 --enddatetime 2016-10-31T01:08:51 --enforcementcount 0 &gt;&gt;C:\Users\stu\Documents\GitHub\eaglep3-reporting\EC\2016-10-30-refined-times.txt</v>
      </c>
      <c r="AI155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{"issue":{"subject":"","project_id":79,"tracker_id":40,"status_id":1,"priority_id":2,"assigned_to_id":23,"start_date":"2016-10-31","description":"","custom_fields":[{"id":1,"name":"Subdivision","value":"EC"},{"id":4,"name":"Milepost","value":"23.3288"},{"id":17,"name":"Train ID","value":"243-30"},{"id":16,"name":"Locomotive ID","value":"4027"},{"id":130,"name":"Impact","value":""},{"id":150,"name":"Time of Event (Mountain Time)","value":"01:08:51"},{"id":151,"name":"Denver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623</v>
      </c>
      <c r="B156" s="7">
        <v>4028</v>
      </c>
      <c r="C156" s="22" t="s">
        <v>284</v>
      </c>
      <c r="D156" s="22" t="s">
        <v>719</v>
      </c>
      <c r="E156" s="13">
        <v>42674.059016203704</v>
      </c>
      <c r="F156" s="13">
        <v>42674.061145833337</v>
      </c>
      <c r="G156" s="7">
        <v>1</v>
      </c>
      <c r="H156" s="13" t="s">
        <v>263</v>
      </c>
      <c r="I156" s="13">
        <v>42674.088217592594</v>
      </c>
      <c r="J156" s="7">
        <v>0</v>
      </c>
      <c r="K156" s="112" t="str">
        <f t="shared" si="67"/>
        <v>4027/4028</v>
      </c>
      <c r="L156" s="22" t="str">
        <f>VLOOKUP(A156,'Trips&amp;Operators'!$C$1:$E$10000,3,FALSE)</f>
        <v>CHANDLER</v>
      </c>
      <c r="M156" s="6">
        <f t="shared" si="68"/>
        <v>2.7071759257523809E-2</v>
      </c>
      <c r="N156" s="7">
        <f t="shared" si="69"/>
        <v>38.983333330834284</v>
      </c>
      <c r="O156" s="7"/>
      <c r="P156" s="7"/>
      <c r="Q156" s="23"/>
      <c r="R156" s="23"/>
      <c r="S156" s="35">
        <f t="shared" si="70"/>
        <v>1</v>
      </c>
      <c r="T156" s="50" t="str">
        <f t="shared" si="71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00:24:59-0600',mode:absolute,to:'2016-10-31 03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6" s="52" t="str">
        <f t="shared" si="73"/>
        <v>N</v>
      </c>
      <c r="X156" s="177">
        <f t="shared" si="74"/>
        <v>1</v>
      </c>
      <c r="Y156" s="67">
        <f t="shared" si="75"/>
        <v>23.295500000000001</v>
      </c>
      <c r="Z156" s="67">
        <f t="shared" si="76"/>
        <v>1.67E-2</v>
      </c>
      <c r="AA156" s="67">
        <f t="shared" si="77"/>
        <v>23.2788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78"/>
        <v>0244-30</v>
      </c>
      <c r="AE156" s="91" t="str">
        <f t="shared" si="79"/>
        <v>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 &amp; 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</v>
      </c>
      <c r="AF156" s="88" t="str">
        <f t="shared" si="80"/>
        <v>"C:\Program Files (x86)\AstroGrep\AstroGrep.exe" /spath="%USERPROFILE%\AppData\Local\Temp\OnboardLogs" /stypes="app*4028*20161031*" /stext=" 08:.+((SYSTEM_STATE.+slice.+state.+changed )|(ment ac)|(system.+state.+changed )|(\[timeout)|(PRM\|1\|D)|(kpr)|(kdp)|(\|lc)|(penalty))" /e /r /s</v>
      </c>
      <c r="AG156" s="1" t="str">
        <f t="shared" si="81"/>
        <v>EC</v>
      </c>
      <c r="AH156" s="92" t="str">
        <f t="shared" si="82"/>
        <v>"%USERPROFILE%\Documents\GitHub\eaglep3\Utilities\RefineRTDCRunTimes.py" --tripid 244-30 --locoid 4028 --swversion DE.1.0.8.0 --startMP 204:232955 --initTime 2016-10-31T01:24:59 --startdatetime 2016-10-31T01:28:03 --delay 1 --endMP 204:167 --enddatetime 2016-10-31T02:07:02 --enforcementcount 0 &gt;&gt;C:\Users\stu\Documents\GitHub\eaglep3-reporting\EC\2016-10-30-refined-times.txt</v>
      </c>
      <c r="AI156" s="122" t="str">
        <f t="shared" si="83"/>
        <v>echo {"issue":{"subject":"","project_id":79,"tracker_id":40,"status_id":1,"priority_id":2,"assigned_to_id":23,"start_date":"2016-10-31","description":"","custom_fields":[{"id":1,"name":"Subdivision","value":"EC"},{"id":4,"name":"Milepost","value":"0.0167"},{"id":17,"name":"Train ID","value":"244-30"},{"id":16,"name":"Locomotive ID","value":"4028"},{"id":130,"name":"Impact","value":""},{"id":150,"name":"Time of Event (Mountain Time)","value":"02:07:02"},{"id":151,"name":"Denver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459</v>
      </c>
      <c r="B157" s="7">
        <v>4021</v>
      </c>
      <c r="C157" s="22" t="s">
        <v>284</v>
      </c>
      <c r="D157" s="22" t="s">
        <v>384</v>
      </c>
      <c r="E157" s="13">
        <v>42673.236076388886</v>
      </c>
      <c r="F157" s="13">
        <v>42673.238113425927</v>
      </c>
      <c r="G157" s="7">
        <v>1</v>
      </c>
      <c r="H157" s="13" t="s">
        <v>663</v>
      </c>
      <c r="I157" s="13">
        <v>42673.240439814814</v>
      </c>
      <c r="J157" s="7">
        <v>0</v>
      </c>
      <c r="K157" s="112" t="str">
        <f t="shared" si="67"/>
        <v>4021/4022</v>
      </c>
      <c r="L157" s="22" t="str">
        <f>VLOOKUP(A157,'Trips&amp;Operators'!$C$1:$E$10000,3,FALSE)</f>
        <v>STARKS</v>
      </c>
      <c r="M157" s="6">
        <f t="shared" si="68"/>
        <v>2.3263888870133087E-3</v>
      </c>
      <c r="N157" s="7"/>
      <c r="O157" s="7"/>
      <c r="P157" s="7">
        <f t="shared" si="69"/>
        <v>3.3499999972991645</v>
      </c>
      <c r="Q157" s="23"/>
      <c r="R157" s="23" t="s">
        <v>783</v>
      </c>
      <c r="S157" s="35">
        <f t="shared" si="70"/>
        <v>0</v>
      </c>
      <c r="T157" s="50" t="str">
        <f t="shared" si="71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04:39:57-0600',mode:absolute,to:'2016-10-30 06:46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7" s="52" t="str">
        <f t="shared" si="73"/>
        <v>Y</v>
      </c>
      <c r="X157" s="177">
        <f t="shared" si="74"/>
        <v>1556</v>
      </c>
      <c r="Y157" s="67">
        <f t="shared" si="75"/>
        <v>5.8605999999999998</v>
      </c>
      <c r="Z157" s="67">
        <f t="shared" si="76"/>
        <v>5.1959</v>
      </c>
      <c r="AA157" s="67">
        <f t="shared" si="77"/>
        <v>0.66469999999999985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78"/>
        <v>1800-30</v>
      </c>
      <c r="AE15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57" s="88" t="str">
        <f t="shared" si="80"/>
        <v>"C:\Program Files (x86)\AstroGrep\AstroGrep.exe" /spath="%USERPROFILE%\AppData\Local\Temp\OnboardLogs" /stypes="app*4021*20161030*" /stext=" 11:.+((SYSTEM_STATE.+slice.+state.+changed )|(ment ac)|(system.+state.+changed )|(\[timeout)|(PRM\|1\|D)|(kpr)|(kdp)|(\|lc)|(penalty))" /e /r /s</v>
      </c>
      <c r="AG157" s="1" t="str">
        <f t="shared" si="81"/>
        <v>NW</v>
      </c>
      <c r="AH157" s="92" t="str">
        <f t="shared" si="82"/>
        <v>"%USERPROFILE%\Documents\GitHub\eaglep3\Utilities\RefineRTDCRunTimes.py" --tripid 1800-30 --locoid 4021 --swversion DE.1.0.8.0 --startMP 300:58606 --initTime 2016-10-30T05:39:57 --startdatetime 2016-10-30T05:42:53 --delay 1 --endMP 300:51959 --enddatetime 2016-10-30T05:46:14 --enforcementcount 0 &gt;&gt;C:\Users\stu\Documents\GitHub\eaglep3-reporting\EC\2016-10-30-refined-times.txt</v>
      </c>
      <c r="AI157" s="122" t="str">
        <f t="shared" si="83"/>
        <v>echo {"issue":{"subject":"Went active past Westminster 2S, could have proceeded @ restricted to next signal instead of cutting out","project_id":79,"tracker_id":40,"status_id":1,"priority_id":2,"assigned_to_id":23,"start_date":"2016-10-30","description":"","custom_fields":[{"id":1,"name":"Subdivision","value":"NW"},{"id":4,"name":"Milepost","value":"5.1959"},{"id":17,"name":"Train ID","value":"1800-30"},{"id":16,"name":"Locomotive ID","value":"4021"},{"id":130,"name":"Impact","value":""},{"id":150,"name":"Time of Event (Mountain Time)","value":"05:46:14"},{"id":151,"name":"Denver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462</v>
      </c>
      <c r="B158" s="7">
        <v>4022</v>
      </c>
      <c r="C158" s="22" t="s">
        <v>284</v>
      </c>
      <c r="D158" s="22" t="s">
        <v>664</v>
      </c>
      <c r="E158" s="13">
        <v>42673.250787037039</v>
      </c>
      <c r="F158" s="13">
        <v>42673.264780092592</v>
      </c>
      <c r="G158" s="7">
        <v>1</v>
      </c>
      <c r="H158" s="13" t="s">
        <v>337</v>
      </c>
      <c r="I158" s="13">
        <v>42673.274687500001</v>
      </c>
      <c r="J158" s="7">
        <v>0</v>
      </c>
      <c r="K158" s="112" t="str">
        <f t="shared" si="67"/>
        <v>4021/4022</v>
      </c>
      <c r="L158" s="22" t="str">
        <f>VLOOKUP(A158,'Trips&amp;Operators'!$C$1:$E$10000,3,FALSE)</f>
        <v>STARKS</v>
      </c>
      <c r="M158" s="6">
        <f t="shared" si="68"/>
        <v>9.9074074096279219E-3</v>
      </c>
      <c r="N158" s="7">
        <f t="shared" si="69"/>
        <v>14.266666669864208</v>
      </c>
      <c r="O158" s="7"/>
      <c r="P158" s="7"/>
      <c r="Q158" s="23"/>
      <c r="R158" s="23"/>
      <c r="S158" s="35">
        <f t="shared" si="70"/>
        <v>1</v>
      </c>
      <c r="T158" s="50" t="str">
        <f t="shared" si="71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05:01:08-0600',mode:absolute,to:'2016-10-30 07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8" s="52" t="str">
        <f t="shared" si="73"/>
        <v>N</v>
      </c>
      <c r="X158" s="177">
        <f t="shared" si="74"/>
        <v>1</v>
      </c>
      <c r="Y158" s="67">
        <f t="shared" si="75"/>
        <v>9.9900000000000003E-2</v>
      </c>
      <c r="Z158" s="67">
        <f t="shared" si="76"/>
        <v>5.8925999999999998</v>
      </c>
      <c r="AA158" s="67">
        <f t="shared" si="77"/>
        <v>5.7927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78"/>
        <v>1801-30</v>
      </c>
      <c r="AE15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58" s="88" t="str">
        <f t="shared" si="80"/>
        <v>"C:\Program Files (x86)\AstroGrep\AstroGrep.exe" /spath="%USERPROFILE%\AppData\Local\Temp\OnboardLogs" /stypes="app*4022*20161030*" /stext=" 12:.+((SYSTEM_STATE.+slice.+state.+changed )|(ment ac)|(system.+state.+changed )|(\[timeout)|(PRM\|1\|D)|(kpr)|(kdp)|(\|lc)|(penalty))" /e /r /s</v>
      </c>
      <c r="AG158" s="1" t="str">
        <f t="shared" si="81"/>
        <v>NW</v>
      </c>
      <c r="AH158" s="92" t="str">
        <f t="shared" si="82"/>
        <v>"%USERPROFILE%\Documents\GitHub\eaglep3\Utilities\RefineRTDCRunTimes.py" --tripid 1801-30 --locoid 4022 --swversion DE.1.0.8.0 --startMP 204:999 --initTime 2016-10-30T06:01:08 --startdatetime 2016-10-30T06:21:17 --delay 1 --endMP 300:58926 --enddatetime 2016-10-30T06:35:33 --enforcementcount 0 &gt;&gt;C:\Users\stu\Documents\GitHub\eaglep3-reporting\EC\2016-10-30-refined-times.txt</v>
      </c>
      <c r="AI15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{"issue":{"subject":"","project_id":79,"tracker_id":40,"status_id":1,"priority_id":2,"assigned_to_id":23,"start_date":"2016-10-30","description":"","custom_fields":[{"id":1,"name":"Subdivision","value":"NW"},{"id":4,"name":"Milepost","value":"5.8926"},{"id":17,"name":"Train ID","value":"1801-30"},{"id":16,"name":"Locomotive ID","value":"4022"},{"id":130,"name":"Impact","value":""},{"id":150,"name":"Time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393</v>
      </c>
      <c r="B159" s="7">
        <v>4021</v>
      </c>
      <c r="C159" s="22" t="s">
        <v>284</v>
      </c>
      <c r="D159" s="22" t="s">
        <v>389</v>
      </c>
      <c r="E159" s="13">
        <v>42673.275752314818</v>
      </c>
      <c r="F159" s="13">
        <v>42673.277291666665</v>
      </c>
      <c r="G159" s="7">
        <v>1</v>
      </c>
      <c r="H159" s="13" t="s">
        <v>665</v>
      </c>
      <c r="I159" s="13">
        <v>42673.288564814815</v>
      </c>
      <c r="J159" s="7">
        <v>0</v>
      </c>
      <c r="K159" s="112" t="str">
        <f t="shared" si="67"/>
        <v>4021/4022</v>
      </c>
      <c r="L159" s="22" t="str">
        <f>VLOOKUP(A159,'Trips&amp;Operators'!$C$1:$E$10000,3,FALSE)</f>
        <v>STARKS</v>
      </c>
      <c r="M159" s="6">
        <f t="shared" si="68"/>
        <v>1.1273148149484769E-2</v>
      </c>
      <c r="N159" s="7">
        <f t="shared" si="69"/>
        <v>16.233333335258067</v>
      </c>
      <c r="O159" s="7"/>
      <c r="P159" s="7"/>
      <c r="Q159" s="23"/>
      <c r="R159" s="23"/>
      <c r="S159" s="35">
        <f t="shared" si="70"/>
        <v>1</v>
      </c>
      <c r="T159" s="50" t="str">
        <f t="shared" si="71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05:37:05-0600',mode:absolute,to:'2016-10-30 07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9" s="52" t="str">
        <f t="shared" si="73"/>
        <v>N</v>
      </c>
      <c r="X159" s="177">
        <f t="shared" si="74"/>
        <v>1</v>
      </c>
      <c r="Y159" s="67">
        <f t="shared" si="75"/>
        <v>5.8604000000000003</v>
      </c>
      <c r="Z159" s="67">
        <f t="shared" si="76"/>
        <v>7.5200000000000003E-2</v>
      </c>
      <c r="AA159" s="67">
        <f t="shared" si="77"/>
        <v>5.7852000000000006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78"/>
        <v>1802-30</v>
      </c>
      <c r="AE15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59" s="88" t="str">
        <f t="shared" si="80"/>
        <v>"C:\Program Files (x86)\AstroGrep\AstroGrep.exe" /spath="%USERPROFILE%\AppData\Local\Temp\OnboardLogs" /stypes="app*4021*20161030*" /stext=" 12:.+((SYSTEM_STATE.+slice.+state.+changed )|(ment ac)|(system.+state.+changed )|(\[timeout)|(PRM\|1\|D)|(kpr)|(kdp)|(\|lc)|(penalty))" /e /r /s</v>
      </c>
      <c r="AG159" s="1" t="str">
        <f t="shared" si="81"/>
        <v>NW</v>
      </c>
      <c r="AH159" s="92" t="str">
        <f t="shared" si="82"/>
        <v>"%USERPROFILE%\Documents\GitHub\eaglep3\Utilities\RefineRTDCRunTimes.py" --tripid 1802-30 --locoid 4021 --swversion DE.1.0.8.0 --startMP 300:58604 --initTime 2016-10-30T06:37:05 --startdatetime 2016-10-30T06:39:18 --delay 1 --endMP 204:752 --enddatetime 2016-10-30T06:55:32 --enforcementcount 0 &gt;&gt;C:\Users\stu\Documents\GitHub\eaglep3-reporting\EC\2016-10-30-refined-times.txt</v>
      </c>
      <c r="AI15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{"issue":{"subject":"","project_id":79,"tracker_id":40,"status_id":1,"priority_id":2,"assigned_to_id":23,"start_date":"2016-10-30","description":"","custom_fields":[{"id":1,"name":"Subdivision","value":"NW"},{"id":4,"name":"Milepost","value":"0.0752"},{"id":17,"name":"Train ID","value":"1802-30"},{"id":16,"name":"Locomotive ID","value":"4021"},{"id":130,"name":"Impact","value":""},{"id":150,"name":"Time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470</v>
      </c>
      <c r="B160" s="7">
        <v>4022</v>
      </c>
      <c r="C160" s="22" t="s">
        <v>284</v>
      </c>
      <c r="D160" s="22" t="s">
        <v>336</v>
      </c>
      <c r="E160" s="13">
        <v>42673.301365740743</v>
      </c>
      <c r="F160" s="13">
        <v>42673.306493055556</v>
      </c>
      <c r="G160" s="7">
        <v>1</v>
      </c>
      <c r="H160" s="13" t="s">
        <v>383</v>
      </c>
      <c r="I160" s="13">
        <v>42673.316134259258</v>
      </c>
      <c r="J160" s="7">
        <v>0</v>
      </c>
      <c r="K160" s="112" t="str">
        <f t="shared" si="67"/>
        <v>4021/4022</v>
      </c>
      <c r="L160" s="22" t="str">
        <f>VLOOKUP(A160,'Trips&amp;Operators'!$C$1:$E$10000,3,FALSE)</f>
        <v>STARKS</v>
      </c>
      <c r="M160" s="6">
        <f t="shared" si="68"/>
        <v>9.6412037019035779E-3</v>
      </c>
      <c r="N160" s="7">
        <f t="shared" si="69"/>
        <v>13.883333330741152</v>
      </c>
      <c r="O160" s="7"/>
      <c r="P160" s="7"/>
      <c r="Q160" s="23"/>
      <c r="R160" s="23"/>
      <c r="S160" s="35">
        <f t="shared" si="70"/>
        <v>1</v>
      </c>
      <c r="T160" s="50" t="str">
        <f t="shared" si="71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06:13:58-0600',mode:absolute,to:'2016-10-30 08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0" s="52" t="str">
        <f t="shared" si="73"/>
        <v>N</v>
      </c>
      <c r="X160" s="177">
        <f t="shared" si="74"/>
        <v>1</v>
      </c>
      <c r="Y160" s="67">
        <f t="shared" si="75"/>
        <v>0.1018</v>
      </c>
      <c r="Z160" s="67">
        <f t="shared" si="76"/>
        <v>5.8929</v>
      </c>
      <c r="AA160" s="67">
        <f t="shared" si="77"/>
        <v>5.7911000000000001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78"/>
        <v>1803-30</v>
      </c>
      <c r="AE16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0" s="88" t="str">
        <f t="shared" si="80"/>
        <v>"C:\Program Files (x86)\AstroGrep\AstroGrep.exe" /spath="%USERPROFILE%\AppData\Local\Temp\OnboardLogs" /stypes="app*4022*20161030*" /stext=" 13:.+((SYSTEM_STATE.+slice.+state.+changed )|(ment ac)|(system.+state.+changed )|(\[timeout)|(PRM\|1\|D)|(kpr)|(kdp)|(\|lc)|(penalty))" /e /r /s</v>
      </c>
      <c r="AG160" s="1" t="str">
        <f t="shared" si="81"/>
        <v>NW</v>
      </c>
      <c r="AH160" s="92" t="str">
        <f t="shared" si="82"/>
        <v>"%USERPROFILE%\Documents\GitHub\eaglep3\Utilities\RefineRTDCRunTimes.py" --tripid 1803-30 --locoid 4022 --swversion DE.1.0.8.0 --startMP 204:1018 --initTime 2016-10-30T07:13:58 --startdatetime 2016-10-30T07:21:21 --delay 1 --endMP 300:58929 --enddatetime 2016-10-30T07:35:14 --enforcementcount 0 &gt;&gt;C:\Users\stu\Documents\GitHub\eaglep3-reporting\EC\2016-10-30-refined-times.txt</v>
      </c>
      <c r="AI16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{"issue":{"subject":"","project_id":79,"tracker_id":40,"status_id":1,"priority_id":2,"assigned_to_id":23,"start_date":"2016-10-30","description":"","custom_fields":[{"id":1,"name":"Subdivision","value":"NW"},{"id":4,"name":"Milepost","value":"5.8929"},{"id":17,"name":"Train ID","value":"1803-30"},{"id":16,"name":"Locomotive ID","value":"4022"},{"id":130,"name":"Impact","value":""},{"id":150,"name":"Time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474</v>
      </c>
      <c r="B161" s="7">
        <v>4021</v>
      </c>
      <c r="C161" s="22" t="s">
        <v>284</v>
      </c>
      <c r="D161" s="22" t="s">
        <v>666</v>
      </c>
      <c r="E161" s="13">
        <v>42673.317175925928</v>
      </c>
      <c r="F161" s="13">
        <v>42673.318460648145</v>
      </c>
      <c r="G161" s="7">
        <v>1</v>
      </c>
      <c r="H161" s="13" t="s">
        <v>644</v>
      </c>
      <c r="I161" s="13">
        <v>42673.330254629633</v>
      </c>
      <c r="J161" s="7">
        <v>0</v>
      </c>
      <c r="K161" s="112" t="str">
        <f t="shared" si="67"/>
        <v>4021/4022</v>
      </c>
      <c r="L161" s="22" t="str">
        <f>VLOOKUP(A161,'Trips&amp;Operators'!$C$1:$E$10000,3,FALSE)</f>
        <v>STARKS</v>
      </c>
      <c r="M161" s="6">
        <f t="shared" si="68"/>
        <v>1.1793981488153804E-2</v>
      </c>
      <c r="N161" s="7">
        <f t="shared" si="69"/>
        <v>16.983333342941478</v>
      </c>
      <c r="O161" s="7"/>
      <c r="P161" s="7"/>
      <c r="Q161" s="23"/>
      <c r="R161" s="23"/>
      <c r="S161" s="35">
        <f t="shared" si="70"/>
        <v>1</v>
      </c>
      <c r="T161" s="50" t="str">
        <f t="shared" si="71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06:36:44-0600',mode:absolute,to:'2016-10-30 08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1" s="52" t="str">
        <f t="shared" si="73"/>
        <v>N</v>
      </c>
      <c r="X161" s="177">
        <f t="shared" si="74"/>
        <v>1</v>
      </c>
      <c r="Y161" s="67">
        <f t="shared" si="75"/>
        <v>5.8616999999999999</v>
      </c>
      <c r="Z161" s="67">
        <f t="shared" si="76"/>
        <v>7.5899999999999995E-2</v>
      </c>
      <c r="AA161" s="67">
        <f t="shared" si="77"/>
        <v>5.7858000000000001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78"/>
        <v>1804-30</v>
      </c>
      <c r="AE16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1" s="88" t="str">
        <f t="shared" si="80"/>
        <v>"C:\Program Files (x86)\AstroGrep\AstroGrep.exe" /spath="%USERPROFILE%\AppData\Local\Temp\OnboardLogs" /stypes="app*4021*20161030*" /stext=" 13:.+((SYSTEM_STATE.+slice.+state.+changed )|(ment ac)|(system.+state.+changed )|(\[timeout)|(PRM\|1\|D)|(kpr)|(kdp)|(\|lc)|(penalty))" /e /r /s</v>
      </c>
      <c r="AG161" s="1" t="str">
        <f t="shared" si="81"/>
        <v>NW</v>
      </c>
      <c r="AH161" s="92" t="str">
        <f t="shared" si="82"/>
        <v>"%USERPROFILE%\Documents\GitHub\eaglep3\Utilities\RefineRTDCRunTimes.py" --tripid 1804-30 --locoid 4021 --swversion DE.1.0.8.0 --startMP 300:58617 --initTime 2016-10-30T07:36:44 --startdatetime 2016-10-30T07:38:35 --delay 1 --endMP 204:759 --enddatetime 2016-10-30T07:55:34 --enforcementcount 0 &gt;&gt;C:\Users\stu\Documents\GitHub\eaglep3-reporting\EC\2016-10-30-refined-times.txt</v>
      </c>
      <c r="AI16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{"issue":{"subject":"","project_id":79,"tracker_id":40,"status_id":1,"priority_id":2,"assigned_to_id":23,"start_date":"2016-10-30","description":"","custom_fields":[{"id":1,"name":"Subdivision","value":"NW"},{"id":4,"name":"Milepost","value":"0.0759"},{"id":17,"name":"Train ID","value":"1804-30"},{"id":16,"name":"Locomotive ID","value":"4021"},{"id":130,"name":"Impact","value":""},{"id":150,"name":"Time of Event (Mountain Time)","value":"07:55:34"},{"id":151,"name":"Denver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479</v>
      </c>
      <c r="B162" s="7">
        <v>4022</v>
      </c>
      <c r="C162" s="22" t="s">
        <v>284</v>
      </c>
      <c r="D162" s="22" t="s">
        <v>667</v>
      </c>
      <c r="E162" s="13">
        <v>42673.345196759263</v>
      </c>
      <c r="F162" s="13">
        <v>42673.348101851851</v>
      </c>
      <c r="G162" s="7">
        <v>1</v>
      </c>
      <c r="H162" s="13" t="s">
        <v>388</v>
      </c>
      <c r="I162" s="13">
        <v>42673.358101851853</v>
      </c>
      <c r="J162" s="7">
        <v>0</v>
      </c>
      <c r="K162" s="112" t="str">
        <f t="shared" si="67"/>
        <v>4021/4022</v>
      </c>
      <c r="L162" s="22" t="str">
        <f>VLOOKUP(A162,'Trips&amp;Operators'!$C$1:$E$10000,3,FALSE)</f>
        <v>STARKS</v>
      </c>
      <c r="M162" s="6">
        <f t="shared" si="68"/>
        <v>1.0000000002037268E-2</v>
      </c>
      <c r="N162" s="7">
        <f t="shared" si="69"/>
        <v>14.400000002933666</v>
      </c>
      <c r="O162" s="7"/>
      <c r="P162" s="7"/>
      <c r="Q162" s="23"/>
      <c r="R162" s="23"/>
      <c r="S162" s="35">
        <f t="shared" si="70"/>
        <v>1</v>
      </c>
      <c r="T162" s="50" t="str">
        <f t="shared" si="71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07:17:05-0600',mode:absolute,to:'2016-10-30 09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2" s="52" t="str">
        <f t="shared" si="73"/>
        <v>N</v>
      </c>
      <c r="X162" s="177">
        <f t="shared" si="74"/>
        <v>1</v>
      </c>
      <c r="Y162" s="67">
        <f t="shared" si="75"/>
        <v>0.1023</v>
      </c>
      <c r="Z162" s="67">
        <f t="shared" si="76"/>
        <v>5.8930999999999996</v>
      </c>
      <c r="AA162" s="67">
        <f t="shared" si="77"/>
        <v>5.7907999999999999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78"/>
        <v>1805-30</v>
      </c>
      <c r="AE16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2" s="88" t="str">
        <f t="shared" si="80"/>
        <v>"C:\Program Files (x86)\AstroGrep\AstroGrep.exe" /spath="%USERPROFILE%\AppData\Local\Temp\OnboardLogs" /stypes="app*4022*20161030*" /stext=" 14:.+((SYSTEM_STATE.+slice.+state.+changed )|(ment ac)|(system.+state.+changed )|(\[timeout)|(PRM\|1\|D)|(kpr)|(kdp)|(\|lc)|(penalty))" /e /r /s</v>
      </c>
      <c r="AG162" s="1" t="str">
        <f t="shared" si="81"/>
        <v>NW</v>
      </c>
      <c r="AH162" s="92" t="str">
        <f t="shared" si="82"/>
        <v>"%USERPROFILE%\Documents\GitHub\eaglep3\Utilities\RefineRTDCRunTimes.py" --tripid 1805-30 --locoid 4022 --swversion DE.1.0.8.0 --startMP 204:1023 --initTime 2016-10-30T08:17:05 --startdatetime 2016-10-30T08:21:16 --delay 1 --endMP 300:58931 --enddatetime 2016-10-30T08:35:40 --enforcementcount 0 &gt;&gt;C:\Users\stu\Documents\GitHub\eaglep3-reporting\EC\2016-10-30-refined-times.txt</v>
      </c>
      <c r="AI16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{"issue":{"subject":"","project_id":79,"tracker_id":40,"status_id":1,"priority_id":2,"assigned_to_id":23,"start_date":"2016-10-30","description":"","custom_fields":[{"id":1,"name":"Subdivision","value":"NW"},{"id":4,"name":"Milepost","value":"5.8931"},{"id":17,"name":"Train ID","value":"1805-30"},{"id":16,"name":"Locomotive ID","value":"4022"},{"id":130,"name":"Impact","value":""},{"id":150,"name":"Time of Event (Mountain Time)","value":"08:35:40"},{"id":151,"name":"Denver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482</v>
      </c>
      <c r="B163" s="7">
        <v>4021</v>
      </c>
      <c r="C163" s="22" t="s">
        <v>284</v>
      </c>
      <c r="D163" s="22" t="s">
        <v>390</v>
      </c>
      <c r="E163" s="13">
        <v>42673.3596875</v>
      </c>
      <c r="F163" s="13">
        <v>42673.360821759263</v>
      </c>
      <c r="G163" s="7">
        <v>1</v>
      </c>
      <c r="H163" s="13" t="s">
        <v>668</v>
      </c>
      <c r="I163" s="13">
        <v>42673.37195601852</v>
      </c>
      <c r="J163" s="7">
        <v>0</v>
      </c>
      <c r="K163" s="112" t="str">
        <f t="shared" si="67"/>
        <v>4021/4022</v>
      </c>
      <c r="L163" s="22" t="str">
        <f>VLOOKUP(A163,'Trips&amp;Operators'!$C$1:$E$10000,3,FALSE)</f>
        <v>STARKS</v>
      </c>
      <c r="M163" s="6">
        <f t="shared" si="68"/>
        <v>1.113425925723277E-2</v>
      </c>
      <c r="N163" s="7">
        <f t="shared" si="69"/>
        <v>16.033333330415189</v>
      </c>
      <c r="O163" s="7"/>
      <c r="P163" s="7"/>
      <c r="Q163" s="23"/>
      <c r="R163" s="23"/>
      <c r="S163" s="35">
        <f t="shared" si="70"/>
        <v>1</v>
      </c>
      <c r="T163" s="50" t="str">
        <f t="shared" si="71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07:37:57-0600',mode:absolute,to:'2016-10-30 09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3" s="52" t="str">
        <f t="shared" si="73"/>
        <v>N</v>
      </c>
      <c r="X163" s="177">
        <f t="shared" si="74"/>
        <v>1</v>
      </c>
      <c r="Y163" s="67">
        <f t="shared" si="75"/>
        <v>5.8611000000000004</v>
      </c>
      <c r="Z163" s="67">
        <f t="shared" si="76"/>
        <v>7.1900000000000006E-2</v>
      </c>
      <c r="AA163" s="67">
        <f t="shared" si="77"/>
        <v>5.7892000000000001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78"/>
        <v>1806-30</v>
      </c>
      <c r="AE16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3" s="88" t="str">
        <f t="shared" si="80"/>
        <v>"C:\Program Files (x86)\AstroGrep\AstroGrep.exe" /spath="%USERPROFILE%\AppData\Local\Temp\OnboardLogs" /stypes="app*4021*20161030*" /stext=" 14:.+((SYSTEM_STATE.+slice.+state.+changed )|(ment ac)|(system.+state.+changed )|(\[timeout)|(PRM\|1\|D)|(kpr)|(kdp)|(\|lc)|(penalty))" /e /r /s</v>
      </c>
      <c r="AG163" s="1" t="str">
        <f t="shared" si="81"/>
        <v>NW</v>
      </c>
      <c r="AH163" s="92" t="str">
        <f t="shared" si="82"/>
        <v>"%USERPROFILE%\Documents\GitHub\eaglep3\Utilities\RefineRTDCRunTimes.py" --tripid 1806-30 --locoid 4021 --swversion DE.1.0.8.0 --startMP 300:58611 --initTime 2016-10-30T08:37:57 --startdatetime 2016-10-30T08:39:35 --delay 1 --endMP 204:719 --enddatetime 2016-10-30T08:55:37 --enforcementcount 0 &gt;&gt;C:\Users\stu\Documents\GitHub\eaglep3-reporting\EC\2016-10-30-refined-times.txt</v>
      </c>
      <c r="AI16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{"issue":{"subject":"","project_id":79,"tracker_id":40,"status_id":1,"priority_id":2,"assigned_to_id":23,"start_date":"2016-10-30","description":"","custom_fields":[{"id":1,"name":"Subdivision","value":"NW"},{"id":4,"name":"Milepost","value":"0.0719"},{"id":17,"name":"Train ID","value":"1806-30"},{"id":16,"name":"Locomotive ID","value":"4021"},{"id":130,"name":"Impact","value":""},{"id":150,"name":"Time of Event (Mountain Time)","value":"08:55:37"},{"id":151,"name":"Denver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488</v>
      </c>
      <c r="B164" s="7">
        <v>4022</v>
      </c>
      <c r="C164" s="22" t="s">
        <v>284</v>
      </c>
      <c r="D164" s="22" t="s">
        <v>669</v>
      </c>
      <c r="E164" s="13">
        <v>42673.387418981481</v>
      </c>
      <c r="F164" s="13">
        <v>42673.389768518522</v>
      </c>
      <c r="G164" s="7">
        <v>1</v>
      </c>
      <c r="H164" s="13" t="s">
        <v>383</v>
      </c>
      <c r="I164" s="13">
        <v>42673.399074074077</v>
      </c>
      <c r="J164" s="7">
        <v>0</v>
      </c>
      <c r="K164" s="112" t="str">
        <f t="shared" si="67"/>
        <v>4021/4022</v>
      </c>
      <c r="L164" s="22" t="str">
        <f>VLOOKUP(A164,'Trips&amp;Operators'!$C$1:$E$10000,3,FALSE)</f>
        <v>STARKS</v>
      </c>
      <c r="M164" s="6">
        <f t="shared" si="68"/>
        <v>9.3055555553291924E-3</v>
      </c>
      <c r="N164" s="7">
        <f t="shared" si="69"/>
        <v>13.399999999674037</v>
      </c>
      <c r="O164" s="7"/>
      <c r="P164" s="7"/>
      <c r="Q164" s="23"/>
      <c r="R164" s="23"/>
      <c r="S164" s="35">
        <f t="shared" si="70"/>
        <v>1</v>
      </c>
      <c r="T164" s="50" t="str">
        <f t="shared" si="71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08:17:53-0600',mode:absolute,to:'2016-10-30 10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4" s="52" t="str">
        <f t="shared" si="73"/>
        <v>N</v>
      </c>
      <c r="X164" s="177">
        <f t="shared" si="74"/>
        <v>1</v>
      </c>
      <c r="Y164" s="67">
        <f t="shared" si="75"/>
        <v>0.1013</v>
      </c>
      <c r="Z164" s="67">
        <f t="shared" si="76"/>
        <v>5.8929</v>
      </c>
      <c r="AA164" s="67">
        <f t="shared" si="77"/>
        <v>5.7915999999999999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78"/>
        <v>1807-30</v>
      </c>
      <c r="AE16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4" s="88" t="str">
        <f t="shared" si="80"/>
        <v>"C:\Program Files (x86)\AstroGrep\AstroGrep.exe" /spath="%USERPROFILE%\AppData\Local\Temp\OnboardLogs" /stypes="app*4022*20161030*" /stext=" 15:.+((SYSTEM_STATE.+slice.+state.+changed )|(ment ac)|(system.+state.+changed )|(\[timeout)|(PRM\|1\|D)|(kpr)|(kdp)|(\|lc)|(penalty))" /e /r /s</v>
      </c>
      <c r="AG164" s="1" t="str">
        <f t="shared" si="81"/>
        <v>NW</v>
      </c>
      <c r="AH164" s="92" t="str">
        <f t="shared" si="82"/>
        <v>"%USERPROFILE%\Documents\GitHub\eaglep3\Utilities\RefineRTDCRunTimes.py" --tripid 1807-30 --locoid 4022 --swversion DE.1.0.8.0 --startMP 204:1013 --initTime 2016-10-30T09:17:53 --startdatetime 2016-10-30T09:21:16 --delay 1 --endMP 300:58929 --enddatetime 2016-10-30T09:34:40 --enforcementcount 0 &gt;&gt;C:\Users\stu\Documents\GitHub\eaglep3-reporting\EC\2016-10-30-refined-times.txt</v>
      </c>
      <c r="AI16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{"issue":{"subject":"","project_id":79,"tracker_id":40,"status_id":1,"priority_id":2,"assigned_to_id":23,"start_date":"2016-10-30","description":"","custom_fields":[{"id":1,"name":"Subdivision","value":"NW"},{"id":4,"name":"Milepost","value":"5.8929"},{"id":17,"name":"Train ID","value":"1807-30"},{"id":16,"name":"Locomotive ID","value":"4022"},{"id":130,"name":"Impact","value":""},{"id":150,"name":"Time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400</v>
      </c>
      <c r="B165" s="7">
        <v>4021</v>
      </c>
      <c r="C165" s="22" t="s">
        <v>284</v>
      </c>
      <c r="D165" s="22" t="s">
        <v>670</v>
      </c>
      <c r="E165" s="13">
        <v>42673.400613425925</v>
      </c>
      <c r="F165" s="13">
        <v>42673.402199074073</v>
      </c>
      <c r="G165" s="7">
        <v>2</v>
      </c>
      <c r="H165" s="13" t="s">
        <v>644</v>
      </c>
      <c r="I165" s="13">
        <v>42673.413854166669</v>
      </c>
      <c r="J165" s="7">
        <v>0</v>
      </c>
      <c r="K165" s="112" t="str">
        <f t="shared" si="67"/>
        <v>4021/4022</v>
      </c>
      <c r="L165" s="22" t="str">
        <f>VLOOKUP(A165,'Trips&amp;Operators'!$C$1:$E$10000,3,FALSE)</f>
        <v>STARKS</v>
      </c>
      <c r="M165" s="6">
        <f t="shared" si="68"/>
        <v>1.1655092595901806E-2</v>
      </c>
      <c r="N165" s="7">
        <f t="shared" si="69"/>
        <v>16.783333338098601</v>
      </c>
      <c r="O165" s="7"/>
      <c r="P165" s="7"/>
      <c r="Q165" s="23"/>
      <c r="R165" s="23"/>
      <c r="S165" s="35">
        <f t="shared" si="70"/>
        <v>1</v>
      </c>
      <c r="T165" s="50" t="str">
        <f t="shared" si="71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08:36:53-0600',mode:absolute,to:'2016-10-30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5" s="52" t="str">
        <f t="shared" si="73"/>
        <v>N</v>
      </c>
      <c r="X165" s="177">
        <f t="shared" si="74"/>
        <v>1</v>
      </c>
      <c r="Y165" s="67">
        <f t="shared" si="75"/>
        <v>5.8625999999999996</v>
      </c>
      <c r="Z165" s="67">
        <f t="shared" si="76"/>
        <v>7.5899999999999995E-2</v>
      </c>
      <c r="AA165" s="67">
        <f t="shared" si="77"/>
        <v>5.7866999999999997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78"/>
        <v>1808-30</v>
      </c>
      <c r="AE16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5" s="88" t="str">
        <f t="shared" si="80"/>
        <v>"C:\Program Files (x86)\AstroGrep\AstroGrep.exe" /spath="%USERPROFILE%\AppData\Local\Temp\OnboardLogs" /stypes="app*4021*20161030*" /stext=" 15:.+((SYSTEM_STATE.+slice.+state.+changed )|(ment ac)|(system.+state.+changed )|(\[timeout)|(PRM\|1\|D)|(kpr)|(kdp)|(\|lc)|(penalty))" /e /r /s</v>
      </c>
      <c r="AG165" s="1" t="str">
        <f t="shared" si="81"/>
        <v>NW</v>
      </c>
      <c r="AH165" s="92" t="str">
        <f t="shared" si="82"/>
        <v>"%USERPROFILE%\Documents\GitHub\eaglep3\Utilities\RefineRTDCRunTimes.py" --tripid 1808-30 --locoid 4021 --swversion DE.1.0.8.0 --startMP 300:58626 --initTime 2016-10-30T09:36:53 --startdatetime 2016-10-30T09:39:10 --delay 2 --endMP 204:759 --enddatetime 2016-10-30T09:55:57 --enforcementcount 0 &gt;&gt;C:\Users\stu\Documents\GitHub\eaglep3-reporting\EC\2016-10-30-refined-times.txt</v>
      </c>
      <c r="AI16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{"issue":{"subject":"","project_id":79,"tracker_id":40,"status_id":1,"priority_id":2,"assigned_to_id":23,"start_date":"2016-10-30","description":"","custom_fields":[{"id":1,"name":"Subdivision","value":"NW"},{"id":4,"name":"Milepost","value":"0.0759"},{"id":17,"name":"Train ID","value":"1808-30"},{"id":16,"name":"Locomotive ID","value":"4021"},{"id":130,"name":"Impact","value":""},{"id":150,"name":"Time of Event (Mountain Time)","value":"09:55:57"},{"id":151,"name":"Denver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492</v>
      </c>
      <c r="B166" s="7">
        <v>4022</v>
      </c>
      <c r="C166" s="22" t="s">
        <v>284</v>
      </c>
      <c r="D166" s="22" t="s">
        <v>380</v>
      </c>
      <c r="E166" s="13">
        <v>42673.428206018521</v>
      </c>
      <c r="F166" s="13">
        <v>42673.431435185186</v>
      </c>
      <c r="G166" s="7">
        <v>1</v>
      </c>
      <c r="H166" s="13" t="s">
        <v>338</v>
      </c>
      <c r="I166" s="13">
        <v>42673.441296296296</v>
      </c>
      <c r="J166" s="7">
        <v>0</v>
      </c>
      <c r="K166" s="112" t="str">
        <f t="shared" si="67"/>
        <v>4021/4022</v>
      </c>
      <c r="L166" s="22" t="str">
        <f>VLOOKUP(A166,'Trips&amp;Operators'!$C$1:$E$10000,3,FALSE)</f>
        <v>STARKS</v>
      </c>
      <c r="M166" s="6">
        <f t="shared" si="68"/>
        <v>9.8611111097852699E-3</v>
      </c>
      <c r="N166" s="7">
        <f t="shared" si="69"/>
        <v>14.199999998090789</v>
      </c>
      <c r="O166" s="7"/>
      <c r="P166" s="7"/>
      <c r="Q166" s="23"/>
      <c r="R166" s="23"/>
      <c r="S166" s="35">
        <f t="shared" si="70"/>
        <v>1</v>
      </c>
      <c r="T166" s="50" t="str">
        <f t="shared" si="71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09:16:37-0600',mode:absolute,to:'2016-10-30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6" s="52" t="str">
        <f t="shared" si="73"/>
        <v>N</v>
      </c>
      <c r="X166" s="177">
        <f t="shared" si="74"/>
        <v>1</v>
      </c>
      <c r="Y166" s="67">
        <f t="shared" si="75"/>
        <v>0.1048</v>
      </c>
      <c r="Z166" s="67">
        <f t="shared" si="76"/>
        <v>5.8921999999999999</v>
      </c>
      <c r="AA166" s="67">
        <f t="shared" si="77"/>
        <v>5.7873999999999999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78"/>
        <v>1809-30</v>
      </c>
      <c r="AE16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6" s="88" t="str">
        <f t="shared" si="80"/>
        <v>"C:\Program Files (x86)\AstroGrep\AstroGrep.exe" /spath="%USERPROFILE%\AppData\Local\Temp\OnboardLogs" /stypes="app*4022*20161030*" /stext=" 16:.+((SYSTEM_STATE.+slice.+state.+changed )|(ment ac)|(system.+state.+changed )|(\[timeout)|(PRM\|1\|D)|(kpr)|(kdp)|(\|lc)|(penalty))" /e /r /s</v>
      </c>
      <c r="AG166" s="1" t="str">
        <f t="shared" si="81"/>
        <v>NW</v>
      </c>
      <c r="AH166" s="92" t="str">
        <f t="shared" si="82"/>
        <v>"%USERPROFILE%\Documents\GitHub\eaglep3\Utilities\RefineRTDCRunTimes.py" --tripid 1809-30 --locoid 4022 --swversion DE.1.0.8.0 --startMP 204:1048 --initTime 2016-10-30T10:16:37 --startdatetime 2016-10-30T10:21:16 --delay 1 --endMP 300:58922 --enddatetime 2016-10-30T10:35:28 --enforcementcount 0 &gt;&gt;C:\Users\stu\Documents\GitHub\eaglep3-reporting\EC\2016-10-30-refined-times.txt</v>
      </c>
      <c r="AI16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{"issue":{"subject":"","project_id":79,"tracker_id":40,"status_id":1,"priority_id":2,"assigned_to_id":23,"start_date":"2016-10-30","description":"","custom_fields":[{"id":1,"name":"Subdivision","value":"NW"},{"id":4,"name":"Milepost","value":"5.8922"},{"id":17,"name":"Train ID","value":"1809-30"},{"id":16,"name":"Locomotive ID","value":"4022"},{"id":130,"name":"Impact","value":""},{"id":150,"name":"Time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496</v>
      </c>
      <c r="B167" s="7">
        <v>4021</v>
      </c>
      <c r="C167" s="22" t="s">
        <v>284</v>
      </c>
      <c r="D167" s="22" t="s">
        <v>673</v>
      </c>
      <c r="E167" s="13">
        <v>42673.442743055559</v>
      </c>
      <c r="F167" s="13">
        <v>42673.444421296299</v>
      </c>
      <c r="G167" s="7">
        <v>1</v>
      </c>
      <c r="H167" s="13" t="s">
        <v>674</v>
      </c>
      <c r="I167" s="13">
        <v>42673.455081018517</v>
      </c>
      <c r="J167" s="7">
        <v>0</v>
      </c>
      <c r="K167" s="112" t="str">
        <f t="shared" si="67"/>
        <v>4021/4022</v>
      </c>
      <c r="L167" s="22" t="str">
        <f>VLOOKUP(A167,'Trips&amp;Operators'!$C$1:$E$10000,3,FALSE)</f>
        <v>STARKS</v>
      </c>
      <c r="M167" s="6">
        <f t="shared" si="68"/>
        <v>1.0659722218406387E-2</v>
      </c>
      <c r="N167" s="7">
        <f t="shared" si="69"/>
        <v>15.349999994505197</v>
      </c>
      <c r="O167" s="7"/>
      <c r="P167" s="7"/>
      <c r="Q167" s="23"/>
      <c r="R167" s="23"/>
      <c r="S167" s="35">
        <f t="shared" si="70"/>
        <v>1</v>
      </c>
      <c r="T167" s="50" t="str">
        <f t="shared" si="71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09:37:33-0600',mode:absolute,to:'2016-10-30 11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7" s="52" t="str">
        <f t="shared" si="73"/>
        <v>N</v>
      </c>
      <c r="X167" s="177">
        <f t="shared" si="74"/>
        <v>1</v>
      </c>
      <c r="Y167" s="67">
        <f t="shared" si="75"/>
        <v>5.8608000000000002</v>
      </c>
      <c r="Z167" s="67">
        <f t="shared" si="76"/>
        <v>7.1499999999999994E-2</v>
      </c>
      <c r="AA167" s="67">
        <f t="shared" si="77"/>
        <v>5.7892999999999999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78"/>
        <v>1810-30</v>
      </c>
      <c r="AE16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7" s="88" t="str">
        <f t="shared" si="80"/>
        <v>"C:\Program Files (x86)\AstroGrep\AstroGrep.exe" /spath="%USERPROFILE%\AppData\Local\Temp\OnboardLogs" /stypes="app*4021*20161030*" /stext=" 16:.+((SYSTEM_STATE.+slice.+state.+changed )|(ment ac)|(system.+state.+changed )|(\[timeout)|(PRM\|1\|D)|(kpr)|(kdp)|(\|lc)|(penalty))" /e /r /s</v>
      </c>
      <c r="AG167" s="1" t="str">
        <f t="shared" si="81"/>
        <v>NW</v>
      </c>
      <c r="AH167" s="92" t="str">
        <f t="shared" si="82"/>
        <v>"%USERPROFILE%\Documents\GitHub\eaglep3\Utilities\RefineRTDCRunTimes.py" --tripid 1810-30 --locoid 4021 --swversion DE.1.0.8.0 --startMP 300:58608 --initTime 2016-10-30T10:37:33 --startdatetime 2016-10-30T10:39:58 --delay 1 --endMP 204:715 --enddatetime 2016-10-30T10:55:19 --enforcementcount 0 &gt;&gt;C:\Users\stu\Documents\GitHub\eaglep3-reporting\EC\2016-10-30-refined-times.txt</v>
      </c>
      <c r="AI16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{"issue":{"subject":"","project_id":79,"tracker_id":40,"status_id":1,"priority_id":2,"assigned_to_id":23,"start_date":"2016-10-30","description":"","custom_fields":[{"id":1,"name":"Subdivision","value":"NW"},{"id":4,"name":"Milepost","value":"0.0715"},{"id":17,"name":"Train ID","value":"1810-30"},{"id":16,"name":"Locomotive ID","value":"4021"},{"id":130,"name":"Impact","value":""},{"id":150,"name":"Time of Event (Mountain Time)","value":"10:55:19"},{"id":151,"name":"Denver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503</v>
      </c>
      <c r="B168" s="7">
        <v>4022</v>
      </c>
      <c r="C168" s="22" t="s">
        <v>284</v>
      </c>
      <c r="D168" s="22" t="s">
        <v>675</v>
      </c>
      <c r="E168" s="13">
        <v>42673.467372685183</v>
      </c>
      <c r="F168" s="13">
        <v>42673.485798611109</v>
      </c>
      <c r="G168" s="7">
        <v>1</v>
      </c>
      <c r="H168" s="13" t="s">
        <v>379</v>
      </c>
      <c r="I168" s="13">
        <v>42673.496944444443</v>
      </c>
      <c r="J168" s="7">
        <v>0</v>
      </c>
      <c r="K168" s="112" t="str">
        <f t="shared" si="67"/>
        <v>4021/4022</v>
      </c>
      <c r="L168" s="22" t="str">
        <f>VLOOKUP(A168,'Trips&amp;Operators'!$C$1:$E$10000,3,FALSE)</f>
        <v>STARKS</v>
      </c>
      <c r="M168" s="6">
        <f t="shared" si="68"/>
        <v>1.1145833334012423E-2</v>
      </c>
      <c r="N168" s="7">
        <f t="shared" si="69"/>
        <v>16.050000000977889</v>
      </c>
      <c r="O168" s="7"/>
      <c r="P168" s="7"/>
      <c r="Q168" s="23"/>
      <c r="R168" s="23"/>
      <c r="S168" s="35">
        <f t="shared" si="70"/>
        <v>1</v>
      </c>
      <c r="T168" s="50" t="str">
        <f t="shared" si="71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10:13:01-0600',mode:absolute,to:'2016-10-30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68" s="52" t="str">
        <f t="shared" si="73"/>
        <v>N</v>
      </c>
      <c r="X168" s="177">
        <f t="shared" si="74"/>
        <v>1</v>
      </c>
      <c r="Y168" s="67">
        <f t="shared" si="75"/>
        <v>0.10059999999999999</v>
      </c>
      <c r="Z168" s="67">
        <f t="shared" si="76"/>
        <v>5.8928000000000003</v>
      </c>
      <c r="AA168" s="67">
        <f t="shared" si="77"/>
        <v>5.7922000000000002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78"/>
        <v>1811-30</v>
      </c>
      <c r="AE16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68" s="88" t="str">
        <f t="shared" si="80"/>
        <v>"C:\Program Files (x86)\AstroGrep\AstroGrep.exe" /spath="%USERPROFILE%\AppData\Local\Temp\OnboardLogs" /stypes="app*4022*20161030*" /stext=" 17:.+((SYSTEM_STATE.+slice.+state.+changed )|(ment ac)|(system.+state.+changed )|(\[timeout)|(PRM\|1\|D)|(kpr)|(kdp)|(\|lc)|(penalty))" /e /r /s</v>
      </c>
      <c r="AG168" s="1" t="str">
        <f t="shared" si="81"/>
        <v>NW</v>
      </c>
      <c r="AH168" s="92" t="str">
        <f t="shared" si="82"/>
        <v>"%USERPROFILE%\Documents\GitHub\eaglep3\Utilities\RefineRTDCRunTimes.py" --tripid 1811-30 --locoid 4022 --swversion DE.1.0.8.0 --startMP 204:1006 --initTime 2016-10-30T11:13:01 --startdatetime 2016-10-30T11:39:33 --delay 1 --endMP 300:58928 --enddatetime 2016-10-30T11:55:36 --enforcementcount 0 &gt;&gt;C:\Users\stu\Documents\GitHub\eaglep3-reporting\EC\2016-10-30-refined-times.txt</v>
      </c>
      <c r="AI16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{"issue":{"subject":"","project_id":79,"tracker_id":40,"status_id":1,"priority_id":2,"assigned_to_id":23,"start_date":"2016-10-30","description":"","custom_fields":[{"id":1,"name":"Subdivision","value":"NW"},{"id":4,"name":"Milepost","value":"5.8928"},{"id":17,"name":"Train ID","value":"1811-30"},{"id":16,"name":"Locomotive ID","value":"4022"},{"id":130,"name":"Impact","value":""},{"id":150,"name":"Time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507</v>
      </c>
      <c r="B169" s="7">
        <v>4021</v>
      </c>
      <c r="C169" s="22" t="s">
        <v>284</v>
      </c>
      <c r="D169" s="22" t="s">
        <v>334</v>
      </c>
      <c r="E169" s="13">
        <v>42673.484479166669</v>
      </c>
      <c r="F169" s="13">
        <v>42673.485798611109</v>
      </c>
      <c r="G169" s="7">
        <v>1</v>
      </c>
      <c r="H169" s="13" t="s">
        <v>387</v>
      </c>
      <c r="I169" s="13">
        <v>42673.496944444443</v>
      </c>
      <c r="J169" s="7">
        <v>0</v>
      </c>
      <c r="K169" s="112" t="str">
        <f t="shared" si="67"/>
        <v>4021/4022</v>
      </c>
      <c r="L169" s="22" t="str">
        <f>VLOOKUP(A169,'Trips&amp;Operators'!$C$1:$E$10000,3,FALSE)</f>
        <v>STARKS</v>
      </c>
      <c r="M169" s="6">
        <f t="shared" si="68"/>
        <v>1.1145833334012423E-2</v>
      </c>
      <c r="N169" s="7">
        <f t="shared" si="69"/>
        <v>16.050000000977889</v>
      </c>
      <c r="O169" s="7"/>
      <c r="P169" s="7"/>
      <c r="Q169" s="23"/>
      <c r="R169" s="23"/>
      <c r="S169" s="35">
        <f t="shared" si="70"/>
        <v>1</v>
      </c>
      <c r="T169" s="50" t="str">
        <f t="shared" si="71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10:37:39-0600',mode:absolute,to:'2016-10-30 12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69" s="52" t="str">
        <f t="shared" si="73"/>
        <v>N</v>
      </c>
      <c r="X169" s="177">
        <f t="shared" si="74"/>
        <v>1</v>
      </c>
      <c r="Y169" s="67">
        <f t="shared" si="75"/>
        <v>5.8613</v>
      </c>
      <c r="Z169" s="67">
        <f t="shared" si="76"/>
        <v>7.4499999999999997E-2</v>
      </c>
      <c r="AA169" s="67">
        <f t="shared" si="77"/>
        <v>5.7868000000000004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78"/>
        <v>1812-30</v>
      </c>
      <c r="AE16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69" s="88" t="str">
        <f t="shared" si="80"/>
        <v>"C:\Program Files (x86)\AstroGrep\AstroGrep.exe" /spath="%USERPROFILE%\AppData\Local\Temp\OnboardLogs" /stypes="app*4021*20161030*" /stext=" 17:.+((SYSTEM_STATE.+slice.+state.+changed )|(ment ac)|(system.+state.+changed )|(\[timeout)|(PRM\|1\|D)|(kpr)|(kdp)|(\|lc)|(penalty))" /e /r /s</v>
      </c>
      <c r="AG169" s="1" t="str">
        <f t="shared" si="81"/>
        <v>NW</v>
      </c>
      <c r="AH169" s="92" t="str">
        <f t="shared" si="82"/>
        <v>"%USERPROFILE%\Documents\GitHub\eaglep3\Utilities\RefineRTDCRunTimes.py" --tripid 1812-30 --locoid 4021 --swversion DE.1.0.8.0 --startMP 300:58613 --initTime 2016-10-30T11:37:39 --startdatetime 2016-10-30T11:39:33 --delay 1 --endMP 204:745 --enddatetime 2016-10-30T11:55:36 --enforcementcount 0 &gt;&gt;C:\Users\stu\Documents\GitHub\eaglep3-reporting\EC\2016-10-30-refined-times.txt</v>
      </c>
      <c r="AI16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{"issue":{"subject":"","project_id":79,"tracker_id":40,"status_id":1,"priority_id":2,"assigned_to_id":23,"start_date":"2016-10-30","description":"","custom_fields":[{"id":1,"name":"Subdivision","value":"NW"},{"id":4,"name":"Milepost","value":"0.0745"},{"id":17,"name":"Train ID","value":"1812-30"},{"id":16,"name":"Locomotive ID","value":"4021"},{"id":130,"name":"Impact","value":""},{"id":150,"name":"Time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513</v>
      </c>
      <c r="B170" s="7">
        <v>4022</v>
      </c>
      <c r="C170" s="22" t="s">
        <v>284</v>
      </c>
      <c r="D170" s="22" t="s">
        <v>676</v>
      </c>
      <c r="E170" s="13">
        <v>42673.511574074073</v>
      </c>
      <c r="F170" s="13">
        <v>42673.514756944445</v>
      </c>
      <c r="G170" s="7">
        <v>1</v>
      </c>
      <c r="H170" s="13" t="s">
        <v>677</v>
      </c>
      <c r="I170" s="13">
        <v>42673.52447916667</v>
      </c>
      <c r="J170" s="7">
        <v>0</v>
      </c>
      <c r="K170" s="112" t="str">
        <f t="shared" si="67"/>
        <v>4021/4022</v>
      </c>
      <c r="L170" s="22" t="str">
        <f>VLOOKUP(A170,'Trips&amp;Operators'!$C$1:$E$10000,3,FALSE)</f>
        <v>STARKS</v>
      </c>
      <c r="M170" s="6">
        <f t="shared" si="68"/>
        <v>9.7222222248092294E-3</v>
      </c>
      <c r="N170" s="7">
        <f t="shared" si="69"/>
        <v>14.00000000372529</v>
      </c>
      <c r="O170" s="7"/>
      <c r="P170" s="7"/>
      <c r="Q170" s="23"/>
      <c r="R170" s="23"/>
      <c r="S170" s="35">
        <f t="shared" si="70"/>
        <v>1</v>
      </c>
      <c r="T170" s="50" t="str">
        <f t="shared" si="71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11:16:40-0600',mode:absolute,to:'2016-10-30 13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0" s="52" t="str">
        <f t="shared" si="73"/>
        <v>N</v>
      </c>
      <c r="X170" s="177">
        <f t="shared" si="74"/>
        <v>1</v>
      </c>
      <c r="Y170" s="67">
        <f t="shared" si="75"/>
        <v>0.1021</v>
      </c>
      <c r="Z170" s="67">
        <f t="shared" si="76"/>
        <v>5.8940999999999999</v>
      </c>
      <c r="AA170" s="67">
        <f t="shared" si="77"/>
        <v>5.7919999999999998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78"/>
        <v>1813-30</v>
      </c>
      <c r="AE17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0" s="88" t="str">
        <f t="shared" si="80"/>
        <v>"C:\Program Files (x86)\AstroGrep\AstroGrep.exe" /spath="%USERPROFILE%\AppData\Local\Temp\OnboardLogs" /stypes="app*4022*20161030*" /stext=" 18:.+((SYSTEM_STATE.+slice.+state.+changed )|(ment ac)|(system.+state.+changed )|(\[timeout)|(PRM\|1\|D)|(kpr)|(kdp)|(\|lc)|(penalty))" /e /r /s</v>
      </c>
      <c r="AG170" s="1" t="str">
        <f t="shared" si="81"/>
        <v>NW</v>
      </c>
      <c r="AH170" s="92" t="str">
        <f t="shared" si="82"/>
        <v>"%USERPROFILE%\Documents\GitHub\eaglep3\Utilities\RefineRTDCRunTimes.py" --tripid 1813-30 --locoid 4022 --swversion DE.1.0.8.0 --startMP 204:1021 --initTime 2016-10-30T12:16:40 --startdatetime 2016-10-30T12:21:15 --delay 1 --endMP 300:58941 --enddatetime 2016-10-30T12:35:15 --enforcementcount 0 &gt;&gt;C:\Users\stu\Documents\GitHub\eaglep3-reporting\EC\2016-10-30-refined-times.txt</v>
      </c>
      <c r="AI17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ID","value":"1813-30"},{"id":16,"name":"Locomotive ID","value":"4022"},{"id":130,"name":"Impact","value":""},{"id":150,"name":"Time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517</v>
      </c>
      <c r="B171" s="7">
        <v>4021</v>
      </c>
      <c r="C171" s="22" t="s">
        <v>284</v>
      </c>
      <c r="D171" s="22" t="s">
        <v>678</v>
      </c>
      <c r="E171" s="13">
        <v>42673.525543981479</v>
      </c>
      <c r="F171" s="13">
        <v>42673.526782407411</v>
      </c>
      <c r="G171" s="7">
        <v>1</v>
      </c>
      <c r="H171" s="13" t="s">
        <v>679</v>
      </c>
      <c r="I171" s="13">
        <v>42673.53802083333</v>
      </c>
      <c r="J171" s="7">
        <v>0</v>
      </c>
      <c r="K171" s="112" t="str">
        <f t="shared" si="67"/>
        <v>4021/4022</v>
      </c>
      <c r="L171" s="22" t="str">
        <f>VLOOKUP(A171,'Trips&amp;Operators'!$C$1:$E$10000,3,FALSE)</f>
        <v>STARKS</v>
      </c>
      <c r="M171" s="6">
        <f t="shared" si="68"/>
        <v>1.1238425919145811E-2</v>
      </c>
      <c r="N171" s="7">
        <f t="shared" si="69"/>
        <v>16.183333323569968</v>
      </c>
      <c r="O171" s="7"/>
      <c r="P171" s="7"/>
      <c r="Q171" s="23"/>
      <c r="R171" s="23"/>
      <c r="S171" s="35">
        <f t="shared" si="70"/>
        <v>1</v>
      </c>
      <c r="T171" s="50" t="str">
        <f t="shared" si="71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11:36:47-0600',mode:absolute,to:'2016-10-30 13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1" s="52" t="str">
        <f t="shared" si="73"/>
        <v>N</v>
      </c>
      <c r="X171" s="177">
        <f t="shared" si="74"/>
        <v>1</v>
      </c>
      <c r="Y171" s="67">
        <f t="shared" si="75"/>
        <v>5.8619000000000003</v>
      </c>
      <c r="Z171" s="67">
        <f t="shared" si="76"/>
        <v>7.2400000000000006E-2</v>
      </c>
      <c r="AA171" s="67">
        <f t="shared" si="77"/>
        <v>5.7895000000000003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78"/>
        <v>1814-30</v>
      </c>
      <c r="AE17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1" s="88" t="str">
        <f t="shared" si="80"/>
        <v>"C:\Program Files (x86)\AstroGrep\AstroGrep.exe" /spath="%USERPROFILE%\AppData\Local\Temp\OnboardLogs" /stypes="app*4021*20161030*" /stext=" 18:.+((SYSTEM_STATE.+slice.+state.+changed )|(ment ac)|(system.+state.+changed )|(\[timeout)|(PRM\|1\|D)|(kpr)|(kdp)|(\|lc)|(penalty))" /e /r /s</v>
      </c>
      <c r="AG171" s="1" t="str">
        <f t="shared" si="81"/>
        <v>NW</v>
      </c>
      <c r="AH171" s="92" t="str">
        <f t="shared" si="82"/>
        <v>"%USERPROFILE%\Documents\GitHub\eaglep3\Utilities\RefineRTDCRunTimes.py" --tripid 1814-30 --locoid 4021 --swversion DE.1.0.8.0 --startMP 300:58619 --initTime 2016-10-30T12:36:47 --startdatetime 2016-10-30T12:38:34 --delay 1 --endMP 204:724 --enddatetime 2016-10-30T12:54:45 --enforcementcount 0 &gt;&gt;C:\Users\stu\Documents\GitHub\eaglep3-reporting\EC\2016-10-30-refined-times.txt</v>
      </c>
      <c r="AI17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{"issue":{"subject":"","project_id":79,"tracker_id":40,"status_id":1,"priority_id":2,"assigned_to_id":23,"start_date":"2016-10-30","description":"","custom_fields":[{"id":1,"name":"Subdivision","value":"NW"},{"id":4,"name":"Milepost","value":"0.0724"},{"id":17,"name":"Train ID","value":"1814-30"},{"id":16,"name":"Locomotive ID","value":"4021"},{"id":130,"name":"Impact","value":""},{"id":150,"name":"Time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523</v>
      </c>
      <c r="B172" s="7">
        <v>4022</v>
      </c>
      <c r="C172" s="22" t="s">
        <v>284</v>
      </c>
      <c r="D172" s="22" t="s">
        <v>669</v>
      </c>
      <c r="E172" s="13">
        <v>42673.553055555552</v>
      </c>
      <c r="F172" s="13">
        <v>42673.556435185186</v>
      </c>
      <c r="G172" s="7">
        <v>1</v>
      </c>
      <c r="H172" s="13" t="s">
        <v>338</v>
      </c>
      <c r="I172" s="13">
        <v>42673.565717592595</v>
      </c>
      <c r="J172" s="7">
        <v>0</v>
      </c>
      <c r="K172" s="112" t="str">
        <f t="shared" si="67"/>
        <v>4021/4022</v>
      </c>
      <c r="L172" s="22" t="str">
        <f>VLOOKUP(A172,'Trips&amp;Operators'!$C$1:$E$10000,3,FALSE)</f>
        <v>STARKS</v>
      </c>
      <c r="M172" s="6">
        <f t="shared" si="68"/>
        <v>9.2824074090458453E-3</v>
      </c>
      <c r="N172" s="7">
        <f t="shared" si="69"/>
        <v>13.366666669026017</v>
      </c>
      <c r="O172" s="7"/>
      <c r="P172" s="7"/>
      <c r="Q172" s="23"/>
      <c r="R172" s="23"/>
      <c r="S172" s="35">
        <f t="shared" si="70"/>
        <v>1</v>
      </c>
      <c r="T172" s="50" t="str">
        <f t="shared" si="71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12:16:24-0600',mode:absolute,to:'2016-10-30 14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2" s="52" t="str">
        <f t="shared" si="73"/>
        <v>N</v>
      </c>
      <c r="X172" s="177">
        <f t="shared" si="74"/>
        <v>1</v>
      </c>
      <c r="Y172" s="67">
        <f t="shared" si="75"/>
        <v>0.1013</v>
      </c>
      <c r="Z172" s="67">
        <f t="shared" si="76"/>
        <v>5.8921999999999999</v>
      </c>
      <c r="AA172" s="67">
        <f t="shared" si="77"/>
        <v>5.7908999999999997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78"/>
        <v>1815-30</v>
      </c>
      <c r="AE17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2" s="88" t="str">
        <f t="shared" si="80"/>
        <v>"C:\Program Files (x86)\AstroGrep\AstroGrep.exe" /spath="%USERPROFILE%\AppData\Local\Temp\OnboardLogs" /stypes="app*4022*20161030*" /stext=" 19:.+((SYSTEM_STATE.+slice.+state.+changed )|(ment ac)|(system.+state.+changed )|(\[timeout)|(PRM\|1\|D)|(kpr)|(kdp)|(\|lc)|(penalty))" /e /r /s</v>
      </c>
      <c r="AG172" s="1" t="str">
        <f t="shared" si="81"/>
        <v>NW</v>
      </c>
      <c r="AH172" s="92" t="str">
        <f t="shared" si="82"/>
        <v>"%USERPROFILE%\Documents\GitHub\eaglep3\Utilities\RefineRTDCRunTimes.py" --tripid 1815-30 --locoid 4022 --swversion DE.1.0.8.0 --startMP 204:1013 --initTime 2016-10-30T13:16:24 --startdatetime 2016-10-30T13:21:16 --delay 1 --endMP 300:58922 --enddatetime 2016-10-30T13:34:38 --enforcementcount 0 &gt;&gt;C:\Users\stu\Documents\GitHub\eaglep3-reporting\EC\2016-10-30-refined-times.txt</v>
      </c>
      <c r="AI17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{"issue":{"subject":"","project_id":79,"tracker_id":40,"status_id":1,"priority_id":2,"assigned_to_id":23,"start_date":"2016-10-30","description":"","custom_fields":[{"id":1,"name":"Subdivision","value":"NW"},{"id":4,"name":"Milepost","value":"5.8922"},{"id":17,"name":"Train ID","value":"1815-30"},{"id":16,"name":"Locomotive ID","value":"4022"},{"id":130,"name":"Impact","value":""},{"id":150,"name":"Time of Event (Mountain Time)","value":"13:34:38"},{"id":151,"name":"Denver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527</v>
      </c>
      <c r="B173" s="7">
        <v>4021</v>
      </c>
      <c r="C173" s="22" t="s">
        <v>284</v>
      </c>
      <c r="D173" s="22" t="s">
        <v>678</v>
      </c>
      <c r="E173" s="13">
        <v>42673.567384259259</v>
      </c>
      <c r="F173" s="13">
        <v>42673.568877314814</v>
      </c>
      <c r="G173" s="7">
        <v>1</v>
      </c>
      <c r="H173" s="13" t="s">
        <v>377</v>
      </c>
      <c r="I173" s="13">
        <v>42673.580104166664</v>
      </c>
      <c r="J173" s="7">
        <v>0</v>
      </c>
      <c r="K173" s="112" t="str">
        <f t="shared" si="67"/>
        <v>4021/4022</v>
      </c>
      <c r="L173" s="22" t="str">
        <f>VLOOKUP(A173,'Trips&amp;Operators'!$C$1:$E$10000,3,FALSE)</f>
        <v>STARKS</v>
      </c>
      <c r="M173" s="6">
        <f t="shared" si="68"/>
        <v>1.1226851849642117E-2</v>
      </c>
      <c r="N173" s="7">
        <f t="shared" si="69"/>
        <v>16.166666663484648</v>
      </c>
      <c r="O173" s="7"/>
      <c r="P173" s="7"/>
      <c r="Q173" s="23"/>
      <c r="R173" s="23"/>
      <c r="S173" s="35">
        <f t="shared" si="70"/>
        <v>1</v>
      </c>
      <c r="T173" s="50" t="str">
        <f t="shared" si="71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12:37:02-0600',mode:absolute,to:'2016-10-30 14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3" s="52" t="str">
        <f t="shared" si="73"/>
        <v>N</v>
      </c>
      <c r="X173" s="177">
        <f t="shared" si="74"/>
        <v>1</v>
      </c>
      <c r="Y173" s="67">
        <f t="shared" si="75"/>
        <v>5.8619000000000003</v>
      </c>
      <c r="Z173" s="67">
        <f t="shared" si="76"/>
        <v>7.1300000000000002E-2</v>
      </c>
      <c r="AA173" s="67">
        <f t="shared" si="77"/>
        <v>5.7906000000000004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78"/>
        <v>1816-30</v>
      </c>
      <c r="AE17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3" s="88" t="str">
        <f t="shared" si="80"/>
        <v>"C:\Program Files (x86)\AstroGrep\AstroGrep.exe" /spath="%USERPROFILE%\AppData\Local\Temp\OnboardLogs" /stypes="app*4021*20161030*" /stext=" 19:.+((SYSTEM_STATE.+slice.+state.+changed )|(ment ac)|(system.+state.+changed )|(\[timeout)|(PRM\|1\|D)|(kpr)|(kdp)|(\|lc)|(penalty))" /e /r /s</v>
      </c>
      <c r="AG173" s="1" t="str">
        <f t="shared" si="81"/>
        <v>NW</v>
      </c>
      <c r="AH173" s="92" t="str">
        <f t="shared" si="82"/>
        <v>"%USERPROFILE%\Documents\GitHub\eaglep3\Utilities\RefineRTDCRunTimes.py" --tripid 1816-30 --locoid 4021 --swversion DE.1.0.8.0 --startMP 300:58619 --initTime 2016-10-30T13:37:02 --startdatetime 2016-10-30T13:39:11 --delay 1 --endMP 204:713 --enddatetime 2016-10-30T13:55:21 --enforcementcount 0 &gt;&gt;C:\Users\stu\Documents\GitHub\eaglep3-reporting\EC\2016-10-30-refined-times.txt</v>
      </c>
      <c r="AI17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{"issue":{"subject":"","project_id":79,"tracker_id":40,"status_id":1,"priority_id":2,"assigned_to_id":23,"start_date":"2016-10-30","description":"","custom_fields":[{"id":1,"name":"Subdivision","value":"NW"},{"id":4,"name":"Milepost","value":"0.0713"},{"id":17,"name":"Train ID","value":"1816-30"},{"id":16,"name":"Locomotive ID","value":"4021"},{"id":130,"name":"Impact","value":""},{"id":150,"name":"Time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534</v>
      </c>
      <c r="B174" s="7">
        <v>4022</v>
      </c>
      <c r="C174" s="22" t="s">
        <v>284</v>
      </c>
      <c r="D174" s="22" t="s">
        <v>336</v>
      </c>
      <c r="E174" s="13">
        <v>42673.596041666664</v>
      </c>
      <c r="F174" s="13">
        <v>42673.598634259259</v>
      </c>
      <c r="G174" s="7">
        <v>1</v>
      </c>
      <c r="H174" s="13" t="s">
        <v>680</v>
      </c>
      <c r="I174" s="13">
        <v>42673.609375</v>
      </c>
      <c r="J174" s="7">
        <v>0</v>
      </c>
      <c r="K174" s="112" t="str">
        <f t="shared" si="67"/>
        <v>4021/4022</v>
      </c>
      <c r="L174" s="22" t="str">
        <f>VLOOKUP(A174,'Trips&amp;Operators'!$C$1:$E$10000,3,FALSE)</f>
        <v>JACKSON</v>
      </c>
      <c r="M174" s="6">
        <f t="shared" si="68"/>
        <v>1.0740740741312038E-2</v>
      </c>
      <c r="N174" s="7">
        <f t="shared" si="69"/>
        <v>15.466666667489335</v>
      </c>
      <c r="O174" s="7"/>
      <c r="P174" s="7"/>
      <c r="Q174" s="23"/>
      <c r="R174" s="23"/>
      <c r="S174" s="35">
        <f t="shared" si="70"/>
        <v>1</v>
      </c>
      <c r="T174" s="50" t="str">
        <f t="shared" si="71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13:18:18-0600',mode:absolute,to:'2016-10-30 15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4" s="52" t="str">
        <f t="shared" si="73"/>
        <v>N</v>
      </c>
      <c r="X174" s="177">
        <f t="shared" si="74"/>
        <v>1</v>
      </c>
      <c r="Y174" s="67">
        <f t="shared" si="75"/>
        <v>0.1018</v>
      </c>
      <c r="Z174" s="67">
        <f t="shared" si="76"/>
        <v>5.8945999999999996</v>
      </c>
      <c r="AA174" s="67">
        <f t="shared" si="77"/>
        <v>5.7927999999999997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78"/>
        <v>1817-30</v>
      </c>
      <c r="AE17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4" s="88" t="str">
        <f t="shared" si="80"/>
        <v>"C:\Program Files (x86)\AstroGrep\AstroGrep.exe" /spath="%USERPROFILE%\AppData\Local\Temp\OnboardLogs" /stypes="app*4022*20161030*" /stext=" 20:.+((SYSTEM_STATE.+slice.+state.+changed )|(ment ac)|(system.+state.+changed )|(\[timeout)|(PRM\|1\|D)|(kpr)|(kdp)|(\|lc)|(penalty))" /e /r /s</v>
      </c>
      <c r="AG174" s="1" t="str">
        <f t="shared" si="81"/>
        <v>NW</v>
      </c>
      <c r="AH174" s="92" t="str">
        <f t="shared" si="82"/>
        <v>"%USERPROFILE%\Documents\GitHub\eaglep3\Utilities\RefineRTDCRunTimes.py" --tripid 1817-30 --locoid 4022 --swversion DE.1.0.8.0 --startMP 204:1018 --initTime 2016-10-30T14:18:18 --startdatetime 2016-10-30T14:22:02 --delay 1 --endMP 300:58946 --enddatetime 2016-10-30T14:37:30 --enforcementcount 0 &gt;&gt;C:\Users\stu\Documents\GitHub\eaglep3-reporting\EC\2016-10-30-refined-times.txt</v>
      </c>
      <c r="AI17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{"issue":{"subject":"","project_id":79,"tracker_id":40,"status_id":1,"priority_id":2,"assigned_to_id":23,"start_date":"2016-10-30","description":"","custom_fields":[{"id":1,"name":"Subdivision","value":"NW"},{"id":4,"name":"Milepost","value":"5.8946"},{"id":17,"name":"Train ID","value":"1817-30"},{"id":16,"name":"Locomotive ID","value":"4022"},{"id":130,"name":"Impact","value":""},{"id":150,"name":"Time of Event (Mountain Time)","value":"14:37:30"},{"id":151,"name":"Denver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415</v>
      </c>
      <c r="B175" s="7">
        <v>4021</v>
      </c>
      <c r="C175" s="22" t="s">
        <v>284</v>
      </c>
      <c r="D175" s="22" t="s">
        <v>670</v>
      </c>
      <c r="E175" s="13">
        <v>42673.610891203702</v>
      </c>
      <c r="F175" s="13">
        <v>42673.612847222219</v>
      </c>
      <c r="G175" s="7">
        <v>1</v>
      </c>
      <c r="H175" s="13" t="s">
        <v>386</v>
      </c>
      <c r="I175" s="13">
        <v>42673.623206018521</v>
      </c>
      <c r="J175" s="7">
        <v>0</v>
      </c>
      <c r="K175" s="112" t="str">
        <f t="shared" si="67"/>
        <v>4021/4022</v>
      </c>
      <c r="L175" s="22" t="str">
        <f>VLOOKUP(A175,'Trips&amp;Operators'!$C$1:$E$10000,3,FALSE)</f>
        <v>JACKSON</v>
      </c>
      <c r="M175" s="6">
        <f t="shared" si="68"/>
        <v>1.0358796302170958E-2</v>
      </c>
      <c r="N175" s="7">
        <f t="shared" si="69"/>
        <v>14.91666667512618</v>
      </c>
      <c r="O175" s="7"/>
      <c r="P175" s="7"/>
      <c r="Q175" s="23"/>
      <c r="R175" s="23"/>
      <c r="S175" s="35">
        <f t="shared" si="70"/>
        <v>1</v>
      </c>
      <c r="T175" s="50" t="str">
        <f t="shared" si="71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13:39:41-0600',mode:absolute,to:'2016-10-30 15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5" s="52" t="str">
        <f t="shared" si="73"/>
        <v>N</v>
      </c>
      <c r="X175" s="177">
        <f t="shared" si="74"/>
        <v>1</v>
      </c>
      <c r="Y175" s="67">
        <f t="shared" si="75"/>
        <v>5.8625999999999996</v>
      </c>
      <c r="Z175" s="67">
        <f t="shared" si="76"/>
        <v>7.5399999999999995E-2</v>
      </c>
      <c r="AA175" s="67">
        <f t="shared" si="77"/>
        <v>5.7871999999999995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78"/>
        <v>1818-30</v>
      </c>
      <c r="AE17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5" s="88" t="str">
        <f t="shared" si="80"/>
        <v>"C:\Program Files (x86)\AstroGrep\AstroGrep.exe" /spath="%USERPROFILE%\AppData\Local\Temp\OnboardLogs" /stypes="app*4021*20161030*" /stext=" 20:.+((SYSTEM_STATE.+slice.+state.+changed )|(ment ac)|(system.+state.+changed )|(\[timeout)|(PRM\|1\|D)|(kpr)|(kdp)|(\|lc)|(penalty))" /e /r /s</v>
      </c>
      <c r="AG175" s="1" t="str">
        <f t="shared" si="81"/>
        <v>NW</v>
      </c>
      <c r="AH175" s="92" t="str">
        <f t="shared" si="82"/>
        <v>"%USERPROFILE%\Documents\GitHub\eaglep3\Utilities\RefineRTDCRunTimes.py" --tripid 1818-30 --locoid 4021 --swversion DE.1.0.8.0 --startMP 300:58626 --initTime 2016-10-30T14:39:41 --startdatetime 2016-10-30T14:42:30 --delay 1 --endMP 204:754 --enddatetime 2016-10-30T14:57:25 --enforcementcount 0 &gt;&gt;C:\Users\stu\Documents\GitHub\eaglep3-reporting\EC\2016-10-30-refined-times.txt</v>
      </c>
      <c r="AI17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{"issue":{"subject":"","project_id":79,"tracker_id":40,"status_id":1,"priority_id":2,"assigned_to_id":23,"start_date":"2016-10-30","description":"","custom_fields":[{"id":1,"name":"Subdivision","value":"NW"},{"id":4,"name":"Milepost","value":"0.0754"},{"id":17,"name":"Train ID","value":"1818-30"},{"id":16,"name":"Locomotive ID","value":"4021"},{"id":130,"name":"Impact","value":""},{"id":150,"name":"Time of Event (Mountain Time)","value":"14:57:25"},{"id":151,"name":"Denver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417</v>
      </c>
      <c r="B176" s="7">
        <v>4022</v>
      </c>
      <c r="C176" s="22" t="s">
        <v>284</v>
      </c>
      <c r="D176" s="22" t="s">
        <v>380</v>
      </c>
      <c r="E176" s="13">
        <v>42673.627395833333</v>
      </c>
      <c r="F176" s="13">
        <v>42673.640023148146</v>
      </c>
      <c r="G176" s="7">
        <v>1</v>
      </c>
      <c r="H176" s="13" t="s">
        <v>677</v>
      </c>
      <c r="I176" s="13">
        <v>42673.650891203702</v>
      </c>
      <c r="J176" s="7">
        <v>0</v>
      </c>
      <c r="K176" s="112" t="str">
        <f t="shared" si="67"/>
        <v>4021/4022</v>
      </c>
      <c r="L176" s="22" t="str">
        <f>VLOOKUP(A176,'Trips&amp;Operators'!$C$1:$E$10000,3,FALSE)</f>
        <v>JACKSON</v>
      </c>
      <c r="M176" s="6">
        <f t="shared" si="68"/>
        <v>1.0868055556784384E-2</v>
      </c>
      <c r="N176" s="7">
        <f t="shared" si="69"/>
        <v>15.650000001769513</v>
      </c>
      <c r="O176" s="7"/>
      <c r="P176" s="7"/>
      <c r="Q176" s="23"/>
      <c r="R176" s="23"/>
      <c r="S176" s="35">
        <f t="shared" si="70"/>
        <v>1</v>
      </c>
      <c r="T176" s="50" t="str">
        <f t="shared" si="71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6" s="52" t="str">
        <f t="shared" si="73"/>
        <v>N</v>
      </c>
      <c r="X176" s="177">
        <f t="shared" si="74"/>
        <v>1</v>
      </c>
      <c r="Y176" s="67">
        <f t="shared" si="75"/>
        <v>0.1048</v>
      </c>
      <c r="Z176" s="67">
        <f t="shared" si="76"/>
        <v>5.8940999999999999</v>
      </c>
      <c r="AA176" s="67">
        <f t="shared" si="77"/>
        <v>5.7892999999999999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78"/>
        <v>1819-30</v>
      </c>
      <c r="AE17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6" s="88" t="str">
        <f t="shared" si="80"/>
        <v>"C:\Program Files (x86)\AstroGrep\AstroGrep.exe" /spath="%USERPROFILE%\AppData\Local\Temp\OnboardLogs" /stypes="app*4022*20161030*" /stext=" 21:.+((SYSTEM_STATE.+slice.+state.+changed )|(ment ac)|(system.+state.+changed )|(\[timeout)|(PRM\|1\|D)|(kpr)|(kdp)|(\|lc)|(penalty))" /e /r /s</v>
      </c>
      <c r="AG176" s="1" t="str">
        <f t="shared" si="81"/>
        <v>NW</v>
      </c>
      <c r="AH176" s="92" t="str">
        <f t="shared" si="82"/>
        <v>"%USERPROFILE%\Documents\GitHub\eaglep3\Utilities\RefineRTDCRunTimes.py" --tripid 1819-30 --locoid 4022 --swversion DE.1.0.8.0 --startMP 204:1048 --initTime 2016-10-30T15:03:27 --startdatetime 2016-10-30T15:21:38 --delay 1 --endMP 300:58941 --enddatetime 2016-10-30T15:37:17 --enforcementcount 0 &gt;&gt;C:\Users\stu\Documents\GitHub\eaglep3-reporting\EC\2016-10-30-refined-times.txt</v>
      </c>
      <c r="AI17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ID","value":"1819-30"},{"id":16,"name":"Locomotive ID","value":"4022"},{"id":130,"name":"Impact","value":""},{"id":150,"name":"Time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545</v>
      </c>
      <c r="B177" s="7">
        <v>4021</v>
      </c>
      <c r="C177" s="22" t="s">
        <v>284</v>
      </c>
      <c r="D177" s="22" t="s">
        <v>666</v>
      </c>
      <c r="E177" s="13">
        <v>42673.652928240743</v>
      </c>
      <c r="F177" s="13">
        <v>42673.654131944444</v>
      </c>
      <c r="G177" s="7">
        <v>1</v>
      </c>
      <c r="H177" s="13" t="s">
        <v>683</v>
      </c>
      <c r="I177" s="13">
        <v>42673.664143518516</v>
      </c>
      <c r="J177" s="7">
        <v>0</v>
      </c>
      <c r="K177" s="112" t="str">
        <f t="shared" si="67"/>
        <v>4021/4022</v>
      </c>
      <c r="L177" s="22" t="str">
        <f>VLOOKUP(A177,'Trips&amp;Operators'!$C$1:$E$10000,3,FALSE)</f>
        <v>JACKSON</v>
      </c>
      <c r="M177" s="6">
        <f t="shared" si="68"/>
        <v>1.0011574071540963E-2</v>
      </c>
      <c r="N177" s="7">
        <f t="shared" si="69"/>
        <v>14.416666663018987</v>
      </c>
      <c r="O177" s="7"/>
      <c r="P177" s="7"/>
      <c r="Q177" s="23"/>
      <c r="R177" s="23"/>
      <c r="S177" s="35">
        <f t="shared" si="70"/>
        <v>1</v>
      </c>
      <c r="T177" s="50" t="str">
        <f t="shared" si="71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14:40:13-0600',mode:absolute,to:'2016-10-30 16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7" s="52" t="str">
        <f t="shared" si="73"/>
        <v>N</v>
      </c>
      <c r="X177" s="177">
        <f t="shared" si="74"/>
        <v>1</v>
      </c>
      <c r="Y177" s="67">
        <f t="shared" si="75"/>
        <v>5.8616999999999999</v>
      </c>
      <c r="Z177" s="67">
        <f t="shared" si="76"/>
        <v>7.3300000000000004E-2</v>
      </c>
      <c r="AA177" s="67">
        <f t="shared" si="77"/>
        <v>5.7884000000000002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78"/>
        <v>1820-30</v>
      </c>
      <c r="AE17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7" s="88" t="str">
        <f t="shared" si="80"/>
        <v>"C:\Program Files (x86)\AstroGrep\AstroGrep.exe" /spath="%USERPROFILE%\AppData\Local\Temp\OnboardLogs" /stypes="app*4021*20161030*" /stext=" 21:.+((SYSTEM_STATE.+slice.+state.+changed )|(ment ac)|(system.+state.+changed )|(\[timeout)|(PRM\|1\|D)|(kpr)|(kdp)|(\|lc)|(penalty))" /e /r /s</v>
      </c>
      <c r="AG177" s="1" t="str">
        <f t="shared" si="81"/>
        <v>NW</v>
      </c>
      <c r="AH177" s="92" t="str">
        <f t="shared" si="82"/>
        <v>"%USERPROFILE%\Documents\GitHub\eaglep3\Utilities\RefineRTDCRunTimes.py" --tripid 1820-30 --locoid 4021 --swversion DE.1.0.8.0 --startMP 300:58617 --initTime 2016-10-30T15:40:13 --startdatetime 2016-10-30T15:41:57 --delay 1 --endMP 204:733 --enddatetime 2016-10-30T15:56:22 --enforcementcount 0 &gt;&gt;C:\Users\stu\Documents\GitHub\eaglep3-reporting\EC\2016-10-30-refined-times.txt</v>
      </c>
      <c r="AI17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{"issue":{"subject":"","project_id":79,"tracker_id":40,"status_id":1,"priority_id":2,"assigned_to_id":23,"start_date":"2016-10-30","description":"","custom_fields":[{"id":1,"name":"Subdivision","value":"NW"},{"id":4,"name":"Milepost","value":"0.0733"},{"id":17,"name":"Train ID","value":"1820-30"},{"id":16,"name":"Locomotive ID","value":"4021"},{"id":130,"name":"Impact","value":""},{"id":150,"name":"Time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550</v>
      </c>
      <c r="B178" s="7">
        <v>4022</v>
      </c>
      <c r="C178" s="22" t="s">
        <v>284</v>
      </c>
      <c r="D178" s="22" t="s">
        <v>684</v>
      </c>
      <c r="E178" s="13">
        <v>42673.679201388892</v>
      </c>
      <c r="F178" s="13">
        <v>42673.681203703702</v>
      </c>
      <c r="G178" s="7">
        <v>1</v>
      </c>
      <c r="H178" s="13" t="s">
        <v>685</v>
      </c>
      <c r="I178" s="13">
        <v>42673.699340277781</v>
      </c>
      <c r="J178" s="7">
        <v>0</v>
      </c>
      <c r="K178" s="112" t="str">
        <f t="shared" si="67"/>
        <v>4021/4022</v>
      </c>
      <c r="L178" s="22" t="str">
        <f>VLOOKUP(A178,'Trips&amp;Operators'!$C$1:$E$10000,3,FALSE)</f>
        <v>JACKSON</v>
      </c>
      <c r="M178" s="6">
        <f t="shared" si="68"/>
        <v>1.8136574079107959E-2</v>
      </c>
      <c r="N178" s="7">
        <f t="shared" si="69"/>
        <v>26.116666673915461</v>
      </c>
      <c r="O178" s="7"/>
      <c r="P178" s="7"/>
      <c r="Q178" s="23"/>
      <c r="R178" s="23" t="s">
        <v>784</v>
      </c>
      <c r="S178" s="35">
        <f t="shared" si="70"/>
        <v>1</v>
      </c>
      <c r="T178" s="50" t="str">
        <f t="shared" si="71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15:18:03-0600',mode:absolute,to:'2016-10-30 17:47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8" s="52" t="str">
        <f t="shared" si="73"/>
        <v>N</v>
      </c>
      <c r="X178" s="177">
        <f t="shared" si="74"/>
        <v>1</v>
      </c>
      <c r="Y178" s="67">
        <f t="shared" si="75"/>
        <v>0.1028</v>
      </c>
      <c r="Z178" s="67">
        <f t="shared" si="76"/>
        <v>5.8935000000000004</v>
      </c>
      <c r="AA178" s="67">
        <f t="shared" si="77"/>
        <v>5.7907000000000002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78"/>
        <v>1821-30</v>
      </c>
      <c r="AE17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78" s="88" t="str">
        <f t="shared" si="80"/>
        <v>"C:\Program Files (x86)\AstroGrep\AstroGrep.exe" /spath="%USERPROFILE%\AppData\Local\Temp\OnboardLogs" /stypes="app*4022*20161030*" /stext=" 22:.+((SYSTEM_STATE.+slice.+state.+changed )|(ment ac)|(system.+state.+changed )|(\[timeout)|(PRM\|1\|D)|(kpr)|(kdp)|(\|lc)|(penalty))" /e /r /s</v>
      </c>
      <c r="AG178" s="1" t="str">
        <f t="shared" si="81"/>
        <v>NW</v>
      </c>
      <c r="AH178" s="92" t="str">
        <f t="shared" si="82"/>
        <v>"%USERPROFILE%\Documents\GitHub\eaglep3\Utilities\RefineRTDCRunTimes.py" --tripid 1821-30 --locoid 4022 --swversion DE.1.0.8.0 --startMP 204:1028 --initTime 2016-10-30T16:18:03 --startdatetime 2016-10-30T16:20:56 --delay 1 --endMP 300:58935 --enddatetime 2016-10-30T16:47:03 --enforcementcount 0 &gt;&gt;C:\Users\stu\Documents\GitHub\eaglep3-reporting\EC\2016-10-30-refined-times.txt</v>
      </c>
      <c r="AI178" s="122" t="str">
        <f t="shared" si="83"/>
        <v>echo {"issue":{"subject":"Onboard in-route failure delayed departure","project_id":79,"tracker_id":40,"status_id":1,"priority_id":2,"assigned_to_id":23,"start_date":"2016-10-30","description":"multiple cpu faults at 2016-10-30 22:20:49 UTC","custom_fields":[{"id":1,"name":"Subdivision","value":"NW"},{"id":4,"name":"Milepost","value":"5.8935"},{"id":17,"name":"Train ID","value":"1821-30"},{"id":16,"name":"Locomotive ID","value":"4022"},{"id":130,"name":"Impact","value":"Failed State"},{"id":150,"name":"Time of Event (Mountain Time)","value":"16:47:03"},{"id":151,"name":"Denver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8" s="53" t="s">
        <v>785</v>
      </c>
      <c r="AK178" s="53" t="s">
        <v>128</v>
      </c>
      <c r="AL178" s="53" t="s">
        <v>178</v>
      </c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555</v>
      </c>
      <c r="B179" s="7">
        <v>4021</v>
      </c>
      <c r="C179" s="22" t="s">
        <v>284</v>
      </c>
      <c r="D179" s="22" t="s">
        <v>686</v>
      </c>
      <c r="E179" s="13">
        <v>42673.700694444444</v>
      </c>
      <c r="F179" s="13">
        <v>42673.702615740738</v>
      </c>
      <c r="G179" s="7">
        <v>1</v>
      </c>
      <c r="H179" s="13" t="s">
        <v>682</v>
      </c>
      <c r="I179" s="13">
        <v>42673.713599537034</v>
      </c>
      <c r="J179" s="7">
        <v>0</v>
      </c>
      <c r="K179" s="112" t="str">
        <f t="shared" si="67"/>
        <v>4021/4022</v>
      </c>
      <c r="L179" s="22" t="str">
        <f>VLOOKUP(A179,'Trips&amp;Operators'!$C$1:$E$10000,3,FALSE)</f>
        <v>JACKSON</v>
      </c>
      <c r="M179" s="6">
        <f t="shared" si="68"/>
        <v>1.0983796295477077E-2</v>
      </c>
      <c r="N179" s="7">
        <f t="shared" si="69"/>
        <v>15.816666665486991</v>
      </c>
      <c r="O179" s="7"/>
      <c r="P179" s="7"/>
      <c r="Q179" s="23"/>
      <c r="R179" s="23"/>
      <c r="S179" s="35">
        <f t="shared" si="70"/>
        <v>1</v>
      </c>
      <c r="T179" s="50" t="str">
        <f t="shared" si="71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15:49:00-0600',mode:absolute,to:'2016-10-30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79" s="52" t="str">
        <f t="shared" si="73"/>
        <v>N</v>
      </c>
      <c r="X179" s="177">
        <f t="shared" si="74"/>
        <v>1</v>
      </c>
      <c r="Y179" s="67">
        <f t="shared" si="75"/>
        <v>5.8623000000000003</v>
      </c>
      <c r="Z179" s="67">
        <f t="shared" si="76"/>
        <v>1.6899999999999998E-2</v>
      </c>
      <c r="AA179" s="67">
        <f t="shared" si="77"/>
        <v>5.8454000000000006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78"/>
        <v>1822-30</v>
      </c>
      <c r="AE17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79" s="88" t="str">
        <f t="shared" si="80"/>
        <v>"C:\Program Files (x86)\AstroGrep\AstroGrep.exe" /spath="%USERPROFILE%\AppData\Local\Temp\OnboardLogs" /stypes="app*4021*20161030*" /stext=" 23:.+((SYSTEM_STATE.+slice.+state.+changed )|(ment ac)|(system.+state.+changed )|(\[timeout)|(PRM\|1\|D)|(kpr)|(kdp)|(\|lc)|(penalty))" /e /r /s</v>
      </c>
      <c r="AG179" s="1" t="str">
        <f t="shared" si="81"/>
        <v>NW</v>
      </c>
      <c r="AH179" s="92" t="str">
        <f t="shared" si="82"/>
        <v>"%USERPROFILE%\Documents\GitHub\eaglep3\Utilities\RefineRTDCRunTimes.py" --tripid 1822-30 --locoid 4021 --swversion DE.1.0.8.0 --startMP 300:58623 --initTime 2016-10-30T16:49:00 --startdatetime 2016-10-30T16:51:46 --delay 1 --endMP 204:169 --enddatetime 2016-10-30T17:07:35 --enforcementcount 0 &gt;&gt;C:\Users\stu\Documents\GitHub\eaglep3-reporting\EC\2016-10-30-refined-times.txt</v>
      </c>
      <c r="AI17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{"issue":{"subject":"","project_id":79,"tracker_id":40,"status_id":1,"priority_id":2,"assigned_to_id":23,"start_date":"2016-10-30","description":"","custom_fields":[{"id":1,"name":"Subdivision","value":"NW"},{"id":4,"name":"Milepost","value":"0.0169"},{"id":17,"name":"Train ID","value":"1822-30"},{"id":16,"name":"Locomotive ID","value":"4021"},{"id":130,"name":"Impact","value":""},{"id":150,"name":"Time of Event (Mountain Time)","value":"17:07:35"},{"id":151,"name":"Denver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559</v>
      </c>
      <c r="B180" s="7">
        <v>4022</v>
      </c>
      <c r="C180" s="22" t="s">
        <v>284</v>
      </c>
      <c r="D180" s="22" t="s">
        <v>327</v>
      </c>
      <c r="E180" s="13">
        <v>42673.715231481481</v>
      </c>
      <c r="F180" s="13">
        <v>42673.723333333335</v>
      </c>
      <c r="G180" s="7">
        <v>1</v>
      </c>
      <c r="H180" s="13" t="s">
        <v>381</v>
      </c>
      <c r="I180" s="13">
        <v>42673.733715277776</v>
      </c>
      <c r="J180" s="7">
        <v>0</v>
      </c>
      <c r="K180" s="112" t="str">
        <f t="shared" si="67"/>
        <v>4021/4022</v>
      </c>
      <c r="L180" s="22" t="str">
        <f>VLOOKUP(A180,'Trips&amp;Operators'!$C$1:$E$10000,3,FALSE)</f>
        <v>JACKSON</v>
      </c>
      <c r="M180" s="6">
        <f t="shared" si="68"/>
        <v>1.0381944441178348E-2</v>
      </c>
      <c r="N180" s="7">
        <f t="shared" si="69"/>
        <v>14.949999995296821</v>
      </c>
      <c r="O180" s="7"/>
      <c r="P180" s="7"/>
      <c r="Q180" s="23"/>
      <c r="R180" s="23"/>
      <c r="S180" s="35">
        <f t="shared" si="70"/>
        <v>1</v>
      </c>
      <c r="T180" s="50" t="str">
        <f t="shared" si="71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16:09:56-0600',mode:absolute,to:'2016-10-30 18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0" s="52" t="str">
        <f t="shared" si="73"/>
        <v>N</v>
      </c>
      <c r="X180" s="177">
        <f t="shared" si="74"/>
        <v>1</v>
      </c>
      <c r="Y180" s="67">
        <f t="shared" si="75"/>
        <v>4.7300000000000002E-2</v>
      </c>
      <c r="Z180" s="67">
        <f t="shared" si="76"/>
        <v>5.8933</v>
      </c>
      <c r="AA180" s="67">
        <f t="shared" si="77"/>
        <v>5.8460000000000001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78"/>
        <v>1823-30</v>
      </c>
      <c r="AE18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0" s="88" t="str">
        <f t="shared" si="80"/>
        <v>"C:\Program Files (x86)\AstroGrep\AstroGrep.exe" /spath="%USERPROFILE%\AppData\Local\Temp\OnboardLogs" /stypes="app*4022*20161030*" /stext=" 23:.+((SYSTEM_STATE.+slice.+state.+changed )|(ment ac)|(system.+state.+changed )|(\[timeout)|(PRM\|1\|D)|(kpr)|(kdp)|(\|lc)|(penalty))" /e /r /s</v>
      </c>
      <c r="AG180" s="1" t="str">
        <f t="shared" si="81"/>
        <v>NW</v>
      </c>
      <c r="AH180" s="92" t="str">
        <f t="shared" si="82"/>
        <v>"%USERPROFILE%\Documents\GitHub\eaglep3\Utilities\RefineRTDCRunTimes.py" --tripid 1823-30 --locoid 4022 --swversion DE.1.0.8.0 --startMP 204:473 --initTime 2016-10-30T17:09:56 --startdatetime 2016-10-30T17:21:36 --delay 1 --endMP 300:58933 --enddatetime 2016-10-30T17:36:33 --enforcementcount 0 &gt;&gt;C:\Users\stu\Documents\GitHub\eaglep3-reporting\EC\2016-10-30-refined-times.txt</v>
      </c>
      <c r="AI18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{"issue":{"subject":"","project_id":79,"tracker_id":40,"status_id":1,"priority_id":2,"assigned_to_id":23,"start_date":"2016-10-30","description":"","custom_fields":[{"id":1,"name":"Subdivision","value":"NW"},{"id":4,"name":"Milepost","value":"5.8933"},{"id":17,"name":"Train ID","value":"1823-30"},{"id":16,"name":"Locomotive ID","value":"4022"},{"id":130,"name":"Impact","value":""},{"id":150,"name":"Time of Event (Mountain Time)","value":"17:36:33"},{"id":151,"name":"Denver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564</v>
      </c>
      <c r="B181" s="7">
        <v>4021</v>
      </c>
      <c r="C181" s="22" t="s">
        <v>284</v>
      </c>
      <c r="D181" s="22" t="s">
        <v>299</v>
      </c>
      <c r="E181" s="13">
        <v>42673.735208333332</v>
      </c>
      <c r="F181" s="13">
        <v>42673.737013888887</v>
      </c>
      <c r="G181" s="7">
        <v>1</v>
      </c>
      <c r="H181" s="13" t="s">
        <v>263</v>
      </c>
      <c r="I181" s="13">
        <v>42673.747650462959</v>
      </c>
      <c r="J181" s="7">
        <v>0</v>
      </c>
      <c r="K181" s="112" t="str">
        <f t="shared" si="67"/>
        <v>4021/4022</v>
      </c>
      <c r="L181" s="22" t="str">
        <f>VLOOKUP(A181,'Trips&amp;Operators'!$C$1:$E$10000,3,FALSE)</f>
        <v>JACKSON</v>
      </c>
      <c r="M181" s="6">
        <f t="shared" si="68"/>
        <v>1.063657407212304E-2</v>
      </c>
      <c r="N181" s="7">
        <f t="shared" si="69"/>
        <v>15.316666663857177</v>
      </c>
      <c r="O181" s="7"/>
      <c r="P181" s="7"/>
      <c r="Q181" s="23"/>
      <c r="R181" s="23"/>
      <c r="S181" s="35">
        <f t="shared" si="70"/>
        <v>1</v>
      </c>
      <c r="T181" s="50" t="str">
        <f t="shared" si="71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16:38:42-0600',mode:absolute,to:'2016-10-30 18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1" s="52" t="str">
        <f t="shared" si="73"/>
        <v>N</v>
      </c>
      <c r="X181" s="177">
        <f t="shared" si="74"/>
        <v>1</v>
      </c>
      <c r="Y181" s="67">
        <f t="shared" si="75"/>
        <v>5.8620999999999999</v>
      </c>
      <c r="Z181" s="67">
        <f t="shared" si="76"/>
        <v>1.67E-2</v>
      </c>
      <c r="AA181" s="67">
        <f t="shared" si="77"/>
        <v>5.8453999999999997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78"/>
        <v>1824-30</v>
      </c>
      <c r="AE181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1" s="88" t="str">
        <f t="shared" si="80"/>
        <v>"C:\Program Files (x86)\AstroGrep\AstroGrep.exe" /spath="%USERPROFILE%\AppData\Local\Temp\OnboardLogs" /stypes="app*4021*20161030*" /stext=" 23:.+((SYSTEM_STATE.+slice.+state.+changed )|(ment ac)|(system.+state.+changed )|(\[timeout)|(PRM\|1\|D)|(kpr)|(kdp)|(\|lc)|(penalty))" /e /r /s</v>
      </c>
      <c r="AG181" s="1" t="str">
        <f t="shared" si="81"/>
        <v>NW</v>
      </c>
      <c r="AH181" s="92" t="str">
        <f t="shared" si="82"/>
        <v>"%USERPROFILE%\Documents\GitHub\eaglep3\Utilities\RefineRTDCRunTimes.py" --tripid 1824-30 --locoid 4021 --swversion DE.1.0.8.0 --startMP 300:58621 --initTime 2016-10-30T17:38:42 --startdatetime 2016-10-30T17:41:18 --delay 1 --endMP 204:167 --enddatetime 2016-10-30T17:56:37 --enforcementcount 0 &gt;&gt;C:\Users\stu\Documents\GitHub\eaglep3-reporting\EC\2016-10-30-refined-times.txt</v>
      </c>
      <c r="AI181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{"issue":{"subject":"","project_id":79,"tracker_id":40,"status_id":1,"priority_id":2,"assigned_to_id":23,"start_date":"2016-10-30","description":"","custom_fields":[{"id":1,"name":"Subdivision","value":"NW"},{"id":4,"name":"Milepost","value":"0.0167"},{"id":17,"name":"Train ID","value":"1824-30"},{"id":16,"name":"Locomotive ID","value":"4021"},{"id":130,"name":"Impact","value":""},{"id":150,"name":"Time of Event (Mountain Time)","value":"17:56:37"},{"id":151,"name":"Denver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570</v>
      </c>
      <c r="B182" s="7">
        <v>4022</v>
      </c>
      <c r="C182" s="22" t="s">
        <v>284</v>
      </c>
      <c r="D182" s="22" t="s">
        <v>224</v>
      </c>
      <c r="E182" s="13">
        <v>42673.754351851851</v>
      </c>
      <c r="F182" s="13">
        <v>42673.765011574076</v>
      </c>
      <c r="G182" s="7">
        <v>1</v>
      </c>
      <c r="H182" s="13" t="s">
        <v>677</v>
      </c>
      <c r="I182" s="13">
        <v>42673.776134259257</v>
      </c>
      <c r="J182" s="7">
        <v>0</v>
      </c>
      <c r="K182" s="112" t="str">
        <f t="shared" si="67"/>
        <v>4021/4022</v>
      </c>
      <c r="L182" s="22" t="str">
        <f>VLOOKUP(A182,'Trips&amp;Operators'!$C$1:$E$10000,3,FALSE)</f>
        <v>JACKSON</v>
      </c>
      <c r="M182" s="6">
        <f t="shared" si="68"/>
        <v>1.1122685180453118E-2</v>
      </c>
      <c r="N182" s="7">
        <f t="shared" si="69"/>
        <v>16.01666665985249</v>
      </c>
      <c r="O182" s="7"/>
      <c r="P182" s="7"/>
      <c r="Q182" s="23"/>
      <c r="R182" s="23"/>
      <c r="S182" s="35">
        <f t="shared" si="70"/>
        <v>1</v>
      </c>
      <c r="T182" s="50" t="str">
        <f t="shared" si="71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17:06:16-0600',mode:absolute,to:'2016-10-30 19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2" s="52" t="str">
        <f t="shared" si="73"/>
        <v>N</v>
      </c>
      <c r="X182" s="177">
        <f t="shared" si="74"/>
        <v>1</v>
      </c>
      <c r="Y182" s="67">
        <f t="shared" si="75"/>
        <v>4.5999999999999999E-2</v>
      </c>
      <c r="Z182" s="67">
        <f t="shared" si="76"/>
        <v>5.8940999999999999</v>
      </c>
      <c r="AA182" s="67">
        <f t="shared" si="77"/>
        <v>5.8480999999999996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78"/>
        <v>1825-30</v>
      </c>
      <c r="AE182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2" s="88" t="str">
        <f t="shared" si="80"/>
        <v>"C:\Program Files (x86)\AstroGrep\AstroGrep.exe" /spath="%USERPROFILE%\AppData\Local\Temp\OnboardLogs" /stypes="app*4022*20161031*" /stext=" 00:.+((SYSTEM_STATE.+slice.+state.+changed )|(ment ac)|(system.+state.+changed )|(\[timeout)|(PRM\|1\|D)|(kpr)|(kdp)|(\|lc)|(penalty))" /e /r /s</v>
      </c>
      <c r="AG182" s="1" t="str">
        <f t="shared" si="81"/>
        <v>NW</v>
      </c>
      <c r="AH182" s="92" t="str">
        <f t="shared" si="82"/>
        <v>"%USERPROFILE%\Documents\GitHub\eaglep3\Utilities\RefineRTDCRunTimes.py" --tripid 1825-30 --locoid 4022 --swversion DE.1.0.8.0 --startMP 204:460 --initTime 2016-10-30T18:06:16 --startdatetime 2016-10-30T18:21:37 --delay 1 --endMP 300:58941 --enddatetime 2016-10-30T18:37:38 --enforcementcount 0 &gt;&gt;C:\Users\stu\Documents\GitHub\eaglep3-reporting\EC\2016-10-30-refined-times.txt</v>
      </c>
      <c r="AI182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{"issue":{"subject":"","project_id":79,"tracker_id":40,"status_id":1,"priority_id":2,"assigned_to_id":23,"start_date":"2016-10-30","description":"","custom_fields":[{"id":1,"name":"Subdivision","value":"NW"},{"id":4,"name":"Milepost","value":"5.8941"},{"id":17,"name":"Train ID","value":"1825-30"},{"id":16,"name":"Locomotive ID","value":"4022"},{"id":130,"name":"Impact","value":""},{"id":150,"name":"Time of Event (Mountain Time)","value":"18:37:38"},{"id":151,"name":"Denver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575</v>
      </c>
      <c r="B183" s="7">
        <v>4021</v>
      </c>
      <c r="C183" s="22" t="s">
        <v>284</v>
      </c>
      <c r="D183" s="22" t="s">
        <v>687</v>
      </c>
      <c r="E183" s="13">
        <v>42673.777488425927</v>
      </c>
      <c r="F183" s="13">
        <v>42673.778969907406</v>
      </c>
      <c r="G183" s="7">
        <v>1</v>
      </c>
      <c r="H183" s="13" t="s">
        <v>386</v>
      </c>
      <c r="I183" s="13">
        <v>42673.789525462962</v>
      </c>
      <c r="J183" s="7">
        <v>0</v>
      </c>
      <c r="K183" s="112" t="str">
        <f t="shared" si="67"/>
        <v>4021/4022</v>
      </c>
      <c r="L183" s="22" t="str">
        <f>VLOOKUP(A183,'Trips&amp;Operators'!$C$1:$E$10000,3,FALSE)</f>
        <v>JACKSON</v>
      </c>
      <c r="M183" s="6">
        <f t="shared" si="68"/>
        <v>1.0555555556493346E-2</v>
      </c>
      <c r="N183" s="7">
        <f t="shared" si="69"/>
        <v>15.200000001350418</v>
      </c>
      <c r="O183" s="7"/>
      <c r="P183" s="7"/>
      <c r="Q183" s="23"/>
      <c r="R183" s="23"/>
      <c r="S183" s="35">
        <f t="shared" si="70"/>
        <v>1</v>
      </c>
      <c r="T183" s="50" t="str">
        <f t="shared" si="71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17:39:35-0600',mode:absolute,to:'2016-10-30 19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3" s="52" t="str">
        <f t="shared" si="73"/>
        <v>N</v>
      </c>
      <c r="X183" s="177">
        <f t="shared" si="74"/>
        <v>1</v>
      </c>
      <c r="Y183" s="67">
        <f t="shared" si="75"/>
        <v>5.8634000000000004</v>
      </c>
      <c r="Z183" s="67">
        <f t="shared" si="76"/>
        <v>7.5399999999999995E-2</v>
      </c>
      <c r="AA183" s="67">
        <f t="shared" si="77"/>
        <v>5.7880000000000003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78"/>
        <v>1826-30</v>
      </c>
      <c r="AE183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3" s="88" t="str">
        <f t="shared" si="80"/>
        <v>"C:\Program Files (x86)\AstroGrep\AstroGrep.exe" /spath="%USERPROFILE%\AppData\Local\Temp\OnboardLogs" /stypes="app*4021*20161031*" /stext=" 00:.+((SYSTEM_STATE.+slice.+state.+changed )|(ment ac)|(system.+state.+changed )|(\[timeout)|(PRM\|1\|D)|(kpr)|(kdp)|(\|lc)|(penalty))" /e /r /s</v>
      </c>
      <c r="AG183" s="1" t="str">
        <f t="shared" si="81"/>
        <v>NW</v>
      </c>
      <c r="AH183" s="92" t="str">
        <f t="shared" si="82"/>
        <v>"%USERPROFILE%\Documents\GitHub\eaglep3\Utilities\RefineRTDCRunTimes.py" --tripid 1826-30 --locoid 4021 --swversion DE.1.0.8.0 --startMP 300:58634 --initTime 2016-10-30T18:39:35 --startdatetime 2016-10-30T18:41:43 --delay 1 --endMP 204:754 --enddatetime 2016-10-30T18:56:55 --enforcementcount 0 &gt;&gt;C:\Users\stu\Documents\GitHub\eaglep3-reporting\EC\2016-10-30-refined-times.txt</v>
      </c>
      <c r="AI183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{"issue":{"subject":"","project_id":79,"tracker_id":40,"status_id":1,"priority_id":2,"assigned_to_id":23,"start_date":"2016-10-30","description":"","custom_fields":[{"id":1,"name":"Subdivision","value":"NW"},{"id":4,"name":"Milepost","value":"0.0754"},{"id":17,"name":"Train ID","value":"1826-30"},{"id":16,"name":"Locomotive ID","value":"4021"},{"id":130,"name":"Impact","value":""},{"id":150,"name":"Time of Event (Mountain Time)","value":"18:56:55"},{"id":151,"name":"Denver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582</v>
      </c>
      <c r="B184" s="7">
        <v>4022</v>
      </c>
      <c r="C184" s="22" t="s">
        <v>284</v>
      </c>
      <c r="D184" s="22" t="s">
        <v>688</v>
      </c>
      <c r="E184" s="13">
        <v>42673.79315972222</v>
      </c>
      <c r="F184" s="13">
        <v>42673.806550925925</v>
      </c>
      <c r="G184" s="7">
        <v>1</v>
      </c>
      <c r="H184" s="13" t="s">
        <v>689</v>
      </c>
      <c r="I184" s="13">
        <v>42673.816736111112</v>
      </c>
      <c r="J184" s="7">
        <v>0</v>
      </c>
      <c r="K184" s="112" t="str">
        <f t="shared" si="67"/>
        <v>4021/4022</v>
      </c>
      <c r="L184" s="22" t="str">
        <f>VLOOKUP(A184,'Trips&amp;Operators'!$C$1:$E$10000,3,FALSE)</f>
        <v>JACKSON</v>
      </c>
      <c r="M184" s="6">
        <f t="shared" si="68"/>
        <v>1.0185185186855961E-2</v>
      </c>
      <c r="N184" s="7">
        <f t="shared" si="69"/>
        <v>14.666666669072583</v>
      </c>
      <c r="O184" s="7"/>
      <c r="P184" s="7"/>
      <c r="Q184" s="23"/>
      <c r="R184" s="23"/>
      <c r="S184" s="35">
        <f t="shared" si="70"/>
        <v>1</v>
      </c>
      <c r="T184" s="50" t="str">
        <f t="shared" si="71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18:02:09-0600',mode:absolute,to:'2016-10-30 20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4" s="52" t="str">
        <f t="shared" si="73"/>
        <v>N</v>
      </c>
      <c r="X184" s="177">
        <f t="shared" si="74"/>
        <v>1</v>
      </c>
      <c r="Y184" s="67">
        <f t="shared" si="75"/>
        <v>0.1046</v>
      </c>
      <c r="Z184" s="67">
        <f t="shared" si="76"/>
        <v>5.8939000000000004</v>
      </c>
      <c r="AA184" s="67">
        <f t="shared" si="77"/>
        <v>5.7893000000000008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78"/>
        <v>1827-30</v>
      </c>
      <c r="AE184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4" s="88" t="str">
        <f t="shared" si="80"/>
        <v>"C:\Program Files (x86)\AstroGrep\AstroGrep.exe" /spath="%USERPROFILE%\AppData\Local\Temp\OnboardLogs" /stypes="app*4022*20161031*" /stext=" 01:.+((SYSTEM_STATE.+slice.+state.+changed )|(ment ac)|(system.+state.+changed )|(\[timeout)|(PRM\|1\|D)|(kpr)|(kdp)|(\|lc)|(penalty))" /e /r /s</v>
      </c>
      <c r="AG184" s="1" t="str">
        <f t="shared" si="81"/>
        <v>NW</v>
      </c>
      <c r="AH184" s="92" t="str">
        <f t="shared" si="82"/>
        <v>"%USERPROFILE%\Documents\GitHub\eaglep3\Utilities\RefineRTDCRunTimes.py" --tripid 1827-30 --locoid 4022 --swversion DE.1.0.8.0 --startMP 204:1046 --initTime 2016-10-30T19:02:09 --startdatetime 2016-10-30T19:21:26 --delay 1 --endMP 300:58939 --enddatetime 2016-10-30T19:36:06 --enforcementcount 0 &gt;&gt;C:\Users\stu\Documents\GitHub\eaglep3-reporting\EC\2016-10-30-refined-times.txt</v>
      </c>
      <c r="AI184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{"issue":{"subject":"","project_id":79,"tracker_id":40,"status_id":1,"priority_id":2,"assigned_to_id":23,"start_date":"2016-10-30","description":"","custom_fields":[{"id":1,"name":"Subdivision","value":"NW"},{"id":4,"name":"Milepost","value":"5.8939"},{"id":17,"name":"Train ID","value":"1827-30"},{"id":16,"name":"Locomotive ID","value":"4022"},{"id":130,"name":"Impact","value":""},{"id":150,"name":"Time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586</v>
      </c>
      <c r="B185" s="7">
        <v>4021</v>
      </c>
      <c r="C185" s="22" t="s">
        <v>284</v>
      </c>
      <c r="D185" s="22" t="s">
        <v>678</v>
      </c>
      <c r="E185" s="13">
        <v>42673.818437499998</v>
      </c>
      <c r="F185" s="13">
        <v>42673.820092592592</v>
      </c>
      <c r="G185" s="7">
        <v>1</v>
      </c>
      <c r="H185" s="13" t="s">
        <v>690</v>
      </c>
      <c r="I185" s="13">
        <v>42673.831111111111</v>
      </c>
      <c r="J185" s="7">
        <v>0</v>
      </c>
      <c r="K185" s="112" t="str">
        <f t="shared" si="67"/>
        <v>4021/4022</v>
      </c>
      <c r="L185" s="22" t="str">
        <f>VLOOKUP(A185,'Trips&amp;Operators'!$C$1:$E$10000,3,FALSE)</f>
        <v>JACKSON</v>
      </c>
      <c r="M185" s="6">
        <f t="shared" si="68"/>
        <v>1.1018518518540077E-2</v>
      </c>
      <c r="N185" s="7">
        <f t="shared" si="69"/>
        <v>15.866666666697711</v>
      </c>
      <c r="O185" s="7"/>
      <c r="P185" s="7"/>
      <c r="Q185" s="23"/>
      <c r="R185" s="23"/>
      <c r="S185" s="35">
        <f t="shared" si="70"/>
        <v>1</v>
      </c>
      <c r="T185" s="50" t="str">
        <f t="shared" si="71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18:38:33-0600',mode:absolute,to:'2016-10-30 20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5" s="52" t="str">
        <f t="shared" si="73"/>
        <v>N</v>
      </c>
      <c r="X185" s="177">
        <f t="shared" si="74"/>
        <v>1</v>
      </c>
      <c r="Y185" s="67">
        <f t="shared" si="75"/>
        <v>5.8619000000000003</v>
      </c>
      <c r="Z185" s="67">
        <f t="shared" si="76"/>
        <v>7.17E-2</v>
      </c>
      <c r="AA185" s="67">
        <f t="shared" si="77"/>
        <v>5.7902000000000005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78"/>
        <v>1828-30</v>
      </c>
      <c r="AE185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5" s="88" t="str">
        <f t="shared" si="80"/>
        <v>"C:\Program Files (x86)\AstroGrep\AstroGrep.exe" /spath="%USERPROFILE%\AppData\Local\Temp\OnboardLogs" /stypes="app*4021*20161031*" /stext=" 01:.+((SYSTEM_STATE.+slice.+state.+changed )|(ment ac)|(system.+state.+changed )|(\[timeout)|(PRM\|1\|D)|(kpr)|(kdp)|(\|lc)|(penalty))" /e /r /s</v>
      </c>
      <c r="AG185" s="1" t="str">
        <f t="shared" si="81"/>
        <v>NW</v>
      </c>
      <c r="AH185" s="92" t="str">
        <f t="shared" si="82"/>
        <v>"%USERPROFILE%\Documents\GitHub\eaglep3\Utilities\RefineRTDCRunTimes.py" --tripid 1828-30 --locoid 4021 --swversion DE.1.0.8.0 --startMP 300:58619 --initTime 2016-10-30T19:38:33 --startdatetime 2016-10-30T19:40:56 --delay 1 --endMP 204:717 --enddatetime 2016-10-30T19:56:48 --enforcementcount 0 &gt;&gt;C:\Users\stu\Documents\GitHub\eaglep3-reporting\EC\2016-10-30-refined-times.txt</v>
      </c>
      <c r="AI185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{"issue":{"subject":"","project_id":79,"tracker_id":40,"status_id":1,"priority_id":2,"assigned_to_id":23,"start_date":"2016-10-30","description":"","custom_fields":[{"id":1,"name":"Subdivision","value":"NW"},{"id":4,"name":"Milepost","value":"0.0717"},{"id":17,"name":"Train ID","value":"1828-30"},{"id":16,"name":"Locomotive ID","value":"4021"},{"id":130,"name":"Impact","value":""},{"id":150,"name":"Time of Event (Mountain Time)","value":"19:56:48"},{"id":151,"name":"Denver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590</v>
      </c>
      <c r="B186" s="7">
        <v>4022</v>
      </c>
      <c r="C186" s="22" t="s">
        <v>284</v>
      </c>
      <c r="D186" s="22" t="s">
        <v>691</v>
      </c>
      <c r="E186" s="13">
        <v>42673.844629629632</v>
      </c>
      <c r="F186" s="13">
        <v>42673.848252314812</v>
      </c>
      <c r="G186" s="7">
        <v>1</v>
      </c>
      <c r="H186" s="13" t="s">
        <v>388</v>
      </c>
      <c r="I186" s="13">
        <v>42673.857858796298</v>
      </c>
      <c r="J186" s="7">
        <v>0</v>
      </c>
      <c r="K186" s="112" t="str">
        <f t="shared" si="67"/>
        <v>4021/4022</v>
      </c>
      <c r="L186" s="22" t="str">
        <f>VLOOKUP(A186,'Trips&amp;Operators'!$C$1:$E$10000,3,FALSE)</f>
        <v>JACKSON</v>
      </c>
      <c r="M186" s="6">
        <f t="shared" si="68"/>
        <v>9.606481486116536E-3</v>
      </c>
      <c r="N186" s="7">
        <f t="shared" si="69"/>
        <v>13.833333340007812</v>
      </c>
      <c r="O186" s="7"/>
      <c r="P186" s="7"/>
      <c r="Q186" s="23"/>
      <c r="R186" s="23"/>
      <c r="S186" s="35">
        <f t="shared" si="70"/>
        <v>1</v>
      </c>
      <c r="T186" s="50" t="str">
        <f t="shared" si="71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19:16:16-0600',mode:absolute,to:'2016-10-30 21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6" s="52" t="str">
        <f t="shared" si="73"/>
        <v>N</v>
      </c>
      <c r="X186" s="177">
        <f t="shared" si="74"/>
        <v>1</v>
      </c>
      <c r="Y186" s="67">
        <f t="shared" si="75"/>
        <v>0.1009</v>
      </c>
      <c r="Z186" s="67">
        <f t="shared" si="76"/>
        <v>5.8930999999999996</v>
      </c>
      <c r="AA186" s="67">
        <f t="shared" si="77"/>
        <v>5.7921999999999993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78"/>
        <v>1829-30</v>
      </c>
      <c r="AE186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6" s="88" t="str">
        <f t="shared" si="80"/>
        <v>"C:\Program Files (x86)\AstroGrep\AstroGrep.exe" /spath="%USERPROFILE%\AppData\Local\Temp\OnboardLogs" /stypes="app*4022*20161031*" /stext=" 02:.+((SYSTEM_STATE.+slice.+state.+changed )|(ment ac)|(system.+state.+changed )|(\[timeout)|(PRM\|1\|D)|(kpr)|(kdp)|(\|lc)|(penalty))" /e /r /s</v>
      </c>
      <c r="AG186" s="1" t="str">
        <f t="shared" si="81"/>
        <v>NW</v>
      </c>
      <c r="AH186" s="92" t="str">
        <f t="shared" si="82"/>
        <v>"%USERPROFILE%\Documents\GitHub\eaglep3\Utilities\RefineRTDCRunTimes.py" --tripid 1829-30 --locoid 4022 --swversion DE.1.0.8.0 --startMP 204:1009 --initTime 2016-10-30T20:16:16 --startdatetime 2016-10-30T20:21:29 --delay 1 --endMP 300:58931 --enddatetime 2016-10-30T20:35:19 --enforcementcount 0 &gt;&gt;C:\Users\stu\Documents\GitHub\eaglep3-reporting\EC\2016-10-30-refined-times.txt</v>
      </c>
      <c r="AI186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{"issue":{"subject":"","project_id":79,"tracker_id":40,"status_id":1,"priority_id":2,"assigned_to_id":23,"start_date":"2016-10-30","description":"","custom_fields":[{"id":1,"name":"Subdivision","value":"NW"},{"id":4,"name":"Milepost","value":"5.8931"},{"id":17,"name":"Train ID","value":"1829-30"},{"id":16,"name":"Locomotive ID","value":"4022"},{"id":130,"name":"Impact","value":""},{"id":150,"name":"Time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425</v>
      </c>
      <c r="B187" s="7">
        <v>4021</v>
      </c>
      <c r="C187" s="22" t="s">
        <v>284</v>
      </c>
      <c r="D187" s="22" t="s">
        <v>678</v>
      </c>
      <c r="E187" s="13">
        <v>42673.859247685185</v>
      </c>
      <c r="F187" s="13">
        <v>42673.86241898148</v>
      </c>
      <c r="G187" s="7">
        <v>1</v>
      </c>
      <c r="H187" s="13" t="s">
        <v>385</v>
      </c>
      <c r="I187" s="13">
        <v>42673.873993055553</v>
      </c>
      <c r="J187" s="7">
        <v>0</v>
      </c>
      <c r="K187" s="112" t="str">
        <f t="shared" si="67"/>
        <v>4021/4022</v>
      </c>
      <c r="L187" s="22" t="str">
        <f>VLOOKUP(A187,'Trips&amp;Operators'!$C$1:$E$10000,3,FALSE)</f>
        <v>JACKSON</v>
      </c>
      <c r="M187" s="6">
        <f t="shared" si="68"/>
        <v>1.1574074072996154E-2</v>
      </c>
      <c r="N187" s="7">
        <f t="shared" si="69"/>
        <v>16.666666665114462</v>
      </c>
      <c r="O187" s="7"/>
      <c r="P187" s="7"/>
      <c r="Q187" s="23"/>
      <c r="R187" s="23"/>
      <c r="S187" s="35">
        <f t="shared" si="70"/>
        <v>1</v>
      </c>
      <c r="T187" s="50" t="str">
        <f t="shared" si="71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19:37:19-0600',mode:absolute,to:'2016-10-30 21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7" s="52" t="str">
        <f t="shared" si="73"/>
        <v>N</v>
      </c>
      <c r="X187" s="177">
        <f t="shared" si="74"/>
        <v>1</v>
      </c>
      <c r="Y187" s="67">
        <f t="shared" si="75"/>
        <v>5.8619000000000003</v>
      </c>
      <c r="Z187" s="67">
        <f t="shared" si="76"/>
        <v>7.3099999999999998E-2</v>
      </c>
      <c r="AA187" s="67">
        <f t="shared" si="77"/>
        <v>5.7888000000000002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78"/>
        <v>1830-30</v>
      </c>
      <c r="AE187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7" s="88" t="str">
        <f t="shared" si="80"/>
        <v>"C:\Program Files (x86)\AstroGrep\AstroGrep.exe" /spath="%USERPROFILE%\AppData\Local\Temp\OnboardLogs" /stypes="app*4021*20161031*" /stext=" 02:.+((SYSTEM_STATE.+slice.+state.+changed )|(ment ac)|(system.+state.+changed )|(\[timeout)|(PRM\|1\|D)|(kpr)|(kdp)|(\|lc)|(penalty))" /e /r /s</v>
      </c>
      <c r="AG187" s="1" t="str">
        <f t="shared" si="81"/>
        <v>NW</v>
      </c>
      <c r="AH187" s="92" t="str">
        <f t="shared" si="82"/>
        <v>"%USERPROFILE%\Documents\GitHub\eaglep3\Utilities\RefineRTDCRunTimes.py" --tripid 1830-30 --locoid 4021 --swversion DE.1.0.8.0 --startMP 300:58619 --initTime 2016-10-30T20:37:19 --startdatetime 2016-10-30T20:41:53 --delay 1 --endMP 204:731 --enddatetime 2016-10-30T20:58:33 --enforcementcount 0 &gt;&gt;C:\Users\stu\Documents\GitHub\eaglep3-reporting\EC\2016-10-30-refined-times.txt</v>
      </c>
      <c r="AI187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{"issue":{"subject":"","project_id":79,"tracker_id":40,"status_id":1,"priority_id":2,"assigned_to_id":23,"start_date":"2016-10-30","description":"","custom_fields":[{"id":1,"name":"Subdivision","value":"NW"},{"id":4,"name":"Milepost","value":"0.0731"},{"id":17,"name":"Train ID","value":"1830-30"},{"id":16,"name":"Locomotive ID","value":"4021"},{"id":130,"name":"Impact","value":""},{"id":150,"name":"Time of Event (Mountain Time)","value":"20:58:33"},{"id":151,"name":"Denver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599</v>
      </c>
      <c r="B188" s="7">
        <v>4022</v>
      </c>
      <c r="C188" s="22" t="s">
        <v>284</v>
      </c>
      <c r="D188" s="22" t="s">
        <v>676</v>
      </c>
      <c r="E188" s="13">
        <v>42673.87908564815</v>
      </c>
      <c r="F188" s="13">
        <v>42673.889988425923</v>
      </c>
      <c r="G188" s="7">
        <v>1</v>
      </c>
      <c r="H188" s="13" t="s">
        <v>381</v>
      </c>
      <c r="I188" s="13">
        <v>42673.900717592594</v>
      </c>
      <c r="J188" s="7">
        <v>0</v>
      </c>
      <c r="K188" s="112" t="str">
        <f t="shared" si="67"/>
        <v>4021/4022</v>
      </c>
      <c r="L188" s="22" t="str">
        <f>VLOOKUP(A188,'Trips&amp;Operators'!$C$1:$E$10000,3,FALSE)</f>
        <v>JACKSON</v>
      </c>
      <c r="M188" s="6">
        <f t="shared" si="68"/>
        <v>1.0729166671808343E-2</v>
      </c>
      <c r="N188" s="7">
        <f t="shared" si="69"/>
        <v>15.450000007404014</v>
      </c>
      <c r="O188" s="7"/>
      <c r="P188" s="7"/>
      <c r="Q188" s="23"/>
      <c r="R188" s="23"/>
      <c r="S188" s="35">
        <f t="shared" si="70"/>
        <v>1</v>
      </c>
      <c r="T188" s="50" t="str">
        <f t="shared" si="71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20:05:53-0600',mode:absolute,to:'2016-10-30 22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88" s="52" t="str">
        <f t="shared" si="73"/>
        <v>N</v>
      </c>
      <c r="X188" s="177">
        <f t="shared" si="74"/>
        <v>1</v>
      </c>
      <c r="Y188" s="67">
        <f t="shared" si="75"/>
        <v>0.1021</v>
      </c>
      <c r="Z188" s="67">
        <f t="shared" si="76"/>
        <v>5.8933</v>
      </c>
      <c r="AA188" s="67">
        <f t="shared" si="77"/>
        <v>5.7911999999999999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78"/>
        <v>1831-30</v>
      </c>
      <c r="AE188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88" s="88" t="str">
        <f t="shared" si="80"/>
        <v>"C:\Program Files (x86)\AstroGrep\AstroGrep.exe" /spath="%USERPROFILE%\AppData\Local\Temp\OnboardLogs" /stypes="app*4022*20161031*" /stext=" 03:.+((SYSTEM_STATE.+slice.+state.+changed )|(ment ac)|(system.+state.+changed )|(\[timeout)|(PRM\|1\|D)|(kpr)|(kdp)|(\|lc)|(penalty))" /e /r /s</v>
      </c>
      <c r="AG188" s="1" t="str">
        <f t="shared" si="81"/>
        <v>NW</v>
      </c>
      <c r="AH188" s="92" t="str">
        <f t="shared" si="82"/>
        <v>"%USERPROFILE%\Documents\GitHub\eaglep3\Utilities\RefineRTDCRunTimes.py" --tripid 1831-30 --locoid 4022 --swversion DE.1.0.8.0 --startMP 204:1021 --initTime 2016-10-30T21:05:53 --startdatetime 2016-10-30T21:21:35 --delay 1 --endMP 300:58933 --enddatetime 2016-10-30T21:37:02 --enforcementcount 0 &gt;&gt;C:\Users\stu\Documents\GitHub\eaglep3-reporting\EC\2016-10-30-refined-times.txt</v>
      </c>
      <c r="AI188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{"issue":{"subject":"","project_id":79,"tracker_id":40,"status_id":1,"priority_id":2,"assigned_to_id":23,"start_date":"2016-10-30","description":"","custom_fields":[{"id":1,"name":"Subdivision","value":"NW"},{"id":4,"name":"Milepost","value":"5.8933"},{"id":17,"name":"Train ID","value":"1831-30"},{"id":16,"name":"Locomotive ID","value":"4022"},{"id":130,"name":"Impact","value":""},{"id":150,"name":"Time of Event (Mountain Time)","value":"21:37:02"},{"id":151,"name":"Denver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604</v>
      </c>
      <c r="B189" s="7">
        <v>4021</v>
      </c>
      <c r="C189" s="22" t="s">
        <v>284</v>
      </c>
      <c r="D189" s="22" t="s">
        <v>382</v>
      </c>
      <c r="E189" s="13">
        <v>42673.904062499998</v>
      </c>
      <c r="F189" s="13">
        <v>42673.905821759261</v>
      </c>
      <c r="G189" s="7">
        <v>1</v>
      </c>
      <c r="H189" s="13" t="s">
        <v>378</v>
      </c>
      <c r="I189" s="13">
        <v>42673.915462962963</v>
      </c>
      <c r="J189" s="7">
        <v>0</v>
      </c>
      <c r="K189" s="112" t="str">
        <f t="shared" si="67"/>
        <v>4021/4022</v>
      </c>
      <c r="L189" s="22" t="str">
        <f>VLOOKUP(A189,'Trips&amp;Operators'!$C$1:$E$10000,3,FALSE)</f>
        <v>JACKSON</v>
      </c>
      <c r="M189" s="6">
        <f t="shared" si="68"/>
        <v>9.6412037019035779E-3</v>
      </c>
      <c r="N189" s="7">
        <f t="shared" si="69"/>
        <v>13.883333330741152</v>
      </c>
      <c r="O189" s="7"/>
      <c r="P189" s="7"/>
      <c r="Q189" s="23"/>
      <c r="R189" s="23"/>
      <c r="S189" s="35">
        <f t="shared" si="70"/>
        <v>1</v>
      </c>
      <c r="T189" s="50" t="str">
        <f t="shared" si="71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20:41:51-0600',mode:absolute,to:'2016-10-30 22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9" s="52" t="str">
        <f t="shared" si="73"/>
        <v>N</v>
      </c>
      <c r="X189" s="177">
        <f t="shared" si="74"/>
        <v>1</v>
      </c>
      <c r="Y189" s="67">
        <f t="shared" si="75"/>
        <v>5.8615000000000004</v>
      </c>
      <c r="Z189" s="67">
        <f t="shared" si="76"/>
        <v>7.7100000000000002E-2</v>
      </c>
      <c r="AA189" s="67">
        <f t="shared" si="77"/>
        <v>5.7844000000000007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78"/>
        <v>1832-30</v>
      </c>
      <c r="AE189" s="91" t="str">
        <f t="shared" si="79"/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189" s="88" t="str">
        <f t="shared" si="80"/>
        <v>"C:\Program Files (x86)\AstroGrep\AstroGrep.exe" /spath="%USERPROFILE%\AppData\Local\Temp\OnboardLogs" /stypes="app*4021*20161031*" /stext=" 03:.+((SYSTEM_STATE.+slice.+state.+changed )|(ment ac)|(system.+state.+changed )|(\[timeout)|(PRM\|1\|D)|(kpr)|(kdp)|(\|lc)|(penalty))" /e /r /s</v>
      </c>
      <c r="AG189" s="1" t="str">
        <f t="shared" si="81"/>
        <v>NW</v>
      </c>
      <c r="AH189" s="92" t="str">
        <f t="shared" si="82"/>
        <v>"%USERPROFILE%\Documents\GitHub\eaglep3\Utilities\RefineRTDCRunTimes.py" --tripid 1832-30 --locoid 4021 --swversion DE.1.0.8.0 --startMP 300:58615 --initTime 2016-10-30T21:41:51 --startdatetime 2016-10-30T21:44:23 --delay 1 --endMP 204:771 --enddatetime 2016-10-30T21:58:16 --enforcementcount 0 &gt;&gt;C:\Users\stu\Documents\GitHub\eaglep3-reporting\EC\2016-10-30-refined-times.txt</v>
      </c>
      <c r="AI189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{"issue":{"subject":"","project_id":79,"tracker_id":40,"status_id":1,"priority_id":2,"assigned_to_id":23,"start_date":"2016-10-30","description":"","custom_fields":[{"id":1,"name":"Subdivision","value":"NW"},{"id":4,"name":"Milepost","value":"0.0771"},{"id":17,"name":"Train ID","value":"1832-30"},{"id":16,"name":"Locomotive ID","value":"4021"},{"id":130,"name":"Impact","value":""},{"id":150,"name":"Time of Event (Mountain Time)","value":"21:58:16"},{"id":151,"name":"Denver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606</v>
      </c>
      <c r="B190" s="7">
        <v>4022</v>
      </c>
      <c r="C190" s="22" t="s">
        <v>284</v>
      </c>
      <c r="D190" s="22" t="s">
        <v>693</v>
      </c>
      <c r="E190" s="13">
        <v>42673.917708333334</v>
      </c>
      <c r="F190" s="13">
        <v>42673.931608796294</v>
      </c>
      <c r="G190" s="7">
        <v>1</v>
      </c>
      <c r="H190" s="13" t="s">
        <v>680</v>
      </c>
      <c r="I190" s="13">
        <v>42673.94195601852</v>
      </c>
      <c r="J190" s="7">
        <v>0</v>
      </c>
      <c r="K190" s="112" t="str">
        <f t="shared" si="67"/>
        <v>4021/4022</v>
      </c>
      <c r="L190" s="22" t="str">
        <f>VLOOKUP(A190,'Trips&amp;Operators'!$C$1:$E$10000,3,FALSE)</f>
        <v>JACKSON</v>
      </c>
      <c r="M190" s="6">
        <f t="shared" si="68"/>
        <v>1.0347222225391306E-2</v>
      </c>
      <c r="N190" s="7">
        <f t="shared" si="69"/>
        <v>14.900000004563481</v>
      </c>
      <c r="O190" s="7"/>
      <c r="P190" s="7"/>
      <c r="Q190" s="23"/>
      <c r="R190" s="23"/>
      <c r="S190" s="35">
        <f t="shared" si="70"/>
        <v>1</v>
      </c>
      <c r="T190" s="50" t="str">
        <f t="shared" si="71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21:01:30-0600',mode:absolute,to:'2016-10-30 23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0" s="52" t="str">
        <f t="shared" si="73"/>
        <v>N</v>
      </c>
      <c r="X190" s="177">
        <f t="shared" si="74"/>
        <v>1</v>
      </c>
      <c r="Y190" s="67">
        <f t="shared" si="75"/>
        <v>0.1069</v>
      </c>
      <c r="Z190" s="67">
        <f t="shared" si="76"/>
        <v>5.8945999999999996</v>
      </c>
      <c r="AA190" s="67">
        <f t="shared" si="77"/>
        <v>5.7876999999999992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78"/>
        <v>1833-30</v>
      </c>
      <c r="AE190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190" s="88" t="str">
        <f t="shared" si="80"/>
        <v>"C:\Program Files (x86)\AstroGrep\AstroGrep.exe" /spath="%USERPROFILE%\AppData\Local\Temp\OnboardLogs" /stypes="app*4022*20161031*" /stext=" 04:.+((SYSTEM_STATE.+slice.+state.+changed )|(ment ac)|(system.+state.+changed )|(\[timeout)|(PRM\|1\|D)|(kpr)|(kdp)|(\|lc)|(penalty))" /e /r /s</v>
      </c>
      <c r="AG190" s="1" t="str">
        <f t="shared" si="81"/>
        <v>NW</v>
      </c>
      <c r="AH190" s="92" t="str">
        <f t="shared" si="82"/>
        <v>"%USERPROFILE%\Documents\GitHub\eaglep3\Utilities\RefineRTDCRunTimes.py" --tripid 1833-30 --locoid 4022 --swversion DE.1.0.8.0 --startMP 204:1069 --initTime 2016-10-30T22:01:30 --startdatetime 2016-10-30T22:21:31 --delay 1 --endMP 300:58946 --enddatetime 2016-10-30T22:36:25 --enforcementcount 0 &gt;&gt;C:\Users\stu\Documents\GitHub\eaglep3-reporting\EC\2016-10-30-refined-times.txt</v>
      </c>
      <c r="AI190" s="122" t="str">
        <f t="shared" si="83"/>
        <v>echo {"issue":{"subject":"","project_id":79,"tracker_id":40,"status_id":1,"priority_id":2,"assigned_to_id":23,"start_date":"2016-10-30","description":"","custom_fields":[{"id":1,"name":"Subdivision","value":"NW"},{"id":4,"name":"Milepost","value":"5.8946"},{"id":17,"name":"Train ID","value":"1833-30"},{"id":16,"name":"Locomotive ID","value":"4022"},{"id":130,"name":"Impact","value":""},{"id":150,"name":"Time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437</v>
      </c>
      <c r="B191" s="7">
        <v>4030</v>
      </c>
      <c r="C191" s="22" t="s">
        <v>284</v>
      </c>
      <c r="D191" s="22" t="s">
        <v>720</v>
      </c>
      <c r="E191" s="13">
        <v>42673.117175925923</v>
      </c>
      <c r="F191" s="13">
        <v>42673.118425925924</v>
      </c>
      <c r="G191" s="7">
        <v>1</v>
      </c>
      <c r="H191" s="13" t="s">
        <v>215</v>
      </c>
      <c r="I191" s="13">
        <v>42673.1252662037</v>
      </c>
      <c r="J191" s="7">
        <v>0</v>
      </c>
      <c r="K191" s="112" t="str">
        <f t="shared" si="67"/>
        <v>4029/4030</v>
      </c>
      <c r="L191" s="22" t="str">
        <f>VLOOKUP(A191,'Trips&amp;Operators'!$C$1:$E$10000,3,FALSE)</f>
        <v>KILLION</v>
      </c>
      <c r="M191" s="6">
        <f t="shared" si="68"/>
        <v>6.8402777760638855E-3</v>
      </c>
      <c r="N191" s="7">
        <f t="shared" si="69"/>
        <v>9.8499999975319952</v>
      </c>
      <c r="O191" s="7"/>
      <c r="P191" s="7"/>
      <c r="Q191" s="23"/>
      <c r="R191" s="23"/>
      <c r="S191" s="35">
        <f t="shared" si="70"/>
        <v>1</v>
      </c>
      <c r="T191" s="50" t="str">
        <f t="shared" si="71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01:48:44-0600',mode:absolute,to:'2016-10-30 04:00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73"/>
        <v>Y</v>
      </c>
      <c r="X191" s="177">
        <f t="shared" si="74"/>
        <v>-1531</v>
      </c>
      <c r="Y191" s="67">
        <f t="shared" si="75"/>
        <v>2.3041999999999998</v>
      </c>
      <c r="Z191" s="67">
        <f t="shared" si="76"/>
        <v>1.4999999999999999E-2</v>
      </c>
      <c r="AA191" s="67">
        <f t="shared" si="77"/>
        <v>2.2891999999999997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78"/>
        <v>0302-30</v>
      </c>
      <c r="AE191" s="91" t="str">
        <f t="shared" si="79"/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AF191" s="88" t="str">
        <f t="shared" si="80"/>
        <v>"C:\Program Files (x86)\AstroGrep\AstroGrep.exe" /spath="%USERPROFILE%\AppData\Local\Temp\OnboardLogs" /stypes="app*4030*20161030*" /stext=" 09:.+((SYSTEM_STATE.+slice.+state.+changed )|(ment ac)|(system.+state.+changed )|(\[timeout)|(PRM\|1\|D)|(kpr)|(kdp)|(\|lc)|(penalty))" /e /r /s</v>
      </c>
      <c r="AG191" s="1" t="str">
        <f t="shared" si="81"/>
        <v>Other</v>
      </c>
      <c r="AH191" s="92" t="str">
        <f t="shared" si="82"/>
        <v>"%USERPROFILE%\Documents\GitHub\eaglep3\Utilities\RefineRTDCRunTimes.py" --tripid 302-30 --locoid 4030 --swversion DE.1.0.8.0 --startMP 300:23042 --initTime 2016-10-30T02:48:44 --startdatetime 2016-10-30T02:50:32 --delay 1 --endMP 204:150 --enddatetime 2016-10-30T03:00:23 --enforcementcount 0 &gt;&gt;C:\Users\stu\Documents\GitHub\eaglep3-reporting\EC\2016-10-30-refined-times.txt</v>
      </c>
      <c r="AI191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{"issue":{"subject":"","project_id":79,"tracker_id":40,"status_id":1,"priority_id":2,"assigned_to_id":23,"start_date":"2016-10-30","description":"","custom_fields":[{"id":1,"name":"Subdivision","value":"Other"},{"id":4,"name":"Milepost","value":"0.015"},{"id":17,"name":"Train ID","value":"302-30"},{"id":16,"name":"Locomotive ID","value":"4030"},{"id":130,"name":"Impact","value":""},{"id":150,"name":"Time of Event (Mountain Time)","value":"03:00:23"},{"id":151,"name":"Denver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391</v>
      </c>
      <c r="B192" s="7">
        <v>4026</v>
      </c>
      <c r="C192" s="22" t="s">
        <v>284</v>
      </c>
      <c r="D192" s="22" t="s">
        <v>721</v>
      </c>
      <c r="E192" s="13">
        <v>42673.140590277777</v>
      </c>
      <c r="F192" s="13">
        <v>42673.141828703701</v>
      </c>
      <c r="G192" s="7">
        <v>1</v>
      </c>
      <c r="H192" s="13" t="s">
        <v>722</v>
      </c>
      <c r="I192" s="13">
        <v>42673.147962962961</v>
      </c>
      <c r="J192" s="7">
        <v>0</v>
      </c>
      <c r="K192" s="112" t="str">
        <f t="shared" si="67"/>
        <v>4025/4026</v>
      </c>
      <c r="L192" s="22" t="str">
        <f>VLOOKUP(A192,'Trips&amp;Operators'!$C$1:$E$10000,3,FALSE)</f>
        <v>ACKERMAN</v>
      </c>
      <c r="M192" s="6">
        <f t="shared" si="68"/>
        <v>6.1342592598521151E-3</v>
      </c>
      <c r="N192" s="7">
        <f t="shared" si="69"/>
        <v>8.8333333341870457</v>
      </c>
      <c r="O192" s="7"/>
      <c r="P192" s="7"/>
      <c r="Q192" s="23"/>
      <c r="R192" s="23"/>
      <c r="S192" s="35">
        <f t="shared" si="70"/>
        <v>1</v>
      </c>
      <c r="T192" s="50" t="str">
        <f t="shared" si="71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02:22:27-0600',mode:absolute,to:'2016-10-30 04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2" s="52" t="str">
        <f t="shared" si="73"/>
        <v>Y</v>
      </c>
      <c r="X192" s="177">
        <f t="shared" si="74"/>
        <v>2</v>
      </c>
      <c r="Y192" s="67">
        <f t="shared" si="75"/>
        <v>2.2359</v>
      </c>
      <c r="Z192" s="67">
        <f t="shared" si="76"/>
        <v>6.7999999999999996E-3</v>
      </c>
      <c r="AA192" s="67">
        <f t="shared" si="77"/>
        <v>2.2290999999999999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78"/>
        <v>0304-30</v>
      </c>
      <c r="AE192" s="91" t="str">
        <f t="shared" si="79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192" s="88" t="str">
        <f t="shared" si="80"/>
        <v>"C:\Program Files (x86)\AstroGrep\AstroGrep.exe" /spath="%USERPROFILE%\AppData\Local\Temp\OnboardLogs" /stypes="app*4026*20161030*" /stext=" 09:.+((SYSTEM_STATE.+slice.+state.+changed )|(ment ac)|(system.+state.+changed )|(\[timeout)|(PRM\|1\|D)|(kpr)|(kdp)|(\|lc)|(penalty))" /e /r /s</v>
      </c>
      <c r="AG192" s="1" t="str">
        <f t="shared" si="81"/>
        <v>Other</v>
      </c>
      <c r="AH192" s="92" t="str">
        <f t="shared" si="82"/>
        <v>"%USERPROFILE%\Documents\GitHub\eaglep3\Utilities\RefineRTDCRunTimes.py" --tripid 304-30 --locoid 4026 --swversion DE.1.0.8.0 --startMP 300:22359 --initTime 2016-10-30T03:22:27 --startdatetime 2016-10-30T03:24:14 --delay 1 --endMP 204:68 --enddatetime 2016-10-30T03:33:04 --enforcementcount 0 &gt;&gt;C:\Users\stu\Documents\GitHub\eaglep3-reporting\EC\2016-10-30-refined-times.txt</v>
      </c>
      <c r="AI192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{"issue":{"subject":"","project_id":79,"tracker_id":40,"status_id":1,"priority_id":2,"assigned_to_id":23,"start_date":"2016-10-30","description":"","custom_fields":[{"id":1,"name":"Subdivision","value":"Other"},{"id":4,"name":"Milepost","value":"0.0068"},{"id":17,"name":"Train ID","value":"304-30"},{"id":16,"name":"Locomotive ID","value":"4026"},{"id":130,"name":"Impact","value":""},{"id":150,"name":"Time of Event (Mountain Time)","value":"03:33:04"},{"id":151,"name":"Denver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441</v>
      </c>
      <c r="B193" s="7">
        <v>4045</v>
      </c>
      <c r="C193" s="22" t="s">
        <v>284</v>
      </c>
      <c r="D193" s="22" t="s">
        <v>723</v>
      </c>
      <c r="E193" s="13">
        <v>42673.161215277774</v>
      </c>
      <c r="F193" s="13">
        <v>42673.162407407406</v>
      </c>
      <c r="G193" s="7">
        <v>1</v>
      </c>
      <c r="H193" s="13" t="s">
        <v>364</v>
      </c>
      <c r="I193" s="13">
        <v>42673.168252314812</v>
      </c>
      <c r="J193" s="7">
        <v>0</v>
      </c>
      <c r="K193" s="112" t="str">
        <f t="shared" si="67"/>
        <v>4045/4046</v>
      </c>
      <c r="L193" s="22" t="str">
        <f>VLOOKUP(A193,'Trips&amp;Operators'!$C$1:$E$10000,3,FALSE)</f>
        <v>MAELZER</v>
      </c>
      <c r="M193" s="6">
        <f t="shared" si="68"/>
        <v>5.8449074058444239E-3</v>
      </c>
      <c r="N193" s="7">
        <f t="shared" si="69"/>
        <v>8.4166666644159704</v>
      </c>
      <c r="O193" s="7"/>
      <c r="P193" s="7"/>
      <c r="Q193" s="23"/>
      <c r="R193" s="23"/>
      <c r="S193" s="35">
        <f t="shared" si="70"/>
        <v>1</v>
      </c>
      <c r="T193" s="50" t="str">
        <f t="shared" si="71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02:52:09-0600',mode:absolute,to:'2016-10-30 05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3" s="52" t="str">
        <f t="shared" si="73"/>
        <v>Y</v>
      </c>
      <c r="X193" s="177">
        <f t="shared" si="74"/>
        <v>2</v>
      </c>
      <c r="Y193" s="67">
        <f t="shared" si="75"/>
        <v>2.3222</v>
      </c>
      <c r="Z193" s="67">
        <f t="shared" si="76"/>
        <v>1.29E-2</v>
      </c>
      <c r="AA193" s="67">
        <f t="shared" si="77"/>
        <v>2.3092999999999999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78"/>
        <v>0306-30</v>
      </c>
      <c r="AE193" s="91" t="str">
        <f t="shared" si="79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193" s="88" t="str">
        <f t="shared" si="80"/>
        <v>"C:\Program Files (x86)\AstroGrep\AstroGrep.exe" /spath="%USERPROFILE%\AppData\Local\Temp\OnboardLogs" /stypes="app*4045*20161030*" /stext=" 10:.+((SYSTEM_STATE.+slice.+state.+changed )|(ment ac)|(system.+state.+changed )|(\[timeout)|(PRM\|1\|D)|(kpr)|(kdp)|(\|lc)|(penalty))" /e /r /s</v>
      </c>
      <c r="AG193" s="1" t="str">
        <f t="shared" si="81"/>
        <v>Other</v>
      </c>
      <c r="AH193" s="92" t="str">
        <f t="shared" si="82"/>
        <v>"%USERPROFILE%\Documents\GitHub\eaglep3\Utilities\RefineRTDCRunTimes.py" --tripid 306-30 --locoid 4045 --swversion DE.1.0.8.0 --startMP 300:23222 --initTime 2016-10-30T03:52:09 --startdatetime 2016-10-30T03:53:52 --delay 1 --endMP 204:129 --enddatetime 2016-10-30T04:02:17 --enforcementcount 0 &gt;&gt;C:\Users\stu\Documents\GitHub\eaglep3-reporting\EC\2016-10-30-refined-times.txt</v>
      </c>
      <c r="AI193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{"issue":{"subject":"","project_id":79,"tracker_id":40,"status_id":1,"priority_id":2,"assigned_to_id":23,"start_date":"2016-10-30","description":"","custom_fields":[{"id":1,"name":"Subdivision","value":"Other"},{"id":4,"name":"Milepost","value":"0.0129"},{"id":17,"name":"Train ID","value":"306-30"},{"id":16,"name":"Locomotive ID","value":"4045"},{"id":130,"name":"Impact","value":""},{"id":150,"name":"Time of Event (Mountain Time)","value":"04:02:17"},{"id":151,"name":"Denver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443</v>
      </c>
      <c r="B194" s="7">
        <v>4028</v>
      </c>
      <c r="C194" s="22" t="s">
        <v>284</v>
      </c>
      <c r="D194" s="22" t="s">
        <v>374</v>
      </c>
      <c r="E194" s="13">
        <v>42673.171574074076</v>
      </c>
      <c r="F194" s="13">
        <v>42673.172881944447</v>
      </c>
      <c r="G194" s="7">
        <v>1</v>
      </c>
      <c r="H194" s="13" t="s">
        <v>321</v>
      </c>
      <c r="I194" s="13">
        <v>42673.180196759262</v>
      </c>
      <c r="J194" s="7">
        <v>0</v>
      </c>
      <c r="K194" s="112" t="str">
        <f t="shared" si="67"/>
        <v>4027/4028</v>
      </c>
      <c r="L194" s="22" t="str">
        <f>VLOOKUP(A194,'Trips&amp;Operators'!$C$1:$E$10000,3,FALSE)</f>
        <v>DAVIS</v>
      </c>
      <c r="M194" s="6">
        <f t="shared" si="68"/>
        <v>7.3148148148902692E-3</v>
      </c>
      <c r="N194" s="7">
        <f t="shared" si="69"/>
        <v>10.533333333441988</v>
      </c>
      <c r="O194" s="7"/>
      <c r="P194" s="7"/>
      <c r="Q194" s="23"/>
      <c r="R194" s="23"/>
      <c r="S194" s="35">
        <f t="shared" si="70"/>
        <v>1</v>
      </c>
      <c r="T194" s="50" t="str">
        <f t="shared" si="71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03:07:04-0600',mode:absolute,to:'2016-10-30 05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4" s="52" t="str">
        <f t="shared" si="73"/>
        <v>Y</v>
      </c>
      <c r="X194" s="177">
        <f t="shared" si="74"/>
        <v>2</v>
      </c>
      <c r="Y194" s="67">
        <f t="shared" si="75"/>
        <v>2.3321000000000001</v>
      </c>
      <c r="Z194" s="67">
        <f t="shared" si="76"/>
        <v>1.3599999999999999E-2</v>
      </c>
      <c r="AA194" s="67">
        <f t="shared" si="77"/>
        <v>2.3185000000000002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78"/>
        <v>0308-30</v>
      </c>
      <c r="AE194" s="91" t="str">
        <f t="shared" si="79"/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AF194" s="88" t="str">
        <f t="shared" si="80"/>
        <v>"C:\Program Files (x86)\AstroGrep\AstroGrep.exe" /spath="%USERPROFILE%\AppData\Local\Temp\OnboardLogs" /stypes="app*4028*20161030*" /stext=" 10:.+((SYSTEM_STATE.+slice.+state.+changed )|(ment ac)|(system.+state.+changed )|(\[timeout)|(PRM\|1\|D)|(kpr)|(kdp)|(\|lc)|(penalty))" /e /r /s</v>
      </c>
      <c r="AG194" s="1" t="str">
        <f t="shared" si="81"/>
        <v>Other</v>
      </c>
      <c r="AH194" s="92" t="str">
        <f t="shared" si="82"/>
        <v>"%USERPROFILE%\Documents\GitHub\eaglep3\Utilities\RefineRTDCRunTimes.py" --tripid 308-30 --locoid 4028 --swversion DE.1.0.8.0 --startMP 300:23321 --initTime 2016-10-30T04:07:04 --startdatetime 2016-10-30T04:08:57 --delay 1 --endMP 204:136 --enddatetime 2016-10-30T04:19:29 --enforcementcount 0 &gt;&gt;C:\Users\stu\Documents\GitHub\eaglep3-reporting\EC\2016-10-30-refined-times.txt</v>
      </c>
      <c r="AI194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{"issue":{"subject":"","project_id":79,"tracker_id":40,"status_id":1,"priority_id":2,"assigned_to_id":23,"start_date":"2016-10-30","description":"","custom_fields":[{"id":1,"name":"Subdivision","value":"Other"},{"id":4,"name":"Milepost","value":"0.0136"},{"id":17,"name":"Train ID","value":"308-30"},{"id":16,"name":"Locomotive ID","value":"4028"},{"id":130,"name":"Impact","value":""},{"id":150,"name":"Time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621</v>
      </c>
      <c r="B195" s="7">
        <v>4053</v>
      </c>
      <c r="C195" s="22" t="s">
        <v>284</v>
      </c>
      <c r="D195" s="22" t="s">
        <v>224</v>
      </c>
      <c r="E195" s="13">
        <v>42674.030451388891</v>
      </c>
      <c r="F195" s="13">
        <v>42674.032280092593</v>
      </c>
      <c r="G195" s="7">
        <v>1</v>
      </c>
      <c r="H195" s="13" t="s">
        <v>724</v>
      </c>
      <c r="I195" s="13">
        <v>42674.038703703707</v>
      </c>
      <c r="J195" s="7">
        <v>0</v>
      </c>
      <c r="K195" s="112" t="str">
        <f t="shared" si="67"/>
        <v>4053/4054</v>
      </c>
      <c r="L195" s="22" t="str">
        <f>VLOOKUP(A195,'Trips&amp;Operators'!$C$1:$E$10000,3,FALSE)</f>
        <v>LEVERE</v>
      </c>
      <c r="M195" s="6">
        <f t="shared" si="68"/>
        <v>6.4236111138598062E-3</v>
      </c>
      <c r="N195" s="7">
        <f t="shared" si="69"/>
        <v>9.2500000039581209</v>
      </c>
      <c r="O195" s="7"/>
      <c r="P195" s="7"/>
      <c r="Q195" s="23"/>
      <c r="R195" s="23"/>
      <c r="S195" s="35">
        <f t="shared" si="70"/>
        <v>1</v>
      </c>
      <c r="T195" s="50" t="str">
        <f t="shared" si="71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23:43:51-0600',mode:absolute,to:'2016-10-31 01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5" s="52" t="str">
        <f t="shared" si="73"/>
        <v>Y</v>
      </c>
      <c r="X195" s="177">
        <f t="shared" si="74"/>
        <v>1</v>
      </c>
      <c r="Y195" s="67">
        <f t="shared" si="75"/>
        <v>4.5999999999999999E-2</v>
      </c>
      <c r="Z195" s="67">
        <f t="shared" si="76"/>
        <v>2.2839</v>
      </c>
      <c r="AA195" s="67">
        <f t="shared" si="77"/>
        <v>2.2379000000000002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78"/>
        <v>0309-30</v>
      </c>
      <c r="AE195" s="91" t="str">
        <f t="shared" si="79"/>
        <v>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 &amp; aws s3 cp s3://rtdc.mdm.uploadarchive.raw/RTDC4053/ "%USERPROFILE%\AppData\Local\Temp\OnboardLogs"\RTDC4053\2016-11-01 --exclude "*" --recursive --include "*20161101*" &amp; "%USERPROFILE%\Documents\GitHub\mrs-test-scripts\Headless Mode &amp; Sideloading\WalkAndUnGZ.bat" "%USERPROFILE%\AppData\Local\Temp\OnboardLogs"\RTDC4053\2016-11-01</v>
      </c>
      <c r="AF195" s="88" t="str">
        <f t="shared" si="80"/>
        <v>"C:\Program Files (x86)\AstroGrep\AstroGrep.exe" /spath="%USERPROFILE%\AppData\Local\Temp\OnboardLogs" /stypes="app*4053*20161031*" /stext=" 06:.+((SYSTEM_STATE.+slice.+state.+changed )|(ment ac)|(system.+state.+changed )|(\[timeout)|(PRM\|1\|D)|(kpr)|(kdp)|(\|lc)|(penalty))" /e /r /s</v>
      </c>
      <c r="AG195" s="1" t="str">
        <f t="shared" si="81"/>
        <v>Other</v>
      </c>
      <c r="AH195" s="92" t="str">
        <f t="shared" si="82"/>
        <v>"%USERPROFILE%\Documents\GitHub\eaglep3\Utilities\RefineRTDCRunTimes.py" --tripid 309-30 --locoid 4053 --swversion DE.1.0.8.0 --startMP 204:460 --initTime 2016-10-31T00:43:51 --startdatetime 2016-10-31T00:46:29 --delay 1 --endMP 300:22839 --enddatetime 2016-10-31T00:55:44 --enforcementcount 0 &gt;&gt;C:\Users\stu\Documents\GitHub\eaglep3-reporting\EC\2016-10-30-refined-times.txt</v>
      </c>
      <c r="AI195" s="122" t="str">
        <f t="shared" si="83"/>
        <v>echo {"issue":{"subject":"","project_id":79,"tracker_id":40,"status_id":1,"priority_id":2,"assigned_to_id":23,"start_date":"2016-10-31","description":"","custom_fields":[{"id":1,"name":"Subdivision","value":"Other"},{"id":4,"name":"Milepost","value":"2.2839"},{"id":17,"name":"Train ID","value":"309-30"},{"id":16,"name":"Locomotive ID","value":"4053"},{"id":130,"name":"Impact","value":""},{"id":150,"name":"Time of Event (Mountain Time)","value":"00:55:44"},{"id":151,"name":"Denver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444</v>
      </c>
      <c r="B196" s="7">
        <v>4001</v>
      </c>
      <c r="C196" s="22" t="s">
        <v>284</v>
      </c>
      <c r="D196" s="22" t="s">
        <v>725</v>
      </c>
      <c r="E196" s="13">
        <v>42673.179629629631</v>
      </c>
      <c r="F196" s="13">
        <v>42673.18074074074</v>
      </c>
      <c r="G196" s="7">
        <v>1</v>
      </c>
      <c r="H196" s="13" t="s">
        <v>241</v>
      </c>
      <c r="I196" s="13">
        <v>42673.186423611114</v>
      </c>
      <c r="J196" s="7">
        <v>0</v>
      </c>
      <c r="K196" s="112" t="str">
        <f t="shared" si="67"/>
        <v>4001/4002</v>
      </c>
      <c r="L196" s="22" t="str">
        <f>VLOOKUP(A196,'Trips&amp;Operators'!$C$1:$E$10000,3,FALSE)</f>
        <v>MALAVE</v>
      </c>
      <c r="M196" s="6">
        <f t="shared" si="68"/>
        <v>5.6828703745850362E-3</v>
      </c>
      <c r="N196" s="7">
        <f t="shared" si="69"/>
        <v>8.1833333394024521</v>
      </c>
      <c r="O196" s="7"/>
      <c r="P196" s="7"/>
      <c r="Q196" s="23"/>
      <c r="R196" s="23"/>
      <c r="S196" s="35">
        <f t="shared" si="70"/>
        <v>1</v>
      </c>
      <c r="T196" s="50" t="str">
        <f t="shared" si="71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03:18:40-0600',mode:absolute,to:'2016-10-30 05:28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96" s="52" t="str">
        <f t="shared" si="73"/>
        <v>Y</v>
      </c>
      <c r="X196" s="177">
        <f t="shared" si="74"/>
        <v>1</v>
      </c>
      <c r="Y196" s="67">
        <f t="shared" si="75"/>
        <v>2.3372000000000002</v>
      </c>
      <c r="Z196" s="67">
        <f t="shared" si="76"/>
        <v>1.5599999999999999E-2</v>
      </c>
      <c r="AA196" s="67">
        <f t="shared" si="77"/>
        <v>2.3216000000000001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78"/>
        <v>0310-30</v>
      </c>
      <c r="AE196" s="91" t="str">
        <f t="shared" si="79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196" s="88" t="str">
        <f t="shared" si="80"/>
        <v>"C:\Program Files (x86)\AstroGrep\AstroGrep.exe" /spath="%USERPROFILE%\AppData\Local\Temp\OnboardLogs" /stypes="app*4001*20161030*" /stext=" 10:.+((SYSTEM_STATE.+slice.+state.+changed )|(ment ac)|(system.+state.+changed )|(\[timeout)|(PRM\|1\|D)|(kpr)|(kdp)|(\|lc)|(penalty))" /e /r /s</v>
      </c>
      <c r="AG196" s="1" t="str">
        <f t="shared" si="81"/>
        <v>Other</v>
      </c>
      <c r="AH196" s="92" t="str">
        <f t="shared" si="82"/>
        <v>"%USERPROFILE%\Documents\GitHub\eaglep3\Utilities\RefineRTDCRunTimes.py" --tripid 310-30 --locoid 4001 --swversion DE.1.0.8.0 --startMP 300:23372 --initTime 2016-10-30T04:18:40 --startdatetime 2016-10-30T04:20:16 --delay 1 --endMP 204:156 --enddatetime 2016-10-30T04:28:27 --enforcementcount 0 &gt;&gt;C:\Users\stu\Documents\GitHub\eaglep3-reporting\EC\2016-10-30-refined-times.txt</v>
      </c>
      <c r="AI196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{"issue":{"subject":"","project_id":79,"tracker_id":40,"status_id":1,"priority_id":2,"assigned_to_id":23,"start_date":"2016-10-30","description":"","custom_fields":[{"id":1,"name":"Subdivision","value":"Other"},{"id":4,"name":"Milepost","value":"0.0156"},{"id":17,"name":"Train ID","value":"310-30"},{"id":16,"name":"Locomotive ID","value":"4001"},{"id":130,"name":"Impact","value":""},{"id":150,"name":"Time of Event (Mountain Time)","value":"04:28:27"},{"id":151,"name":"Denver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622</v>
      </c>
      <c r="B197" s="7">
        <v>4029</v>
      </c>
      <c r="C197" s="22" t="s">
        <v>284</v>
      </c>
      <c r="D197" s="22" t="s">
        <v>220</v>
      </c>
      <c r="E197" s="13">
        <v>42674.047291666669</v>
      </c>
      <c r="F197" s="13">
        <v>25568.708333333332</v>
      </c>
      <c r="G197" s="7">
        <v>1</v>
      </c>
      <c r="H197" s="13" t="s">
        <v>726</v>
      </c>
      <c r="I197" s="13">
        <v>25568.708333333332</v>
      </c>
      <c r="J197" s="7">
        <v>0</v>
      </c>
      <c r="K197" s="112" t="str">
        <f t="shared" si="67"/>
        <v>4029/4030</v>
      </c>
      <c r="L197" s="22" t="str">
        <f>VLOOKUP(A197,'Trips&amp;Operators'!$C$1:$E$10000,3,FALSE)</f>
        <v>CRAYTON</v>
      </c>
      <c r="M197" s="6">
        <f t="shared" si="68"/>
        <v>0</v>
      </c>
      <c r="N197" s="7">
        <f t="shared" si="69"/>
        <v>0</v>
      </c>
      <c r="O197" s="7"/>
      <c r="P197" s="7"/>
      <c r="Q197" s="23"/>
      <c r="R197" s="23"/>
      <c r="S197" s="35">
        <f t="shared" si="70"/>
        <v>1</v>
      </c>
      <c r="T197" s="50" t="str">
        <f t="shared" si="71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00:08:06-0600',mode:absolute,to:'1969-12-31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52" t="str">
        <f t="shared" si="73"/>
        <v>Y</v>
      </c>
      <c r="X197" s="177">
        <f t="shared" si="74"/>
        <v>1</v>
      </c>
      <c r="Y197" s="67">
        <f t="shared" si="75"/>
        <v>4.6600000000000003E-2</v>
      </c>
      <c r="Z197" s="67">
        <f t="shared" si="76"/>
        <v>2.3302</v>
      </c>
      <c r="AA197" s="67">
        <f t="shared" si="77"/>
        <v>2.2835999999999999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78"/>
        <v>0311-30</v>
      </c>
      <c r="AE197" s="91" t="str">
        <f t="shared" si="7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197" s="88" t="str">
        <f t="shared" si="80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197" s="1" t="str">
        <f t="shared" si="81"/>
        <v>Other</v>
      </c>
      <c r="AH197" s="92" t="str">
        <f t="shared" si="82"/>
        <v>"%USERPROFILE%\Documents\GitHub\eaglep3\Utilities\RefineRTDCRunTimes.py" --tripid 311-30 --locoid 4029 --swversion DE.1.0.8.0 --startMP 204:466 --initTime 2016-10-31T01:08:06 --startdatetime 1969-12-31T17:00:00 --delay 1 --endMP 300:23302 --enddatetime 1969-12-31T17:00:00 --enforcementcount 0 &gt;&gt;C:\Users\stu\Documents\GitHub\eaglep3-reporting\EC\2016-10-30-refined-times.txt</v>
      </c>
      <c r="AI197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435</v>
      </c>
      <c r="B198" s="7">
        <v>4011</v>
      </c>
      <c r="C198" s="22" t="s">
        <v>284</v>
      </c>
      <c r="D198" s="22" t="s">
        <v>332</v>
      </c>
      <c r="E198" s="13">
        <v>42673.089189814818</v>
      </c>
      <c r="F198" s="13">
        <v>25568.708333333332</v>
      </c>
      <c r="G198" s="7">
        <v>2</v>
      </c>
      <c r="H198" s="13" t="s">
        <v>727</v>
      </c>
      <c r="I198" s="13">
        <v>25568.708333333332</v>
      </c>
      <c r="J198" s="7">
        <v>0</v>
      </c>
      <c r="K198" s="112" t="str">
        <f t="shared" si="67"/>
        <v>4011/4012</v>
      </c>
      <c r="L198" s="22" t="str">
        <f>VLOOKUP(A198,'Trips&amp;Operators'!$C$1:$E$10000,3,FALSE)</f>
        <v>BRANDNER</v>
      </c>
      <c r="M198" s="6">
        <f t="shared" si="68"/>
        <v>0</v>
      </c>
      <c r="N198" s="7">
        <f t="shared" si="69"/>
        <v>0</v>
      </c>
      <c r="O198" s="7"/>
      <c r="P198" s="7"/>
      <c r="Q198" s="23"/>
      <c r="R198" s="23"/>
      <c r="S198" s="35">
        <f t="shared" si="70"/>
        <v>1</v>
      </c>
      <c r="T198" s="50" t="str">
        <f t="shared" si="71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01:08:26-0600',mode:absolute,to:'1969-12-31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73"/>
        <v>Y</v>
      </c>
      <c r="X198" s="177">
        <f t="shared" si="74"/>
        <v>2</v>
      </c>
      <c r="Y198" s="67">
        <f t="shared" si="75"/>
        <v>4.4400000000000002E-2</v>
      </c>
      <c r="Z198" s="67">
        <f t="shared" si="76"/>
        <v>2.3007</v>
      </c>
      <c r="AA198" s="67">
        <f t="shared" si="77"/>
        <v>2.2563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78"/>
        <v>0313-29</v>
      </c>
      <c r="AE198" s="91" t="str">
        <f t="shared" si="7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8" s="88" t="str">
        <f t="shared" si="80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198" s="1" t="str">
        <f t="shared" si="81"/>
        <v>Other</v>
      </c>
      <c r="AH198" s="92" t="str">
        <f t="shared" si="82"/>
        <v>"%USERPROFILE%\Documents\GitHub\eaglep3\Utilities\RefineRTDCRunTimes.py" --tripid 313-29 --locoid 4011 --swversion DE.1.0.8.0 --startMP 204:444 --initTime 2016-10-30T02:08:26 --startdatetime 1969-12-31T17:00:00 --delay 2 --endMP 300:23007 --enddatetime 1969-12-31T17:00:00 --enforcementcount 0 &gt;&gt;C:\Users\stu\Documents\GitHub\eaglep3-reporting\EC\2016-10-30-refined-times.txt</v>
      </c>
      <c r="AI198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ID","value":"313-29"},{"id":16,"name":"Locomotive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624</v>
      </c>
      <c r="B199" s="7">
        <v>4038</v>
      </c>
      <c r="C199" s="22" t="s">
        <v>284</v>
      </c>
      <c r="D199" s="22" t="s">
        <v>222</v>
      </c>
      <c r="E199" s="13">
        <v>42674.068113425928</v>
      </c>
      <c r="F199" s="13">
        <v>25568.708333333332</v>
      </c>
      <c r="G199" s="7">
        <v>1</v>
      </c>
      <c r="H199" s="13" t="s">
        <v>728</v>
      </c>
      <c r="I199" s="13">
        <v>25568.708333333332</v>
      </c>
      <c r="J199" s="7">
        <v>0</v>
      </c>
      <c r="K199" s="112" t="str">
        <f t="shared" si="67"/>
        <v>4037/4038</v>
      </c>
      <c r="L199" s="22" t="str">
        <f>VLOOKUP(A199,'Trips&amp;Operators'!$C$1:$E$10000,3,FALSE)</f>
        <v>NEWELL</v>
      </c>
      <c r="M199" s="6">
        <f t="shared" si="68"/>
        <v>0</v>
      </c>
      <c r="N199" s="7">
        <f t="shared" si="69"/>
        <v>0</v>
      </c>
      <c r="O199" s="7"/>
      <c r="P199" s="7"/>
      <c r="Q199" s="23"/>
      <c r="R199" s="23"/>
      <c r="S199" s="35">
        <f t="shared" si="70"/>
        <v>1</v>
      </c>
      <c r="T199" s="50" t="str">
        <f t="shared" si="71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00:38:05-0600',mode:absolute,to:'1969-12-31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9" s="52" t="str">
        <f t="shared" si="73"/>
        <v>Y</v>
      </c>
      <c r="X199" s="177">
        <f t="shared" si="74"/>
        <v>0</v>
      </c>
      <c r="Y199" s="67">
        <f t="shared" si="75"/>
        <v>4.4600000000000001E-2</v>
      </c>
      <c r="Z199" s="67">
        <f t="shared" si="76"/>
        <v>2.3031999999999999</v>
      </c>
      <c r="AA199" s="67">
        <f t="shared" si="77"/>
        <v>2.2585999999999999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78"/>
        <v>0313-30</v>
      </c>
      <c r="AE199" s="91" t="str">
        <f t="shared" si="7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199" s="88" t="str">
        <f t="shared" si="80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199" s="1" t="str">
        <f t="shared" si="81"/>
        <v>Other</v>
      </c>
      <c r="AH199" s="92" t="str">
        <f t="shared" si="82"/>
        <v>"%USERPROFILE%\Documents\GitHub\eaglep3\Utilities\RefineRTDCRunTimes.py" --tripid 313-30 --locoid 4038 --swversion DE.1.0.8.0 --startMP 204:446 --initTime 2016-10-31T01:38:05 --startdatetime 1969-12-31T17:00:00 --delay 1 --endMP 300:23032 --enddatetime 1969-12-31T17:00:00 --enforcementcount 0 &gt;&gt;C:\Users\stu\Documents\GitHub\eaglep3-reporting\EC\2016-10-30-refined-times.txt</v>
      </c>
      <c r="AI199" s="122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{"issue":{"subject":"","project_id":79,"tracker_id":40,"status_id":1,"priority_id":2,"assigned_to_id":23,"start_date":"1969-12-31","description":"","custom_fields":[{"id":1,"name":"Subdivision","value":"Other"},{"id":4,"name":"Milepost","value":"2.3032"},{"id":17,"name":"Train ID","value":"313-30"},{"id":16,"name":"Locomotive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625</v>
      </c>
      <c r="B200" s="7">
        <v>4027</v>
      </c>
      <c r="C200" s="22" t="s">
        <v>284</v>
      </c>
      <c r="D200" s="22" t="s">
        <v>365</v>
      </c>
      <c r="E200" s="13">
        <v>42674.091006944444</v>
      </c>
      <c r="F200" s="13">
        <v>42674.092199074075</v>
      </c>
      <c r="G200" s="7">
        <v>1</v>
      </c>
      <c r="H200" s="13" t="s">
        <v>729</v>
      </c>
      <c r="I200" s="13">
        <v>42674.097581018519</v>
      </c>
      <c r="J200" s="7">
        <v>0</v>
      </c>
      <c r="K200" s="112" t="str">
        <f t="shared" si="67"/>
        <v>4027/4028</v>
      </c>
      <c r="L200" s="22" t="str">
        <f>VLOOKUP(A200,'Trips&amp;Operators'!$C$1:$E$10000,3,FALSE)</f>
        <v>CHANDLER</v>
      </c>
      <c r="M200" s="6">
        <f t="shared" si="68"/>
        <v>5.3819444437976927E-3</v>
      </c>
      <c r="N200" s="7">
        <f t="shared" si="69"/>
        <v>7.7499999990686774</v>
      </c>
      <c r="O200" s="7"/>
      <c r="P200" s="7"/>
      <c r="Q200" s="23"/>
      <c r="R200" s="23"/>
      <c r="S200" s="35">
        <f t="shared" si="70"/>
        <v>1</v>
      </c>
      <c r="T200" s="50" t="str">
        <f t="shared" si="71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https://search-rtdc-monitor-bjffxe2xuh6vdkpspy63sjmuny.us-east-1.es.amazonaws.com/_plugin/kibana/#/discover/Steve-Slow-Train-Analysis-(2080s-and-2083s)?_g=(refreshInterval:(display:Off,section:0,value:0),time:(from:'2016-10-31 01:11:03-0600',mode:absolute,to:'2016-10-31 03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0" s="52" t="str">
        <f t="shared" si="73"/>
        <v>Y</v>
      </c>
      <c r="X200" s="177">
        <f t="shared" si="74"/>
        <v>2</v>
      </c>
      <c r="Y200" s="67">
        <f t="shared" si="75"/>
        <v>4.8599999999999997E-2</v>
      </c>
      <c r="Z200" s="67">
        <f t="shared" si="76"/>
        <v>2.2269999999999999</v>
      </c>
      <c r="AA200" s="67">
        <f t="shared" si="77"/>
        <v>2.1783999999999999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78"/>
        <v>0315-30</v>
      </c>
      <c r="AE200" s="91" t="str">
        <f t="shared" si="79"/>
        <v>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 &amp; 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</v>
      </c>
      <c r="AF200" s="88" t="str">
        <f t="shared" si="80"/>
        <v>"C:\Program Files (x86)\AstroGrep\AstroGrep.exe" /spath="%USERPROFILE%\AppData\Local\Temp\OnboardLogs" /stypes="app*4027*20161031*" /stext=" 08:.+((SYSTEM_STATE.+slice.+state.+changed )|(ment ac)|(system.+state.+changed )|(\[timeout)|(PRM\|1\|D)|(kpr)|(kdp)|(\|lc)|(penalty))" /e /r /s</v>
      </c>
      <c r="AG200" s="1" t="str">
        <f t="shared" si="81"/>
        <v>Other</v>
      </c>
      <c r="AH200" s="92" t="str">
        <f t="shared" si="82"/>
        <v>"%USERPROFILE%\Documents\GitHub\eaglep3\Utilities\RefineRTDCRunTimes.py" --tripid 315-30 --locoid 4027 --swversion DE.1.0.8.0 --startMP 204:486 --initTime 2016-10-31T02:11:03 --startdatetime 2016-10-31T02:12:46 --delay 1 --endMP 300:22270 --enddatetime 2016-10-31T02:20:31 --enforcementcount 0 &gt;&gt;C:\Users\stu\Documents\GitHub\eaglep3-reporting\EC\2016-10-30-refined-times.txt</v>
      </c>
      <c r="AI200" s="122" t="str">
        <f t="shared" si="83"/>
        <v>echo {"issue":{"subject":"","project_id":79,"tracker_id":40,"status_id":1,"priority_id":2,"assigned_to_id":23,"start_date":"2016-10-31","description":"","custom_fields":[{"id":1,"name":"Subdivision","value":"Other"},{"id":4,"name":"Milepost","value":"2.227"},{"id":17,"name":"Train ID","value":"315-30"},{"id":16,"name":"Locomotive ID","value":"4027"},{"id":130,"name":"Impact","value":""},{"id":150,"name":"Time of Event (Mountain Time)","value":"02:20:31"},{"id":151,"name":"Denver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453</v>
      </c>
      <c r="B201" s="7">
        <v>4022</v>
      </c>
      <c r="C201" s="22" t="s">
        <v>284</v>
      </c>
      <c r="D201" s="22" t="s">
        <v>700</v>
      </c>
      <c r="E201" s="13">
        <v>42673.222858796296</v>
      </c>
      <c r="F201" s="13">
        <v>42673.229861111111</v>
      </c>
      <c r="G201" s="7">
        <v>9</v>
      </c>
      <c r="H201" s="13" t="s">
        <v>379</v>
      </c>
      <c r="I201" s="13">
        <v>42673.234965277778</v>
      </c>
      <c r="J201" s="7">
        <v>0</v>
      </c>
      <c r="K201" s="112" t="str">
        <f t="shared" si="67"/>
        <v>4021/4022</v>
      </c>
      <c r="L201" s="22" t="str">
        <f>VLOOKUP(A201,'Trips&amp;Operators'!$C$1:$E$10000,3,FALSE)</f>
        <v>STARKS</v>
      </c>
      <c r="M201" s="6">
        <f t="shared" si="68"/>
        <v>5.1041666665696539E-3</v>
      </c>
      <c r="N201" s="7">
        <f t="shared" si="69"/>
        <v>7.3499999998603016</v>
      </c>
      <c r="O201" s="7"/>
      <c r="P201" s="7"/>
      <c r="Q201" s="23"/>
      <c r="R201" s="23"/>
      <c r="S201" s="35">
        <f t="shared" si="70"/>
        <v>0</v>
      </c>
      <c r="T201" s="50" t="str">
        <f t="shared" si="71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https://search-rtdc-monitor-bjffxe2xuh6vdkpspy63sjmuny.us-east-1.es.amazonaws.com/_plugin/kibana/#/discover/Steve-Slow-Train-Analysis-(2080s-and-2083s)?_g=(refreshInterval:(display:Off,section:0,value:0),time:(from:'2016-10-30 04:20:55-0600',mode:absolute,to:'2016-10-30 06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01" s="52" t="str">
        <f t="shared" si="73"/>
        <v>Y</v>
      </c>
      <c r="X201" s="177">
        <f t="shared" si="74"/>
        <v>1586</v>
      </c>
      <c r="Y201" s="67">
        <f t="shared" si="75"/>
        <v>2.9714</v>
      </c>
      <c r="Z201" s="67">
        <f t="shared" si="76"/>
        <v>5.8928000000000003</v>
      </c>
      <c r="AA201" s="67">
        <f t="shared" si="77"/>
        <v>2.9214000000000002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78"/>
        <v>1901-30</v>
      </c>
      <c r="AE201" s="91" t="str">
        <f t="shared" si="79"/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AF201" s="88" t="str">
        <f t="shared" si="80"/>
        <v>"C:\Program Files (x86)\AstroGrep\AstroGrep.exe" /spath="%USERPROFILE%\AppData\Local\Temp\OnboardLogs" /stypes="app*4022*20161030*" /stext=" 11:.+((SYSTEM_STATE.+slice.+state.+changed )|(ment ac)|(system.+state.+changed )|(\[timeout)|(PRM\|1\|D)|(kpr)|(kdp)|(\|lc)|(penalty))" /e /r /s</v>
      </c>
      <c r="AG201" s="1" t="str">
        <f t="shared" si="81"/>
        <v>Other</v>
      </c>
      <c r="AH201" s="92" t="str">
        <f t="shared" si="82"/>
        <v>"%USERPROFILE%\Documents\GitHub\eaglep3\Utilities\RefineRTDCRunTimes.py" --tripid 1901-30 --locoid 4022 --swversion DE.1.0.8.0 --startMP 300:29714 --initTime 2016-10-30T05:20:55 --startdatetime 2016-10-30T05:31:00 --delay 9 --endMP 300:58928 --enddatetime 2016-10-30T05:38:21 --enforcementcount 0 &gt;&gt;C:\Users\stu\Documents\GitHub\eaglep3-reporting\EC\2016-10-30-refined-times.txt</v>
      </c>
      <c r="AI201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{"issue":{"subject":"","project_id":79,"tracker_id":40,"status_id":1,"priority_id":2,"assigned_to_id":23,"start_date":"2016-10-30","description":"","custom_fields":[{"id":1,"name":"Subdivision","value":"Other"},{"id":4,"name":"Milepost","value":"5.8928"},{"id":17,"name":"Train ID","value":"1901-30"},{"id":16,"name":"Locomotive ID","value":"4022"},{"id":130,"name":"Impact","value":""},{"id":150,"name":"Time of Event (Mountain Time)","value":"05:38:21"},{"id":151,"name":"Denver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609</v>
      </c>
      <c r="B202" s="7">
        <v>4021</v>
      </c>
      <c r="C202" s="22" t="s">
        <v>284</v>
      </c>
      <c r="D202" s="22" t="s">
        <v>701</v>
      </c>
      <c r="E202" s="13">
        <v>42673.942881944444</v>
      </c>
      <c r="F202" s="13">
        <v>42673.945219907408</v>
      </c>
      <c r="G202" s="7">
        <v>1</v>
      </c>
      <c r="H202" s="13" t="s">
        <v>702</v>
      </c>
      <c r="I202" s="13">
        <v>42673.953310185185</v>
      </c>
      <c r="J202" s="7">
        <v>0</v>
      </c>
      <c r="K202" s="112" t="str">
        <f t="shared" ref="K202:K232" si="84">IF(ISEVEN(B202),(B202-1)&amp;"/"&amp;B202,B202&amp;"/"&amp;(B202+1))</f>
        <v>4021/4022</v>
      </c>
      <c r="L202" s="22" t="str">
        <f>VLOOKUP(A202,'Trips&amp;Operators'!$C$1:$E$10000,3,FALSE)</f>
        <v>JACKSON</v>
      </c>
      <c r="M202" s="6">
        <f t="shared" ref="M202:M232" si="85">I202-F202</f>
        <v>8.0902777772280388E-3</v>
      </c>
      <c r="N202" s="7">
        <f t="shared" ref="N202:N232" si="86">24*60*SUM($M202:$M202)</f>
        <v>11.649999999208376</v>
      </c>
      <c r="O202" s="7"/>
      <c r="P202" s="7"/>
      <c r="Q202" s="23"/>
      <c r="R202" s="23"/>
      <c r="S202" s="35">
        <f t="shared" ref="S202:S232" si="87">SUM(U202:U202)/IF(AG202="EC",12,1)</f>
        <v>0</v>
      </c>
      <c r="T202" s="50" t="str">
        <f t="shared" ref="T202:T232" si="88">IF(ISEVEN(LEFT(AD202,4)),"Southbound","NorthBound")</f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ref="V202:V232" si="89"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https://search-rtdc-monitor-bjffxe2xuh6vdkpspy63sjmuny.us-east-1.es.amazonaws.com/_plugin/kibana/#/discover/Steve-Slow-Train-Analysis-(2080s-and-2083s)?_g=(refreshInterval:(display:Off,section:0,value:0),time:(from:'2016-10-30 21:37:45-0600',mode:absolute,to:'2016-10-30 23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2" s="52" t="str">
        <f t="shared" ref="W202:W232" si="90">IF(AA202&lt;IF(AG202="EC",23,5.65),"Y","N")</f>
        <v>Y</v>
      </c>
      <c r="X202" s="177">
        <f t="shared" ref="X202:X232" si="91">VALUE(LEFT(AD202,4))-VALUE(LEFT(AD201,4))</f>
        <v>1</v>
      </c>
      <c r="Y202" s="67">
        <f t="shared" ref="Y202:Y232" si="92">RIGHT(D202,LEN(D202)-4)/10000</f>
        <v>5.8628</v>
      </c>
      <c r="Z202" s="67">
        <f t="shared" ref="Z202:Z232" si="93">RIGHT(H202,LEN(H202)-4)/10000</f>
        <v>2.149</v>
      </c>
      <c r="AA202" s="67">
        <f t="shared" ref="AA202:AA232" si="94">ABS(Z202-Y202)</f>
        <v>3.7138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ref="AD202:AD232" si="95">IF(LEN(A202)=6,"0"&amp;A202,A202)</f>
        <v>1902-30</v>
      </c>
      <c r="AE202" s="91" t="str">
        <f t="shared" ref="AE202:AE232" si="9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AF202" s="88" t="str">
        <f t="shared" ref="AF202:AF232" si="97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/stypes="app*4021*20161031*" /stext=" 04:.+((SYSTEM_STATE.+slice.+state.+changed )|(ment ac)|(system.+state.+changed )|(\[timeout)|(PRM\|1\|D)|(kpr)|(kdp)|(\|lc)|(penalty))" /e /r /s</v>
      </c>
      <c r="AG202" s="1" t="str">
        <f t="shared" ref="AG202:AG232" si="98">IFERROR(IF(VALUE(LEFT(AD202,2))&lt;=2,"EC",IF(OR(VALUE(LEFT(AD202,2))=8,VALUE(LEFT(AD202,2))=18),"NW","Other")),"Other")</f>
        <v>Other</v>
      </c>
      <c r="AH202" s="92" t="str">
        <f t="shared" si="82"/>
        <v>"%USERPROFILE%\Documents\GitHub\eaglep3\Utilities\RefineRTDCRunTimes.py" --tripid 1902-30 --locoid 4021 --swversion DE.1.0.8.0 --startMP 300:58628 --initTime 2016-10-30T22:37:45 --startdatetime 2016-10-30T22:41:07 --delay 1 --endMP 300:21490 --enddatetime 2016-10-30T22:52:46 --enforcementcount 0 &gt;&gt;C:\Users\stu\Documents\GitHub\eaglep3-reporting\EC\2016-10-30-refined-times.txt</v>
      </c>
      <c r="AI202" s="122" t="str">
        <f t="shared" si="83"/>
        <v>echo {"issue":{"subject":"","project_id":79,"tracker_id":40,"status_id":1,"priority_id":2,"assigned_to_id":23,"start_date":"2016-10-30","description":"","custom_fields":[{"id":1,"name":"Subdivision","value":"Other"},{"id":4,"name":"Milepost","value":"2.149"},{"id":17,"name":"Train ID","value":"1902-30"},{"id":16,"name":"Locomotive ID","value":"4021"},{"id":130,"name":"Impact","value":""},{"id":150,"name":"Time of Event (Mountain Time)","value":"22:52:46"},{"id":151,"name":"Denver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7" t="s">
        <v>512</v>
      </c>
      <c r="B203" s="7">
        <v>4010</v>
      </c>
      <c r="C203" s="22" t="s">
        <v>284</v>
      </c>
      <c r="D203" s="22" t="s">
        <v>730</v>
      </c>
      <c r="E203" s="13">
        <v>42673.500057870369</v>
      </c>
      <c r="F203" s="13">
        <v>42673.501319444447</v>
      </c>
      <c r="G203" s="7">
        <v>1</v>
      </c>
      <c r="H203" s="13" t="s">
        <v>731</v>
      </c>
      <c r="I203" s="13">
        <v>42673.508530092593</v>
      </c>
      <c r="J203" s="7">
        <v>0</v>
      </c>
      <c r="K203" s="112" t="str">
        <f t="shared" si="84"/>
        <v>4009/4010</v>
      </c>
      <c r="L203" s="22" t="str">
        <f>VLOOKUP(A203,'Trips&amp;Operators'!$C$1:$E$10000,3,FALSE)</f>
        <v>SHOOK</v>
      </c>
      <c r="M203" s="6">
        <f t="shared" si="85"/>
        <v>7.2106481457012706E-3</v>
      </c>
      <c r="N203" s="7">
        <f t="shared" si="86"/>
        <v>10.38333332980983</v>
      </c>
      <c r="O203" s="7"/>
      <c r="P203" s="7"/>
      <c r="Q203" s="23"/>
      <c r="R203" s="23"/>
      <c r="S203" s="35">
        <f t="shared" si="87"/>
        <v>0</v>
      </c>
      <c r="T203" s="50" t="e">
        <f t="shared" si="88"/>
        <v>#VALUE!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11:00:05-0600',mode:absolute,to:'2016-10-30 13:12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3" s="52" t="str">
        <f t="shared" si="90"/>
        <v>Y</v>
      </c>
      <c r="X203" s="177" t="e">
        <f t="shared" si="91"/>
        <v>#VALUE!</v>
      </c>
      <c r="Y203" s="67">
        <f t="shared" si="92"/>
        <v>2.2212000000000001</v>
      </c>
      <c r="Z203" s="67">
        <f t="shared" si="93"/>
        <v>8.7800000000000003E-2</v>
      </c>
      <c r="AA203" s="67">
        <f t="shared" si="94"/>
        <v>2.1334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95"/>
        <v>50-30</v>
      </c>
      <c r="AE203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03" s="88" t="str">
        <f t="shared" si="97"/>
        <v>"C:\Program Files (x86)\AstroGrep\AstroGrep.exe" /spath="%USERPROFILE%\AppData\Local\Temp\OnboardLogs" /stypes="app*4010*20161030*" /stext=" 18:.+((SYSTEM_STATE.+slice.+state.+changed )|(ment ac)|(system.+state.+changed )|(\[timeout)|(PRM\|1\|D)|(kpr)|(kdp)|(\|lc)|(penalty))" /e /r /s</v>
      </c>
      <c r="AG203" s="1" t="str">
        <f t="shared" si="98"/>
        <v>Other</v>
      </c>
      <c r="AH203" s="92" t="str">
        <f t="shared" ref="AH203:AH232" si="9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50-30 --locoid 4010 --swversion DE.1.0.8.0 --startMP 300:22212 --initTime 2016-10-30T12:00:05 --startdatetime 2016-10-30T12:01:54 --delay 1 --endMP 204:878 --enddatetime 2016-10-30T12:12:17 --enforcementcount 0 &gt;&gt;C:\Users\stu\Documents\GitHub\eaglep3-reporting\EC\2016-10-30-refined-times.txt</v>
      </c>
      <c r="AI203" s="122" t="str">
        <f t="shared" ref="AI203:AI232" si="10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{"issue":{"subject":"","project_id":79,"tracker_id":40,"status_id":1,"priority_id":2,"assigned_to_id":23,"start_date":"2016-10-30","description":"","custom_fields":[{"id":1,"name":"Subdivision","value":"Other"},{"id":4,"name":"Milepost","value":"0.0878"},{"id":17,"name":"Train ID","value":"50-30"},{"id":16,"name":"Locomotive ID","value":"4010"},{"id":130,"name":"Impact","value":""},{"id":150,"name":"Time of Event (Mountain Time)","value":"12:12:17"},{"id":151,"name":"Denver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430</v>
      </c>
      <c r="B204" s="7">
        <v>4051</v>
      </c>
      <c r="C204" s="22" t="s">
        <v>284</v>
      </c>
      <c r="D204" s="22" t="s">
        <v>732</v>
      </c>
      <c r="E204" s="13">
        <v>42673.091944444444</v>
      </c>
      <c r="F204" s="13">
        <v>42673.096435185187</v>
      </c>
      <c r="G204" s="7">
        <v>4</v>
      </c>
      <c r="H204" s="13" t="s">
        <v>733</v>
      </c>
      <c r="I204" s="13">
        <v>42673.101863425924</v>
      </c>
      <c r="J204" s="7">
        <v>0</v>
      </c>
      <c r="K204" s="112" t="str">
        <f t="shared" si="84"/>
        <v>4051/4052</v>
      </c>
      <c r="L204" s="22" t="str">
        <f>VLOOKUP(A204,'Trips&amp;Operators'!$C$1:$E$10000,3,FALSE)</f>
        <v>PUGH</v>
      </c>
      <c r="M204" s="6">
        <f t="shared" si="85"/>
        <v>5.428240736364387E-3</v>
      </c>
      <c r="N204" s="7">
        <f t="shared" si="86"/>
        <v>7.8166666603647172</v>
      </c>
      <c r="O204" s="7"/>
      <c r="P204" s="7"/>
      <c r="Q204" s="23"/>
      <c r="R204" s="23"/>
      <c r="S204" s="35">
        <f t="shared" si="87"/>
        <v>0</v>
      </c>
      <c r="T204" s="50" t="e">
        <f t="shared" si="88"/>
        <v>#VALUE!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01:12:24-0600',mode:absolute,to:'2016-10-30 03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4" s="52" t="str">
        <f t="shared" si="90"/>
        <v>Y</v>
      </c>
      <c r="X204" s="177" t="e">
        <f t="shared" si="91"/>
        <v>#VALUE!</v>
      </c>
      <c r="Y204" s="67">
        <f t="shared" si="92"/>
        <v>0.1038</v>
      </c>
      <c r="Z204" s="67">
        <f t="shared" si="93"/>
        <v>3.1328</v>
      </c>
      <c r="AA204" s="67">
        <f t="shared" si="94"/>
        <v>3.0289999999999999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95"/>
        <v>51-29</v>
      </c>
      <c r="AE204" s="91" t="str">
        <f t="shared" si="96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04" s="88" t="str">
        <f t="shared" si="97"/>
        <v>"C:\Program Files (x86)\AstroGrep\AstroGrep.exe" /spath="%USERPROFILE%\AppData\Local\Temp\OnboardLogs" /stypes="app*4051*20161030*" /stext=" 08:.+((SYSTEM_STATE.+slice.+state.+changed )|(ment ac)|(system.+state.+changed )|(\[timeout)|(PRM\|1\|D)|(kpr)|(kdp)|(\|lc)|(penalty))" /e /r /s</v>
      </c>
      <c r="AG204" s="1" t="str">
        <f t="shared" si="98"/>
        <v>Other</v>
      </c>
      <c r="AH204" s="92" t="str">
        <f t="shared" si="99"/>
        <v>"%USERPROFILE%\Documents\GitHub\eaglep3\Utilities\RefineRTDCRunTimes.py" --tripid 51-29 --locoid 4051 --swversion DE.1.0.8.0 --startMP 204:1038 --initTime 2016-10-30T02:12:24 --startdatetime 2016-10-30T02:18:52 --delay 4 --endMP 300:31328 --enddatetime 2016-10-30T02:26:41 --enforcementcount 0 &gt;&gt;C:\Users\stu\Documents\GitHub\eaglep3-reporting\EC\2016-10-30-refined-times.txt</v>
      </c>
      <c r="AI204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{"issue":{"subject":"","project_id":79,"tracker_id":40,"status_id":1,"priority_id":2,"assigned_to_id":23,"start_date":"2016-10-30","description":"","custom_fields":[{"id":1,"name":"Subdivision","value":"Other"},{"id":4,"name":"Milepost","value":"3.1328"},{"id":17,"name":"Train ID","value":"51-29"},{"id":16,"name":"Locomotive ID","value":"4051"},{"id":130,"name":"Impact","value":""},{"id":150,"name":"Time of Event (Mountain Time)","value":"02:26:41"},{"id":151,"name":"Denver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516</v>
      </c>
      <c r="B205" s="7">
        <v>4009</v>
      </c>
      <c r="C205" s="22" t="s">
        <v>284</v>
      </c>
      <c r="D205" s="22" t="s">
        <v>662</v>
      </c>
      <c r="E205" s="13">
        <v>42673.519976851851</v>
      </c>
      <c r="F205" s="13">
        <v>42673.521087962959</v>
      </c>
      <c r="G205" s="7">
        <v>0</v>
      </c>
      <c r="H205" s="13" t="s">
        <v>734</v>
      </c>
      <c r="I205" s="13">
        <v>42673.525717592594</v>
      </c>
      <c r="J205" s="7">
        <v>0</v>
      </c>
      <c r="K205" s="112" t="str">
        <f t="shared" si="84"/>
        <v>4009/4010</v>
      </c>
      <c r="L205" s="22" t="str">
        <f>VLOOKUP(A205,'Trips&amp;Operators'!$C$1:$E$10000,3,FALSE)</f>
        <v>ROCHA</v>
      </c>
      <c r="M205" s="6">
        <f t="shared" si="85"/>
        <v>4.6296296350192279E-3</v>
      </c>
      <c r="N205" s="7">
        <f t="shared" si="86"/>
        <v>6.6666666744276881</v>
      </c>
      <c r="O205" s="7"/>
      <c r="P205" s="7"/>
      <c r="Q205" s="23"/>
      <c r="R205" s="23"/>
      <c r="S205" s="35">
        <f t="shared" si="87"/>
        <v>0</v>
      </c>
      <c r="T205" s="50" t="e">
        <f t="shared" si="88"/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11:28:46-0600',mode:absolute,to:'2016-10-30 13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5" s="52" t="str">
        <f t="shared" si="90"/>
        <v>Y</v>
      </c>
      <c r="X205" s="177" t="e">
        <f t="shared" si="91"/>
        <v>#VALUE!</v>
      </c>
      <c r="Y205" s="67">
        <f t="shared" si="92"/>
        <v>0.1181</v>
      </c>
      <c r="Z205" s="67">
        <f t="shared" si="93"/>
        <v>2.4729999999999999</v>
      </c>
      <c r="AA205" s="67">
        <f t="shared" si="94"/>
        <v>2.3548999999999998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95"/>
        <v>51-30</v>
      </c>
      <c r="AE205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05" s="88" t="str">
        <f t="shared" si="97"/>
        <v>"C:\Program Files (x86)\AstroGrep\AstroGrep.exe" /spath="%USERPROFILE%\AppData\Local\Temp\OnboardLogs" /stypes="app*4009*20161030*" /stext=" 18:.+((SYSTEM_STATE.+slice.+state.+changed )|(ment ac)|(system.+state.+changed )|(\[timeout)|(PRM\|1\|D)|(kpr)|(kdp)|(\|lc)|(penalty))" /e /r /s</v>
      </c>
      <c r="AG205" s="1" t="str">
        <f t="shared" si="98"/>
        <v>Other</v>
      </c>
      <c r="AH205" s="92" t="str">
        <f t="shared" si="99"/>
        <v>"%USERPROFILE%\Documents\GitHub\eaglep3\Utilities\RefineRTDCRunTimes.py" --tripid 51-30 --locoid 4009 --swversion DE.1.0.8.0 --startMP 204:1181 --initTime 2016-10-30T12:28:46 --startdatetime 2016-10-30T12:30:22 --delay 0 --endMP 300:24730 --enddatetime 2016-10-30T12:37:02 --enforcementcount 0 &gt;&gt;C:\Users\stu\Documents\GitHub\eaglep3-reporting\EC\2016-10-30-refined-times.txt</v>
      </c>
      <c r="AI20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{"issue":{"subject":"","project_id":79,"tracker_id":40,"status_id":1,"priority_id":2,"assigned_to_id":23,"start_date":"2016-10-30","description":"","custom_fields":[{"id":1,"name":"Subdivision","value":"Other"},{"id":4,"name":"Milepost","value":"2.473"},{"id":17,"name":"Train ID","value":"51-30"},{"id":16,"name":"Locomotive ID","value":"4009"},{"id":130,"name":"Impact","value":""},{"id":150,"name":"Time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411</v>
      </c>
      <c r="B206" s="7">
        <v>4010</v>
      </c>
      <c r="C206" s="22" t="s">
        <v>284</v>
      </c>
      <c r="D206" s="22" t="s">
        <v>735</v>
      </c>
      <c r="E206" s="13">
        <v>42673.582754629628</v>
      </c>
      <c r="F206" s="13">
        <v>42673.584131944444</v>
      </c>
      <c r="G206" s="7">
        <v>1</v>
      </c>
      <c r="H206" s="13" t="s">
        <v>339</v>
      </c>
      <c r="I206" s="13">
        <v>42673.590601851851</v>
      </c>
      <c r="J206" s="7">
        <v>0</v>
      </c>
      <c r="K206" s="112" t="str">
        <f t="shared" si="84"/>
        <v>4009/4010</v>
      </c>
      <c r="L206" s="22" t="str">
        <f>VLOOKUP(A206,'Trips&amp;Operators'!$C$1:$E$10000,3,FALSE)</f>
        <v>JACKSON</v>
      </c>
      <c r="M206" s="6">
        <f t="shared" si="85"/>
        <v>6.4699074064265005E-3</v>
      </c>
      <c r="N206" s="7">
        <f t="shared" si="86"/>
        <v>9.3166666652541608</v>
      </c>
      <c r="O206" s="7"/>
      <c r="P206" s="7"/>
      <c r="Q206" s="23"/>
      <c r="R206" s="23"/>
      <c r="S206" s="35">
        <f t="shared" si="87"/>
        <v>0</v>
      </c>
      <c r="T206" s="50" t="e">
        <f t="shared" si="88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6" s="52" t="str">
        <f t="shared" si="90"/>
        <v>Y</v>
      </c>
      <c r="X206" s="177" t="e">
        <f t="shared" si="91"/>
        <v>#VALUE!</v>
      </c>
      <c r="Y206" s="67">
        <f t="shared" si="92"/>
        <v>2.3191999999999999</v>
      </c>
      <c r="Z206" s="67">
        <f t="shared" si="93"/>
        <v>1.5299999999999999E-2</v>
      </c>
      <c r="AA206" s="67">
        <f t="shared" si="94"/>
        <v>2.3039000000000001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95"/>
        <v>52-30</v>
      </c>
      <c r="AE206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06" s="88" t="str">
        <f t="shared" si="97"/>
        <v>"C:\Program Files (x86)\AstroGrep\AstroGrep.exe" /spath="%USERPROFILE%\AppData\Local\Temp\OnboardLogs" /stypes="app*4010*20161030*" /stext=" 20:.+((SYSTEM_STATE.+slice.+state.+changed )|(ment ac)|(system.+state.+changed )|(\[timeout)|(PRM\|1\|D)|(kpr)|(kdp)|(\|lc)|(penalty))" /e /r /s</v>
      </c>
      <c r="AG206" s="1" t="str">
        <f t="shared" si="98"/>
        <v>Other</v>
      </c>
      <c r="AH206" s="92" t="str">
        <f t="shared" si="99"/>
        <v>"%USERPROFILE%\Documents\GitHub\eaglep3\Utilities\RefineRTDCRunTimes.py" --tripid 52-30 --locoid 4010 --swversion DE.1.0.8.0 --startMP 300:23192 --initTime 2016-10-30T13:59:10 --startdatetime 2016-10-30T14:01:09 --delay 1 --endMP 204:153 --enddatetime 2016-10-30T14:10:28 --enforcementcount 0 &gt;&gt;C:\Users\stu\Documents\GitHub\eaglep3-reporting\EC\2016-10-30-refined-times.txt</v>
      </c>
      <c r="AI20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{"issue":{"subject":"","project_id":79,"tracker_id":40,"status_id":1,"priority_id":2,"assigned_to_id":23,"start_date":"2016-10-30","description":"","custom_fields":[{"id":1,"name":"Subdivision","value":"Other"},{"id":4,"name":"Milepost","value":"0.0153"},{"id":17,"name":"Train ID","value":"52-30"},{"id":16,"name":"Locomotive ID","value":"4010"},{"id":130,"name":"Impact","value":""},{"id":150,"name":"Time of Event (Mountain Time)","value":"14:10:28"},{"id":151,"name":"Denver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533</v>
      </c>
      <c r="B207" s="7">
        <v>4009</v>
      </c>
      <c r="C207" s="22" t="s">
        <v>284</v>
      </c>
      <c r="D207" s="22" t="s">
        <v>239</v>
      </c>
      <c r="E207" s="13">
        <v>42673.592523148145</v>
      </c>
      <c r="F207" s="13">
        <v>42673.594282407408</v>
      </c>
      <c r="G207" s="7">
        <v>2</v>
      </c>
      <c r="H207" s="13" t="s">
        <v>736</v>
      </c>
      <c r="I207" s="13">
        <v>42673.599745370368</v>
      </c>
      <c r="J207" s="7">
        <v>0</v>
      </c>
      <c r="K207" s="112" t="str">
        <f t="shared" si="84"/>
        <v>4009/4010</v>
      </c>
      <c r="L207" s="22" t="str">
        <f>VLOOKUP(A207,'Trips&amp;Operators'!$C$1:$E$10000,3,FALSE)</f>
        <v>STARKS</v>
      </c>
      <c r="M207" s="6">
        <f t="shared" si="85"/>
        <v>5.4629629594273865E-3</v>
      </c>
      <c r="N207" s="7">
        <f t="shared" si="86"/>
        <v>7.8666666615754366</v>
      </c>
      <c r="O207" s="7"/>
      <c r="P207" s="7"/>
      <c r="Q207" s="23"/>
      <c r="R207" s="23"/>
      <c r="S207" s="35">
        <f t="shared" si="87"/>
        <v>0</v>
      </c>
      <c r="T207" s="50" t="e">
        <f t="shared" si="88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13:13:14-0600',mode:absolute,to:'2016-10-30 15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52" t="str">
        <f t="shared" si="90"/>
        <v>Y</v>
      </c>
      <c r="X207" s="177" t="e">
        <f t="shared" si="91"/>
        <v>#VALUE!</v>
      </c>
      <c r="Y207" s="67">
        <f t="shared" si="92"/>
        <v>4.7100000000000003E-2</v>
      </c>
      <c r="Z207" s="67">
        <f t="shared" si="93"/>
        <v>2.4230999999999998</v>
      </c>
      <c r="AA207" s="67">
        <f t="shared" si="94"/>
        <v>2.3759999999999999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95"/>
        <v>53-30</v>
      </c>
      <c r="AE207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07" s="88" t="str">
        <f t="shared" si="97"/>
        <v>"C:\Program Files (x86)\AstroGrep\AstroGrep.exe" /spath="%USERPROFILE%\AppData\Local\Temp\OnboardLogs" /stypes="app*4009*20161030*" /stext=" 20:.+((SYSTEM_STATE.+slice.+state.+changed )|(ment ac)|(system.+state.+changed )|(\[timeout)|(PRM\|1\|D)|(kpr)|(kdp)|(\|lc)|(penalty))" /e /r /s</v>
      </c>
      <c r="AG207" s="1" t="str">
        <f t="shared" si="98"/>
        <v>Other</v>
      </c>
      <c r="AH207" s="92" t="str">
        <f t="shared" si="99"/>
        <v>"%USERPROFILE%\Documents\GitHub\eaglep3\Utilities\RefineRTDCRunTimes.py" --tripid 53-30 --locoid 4009 --swversion DE.1.0.8.0 --startMP 204:471 --initTime 2016-10-30T14:13:14 --startdatetime 2016-10-30T14:15:46 --delay 2 --endMP 300:24231 --enddatetime 2016-10-30T14:23:38 --enforcementcount 0 &gt;&gt;C:\Users\stu\Documents\GitHub\eaglep3-reporting\EC\2016-10-30-refined-times.txt</v>
      </c>
      <c r="AI20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{"issue":{"subject":"","project_id":79,"tracker_id":40,"status_id":1,"priority_id":2,"assigned_to_id":23,"start_date":"2016-10-30","description":"","custom_fields":[{"id":1,"name":"Subdivision","value":"Other"},{"id":4,"name":"Milepost","value":"2.4231"},{"id":17,"name":"Train ID","value":"53-30"},{"id":16,"name":"Locomotive ID","value":"4009"},{"id":130,"name":"Impact","value":""},{"id":150,"name":"Time of Event (Mountain Time)","value":"14:23:38"},{"id":151,"name":"Denver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540</v>
      </c>
      <c r="B208" s="7">
        <v>4015</v>
      </c>
      <c r="C208" s="22" t="s">
        <v>284</v>
      </c>
      <c r="D208" s="22" t="s">
        <v>737</v>
      </c>
      <c r="E208" s="13">
        <v>42673.624583333331</v>
      </c>
      <c r="F208" s="13">
        <v>42673.628888888888</v>
      </c>
      <c r="G208" s="7">
        <v>6</v>
      </c>
      <c r="H208" s="13" t="s">
        <v>215</v>
      </c>
      <c r="I208" s="13">
        <v>42673.636307870373</v>
      </c>
      <c r="J208" s="7">
        <v>0</v>
      </c>
      <c r="K208" s="112" t="str">
        <f t="shared" si="84"/>
        <v>4015/4016</v>
      </c>
      <c r="L208" s="22" t="str">
        <f>VLOOKUP(A208,'Trips&amp;Operators'!$C$1:$E$10000,3,FALSE)</f>
        <v>ISHMAEL</v>
      </c>
      <c r="M208" s="6">
        <f t="shared" si="85"/>
        <v>7.4189814840792678E-3</v>
      </c>
      <c r="N208" s="7">
        <f t="shared" si="86"/>
        <v>10.683333337074146</v>
      </c>
      <c r="O208" s="7"/>
      <c r="P208" s="7"/>
      <c r="Q208" s="23"/>
      <c r="R208" s="23"/>
      <c r="S208" s="35">
        <f t="shared" si="87"/>
        <v>0</v>
      </c>
      <c r="T208" s="50" t="e">
        <f t="shared" si="88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13:59:24-0600',mode:absolute,to:'2016-10-30 16:16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8" s="52" t="str">
        <f t="shared" si="90"/>
        <v>Y</v>
      </c>
      <c r="X208" s="177" t="e">
        <f t="shared" si="91"/>
        <v>#VALUE!</v>
      </c>
      <c r="Y208" s="67">
        <f t="shared" si="92"/>
        <v>2.3277999999999999</v>
      </c>
      <c r="Z208" s="67">
        <f t="shared" si="93"/>
        <v>1.4999999999999999E-2</v>
      </c>
      <c r="AA208" s="67">
        <f t="shared" si="94"/>
        <v>2.3127999999999997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95"/>
        <v>54-30</v>
      </c>
      <c r="AE208" s="91" t="str">
        <f t="shared" si="96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208" s="88" t="str">
        <f t="shared" si="97"/>
        <v>"C:\Program Files (x86)\AstroGrep\AstroGrep.exe" /spath="%USERPROFILE%\AppData\Local\Temp\OnboardLogs" /stypes="app*4015*20161030*" /stext=" 21:.+((SYSTEM_STATE.+slice.+state.+changed )|(ment ac)|(system.+state.+changed )|(\[timeout)|(PRM\|1\|D)|(kpr)|(kdp)|(\|lc)|(penalty))" /e /r /s</v>
      </c>
      <c r="AG208" s="1" t="str">
        <f t="shared" si="98"/>
        <v>Other</v>
      </c>
      <c r="AH208" s="92" t="str">
        <f t="shared" si="99"/>
        <v>"%USERPROFILE%\Documents\GitHub\eaglep3\Utilities\RefineRTDCRunTimes.py" --tripid 54-30 --locoid 4015 --swversion DE.1.0.8.0 --startMP 300:23278 --initTime 2016-10-30T14:59:24 --startdatetime 2016-10-30T15:05:36 --delay 6 --endMP 204:150 --enddatetime 2016-10-30T15:16:17 --enforcementcount 0 &gt;&gt;C:\Users\stu\Documents\GitHub\eaglep3-reporting\EC\2016-10-30-refined-times.txt</v>
      </c>
      <c r="AI20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{"issue":{"subject":"","project_id":79,"tracker_id":40,"status_id":1,"priority_id":2,"assigned_to_id":23,"start_date":"2016-10-30","description":"","custom_fields":[{"id":1,"name":"Subdivision","value":"Other"},{"id":4,"name":"Milepost","value":"0.015"},{"id":17,"name":"Train ID","value":"54-30"},{"id":16,"name":"Locomotive ID","value":"4015"},{"id":130,"name":"Impact","value":""},{"id":150,"name":"Time of Event (Mountain Time)","value":"15:16:17"},{"id":151,"name":"Denver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412</v>
      </c>
      <c r="B209" s="7">
        <v>4006</v>
      </c>
      <c r="C209" s="22" t="s">
        <v>284</v>
      </c>
      <c r="D209" s="22" t="s">
        <v>642</v>
      </c>
      <c r="E209" s="13">
        <v>42673.589722222219</v>
      </c>
      <c r="F209" s="13">
        <v>25568.708333333332</v>
      </c>
      <c r="G209" s="7">
        <v>1</v>
      </c>
      <c r="H209" s="13" t="s">
        <v>738</v>
      </c>
      <c r="I209" s="13">
        <v>25568.708333333332</v>
      </c>
      <c r="J209" s="7">
        <v>0</v>
      </c>
      <c r="K209" s="112" t="str">
        <f t="shared" si="84"/>
        <v>4005/4006</v>
      </c>
      <c r="L209" s="22" t="str">
        <f>VLOOKUP(A209,'Trips&amp;Operators'!$C$1:$E$10000,3,FALSE)</f>
        <v>ISHMAEL</v>
      </c>
      <c r="M209" s="6">
        <f t="shared" si="85"/>
        <v>0</v>
      </c>
      <c r="N209" s="7">
        <f t="shared" si="86"/>
        <v>0</v>
      </c>
      <c r="O209" s="7"/>
      <c r="P209" s="7"/>
      <c r="Q209" s="23"/>
      <c r="R209" s="23"/>
      <c r="S209" s="35">
        <f t="shared" si="87"/>
        <v>0</v>
      </c>
      <c r="T209" s="50" t="e">
        <f t="shared" si="88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13:09:12-0600',mode:absolute,to:'1969-12-31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9" s="52" t="str">
        <f t="shared" si="90"/>
        <v>Y</v>
      </c>
      <c r="X209" s="177" t="e">
        <f t="shared" si="91"/>
        <v>#VALUE!</v>
      </c>
      <c r="Y209" s="67">
        <f t="shared" si="92"/>
        <v>0.14960000000000001</v>
      </c>
      <c r="Z209" s="67">
        <f t="shared" si="93"/>
        <v>0.1827</v>
      </c>
      <c r="AA209" s="67">
        <f t="shared" si="94"/>
        <v>3.3099999999999991E-2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5"/>
        <v>55-30</v>
      </c>
      <c r="AE209" s="91" t="str">
        <f t="shared" si="9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09" s="88" t="str">
        <f t="shared" si="9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09" s="1" t="str">
        <f t="shared" si="98"/>
        <v>Other</v>
      </c>
      <c r="AH209" s="92" t="str">
        <f t="shared" si="99"/>
        <v>"%USERPROFILE%\Documents\GitHub\eaglep3\Utilities\RefineRTDCRunTimes.py" --tripid 55-30 --locoid 4006 --swversion DE.1.0.8.0 --startMP 204:1496 --initTime 2016-10-30T14:09:12 --startdatetime 1969-12-31T17:00:00 --delay 1 --endMP 204:1827 --enddatetime 1969-12-31T17:00:00 --enforcementcount 0 &gt;&gt;C:\Users\stu\Documents\GitHub\eaglep3-reporting\EC\2016-10-30-refined-times.txt</v>
      </c>
      <c r="AI209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{"issue":{"subject":"","project_id":79,"tracker_id":40,"status_id":1,"priority_id":2,"assigned_to_id":23,"start_date":"1969-12-31","description":"","custom_fields":[{"id":1,"name":"Subdivision","value":"Other"},{"id":4,"name":"Milepost","value":"0.1827"},{"id":17,"name":"Train ID","value":"55-30"},{"id":16,"name":"Locomotive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412</v>
      </c>
      <c r="B210" s="7">
        <v>4006</v>
      </c>
      <c r="C210" s="22" t="s">
        <v>284</v>
      </c>
      <c r="D210" s="22" t="s">
        <v>739</v>
      </c>
      <c r="E210" s="13">
        <v>42673.598090277781</v>
      </c>
      <c r="F210" s="13">
        <v>25568.708333333332</v>
      </c>
      <c r="G210" s="7">
        <v>1</v>
      </c>
      <c r="H210" s="13" t="s">
        <v>726</v>
      </c>
      <c r="I210" s="13">
        <v>25568.708333333332</v>
      </c>
      <c r="J210" s="7">
        <v>0</v>
      </c>
      <c r="K210" s="112" t="str">
        <f t="shared" si="84"/>
        <v>4005/4006</v>
      </c>
      <c r="L210" s="22" t="str">
        <f>VLOOKUP(A210,'Trips&amp;Operators'!$C$1:$E$10000,3,FALSE)</f>
        <v>ISHMAEL</v>
      </c>
      <c r="M210" s="6">
        <f t="shared" si="85"/>
        <v>0</v>
      </c>
      <c r="N210" s="7">
        <f t="shared" si="86"/>
        <v>0</v>
      </c>
      <c r="O210" s="7"/>
      <c r="P210" s="7"/>
      <c r="Q210" s="23"/>
      <c r="R210" s="23"/>
      <c r="S210" s="35">
        <f t="shared" si="87"/>
        <v>0</v>
      </c>
      <c r="T210" s="50" t="e">
        <f t="shared" si="88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13:21:15-0600',mode:absolute,to:'1969-12-31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10" s="52" t="str">
        <f t="shared" si="90"/>
        <v>Y</v>
      </c>
      <c r="X210" s="177" t="e">
        <f t="shared" si="91"/>
        <v>#VALUE!</v>
      </c>
      <c r="Y210" s="67">
        <f t="shared" si="92"/>
        <v>0.20979999999999999</v>
      </c>
      <c r="Z210" s="67">
        <f t="shared" si="93"/>
        <v>2.3302</v>
      </c>
      <c r="AA210" s="67">
        <f t="shared" si="94"/>
        <v>2.1204000000000001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5"/>
        <v>55-30</v>
      </c>
      <c r="AE210" s="91" t="str">
        <f t="shared" si="9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0" s="88" t="str">
        <f t="shared" si="9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10" s="1" t="str">
        <f t="shared" si="98"/>
        <v>Other</v>
      </c>
      <c r="AH210" s="92" t="str">
        <f t="shared" si="99"/>
        <v>"%USERPROFILE%\Documents\GitHub\eaglep3\Utilities\RefineRTDCRunTimes.py" --tripid 55-30 --locoid 4006 --swversion DE.1.0.8.0 --startMP 204:2098 --initTime 2016-10-30T14:21:15 --startdatetime 1969-12-31T17:00:00 --delay 1 --endMP 300:23302 --enddatetime 1969-12-31T17:00:00 --enforcementcount 0 &gt;&gt;C:\Users\stu\Documents\GitHub\eaglep3-reporting\EC\2016-10-30-refined-times.txt</v>
      </c>
      <c r="AI210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ID","value":"55-30"},{"id":16,"name":"Locomotive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616</v>
      </c>
      <c r="B211" s="7">
        <v>4052</v>
      </c>
      <c r="C211" s="22" t="s">
        <v>284</v>
      </c>
      <c r="D211" s="22" t="s">
        <v>740</v>
      </c>
      <c r="E211" s="13">
        <v>42674.025914351849</v>
      </c>
      <c r="F211" s="13">
        <v>42674.027407407404</v>
      </c>
      <c r="G211" s="7">
        <v>1</v>
      </c>
      <c r="H211" s="13" t="s">
        <v>741</v>
      </c>
      <c r="I211" s="13">
        <v>42674.048391203702</v>
      </c>
      <c r="J211" s="7">
        <v>0</v>
      </c>
      <c r="K211" s="112" t="str">
        <f t="shared" si="84"/>
        <v>4051/4052</v>
      </c>
      <c r="L211" s="22" t="str">
        <f>VLOOKUP(A211,'Trips&amp;Operators'!$C$1:$E$10000,3,FALSE)</f>
        <v>GOLIGHTLY</v>
      </c>
      <c r="M211" s="6">
        <f t="shared" si="85"/>
        <v>2.0983796297514345E-2</v>
      </c>
      <c r="N211" s="7">
        <f t="shared" si="86"/>
        <v>30.216666668420658</v>
      </c>
      <c r="O211" s="7"/>
      <c r="P211" s="7"/>
      <c r="Q211" s="23"/>
      <c r="R211" s="23"/>
      <c r="S211" s="35">
        <f t="shared" si="87"/>
        <v>0</v>
      </c>
      <c r="T211" s="50" t="e">
        <f t="shared" si="88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23:37:19-0600',mode:absolute,to:'2016-10-31 02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90"/>
        <v>N</v>
      </c>
      <c r="X211" s="177" t="e">
        <f t="shared" si="91"/>
        <v>#VALUE!</v>
      </c>
      <c r="Y211" s="67">
        <f t="shared" si="92"/>
        <v>12.808400000000001</v>
      </c>
      <c r="Z211" s="67">
        <f t="shared" si="93"/>
        <v>8.3500000000000005E-2</v>
      </c>
      <c r="AA211" s="67">
        <f t="shared" si="94"/>
        <v>12.7249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5"/>
        <v>56-30</v>
      </c>
      <c r="AE211" s="91" t="str">
        <f t="shared" si="96"/>
        <v>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 &amp; aws s3 cp s3://rtdc.mdm.uploadarchive.raw/RTDC4052/ "%USERPROFILE%\AppData\Local\Temp\OnboardLogs"\RTDC4052\2016-11-01 --exclude "*" --recursive --include "*20161101*" &amp; "%USERPROFILE%\Documents\GitHub\mrs-test-scripts\Headless Mode &amp; Sideloading\WalkAndUnGZ.bat" "%USERPROFILE%\AppData\Local\Temp\OnboardLogs"\RTDC4052\2016-11-01</v>
      </c>
      <c r="AF211" s="88" t="str">
        <f t="shared" si="97"/>
        <v>"C:\Program Files (x86)\AstroGrep\AstroGrep.exe" /spath="%USERPROFILE%\AppData\Local\Temp\OnboardLogs" /stypes="app*4052*20161031*" /stext=" 07:.+((SYSTEM_STATE.+slice.+state.+changed )|(ment ac)|(system.+state.+changed )|(\[timeout)|(PRM\|1\|D)|(kpr)|(kdp)|(\|lc)|(penalty))" /e /r /s</v>
      </c>
      <c r="AG211" s="1" t="str">
        <f t="shared" si="98"/>
        <v>Other</v>
      </c>
      <c r="AH211" s="92" t="str">
        <f t="shared" si="99"/>
        <v>"%USERPROFILE%\Documents\GitHub\eaglep3\Utilities\RefineRTDCRunTimes.py" --tripid 56-30 --locoid 4052 --swversion DE.1.0.8.0 --startMP 204:128084 --initTime 2016-10-31T00:37:19 --startdatetime 2016-10-31T00:39:28 --delay 1 --endMP 204:835 --enddatetime 2016-10-31T01:09:41 --enforcementcount 0 &gt;&gt;C:\Users\stu\Documents\GitHub\eaglep3-reporting\EC\2016-10-30-refined-times.txt</v>
      </c>
      <c r="AI211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{"issue":{"subject":"","project_id":79,"tracker_id":40,"status_id":1,"priority_id":2,"assigned_to_id":23,"start_date":"2016-10-31","description":"","custom_fields":[{"id":1,"name":"Subdivision","value":"Other"},{"id":4,"name":"Milepost","value":"0.0835"},{"id":17,"name":"Train ID","value":"56-30"},{"id":16,"name":"Locomotive ID","value":"4052"},{"id":130,"name":"Impact","value":""},{"id":150,"name":"Time of Event (Mountain Time)","value":"01:09:41"},{"id":151,"name":"Denver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s="21" customFormat="1" x14ac:dyDescent="0.25">
      <c r="A212" s="37" t="s">
        <v>616</v>
      </c>
      <c r="B212" s="7">
        <v>4052</v>
      </c>
      <c r="C212" s="22" t="s">
        <v>284</v>
      </c>
      <c r="D212" s="22" t="s">
        <v>742</v>
      </c>
      <c r="E212" s="13">
        <v>42673.986608796295</v>
      </c>
      <c r="F212" s="13">
        <v>42674.027407407404</v>
      </c>
      <c r="G212" s="7">
        <v>1</v>
      </c>
      <c r="H212" s="13" t="s">
        <v>743</v>
      </c>
      <c r="I212" s="13">
        <v>42674.048391203702</v>
      </c>
      <c r="J212" s="7">
        <v>0</v>
      </c>
      <c r="K212" s="112" t="str">
        <f t="shared" si="84"/>
        <v>4051/4052</v>
      </c>
      <c r="L212" s="22" t="str">
        <f>VLOOKUP(A212,'Trips&amp;Operators'!$C$1:$E$10000,3,FALSE)</f>
        <v>GOLIGHTLY</v>
      </c>
      <c r="M212" s="6">
        <f t="shared" si="85"/>
        <v>2.0983796297514345E-2</v>
      </c>
      <c r="N212" s="7">
        <f t="shared" si="86"/>
        <v>30.216666668420658</v>
      </c>
      <c r="O212" s="7"/>
      <c r="P212" s="7"/>
      <c r="Q212" s="23"/>
      <c r="R212" s="23"/>
      <c r="S212" s="35">
        <f t="shared" si="87"/>
        <v>0</v>
      </c>
      <c r="T212" s="50" t="e">
        <f t="shared" si="88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22:40:43-0600',mode:absolute,to:'2016-10-31 02:09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90"/>
        <v>N</v>
      </c>
      <c r="X212" s="177" t="e">
        <f t="shared" si="91"/>
        <v>#VALUE!</v>
      </c>
      <c r="Y212" s="67">
        <f t="shared" si="92"/>
        <v>12.808999999999999</v>
      </c>
      <c r="Z212" s="67">
        <f t="shared" si="93"/>
        <v>1.0285</v>
      </c>
      <c r="AA212" s="67">
        <f t="shared" si="94"/>
        <v>11.7805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5"/>
        <v>56-30</v>
      </c>
      <c r="AE212" s="91" t="str">
        <f t="shared" si="96"/>
        <v>aws s3 cp s3://rtdc.mdm.uploadarchive.raw/RTDC4052/ "%USERPROFILE%\AppData\Local\Temp\OnboardLogs"\RTDC4052\2016-10-31 --exclude "*" --recursive --include "*20161031*" &amp; "%USERPROFILE%\Documents\GitHub\mrs-test-scripts\Headless Mode &amp; Sideloading\WalkAndUnGZ.bat" "%USERPROFILE%\AppData\Local\Temp\OnboardLogs"\RTDC4052\2016-10-31 &amp; aws s3 cp s3://rtdc.mdm.uploadarchive.raw/RTDC4052/ "%USERPROFILE%\AppData\Local\Temp\OnboardLogs"\RTDC4052\2016-11-01 --exclude "*" --recursive --include "*20161101*" &amp; "%USERPROFILE%\Documents\GitHub\mrs-test-scripts\Headless Mode &amp; Sideloading\WalkAndUnGZ.bat" "%USERPROFILE%\AppData\Local\Temp\OnboardLogs"\RTDC4052\2016-11-01</v>
      </c>
      <c r="AF212" s="88" t="str">
        <f t="shared" si="97"/>
        <v>"C:\Program Files (x86)\AstroGrep\AstroGrep.exe" /spath="%USERPROFILE%\AppData\Local\Temp\OnboardLogs" /stypes="app*4052*20161031*" /stext=" 07:.+((SYSTEM_STATE.+slice.+state.+changed )|(ment ac)|(system.+state.+changed )|(\[timeout)|(PRM\|1\|D)|(kpr)|(kdp)|(\|lc)|(penalty))" /e /r /s</v>
      </c>
      <c r="AG212" s="1" t="str">
        <f t="shared" si="98"/>
        <v>Other</v>
      </c>
      <c r="AH212" s="92" t="str">
        <f t="shared" si="99"/>
        <v>"%USERPROFILE%\Documents\GitHub\eaglep3\Utilities\RefineRTDCRunTimes.py" --tripid 56-30 --locoid 4052 --swversion DE.1.0.8.0 --startMP 204:128090 --initTime 2016-10-30T23:40:43 --startdatetime 2016-10-31T00:39:28 --delay 1 --endMP 204:10285 --enddatetime 2016-10-31T01:09:41 --enforcementcount 0 &gt;&gt;C:\Users\stu\Documents\GitHub\eaglep3-reporting\EC\2016-10-30-refined-times.txt</v>
      </c>
      <c r="AI212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{"issue":{"subject":"","project_id":79,"tracker_id":40,"status_id":1,"priority_id":2,"assigned_to_id":23,"start_date":"2016-10-31","description":"","custom_fields":[{"id":1,"name":"Subdivision","value":"Other"},{"id":4,"name":"Milepost","value":"1.0285"},{"id":17,"name":"Train ID","value":"56-30"},{"id":16,"name":"Locomotive ID","value":"4052"},{"id":130,"name":"Impact","value":""},{"id":150,"name":"Time of Event (Mountain Time)","value":"01:09:41"},{"id":151,"name":"Denver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611</v>
      </c>
      <c r="B213" s="7">
        <v>4051</v>
      </c>
      <c r="C213" s="22" t="s">
        <v>284</v>
      </c>
      <c r="D213" s="22" t="s">
        <v>744</v>
      </c>
      <c r="E213" s="13">
        <v>42674.009074074071</v>
      </c>
      <c r="F213" s="13">
        <v>42674.010949074072</v>
      </c>
      <c r="G213" s="7">
        <v>1</v>
      </c>
      <c r="H213" s="13" t="s">
        <v>745</v>
      </c>
      <c r="I213" s="13">
        <v>42674.024560185186</v>
      </c>
      <c r="J213" s="7">
        <v>0</v>
      </c>
      <c r="K213" s="112" t="str">
        <f t="shared" si="84"/>
        <v>4051/4052</v>
      </c>
      <c r="L213" s="22" t="str">
        <f>VLOOKUP(A213,'Trips&amp;Operators'!$C$1:$E$10000,3,FALSE)</f>
        <v>GOLIGHTLY</v>
      </c>
      <c r="M213" s="6">
        <f t="shared" si="85"/>
        <v>1.361111111327773E-2</v>
      </c>
      <c r="N213" s="7">
        <f t="shared" si="86"/>
        <v>19.600000003119931</v>
      </c>
      <c r="O213" s="7"/>
      <c r="P213" s="7"/>
      <c r="Q213" s="23"/>
      <c r="R213" s="23"/>
      <c r="S213" s="35">
        <f t="shared" si="87"/>
        <v>0</v>
      </c>
      <c r="T213" s="50" t="e">
        <f t="shared" si="88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23:13:04-0600',mode:absolute,to:'2016-10-31 01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3" s="52" t="str">
        <f t="shared" si="90"/>
        <v>N</v>
      </c>
      <c r="X213" s="177" t="e">
        <f t="shared" si="91"/>
        <v>#VALUE!</v>
      </c>
      <c r="Y213" s="67">
        <f t="shared" si="92"/>
        <v>1.0525</v>
      </c>
      <c r="Z213" s="67">
        <f t="shared" si="93"/>
        <v>12.834899999999999</v>
      </c>
      <c r="AA213" s="67">
        <f t="shared" si="94"/>
        <v>11.782399999999999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5"/>
        <v>57-30</v>
      </c>
      <c r="AE213" s="91" t="str">
        <f t="shared" si="96"/>
        <v>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 &amp; aws s3 cp s3://rtdc.mdm.uploadarchive.raw/RTDC4051/ "%USERPROFILE%\AppData\Local\Temp\OnboardLogs"\RTDC4051\2016-11-01 --exclude "*" --recursive --include "*20161101*" &amp; "%USERPROFILE%\Documents\GitHub\mrs-test-scripts\Headless Mode &amp; Sideloading\WalkAndUnGZ.bat" "%USERPROFILE%\AppData\Local\Temp\OnboardLogs"\RTDC4051\2016-11-01</v>
      </c>
      <c r="AF213" s="88" t="str">
        <f t="shared" si="97"/>
        <v>"C:\Program Files (x86)\AstroGrep\AstroGrep.exe" /spath="%USERPROFILE%\AppData\Local\Temp\OnboardLogs" /stypes="app*4051*20161031*" /stext=" 06:.+((SYSTEM_STATE.+slice.+state.+changed )|(ment ac)|(system.+state.+changed )|(\[timeout)|(PRM\|1\|D)|(kpr)|(kdp)|(\|lc)|(penalty))" /e /r /s</v>
      </c>
      <c r="AG213" s="1" t="str">
        <f t="shared" si="98"/>
        <v>Other</v>
      </c>
      <c r="AH213" s="92" t="str">
        <f t="shared" si="99"/>
        <v>"%USERPROFILE%\Documents\GitHub\eaglep3\Utilities\RefineRTDCRunTimes.py" --tripid 57-30 --locoid 4051 --swversion DE.1.0.8.0 --startMP 204:10525 --initTime 2016-10-31T00:13:04 --startdatetime 2016-10-31T00:15:46 --delay 1 --endMP 204:128349 --enddatetime 2016-10-31T00:35:22 --enforcementcount 0 &gt;&gt;C:\Users\stu\Documents\GitHub\eaglep3-reporting\EC\2016-10-30-refined-times.txt</v>
      </c>
      <c r="AI213" s="122" t="str">
        <f t="shared" si="100"/>
        <v>echo {"issue":{"subject":"","project_id":79,"tracker_id":40,"status_id":1,"priority_id":2,"assigned_to_id":23,"start_date":"2016-10-31","description":"","custom_fields":[{"id":1,"name":"Subdivision","value":"Other"},{"id":4,"name":"Milepost","value":"12.8349"},{"id":17,"name":"Train ID","value":"57-30"},{"id":16,"name":"Locomotive ID","value":"4051"},{"id":130,"name":"Impact","value":""},{"id":150,"name":"Time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611</v>
      </c>
      <c r="B214" s="7">
        <v>4051</v>
      </c>
      <c r="C214" s="22" t="s">
        <v>284</v>
      </c>
      <c r="D214" s="22" t="s">
        <v>746</v>
      </c>
      <c r="E214" s="13">
        <v>42673.949814814812</v>
      </c>
      <c r="F214" s="13">
        <v>42673.951770833337</v>
      </c>
      <c r="G214" s="7">
        <v>1</v>
      </c>
      <c r="H214" s="13" t="s">
        <v>747</v>
      </c>
      <c r="I214" s="13">
        <v>42673.985081018516</v>
      </c>
      <c r="J214" s="7">
        <v>0</v>
      </c>
      <c r="K214" s="112" t="str">
        <f t="shared" si="84"/>
        <v>4051/4052</v>
      </c>
      <c r="L214" s="22" t="str">
        <f>VLOOKUP(A214,'Trips&amp;Operators'!$C$1:$E$10000,3,FALSE)</f>
        <v>GOLIGHTLY</v>
      </c>
      <c r="M214" s="6">
        <f t="shared" si="85"/>
        <v>3.3310185179288965E-2</v>
      </c>
      <c r="N214" s="7">
        <f t="shared" si="86"/>
        <v>47.966666658176109</v>
      </c>
      <c r="O214" s="7"/>
      <c r="P214" s="7"/>
      <c r="Q214" s="23"/>
      <c r="R214" s="23"/>
      <c r="S214" s="35">
        <f t="shared" si="87"/>
        <v>0</v>
      </c>
      <c r="T214" s="50" t="e">
        <f t="shared" si="88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21:47:44-0600',mode:absolute,to:'2016-10-31 00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4" s="52" t="str">
        <f t="shared" si="90"/>
        <v>N</v>
      </c>
      <c r="X214" s="177" t="e">
        <f t="shared" si="91"/>
        <v>#VALUE!</v>
      </c>
      <c r="Y214" s="67">
        <f t="shared" si="92"/>
        <v>0.1108</v>
      </c>
      <c r="Z214" s="67">
        <f t="shared" si="93"/>
        <v>12.8346</v>
      </c>
      <c r="AA214" s="67">
        <f t="shared" si="94"/>
        <v>12.723800000000001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5"/>
        <v>57-30</v>
      </c>
      <c r="AE214" s="91" t="str">
        <f t="shared" si="96"/>
        <v>aws s3 cp s3://rtdc.mdm.uploadarchive.raw/RTDC4051/ "%USERPROFILE%\AppData\Local\Temp\OnboardLogs"\RTDC4051\2016-10-30 --exclude "*" --recursive --include "*20161030*" &amp; "%USERPROFILE%\Documents\GitHub\mrs-test-scripts\Headless Mode &amp; Sideloading\WalkAndUnGZ.bat" "%USERPROFILE%\AppData\Local\Temp\OnboardLogs"\RTDC4051\2016-10-30 &amp; aws s3 cp s3://rtdc.mdm.uploadarchive.raw/RTDC4051/ "%USERPROFILE%\AppData\Local\Temp\OnboardLogs"\RTDC4051\2016-10-31 --exclude "*" --recursive --include "*20161031*" &amp; "%USERPROFILE%\Documents\GitHub\mrs-test-scripts\Headless Mode &amp; Sideloading\WalkAndUnGZ.bat" "%USERPROFILE%\AppData\Local\Temp\OnboardLogs"\RTDC4051\2016-10-31</v>
      </c>
      <c r="AF214" s="88" t="str">
        <f t="shared" si="97"/>
        <v>"C:\Program Files (x86)\AstroGrep\AstroGrep.exe" /spath="%USERPROFILE%\AppData\Local\Temp\OnboardLogs" /stypes="app*4051*20161031*" /stext=" 05:.+((SYSTEM_STATE.+slice.+state.+changed )|(ment ac)|(system.+state.+changed )|(\[timeout)|(PRM\|1\|D)|(kpr)|(kdp)|(\|lc)|(penalty))" /e /r /s</v>
      </c>
      <c r="AG214" s="1" t="str">
        <f t="shared" si="98"/>
        <v>Other</v>
      </c>
      <c r="AH214" s="92" t="str">
        <f t="shared" si="99"/>
        <v>"%USERPROFILE%\Documents\GitHub\eaglep3\Utilities\RefineRTDCRunTimes.py" --tripid 57-30 --locoid 4051 --swversion DE.1.0.8.0 --startMP 204:1108 --initTime 2016-10-30T22:47:44 --startdatetime 2016-10-30T22:50:33 --delay 1 --endMP 204:128346 --enddatetime 2016-10-30T23:38:31 --enforcementcount 0 &gt;&gt;C:\Users\stu\Documents\GitHub\eaglep3-reporting\EC\2016-10-30-refined-times.txt</v>
      </c>
      <c r="AI214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{"issue":{"subject":"","project_id":79,"tracker_id":40,"status_id":1,"priority_id":2,"assigned_to_id":23,"start_date":"2016-10-30","description":"","custom_fields":[{"id":1,"name":"Subdivision","value":"Other"},{"id":4,"name":"Milepost","value":"12.8346"},{"id":17,"name":"Train ID","value":"57-30"},{"id":16,"name":"Locomotive ID","value":"4051"},{"id":130,"name":"Impact","value":""},{"id":150,"name":"Time of Event (Mountain Time)","value":"23:38:31"},{"id":151,"name":"Denver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s="21" customFormat="1" x14ac:dyDescent="0.25">
      <c r="A215" s="37" t="s">
        <v>551</v>
      </c>
      <c r="B215" s="7">
        <v>4045</v>
      </c>
      <c r="C215" s="22" t="s">
        <v>284</v>
      </c>
      <c r="D215" s="22" t="s">
        <v>748</v>
      </c>
      <c r="E215" s="13">
        <v>42673.684074074074</v>
      </c>
      <c r="F215" s="13">
        <v>42673.687534722223</v>
      </c>
      <c r="G215" s="7">
        <v>4</v>
      </c>
      <c r="H215" s="13" t="s">
        <v>749</v>
      </c>
      <c r="I215" s="13">
        <v>42673.692303240743</v>
      </c>
      <c r="J215" s="7">
        <v>0</v>
      </c>
      <c r="K215" s="112" t="str">
        <f t="shared" si="84"/>
        <v>4045/4046</v>
      </c>
      <c r="L215" s="22" t="str">
        <f>VLOOKUP(A215,'Trips&amp;Operators'!$C$1:$E$10000,3,FALSE)</f>
        <v>CLARK</v>
      </c>
      <c r="M215" s="6">
        <f t="shared" si="85"/>
        <v>4.7685185199952684E-3</v>
      </c>
      <c r="N215" s="7">
        <f t="shared" si="86"/>
        <v>6.8666666687931865</v>
      </c>
      <c r="O215" s="7"/>
      <c r="P215" s="7"/>
      <c r="Q215" s="23"/>
      <c r="R215" s="23"/>
      <c r="S215" s="35">
        <f t="shared" si="87"/>
        <v>0</v>
      </c>
      <c r="T215" s="50" t="e">
        <f t="shared" si="88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15:25:04-0600',mode:absolute,to:'2016-10-30 17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5" s="52" t="str">
        <f t="shared" si="90"/>
        <v>Y</v>
      </c>
      <c r="X215" s="177" t="e">
        <f t="shared" si="91"/>
        <v>#VALUE!</v>
      </c>
      <c r="Y215" s="67">
        <f t="shared" si="92"/>
        <v>23.316600000000001</v>
      </c>
      <c r="Z215" s="67">
        <f t="shared" si="93"/>
        <v>19.3354</v>
      </c>
      <c r="AA215" s="67">
        <f t="shared" si="94"/>
        <v>3.9812000000000012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5"/>
        <v>70-30</v>
      </c>
      <c r="AE215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5" s="88" t="str">
        <f t="shared" si="97"/>
        <v>"C:\Program Files (x86)\AstroGrep\AstroGrep.exe" /spath="%USERPROFILE%\AppData\Local\Temp\OnboardLogs" /stypes="app*4045*20161030*" /stext=" 22:.+((SYSTEM_STATE.+slice.+state.+changed )|(ment ac)|(system.+state.+changed )|(\[timeout)|(PRM\|1\|D)|(kpr)|(kdp)|(\|lc)|(penalty))" /e /r /s</v>
      </c>
      <c r="AG215" s="1" t="str">
        <f t="shared" si="98"/>
        <v>Other</v>
      </c>
      <c r="AH215" s="92" t="str">
        <f t="shared" si="99"/>
        <v>"%USERPROFILE%\Documents\GitHub\eaglep3\Utilities\RefineRTDCRunTimes.py" --tripid 70-30 --locoid 4045 --swversion DE.1.0.8.0 --startMP 204:233166 --initTime 2016-10-30T16:25:04 --startdatetime 2016-10-30T16:30:03 --delay 4 --endMP 204:193354 --enddatetime 2016-10-30T16:36:55 --enforcementcount 0 &gt;&gt;C:\Users\stu\Documents\GitHub\eaglep3-reporting\EC\2016-10-30-refined-times.txt</v>
      </c>
      <c r="AI21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{"issue":{"subject":"","project_id":79,"tracker_id":40,"status_id":1,"priority_id":2,"assigned_to_id":23,"start_date":"2016-10-30","description":"","custom_fields":[{"id":1,"name":"Subdivision","value":"Other"},{"id":4,"name":"Milepost","value":"19.3354"},{"id":17,"name":"Train ID","value":"70-30"},{"id":16,"name":"Locomotive ID","value":"4045"},{"id":130,"name":"Impact","value":""},{"id":150,"name":"Time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1" customFormat="1" x14ac:dyDescent="0.25">
      <c r="A216" s="37" t="s">
        <v>551</v>
      </c>
      <c r="B216" s="7">
        <v>4045</v>
      </c>
      <c r="C216" s="22" t="s">
        <v>284</v>
      </c>
      <c r="D216" s="22" t="s">
        <v>750</v>
      </c>
      <c r="E216" s="13">
        <v>42673.680636574078</v>
      </c>
      <c r="F216" s="13">
        <v>42673.687534722223</v>
      </c>
      <c r="G216" s="7">
        <v>1</v>
      </c>
      <c r="H216" s="13" t="s">
        <v>749</v>
      </c>
      <c r="I216" s="13">
        <v>42673.692303240743</v>
      </c>
      <c r="J216" s="7">
        <v>0</v>
      </c>
      <c r="K216" s="112" t="str">
        <f t="shared" si="84"/>
        <v>4045/4046</v>
      </c>
      <c r="L216" s="22" t="str">
        <f>VLOOKUP(A216,'Trips&amp;Operators'!$C$1:$E$10000,3,FALSE)</f>
        <v>CLARK</v>
      </c>
      <c r="M216" s="6">
        <f t="shared" si="85"/>
        <v>4.7685185199952684E-3</v>
      </c>
      <c r="N216" s="7">
        <f t="shared" si="86"/>
        <v>6.8666666687931865</v>
      </c>
      <c r="O216" s="7"/>
      <c r="P216" s="7"/>
      <c r="Q216" s="23"/>
      <c r="R216" s="23"/>
      <c r="S216" s="35">
        <f t="shared" si="87"/>
        <v>0</v>
      </c>
      <c r="T216" s="50" t="e">
        <f t="shared" si="88"/>
        <v>#VALUE!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15:20:07-0600',mode:absolute,to:'2016-10-30 17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6" s="52" t="str">
        <f t="shared" si="90"/>
        <v>Y</v>
      </c>
      <c r="X216" s="177" t="e">
        <f t="shared" si="91"/>
        <v>#VALUE!</v>
      </c>
      <c r="Y216" s="67">
        <f t="shared" si="92"/>
        <v>23.316800000000001</v>
      </c>
      <c r="Z216" s="67">
        <f t="shared" si="93"/>
        <v>19.3354</v>
      </c>
      <c r="AA216" s="67">
        <f t="shared" si="94"/>
        <v>3.9814000000000007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5"/>
        <v>70-30</v>
      </c>
      <c r="AE216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6" s="88" t="str">
        <f t="shared" si="97"/>
        <v>"C:\Program Files (x86)\AstroGrep\AstroGrep.exe" /spath="%USERPROFILE%\AppData\Local\Temp\OnboardLogs" /stypes="app*4045*20161030*" /stext=" 22:.+((SYSTEM_STATE.+slice.+state.+changed )|(ment ac)|(system.+state.+changed )|(\[timeout)|(PRM\|1\|D)|(kpr)|(kdp)|(\|lc)|(penalty))" /e /r /s</v>
      </c>
      <c r="AG216" s="1" t="str">
        <f t="shared" si="98"/>
        <v>Other</v>
      </c>
      <c r="AH216" s="92" t="str">
        <f t="shared" si="99"/>
        <v>"%USERPROFILE%\Documents\GitHub\eaglep3\Utilities\RefineRTDCRunTimes.py" --tripid 70-30 --locoid 4045 --swversion DE.1.0.8.0 --startMP 204:233168 --initTime 2016-10-30T16:20:07 --startdatetime 2016-10-30T16:30:03 --delay 1 --endMP 204:193354 --enddatetime 2016-10-30T16:36:55 --enforcementcount 0 &gt;&gt;C:\Users\stu\Documents\GitHub\eaglep3-reporting\EC\2016-10-30-refined-times.txt</v>
      </c>
      <c r="AI21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{"issue":{"subject":"","project_id":79,"tracker_id":40,"status_id":1,"priority_id":2,"assigned_to_id":23,"start_date":"2016-10-30","description":"","custom_fields":[{"id":1,"name":"Subdivision","value":"Other"},{"id":4,"name":"Milepost","value":"19.3354"},{"id":17,"name":"Train ID","value":"70-30"},{"id":16,"name":"Locomotive ID","value":"4045"},{"id":130,"name":"Impact","value":""},{"id":150,"name":"Time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554</v>
      </c>
      <c r="B217" s="7">
        <v>4046</v>
      </c>
      <c r="C217" s="22" t="s">
        <v>284</v>
      </c>
      <c r="D217" s="22" t="s">
        <v>751</v>
      </c>
      <c r="E217" s="13">
        <v>42673.693067129629</v>
      </c>
      <c r="F217" s="13">
        <v>42673.695775462962</v>
      </c>
      <c r="G217" s="7">
        <v>1</v>
      </c>
      <c r="H217" s="13" t="s">
        <v>752</v>
      </c>
      <c r="I217" s="13">
        <v>42673.696064814816</v>
      </c>
      <c r="J217" s="7">
        <v>0</v>
      </c>
      <c r="K217" s="112" t="str">
        <f t="shared" si="84"/>
        <v>4045/4046</v>
      </c>
      <c r="L217" s="22" t="str">
        <f>VLOOKUP(A217,'Trips&amp;Operators'!$C$1:$E$10000,3,FALSE)</f>
        <v>CLARK</v>
      </c>
      <c r="M217" s="6">
        <f t="shared" si="85"/>
        <v>2.8935185400769114E-4</v>
      </c>
      <c r="N217" s="7">
        <f t="shared" si="86"/>
        <v>0.41666666977107525</v>
      </c>
      <c r="O217" s="7"/>
      <c r="P217" s="7"/>
      <c r="Q217" s="23"/>
      <c r="R217" s="23"/>
      <c r="S217" s="35">
        <f t="shared" si="87"/>
        <v>0</v>
      </c>
      <c r="T217" s="50" t="e">
        <f t="shared" si="88"/>
        <v>#VALUE!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15:38:01-0600',mode:absolute,to:'2016-10-30 17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7" s="52" t="str">
        <f t="shared" si="90"/>
        <v>Y</v>
      </c>
      <c r="X217" s="177" t="e">
        <f t="shared" si="91"/>
        <v>#VALUE!</v>
      </c>
      <c r="Y217" s="67">
        <f t="shared" si="92"/>
        <v>19.3657</v>
      </c>
      <c r="Z217" s="67">
        <f t="shared" si="93"/>
        <v>19.477399999999999</v>
      </c>
      <c r="AA217" s="67">
        <f t="shared" si="94"/>
        <v>0.11169999999999902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5"/>
        <v>71-30</v>
      </c>
      <c r="AE217" s="91" t="str">
        <f t="shared" si="96"/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AF217" s="88" t="str">
        <f t="shared" si="97"/>
        <v>"C:\Program Files (x86)\AstroGrep\AstroGrep.exe" /spath="%USERPROFILE%\AppData\Local\Temp\OnboardLogs" /stypes="app*4046*20161030*" /stext=" 22:.+((SYSTEM_STATE.+slice.+state.+changed )|(ment ac)|(system.+state.+changed )|(\[timeout)|(PRM\|1\|D)|(kpr)|(kdp)|(\|lc)|(penalty))" /e /r /s</v>
      </c>
      <c r="AG217" s="1" t="str">
        <f t="shared" si="98"/>
        <v>Other</v>
      </c>
      <c r="AH217" s="92" t="str">
        <f t="shared" si="99"/>
        <v>"%USERPROFILE%\Documents\GitHub\eaglep3\Utilities\RefineRTDCRunTimes.py" --tripid 71-30 --locoid 4046 --swversion DE.1.0.8.0 --startMP 204:193657 --initTime 2016-10-30T16:38:01 --startdatetime 2016-10-30T16:41:55 --delay 1 --endMP 204:194774 --enddatetime 2016-10-30T16:42:20 --enforcementcount 0 &gt;&gt;C:\Users\stu\Documents\GitHub\eaglep3-reporting\EC\2016-10-30-refined-times.txt</v>
      </c>
      <c r="AI21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{"issue":{"subject":"","project_id":79,"tracker_id":40,"status_id":1,"priority_id":2,"assigned_to_id":23,"start_date":"2016-10-30","description":"","custom_fields":[{"id":1,"name":"Subdivision","value":"Other"},{"id":4,"name":"Milepost","value":"19.4774"},{"id":17,"name":"Train ID","value":"71-30"},{"id":16,"name":"Locomotive ID","value":"4046"},{"id":130,"name":"Impact","value":""},{"id":150,"name":"Time of Event (Mountain Time)","value":"16:42:20"},{"id":151,"name":"Denver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562</v>
      </c>
      <c r="B218" s="7">
        <v>4009</v>
      </c>
      <c r="C218" s="22" t="s">
        <v>284</v>
      </c>
      <c r="D218" s="22" t="s">
        <v>753</v>
      </c>
      <c r="E218" s="13">
        <v>42673.758530092593</v>
      </c>
      <c r="F218" s="13">
        <v>42673.760613425926</v>
      </c>
      <c r="G218" s="7">
        <v>1</v>
      </c>
      <c r="H218" s="13" t="s">
        <v>754</v>
      </c>
      <c r="I218" s="13">
        <v>42673.767708333333</v>
      </c>
      <c r="J218" s="7">
        <v>0</v>
      </c>
      <c r="K218" s="112" t="str">
        <f t="shared" si="84"/>
        <v>4009/4010</v>
      </c>
      <c r="L218" s="22" t="str">
        <f>VLOOKUP(A218,'Trips&amp;Operators'!$C$1:$E$10000,3,FALSE)</f>
        <v>CLARK</v>
      </c>
      <c r="M218" s="6">
        <f t="shared" si="85"/>
        <v>7.0949074070085771E-3</v>
      </c>
      <c r="N218" s="7">
        <f t="shared" si="86"/>
        <v>10.216666666092351</v>
      </c>
      <c r="O218" s="7"/>
      <c r="P218" s="7"/>
      <c r="Q218" s="23"/>
      <c r="R218" s="23"/>
      <c r="S218" s="35">
        <f t="shared" si="87"/>
        <v>0</v>
      </c>
      <c r="T218" s="50" t="e">
        <f t="shared" si="88"/>
        <v>#VALUE!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17:12:17-0600',mode:absolute,to:'2016-10-30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8" s="52" t="str">
        <f t="shared" si="90"/>
        <v>Y</v>
      </c>
      <c r="X218" s="177" t="e">
        <f t="shared" si="91"/>
        <v>#VALUE!</v>
      </c>
      <c r="Y218" s="67">
        <f t="shared" si="92"/>
        <v>0.1467</v>
      </c>
      <c r="Z218" s="67">
        <f t="shared" si="93"/>
        <v>2.4232999999999998</v>
      </c>
      <c r="AA218" s="67">
        <f t="shared" si="94"/>
        <v>2.2765999999999997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5"/>
        <v>74-30</v>
      </c>
      <c r="AE218" s="91" t="str">
        <f t="shared" si="96"/>
        <v>aws s3 cp s3://rtdc.mdm.uploadarchive.raw/RTDC4009/ "%USERPROFILE%\AppData\Local\Temp\OnboardLogs"\RTDC4009\2016-10-30 --exclude "*" --recursive --include "*20161030*" &amp; "%USERPROFILE%\Documents\GitHub\mrs-test-scripts\Headless Mode &amp; Sideloading\WalkAndUnGZ.bat" "%USERPROFILE%\AppData\Local\Temp\OnboardLogs"\RTDC4009\2016-10-30 &amp; aws s3 cp s3://rtdc.mdm.uploadarchive.raw/RTDC4009/ "%USERPROFILE%\AppData\Local\Temp\OnboardLogs"\RTDC4009\2016-10-31 --exclude "*" --recursive --include "*20161031*" &amp; "%USERPROFILE%\Documents\GitHub\mrs-test-scripts\Headless Mode &amp; Sideloading\WalkAndUnGZ.bat" "%USERPROFILE%\AppData\Local\Temp\OnboardLogs"\RTDC4009\2016-10-31</v>
      </c>
      <c r="AF218" s="88" t="str">
        <f t="shared" si="97"/>
        <v>"C:\Program Files (x86)\AstroGrep\AstroGrep.exe" /spath="%USERPROFILE%\AppData\Local\Temp\OnboardLogs" /stypes="app*4009*20161031*" /stext=" 00:.+((SYSTEM_STATE.+slice.+state.+changed )|(ment ac)|(system.+state.+changed )|(\[timeout)|(PRM\|1\|D)|(kpr)|(kdp)|(\|lc)|(penalty))" /e /r /s</v>
      </c>
      <c r="AG218" s="1" t="str">
        <f t="shared" si="98"/>
        <v>Other</v>
      </c>
      <c r="AH218" s="92" t="str">
        <f t="shared" si="99"/>
        <v>"%USERPROFILE%\Documents\GitHub\eaglep3\Utilities\RefineRTDCRunTimes.py" --tripid 74-30 --locoid 4009 --swversion DE.1.0.8.0 --startMP 204:1467 --initTime 2016-10-30T18:12:17 --startdatetime 2016-10-30T18:15:17 --delay 1 --endMP 300:24233 --enddatetime 2016-10-30T18:25:30 --enforcementcount 0 &gt;&gt;C:\Users\stu\Documents\GitHub\eaglep3-reporting\EC\2016-10-30-refined-times.txt</v>
      </c>
      <c r="AI21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{"issue":{"subject":"","project_id":79,"tracker_id":40,"status_id":1,"priority_id":2,"assigned_to_id":23,"start_date":"2016-10-30","description":"","custom_fields":[{"id":1,"name":"Subdivision","value":"Other"},{"id":4,"name":"Milepost","value":"2.4233"},{"id":17,"name":"Train ID","value":"74-30"},{"id":16,"name":"Locomotive ID","value":"4009"},{"id":130,"name":"Impact","value":""},{"id":150,"name":"Time of Event (Mountain Time)","value":"18:25:30"},{"id":151,"name":"Denver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562</v>
      </c>
      <c r="B219" s="7">
        <v>4045</v>
      </c>
      <c r="C219" s="22" t="s">
        <v>284</v>
      </c>
      <c r="D219" s="22" t="s">
        <v>755</v>
      </c>
      <c r="E219" s="13">
        <v>42673.718587962961</v>
      </c>
      <c r="F219" s="13">
        <v>42673.760613425926</v>
      </c>
      <c r="G219" s="7">
        <v>1</v>
      </c>
      <c r="H219" s="13" t="s">
        <v>756</v>
      </c>
      <c r="I219" s="13">
        <v>42673.767708333333</v>
      </c>
      <c r="J219" s="7">
        <v>0</v>
      </c>
      <c r="K219" s="112" t="str">
        <f t="shared" si="84"/>
        <v>4045/4046</v>
      </c>
      <c r="L219" s="22" t="str">
        <f>VLOOKUP(A219,'Trips&amp;Operators'!$C$1:$E$10000,3,FALSE)</f>
        <v>CLARK</v>
      </c>
      <c r="M219" s="6">
        <f t="shared" si="85"/>
        <v>7.0949074070085771E-3</v>
      </c>
      <c r="N219" s="7">
        <f t="shared" si="86"/>
        <v>10.216666666092351</v>
      </c>
      <c r="O219" s="7"/>
      <c r="P219" s="7"/>
      <c r="Q219" s="23"/>
      <c r="R219" s="23"/>
      <c r="S219" s="35">
        <f t="shared" si="87"/>
        <v>0</v>
      </c>
      <c r="T219" s="50" t="e">
        <f t="shared" si="88"/>
        <v>#VALUE!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16:14:46-0600',mode:absolute,to:'2016-10-30 19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9" s="52" t="str">
        <f t="shared" si="90"/>
        <v>N</v>
      </c>
      <c r="X219" s="177" t="e">
        <f t="shared" si="91"/>
        <v>#VALUE!</v>
      </c>
      <c r="Y219" s="67">
        <f t="shared" si="92"/>
        <v>23.309699999999999</v>
      </c>
      <c r="Z219" s="67">
        <f t="shared" si="93"/>
        <v>0.10970000000000001</v>
      </c>
      <c r="AA219" s="67">
        <f t="shared" si="94"/>
        <v>23.2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5"/>
        <v>74-30</v>
      </c>
      <c r="AE219" s="91" t="str">
        <f t="shared" si="96"/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AF219" s="88" t="str">
        <f t="shared" si="97"/>
        <v>"C:\Program Files (x86)\AstroGrep\AstroGrep.exe" /spath="%USERPROFILE%\AppData\Local\Temp\OnboardLogs" /stypes="app*4045*20161031*" /stext=" 00:.+((SYSTEM_STATE.+slice.+state.+changed )|(ment ac)|(system.+state.+changed )|(\[timeout)|(PRM\|1\|D)|(kpr)|(kdp)|(\|lc)|(penalty))" /e /r /s</v>
      </c>
      <c r="AG219" s="1" t="str">
        <f t="shared" si="98"/>
        <v>Other</v>
      </c>
      <c r="AH219" s="92" t="str">
        <f t="shared" si="99"/>
        <v>"%USERPROFILE%\Documents\GitHub\eaglep3\Utilities\RefineRTDCRunTimes.py" --tripid 74-30 --locoid 4045 --swversion DE.1.0.8.0 --startMP 204:233097 --initTime 2016-10-30T17:14:46 --startdatetime 2016-10-30T18:15:17 --delay 1 --endMP 204:1097 --enddatetime 2016-10-30T18:25:30 --enforcementcount 0 &gt;&gt;C:\Users\stu\Documents\GitHub\eaglep3-reporting\EC\2016-10-30-refined-times.txt</v>
      </c>
      <c r="AI219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{"issue":{"subject":"","project_id":79,"tracker_id":40,"status_id":1,"priority_id":2,"assigned_to_id":23,"start_date":"2016-10-30","description":"","custom_fields":[{"id":1,"name":"Subdivision","value":"Other"},{"id":4,"name":"Milepost","value":"0.1097"},{"id":17,"name":"Train ID","value":"74-30"},{"id":16,"name":"Locomotive ID","value":"4045"},{"id":130,"name":"Impact","value":""},{"id":150,"name":"Time of Event (Mountain Time)","value":"18:25:30"},{"id":151,"name":"Denver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421</v>
      </c>
      <c r="B220" s="7">
        <v>4010</v>
      </c>
      <c r="C220" s="22" t="s">
        <v>284</v>
      </c>
      <c r="D220" s="22" t="s">
        <v>757</v>
      </c>
      <c r="E220" s="13">
        <v>42673.74628472222</v>
      </c>
      <c r="F220" s="13">
        <v>42673.747118055559</v>
      </c>
      <c r="G220" s="7">
        <v>0</v>
      </c>
      <c r="H220" s="13" t="s">
        <v>758</v>
      </c>
      <c r="I220" s="13">
        <v>42673.756562499999</v>
      </c>
      <c r="J220" s="7">
        <v>0</v>
      </c>
      <c r="K220" s="112" t="str">
        <f t="shared" si="84"/>
        <v>4009/4010</v>
      </c>
      <c r="L220" s="22" t="str">
        <f>VLOOKUP(A220,'Trips&amp;Operators'!$C$1:$E$10000,3,FALSE)</f>
        <v>CHANDLER</v>
      </c>
      <c r="M220" s="6">
        <f t="shared" si="85"/>
        <v>9.444444440305233E-3</v>
      </c>
      <c r="N220" s="7">
        <f t="shared" si="86"/>
        <v>13.599999994039536</v>
      </c>
      <c r="O220" s="7"/>
      <c r="P220" s="7"/>
      <c r="Q220" s="23"/>
      <c r="R220" s="23"/>
      <c r="S220" s="35">
        <f t="shared" si="87"/>
        <v>0</v>
      </c>
      <c r="T220" s="50" t="e">
        <f t="shared" si="88"/>
        <v>#VALUE!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0" s="52" t="str">
        <f t="shared" si="90"/>
        <v>Y</v>
      </c>
      <c r="X220" s="177" t="e">
        <f t="shared" si="91"/>
        <v>#VALUE!</v>
      </c>
      <c r="Y220" s="67">
        <f t="shared" si="92"/>
        <v>2.3039999999999998</v>
      </c>
      <c r="Z220" s="67">
        <f t="shared" si="93"/>
        <v>0.1147</v>
      </c>
      <c r="AA220" s="67">
        <f t="shared" si="94"/>
        <v>2.1892999999999998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5"/>
        <v>76-30</v>
      </c>
      <c r="AE220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20" s="88" t="str">
        <f t="shared" si="97"/>
        <v>"C:\Program Files (x86)\AstroGrep\AstroGrep.exe" /spath="%USERPROFILE%\AppData\Local\Temp\OnboardLogs" /stypes="app*4010*20161031*" /stext=" 00:.+((SYSTEM_STATE.+slice.+state.+changed )|(ment ac)|(system.+state.+changed )|(\[timeout)|(PRM\|1\|D)|(kpr)|(kdp)|(\|lc)|(penalty))" /e /r /s</v>
      </c>
      <c r="AG220" s="1" t="str">
        <f t="shared" si="98"/>
        <v>Other</v>
      </c>
      <c r="AH220" s="92" t="str">
        <f t="shared" si="99"/>
        <v>"%USERPROFILE%\Documents\GitHub\eaglep3\Utilities\RefineRTDCRunTimes.py" --tripid 76-30 --locoid 4010 --swversion DE.1.0.8.0 --startMP 300:23040 --initTime 2016-10-30T17:54:39 --startdatetime 2016-10-30T17:55:51 --delay 0 --endMP 204:1147 --enddatetime 2016-10-30T18:09:27 --enforcementcount 0 &gt;&gt;C:\Users\stu\Documents\GitHub\eaglep3-reporting\EC\2016-10-30-refined-times.txt</v>
      </c>
      <c r="AI220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{"issue":{"subject":"","project_id":79,"tracker_id":40,"status_id":1,"priority_id":2,"assigned_to_id":23,"start_date":"2016-10-30","description":"","custom_fields":[{"id":1,"name":"Subdivision","value":"Other"},{"id":4,"name":"Milepost","value":"0.1147"},{"id":17,"name":"Train ID","value":"76-30"},{"id":16,"name":"Locomotive ID","value":"4010"},{"id":130,"name":"Impact","value":""},{"id":150,"name":"Time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421</v>
      </c>
      <c r="B221" s="7">
        <v>4010</v>
      </c>
      <c r="C221" s="22" t="s">
        <v>284</v>
      </c>
      <c r="D221" s="22" t="s">
        <v>759</v>
      </c>
      <c r="E221" s="13">
        <v>42673.743587962963</v>
      </c>
      <c r="F221" s="13">
        <v>42673.747118055559</v>
      </c>
      <c r="G221" s="7">
        <v>2</v>
      </c>
      <c r="H221" s="13" t="s">
        <v>760</v>
      </c>
      <c r="I221" s="13">
        <v>42673.756562499999</v>
      </c>
      <c r="J221" s="7">
        <v>0</v>
      </c>
      <c r="K221" s="112" t="str">
        <f t="shared" si="84"/>
        <v>4009/4010</v>
      </c>
      <c r="L221" s="22" t="str">
        <f>VLOOKUP(A221,'Trips&amp;Operators'!$C$1:$E$10000,3,FALSE)</f>
        <v>CHANDLER</v>
      </c>
      <c r="M221" s="6">
        <f t="shared" si="85"/>
        <v>9.444444440305233E-3</v>
      </c>
      <c r="N221" s="7">
        <f t="shared" si="86"/>
        <v>13.599999994039536</v>
      </c>
      <c r="O221" s="7"/>
      <c r="P221" s="7"/>
      <c r="Q221" s="23"/>
      <c r="R221" s="23"/>
      <c r="S221" s="35">
        <f t="shared" si="87"/>
        <v>0</v>
      </c>
      <c r="T221" s="50" t="e">
        <f t="shared" si="88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16:50:46-0600',mode:absolute,to:'2016-10-30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21" s="52" t="str">
        <f t="shared" si="90"/>
        <v>Y</v>
      </c>
      <c r="X221" s="177" t="e">
        <f t="shared" si="91"/>
        <v>#VALUE!</v>
      </c>
      <c r="Y221" s="67">
        <f t="shared" si="92"/>
        <v>2.4559000000000002</v>
      </c>
      <c r="Z221" s="67">
        <f t="shared" si="93"/>
        <v>2.4047999999999998</v>
      </c>
      <c r="AA221" s="67">
        <f t="shared" si="94"/>
        <v>5.1100000000000367E-2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5"/>
        <v>76-30</v>
      </c>
      <c r="AE221" s="91" t="str">
        <f t="shared" si="96"/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AF221" s="88" t="str">
        <f t="shared" si="97"/>
        <v>"C:\Program Files (x86)\AstroGrep\AstroGrep.exe" /spath="%USERPROFILE%\AppData\Local\Temp\OnboardLogs" /stypes="app*4010*20161031*" /stext=" 00:.+((SYSTEM_STATE.+slice.+state.+changed )|(ment ac)|(system.+state.+changed )|(\[timeout)|(PRM\|1\|D)|(kpr)|(kdp)|(\|lc)|(penalty))" /e /r /s</v>
      </c>
      <c r="AG221" s="1" t="str">
        <f t="shared" si="98"/>
        <v>Other</v>
      </c>
      <c r="AH221" s="92" t="str">
        <f t="shared" si="99"/>
        <v>"%USERPROFILE%\Documents\GitHub\eaglep3\Utilities\RefineRTDCRunTimes.py" --tripid 76-30 --locoid 4010 --swversion DE.1.0.8.0 --startMP 300:24559 --initTime 2016-10-30T17:50:46 --startdatetime 2016-10-30T17:55:51 --delay 2 --endMP 300:24048 --enddatetime 2016-10-30T18:09:27 --enforcementcount 0 &gt;&gt;C:\Users\stu\Documents\GitHub\eaglep3-reporting\EC\2016-10-30-refined-times.txt</v>
      </c>
      <c r="AI221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{"issue":{"subject":"","project_id":79,"tracker_id":40,"status_id":1,"priority_id":2,"assigned_to_id":23,"start_date":"2016-10-30","description":"","custom_fields":[{"id":1,"name":"Subdivision","value":"Other"},{"id":4,"name":"Milepost","value":"2.4048"},{"id":17,"name":"Train ID","value":"76-30"},{"id":16,"name":"Locomotive ID","value":"4010"},{"id":130,"name":"Impact","value":""},{"id":150,"name":"Time of Event (Mountain Time)","value":"18:09:27"},{"id":151,"name":"Denver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576</v>
      </c>
      <c r="B222" s="7">
        <v>4046</v>
      </c>
      <c r="C222" s="22" t="s">
        <v>284</v>
      </c>
      <c r="D222" s="22" t="s">
        <v>761</v>
      </c>
      <c r="E222" s="13">
        <v>42673.777395833335</v>
      </c>
      <c r="F222" s="13">
        <v>25568.708333333332</v>
      </c>
      <c r="G222" s="7">
        <v>1</v>
      </c>
      <c r="H222" s="13" t="s">
        <v>762</v>
      </c>
      <c r="I222" s="13">
        <v>25568.708333333332</v>
      </c>
      <c r="J222" s="7">
        <v>0</v>
      </c>
      <c r="K222" s="112" t="str">
        <f t="shared" si="84"/>
        <v>4045/4046</v>
      </c>
      <c r="L222" s="22" t="str">
        <f>VLOOKUP(A222,'Trips&amp;Operators'!$C$1:$E$10000,3,FALSE)</f>
        <v>BRUDER</v>
      </c>
      <c r="M222" s="6">
        <f t="shared" si="85"/>
        <v>0</v>
      </c>
      <c r="N222" s="7">
        <f t="shared" si="86"/>
        <v>0</v>
      </c>
      <c r="O222" s="7"/>
      <c r="P222" s="7"/>
      <c r="Q222" s="23"/>
      <c r="R222" s="23"/>
      <c r="S222" s="35">
        <f t="shared" si="87"/>
        <v>0</v>
      </c>
      <c r="T222" s="50" t="e">
        <f t="shared" si="88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17:39:27-0600',mode:absolute,to:'1969-12-31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2" s="52" t="str">
        <f t="shared" si="90"/>
        <v>Y</v>
      </c>
      <c r="X222" s="177" t="e">
        <f t="shared" si="91"/>
        <v>#VALUE!</v>
      </c>
      <c r="Y222" s="67">
        <f t="shared" si="92"/>
        <v>0.1138</v>
      </c>
      <c r="Z222" s="67">
        <f t="shared" si="93"/>
        <v>2.3296999999999999</v>
      </c>
      <c r="AA222" s="67">
        <f t="shared" si="94"/>
        <v>2.2159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5"/>
        <v>77-30</v>
      </c>
      <c r="AE222" s="91" t="str">
        <f t="shared" si="9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2" s="88" t="str">
        <f t="shared" si="97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2" s="1" t="str">
        <f t="shared" si="98"/>
        <v>Other</v>
      </c>
      <c r="AH222" s="92" t="str">
        <f t="shared" si="99"/>
        <v>"%USERPROFILE%\Documents\GitHub\eaglep3\Utilities\RefineRTDCRunTimes.py" --tripid 77-30 --locoid 4046 --swversion DE.1.0.8.0 --startMP 204:1138 --initTime 2016-10-30T18:39:27 --startdatetime 1969-12-31T17:00:00 --delay 1 --endMP 300:23297 --enddatetime 1969-12-31T17:00:00 --enforcementcount 0 &gt;&gt;C:\Users\stu\Documents\GitHub\eaglep3-reporting\EC\2016-10-30-refined-times.txt</v>
      </c>
      <c r="AI222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576</v>
      </c>
      <c r="B223" s="7">
        <v>4046</v>
      </c>
      <c r="C223" s="22" t="s">
        <v>284</v>
      </c>
      <c r="D223" s="22" t="s">
        <v>763</v>
      </c>
      <c r="E223" s="13">
        <v>42673.777395833335</v>
      </c>
      <c r="F223" s="13">
        <v>25568.708333333332</v>
      </c>
      <c r="G223" s="7">
        <v>25</v>
      </c>
      <c r="H223" s="13" t="s">
        <v>762</v>
      </c>
      <c r="I223" s="13">
        <v>25568.708333333332</v>
      </c>
      <c r="J223" s="7">
        <v>0</v>
      </c>
      <c r="K223" s="112" t="str">
        <f t="shared" si="84"/>
        <v>4045/4046</v>
      </c>
      <c r="L223" s="22" t="str">
        <f>VLOOKUP(A223,'Trips&amp;Operators'!$C$1:$E$10000,3,FALSE)</f>
        <v>BRUDER</v>
      </c>
      <c r="M223" s="6">
        <f t="shared" si="85"/>
        <v>0</v>
      </c>
      <c r="N223" s="7">
        <f t="shared" si="86"/>
        <v>0</v>
      </c>
      <c r="O223" s="7"/>
      <c r="P223" s="7"/>
      <c r="Q223" s="23"/>
      <c r="R223" s="23"/>
      <c r="S223" s="35">
        <f t="shared" si="87"/>
        <v>0</v>
      </c>
      <c r="T223" s="50" t="e">
        <f t="shared" si="88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17:39:27-0600',mode:absolute,to:'1969-12-31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3" s="52" t="str">
        <f t="shared" si="90"/>
        <v>Y</v>
      </c>
      <c r="X223" s="177" t="e">
        <f t="shared" si="91"/>
        <v>#VALUE!</v>
      </c>
      <c r="Y223" s="67">
        <f t="shared" si="92"/>
        <v>2.3273999999999999</v>
      </c>
      <c r="Z223" s="67">
        <f t="shared" si="93"/>
        <v>2.3296999999999999</v>
      </c>
      <c r="AA223" s="67">
        <f t="shared" si="94"/>
        <v>2.2999999999999687E-3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5"/>
        <v>77-30</v>
      </c>
      <c r="AE223" s="91" t="str">
        <f t="shared" si="9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3" s="88" t="str">
        <f t="shared" si="97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23" s="1" t="str">
        <f t="shared" si="98"/>
        <v>Other</v>
      </c>
      <c r="AH223" s="92" t="str">
        <f t="shared" si="99"/>
        <v>"%USERPROFILE%\Documents\GitHub\eaglep3\Utilities\RefineRTDCRunTimes.py" --tripid 77-30 --locoid 4046 --swversion DE.1.0.8.0 --startMP 300:23274 --initTime 2016-10-30T18:39:27 --startdatetime 1969-12-31T17:00:00 --delay 25 --endMP 300:23297 --enddatetime 1969-12-31T17:00:00 --enforcementcount 0 &gt;&gt;C:\Users\stu\Documents\GitHub\eaglep3-reporting\EC\2016-10-30-refined-times.txt</v>
      </c>
      <c r="AI223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593</v>
      </c>
      <c r="B224" s="7">
        <v>4003</v>
      </c>
      <c r="C224" s="22" t="s">
        <v>284</v>
      </c>
      <c r="D224" s="22" t="s">
        <v>764</v>
      </c>
      <c r="E224" s="13">
        <v>42673.847187500003</v>
      </c>
      <c r="F224" s="13">
        <v>25568.708333333332</v>
      </c>
      <c r="G224" s="7">
        <v>2</v>
      </c>
      <c r="H224" s="13" t="s">
        <v>375</v>
      </c>
      <c r="I224" s="13">
        <v>25568.708333333332</v>
      </c>
      <c r="J224" s="7">
        <v>0</v>
      </c>
      <c r="K224" s="112" t="str">
        <f t="shared" si="84"/>
        <v>4003/4004</v>
      </c>
      <c r="L224" s="22" t="str">
        <f>VLOOKUP(A224,'Trips&amp;Operators'!$C$1:$E$10000,3,FALSE)</f>
        <v>BERLING</v>
      </c>
      <c r="M224" s="6">
        <f t="shared" si="85"/>
        <v>0</v>
      </c>
      <c r="N224" s="7">
        <f t="shared" si="86"/>
        <v>0</v>
      </c>
      <c r="O224" s="7"/>
      <c r="P224" s="7"/>
      <c r="Q224" s="23"/>
      <c r="R224" s="23"/>
      <c r="S224" s="35">
        <f t="shared" si="87"/>
        <v>0</v>
      </c>
      <c r="T224" s="50" t="e">
        <f t="shared" si="88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19:19:57-0600',mode:absolute,to:'1969-12-31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4" s="52" t="str">
        <f t="shared" si="90"/>
        <v>Y</v>
      </c>
      <c r="X224" s="177" t="e">
        <f t="shared" si="91"/>
        <v>#VALUE!</v>
      </c>
      <c r="Y224" s="67">
        <f t="shared" si="92"/>
        <v>0.52380000000000004</v>
      </c>
      <c r="Z224" s="67">
        <f t="shared" si="93"/>
        <v>2.3306</v>
      </c>
      <c r="AA224" s="67">
        <f t="shared" si="94"/>
        <v>1.8068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5"/>
        <v>79-30</v>
      </c>
      <c r="AE224" s="91" t="str">
        <f t="shared" si="96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4" s="88" t="str">
        <f t="shared" si="97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24" s="1" t="str">
        <f t="shared" si="98"/>
        <v>Other</v>
      </c>
      <c r="AH224" s="92" t="str">
        <f t="shared" si="99"/>
        <v>"%USERPROFILE%\Documents\GitHub\eaglep3\Utilities\RefineRTDCRunTimes.py" --tripid 79-30 --locoid 4003 --swversion DE.1.0.8.0 --startMP 300:5238 --initTime 2016-10-30T20:19:57 --startdatetime 1969-12-31T17:00:00 --delay 2 --endMP 300:23306 --enddatetime 1969-12-31T17:00:00 --enforcementcount 0 &gt;&gt;C:\Users\stu\Documents\GitHub\eaglep3-reporting\EC\2016-10-30-refined-times.txt</v>
      </c>
      <c r="AI224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ID","value":"79-30"},{"id":16,"name":"Locomotive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423</v>
      </c>
      <c r="B225" s="7">
        <v>4001</v>
      </c>
      <c r="C225" s="22" t="s">
        <v>284</v>
      </c>
      <c r="D225" s="22" t="s">
        <v>363</v>
      </c>
      <c r="E225" s="13">
        <v>42673.819097222222</v>
      </c>
      <c r="F225" s="13">
        <v>42673.820787037039</v>
      </c>
      <c r="G225" s="7">
        <v>1</v>
      </c>
      <c r="H225" s="13" t="s">
        <v>241</v>
      </c>
      <c r="I225" s="13">
        <v>42673.848136574074</v>
      </c>
      <c r="J225" s="7">
        <v>0</v>
      </c>
      <c r="K225" s="112" t="str">
        <f t="shared" si="84"/>
        <v>4001/4002</v>
      </c>
      <c r="L225" s="22" t="str">
        <f>VLOOKUP(A225,'Trips&amp;Operators'!$C$1:$E$10000,3,FALSE)</f>
        <v>HAITHCOX</v>
      </c>
      <c r="M225" s="6">
        <f t="shared" si="85"/>
        <v>2.7349537034751847E-2</v>
      </c>
      <c r="N225" s="7">
        <f t="shared" si="86"/>
        <v>39.38333333004266</v>
      </c>
      <c r="O225" s="7"/>
      <c r="P225" s="7"/>
      <c r="Q225" s="23"/>
      <c r="R225" s="23"/>
      <c r="S225" s="35">
        <f t="shared" si="87"/>
        <v>0</v>
      </c>
      <c r="T225" s="50" t="e">
        <f t="shared" si="88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18:39:30-0600',mode:absolute,to:'2016-10-30 21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5" s="52" t="str">
        <f t="shared" si="90"/>
        <v>N</v>
      </c>
      <c r="X225" s="177" t="e">
        <f t="shared" si="91"/>
        <v>#VALUE!</v>
      </c>
      <c r="Y225" s="67">
        <f t="shared" si="92"/>
        <v>23.298400000000001</v>
      </c>
      <c r="Z225" s="67">
        <f t="shared" si="93"/>
        <v>1.5599999999999999E-2</v>
      </c>
      <c r="AA225" s="67">
        <f t="shared" si="94"/>
        <v>23.282800000000002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5"/>
        <v>80-30</v>
      </c>
      <c r="AE225" s="91" t="str">
        <f t="shared" si="96"/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AF225" s="88" t="str">
        <f t="shared" si="97"/>
        <v>"C:\Program Files (x86)\AstroGrep\AstroGrep.exe" /spath="%USERPROFILE%\AppData\Local\Temp\OnboardLogs" /stypes="app*4001*20161031*" /stext=" 02:.+((SYSTEM_STATE.+slice.+state.+changed )|(ment ac)|(system.+state.+changed )|(\[timeout)|(PRM\|1\|D)|(kpr)|(kdp)|(\|lc)|(penalty))" /e /r /s</v>
      </c>
      <c r="AG225" s="1" t="str">
        <f t="shared" si="98"/>
        <v>Other</v>
      </c>
      <c r="AH225" s="92" t="str">
        <f t="shared" si="99"/>
        <v>"%USERPROFILE%\Documents\GitHub\eaglep3\Utilities\RefineRTDCRunTimes.py" --tripid 80-30 --locoid 4001 --swversion DE.1.0.8.0 --startMP 204:232984 --initTime 2016-10-30T19:39:30 --startdatetime 2016-10-30T19:41:56 --delay 1 --endMP 204:156 --enddatetime 2016-10-30T20:21:19 --enforcementcount 0 &gt;&gt;C:\Users\stu\Documents\GitHub\eaglep3-reporting\EC\2016-10-30-refined-times.txt</v>
      </c>
      <c r="AI225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{"issue":{"subject":"","project_id":79,"tracker_id":40,"status_id":1,"priority_id":2,"assigned_to_id":23,"start_date":"2016-10-30","description":"","custom_fields":[{"id":1,"name":"Subdivision","value":"Other"},{"id":4,"name":"Milepost","value":"0.0156"},{"id":17,"name":"Train ID","value":"80-30"},{"id":16,"name":"Locomotive ID","value":"4001"},{"id":130,"name":"Impact","value":""},{"id":150,"name":"Time of Event (Mountain Time)","value":"20:21:19"},{"id":151,"name":"Denver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577</v>
      </c>
      <c r="B226" s="7">
        <v>4002</v>
      </c>
      <c r="C226" s="22" t="s">
        <v>284</v>
      </c>
      <c r="D226" s="22" t="s">
        <v>219</v>
      </c>
      <c r="E226" s="13">
        <v>42673.779537037037</v>
      </c>
      <c r="F226" s="13">
        <v>42673.781597222223</v>
      </c>
      <c r="G226" s="7">
        <v>1</v>
      </c>
      <c r="H226" s="13" t="s">
        <v>277</v>
      </c>
      <c r="I226" s="13">
        <v>42673.807037037041</v>
      </c>
      <c r="J226" s="7">
        <v>0</v>
      </c>
      <c r="K226" s="112" t="str">
        <f t="shared" si="84"/>
        <v>4001/4002</v>
      </c>
      <c r="L226" s="22" t="str">
        <f>VLOOKUP(A226,'Trips&amp;Operators'!$C$1:$E$10000,3,FALSE)</f>
        <v>HAITHCOX</v>
      </c>
      <c r="M226" s="6">
        <f t="shared" si="85"/>
        <v>2.5439814817218576E-2</v>
      </c>
      <c r="N226" s="7">
        <f t="shared" si="86"/>
        <v>36.633333336794749</v>
      </c>
      <c r="O226" s="7"/>
      <c r="P226" s="7"/>
      <c r="Q226" s="23"/>
      <c r="R226" s="23"/>
      <c r="S226" s="35">
        <f t="shared" si="87"/>
        <v>0</v>
      </c>
      <c r="T226" s="50" t="e">
        <f t="shared" si="88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17:42:32-0600',mode:absolute,to:'2016-10-30 20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6" s="52" t="str">
        <f t="shared" si="90"/>
        <v>N</v>
      </c>
      <c r="X226" s="177" t="e">
        <f t="shared" si="91"/>
        <v>#VALUE!</v>
      </c>
      <c r="Y226" s="67">
        <f t="shared" si="92"/>
        <v>4.5499999999999999E-2</v>
      </c>
      <c r="Z226" s="67">
        <f t="shared" si="93"/>
        <v>23.330500000000001</v>
      </c>
      <c r="AA226" s="67">
        <f t="shared" si="94"/>
        <v>23.285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5"/>
        <v>81-30</v>
      </c>
      <c r="AE226" s="91" t="str">
        <f t="shared" si="96"/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AF226" s="88" t="str">
        <f t="shared" si="97"/>
        <v>"C:\Program Files (x86)\AstroGrep\AstroGrep.exe" /spath="%USERPROFILE%\AppData\Local\Temp\OnboardLogs" /stypes="app*4002*20161031*" /stext=" 01:.+((SYSTEM_STATE.+slice.+state.+changed )|(ment ac)|(system.+state.+changed )|(\[timeout)|(PRM\|1\|D)|(kpr)|(kdp)|(\|lc)|(penalty))" /e /r /s</v>
      </c>
      <c r="AG226" s="1" t="str">
        <f t="shared" si="98"/>
        <v>Other</v>
      </c>
      <c r="AH226" s="92" t="str">
        <f t="shared" si="99"/>
        <v>"%USERPROFILE%\Documents\GitHub\eaglep3\Utilities\RefineRTDCRunTimes.py" --tripid 81-30 --locoid 4002 --swversion DE.1.0.8.0 --startMP 204:455 --initTime 2016-10-30T18:42:32 --startdatetime 2016-10-30T18:45:30 --delay 1 --endMP 204:233305 --enddatetime 2016-10-30T19:22:08 --enforcementcount 0 &gt;&gt;C:\Users\stu\Documents\GitHub\eaglep3-reporting\EC\2016-10-30-refined-times.txt</v>
      </c>
      <c r="AI226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{"issue":{"subject":"","project_id":79,"tracker_id":40,"status_id":1,"priority_id":2,"assigned_to_id":23,"start_date":"2016-10-30","description":"","custom_fields":[{"id":1,"name":"Subdivision","value":"Other"},{"id":4,"name":"Milepost","value":"23.3305"},{"id":17,"name":"Train ID","value":"81-30"},{"id":16,"name":"Locomotive ID","value":"4002"},{"id":130,"name":"Impact","value":""},{"id":150,"name":"Time of Event (Mountain Time)","value":"19:22:08"},{"id":151,"name":"Denver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426</v>
      </c>
      <c r="B227" s="7">
        <v>4015</v>
      </c>
      <c r="C227" s="22" t="s">
        <v>284</v>
      </c>
      <c r="D227" s="22" t="s">
        <v>238</v>
      </c>
      <c r="E227" s="13">
        <v>42673.833726851852</v>
      </c>
      <c r="F227" s="13">
        <v>42673.841284722221</v>
      </c>
      <c r="G227" s="7">
        <v>1</v>
      </c>
      <c r="H227" s="13" t="s">
        <v>765</v>
      </c>
      <c r="I227" s="13">
        <v>42673.868692129632</v>
      </c>
      <c r="J227" s="7">
        <v>0</v>
      </c>
      <c r="K227" s="112" t="str">
        <f t="shared" si="84"/>
        <v>4015/4016</v>
      </c>
      <c r="L227" s="22" t="str">
        <f>VLOOKUP(A227,'Trips&amp;Operators'!$C$1:$E$10000,3,FALSE)</f>
        <v>MAHAN</v>
      </c>
      <c r="M227" s="6">
        <f t="shared" si="85"/>
        <v>2.7407407411374152E-2</v>
      </c>
      <c r="N227" s="7">
        <f t="shared" si="86"/>
        <v>39.466666672378778</v>
      </c>
      <c r="O227" s="7"/>
      <c r="P227" s="7"/>
      <c r="Q227" s="23"/>
      <c r="R227" s="23"/>
      <c r="S227" s="35">
        <f t="shared" si="87"/>
        <v>0</v>
      </c>
      <c r="T227" s="50" t="e">
        <f t="shared" si="88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7" s="52" t="str">
        <f t="shared" si="90"/>
        <v>N</v>
      </c>
      <c r="X227" s="177" t="e">
        <f t="shared" si="91"/>
        <v>#VALUE!</v>
      </c>
      <c r="Y227" s="67">
        <f t="shared" si="92"/>
        <v>23.299399999999999</v>
      </c>
      <c r="Z227" s="67">
        <f t="shared" si="93"/>
        <v>8.7499999999999994E-2</v>
      </c>
      <c r="AA227" s="67">
        <f t="shared" si="94"/>
        <v>23.2119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5"/>
        <v>82-30</v>
      </c>
      <c r="AE227" s="91" t="str">
        <f t="shared" si="96"/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AF227" s="88" t="str">
        <f t="shared" si="97"/>
        <v>"C:\Program Files (x86)\AstroGrep\AstroGrep.exe" /spath="%USERPROFILE%\AppData\Local\Temp\OnboardLogs" /stypes="app*4015*20161031*" /stext=" 02:.+((SYSTEM_STATE.+slice.+state.+changed )|(ment ac)|(system.+state.+changed )|(\[timeout)|(PRM\|1\|D)|(kpr)|(kdp)|(\|lc)|(penalty))" /e /r /s</v>
      </c>
      <c r="AG227" s="1" t="str">
        <f t="shared" si="98"/>
        <v>Other</v>
      </c>
      <c r="AH227" s="92" t="str">
        <f t="shared" si="99"/>
        <v>"%USERPROFILE%\Documents\GitHub\eaglep3\Utilities\RefineRTDCRunTimes.py" --tripid 82-30 --locoid 4015 --swversion DE.1.0.8.0 --startMP 204:232994 --initTime 2016-10-30T20:00:34 --startdatetime 2016-10-30T20:11:27 --delay 1 --endMP 204:875 --enddatetime 2016-10-30T20:50:55 --enforcementcount 0 &gt;&gt;C:\Users\stu\Documents\GitHub\eaglep3-reporting\EC\2016-10-30-refined-times.txt</v>
      </c>
      <c r="AI227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{"issue":{"subject":"","project_id":79,"tracker_id":40,"status_id":1,"priority_id":2,"assigned_to_id":23,"start_date":"2016-10-30","description":"","custom_fields":[{"id":1,"name":"Subdivision","value":"Other"},{"id":4,"name":"Milepost","value":"0.0875"},{"id":17,"name":"Train ID","value":"82-30"},{"id":16,"name":"Locomotive ID","value":"4015"},{"id":130,"name":"Impact","value":""},{"id":150,"name":"Time of Event (Mountain Time)","value":"20:50:55"},{"id":151,"name":"Denver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583</v>
      </c>
      <c r="B228" s="7">
        <v>4016</v>
      </c>
      <c r="C228" s="22" t="s">
        <v>284</v>
      </c>
      <c r="D228" s="22" t="s">
        <v>766</v>
      </c>
      <c r="E228" s="13">
        <v>42673.799421296295</v>
      </c>
      <c r="F228" s="13">
        <v>42673.802557870367</v>
      </c>
      <c r="G228" s="7">
        <v>2</v>
      </c>
      <c r="H228" s="13" t="s">
        <v>659</v>
      </c>
      <c r="I228" s="13">
        <v>42673.828738425924</v>
      </c>
      <c r="J228" s="7">
        <v>0</v>
      </c>
      <c r="K228" s="112" t="str">
        <f t="shared" si="84"/>
        <v>4015/4016</v>
      </c>
      <c r="L228" s="22" t="str">
        <f>VLOOKUP(A228,'Trips&amp;Operators'!$C$1:$E$10000,3,FALSE)</f>
        <v>MAHAN</v>
      </c>
      <c r="M228" s="6">
        <f t="shared" si="85"/>
        <v>2.6180555556493346E-2</v>
      </c>
      <c r="N228" s="7">
        <f t="shared" si="86"/>
        <v>37.700000001350418</v>
      </c>
      <c r="O228" s="7"/>
      <c r="P228" s="7"/>
      <c r="Q228" s="23"/>
      <c r="R228" s="23"/>
      <c r="S228" s="35">
        <f t="shared" si="87"/>
        <v>0</v>
      </c>
      <c r="T228" s="50" t="e">
        <f t="shared" si="88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18:11:10-0600',mode:absolute,to:'2016-10-30 20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8" s="52" t="str">
        <f t="shared" si="90"/>
        <v>N</v>
      </c>
      <c r="X228" s="177" t="e">
        <f t="shared" si="91"/>
        <v>#VALUE!</v>
      </c>
      <c r="Y228" s="67">
        <f t="shared" si="92"/>
        <v>4.7800000000000002E-2</v>
      </c>
      <c r="Z228" s="67">
        <f t="shared" si="93"/>
        <v>23.331600000000002</v>
      </c>
      <c r="AA228" s="67">
        <f t="shared" si="94"/>
        <v>23.283800000000003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5"/>
        <v>83-30</v>
      </c>
      <c r="AE228" s="91" t="str">
        <f t="shared" si="96"/>
        <v>aws s3 cp s3://rtdc.mdm.uploadarchive.raw/RTDC4016/ "%USERPROFILE%\AppData\Local\Temp\OnboardLogs"\RTDC4016\2016-10-30 --exclude "*" --recursive --include "*20161030*" &amp; "%USERPROFILE%\Documents\GitHub\mrs-test-scripts\Headless Mode &amp; Sideloading\WalkAndUnGZ.bat" "%USERPROFILE%\AppData\Local\Temp\OnboardLogs"\RTDC4016\2016-10-30 &amp; aws s3 cp s3://rtdc.mdm.uploadarchive.raw/RTDC4016/ "%USERPROFILE%\AppData\Local\Temp\OnboardLogs"\RTDC4016\2016-10-31 --exclude "*" --recursive --include "*20161031*" &amp; "%USERPROFILE%\Documents\GitHub\mrs-test-scripts\Headless Mode &amp; Sideloading\WalkAndUnGZ.bat" "%USERPROFILE%\AppData\Local\Temp\OnboardLogs"\RTDC4016\2016-10-31</v>
      </c>
      <c r="AF228" s="88" t="str">
        <f t="shared" si="97"/>
        <v>"C:\Program Files (x86)\AstroGrep\AstroGrep.exe" /spath="%USERPROFILE%\AppData\Local\Temp\OnboardLogs" /stypes="app*4016*20161031*" /stext=" 01:.+((SYSTEM_STATE.+slice.+state.+changed )|(ment ac)|(system.+state.+changed )|(\[timeout)|(PRM\|1\|D)|(kpr)|(kdp)|(\|lc)|(penalty))" /e /r /s</v>
      </c>
      <c r="AG228" s="1" t="str">
        <f t="shared" si="98"/>
        <v>Other</v>
      </c>
      <c r="AH228" s="92" t="str">
        <f t="shared" si="99"/>
        <v>"%USERPROFILE%\Documents\GitHub\eaglep3\Utilities\RefineRTDCRunTimes.py" --tripid 83-30 --locoid 4016 --swversion DE.1.0.8.0 --startMP 204:478 --initTime 2016-10-30T19:11:10 --startdatetime 2016-10-30T19:15:41 --delay 2 --endMP 204:233316 --enddatetime 2016-10-30T19:53:23 --enforcementcount 0 &gt;&gt;C:\Users\stu\Documents\GitHub\eaglep3-reporting\EC\2016-10-30-refined-times.txt</v>
      </c>
      <c r="AI228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{"issue":{"subject":"","project_id":79,"tracker_id":40,"status_id":1,"priority_id":2,"assigned_to_id":23,"start_date":"2016-10-30","description":"","custom_fields":[{"id":1,"name":"Subdivision","value":"Other"},{"id":4,"name":"Milepost","value":"23.3316"},{"id":17,"name":"Train ID","value":"83-30"},{"id":16,"name":"Locomotive ID","value":"4016"},{"id":130,"name":"Impact","value":""},{"id":150,"name":"Time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596</v>
      </c>
      <c r="B229" s="7">
        <v>4026</v>
      </c>
      <c r="C229" s="22" t="s">
        <v>284</v>
      </c>
      <c r="D229" s="22" t="s">
        <v>280</v>
      </c>
      <c r="E229" s="13">
        <v>42673.857256944444</v>
      </c>
      <c r="F229" s="13">
        <v>42673.862291666665</v>
      </c>
      <c r="G229" s="7">
        <v>3</v>
      </c>
      <c r="H229" s="13" t="s">
        <v>369</v>
      </c>
      <c r="I229" s="13">
        <v>42673.888749999998</v>
      </c>
      <c r="J229" s="7">
        <v>0</v>
      </c>
      <c r="K229" s="112" t="str">
        <f t="shared" si="84"/>
        <v>4025/4026</v>
      </c>
      <c r="L229" s="22" t="str">
        <f>VLOOKUP(A229,'Trips&amp;Operators'!$C$1:$E$10000,3,FALSE)</f>
        <v>SMITH</v>
      </c>
      <c r="M229" s="6">
        <f t="shared" si="85"/>
        <v>2.6458333333721384E-2</v>
      </c>
      <c r="N229" s="7">
        <f t="shared" si="86"/>
        <v>38.100000000558794</v>
      </c>
      <c r="O229" s="7"/>
      <c r="P229" s="7"/>
      <c r="Q229" s="23"/>
      <c r="R229" s="23"/>
      <c r="S229" s="35">
        <f t="shared" si="87"/>
        <v>0</v>
      </c>
      <c r="T229" s="50" t="e">
        <f t="shared" si="88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19:34:27-0600',mode:absolute,to:'2016-10-30 22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9" s="52" t="str">
        <f t="shared" si="90"/>
        <v>N</v>
      </c>
      <c r="X229" s="177" t="e">
        <f t="shared" si="91"/>
        <v>#VALUE!</v>
      </c>
      <c r="Y229" s="67">
        <f t="shared" si="92"/>
        <v>23.296299999999999</v>
      </c>
      <c r="Z229" s="67">
        <f t="shared" si="93"/>
        <v>1.2699999999999999E-2</v>
      </c>
      <c r="AA229" s="67">
        <f t="shared" si="94"/>
        <v>23.2836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5"/>
        <v>84-30</v>
      </c>
      <c r="AE229" s="91" t="str">
        <f t="shared" si="96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229" s="88" t="str">
        <f t="shared" si="97"/>
        <v>"C:\Program Files (x86)\AstroGrep\AstroGrep.exe" /spath="%USERPROFILE%\AppData\Local\Temp\OnboardLogs" /stypes="app*4026*20161031*" /stext=" 03:.+((SYSTEM_STATE.+slice.+state.+changed )|(ment ac)|(system.+state.+changed )|(\[timeout)|(PRM\|1\|D)|(kpr)|(kdp)|(\|lc)|(penalty))" /e /r /s</v>
      </c>
      <c r="AG229" s="1" t="str">
        <f t="shared" si="98"/>
        <v>Other</v>
      </c>
      <c r="AH229" s="92" t="str">
        <f t="shared" si="99"/>
        <v>"%USERPROFILE%\Documents\GitHub\eaglep3\Utilities\RefineRTDCRunTimes.py" --tripid 84-30 --locoid 4026 --swversion DE.1.0.8.0 --startMP 204:232963 --initTime 2016-10-30T20:34:27 --startdatetime 2016-10-30T20:41:42 --delay 3 --endMP 204:127 --enddatetime 2016-10-30T21:19:48 --enforcementcount 0 &gt;&gt;C:\Users\stu\Documents\GitHub\eaglep3-reporting\EC\2016-10-30-refined-times.txt</v>
      </c>
      <c r="AI229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{"issue":{"subject":"","project_id":79,"tracker_id":40,"status_id":1,"priority_id":2,"assigned_to_id":23,"start_date":"2016-10-30","description":"","custom_fields":[{"id":1,"name":"Subdivision","value":"Other"},{"id":4,"name":"Milepost","value":"0.0127"},{"id":17,"name":"Train ID","value":"84-30"},{"id":16,"name":"Locomotive ID","value":"4026"},{"id":130,"name":"Impact","value":""},{"id":150,"name":"Time of Event (Mountain Time)","value":"21:19:48"},{"id":151,"name":"Denver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596</v>
      </c>
      <c r="B230" s="7">
        <v>4026</v>
      </c>
      <c r="C230" s="22" t="s">
        <v>284</v>
      </c>
      <c r="D230" s="22" t="s">
        <v>280</v>
      </c>
      <c r="E230" s="13">
        <v>42673.858761574076</v>
      </c>
      <c r="F230" s="13">
        <v>42673.862291666665</v>
      </c>
      <c r="G230" s="7">
        <v>1</v>
      </c>
      <c r="H230" s="13" t="s">
        <v>369</v>
      </c>
      <c r="I230" s="13">
        <v>42673.888749999998</v>
      </c>
      <c r="J230" s="7">
        <v>0</v>
      </c>
      <c r="K230" s="112" t="str">
        <f t="shared" si="84"/>
        <v>4025/4026</v>
      </c>
      <c r="L230" s="22" t="str">
        <f>VLOOKUP(A230,'Trips&amp;Operators'!$C$1:$E$10000,3,FALSE)</f>
        <v>SMITH</v>
      </c>
      <c r="M230" s="6">
        <f t="shared" si="85"/>
        <v>2.6458333333721384E-2</v>
      </c>
      <c r="N230" s="7">
        <f t="shared" si="86"/>
        <v>38.100000000558794</v>
      </c>
      <c r="O230" s="7"/>
      <c r="P230" s="7"/>
      <c r="Q230" s="23"/>
      <c r="R230" s="23"/>
      <c r="S230" s="35">
        <f t="shared" si="87"/>
        <v>0</v>
      </c>
      <c r="T230" s="50" t="e">
        <f t="shared" si="88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19:36:37-0600',mode:absolute,to:'2016-10-30 22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30" s="52" t="str">
        <f t="shared" si="90"/>
        <v>N</v>
      </c>
      <c r="X230" s="177" t="e">
        <f t="shared" si="91"/>
        <v>#VALUE!</v>
      </c>
      <c r="Y230" s="67">
        <f t="shared" si="92"/>
        <v>23.296299999999999</v>
      </c>
      <c r="Z230" s="67">
        <f t="shared" si="93"/>
        <v>1.2699999999999999E-2</v>
      </c>
      <c r="AA230" s="67">
        <f t="shared" si="94"/>
        <v>23.2836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5"/>
        <v>84-30</v>
      </c>
      <c r="AE230" s="91" t="str">
        <f t="shared" si="96"/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AF230" s="88" t="str">
        <f t="shared" si="97"/>
        <v>"C:\Program Files (x86)\AstroGrep\AstroGrep.exe" /spath="%USERPROFILE%\AppData\Local\Temp\OnboardLogs" /stypes="app*4026*20161031*" /stext=" 03:.+((SYSTEM_STATE.+slice.+state.+changed )|(ment ac)|(system.+state.+changed )|(\[timeout)|(PRM\|1\|D)|(kpr)|(kdp)|(\|lc)|(penalty))" /e /r /s</v>
      </c>
      <c r="AG230" s="1" t="str">
        <f t="shared" si="98"/>
        <v>Other</v>
      </c>
      <c r="AH230" s="92" t="str">
        <f t="shared" si="99"/>
        <v>"%USERPROFILE%\Documents\GitHub\eaglep3\Utilities\RefineRTDCRunTimes.py" --tripid 84-30 --locoid 4026 --swversion DE.1.0.8.0 --startMP 204:232963 --initTime 2016-10-30T20:36:37 --startdatetime 2016-10-30T20:41:42 --delay 1 --endMP 204:127 --enddatetime 2016-10-30T21:19:48 --enforcementcount 0 &gt;&gt;C:\Users\stu\Documents\GitHub\eaglep3-reporting\EC\2016-10-30-refined-times.txt</v>
      </c>
      <c r="AI230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{"issue":{"subject":"","project_id":79,"tracker_id":40,"status_id":1,"priority_id":2,"assigned_to_id":23,"start_date":"2016-10-30","description":"","custom_fields":[{"id":1,"name":"Subdivision","value":"Other"},{"id":4,"name":"Milepost","value":"0.0127"},{"id":17,"name":"Train ID","value":"84-30"},{"id":16,"name":"Locomotive ID","value":"4026"},{"id":130,"name":"Impact","value":""},{"id":150,"name":"Time of Event (Mountain Time)","value":"21:19:48"},{"id":151,"name":"Denver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587</v>
      </c>
      <c r="B231" s="7">
        <v>4025</v>
      </c>
      <c r="C231" s="22" t="s">
        <v>284</v>
      </c>
      <c r="D231" s="22" t="s">
        <v>225</v>
      </c>
      <c r="E231" s="13">
        <v>42673.818668981483</v>
      </c>
      <c r="F231" s="13">
        <v>42673.823321759257</v>
      </c>
      <c r="G231" s="7">
        <v>1</v>
      </c>
      <c r="H231" s="13" t="s">
        <v>258</v>
      </c>
      <c r="I231" s="13">
        <v>42673.849270833336</v>
      </c>
      <c r="J231" s="7">
        <v>0</v>
      </c>
      <c r="K231" s="112" t="str">
        <f t="shared" si="84"/>
        <v>4025/4026</v>
      </c>
      <c r="L231" s="22" t="str">
        <f>VLOOKUP(A231,'Trips&amp;Operators'!$C$1:$E$10000,3,FALSE)</f>
        <v>SMITH</v>
      </c>
      <c r="M231" s="6">
        <f t="shared" si="85"/>
        <v>2.5949074079107959E-2</v>
      </c>
      <c r="N231" s="7">
        <f t="shared" si="86"/>
        <v>37.366666673915461</v>
      </c>
      <c r="O231" s="7"/>
      <c r="P231" s="7"/>
      <c r="Q231" s="23"/>
      <c r="R231" s="23"/>
      <c r="S231" s="35">
        <f t="shared" si="87"/>
        <v>0</v>
      </c>
      <c r="T231" s="50" t="e">
        <f t="shared" si="88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18:38:53-0600',mode:absolute,to:'2016-10-30 21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1" s="52" t="str">
        <f t="shared" si="90"/>
        <v>N</v>
      </c>
      <c r="X231" s="177" t="e">
        <f t="shared" si="91"/>
        <v>#VALUE!</v>
      </c>
      <c r="Y231" s="67">
        <f t="shared" si="92"/>
        <v>4.6899999999999997E-2</v>
      </c>
      <c r="Z231" s="67">
        <f t="shared" si="93"/>
        <v>23.3291</v>
      </c>
      <c r="AA231" s="67">
        <f t="shared" si="94"/>
        <v>23.2822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5"/>
        <v>85-30</v>
      </c>
      <c r="AE231" s="91" t="str">
        <f t="shared" si="96"/>
        <v>aws s3 cp s3://rtdc.mdm.uploadarchive.raw/RTDC4025/ "%USERPROFILE%\AppData\Local\Temp\OnboardLogs"\RTDC4025\2016-10-30 --exclude "*" --recursive --include "*20161030*" &amp; "%USERPROFILE%\Documents\GitHub\mrs-test-scripts\Headless Mode &amp; Sideloading\WalkAndUnGZ.bat" "%USERPROFILE%\AppData\Local\Temp\OnboardLogs"\RTDC4025\2016-10-30 &amp; aws s3 cp s3://rtdc.mdm.uploadarchive.raw/RTDC4025/ "%USERPROFILE%\AppData\Local\Temp\OnboardLogs"\RTDC4025\2016-10-31 --exclude "*" --recursive --include "*20161031*" &amp; "%USERPROFILE%\Documents\GitHub\mrs-test-scripts\Headless Mode &amp; Sideloading\WalkAndUnGZ.bat" "%USERPROFILE%\AppData\Local\Temp\OnboardLogs"\RTDC4025\2016-10-31</v>
      </c>
      <c r="AF231" s="88" t="str">
        <f t="shared" si="97"/>
        <v>"C:\Program Files (x86)\AstroGrep\AstroGrep.exe" /spath="%USERPROFILE%\AppData\Local\Temp\OnboardLogs" /stypes="app*4025*20161031*" /stext=" 02:.+((SYSTEM_STATE.+slice.+state.+changed )|(ment ac)|(system.+state.+changed )|(\[timeout)|(PRM\|1\|D)|(kpr)|(kdp)|(\|lc)|(penalty))" /e /r /s</v>
      </c>
      <c r="AG231" s="1" t="str">
        <f t="shared" si="98"/>
        <v>Other</v>
      </c>
      <c r="AH231" s="92" t="str">
        <f t="shared" si="99"/>
        <v>"%USERPROFILE%\Documents\GitHub\eaglep3\Utilities\RefineRTDCRunTimes.py" --tripid 85-30 --locoid 4025 --swversion DE.1.0.8.0 --startMP 204:469 --initTime 2016-10-30T19:38:53 --startdatetime 2016-10-30T19:45:35 --delay 1 --endMP 204:233291 --enddatetime 2016-10-30T20:22:57 --enforcementcount 0 &gt;&gt;C:\Users\stu\Documents\GitHub\eaglep3-reporting\EC\2016-10-30-refined-times.txt</v>
      </c>
      <c r="AI231" s="122" t="str">
        <f t="shared" si="100"/>
        <v>echo {"issue":{"subject":"","project_id":79,"tracker_id":40,"status_id":1,"priority_id":2,"assigned_to_id":23,"start_date":"2016-10-30","description":"","custom_fields":[{"id":1,"name":"Subdivision","value":"Other"},{"id":4,"name":"Milepost","value":"23.3291"},{"id":17,"name":"Train ID","value":"85-30"},{"id":16,"name":"Locomotive ID","value":"4025"},{"id":130,"name":"Impact","value":""},{"id":150,"name":"Time of Event (Mountain Time)","value":"20:22:57"},{"id":151,"name":"Denver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594</v>
      </c>
      <c r="B232" s="7">
        <v>4002</v>
      </c>
      <c r="C232" s="22" t="s">
        <v>284</v>
      </c>
      <c r="D232" s="22" t="s">
        <v>216</v>
      </c>
      <c r="E232" s="13">
        <v>42673.851226851853</v>
      </c>
      <c r="F232" s="13">
        <v>25568.708333333332</v>
      </c>
      <c r="G232" s="7">
        <v>1</v>
      </c>
      <c r="H232" s="13" t="s">
        <v>333</v>
      </c>
      <c r="I232" s="13">
        <v>25568.708333333332</v>
      </c>
      <c r="J232" s="7">
        <v>0</v>
      </c>
      <c r="K232" s="112" t="str">
        <f t="shared" si="84"/>
        <v>4001/4002</v>
      </c>
      <c r="L232" s="22" t="str">
        <f>VLOOKUP(A232,'Trips&amp;Operators'!$C$1:$E$10000,3,FALSE)</f>
        <v>HAITHCOX</v>
      </c>
      <c r="M232" s="6">
        <f t="shared" si="85"/>
        <v>0</v>
      </c>
      <c r="N232" s="7">
        <f t="shared" si="86"/>
        <v>0</v>
      </c>
      <c r="O232" s="7"/>
      <c r="P232" s="7"/>
      <c r="Q232" s="23"/>
      <c r="R232" s="23"/>
      <c r="S232" s="35">
        <f t="shared" si="87"/>
        <v>0</v>
      </c>
      <c r="T232" s="50" t="e">
        <f t="shared" si="88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9"/>
        <v>https://search-rtdc-monitor-bjffxe2xuh6vdkpspy63sjmuny.us-east-1.es.amazonaws.com/_plugin/kibana/#/discover/Steve-Slow-Train-Analysis-(2080s-and-2083s)?_g=(refreshInterval:(display:Off,section:0,value:0),time:(from:'2016-10-30 19:25:46-0600',mode:absolute,to:'1969-12-31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2" s="52" t="str">
        <f t="shared" si="90"/>
        <v>Y</v>
      </c>
      <c r="X232" s="177" t="e">
        <f t="shared" si="91"/>
        <v>#VALUE!</v>
      </c>
      <c r="Y232" s="67">
        <f t="shared" si="92"/>
        <v>4.4699999999999997E-2</v>
      </c>
      <c r="Z232" s="67">
        <f t="shared" si="93"/>
        <v>2.3300999999999998</v>
      </c>
      <c r="AA232" s="67">
        <f t="shared" si="94"/>
        <v>2.2853999999999997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5"/>
        <v>87-30</v>
      </c>
      <c r="AE232" s="91" t="str">
        <f t="shared" si="9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32" s="88" t="str">
        <f t="shared" si="9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32" s="1" t="str">
        <f t="shared" si="98"/>
        <v>Other</v>
      </c>
      <c r="AH232" s="92" t="str">
        <f t="shared" si="99"/>
        <v>"%USERPROFILE%\Documents\GitHub\eaglep3\Utilities\RefineRTDCRunTimes.py" --tripid 87-30 --locoid 4002 --swversion DE.1.0.8.0 --startMP 204:447 --initTime 2016-10-30T20:25:46 --startdatetime 1969-12-31T17:00:00 --delay 1 --endMP 300:23301 --enddatetime 1969-12-31T17:00:00 --enforcementcount 0 &gt;&gt;C:\Users\stu\Documents\GitHub\eaglep3-reporting\EC\2016-10-30-refined-times.txt</v>
      </c>
      <c r="AI232" s="122" t="str">
        <f t="shared" si="100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ID","value":"87-30"},{"id":16,"name":"Locomotive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</sheetData>
  <autoFilter ref="A12:AG274">
    <sortState ref="A13:AG277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32">
    <cfRule type="cellIs" dxfId="8" priority="344" operator="equal">
      <formula>"Y"</formula>
    </cfRule>
  </conditionalFormatting>
  <conditionalFormatting sqref="X275:X1048576 X13:X232">
    <cfRule type="cellIs" dxfId="7" priority="327" operator="greaterThan">
      <formula>1</formula>
    </cfRule>
  </conditionalFormatting>
  <conditionalFormatting sqref="X275:X1048576 X12:X232">
    <cfRule type="cellIs" dxfId="6" priority="324" operator="equal">
      <formula>0</formula>
    </cfRule>
  </conditionalFormatting>
  <conditionalFormatting sqref="A13:S232">
    <cfRule type="expression" dxfId="5" priority="318" stopIfTrue="1">
      <formula>$P13&gt;0</formula>
    </cfRule>
    <cfRule type="expression" dxfId="4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Values'!$C$2:$C$14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0"/>
  <sheetViews>
    <sheetView tabSelected="1" topLeftCell="A2" workbookViewId="0">
      <selection activeCell="A8" sqref="A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0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41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- 2016-10-30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42673.421099537038</v>
      </c>
      <c r="B7" s="31" t="s">
        <v>402</v>
      </c>
      <c r="C7" s="31" t="s">
        <v>403</v>
      </c>
      <c r="D7" s="31" t="s">
        <v>49</v>
      </c>
      <c r="E7" s="31" t="s">
        <v>154</v>
      </c>
      <c r="F7" s="47">
        <v>460</v>
      </c>
      <c r="G7" s="47">
        <v>538</v>
      </c>
      <c r="H7" s="47">
        <v>54245</v>
      </c>
      <c r="I7" s="47">
        <v>52772</v>
      </c>
      <c r="J7" s="31" t="s">
        <v>153</v>
      </c>
      <c r="K7" s="47">
        <v>53277</v>
      </c>
      <c r="L7" s="157" t="s">
        <v>51</v>
      </c>
      <c r="M7" s="158">
        <f t="shared" ref="M7:M47" si="0">CONVERT((I7-K7)/10000,"mi","ft")*IF(L7="Increasing Mileposts (1)",-1,1)</f>
        <v>-266.64</v>
      </c>
      <c r="N7" s="159" t="str">
        <f>VLOOKUP(C7,'Trips&amp;Operators'!$C$1:$E$99999,3,FALSE)</f>
        <v>KILLION</v>
      </c>
      <c r="O7" s="184" t="s">
        <v>227</v>
      </c>
      <c r="P7" s="160" t="s">
        <v>789</v>
      </c>
      <c r="Q7" s="31"/>
      <c r="R7" s="100" t="str">
        <f>VLOOKUP(C7,'Train Runs'!$A$13:$AE$10018,31,0)</f>
        <v>aws s3 cp s3://rtdc.mdm.uploadarchive.raw/RTDC4045/ "%USERPROFILE%\AppData\Local\Temp\OnboardLogs"\RTDC4045\2016-10-30 --exclude "*" --recursive --include "*20161030*" &amp; "%USERPROFILE%\Documents\GitHub\mrs-test-scripts\Headless Mode &amp; Sideloading\WalkAndUnGZ.bat" "%USERPROFILE%\AppData\Local\Temp\OnboardLogs"\RTDC4045\2016-10-30 &amp; aws s3 cp s3://rtdc.mdm.uploadarchive.raw/RTDC4045/ "%USERPROFILE%\AppData\Local\Temp\OnboardLogs"\RTDC4045\2016-10-31 --exclude "*" --recursive --include "*20161031*" &amp; "%USERPROFILE%\Documents\GitHub\mrs-test-scripts\Headless Mode &amp; Sideloading\WalkAndUnGZ.bat" "%USERPROFILE%\AppData\Local\Temp\OnboardLogs"\RTDC4045\2016-10-31</v>
      </c>
      <c r="S7" s="103" t="str">
        <f>VLOOKUP(C7,'Train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08:27:33-0600',mode:absolute,to:'2016-10-30 11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7" s="105" t="str">
        <f t="shared" ref="T7:T4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/stypes="*4045*201610301*" /stext=" 16:.+((SYSTEM_STATE.+slice.+state.+changed )|(ment ac)|(system.+state.+changed )|(\[timeout)|(PRM\|1\|D)|(kpr)|(kdp)|(\|lc)|(penalty))" /e /r /s</v>
      </c>
      <c r="U7" s="9" t="str">
        <f t="shared" ref="U7:U47" si="2">MID(B7,13,4)</f>
        <v>4045</v>
      </c>
      <c r="V7" s="36">
        <f t="shared" ref="V7:V47" si="3">A7+6/24</f>
        <v>42673.671099537038</v>
      </c>
      <c r="W7" s="50" t="str">
        <f t="shared" ref="W7:W47" si="4">IF(VALUE(LEFT(IF(LEN(C7)=6,"0"&amp;C7,C7),2))&lt;=2,"EC",IF(OR(VALUE(LEFT(IF(LEN(C7)=6,"0"&amp;C7,C7),2))=8,VALUE(LEFT(IF(LEN(C7)=6,"0"&amp;C7,C7),2))=18),"NW","Other"))</f>
        <v>EC</v>
      </c>
      <c r="X7" s="50" t="str">
        <f t="shared" ref="X7:X47" si="5">IF(AND(E7="TRACK WARRANT AUTHORITY",G7&lt;10),"OMIT","KEEP")</f>
        <v>KEEP</v>
      </c>
      <c r="Y7" s="122" t="str">
        <f t="shared" ref="Y7:Y4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 - hard acceleration @ MP 5.7729 (CP QUEBEC)","project_id":79,"tracker_id":40,"status_id":1,"priority_id":2,"assigned_to_id":23,"start_date":"2016-10-30","description":"","custom_fields":[{"id":1,"name":"Subdivision","value":"EC"},{"id":4,"name":"Milepost","value":"5.3277"},{"id":17,"name":"Train ID","value":"142-30"},{"id":16,"name":"Locomotive ID","value":"4045"},{"id":130,"name":"Impact","value":""},{"id":150,"name":"Time of Event (Mountain Time)","value":"10:06:23"},{"id":151,"name":"Denver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7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"%USERPROFILE%\AppData\Local\Temp\OnboardLogs"\RTDC4045\*4045*201610301* | grep -SE "((Enforcement Ac)|(PRM))" -</v>
      </c>
    </row>
    <row r="8" spans="1:29" s="1" customFormat="1" x14ac:dyDescent="0.25">
      <c r="A8" s="36">
        <v>42674.055219907408</v>
      </c>
      <c r="B8" s="31" t="s">
        <v>257</v>
      </c>
      <c r="C8" s="31" t="s">
        <v>427</v>
      </c>
      <c r="D8" s="31" t="s">
        <v>49</v>
      </c>
      <c r="E8" s="31" t="s">
        <v>154</v>
      </c>
      <c r="F8" s="47">
        <v>210</v>
      </c>
      <c r="G8" s="47">
        <v>262</v>
      </c>
      <c r="H8" s="47">
        <v>63583</v>
      </c>
      <c r="I8" s="47">
        <v>63188</v>
      </c>
      <c r="J8" s="31" t="s">
        <v>153</v>
      </c>
      <c r="K8" s="47">
        <v>63309</v>
      </c>
      <c r="L8" s="157" t="s">
        <v>51</v>
      </c>
      <c r="M8" s="158">
        <f t="shared" si="0"/>
        <v>-63.887999999999998</v>
      </c>
      <c r="N8" s="159" t="str">
        <f>VLOOKUP(C8,'Trips&amp;Operators'!$C$1:$E$99999,3,FALSE)</f>
        <v>NEWELL</v>
      </c>
      <c r="O8" s="184" t="s">
        <v>227</v>
      </c>
      <c r="P8" s="160" t="s">
        <v>790</v>
      </c>
      <c r="Q8" s="31"/>
      <c r="R8" s="100" t="str">
        <f>VLOOKUP(C8,'Train Runs'!$A$13:$AE$10018,31,0)</f>
        <v>aws s3 cp s3://rtdc.mdm.uploadarchive.raw/RTDC4037/ "%USERPROFILE%\AppData\Local\Temp\OnboardLogs"\RTDC4037\2016-10-31 --exclude "*" --recursive --include "*20161031*" &amp; "%USERPROFILE%\Documents\GitHub\mrs-test-scripts\Headless Mode &amp; Sideloading\WalkAndUnGZ.bat" "%USERPROFILE%\AppData\Local\Temp\OnboardLogs"\RTDC4037\2016-10-31 &amp; 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</v>
      </c>
      <c r="S8" s="103" t="str">
        <f>VLOOKUP(C8,'Train Runs'!$A$13:$AE$10018,22,0)</f>
        <v>https://search-rtdc-monitor-bjffxe2xuh6vdkpspy63sjmuny.us-east-1.es.amazonaws.com/_plugin/kibana/#/discover/Steve-Slow-Train-Analysis-(2080s-and-2083s)?_g=(refreshInterval:(display:Off,section:0,value:0),time:(from:'2016-10-30 23:48:17-0600',mode:absolute,to:'2016-10-31 02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8" s="105" t="str">
        <f t="shared" si="1"/>
        <v>"C:\Program Files (x86)\AstroGrep\AstroGrep.exe" /spath="%USERPROFILE%\AppData\Local\Temp\OnboardLogs" /stypes="*4037*201610310*" /stext=" 07:.+((SYSTEM_STATE.+slice.+state.+changed )|(ment ac)|(system.+state.+changed )|(\[timeout)|(PRM\|1\|D)|(kpr)|(kdp)|(\|lc)|(penalty))" /e /r /s</v>
      </c>
      <c r="U8" s="9" t="str">
        <f t="shared" si="2"/>
        <v>4037</v>
      </c>
      <c r="V8" s="36">
        <f t="shared" si="3"/>
        <v>42674.305219907408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 - by 1 second, accelerated just a bit too hard? Left station a bit too soon (was there for 32 sec)?","project_id":79,"tracker_id":40,"status_id":1,"priority_id":2,"assigned_to_id":23,"start_date":"2016-10-31","description":"","custom_fields":[{"id":1,"name":"Subdivision","value":"EC"},{"id":4,"name":"Milepost","value":"6.3309"},{"id":17,"name":"Train ID","value":"242-30"},{"id":16,"name":"Locomotive ID","value":"4037"},{"id":130,"name":"Impact","value":""},{"id":150,"name":"Time of Event (Mountain Time)","value":"01:19:31"},{"id":151,"name":"Denver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"%USERPROFILE%\AppData\Local\Temp\OnboardLogs"\RTDC4037\*4037*201610310* | grep -SE "((Enforcement Ac)|(PRM))" -</v>
      </c>
    </row>
    <row r="9" spans="1:29" s="1" customFormat="1" x14ac:dyDescent="0.25">
      <c r="A9" s="36">
        <v>42673.419409722221</v>
      </c>
      <c r="B9" s="31" t="s">
        <v>266</v>
      </c>
      <c r="C9" s="31" t="s">
        <v>401</v>
      </c>
      <c r="D9" s="31" t="s">
        <v>49</v>
      </c>
      <c r="E9" s="31" t="s">
        <v>228</v>
      </c>
      <c r="F9" s="47">
        <v>400</v>
      </c>
      <c r="G9" s="47">
        <v>575</v>
      </c>
      <c r="H9" s="47">
        <v>13987</v>
      </c>
      <c r="I9" s="47">
        <v>17464</v>
      </c>
      <c r="J9" s="31" t="s">
        <v>229</v>
      </c>
      <c r="K9" s="47">
        <v>17867</v>
      </c>
      <c r="L9" s="157" t="s">
        <v>50</v>
      </c>
      <c r="M9" s="158">
        <f t="shared" si="0"/>
        <v>212.78399999999999</v>
      </c>
      <c r="N9" s="159" t="str">
        <f>VLOOKUP(C9,'Trips&amp;Operators'!$C$1:$E$99999,3,FALSE)</f>
        <v>MALAVE</v>
      </c>
      <c r="O9" s="184" t="s">
        <v>227</v>
      </c>
      <c r="P9" s="160"/>
      <c r="Q9" s="31"/>
      <c r="R9" s="100" t="str">
        <f>VLOOKUP(C9,'Train Runs'!$A$13:$AE$10018,31,0)</f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S9" s="103" t="str">
        <f>VLOOKUP(C9,'Train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08:57:20-0600',mode:absolute,to:'2016-10-30 12:34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9" s="105" t="str">
        <f t="shared" si="1"/>
        <v>"C:\Program Files (x86)\AstroGrep\AstroGrep.exe" /spath="%USERPROFILE%\AppData\Local\Temp\OnboardLogs" /stypes="*4002*201610301*" /stext=" 16:.+((SYSTEM_STATE.+slice.+state.+changed )|(ment ac)|(system.+state.+changed )|(\[timeout)|(PRM\|1\|D)|(kpr)|(kdp)|(\|lc)|(penalty))" /e /r /s</v>
      </c>
      <c r="U9" s="9" t="str">
        <f t="shared" si="2"/>
        <v>4002</v>
      </c>
      <c r="V9" s="36">
        <f t="shared" si="3"/>
        <v>42673.669409722221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{"issue":{"subject":"","project_id":79,"tracker_id":40,"status_id":1,"priority_id":2,"assigned_to_id":23,"start_date":"2016-10-30","description":"","custom_fields":[{"id":1,"name":"Subdivision","value":"EC"},{"id":4,"name":"Milepost","value":"1.7867"},{"id":17,"name":"Train ID","value":"151-30"},{"id":16,"name":"Locomotive ID","value":"4002"},{"id":130,"name":"Impact","value":""},{"id":150,"name":"Time of Event (Mountain Time)","value":"10:03:57"},{"id":151,"name":"Denver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"%USERPROFILE%\AppData\Local\Temp\OnboardLogs"\RTDC4002\*4002*201610301* | grep -SE "((Enforcement Ac)|(PRM))" -</v>
      </c>
    </row>
    <row r="10" spans="1:29" s="1" customFormat="1" x14ac:dyDescent="0.25">
      <c r="A10" s="36">
        <v>42673.404745370368</v>
      </c>
      <c r="B10" s="31" t="s">
        <v>267</v>
      </c>
      <c r="C10" s="31" t="s">
        <v>399</v>
      </c>
      <c r="D10" s="31" t="s">
        <v>49</v>
      </c>
      <c r="E10" s="31" t="s">
        <v>228</v>
      </c>
      <c r="F10" s="47">
        <v>300</v>
      </c>
      <c r="G10" s="47">
        <v>459</v>
      </c>
      <c r="H10" s="47">
        <v>23604</v>
      </c>
      <c r="I10" s="47">
        <v>22351</v>
      </c>
      <c r="J10" s="31" t="s">
        <v>229</v>
      </c>
      <c r="K10" s="47">
        <v>21848</v>
      </c>
      <c r="L10" s="157" t="s">
        <v>51</v>
      </c>
      <c r="M10" s="158">
        <f t="shared" si="0"/>
        <v>265.584</v>
      </c>
      <c r="N10" s="159" t="str">
        <f>VLOOKUP(C10,'Trips&amp;Operators'!$C$1:$E$99999,3,FALSE)</f>
        <v>MALAVE</v>
      </c>
      <c r="O10" s="184" t="s">
        <v>227</v>
      </c>
      <c r="P10" s="160"/>
      <c r="Q10" s="31"/>
      <c r="R10" s="100" t="str">
        <f>VLOOKUP(C10,'Train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10" s="103" t="str">
        <f>VLOOKUP(C10,'Train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08:07:01-0600',mode:absolute,to:'2016-10-30 10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5" t="str">
        <f t="shared" si="1"/>
        <v>"C:\Program Files (x86)\AstroGrep\AstroGrep.exe" /spath="%USERPROFILE%\AppData\Local\Temp\OnboardLogs" /stypes="*4001*201610301*" /stext=" 15:.+((SYSTEM_STATE.+slice.+state.+changed )|(ment ac)|(system.+state.+changed )|(\[timeout)|(PRM\|1\|D)|(kpr)|(kdp)|(\|lc)|(penalty))" /e /r /s</v>
      </c>
      <c r="U10" s="9" t="str">
        <f t="shared" si="2"/>
        <v>4001</v>
      </c>
      <c r="V10" s="36">
        <f t="shared" si="3"/>
        <v>42673.654745370368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{"issue":{"subject":"","project_id":79,"tracker_id":40,"status_id":1,"priority_id":2,"assigned_to_id":23,"start_date":"2016-10-30","description":"","custom_fields":[{"id":1,"name":"Subdivision","value":"EC"},{"id":4,"name":"Milepost","value":"2.1848"},{"id":17,"name":"Train ID","value":"138-30"},{"id":16,"name":"Locomotive ID","value":"4001"},{"id":130,"name":"Impact","value":""},{"id":150,"name":"Time of Event (Mountain Time)","value":"09:42:50"},{"id":151,"name":"Denver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"%USERPROFILE%\AppData\Local\Temp\OnboardLogs"\RTDC4001\*4001*201610301* | grep -SE "((Enforcement Ac)|(PRM))" -</v>
      </c>
    </row>
    <row r="11" spans="1:29" s="1" customFormat="1" x14ac:dyDescent="0.25">
      <c r="A11" s="36">
        <v>42673.319710648146</v>
      </c>
      <c r="B11" s="31" t="s">
        <v>341</v>
      </c>
      <c r="C11" s="31" t="s">
        <v>396</v>
      </c>
      <c r="D11" s="31" t="s">
        <v>49</v>
      </c>
      <c r="E11" s="31" t="s">
        <v>228</v>
      </c>
      <c r="F11" s="47">
        <v>400</v>
      </c>
      <c r="G11" s="47">
        <v>519</v>
      </c>
      <c r="H11" s="47">
        <v>115570</v>
      </c>
      <c r="I11" s="47">
        <v>117285</v>
      </c>
      <c r="J11" s="31" t="s">
        <v>229</v>
      </c>
      <c r="K11" s="47">
        <v>116838</v>
      </c>
      <c r="L11" s="157" t="s">
        <v>50</v>
      </c>
      <c r="M11" s="158">
        <f t="shared" si="0"/>
        <v>-236.01599999999999</v>
      </c>
      <c r="N11" s="159" t="str">
        <f>VLOOKUP(C11,'Trips&amp;Operators'!$C$1:$E$99999,3,FALSE)</f>
        <v>ROCHA</v>
      </c>
      <c r="O11" s="184" t="s">
        <v>227</v>
      </c>
      <c r="P11" s="160"/>
      <c r="Q11" s="31"/>
      <c r="R11" s="100" t="str">
        <f>VLOOKUP(C11,'Train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1" s="103" t="str">
        <f>VLOOKUP(C11,'Train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1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1" s="9" t="str">
        <f t="shared" si="2"/>
        <v>4006</v>
      </c>
      <c r="V11" s="36">
        <f t="shared" si="3"/>
        <v>42673.569710648146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{"issue":{"subject":"","project_id":79,"tracker_id":40,"status_id":1,"priority_id":2,"assigned_to_id":23,"start_date":"2016-10-30","description":"","custom_fields":[{"id":1,"name":"Subdivision","value":"EC"},{"id":4,"name":"Milepost","value":"11.6838"},{"id":17,"name":"Train ID","value":"129-30"},{"id":16,"name":"Locomotive ID","value":"4006"},{"id":130,"name":"Impact","value":""},{"id":150,"name":"Time of Event (Mountain Time)","value":"07:40:23"},{"id":151,"name":"Denver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"%USERPROFILE%\AppData\Local\Temp\OnboardLogs"\RTDC4006\*4006*201610301* | grep -SE "((Enforcement Ac)|(PRM))" -</v>
      </c>
    </row>
    <row r="12" spans="1:29" s="1" customFormat="1" x14ac:dyDescent="0.25">
      <c r="A12" s="36">
        <v>42673.427175925928</v>
      </c>
      <c r="B12" s="31" t="s">
        <v>305</v>
      </c>
      <c r="C12" s="31" t="s">
        <v>404</v>
      </c>
      <c r="D12" s="31" t="s">
        <v>98</v>
      </c>
      <c r="E12" s="31" t="s">
        <v>228</v>
      </c>
      <c r="F12" s="47">
        <v>600</v>
      </c>
      <c r="G12" s="47">
        <v>651</v>
      </c>
      <c r="H12" s="47">
        <v>186359</v>
      </c>
      <c r="I12" s="47">
        <v>189486</v>
      </c>
      <c r="J12" s="31" t="s">
        <v>229</v>
      </c>
      <c r="K12" s="47">
        <v>183829</v>
      </c>
      <c r="L12" s="157" t="s">
        <v>50</v>
      </c>
      <c r="M12" s="158">
        <f t="shared" si="0"/>
        <v>-2986.8960000000002</v>
      </c>
      <c r="N12" s="159" t="str">
        <f>VLOOKUP(C12,'Trips&amp;Operators'!$C$1:$E$99999,3,FALSE)</f>
        <v>DAVIS</v>
      </c>
      <c r="O12" s="184" t="s">
        <v>227</v>
      </c>
      <c r="P12" s="160"/>
      <c r="Q12" s="31"/>
      <c r="R12" s="100" t="str">
        <f>VLOOKUP(C12,'Train Runs'!$A$13:$AE$10018,31,0)</f>
        <v>aws s3 cp s3://rtdc.mdm.uploadarchive.raw/RTDC4027/ "%USERPROFILE%\AppData\Local\Temp\OnboardLogs"\RTDC4027\2016-10-30 --exclude "*" --recursive --include "*20161030*" &amp; "%USERPROFILE%\Documents\GitHub\mrs-test-scripts\Headless Mode &amp; Sideloading\WalkAndUnGZ.bat" "%USERPROFILE%\AppData\Local\Temp\OnboardLogs"\RTDC4027\2016-10-30 &amp; aws s3 cp s3://rtdc.mdm.uploadarchive.raw/RTDC4027/ "%USERPROFILE%\AppData\Local\Temp\OnboardLogs"\RTDC4027\2016-10-31 --exclude "*" --recursive --include "*20161031*" &amp; "%USERPROFILE%\Documents\GitHub\mrs-test-scripts\Headless Mode &amp; Sideloading\WalkAndUnGZ.bat" "%USERPROFILE%\AppData\Local\Temp\OnboardLogs"\RTDC4027\2016-10-31</v>
      </c>
      <c r="S12" s="103" t="str">
        <f>VLOOKUP(C12,'Train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08:37:12-0600',mode:absolute,to:'2016-10-30 11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2" s="105" t="str">
        <f t="shared" si="1"/>
        <v>"C:\Program Files (x86)\AstroGrep\AstroGrep.exe" /spath="%USERPROFILE%\AppData\Local\Temp\OnboardLogs" /stypes="*4027*201610301*" /stext=" 16:.+((SYSTEM_STATE.+slice.+state.+changed )|(ment ac)|(system.+state.+changed )|(\[timeout)|(PRM\|1\|D)|(kpr)|(kdp)|(\|lc)|(penalty))" /e /r /s</v>
      </c>
      <c r="U12" s="9" t="str">
        <f t="shared" si="2"/>
        <v>4027</v>
      </c>
      <c r="V12" s="36">
        <f t="shared" si="3"/>
        <v>42673.677175925928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{"issue":{"subject":"","project_id":79,"tracker_id":40,"status_id":1,"priority_id":2,"assigned_to_id":23,"start_date":"2016-10-30","description":"","custom_fields":[{"id":1,"name":"Subdivision","value":"EC"},{"id":4,"name":"Milepost","value":"18.3829"},{"id":17,"name":"Train ID","value":"149-30"},{"id":16,"name":"Locomotive ID","value":"4027"},{"id":130,"name":"Impact","value":""},{"id":150,"name":"Time of Event (Mountain Time)","value":"10:15:08"},{"id":151,"name":"Denver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"%USERPROFILE%\AppData\Local\Temp\OnboardLogs"\RTDC4027\*4027*201610301* | grep -SE "((Enforcement Ac)|(PRM))" -</v>
      </c>
    </row>
    <row r="13" spans="1:29" s="1" customFormat="1" x14ac:dyDescent="0.25">
      <c r="A13" s="36">
        <v>42673.327094907407</v>
      </c>
      <c r="B13" s="31" t="s">
        <v>341</v>
      </c>
      <c r="C13" s="31" t="s">
        <v>396</v>
      </c>
      <c r="D13" s="31" t="s">
        <v>98</v>
      </c>
      <c r="E13" s="31" t="s">
        <v>228</v>
      </c>
      <c r="F13" s="47">
        <v>750</v>
      </c>
      <c r="G13" s="47">
        <v>801</v>
      </c>
      <c r="H13" s="47">
        <v>197259</v>
      </c>
      <c r="I13" s="47">
        <v>200867</v>
      </c>
      <c r="J13" s="31" t="s">
        <v>229</v>
      </c>
      <c r="K13" s="47">
        <v>195049</v>
      </c>
      <c r="L13" s="157" t="s">
        <v>50</v>
      </c>
      <c r="M13" s="158">
        <f t="shared" si="0"/>
        <v>-3071.904</v>
      </c>
      <c r="N13" s="159" t="str">
        <f>VLOOKUP(C13,'Trips&amp;Operators'!$C$1:$E$99999,3,FALSE)</f>
        <v>ROCHA</v>
      </c>
      <c r="O13" s="184" t="s">
        <v>227</v>
      </c>
      <c r="P13" s="160"/>
      <c r="Q13" s="31"/>
      <c r="R13" s="100" t="str">
        <f>VLOOKUP(C13,'Train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3" s="103" t="str">
        <f>VLOOKUP(C13,'Train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42673.577094907407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{"issue":{"subject":"","project_id":79,"tracker_id":40,"status_id":1,"priority_id":2,"assigned_to_id":23,"start_date":"2016-10-30","description":"","custom_fields":[{"id":1,"name":"Subdivision","value":"EC"},{"id":4,"name":"Milepost","value":"19.5049"},{"id":17,"name":"Train ID","value":"129-30"},{"id":16,"name":"Locomotive ID","value":"4006"},{"id":130,"name":"Impact","value":""},{"id":150,"name":"Time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"%USERPROFILE%\AppData\Local\Temp\OnboardLogs"\RTDC4006\*4006*201610301* | grep -SE "((Enforcement Ac)|(PRM))" -</v>
      </c>
    </row>
    <row r="14" spans="1:29" s="1" customFormat="1" x14ac:dyDescent="0.25">
      <c r="A14" s="36">
        <v>42673.330081018517</v>
      </c>
      <c r="B14" s="31" t="s">
        <v>341</v>
      </c>
      <c r="C14" s="31" t="s">
        <v>396</v>
      </c>
      <c r="D14" s="31" t="s">
        <v>98</v>
      </c>
      <c r="E14" s="31" t="s">
        <v>228</v>
      </c>
      <c r="F14" s="47">
        <v>350</v>
      </c>
      <c r="G14" s="47">
        <v>405</v>
      </c>
      <c r="H14" s="47">
        <v>227657</v>
      </c>
      <c r="I14" s="47">
        <v>229055</v>
      </c>
      <c r="J14" s="31" t="s">
        <v>229</v>
      </c>
      <c r="K14" s="47">
        <v>224578</v>
      </c>
      <c r="L14" s="157" t="s">
        <v>50</v>
      </c>
      <c r="M14" s="158">
        <f t="shared" si="0"/>
        <v>-2363.8560000000002</v>
      </c>
      <c r="N14" s="159" t="str">
        <f>VLOOKUP(C14,'Trips&amp;Operators'!$C$1:$E$99999,3,FALSE)</f>
        <v>ROCHA</v>
      </c>
      <c r="O14" s="184" t="s">
        <v>227</v>
      </c>
      <c r="P14" s="160"/>
      <c r="Q14" s="31"/>
      <c r="R14" s="100" t="str">
        <f>VLOOKUP(C14,'Train Runs'!$A$13:$AE$10018,31,0)</f>
        <v>aws s3 cp s3://rtdc.mdm.uploadarchive.raw/RTDC4006/ "%USERPROFILE%\AppData\Local\Temp\OnboardLogs"\RTDC4006\2016-10-30 --exclude "*" --recursive --include "*20161030*" &amp; "%USERPROFILE%\Documents\GitHub\mrs-test-scripts\Headless Mode &amp; Sideloading\WalkAndUnGZ.bat" "%USERPROFILE%\AppData\Local\Temp\OnboardLogs"\RTDC4006\2016-10-30 &amp; aws s3 cp s3://rtdc.mdm.uploadarchive.raw/RTDC4006/ "%USERPROFILE%\AppData\Local\Temp\OnboardLogs"\RTDC4006\2016-10-31 --exclude "*" --recursive --include "*20161031*" &amp; "%USERPROFILE%\Documents\GitHub\mrs-test-scripts\Headless Mode &amp; Sideloading\WalkAndUnGZ.bat" "%USERPROFILE%\AppData\Local\Temp\OnboardLogs"\RTDC4006\2016-10-31</v>
      </c>
      <c r="S14" s="103" t="str">
        <f>VLOOKUP(C14,'Train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06:12:19-0600',mode:absolute,to:'2016-10-30 08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/stypes="*4006*201610301*" /stext=" 13:.+((SYSTEM_STATE.+slice.+state.+changed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42673.580081018517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{"issue":{"subject":"","project_id":79,"tracker_id":40,"status_id":1,"priority_id":2,"assigned_to_id":23,"start_date":"2016-10-30","description":"","custom_fields":[{"id":1,"name":"Subdivision","value":"EC"},{"id":4,"name":"Milepost","value":"22.4578"},{"id":17,"name":"Train ID","value":"129-30"},{"id":16,"name":"Locomotive ID","value":"4006"},{"id":130,"name":"Impact","value":""},{"id":150,"name":"Time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"%USERPROFILE%\AppData\Local\Temp\OnboardLogs"\RTDC4006\*4006*201610301* | grep -SE "((Enforcement Ac)|(PRM))" -</v>
      </c>
    </row>
    <row r="15" spans="1:29" s="1" customFormat="1" x14ac:dyDescent="0.25">
      <c r="A15" s="36">
        <v>42673.367418981485</v>
      </c>
      <c r="B15" s="31" t="s">
        <v>266</v>
      </c>
      <c r="C15" s="31" t="s">
        <v>397</v>
      </c>
      <c r="D15" s="31" t="s">
        <v>98</v>
      </c>
      <c r="E15" s="31" t="s">
        <v>228</v>
      </c>
      <c r="F15" s="47">
        <v>350</v>
      </c>
      <c r="G15" s="47">
        <v>400</v>
      </c>
      <c r="H15" s="47">
        <v>229202</v>
      </c>
      <c r="I15" s="47">
        <v>230494</v>
      </c>
      <c r="J15" s="31" t="s">
        <v>229</v>
      </c>
      <c r="K15" s="47">
        <v>224578</v>
      </c>
      <c r="L15" s="157" t="s">
        <v>50</v>
      </c>
      <c r="M15" s="158">
        <f t="shared" si="0"/>
        <v>-3123.6480000000001</v>
      </c>
      <c r="N15" s="159" t="str">
        <f>VLOOKUP(C15,'Trips&amp;Operators'!$C$1:$E$99999,3,FALSE)</f>
        <v>MALAVE</v>
      </c>
      <c r="O15" s="184" t="s">
        <v>227</v>
      </c>
      <c r="P15" s="160"/>
      <c r="Q15" s="31"/>
      <c r="R15" s="100" t="str">
        <f>VLOOKUP(C15,'Train Runs'!$A$13:$AE$10018,31,0)</f>
        <v>aws s3 cp s3://rtdc.mdm.uploadarchive.raw/RTDC4002/ "%USERPROFILE%\AppData\Local\Temp\OnboardLogs"\RTDC4002\2016-10-30 --exclude "*" --recursive --include "*20161030*" &amp; "%USERPROFILE%\Documents\GitHub\mrs-test-scripts\Headless Mode &amp; Sideloading\WalkAndUnGZ.bat" "%USERPROFILE%\AppData\Local\Temp\OnboardLogs"\RTDC4002\2016-10-30 &amp; aws s3 cp s3://rtdc.mdm.uploadarchive.raw/RTDC4002/ "%USERPROFILE%\AppData\Local\Temp\OnboardLogs"\RTDC4002\2016-10-31 --exclude "*" --recursive --include "*20161031*" &amp; "%USERPROFILE%\Documents\GitHub\mrs-test-scripts\Headless Mode &amp; Sideloading\WalkAndUnGZ.bat" "%USERPROFILE%\AppData\Local\Temp\OnboardLogs"\RTDC4002\2016-10-31</v>
      </c>
      <c r="S15" s="103" t="str">
        <f>VLOOKUP(C15,'Train Runs'!$A$13:$AE$10018,22,0)</f>
        <v>https://search-rtdc-monitor-bjffxe2xuh6vdkpspy63sjmuny.us-east-1.es.amazonaws.com/_plugin/kibana/#/discover/Steve-Slow-Train-Analysis-(2080s-and-2083s)?_g=(refreshInterval:(display:Off,section:0,value:0),time:(from:'2016-10-30 07:12:47-0600',mode:absolute,to:'2016-10-30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5" s="105" t="str">
        <f t="shared" si="1"/>
        <v>"C:\Program Files (x86)\AstroGrep\AstroGrep.exe" /spath="%USERPROFILE%\AppData\Local\Temp\OnboardLogs" /stypes="*4002*201610301*" /stext=" 14:.+((SYSTEM_STATE.+slice.+state.+changed )|(ment ac)|(system.+state.+changed )|(\[timeout)|(PRM\|1\|D)|(kpr)|(kdp)|(\|lc)|(penalty))" /e /r /s</v>
      </c>
      <c r="U15" s="9" t="str">
        <f t="shared" si="2"/>
        <v>4002</v>
      </c>
      <c r="V15" s="36">
        <f t="shared" si="3"/>
        <v>42673.617418981485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{"issue":{"subject":"","project_id":79,"tracker_id":40,"status_id":1,"priority_id":2,"assigned_to_id":23,"start_date":"2016-10-30","description":"","custom_fields":[{"id":1,"name":"Subdivision","value":"EC"},{"id":4,"name":"Milepost","value":"22.4578"},{"id":17,"name":"Train ID","value":"137-30"},{"id":16,"name":"Locomotive ID","value":"4002"},{"id":130,"name":"Impact","value":""},{"id":150,"name":"Time of Event (Mountain Time)","value":"08:49:05"},{"id":151,"name":"Denver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"%USERPROFILE%\AppData\Local\Temp\OnboardLogs"\RTDC4002\*4002*201610301* | grep -SE "((Enforcement Ac)|(PRM))" -</v>
      </c>
    </row>
    <row r="16" spans="1:29" s="1" customFormat="1" x14ac:dyDescent="0.25">
      <c r="A16" s="36">
        <v>42673.308807870373</v>
      </c>
      <c r="B16" s="31" t="s">
        <v>235</v>
      </c>
      <c r="C16" s="31" t="s">
        <v>395</v>
      </c>
      <c r="D16" s="31" t="s">
        <v>49</v>
      </c>
      <c r="E16" s="31" t="s">
        <v>231</v>
      </c>
      <c r="F16" s="47">
        <v>0</v>
      </c>
      <c r="G16" s="47">
        <v>353</v>
      </c>
      <c r="H16" s="47">
        <v>129614</v>
      </c>
      <c r="I16" s="47">
        <v>128621</v>
      </c>
      <c r="J16" s="31" t="s">
        <v>232</v>
      </c>
      <c r="K16" s="47">
        <v>127587</v>
      </c>
      <c r="L16" s="157" t="s">
        <v>51</v>
      </c>
      <c r="M16" s="158">
        <f t="shared" si="0"/>
        <v>545.952</v>
      </c>
      <c r="N16" s="159" t="str">
        <f>VLOOKUP(C16,'Trips&amp;Operators'!$C$1:$E$99999,3,FALSE)</f>
        <v>DAVIS</v>
      </c>
      <c r="O16" s="184" t="s">
        <v>227</v>
      </c>
      <c r="P16" s="160" t="s">
        <v>786</v>
      </c>
      <c r="Q16" s="31"/>
      <c r="R16" s="100" t="str">
        <f>VLOOKUP(C16,'Train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16" s="103" t="str">
        <f>VLOOKUP(C16,'Train Runs'!$A$13:$AE$10018,22,0)</f>
        <v>https://search-rtdc-monitor-bjffxe2xuh6vdkpspy63sjmuny.us-east-1.es.amazonaws.com/_plugin/kibana/#/discover/Steve-Slow-Train-Analysis-(2080s-and-2083s)?_g=(refreshInterval:(display:Off,section:0,value:0),time:(from:'2016-10-30 06:02:58-0600',mode:absolute,to:'2016-10-30 08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5" t="str">
        <f t="shared" si="1"/>
        <v>"C:\Program Files (x86)\AstroGrep\AstroGrep.exe" /spath="%USERPROFILE%\AppData\Local\Temp\OnboardLogs" /stypes="*4028*201610301*" /stext=" 13:.+((SYSTEM_STATE.+slice.+state.+changed )|(ment ac)|(system.+state.+changed )|(\[timeout)|(PRM\|1\|D)|(kpr)|(kdp)|(\|lc)|(penalty))" /e /r /s</v>
      </c>
      <c r="U16" s="9" t="str">
        <f t="shared" si="2"/>
        <v>4028</v>
      </c>
      <c r="V16" s="36">
        <f t="shared" si="3"/>
        <v>42673.558807870373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{"issue":{"subject":"40th 4S STOP, cleared afterward","project_id":79,"tracker_id":40,"status_id":1,"priority_id":2,"assigned_to_id":23,"start_date":"2016-10-30","description":"","custom_fields":[{"id":1,"name":"Subdivision","value":"EC"},{"id":4,"name":"Milepost","value":"12.7587"},{"id":17,"name":"Train ID","value":"122-30"},{"id":16,"name":"Locomotive ID","value":"4028"},{"id":130,"name":"Impact","value":""},{"id":150,"name":"Time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"%USERPROFILE%\AppData\Local\Temp\OnboardLogs"\RTDC4028\*4028*201610301* | grep -SE "((Enforcement Ac)|(PRM))" -</v>
      </c>
    </row>
    <row r="17" spans="1:30" s="1" customFormat="1" x14ac:dyDescent="0.25">
      <c r="A17" s="36">
        <v>42673.746990740743</v>
      </c>
      <c r="B17" s="31" t="s">
        <v>235</v>
      </c>
      <c r="C17" s="31" t="s">
        <v>422</v>
      </c>
      <c r="D17" s="31" t="s">
        <v>49</v>
      </c>
      <c r="E17" s="31" t="s">
        <v>231</v>
      </c>
      <c r="F17" s="47">
        <v>0</v>
      </c>
      <c r="G17" s="47">
        <v>351</v>
      </c>
      <c r="H17" s="47">
        <v>129026</v>
      </c>
      <c r="I17" s="47">
        <v>128256</v>
      </c>
      <c r="J17" s="31" t="s">
        <v>232</v>
      </c>
      <c r="K17" s="47">
        <v>127587</v>
      </c>
      <c r="L17" s="157" t="s">
        <v>51</v>
      </c>
      <c r="M17" s="158">
        <f t="shared" si="0"/>
        <v>353.23200000000003</v>
      </c>
      <c r="N17" s="159" t="str">
        <f>VLOOKUP(C17,'Trips&amp;Operators'!$C$1:$E$99999,3,FALSE)</f>
        <v>BRUDER</v>
      </c>
      <c r="O17" s="184" t="s">
        <v>227</v>
      </c>
      <c r="P17" s="160" t="s">
        <v>786</v>
      </c>
      <c r="Q17" s="31"/>
      <c r="R17" s="100" t="str">
        <f>VLOOKUP(C17,'Train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17" s="103" t="str">
        <f>VLOOKUP(C17,'Train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16:34:25-0600',mode:absolute,to:'2016-10-30 19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5" t="str">
        <f t="shared" si="1"/>
        <v>"C:\Program Files (x86)\AstroGrep\AstroGrep.exe" /spath="%USERPROFILE%\AppData\Local\Temp\OnboardLogs" /stypes="*4028*201610302*" /stext=" 23:.+((SYSTEM_STATE.+slice.+state.+changed )|(ment ac)|(system.+state.+changed )|(\[timeout)|(PRM\|1\|D)|(kpr)|(kdp)|(\|lc)|(penalty))" /e /r /s</v>
      </c>
      <c r="U17" s="9" t="str">
        <f t="shared" si="2"/>
        <v>4028</v>
      </c>
      <c r="V17" s="36">
        <f t="shared" si="3"/>
        <v>42673.996990740743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{"issue":{"subject":"40th 4S STOP, cleared afterward","project_id":79,"tracker_id":40,"status_id":1,"priority_id":2,"assigned_to_id":23,"start_date":"2016-10-30","description":"","custom_fields":[{"id":1,"name":"Subdivision","value":"EC"},{"id":4,"name":"Milepost","value":"12.7587"},{"id":17,"name":"Train ID","value":"206-30"},{"id":16,"name":"Locomotive ID","value":"4028"},{"id":130,"name":"Impact","value":""},{"id":150,"name":"Time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"%USERPROFILE%\AppData\Local\Temp\OnboardLogs"\RTDC4028\*4028*201610302* | grep -SE "((Enforcement Ac)|(PRM))" -</v>
      </c>
    </row>
    <row r="18" spans="1:30" s="1" customFormat="1" x14ac:dyDescent="0.25">
      <c r="A18" s="36">
        <v>42673.195393518516</v>
      </c>
      <c r="B18" s="31" t="s">
        <v>288</v>
      </c>
      <c r="C18" s="31" t="s">
        <v>392</v>
      </c>
      <c r="D18" s="31" t="s">
        <v>98</v>
      </c>
      <c r="E18" s="31" t="s">
        <v>231</v>
      </c>
      <c r="F18" s="47">
        <v>200</v>
      </c>
      <c r="G18" s="47">
        <v>296</v>
      </c>
      <c r="H18" s="47">
        <v>152716</v>
      </c>
      <c r="I18" s="47">
        <v>153518</v>
      </c>
      <c r="J18" s="31" t="s">
        <v>232</v>
      </c>
      <c r="K18" s="47">
        <v>149694</v>
      </c>
      <c r="L18" s="157" t="s">
        <v>50</v>
      </c>
      <c r="M18" s="158">
        <f t="shared" si="0"/>
        <v>-2019.0719999999999</v>
      </c>
      <c r="N18" s="159" t="str">
        <f>VLOOKUP(C18,'Trips&amp;Operators'!$C$1:$E$99999,3,FALSE)</f>
        <v>MAELZER</v>
      </c>
      <c r="O18" s="184" t="s">
        <v>227</v>
      </c>
      <c r="P18" s="160" t="s">
        <v>788</v>
      </c>
      <c r="Q18" s="31"/>
      <c r="R18" s="100" t="str">
        <f>VLOOKUP(C18,'Train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18" s="103" t="str">
        <f>VLOOKUP(C18,'Train Runs'!$A$13:$AE$10018,22,0)</f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8" s="105" t="str">
        <f t="shared" si="1"/>
        <v>"C:\Program Files (x86)\AstroGrep\AstroGrep.exe" /spath="%USERPROFILE%\AppData\Local\Temp\OnboardLogs" /stypes="*4038*201610301*" /stext=" 10:.+((SYSTEM_STATE.+slice.+state.+changed )|(ment ac)|(system.+state.+changed )|(\[timeout)|(PRM\|1\|D)|(kpr)|(kdp)|(\|lc)|(penalty))" /e /r /s</v>
      </c>
      <c r="U18" s="9" t="str">
        <f t="shared" si="2"/>
        <v>4038</v>
      </c>
      <c r="V18" s="36">
        <f t="shared" si="3"/>
        <v>42673.445393518516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{"issue":{"subject":"Overspeed - wheel tach slip caused disengaged","project_id":79,"tracker_id":40,"status_id":1,"priority_id":2,"assigned_to_id":23,"start_date":"2016-10-30","description":"","custom_fields":[{"id":1,"name":"Subdivision","value":"EC"},{"id":4,"name":"Milepost","value":"14.9694"},{"id":17,"name":"Train ID","value":"105-30"},{"id":16,"name":"Locomotive ID","value":"4038"},{"id":130,"name":"Impact","value":""},{"id":150,"name":"Time of Event (Mountain Time)","value":"04:41:22"},{"id":151,"name":"Denver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"%USERPROFILE%\AppData\Local\Temp\OnboardLogs"\RTDC4038\*4038*201610301* | grep -SE "((Enforcement Ac)|(PRM))" -</v>
      </c>
    </row>
    <row r="19" spans="1:30" s="1" customFormat="1" x14ac:dyDescent="0.25">
      <c r="A19" s="36">
        <v>42673.196828703702</v>
      </c>
      <c r="B19" s="31" t="s">
        <v>288</v>
      </c>
      <c r="C19" s="31" t="s">
        <v>392</v>
      </c>
      <c r="D19" s="31" t="s">
        <v>98</v>
      </c>
      <c r="E19" s="31" t="s">
        <v>231</v>
      </c>
      <c r="F19" s="47">
        <v>200</v>
      </c>
      <c r="G19" s="47">
        <v>259</v>
      </c>
      <c r="H19" s="47">
        <v>155251</v>
      </c>
      <c r="I19" s="47">
        <v>156022</v>
      </c>
      <c r="J19" s="31" t="s">
        <v>232</v>
      </c>
      <c r="K19" s="47">
        <v>149694</v>
      </c>
      <c r="L19" s="157" t="s">
        <v>50</v>
      </c>
      <c r="M19" s="158">
        <f t="shared" si="0"/>
        <v>-3341.1840000000002</v>
      </c>
      <c r="N19" s="159" t="str">
        <f>VLOOKUP(C19,'Trips&amp;Operators'!$C$1:$E$99999,3,FALSE)</f>
        <v>MAELZER</v>
      </c>
      <c r="O19" s="184" t="s">
        <v>227</v>
      </c>
      <c r="P19" s="160" t="s">
        <v>788</v>
      </c>
      <c r="Q19" s="31"/>
      <c r="R19" s="100" t="str">
        <f>VLOOKUP(C19,'Train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19" s="103" t="str">
        <f>VLOOKUP(C19,'Train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03:08:20-0600',mode:absolute,to:'2016-10-30 05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19" s="105" t="str">
        <f t="shared" si="1"/>
        <v>"C:\Program Files (x86)\AstroGrep\AstroGrep.exe" /spath="%USERPROFILE%\AppData\Local\Temp\OnboardLogs" /stypes="*4038*201610301*" /stext=" 10:.+((SYSTEM_STATE.+slice.+state.+changed )|(ment ac)|(system.+state.+changed )|(\[timeout)|(PRM\|1\|D)|(kpr)|(kdp)|(\|lc)|(penalty))" /e /r /s</v>
      </c>
      <c r="U19" s="9" t="str">
        <f t="shared" si="2"/>
        <v>4038</v>
      </c>
      <c r="V19" s="36">
        <f t="shared" si="3"/>
        <v>42673.446828703702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{"issue":{"subject":"Overspeed - wheel tach slip caused disengaged","project_id":79,"tracker_id":40,"status_id":1,"priority_id":2,"assigned_to_id":23,"start_date":"2016-10-30","description":"","custom_fields":[{"id":1,"name":"Subdivision","value":"EC"},{"id":4,"name":"Milepost","value":"14.9694"},{"id":17,"name":"Train ID","value":"105-30"},{"id":16,"name":"Locomotive ID","value":"4038"},{"id":130,"name":"Impact","value":""},{"id":150,"name":"Time of Event (Mountain Time)","value":"04:43:26"},{"id":151,"name":"Denver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"%USERPROFILE%\AppData\Local\Temp\OnboardLogs"\RTDC4038\*4038*201610301* | grep -SE "((Enforcement Ac)|(PRM))" -</v>
      </c>
    </row>
    <row r="20" spans="1:30" x14ac:dyDescent="0.25">
      <c r="A20" s="36">
        <v>42673.294872685183</v>
      </c>
      <c r="B20" s="31" t="s">
        <v>243</v>
      </c>
      <c r="C20" s="31" t="s">
        <v>394</v>
      </c>
      <c r="D20" s="31" t="s">
        <v>49</v>
      </c>
      <c r="E20" s="31" t="s">
        <v>233</v>
      </c>
      <c r="F20" s="47">
        <v>0</v>
      </c>
      <c r="G20" s="47">
        <v>40</v>
      </c>
      <c r="H20" s="47">
        <v>112</v>
      </c>
      <c r="I20" s="47">
        <v>92</v>
      </c>
      <c r="J20" s="31" t="s">
        <v>234</v>
      </c>
      <c r="K20" s="47">
        <v>1</v>
      </c>
      <c r="L20" s="157" t="s">
        <v>51</v>
      </c>
      <c r="M20" s="158">
        <f t="shared" si="0"/>
        <v>48.048000000000002</v>
      </c>
      <c r="N20" s="159" t="str">
        <f>VLOOKUP(C20,'Trips&amp;Operators'!$C$1:$E$99999,3,FALSE)</f>
        <v>KILLION</v>
      </c>
      <c r="O20" s="184" t="s">
        <v>227</v>
      </c>
      <c r="P20" s="160"/>
      <c r="Q20" s="31"/>
      <c r="R20" s="100" t="str">
        <f>VLOOKUP(C20,'Train Runs'!$A$13:$AE$10018,31,0)</f>
        <v>aws s3 cp s3://rtdc.mdm.uploadarchive.raw/RTDC4030/ "%USERPROFILE%\AppData\Local\Temp\OnboardLogs"\RTDC4030\2016-10-30 --exclude "*" --recursive --include "*20161030*" &amp; "%USERPROFILE%\Documents\GitHub\mrs-test-scripts\Headless Mode &amp; Sideloading\WalkAndUnGZ.bat" "%USERPROFILE%\AppData\Local\Temp\OnboardLogs"\RTDC4030\2016-10-30 &amp; aws s3 cp s3://rtdc.mdm.uploadarchive.raw/RTDC4030/ "%USERPROFILE%\AppData\Local\Temp\OnboardLogs"\RTDC4030\2016-10-31 --exclude "*" --recursive --include "*20161031*" &amp; "%USERPROFILE%\Documents\GitHub\mrs-test-scripts\Headless Mode &amp; Sideloading\WalkAndUnGZ.bat" "%USERPROFILE%\AppData\Local\Temp\OnboardLogs"\RTDC4030\2016-10-31</v>
      </c>
      <c r="S20" s="103" t="str">
        <f>VLOOKUP(C20,'Train Runs'!$A$13:$AE$10018,22,0)</f>
        <v>https://search-rtdc-monitor-bjffxe2xuh6vdkpspy63sjmuny.us-east-1.es.amazonaws.com/_plugin/kibana/#/discover/Steve-Slow-Train-Analysis-(2080s-and-2083s)?_g=(refreshInterval:(display:Off,section:0,value:0),time:(from:'2016-10-30 05:14:04-0600',mode:absolute,to:'2016-10-30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0" s="105" t="str">
        <f t="shared" si="1"/>
        <v>"C:\Program Files (x86)\AstroGrep\AstroGrep.exe" /spath="%USERPROFILE%\AppData\Local\Temp\OnboardLogs" /stypes="*4030*201610301*" /stext=" 13:.+((SYSTEM_STATE.+slice.+state.+changed )|(ment ac)|(system.+state.+changed )|(\[timeout)|(PRM\|1\|D)|(kpr)|(kdp)|(\|lc)|(penalty))" /e /r /s</v>
      </c>
      <c r="U20" s="9" t="str">
        <f t="shared" si="2"/>
        <v>4030</v>
      </c>
      <c r="V20" s="36">
        <f t="shared" si="3"/>
        <v>42673.544872685183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ID","value":"114-30"},{"id":16,"name":"Locomotive ID","value":"4030"},{"id":130,"name":"Impact","value":""},{"id":150,"name":"Time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"%USERPROFILE%\AppData\Local\Temp\OnboardLogs"\RTDC4030\*4030*201610301* | grep -SE "((Enforcement Ac)|(PRM))" -</v>
      </c>
      <c r="AD20" s="1"/>
    </row>
    <row r="21" spans="1:30" s="1" customFormat="1" x14ac:dyDescent="0.25">
      <c r="A21" s="36">
        <v>42673.377812500003</v>
      </c>
      <c r="B21" s="31" t="s">
        <v>340</v>
      </c>
      <c r="C21" s="31" t="s">
        <v>398</v>
      </c>
      <c r="D21" s="31" t="s">
        <v>49</v>
      </c>
      <c r="E21" s="31" t="s">
        <v>233</v>
      </c>
      <c r="F21" s="47">
        <v>0</v>
      </c>
      <c r="G21" s="47">
        <v>40</v>
      </c>
      <c r="H21" s="47">
        <v>132</v>
      </c>
      <c r="I21" s="47">
        <v>109</v>
      </c>
      <c r="J21" s="31" t="s">
        <v>234</v>
      </c>
      <c r="K21" s="47">
        <v>1</v>
      </c>
      <c r="L21" s="157" t="s">
        <v>51</v>
      </c>
      <c r="M21" s="158">
        <f t="shared" si="0"/>
        <v>57.024000000000001</v>
      </c>
      <c r="N21" s="159" t="str">
        <f>VLOOKUP(C21,'Trips&amp;Operators'!$C$1:$E$99999,3,FALSE)</f>
        <v>ACKERMAN</v>
      </c>
      <c r="O21" s="184" t="s">
        <v>227</v>
      </c>
      <c r="P21" s="160"/>
      <c r="Q21" s="31"/>
      <c r="R21" s="100" t="str">
        <f>VLOOKUP(C21,'Train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21" s="103" t="str">
        <f>VLOOKUP(C21,'Train Runs'!$A$13:$AE$10018,22,0)</f>
        <v>https://search-rtdc-monitor-bjffxe2xuh6vdkpspy63sjmuny.us-east-1.es.amazonaws.com/_plugin/kibana/#/discover/Steve-Slow-Train-Analysis-(2080s-and-2083s)?_g=(refreshInterval:(display:Off,section:0,value:0),time:(from:'2016-10-30 07:18:47-0600',mode:absolute,to:'2016-10-30 10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/stypes="*4026*201610301*" /stext=" 15:.+((SYSTEM_STATE.+slice.+state.+changed )|(ment ac)|(system.+state.+changed )|(\[timeout)|(PRM\|1\|D)|(kpr)|(kdp)|(\|lc)|(penalty))" /e /r /s</v>
      </c>
      <c r="U21" s="9" t="str">
        <f t="shared" si="2"/>
        <v>4026</v>
      </c>
      <c r="V21" s="36">
        <f t="shared" si="3"/>
        <v>42673.627812500003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ID","value":"132-30"},{"id":16,"name":"Locomotive ID","value":"4026"},{"id":130,"name":"Impact","value":""},{"id":150,"name":"Time of Event (Mountain Time)","value":"09:04:03"},{"id":151,"name":"Denver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"%USERPROFILE%\AppData\Local\Temp\OnboardLogs"\RTDC4026\*4026*201610301* | grep -SE "((Enforcement Ac)|(PRM))" -</v>
      </c>
    </row>
    <row r="22" spans="1:30" x14ac:dyDescent="0.25">
      <c r="A22" s="36">
        <v>42673.492025462961</v>
      </c>
      <c r="B22" s="31" t="s">
        <v>342</v>
      </c>
      <c r="C22" s="31" t="s">
        <v>406</v>
      </c>
      <c r="D22" s="31" t="s">
        <v>49</v>
      </c>
      <c r="E22" s="31" t="s">
        <v>233</v>
      </c>
      <c r="F22" s="47">
        <v>0</v>
      </c>
      <c r="G22" s="47">
        <v>97</v>
      </c>
      <c r="H22" s="47">
        <v>376</v>
      </c>
      <c r="I22" s="47">
        <v>289</v>
      </c>
      <c r="J22" s="31" t="s">
        <v>234</v>
      </c>
      <c r="K22" s="47">
        <v>1</v>
      </c>
      <c r="L22" s="157" t="s">
        <v>51</v>
      </c>
      <c r="M22" s="158">
        <f t="shared" si="0"/>
        <v>152.06399999999999</v>
      </c>
      <c r="N22" s="159" t="str">
        <f>VLOOKUP(C22,'Trips&amp;Operators'!$C$1:$E$99999,3,FALSE)</f>
        <v>STRICKLAND</v>
      </c>
      <c r="O22" s="184" t="s">
        <v>227</v>
      </c>
      <c r="P22" s="160"/>
      <c r="Q22" s="31"/>
      <c r="R22" s="100" t="str">
        <f>VLOOKUP(C22,'Train Runs'!$A$13:$AE$10018,31,0)</f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S22" s="103" t="str">
        <f>VLOOKUP(C22,'Train Runs'!$A$13:$AE$10018,22,0)</f>
        <v>https://search-rtdc-monitor-bjffxe2xuh6vdkpspy63sjmuny.us-east-1.es.amazonaws.com/_plugin/kibana/#/discover/Steve-Slow-Train-Analysis-(2080s-and-2083s)?_g=(refreshInterval:(display:Off,section:0,value:0),time:(from:'2016-10-30 09:59:11-0600',mode:absolute,to:'2016-10-30 12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2" s="105" t="str">
        <f t="shared" si="1"/>
        <v>"C:\Program Files (x86)\AstroGrep\AstroGrep.exe" /spath="%USERPROFILE%\AppData\Local\Temp\OnboardLogs" /stypes="*4054*201610301*" /stext=" 17:.+((SYSTEM_STATE.+slice.+state.+changed )|(ment ac)|(system.+state.+changed )|(\[timeout)|(PRM\|1\|D)|(kpr)|(kdp)|(\|lc)|(penalty))" /e /r /s</v>
      </c>
      <c r="U22" s="9" t="str">
        <f t="shared" si="2"/>
        <v>4054</v>
      </c>
      <c r="V22" s="36">
        <f t="shared" si="3"/>
        <v>42673.742025462961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ID","value":"154-30"},{"id":16,"name":"Locomotive ID","value":"4054"},{"id":130,"name":"Impact","value":""},{"id":150,"name":"Time of Event (Mountain Time)","value":"11:48:31"},{"id":151,"name":"Denver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"%USERPROFILE%\AppData\Local\Temp\OnboardLogs"\RTDC4054\*4054*201610301* | grep -SE "((Enforcement Ac)|(PRM))" -</v>
      </c>
      <c r="AD22" s="1"/>
    </row>
    <row r="23" spans="1:30" x14ac:dyDescent="0.25">
      <c r="A23" s="36">
        <v>42673.512025462966</v>
      </c>
      <c r="B23" s="31" t="s">
        <v>300</v>
      </c>
      <c r="C23" s="31" t="s">
        <v>407</v>
      </c>
      <c r="D23" s="31" t="s">
        <v>49</v>
      </c>
      <c r="E23" s="31" t="s">
        <v>233</v>
      </c>
      <c r="F23" s="47">
        <v>0</v>
      </c>
      <c r="G23" s="47">
        <v>75</v>
      </c>
      <c r="H23" s="47">
        <v>280</v>
      </c>
      <c r="I23" s="47">
        <v>216</v>
      </c>
      <c r="J23" s="31" t="s">
        <v>234</v>
      </c>
      <c r="K23" s="47">
        <v>1</v>
      </c>
      <c r="L23" s="157" t="s">
        <v>51</v>
      </c>
      <c r="M23" s="158">
        <f t="shared" si="0"/>
        <v>113.52</v>
      </c>
      <c r="N23" s="159" t="str">
        <f>VLOOKUP(C23,'Trips&amp;Operators'!$C$1:$E$99999,3,FALSE)</f>
        <v>ROCHA</v>
      </c>
      <c r="O23" s="184" t="s">
        <v>227</v>
      </c>
      <c r="P23" s="160"/>
      <c r="Q23" s="31"/>
      <c r="R23" s="100" t="str">
        <f>VLOOKUP(C23,'Train Runs'!$A$13:$AE$10018,31,0)</f>
        <v>aws s3 cp s3://rtdc.mdm.uploadarchive.raw/RTDC4005/ "%USERPROFILE%\AppData\Local\Temp\OnboardLogs"\RTDC4005\2016-10-30 --exclude "*" --recursive --include "*20161030*" &amp; "%USERPROFILE%\Documents\GitHub\mrs-test-scripts\Headless Mode &amp; Sideloading\WalkAndUnGZ.bat" "%USERPROFILE%\AppData\Local\Temp\OnboardLogs"\RTDC4005\2016-10-30 &amp; aws s3 cp s3://rtdc.mdm.uploadarchive.raw/RTDC4005/ "%USERPROFILE%\AppData\Local\Temp\OnboardLogs"\RTDC4005\2016-10-31 --exclude "*" --recursive --include "*20161031*" &amp; "%USERPROFILE%\Documents\GitHub\mrs-test-scripts\Headless Mode &amp; Sideloading\WalkAndUnGZ.bat" "%USERPROFILE%\AppData\Local\Temp\OnboardLogs"\RTDC4005\2016-10-31</v>
      </c>
      <c r="S23" s="103" t="str">
        <f>VLOOKUP(C23,'Train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10:39:11-0600',mode:absolute,to:'2016-10-30 13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23" s="105" t="str">
        <f t="shared" si="1"/>
        <v>"C:\Program Files (x86)\AstroGrep\AstroGrep.exe" /spath="%USERPROFILE%\AppData\Local\Temp\OnboardLogs" /stypes="*4005*201610301*" /stext=" 18:.+((SYSTEM_STATE.+slice.+state.+changed )|(ment ac)|(system.+state.+changed )|(\[timeout)|(PRM\|1\|D)|(kpr)|(kdp)|(\|lc)|(penalty))" /e /r /s</v>
      </c>
      <c r="U23" s="9" t="str">
        <f t="shared" si="2"/>
        <v>4005</v>
      </c>
      <c r="V23" s="36">
        <f t="shared" si="3"/>
        <v>42673.762025462966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ID","value":"158-30"},{"id":16,"name":"Locomotive ID","value":"4005"},{"id":130,"name":"Impact","value":""},{"id":150,"name":"Time of Event (Mountain Time)","value":"12:17:19"},{"id":151,"name":"Denver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"%USERPROFILE%\AppData\Local\Temp\OnboardLogs"\RTDC4005\*4005*201610301* | grep -SE "((Enforcement Ac)|(PRM))" -</v>
      </c>
      <c r="AD23" s="1"/>
    </row>
    <row r="24" spans="1:30" x14ac:dyDescent="0.25">
      <c r="A24" s="36">
        <v>42673.554803240739</v>
      </c>
      <c r="B24" s="31" t="s">
        <v>267</v>
      </c>
      <c r="C24" s="31" t="s">
        <v>410</v>
      </c>
      <c r="D24" s="31" t="s">
        <v>49</v>
      </c>
      <c r="E24" s="31" t="s">
        <v>233</v>
      </c>
      <c r="F24" s="47">
        <v>0</v>
      </c>
      <c r="G24" s="47">
        <v>47</v>
      </c>
      <c r="H24" s="47">
        <v>156</v>
      </c>
      <c r="I24" s="47">
        <v>121</v>
      </c>
      <c r="J24" s="31" t="s">
        <v>234</v>
      </c>
      <c r="K24" s="47">
        <v>1</v>
      </c>
      <c r="L24" s="157" t="s">
        <v>51</v>
      </c>
      <c r="M24" s="158">
        <f t="shared" si="0"/>
        <v>63.36</v>
      </c>
      <c r="N24" s="159" t="str">
        <f>VLOOKUP(C24,'Trips&amp;Operators'!$C$1:$E$99999,3,FALSE)</f>
        <v>MOSES</v>
      </c>
      <c r="O24" s="184" t="s">
        <v>227</v>
      </c>
      <c r="P24" s="160"/>
      <c r="Q24" s="31"/>
      <c r="R24" s="100" t="str">
        <f>VLOOKUP(C24,'Train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24" s="103" t="str">
        <f>VLOOKUP(C24,'Train Runs'!$A$13:$AE$10018,22,0)</f>
        <v>https://search-rtdc-monitor-bjffxe2xuh6vdkpspy63sjmuny.us-east-1.es.amazonaws.com/_plugin/kibana/#/discover/Steve-Slow-Train-Analysis-(2080s-and-2083s)?_g=(refreshInterval:(display:Off,section:0,value:0),time:(from:'2016-10-30 11:34:36-0600',mode:absolute,to:'2016-10-30 14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/stypes="*4001*201610301*" /stext=" 19:.+((SYSTEM_STATE.+slice.+state.+changed )|(ment ac)|(system.+state.+changed )|(\[timeout)|(PRM\|1\|D)|(kpr)|(kdp)|(\|lc)|(penalty))" /e /r /s</v>
      </c>
      <c r="U24" s="9" t="str">
        <f t="shared" si="2"/>
        <v>4001</v>
      </c>
      <c r="V24" s="36">
        <f t="shared" si="3"/>
        <v>42673.804803240739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ID","value":"166-30"},{"id":16,"name":"Locomotive ID","value":"4001"},{"id":130,"name":"Impact","value":""},{"id":150,"name":"Time of Event (Mountain Time)","value":"13:18:55"},{"id":151,"name":"Denver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"%USERPROFILE%\AppData\Local\Temp\OnboardLogs"\RTDC4001\*4001*201610301* | grep -SE "((Enforcement Ac)|(PRM))" -</v>
      </c>
      <c r="AD24" s="1"/>
    </row>
    <row r="25" spans="1:30" ht="15" customHeight="1" x14ac:dyDescent="0.25">
      <c r="A25" s="36">
        <v>42673.617372685185</v>
      </c>
      <c r="B25" s="31" t="s">
        <v>235</v>
      </c>
      <c r="C25" s="31" t="s">
        <v>414</v>
      </c>
      <c r="D25" s="31" t="s">
        <v>49</v>
      </c>
      <c r="E25" s="31" t="s">
        <v>233</v>
      </c>
      <c r="F25" s="47">
        <v>0</v>
      </c>
      <c r="G25" s="47">
        <v>44</v>
      </c>
      <c r="H25" s="47">
        <v>178</v>
      </c>
      <c r="I25" s="47">
        <v>134</v>
      </c>
      <c r="J25" s="31" t="s">
        <v>234</v>
      </c>
      <c r="K25" s="47">
        <v>1</v>
      </c>
      <c r="L25" s="157" t="s">
        <v>51</v>
      </c>
      <c r="M25" s="158">
        <f t="shared" si="0"/>
        <v>70.224000000000004</v>
      </c>
      <c r="N25" s="159" t="str">
        <f>VLOOKUP(C25,'Trips&amp;Operators'!$C$1:$E$99999,3,FALSE)</f>
        <v>BRUDER</v>
      </c>
      <c r="O25" s="184" t="s">
        <v>227</v>
      </c>
      <c r="P25" s="160"/>
      <c r="Q25" s="31"/>
      <c r="R25" s="100" t="str">
        <f>VLOOKUP(C25,'Train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25" s="103" t="str">
        <f>VLOOKUP(C25,'Train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13:01:35-0600',mode:absolute,to:'2016-10-30 15:48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5" s="105" t="str">
        <f t="shared" si="1"/>
        <v>"C:\Program Files (x86)\AstroGrep\AstroGrep.exe" /spath="%USERPROFILE%\AppData\Local\Temp\OnboardLogs" /stypes="*4028*201610302*" /stext=" 20:.+((SYSTEM_STATE.+slice.+state.+changed )|(ment ac)|(system.+state.+changed )|(\[timeout)|(PRM\|1\|D)|(kpr)|(kdp)|(\|lc)|(penalty))" /e /r /s</v>
      </c>
      <c r="U25" s="9" t="str">
        <f t="shared" si="2"/>
        <v>4028</v>
      </c>
      <c r="V25" s="36">
        <f t="shared" si="3"/>
        <v>42673.867372685185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ID","value":"178-30"},{"id":16,"name":"Locomotive ID","value":"4028"},{"id":130,"name":"Impact","value":""},{"id":150,"name":"Time of Event (Mountain Time)","value":"14:49:01"},{"id":151,"name":"Denver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"%USERPROFILE%\AppData\Local\Temp\OnboardLogs"\RTDC4028\*4028*201610302* | grep -SE "((Enforcement Ac)|(PRM))" -</v>
      </c>
      <c r="AD25" s="1"/>
    </row>
    <row r="26" spans="1:30" x14ac:dyDescent="0.25">
      <c r="A26" s="36">
        <v>42673.668981481482</v>
      </c>
      <c r="B26" s="31" t="s">
        <v>340</v>
      </c>
      <c r="C26" s="31" t="s">
        <v>418</v>
      </c>
      <c r="D26" s="31" t="s">
        <v>49</v>
      </c>
      <c r="E26" s="31" t="s">
        <v>233</v>
      </c>
      <c r="F26" s="47">
        <v>0</v>
      </c>
      <c r="G26" s="47">
        <v>50</v>
      </c>
      <c r="H26" s="47">
        <v>167</v>
      </c>
      <c r="I26" s="47">
        <v>121</v>
      </c>
      <c r="J26" s="31" t="s">
        <v>234</v>
      </c>
      <c r="K26" s="47">
        <v>1</v>
      </c>
      <c r="L26" s="157" t="s">
        <v>51</v>
      </c>
      <c r="M26" s="158">
        <f t="shared" si="0"/>
        <v>63.36</v>
      </c>
      <c r="N26" s="159" t="str">
        <f>VLOOKUP(C26,'Trips&amp;Operators'!$C$1:$E$99999,3,FALSE)</f>
        <v>STEWART</v>
      </c>
      <c r="O26" s="184" t="s">
        <v>227</v>
      </c>
      <c r="P26" s="160"/>
      <c r="Q26" s="31"/>
      <c r="R26" s="100" t="str">
        <f>VLOOKUP(C26,'Train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26" s="103" t="str">
        <f>VLOOKUP(C26,'Train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14:21:05-0600',mode:absolute,to:'2016-10-30 17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5" t="str">
        <f t="shared" si="1"/>
        <v>"C:\Program Files (x86)\AstroGrep\AstroGrep.exe" /spath="%USERPROFILE%\AppData\Local\Temp\OnboardLogs" /stypes="*4026*201610302*" /stext=" 22:.+((SYSTEM_STATE.+slice.+state.+changed )|(ment ac)|(system.+state.+changed )|(\[timeout)|(PRM\|1\|D)|(kpr)|(kdp)|(\|lc)|(penalty))" /e /r /s</v>
      </c>
      <c r="U26" s="9" t="str">
        <f t="shared" si="2"/>
        <v>4026</v>
      </c>
      <c r="V26" s="36">
        <f t="shared" si="3"/>
        <v>42673.918981481482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ID","value":"188-30"},{"id":16,"name":"Locomotive ID","value":"4026"},{"id":130,"name":"Impact","value":""},{"id":150,"name":"Time of Event (Mountain Time)","value":"16:03:20"},{"id":151,"name":"Denver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"%USERPROFILE%\AppData\Local\Temp\OnboardLogs"\RTDC4026\*4026*201610302* | grep -SE "((Enforcement Ac)|(PRM))" -</v>
      </c>
      <c r="AD26" s="1"/>
    </row>
    <row r="27" spans="1:30" x14ac:dyDescent="0.25">
      <c r="A27" s="36">
        <v>42673.71266203704</v>
      </c>
      <c r="B27" s="31" t="s">
        <v>342</v>
      </c>
      <c r="C27" s="31" t="s">
        <v>419</v>
      </c>
      <c r="D27" s="31" t="s">
        <v>49</v>
      </c>
      <c r="E27" s="31" t="s">
        <v>233</v>
      </c>
      <c r="F27" s="47">
        <v>0</v>
      </c>
      <c r="G27" s="47">
        <v>66</v>
      </c>
      <c r="H27" s="47">
        <v>262</v>
      </c>
      <c r="I27" s="47">
        <v>192</v>
      </c>
      <c r="J27" s="31" t="s">
        <v>234</v>
      </c>
      <c r="K27" s="47">
        <v>1</v>
      </c>
      <c r="L27" s="157" t="s">
        <v>51</v>
      </c>
      <c r="M27" s="158">
        <f t="shared" si="0"/>
        <v>100.848</v>
      </c>
      <c r="N27" s="159" t="str">
        <f>VLOOKUP(C27,'Trips&amp;Operators'!$C$1:$E$99999,3,FALSE)</f>
        <v>YOUNG</v>
      </c>
      <c r="O27" s="184" t="s">
        <v>227</v>
      </c>
      <c r="P27" s="160"/>
      <c r="Q27" s="31"/>
      <c r="R27" s="100" t="str">
        <f>VLOOKUP(C27,'Train Runs'!$A$13:$AE$10018,31,0)</f>
        <v>aws s3 cp s3://rtdc.mdm.uploadarchive.raw/RTDC4054/ "%USERPROFILE%\AppData\Local\Temp\OnboardLogs"\RTDC4054\2016-10-30 --exclude "*" --recursive --include "*20161030*" &amp; "%USERPROFILE%\Documents\GitHub\mrs-test-scripts\Headless Mode &amp; Sideloading\WalkAndUnGZ.bat" "%USERPROFILE%\AppData\Local\Temp\OnboardLogs"\RTDC4054\2016-10-30 &amp; aws s3 cp s3://rtdc.mdm.uploadarchive.raw/RTDC4054/ "%USERPROFILE%\AppData\Local\Temp\OnboardLogs"\RTDC4054\2016-10-31 --exclude "*" --recursive --include "*20161031*" &amp; "%USERPROFILE%\Documents\GitHub\mrs-test-scripts\Headless Mode &amp; Sideloading\WalkAndUnGZ.bat" "%USERPROFILE%\AppData\Local\Temp\OnboardLogs"\RTDC4054\2016-10-31</v>
      </c>
      <c r="S27" s="103" t="str">
        <f>VLOOKUP(C27,'Train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15:18:35-0600',mode:absolute,to:'2016-10-30 18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7" s="105" t="str">
        <f t="shared" si="1"/>
        <v>"C:\Program Files (x86)\AstroGrep\AstroGrep.exe" /spath="%USERPROFILE%\AppData\Local\Temp\OnboardLogs" /stypes="*4054*201610302*" /stext=" 23:.+((SYSTEM_STATE.+slice.+state.+changed )|(ment ac)|(system.+state.+changed )|(\[timeout)|(PRM\|1\|D)|(kpr)|(kdp)|(\|lc)|(penalty))" /e /r /s</v>
      </c>
      <c r="U27" s="9" t="str">
        <f t="shared" si="2"/>
        <v>4054</v>
      </c>
      <c r="V27" s="36">
        <f t="shared" si="3"/>
        <v>42673.96266203704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ID","value":"196-30"},{"id":16,"name":"Locomotive ID","value":"4054"},{"id":130,"name":"Impact","value":""},{"id":150,"name":"Time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"%USERPROFILE%\AppData\Local\Temp\OnboardLogs"\RTDC4054\*4054*201610302* | grep -SE "((Enforcement Ac)|(PRM))" -</v>
      </c>
      <c r="AD27" s="1"/>
    </row>
    <row r="28" spans="1:30" x14ac:dyDescent="0.25">
      <c r="A28" s="36">
        <v>42673.837453703702</v>
      </c>
      <c r="B28" s="31" t="s">
        <v>235</v>
      </c>
      <c r="C28" s="31" t="s">
        <v>424</v>
      </c>
      <c r="D28" s="31" t="s">
        <v>49</v>
      </c>
      <c r="E28" s="31" t="s">
        <v>233</v>
      </c>
      <c r="F28" s="47">
        <v>0</v>
      </c>
      <c r="G28" s="47">
        <v>53</v>
      </c>
      <c r="H28" s="47">
        <v>185</v>
      </c>
      <c r="I28" s="47">
        <v>134</v>
      </c>
      <c r="J28" s="31" t="s">
        <v>234</v>
      </c>
      <c r="K28" s="47">
        <v>1</v>
      </c>
      <c r="L28" s="157" t="s">
        <v>51</v>
      </c>
      <c r="M28" s="158">
        <f t="shared" si="0"/>
        <v>70.224000000000004</v>
      </c>
      <c r="N28" s="159" t="str">
        <f>VLOOKUP(C28,'Trips&amp;Operators'!$C$1:$E$99999,3,FALSE)</f>
        <v>CHANDLER</v>
      </c>
      <c r="O28" s="184" t="s">
        <v>227</v>
      </c>
      <c r="P28" s="160"/>
      <c r="Q28" s="31"/>
      <c r="R28" s="100" t="str">
        <f>VLOOKUP(C28,'Train Runs'!$A$13:$AE$10018,31,0)</f>
        <v>aws s3 cp s3://rtdc.mdm.uploadarchive.raw/RTDC4028/ "%USERPROFILE%\AppData\Local\Temp\OnboardLogs"\RTDC4028\2016-10-30 --exclude "*" --recursive --include "*20161030*" &amp; "%USERPROFILE%\Documents\GitHub\mrs-test-scripts\Headless Mode &amp; Sideloading\WalkAndUnGZ.bat" "%USERPROFILE%\AppData\Local\Temp\OnboardLogs"\RTDC4028\2016-10-30 &amp; aws s3 cp s3://rtdc.mdm.uploadarchive.raw/RTDC4028/ "%USERPROFILE%\AppData\Local\Temp\OnboardLogs"\RTDC4028\2016-10-31 --exclude "*" --recursive --include "*20161031*" &amp; "%USERPROFILE%\Documents\GitHub\mrs-test-scripts\Headless Mode &amp; Sideloading\WalkAndUnGZ.bat" "%USERPROFILE%\AppData\Local\Temp\OnboardLogs"\RTDC4028\2016-10-31</v>
      </c>
      <c r="S28" s="103" t="str">
        <f>VLOOKUP(C28,'Train Runs'!$A$13:$AE$10018,22,0)</f>
        <v>https://search-rtdc-monitor-bjffxe2xuh6vdkpspy63sjmuny.us-east-1.es.amazonaws.com/_plugin/kibana/#/discover/Steve-Slow-Train-Analysis-(2080s-and-2083s)?_g=(refreshInterval:(display:Off,section:0,value:0),time:(from:'2016-10-30 18:24:59-0600',mode:absolute,to:'2016-10-30 21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8" s="105" t="str">
        <f t="shared" si="1"/>
        <v>"C:\Program Files (x86)\AstroGrep\AstroGrep.exe" /spath="%USERPROFILE%\AppData\Local\Temp\OnboardLogs" /stypes="*4028*201610310*" /stext=" 02:.+((SYSTEM_STATE.+slice.+state.+changed )|(ment ac)|(system.+state.+changed )|(\[timeout)|(PRM\|1\|D)|(kpr)|(kdp)|(\|lc)|(penalty))" /e /r /s</v>
      </c>
      <c r="U28" s="9" t="str">
        <f t="shared" si="2"/>
        <v>4028</v>
      </c>
      <c r="V28" s="36">
        <f t="shared" si="3"/>
        <v>42674.087453703702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{"issue":{"subject":"","project_id":79,"tracker_id":40,"status_id":1,"priority_id":2,"assigned_to_id":23,"start_date":"2016-10-30","description":"","custom_fields":[{"id":1,"name":"Subdivision","value":"EC"},{"id":4,"name":"Milepost","value":"0.0001"},{"id":17,"name":"Train ID","value":"220-30"},{"id":16,"name":"Locomotive ID","value":"4028"},{"id":130,"name":"Impact","value":""},{"id":150,"name":"Time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"%USERPROFILE%\AppData\Local\Temp\OnboardLogs"\RTDC4028\*4028*201610310* | grep -SE "((Enforcement Ac)|(PRM))" -</v>
      </c>
      <c r="AD28" s="1"/>
    </row>
    <row r="29" spans="1:30" x14ac:dyDescent="0.25">
      <c r="A29" s="36">
        <v>42673.452847222223</v>
      </c>
      <c r="B29" s="31" t="s">
        <v>343</v>
      </c>
      <c r="C29" s="31" t="s">
        <v>405</v>
      </c>
      <c r="D29" s="31" t="s">
        <v>49</v>
      </c>
      <c r="E29" s="31" t="s">
        <v>233</v>
      </c>
      <c r="F29" s="47">
        <v>0</v>
      </c>
      <c r="G29" s="47">
        <v>52</v>
      </c>
      <c r="H29" s="47">
        <v>233276</v>
      </c>
      <c r="I29" s="47">
        <v>233318</v>
      </c>
      <c r="J29" s="31" t="s">
        <v>234</v>
      </c>
      <c r="K29" s="47">
        <v>233491</v>
      </c>
      <c r="L29" s="157" t="s">
        <v>50</v>
      </c>
      <c r="M29" s="158">
        <f t="shared" si="0"/>
        <v>91.343999999999994</v>
      </c>
      <c r="N29" s="159" t="str">
        <f>VLOOKUP(C29,'Trips&amp;Operators'!$C$1:$E$99999,3,FALSE)</f>
        <v>STRICKLAND</v>
      </c>
      <c r="O29" s="184" t="s">
        <v>227</v>
      </c>
      <c r="P29" s="160"/>
      <c r="Q29" s="31"/>
      <c r="R29" s="100" t="str">
        <f>VLOOKUP(C29,'Train Runs'!$A$13:$AE$10018,31,0)</f>
        <v>aws s3 cp s3://rtdc.mdm.uploadarchive.raw/RTDC4053/ "%USERPROFILE%\AppData\Local\Temp\OnboardLogs"\RTDC4053\2016-10-30 --exclude "*" --recursive --include "*20161030*" &amp; "%USERPROFILE%\Documents\GitHub\mrs-test-scripts\Headless Mode &amp; Sideloading\WalkAndUnGZ.bat" "%USERPROFILE%\AppData\Local\Temp\OnboardLogs"\RTDC4053\2016-10-30 &amp; aws s3 cp s3://rtdc.mdm.uploadarchive.raw/RTDC4053/ "%USERPROFILE%\AppData\Local\Temp\OnboardLogs"\RTDC4053\2016-10-31 --exclude "*" --recursive --include "*20161031*" &amp; "%USERPROFILE%\Documents\GitHub\mrs-test-scripts\Headless Mode &amp; Sideloading\WalkAndUnGZ.bat" "%USERPROFILE%\AppData\Local\Temp\OnboardLogs"\RTDC4053\2016-10-31</v>
      </c>
      <c r="S29" s="103" t="str">
        <f>VLOOKUP(C29,'Train Runs'!$A$13:$AE$10018,22,0)</f>
        <v>https://search-rtdc-monitor-bjffxe2xuh6vdkpspy63sjmuny.us-east-1.es.amazonaws.com/_plugin/kibana/#/discover/Steve-Slow-Train-Analysis-(2080s-and-2083s)?_g=(refreshInterval:(display:Off,section:0,value:0),time:(from:'2016-10-30 09:06:41-0600',mode:absolute,to:'2016-10-30 11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9" s="105" t="str">
        <f t="shared" si="1"/>
        <v>"C:\Program Files (x86)\AstroGrep\AstroGrep.exe" /spath="%USERPROFILE%\AppData\Local\Temp\OnboardLogs" /stypes="*4053*201610301*" /stext=" 16:.+((SYSTEM_STATE.+slice.+state.+changed )|(ment ac)|(system.+state.+changed )|(\[timeout)|(PRM\|1\|D)|(kpr)|(kdp)|(\|lc)|(penalty))" /e /r /s</v>
      </c>
      <c r="U29" s="9" t="str">
        <f t="shared" si="2"/>
        <v>4053</v>
      </c>
      <c r="V29" s="36">
        <f t="shared" si="3"/>
        <v>42673.702847222223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ID","value":"153-30"},{"id":16,"name":"Locomotive ID","value":"4053"},{"id":130,"name":"Impact","value":""},{"id":150,"name":"Time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"%USERPROFILE%\AppData\Local\Temp\OnboardLogs"\RTDC4053\*4053*201610301* | grep -SE "((Enforcement Ac)|(PRM))" -</v>
      </c>
      <c r="AD29" s="1"/>
    </row>
    <row r="30" spans="1:30" x14ac:dyDescent="0.25">
      <c r="A30" s="36">
        <v>42673.536006944443</v>
      </c>
      <c r="B30" s="31" t="s">
        <v>408</v>
      </c>
      <c r="C30" s="31" t="s">
        <v>409</v>
      </c>
      <c r="D30" s="31" t="s">
        <v>49</v>
      </c>
      <c r="E30" s="31" t="s">
        <v>233</v>
      </c>
      <c r="F30" s="47">
        <v>0</v>
      </c>
      <c r="G30" s="47">
        <v>43</v>
      </c>
      <c r="H30" s="47">
        <v>233305</v>
      </c>
      <c r="I30" s="47">
        <v>233334</v>
      </c>
      <c r="J30" s="31" t="s">
        <v>234</v>
      </c>
      <c r="K30" s="47">
        <v>233491</v>
      </c>
      <c r="L30" s="157" t="s">
        <v>50</v>
      </c>
      <c r="M30" s="158">
        <f t="shared" si="0"/>
        <v>82.895999999999987</v>
      </c>
      <c r="N30" s="159" t="str">
        <f>VLOOKUP(C30,'Trips&amp;Operators'!$C$1:$E$99999,3,FALSE)</f>
        <v>CLARK</v>
      </c>
      <c r="O30" s="184" t="s">
        <v>227</v>
      </c>
      <c r="P30" s="160"/>
      <c r="Q30" s="31"/>
      <c r="R30" s="100" t="str">
        <f>VLOOKUP(C30,'Train Runs'!$A$13:$AE$10018,31,0)</f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S30" s="103" t="str">
        <f>VLOOKUP(C30,'Train Runs'!$A$13:$AE$10018,22,0)</f>
        <v>https://search-rtdc-monitor-bjffxe2xuh6vdkpspy63sjmuny.us-east-1.es.amazonaws.com/_plugin/kibana/#/discover/Steve-Slow-Train-Analysis-(2080s-and-2083s)?_g=(refreshInterval:(display:Off,section:0,value:0),time:(from:'2016-10-30 11:08:04-0600',mode:absolute,to:'2016-10-30 13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0" s="105" t="str">
        <f t="shared" si="1"/>
        <v>"C:\Program Files (x86)\AstroGrep\AstroGrep.exe" /spath="%USERPROFILE%\AppData\Local\Temp\OnboardLogs" /stypes="*4046*201610301*" /stext=" 18:.+((SYSTEM_STATE.+slice.+state.+changed )|(ment ac)|(system.+state.+changed )|(\[timeout)|(PRM\|1\|D)|(kpr)|(kdp)|(\|lc)|(penalty))" /e /r /s</v>
      </c>
      <c r="U30" s="9" t="str">
        <f t="shared" si="2"/>
        <v>4046</v>
      </c>
      <c r="V30" s="36">
        <f t="shared" si="3"/>
        <v>42673.786006944443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ID","value":"169-30"},{"id":16,"name":"Locomotive ID","value":"4046"},{"id":130,"name":"Impact","value":""},{"id":150,"name":"Time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"%USERPROFILE%\AppData\Local\Temp\OnboardLogs"\RTDC4046\*4046*201610301* | grep -SE "((Enforcement Ac)|(PRM))" -</v>
      </c>
      <c r="AD30" s="1"/>
    </row>
    <row r="31" spans="1:30" ht="15" customHeight="1" x14ac:dyDescent="0.25">
      <c r="A31" s="36">
        <v>42673.613553240742</v>
      </c>
      <c r="B31" s="31" t="s">
        <v>408</v>
      </c>
      <c r="C31" s="31" t="s">
        <v>413</v>
      </c>
      <c r="D31" s="31" t="s">
        <v>49</v>
      </c>
      <c r="E31" s="31" t="s">
        <v>233</v>
      </c>
      <c r="F31" s="47">
        <v>0</v>
      </c>
      <c r="G31" s="47">
        <v>66</v>
      </c>
      <c r="H31" s="47">
        <v>233138</v>
      </c>
      <c r="I31" s="47">
        <v>233179</v>
      </c>
      <c r="J31" s="31" t="s">
        <v>234</v>
      </c>
      <c r="K31" s="47">
        <v>233491</v>
      </c>
      <c r="L31" s="157" t="s">
        <v>50</v>
      </c>
      <c r="M31" s="158">
        <f t="shared" si="0"/>
        <v>164.73599999999999</v>
      </c>
      <c r="N31" s="159" t="str">
        <f>VLOOKUP(C31,'Trips&amp;Operators'!$C$1:$E$99999,3,FALSE)</f>
        <v>CLARK</v>
      </c>
      <c r="O31" s="184" t="s">
        <v>227</v>
      </c>
      <c r="P31" s="160"/>
      <c r="Q31" s="31"/>
      <c r="R31" s="100" t="str">
        <f>VLOOKUP(C31,'Train Runs'!$A$13:$AE$10018,31,0)</f>
        <v>aws s3 cp s3://rtdc.mdm.uploadarchive.raw/RTDC4046/ "%USERPROFILE%\AppData\Local\Temp\OnboardLogs"\RTDC4046\2016-10-30 --exclude "*" --recursive --include "*20161030*" &amp; "%USERPROFILE%\Documents\GitHub\mrs-test-scripts\Headless Mode &amp; Sideloading\WalkAndUnGZ.bat" "%USERPROFILE%\AppData\Local\Temp\OnboardLogs"\RTDC4046\2016-10-30 &amp; aws s3 cp s3://rtdc.mdm.uploadarchive.raw/RTDC4046/ "%USERPROFILE%\AppData\Local\Temp\OnboardLogs"\RTDC4046\2016-10-31 --exclude "*" --recursive --include "*20161031*" &amp; "%USERPROFILE%\Documents\GitHub\mrs-test-scripts\Headless Mode &amp; Sideloading\WalkAndUnGZ.bat" "%USERPROFILE%\AppData\Local\Temp\OnboardLogs"\RTDC4046\2016-10-31</v>
      </c>
      <c r="S31" s="103" t="str">
        <f>VLOOKUP(C31,'Train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12:56:15-0600',mode:absolute,to:'2016-10-30 15:43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1" s="105" t="str">
        <f t="shared" si="1"/>
        <v>"C:\Program Files (x86)\AstroGrep\AstroGrep.exe" /spath="%USERPROFILE%\AppData\Local\Temp\OnboardLogs" /stypes="*4046*201610302*" /stext=" 20:.+((SYSTEM_STATE.+slice.+state.+changed )|(ment ac)|(system.+state.+changed )|(\[timeout)|(PRM\|1\|D)|(kpr)|(kdp)|(\|lc)|(penalty))" /e /r /s</v>
      </c>
      <c r="U31" s="9" t="str">
        <f t="shared" si="2"/>
        <v>4046</v>
      </c>
      <c r="V31" s="36">
        <f t="shared" si="3"/>
        <v>42673.863553240742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ID","value":"183-30"},{"id":16,"name":"Locomotive ID","value":"4046"},{"id":130,"name":"Impact","value":""},{"id":150,"name":"Time of Event (Mountain Time)","value":"14:43:31"},{"id":151,"name":"Denver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"%USERPROFILE%\AppData\Local\Temp\OnboardLogs"\RTDC4046\*4046*201610302* | grep -SE "((Enforcement Ac)|(PRM))" -</v>
      </c>
      <c r="AD31" s="1"/>
    </row>
    <row r="32" spans="1:30" x14ac:dyDescent="0.25">
      <c r="A32" s="36">
        <v>42673.639652777776</v>
      </c>
      <c r="B32" s="31" t="s">
        <v>288</v>
      </c>
      <c r="C32" s="31" t="s">
        <v>416</v>
      </c>
      <c r="D32" s="31" t="s">
        <v>49</v>
      </c>
      <c r="E32" s="31" t="s">
        <v>233</v>
      </c>
      <c r="F32" s="47">
        <v>0</v>
      </c>
      <c r="G32" s="47">
        <v>39</v>
      </c>
      <c r="H32" s="47">
        <v>233343</v>
      </c>
      <c r="I32" s="47">
        <v>233370</v>
      </c>
      <c r="J32" s="31" t="s">
        <v>234</v>
      </c>
      <c r="K32" s="47">
        <v>233491</v>
      </c>
      <c r="L32" s="157" t="s">
        <v>50</v>
      </c>
      <c r="M32" s="158">
        <f t="shared" si="0"/>
        <v>63.887999999999998</v>
      </c>
      <c r="N32" s="159" t="str">
        <f>VLOOKUP(C32,'Trips&amp;Operators'!$C$1:$E$99999,3,FALSE)</f>
        <v>BARTLETT</v>
      </c>
      <c r="O32" s="184" t="s">
        <v>227</v>
      </c>
      <c r="P32" s="160"/>
      <c r="Q32" s="31"/>
      <c r="R32" s="100" t="str">
        <f>VLOOKUP(C32,'Train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32" s="103" t="str">
        <f>VLOOKUP(C32,'Train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13:36:50-0600',mode:absolute,to:'2016-10-30 16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2" s="105" t="str">
        <f t="shared" si="1"/>
        <v>"C:\Program Files (x86)\AstroGrep\AstroGrep.exe" /spath="%USERPROFILE%\AppData\Local\Temp\OnboardLogs" /stypes="*4038*201610302*" /stext=" 21:.+((SYSTEM_STATE.+slice.+state.+changed )|(ment ac)|(system.+state.+changed )|(\[timeout)|(PRM\|1\|D)|(kpr)|(kdp)|(\|lc)|(penalty))" /e /r /s</v>
      </c>
      <c r="U32" s="9" t="str">
        <f t="shared" si="2"/>
        <v>4038</v>
      </c>
      <c r="V32" s="36">
        <f t="shared" si="3"/>
        <v>42673.889652777776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ID","value":"189-30"},{"id":16,"name":"Locomotive ID","value":"4038"},{"id":130,"name":"Impact","value":""},{"id":150,"name":"Time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"%USERPROFILE%\AppData\Local\Temp\OnboardLogs"\RTDC4038\*4038*201610302* | grep -SE "((Enforcement Ac)|(PRM))" -</v>
      </c>
      <c r="AD32" s="1"/>
    </row>
    <row r="33" spans="1:30" ht="15" customHeight="1" x14ac:dyDescent="0.25">
      <c r="A33" s="36">
        <v>42673.714317129627</v>
      </c>
      <c r="B33" s="31" t="s">
        <v>288</v>
      </c>
      <c r="C33" s="31" t="s">
        <v>420</v>
      </c>
      <c r="D33" s="31" t="s">
        <v>49</v>
      </c>
      <c r="E33" s="31" t="s">
        <v>233</v>
      </c>
      <c r="F33" s="47">
        <v>0</v>
      </c>
      <c r="G33" s="47">
        <v>36</v>
      </c>
      <c r="H33" s="47">
        <v>233389</v>
      </c>
      <c r="I33" s="47">
        <v>233404</v>
      </c>
      <c r="J33" s="31" t="s">
        <v>234</v>
      </c>
      <c r="K33" s="47">
        <v>233491</v>
      </c>
      <c r="L33" s="157" t="s">
        <v>50</v>
      </c>
      <c r="M33" s="158">
        <f t="shared" si="0"/>
        <v>45.936</v>
      </c>
      <c r="N33" s="159" t="str">
        <f>VLOOKUP(C33,'Trips&amp;Operators'!$C$1:$E$99999,3,FALSE)</f>
        <v>BARTLETT</v>
      </c>
      <c r="O33" s="184" t="s">
        <v>227</v>
      </c>
      <c r="P33" s="160"/>
      <c r="Q33" s="31"/>
      <c r="R33" s="100" t="str">
        <f>VLOOKUP(C33,'Train Runs'!$A$13:$AE$10018,31,0)</f>
        <v>aws s3 cp s3://rtdc.mdm.uploadarchive.raw/RTDC4038/ "%USERPROFILE%\AppData\Local\Temp\OnboardLogs"\RTDC4038\2016-10-30 --exclude "*" --recursive --include "*20161030*" &amp; "%USERPROFILE%\Documents\GitHub\mrs-test-scripts\Headless Mode &amp; Sideloading\WalkAndUnGZ.bat" "%USERPROFILE%\AppData\Local\Temp\OnboardLogs"\RTDC4038\2016-10-30 &amp; aws s3 cp s3://rtdc.mdm.uploadarchive.raw/RTDC4038/ "%USERPROFILE%\AppData\Local\Temp\OnboardLogs"\RTDC4038\2016-10-31 --exclude "*" --recursive --include "*20161031*" &amp; "%USERPROFILE%\Documents\GitHub\mrs-test-scripts\Headless Mode &amp; Sideloading\WalkAndUnGZ.bat" "%USERPROFILE%\AppData\Local\Temp\OnboardLogs"\RTDC4038\2016-10-31</v>
      </c>
      <c r="S33" s="103" t="str">
        <f>VLOOKUP(C33,'Train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15:21:32-0600',mode:absolute,to:'2016-10-30 18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33" s="105" t="str">
        <f t="shared" si="1"/>
        <v>"C:\Program Files (x86)\AstroGrep\AstroGrep.exe" /spath="%USERPROFILE%\AppData\Local\Temp\OnboardLogs" /stypes="*4038*201610302*" /stext=" 23:.+((SYSTEM_STATE.+slice.+state.+changed )|(ment ac)|(system.+state.+changed )|(\[timeout)|(PRM\|1\|D)|(kpr)|(kdp)|(\|lc)|(penalty))" /e /r /s</v>
      </c>
      <c r="U33" s="9" t="str">
        <f t="shared" si="2"/>
        <v>4038</v>
      </c>
      <c r="V33" s="36">
        <f t="shared" si="3"/>
        <v>42673.964317129627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{"issue":{"subject":"","project_id":79,"tracker_id":40,"status_id":1,"priority_id":2,"assigned_to_id":23,"start_date":"2016-10-30","description":"","custom_fields":[{"id":1,"name":"Subdivision","value":"EC"},{"id":4,"name":"Milepost","value":"23.3491"},{"id":17,"name":"Train ID","value":"203-30"},{"id":16,"name":"Locomotive ID","value":"4038"},{"id":130,"name":"Impact","value":""},{"id":150,"name":"Time of Event (Mountain Time)","value":"17:08:37"},{"id":151,"name":"Denver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"%USERPROFILE%\AppData\Local\Temp\OnboardLogs"\RTDC4038\*4038*201610302* | grep -SE "((Enforcement Ac)|(PRM))" -</v>
      </c>
      <c r="AD33" s="1"/>
    </row>
    <row r="34" spans="1:30" x14ac:dyDescent="0.25">
      <c r="A34" s="36">
        <v>42673.641388888886</v>
      </c>
      <c r="B34" s="31" t="s">
        <v>304</v>
      </c>
      <c r="C34" s="31" t="s">
        <v>417</v>
      </c>
      <c r="D34" s="31" t="s">
        <v>98</v>
      </c>
      <c r="E34" s="31" t="s">
        <v>228</v>
      </c>
      <c r="F34" s="47">
        <v>150</v>
      </c>
      <c r="G34" s="47">
        <v>204</v>
      </c>
      <c r="H34" s="47">
        <v>5627</v>
      </c>
      <c r="I34" s="47">
        <v>5903</v>
      </c>
      <c r="J34" s="31" t="s">
        <v>229</v>
      </c>
      <c r="K34" s="47">
        <v>574</v>
      </c>
      <c r="L34" s="157" t="s">
        <v>50</v>
      </c>
      <c r="M34" s="158">
        <f t="shared" si="0"/>
        <v>-2813.7120000000004</v>
      </c>
      <c r="N34" s="159" t="str">
        <f>VLOOKUP(C34,'Trips&amp;Operators'!$C$1:$E$99999,3,FALSE)</f>
        <v>JACKSON</v>
      </c>
      <c r="O34" s="184" t="s">
        <v>227</v>
      </c>
      <c r="P34" s="160"/>
      <c r="Q34" s="31"/>
      <c r="R34" s="100" t="str">
        <f>VLOOKUP(C34,'Train Runs'!$A$13:$AE$10018,31,0)</f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S34" s="103" t="str">
        <f>VLOOKUP(C34,'Train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4" s="105" t="str">
        <f t="shared" si="1"/>
        <v>"C:\Program Files (x86)\AstroGrep\AstroGrep.exe" /spath="%USERPROFILE%\AppData\Local\Temp\OnboardLogs" /stypes="*4022*201610302*" /stext=" 21:.+((SYSTEM_STATE.+slice.+state.+changed )|(ment ac)|(system.+state.+changed )|(\[timeout)|(PRM\|1\|D)|(kpr)|(kdp)|(\|lc)|(penalty))" /e /r /s</v>
      </c>
      <c r="U34" s="9" t="str">
        <f t="shared" si="2"/>
        <v>4022</v>
      </c>
      <c r="V34" s="36">
        <f t="shared" si="3"/>
        <v>42673.891388888886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{"issue":{"subject":"","project_id":79,"tracker_id":40,"status_id":1,"priority_id":2,"assigned_to_id":23,"start_date":"2016-10-30","description":"","custom_fields":[{"id":1,"name":"Subdivision","value":"NW"},{"id":4,"name":"Milepost","value":"0.0574"},{"id":17,"name":"Train ID","value":"1819-30"},{"id":16,"name":"Locomotive ID","value":"4022"},{"id":130,"name":"Impact","value":""},{"id":150,"name":"Time of Event (Mountain Time)","value":"15:23:36"},{"id":151,"name":"Denver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"%USERPROFILE%\AppData\Local\Temp\OnboardLogs"\RTDC4022\*4022*201610302* | grep -SE "((Enforcement Ac)|(PRM))" -</v>
      </c>
      <c r="AD34" s="1"/>
    </row>
    <row r="35" spans="1:30" x14ac:dyDescent="0.25">
      <c r="A35" s="36">
        <v>42673.865590277775</v>
      </c>
      <c r="B35" s="31" t="s">
        <v>264</v>
      </c>
      <c r="C35" s="31" t="s">
        <v>425</v>
      </c>
      <c r="D35" s="31" t="s">
        <v>98</v>
      </c>
      <c r="E35" s="31" t="s">
        <v>231</v>
      </c>
      <c r="F35" s="47">
        <v>200</v>
      </c>
      <c r="G35" s="47">
        <v>253</v>
      </c>
      <c r="H35" s="47">
        <v>50766</v>
      </c>
      <c r="I35" s="47">
        <v>50034</v>
      </c>
      <c r="J35" s="31" t="s">
        <v>232</v>
      </c>
      <c r="K35" s="47">
        <v>58475</v>
      </c>
      <c r="L35" s="157" t="s">
        <v>51</v>
      </c>
      <c r="M35" s="158">
        <f t="shared" si="0"/>
        <v>-4456.848</v>
      </c>
      <c r="N35" s="159" t="str">
        <f>VLOOKUP(C35,'Trips&amp;Operators'!$C$1:$E$99999,3,FALSE)</f>
        <v>JACKSON</v>
      </c>
      <c r="O35" s="184" t="s">
        <v>227</v>
      </c>
      <c r="P35" s="160" t="s">
        <v>787</v>
      </c>
      <c r="Q35" s="31"/>
      <c r="R35" s="100" t="str">
        <f>VLOOKUP(C35,'Train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5" s="103" t="str">
        <f>VLOOKUP(C35,'Train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19:37:19-0600',mode:absolute,to:'2016-10-30 21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5" s="105" t="str">
        <f t="shared" si="1"/>
        <v>"C:\Program Files (x86)\AstroGrep\AstroGrep.exe" /spath="%USERPROFILE%\AppData\Local\Temp\OnboardLogs" /stypes="*4021*201610310*" /stext=" 02:.+((SYSTEM_STATE.+slice.+state.+changed )|(ment ac)|(system.+state.+changed )|(\[timeout)|(PRM\|1\|D)|(kpr)|(kdp)|(\|lc)|(penalty))" /e /r /s</v>
      </c>
      <c r="U35" s="9" t="str">
        <f t="shared" si="2"/>
        <v>4021</v>
      </c>
      <c r="V35" s="36">
        <f t="shared" si="3"/>
        <v>42674.115590277775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{"issue":{"subject":"Overspeed - went active past Westminster 2S","project_id":79,"tracker_id":40,"status_id":1,"priority_id":2,"assigned_to_id":23,"start_date":"2016-10-30","description":"","custom_fields":[{"id":1,"name":"Subdivision","value":"NW"},{"id":4,"name":"Milepost","value":"5.8475"},{"id":17,"name":"Train ID","value":"1830-30"},{"id":16,"name":"Locomotive ID","value":"4021"},{"id":130,"name":"Impact","value":""},{"id":150,"name":"Time of Event (Mountain Time)","value":"20:46:27"},{"id":151,"name":"Denver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"%USERPROFILE%\AppData\Local\Temp\OnboardLogs"\RTDC4021\*4021*201610310* | grep -SE "((Enforcement Ac)|(PRM))" -</v>
      </c>
      <c r="AD35" s="1"/>
    </row>
    <row r="36" spans="1:30" x14ac:dyDescent="0.25">
      <c r="A36" s="36">
        <v>42673.288564814815</v>
      </c>
      <c r="B36" s="31" t="s">
        <v>264</v>
      </c>
      <c r="C36" s="31" t="s">
        <v>393</v>
      </c>
      <c r="D36" s="31" t="s">
        <v>49</v>
      </c>
      <c r="E36" s="31" t="s">
        <v>233</v>
      </c>
      <c r="F36" s="47">
        <v>0</v>
      </c>
      <c r="G36" s="47">
        <v>46</v>
      </c>
      <c r="H36" s="47">
        <v>724</v>
      </c>
      <c r="I36" s="47">
        <v>706</v>
      </c>
      <c r="J36" s="31" t="s">
        <v>234</v>
      </c>
      <c r="K36" s="47">
        <v>575</v>
      </c>
      <c r="L36" s="157" t="s">
        <v>51</v>
      </c>
      <c r="M36" s="158">
        <f t="shared" si="0"/>
        <v>69.168000000000006</v>
      </c>
      <c r="N36" s="159" t="str">
        <f>VLOOKUP(C36,'Trips&amp;Operators'!$C$1:$E$99999,3,FALSE)</f>
        <v>STARKS</v>
      </c>
      <c r="O36" s="184" t="s">
        <v>227</v>
      </c>
      <c r="P36" s="160"/>
      <c r="Q36" s="31"/>
      <c r="R36" s="100" t="str">
        <f>VLOOKUP(C36,'Train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6" s="103" t="str">
        <f>VLOOKUP(C36,'Train Runs'!$A$13:$AE$10018,22,0)</f>
        <v>https://search-rtdc-monitor-bjffxe2xuh6vdkpspy63sjmuny.us-east-1.es.amazonaws.com/_plugin/kibana/#/discover/Steve-Slow-Train-Analysis-(2080s-and-2083s)?_g=(refreshInterval:(display:Off,section:0,value:0),time:(from:'2016-10-30 05:37:05-0600',mode:absolute,to:'2016-10-30 07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5" t="str">
        <f t="shared" si="1"/>
        <v>"C:\Program Files (x86)\AstroGrep\AstroGrep.exe" /spath="%USERPROFILE%\AppData\Local\Temp\OnboardLogs" /stypes="*4021*201610301*" /stext=" 12:.+((SYSTEM_STATE.+slice.+state.+changed )|(ment ac)|(system.+state.+changed )|(\[timeout)|(PRM\|1\|D)|(kpr)|(kdp)|(\|lc)|(penalty))" /e /r /s</v>
      </c>
      <c r="U36" s="9" t="str">
        <f t="shared" si="2"/>
        <v>4021</v>
      </c>
      <c r="V36" s="36">
        <f t="shared" si="3"/>
        <v>42673.538564814815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ID","value":"1802-30"},{"id":16,"name":"Locomotive ID","value":"4021"},{"id":130,"name":"Impact","value":""},{"id":150,"name":"Time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"%USERPROFILE%\AppData\Local\Temp\OnboardLogs"\RTDC4021\*4021*201610301* | grep -SE "((Enforcement Ac)|(PRM))" -</v>
      </c>
      <c r="AD36" s="1"/>
    </row>
    <row r="37" spans="1:30" x14ac:dyDescent="0.25">
      <c r="A37" s="36">
        <v>42673.413842592592</v>
      </c>
      <c r="B37" s="31" t="s">
        <v>264</v>
      </c>
      <c r="C37" s="31" t="s">
        <v>400</v>
      </c>
      <c r="D37" s="31" t="s">
        <v>49</v>
      </c>
      <c r="E37" s="31" t="s">
        <v>233</v>
      </c>
      <c r="F37" s="47">
        <v>0</v>
      </c>
      <c r="G37" s="47">
        <v>54</v>
      </c>
      <c r="H37" s="47">
        <v>764</v>
      </c>
      <c r="I37" s="47">
        <v>736</v>
      </c>
      <c r="J37" s="31" t="s">
        <v>234</v>
      </c>
      <c r="K37" s="47">
        <v>575</v>
      </c>
      <c r="L37" s="157" t="s">
        <v>51</v>
      </c>
      <c r="M37" s="158">
        <f t="shared" si="0"/>
        <v>85.007999999999996</v>
      </c>
      <c r="N37" s="159" t="str">
        <f>VLOOKUP(C37,'Trips&amp;Operators'!$C$1:$E$99999,3,FALSE)</f>
        <v>STARKS</v>
      </c>
      <c r="O37" s="184" t="s">
        <v>227</v>
      </c>
      <c r="P37" s="160"/>
      <c r="Q37" s="31"/>
      <c r="R37" s="100" t="str">
        <f>VLOOKUP(C37,'Train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7" s="103" t="str">
        <f>VLOOKUP(C37,'Train Runs'!$A$13:$AE$10018,22,0)</f>
        <v>https://search-rtdc-monitor-bjffxe2xuh6vdkpspy63sjmuny.us-east-1.es.amazonaws.com/_plugin/kibana/#/discover/Steve-Slow-Train-Analysis-(2080s-and-2083s)?_g=(refreshInterval:(display:Off,section:0,value:0),time:(from:'2016-10-30 08:36:53-0600',mode:absolute,to:'2016-10-30 10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7" s="105" t="str">
        <f t="shared" si="1"/>
        <v>"C:\Program Files (x86)\AstroGrep\AstroGrep.exe" /spath="%USERPROFILE%\AppData\Local\Temp\OnboardLogs" /stypes="*4021*201610301*" /stext=" 15:.+((SYSTEM_STATE.+slice.+state.+changed )|(ment ac)|(system.+state.+changed )|(\[timeout)|(PRM\|1\|D)|(kpr)|(kdp)|(\|lc)|(penalty))" /e /r /s</v>
      </c>
      <c r="U37" s="9" t="str">
        <f t="shared" si="2"/>
        <v>4021</v>
      </c>
      <c r="V37" s="36">
        <f t="shared" si="3"/>
        <v>42673.663842592592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ID","value":"1808-30"},{"id":16,"name":"Locomotive ID","value":"4021"},{"id":130,"name":"Impact","value":""},{"id":150,"name":"Time of Event (Mountain Time)","value":"09:55:56"},{"id":151,"name":"Denver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"%USERPROFILE%\AppData\Local\Temp\OnboardLogs"\RTDC4021\*4021*201610301* | grep -SE "((Enforcement Ac)|(PRM))" -</v>
      </c>
      <c r="AD37" s="1"/>
    </row>
    <row r="38" spans="1:30" x14ac:dyDescent="0.25">
      <c r="A38" s="36">
        <v>42673.623194444444</v>
      </c>
      <c r="B38" s="31" t="s">
        <v>264</v>
      </c>
      <c r="C38" s="31" t="s">
        <v>415</v>
      </c>
      <c r="D38" s="31" t="s">
        <v>49</v>
      </c>
      <c r="E38" s="31" t="s">
        <v>233</v>
      </c>
      <c r="F38" s="47">
        <v>0</v>
      </c>
      <c r="G38" s="47">
        <v>53</v>
      </c>
      <c r="H38" s="47">
        <v>759</v>
      </c>
      <c r="I38" s="47">
        <v>738</v>
      </c>
      <c r="J38" s="31" t="s">
        <v>234</v>
      </c>
      <c r="K38" s="47">
        <v>575</v>
      </c>
      <c r="L38" s="157" t="s">
        <v>51</v>
      </c>
      <c r="M38" s="158">
        <f t="shared" si="0"/>
        <v>86.063999999999993</v>
      </c>
      <c r="N38" s="159" t="str">
        <f>VLOOKUP(C38,'Trips&amp;Operators'!$C$1:$E$99999,3,FALSE)</f>
        <v>JACKSON</v>
      </c>
      <c r="O38" s="184" t="s">
        <v>227</v>
      </c>
      <c r="P38" s="160"/>
      <c r="Q38" s="31"/>
      <c r="R38" s="100" t="str">
        <f>VLOOKUP(C38,'Train Runs'!$A$13:$AE$10018,31,0)</f>
        <v>aws s3 cp s3://rtdc.mdm.uploadarchive.raw/RTDC4021/ "%USERPROFILE%\AppData\Local\Temp\OnboardLogs"\RTDC4021\2016-10-30 --exclude "*" --recursive --include "*20161030*" &amp; "%USERPROFILE%\Documents\GitHub\mrs-test-scripts\Headless Mode &amp; Sideloading\WalkAndUnGZ.bat" "%USERPROFILE%\AppData\Local\Temp\OnboardLogs"\RTDC4021\2016-10-30 &amp; aws s3 cp s3://rtdc.mdm.uploadarchive.raw/RTDC4021/ "%USERPROFILE%\AppData\Local\Temp\OnboardLogs"\RTDC4021\2016-10-31 --exclude "*" --recursive --include "*20161031*" &amp; "%USERPROFILE%\Documents\GitHub\mrs-test-scripts\Headless Mode &amp; Sideloading\WalkAndUnGZ.bat" "%USERPROFILE%\AppData\Local\Temp\OnboardLogs"\RTDC4021\2016-10-31</v>
      </c>
      <c r="S38" s="103" t="str">
        <f>VLOOKUP(C38,'Train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13:39:41-0600',mode:absolute,to:'2016-10-30 15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8" s="105" t="str">
        <f t="shared" si="1"/>
        <v>"C:\Program Files (x86)\AstroGrep\AstroGrep.exe" /spath="%USERPROFILE%\AppData\Local\Temp\OnboardLogs" /stypes="*4021*201610302*" /stext=" 20:.+((SYSTEM_STATE.+slice.+state.+changed )|(ment ac)|(system.+state.+changed )|(\[timeout)|(PRM\|1\|D)|(kpr)|(kdp)|(\|lc)|(penalty))" /e /r /s</v>
      </c>
      <c r="U38" s="9" t="str">
        <f t="shared" si="2"/>
        <v>4021</v>
      </c>
      <c r="V38" s="36">
        <f t="shared" si="3"/>
        <v>42673.873194444444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{"issue":{"subject":"","project_id":79,"tracker_id":40,"status_id":1,"priority_id":2,"assigned_to_id":23,"start_date":"2016-10-30","description":"","custom_fields":[{"id":1,"name":"Subdivision","value":"NW"},{"id":4,"name":"Milepost","value":"0.0575"},{"id":17,"name":"Train ID","value":"1818-30"},{"id":16,"name":"Locomotive ID","value":"4021"},{"id":130,"name":"Impact","value":""},{"id":150,"name":"Time of Event (Mountain Time)","value":"14:57:24"},{"id":151,"name":"Denver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"%USERPROFILE%\AppData\Local\Temp\OnboardLogs"\RTDC4021\*4021*201610302* | grep -SE "((Enforcement Ac)|(PRM))" -</v>
      </c>
      <c r="AD38" s="1"/>
    </row>
    <row r="39" spans="1:30" x14ac:dyDescent="0.25">
      <c r="A39" s="36">
        <v>42673.650891203702</v>
      </c>
      <c r="B39" s="31" t="s">
        <v>304</v>
      </c>
      <c r="C39" s="31" t="s">
        <v>417</v>
      </c>
      <c r="D39" s="31" t="s">
        <v>49</v>
      </c>
      <c r="E39" s="31" t="s">
        <v>233</v>
      </c>
      <c r="F39" s="47">
        <v>0</v>
      </c>
      <c r="G39" s="47">
        <v>53</v>
      </c>
      <c r="H39" s="47">
        <v>58863</v>
      </c>
      <c r="I39" s="47">
        <v>58910</v>
      </c>
      <c r="J39" s="31" t="s">
        <v>234</v>
      </c>
      <c r="K39" s="47">
        <v>59058</v>
      </c>
      <c r="L39" s="157" t="s">
        <v>50</v>
      </c>
      <c r="M39" s="158">
        <f t="shared" si="0"/>
        <v>78.144000000000005</v>
      </c>
      <c r="N39" s="159" t="str">
        <f>VLOOKUP(C39,'Trips&amp;Operators'!$C$1:$E$99999,3,FALSE)</f>
        <v>JACKSON</v>
      </c>
      <c r="O39" s="184" t="s">
        <v>227</v>
      </c>
      <c r="P39" s="160"/>
      <c r="Q39" s="31"/>
      <c r="R39" s="100" t="str">
        <f>VLOOKUP(C39,'Train Runs'!$A$13:$AE$10018,31,0)</f>
        <v>aws s3 cp s3://rtdc.mdm.uploadarchive.raw/RTDC4022/ "%USERPROFILE%\AppData\Local\Temp\OnboardLogs"\RTDC4022\2016-10-30 --exclude "*" --recursive --include "*20161030*" &amp; "%USERPROFILE%\Documents\GitHub\mrs-test-scripts\Headless Mode &amp; Sideloading\WalkAndUnGZ.bat" "%USERPROFILE%\AppData\Local\Temp\OnboardLogs"\RTDC4022\2016-10-30 &amp; aws s3 cp s3://rtdc.mdm.uploadarchive.raw/RTDC4022/ "%USERPROFILE%\AppData\Local\Temp\OnboardLogs"\RTDC4022\2016-10-31 --exclude "*" --recursive --include "*20161031*" &amp; "%USERPROFILE%\Documents\GitHub\mrs-test-scripts\Headless Mode &amp; Sideloading\WalkAndUnGZ.bat" "%USERPROFILE%\AppData\Local\Temp\OnboardLogs"\RTDC4022\2016-10-31</v>
      </c>
      <c r="S39" s="103" t="str">
        <f>VLOOKUP(C39,'Train Runs'!$A$13:$AE$10018,22,0)</f>
        <v>https://search-rtdc-monitor-bjffxe2xuh6vdkpspy63sjmuny.us-east-1.es.amazonaws.com/_plugin/kibana/#/discover/Steve-Slow-Train-Analysis-(2080s-and-2083s)?_g=(refreshInterval:(display:Off,section:0,value:0),time:(from:'2016-10-30 14:03:27-0600',mode:absolute,to:'2016-10-30 16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 t="shared" si="1"/>
        <v>"C:\Program Files (x86)\AstroGrep\AstroGrep.exe" /spath="%USERPROFILE%\AppData\Local\Temp\OnboardLogs" /stypes="*4022*201610302*" /stext=" 21:.+((SYSTEM_STATE.+slice.+state.+changed )|(ment ac)|(system.+state.+changed )|(\[timeout)|(PRM\|1\|D)|(kpr)|(kdp)|(\|lc)|(penalty))" /e /r /s</v>
      </c>
      <c r="U39" s="9" t="str">
        <f t="shared" si="2"/>
        <v>4022</v>
      </c>
      <c r="V39" s="36">
        <f t="shared" si="3"/>
        <v>42673.900891203702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{"issue":{"subject":"","project_id":79,"tracker_id":40,"status_id":1,"priority_id":2,"assigned_to_id":23,"start_date":"2016-10-30","description":"","custom_fields":[{"id":1,"name":"Subdivision","value":"NW"},{"id":4,"name":"Milepost","value":"5.9058"},{"id":17,"name":"Train ID","value":"1819-30"},{"id":16,"name":"Locomotive ID","value":"4022"},{"id":130,"name":"Impact","value":""},{"id":150,"name":"Time of Event (Mountain Time)","value":"15:37:17"},{"id":151,"name":"Denver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"%USERPROFILE%\AppData\Local\Temp\OnboardLogs"\RTDC4022\*4022*201610302* | grep -SE "((Enforcement Ac)|(PRM))" -</v>
      </c>
      <c r="AD39" s="1"/>
    </row>
    <row r="40" spans="1:30" x14ac:dyDescent="0.25">
      <c r="A40" s="36">
        <v>42673.822754629633</v>
      </c>
      <c r="B40" s="31" t="s">
        <v>267</v>
      </c>
      <c r="C40" s="31" t="s">
        <v>423</v>
      </c>
      <c r="D40" s="31" t="s">
        <v>98</v>
      </c>
      <c r="E40" s="31" t="s">
        <v>228</v>
      </c>
      <c r="F40" s="47">
        <v>350</v>
      </c>
      <c r="G40" s="47">
        <v>400</v>
      </c>
      <c r="H40" s="47">
        <v>225127</v>
      </c>
      <c r="I40" s="47">
        <v>224044</v>
      </c>
      <c r="J40" s="31" t="s">
        <v>229</v>
      </c>
      <c r="K40" s="47">
        <v>228668</v>
      </c>
      <c r="L40" s="157" t="s">
        <v>51</v>
      </c>
      <c r="M40" s="158">
        <f t="shared" si="0"/>
        <v>-2441.4720000000002</v>
      </c>
      <c r="N40" s="159" t="str">
        <f>VLOOKUP(C40,'Trips&amp;Operators'!$C$1:$E$99999,3,FALSE)</f>
        <v>HAITHCOX</v>
      </c>
      <c r="O40" s="184" t="s">
        <v>227</v>
      </c>
      <c r="P40" s="160"/>
      <c r="Q40" s="31"/>
      <c r="R40" s="100" t="str">
        <f>VLOOKUP(C40,'Train Runs'!$A$13:$AE$10018,31,0)</f>
        <v>aws s3 cp s3://rtdc.mdm.uploadarchive.raw/RTDC4001/ "%USERPROFILE%\AppData\Local\Temp\OnboardLogs"\RTDC4001\2016-10-30 --exclude "*" --recursive --include "*20161030*" &amp; "%USERPROFILE%\Documents\GitHub\mrs-test-scripts\Headless Mode &amp; Sideloading\WalkAndUnGZ.bat" "%USERPROFILE%\AppData\Local\Temp\OnboardLogs"\RTDC4001\2016-10-30 &amp; aws s3 cp s3://rtdc.mdm.uploadarchive.raw/RTDC4001/ "%USERPROFILE%\AppData\Local\Temp\OnboardLogs"\RTDC4001\2016-10-31 --exclude "*" --recursive --include "*20161031*" &amp; "%USERPROFILE%\Documents\GitHub\mrs-test-scripts\Headless Mode &amp; Sideloading\WalkAndUnGZ.bat" "%USERPROFILE%\AppData\Local\Temp\OnboardLogs"\RTDC4001\2016-10-31</v>
      </c>
      <c r="S40" s="103" t="str">
        <f>VLOOKUP(C40,'Train Runs'!$A$13:$AE$10018,22,0)</f>
        <v>https://search-rtdc-monitor-bjffxe2xuh6vdkpspy63sjmuny.us-east-1.es.amazonaws.com/_plugin/kibana/#/discover/Steve-Slow-Train-Analysis-(2080s-and-2083s)?_g=(refreshInterval:(display:Off,section:0,value:0),time:(from:'2016-10-30 18:39:30-0600',mode:absolute,to:'2016-10-30 21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0" s="105" t="str">
        <f t="shared" si="1"/>
        <v>"C:\Program Files (x86)\AstroGrep\AstroGrep.exe" /spath="%USERPROFILE%\AppData\Local\Temp\OnboardLogs" /stypes="*4001*201610310*" /stext=" 01:.+((SYSTEM_STATE.+slice.+state.+changed )|(ment ac)|(system.+state.+changed )|(\[timeout)|(PRM\|1\|D)|(kpr)|(kdp)|(\|lc)|(penalty))" /e /r /s</v>
      </c>
      <c r="U40" s="9" t="str">
        <f t="shared" si="2"/>
        <v>4001</v>
      </c>
      <c r="V40" s="36">
        <f t="shared" si="3"/>
        <v>42674.072754629633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{"issue":{"subject":"","project_id":79,"tracker_id":40,"status_id":1,"priority_id":2,"assigned_to_id":23,"start_date":"2016-10-30","description":"","custom_fields":[{"id":1,"name":"Subdivision","value":"Other"},{"id":4,"name":"Milepost","value":"22.8668"},{"id":17,"name":"Train ID","value":"80-30"},{"id":16,"name":"Locomotive ID","value":"4001"},{"id":130,"name":"Impact","value":""},{"id":150,"name":"Time of Event (Mountain Time)","value":"19:44:46"},{"id":151,"name":"Denver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"%USERPROFILE%\AppData\Local\Temp\OnboardLogs"\RTDC4001\*4001*201610310* | grep -SE "((Enforcement Ac)|(PRM))" -</v>
      </c>
      <c r="AD40" s="1"/>
    </row>
    <row r="41" spans="1:30" x14ac:dyDescent="0.25">
      <c r="A41" s="36">
        <v>42673.597303240742</v>
      </c>
      <c r="B41" s="31" t="s">
        <v>341</v>
      </c>
      <c r="C41" s="31" t="s">
        <v>412</v>
      </c>
      <c r="D41" s="31" t="s">
        <v>98</v>
      </c>
      <c r="E41" s="31" t="s">
        <v>231</v>
      </c>
      <c r="F41" s="47">
        <v>0</v>
      </c>
      <c r="G41" s="47">
        <v>53</v>
      </c>
      <c r="H41" s="47">
        <v>1775</v>
      </c>
      <c r="I41" s="47">
        <v>1860</v>
      </c>
      <c r="J41" s="31" t="s">
        <v>232</v>
      </c>
      <c r="K41" s="47">
        <v>1692</v>
      </c>
      <c r="L41" s="157" t="s">
        <v>50</v>
      </c>
      <c r="M41" s="158">
        <f t="shared" si="0"/>
        <v>-88.703999999999994</v>
      </c>
      <c r="N41" s="159" t="str">
        <f>VLOOKUP(C41,'Trips&amp;Operators'!$C$1:$E$99999,3,FALSE)</f>
        <v>ISHMAEL</v>
      </c>
      <c r="O41" s="184" t="s">
        <v>227</v>
      </c>
      <c r="P41" s="160"/>
      <c r="Q41" s="31"/>
      <c r="R41" s="100" t="str">
        <f>VLOOKUP(C41,'Train Runs'!$A$13:$AE$10018,31,0)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S41" s="103" t="str">
        <f>VLOOKUP(C41,'Train Runs'!$A$13:$AE$10018,22,0)</f>
        <v>https://search-rtdc-monitor-bjffxe2xuh6vdkpspy63sjmuny.us-east-1.es.amazonaws.com/_plugin/kibana/#/discover/Steve-Slow-Train-Analysis-(2080s-and-2083s)?_g=(refreshInterval:(display:Off,section:0,value:0),time:(from:'2016-10-30 13:09:12-0600',mode:absolute,to:'1969-12-31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41" s="105" t="str">
        <f t="shared" si="1"/>
        <v>"C:\Program Files (x86)\AstroGrep\AstroGrep.exe" /spath="%USERPROFILE%\AppData\Local\Temp\OnboardLogs" /stypes="*4006*201610302*" /stext=" 20:.+((SYSTEM_STATE.+slice.+state.+changed )|(ment ac)|(system.+state.+changed )|(\[timeout)|(PRM\|1\|D)|(kpr)|(kdp)|(\|lc)|(penalty))" /e /r /s</v>
      </c>
      <c r="U41" s="9" t="str">
        <f t="shared" si="2"/>
        <v>4006</v>
      </c>
      <c r="V41" s="36">
        <f t="shared" si="3"/>
        <v>42673.847303240742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{"issue":{"subject":"","project_id":79,"tracker_id":40,"status_id":1,"priority_id":2,"assigned_to_id":23,"start_date":"2016-10-30","description":"","custom_fields":[{"id":1,"name":"Subdivision","value":"Other"},{"id":4,"name":"Milepost","value":"0.1692"},{"id":17,"name":"Train ID","value":"55-30"},{"id":16,"name":"Locomotive ID","value":"4006"},{"id":130,"name":"Impact","value":""},{"id":150,"name":"Time of Event (Mountain Time)","value":"14:20:07"},{"id":151,"name":"Denver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"%USERPROFILE%\AppData\Local\Temp\OnboardLogs"\RTDC4006\*4006*201610302* | grep -SE "((Enforcement Ac)|(PRM))" -</v>
      </c>
      <c r="AD41" s="1"/>
    </row>
    <row r="42" spans="1:30" x14ac:dyDescent="0.25">
      <c r="A42" s="36">
        <v>42673.584837962961</v>
      </c>
      <c r="B42" s="31" t="s">
        <v>190</v>
      </c>
      <c r="C42" s="31" t="s">
        <v>411</v>
      </c>
      <c r="D42" s="31" t="s">
        <v>98</v>
      </c>
      <c r="E42" s="31" t="s">
        <v>231</v>
      </c>
      <c r="F42" s="47">
        <v>200</v>
      </c>
      <c r="G42" s="47">
        <v>260</v>
      </c>
      <c r="H42" s="47">
        <v>21225</v>
      </c>
      <c r="I42" s="47">
        <v>20712</v>
      </c>
      <c r="J42" s="31" t="s">
        <v>232</v>
      </c>
      <c r="K42" s="47">
        <v>24161</v>
      </c>
      <c r="L42" s="157" t="s">
        <v>51</v>
      </c>
      <c r="M42" s="158">
        <f t="shared" si="0"/>
        <v>-1821.0719999999999</v>
      </c>
      <c r="N42" s="159" t="str">
        <f>VLOOKUP(C42,'Trips&amp;Operators'!$C$1:$E$99999,3,FALSE)</f>
        <v>JACKSON</v>
      </c>
      <c r="O42" s="184" t="s">
        <v>227</v>
      </c>
      <c r="P42" s="160"/>
      <c r="Q42" s="31"/>
      <c r="R42" s="100" t="str">
        <f>VLOOKUP(C42,'Train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2" s="103" t="str">
        <f>VLOOKUP(C42,'Train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/stypes="*4010*201610302*" /stext=" 20:.+((SYSTEM_STATE.+slice.+state.+changed )|(ment ac)|(system.+state.+changed )|(\[timeout)|(PRM\|1\|D)|(kpr)|(kdp)|(\|lc)|(penalty))" /e /r /s</v>
      </c>
      <c r="U42" s="9" t="str">
        <f t="shared" si="2"/>
        <v>4010</v>
      </c>
      <c r="V42" s="36">
        <f t="shared" si="3"/>
        <v>42673.834837962961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{"issue":{"subject":"","project_id":79,"tracker_id":40,"status_id":1,"priority_id":2,"assigned_to_id":23,"start_date":"2016-10-30","description":"","custom_fields":[{"id":1,"name":"Subdivision","value":"Other"},{"id":4,"name":"Milepost","value":"2.4161"},{"id":17,"name":"Train ID","value":"52-30"},{"id":16,"name":"Locomotive ID","value":"4010"},{"id":130,"name":"Impact","value":""},{"id":150,"name":"Time of Event (Mountain Time)","value":"14:02:10"},{"id":151,"name":"Denver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"%USERPROFILE%\AppData\Local\Temp\OnboardLogs"\RTDC4010\*4010*201610302* | grep -SE "((Enforcement Ac)|(PRM))" -</v>
      </c>
      <c r="AD42" s="1"/>
    </row>
    <row r="43" spans="1:30" x14ac:dyDescent="0.25">
      <c r="A43" s="36">
        <v>42673.745243055557</v>
      </c>
      <c r="B43" s="31" t="s">
        <v>190</v>
      </c>
      <c r="C43" s="31" t="s">
        <v>421</v>
      </c>
      <c r="D43" s="31" t="s">
        <v>98</v>
      </c>
      <c r="E43" s="31" t="s">
        <v>231</v>
      </c>
      <c r="F43" s="47">
        <v>0</v>
      </c>
      <c r="G43" s="47">
        <v>98</v>
      </c>
      <c r="H43" s="47">
        <v>24154</v>
      </c>
      <c r="I43" s="47">
        <v>24023</v>
      </c>
      <c r="J43" s="31" t="s">
        <v>232</v>
      </c>
      <c r="K43" s="47">
        <v>24235</v>
      </c>
      <c r="L43" s="157" t="s">
        <v>51</v>
      </c>
      <c r="M43" s="158">
        <f t="shared" si="0"/>
        <v>-111.93600000000001</v>
      </c>
      <c r="N43" s="159" t="str">
        <f>VLOOKUP(C43,'Trips&amp;Operators'!$C$1:$E$99999,3,FALSE)</f>
        <v>CHANDLER</v>
      </c>
      <c r="O43" s="184" t="s">
        <v>227</v>
      </c>
      <c r="P43" s="160"/>
      <c r="Q43" s="31"/>
      <c r="R43" s="100" t="str">
        <f>VLOOKUP(C43,'Train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3" s="103" t="str">
        <f>VLOOKUP(C43,'Train Runs'!$A$13:$AE$10018,22,0)</f>
        <v>https://search-rtdc-monitor-bjffxe2xuh6vdkpspy63sjmuny.us-east-1.es.amazonaws.com/_plugin/kibana/#/discover/Steve-Slow-Train-Analysis-(2080s-and-2083s)?_g=(refreshInterval:(display:Off,section:0,value:0),time:(from:'2016-10-30 16:54:39-0600',mode:absolute,to:'2016-10-30 19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3" s="105" t="str">
        <f t="shared" si="1"/>
        <v>"C:\Program Files (x86)\AstroGrep\AstroGrep.exe" /spath="%USERPROFILE%\AppData\Local\Temp\OnboardLogs" /stypes="*4010*201610302*" /stext=" 23:.+((SYSTEM_STATE.+slice.+state.+changed )|(ment ac)|(system.+state.+changed )|(\[timeout)|(PRM\|1\|D)|(kpr)|(kdp)|(\|lc)|(penalty))" /e /r /s</v>
      </c>
      <c r="U43" s="9" t="str">
        <f t="shared" si="2"/>
        <v>4010</v>
      </c>
      <c r="V43" s="36">
        <f t="shared" si="3"/>
        <v>42673.995243055557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{"issue":{"subject":"","project_id":79,"tracker_id":40,"status_id":1,"priority_id":2,"assigned_to_id":23,"start_date":"2016-10-30","description":"","custom_fields":[{"id":1,"name":"Subdivision","value":"Other"},{"id":4,"name":"Milepost","value":"2.4235"},{"id":17,"name":"Train ID","value":"76-30"},{"id":16,"name":"Locomotive ID","value":"4010"},{"id":130,"name":"Impact","value":""},{"id":150,"name":"Time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"%USERPROFILE%\AppData\Local\Temp\OnboardLogs"\RTDC4010\*4010*201610302* | grep -SE "((Enforcement Ac)|(PRM))" -</v>
      </c>
      <c r="AD43" s="1"/>
    </row>
    <row r="44" spans="1:30" x14ac:dyDescent="0.25">
      <c r="A44" s="36">
        <v>42673.147962962961</v>
      </c>
      <c r="B44" s="31" t="s">
        <v>340</v>
      </c>
      <c r="C44" s="31" t="s">
        <v>391</v>
      </c>
      <c r="D44" s="31" t="s">
        <v>49</v>
      </c>
      <c r="E44" s="31" t="s">
        <v>233</v>
      </c>
      <c r="F44" s="47">
        <v>0</v>
      </c>
      <c r="G44" s="47">
        <v>22</v>
      </c>
      <c r="H44" s="47">
        <v>41</v>
      </c>
      <c r="I44" s="47">
        <v>34</v>
      </c>
      <c r="J44" s="31" t="s">
        <v>234</v>
      </c>
      <c r="K44" s="47">
        <v>1</v>
      </c>
      <c r="L44" s="157" t="s">
        <v>51</v>
      </c>
      <c r="M44" s="158">
        <f t="shared" si="0"/>
        <v>17.423999999999999</v>
      </c>
      <c r="N44" s="159" t="str">
        <f>VLOOKUP(C44,'Trips&amp;Operators'!$C$1:$E$99999,3,FALSE)</f>
        <v>ACKERMAN</v>
      </c>
      <c r="O44" s="184" t="s">
        <v>227</v>
      </c>
      <c r="P44" s="160"/>
      <c r="Q44" s="31"/>
      <c r="R44" s="100" t="str">
        <f>VLOOKUP(C44,'Train Runs'!$A$13:$AE$10018,31,0)</f>
        <v>aws s3 cp s3://rtdc.mdm.uploadarchive.raw/RTDC4026/ "%USERPROFILE%\AppData\Local\Temp\OnboardLogs"\RTDC4026\2016-10-30 --exclude "*" --recursive --include "*20161030*" &amp; "%USERPROFILE%\Documents\GitHub\mrs-test-scripts\Headless Mode &amp; Sideloading\WalkAndUnGZ.bat" "%USERPROFILE%\AppData\Local\Temp\OnboardLogs"\RTDC4026\2016-10-30 &amp; aws s3 cp s3://rtdc.mdm.uploadarchive.raw/RTDC4026/ "%USERPROFILE%\AppData\Local\Temp\OnboardLogs"\RTDC4026\2016-10-31 --exclude "*" --recursive --include "*20161031*" &amp; "%USERPROFILE%\Documents\GitHub\mrs-test-scripts\Headless Mode &amp; Sideloading\WalkAndUnGZ.bat" "%USERPROFILE%\AppData\Local\Temp\OnboardLogs"\RTDC4026\2016-10-31</v>
      </c>
      <c r="S44" s="103" t="str">
        <f>VLOOKUP(C44,'Train Runs'!$A$13:$AE$10018,22,0)</f>
        <v>https://search-rtdc-monitor-bjffxe2xuh6vdkpspy63sjmuny.us-east-1.es.amazonaws.com/_plugin/kibana/#/discover/Steve-Slow-Train-Analysis-(2080s-and-2083s)?_g=(refreshInterval:(display:Off,section:0,value:0),time:(from:'2016-10-30 02:22:27-0600',mode:absolute,to:'2016-10-30 04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44" s="105" t="str">
        <f t="shared" si="1"/>
        <v>"C:\Program Files (x86)\AstroGrep\AstroGrep.exe" /spath="%USERPROFILE%\AppData\Local\Temp\OnboardLogs" /stypes="*4026*201610300*" /stext=" 09:.+((SYSTEM_STATE.+slice.+state.+changed )|(ment ac)|(system.+state.+changed )|(\[timeout)|(PRM\|1\|D)|(kpr)|(kdp)|(\|lc)|(penalty))" /e /r /s</v>
      </c>
      <c r="U44" s="9" t="str">
        <f t="shared" si="2"/>
        <v>4026</v>
      </c>
      <c r="V44" s="36">
        <f t="shared" si="3"/>
        <v>42673.397962962961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{"issue":{"subject":"","project_id":79,"tracker_id":40,"status_id":1,"priority_id":2,"assigned_to_id":23,"start_date":"2016-10-30","description":"","custom_fields":[{"id":1,"name":"Subdivision","value":"Other"},{"id":4,"name":"Milepost","value":"0.0001"},{"id":17,"name":"Train ID","value":"304-30"},{"id":16,"name":"Locomotive ID","value":"4026"},{"id":130,"name":"Impact","value":""},{"id":150,"name":"Time of Event (Mountain Time)","value":"03:33:04"},{"id":151,"name":"Denver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"%USERPROFILE%\AppData\Local\Temp\OnboardLogs"\RTDC4026\*4026*201610300* | grep -SE "((Enforcement Ac)|(PRM))" -</v>
      </c>
      <c r="AD44" s="1"/>
    </row>
    <row r="45" spans="1:30" x14ac:dyDescent="0.25">
      <c r="A45" s="36">
        <v>42673.590601851851</v>
      </c>
      <c r="B45" s="31" t="s">
        <v>190</v>
      </c>
      <c r="C45" s="31" t="s">
        <v>411</v>
      </c>
      <c r="D45" s="31" t="s">
        <v>49</v>
      </c>
      <c r="E45" s="31" t="s">
        <v>233</v>
      </c>
      <c r="F45" s="47">
        <v>0</v>
      </c>
      <c r="G45" s="47">
        <v>42</v>
      </c>
      <c r="H45" s="47">
        <v>158</v>
      </c>
      <c r="I45" s="47">
        <v>122</v>
      </c>
      <c r="J45" s="31" t="s">
        <v>234</v>
      </c>
      <c r="K45" s="47">
        <v>1</v>
      </c>
      <c r="L45" s="157" t="s">
        <v>51</v>
      </c>
      <c r="M45" s="158">
        <f t="shared" si="0"/>
        <v>63.887999999999998</v>
      </c>
      <c r="N45" s="159" t="str">
        <f>VLOOKUP(C45,'Trips&amp;Operators'!$C$1:$E$99999,3,FALSE)</f>
        <v>JACKSON</v>
      </c>
      <c r="O45" s="184" t="s">
        <v>227</v>
      </c>
      <c r="P45" s="160"/>
      <c r="Q45" s="31"/>
      <c r="R45" s="100" t="str">
        <f>VLOOKUP(C45,'Train Runs'!$A$13:$AE$10018,31,0)</f>
        <v>aws s3 cp s3://rtdc.mdm.uploadarchive.raw/RTDC4010/ "%USERPROFILE%\AppData\Local\Temp\OnboardLogs"\RTDC4010\2016-10-30 --exclude "*" --recursive --include "*20161030*" &amp; "%USERPROFILE%\Documents\GitHub\mrs-test-scripts\Headless Mode &amp; Sideloading\WalkAndUnGZ.bat" "%USERPROFILE%\AppData\Local\Temp\OnboardLogs"\RTDC4010\2016-10-30 &amp; aws s3 cp s3://rtdc.mdm.uploadarchive.raw/RTDC4010/ "%USERPROFILE%\AppData\Local\Temp\OnboardLogs"\RTDC4010\2016-10-31 --exclude "*" --recursive --include "*20161031*" &amp; "%USERPROFILE%\Documents\GitHub\mrs-test-scripts\Headless Mode &amp; Sideloading\WalkAndUnGZ.bat" "%USERPROFILE%\AppData\Local\Temp\OnboardLogs"\RTDC4010\2016-10-31</v>
      </c>
      <c r="S45" s="103" t="str">
        <f>VLOOKUP(C45,'Train Runs'!$A$13:$AE$10018,22,0)</f>
        <v>https://search-rtdc-monitor-bjffxe2xuh6vdkpspy63sjmuny.us-east-1.es.amazonaws.com/_plugin/kibana/#/discover/Steve-Slow-Train-Analysis-(2080s-and-2083s)?_g=(refreshInterval:(display:Off,section:0,value:0),time:(from:'2016-10-30 12:59:10-0600',mode:absolute,to:'2016-10-30 15:10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5" s="105" t="str">
        <f t="shared" si="1"/>
        <v>"C:\Program Files (x86)\AstroGrep\AstroGrep.exe" /spath="%USERPROFILE%\AppData\Local\Temp\OnboardLogs" /stypes="*4010*201610302*" /stext=" 20:.+((SYSTEM_STATE.+slice.+state.+changed )|(ment ac)|(system.+state.+changed )|(\[timeout)|(PRM\|1\|D)|(kpr)|(kdp)|(\|lc)|(penalty))" /e /r /s</v>
      </c>
      <c r="U45" s="9" t="str">
        <f t="shared" si="2"/>
        <v>4010</v>
      </c>
      <c r="V45" s="36">
        <f t="shared" si="3"/>
        <v>42673.840601851851</v>
      </c>
      <c r="W45" s="50" t="str">
        <f t="shared" si="4"/>
        <v>Other</v>
      </c>
      <c r="X45" s="50" t="str">
        <f t="shared" si="5"/>
        <v>KEEP</v>
      </c>
      <c r="Y45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{"issue":{"subject":"","project_id":79,"tracker_id":40,"status_id":1,"priority_id":2,"assigned_to_id":23,"start_date":"2016-10-30","description":"","custom_fields":[{"id":1,"name":"Subdivision","value":"Other"},{"id":4,"name":"Milepost","value":"0.0001"},{"id":17,"name":"Train ID","value":"52-30"},{"id":16,"name":"Locomotive ID","value":"4010"},{"id":130,"name":"Impact","value":""},{"id":150,"name":"Time of Event (Mountain Time)","value":"14:10:28"},{"id":151,"name":"Denver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7"/>
        <v>grep -hSE -A100 "Enforcement Action" "%USERPROFILE%\AppData\Local\Temp\OnboardLogs"\RTDC4010\*4010*201610302* | grep -SE "((Enforcement Ac)|(PRM))" -</v>
      </c>
      <c r="AD45" s="1"/>
    </row>
    <row r="46" spans="1:30" x14ac:dyDescent="0.25">
      <c r="A46" s="36">
        <v>42673.869328703702</v>
      </c>
      <c r="B46" s="31" t="s">
        <v>250</v>
      </c>
      <c r="C46" s="31" t="s">
        <v>426</v>
      </c>
      <c r="D46" s="31" t="s">
        <v>49</v>
      </c>
      <c r="E46" s="31" t="s">
        <v>233</v>
      </c>
      <c r="F46" s="47">
        <v>0</v>
      </c>
      <c r="G46" s="47">
        <v>46</v>
      </c>
      <c r="H46" s="47">
        <v>965</v>
      </c>
      <c r="I46" s="47">
        <v>911</v>
      </c>
      <c r="J46" s="31" t="s">
        <v>234</v>
      </c>
      <c r="K46" s="47">
        <v>839</v>
      </c>
      <c r="L46" s="157" t="s">
        <v>51</v>
      </c>
      <c r="M46" s="158">
        <f t="shared" si="0"/>
        <v>38.015999999999998</v>
      </c>
      <c r="N46" s="159" t="str">
        <f>VLOOKUP(C46,'Trips&amp;Operators'!$C$1:$E$99999,3,FALSE)</f>
        <v>MAHAN</v>
      </c>
      <c r="O46" s="184" t="s">
        <v>227</v>
      </c>
      <c r="P46" s="160"/>
      <c r="Q46" s="31"/>
      <c r="R46" s="100" t="str">
        <f>VLOOKUP(C46,'Train Runs'!$A$13:$AE$10018,31,0)</f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S46" s="103" t="str">
        <f>VLOOKUP(C46,'Train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6" s="105" t="str">
        <f t="shared" si="1"/>
        <v>"C:\Program Files (x86)\AstroGrep\AstroGrep.exe" /spath="%USERPROFILE%\AppData\Local\Temp\OnboardLogs" /stypes="*4015*201610310*" /stext=" 02:.+((SYSTEM_STATE.+slice.+state.+changed )|(ment ac)|(system.+state.+changed )|(\[timeout)|(PRM\|1\|D)|(kpr)|(kdp)|(\|lc)|(penalty))" /e /r /s</v>
      </c>
      <c r="U46" s="9" t="str">
        <f t="shared" si="2"/>
        <v>4015</v>
      </c>
      <c r="V46" s="36">
        <f t="shared" si="3"/>
        <v>42674.119328703702</v>
      </c>
      <c r="W46" s="50" t="str">
        <f t="shared" si="4"/>
        <v>Other</v>
      </c>
      <c r="X46" s="50" t="str">
        <f t="shared" si="5"/>
        <v>KEEP</v>
      </c>
      <c r="Y46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{"issue":{"subject":"","project_id":79,"tracker_id":40,"status_id":1,"priority_id":2,"assigned_to_id":23,"start_date":"2016-10-30","description":"","custom_fields":[{"id":1,"name":"Subdivision","value":"Other"},{"id":4,"name":"Milepost","value":"0.0839"},{"id":17,"name":"Train ID","value":"82-30"},{"id":16,"name":"Locomotive ID","value":"4015"},{"id":130,"name":"Impact","value":""},{"id":150,"name":"Time of Event (Mountain Time)","value":"20:51:50"},{"id":151,"name":"Denver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7"/>
        <v>grep -hSE -A100 "Enforcement Action" "%USERPROFILE%\AppData\Local\Temp\OnboardLogs"\RTDC4015\*4015*201610310* | grep -SE "((Enforcement Ac)|(PRM))" -</v>
      </c>
      <c r="AD46" s="1"/>
    </row>
    <row r="47" spans="1:30" x14ac:dyDescent="0.25">
      <c r="A47" s="36">
        <v>42673.870763888888</v>
      </c>
      <c r="B47" s="31" t="s">
        <v>250</v>
      </c>
      <c r="C47" s="31" t="s">
        <v>426</v>
      </c>
      <c r="D47" s="31" t="s">
        <v>49</v>
      </c>
      <c r="E47" s="31" t="s">
        <v>233</v>
      </c>
      <c r="F47" s="47">
        <v>0</v>
      </c>
      <c r="G47" s="47">
        <v>16</v>
      </c>
      <c r="H47" s="47">
        <v>854</v>
      </c>
      <c r="I47" s="47">
        <v>841</v>
      </c>
      <c r="J47" s="31" t="s">
        <v>234</v>
      </c>
      <c r="K47" s="47">
        <v>839</v>
      </c>
      <c r="L47" s="157" t="s">
        <v>51</v>
      </c>
      <c r="M47" s="158">
        <f t="shared" si="0"/>
        <v>1.056</v>
      </c>
      <c r="N47" s="159" t="str">
        <f>VLOOKUP(C47,'Trips&amp;Operators'!$C$1:$E$99999,3,FALSE)</f>
        <v>MAHAN</v>
      </c>
      <c r="O47" s="184" t="s">
        <v>227</v>
      </c>
      <c r="P47" s="160"/>
      <c r="Q47" s="31"/>
      <c r="R47" s="100" t="str">
        <f>VLOOKUP(C47,'Train Runs'!$A$13:$AE$10018,31,0)</f>
        <v>aws s3 cp s3://rtdc.mdm.uploadarchive.raw/RTDC4015/ "%USERPROFILE%\AppData\Local\Temp\OnboardLogs"\RTDC4015\2016-10-30 --exclude "*" --recursive --include "*20161030*" &amp; "%USERPROFILE%\Documents\GitHub\mrs-test-scripts\Headless Mode &amp; Sideloading\WalkAndUnGZ.bat" "%USERPROFILE%\AppData\Local\Temp\OnboardLogs"\RTDC4015\2016-10-30 &amp; aws s3 cp s3://rtdc.mdm.uploadarchive.raw/RTDC4015/ "%USERPROFILE%\AppData\Local\Temp\OnboardLogs"\RTDC4015\2016-10-31 --exclude "*" --recursive --include "*20161031*" &amp; "%USERPROFILE%\Documents\GitHub\mrs-test-scripts\Headless Mode &amp; Sideloading\WalkAndUnGZ.bat" "%USERPROFILE%\AppData\Local\Temp\OnboardLogs"\RTDC4015\2016-10-31</v>
      </c>
      <c r="S47" s="103" t="str">
        <f>VLOOKUP(C47,'Train Runs'!$A$13:$AE$10018,22,0)</f>
        <v>https://search-rtdc-monitor-bjffxe2xuh6vdkpspy63sjmuny.us-east-1.es.amazonaws.com/_plugin/kibana/#/discover/Steve-Slow-Train-Analysis-(2080s-and-2083s)?_g=(refreshInterval:(display:Off,section:0,value:0),time:(from:'2016-10-30 19:00:34-0600',mode:absolute,to:'2016-10-30 21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7" s="105" t="str">
        <f t="shared" si="1"/>
        <v>"C:\Program Files (x86)\AstroGrep\AstroGrep.exe" /spath="%USERPROFILE%\AppData\Local\Temp\OnboardLogs" /stypes="*4015*201610310*" /stext=" 02:.+((SYSTEM_STATE.+slice.+state.+changed )|(ment ac)|(system.+state.+changed )|(\[timeout)|(PRM\|1\|D)|(kpr)|(kdp)|(\|lc)|(penalty))" /e /r /s</v>
      </c>
      <c r="U47" s="9" t="str">
        <f t="shared" si="2"/>
        <v>4015</v>
      </c>
      <c r="V47" s="36">
        <f t="shared" si="3"/>
        <v>42674.120763888888</v>
      </c>
      <c r="W47" s="50" t="str">
        <f t="shared" si="4"/>
        <v>Other</v>
      </c>
      <c r="X47" s="50" t="str">
        <f t="shared" si="5"/>
        <v>KEEP</v>
      </c>
      <c r="Y47" s="122" t="str">
        <f t="shared" si="6"/>
        <v>echo {"issue":{"subject":"","project_id":79,"tracker_id":40,"status_id":1,"priority_id":2,"assigned_to_id":23,"start_date":"2016-10-30","description":"","custom_fields":[{"id":1,"name":"Subdivision","value":"Other"},{"id":4,"name":"Milepost","value":"0.0839"},{"id":17,"name":"Train ID","value":"82-30"},{"id":16,"name":"Locomotive ID","value":"4015"},{"id":130,"name":"Impact","value":""},{"id":150,"name":"Time of Event (Mountain Time)","value":"20:53:54"},{"id":151,"name":"Denver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7"/>
        <v>grep -hSE -A100 "Enforcement Action" "%USERPROFILE%\AppData\Local\Temp\OnboardLogs"\RTDC4015\*4015*201610310* | grep -SE "((Enforcement Ac)|(PRM))" -</v>
      </c>
      <c r="AD47" s="1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</sheetData>
  <autoFilter ref="A6:AC36">
    <sortState ref="A7:AC47">
      <sortCondition ref="W7:W47"/>
      <sortCondition ref="E7:E47"/>
      <sortCondition ref="K7:K47"/>
      <sortCondition ref="F7:F4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7">
    <cfRule type="cellIs" dxfId="1" priority="2" operator="equal">
      <formula>"Y"</formula>
    </cfRule>
  </conditionalFormatting>
  <conditionalFormatting sqref="A7:P47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AB7:AB47</xm:sqref>
        </x14:dataValidation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I3" sqref="I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2016-10-30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80">
        <v>101</v>
      </c>
      <c r="B3" s="47" t="str">
        <f>A3&amp;"-"&amp;IF(DAY(Variables!$A$2)&lt;10,0,"")&amp;DAY(Variables!$A$2)</f>
        <v>101-30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22101-30%22)),sort:!(Time,asc))</v>
      </c>
      <c r="J3" s="31" t="str">
        <f>VLOOKUP(B3,'Train Runs'!$A$13:$A$100015,1,FALSE)</f>
        <v>101-30</v>
      </c>
      <c r="K3" s="21" t="e">
        <f t="shared" ref="K3:K16" si="1">IF(VLOOKUP(A3,$K$55:$K$78,1,FALSE),"Cancelled")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-30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4" s="31" t="e">
        <f>VLOOKUP(B4,'Train Runs'!$A$13:$A$100015,1,FALSE)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-30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31" t="e">
        <f>VLOOKUP(B5,'Train Runs'!$A$13:$A$100015,1,FALSE)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-30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31" t="e">
        <f>VLOOKUP(B6,'Train Runs'!$A$13:$A$100015,1,FALSE)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-30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31" t="e">
        <f>VLOOKUP(B7,'Train Runs'!$A$13:$A$100015,1,FALSE)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-30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8" s="31" t="e">
        <f>VLOOKUP(B8,'Train Runs'!$A$13:$A$100015,1,FALSE)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-30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9" s="31" t="e">
        <f>VLOOKUP(B9,'Train Runs'!$A$13:$A$100015,1,FALSE)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-30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0" s="31" t="e">
        <f>VLOOKUP(B10,'Train Runs'!$A$13:$A$100015,1,FALSE)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-30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1" s="31" t="e">
        <f>VLOOKUP(B11,'Train Runs'!$A$13:$A$100015,1,FALSE)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-30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2" s="31" t="e">
        <f>VLOOKUP(B12,'Train Runs'!$A$13:$A$100015,1,FALSE)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-30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3" s="31" t="e">
        <f>VLOOKUP(B13,'Train Runs'!$A$13:$A$100015,1,FALSE)</f>
        <v>#N/A</v>
      </c>
      <c r="K13" s="21" t="e">
        <f t="shared" si="1"/>
        <v>#N/A</v>
      </c>
    </row>
    <row r="14" spans="1:11" x14ac:dyDescent="0.25">
      <c r="A14" s="180"/>
      <c r="B14" s="47" t="str">
        <f>A14&amp;"-"&amp;IF(DAY(Variables!$A$2)&lt;10,0,"")&amp;DAY(Variables!$A$2)</f>
        <v>-30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4" s="31" t="e">
        <f>VLOOKUP(B14,'Train Runs'!$A$13:$A$100015,1,FALSE)</f>
        <v>#N/A</v>
      </c>
      <c r="K14" s="21" t="e">
        <f t="shared" si="1"/>
        <v>#N/A</v>
      </c>
    </row>
    <row r="15" spans="1:11" x14ac:dyDescent="0.25">
      <c r="A15" s="180"/>
      <c r="B15" s="47" t="str">
        <f>A15&amp;"-"&amp;IF(DAY(Variables!$A$2)&lt;10,0,"")&amp;DAY(Variables!$A$2)</f>
        <v>-30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5" s="31" t="e">
        <f>VLOOKUP(B15,'Train Runs'!$A$13:$A$100015,1,FALSE)</f>
        <v>#N/A</v>
      </c>
      <c r="K15" s="21" t="e">
        <f t="shared" si="1"/>
        <v>#N/A</v>
      </c>
    </row>
    <row r="16" spans="1:11" x14ac:dyDescent="0.25">
      <c r="A16" s="180"/>
      <c r="B16" s="47" t="str">
        <f>A16&amp;"-"&amp;IF(DAY(Variables!$A$2)&lt;10,0,"")&amp;DAY(Variables!$A$2)</f>
        <v>-30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6" s="31" t="e">
        <f>VLOOKUP(B16,'Train Runs'!$A$13:$A$100015,1,FALSE)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42673.032638888886</v>
      </c>
      <c r="B2" s="21" t="s">
        <v>249</v>
      </c>
      <c r="C2" s="21" t="s">
        <v>428</v>
      </c>
      <c r="D2" s="21">
        <v>1300000</v>
      </c>
      <c r="E2" s="21" t="s">
        <v>113</v>
      </c>
      <c r="F2" s="21" t="str">
        <f t="shared" ref="F2:F65" si="0">B2</f>
        <v>rtdc.l.rtdc.4016:itc</v>
      </c>
      <c r="G2" s="8">
        <f t="shared" ref="G2:G65" si="1">A2</f>
        <v>42673.032638888886</v>
      </c>
    </row>
    <row r="3" spans="1:7" x14ac:dyDescent="0.25">
      <c r="A3" s="8">
        <v>42673.035879629628</v>
      </c>
      <c r="B3" s="21" t="s">
        <v>301</v>
      </c>
      <c r="C3" s="21" t="s">
        <v>429</v>
      </c>
      <c r="D3" s="21">
        <v>1800000</v>
      </c>
      <c r="E3" s="21" t="s">
        <v>351</v>
      </c>
      <c r="F3" s="21" t="str">
        <f t="shared" si="0"/>
        <v>rtdc.l.rtdc.4013:itc</v>
      </c>
      <c r="G3" s="8">
        <f t="shared" si="1"/>
        <v>42673.035879629628</v>
      </c>
    </row>
    <row r="4" spans="1:7" x14ac:dyDescent="0.25">
      <c r="A4" s="8">
        <v>42673.042175925926</v>
      </c>
      <c r="B4" s="21" t="s">
        <v>156</v>
      </c>
      <c r="C4" s="21" t="s">
        <v>430</v>
      </c>
      <c r="D4" s="21">
        <v>120000</v>
      </c>
      <c r="E4" s="21" t="s">
        <v>349</v>
      </c>
      <c r="F4" s="21" t="str">
        <f t="shared" si="0"/>
        <v>rtdc.l.rtdc.4051:itc</v>
      </c>
      <c r="G4" s="8">
        <f t="shared" si="1"/>
        <v>42673.042175925926</v>
      </c>
    </row>
    <row r="5" spans="1:7" x14ac:dyDescent="0.25">
      <c r="A5" s="8">
        <v>42673.051053240742</v>
      </c>
      <c r="B5" s="21" t="s">
        <v>285</v>
      </c>
      <c r="C5" s="21" t="s">
        <v>431</v>
      </c>
      <c r="D5" s="21">
        <v>1810000</v>
      </c>
      <c r="E5" s="21" t="s">
        <v>348</v>
      </c>
      <c r="F5" s="21" t="str">
        <f t="shared" si="0"/>
        <v>rtdc.l.rtdc.4040:itc</v>
      </c>
      <c r="G5" s="8">
        <f t="shared" si="1"/>
        <v>42673.051053240742</v>
      </c>
    </row>
    <row r="6" spans="1:7" x14ac:dyDescent="0.25">
      <c r="A6" s="8">
        <v>42673.051527777781</v>
      </c>
      <c r="B6" s="21" t="s">
        <v>344</v>
      </c>
      <c r="C6" s="21" t="s">
        <v>432</v>
      </c>
      <c r="D6" s="21">
        <v>2360000</v>
      </c>
      <c r="E6" s="21" t="s">
        <v>350</v>
      </c>
      <c r="F6" s="21" t="str">
        <f t="shared" si="0"/>
        <v>rtdc.l.rtdc.4012:itc</v>
      </c>
      <c r="G6" s="8">
        <f t="shared" si="1"/>
        <v>42673.051527777781</v>
      </c>
    </row>
    <row r="7" spans="1:7" x14ac:dyDescent="0.25">
      <c r="A7" s="8">
        <v>42673.052546296298</v>
      </c>
      <c r="B7" s="21" t="s">
        <v>285</v>
      </c>
      <c r="C7" s="21" t="s">
        <v>431</v>
      </c>
      <c r="D7" s="21">
        <v>1810000</v>
      </c>
      <c r="E7" s="21" t="s">
        <v>348</v>
      </c>
      <c r="F7" s="21" t="str">
        <f t="shared" si="0"/>
        <v>rtdc.l.rtdc.4040:itc</v>
      </c>
      <c r="G7" s="8">
        <f t="shared" si="1"/>
        <v>42673.052546296298</v>
      </c>
    </row>
    <row r="8" spans="1:7" x14ac:dyDescent="0.25">
      <c r="A8" s="8">
        <v>42673.065891203703</v>
      </c>
      <c r="B8" s="21" t="s">
        <v>157</v>
      </c>
      <c r="C8" s="21" t="s">
        <v>433</v>
      </c>
      <c r="D8" s="21">
        <v>120000</v>
      </c>
      <c r="E8" s="21" t="s">
        <v>349</v>
      </c>
      <c r="F8" s="21" t="str">
        <f t="shared" si="0"/>
        <v>rtdc.l.rtdc.4052:itc</v>
      </c>
      <c r="G8" s="8">
        <f t="shared" si="1"/>
        <v>42673.065891203703</v>
      </c>
    </row>
    <row r="9" spans="1:7" ht="15.75" thickBot="1" x14ac:dyDescent="0.3">
      <c r="A9" s="25">
        <v>42673.079456018517</v>
      </c>
      <c r="B9" s="21" t="s">
        <v>250</v>
      </c>
      <c r="C9" s="21" t="s">
        <v>434</v>
      </c>
      <c r="D9" s="21">
        <v>1300000</v>
      </c>
      <c r="E9" s="21" t="s">
        <v>113</v>
      </c>
      <c r="F9" s="21" t="str">
        <f t="shared" si="0"/>
        <v>rtdc.l.rtdc.4015:itc</v>
      </c>
      <c r="G9" s="8">
        <f t="shared" si="1"/>
        <v>42673.079456018517</v>
      </c>
    </row>
    <row r="10" spans="1:7" x14ac:dyDescent="0.25">
      <c r="A10" s="8">
        <v>42673.089513888888</v>
      </c>
      <c r="B10" s="21" t="s">
        <v>261</v>
      </c>
      <c r="C10" s="21" t="s">
        <v>435</v>
      </c>
      <c r="D10" s="21">
        <v>2360000</v>
      </c>
      <c r="E10" s="21" t="s">
        <v>350</v>
      </c>
      <c r="F10" s="21" t="str">
        <f t="shared" si="0"/>
        <v>rtdc.l.rtdc.4011:itc</v>
      </c>
      <c r="G10" s="8">
        <f t="shared" si="1"/>
        <v>42673.089513888888</v>
      </c>
    </row>
    <row r="11" spans="1:7" x14ac:dyDescent="0.25">
      <c r="A11" s="8">
        <v>42673.094768518517</v>
      </c>
      <c r="B11" s="21" t="s">
        <v>156</v>
      </c>
      <c r="C11" s="21" t="s">
        <v>430</v>
      </c>
      <c r="D11" s="21">
        <v>120000</v>
      </c>
      <c r="E11" s="21" t="s">
        <v>349</v>
      </c>
      <c r="F11" s="21" t="str">
        <f t="shared" si="0"/>
        <v>rtdc.l.rtdc.4051:itc</v>
      </c>
      <c r="G11" s="8">
        <f t="shared" si="1"/>
        <v>42673.094768518517</v>
      </c>
    </row>
    <row r="12" spans="1:7" x14ac:dyDescent="0.25">
      <c r="A12" s="8">
        <v>42673.108518518522</v>
      </c>
      <c r="B12" s="21" t="s">
        <v>249</v>
      </c>
      <c r="C12" s="21" t="s">
        <v>436</v>
      </c>
      <c r="D12" s="21">
        <v>1300000</v>
      </c>
      <c r="E12" s="21" t="s">
        <v>113</v>
      </c>
      <c r="F12" s="21" t="str">
        <f t="shared" si="0"/>
        <v>rtdc.l.rtdc.4016:itc</v>
      </c>
      <c r="G12" s="8">
        <f t="shared" si="1"/>
        <v>42673.108518518522</v>
      </c>
    </row>
    <row r="13" spans="1:7" x14ac:dyDescent="0.25">
      <c r="A13" s="8">
        <v>42673.117673611108</v>
      </c>
      <c r="B13" s="21" t="s">
        <v>243</v>
      </c>
      <c r="C13" s="21" t="s">
        <v>437</v>
      </c>
      <c r="D13" s="21">
        <v>2030000</v>
      </c>
      <c r="E13" s="21" t="s">
        <v>438</v>
      </c>
      <c r="F13" s="21" t="str">
        <f t="shared" si="0"/>
        <v>rtdc.l.rtdc.4030:itc</v>
      </c>
      <c r="G13" s="8">
        <f t="shared" si="1"/>
        <v>42673.117673611108</v>
      </c>
    </row>
    <row r="14" spans="1:7" x14ac:dyDescent="0.25">
      <c r="A14" s="8">
        <v>42673.141087962962</v>
      </c>
      <c r="B14" s="21" t="s">
        <v>340</v>
      </c>
      <c r="C14" s="21" t="s">
        <v>391</v>
      </c>
      <c r="D14" s="21">
        <v>1260000</v>
      </c>
      <c r="E14" s="21" t="s">
        <v>439</v>
      </c>
      <c r="F14" s="21" t="str">
        <f t="shared" si="0"/>
        <v>rtdc.l.rtdc.4026:itc</v>
      </c>
      <c r="G14" s="8">
        <f t="shared" si="1"/>
        <v>42673.141087962962</v>
      </c>
    </row>
    <row r="15" spans="1:7" x14ac:dyDescent="0.25">
      <c r="A15" s="8">
        <v>42673.152083333334</v>
      </c>
      <c r="B15" s="21" t="s">
        <v>341</v>
      </c>
      <c r="C15" s="21" t="s">
        <v>440</v>
      </c>
      <c r="D15" s="21">
        <v>1260000</v>
      </c>
      <c r="E15" s="21" t="s">
        <v>439</v>
      </c>
      <c r="F15" s="21" t="str">
        <f t="shared" si="0"/>
        <v>rtdc.l.rtdc.4006:itc</v>
      </c>
      <c r="G15" s="8">
        <f t="shared" si="1"/>
        <v>42673.152083333334</v>
      </c>
    </row>
    <row r="16" spans="1:7" x14ac:dyDescent="0.25">
      <c r="A16" s="8">
        <v>42673.161585648151</v>
      </c>
      <c r="B16" s="21" t="s">
        <v>402</v>
      </c>
      <c r="C16" s="21" t="s">
        <v>441</v>
      </c>
      <c r="D16" s="21">
        <v>2010000</v>
      </c>
      <c r="E16" s="21" t="s">
        <v>286</v>
      </c>
      <c r="F16" s="21" t="str">
        <f t="shared" si="0"/>
        <v>rtdc.l.rtdc.4045:itc</v>
      </c>
      <c r="G16" s="8">
        <f t="shared" si="1"/>
        <v>42673.161585648151</v>
      </c>
    </row>
    <row r="17" spans="1:7" x14ac:dyDescent="0.25">
      <c r="A17" s="8">
        <v>42673.168680555558</v>
      </c>
      <c r="B17" s="21" t="s">
        <v>243</v>
      </c>
      <c r="C17" s="21" t="s">
        <v>442</v>
      </c>
      <c r="D17" s="21">
        <v>2030000</v>
      </c>
      <c r="E17" s="21" t="s">
        <v>438</v>
      </c>
      <c r="F17" s="21" t="str">
        <f t="shared" si="0"/>
        <v>rtdc.l.rtdc.4030:itc</v>
      </c>
      <c r="G17" s="8">
        <f t="shared" si="1"/>
        <v>42673.168680555558</v>
      </c>
    </row>
    <row r="18" spans="1:7" x14ac:dyDescent="0.25">
      <c r="A18" s="8">
        <v>42673.1721412037</v>
      </c>
      <c r="B18" s="21" t="s">
        <v>235</v>
      </c>
      <c r="C18" s="21" t="s">
        <v>443</v>
      </c>
      <c r="D18" s="21">
        <v>1990000</v>
      </c>
      <c r="E18" s="21" t="s">
        <v>345</v>
      </c>
      <c r="F18" s="21" t="str">
        <f t="shared" si="0"/>
        <v>rtdc.l.rtdc.4028:itc</v>
      </c>
      <c r="G18" s="8">
        <f t="shared" si="1"/>
        <v>42673.1721412037</v>
      </c>
    </row>
    <row r="19" spans="1:7" x14ac:dyDescent="0.25">
      <c r="A19" s="8">
        <v>42673.172893518517</v>
      </c>
      <c r="B19" s="21" t="s">
        <v>288</v>
      </c>
      <c r="C19" s="21" t="s">
        <v>392</v>
      </c>
      <c r="D19" s="21">
        <v>2010000</v>
      </c>
      <c r="E19" s="21" t="s">
        <v>286</v>
      </c>
      <c r="F19" s="21" t="str">
        <f t="shared" si="0"/>
        <v>rtdc.l.rtdc.4038:itc</v>
      </c>
      <c r="G19" s="8">
        <f t="shared" si="1"/>
        <v>42673.172893518517</v>
      </c>
    </row>
    <row r="20" spans="1:7" x14ac:dyDescent="0.25">
      <c r="A20" s="8">
        <v>42673.18</v>
      </c>
      <c r="B20" s="21" t="s">
        <v>267</v>
      </c>
      <c r="C20" s="21" t="s">
        <v>444</v>
      </c>
      <c r="D20" s="21">
        <v>1310000</v>
      </c>
      <c r="E20" s="21" t="s">
        <v>303</v>
      </c>
      <c r="F20" s="21" t="str">
        <f t="shared" si="0"/>
        <v>rtdc.l.rtdc.4001:itc</v>
      </c>
      <c r="G20" s="8">
        <f t="shared" si="1"/>
        <v>42673.18</v>
      </c>
    </row>
    <row r="21" spans="1:7" x14ac:dyDescent="0.25">
      <c r="A21" s="8">
        <v>42673.18273148148</v>
      </c>
      <c r="B21" s="21" t="s">
        <v>305</v>
      </c>
      <c r="C21" s="21" t="s">
        <v>445</v>
      </c>
      <c r="D21" s="21">
        <v>1990000</v>
      </c>
      <c r="E21" s="21" t="s">
        <v>345</v>
      </c>
      <c r="F21" s="21" t="str">
        <f t="shared" si="0"/>
        <v>rtdc.l.rtdc.4027:itc</v>
      </c>
      <c r="G21" s="8">
        <f t="shared" si="1"/>
        <v>42673.18273148148</v>
      </c>
    </row>
    <row r="22" spans="1:7" x14ac:dyDescent="0.25">
      <c r="A22" s="27">
        <v>42673.191759259258</v>
      </c>
      <c r="B22" s="21" t="s">
        <v>340</v>
      </c>
      <c r="C22" s="21" t="s">
        <v>446</v>
      </c>
      <c r="D22" s="21">
        <v>1260000</v>
      </c>
      <c r="E22" s="21" t="s">
        <v>439</v>
      </c>
      <c r="F22" s="21" t="str">
        <f t="shared" si="0"/>
        <v>rtdc.l.rtdc.4026:itc</v>
      </c>
      <c r="G22" s="8">
        <f t="shared" si="1"/>
        <v>42673.191759259258</v>
      </c>
    </row>
    <row r="23" spans="1:7" x14ac:dyDescent="0.25">
      <c r="A23" s="8">
        <v>42673.194803240738</v>
      </c>
      <c r="B23" s="21" t="s">
        <v>343</v>
      </c>
      <c r="C23" s="21" t="s">
        <v>447</v>
      </c>
      <c r="D23" s="21">
        <v>1780000</v>
      </c>
      <c r="E23" s="21" t="s">
        <v>448</v>
      </c>
      <c r="F23" s="21" t="str">
        <f t="shared" si="0"/>
        <v>rtdc.l.rtdc.4053:itc</v>
      </c>
      <c r="G23" s="8">
        <f t="shared" si="1"/>
        <v>42673.194803240738</v>
      </c>
    </row>
    <row r="24" spans="1:7" x14ac:dyDescent="0.25">
      <c r="A24" s="8">
        <v>42673.197164351855</v>
      </c>
      <c r="B24" s="21" t="s">
        <v>266</v>
      </c>
      <c r="C24" s="21" t="s">
        <v>449</v>
      </c>
      <c r="D24" s="21">
        <v>1310000</v>
      </c>
      <c r="E24" s="21" t="s">
        <v>303</v>
      </c>
      <c r="F24" s="21" t="str">
        <f t="shared" si="0"/>
        <v>rtdc.l.rtdc.4002:itc</v>
      </c>
      <c r="G24" s="8">
        <f t="shared" si="1"/>
        <v>42673.197164351855</v>
      </c>
    </row>
    <row r="25" spans="1:7" x14ac:dyDescent="0.25">
      <c r="A25" s="8">
        <v>42673.205925925926</v>
      </c>
      <c r="B25" s="21" t="s">
        <v>242</v>
      </c>
      <c r="C25" s="21" t="s">
        <v>450</v>
      </c>
      <c r="D25" s="21">
        <v>2030000</v>
      </c>
      <c r="E25" s="21" t="s">
        <v>438</v>
      </c>
      <c r="F25" s="21" t="str">
        <f t="shared" si="0"/>
        <v>rtdc.l.rtdc.4029:itc</v>
      </c>
      <c r="G25" s="8">
        <f t="shared" si="1"/>
        <v>42673.205925925926</v>
      </c>
    </row>
    <row r="26" spans="1:7" x14ac:dyDescent="0.25">
      <c r="A26" s="8">
        <v>42673.208703703705</v>
      </c>
      <c r="B26" s="21" t="s">
        <v>242</v>
      </c>
      <c r="C26" s="21" t="s">
        <v>450</v>
      </c>
      <c r="D26" s="21">
        <v>2030000</v>
      </c>
      <c r="E26" s="21" t="s">
        <v>438</v>
      </c>
      <c r="F26" s="21" t="str">
        <f t="shared" si="0"/>
        <v>rtdc.l.rtdc.4029:itc</v>
      </c>
      <c r="G26" s="8">
        <f t="shared" si="1"/>
        <v>42673.208703703705</v>
      </c>
    </row>
    <row r="27" spans="1:7" x14ac:dyDescent="0.25">
      <c r="A27" s="8">
        <v>42673.210127314815</v>
      </c>
      <c r="B27" s="21" t="s">
        <v>402</v>
      </c>
      <c r="C27" s="21" t="s">
        <v>451</v>
      </c>
      <c r="D27" s="21">
        <v>2010000</v>
      </c>
      <c r="E27" s="21" t="s">
        <v>286</v>
      </c>
      <c r="F27" s="21" t="str">
        <f t="shared" si="0"/>
        <v>rtdc.l.rtdc.4045:itc</v>
      </c>
      <c r="G27" s="8">
        <f t="shared" si="1"/>
        <v>42673.210127314815</v>
      </c>
    </row>
    <row r="28" spans="1:7" x14ac:dyDescent="0.25">
      <c r="A28" s="8">
        <v>42673.210844907408</v>
      </c>
      <c r="B28" s="21" t="s">
        <v>242</v>
      </c>
      <c r="C28" s="21" t="s">
        <v>450</v>
      </c>
      <c r="D28" s="21">
        <v>2030000</v>
      </c>
      <c r="E28" s="21" t="s">
        <v>438</v>
      </c>
      <c r="F28" s="21" t="str">
        <f t="shared" si="0"/>
        <v>rtdc.l.rtdc.4029:itc</v>
      </c>
      <c r="G28" s="8">
        <f t="shared" si="1"/>
        <v>42673.210844907408</v>
      </c>
    </row>
    <row r="29" spans="1:7" x14ac:dyDescent="0.25">
      <c r="A29" s="8">
        <v>42673.220381944448</v>
      </c>
      <c r="B29" s="21" t="s">
        <v>235</v>
      </c>
      <c r="C29" s="21" t="s">
        <v>452</v>
      </c>
      <c r="D29" s="21">
        <v>1990000</v>
      </c>
      <c r="E29" s="21" t="s">
        <v>345</v>
      </c>
      <c r="F29" s="21" t="str">
        <f t="shared" si="0"/>
        <v>rtdc.l.rtdc.4028:itc</v>
      </c>
      <c r="G29" s="8">
        <f t="shared" si="1"/>
        <v>42673.220381944448</v>
      </c>
    </row>
    <row r="30" spans="1:7" x14ac:dyDescent="0.25">
      <c r="A30" s="8">
        <v>42673.223449074074</v>
      </c>
      <c r="B30" s="21" t="s">
        <v>304</v>
      </c>
      <c r="C30" s="21" t="s">
        <v>453</v>
      </c>
      <c r="D30" s="21">
        <v>1110000</v>
      </c>
      <c r="E30" s="21" t="s">
        <v>454</v>
      </c>
      <c r="F30" s="21" t="str">
        <f t="shared" si="0"/>
        <v>rtdc.l.rtdc.4022:itc</v>
      </c>
      <c r="G30" s="8">
        <f t="shared" si="1"/>
        <v>42673.223449074074</v>
      </c>
    </row>
    <row r="31" spans="1:7" x14ac:dyDescent="0.25">
      <c r="A31" s="8">
        <v>42673.228298611109</v>
      </c>
      <c r="B31" s="21" t="s">
        <v>341</v>
      </c>
      <c r="C31" s="21" t="s">
        <v>455</v>
      </c>
      <c r="D31" s="21">
        <v>900000</v>
      </c>
      <c r="E31" s="21" t="s">
        <v>456</v>
      </c>
      <c r="F31" s="21" t="str">
        <f t="shared" si="0"/>
        <v>rtdc.l.rtdc.4006:itc</v>
      </c>
      <c r="G31" s="8">
        <f t="shared" si="1"/>
        <v>42673.228298611109</v>
      </c>
    </row>
    <row r="32" spans="1:7" x14ac:dyDescent="0.25">
      <c r="A32" s="8">
        <v>42673.231817129628</v>
      </c>
      <c r="B32" s="21" t="s">
        <v>346</v>
      </c>
      <c r="C32" s="21" t="s">
        <v>457</v>
      </c>
      <c r="D32" s="21">
        <v>1260000</v>
      </c>
      <c r="E32" s="21" t="s">
        <v>439</v>
      </c>
      <c r="F32" s="21" t="str">
        <f t="shared" si="0"/>
        <v>rtdc.l.rtdc.4025:itc</v>
      </c>
      <c r="G32" s="8">
        <f t="shared" si="1"/>
        <v>42673.231817129628</v>
      </c>
    </row>
    <row r="33" spans="1:7" x14ac:dyDescent="0.25">
      <c r="A33" s="8">
        <v>42673.235520833332</v>
      </c>
      <c r="B33" s="21" t="s">
        <v>267</v>
      </c>
      <c r="C33" s="21" t="s">
        <v>458</v>
      </c>
      <c r="D33" s="21">
        <v>1310000</v>
      </c>
      <c r="E33" s="21" t="s">
        <v>303</v>
      </c>
      <c r="F33" s="21" t="str">
        <f t="shared" si="0"/>
        <v>rtdc.l.rtdc.4001:itc</v>
      </c>
      <c r="G33" s="8">
        <f t="shared" si="1"/>
        <v>42673.235520833332</v>
      </c>
    </row>
    <row r="34" spans="1:7" x14ac:dyDescent="0.25">
      <c r="A34" s="8">
        <v>42673.236944444441</v>
      </c>
      <c r="B34" s="21" t="s">
        <v>264</v>
      </c>
      <c r="C34" s="21" t="s">
        <v>459</v>
      </c>
      <c r="D34" s="21">
        <v>1110000</v>
      </c>
      <c r="E34" s="21" t="s">
        <v>454</v>
      </c>
      <c r="F34" s="21" t="str">
        <f t="shared" si="0"/>
        <v>rtdc.l.rtdc.4021:itc</v>
      </c>
      <c r="G34" s="8">
        <f t="shared" si="1"/>
        <v>42673.236944444441</v>
      </c>
    </row>
    <row r="35" spans="1:7" x14ac:dyDescent="0.25">
      <c r="A35" s="8">
        <v>42673.241840277777</v>
      </c>
      <c r="B35" s="21" t="s">
        <v>342</v>
      </c>
      <c r="C35" s="21" t="s">
        <v>460</v>
      </c>
      <c r="D35" s="21">
        <v>1780000</v>
      </c>
      <c r="E35" s="21" t="s">
        <v>448</v>
      </c>
      <c r="F35" s="21" t="str">
        <f t="shared" si="0"/>
        <v>rtdc.l.rtdc.4054:itc</v>
      </c>
      <c r="G35" s="8">
        <f t="shared" si="1"/>
        <v>42673.241840277777</v>
      </c>
    </row>
    <row r="36" spans="1:7" x14ac:dyDescent="0.25">
      <c r="A36" s="8">
        <v>42673.249421296299</v>
      </c>
      <c r="B36" s="21" t="s">
        <v>288</v>
      </c>
      <c r="C36" s="21" t="s">
        <v>461</v>
      </c>
      <c r="D36" s="21">
        <v>2010000</v>
      </c>
      <c r="E36" s="21" t="s">
        <v>286</v>
      </c>
      <c r="F36" s="21" t="str">
        <f t="shared" si="0"/>
        <v>rtdc.l.rtdc.4038:itc</v>
      </c>
      <c r="G36" s="8">
        <f t="shared" si="1"/>
        <v>42673.249421296299</v>
      </c>
    </row>
    <row r="37" spans="1:7" x14ac:dyDescent="0.25">
      <c r="A37" s="8">
        <v>42673.251620370371</v>
      </c>
      <c r="B37" s="21" t="s">
        <v>304</v>
      </c>
      <c r="C37" s="21" t="s">
        <v>462</v>
      </c>
      <c r="D37" s="21">
        <v>1110000</v>
      </c>
      <c r="E37" s="21" t="s">
        <v>454</v>
      </c>
      <c r="F37" s="21" t="str">
        <f t="shared" si="0"/>
        <v>rtdc.l.rtdc.4022:itc</v>
      </c>
      <c r="G37" s="8">
        <f t="shared" si="1"/>
        <v>42673.251620370371</v>
      </c>
    </row>
    <row r="38" spans="1:7" x14ac:dyDescent="0.25">
      <c r="A38" s="8">
        <v>42673.25644675926</v>
      </c>
      <c r="B38" s="21" t="s">
        <v>243</v>
      </c>
      <c r="C38" s="21" t="s">
        <v>394</v>
      </c>
      <c r="D38" s="21">
        <v>2030000</v>
      </c>
      <c r="E38" s="21" t="s">
        <v>438</v>
      </c>
      <c r="F38" s="21" t="str">
        <f t="shared" si="0"/>
        <v>rtdc.l.rtdc.4030:itc</v>
      </c>
      <c r="G38" s="8">
        <f t="shared" si="1"/>
        <v>42673.25644675926</v>
      </c>
    </row>
    <row r="39" spans="1:7" x14ac:dyDescent="0.25">
      <c r="A39" s="8">
        <v>42673.258773148147</v>
      </c>
      <c r="B39" s="21" t="s">
        <v>305</v>
      </c>
      <c r="C39" s="21" t="s">
        <v>463</v>
      </c>
      <c r="D39" s="21">
        <v>1990000</v>
      </c>
      <c r="E39" s="21" t="s">
        <v>345</v>
      </c>
      <c r="F39" s="21" t="str">
        <f t="shared" si="0"/>
        <v>rtdc.l.rtdc.4027:itc</v>
      </c>
      <c r="G39" s="8">
        <f t="shared" si="1"/>
        <v>42673.258773148147</v>
      </c>
    </row>
    <row r="40" spans="1:7" x14ac:dyDescent="0.25">
      <c r="A40" s="8">
        <v>42673.260300925926</v>
      </c>
      <c r="B40" s="26" t="s">
        <v>243</v>
      </c>
      <c r="C40" s="21" t="s">
        <v>394</v>
      </c>
      <c r="D40" s="21">
        <v>2030000</v>
      </c>
      <c r="E40" s="21" t="s">
        <v>438</v>
      </c>
      <c r="F40" s="21" t="str">
        <f t="shared" si="0"/>
        <v>rtdc.l.rtdc.4030:itc</v>
      </c>
      <c r="G40" s="8">
        <f t="shared" si="1"/>
        <v>42673.260300925926</v>
      </c>
    </row>
    <row r="41" spans="1:7" x14ac:dyDescent="0.25">
      <c r="A41" s="8">
        <v>42673.266562500001</v>
      </c>
      <c r="B41" s="21" t="s">
        <v>300</v>
      </c>
      <c r="C41" s="21" t="s">
        <v>464</v>
      </c>
      <c r="D41" s="21">
        <v>900000</v>
      </c>
      <c r="E41" s="21" t="s">
        <v>456</v>
      </c>
      <c r="F41" s="21" t="str">
        <f t="shared" si="0"/>
        <v>rtdc.l.rtdc.4005:itc</v>
      </c>
      <c r="G41" s="8">
        <f t="shared" si="1"/>
        <v>42673.266562500001</v>
      </c>
    </row>
    <row r="42" spans="1:7" x14ac:dyDescent="0.25">
      <c r="A42" s="8">
        <v>42673.269780092596</v>
      </c>
      <c r="B42" s="21" t="s">
        <v>266</v>
      </c>
      <c r="C42" s="21" t="s">
        <v>465</v>
      </c>
      <c r="D42" s="21">
        <v>1310000</v>
      </c>
      <c r="E42" s="21" t="s">
        <v>303</v>
      </c>
      <c r="F42" s="21" t="str">
        <f t="shared" si="0"/>
        <v>rtdc.l.rtdc.4002:itc</v>
      </c>
      <c r="G42" s="8">
        <f t="shared" si="1"/>
        <v>42673.269780092596</v>
      </c>
    </row>
    <row r="43" spans="1:7" x14ac:dyDescent="0.25">
      <c r="A43" s="8">
        <v>42673.272141203706</v>
      </c>
      <c r="B43" s="21" t="s">
        <v>243</v>
      </c>
      <c r="C43" s="21" t="s">
        <v>394</v>
      </c>
      <c r="D43" s="21">
        <v>2030000</v>
      </c>
      <c r="E43" s="21" t="s">
        <v>438</v>
      </c>
      <c r="F43" s="21" t="str">
        <f t="shared" si="0"/>
        <v>rtdc.l.rtdc.4030:itc</v>
      </c>
      <c r="G43" s="8">
        <f t="shared" si="1"/>
        <v>42673.272141203706</v>
      </c>
    </row>
    <row r="44" spans="1:7" x14ac:dyDescent="0.25">
      <c r="A44" s="8">
        <v>42673.273692129631</v>
      </c>
      <c r="B44" s="21" t="s">
        <v>340</v>
      </c>
      <c r="C44" s="21" t="s">
        <v>466</v>
      </c>
      <c r="D44" s="21">
        <v>1260000</v>
      </c>
      <c r="E44" s="21" t="s">
        <v>439</v>
      </c>
      <c r="F44" s="21" t="str">
        <f t="shared" si="0"/>
        <v>rtdc.l.rtdc.4026:itc</v>
      </c>
      <c r="G44" s="8">
        <f t="shared" si="1"/>
        <v>42673.273692129631</v>
      </c>
    </row>
    <row r="45" spans="1:7" x14ac:dyDescent="0.25">
      <c r="A45" s="8">
        <v>42673.275717592594</v>
      </c>
      <c r="B45" s="21" t="s">
        <v>343</v>
      </c>
      <c r="C45" s="21" t="s">
        <v>467</v>
      </c>
      <c r="D45" s="21">
        <v>1760000</v>
      </c>
      <c r="E45" s="21" t="s">
        <v>287</v>
      </c>
      <c r="F45" s="21" t="str">
        <f t="shared" si="0"/>
        <v>rtdc.l.rtdc.4053:itc</v>
      </c>
      <c r="G45" s="8">
        <f t="shared" si="1"/>
        <v>42673.275717592594</v>
      </c>
    </row>
    <row r="46" spans="1:7" x14ac:dyDescent="0.25">
      <c r="A46" s="8">
        <v>42673.276203703703</v>
      </c>
      <c r="B46" s="21" t="s">
        <v>264</v>
      </c>
      <c r="C46" s="21" t="s">
        <v>393</v>
      </c>
      <c r="D46" s="21">
        <v>1110000</v>
      </c>
      <c r="E46" s="21" t="s">
        <v>454</v>
      </c>
      <c r="F46" s="21" t="str">
        <f t="shared" si="0"/>
        <v>rtdc.l.rtdc.4021:itc</v>
      </c>
      <c r="G46" s="8">
        <f t="shared" si="1"/>
        <v>42673.276203703703</v>
      </c>
    </row>
    <row r="47" spans="1:7" x14ac:dyDescent="0.25">
      <c r="A47" s="8">
        <v>42673.280104166668</v>
      </c>
      <c r="B47" s="21" t="s">
        <v>343</v>
      </c>
      <c r="C47" s="21" t="s">
        <v>467</v>
      </c>
      <c r="D47" s="21">
        <v>1780000</v>
      </c>
      <c r="E47" s="21" t="s">
        <v>448</v>
      </c>
      <c r="F47" s="21" t="str">
        <f t="shared" si="0"/>
        <v>rtdc.l.rtdc.4053:itc</v>
      </c>
      <c r="G47" s="8">
        <f t="shared" si="1"/>
        <v>42673.280104166668</v>
      </c>
    </row>
    <row r="48" spans="1:7" x14ac:dyDescent="0.25">
      <c r="A48" s="8">
        <v>42673.280289351853</v>
      </c>
      <c r="B48" s="21" t="s">
        <v>243</v>
      </c>
      <c r="C48" s="21" t="s">
        <v>394</v>
      </c>
      <c r="D48" s="21">
        <v>2030000</v>
      </c>
      <c r="E48" s="21" t="s">
        <v>438</v>
      </c>
      <c r="F48" s="21" t="str">
        <f t="shared" si="0"/>
        <v>rtdc.l.rtdc.4030:itc</v>
      </c>
      <c r="G48" s="8">
        <f t="shared" si="1"/>
        <v>42673.280289351853</v>
      </c>
    </row>
    <row r="49" spans="1:7" x14ac:dyDescent="0.25">
      <c r="A49" s="8">
        <v>42673.285856481481</v>
      </c>
      <c r="B49" s="21" t="s">
        <v>257</v>
      </c>
      <c r="C49" s="21" t="s">
        <v>468</v>
      </c>
      <c r="D49" s="21">
        <v>2010000</v>
      </c>
      <c r="E49" s="21" t="s">
        <v>286</v>
      </c>
      <c r="F49" s="21" t="str">
        <f t="shared" si="0"/>
        <v>rtdc.l.rtdc.4037:itc</v>
      </c>
      <c r="G49" s="8">
        <f t="shared" si="1"/>
        <v>42673.285856481481</v>
      </c>
    </row>
    <row r="50" spans="1:7" x14ac:dyDescent="0.25">
      <c r="A50" s="8">
        <v>42673.291168981479</v>
      </c>
      <c r="B50" s="21" t="s">
        <v>408</v>
      </c>
      <c r="C50" s="21" t="s">
        <v>469</v>
      </c>
      <c r="D50" s="21">
        <v>1760000</v>
      </c>
      <c r="E50" s="21" t="s">
        <v>287</v>
      </c>
      <c r="F50" s="21" t="str">
        <f t="shared" si="0"/>
        <v>rtdc.l.rtdc.4046:itc</v>
      </c>
      <c r="G50" s="8">
        <f t="shared" si="1"/>
        <v>42673.291168981479</v>
      </c>
    </row>
    <row r="51" spans="1:7" x14ac:dyDescent="0.25">
      <c r="A51" s="8">
        <v>42673.291909722226</v>
      </c>
      <c r="B51" s="21" t="s">
        <v>408</v>
      </c>
      <c r="C51" s="21" t="s">
        <v>469</v>
      </c>
      <c r="D51" s="21">
        <v>1760000</v>
      </c>
      <c r="E51" s="21" t="s">
        <v>287</v>
      </c>
      <c r="F51" s="21" t="str">
        <f t="shared" si="0"/>
        <v>rtdc.l.rtdc.4046:itc</v>
      </c>
      <c r="G51" s="8">
        <f t="shared" si="1"/>
        <v>42673.291909722226</v>
      </c>
    </row>
    <row r="52" spans="1:7" x14ac:dyDescent="0.25">
      <c r="A52" s="8">
        <v>42673.292939814812</v>
      </c>
      <c r="B52" s="21" t="s">
        <v>408</v>
      </c>
      <c r="C52" s="21" t="s">
        <v>469</v>
      </c>
      <c r="D52" s="21">
        <v>1760000</v>
      </c>
      <c r="E52" s="21" t="s">
        <v>287</v>
      </c>
      <c r="F52" s="21" t="str">
        <f t="shared" si="0"/>
        <v>rtdc.l.rtdc.4046:itc</v>
      </c>
      <c r="G52" s="8">
        <f t="shared" si="1"/>
        <v>42673.292939814812</v>
      </c>
    </row>
    <row r="53" spans="1:7" x14ac:dyDescent="0.25">
      <c r="A53" s="8">
        <v>42673.294074074074</v>
      </c>
      <c r="B53" s="21" t="s">
        <v>235</v>
      </c>
      <c r="C53" s="21" t="s">
        <v>395</v>
      </c>
      <c r="D53" s="21">
        <v>1990000</v>
      </c>
      <c r="E53" s="21" t="s">
        <v>345</v>
      </c>
      <c r="F53" s="21" t="str">
        <f t="shared" si="0"/>
        <v>rtdc.l.rtdc.4028:itc</v>
      </c>
      <c r="G53" s="8">
        <f t="shared" si="1"/>
        <v>42673.294074074074</v>
      </c>
    </row>
    <row r="54" spans="1:7" x14ac:dyDescent="0.25">
      <c r="A54" s="8">
        <v>42673.300740740742</v>
      </c>
      <c r="B54" s="21" t="s">
        <v>341</v>
      </c>
      <c r="C54" s="21" t="s">
        <v>396</v>
      </c>
      <c r="D54" s="21">
        <v>900000</v>
      </c>
      <c r="E54" s="21" t="s">
        <v>456</v>
      </c>
      <c r="F54" s="21" t="str">
        <f t="shared" si="0"/>
        <v>rtdc.l.rtdc.4006:itc</v>
      </c>
      <c r="G54" s="8">
        <f t="shared" si="1"/>
        <v>42673.300740740742</v>
      </c>
    </row>
    <row r="55" spans="1:7" x14ac:dyDescent="0.25">
      <c r="A55" s="8">
        <v>42673.301828703705</v>
      </c>
      <c r="B55" s="21" t="s">
        <v>304</v>
      </c>
      <c r="C55" s="21" t="s">
        <v>470</v>
      </c>
      <c r="D55" s="21">
        <v>1110000</v>
      </c>
      <c r="E55" s="21" t="s">
        <v>454</v>
      </c>
      <c r="F55" s="21" t="str">
        <f t="shared" si="0"/>
        <v>rtdc.l.rtdc.4022:itc</v>
      </c>
      <c r="G55" s="8">
        <f t="shared" si="1"/>
        <v>42673.301828703705</v>
      </c>
    </row>
    <row r="56" spans="1:7" x14ac:dyDescent="0.25">
      <c r="A56" s="8">
        <v>42673.308576388888</v>
      </c>
      <c r="B56" s="21" t="s">
        <v>267</v>
      </c>
      <c r="C56" s="21" t="s">
        <v>471</v>
      </c>
      <c r="D56" s="21">
        <v>1310000</v>
      </c>
      <c r="E56" s="21" t="s">
        <v>303</v>
      </c>
      <c r="F56" s="21" t="str">
        <f t="shared" si="0"/>
        <v>rtdc.l.rtdc.4001:itc</v>
      </c>
      <c r="G56" s="8">
        <f t="shared" si="1"/>
        <v>42673.308576388888</v>
      </c>
    </row>
    <row r="57" spans="1:7" x14ac:dyDescent="0.25">
      <c r="A57" s="8">
        <v>42673.308900462966</v>
      </c>
      <c r="B57" s="21" t="s">
        <v>346</v>
      </c>
      <c r="C57" s="21" t="s">
        <v>472</v>
      </c>
      <c r="D57" s="21">
        <v>1260000</v>
      </c>
      <c r="E57" s="21" t="s">
        <v>439</v>
      </c>
      <c r="F57" s="21" t="str">
        <f t="shared" si="0"/>
        <v>rtdc.l.rtdc.4025:itc</v>
      </c>
      <c r="G57" s="8">
        <f t="shared" si="1"/>
        <v>42673.308900462966</v>
      </c>
    </row>
    <row r="58" spans="1:7" x14ac:dyDescent="0.25">
      <c r="A58" s="8">
        <v>42673.317395833335</v>
      </c>
      <c r="B58" s="21" t="s">
        <v>342</v>
      </c>
      <c r="C58" s="21" t="s">
        <v>473</v>
      </c>
      <c r="D58" s="21">
        <v>1780000</v>
      </c>
      <c r="E58" s="21" t="s">
        <v>448</v>
      </c>
      <c r="F58" s="21" t="str">
        <f t="shared" si="0"/>
        <v>rtdc.l.rtdc.4054:itc</v>
      </c>
      <c r="G58" s="8">
        <f t="shared" si="1"/>
        <v>42673.317395833335</v>
      </c>
    </row>
    <row r="59" spans="1:7" x14ac:dyDescent="0.25">
      <c r="A59" s="8">
        <v>42673.317627314813</v>
      </c>
      <c r="B59" s="21" t="s">
        <v>264</v>
      </c>
      <c r="C59" s="21" t="s">
        <v>474</v>
      </c>
      <c r="D59" s="21">
        <v>1110000</v>
      </c>
      <c r="E59" s="21" t="s">
        <v>454</v>
      </c>
      <c r="F59" s="21" t="str">
        <f t="shared" si="0"/>
        <v>rtdc.l.rtdc.4021:itc</v>
      </c>
      <c r="G59" s="8">
        <f t="shared" si="1"/>
        <v>42673.317627314813</v>
      </c>
    </row>
    <row r="60" spans="1:7" x14ac:dyDescent="0.25">
      <c r="A60" s="8">
        <v>42673.318171296298</v>
      </c>
      <c r="B60" s="21" t="s">
        <v>288</v>
      </c>
      <c r="C60" s="21" t="s">
        <v>475</v>
      </c>
      <c r="D60" s="21">
        <v>2010000</v>
      </c>
      <c r="E60" s="21" t="s">
        <v>286</v>
      </c>
      <c r="F60" s="21" t="str">
        <f t="shared" si="0"/>
        <v>rtdc.l.rtdc.4038:itc</v>
      </c>
      <c r="G60" s="8">
        <f t="shared" si="1"/>
        <v>42673.318171296298</v>
      </c>
    </row>
    <row r="61" spans="1:7" x14ac:dyDescent="0.25">
      <c r="A61" s="8">
        <v>42673.326180555552</v>
      </c>
      <c r="B61" s="21" t="s">
        <v>402</v>
      </c>
      <c r="C61" s="21" t="s">
        <v>476</v>
      </c>
      <c r="D61" s="21">
        <v>1760000</v>
      </c>
      <c r="E61" s="21" t="s">
        <v>287</v>
      </c>
      <c r="F61" s="21" t="str">
        <f t="shared" si="0"/>
        <v>rtdc.l.rtdc.4045:itc</v>
      </c>
      <c r="G61" s="8">
        <f t="shared" si="1"/>
        <v>42673.326180555552</v>
      </c>
    </row>
    <row r="62" spans="1:7" x14ac:dyDescent="0.25">
      <c r="A62" s="8">
        <v>42673.33048611111</v>
      </c>
      <c r="B62" s="21" t="s">
        <v>305</v>
      </c>
      <c r="C62" s="21" t="s">
        <v>477</v>
      </c>
      <c r="D62" s="21">
        <v>1990000</v>
      </c>
      <c r="E62" s="21" t="s">
        <v>345</v>
      </c>
      <c r="F62" s="21" t="str">
        <f t="shared" si="0"/>
        <v>rtdc.l.rtdc.4027:itc</v>
      </c>
      <c r="G62" s="8">
        <f t="shared" si="1"/>
        <v>42673.33048611111</v>
      </c>
    </row>
    <row r="63" spans="1:7" x14ac:dyDescent="0.25">
      <c r="A63" s="8">
        <v>42673.339722222219</v>
      </c>
      <c r="B63" s="21" t="s">
        <v>300</v>
      </c>
      <c r="C63" s="21" t="s">
        <v>478</v>
      </c>
      <c r="D63" s="21">
        <v>900000</v>
      </c>
      <c r="E63" s="21" t="s">
        <v>456</v>
      </c>
      <c r="F63" s="21" t="str">
        <f t="shared" si="0"/>
        <v>rtdc.l.rtdc.4005:itc</v>
      </c>
      <c r="G63" s="8">
        <f t="shared" si="1"/>
        <v>42673.339722222219</v>
      </c>
    </row>
    <row r="64" spans="1:7" x14ac:dyDescent="0.25">
      <c r="A64" s="27">
        <v>42673.342534722222</v>
      </c>
      <c r="B64" s="21" t="s">
        <v>266</v>
      </c>
      <c r="C64" s="21" t="s">
        <v>397</v>
      </c>
      <c r="D64" s="21">
        <v>1310000</v>
      </c>
      <c r="E64" s="21" t="s">
        <v>303</v>
      </c>
      <c r="F64" s="21" t="str">
        <f t="shared" si="0"/>
        <v>rtdc.l.rtdc.4002:itc</v>
      </c>
      <c r="G64" s="8">
        <f t="shared" si="1"/>
        <v>42673.342534722222</v>
      </c>
    </row>
    <row r="65" spans="1:7" x14ac:dyDescent="0.25">
      <c r="A65" s="8">
        <v>42673.345648148148</v>
      </c>
      <c r="B65" s="21" t="s">
        <v>304</v>
      </c>
      <c r="C65" s="21" t="s">
        <v>479</v>
      </c>
      <c r="D65" s="21">
        <v>1110000</v>
      </c>
      <c r="E65" s="21" t="s">
        <v>454</v>
      </c>
      <c r="F65" s="21" t="str">
        <f t="shared" si="0"/>
        <v>rtdc.l.rtdc.4022:itc</v>
      </c>
      <c r="G65" s="8">
        <f t="shared" si="1"/>
        <v>42673.345648148148</v>
      </c>
    </row>
    <row r="66" spans="1:7" x14ac:dyDescent="0.25">
      <c r="A66" s="8">
        <v>42673.346979166665</v>
      </c>
      <c r="B66" s="21" t="s">
        <v>340</v>
      </c>
      <c r="C66" s="21" t="s">
        <v>398</v>
      </c>
      <c r="D66" s="21">
        <v>1260000</v>
      </c>
      <c r="E66" s="21" t="s">
        <v>439</v>
      </c>
      <c r="F66" s="21" t="str">
        <f t="shared" ref="F66:F129" si="2">B66</f>
        <v>rtdc.l.rtdc.4026:itc</v>
      </c>
      <c r="G66" s="8">
        <f t="shared" ref="G66:G129" si="3">A66</f>
        <v>42673.346979166665</v>
      </c>
    </row>
    <row r="67" spans="1:7" x14ac:dyDescent="0.25">
      <c r="A67" s="8">
        <v>42673.353576388887</v>
      </c>
      <c r="B67" s="21" t="s">
        <v>343</v>
      </c>
      <c r="C67" s="21" t="s">
        <v>480</v>
      </c>
      <c r="D67" s="21">
        <v>1780000</v>
      </c>
      <c r="E67" s="21" t="s">
        <v>448</v>
      </c>
      <c r="F67" s="21" t="str">
        <f t="shared" si="2"/>
        <v>rtdc.l.rtdc.4053:itc</v>
      </c>
      <c r="G67" s="8">
        <f t="shared" si="3"/>
        <v>42673.353576388887</v>
      </c>
    </row>
    <row r="68" spans="1:7" x14ac:dyDescent="0.25">
      <c r="A68" s="8">
        <v>42673.358888888892</v>
      </c>
      <c r="B68" s="21" t="s">
        <v>257</v>
      </c>
      <c r="C68" s="21" t="s">
        <v>481</v>
      </c>
      <c r="D68" s="21">
        <v>2010000</v>
      </c>
      <c r="E68" s="21" t="s">
        <v>286</v>
      </c>
      <c r="F68" s="21" t="str">
        <f t="shared" si="2"/>
        <v>rtdc.l.rtdc.4037:itc</v>
      </c>
      <c r="G68" s="8">
        <f t="shared" si="3"/>
        <v>42673.358888888892</v>
      </c>
    </row>
    <row r="69" spans="1:7" x14ac:dyDescent="0.25">
      <c r="A69" s="8">
        <v>42673.36005787037</v>
      </c>
      <c r="B69" s="21" t="s">
        <v>264</v>
      </c>
      <c r="C69" s="21" t="s">
        <v>482</v>
      </c>
      <c r="D69" s="21">
        <v>1110000</v>
      </c>
      <c r="E69" s="21" t="s">
        <v>454</v>
      </c>
      <c r="F69" s="21" t="str">
        <f t="shared" si="2"/>
        <v>rtdc.l.rtdc.4021:itc</v>
      </c>
      <c r="G69" s="8">
        <f t="shared" si="3"/>
        <v>42673.36005787037</v>
      </c>
    </row>
    <row r="70" spans="1:7" x14ac:dyDescent="0.25">
      <c r="A70" s="8">
        <v>42673.360358796293</v>
      </c>
      <c r="B70" s="21" t="s">
        <v>408</v>
      </c>
      <c r="C70" s="21" t="s">
        <v>483</v>
      </c>
      <c r="D70" s="21">
        <v>2030000</v>
      </c>
      <c r="E70" s="21" t="s">
        <v>438</v>
      </c>
      <c r="F70" s="21" t="str">
        <f t="shared" si="2"/>
        <v>rtdc.l.rtdc.4046:itc</v>
      </c>
      <c r="G70" s="8">
        <f t="shared" si="3"/>
        <v>42673.360358796293</v>
      </c>
    </row>
    <row r="71" spans="1:7" x14ac:dyDescent="0.25">
      <c r="A71" s="8">
        <v>42673.367881944447</v>
      </c>
      <c r="B71" s="21" t="s">
        <v>235</v>
      </c>
      <c r="C71" s="21" t="s">
        <v>484</v>
      </c>
      <c r="D71" s="21">
        <v>1990000</v>
      </c>
      <c r="E71" s="21" t="s">
        <v>345</v>
      </c>
      <c r="F71" s="21" t="str">
        <f t="shared" si="2"/>
        <v>rtdc.l.rtdc.4028:itc</v>
      </c>
      <c r="G71" s="8">
        <f t="shared" si="3"/>
        <v>42673.367881944447</v>
      </c>
    </row>
    <row r="72" spans="1:7" x14ac:dyDescent="0.25">
      <c r="A72" s="8">
        <v>42673.373761574076</v>
      </c>
      <c r="B72" s="21" t="s">
        <v>341</v>
      </c>
      <c r="C72" s="21" t="s">
        <v>485</v>
      </c>
      <c r="D72" s="21">
        <v>900000</v>
      </c>
      <c r="E72" s="21" t="s">
        <v>456</v>
      </c>
      <c r="F72" s="21" t="str">
        <f t="shared" si="2"/>
        <v>rtdc.l.rtdc.4006:itc</v>
      </c>
      <c r="G72" s="8">
        <f t="shared" si="3"/>
        <v>42673.373761574076</v>
      </c>
    </row>
    <row r="73" spans="1:7" x14ac:dyDescent="0.25">
      <c r="A73" s="8">
        <v>42673.379861111112</v>
      </c>
      <c r="B73" s="21" t="s">
        <v>346</v>
      </c>
      <c r="C73" s="21" t="s">
        <v>486</v>
      </c>
      <c r="D73" s="21">
        <v>1260000</v>
      </c>
      <c r="E73" s="21" t="s">
        <v>439</v>
      </c>
      <c r="F73" s="21" t="str">
        <f t="shared" si="2"/>
        <v>rtdc.l.rtdc.4025:itc</v>
      </c>
      <c r="G73" s="8">
        <f t="shared" si="3"/>
        <v>42673.379861111112</v>
      </c>
    </row>
    <row r="74" spans="1:7" x14ac:dyDescent="0.25">
      <c r="A74" s="8">
        <v>42673.38013888889</v>
      </c>
      <c r="B74" s="21" t="s">
        <v>267</v>
      </c>
      <c r="C74" s="21" t="s">
        <v>399</v>
      </c>
      <c r="D74" s="21">
        <v>1310000</v>
      </c>
      <c r="E74" s="21" t="s">
        <v>303</v>
      </c>
      <c r="F74" s="21" t="str">
        <f t="shared" si="2"/>
        <v>rtdc.l.rtdc.4001:itc</v>
      </c>
      <c r="G74" s="8">
        <f t="shared" si="3"/>
        <v>42673.38013888889</v>
      </c>
    </row>
    <row r="75" spans="1:7" x14ac:dyDescent="0.25">
      <c r="A75" s="8">
        <v>42673.386793981481</v>
      </c>
      <c r="B75" s="21" t="s">
        <v>342</v>
      </c>
      <c r="C75" s="21" t="s">
        <v>487</v>
      </c>
      <c r="D75" s="21">
        <v>1780000</v>
      </c>
      <c r="E75" s="21" t="s">
        <v>448</v>
      </c>
      <c r="F75" s="21" t="str">
        <f t="shared" si="2"/>
        <v>rtdc.l.rtdc.4054:itc</v>
      </c>
      <c r="G75" s="8">
        <f t="shared" si="3"/>
        <v>42673.386793981481</v>
      </c>
    </row>
    <row r="76" spans="1:7" x14ac:dyDescent="0.25">
      <c r="A76" s="8">
        <v>42673.387743055559</v>
      </c>
      <c r="B76" s="21" t="s">
        <v>304</v>
      </c>
      <c r="C76" s="21" t="s">
        <v>488</v>
      </c>
      <c r="D76" s="21">
        <v>1110000</v>
      </c>
      <c r="E76" s="21" t="s">
        <v>454</v>
      </c>
      <c r="F76" s="21" t="str">
        <f t="shared" si="2"/>
        <v>rtdc.l.rtdc.4022:itc</v>
      </c>
      <c r="G76" s="8">
        <f t="shared" si="3"/>
        <v>42673.387743055559</v>
      </c>
    </row>
    <row r="77" spans="1:7" x14ac:dyDescent="0.25">
      <c r="A77" s="8">
        <v>42673.390949074077</v>
      </c>
      <c r="B77" s="21" t="s">
        <v>288</v>
      </c>
      <c r="C77" s="21" t="s">
        <v>489</v>
      </c>
      <c r="D77" s="21">
        <v>2010000</v>
      </c>
      <c r="E77" s="21" t="s">
        <v>286</v>
      </c>
      <c r="F77" s="21" t="str">
        <f t="shared" si="2"/>
        <v>rtdc.l.rtdc.4038:itc</v>
      </c>
      <c r="G77" s="8">
        <f t="shared" si="3"/>
        <v>42673.390949074077</v>
      </c>
    </row>
    <row r="78" spans="1:7" x14ac:dyDescent="0.25">
      <c r="A78" s="8">
        <v>42673.39472222222</v>
      </c>
      <c r="B78" s="21" t="s">
        <v>402</v>
      </c>
      <c r="C78" s="21" t="s">
        <v>403</v>
      </c>
      <c r="D78" s="21">
        <v>2030000</v>
      </c>
      <c r="E78" s="21" t="s">
        <v>438</v>
      </c>
      <c r="F78" s="21" t="str">
        <f t="shared" si="2"/>
        <v>rtdc.l.rtdc.4045:itc</v>
      </c>
      <c r="G78" s="8">
        <f t="shared" si="3"/>
        <v>42673.39472222222</v>
      </c>
    </row>
    <row r="79" spans="1:7" x14ac:dyDescent="0.25">
      <c r="A79" s="8">
        <v>42673.401087962964</v>
      </c>
      <c r="B79" s="21" t="s">
        <v>264</v>
      </c>
      <c r="C79" s="21" t="s">
        <v>400</v>
      </c>
      <c r="D79" s="21">
        <v>1110000</v>
      </c>
      <c r="E79" s="21" t="s">
        <v>454</v>
      </c>
      <c r="F79" s="21" t="str">
        <f t="shared" si="2"/>
        <v>rtdc.l.rtdc.4021:itc</v>
      </c>
      <c r="G79" s="8">
        <f t="shared" si="3"/>
        <v>42673.401087962964</v>
      </c>
    </row>
    <row r="80" spans="1:7" x14ac:dyDescent="0.25">
      <c r="A80" s="8">
        <v>42673.401226851849</v>
      </c>
      <c r="B80" s="21" t="s">
        <v>305</v>
      </c>
      <c r="C80" s="21" t="s">
        <v>404</v>
      </c>
      <c r="D80" s="21">
        <v>1990000</v>
      </c>
      <c r="E80" s="21" t="s">
        <v>345</v>
      </c>
      <c r="F80" s="21" t="str">
        <f t="shared" si="2"/>
        <v>rtdc.l.rtdc.4027:itc</v>
      </c>
      <c r="G80" s="8">
        <f t="shared" si="3"/>
        <v>42673.401226851849</v>
      </c>
    </row>
    <row r="81" spans="1:7" x14ac:dyDescent="0.25">
      <c r="A81" s="8">
        <v>42673.412268518521</v>
      </c>
      <c r="B81" s="21" t="s">
        <v>300</v>
      </c>
      <c r="C81" s="21" t="s">
        <v>490</v>
      </c>
      <c r="D81" s="21">
        <v>900000</v>
      </c>
      <c r="E81" s="21" t="s">
        <v>456</v>
      </c>
      <c r="F81" s="21" t="str">
        <f t="shared" si="2"/>
        <v>rtdc.l.rtdc.4005:itc</v>
      </c>
      <c r="G81" s="8">
        <f t="shared" si="3"/>
        <v>42673.412268518521</v>
      </c>
    </row>
    <row r="82" spans="1:7" x14ac:dyDescent="0.25">
      <c r="A82" s="8">
        <v>42673.41510416667</v>
      </c>
      <c r="B82" s="21" t="s">
        <v>266</v>
      </c>
      <c r="C82" s="21" t="s">
        <v>401</v>
      </c>
      <c r="D82" s="21">
        <v>1310000</v>
      </c>
      <c r="E82" s="21" t="s">
        <v>303</v>
      </c>
      <c r="F82" s="21" t="str">
        <f t="shared" si="2"/>
        <v>rtdc.l.rtdc.4002:itc</v>
      </c>
      <c r="G82" s="8">
        <f t="shared" si="3"/>
        <v>42673.41510416667</v>
      </c>
    </row>
    <row r="83" spans="1:7" x14ac:dyDescent="0.25">
      <c r="A83" s="8">
        <v>42673.419803240744</v>
      </c>
      <c r="B83" s="21" t="s">
        <v>340</v>
      </c>
      <c r="C83" s="21" t="s">
        <v>491</v>
      </c>
      <c r="D83" s="21">
        <v>1260000</v>
      </c>
      <c r="E83" s="21" t="s">
        <v>439</v>
      </c>
      <c r="F83" s="21" t="str">
        <f t="shared" si="2"/>
        <v>rtdc.l.rtdc.4026:itc</v>
      </c>
      <c r="G83" s="8">
        <f t="shared" si="3"/>
        <v>42673.419803240744</v>
      </c>
    </row>
    <row r="84" spans="1:7" x14ac:dyDescent="0.25">
      <c r="A84" s="8">
        <v>42673.422106481485</v>
      </c>
      <c r="B84" s="21" t="s">
        <v>343</v>
      </c>
      <c r="C84" s="21" t="s">
        <v>405</v>
      </c>
      <c r="D84" s="21">
        <v>1760000</v>
      </c>
      <c r="E84" s="21" t="s">
        <v>287</v>
      </c>
      <c r="F84" s="21" t="str">
        <f t="shared" si="2"/>
        <v>rtdc.l.rtdc.4053:itc</v>
      </c>
      <c r="G84" s="8">
        <f t="shared" si="3"/>
        <v>42673.422106481485</v>
      </c>
    </row>
    <row r="85" spans="1:7" x14ac:dyDescent="0.25">
      <c r="A85" s="8">
        <v>42673.428657407407</v>
      </c>
      <c r="B85" s="21" t="s">
        <v>304</v>
      </c>
      <c r="C85" s="21" t="s">
        <v>492</v>
      </c>
      <c r="D85" s="21">
        <v>1110000</v>
      </c>
      <c r="E85" s="21" t="s">
        <v>454</v>
      </c>
      <c r="F85" s="21" t="str">
        <f t="shared" si="2"/>
        <v>rtdc.l.rtdc.4022:itc</v>
      </c>
      <c r="G85" s="8">
        <f t="shared" si="3"/>
        <v>42673.428657407407</v>
      </c>
    </row>
    <row r="86" spans="1:7" x14ac:dyDescent="0.25">
      <c r="A86" s="8">
        <v>42673.43204861111</v>
      </c>
      <c r="B86" s="21" t="s">
        <v>257</v>
      </c>
      <c r="C86" s="21" t="s">
        <v>493</v>
      </c>
      <c r="D86" s="21">
        <v>2010000</v>
      </c>
      <c r="E86" s="21" t="s">
        <v>286</v>
      </c>
      <c r="F86" s="21" t="str">
        <f t="shared" si="2"/>
        <v>rtdc.l.rtdc.4037:itc</v>
      </c>
      <c r="G86" s="8">
        <f t="shared" si="3"/>
        <v>42673.43204861111</v>
      </c>
    </row>
    <row r="87" spans="1:7" x14ac:dyDescent="0.25">
      <c r="A87" s="8">
        <v>42673.432592592595</v>
      </c>
      <c r="B87" s="21" t="s">
        <v>408</v>
      </c>
      <c r="C87" s="21" t="s">
        <v>494</v>
      </c>
      <c r="D87" s="21">
        <v>930000</v>
      </c>
      <c r="E87" s="21" t="s">
        <v>347</v>
      </c>
      <c r="F87" s="21" t="str">
        <f t="shared" si="2"/>
        <v>rtdc.l.rtdc.4046:itc</v>
      </c>
      <c r="G87" s="8">
        <f t="shared" si="3"/>
        <v>42673.432592592595</v>
      </c>
    </row>
    <row r="88" spans="1:7" x14ac:dyDescent="0.25">
      <c r="A88" s="8">
        <v>42673.441620370373</v>
      </c>
      <c r="B88" s="21" t="s">
        <v>235</v>
      </c>
      <c r="C88" s="21" t="s">
        <v>495</v>
      </c>
      <c r="D88" s="21">
        <v>1990000</v>
      </c>
      <c r="E88" s="21" t="s">
        <v>345</v>
      </c>
      <c r="F88" s="21" t="str">
        <f t="shared" si="2"/>
        <v>rtdc.l.rtdc.4028:itc</v>
      </c>
      <c r="G88" s="8">
        <f t="shared" si="3"/>
        <v>42673.441620370373</v>
      </c>
    </row>
    <row r="89" spans="1:7" x14ac:dyDescent="0.25">
      <c r="A89" s="8">
        <v>42673.443136574075</v>
      </c>
      <c r="B89" s="21" t="s">
        <v>264</v>
      </c>
      <c r="C89" s="21" t="s">
        <v>496</v>
      </c>
      <c r="D89" s="21">
        <v>1110000</v>
      </c>
      <c r="E89" s="21" t="s">
        <v>454</v>
      </c>
      <c r="F89" s="21" t="str">
        <f t="shared" si="2"/>
        <v>rtdc.l.rtdc.4021:itc</v>
      </c>
      <c r="G89" s="8">
        <f t="shared" si="3"/>
        <v>42673.443136574075</v>
      </c>
    </row>
    <row r="90" spans="1:7" x14ac:dyDescent="0.25">
      <c r="A90" s="8">
        <v>42673.44767361111</v>
      </c>
      <c r="B90" s="21" t="s">
        <v>341</v>
      </c>
      <c r="C90" s="21" t="s">
        <v>497</v>
      </c>
      <c r="D90" s="21">
        <v>900000</v>
      </c>
      <c r="E90" s="21" t="s">
        <v>456</v>
      </c>
      <c r="F90" s="21" t="str">
        <f t="shared" si="2"/>
        <v>rtdc.l.rtdc.4006:itc</v>
      </c>
      <c r="G90" s="8">
        <f t="shared" si="3"/>
        <v>42673.44767361111</v>
      </c>
    </row>
    <row r="91" spans="1:7" x14ac:dyDescent="0.25">
      <c r="A91" s="8">
        <v>42673.453923611109</v>
      </c>
      <c r="B91" s="21" t="s">
        <v>346</v>
      </c>
      <c r="C91" s="21" t="s">
        <v>498</v>
      </c>
      <c r="D91" s="21">
        <v>880000</v>
      </c>
      <c r="E91" s="21" t="s">
        <v>499</v>
      </c>
      <c r="F91" s="21" t="str">
        <f t="shared" si="2"/>
        <v>rtdc.l.rtdc.4025:itc</v>
      </c>
      <c r="G91" s="8">
        <f t="shared" si="3"/>
        <v>42673.453923611109</v>
      </c>
    </row>
    <row r="92" spans="1:7" x14ac:dyDescent="0.25">
      <c r="A92" s="8">
        <v>42673.45516203704</v>
      </c>
      <c r="B92" s="21" t="s">
        <v>267</v>
      </c>
      <c r="C92" s="21" t="s">
        <v>401</v>
      </c>
      <c r="D92" s="21">
        <v>1310000</v>
      </c>
      <c r="E92" s="21" t="s">
        <v>303</v>
      </c>
      <c r="F92" s="21" t="str">
        <f t="shared" si="2"/>
        <v>rtdc.l.rtdc.4001:itc</v>
      </c>
      <c r="G92" s="8">
        <f t="shared" si="3"/>
        <v>42673.45516203704</v>
      </c>
    </row>
    <row r="93" spans="1:7" x14ac:dyDescent="0.25">
      <c r="A93" s="8">
        <v>42673.455775462964</v>
      </c>
      <c r="B93" s="21" t="s">
        <v>267</v>
      </c>
      <c r="C93" s="21" t="s">
        <v>500</v>
      </c>
      <c r="D93" s="21">
        <v>1310000</v>
      </c>
      <c r="E93" s="21" t="s">
        <v>303</v>
      </c>
      <c r="F93" s="21" t="str">
        <f t="shared" si="2"/>
        <v>rtdc.l.rtdc.4001:itc</v>
      </c>
      <c r="G93" s="8">
        <f t="shared" si="3"/>
        <v>42673.455775462964</v>
      </c>
    </row>
    <row r="94" spans="1:7" x14ac:dyDescent="0.25">
      <c r="A94" s="8">
        <v>42673.458321759259</v>
      </c>
      <c r="B94" s="21" t="s">
        <v>342</v>
      </c>
      <c r="C94" s="21" t="s">
        <v>406</v>
      </c>
      <c r="D94" s="21">
        <v>1760000</v>
      </c>
      <c r="E94" s="21" t="s">
        <v>287</v>
      </c>
      <c r="F94" s="21" t="str">
        <f t="shared" si="2"/>
        <v>rtdc.l.rtdc.4054:itc</v>
      </c>
      <c r="G94" s="8">
        <f t="shared" si="3"/>
        <v>42673.458321759259</v>
      </c>
    </row>
    <row r="95" spans="1:7" x14ac:dyDescent="0.25">
      <c r="A95" s="8">
        <v>42673.463263888887</v>
      </c>
      <c r="B95" s="21" t="s">
        <v>288</v>
      </c>
      <c r="C95" s="21" t="s">
        <v>501</v>
      </c>
      <c r="D95" s="21">
        <v>1280000</v>
      </c>
      <c r="E95" s="21" t="s">
        <v>502</v>
      </c>
      <c r="F95" s="21" t="str">
        <f t="shared" si="2"/>
        <v>rtdc.l.rtdc.4038:itc</v>
      </c>
      <c r="G95" s="8">
        <f t="shared" si="3"/>
        <v>42673.463263888887</v>
      </c>
    </row>
    <row r="96" spans="1:7" x14ac:dyDescent="0.25">
      <c r="A96" s="8">
        <v>42673.467766203707</v>
      </c>
      <c r="B96" s="21" t="s">
        <v>304</v>
      </c>
      <c r="C96" s="21" t="s">
        <v>503</v>
      </c>
      <c r="D96" s="21">
        <v>1110000</v>
      </c>
      <c r="E96" s="21" t="s">
        <v>454</v>
      </c>
      <c r="F96" s="21" t="str">
        <f t="shared" si="2"/>
        <v>rtdc.l.rtdc.4022:itc</v>
      </c>
      <c r="G96" s="8">
        <f t="shared" si="3"/>
        <v>42673.467766203707</v>
      </c>
    </row>
    <row r="97" spans="1:7" x14ac:dyDescent="0.25">
      <c r="A97" s="8">
        <v>42673.47378472222</v>
      </c>
      <c r="B97" s="21" t="s">
        <v>402</v>
      </c>
      <c r="C97" s="21" t="s">
        <v>504</v>
      </c>
      <c r="D97" s="21">
        <v>930000</v>
      </c>
      <c r="E97" s="21" t="s">
        <v>347</v>
      </c>
      <c r="F97" s="21" t="str">
        <f t="shared" si="2"/>
        <v>rtdc.l.rtdc.4045:itc</v>
      </c>
      <c r="G97" s="8">
        <f t="shared" si="3"/>
        <v>42673.47378472222</v>
      </c>
    </row>
    <row r="98" spans="1:7" x14ac:dyDescent="0.25">
      <c r="A98" s="8">
        <v>42673.476921296293</v>
      </c>
      <c r="B98" s="21" t="s">
        <v>305</v>
      </c>
      <c r="C98" s="21" t="s">
        <v>505</v>
      </c>
      <c r="D98" s="21">
        <v>1770000</v>
      </c>
      <c r="E98" s="21" t="s">
        <v>506</v>
      </c>
      <c r="F98" s="21" t="str">
        <f t="shared" si="2"/>
        <v>rtdc.l.rtdc.4027:itc</v>
      </c>
      <c r="G98" s="8">
        <f t="shared" si="3"/>
        <v>42673.476921296293</v>
      </c>
    </row>
    <row r="99" spans="1:7" x14ac:dyDescent="0.25">
      <c r="A99" s="8">
        <v>42673.483969907407</v>
      </c>
      <c r="B99" s="21" t="s">
        <v>264</v>
      </c>
      <c r="C99" s="21" t="s">
        <v>503</v>
      </c>
      <c r="D99" s="21">
        <v>1110000</v>
      </c>
      <c r="E99" s="21" t="s">
        <v>454</v>
      </c>
      <c r="F99" s="21" t="str">
        <f t="shared" si="2"/>
        <v>rtdc.l.rtdc.4021:itc</v>
      </c>
      <c r="G99" s="8">
        <f t="shared" si="3"/>
        <v>42673.483969907407</v>
      </c>
    </row>
    <row r="100" spans="1:7" x14ac:dyDescent="0.25">
      <c r="A100" s="8">
        <v>42673.485069444447</v>
      </c>
      <c r="B100" s="21" t="s">
        <v>264</v>
      </c>
      <c r="C100" s="21" t="s">
        <v>507</v>
      </c>
      <c r="D100" s="21">
        <v>1110000</v>
      </c>
      <c r="E100" s="21" t="s">
        <v>454</v>
      </c>
      <c r="F100" s="21" t="str">
        <f t="shared" si="2"/>
        <v>rtdc.l.rtdc.4021:itc</v>
      </c>
      <c r="G100" s="8">
        <f t="shared" si="3"/>
        <v>42673.485069444447</v>
      </c>
    </row>
    <row r="101" spans="1:7" x14ac:dyDescent="0.25">
      <c r="A101" s="8">
        <v>42673.485810185186</v>
      </c>
      <c r="B101" s="21" t="s">
        <v>300</v>
      </c>
      <c r="C101" s="21" t="s">
        <v>407</v>
      </c>
      <c r="D101" s="21">
        <v>900000</v>
      </c>
      <c r="E101" s="21" t="s">
        <v>456</v>
      </c>
      <c r="F101" s="21" t="str">
        <f t="shared" si="2"/>
        <v>rtdc.l.rtdc.4005:itc</v>
      </c>
      <c r="G101" s="8">
        <f t="shared" si="3"/>
        <v>42673.485810185186</v>
      </c>
    </row>
    <row r="102" spans="1:7" x14ac:dyDescent="0.25">
      <c r="A102" s="8">
        <v>42673.485856481479</v>
      </c>
      <c r="B102" s="21" t="s">
        <v>266</v>
      </c>
      <c r="C102" s="21" t="s">
        <v>508</v>
      </c>
      <c r="D102" s="21">
        <v>2040000</v>
      </c>
      <c r="E102" s="21" t="s">
        <v>289</v>
      </c>
      <c r="F102" s="21" t="str">
        <f t="shared" si="2"/>
        <v>rtdc.l.rtdc.4002:itc</v>
      </c>
      <c r="G102" s="8">
        <f t="shared" si="3"/>
        <v>42673.485856481479</v>
      </c>
    </row>
    <row r="103" spans="1:7" x14ac:dyDescent="0.25">
      <c r="A103" s="8">
        <v>42673.495243055557</v>
      </c>
      <c r="B103" s="21" t="s">
        <v>340</v>
      </c>
      <c r="C103" s="21" t="s">
        <v>509</v>
      </c>
      <c r="D103" s="21">
        <v>880000</v>
      </c>
      <c r="E103" s="21" t="s">
        <v>499</v>
      </c>
      <c r="F103" s="21" t="str">
        <f t="shared" si="2"/>
        <v>rtdc.l.rtdc.4026:itc</v>
      </c>
      <c r="G103" s="8">
        <f t="shared" si="3"/>
        <v>42673.495243055557</v>
      </c>
    </row>
    <row r="104" spans="1:7" x14ac:dyDescent="0.25">
      <c r="A104" s="8">
        <v>42673.497094907405</v>
      </c>
      <c r="B104" s="21" t="s">
        <v>257</v>
      </c>
      <c r="C104" s="21" t="s">
        <v>510</v>
      </c>
      <c r="D104" s="21">
        <v>1280000</v>
      </c>
      <c r="E104" s="21" t="s">
        <v>502</v>
      </c>
      <c r="F104" s="21" t="str">
        <f t="shared" si="2"/>
        <v>rtdc.l.rtdc.4037:itc</v>
      </c>
      <c r="G104" s="8">
        <f t="shared" si="3"/>
        <v>42673.497094907405</v>
      </c>
    </row>
    <row r="105" spans="1:7" x14ac:dyDescent="0.25">
      <c r="A105" s="8">
        <v>42673.497395833336</v>
      </c>
      <c r="B105" s="21" t="s">
        <v>343</v>
      </c>
      <c r="C105" s="21" t="s">
        <v>511</v>
      </c>
      <c r="D105" s="21">
        <v>1140000</v>
      </c>
      <c r="E105" s="21" t="s">
        <v>255</v>
      </c>
      <c r="F105" s="21" t="str">
        <f t="shared" si="2"/>
        <v>rtdc.l.rtdc.4053:itc</v>
      </c>
      <c r="G105" s="8">
        <f t="shared" si="3"/>
        <v>42673.497395833336</v>
      </c>
    </row>
    <row r="106" spans="1:7" x14ac:dyDescent="0.25">
      <c r="A106" s="8">
        <v>42673.500578703701</v>
      </c>
      <c r="B106" s="21" t="s">
        <v>190</v>
      </c>
      <c r="C106" s="21" t="s">
        <v>512</v>
      </c>
      <c r="D106" s="21">
        <v>2020000</v>
      </c>
      <c r="E106" s="21" t="s">
        <v>306</v>
      </c>
      <c r="F106" s="21" t="str">
        <f t="shared" si="2"/>
        <v>rtdc.l.rtdc.4010:itc</v>
      </c>
      <c r="G106" s="8">
        <f t="shared" si="3"/>
        <v>42673.500578703701</v>
      </c>
    </row>
    <row r="107" spans="1:7" x14ac:dyDescent="0.25">
      <c r="A107" s="8">
        <v>42673.505902777775</v>
      </c>
      <c r="B107" s="21" t="s">
        <v>408</v>
      </c>
      <c r="C107" s="21" t="s">
        <v>409</v>
      </c>
      <c r="D107" s="21">
        <v>930000</v>
      </c>
      <c r="E107" s="21" t="s">
        <v>347</v>
      </c>
      <c r="F107" s="21" t="str">
        <f t="shared" si="2"/>
        <v>rtdc.l.rtdc.4046:itc</v>
      </c>
      <c r="G107" s="8">
        <f t="shared" si="3"/>
        <v>42673.505902777775</v>
      </c>
    </row>
    <row r="108" spans="1:7" x14ac:dyDescent="0.25">
      <c r="A108" s="8">
        <v>42673.511886574073</v>
      </c>
      <c r="B108" s="21" t="s">
        <v>304</v>
      </c>
      <c r="C108" s="21" t="s">
        <v>513</v>
      </c>
      <c r="D108" s="21">
        <v>1110000</v>
      </c>
      <c r="E108" s="21" t="s">
        <v>454</v>
      </c>
      <c r="F108" s="21" t="str">
        <f t="shared" si="2"/>
        <v>rtdc.l.rtdc.4022:itc</v>
      </c>
      <c r="G108" s="8">
        <f t="shared" si="3"/>
        <v>42673.511886574073</v>
      </c>
    </row>
    <row r="109" spans="1:7" x14ac:dyDescent="0.25">
      <c r="A109" s="8">
        <v>42673.514814814815</v>
      </c>
      <c r="B109" s="21" t="s">
        <v>235</v>
      </c>
      <c r="C109" s="21" t="s">
        <v>514</v>
      </c>
      <c r="D109" s="21">
        <v>1770000</v>
      </c>
      <c r="E109" s="21" t="s">
        <v>506</v>
      </c>
      <c r="F109" s="21" t="str">
        <f t="shared" si="2"/>
        <v>rtdc.l.rtdc.4028:itc</v>
      </c>
      <c r="G109" s="8">
        <f t="shared" si="3"/>
        <v>42673.514814814815</v>
      </c>
    </row>
    <row r="110" spans="1:7" x14ac:dyDescent="0.25">
      <c r="A110" s="8">
        <v>42673.5156712963</v>
      </c>
      <c r="B110" s="21" t="s">
        <v>341</v>
      </c>
      <c r="C110" s="21" t="s">
        <v>515</v>
      </c>
      <c r="D110" s="21">
        <v>2020000</v>
      </c>
      <c r="E110" s="21" t="s">
        <v>306</v>
      </c>
      <c r="F110" s="21" t="str">
        <f t="shared" si="2"/>
        <v>rtdc.l.rtdc.4006:itc</v>
      </c>
      <c r="G110" s="8">
        <f t="shared" si="3"/>
        <v>42673.5156712963</v>
      </c>
    </row>
    <row r="111" spans="1:7" x14ac:dyDescent="0.25">
      <c r="A111" s="8">
        <v>42673.520324074074</v>
      </c>
      <c r="B111" s="21" t="s">
        <v>191</v>
      </c>
      <c r="C111" s="21" t="s">
        <v>516</v>
      </c>
      <c r="D111" s="21">
        <v>900000</v>
      </c>
      <c r="E111" s="21" t="s">
        <v>456</v>
      </c>
      <c r="F111" s="21" t="str">
        <f t="shared" si="2"/>
        <v>rtdc.l.rtdc.4009:itc</v>
      </c>
      <c r="G111" s="8">
        <f t="shared" si="3"/>
        <v>42673.520324074074</v>
      </c>
    </row>
    <row r="112" spans="1:7" x14ac:dyDescent="0.25">
      <c r="A112" s="8">
        <v>42673.524618055555</v>
      </c>
      <c r="B112" s="21" t="s">
        <v>267</v>
      </c>
      <c r="C112" s="21" t="s">
        <v>410</v>
      </c>
      <c r="D112" s="21">
        <v>2040000</v>
      </c>
      <c r="E112" s="21" t="s">
        <v>289</v>
      </c>
      <c r="F112" s="21" t="str">
        <f t="shared" si="2"/>
        <v>rtdc.l.rtdc.4001:itc</v>
      </c>
      <c r="G112" s="8">
        <f t="shared" si="3"/>
        <v>42673.524618055555</v>
      </c>
    </row>
    <row r="113" spans="1:7" x14ac:dyDescent="0.25">
      <c r="A113" s="8">
        <v>42673.525868055556</v>
      </c>
      <c r="B113" s="21" t="s">
        <v>264</v>
      </c>
      <c r="C113" s="21" t="s">
        <v>517</v>
      </c>
      <c r="D113" s="21">
        <v>1110000</v>
      </c>
      <c r="E113" s="21" t="s">
        <v>454</v>
      </c>
      <c r="F113" s="21" t="str">
        <f t="shared" si="2"/>
        <v>rtdc.l.rtdc.4021:itc</v>
      </c>
      <c r="G113" s="8">
        <f t="shared" si="3"/>
        <v>42673.525868055556</v>
      </c>
    </row>
    <row r="114" spans="1:7" x14ac:dyDescent="0.25">
      <c r="A114" s="8">
        <v>42673.526458333334</v>
      </c>
      <c r="B114" s="21" t="s">
        <v>346</v>
      </c>
      <c r="C114" s="21" t="s">
        <v>518</v>
      </c>
      <c r="D114" s="21">
        <v>880000</v>
      </c>
      <c r="E114" s="21" t="s">
        <v>499</v>
      </c>
      <c r="F114" s="21" t="str">
        <f t="shared" si="2"/>
        <v>rtdc.l.rtdc.4025:itc</v>
      </c>
      <c r="G114" s="8">
        <f t="shared" si="3"/>
        <v>42673.526458333334</v>
      </c>
    </row>
    <row r="115" spans="1:7" x14ac:dyDescent="0.25">
      <c r="A115" s="8">
        <v>42673.534131944441</v>
      </c>
      <c r="B115" s="21" t="s">
        <v>342</v>
      </c>
      <c r="C115" s="21" t="s">
        <v>519</v>
      </c>
      <c r="D115" s="21">
        <v>1140000</v>
      </c>
      <c r="E115" s="21" t="s">
        <v>255</v>
      </c>
      <c r="F115" s="21" t="str">
        <f t="shared" si="2"/>
        <v>rtdc.l.rtdc.4054:itc</v>
      </c>
      <c r="G115" s="8">
        <f t="shared" si="3"/>
        <v>42673.534131944441</v>
      </c>
    </row>
    <row r="116" spans="1:7" x14ac:dyDescent="0.25">
      <c r="A116" s="8">
        <v>42673.536180555559</v>
      </c>
      <c r="B116" s="21" t="s">
        <v>288</v>
      </c>
      <c r="C116" s="21" t="s">
        <v>520</v>
      </c>
      <c r="D116" s="21">
        <v>1280000</v>
      </c>
      <c r="E116" s="21" t="s">
        <v>502</v>
      </c>
      <c r="F116" s="21" t="str">
        <f t="shared" si="2"/>
        <v>rtdc.l.rtdc.4038:itc</v>
      </c>
      <c r="G116" s="8">
        <f t="shared" si="3"/>
        <v>42673.536180555559</v>
      </c>
    </row>
    <row r="117" spans="1:7" x14ac:dyDescent="0.25">
      <c r="A117" s="8">
        <v>42673.544756944444</v>
      </c>
      <c r="B117" s="21" t="s">
        <v>402</v>
      </c>
      <c r="C117" s="21" t="s">
        <v>521</v>
      </c>
      <c r="D117" s="21">
        <v>930000</v>
      </c>
      <c r="E117" s="21" t="s">
        <v>347</v>
      </c>
      <c r="F117" s="21" t="str">
        <f t="shared" si="2"/>
        <v>rtdc.l.rtdc.4045:itc</v>
      </c>
      <c r="G117" s="8">
        <f t="shared" si="3"/>
        <v>42673.544756944444</v>
      </c>
    </row>
    <row r="118" spans="1:7" x14ac:dyDescent="0.25">
      <c r="A118" s="8">
        <v>42673.54650462963</v>
      </c>
      <c r="B118" s="21" t="s">
        <v>305</v>
      </c>
      <c r="C118" s="21" t="s">
        <v>522</v>
      </c>
      <c r="D118" s="21">
        <v>1770000</v>
      </c>
      <c r="E118" s="21" t="s">
        <v>506</v>
      </c>
      <c r="F118" s="21" t="str">
        <f t="shared" si="2"/>
        <v>rtdc.l.rtdc.4027:itc</v>
      </c>
      <c r="G118" s="8">
        <f t="shared" si="3"/>
        <v>42673.54650462963</v>
      </c>
    </row>
    <row r="119" spans="1:7" x14ac:dyDescent="0.25">
      <c r="A119" s="8">
        <v>42673.553784722222</v>
      </c>
      <c r="B119" s="21" t="s">
        <v>304</v>
      </c>
      <c r="C119" s="21" t="s">
        <v>523</v>
      </c>
      <c r="D119" s="21">
        <v>1110000</v>
      </c>
      <c r="E119" s="21" t="s">
        <v>454</v>
      </c>
      <c r="F119" s="21" t="str">
        <f t="shared" si="2"/>
        <v>rtdc.l.rtdc.4022:itc</v>
      </c>
      <c r="G119" s="8">
        <f t="shared" si="3"/>
        <v>42673.553784722222</v>
      </c>
    </row>
    <row r="120" spans="1:7" x14ac:dyDescent="0.25">
      <c r="A120" s="8">
        <v>42673.555763888886</v>
      </c>
      <c r="B120" s="21" t="s">
        <v>300</v>
      </c>
      <c r="C120" s="21" t="s">
        <v>524</v>
      </c>
      <c r="D120" s="21">
        <v>2020000</v>
      </c>
      <c r="E120" s="21" t="s">
        <v>306</v>
      </c>
      <c r="F120" s="21" t="str">
        <f t="shared" si="2"/>
        <v>rtdc.l.rtdc.4005:itc</v>
      </c>
      <c r="G120" s="8">
        <f t="shared" si="3"/>
        <v>42673.555763888886</v>
      </c>
    </row>
    <row r="121" spans="1:7" x14ac:dyDescent="0.25">
      <c r="A121" s="8">
        <v>42673.560057870367</v>
      </c>
      <c r="B121" s="21" t="s">
        <v>266</v>
      </c>
      <c r="C121" s="21" t="s">
        <v>525</v>
      </c>
      <c r="D121" s="21">
        <v>2040000</v>
      </c>
      <c r="E121" s="21" t="s">
        <v>289</v>
      </c>
      <c r="F121" s="21" t="str">
        <f t="shared" si="2"/>
        <v>rtdc.l.rtdc.4002:itc</v>
      </c>
      <c r="G121" s="8">
        <f t="shared" si="3"/>
        <v>42673.560057870367</v>
      </c>
    </row>
    <row r="122" spans="1:7" x14ac:dyDescent="0.25">
      <c r="A122" s="8">
        <v>42673.567326388889</v>
      </c>
      <c r="B122" s="26" t="s">
        <v>340</v>
      </c>
      <c r="C122" s="21" t="s">
        <v>526</v>
      </c>
      <c r="D122" s="21">
        <v>880000</v>
      </c>
      <c r="E122" s="21" t="s">
        <v>499</v>
      </c>
      <c r="F122" s="21" t="str">
        <f t="shared" si="2"/>
        <v>rtdc.l.rtdc.4026:itc</v>
      </c>
      <c r="G122" s="8">
        <f t="shared" si="3"/>
        <v>42673.567326388889</v>
      </c>
    </row>
    <row r="123" spans="1:7" x14ac:dyDescent="0.25">
      <c r="A123" s="8">
        <v>42673.567719907405</v>
      </c>
      <c r="B123" s="21" t="s">
        <v>264</v>
      </c>
      <c r="C123" s="21" t="s">
        <v>527</v>
      </c>
      <c r="D123" s="21">
        <v>1110000</v>
      </c>
      <c r="E123" s="21" t="s">
        <v>454</v>
      </c>
      <c r="F123" s="21" t="str">
        <f t="shared" si="2"/>
        <v>rtdc.l.rtdc.4021:itc</v>
      </c>
      <c r="G123" s="8">
        <f t="shared" si="3"/>
        <v>42673.567719907405</v>
      </c>
    </row>
    <row r="124" spans="1:7" x14ac:dyDescent="0.25">
      <c r="A124" s="8">
        <v>42673.569351851853</v>
      </c>
      <c r="B124" s="21" t="s">
        <v>257</v>
      </c>
      <c r="C124" s="21" t="s">
        <v>528</v>
      </c>
      <c r="D124" s="21">
        <v>1280000</v>
      </c>
      <c r="E124" s="21" t="s">
        <v>502</v>
      </c>
      <c r="F124" s="21" t="str">
        <f t="shared" si="2"/>
        <v>rtdc.l.rtdc.4037:itc</v>
      </c>
      <c r="G124" s="8">
        <f t="shared" si="3"/>
        <v>42673.569351851853</v>
      </c>
    </row>
    <row r="125" spans="1:7" x14ac:dyDescent="0.25">
      <c r="A125" s="8">
        <v>42673.571458333332</v>
      </c>
      <c r="B125" s="21" t="s">
        <v>343</v>
      </c>
      <c r="C125" s="21" t="s">
        <v>529</v>
      </c>
      <c r="D125" s="21">
        <v>1140000</v>
      </c>
      <c r="E125" s="21" t="s">
        <v>255</v>
      </c>
      <c r="F125" s="21" t="str">
        <f t="shared" si="2"/>
        <v>rtdc.l.rtdc.4053:itc</v>
      </c>
      <c r="G125" s="8">
        <f t="shared" si="3"/>
        <v>42673.571458333332</v>
      </c>
    </row>
    <row r="126" spans="1:7" x14ac:dyDescent="0.25">
      <c r="A126" s="8">
        <v>42673.581122685187</v>
      </c>
      <c r="B126" s="21" t="s">
        <v>408</v>
      </c>
      <c r="C126" s="21" t="s">
        <v>413</v>
      </c>
      <c r="D126" s="21">
        <v>930000</v>
      </c>
      <c r="E126" s="21" t="s">
        <v>347</v>
      </c>
      <c r="F126" s="21" t="str">
        <f t="shared" si="2"/>
        <v>rtdc.l.rtdc.4046:itc</v>
      </c>
      <c r="G126" s="8">
        <f t="shared" si="3"/>
        <v>42673.581122685187</v>
      </c>
    </row>
    <row r="127" spans="1:7" x14ac:dyDescent="0.25">
      <c r="A127" s="8">
        <v>42673.583483796298</v>
      </c>
      <c r="B127" s="21" t="s">
        <v>190</v>
      </c>
      <c r="C127" s="21" t="s">
        <v>411</v>
      </c>
      <c r="D127" s="21">
        <v>970000</v>
      </c>
      <c r="E127" s="21" t="s">
        <v>530</v>
      </c>
      <c r="F127" s="21" t="str">
        <f t="shared" si="2"/>
        <v>rtdc.l.rtdc.4010:itc</v>
      </c>
      <c r="G127" s="8">
        <f t="shared" si="3"/>
        <v>42673.583483796298</v>
      </c>
    </row>
    <row r="128" spans="1:7" x14ac:dyDescent="0.25">
      <c r="A128" s="8">
        <v>42673.584803240738</v>
      </c>
      <c r="B128" s="21" t="s">
        <v>235</v>
      </c>
      <c r="C128" s="21" t="s">
        <v>414</v>
      </c>
      <c r="D128" s="21">
        <v>1770000</v>
      </c>
      <c r="E128" s="21" t="s">
        <v>506</v>
      </c>
      <c r="F128" s="21" t="str">
        <f t="shared" si="2"/>
        <v>rtdc.l.rtdc.4028:itc</v>
      </c>
      <c r="G128" s="8">
        <f t="shared" si="3"/>
        <v>42673.584803240738</v>
      </c>
    </row>
    <row r="129" spans="1:7" x14ac:dyDescent="0.25">
      <c r="A129" s="8">
        <v>42673.590243055558</v>
      </c>
      <c r="B129" s="21" t="s">
        <v>341</v>
      </c>
      <c r="C129" s="21" t="s">
        <v>412</v>
      </c>
      <c r="D129" s="21">
        <v>2100000</v>
      </c>
      <c r="E129" s="21" t="s">
        <v>531</v>
      </c>
      <c r="F129" s="21" t="str">
        <f t="shared" si="2"/>
        <v>rtdc.l.rtdc.4006:itc</v>
      </c>
      <c r="G129" s="8">
        <f t="shared" si="3"/>
        <v>42673.590243055558</v>
      </c>
    </row>
    <row r="130" spans="1:7" x14ac:dyDescent="0.25">
      <c r="A130" s="8">
        <v>42673.591851851852</v>
      </c>
      <c r="B130" s="21" t="s">
        <v>242</v>
      </c>
      <c r="C130" s="21" t="s">
        <v>532</v>
      </c>
      <c r="D130" s="21">
        <v>2020000</v>
      </c>
      <c r="E130" s="21" t="s">
        <v>306</v>
      </c>
      <c r="F130" s="21" t="str">
        <f t="shared" ref="F130:F193" si="4">B130</f>
        <v>rtdc.l.rtdc.4029:itc</v>
      </c>
      <c r="G130" s="8">
        <f t="shared" ref="G130:G193" si="5">A130</f>
        <v>42673.591851851852</v>
      </c>
    </row>
    <row r="131" spans="1:7" x14ac:dyDescent="0.25">
      <c r="A131" s="8">
        <v>42673.593495370369</v>
      </c>
      <c r="B131" s="21" t="s">
        <v>191</v>
      </c>
      <c r="C131" s="21" t="s">
        <v>533</v>
      </c>
      <c r="D131" s="21">
        <v>1110000</v>
      </c>
      <c r="E131" s="21" t="s">
        <v>454</v>
      </c>
      <c r="F131" s="21" t="str">
        <f t="shared" si="4"/>
        <v>rtdc.l.rtdc.4009:itc</v>
      </c>
      <c r="G131" s="8">
        <f t="shared" si="5"/>
        <v>42673.593495370369</v>
      </c>
    </row>
    <row r="132" spans="1:7" x14ac:dyDescent="0.25">
      <c r="A132" s="8">
        <v>42673.596712962964</v>
      </c>
      <c r="B132" s="21" t="s">
        <v>304</v>
      </c>
      <c r="C132" s="21" t="s">
        <v>534</v>
      </c>
      <c r="D132" s="21">
        <v>970000</v>
      </c>
      <c r="E132" s="21" t="s">
        <v>530</v>
      </c>
      <c r="F132" s="21" t="str">
        <f t="shared" si="4"/>
        <v>rtdc.l.rtdc.4022:itc</v>
      </c>
      <c r="G132" s="8">
        <f t="shared" si="5"/>
        <v>42673.596712962964</v>
      </c>
    </row>
    <row r="133" spans="1:7" x14ac:dyDescent="0.25">
      <c r="A133" s="8">
        <v>42673.598368055558</v>
      </c>
      <c r="B133" s="21" t="s">
        <v>341</v>
      </c>
      <c r="C133" s="21" t="s">
        <v>412</v>
      </c>
      <c r="D133" s="21">
        <v>2100000</v>
      </c>
      <c r="E133" s="21" t="s">
        <v>531</v>
      </c>
      <c r="F133" s="21" t="str">
        <f t="shared" si="4"/>
        <v>rtdc.l.rtdc.4006:itc</v>
      </c>
      <c r="G133" s="8">
        <f t="shared" si="5"/>
        <v>42673.598368055558</v>
      </c>
    </row>
    <row r="134" spans="1:7" x14ac:dyDescent="0.25">
      <c r="A134" s="8">
        <v>42673.59957175926</v>
      </c>
      <c r="B134" s="21" t="s">
        <v>267</v>
      </c>
      <c r="C134" s="21" t="s">
        <v>535</v>
      </c>
      <c r="D134" s="21">
        <v>2040000</v>
      </c>
      <c r="E134" s="21" t="s">
        <v>289</v>
      </c>
      <c r="F134" s="21" t="str">
        <f t="shared" si="4"/>
        <v>rtdc.l.rtdc.4001:itc</v>
      </c>
      <c r="G134" s="8">
        <f t="shared" si="5"/>
        <v>42673.59957175926</v>
      </c>
    </row>
    <row r="135" spans="1:7" x14ac:dyDescent="0.25">
      <c r="A135" s="8">
        <v>42673.600057870368</v>
      </c>
      <c r="B135" s="21" t="s">
        <v>346</v>
      </c>
      <c r="C135" s="21" t="s">
        <v>536</v>
      </c>
      <c r="D135" s="21">
        <v>880000</v>
      </c>
      <c r="E135" s="21" t="s">
        <v>499</v>
      </c>
      <c r="F135" s="21" t="str">
        <f t="shared" si="4"/>
        <v>rtdc.l.rtdc.4025:itc</v>
      </c>
      <c r="G135" s="8">
        <f t="shared" si="5"/>
        <v>42673.600057870368</v>
      </c>
    </row>
    <row r="136" spans="1:7" x14ac:dyDescent="0.25">
      <c r="A136" s="8">
        <v>42673.605231481481</v>
      </c>
      <c r="B136" s="21" t="s">
        <v>342</v>
      </c>
      <c r="C136" s="21" t="s">
        <v>537</v>
      </c>
      <c r="D136" s="21">
        <v>1140000</v>
      </c>
      <c r="E136" s="21" t="s">
        <v>255</v>
      </c>
      <c r="F136" s="21" t="str">
        <f t="shared" si="4"/>
        <v>rtdc.l.rtdc.4054:itc</v>
      </c>
      <c r="G136" s="8">
        <f t="shared" si="5"/>
        <v>42673.605231481481</v>
      </c>
    </row>
    <row r="137" spans="1:7" x14ac:dyDescent="0.25">
      <c r="A137" s="8">
        <v>42673.605891203704</v>
      </c>
      <c r="B137" s="21" t="s">
        <v>342</v>
      </c>
      <c r="C137" s="21" t="s">
        <v>538</v>
      </c>
      <c r="D137" s="21">
        <v>1140000</v>
      </c>
      <c r="E137" s="21" t="s">
        <v>255</v>
      </c>
      <c r="F137" s="21" t="str">
        <f t="shared" si="4"/>
        <v>rtdc.l.rtdc.4054:itc</v>
      </c>
      <c r="G137" s="8">
        <f t="shared" si="5"/>
        <v>42673.605891203704</v>
      </c>
    </row>
    <row r="138" spans="1:7" x14ac:dyDescent="0.25">
      <c r="A138" s="8">
        <v>42673.609722222223</v>
      </c>
      <c r="B138" s="21" t="s">
        <v>288</v>
      </c>
      <c r="C138" s="21" t="s">
        <v>416</v>
      </c>
      <c r="D138" s="21">
        <v>1280000</v>
      </c>
      <c r="E138" s="21" t="s">
        <v>502</v>
      </c>
      <c r="F138" s="21" t="str">
        <f t="shared" si="4"/>
        <v>rtdc.l.rtdc.4038:itc</v>
      </c>
      <c r="G138" s="8">
        <f t="shared" si="5"/>
        <v>42673.609722222223</v>
      </c>
    </row>
    <row r="139" spans="1:7" x14ac:dyDescent="0.25">
      <c r="A139" s="8">
        <v>42673.611539351848</v>
      </c>
      <c r="B139" s="21" t="s">
        <v>264</v>
      </c>
      <c r="C139" s="21" t="s">
        <v>415</v>
      </c>
      <c r="D139" s="21">
        <v>970000</v>
      </c>
      <c r="E139" s="21" t="s">
        <v>530</v>
      </c>
      <c r="F139" s="21" t="str">
        <f t="shared" si="4"/>
        <v>rtdc.l.rtdc.4021:itc</v>
      </c>
      <c r="G139" s="8">
        <f t="shared" si="5"/>
        <v>42673.611539351848</v>
      </c>
    </row>
    <row r="140" spans="1:7" x14ac:dyDescent="0.25">
      <c r="A140" s="8">
        <v>42673.619895833333</v>
      </c>
      <c r="B140" s="21" t="s">
        <v>305</v>
      </c>
      <c r="C140" s="21" t="s">
        <v>539</v>
      </c>
      <c r="D140" s="21">
        <v>1770000</v>
      </c>
      <c r="E140" s="21" t="s">
        <v>506</v>
      </c>
      <c r="F140" s="21" t="str">
        <f t="shared" si="4"/>
        <v>rtdc.l.rtdc.4027:itc</v>
      </c>
      <c r="G140" s="8">
        <f t="shared" si="5"/>
        <v>42673.619895833333</v>
      </c>
    </row>
    <row r="141" spans="1:7" x14ac:dyDescent="0.25">
      <c r="A141" s="8">
        <v>42673.6250462963</v>
      </c>
      <c r="B141" s="21" t="s">
        <v>250</v>
      </c>
      <c r="C141" s="21" t="s">
        <v>540</v>
      </c>
      <c r="D141" s="21">
        <v>2100000</v>
      </c>
      <c r="E141" s="21" t="s">
        <v>531</v>
      </c>
      <c r="F141" s="21" t="str">
        <f t="shared" si="4"/>
        <v>rtdc.l.rtdc.4015:itc</v>
      </c>
      <c r="G141" s="8">
        <f t="shared" si="5"/>
        <v>42673.6250462963</v>
      </c>
    </row>
    <row r="142" spans="1:7" x14ac:dyDescent="0.25">
      <c r="A142" s="8">
        <v>42673.625891203701</v>
      </c>
      <c r="B142" s="21" t="s">
        <v>243</v>
      </c>
      <c r="C142" s="21" t="s">
        <v>541</v>
      </c>
      <c r="D142" s="21">
        <v>2020000</v>
      </c>
      <c r="E142" s="21" t="s">
        <v>306</v>
      </c>
      <c r="F142" s="21" t="str">
        <f t="shared" si="4"/>
        <v>rtdc.l.rtdc.4030:itc</v>
      </c>
      <c r="G142" s="8">
        <f t="shared" si="5"/>
        <v>42673.625891203701</v>
      </c>
    </row>
    <row r="143" spans="1:7" x14ac:dyDescent="0.25">
      <c r="A143" s="8">
        <v>42673.628020833334</v>
      </c>
      <c r="B143" s="21" t="s">
        <v>304</v>
      </c>
      <c r="C143" s="21" t="s">
        <v>417</v>
      </c>
      <c r="D143" s="21">
        <v>970000</v>
      </c>
      <c r="E143" s="21" t="s">
        <v>530</v>
      </c>
      <c r="F143" s="21" t="str">
        <f t="shared" si="4"/>
        <v>rtdc.l.rtdc.4022:itc</v>
      </c>
      <c r="G143" s="8">
        <f t="shared" si="5"/>
        <v>42673.628020833334</v>
      </c>
    </row>
    <row r="144" spans="1:7" x14ac:dyDescent="0.25">
      <c r="A144" s="8">
        <v>42673.63380787037</v>
      </c>
      <c r="B144" s="21" t="s">
        <v>266</v>
      </c>
      <c r="C144" s="21" t="s">
        <v>542</v>
      </c>
      <c r="D144" s="21">
        <v>2040000</v>
      </c>
      <c r="E144" s="21" t="s">
        <v>289</v>
      </c>
      <c r="F144" s="21" t="str">
        <f t="shared" si="4"/>
        <v>rtdc.l.rtdc.4002:itc</v>
      </c>
      <c r="G144" s="8">
        <f t="shared" si="5"/>
        <v>42673.63380787037</v>
      </c>
    </row>
    <row r="145" spans="1:7" x14ac:dyDescent="0.25">
      <c r="A145" s="8">
        <v>42673.640347222223</v>
      </c>
      <c r="B145" s="21" t="s">
        <v>340</v>
      </c>
      <c r="C145" s="21" t="s">
        <v>418</v>
      </c>
      <c r="D145" s="21">
        <v>880000</v>
      </c>
      <c r="E145" s="21" t="s">
        <v>499</v>
      </c>
      <c r="F145" s="21" t="str">
        <f t="shared" si="4"/>
        <v>rtdc.l.rtdc.4026:itc</v>
      </c>
      <c r="G145" s="8">
        <f t="shared" si="5"/>
        <v>42673.640347222223</v>
      </c>
    </row>
    <row r="146" spans="1:7" x14ac:dyDescent="0.25">
      <c r="A146" s="8">
        <v>42673.644907407404</v>
      </c>
      <c r="B146" s="21" t="s">
        <v>343</v>
      </c>
      <c r="C146" s="21" t="s">
        <v>537</v>
      </c>
      <c r="D146" s="21">
        <v>1140000</v>
      </c>
      <c r="E146" s="21" t="s">
        <v>255</v>
      </c>
      <c r="F146" s="21" t="str">
        <f t="shared" si="4"/>
        <v>rtdc.l.rtdc.4053:itc</v>
      </c>
      <c r="G146" s="8">
        <f t="shared" si="5"/>
        <v>42673.644907407404</v>
      </c>
    </row>
    <row r="147" spans="1:7" x14ac:dyDescent="0.25">
      <c r="A147" s="8">
        <v>42673.647986111115</v>
      </c>
      <c r="B147" s="21" t="s">
        <v>249</v>
      </c>
      <c r="C147" s="21" t="s">
        <v>543</v>
      </c>
      <c r="D147" s="21">
        <v>2100000</v>
      </c>
      <c r="E147" s="21" t="s">
        <v>531</v>
      </c>
      <c r="F147" s="21" t="str">
        <f t="shared" si="4"/>
        <v>rtdc.l.rtdc.4016:itc</v>
      </c>
      <c r="G147" s="8">
        <f t="shared" si="5"/>
        <v>42673.647986111115</v>
      </c>
    </row>
    <row r="148" spans="1:7" x14ac:dyDescent="0.25">
      <c r="A148" s="8">
        <v>42673.650416666664</v>
      </c>
      <c r="B148" s="21" t="s">
        <v>257</v>
      </c>
      <c r="C148" s="21" t="s">
        <v>544</v>
      </c>
      <c r="D148" s="21">
        <v>1280000</v>
      </c>
      <c r="E148" s="21" t="s">
        <v>502</v>
      </c>
      <c r="F148" s="21" t="str">
        <f t="shared" si="4"/>
        <v>rtdc.l.rtdc.4037:itc</v>
      </c>
      <c r="G148" s="8">
        <f t="shared" si="5"/>
        <v>42673.650416666664</v>
      </c>
    </row>
    <row r="149" spans="1:7" x14ac:dyDescent="0.25">
      <c r="A149" s="8">
        <v>42673.653321759259</v>
      </c>
      <c r="B149" s="21" t="s">
        <v>264</v>
      </c>
      <c r="C149" s="21" t="s">
        <v>545</v>
      </c>
      <c r="D149" s="21">
        <v>970000</v>
      </c>
      <c r="E149" s="21" t="s">
        <v>530</v>
      </c>
      <c r="F149" s="21" t="str">
        <f t="shared" si="4"/>
        <v>rtdc.l.rtdc.4021:itc</v>
      </c>
      <c r="G149" s="8">
        <f t="shared" si="5"/>
        <v>42673.653321759259</v>
      </c>
    </row>
    <row r="150" spans="1:7" x14ac:dyDescent="0.25">
      <c r="A150" s="8">
        <v>42673.660266203704</v>
      </c>
      <c r="B150" s="21" t="s">
        <v>235</v>
      </c>
      <c r="C150" s="21" t="s">
        <v>546</v>
      </c>
      <c r="D150" s="21">
        <v>1770000</v>
      </c>
      <c r="E150" s="21" t="s">
        <v>506</v>
      </c>
      <c r="F150" s="21" t="str">
        <f t="shared" si="4"/>
        <v>rtdc.l.rtdc.4028:itc</v>
      </c>
      <c r="G150" s="8">
        <f t="shared" si="5"/>
        <v>42673.660266203704</v>
      </c>
    </row>
    <row r="151" spans="1:7" x14ac:dyDescent="0.25">
      <c r="A151" s="8">
        <v>42673.661527777775</v>
      </c>
      <c r="B151" s="21" t="s">
        <v>242</v>
      </c>
      <c r="C151" s="21" t="s">
        <v>547</v>
      </c>
      <c r="D151" s="21">
        <v>2020000</v>
      </c>
      <c r="E151" s="21" t="s">
        <v>306</v>
      </c>
      <c r="F151" s="21" t="str">
        <f t="shared" si="4"/>
        <v>rtdc.l.rtdc.4029:itc</v>
      </c>
      <c r="G151" s="8">
        <f t="shared" si="5"/>
        <v>42673.661527777775</v>
      </c>
    </row>
    <row r="152" spans="1:7" x14ac:dyDescent="0.25">
      <c r="A152" s="8">
        <v>42673.6719212963</v>
      </c>
      <c r="B152" s="21" t="s">
        <v>346</v>
      </c>
      <c r="C152" s="21" t="s">
        <v>548</v>
      </c>
      <c r="D152" s="21">
        <v>880000</v>
      </c>
      <c r="E152" s="21" t="s">
        <v>499</v>
      </c>
      <c r="F152" s="21" t="str">
        <f t="shared" si="4"/>
        <v>rtdc.l.rtdc.4025:itc</v>
      </c>
      <c r="G152" s="8">
        <f t="shared" si="5"/>
        <v>42673.6719212963</v>
      </c>
    </row>
    <row r="153" spans="1:7" x14ac:dyDescent="0.25">
      <c r="A153" s="8">
        <v>42673.672476851854</v>
      </c>
      <c r="B153" s="21" t="s">
        <v>267</v>
      </c>
      <c r="C153" s="21" t="s">
        <v>549</v>
      </c>
      <c r="D153" s="21">
        <v>2040000</v>
      </c>
      <c r="E153" s="21" t="s">
        <v>289</v>
      </c>
      <c r="F153" s="21" t="str">
        <f t="shared" si="4"/>
        <v>rtdc.l.rtdc.4001:itc</v>
      </c>
      <c r="G153" s="8">
        <f t="shared" si="5"/>
        <v>42673.672476851854</v>
      </c>
    </row>
    <row r="154" spans="1:7" x14ac:dyDescent="0.25">
      <c r="A154" s="8">
        <v>42673.6797337963</v>
      </c>
      <c r="B154" s="21" t="s">
        <v>304</v>
      </c>
      <c r="C154" s="21" t="s">
        <v>550</v>
      </c>
      <c r="D154" s="21">
        <v>970000</v>
      </c>
      <c r="E154" s="21" t="s">
        <v>530</v>
      </c>
      <c r="F154" s="21" t="str">
        <f t="shared" si="4"/>
        <v>rtdc.l.rtdc.4022:itc</v>
      </c>
      <c r="G154" s="8">
        <f t="shared" si="5"/>
        <v>42673.6797337963</v>
      </c>
    </row>
    <row r="155" spans="1:7" x14ac:dyDescent="0.25">
      <c r="A155" s="8">
        <v>42673.680208333331</v>
      </c>
      <c r="B155" s="21" t="s">
        <v>342</v>
      </c>
      <c r="C155" s="21" t="s">
        <v>419</v>
      </c>
      <c r="D155" s="21">
        <v>1140000</v>
      </c>
      <c r="E155" s="21" t="s">
        <v>255</v>
      </c>
      <c r="F155" s="21" t="str">
        <f t="shared" si="4"/>
        <v>rtdc.l.rtdc.4054:itc</v>
      </c>
      <c r="G155" s="8">
        <f t="shared" si="5"/>
        <v>42673.680208333331</v>
      </c>
    </row>
    <row r="156" spans="1:7" x14ac:dyDescent="0.25">
      <c r="A156" s="8">
        <v>42673.681192129632</v>
      </c>
      <c r="B156" s="21" t="s">
        <v>402</v>
      </c>
      <c r="C156" s="21" t="s">
        <v>551</v>
      </c>
      <c r="D156" s="21">
        <v>930000</v>
      </c>
      <c r="E156" s="21" t="s">
        <v>347</v>
      </c>
      <c r="F156" s="21" t="str">
        <f t="shared" si="4"/>
        <v>rtdc.l.rtdc.4045:itc</v>
      </c>
      <c r="G156" s="8">
        <f t="shared" si="5"/>
        <v>42673.681192129632</v>
      </c>
    </row>
    <row r="157" spans="1:7" x14ac:dyDescent="0.25">
      <c r="A157" s="8">
        <v>42673.682071759256</v>
      </c>
      <c r="B157" s="21" t="s">
        <v>288</v>
      </c>
      <c r="C157" s="21" t="s">
        <v>420</v>
      </c>
      <c r="D157" s="21">
        <v>1280000</v>
      </c>
      <c r="E157" s="21" t="s">
        <v>502</v>
      </c>
      <c r="F157" s="21" t="str">
        <f t="shared" si="4"/>
        <v>rtdc.l.rtdc.4038:itc</v>
      </c>
      <c r="G157" s="8">
        <f t="shared" si="5"/>
        <v>42673.682071759256</v>
      </c>
    </row>
    <row r="158" spans="1:7" x14ac:dyDescent="0.25">
      <c r="A158" s="8">
        <v>42673.684479166666</v>
      </c>
      <c r="B158" s="21" t="s">
        <v>402</v>
      </c>
      <c r="C158" s="21" t="s">
        <v>551</v>
      </c>
      <c r="D158" s="21">
        <v>930000</v>
      </c>
      <c r="E158" s="21" t="s">
        <v>347</v>
      </c>
      <c r="F158" s="21" t="str">
        <f t="shared" si="4"/>
        <v>rtdc.l.rtdc.4045:itc</v>
      </c>
      <c r="G158" s="8">
        <f t="shared" si="5"/>
        <v>42673.684479166666</v>
      </c>
    </row>
    <row r="159" spans="1:7" x14ac:dyDescent="0.25">
      <c r="A159" s="8">
        <v>42673.687222222223</v>
      </c>
      <c r="B159" s="21" t="s">
        <v>304</v>
      </c>
      <c r="C159" s="21" t="s">
        <v>550</v>
      </c>
      <c r="D159" s="21">
        <v>970000</v>
      </c>
      <c r="E159" s="21" t="s">
        <v>530</v>
      </c>
      <c r="F159" s="21" t="str">
        <f t="shared" si="4"/>
        <v>rtdc.l.rtdc.4022:itc</v>
      </c>
      <c r="G159" s="8">
        <f t="shared" si="5"/>
        <v>42673.687222222223</v>
      </c>
    </row>
    <row r="160" spans="1:7" x14ac:dyDescent="0.25">
      <c r="A160" s="8">
        <v>42673.689409722225</v>
      </c>
      <c r="B160" s="21" t="s">
        <v>250</v>
      </c>
      <c r="C160" s="21" t="s">
        <v>552</v>
      </c>
      <c r="D160" s="21">
        <v>2100000</v>
      </c>
      <c r="E160" s="21" t="s">
        <v>531</v>
      </c>
      <c r="F160" s="21" t="str">
        <f t="shared" si="4"/>
        <v>rtdc.l.rtdc.4015:itc</v>
      </c>
      <c r="G160" s="8">
        <f t="shared" si="5"/>
        <v>42673.689409722225</v>
      </c>
    </row>
    <row r="161" spans="1:7" x14ac:dyDescent="0.25">
      <c r="A161" s="8">
        <v>42673.692673611113</v>
      </c>
      <c r="B161" s="21" t="s">
        <v>305</v>
      </c>
      <c r="C161" s="21" t="s">
        <v>553</v>
      </c>
      <c r="D161" s="21">
        <v>1770000</v>
      </c>
      <c r="E161" s="21" t="s">
        <v>506</v>
      </c>
      <c r="F161" s="21" t="str">
        <f t="shared" si="4"/>
        <v>rtdc.l.rtdc.4027:itc</v>
      </c>
      <c r="G161" s="8">
        <f t="shared" si="5"/>
        <v>42673.692673611113</v>
      </c>
    </row>
    <row r="162" spans="1:7" x14ac:dyDescent="0.25">
      <c r="A162" s="8">
        <v>42673.693437499998</v>
      </c>
      <c r="B162" s="21" t="s">
        <v>408</v>
      </c>
      <c r="C162" s="21" t="s">
        <v>554</v>
      </c>
      <c r="D162" s="21">
        <v>930000</v>
      </c>
      <c r="E162" s="21" t="s">
        <v>347</v>
      </c>
      <c r="F162" s="21" t="str">
        <f t="shared" si="4"/>
        <v>rtdc.l.rtdc.4046:itc</v>
      </c>
      <c r="G162" s="8">
        <f t="shared" si="5"/>
        <v>42673.693437499998</v>
      </c>
    </row>
    <row r="163" spans="1:7" x14ac:dyDescent="0.25">
      <c r="A163" s="8">
        <v>42673.70108796296</v>
      </c>
      <c r="B163" s="21" t="s">
        <v>264</v>
      </c>
      <c r="C163" s="21" t="s">
        <v>555</v>
      </c>
      <c r="D163" s="21">
        <v>970000</v>
      </c>
      <c r="E163" s="21" t="s">
        <v>530</v>
      </c>
      <c r="F163" s="21" t="str">
        <f t="shared" si="4"/>
        <v>rtdc.l.rtdc.4021:itc</v>
      </c>
      <c r="G163" s="8">
        <f t="shared" si="5"/>
        <v>42673.70108796296</v>
      </c>
    </row>
    <row r="164" spans="1:7" x14ac:dyDescent="0.25">
      <c r="A164" s="8">
        <v>42673.701319444444</v>
      </c>
      <c r="B164" s="21" t="s">
        <v>243</v>
      </c>
      <c r="C164" s="21" t="s">
        <v>556</v>
      </c>
      <c r="D164" s="21">
        <v>2020000</v>
      </c>
      <c r="E164" s="21" t="s">
        <v>306</v>
      </c>
      <c r="F164" s="21" t="str">
        <f t="shared" si="4"/>
        <v>rtdc.l.rtdc.4030:itc</v>
      </c>
      <c r="G164" s="8">
        <f t="shared" si="5"/>
        <v>42673.701319444444</v>
      </c>
    </row>
    <row r="165" spans="1:7" x14ac:dyDescent="0.25">
      <c r="A165" s="8">
        <v>42673.705983796295</v>
      </c>
      <c r="B165" s="21" t="s">
        <v>266</v>
      </c>
      <c r="C165" s="21" t="s">
        <v>557</v>
      </c>
      <c r="D165" s="21">
        <v>2040000</v>
      </c>
      <c r="E165" s="21" t="s">
        <v>289</v>
      </c>
      <c r="F165" s="21" t="str">
        <f t="shared" si="4"/>
        <v>rtdc.l.rtdc.4002:itc</v>
      </c>
      <c r="G165" s="8">
        <f t="shared" si="5"/>
        <v>42673.705983796295</v>
      </c>
    </row>
    <row r="166" spans="1:7" x14ac:dyDescent="0.25">
      <c r="A166" s="8">
        <v>42673.714421296296</v>
      </c>
      <c r="B166" s="21" t="s">
        <v>340</v>
      </c>
      <c r="C166" s="21" t="s">
        <v>558</v>
      </c>
      <c r="D166" s="21">
        <v>880000</v>
      </c>
      <c r="E166" s="21" t="s">
        <v>499</v>
      </c>
      <c r="F166" s="21" t="str">
        <f t="shared" si="4"/>
        <v>rtdc.l.rtdc.4026:itc</v>
      </c>
      <c r="G166" s="8">
        <f t="shared" si="5"/>
        <v>42673.714421296296</v>
      </c>
    </row>
    <row r="167" spans="1:7" x14ac:dyDescent="0.25">
      <c r="A167" s="8">
        <v>42673.715601851851</v>
      </c>
      <c r="B167" s="21" t="s">
        <v>304</v>
      </c>
      <c r="C167" s="21" t="s">
        <v>559</v>
      </c>
      <c r="D167" s="21">
        <v>970000</v>
      </c>
      <c r="E167" s="21" t="s">
        <v>530</v>
      </c>
      <c r="F167" s="21" t="str">
        <f t="shared" si="4"/>
        <v>rtdc.l.rtdc.4022:itc</v>
      </c>
      <c r="G167" s="8">
        <f t="shared" si="5"/>
        <v>42673.715601851851</v>
      </c>
    </row>
    <row r="168" spans="1:7" x14ac:dyDescent="0.25">
      <c r="A168" s="8">
        <v>42673.716562499998</v>
      </c>
      <c r="B168" s="21" t="s">
        <v>257</v>
      </c>
      <c r="C168" s="21" t="s">
        <v>560</v>
      </c>
      <c r="D168" s="21">
        <v>1280000</v>
      </c>
      <c r="E168" s="21" t="s">
        <v>502</v>
      </c>
      <c r="F168" s="21" t="str">
        <f t="shared" si="4"/>
        <v>rtdc.l.rtdc.4037:itc</v>
      </c>
      <c r="G168" s="8">
        <f t="shared" si="5"/>
        <v>42673.716562499998</v>
      </c>
    </row>
    <row r="169" spans="1:7" x14ac:dyDescent="0.25">
      <c r="A169" s="8">
        <v>42673.716770833336</v>
      </c>
      <c r="B169" s="21" t="s">
        <v>343</v>
      </c>
      <c r="C169" s="21" t="s">
        <v>561</v>
      </c>
      <c r="D169" s="21">
        <v>1180000</v>
      </c>
      <c r="E169" s="21" t="s">
        <v>186</v>
      </c>
      <c r="F169" s="21" t="str">
        <f t="shared" si="4"/>
        <v>rtdc.l.rtdc.4053:itc</v>
      </c>
      <c r="G169" s="8">
        <f t="shared" si="5"/>
        <v>42673.716770833336</v>
      </c>
    </row>
    <row r="170" spans="1:7" x14ac:dyDescent="0.25">
      <c r="A170" s="8">
        <v>42673.719027777777</v>
      </c>
      <c r="B170" s="21" t="s">
        <v>402</v>
      </c>
      <c r="C170" s="21" t="s">
        <v>562</v>
      </c>
      <c r="D170" s="21">
        <v>930000</v>
      </c>
      <c r="E170" s="21" t="s">
        <v>347</v>
      </c>
      <c r="F170" s="21" t="str">
        <f t="shared" si="4"/>
        <v>rtdc.l.rtdc.4045:itc</v>
      </c>
      <c r="G170" s="8">
        <f t="shared" si="5"/>
        <v>42673.719027777777</v>
      </c>
    </row>
    <row r="171" spans="1:7" x14ac:dyDescent="0.25">
      <c r="A171" s="8">
        <v>42673.729675925926</v>
      </c>
      <c r="B171" s="21" t="s">
        <v>249</v>
      </c>
      <c r="C171" s="21" t="s">
        <v>563</v>
      </c>
      <c r="D171" s="21">
        <v>1140000</v>
      </c>
      <c r="E171" s="21" t="s">
        <v>255</v>
      </c>
      <c r="F171" s="21" t="str">
        <f t="shared" si="4"/>
        <v>rtdc.l.rtdc.4016:itc</v>
      </c>
      <c r="G171" s="8">
        <f t="shared" si="5"/>
        <v>42673.729675925926</v>
      </c>
    </row>
    <row r="172" spans="1:7" x14ac:dyDescent="0.25">
      <c r="A172" s="8">
        <v>42673.732546296298</v>
      </c>
      <c r="B172" s="21" t="s">
        <v>235</v>
      </c>
      <c r="C172" s="21" t="s">
        <v>422</v>
      </c>
      <c r="D172" s="21">
        <v>1770000</v>
      </c>
      <c r="E172" s="21" t="s">
        <v>506</v>
      </c>
      <c r="F172" s="21" t="str">
        <f t="shared" si="4"/>
        <v>rtdc.l.rtdc.4028:itc</v>
      </c>
      <c r="G172" s="8">
        <f t="shared" si="5"/>
        <v>42673.732546296298</v>
      </c>
    </row>
    <row r="173" spans="1:7" x14ac:dyDescent="0.25">
      <c r="A173" s="8">
        <v>42673.735694444447</v>
      </c>
      <c r="B173" s="21" t="s">
        <v>264</v>
      </c>
      <c r="C173" s="21" t="s">
        <v>564</v>
      </c>
      <c r="D173" s="21">
        <v>970000</v>
      </c>
      <c r="E173" s="21" t="s">
        <v>530</v>
      </c>
      <c r="F173" s="21" t="str">
        <f t="shared" si="4"/>
        <v>rtdc.l.rtdc.4021:itc</v>
      </c>
      <c r="G173" s="8">
        <f t="shared" si="5"/>
        <v>42673.735694444447</v>
      </c>
    </row>
    <row r="174" spans="1:7" x14ac:dyDescent="0.25">
      <c r="A174" s="8">
        <v>42673.73574074074</v>
      </c>
      <c r="B174" s="21" t="s">
        <v>242</v>
      </c>
      <c r="C174" s="21" t="s">
        <v>565</v>
      </c>
      <c r="D174" s="21">
        <v>2250000</v>
      </c>
      <c r="E174" s="21" t="s">
        <v>566</v>
      </c>
      <c r="F174" s="21" t="str">
        <f t="shared" si="4"/>
        <v>rtdc.l.rtdc.4029:itc</v>
      </c>
      <c r="G174" s="8">
        <f t="shared" si="5"/>
        <v>42673.73574074074</v>
      </c>
    </row>
    <row r="175" spans="1:7" x14ac:dyDescent="0.25">
      <c r="A175" s="8">
        <v>42673.744108796294</v>
      </c>
      <c r="B175" s="21" t="s">
        <v>190</v>
      </c>
      <c r="C175" s="21" t="s">
        <v>421</v>
      </c>
      <c r="D175" s="21">
        <v>1800000</v>
      </c>
      <c r="E175" s="21" t="s">
        <v>351</v>
      </c>
      <c r="F175" s="21" t="str">
        <f t="shared" si="4"/>
        <v>rtdc.l.rtdc.4010:itc</v>
      </c>
      <c r="G175" s="8">
        <f t="shared" si="5"/>
        <v>42673.744108796294</v>
      </c>
    </row>
    <row r="176" spans="1:7" x14ac:dyDescent="0.25">
      <c r="A176" s="8">
        <v>42673.745567129627</v>
      </c>
      <c r="B176" s="21" t="s">
        <v>267</v>
      </c>
      <c r="C176" s="21" t="s">
        <v>567</v>
      </c>
      <c r="D176" s="21">
        <v>2040000</v>
      </c>
      <c r="E176" s="21" t="s">
        <v>289</v>
      </c>
      <c r="F176" s="21" t="str">
        <f t="shared" si="4"/>
        <v>rtdc.l.rtdc.4001:itc</v>
      </c>
      <c r="G176" s="8">
        <f t="shared" si="5"/>
        <v>42673.745567129627</v>
      </c>
    </row>
    <row r="177" spans="1:7" x14ac:dyDescent="0.25">
      <c r="A177" s="8">
        <v>42673.746481481481</v>
      </c>
      <c r="B177" s="21" t="s">
        <v>190</v>
      </c>
      <c r="C177" s="21" t="s">
        <v>421</v>
      </c>
      <c r="D177" s="21">
        <v>1800000</v>
      </c>
      <c r="E177" s="21" t="s">
        <v>351</v>
      </c>
      <c r="F177" s="21" t="str">
        <f t="shared" si="4"/>
        <v>rtdc.l.rtdc.4010:itc</v>
      </c>
      <c r="G177" s="8">
        <f t="shared" si="5"/>
        <v>42673.746481481481</v>
      </c>
    </row>
    <row r="178" spans="1:7" x14ac:dyDescent="0.25">
      <c r="A178" s="8">
        <v>42673.746828703705</v>
      </c>
      <c r="B178" s="21" t="s">
        <v>346</v>
      </c>
      <c r="C178" s="21" t="s">
        <v>568</v>
      </c>
      <c r="D178" s="21">
        <v>2020000</v>
      </c>
      <c r="E178" s="21" t="s">
        <v>306</v>
      </c>
      <c r="F178" s="21" t="str">
        <f t="shared" si="4"/>
        <v>rtdc.l.rtdc.4025:itc</v>
      </c>
      <c r="G178" s="8">
        <f t="shared" si="5"/>
        <v>42673.746828703705</v>
      </c>
    </row>
    <row r="179" spans="1:7" x14ac:dyDescent="0.25">
      <c r="A179" s="8">
        <v>42673.752060185187</v>
      </c>
      <c r="B179" s="21" t="s">
        <v>342</v>
      </c>
      <c r="C179" s="21" t="s">
        <v>569</v>
      </c>
      <c r="D179" s="21">
        <v>1180000</v>
      </c>
      <c r="E179" s="21" t="s">
        <v>186</v>
      </c>
      <c r="F179" s="21" t="str">
        <f t="shared" si="4"/>
        <v>rtdc.l.rtdc.4054:itc</v>
      </c>
      <c r="G179" s="8">
        <f t="shared" si="5"/>
        <v>42673.752060185187</v>
      </c>
    </row>
    <row r="180" spans="1:7" x14ac:dyDescent="0.25">
      <c r="A180" s="8">
        <v>42673.754837962966</v>
      </c>
      <c r="B180" s="21" t="s">
        <v>304</v>
      </c>
      <c r="C180" s="21" t="s">
        <v>570</v>
      </c>
      <c r="D180" s="21">
        <v>970000</v>
      </c>
      <c r="E180" s="21" t="s">
        <v>530</v>
      </c>
      <c r="F180" s="21" t="str">
        <f t="shared" si="4"/>
        <v>rtdc.l.rtdc.4022:itc</v>
      </c>
      <c r="G180" s="8">
        <f t="shared" si="5"/>
        <v>42673.754837962966</v>
      </c>
    </row>
    <row r="181" spans="1:7" x14ac:dyDescent="0.25">
      <c r="A181" s="8">
        <v>42673.756504629629</v>
      </c>
      <c r="B181" s="21" t="s">
        <v>288</v>
      </c>
      <c r="C181" s="21" t="s">
        <v>571</v>
      </c>
      <c r="D181" s="21">
        <v>1810000</v>
      </c>
      <c r="E181" s="21" t="s">
        <v>348</v>
      </c>
      <c r="F181" s="21" t="str">
        <f t="shared" si="4"/>
        <v>rtdc.l.rtdc.4038:itc</v>
      </c>
      <c r="G181" s="8">
        <f t="shared" si="5"/>
        <v>42673.756504629629</v>
      </c>
    </row>
    <row r="182" spans="1:7" x14ac:dyDescent="0.25">
      <c r="A182" s="8">
        <v>42673.759120370371</v>
      </c>
      <c r="B182" s="21" t="s">
        <v>191</v>
      </c>
      <c r="C182" s="21" t="s">
        <v>562</v>
      </c>
      <c r="D182" s="21">
        <v>930000</v>
      </c>
      <c r="E182" s="21" t="s">
        <v>347</v>
      </c>
      <c r="F182" s="21" t="str">
        <f t="shared" si="4"/>
        <v>rtdc.l.rtdc.4009:itc</v>
      </c>
      <c r="G182" s="8">
        <f t="shared" si="5"/>
        <v>42673.759120370371</v>
      </c>
    </row>
    <row r="183" spans="1:7" x14ac:dyDescent="0.25">
      <c r="A183" s="8">
        <v>42673.761979166666</v>
      </c>
      <c r="B183" s="21" t="s">
        <v>250</v>
      </c>
      <c r="C183" s="21" t="s">
        <v>572</v>
      </c>
      <c r="D183" s="21">
        <v>1140000</v>
      </c>
      <c r="E183" s="21" t="s">
        <v>255</v>
      </c>
      <c r="F183" s="21" t="str">
        <f t="shared" si="4"/>
        <v>rtdc.l.rtdc.4015:itc</v>
      </c>
      <c r="G183" s="8">
        <f t="shared" si="5"/>
        <v>42673.761979166666</v>
      </c>
    </row>
    <row r="184" spans="1:7" x14ac:dyDescent="0.25">
      <c r="A184" s="8">
        <v>42673.768275462964</v>
      </c>
      <c r="B184" s="21" t="s">
        <v>243</v>
      </c>
      <c r="C184" s="21" t="s">
        <v>573</v>
      </c>
      <c r="D184" s="21">
        <v>2250000</v>
      </c>
      <c r="E184" s="21" t="s">
        <v>566</v>
      </c>
      <c r="F184" s="21" t="str">
        <f t="shared" si="4"/>
        <v>rtdc.l.rtdc.4030:itc</v>
      </c>
      <c r="G184" s="8">
        <f t="shared" si="5"/>
        <v>42673.768275462964</v>
      </c>
    </row>
    <row r="185" spans="1:7" x14ac:dyDescent="0.25">
      <c r="A185" s="8">
        <v>42673.770740740743</v>
      </c>
      <c r="B185" s="21" t="s">
        <v>305</v>
      </c>
      <c r="C185" s="21" t="s">
        <v>574</v>
      </c>
      <c r="D185" s="21">
        <v>1800000</v>
      </c>
      <c r="E185" s="21" t="s">
        <v>351</v>
      </c>
      <c r="F185" s="21" t="str">
        <f t="shared" si="4"/>
        <v>rtdc.l.rtdc.4027:itc</v>
      </c>
      <c r="G185" s="8">
        <f t="shared" si="5"/>
        <v>42673.770740740743</v>
      </c>
    </row>
    <row r="186" spans="1:7" x14ac:dyDescent="0.25">
      <c r="A186" s="8">
        <v>42673.777939814812</v>
      </c>
      <c r="B186" s="21" t="s">
        <v>264</v>
      </c>
      <c r="C186" s="21" t="s">
        <v>575</v>
      </c>
      <c r="D186" s="21">
        <v>970000</v>
      </c>
      <c r="E186" s="21" t="s">
        <v>530</v>
      </c>
      <c r="F186" s="21" t="str">
        <f t="shared" si="4"/>
        <v>rtdc.l.rtdc.4021:itc</v>
      </c>
      <c r="G186" s="8">
        <f t="shared" si="5"/>
        <v>42673.777939814812</v>
      </c>
    </row>
    <row r="187" spans="1:7" x14ac:dyDescent="0.25">
      <c r="A187" s="8">
        <v>42673.777939814812</v>
      </c>
      <c r="B187" s="21" t="s">
        <v>408</v>
      </c>
      <c r="C187" s="21" t="s">
        <v>576</v>
      </c>
      <c r="D187" s="21">
        <v>1770000</v>
      </c>
      <c r="E187" s="21" t="s">
        <v>506</v>
      </c>
      <c r="F187" s="21" t="str">
        <f t="shared" si="4"/>
        <v>rtdc.l.rtdc.4046:itc</v>
      </c>
      <c r="G187" s="8">
        <f t="shared" si="5"/>
        <v>42673.777939814812</v>
      </c>
    </row>
    <row r="188" spans="1:7" x14ac:dyDescent="0.25">
      <c r="A188" s="8">
        <v>42673.78</v>
      </c>
      <c r="B188" s="21" t="s">
        <v>266</v>
      </c>
      <c r="C188" s="21" t="s">
        <v>577</v>
      </c>
      <c r="D188" s="21">
        <v>2090000</v>
      </c>
      <c r="E188" s="21" t="s">
        <v>578</v>
      </c>
      <c r="F188" s="21" t="str">
        <f t="shared" si="4"/>
        <v>rtdc.l.rtdc.4002:itc</v>
      </c>
      <c r="G188" s="8">
        <f t="shared" si="5"/>
        <v>42673.78</v>
      </c>
    </row>
    <row r="189" spans="1:7" x14ac:dyDescent="0.25">
      <c r="A189" s="8">
        <v>42673.785509259258</v>
      </c>
      <c r="B189" s="21" t="s">
        <v>340</v>
      </c>
      <c r="C189" s="21" t="s">
        <v>579</v>
      </c>
      <c r="D189" s="21">
        <v>2020000</v>
      </c>
      <c r="E189" s="21" t="s">
        <v>306</v>
      </c>
      <c r="F189" s="21" t="str">
        <f t="shared" si="4"/>
        <v>rtdc.l.rtdc.4026:itc</v>
      </c>
      <c r="G189" s="8">
        <f t="shared" si="5"/>
        <v>42673.785509259258</v>
      </c>
    </row>
    <row r="190" spans="1:7" x14ac:dyDescent="0.25">
      <c r="A190" s="8">
        <v>42673.78696759259</v>
      </c>
      <c r="B190" s="21" t="s">
        <v>343</v>
      </c>
      <c r="C190" s="21" t="s">
        <v>580</v>
      </c>
      <c r="D190" s="21">
        <v>1180000</v>
      </c>
      <c r="E190" s="21" t="s">
        <v>186</v>
      </c>
      <c r="F190" s="21" t="str">
        <f t="shared" si="4"/>
        <v>rtdc.l.rtdc.4053:itc</v>
      </c>
      <c r="G190" s="8">
        <f t="shared" si="5"/>
        <v>42673.78696759259</v>
      </c>
    </row>
    <row r="191" spans="1:7" x14ac:dyDescent="0.25">
      <c r="A191" s="8">
        <v>42673.790405092594</v>
      </c>
      <c r="B191" s="21" t="s">
        <v>257</v>
      </c>
      <c r="C191" s="21" t="s">
        <v>581</v>
      </c>
      <c r="D191" s="21">
        <v>1810000</v>
      </c>
      <c r="E191" s="21" t="s">
        <v>348</v>
      </c>
      <c r="F191" s="21" t="str">
        <f t="shared" si="4"/>
        <v>rtdc.l.rtdc.4037:itc</v>
      </c>
      <c r="G191" s="8">
        <f t="shared" si="5"/>
        <v>42673.790405092594</v>
      </c>
    </row>
    <row r="192" spans="1:7" x14ac:dyDescent="0.25">
      <c r="A192" s="8">
        <v>42673.794016203705</v>
      </c>
      <c r="B192" s="21" t="s">
        <v>304</v>
      </c>
      <c r="C192" s="21" t="s">
        <v>582</v>
      </c>
      <c r="D192" s="21">
        <v>970000</v>
      </c>
      <c r="E192" s="21" t="s">
        <v>530</v>
      </c>
      <c r="F192" s="21" t="str">
        <f t="shared" si="4"/>
        <v>rtdc.l.rtdc.4022:itc</v>
      </c>
      <c r="G192" s="8">
        <f t="shared" si="5"/>
        <v>42673.794016203705</v>
      </c>
    </row>
    <row r="193" spans="1:7" x14ac:dyDescent="0.25">
      <c r="A193" s="8">
        <v>42673.800300925926</v>
      </c>
      <c r="B193" s="21" t="s">
        <v>249</v>
      </c>
      <c r="C193" s="21" t="s">
        <v>583</v>
      </c>
      <c r="D193" s="21">
        <v>2280000</v>
      </c>
      <c r="E193" s="21" t="s">
        <v>584</v>
      </c>
      <c r="F193" s="21" t="str">
        <f t="shared" si="4"/>
        <v>rtdc.l.rtdc.4016:itc</v>
      </c>
      <c r="G193" s="8">
        <f t="shared" si="5"/>
        <v>42673.800300925926</v>
      </c>
    </row>
    <row r="194" spans="1:7" x14ac:dyDescent="0.25">
      <c r="A194" s="8">
        <v>42673.80709490741</v>
      </c>
      <c r="B194" s="21" t="s">
        <v>242</v>
      </c>
      <c r="C194" s="21" t="s">
        <v>585</v>
      </c>
      <c r="D194" s="21">
        <v>2250000</v>
      </c>
      <c r="E194" s="21" t="s">
        <v>566</v>
      </c>
      <c r="F194" s="21" t="str">
        <f t="shared" ref="F194:F235" si="6">B194</f>
        <v>rtdc.l.rtdc.4029:itc</v>
      </c>
      <c r="G194" s="8">
        <f t="shared" ref="G194:G235" si="7">A194</f>
        <v>42673.80709490741</v>
      </c>
    </row>
    <row r="195" spans="1:7" x14ac:dyDescent="0.25">
      <c r="A195" s="8">
        <v>42673.809421296297</v>
      </c>
      <c r="B195" s="21" t="s">
        <v>235</v>
      </c>
      <c r="C195" s="21" t="s">
        <v>424</v>
      </c>
      <c r="D195" s="21">
        <v>1800000</v>
      </c>
      <c r="E195" s="21" t="s">
        <v>351</v>
      </c>
      <c r="F195" s="21" t="str">
        <f t="shared" si="6"/>
        <v>rtdc.l.rtdc.4028:itc</v>
      </c>
      <c r="G195" s="8">
        <f t="shared" si="7"/>
        <v>42673.809421296297</v>
      </c>
    </row>
    <row r="196" spans="1:7" x14ac:dyDescent="0.25">
      <c r="A196" s="8">
        <v>42673.818472222221</v>
      </c>
      <c r="B196" s="21" t="s">
        <v>267</v>
      </c>
      <c r="C196" s="21" t="s">
        <v>423</v>
      </c>
      <c r="D196" s="21">
        <v>2090000</v>
      </c>
      <c r="E196" s="21" t="s">
        <v>578</v>
      </c>
      <c r="F196" s="21" t="str">
        <f t="shared" si="6"/>
        <v>rtdc.l.rtdc.4001:itc</v>
      </c>
      <c r="G196" s="8">
        <f t="shared" si="7"/>
        <v>42673.818472222221</v>
      </c>
    </row>
    <row r="197" spans="1:7" x14ac:dyDescent="0.25">
      <c r="A197" s="8">
        <v>42673.819016203706</v>
      </c>
      <c r="B197" s="21" t="s">
        <v>264</v>
      </c>
      <c r="C197" s="21" t="s">
        <v>586</v>
      </c>
      <c r="D197" s="21">
        <v>970000</v>
      </c>
      <c r="E197" s="21" t="s">
        <v>530</v>
      </c>
      <c r="F197" s="21" t="str">
        <f t="shared" si="6"/>
        <v>rtdc.l.rtdc.4021:itc</v>
      </c>
      <c r="G197" s="8">
        <f t="shared" si="7"/>
        <v>42673.819016203706</v>
      </c>
    </row>
    <row r="198" spans="1:7" x14ac:dyDescent="0.25">
      <c r="A198" s="8">
        <v>42673.81931712963</v>
      </c>
      <c r="B198" s="21" t="s">
        <v>346</v>
      </c>
      <c r="C198" s="21" t="s">
        <v>587</v>
      </c>
      <c r="D198" s="21">
        <v>2230000</v>
      </c>
      <c r="E198" s="21" t="s">
        <v>307</v>
      </c>
      <c r="F198" s="21" t="str">
        <f t="shared" si="6"/>
        <v>rtdc.l.rtdc.4025:itc</v>
      </c>
      <c r="G198" s="8">
        <f t="shared" si="7"/>
        <v>42673.81931712963</v>
      </c>
    </row>
    <row r="199" spans="1:7" x14ac:dyDescent="0.25">
      <c r="A199" s="8">
        <v>42673.819641203707</v>
      </c>
      <c r="B199" s="21" t="s">
        <v>267</v>
      </c>
      <c r="C199" s="21" t="s">
        <v>423</v>
      </c>
      <c r="D199" s="21">
        <v>2090000</v>
      </c>
      <c r="E199" s="21" t="s">
        <v>578</v>
      </c>
      <c r="F199" s="21" t="str">
        <f t="shared" si="6"/>
        <v>rtdc.l.rtdc.4001:itc</v>
      </c>
      <c r="G199" s="8">
        <f t="shared" si="7"/>
        <v>42673.819641203707</v>
      </c>
    </row>
    <row r="200" spans="1:7" x14ac:dyDescent="0.25">
      <c r="A200" s="8">
        <v>42673.823634259257</v>
      </c>
      <c r="B200" s="21" t="s">
        <v>342</v>
      </c>
      <c r="C200" s="21" t="s">
        <v>588</v>
      </c>
      <c r="D200" s="21">
        <v>1180000</v>
      </c>
      <c r="E200" s="21" t="s">
        <v>186</v>
      </c>
      <c r="F200" s="21" t="str">
        <f t="shared" si="6"/>
        <v>rtdc.l.rtdc.4054:itc</v>
      </c>
      <c r="G200" s="8">
        <f t="shared" si="7"/>
        <v>42673.823634259257</v>
      </c>
    </row>
    <row r="201" spans="1:7" x14ac:dyDescent="0.25">
      <c r="A201" s="8">
        <v>42673.827453703707</v>
      </c>
      <c r="B201" s="21" t="s">
        <v>288</v>
      </c>
      <c r="C201" s="21" t="s">
        <v>589</v>
      </c>
      <c r="D201" s="21">
        <v>1810000</v>
      </c>
      <c r="E201" s="21" t="s">
        <v>348</v>
      </c>
      <c r="F201" s="21" t="str">
        <f t="shared" si="6"/>
        <v>rtdc.l.rtdc.4038:itc</v>
      </c>
      <c r="G201" s="8">
        <f t="shared" si="7"/>
        <v>42673.827453703707</v>
      </c>
    </row>
    <row r="202" spans="1:7" x14ac:dyDescent="0.25">
      <c r="A202" s="27">
        <v>42673.834409722222</v>
      </c>
      <c r="B202" s="21" t="s">
        <v>250</v>
      </c>
      <c r="C202" s="21" t="s">
        <v>426</v>
      </c>
      <c r="D202" s="21">
        <v>2280000</v>
      </c>
      <c r="E202" s="21" t="s">
        <v>584</v>
      </c>
      <c r="F202" s="21" t="str">
        <f t="shared" si="6"/>
        <v>rtdc.l.rtdc.4015:itc</v>
      </c>
      <c r="G202" s="8">
        <f t="shared" si="7"/>
        <v>42673.834409722222</v>
      </c>
    </row>
    <row r="203" spans="1:7" x14ac:dyDescent="0.25">
      <c r="A203" s="8">
        <v>42673.845069444447</v>
      </c>
      <c r="B203" s="21" t="s">
        <v>304</v>
      </c>
      <c r="C203" s="21" t="s">
        <v>590</v>
      </c>
      <c r="D203" s="21">
        <v>970000</v>
      </c>
      <c r="E203" s="21" t="s">
        <v>530</v>
      </c>
      <c r="F203" s="21" t="str">
        <f t="shared" si="6"/>
        <v>rtdc.l.rtdc.4022:itc</v>
      </c>
      <c r="G203" s="8">
        <f t="shared" si="7"/>
        <v>42673.845069444447</v>
      </c>
    </row>
    <row r="204" spans="1:7" x14ac:dyDescent="0.25">
      <c r="A204" s="8">
        <v>42673.846319444441</v>
      </c>
      <c r="B204" s="21" t="s">
        <v>243</v>
      </c>
      <c r="C204" s="21" t="s">
        <v>591</v>
      </c>
      <c r="D204" s="21">
        <v>2250000</v>
      </c>
      <c r="E204" s="21" t="s">
        <v>566</v>
      </c>
      <c r="F204" s="21" t="str">
        <f t="shared" si="6"/>
        <v>rtdc.l.rtdc.4030:itc</v>
      </c>
      <c r="G204" s="8">
        <f t="shared" si="7"/>
        <v>42673.846319444441</v>
      </c>
    </row>
    <row r="205" spans="1:7" x14ac:dyDescent="0.25">
      <c r="A205" s="8">
        <v>42673.84820601852</v>
      </c>
      <c r="B205" s="21" t="s">
        <v>592</v>
      </c>
      <c r="C205" s="21" t="s">
        <v>593</v>
      </c>
      <c r="D205" s="21">
        <v>2350000</v>
      </c>
      <c r="E205" s="21" t="s">
        <v>244</v>
      </c>
      <c r="F205" s="21" t="str">
        <f t="shared" si="6"/>
        <v>rtdc.l.rtdc.4003:itc</v>
      </c>
      <c r="G205" s="8">
        <f t="shared" si="7"/>
        <v>42673.84820601852</v>
      </c>
    </row>
    <row r="206" spans="1:7" x14ac:dyDescent="0.25">
      <c r="A206" s="8">
        <v>42673.85052083333</v>
      </c>
      <c r="B206" s="21" t="s">
        <v>266</v>
      </c>
      <c r="C206" s="21" t="s">
        <v>594</v>
      </c>
      <c r="D206" s="21">
        <v>2090000</v>
      </c>
      <c r="E206" s="21" t="s">
        <v>578</v>
      </c>
      <c r="F206" s="21" t="str">
        <f t="shared" si="6"/>
        <v>rtdc.l.rtdc.4002:itc</v>
      </c>
      <c r="G206" s="8">
        <f t="shared" si="7"/>
        <v>42673.85052083333</v>
      </c>
    </row>
    <row r="207" spans="1:7" x14ac:dyDescent="0.25">
      <c r="A207" s="8">
        <v>42673.8515162037</v>
      </c>
      <c r="B207" s="21" t="s">
        <v>266</v>
      </c>
      <c r="C207" s="21" t="s">
        <v>594</v>
      </c>
      <c r="D207" s="21">
        <v>2090000</v>
      </c>
      <c r="E207" s="21" t="s">
        <v>578</v>
      </c>
      <c r="F207" s="21" t="str">
        <f t="shared" si="6"/>
        <v>rtdc.l.rtdc.4002:itc</v>
      </c>
      <c r="G207" s="8">
        <f t="shared" si="7"/>
        <v>42673.8515162037</v>
      </c>
    </row>
    <row r="208" spans="1:7" x14ac:dyDescent="0.25">
      <c r="A208" s="8">
        <v>42673.853460648148</v>
      </c>
      <c r="B208" s="21" t="s">
        <v>305</v>
      </c>
      <c r="C208" s="21" t="s">
        <v>595</v>
      </c>
      <c r="D208" s="21">
        <v>1800000</v>
      </c>
      <c r="E208" s="21" t="s">
        <v>351</v>
      </c>
      <c r="F208" s="21" t="str">
        <f t="shared" si="6"/>
        <v>rtdc.l.rtdc.4027:itc</v>
      </c>
      <c r="G208" s="8">
        <f t="shared" si="7"/>
        <v>42673.853460648148</v>
      </c>
    </row>
    <row r="209" spans="1:7" x14ac:dyDescent="0.25">
      <c r="A209" s="8">
        <v>42673.857870370368</v>
      </c>
      <c r="B209" s="21" t="s">
        <v>340</v>
      </c>
      <c r="C209" s="21" t="s">
        <v>596</v>
      </c>
      <c r="D209" s="21">
        <v>2230000</v>
      </c>
      <c r="E209" s="21" t="s">
        <v>307</v>
      </c>
      <c r="F209" s="21" t="str">
        <f t="shared" si="6"/>
        <v>rtdc.l.rtdc.4026:itc</v>
      </c>
      <c r="G209" s="8">
        <f t="shared" si="7"/>
        <v>42673.857870370368</v>
      </c>
    </row>
    <row r="210" spans="1:7" x14ac:dyDescent="0.25">
      <c r="A210" s="8">
        <v>42673.859178240738</v>
      </c>
      <c r="B210" s="21" t="s">
        <v>340</v>
      </c>
      <c r="C210" s="21" t="s">
        <v>596</v>
      </c>
      <c r="D210" s="21">
        <v>2230000</v>
      </c>
      <c r="E210" s="21" t="s">
        <v>307</v>
      </c>
      <c r="F210" s="21" t="str">
        <f t="shared" si="6"/>
        <v>rtdc.l.rtdc.4026:itc</v>
      </c>
      <c r="G210" s="8">
        <f t="shared" si="7"/>
        <v>42673.859178240738</v>
      </c>
    </row>
    <row r="211" spans="1:7" x14ac:dyDescent="0.25">
      <c r="A211" s="8">
        <v>42673.859386574077</v>
      </c>
      <c r="B211" s="21" t="s">
        <v>257</v>
      </c>
      <c r="C211" s="21" t="s">
        <v>597</v>
      </c>
      <c r="D211" s="21">
        <v>1810000</v>
      </c>
      <c r="E211" s="21" t="s">
        <v>348</v>
      </c>
      <c r="F211" s="21" t="str">
        <f t="shared" si="6"/>
        <v>rtdc.l.rtdc.4037:itc</v>
      </c>
      <c r="G211" s="8">
        <f t="shared" si="7"/>
        <v>42673.859386574077</v>
      </c>
    </row>
    <row r="212" spans="1:7" x14ac:dyDescent="0.25">
      <c r="A212" s="8">
        <v>42673.859664351854</v>
      </c>
      <c r="B212" s="21" t="s">
        <v>264</v>
      </c>
      <c r="C212" s="21" t="s">
        <v>425</v>
      </c>
      <c r="D212" s="21">
        <v>970000</v>
      </c>
      <c r="E212" s="21" t="s">
        <v>530</v>
      </c>
      <c r="F212" s="21" t="str">
        <f t="shared" si="6"/>
        <v>rtdc.l.rtdc.4021:itc</v>
      </c>
      <c r="G212" s="8">
        <f t="shared" si="7"/>
        <v>42673.859664351854</v>
      </c>
    </row>
    <row r="213" spans="1:7" x14ac:dyDescent="0.25">
      <c r="A213" s="8">
        <v>42673.869201388887</v>
      </c>
      <c r="B213" s="21" t="s">
        <v>343</v>
      </c>
      <c r="C213" s="21" t="s">
        <v>598</v>
      </c>
      <c r="D213" s="21">
        <v>1180000</v>
      </c>
      <c r="E213" s="21" t="s">
        <v>186</v>
      </c>
      <c r="F213" s="21" t="str">
        <f t="shared" si="6"/>
        <v>rtdc.l.rtdc.4053:itc</v>
      </c>
      <c r="G213" s="8">
        <f t="shared" si="7"/>
        <v>42673.869201388887</v>
      </c>
    </row>
    <row r="214" spans="1:7" x14ac:dyDescent="0.25">
      <c r="A214" s="8">
        <v>42673.879745370374</v>
      </c>
      <c r="B214" s="21" t="s">
        <v>304</v>
      </c>
      <c r="C214" s="21" t="s">
        <v>599</v>
      </c>
      <c r="D214" s="21">
        <v>970000</v>
      </c>
      <c r="E214" s="21" t="s">
        <v>530</v>
      </c>
      <c r="F214" s="21" t="str">
        <f t="shared" si="6"/>
        <v>rtdc.l.rtdc.4022:itc</v>
      </c>
      <c r="G214" s="8">
        <f t="shared" si="7"/>
        <v>42673.879745370374</v>
      </c>
    </row>
    <row r="215" spans="1:7" x14ac:dyDescent="0.25">
      <c r="A215" s="8">
        <v>42673.880902777775</v>
      </c>
      <c r="B215" s="21" t="s">
        <v>242</v>
      </c>
      <c r="C215" s="21" t="s">
        <v>600</v>
      </c>
      <c r="D215" s="21">
        <v>2250000</v>
      </c>
      <c r="E215" s="21" t="s">
        <v>566</v>
      </c>
      <c r="F215" s="21" t="str">
        <f t="shared" si="6"/>
        <v>rtdc.l.rtdc.4029:itc</v>
      </c>
      <c r="G215" s="8">
        <f t="shared" si="7"/>
        <v>42673.880902777775</v>
      </c>
    </row>
    <row r="216" spans="1:7" x14ac:dyDescent="0.25">
      <c r="A216" s="8">
        <v>42673.892372685186</v>
      </c>
      <c r="B216" s="21" t="s">
        <v>235</v>
      </c>
      <c r="C216" s="21" t="s">
        <v>601</v>
      </c>
      <c r="D216" s="21">
        <v>1800000</v>
      </c>
      <c r="E216" s="21" t="s">
        <v>351</v>
      </c>
      <c r="F216" s="21" t="str">
        <f t="shared" si="6"/>
        <v>rtdc.l.rtdc.4028:itc</v>
      </c>
      <c r="G216" s="8">
        <f t="shared" si="7"/>
        <v>42673.892372685186</v>
      </c>
    </row>
    <row r="217" spans="1:7" x14ac:dyDescent="0.25">
      <c r="A217" s="8">
        <v>42673.893437500003</v>
      </c>
      <c r="B217" s="21" t="s">
        <v>346</v>
      </c>
      <c r="C217" s="21" t="s">
        <v>602</v>
      </c>
      <c r="D217" s="21">
        <v>2230000</v>
      </c>
      <c r="E217" s="21" t="s">
        <v>307</v>
      </c>
      <c r="F217" s="21" t="str">
        <f t="shared" si="6"/>
        <v>rtdc.l.rtdc.4025:itc</v>
      </c>
      <c r="G217" s="8">
        <f t="shared" si="7"/>
        <v>42673.893437500003</v>
      </c>
    </row>
    <row r="218" spans="1:7" x14ac:dyDescent="0.25">
      <c r="A218" s="8">
        <v>42673.903148148151</v>
      </c>
      <c r="B218" s="21" t="s">
        <v>288</v>
      </c>
      <c r="C218" s="21" t="s">
        <v>603</v>
      </c>
      <c r="D218" s="21">
        <v>1810000</v>
      </c>
      <c r="E218" s="21" t="s">
        <v>348</v>
      </c>
      <c r="F218" s="21" t="str">
        <f t="shared" si="6"/>
        <v>rtdc.l.rtdc.4038:itc</v>
      </c>
      <c r="G218" s="8">
        <f t="shared" si="7"/>
        <v>42673.903148148151</v>
      </c>
    </row>
    <row r="219" spans="1:7" x14ac:dyDescent="0.25">
      <c r="A219" s="8">
        <v>42673.904872685183</v>
      </c>
      <c r="B219" s="21" t="s">
        <v>264</v>
      </c>
      <c r="C219" s="21" t="s">
        <v>604</v>
      </c>
      <c r="D219" s="21">
        <v>970000</v>
      </c>
      <c r="E219" s="21" t="s">
        <v>530</v>
      </c>
      <c r="F219" s="21" t="str">
        <f t="shared" si="6"/>
        <v>rtdc.l.rtdc.4021:itc</v>
      </c>
      <c r="G219" s="8">
        <f t="shared" si="7"/>
        <v>42673.904872685183</v>
      </c>
    </row>
    <row r="220" spans="1:7" x14ac:dyDescent="0.25">
      <c r="A220" s="8">
        <v>42673.908472222225</v>
      </c>
      <c r="B220" s="21" t="s">
        <v>342</v>
      </c>
      <c r="C220" s="21" t="s">
        <v>605</v>
      </c>
      <c r="D220" s="21">
        <v>1180000</v>
      </c>
      <c r="E220" s="21" t="s">
        <v>186</v>
      </c>
      <c r="F220" s="21" t="str">
        <f t="shared" si="6"/>
        <v>rtdc.l.rtdc.4054:itc</v>
      </c>
      <c r="G220" s="8">
        <f t="shared" si="7"/>
        <v>42673.908472222225</v>
      </c>
    </row>
    <row r="221" spans="1:7" x14ac:dyDescent="0.25">
      <c r="A221" s="8">
        <v>42673.918194444443</v>
      </c>
      <c r="B221" s="21" t="s">
        <v>304</v>
      </c>
      <c r="C221" s="21" t="s">
        <v>606</v>
      </c>
      <c r="D221" s="21">
        <v>970000</v>
      </c>
      <c r="E221" s="21" t="s">
        <v>530</v>
      </c>
      <c r="F221" s="21" t="str">
        <f t="shared" si="6"/>
        <v>rtdc.l.rtdc.4022:itc</v>
      </c>
      <c r="G221" s="8">
        <f t="shared" si="7"/>
        <v>42673.918194444443</v>
      </c>
    </row>
    <row r="222" spans="1:7" x14ac:dyDescent="0.25">
      <c r="A222" s="8">
        <v>42673.936874999999</v>
      </c>
      <c r="B222" s="21" t="s">
        <v>305</v>
      </c>
      <c r="C222" s="21" t="s">
        <v>607</v>
      </c>
      <c r="D222" s="21">
        <v>1800000</v>
      </c>
      <c r="E222" s="21" t="s">
        <v>351</v>
      </c>
      <c r="F222" s="21" t="str">
        <f t="shared" si="6"/>
        <v>rtdc.l.rtdc.4027:itc</v>
      </c>
      <c r="G222" s="8">
        <f t="shared" si="7"/>
        <v>42673.936874999999</v>
      </c>
    </row>
    <row r="223" spans="1:7" x14ac:dyDescent="0.25">
      <c r="A223" s="8">
        <v>42673.942835648151</v>
      </c>
      <c r="B223" s="21" t="s">
        <v>243</v>
      </c>
      <c r="C223" s="21" t="s">
        <v>608</v>
      </c>
      <c r="D223" s="21">
        <v>2250000</v>
      </c>
      <c r="E223" s="21" t="s">
        <v>566</v>
      </c>
      <c r="F223" s="21" t="str">
        <f t="shared" si="6"/>
        <v>rtdc.l.rtdc.4030:itc</v>
      </c>
      <c r="G223" s="8">
        <f t="shared" si="7"/>
        <v>42673.942835648151</v>
      </c>
    </row>
    <row r="224" spans="1:7" x14ac:dyDescent="0.25">
      <c r="A224" s="8">
        <v>42673.943298611113</v>
      </c>
      <c r="B224" t="s">
        <v>264</v>
      </c>
      <c r="C224" t="s">
        <v>609</v>
      </c>
      <c r="D224">
        <v>970000</v>
      </c>
      <c r="E224" t="s">
        <v>530</v>
      </c>
      <c r="F224" s="21" t="str">
        <f t="shared" si="6"/>
        <v>rtdc.l.rtdc.4021:itc</v>
      </c>
      <c r="G224" s="8">
        <f t="shared" si="7"/>
        <v>42673.943298611113</v>
      </c>
    </row>
    <row r="225" spans="1:7" x14ac:dyDescent="0.25">
      <c r="A225" s="8">
        <v>42673.944930555554</v>
      </c>
      <c r="B225" t="s">
        <v>257</v>
      </c>
      <c r="C225" t="s">
        <v>610</v>
      </c>
      <c r="D225">
        <v>1810000</v>
      </c>
      <c r="E225" t="s">
        <v>348</v>
      </c>
      <c r="F225" s="21" t="str">
        <f t="shared" si="6"/>
        <v>rtdc.l.rtdc.4037:itc</v>
      </c>
      <c r="G225" s="8">
        <f t="shared" si="7"/>
        <v>42673.944930555554</v>
      </c>
    </row>
    <row r="226" spans="1:7" x14ac:dyDescent="0.25">
      <c r="A226" s="8">
        <v>42673.950439814813</v>
      </c>
      <c r="B226" t="s">
        <v>156</v>
      </c>
      <c r="C226" t="s">
        <v>611</v>
      </c>
      <c r="D226">
        <v>1410000</v>
      </c>
      <c r="E226" t="s">
        <v>612</v>
      </c>
      <c r="F226" s="21" t="str">
        <f t="shared" si="6"/>
        <v>rtdc.l.rtdc.4051:itc</v>
      </c>
      <c r="G226" s="8">
        <f t="shared" si="7"/>
        <v>42673.950439814813</v>
      </c>
    </row>
    <row r="227" spans="1:7" x14ac:dyDescent="0.25">
      <c r="A227" s="8">
        <v>42673.952870370369</v>
      </c>
      <c r="B227" t="s">
        <v>343</v>
      </c>
      <c r="C227" t="s">
        <v>613</v>
      </c>
      <c r="D227">
        <v>1180000</v>
      </c>
      <c r="E227" t="s">
        <v>186</v>
      </c>
      <c r="F227" s="21" t="str">
        <f t="shared" si="6"/>
        <v>rtdc.l.rtdc.4053:itc</v>
      </c>
      <c r="G227" s="8">
        <f t="shared" si="7"/>
        <v>42673.952870370369</v>
      </c>
    </row>
    <row r="228" spans="1:7" x14ac:dyDescent="0.25">
      <c r="A228" s="8">
        <v>42673.973287037035</v>
      </c>
      <c r="B228" t="s">
        <v>242</v>
      </c>
      <c r="C228" t="s">
        <v>614</v>
      </c>
      <c r="D228">
        <v>2250000</v>
      </c>
      <c r="E228" t="s">
        <v>566</v>
      </c>
      <c r="F228" s="21" t="str">
        <f t="shared" si="6"/>
        <v>rtdc.l.rtdc.4029:itc</v>
      </c>
      <c r="G228" s="8">
        <f t="shared" si="7"/>
        <v>42673.973287037035</v>
      </c>
    </row>
    <row r="229" spans="1:7" x14ac:dyDescent="0.25">
      <c r="A229" s="8">
        <v>42673.973460648151</v>
      </c>
      <c r="B229" t="s">
        <v>235</v>
      </c>
      <c r="C229" t="s">
        <v>615</v>
      </c>
      <c r="D229">
        <v>1800000</v>
      </c>
      <c r="E229" t="s">
        <v>351</v>
      </c>
      <c r="F229" s="21" t="str">
        <f t="shared" si="6"/>
        <v>rtdc.l.rtdc.4028:itc</v>
      </c>
      <c r="G229" s="8">
        <f t="shared" si="7"/>
        <v>42673.973460648151</v>
      </c>
    </row>
    <row r="230" spans="1:7" x14ac:dyDescent="0.25">
      <c r="A230" s="8">
        <v>42673.987291666665</v>
      </c>
      <c r="B230" t="s">
        <v>157</v>
      </c>
      <c r="C230" t="s">
        <v>616</v>
      </c>
      <c r="D230">
        <v>1410000</v>
      </c>
      <c r="E230" t="s">
        <v>612</v>
      </c>
      <c r="F230" s="21" t="str">
        <f t="shared" si="6"/>
        <v>rtdc.l.rtdc.4052:itc</v>
      </c>
      <c r="G230" s="8">
        <f t="shared" si="7"/>
        <v>42673.987291666665</v>
      </c>
    </row>
    <row r="231" spans="1:7" x14ac:dyDescent="0.25">
      <c r="A231" s="8">
        <v>42673.990937499999</v>
      </c>
      <c r="B231" t="s">
        <v>342</v>
      </c>
      <c r="C231" t="s">
        <v>617</v>
      </c>
      <c r="D231">
        <v>1180000</v>
      </c>
      <c r="E231" t="s">
        <v>186</v>
      </c>
      <c r="F231" s="21" t="str">
        <f t="shared" si="6"/>
        <v>rtdc.l.rtdc.4054:itc</v>
      </c>
      <c r="G231" s="8">
        <f t="shared" si="7"/>
        <v>42673.990937499999</v>
      </c>
    </row>
    <row r="232" spans="1:7" x14ac:dyDescent="0.25">
      <c r="A232" s="8">
        <v>42673.99491898148</v>
      </c>
      <c r="B232" t="s">
        <v>288</v>
      </c>
      <c r="C232" t="s">
        <v>618</v>
      </c>
      <c r="D232">
        <v>1810000</v>
      </c>
      <c r="E232" t="s">
        <v>348</v>
      </c>
      <c r="F232" s="21" t="str">
        <f t="shared" si="6"/>
        <v>rtdc.l.rtdc.4038:itc</v>
      </c>
      <c r="G232" s="8">
        <f t="shared" si="7"/>
        <v>42673.99491898148</v>
      </c>
    </row>
    <row r="233" spans="1:7" x14ac:dyDescent="0.25">
      <c r="A233" s="8">
        <v>42674.00953703704</v>
      </c>
      <c r="B233" t="s">
        <v>156</v>
      </c>
      <c r="C233" t="s">
        <v>611</v>
      </c>
      <c r="D233">
        <v>1410000</v>
      </c>
      <c r="E233" t="s">
        <v>612</v>
      </c>
      <c r="F233" s="21" t="str">
        <f t="shared" si="6"/>
        <v>rtdc.l.rtdc.4051:itc</v>
      </c>
      <c r="G233" s="8">
        <f t="shared" si="7"/>
        <v>42674.00953703704</v>
      </c>
    </row>
    <row r="234" spans="1:7" x14ac:dyDescent="0.25">
      <c r="A234" s="8">
        <v>42674.013425925928</v>
      </c>
      <c r="B234" t="s">
        <v>243</v>
      </c>
      <c r="C234" t="s">
        <v>619</v>
      </c>
      <c r="D234">
        <v>2250000</v>
      </c>
      <c r="E234" t="s">
        <v>566</v>
      </c>
      <c r="F234" s="21" t="str">
        <f t="shared" si="6"/>
        <v>rtdc.l.rtdc.4030:itc</v>
      </c>
      <c r="G234" s="8">
        <f t="shared" si="7"/>
        <v>42674.013425925928</v>
      </c>
    </row>
    <row r="235" spans="1:7" x14ac:dyDescent="0.25">
      <c r="A235" s="8">
        <v>42674.019328703704</v>
      </c>
      <c r="B235" t="s">
        <v>305</v>
      </c>
      <c r="C235" t="s">
        <v>620</v>
      </c>
      <c r="D235">
        <v>1800000</v>
      </c>
      <c r="E235" t="s">
        <v>351</v>
      </c>
      <c r="F235" s="21" t="str">
        <f t="shared" si="6"/>
        <v>rtdc.l.rtdc.4027:itc</v>
      </c>
      <c r="G235" s="8">
        <f t="shared" si="7"/>
        <v>42674.019328703704</v>
      </c>
    </row>
    <row r="236" spans="1:7" x14ac:dyDescent="0.25">
      <c r="A236" s="8">
        <v>42674.026180555556</v>
      </c>
      <c r="B236" t="s">
        <v>157</v>
      </c>
      <c r="C236" t="s">
        <v>616</v>
      </c>
      <c r="D236">
        <v>1410000</v>
      </c>
      <c r="E236" t="s">
        <v>612</v>
      </c>
      <c r="F236" s="21" t="str">
        <f t="shared" ref="F236:F265" si="8">B236</f>
        <v>rtdc.l.rtdc.4052:itc</v>
      </c>
      <c r="G236" s="8">
        <f t="shared" ref="G236:G265" si="9">A236</f>
        <v>42674.026180555556</v>
      </c>
    </row>
    <row r="237" spans="1:7" x14ac:dyDescent="0.25">
      <c r="A237" s="8">
        <v>42674.030891203707</v>
      </c>
      <c r="B237" t="s">
        <v>343</v>
      </c>
      <c r="C237" t="s">
        <v>621</v>
      </c>
      <c r="D237">
        <v>1180000</v>
      </c>
      <c r="E237" t="s">
        <v>186</v>
      </c>
      <c r="F237" s="21" t="str">
        <f t="shared" si="8"/>
        <v>rtdc.l.rtdc.4053:itc</v>
      </c>
      <c r="G237" s="8">
        <f t="shared" si="9"/>
        <v>42674.030891203707</v>
      </c>
    </row>
    <row r="238" spans="1:7" x14ac:dyDescent="0.25">
      <c r="A238" s="8">
        <v>42674.033900462964</v>
      </c>
      <c r="B238" t="s">
        <v>257</v>
      </c>
      <c r="C238" t="s">
        <v>427</v>
      </c>
      <c r="D238">
        <v>1810000</v>
      </c>
      <c r="E238" t="s">
        <v>348</v>
      </c>
      <c r="F238" s="21" t="str">
        <f t="shared" si="8"/>
        <v>rtdc.l.rtdc.4037:itc</v>
      </c>
      <c r="G238" s="8">
        <f t="shared" si="9"/>
        <v>42674.033900462964</v>
      </c>
    </row>
    <row r="239" spans="1:7" x14ac:dyDescent="0.25">
      <c r="A239" s="8">
        <v>42674.047615740739</v>
      </c>
      <c r="B239" t="s">
        <v>242</v>
      </c>
      <c r="C239" t="s">
        <v>622</v>
      </c>
      <c r="D239">
        <v>2250000</v>
      </c>
      <c r="E239" t="s">
        <v>566</v>
      </c>
      <c r="F239" s="21" t="str">
        <f t="shared" si="8"/>
        <v>rtdc.l.rtdc.4029:itc</v>
      </c>
      <c r="G239" s="8">
        <f t="shared" si="9"/>
        <v>42674.047615740739</v>
      </c>
    </row>
    <row r="240" spans="1:7" x14ac:dyDescent="0.25">
      <c r="A240" s="8">
        <v>42674.059328703705</v>
      </c>
      <c r="B240" t="s">
        <v>235</v>
      </c>
      <c r="C240" t="s">
        <v>623</v>
      </c>
      <c r="D240">
        <v>1800000</v>
      </c>
      <c r="E240" t="s">
        <v>351</v>
      </c>
      <c r="F240" s="21" t="str">
        <f t="shared" si="8"/>
        <v>rtdc.l.rtdc.4028:itc</v>
      </c>
      <c r="G240" s="8">
        <f t="shared" si="9"/>
        <v>42674.059328703705</v>
      </c>
    </row>
    <row r="241" spans="1:7" x14ac:dyDescent="0.25">
      <c r="A241" s="8">
        <v>42674.068495370368</v>
      </c>
      <c r="B241" t="s">
        <v>288</v>
      </c>
      <c r="C241" t="s">
        <v>624</v>
      </c>
      <c r="D241">
        <v>1810000</v>
      </c>
      <c r="E241" t="s">
        <v>348</v>
      </c>
      <c r="F241" s="21" t="str">
        <f t="shared" si="8"/>
        <v>rtdc.l.rtdc.4038:itc</v>
      </c>
      <c r="G241" s="8">
        <f t="shared" si="9"/>
        <v>42674.068495370368</v>
      </c>
    </row>
    <row r="242" spans="1:7" x14ac:dyDescent="0.25">
      <c r="A242" s="8">
        <v>42674.091284722221</v>
      </c>
      <c r="B242" t="s">
        <v>305</v>
      </c>
      <c r="C242" t="s">
        <v>625</v>
      </c>
      <c r="D242">
        <v>1800000</v>
      </c>
      <c r="E242" t="s">
        <v>351</v>
      </c>
      <c r="F242" s="21" t="str">
        <f t="shared" si="8"/>
        <v>rtdc.l.rtdc.4027:itc</v>
      </c>
      <c r="G242" s="8">
        <f t="shared" si="9"/>
        <v>42674.091284722221</v>
      </c>
    </row>
    <row r="243" spans="1:7" x14ac:dyDescent="0.25">
      <c r="A243" s="8">
        <v>42671.039409722223</v>
      </c>
      <c r="B243" t="s">
        <v>230</v>
      </c>
      <c r="C243" t="s">
        <v>310</v>
      </c>
      <c r="D243">
        <v>2230000</v>
      </c>
      <c r="E243" t="s">
        <v>307</v>
      </c>
      <c r="F243" s="21" t="str">
        <f t="shared" si="8"/>
        <v>rtdc.l.rtdc.4017:itc</v>
      </c>
      <c r="G243" s="8">
        <f t="shared" si="9"/>
        <v>42671.039409722223</v>
      </c>
    </row>
    <row r="244" spans="1:7" x14ac:dyDescent="0.25">
      <c r="A244" s="8">
        <v>42671.046851851854</v>
      </c>
      <c r="B244" t="s">
        <v>266</v>
      </c>
      <c r="C244" t="s">
        <v>311</v>
      </c>
      <c r="D244">
        <v>2350000</v>
      </c>
      <c r="E244" t="s">
        <v>244</v>
      </c>
      <c r="F244" s="21" t="str">
        <f t="shared" si="8"/>
        <v>rtdc.l.rtdc.4002:itc</v>
      </c>
      <c r="G244" s="8">
        <f t="shared" si="9"/>
        <v>42671.046851851854</v>
      </c>
    </row>
    <row r="245" spans="1:7" x14ac:dyDescent="0.25">
      <c r="A245" s="8">
        <v>42671.047094907408</v>
      </c>
      <c r="B245" t="s">
        <v>157</v>
      </c>
      <c r="C245" t="s">
        <v>308</v>
      </c>
      <c r="D245">
        <v>140000</v>
      </c>
      <c r="E245" t="s">
        <v>255</v>
      </c>
      <c r="F245" s="21" t="str">
        <f t="shared" si="8"/>
        <v>rtdc.l.rtdc.4052:itc</v>
      </c>
      <c r="G245" s="8">
        <f t="shared" si="9"/>
        <v>42671.047094907408</v>
      </c>
    </row>
    <row r="246" spans="1:7" x14ac:dyDescent="0.25">
      <c r="A246" s="8">
        <v>42671.055983796294</v>
      </c>
      <c r="B246" t="s">
        <v>301</v>
      </c>
      <c r="C246" t="s">
        <v>312</v>
      </c>
      <c r="D246">
        <v>2370000</v>
      </c>
      <c r="E246" t="s">
        <v>246</v>
      </c>
      <c r="F246" s="21" t="str">
        <f t="shared" si="8"/>
        <v>rtdc.l.rtdc.4013:itc</v>
      </c>
      <c r="G246" s="8">
        <f t="shared" si="9"/>
        <v>42671.055983796294</v>
      </c>
    </row>
    <row r="247" spans="1:7" x14ac:dyDescent="0.25">
      <c r="A247" s="8">
        <v>42671.067777777775</v>
      </c>
      <c r="B247" t="s">
        <v>285</v>
      </c>
      <c r="C247" t="s">
        <v>313</v>
      </c>
      <c r="D247">
        <v>1300000</v>
      </c>
      <c r="E247" t="s">
        <v>113</v>
      </c>
      <c r="F247" s="21" t="str">
        <f t="shared" si="8"/>
        <v>rtdc.l.rtdc.4040:itc</v>
      </c>
      <c r="G247" s="8">
        <f t="shared" si="9"/>
        <v>42671.067777777775</v>
      </c>
    </row>
    <row r="248" spans="1:7" x14ac:dyDescent="0.25">
      <c r="A248" s="8">
        <v>42671.072210648148</v>
      </c>
      <c r="B248" t="s">
        <v>156</v>
      </c>
      <c r="C248" t="s">
        <v>309</v>
      </c>
      <c r="D248">
        <v>140000</v>
      </c>
      <c r="E248" t="s">
        <v>255</v>
      </c>
      <c r="F248" s="21" t="str">
        <f t="shared" si="8"/>
        <v>rtdc.l.rtdc.4051:itc</v>
      </c>
      <c r="G248" s="8">
        <f t="shared" si="9"/>
        <v>42671.072210648148</v>
      </c>
    </row>
    <row r="249" spans="1:7" x14ac:dyDescent="0.25">
      <c r="A249" s="8">
        <v>42671.088854166665</v>
      </c>
      <c r="B249" t="s">
        <v>302</v>
      </c>
      <c r="C249" t="s">
        <v>314</v>
      </c>
      <c r="D249">
        <v>2370000</v>
      </c>
      <c r="E249" t="s">
        <v>246</v>
      </c>
      <c r="F249" s="21" t="str">
        <f t="shared" si="8"/>
        <v>rtdc.l.rtdc.4014:itc</v>
      </c>
      <c r="G249" s="8">
        <f t="shared" si="9"/>
        <v>42671.088854166665</v>
      </c>
    </row>
    <row r="250" spans="1:7" x14ac:dyDescent="0.25">
      <c r="A250" s="8">
        <v>42671.089178240742</v>
      </c>
      <c r="B250" t="s">
        <v>157</v>
      </c>
      <c r="C250" t="s">
        <v>308</v>
      </c>
      <c r="D250">
        <v>140000</v>
      </c>
      <c r="E250" t="s">
        <v>255</v>
      </c>
      <c r="F250" s="21" t="str">
        <f t="shared" si="8"/>
        <v>rtdc.l.rtdc.4052:itc</v>
      </c>
      <c r="G250" s="8">
        <f t="shared" si="9"/>
        <v>42671.089178240742</v>
      </c>
    </row>
    <row r="251" spans="1:7" x14ac:dyDescent="0.25">
      <c r="A251" s="8">
        <v>42671.106400462966</v>
      </c>
      <c r="B251" t="s">
        <v>156</v>
      </c>
      <c r="C251" t="s">
        <v>309</v>
      </c>
      <c r="D251">
        <v>140000</v>
      </c>
      <c r="E251" t="s">
        <v>255</v>
      </c>
      <c r="F251" s="21" t="str">
        <f t="shared" si="8"/>
        <v>rtdc.l.rtdc.4051:itc</v>
      </c>
      <c r="G251" s="8">
        <f t="shared" si="9"/>
        <v>42671.106400462966</v>
      </c>
    </row>
    <row r="252" spans="1:7" x14ac:dyDescent="0.25">
      <c r="A252" s="8">
        <v>42662.055243055554</v>
      </c>
      <c r="B252" t="s">
        <v>250</v>
      </c>
      <c r="C252" t="s">
        <v>251</v>
      </c>
      <c r="D252">
        <v>2350000</v>
      </c>
      <c r="E252" t="s">
        <v>244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193</v>
      </c>
      <c r="C253" t="s">
        <v>252</v>
      </c>
      <c r="D253">
        <v>1180000</v>
      </c>
      <c r="E253" t="s">
        <v>186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249</v>
      </c>
      <c r="C254" t="s">
        <v>253</v>
      </c>
      <c r="D254">
        <v>2350000</v>
      </c>
      <c r="E254" t="s">
        <v>244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203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203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202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204</v>
      </c>
      <c r="C258" t="s">
        <v>200</v>
      </c>
      <c r="D258">
        <v>1480000</v>
      </c>
      <c r="E258" t="s">
        <v>188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194</v>
      </c>
      <c r="C259" t="s">
        <v>201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194</v>
      </c>
      <c r="C261" t="s">
        <v>196</v>
      </c>
      <c r="D261">
        <v>1180000</v>
      </c>
      <c r="E261" t="s">
        <v>186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195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190</v>
      </c>
      <c r="C263" t="s">
        <v>197</v>
      </c>
      <c r="D263">
        <v>1480000</v>
      </c>
      <c r="E263" t="s">
        <v>188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193</v>
      </c>
      <c r="C264" t="s">
        <v>198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195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195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195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195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191</v>
      </c>
      <c r="C270" t="s">
        <v>199</v>
      </c>
      <c r="D270">
        <v>1480000</v>
      </c>
      <c r="E270" t="s">
        <v>188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168</v>
      </c>
      <c r="K1" s="178" t="s">
        <v>166</v>
      </c>
      <c r="L1" s="178" t="s">
        <v>161</v>
      </c>
      <c r="M1" s="178" t="s">
        <v>171</v>
      </c>
      <c r="N1" s="178" t="s">
        <v>165</v>
      </c>
      <c r="O1" s="178" t="s">
        <v>172</v>
      </c>
      <c r="P1" s="178" t="s">
        <v>169</v>
      </c>
      <c r="Q1"/>
    </row>
    <row r="2" spans="1:17" x14ac:dyDescent="0.25">
      <c r="A2" s="169">
        <v>51.77</v>
      </c>
      <c r="B2" s="169">
        <v>0.24</v>
      </c>
      <c r="C2" s="169">
        <v>40.67</v>
      </c>
      <c r="D2" s="8">
        <v>42673</v>
      </c>
      <c r="E2" s="169">
        <v>0.66</v>
      </c>
      <c r="F2" s="169" t="s">
        <v>626</v>
      </c>
      <c r="G2" s="169">
        <v>237.47</v>
      </c>
      <c r="H2" s="169">
        <v>0</v>
      </c>
      <c r="I2" s="169">
        <v>0</v>
      </c>
      <c r="J2" s="169">
        <v>1021.61</v>
      </c>
      <c r="K2" s="169" t="s">
        <v>627</v>
      </c>
      <c r="L2" s="169">
        <v>51.77</v>
      </c>
      <c r="M2" s="169">
        <v>1477807200</v>
      </c>
      <c r="N2" s="169">
        <v>5.74</v>
      </c>
      <c r="O2" s="169">
        <v>24</v>
      </c>
      <c r="P2" s="169">
        <v>1.34</v>
      </c>
      <c r="Q2"/>
    </row>
    <row r="3" spans="1:17" x14ac:dyDescent="0.25">
      <c r="A3" s="169">
        <v>48.68</v>
      </c>
      <c r="B3" s="169">
        <v>0.23</v>
      </c>
      <c r="C3" s="169">
        <v>39.56</v>
      </c>
      <c r="D3" s="8">
        <v>42673.041666666664</v>
      </c>
      <c r="E3" s="169">
        <v>0.71</v>
      </c>
      <c r="F3" s="169" t="s">
        <v>626</v>
      </c>
      <c r="G3" s="169">
        <v>236.47</v>
      </c>
      <c r="H3" s="169">
        <v>0</v>
      </c>
      <c r="I3" s="169">
        <v>0</v>
      </c>
      <c r="J3" s="169">
        <v>1021.98</v>
      </c>
      <c r="K3" s="169" t="s">
        <v>627</v>
      </c>
      <c r="L3" s="169">
        <v>48.68</v>
      </c>
      <c r="M3" s="169">
        <v>1477810800</v>
      </c>
      <c r="N3" s="169">
        <v>6.36</v>
      </c>
      <c r="O3" s="169">
        <v>356</v>
      </c>
      <c r="P3" s="169">
        <v>0.8</v>
      </c>
      <c r="Q3"/>
    </row>
    <row r="4" spans="1:17" x14ac:dyDescent="0.25">
      <c r="A4" s="169">
        <v>47.21</v>
      </c>
      <c r="B4" s="169">
        <v>0.23</v>
      </c>
      <c r="C4" s="169">
        <v>40.14</v>
      </c>
      <c r="D4" s="8">
        <v>42673.083333333336</v>
      </c>
      <c r="E4" s="169">
        <v>0.76</v>
      </c>
      <c r="F4" s="169" t="s">
        <v>626</v>
      </c>
      <c r="G4" s="169">
        <v>235.46</v>
      </c>
      <c r="H4" s="169">
        <v>0</v>
      </c>
      <c r="I4" s="169">
        <v>0</v>
      </c>
      <c r="J4" s="169">
        <v>1022.27</v>
      </c>
      <c r="K4" s="169" t="s">
        <v>627</v>
      </c>
      <c r="L4" s="169">
        <v>47.21</v>
      </c>
      <c r="M4" s="169">
        <v>1477814400</v>
      </c>
      <c r="N4" s="169">
        <v>5.6</v>
      </c>
      <c r="O4" s="169">
        <v>60</v>
      </c>
      <c r="P4" s="169">
        <v>0.25</v>
      </c>
      <c r="Q4"/>
    </row>
    <row r="5" spans="1:17" x14ac:dyDescent="0.25">
      <c r="A5" s="169">
        <v>45.48</v>
      </c>
      <c r="B5" s="169">
        <v>0.26</v>
      </c>
      <c r="C5" s="169">
        <v>39.28</v>
      </c>
      <c r="D5" s="8">
        <v>42673.125</v>
      </c>
      <c r="E5" s="169">
        <v>0.79</v>
      </c>
      <c r="F5" s="169" t="s">
        <v>315</v>
      </c>
      <c r="G5" s="169">
        <v>234.46</v>
      </c>
      <c r="H5" s="169">
        <v>0</v>
      </c>
      <c r="I5" s="169">
        <v>0</v>
      </c>
      <c r="J5" s="169">
        <v>1022.5</v>
      </c>
      <c r="K5" s="169" t="s">
        <v>316</v>
      </c>
      <c r="L5" s="169">
        <v>45.48</v>
      </c>
      <c r="M5" s="169">
        <v>1477818000</v>
      </c>
      <c r="N5" s="169">
        <v>4.74</v>
      </c>
      <c r="O5" s="169">
        <v>139</v>
      </c>
      <c r="P5" s="169">
        <v>0.94</v>
      </c>
      <c r="Q5"/>
    </row>
    <row r="6" spans="1:17" x14ac:dyDescent="0.25">
      <c r="A6" s="169">
        <v>43.82</v>
      </c>
      <c r="B6" s="169">
        <v>0.28000000000000003</v>
      </c>
      <c r="C6" s="169">
        <v>38.19</v>
      </c>
      <c r="D6" s="8">
        <v>42673.166666666664</v>
      </c>
      <c r="E6" s="169">
        <v>0.8</v>
      </c>
      <c r="F6" s="169" t="s">
        <v>315</v>
      </c>
      <c r="G6" s="169">
        <v>233.51</v>
      </c>
      <c r="H6" s="169">
        <v>0</v>
      </c>
      <c r="I6" s="169">
        <v>0</v>
      </c>
      <c r="J6" s="169">
        <v>1022.38</v>
      </c>
      <c r="K6" s="169" t="s">
        <v>316</v>
      </c>
      <c r="L6" s="169">
        <v>43.82</v>
      </c>
      <c r="M6" s="169">
        <v>1477821600</v>
      </c>
      <c r="N6" s="169">
        <v>3.72</v>
      </c>
      <c r="O6" s="169">
        <v>133</v>
      </c>
      <c r="P6" s="169">
        <v>0.27</v>
      </c>
      <c r="Q6"/>
    </row>
    <row r="7" spans="1:17" x14ac:dyDescent="0.25">
      <c r="A7" s="169">
        <v>42.76</v>
      </c>
      <c r="B7" s="169">
        <v>0.28999999999999998</v>
      </c>
      <c r="C7" s="169">
        <v>37.46</v>
      </c>
      <c r="D7" s="8">
        <v>42673.208333333336</v>
      </c>
      <c r="E7" s="169">
        <v>0.81</v>
      </c>
      <c r="F7" s="169" t="s">
        <v>315</v>
      </c>
      <c r="G7" s="169">
        <v>232.57</v>
      </c>
      <c r="H7" s="169">
        <v>0</v>
      </c>
      <c r="I7" s="169">
        <v>0</v>
      </c>
      <c r="J7" s="169">
        <v>1022.07</v>
      </c>
      <c r="K7" s="169" t="s">
        <v>316</v>
      </c>
      <c r="L7" s="169">
        <v>42.76</v>
      </c>
      <c r="M7" s="169">
        <v>1477825200</v>
      </c>
      <c r="N7" s="169">
        <v>3.86</v>
      </c>
      <c r="O7" s="169">
        <v>230</v>
      </c>
      <c r="P7" s="169">
        <v>1.2</v>
      </c>
      <c r="Q7"/>
    </row>
    <row r="8" spans="1:17" x14ac:dyDescent="0.25">
      <c r="A8" s="169">
        <v>43.58</v>
      </c>
      <c r="B8" s="169">
        <v>0.28000000000000003</v>
      </c>
      <c r="C8" s="169">
        <v>38.53</v>
      </c>
      <c r="D8" s="8">
        <v>42673.25</v>
      </c>
      <c r="E8" s="169">
        <v>0.82</v>
      </c>
      <c r="F8" s="169" t="s">
        <v>315</v>
      </c>
      <c r="G8" s="169">
        <v>231.55</v>
      </c>
      <c r="H8" s="169">
        <v>0</v>
      </c>
      <c r="I8" s="169">
        <v>0</v>
      </c>
      <c r="J8" s="169">
        <v>1021.69</v>
      </c>
      <c r="K8" s="169" t="s">
        <v>316</v>
      </c>
      <c r="L8" s="169">
        <v>43.58</v>
      </c>
      <c r="M8" s="169">
        <v>1477828800</v>
      </c>
      <c r="N8" s="169">
        <v>4.7699999999999996</v>
      </c>
      <c r="O8" s="169">
        <v>181</v>
      </c>
      <c r="P8" s="169">
        <v>0.71</v>
      </c>
      <c r="Q8"/>
    </row>
    <row r="9" spans="1:17" x14ac:dyDescent="0.25">
      <c r="A9" s="169">
        <v>43.44</v>
      </c>
      <c r="B9" s="169">
        <v>0.32</v>
      </c>
      <c r="C9" s="169">
        <v>38.090000000000003</v>
      </c>
      <c r="D9" s="8">
        <v>42673.291666666664</v>
      </c>
      <c r="E9" s="169">
        <v>0.81</v>
      </c>
      <c r="F9" s="169" t="s">
        <v>315</v>
      </c>
      <c r="G9" s="169">
        <v>230.35</v>
      </c>
      <c r="H9" s="169">
        <v>0</v>
      </c>
      <c r="I9" s="169">
        <v>0</v>
      </c>
      <c r="J9" s="169">
        <v>1021.37</v>
      </c>
      <c r="K9" s="169" t="s">
        <v>316</v>
      </c>
      <c r="L9" s="169">
        <v>43.44</v>
      </c>
      <c r="M9" s="169">
        <v>1477832400</v>
      </c>
      <c r="N9" s="169">
        <v>3.35</v>
      </c>
      <c r="O9" s="169">
        <v>222</v>
      </c>
      <c r="P9" s="169">
        <v>2.4500000000000002</v>
      </c>
      <c r="Q9"/>
    </row>
    <row r="10" spans="1:17" x14ac:dyDescent="0.25">
      <c r="A10" s="169">
        <v>44.9</v>
      </c>
      <c r="B10" s="169">
        <v>0.33</v>
      </c>
      <c r="C10" s="169">
        <v>39.32</v>
      </c>
      <c r="D10" s="8">
        <v>42673.333333333336</v>
      </c>
      <c r="E10" s="169">
        <v>0.81</v>
      </c>
      <c r="F10" s="169" t="s">
        <v>317</v>
      </c>
      <c r="G10" s="169">
        <v>229.06</v>
      </c>
      <c r="H10" s="169">
        <v>0</v>
      </c>
      <c r="I10" s="169">
        <v>0</v>
      </c>
      <c r="J10" s="169">
        <v>1020.96</v>
      </c>
      <c r="K10" s="169" t="s">
        <v>316</v>
      </c>
      <c r="L10" s="169">
        <v>44.9</v>
      </c>
      <c r="M10" s="169">
        <v>1477836000</v>
      </c>
      <c r="N10" s="169">
        <v>2.64</v>
      </c>
      <c r="O10" s="169">
        <v>227</v>
      </c>
      <c r="P10" s="169">
        <v>2.2599999999999998</v>
      </c>
      <c r="Q10"/>
    </row>
    <row r="11" spans="1:17" x14ac:dyDescent="0.25">
      <c r="A11" s="169">
        <v>47.34</v>
      </c>
      <c r="B11" s="169">
        <v>0.32</v>
      </c>
      <c r="C11" s="169">
        <v>41.07</v>
      </c>
      <c r="D11" s="8">
        <v>42673.375</v>
      </c>
      <c r="E11" s="169">
        <v>0.79</v>
      </c>
      <c r="F11" s="169" t="s">
        <v>317</v>
      </c>
      <c r="G11" s="169">
        <v>227.9</v>
      </c>
      <c r="H11" s="169">
        <v>0</v>
      </c>
      <c r="I11" s="169">
        <v>0</v>
      </c>
      <c r="J11" s="169">
        <v>1020.16</v>
      </c>
      <c r="K11" s="169" t="s">
        <v>316</v>
      </c>
      <c r="L11" s="169">
        <v>47.34</v>
      </c>
      <c r="M11" s="169">
        <v>1477839600</v>
      </c>
      <c r="N11" s="169">
        <v>2.94</v>
      </c>
      <c r="O11" s="169">
        <v>218</v>
      </c>
      <c r="P11" s="169">
        <v>1.48</v>
      </c>
      <c r="Q11"/>
    </row>
    <row r="12" spans="1:17" x14ac:dyDescent="0.25">
      <c r="A12" s="169">
        <v>52.16</v>
      </c>
      <c r="B12" s="169">
        <v>0.42</v>
      </c>
      <c r="C12" s="169">
        <v>43.59</v>
      </c>
      <c r="D12" s="8">
        <v>42673.416666666664</v>
      </c>
      <c r="E12" s="169">
        <v>0.72</v>
      </c>
      <c r="F12" s="169" t="s">
        <v>317</v>
      </c>
      <c r="G12" s="169">
        <v>226.9</v>
      </c>
      <c r="H12" s="169">
        <v>0</v>
      </c>
      <c r="I12" s="169">
        <v>0</v>
      </c>
      <c r="J12" s="169">
        <v>1018.95</v>
      </c>
      <c r="K12" s="169" t="s">
        <v>316</v>
      </c>
      <c r="L12" s="169">
        <v>52.16</v>
      </c>
      <c r="M12" s="169">
        <v>1477843200</v>
      </c>
      <c r="N12" s="169">
        <v>2.89</v>
      </c>
      <c r="O12" s="169">
        <v>222</v>
      </c>
      <c r="P12" s="169">
        <v>1.62</v>
      </c>
      <c r="Q12"/>
    </row>
    <row r="13" spans="1:17" x14ac:dyDescent="0.25">
      <c r="A13" s="169">
        <v>61.74</v>
      </c>
      <c r="B13" s="169">
        <v>0.6</v>
      </c>
      <c r="C13" s="169">
        <v>42.37</v>
      </c>
      <c r="D13" s="8">
        <v>42673.458333333336</v>
      </c>
      <c r="E13" s="169">
        <v>0.49</v>
      </c>
      <c r="F13" s="169" t="s">
        <v>317</v>
      </c>
      <c r="G13" s="169">
        <v>226.03</v>
      </c>
      <c r="H13" s="169">
        <v>0</v>
      </c>
      <c r="I13" s="169">
        <v>0</v>
      </c>
      <c r="J13" s="169">
        <v>1017.41</v>
      </c>
      <c r="K13" s="169" t="s">
        <v>318</v>
      </c>
      <c r="L13" s="169">
        <v>61.74</v>
      </c>
      <c r="M13" s="169">
        <v>1477846800</v>
      </c>
      <c r="N13" s="169">
        <v>2.86</v>
      </c>
      <c r="O13" s="169">
        <v>200</v>
      </c>
      <c r="P13" s="169">
        <v>1.48</v>
      </c>
      <c r="Q13"/>
    </row>
    <row r="14" spans="1:17" x14ac:dyDescent="0.25">
      <c r="A14" s="169">
        <v>70.42</v>
      </c>
      <c r="B14" s="169">
        <v>0.72</v>
      </c>
      <c r="C14" s="169">
        <v>38.729999999999997</v>
      </c>
      <c r="D14" s="8">
        <v>42673.5</v>
      </c>
      <c r="E14" s="169">
        <v>0.31</v>
      </c>
      <c r="F14" s="169" t="s">
        <v>317</v>
      </c>
      <c r="G14" s="169">
        <v>225.39</v>
      </c>
      <c r="H14" s="169">
        <v>0</v>
      </c>
      <c r="I14" s="169">
        <v>0</v>
      </c>
      <c r="J14" s="169">
        <v>1016.16</v>
      </c>
      <c r="K14" s="169" t="s">
        <v>318</v>
      </c>
      <c r="L14" s="169">
        <v>70.42</v>
      </c>
      <c r="M14" s="169">
        <v>1477850400</v>
      </c>
      <c r="N14" s="169">
        <v>2.86</v>
      </c>
      <c r="O14" s="169">
        <v>170</v>
      </c>
      <c r="P14" s="169">
        <v>2.4300000000000002</v>
      </c>
      <c r="Q14"/>
    </row>
    <row r="15" spans="1:17" x14ac:dyDescent="0.25">
      <c r="A15" s="169">
        <v>74.34</v>
      </c>
      <c r="B15" s="169">
        <v>0.66</v>
      </c>
      <c r="C15" s="169">
        <v>36.549999999999997</v>
      </c>
      <c r="D15" s="8">
        <v>42673.541666666664</v>
      </c>
      <c r="E15" s="169">
        <v>0.25</v>
      </c>
      <c r="F15" s="169" t="s">
        <v>317</v>
      </c>
      <c r="G15" s="169">
        <v>225.12</v>
      </c>
      <c r="H15" s="169">
        <v>0</v>
      </c>
      <c r="I15" s="169">
        <v>0</v>
      </c>
      <c r="J15" s="169">
        <v>1015.05</v>
      </c>
      <c r="K15" s="169" t="s">
        <v>318</v>
      </c>
      <c r="L15" s="169">
        <v>74.34</v>
      </c>
      <c r="M15" s="169">
        <v>1477854000</v>
      </c>
      <c r="N15" s="169">
        <v>2.87</v>
      </c>
      <c r="O15" s="169">
        <v>131</v>
      </c>
      <c r="P15" s="169">
        <v>3.17</v>
      </c>
      <c r="Q15"/>
    </row>
    <row r="16" spans="1:17" x14ac:dyDescent="0.25">
      <c r="A16" s="169">
        <v>75.040000000000006</v>
      </c>
      <c r="B16" s="169">
        <v>0.56999999999999995</v>
      </c>
      <c r="C16" s="169">
        <v>34.44</v>
      </c>
      <c r="D16" s="8">
        <v>42673.583333333336</v>
      </c>
      <c r="E16" s="169">
        <v>0.23</v>
      </c>
      <c r="F16" s="169" t="s">
        <v>317</v>
      </c>
      <c r="G16" s="169">
        <v>225.07</v>
      </c>
      <c r="H16" s="169">
        <v>0</v>
      </c>
      <c r="I16" s="169">
        <v>0</v>
      </c>
      <c r="J16" s="169">
        <v>1013.99</v>
      </c>
      <c r="K16" s="169" t="s">
        <v>316</v>
      </c>
      <c r="L16" s="169">
        <v>75.040000000000006</v>
      </c>
      <c r="M16" s="169">
        <v>1477857600</v>
      </c>
      <c r="N16" s="169">
        <v>2.94</v>
      </c>
      <c r="O16" s="169">
        <v>115</v>
      </c>
      <c r="P16" s="169">
        <v>3.66</v>
      </c>
      <c r="Q16"/>
    </row>
    <row r="17" spans="1:17" x14ac:dyDescent="0.25">
      <c r="A17" s="169">
        <v>74.88</v>
      </c>
      <c r="B17" s="169">
        <v>0.56999999999999995</v>
      </c>
      <c r="C17" s="169">
        <v>35.31</v>
      </c>
      <c r="D17" s="8">
        <v>42673.625</v>
      </c>
      <c r="E17" s="169">
        <v>0.24</v>
      </c>
      <c r="F17" s="169" t="s">
        <v>317</v>
      </c>
      <c r="G17" s="169">
        <v>224.99</v>
      </c>
      <c r="H17" s="169">
        <v>0</v>
      </c>
      <c r="I17" s="169">
        <v>0</v>
      </c>
      <c r="J17" s="169">
        <v>1013.12</v>
      </c>
      <c r="K17" s="169" t="s">
        <v>316</v>
      </c>
      <c r="L17" s="169">
        <v>74.88</v>
      </c>
      <c r="M17" s="169">
        <v>1477861200</v>
      </c>
      <c r="N17" s="169">
        <v>2.88</v>
      </c>
      <c r="O17" s="169">
        <v>77</v>
      </c>
      <c r="P17" s="169">
        <v>2.66</v>
      </c>
      <c r="Q17"/>
    </row>
    <row r="18" spans="1:17" x14ac:dyDescent="0.25">
      <c r="A18" s="169">
        <v>73.290000000000006</v>
      </c>
      <c r="B18" s="169">
        <v>0.62</v>
      </c>
      <c r="C18" s="169">
        <v>39.909999999999997</v>
      </c>
      <c r="D18" s="8">
        <v>42673.666666666664</v>
      </c>
      <c r="E18" s="169">
        <v>0.3</v>
      </c>
      <c r="F18" s="169" t="s">
        <v>317</v>
      </c>
      <c r="G18" s="169">
        <v>224.8</v>
      </c>
      <c r="H18" s="169">
        <v>0</v>
      </c>
      <c r="I18" s="169">
        <v>0</v>
      </c>
      <c r="J18" s="169">
        <v>1012.51</v>
      </c>
      <c r="K18" s="169" t="s">
        <v>318</v>
      </c>
      <c r="L18" s="169">
        <v>73.290000000000006</v>
      </c>
      <c r="M18" s="169">
        <v>1477864800</v>
      </c>
      <c r="N18" s="169">
        <v>2.9</v>
      </c>
      <c r="O18" s="169">
        <v>60</v>
      </c>
      <c r="P18" s="169">
        <v>3.16</v>
      </c>
      <c r="Q18"/>
    </row>
    <row r="19" spans="1:17" x14ac:dyDescent="0.25">
      <c r="A19" s="169">
        <v>69.8</v>
      </c>
      <c r="B19" s="169">
        <v>0.7</v>
      </c>
      <c r="C19" s="169">
        <v>40.69</v>
      </c>
      <c r="D19" s="8">
        <v>42673.708333333336</v>
      </c>
      <c r="E19" s="169">
        <v>0.35</v>
      </c>
      <c r="F19" s="169" t="s">
        <v>317</v>
      </c>
      <c r="G19" s="169">
        <v>224.56</v>
      </c>
      <c r="H19" s="169">
        <v>0</v>
      </c>
      <c r="I19" s="169">
        <v>0</v>
      </c>
      <c r="J19" s="169">
        <v>1012.11</v>
      </c>
      <c r="K19" s="169" t="s">
        <v>318</v>
      </c>
      <c r="L19" s="169">
        <v>69.8</v>
      </c>
      <c r="M19" s="169">
        <v>1477868400</v>
      </c>
      <c r="N19" s="169">
        <v>5.09</v>
      </c>
      <c r="O19" s="169">
        <v>65</v>
      </c>
      <c r="P19" s="169">
        <v>3</v>
      </c>
      <c r="Q19"/>
    </row>
    <row r="20" spans="1:17" x14ac:dyDescent="0.25">
      <c r="A20" s="169">
        <v>65.7</v>
      </c>
      <c r="B20" s="169">
        <v>0.8</v>
      </c>
      <c r="C20" s="169">
        <v>41.25</v>
      </c>
      <c r="D20" s="8">
        <v>42673.75</v>
      </c>
      <c r="E20" s="169">
        <v>0.41</v>
      </c>
      <c r="F20" s="169" t="s">
        <v>315</v>
      </c>
      <c r="G20" s="169">
        <v>224.24</v>
      </c>
      <c r="H20" s="169">
        <v>0</v>
      </c>
      <c r="I20" s="169">
        <v>0</v>
      </c>
      <c r="J20" s="169">
        <v>1011.9</v>
      </c>
      <c r="K20" s="169" t="s">
        <v>318</v>
      </c>
      <c r="L20" s="169">
        <v>65.7</v>
      </c>
      <c r="M20" s="169">
        <v>1477872000</v>
      </c>
      <c r="N20" s="169">
        <v>5.39</v>
      </c>
      <c r="O20" s="169">
        <v>79</v>
      </c>
      <c r="P20" s="169">
        <v>1.75</v>
      </c>
      <c r="Q20"/>
    </row>
    <row r="21" spans="1:17" x14ac:dyDescent="0.25">
      <c r="A21" s="169">
        <v>62.69</v>
      </c>
      <c r="B21" s="169">
        <v>0.84</v>
      </c>
      <c r="C21" s="169">
        <v>40.729999999999997</v>
      </c>
      <c r="D21" s="8">
        <v>42673.791666666664</v>
      </c>
      <c r="E21" s="169">
        <v>0.44</v>
      </c>
      <c r="F21" s="169" t="s">
        <v>315</v>
      </c>
      <c r="G21" s="169">
        <v>223.74</v>
      </c>
      <c r="H21" s="169">
        <v>0</v>
      </c>
      <c r="I21" s="169">
        <v>0</v>
      </c>
      <c r="J21" s="169">
        <v>1011.61</v>
      </c>
      <c r="K21" s="169" t="s">
        <v>318</v>
      </c>
      <c r="L21" s="169">
        <v>62.69</v>
      </c>
      <c r="M21" s="169">
        <v>1477875600</v>
      </c>
      <c r="N21" s="169">
        <v>5.93</v>
      </c>
      <c r="O21" s="169">
        <v>194</v>
      </c>
      <c r="P21" s="169">
        <v>0.46</v>
      </c>
      <c r="Q21"/>
    </row>
    <row r="22" spans="1:17" x14ac:dyDescent="0.25">
      <c r="A22" s="169">
        <v>60.43</v>
      </c>
      <c r="B22" s="169">
        <v>0.76</v>
      </c>
      <c r="C22" s="169">
        <v>40.44</v>
      </c>
      <c r="D22" s="8">
        <v>42673.833333333336</v>
      </c>
      <c r="E22" s="169">
        <v>0.48</v>
      </c>
      <c r="F22" s="169" t="s">
        <v>315</v>
      </c>
      <c r="G22" s="169">
        <v>223.15</v>
      </c>
      <c r="H22" s="169">
        <v>0</v>
      </c>
      <c r="I22" s="169">
        <v>0</v>
      </c>
      <c r="J22" s="169">
        <v>1011.9</v>
      </c>
      <c r="K22" s="169" t="s">
        <v>318</v>
      </c>
      <c r="L22" s="169">
        <v>60.43</v>
      </c>
      <c r="M22" s="169">
        <v>1477879200</v>
      </c>
      <c r="N22" s="169">
        <v>6.78</v>
      </c>
      <c r="O22" s="169">
        <v>223</v>
      </c>
      <c r="P22" s="169">
        <v>2.2000000000000002</v>
      </c>
      <c r="Q22"/>
    </row>
    <row r="23" spans="1:17" x14ac:dyDescent="0.25">
      <c r="A23" s="169">
        <v>58.65</v>
      </c>
      <c r="B23" s="169">
        <v>0.68</v>
      </c>
      <c r="C23" s="169">
        <v>38.94</v>
      </c>
      <c r="D23" s="8">
        <v>42673.875</v>
      </c>
      <c r="E23" s="169">
        <v>0.48</v>
      </c>
      <c r="F23" s="169" t="s">
        <v>315</v>
      </c>
      <c r="G23" s="169">
        <v>222.64</v>
      </c>
      <c r="H23" s="169">
        <v>0</v>
      </c>
      <c r="I23" s="169">
        <v>0</v>
      </c>
      <c r="J23" s="169">
        <v>1011.91</v>
      </c>
      <c r="K23" s="169" t="s">
        <v>318</v>
      </c>
      <c r="L23" s="169">
        <v>58.65</v>
      </c>
      <c r="M23" s="169">
        <v>1477882800</v>
      </c>
      <c r="N23" s="169">
        <v>7.74</v>
      </c>
      <c r="O23" s="169">
        <v>216</v>
      </c>
      <c r="P23" s="169">
        <v>3.4</v>
      </c>
      <c r="Q23"/>
    </row>
    <row r="24" spans="1:17" x14ac:dyDescent="0.25">
      <c r="A24" s="169">
        <v>57.65</v>
      </c>
      <c r="B24" s="169">
        <v>0.7</v>
      </c>
      <c r="C24" s="169">
        <v>37.76</v>
      </c>
      <c r="D24" s="8">
        <v>42673.916666666664</v>
      </c>
      <c r="E24" s="169">
        <v>0.47</v>
      </c>
      <c r="F24" s="169" t="s">
        <v>315</v>
      </c>
      <c r="G24" s="169">
        <v>222.25</v>
      </c>
      <c r="H24" s="169">
        <v>0</v>
      </c>
      <c r="I24" s="169">
        <v>0</v>
      </c>
      <c r="J24" s="169">
        <v>1011.02</v>
      </c>
      <c r="K24" s="169" t="s">
        <v>318</v>
      </c>
      <c r="L24" s="169">
        <v>57.65</v>
      </c>
      <c r="M24" s="169">
        <v>1477886400</v>
      </c>
      <c r="N24" s="169">
        <v>6.6</v>
      </c>
      <c r="O24" s="169">
        <v>218</v>
      </c>
      <c r="P24" s="169">
        <v>1.89</v>
      </c>
      <c r="Q24"/>
    </row>
    <row r="25" spans="1:17" x14ac:dyDescent="0.25">
      <c r="A25" s="169">
        <v>55.69</v>
      </c>
      <c r="B25" s="169">
        <v>0.62</v>
      </c>
      <c r="C25" s="169">
        <v>37.18</v>
      </c>
      <c r="D25" s="8">
        <v>42673.958333333336</v>
      </c>
      <c r="E25" s="169">
        <v>0.5</v>
      </c>
      <c r="F25" s="169" t="s">
        <v>315</v>
      </c>
      <c r="G25" s="169">
        <v>221.94</v>
      </c>
      <c r="H25" s="169">
        <v>0</v>
      </c>
      <c r="I25" s="169">
        <v>0</v>
      </c>
      <c r="J25" s="169">
        <v>1009.68</v>
      </c>
      <c r="K25" s="169" t="s">
        <v>318</v>
      </c>
      <c r="L25" s="169">
        <v>55.69</v>
      </c>
      <c r="M25" s="169">
        <v>1477890000</v>
      </c>
      <c r="N25" s="169">
        <v>6.5</v>
      </c>
      <c r="O25" s="169">
        <v>195</v>
      </c>
      <c r="P25" s="169">
        <v>2.48</v>
      </c>
      <c r="Q25"/>
    </row>
    <row r="26" spans="1:17" x14ac:dyDescent="0.25">
      <c r="A26" s="169">
        <v>54.06</v>
      </c>
      <c r="B26" s="169">
        <v>0.54</v>
      </c>
      <c r="C26" s="169">
        <v>35.43</v>
      </c>
      <c r="D26" s="8">
        <v>42674</v>
      </c>
      <c r="E26" s="169">
        <v>0.49</v>
      </c>
      <c r="F26" s="169" t="s">
        <v>315</v>
      </c>
      <c r="G26" s="169">
        <v>221.85</v>
      </c>
      <c r="H26" s="169">
        <v>0</v>
      </c>
      <c r="I26" s="169">
        <v>0</v>
      </c>
      <c r="J26" s="169">
        <v>1008.65</v>
      </c>
      <c r="K26" s="169" t="s">
        <v>316</v>
      </c>
      <c r="L26" s="169">
        <v>54.06</v>
      </c>
      <c r="M26" s="169">
        <v>1477893600</v>
      </c>
      <c r="N26" s="169">
        <v>7.22</v>
      </c>
      <c r="O26" s="169">
        <v>212</v>
      </c>
      <c r="P26" s="169">
        <v>3.77</v>
      </c>
      <c r="Q26"/>
    </row>
    <row r="27" spans="1:17" x14ac:dyDescent="0.25">
      <c r="A27" s="169">
        <v>54.63</v>
      </c>
      <c r="B27" s="169">
        <v>0.49</v>
      </c>
      <c r="C27" s="169">
        <v>32.619999999999997</v>
      </c>
      <c r="D27" s="8">
        <v>42674.041666666664</v>
      </c>
      <c r="E27" s="169">
        <v>0.43</v>
      </c>
      <c r="F27" s="169" t="s">
        <v>315</v>
      </c>
      <c r="G27" s="169">
        <v>222.23</v>
      </c>
      <c r="H27" s="169">
        <v>0</v>
      </c>
      <c r="I27" s="169">
        <v>0</v>
      </c>
      <c r="J27" s="169">
        <v>1008.8</v>
      </c>
      <c r="K27" s="169" t="s">
        <v>316</v>
      </c>
      <c r="L27" s="169">
        <v>54.63</v>
      </c>
      <c r="M27" s="169">
        <v>1477897200</v>
      </c>
      <c r="N27" s="169">
        <v>7.63</v>
      </c>
      <c r="O27" s="169">
        <v>192</v>
      </c>
      <c r="P27" s="169">
        <v>3.19</v>
      </c>
      <c r="Q27"/>
    </row>
    <row r="28" spans="1:17" x14ac:dyDescent="0.25">
      <c r="A28" s="169">
        <v>56.6</v>
      </c>
      <c r="B28" s="169">
        <v>0.56999999999999995</v>
      </c>
      <c r="C28" s="169">
        <v>32.39</v>
      </c>
      <c r="D28" s="8">
        <v>42674.083333333336</v>
      </c>
      <c r="E28" s="169">
        <v>0.4</v>
      </c>
      <c r="F28" s="169" t="s">
        <v>315</v>
      </c>
      <c r="G28" s="169">
        <v>222.61</v>
      </c>
      <c r="H28" s="169">
        <v>0</v>
      </c>
      <c r="I28" s="169">
        <v>0</v>
      </c>
      <c r="J28" s="169">
        <v>1008.8</v>
      </c>
      <c r="K28" s="169" t="s">
        <v>316</v>
      </c>
      <c r="L28" s="169">
        <v>56.6</v>
      </c>
      <c r="M28" s="169">
        <v>1477900800</v>
      </c>
      <c r="N28" s="169">
        <v>7.04</v>
      </c>
      <c r="O28" s="169">
        <v>190</v>
      </c>
      <c r="P28" s="169">
        <v>3.41</v>
      </c>
      <c r="Q28"/>
    </row>
    <row r="29" spans="1:17" x14ac:dyDescent="0.25">
      <c r="A29" s="169">
        <v>58.48</v>
      </c>
      <c r="B29" s="169">
        <v>0.57999999999999996</v>
      </c>
      <c r="C29" s="169">
        <v>31.85</v>
      </c>
      <c r="D29" s="8">
        <v>42674.125</v>
      </c>
      <c r="E29" s="169">
        <v>0.36</v>
      </c>
      <c r="F29" s="169" t="s">
        <v>315</v>
      </c>
      <c r="G29" s="169">
        <v>222.99</v>
      </c>
      <c r="H29" s="169">
        <v>0</v>
      </c>
      <c r="I29" s="169">
        <v>0</v>
      </c>
      <c r="J29" s="169">
        <v>1008.75</v>
      </c>
      <c r="K29" s="169" t="s">
        <v>316</v>
      </c>
      <c r="L29" s="169">
        <v>58.48</v>
      </c>
      <c r="M29" s="169">
        <v>1477904400</v>
      </c>
      <c r="N29" s="169">
        <v>5.18</v>
      </c>
      <c r="O29" s="169">
        <v>184</v>
      </c>
      <c r="P29" s="169">
        <v>3.29</v>
      </c>
      <c r="Q29"/>
    </row>
    <row r="31" spans="1:17" x14ac:dyDescent="0.25">
      <c r="A31" s="136" t="s">
        <v>236</v>
      </c>
    </row>
    <row r="33" spans="1:1" x14ac:dyDescent="0.25">
      <c r="A33" s="136" t="s">
        <v>205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42673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240</v>
      </c>
      <c r="J17" s="33"/>
      <c r="K17" s="34"/>
      <c r="L17" s="34"/>
    </row>
    <row r="18" spans="3:13" x14ac:dyDescent="0.25">
      <c r="C18" t="s">
        <v>767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769</v>
      </c>
      <c r="J20" t="s">
        <v>87</v>
      </c>
      <c r="M20" s="68" t="s">
        <v>187</v>
      </c>
    </row>
    <row r="21" spans="3:13" x14ac:dyDescent="0.25">
      <c r="C21" t="s">
        <v>770</v>
      </c>
      <c r="J21" s="21" t="s">
        <v>90</v>
      </c>
      <c r="K21" s="21" t="s">
        <v>91</v>
      </c>
      <c r="M21" s="68" t="s">
        <v>189</v>
      </c>
    </row>
    <row r="22" spans="3:13" x14ac:dyDescent="0.25">
      <c r="C22" t="s">
        <v>771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772</v>
      </c>
      <c r="J23" s="29" t="s">
        <v>95</v>
      </c>
      <c r="K23" s="21"/>
      <c r="M23" s="69">
        <v>-6</v>
      </c>
    </row>
    <row r="24" spans="3:13" x14ac:dyDescent="0.25">
      <c r="C24" t="s">
        <v>773</v>
      </c>
      <c r="J24" s="21" t="s">
        <v>108</v>
      </c>
      <c r="K24" s="21"/>
      <c r="M24" s="68" t="s">
        <v>110</v>
      </c>
    </row>
    <row r="25" spans="3:13" x14ac:dyDescent="0.25">
      <c r="C25" t="s">
        <v>774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C:\Users\stu\Documents\GitHub\eaglep3-reporting\EC\2016-10-30-refined-times.txt</v>
      </c>
    </row>
    <row r="27" spans="3:13" x14ac:dyDescent="0.25">
      <c r="J27" t="s">
        <v>206</v>
      </c>
      <c r="M27" s="68" t="str">
        <f>"C:\Users\stu\Documents\GitHub\eaglep3-reporting\EC\"&amp;TEXT(A2,"YYYY-MM-DD")&amp;"-Enforcements.txt"</f>
        <v>C:\Users\stu\Documents\GitHub\eaglep3-reporting\EC\2016-10-30-Enforcements.txt</v>
      </c>
    </row>
    <row r="28" spans="3:13" x14ac:dyDescent="0.25">
      <c r="J28" t="s">
        <v>207</v>
      </c>
      <c r="M28" s="106" t="str">
        <f>"C:\Users\stu\Documents\GitHub\eaglep3-reporting\EC\"&amp;TEXT(A2,"YYYY-MM-DD")&amp;"-Runs-Refined.txt"</f>
        <v>C:\Users\stu\Documents\GitHub\eaglep3-reporting\EC\2016-10-30-Runs-Refined.txt</v>
      </c>
    </row>
    <row r="29" spans="3:13" x14ac:dyDescent="0.25">
      <c r="J29" t="s">
        <v>208</v>
      </c>
      <c r="M29" s="106" t="str">
        <f>"C:\Users\stu\Documents\GitHub\eaglep3-reporting\EC\"&amp;TEXT(A2,"YYYY-MM-DD")&amp;"-Trips.txt"</f>
        <v>C:\Users\stu\Documents\GitHub\eaglep3-reporting\EC\2016-10-30-Trips.txt</v>
      </c>
    </row>
    <row r="30" spans="3:13" x14ac:dyDescent="0.25">
      <c r="J30" t="s">
        <v>209</v>
      </c>
      <c r="M30" s="106" t="str">
        <f>"C:\Users\stu\Documents\GitHub\eaglep3-reporting\EC\"&amp;TEXT(A2,"YYYY-MM-DD")&amp;"-Weather.txt"</f>
        <v>C:\Users\stu\Documents\GitHub\eaglep3-reporting\EC\2016-10-30-Weather.txt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2016-11-01T15:40:57Z</dcterms:modified>
</cp:coreProperties>
</file>