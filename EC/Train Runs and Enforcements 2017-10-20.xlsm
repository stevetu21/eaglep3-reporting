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Enforcements!$A$6:$AC$39</definedName>
    <definedName name="_xlnm._FilterDatabase" localSheetId="2" hidden="1">'Missing Trips'!$A$2:$J$26</definedName>
    <definedName name="_xlnm._FilterDatabase" localSheetId="0" hidden="1">'Train Runs'!$A$12:$AG$407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2" i="1" l="1"/>
  <c r="L202" i="1"/>
  <c r="M202" i="1"/>
  <c r="N202" i="1" s="1"/>
  <c r="V202" i="1"/>
  <c r="AA202" i="1"/>
  <c r="AB202" i="1"/>
  <c r="AC202" i="1"/>
  <c r="AD202" i="1"/>
  <c r="T202" i="1" s="1"/>
  <c r="AE202" i="1"/>
  <c r="AF202" i="1"/>
  <c r="AH202" i="1"/>
  <c r="AM202" i="1"/>
  <c r="AN202" i="1"/>
  <c r="AO202" i="1"/>
  <c r="K201" i="1"/>
  <c r="L201" i="1"/>
  <c r="M201" i="1"/>
  <c r="N201" i="1"/>
  <c r="V201" i="1"/>
  <c r="AA201" i="1"/>
  <c r="AB201" i="1"/>
  <c r="AC201" i="1"/>
  <c r="AD201" i="1"/>
  <c r="T201" i="1" s="1"/>
  <c r="AE201" i="1"/>
  <c r="AF201" i="1"/>
  <c r="AH201" i="1"/>
  <c r="AM201" i="1"/>
  <c r="AN201" i="1"/>
  <c r="AO201" i="1"/>
  <c r="K193" i="1"/>
  <c r="L193" i="1"/>
  <c r="M193" i="1"/>
  <c r="N193" i="1" s="1"/>
  <c r="V193" i="1"/>
  <c r="AA193" i="1"/>
  <c r="AB193" i="1"/>
  <c r="AC193" i="1"/>
  <c r="AD193" i="1"/>
  <c r="T193" i="1" s="1"/>
  <c r="AE193" i="1"/>
  <c r="AF193" i="1"/>
  <c r="AH193" i="1"/>
  <c r="AM193" i="1"/>
  <c r="AN193" i="1"/>
  <c r="AO193" i="1"/>
  <c r="K164" i="1"/>
  <c r="L164" i="1"/>
  <c r="M164" i="1"/>
  <c r="V164" i="1"/>
  <c r="Y164" i="1"/>
  <c r="Z164" i="1"/>
  <c r="AA164" i="1" s="1"/>
  <c r="AB164" i="1"/>
  <c r="AC164" i="1"/>
  <c r="AD164" i="1"/>
  <c r="T164" i="1" s="1"/>
  <c r="AE164" i="1"/>
  <c r="AF164" i="1"/>
  <c r="AG202" i="1"/>
  <c r="AG201" i="1"/>
  <c r="AG193" i="1"/>
  <c r="AG164" i="1"/>
  <c r="X202" i="1" l="1"/>
  <c r="U202" i="1"/>
  <c r="S202" i="1" s="1"/>
  <c r="AI202" i="1"/>
  <c r="W202" i="1"/>
  <c r="U201" i="1"/>
  <c r="S201" i="1" s="1"/>
  <c r="AI201" i="1"/>
  <c r="W201" i="1"/>
  <c r="AI193" i="1"/>
  <c r="U193" i="1"/>
  <c r="S193" i="1" s="1"/>
  <c r="W193" i="1"/>
  <c r="U164" i="1"/>
  <c r="W164" i="1"/>
  <c r="AH164" i="1"/>
  <c r="AI164" i="1"/>
  <c r="AM164" i="1"/>
  <c r="AN164" i="1"/>
  <c r="AO164" i="1"/>
  <c r="K161" i="1"/>
  <c r="L161" i="1"/>
  <c r="M161" i="1"/>
  <c r="N161" i="1"/>
  <c r="V161" i="1"/>
  <c r="S13" i="3" s="1"/>
  <c r="AA161" i="1"/>
  <c r="AB161" i="1"/>
  <c r="AC161" i="1"/>
  <c r="AD161" i="1"/>
  <c r="T161" i="1" s="1"/>
  <c r="AE161" i="1"/>
  <c r="R13" i="3" s="1"/>
  <c r="AF161" i="1"/>
  <c r="AH161" i="1"/>
  <c r="AM161" i="1"/>
  <c r="AN161" i="1"/>
  <c r="AO161" i="1"/>
  <c r="K153" i="1"/>
  <c r="M153" i="1"/>
  <c r="P153" i="1" s="1"/>
  <c r="V153" i="1"/>
  <c r="AA153" i="1"/>
  <c r="AB153" i="1"/>
  <c r="AC153" i="1"/>
  <c r="AD153" i="1"/>
  <c r="T153" i="1" s="1"/>
  <c r="AE153" i="1"/>
  <c r="AF153" i="1"/>
  <c r="AH153" i="1"/>
  <c r="AM153" i="1"/>
  <c r="AN153" i="1"/>
  <c r="AO153" i="1"/>
  <c r="K151" i="1"/>
  <c r="L151" i="1"/>
  <c r="M151" i="1"/>
  <c r="N151" i="1" s="1"/>
  <c r="V151" i="1"/>
  <c r="AA151" i="1"/>
  <c r="AB151" i="1"/>
  <c r="AC151" i="1"/>
  <c r="AD151" i="1"/>
  <c r="T151" i="1" s="1"/>
  <c r="AE151" i="1"/>
  <c r="AF151" i="1"/>
  <c r="AH151" i="1"/>
  <c r="AM151" i="1"/>
  <c r="AN151" i="1"/>
  <c r="AO151" i="1"/>
  <c r="K147" i="1"/>
  <c r="L147" i="1"/>
  <c r="M147" i="1"/>
  <c r="N147" i="1" s="1"/>
  <c r="V147" i="1"/>
  <c r="AA147" i="1"/>
  <c r="AB147" i="1"/>
  <c r="AC147" i="1"/>
  <c r="AD147" i="1"/>
  <c r="T147" i="1" s="1"/>
  <c r="AE147" i="1"/>
  <c r="AF147" i="1"/>
  <c r="AH147" i="1"/>
  <c r="AM147" i="1"/>
  <c r="AN147" i="1"/>
  <c r="AO147" i="1"/>
  <c r="K135" i="1"/>
  <c r="L135" i="1"/>
  <c r="M135" i="1"/>
  <c r="N135" i="1" s="1"/>
  <c r="V135" i="1"/>
  <c r="AA135" i="1"/>
  <c r="AB135" i="1"/>
  <c r="AC135" i="1"/>
  <c r="AD135" i="1"/>
  <c r="T135" i="1" s="1"/>
  <c r="AE135" i="1"/>
  <c r="AF135" i="1"/>
  <c r="AH135" i="1"/>
  <c r="AM135" i="1"/>
  <c r="AN135" i="1"/>
  <c r="AO135" i="1"/>
  <c r="K131" i="1"/>
  <c r="L131" i="1"/>
  <c r="M131" i="1"/>
  <c r="N131" i="1" s="1"/>
  <c r="V131" i="1"/>
  <c r="AA131" i="1"/>
  <c r="AB131" i="1"/>
  <c r="AC131" i="1"/>
  <c r="AD131" i="1"/>
  <c r="T131" i="1" s="1"/>
  <c r="AE131" i="1"/>
  <c r="AF131" i="1"/>
  <c r="AH131" i="1"/>
  <c r="AM131" i="1"/>
  <c r="AN131" i="1"/>
  <c r="AO131" i="1"/>
  <c r="K130" i="1"/>
  <c r="L130" i="1"/>
  <c r="M130" i="1"/>
  <c r="N130" i="1" s="1"/>
  <c r="V130" i="1"/>
  <c r="AA130" i="1"/>
  <c r="AB130" i="1"/>
  <c r="AC130" i="1"/>
  <c r="AD130" i="1"/>
  <c r="T130" i="1" s="1"/>
  <c r="AE130" i="1"/>
  <c r="AF130" i="1"/>
  <c r="AH130" i="1"/>
  <c r="AM130" i="1"/>
  <c r="AN130" i="1"/>
  <c r="AO130" i="1"/>
  <c r="K129" i="1"/>
  <c r="L129" i="1"/>
  <c r="M129" i="1"/>
  <c r="N129" i="1" s="1"/>
  <c r="V129" i="1"/>
  <c r="AA129" i="1"/>
  <c r="AB129" i="1"/>
  <c r="AC129" i="1"/>
  <c r="AD129" i="1"/>
  <c r="T129" i="1" s="1"/>
  <c r="AE129" i="1"/>
  <c r="AF129" i="1"/>
  <c r="AH129" i="1"/>
  <c r="AM129" i="1"/>
  <c r="AN129" i="1"/>
  <c r="AO129" i="1"/>
  <c r="Y112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T58" i="1"/>
  <c r="V58" i="1"/>
  <c r="Y58" i="1"/>
  <c r="Z58" i="1"/>
  <c r="AB58" i="1"/>
  <c r="AC58" i="1"/>
  <c r="AD58" i="1"/>
  <c r="X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X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X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X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T68" i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AA69" i="1" s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X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S15" i="3" s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S12" i="3" s="1"/>
  <c r="Y86" i="1"/>
  <c r="AA86" i="1" s="1"/>
  <c r="Z86" i="1"/>
  <c r="AB86" i="1"/>
  <c r="AC86" i="1"/>
  <c r="AD86" i="1"/>
  <c r="AE86" i="1"/>
  <c r="R12" i="3" s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S14" i="3" s="1"/>
  <c r="Y93" i="1"/>
  <c r="Z93" i="1"/>
  <c r="AB93" i="1"/>
  <c r="AC93" i="1"/>
  <c r="AD93" i="1"/>
  <c r="AE93" i="1"/>
  <c r="R14" i="3" s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S18" i="3" s="1"/>
  <c r="Y98" i="1"/>
  <c r="Z98" i="1"/>
  <c r="AB98" i="1"/>
  <c r="AC98" i="1"/>
  <c r="AD98" i="1"/>
  <c r="AE98" i="1"/>
  <c r="R18" i="3" s="1"/>
  <c r="AF98" i="1"/>
  <c r="AH98" i="1"/>
  <c r="AM98" i="1"/>
  <c r="AN98" i="1"/>
  <c r="AO98" i="1"/>
  <c r="K99" i="1"/>
  <c r="L99" i="1"/>
  <c r="M99" i="1"/>
  <c r="N99" i="1" s="1"/>
  <c r="V99" i="1"/>
  <c r="S7" i="3" s="1"/>
  <c r="Y99" i="1"/>
  <c r="Z99" i="1"/>
  <c r="AB99" i="1"/>
  <c r="AC99" i="1"/>
  <c r="AD99" i="1"/>
  <c r="AE99" i="1"/>
  <c r="R7" i="3" s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S10" i="3" s="1"/>
  <c r="Y102" i="1"/>
  <c r="Z102" i="1"/>
  <c r="AB102" i="1"/>
  <c r="AC102" i="1"/>
  <c r="AD102" i="1"/>
  <c r="AE102" i="1"/>
  <c r="R10" i="3" s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S16" i="3" s="1"/>
  <c r="Z112" i="1"/>
  <c r="AB112" i="1"/>
  <c r="AC112" i="1"/>
  <c r="AD112" i="1"/>
  <c r="AE112" i="1"/>
  <c r="R16" i="3" s="1"/>
  <c r="AF112" i="1"/>
  <c r="AH112" i="1"/>
  <c r="AM112" i="1"/>
  <c r="AN112" i="1"/>
  <c r="AO112" i="1"/>
  <c r="K113" i="1"/>
  <c r="L113" i="1"/>
  <c r="M113" i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P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P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6" i="1"/>
  <c r="L136" i="1"/>
  <c r="M136" i="1"/>
  <c r="N136" i="1" s="1"/>
  <c r="V136" i="1"/>
  <c r="S9" i="3" s="1"/>
  <c r="Y136" i="1"/>
  <c r="Z136" i="1"/>
  <c r="AB136" i="1"/>
  <c r="AC136" i="1"/>
  <c r="AD136" i="1"/>
  <c r="AE136" i="1"/>
  <c r="R9" i="3" s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2" i="1"/>
  <c r="L152" i="1"/>
  <c r="M152" i="1"/>
  <c r="P152" i="1" s="1"/>
  <c r="V152" i="1"/>
  <c r="S8" i="3" s="1"/>
  <c r="Y152" i="1"/>
  <c r="Z152" i="1"/>
  <c r="AB152" i="1"/>
  <c r="AC152" i="1"/>
  <c r="AD152" i="1"/>
  <c r="T152" i="1" s="1"/>
  <c r="AE152" i="1"/>
  <c r="R11" i="3" s="1"/>
  <c r="AF152" i="1"/>
  <c r="AH152" i="1"/>
  <c r="AM152" i="1"/>
  <c r="AN152" i="1"/>
  <c r="AO152" i="1"/>
  <c r="K154" i="1"/>
  <c r="L154" i="1"/>
  <c r="M154" i="1"/>
  <c r="N154" i="1" s="1"/>
  <c r="V154" i="1"/>
  <c r="Y154" i="1"/>
  <c r="Z154" i="1"/>
  <c r="AB154" i="1"/>
  <c r="AC154" i="1"/>
  <c r="AD154" i="1"/>
  <c r="X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AO159" i="1"/>
  <c r="K160" i="1"/>
  <c r="L160" i="1"/>
  <c r="M160" i="1"/>
  <c r="N160" i="1" s="1"/>
  <c r="V160" i="1"/>
  <c r="Y160" i="1"/>
  <c r="Z160" i="1"/>
  <c r="AA160" i="1" s="1"/>
  <c r="AB160" i="1"/>
  <c r="AC160" i="1"/>
  <c r="AD160" i="1"/>
  <c r="T160" i="1" s="1"/>
  <c r="AE160" i="1"/>
  <c r="AF160" i="1"/>
  <c r="AH160" i="1"/>
  <c r="AM160" i="1"/>
  <c r="AN160" i="1"/>
  <c r="AO160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2" i="1"/>
  <c r="AM162" i="1"/>
  <c r="AN162" i="1"/>
  <c r="AO162" i="1"/>
  <c r="K215" i="1"/>
  <c r="L215" i="1"/>
  <c r="M215" i="1"/>
  <c r="N215" i="1" s="1"/>
  <c r="V215" i="1"/>
  <c r="S28" i="3" s="1"/>
  <c r="Y215" i="1"/>
  <c r="Z215" i="1"/>
  <c r="AB215" i="1"/>
  <c r="AC215" i="1"/>
  <c r="AD215" i="1"/>
  <c r="AE215" i="1"/>
  <c r="R28" i="3" s="1"/>
  <c r="AF215" i="1"/>
  <c r="AH163" i="1"/>
  <c r="AM163" i="1"/>
  <c r="AN163" i="1"/>
  <c r="AO163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165" i="1"/>
  <c r="AM165" i="1"/>
  <c r="AN165" i="1"/>
  <c r="AO165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6" i="1"/>
  <c r="AM166" i="1"/>
  <c r="AN166" i="1"/>
  <c r="AO166" i="1"/>
  <c r="K219" i="1"/>
  <c r="L219" i="1"/>
  <c r="M219" i="1"/>
  <c r="N219" i="1" s="1"/>
  <c r="V219" i="1"/>
  <c r="Y219" i="1"/>
  <c r="AA219" i="1" s="1"/>
  <c r="Z219" i="1"/>
  <c r="AB219" i="1"/>
  <c r="AC219" i="1"/>
  <c r="AD219" i="1"/>
  <c r="AE219" i="1"/>
  <c r="AF219" i="1"/>
  <c r="AH167" i="1"/>
  <c r="AM167" i="1"/>
  <c r="AN167" i="1"/>
  <c r="AO167" i="1"/>
  <c r="K220" i="1"/>
  <c r="L220" i="1"/>
  <c r="M220" i="1"/>
  <c r="N220" i="1" s="1"/>
  <c r="V220" i="1"/>
  <c r="X220" i="1"/>
  <c r="Y220" i="1"/>
  <c r="Z220" i="1"/>
  <c r="AB220" i="1"/>
  <c r="AC220" i="1"/>
  <c r="AD220" i="1"/>
  <c r="T220" i="1" s="1"/>
  <c r="AE220" i="1"/>
  <c r="AF220" i="1"/>
  <c r="AH168" i="1"/>
  <c r="AM168" i="1"/>
  <c r="AN168" i="1"/>
  <c r="AO168" i="1"/>
  <c r="K221" i="1"/>
  <c r="L221" i="1"/>
  <c r="M221" i="1"/>
  <c r="N221" i="1" s="1"/>
  <c r="V221" i="1"/>
  <c r="X221" i="1"/>
  <c r="Y221" i="1"/>
  <c r="Z221" i="1"/>
  <c r="AB221" i="1"/>
  <c r="AC221" i="1"/>
  <c r="AD221" i="1"/>
  <c r="T221" i="1" s="1"/>
  <c r="AE221" i="1"/>
  <c r="AF221" i="1"/>
  <c r="AH169" i="1"/>
  <c r="AM169" i="1"/>
  <c r="AN169" i="1"/>
  <c r="AO169" i="1"/>
  <c r="K222" i="1"/>
  <c r="L222" i="1"/>
  <c r="M222" i="1"/>
  <c r="N222" i="1" s="1"/>
  <c r="V222" i="1"/>
  <c r="Y222" i="1"/>
  <c r="AA222" i="1" s="1"/>
  <c r="Z222" i="1"/>
  <c r="AB222" i="1"/>
  <c r="AC222" i="1"/>
  <c r="AD222" i="1"/>
  <c r="T222" i="1" s="1"/>
  <c r="AE222" i="1"/>
  <c r="AF222" i="1"/>
  <c r="AH170" i="1"/>
  <c r="AM170" i="1"/>
  <c r="AN170" i="1"/>
  <c r="AO170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1" i="1"/>
  <c r="AM171" i="1"/>
  <c r="AN171" i="1"/>
  <c r="AO171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2" i="1"/>
  <c r="AM172" i="1"/>
  <c r="AN172" i="1"/>
  <c r="AO172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3" i="1"/>
  <c r="AM173" i="1"/>
  <c r="AN173" i="1"/>
  <c r="AO173" i="1"/>
  <c r="K233" i="1"/>
  <c r="L233" i="1"/>
  <c r="M233" i="1"/>
  <c r="N233" i="1" s="1"/>
  <c r="V233" i="1"/>
  <c r="Y233" i="1"/>
  <c r="AA233" i="1" s="1"/>
  <c r="Z233" i="1"/>
  <c r="AB233" i="1"/>
  <c r="AC233" i="1"/>
  <c r="AD233" i="1"/>
  <c r="T233" i="1" s="1"/>
  <c r="AE233" i="1"/>
  <c r="AF233" i="1"/>
  <c r="AH174" i="1"/>
  <c r="AM174" i="1"/>
  <c r="AN174" i="1"/>
  <c r="AO174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5" i="1"/>
  <c r="AM175" i="1"/>
  <c r="AN175" i="1"/>
  <c r="AO175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76" i="1"/>
  <c r="AM176" i="1"/>
  <c r="AN176" i="1"/>
  <c r="AO176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77" i="1"/>
  <c r="AM177" i="1"/>
  <c r="AN177" i="1"/>
  <c r="AO177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78" i="1"/>
  <c r="AM178" i="1"/>
  <c r="AN178" i="1"/>
  <c r="AO178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79" i="1"/>
  <c r="AM179" i="1"/>
  <c r="AN179" i="1"/>
  <c r="AO179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0" i="1"/>
  <c r="AM180" i="1"/>
  <c r="AN180" i="1"/>
  <c r="AO180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1" i="1"/>
  <c r="AM181" i="1"/>
  <c r="AN181" i="1"/>
  <c r="AO181" i="1"/>
  <c r="K241" i="1"/>
  <c r="L241" i="1"/>
  <c r="M241" i="1"/>
  <c r="N241" i="1" s="1"/>
  <c r="V241" i="1"/>
  <c r="S30" i="3" s="1"/>
  <c r="Y241" i="1"/>
  <c r="Z241" i="1"/>
  <c r="AB241" i="1"/>
  <c r="AC241" i="1"/>
  <c r="AD241" i="1"/>
  <c r="T241" i="1" s="1"/>
  <c r="AE241" i="1"/>
  <c r="R30" i="3" s="1"/>
  <c r="AF241" i="1"/>
  <c r="AH182" i="1"/>
  <c r="AM182" i="1"/>
  <c r="AN182" i="1"/>
  <c r="AO182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3" i="1"/>
  <c r="AM183" i="1"/>
  <c r="AN183" i="1"/>
  <c r="AO183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84" i="1"/>
  <c r="AM184" i="1"/>
  <c r="AN184" i="1"/>
  <c r="AO184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5" i="1"/>
  <c r="AM185" i="1"/>
  <c r="AN185" i="1"/>
  <c r="AO185" i="1"/>
  <c r="K244" i="1"/>
  <c r="L244" i="1"/>
  <c r="M244" i="1"/>
  <c r="N244" i="1" s="1"/>
  <c r="V244" i="1"/>
  <c r="Y244" i="1"/>
  <c r="Z244" i="1"/>
  <c r="AB244" i="1"/>
  <c r="AC244" i="1"/>
  <c r="AD244" i="1"/>
  <c r="X244" i="1" s="1"/>
  <c r="AE244" i="1"/>
  <c r="AF244" i="1"/>
  <c r="AH186" i="1"/>
  <c r="AM186" i="1"/>
  <c r="AN186" i="1"/>
  <c r="AO186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87" i="1"/>
  <c r="AM187" i="1"/>
  <c r="AN187" i="1"/>
  <c r="AO18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8" i="1"/>
  <c r="AM188" i="1"/>
  <c r="AN188" i="1"/>
  <c r="AO18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9" i="1"/>
  <c r="AM189" i="1"/>
  <c r="AN189" i="1"/>
  <c r="AO189" i="1"/>
  <c r="AH190" i="1"/>
  <c r="AM190" i="1"/>
  <c r="AN190" i="1"/>
  <c r="AO190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191" i="1"/>
  <c r="AM191" i="1"/>
  <c r="AN191" i="1"/>
  <c r="AO19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2" i="1"/>
  <c r="AM192" i="1"/>
  <c r="AN192" i="1"/>
  <c r="AO19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4" i="1"/>
  <c r="AM194" i="1"/>
  <c r="AN194" i="1"/>
  <c r="AO194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5" i="1"/>
  <c r="AM195" i="1"/>
  <c r="AN195" i="1"/>
  <c r="AO19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6" i="1"/>
  <c r="AM196" i="1"/>
  <c r="AN196" i="1"/>
  <c r="AO196" i="1"/>
  <c r="K170" i="1"/>
  <c r="L170" i="1"/>
  <c r="M170" i="1"/>
  <c r="V170" i="1"/>
  <c r="Y170" i="1"/>
  <c r="Z170" i="1"/>
  <c r="AB170" i="1"/>
  <c r="AC170" i="1"/>
  <c r="AD170" i="1"/>
  <c r="T170" i="1" s="1"/>
  <c r="AE170" i="1"/>
  <c r="AF170" i="1"/>
  <c r="AH197" i="1"/>
  <c r="AM197" i="1"/>
  <c r="AN197" i="1"/>
  <c r="AO19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8" i="1"/>
  <c r="AM198" i="1"/>
  <c r="AN198" i="1"/>
  <c r="AO198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9" i="1"/>
  <c r="AM199" i="1"/>
  <c r="AN199" i="1"/>
  <c r="AO199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200" i="1"/>
  <c r="AM200" i="1"/>
  <c r="AN200" i="1"/>
  <c r="AO200" i="1"/>
  <c r="K174" i="1"/>
  <c r="L174" i="1"/>
  <c r="M174" i="1"/>
  <c r="V174" i="1"/>
  <c r="Y174" i="1"/>
  <c r="Z174" i="1"/>
  <c r="AB174" i="1"/>
  <c r="AC174" i="1"/>
  <c r="AD174" i="1"/>
  <c r="AE174" i="1"/>
  <c r="AF174" i="1"/>
  <c r="AH203" i="1"/>
  <c r="AM203" i="1"/>
  <c r="AN203" i="1"/>
  <c r="AO203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4" i="1"/>
  <c r="AM204" i="1"/>
  <c r="AN204" i="1"/>
  <c r="AO204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5" i="1"/>
  <c r="AM205" i="1"/>
  <c r="AN205" i="1"/>
  <c r="AO20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6" i="1"/>
  <c r="AM206" i="1"/>
  <c r="AN206" i="1"/>
  <c r="AO20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7" i="1"/>
  <c r="AM207" i="1"/>
  <c r="AN207" i="1"/>
  <c r="AO207" i="1"/>
  <c r="K179" i="1"/>
  <c r="L179" i="1"/>
  <c r="M179" i="1"/>
  <c r="N179" i="1" s="1"/>
  <c r="V179" i="1"/>
  <c r="S20" i="3" s="1"/>
  <c r="Y179" i="1"/>
  <c r="Z179" i="1"/>
  <c r="AB179" i="1"/>
  <c r="AC179" i="1"/>
  <c r="AD179" i="1"/>
  <c r="T179" i="1" s="1"/>
  <c r="AE179" i="1"/>
  <c r="R20" i="3" s="1"/>
  <c r="AF179" i="1"/>
  <c r="AH208" i="1"/>
  <c r="AM208" i="1"/>
  <c r="AN208" i="1"/>
  <c r="AO208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AH209" i="1"/>
  <c r="AM209" i="1"/>
  <c r="AN209" i="1"/>
  <c r="AO209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0" i="1"/>
  <c r="AM210" i="1"/>
  <c r="AN210" i="1"/>
  <c r="AO210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1" i="1"/>
  <c r="AM211" i="1"/>
  <c r="AN211" i="1"/>
  <c r="AO21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2" i="1"/>
  <c r="AM212" i="1"/>
  <c r="AN212" i="1"/>
  <c r="AO212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3" i="1"/>
  <c r="AM213" i="1"/>
  <c r="AN213" i="1"/>
  <c r="AO213" i="1"/>
  <c r="K185" i="1"/>
  <c r="L185" i="1"/>
  <c r="M185" i="1"/>
  <c r="N185" i="1" s="1"/>
  <c r="V185" i="1"/>
  <c r="Y185" i="1"/>
  <c r="AA185" i="1" s="1"/>
  <c r="Z185" i="1"/>
  <c r="AB185" i="1"/>
  <c r="AC185" i="1"/>
  <c r="AD185" i="1"/>
  <c r="AE185" i="1"/>
  <c r="AF185" i="1"/>
  <c r="AH214" i="1"/>
  <c r="AM214" i="1"/>
  <c r="AN214" i="1"/>
  <c r="AO214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5" i="1"/>
  <c r="AM215" i="1"/>
  <c r="AN215" i="1"/>
  <c r="AO215" i="1"/>
  <c r="K187" i="1"/>
  <c r="L187" i="1"/>
  <c r="M187" i="1"/>
  <c r="N187" i="1" s="1"/>
  <c r="V187" i="1"/>
  <c r="Y187" i="1"/>
  <c r="Z187" i="1"/>
  <c r="AA187" i="1" s="1"/>
  <c r="AB187" i="1"/>
  <c r="AC187" i="1"/>
  <c r="AD187" i="1"/>
  <c r="AE187" i="1"/>
  <c r="AF187" i="1"/>
  <c r="AH216" i="1"/>
  <c r="AM216" i="1"/>
  <c r="AN216" i="1"/>
  <c r="AO216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7" i="1"/>
  <c r="AM217" i="1"/>
  <c r="AN217" i="1"/>
  <c r="AO217" i="1"/>
  <c r="K189" i="1"/>
  <c r="L189" i="1"/>
  <c r="M189" i="1"/>
  <c r="N189" i="1"/>
  <c r="V189" i="1"/>
  <c r="Y189" i="1"/>
  <c r="Z189" i="1"/>
  <c r="AB189" i="1"/>
  <c r="AC189" i="1"/>
  <c r="AD189" i="1"/>
  <c r="AE189" i="1"/>
  <c r="AF189" i="1"/>
  <c r="AH218" i="1"/>
  <c r="AM218" i="1"/>
  <c r="AN218" i="1"/>
  <c r="AO218" i="1"/>
  <c r="K190" i="1"/>
  <c r="L190" i="1"/>
  <c r="M190" i="1"/>
  <c r="N190" i="1"/>
  <c r="V190" i="1"/>
  <c r="S25" i="3" s="1"/>
  <c r="Y190" i="1"/>
  <c r="Z190" i="1"/>
  <c r="AB190" i="1"/>
  <c r="AC190" i="1"/>
  <c r="AD190" i="1"/>
  <c r="AE190" i="1"/>
  <c r="R25" i="3" s="1"/>
  <c r="AF190" i="1"/>
  <c r="AH219" i="1"/>
  <c r="AM219" i="1"/>
  <c r="AN219" i="1"/>
  <c r="AO21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0" i="1"/>
  <c r="AM220" i="1"/>
  <c r="AN220" i="1"/>
  <c r="AO220" i="1"/>
  <c r="K192" i="1"/>
  <c r="L192" i="1"/>
  <c r="M192" i="1"/>
  <c r="N192" i="1" s="1"/>
  <c r="V192" i="1"/>
  <c r="Y192" i="1"/>
  <c r="Z192" i="1"/>
  <c r="AB192" i="1"/>
  <c r="AC192" i="1"/>
  <c r="AD192" i="1"/>
  <c r="X193" i="1" s="1"/>
  <c r="AE192" i="1"/>
  <c r="AF192" i="1"/>
  <c r="AH221" i="1"/>
  <c r="AM221" i="1"/>
  <c r="AN221" i="1"/>
  <c r="AO221" i="1"/>
  <c r="K194" i="1"/>
  <c r="L194" i="1"/>
  <c r="M194" i="1"/>
  <c r="N194" i="1" s="1"/>
  <c r="V194" i="1"/>
  <c r="Y194" i="1"/>
  <c r="Z194" i="1"/>
  <c r="AA194" i="1" s="1"/>
  <c r="AB194" i="1"/>
  <c r="AC194" i="1"/>
  <c r="AD194" i="1"/>
  <c r="X194" i="1" s="1"/>
  <c r="AE194" i="1"/>
  <c r="AF194" i="1"/>
  <c r="AH222" i="1"/>
  <c r="AM222" i="1"/>
  <c r="AN222" i="1"/>
  <c r="AO222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3" i="1"/>
  <c r="AM223" i="1"/>
  <c r="AN223" i="1"/>
  <c r="AO223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4" i="1"/>
  <c r="AM224" i="1"/>
  <c r="AN224" i="1"/>
  <c r="AO224" i="1"/>
  <c r="K197" i="1"/>
  <c r="L197" i="1"/>
  <c r="M197" i="1"/>
  <c r="N197" i="1" s="1"/>
  <c r="V197" i="1"/>
  <c r="Y197" i="1"/>
  <c r="Z197" i="1"/>
  <c r="AA197" i="1" s="1"/>
  <c r="AB197" i="1"/>
  <c r="AC197" i="1"/>
  <c r="AD197" i="1"/>
  <c r="AE197" i="1"/>
  <c r="AF197" i="1"/>
  <c r="AH225" i="1"/>
  <c r="AM225" i="1"/>
  <c r="AN225" i="1"/>
  <c r="AO225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6" i="1"/>
  <c r="AM226" i="1"/>
  <c r="AN226" i="1"/>
  <c r="AO226" i="1"/>
  <c r="K199" i="1"/>
  <c r="L199" i="1"/>
  <c r="M199" i="1"/>
  <c r="N199" i="1"/>
  <c r="V199" i="1"/>
  <c r="S22" i="3" s="1"/>
  <c r="Y199" i="1"/>
  <c r="Z199" i="1"/>
  <c r="AB199" i="1"/>
  <c r="AC199" i="1"/>
  <c r="AD199" i="1"/>
  <c r="AE199" i="1"/>
  <c r="R22" i="3" s="1"/>
  <c r="AF199" i="1"/>
  <c r="AH227" i="1"/>
  <c r="AM227" i="1"/>
  <c r="AN227" i="1"/>
  <c r="AO227" i="1"/>
  <c r="K200" i="1"/>
  <c r="L200" i="1"/>
  <c r="M200" i="1"/>
  <c r="N200" i="1" s="1"/>
  <c r="V200" i="1"/>
  <c r="Y200" i="1"/>
  <c r="Z200" i="1"/>
  <c r="AB200" i="1"/>
  <c r="AC200" i="1"/>
  <c r="AD200" i="1"/>
  <c r="X201" i="1" s="1"/>
  <c r="AE200" i="1"/>
  <c r="AF200" i="1"/>
  <c r="AH228" i="1"/>
  <c r="AM228" i="1"/>
  <c r="AN228" i="1"/>
  <c r="AO228" i="1"/>
  <c r="K203" i="1"/>
  <c r="L203" i="1"/>
  <c r="M203" i="1"/>
  <c r="N203" i="1" s="1"/>
  <c r="V203" i="1"/>
  <c r="Y203" i="1"/>
  <c r="Z203" i="1"/>
  <c r="AB203" i="1"/>
  <c r="AC203" i="1"/>
  <c r="AD203" i="1"/>
  <c r="X203" i="1" s="1"/>
  <c r="AE203" i="1"/>
  <c r="AF203" i="1"/>
  <c r="AH229" i="1"/>
  <c r="AM229" i="1"/>
  <c r="AN229" i="1"/>
  <c r="AO229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0" i="1"/>
  <c r="AM230" i="1"/>
  <c r="AN230" i="1"/>
  <c r="AO230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1" i="1"/>
  <c r="AM231" i="1"/>
  <c r="AN231" i="1"/>
  <c r="AO231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2" i="1"/>
  <c r="AM232" i="1"/>
  <c r="AN232" i="1"/>
  <c r="AO232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33" i="1"/>
  <c r="AM233" i="1"/>
  <c r="AN233" i="1"/>
  <c r="AO233" i="1"/>
  <c r="K208" i="1"/>
  <c r="L208" i="1"/>
  <c r="M208" i="1"/>
  <c r="N208" i="1" s="1"/>
  <c r="V208" i="1"/>
  <c r="S27" i="3" s="1"/>
  <c r="Y208" i="1"/>
  <c r="Z208" i="1"/>
  <c r="AB208" i="1"/>
  <c r="AC208" i="1"/>
  <c r="AD208" i="1"/>
  <c r="AE208" i="1"/>
  <c r="R27" i="3" s="1"/>
  <c r="AF208" i="1"/>
  <c r="AH234" i="1"/>
  <c r="AM234" i="1"/>
  <c r="AN234" i="1"/>
  <c r="AO234" i="1"/>
  <c r="K209" i="1"/>
  <c r="L209" i="1"/>
  <c r="M209" i="1"/>
  <c r="N209" i="1" s="1"/>
  <c r="V209" i="1"/>
  <c r="Y209" i="1"/>
  <c r="Z209" i="1"/>
  <c r="AA209" i="1" s="1"/>
  <c r="AB209" i="1"/>
  <c r="AC209" i="1"/>
  <c r="AD209" i="1"/>
  <c r="AE209" i="1"/>
  <c r="AF209" i="1"/>
  <c r="AH235" i="1"/>
  <c r="AM235" i="1"/>
  <c r="AN235" i="1"/>
  <c r="AO235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36" i="1"/>
  <c r="AM236" i="1"/>
  <c r="AN236" i="1"/>
  <c r="AO236" i="1"/>
  <c r="K211" i="1"/>
  <c r="L211" i="1"/>
  <c r="M211" i="1"/>
  <c r="N211" i="1" s="1"/>
  <c r="V211" i="1"/>
  <c r="S24" i="3" s="1"/>
  <c r="Y211" i="1"/>
  <c r="AA211" i="1" s="1"/>
  <c r="Z211" i="1"/>
  <c r="AB211" i="1"/>
  <c r="AC211" i="1"/>
  <c r="AD211" i="1"/>
  <c r="AE211" i="1"/>
  <c r="R24" i="3" s="1"/>
  <c r="AF211" i="1"/>
  <c r="AH237" i="1"/>
  <c r="AM237" i="1"/>
  <c r="AN237" i="1"/>
  <c r="AO237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238" i="1"/>
  <c r="AM238" i="1"/>
  <c r="AN238" i="1"/>
  <c r="AO238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239" i="1"/>
  <c r="AM239" i="1"/>
  <c r="AN239" i="1"/>
  <c r="AO239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40" i="1"/>
  <c r="AM240" i="1"/>
  <c r="AN240" i="1"/>
  <c r="AO240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241" i="1"/>
  <c r="AM241" i="1"/>
  <c r="AN241" i="1"/>
  <c r="AO241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42" i="1"/>
  <c r="AM242" i="1"/>
  <c r="AN242" i="1"/>
  <c r="AO242" i="1"/>
  <c r="K230" i="1"/>
  <c r="L230" i="1"/>
  <c r="M230" i="1"/>
  <c r="N230" i="1" s="1"/>
  <c r="V230" i="1"/>
  <c r="Y230" i="1"/>
  <c r="Z230" i="1"/>
  <c r="AA230" i="1" s="1"/>
  <c r="AB230" i="1"/>
  <c r="AC230" i="1"/>
  <c r="AD230" i="1"/>
  <c r="AE230" i="1"/>
  <c r="AF230" i="1"/>
  <c r="AH243" i="1"/>
  <c r="AM243" i="1"/>
  <c r="AN243" i="1"/>
  <c r="AO243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244" i="1"/>
  <c r="AM244" i="1"/>
  <c r="AN244" i="1"/>
  <c r="AO244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245" i="1"/>
  <c r="AM245" i="1"/>
  <c r="AN245" i="1"/>
  <c r="AO245" i="1"/>
  <c r="M28" i="3"/>
  <c r="U28" i="3"/>
  <c r="T28" i="3" s="1"/>
  <c r="V28" i="3"/>
  <c r="X28" i="3"/>
  <c r="M17" i="3"/>
  <c r="U17" i="3"/>
  <c r="AC17" i="3" s="1"/>
  <c r="V17" i="3"/>
  <c r="X17" i="3"/>
  <c r="M30" i="3"/>
  <c r="U30" i="3"/>
  <c r="AD30" i="3" s="1"/>
  <c r="V30" i="3"/>
  <c r="X30" i="3"/>
  <c r="M20" i="3"/>
  <c r="U20" i="3"/>
  <c r="AD20" i="3" s="1"/>
  <c r="V20" i="3"/>
  <c r="X20" i="3"/>
  <c r="M19" i="3"/>
  <c r="U19" i="3"/>
  <c r="T19" i="3" s="1"/>
  <c r="V19" i="3"/>
  <c r="X19" i="3"/>
  <c r="M23" i="3"/>
  <c r="U23" i="3"/>
  <c r="V23" i="3"/>
  <c r="X23" i="3"/>
  <c r="M15" i="3"/>
  <c r="R15" i="3"/>
  <c r="U15" i="3"/>
  <c r="AD15" i="3" s="1"/>
  <c r="V15" i="3"/>
  <c r="X15" i="3"/>
  <c r="M14" i="3"/>
  <c r="U14" i="3"/>
  <c r="T14" i="3" s="1"/>
  <c r="V14" i="3"/>
  <c r="X14" i="3"/>
  <c r="M12" i="3"/>
  <c r="U12" i="3"/>
  <c r="AD12" i="3" s="1"/>
  <c r="V12" i="3"/>
  <c r="X12" i="3"/>
  <c r="M7" i="3"/>
  <c r="U7" i="3"/>
  <c r="V7" i="3"/>
  <c r="X7" i="3"/>
  <c r="M25" i="3"/>
  <c r="U25" i="3"/>
  <c r="V25" i="3"/>
  <c r="X25" i="3"/>
  <c r="M18" i="3"/>
  <c r="U18" i="3"/>
  <c r="T18" i="3" s="1"/>
  <c r="V18" i="3"/>
  <c r="X18" i="3"/>
  <c r="M10" i="3"/>
  <c r="U10" i="3"/>
  <c r="V10" i="3"/>
  <c r="X10" i="3"/>
  <c r="M16" i="3"/>
  <c r="U16" i="3"/>
  <c r="AD16" i="3" s="1"/>
  <c r="V16" i="3"/>
  <c r="X16" i="3"/>
  <c r="M22" i="3"/>
  <c r="U22" i="3"/>
  <c r="T22" i="3" s="1"/>
  <c r="V22" i="3"/>
  <c r="X22" i="3"/>
  <c r="M21" i="3"/>
  <c r="R21" i="3"/>
  <c r="S21" i="3"/>
  <c r="U21" i="3"/>
  <c r="T21" i="3" s="1"/>
  <c r="V21" i="3"/>
  <c r="X21" i="3"/>
  <c r="M26" i="3"/>
  <c r="R26" i="3"/>
  <c r="S26" i="3"/>
  <c r="U26" i="3"/>
  <c r="AD26" i="3" s="1"/>
  <c r="V26" i="3"/>
  <c r="X26" i="3"/>
  <c r="M9" i="3"/>
  <c r="U9" i="3"/>
  <c r="V9" i="3"/>
  <c r="X9" i="3"/>
  <c r="M27" i="3"/>
  <c r="U27" i="3"/>
  <c r="AD27" i="3" s="1"/>
  <c r="V27" i="3"/>
  <c r="X27" i="3"/>
  <c r="M24" i="3"/>
  <c r="U24" i="3"/>
  <c r="T24" i="3" s="1"/>
  <c r="V24" i="3"/>
  <c r="X24" i="3"/>
  <c r="M8" i="3"/>
  <c r="U8" i="3"/>
  <c r="V8" i="3"/>
  <c r="X8" i="3"/>
  <c r="M11" i="3"/>
  <c r="U11" i="3"/>
  <c r="AD11" i="3" s="1"/>
  <c r="V11" i="3"/>
  <c r="X11" i="3"/>
  <c r="M13" i="3"/>
  <c r="U13" i="3"/>
  <c r="T13" i="3" s="1"/>
  <c r="V13" i="3"/>
  <c r="X13" i="3"/>
  <c r="AG161" i="1"/>
  <c r="AG153" i="1"/>
  <c r="AG151" i="1"/>
  <c r="AG147" i="1"/>
  <c r="AG135" i="1"/>
  <c r="AG131" i="1"/>
  <c r="AG130" i="1"/>
  <c r="AG129" i="1"/>
  <c r="AG16" i="1"/>
  <c r="AG24" i="1"/>
  <c r="AG32" i="1"/>
  <c r="AG40" i="1"/>
  <c r="AG17" i="1"/>
  <c r="AG25" i="1"/>
  <c r="AG33" i="1"/>
  <c r="AG41" i="1"/>
  <c r="AG49" i="1"/>
  <c r="AG58" i="1"/>
  <c r="AG74" i="1"/>
  <c r="AG78" i="1"/>
  <c r="AG82" i="1"/>
  <c r="AG86" i="1"/>
  <c r="AG61" i="1"/>
  <c r="AG46" i="1"/>
  <c r="AG63" i="1"/>
  <c r="AG56" i="1"/>
  <c r="AG91" i="1"/>
  <c r="AG99" i="1"/>
  <c r="AG107" i="1"/>
  <c r="AG115" i="1"/>
  <c r="AG123" i="1"/>
  <c r="AG134" i="1"/>
  <c r="AG88" i="1"/>
  <c r="AG96" i="1"/>
  <c r="AG104" i="1"/>
  <c r="AG112" i="1"/>
  <c r="AG120" i="1"/>
  <c r="AG128" i="1"/>
  <c r="AG140" i="1"/>
  <c r="AG157" i="1"/>
  <c r="AG233" i="1"/>
  <c r="AG156" i="1"/>
  <c r="AG225" i="1"/>
  <c r="AG215" i="1"/>
  <c r="AG238" i="1"/>
  <c r="AG169" i="1"/>
  <c r="AG229" i="1"/>
  <c r="AG141" i="1"/>
  <c r="AG178" i="1"/>
  <c r="AG185" i="1"/>
  <c r="AG189" i="1"/>
  <c r="AG194" i="1"/>
  <c r="AG198" i="1"/>
  <c r="AG204" i="1"/>
  <c r="AG208" i="1"/>
  <c r="AG212" i="1"/>
  <c r="AG149" i="1"/>
  <c r="AG236" i="1"/>
  <c r="AG167" i="1"/>
  <c r="AG177" i="1"/>
  <c r="AG235" i="1"/>
  <c r="AG166" i="1"/>
  <c r="AG26" i="1"/>
  <c r="AG34" i="1"/>
  <c r="AG42" i="1"/>
  <c r="AG27" i="1"/>
  <c r="AG35" i="1"/>
  <c r="AG43" i="1"/>
  <c r="AG62" i="1"/>
  <c r="AG75" i="1"/>
  <c r="AG83" i="1"/>
  <c r="AG48" i="1"/>
  <c r="AG50" i="1"/>
  <c r="AG67" i="1"/>
  <c r="AG93" i="1"/>
  <c r="AG101" i="1"/>
  <c r="AG117" i="1"/>
  <c r="AG137" i="1"/>
  <c r="AG90" i="1"/>
  <c r="AG106" i="1"/>
  <c r="AG122" i="1"/>
  <c r="AG143" i="1"/>
  <c r="AG142" i="1"/>
  <c r="AG160" i="1"/>
  <c r="AG219" i="1"/>
  <c r="AG173" i="1"/>
  <c r="AG231" i="1"/>
  <c r="AG168" i="1"/>
  <c r="AG186" i="1"/>
  <c r="AG190" i="1"/>
  <c r="AG199" i="1"/>
  <c r="AG209" i="1"/>
  <c r="AG220" i="1"/>
  <c r="AG240" i="1"/>
  <c r="AG181" i="1"/>
  <c r="AG170" i="1"/>
  <c r="AG18" i="1"/>
  <c r="AG19" i="1"/>
  <c r="AG51" i="1"/>
  <c r="AG79" i="1"/>
  <c r="AG65" i="1"/>
  <c r="AG68" i="1"/>
  <c r="AG109" i="1"/>
  <c r="AG125" i="1"/>
  <c r="AG98" i="1"/>
  <c r="AG114" i="1"/>
  <c r="AG133" i="1"/>
  <c r="AG214" i="1"/>
  <c r="AG148" i="1"/>
  <c r="AG242" i="1"/>
  <c r="AG237" i="1"/>
  <c r="AG182" i="1"/>
  <c r="AG195" i="1"/>
  <c r="AG205" i="1"/>
  <c r="AG213" i="1"/>
  <c r="AG171" i="1"/>
  <c r="AG239" i="1"/>
  <c r="AG14" i="1"/>
  <c r="AG22" i="1"/>
  <c r="AG38" i="1"/>
  <c r="AG15" i="1"/>
  <c r="AG23" i="1"/>
  <c r="AG39" i="1"/>
  <c r="AG55" i="1"/>
  <c r="AG77" i="1"/>
  <c r="AG85" i="1"/>
  <c r="AG73" i="1"/>
  <c r="AG72" i="1"/>
  <c r="AG97" i="1"/>
  <c r="AG113" i="1"/>
  <c r="AG132" i="1"/>
  <c r="AG94" i="1"/>
  <c r="AG110" i="1"/>
  <c r="AG126" i="1"/>
  <c r="AG152" i="1"/>
  <c r="AG150" i="1"/>
  <c r="AG234" i="1"/>
  <c r="AG227" i="1"/>
  <c r="AG244" i="1"/>
  <c r="AG184" i="1"/>
  <c r="AG192" i="1"/>
  <c r="AG203" i="1"/>
  <c r="AG211" i="1"/>
  <c r="AG224" i="1"/>
  <c r="AG159" i="1"/>
  <c r="AG162" i="1"/>
  <c r="AG20" i="1"/>
  <c r="AG28" i="1"/>
  <c r="AG36" i="1"/>
  <c r="AG44" i="1"/>
  <c r="AG21" i="1"/>
  <c r="AG29" i="1"/>
  <c r="AG37" i="1"/>
  <c r="AG45" i="1"/>
  <c r="AG53" i="1"/>
  <c r="AG66" i="1"/>
  <c r="AG76" i="1"/>
  <c r="AG80" i="1"/>
  <c r="AG84" i="1"/>
  <c r="AG52" i="1"/>
  <c r="AG69" i="1"/>
  <c r="AG54" i="1"/>
  <c r="AG71" i="1"/>
  <c r="AG87" i="1"/>
  <c r="AG95" i="1"/>
  <c r="AG103" i="1"/>
  <c r="AG111" i="1"/>
  <c r="AG119" i="1"/>
  <c r="AG127" i="1"/>
  <c r="AG139" i="1"/>
  <c r="AG92" i="1"/>
  <c r="AG100" i="1"/>
  <c r="AG108" i="1"/>
  <c r="AG116" i="1"/>
  <c r="AG124" i="1"/>
  <c r="AG136" i="1"/>
  <c r="AG146" i="1"/>
  <c r="AG218" i="1"/>
  <c r="AG145" i="1"/>
  <c r="AG217" i="1"/>
  <c r="AG154" i="1"/>
  <c r="AG223" i="1"/>
  <c r="AG245" i="1"/>
  <c r="AG179" i="1"/>
  <c r="AG232" i="1"/>
  <c r="AG241" i="1"/>
  <c r="AG172" i="1"/>
  <c r="AG183" i="1"/>
  <c r="AG187" i="1"/>
  <c r="AG191" i="1"/>
  <c r="AG196" i="1"/>
  <c r="AG200" i="1"/>
  <c r="AG206" i="1"/>
  <c r="AG210" i="1"/>
  <c r="AG228" i="1"/>
  <c r="AG155" i="1"/>
  <c r="AG243" i="1"/>
  <c r="AG175" i="1"/>
  <c r="AG144" i="1"/>
  <c r="AG226" i="1"/>
  <c r="AG174" i="1"/>
  <c r="AG30" i="1"/>
  <c r="AG31" i="1"/>
  <c r="AG47" i="1"/>
  <c r="AG70" i="1"/>
  <c r="AG81" i="1"/>
  <c r="AG57" i="1"/>
  <c r="AG59" i="1"/>
  <c r="AG89" i="1"/>
  <c r="AG105" i="1"/>
  <c r="AG121" i="1"/>
  <c r="AG60" i="1"/>
  <c r="AG102" i="1"/>
  <c r="AG118" i="1"/>
  <c r="AG138" i="1"/>
  <c r="AG222" i="1"/>
  <c r="AG221" i="1"/>
  <c r="AG158" i="1"/>
  <c r="AG165" i="1"/>
  <c r="AG64" i="1"/>
  <c r="AG176" i="1"/>
  <c r="AG188" i="1"/>
  <c r="AG197" i="1"/>
  <c r="AG207" i="1"/>
  <c r="AG230" i="1"/>
  <c r="AG163" i="1"/>
  <c r="AG216" i="1"/>
  <c r="AG180" i="1"/>
  <c r="W12" i="3"/>
  <c r="W30" i="3"/>
  <c r="W9" i="3"/>
  <c r="W25" i="3"/>
  <c r="W28" i="3"/>
  <c r="W24" i="3"/>
  <c r="W17" i="3"/>
  <c r="W26" i="3"/>
  <c r="W20" i="3"/>
  <c r="W27" i="3"/>
  <c r="W13" i="3"/>
  <c r="W10" i="3"/>
  <c r="W11" i="3"/>
  <c r="W22" i="3"/>
  <c r="W18" i="3"/>
  <c r="W14" i="3"/>
  <c r="W7" i="3"/>
  <c r="W21" i="3"/>
  <c r="W23" i="3"/>
  <c r="W8" i="3"/>
  <c r="W16" i="3"/>
  <c r="W15" i="3"/>
  <c r="W19" i="3"/>
  <c r="X204" i="1" l="1"/>
  <c r="X166" i="1"/>
  <c r="X242" i="1"/>
  <c r="T149" i="1"/>
  <c r="T65" i="1"/>
  <c r="T60" i="1"/>
  <c r="T59" i="1"/>
  <c r="U59" i="1" s="1"/>
  <c r="S59" i="1" s="1"/>
  <c r="AA170" i="1"/>
  <c r="AA166" i="1"/>
  <c r="X159" i="1"/>
  <c r="X205" i="1"/>
  <c r="AA195" i="1"/>
  <c r="X226" i="1"/>
  <c r="X136" i="1"/>
  <c r="AA61" i="1"/>
  <c r="W61" i="1" s="1"/>
  <c r="AA57" i="1"/>
  <c r="AA53" i="1"/>
  <c r="AA192" i="1"/>
  <c r="AA186" i="1"/>
  <c r="W186" i="1" s="1"/>
  <c r="AA182" i="1"/>
  <c r="W182" i="1" s="1"/>
  <c r="T180" i="1"/>
  <c r="X132" i="1"/>
  <c r="AA122" i="1"/>
  <c r="W122" i="1" s="1"/>
  <c r="AA118" i="1"/>
  <c r="W118" i="1" s="1"/>
  <c r="AA114" i="1"/>
  <c r="AA83" i="1"/>
  <c r="AA75" i="1"/>
  <c r="W75" i="1" s="1"/>
  <c r="AA51" i="1"/>
  <c r="X164" i="1"/>
  <c r="X155" i="1"/>
  <c r="AA76" i="1"/>
  <c r="W76" i="1" s="1"/>
  <c r="AA72" i="1"/>
  <c r="AA67" i="1"/>
  <c r="X152" i="1"/>
  <c r="X153" i="1"/>
  <c r="X182" i="1"/>
  <c r="X181" i="1"/>
  <c r="AA190" i="1"/>
  <c r="AA189" i="1"/>
  <c r="W189" i="1" s="1"/>
  <c r="X176" i="1"/>
  <c r="AA163" i="1"/>
  <c r="AA218" i="1"/>
  <c r="T159" i="1"/>
  <c r="U159" i="1" s="1"/>
  <c r="S159" i="1" s="1"/>
  <c r="X144" i="1"/>
  <c r="AA82" i="1"/>
  <c r="AA77" i="1"/>
  <c r="AA74" i="1"/>
  <c r="W74" i="1" s="1"/>
  <c r="AA62" i="1"/>
  <c r="W62" i="1" s="1"/>
  <c r="AA207" i="1"/>
  <c r="AA203" i="1"/>
  <c r="T176" i="1"/>
  <c r="U176" i="1" s="1"/>
  <c r="S176" i="1" s="1"/>
  <c r="T244" i="1"/>
  <c r="U244" i="1" s="1"/>
  <c r="S244" i="1" s="1"/>
  <c r="AA145" i="1"/>
  <c r="AA137" i="1"/>
  <c r="AA132" i="1"/>
  <c r="W132" i="1" s="1"/>
  <c r="AA125" i="1"/>
  <c r="W125" i="1" s="1"/>
  <c r="AA121" i="1"/>
  <c r="AA117" i="1"/>
  <c r="AA113" i="1"/>
  <c r="W113" i="1" s="1"/>
  <c r="AA110" i="1"/>
  <c r="W110" i="1" s="1"/>
  <c r="AA106" i="1"/>
  <c r="AA102" i="1"/>
  <c r="AA98" i="1"/>
  <c r="W98" i="1" s="1"/>
  <c r="AA94" i="1"/>
  <c r="W94" i="1" s="1"/>
  <c r="AA90" i="1"/>
  <c r="AA81" i="1"/>
  <c r="AA44" i="1"/>
  <c r="W44" i="1" s="1"/>
  <c r="AA40" i="1"/>
  <c r="W40" i="1" s="1"/>
  <c r="AA36" i="1"/>
  <c r="AA175" i="1"/>
  <c r="T165" i="1"/>
  <c r="U165" i="1" s="1"/>
  <c r="S165" i="1" s="1"/>
  <c r="X245" i="1"/>
  <c r="AA243" i="1"/>
  <c r="X224" i="1"/>
  <c r="X216" i="1"/>
  <c r="AA146" i="1"/>
  <c r="W146" i="1" s="1"/>
  <c r="X142" i="1"/>
  <c r="AA78" i="1"/>
  <c r="X73" i="1"/>
  <c r="AA64" i="1"/>
  <c r="W64" i="1" s="1"/>
  <c r="X148" i="1"/>
  <c r="X233" i="1"/>
  <c r="AA232" i="1"/>
  <c r="W232" i="1" s="1"/>
  <c r="X177" i="1"/>
  <c r="T242" i="1"/>
  <c r="X72" i="1"/>
  <c r="AA55" i="1"/>
  <c r="W55" i="1" s="1"/>
  <c r="X131" i="1"/>
  <c r="X151" i="1"/>
  <c r="X162" i="1"/>
  <c r="AA227" i="1"/>
  <c r="W227" i="1" s="1"/>
  <c r="AA205" i="1"/>
  <c r="W205" i="1" s="1"/>
  <c r="AA199" i="1"/>
  <c r="AA183" i="1"/>
  <c r="X172" i="1"/>
  <c r="AA214" i="1"/>
  <c r="W214" i="1" s="1"/>
  <c r="AA158" i="1"/>
  <c r="X157" i="1"/>
  <c r="AA152" i="1"/>
  <c r="W152" i="1" s="1"/>
  <c r="X150" i="1"/>
  <c r="AA148" i="1"/>
  <c r="AA109" i="1"/>
  <c r="AA105" i="1"/>
  <c r="W105" i="1" s="1"/>
  <c r="AA101" i="1"/>
  <c r="AA97" i="1"/>
  <c r="AA93" i="1"/>
  <c r="AA89" i="1"/>
  <c r="W89" i="1" s="1"/>
  <c r="AA84" i="1"/>
  <c r="AA70" i="1"/>
  <c r="X129" i="1"/>
  <c r="X161" i="1"/>
  <c r="AI161" i="1"/>
  <c r="U161" i="1"/>
  <c r="S161" i="1" s="1"/>
  <c r="W161" i="1"/>
  <c r="U153" i="1"/>
  <c r="S153" i="1" s="1"/>
  <c r="AI153" i="1"/>
  <c r="W153" i="1"/>
  <c r="AI151" i="1"/>
  <c r="U151" i="1"/>
  <c r="S151" i="1" s="1"/>
  <c r="W151" i="1"/>
  <c r="R23" i="3"/>
  <c r="AI147" i="1"/>
  <c r="U147" i="1"/>
  <c r="S147" i="1" s="1"/>
  <c r="W147" i="1"/>
  <c r="X147" i="1"/>
  <c r="U135" i="1"/>
  <c r="S135" i="1" s="1"/>
  <c r="AI135" i="1"/>
  <c r="W135" i="1"/>
  <c r="X135" i="1"/>
  <c r="S19" i="3"/>
  <c r="S11" i="3"/>
  <c r="AI131" i="1"/>
  <c r="U131" i="1"/>
  <c r="S131" i="1" s="1"/>
  <c r="W131" i="1"/>
  <c r="AD28" i="3"/>
  <c r="AC28" i="3"/>
  <c r="U130" i="1"/>
  <c r="S130" i="1" s="1"/>
  <c r="AI130" i="1"/>
  <c r="W130" i="1"/>
  <c r="X130" i="1"/>
  <c r="AE11" i="3"/>
  <c r="AD17" i="3"/>
  <c r="U129" i="1"/>
  <c r="S129" i="1" s="1"/>
  <c r="AI129" i="1"/>
  <c r="W129" i="1"/>
  <c r="Y16" i="3"/>
  <c r="AC13" i="3"/>
  <c r="AD13" i="3"/>
  <c r="AC20" i="3"/>
  <c r="T20" i="3"/>
  <c r="AC8" i="3"/>
  <c r="AD21" i="3"/>
  <c r="R8" i="3"/>
  <c r="AD24" i="3"/>
  <c r="AE15" i="3"/>
  <c r="AA231" i="1"/>
  <c r="W231" i="1" s="1"/>
  <c r="AA229" i="1"/>
  <c r="AA228" i="1"/>
  <c r="AA198" i="1"/>
  <c r="W198" i="1" s="1"/>
  <c r="AA196" i="1"/>
  <c r="W196" i="1" s="1"/>
  <c r="AA191" i="1"/>
  <c r="AA188" i="1"/>
  <c r="AA184" i="1"/>
  <c r="W184" i="1" s="1"/>
  <c r="AA181" i="1"/>
  <c r="W181" i="1" s="1"/>
  <c r="AA179" i="1"/>
  <c r="T172" i="1"/>
  <c r="X169" i="1"/>
  <c r="X168" i="1"/>
  <c r="AA167" i="1"/>
  <c r="AA226" i="1"/>
  <c r="X241" i="1"/>
  <c r="AA240" i="1"/>
  <c r="X239" i="1"/>
  <c r="AA238" i="1"/>
  <c r="X237" i="1"/>
  <c r="AA236" i="1"/>
  <c r="X235" i="1"/>
  <c r="AA234" i="1"/>
  <c r="T224" i="1"/>
  <c r="U224" i="1" s="1"/>
  <c r="S224" i="1" s="1"/>
  <c r="AA221" i="1"/>
  <c r="W221" i="1" s="1"/>
  <c r="T216" i="1"/>
  <c r="T155" i="1"/>
  <c r="AA150" i="1"/>
  <c r="W150" i="1" s="1"/>
  <c r="T144" i="1"/>
  <c r="U144" i="1" s="1"/>
  <c r="S144" i="1" s="1"/>
  <c r="T142" i="1"/>
  <c r="AA140" i="1"/>
  <c r="AA136" i="1"/>
  <c r="W136" i="1" s="1"/>
  <c r="AA128" i="1"/>
  <c r="W128" i="1" s="1"/>
  <c r="AA124" i="1"/>
  <c r="AA120" i="1"/>
  <c r="AA116" i="1"/>
  <c r="W116" i="1" s="1"/>
  <c r="AA112" i="1"/>
  <c r="W112" i="1" s="1"/>
  <c r="AA108" i="1"/>
  <c r="AA104" i="1"/>
  <c r="AA100" i="1"/>
  <c r="W100" i="1" s="1"/>
  <c r="AA96" i="1"/>
  <c r="AA92" i="1"/>
  <c r="AA88" i="1"/>
  <c r="AA80" i="1"/>
  <c r="W80" i="1" s="1"/>
  <c r="X64" i="1"/>
  <c r="X62" i="1"/>
  <c r="AA47" i="1"/>
  <c r="AA42" i="1"/>
  <c r="W42" i="1" s="1"/>
  <c r="AA38" i="1"/>
  <c r="W38" i="1" s="1"/>
  <c r="AA34" i="1"/>
  <c r="AA204" i="1"/>
  <c r="W204" i="1" s="1"/>
  <c r="AA200" i="1"/>
  <c r="W200" i="1" s="1"/>
  <c r="AA49" i="1"/>
  <c r="W49" i="1" s="1"/>
  <c r="AA43" i="1"/>
  <c r="AA39" i="1"/>
  <c r="AA35" i="1"/>
  <c r="W35" i="1" s="1"/>
  <c r="AA210" i="1"/>
  <c r="W210" i="1" s="1"/>
  <c r="AA208" i="1"/>
  <c r="AA206" i="1"/>
  <c r="W206" i="1" s="1"/>
  <c r="X174" i="1"/>
  <c r="AA174" i="1"/>
  <c r="W174" i="1" s="1"/>
  <c r="AA171" i="1"/>
  <c r="AA162" i="1"/>
  <c r="AA225" i="1"/>
  <c r="AA223" i="1"/>
  <c r="X218" i="1"/>
  <c r="AA215" i="1"/>
  <c r="AA157" i="1"/>
  <c r="W157" i="1" s="1"/>
  <c r="AA156" i="1"/>
  <c r="W156" i="1" s="1"/>
  <c r="AA154" i="1"/>
  <c r="X146" i="1"/>
  <c r="AA143" i="1"/>
  <c r="W143" i="1" s="1"/>
  <c r="AA141" i="1"/>
  <c r="AA138" i="1"/>
  <c r="AA133" i="1"/>
  <c r="AA126" i="1"/>
  <c r="W126" i="1" s="1"/>
  <c r="AA63" i="1"/>
  <c r="W63" i="1" s="1"/>
  <c r="T173" i="1"/>
  <c r="X160" i="1"/>
  <c r="AA139" i="1"/>
  <c r="W139" i="1" s="1"/>
  <c r="AA134" i="1"/>
  <c r="W134" i="1" s="1"/>
  <c r="AA127" i="1"/>
  <c r="AA123" i="1"/>
  <c r="AA119" i="1"/>
  <c r="AA115" i="1"/>
  <c r="W115" i="1" s="1"/>
  <c r="AA111" i="1"/>
  <c r="AA107" i="1"/>
  <c r="AA103" i="1"/>
  <c r="W103" i="1" s="1"/>
  <c r="AA99" i="1"/>
  <c r="W99" i="1" s="1"/>
  <c r="AA95" i="1"/>
  <c r="AA91" i="1"/>
  <c r="AA87" i="1"/>
  <c r="W87" i="1" s="1"/>
  <c r="AA85" i="1"/>
  <c r="W85" i="1" s="1"/>
  <c r="AA79" i="1"/>
  <c r="AA71" i="1"/>
  <c r="AA66" i="1"/>
  <c r="W66" i="1" s="1"/>
  <c r="AA45" i="1"/>
  <c r="W45" i="1" s="1"/>
  <c r="AA41" i="1"/>
  <c r="AA37" i="1"/>
  <c r="AA15" i="1"/>
  <c r="W15" i="1" s="1"/>
  <c r="X179" i="1"/>
  <c r="X240" i="1"/>
  <c r="T240" i="1"/>
  <c r="T238" i="1"/>
  <c r="U238" i="1" s="1"/>
  <c r="S238" i="1" s="1"/>
  <c r="X238" i="1"/>
  <c r="X236" i="1"/>
  <c r="T236" i="1"/>
  <c r="T234" i="1"/>
  <c r="U234" i="1" s="1"/>
  <c r="S234" i="1" s="1"/>
  <c r="X234" i="1"/>
  <c r="X223" i="1"/>
  <c r="T223" i="1"/>
  <c r="T154" i="1"/>
  <c r="U154" i="1" s="1"/>
  <c r="S154" i="1" s="1"/>
  <c r="AA180" i="1"/>
  <c r="X178" i="1"/>
  <c r="AA177" i="1"/>
  <c r="T174" i="1"/>
  <c r="U174" i="1" s="1"/>
  <c r="X171" i="1"/>
  <c r="X170" i="1"/>
  <c r="AA169" i="1"/>
  <c r="T166" i="1"/>
  <c r="U166" i="1" s="1"/>
  <c r="S166" i="1" s="1"/>
  <c r="X163" i="1"/>
  <c r="AA245" i="1"/>
  <c r="T226" i="1"/>
  <c r="T219" i="1"/>
  <c r="U219" i="1" s="1"/>
  <c r="S219" i="1" s="1"/>
  <c r="X219" i="1"/>
  <c r="T148" i="1"/>
  <c r="X215" i="1"/>
  <c r="T215" i="1"/>
  <c r="U215" i="1" s="1"/>
  <c r="S215" i="1" s="1"/>
  <c r="X143" i="1"/>
  <c r="T143" i="1"/>
  <c r="T141" i="1"/>
  <c r="X141" i="1"/>
  <c r="AA178" i="1"/>
  <c r="W178" i="1" s="1"/>
  <c r="T177" i="1"/>
  <c r="X175" i="1"/>
  <c r="AA173" i="1"/>
  <c r="W173" i="1" s="1"/>
  <c r="T169" i="1"/>
  <c r="U169" i="1" s="1"/>
  <c r="S169" i="1" s="1"/>
  <c r="X167" i="1"/>
  <c r="AA165" i="1"/>
  <c r="T245" i="1"/>
  <c r="U245" i="1" s="1"/>
  <c r="S245" i="1" s="1"/>
  <c r="X243" i="1"/>
  <c r="AA242" i="1"/>
  <c r="T158" i="1"/>
  <c r="X158" i="1"/>
  <c r="X69" i="1"/>
  <c r="AA68" i="1"/>
  <c r="X61" i="1"/>
  <c r="AA60" i="1"/>
  <c r="X57" i="1"/>
  <c r="AA56" i="1"/>
  <c r="AA19" i="1"/>
  <c r="AA176" i="1"/>
  <c r="W176" i="1" s="1"/>
  <c r="AA172" i="1"/>
  <c r="AA168" i="1"/>
  <c r="AA244" i="1"/>
  <c r="AA241" i="1"/>
  <c r="W241" i="1" s="1"/>
  <c r="AA237" i="1"/>
  <c r="W237" i="1" s="1"/>
  <c r="X225" i="1"/>
  <c r="AA224" i="1"/>
  <c r="X222" i="1"/>
  <c r="X217" i="1"/>
  <c r="AA216" i="1"/>
  <c r="X214" i="1"/>
  <c r="X156" i="1"/>
  <c r="AA155" i="1"/>
  <c r="X145" i="1"/>
  <c r="AA144" i="1"/>
  <c r="AA73" i="1"/>
  <c r="W73" i="1" s="1"/>
  <c r="X71" i="1"/>
  <c r="X66" i="1"/>
  <c r="AA65" i="1"/>
  <c r="X63" i="1"/>
  <c r="AA59" i="1"/>
  <c r="X56" i="1"/>
  <c r="AA21" i="1"/>
  <c r="AA58" i="1"/>
  <c r="W58" i="1" s="1"/>
  <c r="AA239" i="1"/>
  <c r="W239" i="1" s="1"/>
  <c r="AA235" i="1"/>
  <c r="AA220" i="1"/>
  <c r="AA159" i="1"/>
  <c r="W159" i="1" s="1"/>
  <c r="AA149" i="1"/>
  <c r="W149" i="1" s="1"/>
  <c r="AA142" i="1"/>
  <c r="AA17" i="1"/>
  <c r="AI209" i="1"/>
  <c r="U180" i="1"/>
  <c r="S180" i="1" s="1"/>
  <c r="AI203" i="1"/>
  <c r="AI197" i="1"/>
  <c r="U170" i="1"/>
  <c r="AI192" i="1"/>
  <c r="AI188" i="1"/>
  <c r="U162" i="1"/>
  <c r="S162" i="1" s="1"/>
  <c r="AI184" i="1"/>
  <c r="U226" i="1"/>
  <c r="S226" i="1" s="1"/>
  <c r="AI180" i="1"/>
  <c r="U239" i="1"/>
  <c r="S239" i="1" s="1"/>
  <c r="AI176" i="1"/>
  <c r="U235" i="1"/>
  <c r="S235" i="1" s="1"/>
  <c r="U216" i="1"/>
  <c r="S216" i="1" s="1"/>
  <c r="AI144" i="1"/>
  <c r="AI210" i="1"/>
  <c r="U181" i="1"/>
  <c r="S181" i="1" s="1"/>
  <c r="AI206" i="1"/>
  <c r="U177" i="1"/>
  <c r="S177" i="1" s="1"/>
  <c r="AI159" i="1"/>
  <c r="AI204" i="1"/>
  <c r="U175" i="1"/>
  <c r="S175" i="1" s="1"/>
  <c r="AI198" i="1"/>
  <c r="U171" i="1"/>
  <c r="S171" i="1" s="1"/>
  <c r="AI194" i="1"/>
  <c r="U167" i="1"/>
  <c r="S167" i="1" s="1"/>
  <c r="AI189" i="1"/>
  <c r="U163" i="1"/>
  <c r="S163" i="1" s="1"/>
  <c r="AI185" i="1"/>
  <c r="U243" i="1"/>
  <c r="S243" i="1" s="1"/>
  <c r="AI181" i="1"/>
  <c r="U240" i="1"/>
  <c r="S240" i="1" s="1"/>
  <c r="AI177" i="1"/>
  <c r="U236" i="1"/>
  <c r="S236" i="1" s="1"/>
  <c r="AI172" i="1"/>
  <c r="AI155" i="1"/>
  <c r="U155" i="1"/>
  <c r="S155" i="1" s="1"/>
  <c r="AI168" i="1"/>
  <c r="U220" i="1"/>
  <c r="S220" i="1" s="1"/>
  <c r="AI149" i="1"/>
  <c r="U149" i="1"/>
  <c r="S149" i="1" s="1"/>
  <c r="AI243" i="1"/>
  <c r="W230" i="1"/>
  <c r="AI241" i="1"/>
  <c r="W228" i="1"/>
  <c r="AI239" i="1"/>
  <c r="W213" i="1"/>
  <c r="AI238" i="1"/>
  <c r="W212" i="1"/>
  <c r="AI237" i="1"/>
  <c r="W211" i="1"/>
  <c r="AI236" i="1"/>
  <c r="AI235" i="1"/>
  <c r="W209" i="1"/>
  <c r="AI234" i="1"/>
  <c r="W208" i="1"/>
  <c r="AI233" i="1"/>
  <c r="W207" i="1"/>
  <c r="AI232" i="1"/>
  <c r="AI231" i="1"/>
  <c r="AI230" i="1"/>
  <c r="AI229" i="1"/>
  <c r="W203" i="1"/>
  <c r="AI228" i="1"/>
  <c r="AI227" i="1"/>
  <c r="W199" i="1"/>
  <c r="AI226" i="1"/>
  <c r="AI225" i="1"/>
  <c r="W197" i="1"/>
  <c r="AI224" i="1"/>
  <c r="AI223" i="1"/>
  <c r="W195" i="1"/>
  <c r="AI222" i="1"/>
  <c r="W194" i="1"/>
  <c r="AI221" i="1"/>
  <c r="W192" i="1"/>
  <c r="AI220" i="1"/>
  <c r="W191" i="1"/>
  <c r="AI219" i="1"/>
  <c r="W190" i="1"/>
  <c r="AI218" i="1"/>
  <c r="AI217" i="1"/>
  <c r="W188" i="1"/>
  <c r="AI216" i="1"/>
  <c r="W187" i="1"/>
  <c r="AI215" i="1"/>
  <c r="AI214" i="1"/>
  <c r="W185" i="1"/>
  <c r="AI213" i="1"/>
  <c r="AI212" i="1"/>
  <c r="W183" i="1"/>
  <c r="U182" i="1"/>
  <c r="S182" i="1" s="1"/>
  <c r="AI211" i="1"/>
  <c r="U178" i="1"/>
  <c r="S178" i="1" s="1"/>
  <c r="AI207" i="1"/>
  <c r="AI205" i="1"/>
  <c r="AI199" i="1"/>
  <c r="U172" i="1"/>
  <c r="S172" i="1" s="1"/>
  <c r="AI195" i="1"/>
  <c r="U168" i="1"/>
  <c r="S168" i="1" s="1"/>
  <c r="AI190" i="1"/>
  <c r="AI186" i="1"/>
  <c r="AI182" i="1"/>
  <c r="U241" i="1"/>
  <c r="S241" i="1" s="1"/>
  <c r="AI178" i="1"/>
  <c r="U237" i="1"/>
  <c r="S237" i="1" s="1"/>
  <c r="AI141" i="1"/>
  <c r="U141" i="1"/>
  <c r="S141" i="1" s="1"/>
  <c r="AI64" i="1"/>
  <c r="U64" i="1"/>
  <c r="S64" i="1" s="1"/>
  <c r="AI245" i="1"/>
  <c r="AI244" i="1"/>
  <c r="AI242" i="1"/>
  <c r="W229" i="1"/>
  <c r="AI240" i="1"/>
  <c r="U179" i="1"/>
  <c r="S179" i="1" s="1"/>
  <c r="AI208" i="1"/>
  <c r="AI200" i="1"/>
  <c r="U173" i="1"/>
  <c r="S173" i="1" s="1"/>
  <c r="AI196" i="1"/>
  <c r="AI191" i="1"/>
  <c r="AI187" i="1"/>
  <c r="AI183" i="1"/>
  <c r="U242" i="1"/>
  <c r="S242" i="1" s="1"/>
  <c r="AI179" i="1"/>
  <c r="AI175" i="1"/>
  <c r="AI171" i="1"/>
  <c r="U223" i="1"/>
  <c r="S223" i="1" s="1"/>
  <c r="AI167" i="1"/>
  <c r="AI163" i="1"/>
  <c r="AI158" i="1"/>
  <c r="U158" i="1"/>
  <c r="S158" i="1" s="1"/>
  <c r="AI154" i="1"/>
  <c r="AI148" i="1"/>
  <c r="U148" i="1"/>
  <c r="S148" i="1" s="1"/>
  <c r="U225" i="1"/>
  <c r="S225" i="1" s="1"/>
  <c r="AI173" i="1"/>
  <c r="U221" i="1"/>
  <c r="S221" i="1" s="1"/>
  <c r="AI169" i="1"/>
  <c r="U217" i="1"/>
  <c r="S217" i="1" s="1"/>
  <c r="AI165" i="1"/>
  <c r="U160" i="1"/>
  <c r="S160" i="1" s="1"/>
  <c r="AI160" i="1"/>
  <c r="U156" i="1"/>
  <c r="S156" i="1" s="1"/>
  <c r="AI156" i="1"/>
  <c r="U150" i="1"/>
  <c r="S150" i="1" s="1"/>
  <c r="AI150" i="1"/>
  <c r="U145" i="1"/>
  <c r="S145" i="1" s="1"/>
  <c r="AI145" i="1"/>
  <c r="AI142" i="1"/>
  <c r="U142" i="1"/>
  <c r="S142" i="1" s="1"/>
  <c r="U233" i="1"/>
  <c r="S233" i="1" s="1"/>
  <c r="AI174" i="1"/>
  <c r="U222" i="1"/>
  <c r="S222" i="1" s="1"/>
  <c r="AI170" i="1"/>
  <c r="U218" i="1"/>
  <c r="S218" i="1" s="1"/>
  <c r="AI166" i="1"/>
  <c r="U214" i="1"/>
  <c r="S214" i="1" s="1"/>
  <c r="AI162" i="1"/>
  <c r="U157" i="1"/>
  <c r="S157" i="1" s="1"/>
  <c r="AI157" i="1"/>
  <c r="U152" i="1"/>
  <c r="S152" i="1" s="1"/>
  <c r="AI152" i="1"/>
  <c r="U146" i="1"/>
  <c r="S146" i="1" s="1"/>
  <c r="AI146" i="1"/>
  <c r="AI143" i="1"/>
  <c r="U143" i="1"/>
  <c r="S143" i="1" s="1"/>
  <c r="AI140" i="1"/>
  <c r="AI138" i="1"/>
  <c r="W138" i="1"/>
  <c r="AI136" i="1"/>
  <c r="AI133" i="1"/>
  <c r="W133" i="1"/>
  <c r="AI128" i="1"/>
  <c r="AI126" i="1"/>
  <c r="AI124" i="1"/>
  <c r="AI122" i="1"/>
  <c r="AI120" i="1"/>
  <c r="AI118" i="1"/>
  <c r="AI116" i="1"/>
  <c r="AI114" i="1"/>
  <c r="W114" i="1"/>
  <c r="AI112" i="1"/>
  <c r="AI110" i="1"/>
  <c r="AI108" i="1"/>
  <c r="AI106" i="1"/>
  <c r="W106" i="1"/>
  <c r="AI104" i="1"/>
  <c r="AI102" i="1"/>
  <c r="W102" i="1"/>
  <c r="AI100" i="1"/>
  <c r="AI98" i="1"/>
  <c r="AI96" i="1"/>
  <c r="AI94" i="1"/>
  <c r="AI92" i="1"/>
  <c r="AI90" i="1"/>
  <c r="W90" i="1"/>
  <c r="AI88" i="1"/>
  <c r="AI60" i="1"/>
  <c r="U60" i="1"/>
  <c r="S60" i="1" s="1"/>
  <c r="AI139" i="1"/>
  <c r="AI137" i="1"/>
  <c r="AI134" i="1"/>
  <c r="AI132" i="1"/>
  <c r="AI127" i="1"/>
  <c r="AI125" i="1"/>
  <c r="AI123" i="1"/>
  <c r="AI121" i="1"/>
  <c r="AI119" i="1"/>
  <c r="AI117" i="1"/>
  <c r="AI115" i="1"/>
  <c r="AI113" i="1"/>
  <c r="AI111" i="1"/>
  <c r="AI109" i="1"/>
  <c r="AI107" i="1"/>
  <c r="AI105" i="1"/>
  <c r="AI103" i="1"/>
  <c r="AI101" i="1"/>
  <c r="AI99" i="1"/>
  <c r="AI97" i="1"/>
  <c r="AI95" i="1"/>
  <c r="AI93" i="1"/>
  <c r="AI91" i="1"/>
  <c r="AI89" i="1"/>
  <c r="AI87" i="1"/>
  <c r="AI68" i="1"/>
  <c r="U68" i="1"/>
  <c r="S68" i="1" s="1"/>
  <c r="AI56" i="1"/>
  <c r="U56" i="1"/>
  <c r="S56" i="1" s="1"/>
  <c r="AI72" i="1"/>
  <c r="U72" i="1"/>
  <c r="S72" i="1" s="1"/>
  <c r="AI71" i="1"/>
  <c r="U71" i="1"/>
  <c r="S71" i="1" s="1"/>
  <c r="AI67" i="1"/>
  <c r="U67" i="1"/>
  <c r="S67" i="1" s="1"/>
  <c r="AI63" i="1"/>
  <c r="U63" i="1"/>
  <c r="S63" i="1" s="1"/>
  <c r="AI59" i="1"/>
  <c r="AI54" i="1"/>
  <c r="AI50" i="1"/>
  <c r="AI46" i="1"/>
  <c r="U73" i="1"/>
  <c r="S73" i="1" s="1"/>
  <c r="AI73" i="1"/>
  <c r="U69" i="1"/>
  <c r="S69" i="1" s="1"/>
  <c r="AI69" i="1"/>
  <c r="U65" i="1"/>
  <c r="S65" i="1" s="1"/>
  <c r="AI65" i="1"/>
  <c r="U61" i="1"/>
  <c r="S61" i="1" s="1"/>
  <c r="AI61" i="1"/>
  <c r="AI57" i="1"/>
  <c r="U57" i="1"/>
  <c r="S57" i="1" s="1"/>
  <c r="AI52" i="1"/>
  <c r="AI48" i="1"/>
  <c r="AI86" i="1"/>
  <c r="AI85" i="1"/>
  <c r="AI84" i="1"/>
  <c r="AI83" i="1"/>
  <c r="AI82" i="1"/>
  <c r="AI81" i="1"/>
  <c r="AI80" i="1"/>
  <c r="U79" i="1"/>
  <c r="S79" i="1" s="1"/>
  <c r="AI79" i="1"/>
  <c r="U78" i="1"/>
  <c r="S78" i="1" s="1"/>
  <c r="AI78" i="1"/>
  <c r="U77" i="1"/>
  <c r="S77" i="1" s="1"/>
  <c r="W77" i="1"/>
  <c r="AI77" i="1"/>
  <c r="U76" i="1"/>
  <c r="S76" i="1" s="1"/>
  <c r="AI76" i="1"/>
  <c r="U75" i="1"/>
  <c r="S75" i="1" s="1"/>
  <c r="AI75" i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AI58" i="1"/>
  <c r="U58" i="1"/>
  <c r="S58" i="1" s="1"/>
  <c r="AI55" i="1"/>
  <c r="AI53" i="1"/>
  <c r="AI51" i="1"/>
  <c r="AI49" i="1"/>
  <c r="AI47" i="1"/>
  <c r="AI45" i="1"/>
  <c r="AI43" i="1"/>
  <c r="W43" i="1"/>
  <c r="AI41" i="1"/>
  <c r="AI39" i="1"/>
  <c r="AI37" i="1"/>
  <c r="AI35" i="1"/>
  <c r="AI33" i="1"/>
  <c r="AI31" i="1"/>
  <c r="AI29" i="1"/>
  <c r="AI27" i="1"/>
  <c r="AI25" i="1"/>
  <c r="AI23" i="1"/>
  <c r="AI21" i="1"/>
  <c r="AI19" i="1"/>
  <c r="AI17" i="1"/>
  <c r="AI15" i="1"/>
  <c r="AI44" i="1"/>
  <c r="AI42" i="1"/>
  <c r="AI40" i="1"/>
  <c r="AI38" i="1"/>
  <c r="AI36" i="1"/>
  <c r="AI34" i="1"/>
  <c r="AI32" i="1"/>
  <c r="AI30" i="1"/>
  <c r="AI28" i="1"/>
  <c r="AI26" i="1"/>
  <c r="AI24" i="1"/>
  <c r="AI22" i="1"/>
  <c r="AI20" i="1"/>
  <c r="AI18" i="1"/>
  <c r="AI16" i="1"/>
  <c r="AI14" i="1"/>
  <c r="W233" i="1"/>
  <c r="W218" i="1"/>
  <c r="W222" i="1"/>
  <c r="W179" i="1"/>
  <c r="W171" i="1"/>
  <c r="T117" i="1"/>
  <c r="U117" i="1" s="1"/>
  <c r="S117" i="1" s="1"/>
  <c r="X117" i="1"/>
  <c r="W177" i="1"/>
  <c r="W225" i="1"/>
  <c r="W163" i="1"/>
  <c r="W240" i="1"/>
  <c r="T137" i="1"/>
  <c r="U137" i="1" s="1"/>
  <c r="S137" i="1" s="1"/>
  <c r="X137" i="1"/>
  <c r="W84" i="1"/>
  <c r="W175" i="1"/>
  <c r="W167" i="1"/>
  <c r="W243" i="1"/>
  <c r="W236" i="1"/>
  <c r="T101" i="1"/>
  <c r="U101" i="1" s="1"/>
  <c r="S101" i="1" s="1"/>
  <c r="X101" i="1"/>
  <c r="W172" i="1"/>
  <c r="W168" i="1"/>
  <c r="W244" i="1"/>
  <c r="W217" i="1"/>
  <c r="W145" i="1"/>
  <c r="S23" i="3"/>
  <c r="R19" i="3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8" i="1"/>
  <c r="U228" i="1" s="1"/>
  <c r="S228" i="1" s="1"/>
  <c r="X228" i="1"/>
  <c r="T227" i="1"/>
  <c r="U227" i="1" s="1"/>
  <c r="S227" i="1" s="1"/>
  <c r="X227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208" i="1"/>
  <c r="U208" i="1" s="1"/>
  <c r="S208" i="1" s="1"/>
  <c r="X208" i="1"/>
  <c r="T207" i="1"/>
  <c r="U207" i="1" s="1"/>
  <c r="S207" i="1" s="1"/>
  <c r="X207" i="1"/>
  <c r="T206" i="1"/>
  <c r="U206" i="1" s="1"/>
  <c r="S206" i="1" s="1"/>
  <c r="X206" i="1"/>
  <c r="T205" i="1"/>
  <c r="U205" i="1" s="1"/>
  <c r="S205" i="1" s="1"/>
  <c r="T204" i="1"/>
  <c r="U204" i="1" s="1"/>
  <c r="S204" i="1" s="1"/>
  <c r="T203" i="1"/>
  <c r="U203" i="1" s="1"/>
  <c r="S203" i="1" s="1"/>
  <c r="T200" i="1"/>
  <c r="U200" i="1" s="1"/>
  <c r="S200" i="1" s="1"/>
  <c r="X200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X18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W180" i="1"/>
  <c r="W160" i="1"/>
  <c r="T125" i="1"/>
  <c r="U125" i="1" s="1"/>
  <c r="S125" i="1" s="1"/>
  <c r="X125" i="1"/>
  <c r="T109" i="1"/>
  <c r="U109" i="1" s="1"/>
  <c r="S109" i="1" s="1"/>
  <c r="X109" i="1"/>
  <c r="T93" i="1"/>
  <c r="U93" i="1" s="1"/>
  <c r="S93" i="1" s="1"/>
  <c r="X93" i="1"/>
  <c r="W141" i="1"/>
  <c r="W140" i="1"/>
  <c r="W88" i="1"/>
  <c r="W39" i="1"/>
  <c r="W169" i="1"/>
  <c r="W165" i="1"/>
  <c r="W245" i="1"/>
  <c r="W242" i="1"/>
  <c r="W238" i="1"/>
  <c r="W234" i="1"/>
  <c r="W223" i="1"/>
  <c r="W219" i="1"/>
  <c r="W215" i="1"/>
  <c r="W158" i="1"/>
  <c r="W154" i="1"/>
  <c r="W148" i="1"/>
  <c r="W142" i="1"/>
  <c r="T132" i="1"/>
  <c r="U132" i="1" s="1"/>
  <c r="S132" i="1" s="1"/>
  <c r="T121" i="1"/>
  <c r="U121" i="1" s="1"/>
  <c r="S121" i="1" s="1"/>
  <c r="X121" i="1"/>
  <c r="T113" i="1"/>
  <c r="U113" i="1" s="1"/>
  <c r="X113" i="1"/>
  <c r="T105" i="1"/>
  <c r="U105" i="1" s="1"/>
  <c r="S105" i="1" s="1"/>
  <c r="X105" i="1"/>
  <c r="T97" i="1"/>
  <c r="U97" i="1" s="1"/>
  <c r="S97" i="1" s="1"/>
  <c r="X97" i="1"/>
  <c r="T89" i="1"/>
  <c r="U89" i="1" s="1"/>
  <c r="S89" i="1" s="1"/>
  <c r="X89" i="1"/>
  <c r="W68" i="1"/>
  <c r="W121" i="1"/>
  <c r="W120" i="1"/>
  <c r="W104" i="1"/>
  <c r="W97" i="1"/>
  <c r="W96" i="1"/>
  <c r="W41" i="1"/>
  <c r="W37" i="1"/>
  <c r="W34" i="1"/>
  <c r="W170" i="1"/>
  <c r="W166" i="1"/>
  <c r="W162" i="1"/>
  <c r="W226" i="1"/>
  <c r="W235" i="1"/>
  <c r="W224" i="1"/>
  <c r="W220" i="1"/>
  <c r="W216" i="1"/>
  <c r="W155" i="1"/>
  <c r="W137" i="1"/>
  <c r="W124" i="1"/>
  <c r="W117" i="1"/>
  <c r="W109" i="1"/>
  <c r="W108" i="1"/>
  <c r="W101" i="1"/>
  <c r="W93" i="1"/>
  <c r="W92" i="1"/>
  <c r="W81" i="1"/>
  <c r="W127" i="1"/>
  <c r="W123" i="1"/>
  <c r="W119" i="1"/>
  <c r="W111" i="1"/>
  <c r="W107" i="1"/>
  <c r="W95" i="1"/>
  <c r="W91" i="1"/>
  <c r="W83" i="1"/>
  <c r="W79" i="1"/>
  <c r="W144" i="1"/>
  <c r="T139" i="1"/>
  <c r="U139" i="1" s="1"/>
  <c r="S139" i="1" s="1"/>
  <c r="X139" i="1"/>
  <c r="T134" i="1"/>
  <c r="U134" i="1" s="1"/>
  <c r="S134" i="1" s="1"/>
  <c r="X134" i="1"/>
  <c r="T127" i="1"/>
  <c r="U127" i="1" s="1"/>
  <c r="X127" i="1"/>
  <c r="T123" i="1"/>
  <c r="U123" i="1" s="1"/>
  <c r="S123" i="1" s="1"/>
  <c r="X123" i="1"/>
  <c r="T119" i="1"/>
  <c r="U119" i="1" s="1"/>
  <c r="X119" i="1"/>
  <c r="T115" i="1"/>
  <c r="U115" i="1" s="1"/>
  <c r="S115" i="1" s="1"/>
  <c r="X115" i="1"/>
  <c r="T111" i="1"/>
  <c r="U111" i="1" s="1"/>
  <c r="S111" i="1" s="1"/>
  <c r="X111" i="1"/>
  <c r="T107" i="1"/>
  <c r="U107" i="1" s="1"/>
  <c r="S107" i="1" s="1"/>
  <c r="X107" i="1"/>
  <c r="T103" i="1"/>
  <c r="U103" i="1" s="1"/>
  <c r="S103" i="1" s="1"/>
  <c r="X103" i="1"/>
  <c r="T99" i="1"/>
  <c r="U99" i="1" s="1"/>
  <c r="S99" i="1" s="1"/>
  <c r="X99" i="1"/>
  <c r="T95" i="1"/>
  <c r="U95" i="1" s="1"/>
  <c r="S95" i="1" s="1"/>
  <c r="X95" i="1"/>
  <c r="T91" i="1"/>
  <c r="U91" i="1" s="1"/>
  <c r="S91" i="1" s="1"/>
  <c r="X91" i="1"/>
  <c r="T87" i="1"/>
  <c r="U87" i="1" s="1"/>
  <c r="S87" i="1" s="1"/>
  <c r="X87" i="1"/>
  <c r="W86" i="1"/>
  <c r="W82" i="1"/>
  <c r="W78" i="1"/>
  <c r="W70" i="1"/>
  <c r="T48" i="1"/>
  <c r="U48" i="1" s="1"/>
  <c r="S48" i="1" s="1"/>
  <c r="X48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W72" i="1"/>
  <c r="W67" i="1"/>
  <c r="W65" i="1"/>
  <c r="W53" i="1"/>
  <c r="W51" i="1"/>
  <c r="T140" i="1"/>
  <c r="U140" i="1" s="1"/>
  <c r="S140" i="1" s="1"/>
  <c r="X140" i="1"/>
  <c r="T138" i="1"/>
  <c r="U138" i="1" s="1"/>
  <c r="S138" i="1" s="1"/>
  <c r="X138" i="1"/>
  <c r="T136" i="1"/>
  <c r="U136" i="1" s="1"/>
  <c r="S136" i="1" s="1"/>
  <c r="T133" i="1"/>
  <c r="U133" i="1" s="1"/>
  <c r="S133" i="1" s="1"/>
  <c r="X133" i="1"/>
  <c r="T128" i="1"/>
  <c r="U128" i="1" s="1"/>
  <c r="S128" i="1" s="1"/>
  <c r="X128" i="1"/>
  <c r="T126" i="1"/>
  <c r="U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2" i="1"/>
  <c r="U112" i="1" s="1"/>
  <c r="X112" i="1"/>
  <c r="T110" i="1"/>
  <c r="U110" i="1" s="1"/>
  <c r="S110" i="1" s="1"/>
  <c r="X110" i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W71" i="1"/>
  <c r="W69" i="1"/>
  <c r="W57" i="1"/>
  <c r="T52" i="1"/>
  <c r="U52" i="1" s="1"/>
  <c r="S52" i="1" s="1"/>
  <c r="X52" i="1"/>
  <c r="W47" i="1"/>
  <c r="X79" i="1"/>
  <c r="X78" i="1"/>
  <c r="X77" i="1"/>
  <c r="X76" i="1"/>
  <c r="X75" i="1"/>
  <c r="X74" i="1"/>
  <c r="W60" i="1"/>
  <c r="W56" i="1"/>
  <c r="AA52" i="1"/>
  <c r="W52" i="1" s="1"/>
  <c r="AA48" i="1"/>
  <c r="W48" i="1" s="1"/>
  <c r="T44" i="1"/>
  <c r="U44" i="1" s="1"/>
  <c r="S44" i="1" s="1"/>
  <c r="X44" i="1"/>
  <c r="T40" i="1"/>
  <c r="U40" i="1" s="1"/>
  <c r="S40" i="1" s="1"/>
  <c r="X40" i="1"/>
  <c r="T36" i="1"/>
  <c r="U36" i="1" s="1"/>
  <c r="S36" i="1" s="1"/>
  <c r="X36" i="1"/>
  <c r="AA54" i="1"/>
  <c r="W54" i="1" s="1"/>
  <c r="AA50" i="1"/>
  <c r="W50" i="1" s="1"/>
  <c r="AA46" i="1"/>
  <c r="W46" i="1" s="1"/>
  <c r="T42" i="1"/>
  <c r="U42" i="1" s="1"/>
  <c r="S42" i="1" s="1"/>
  <c r="X42" i="1"/>
  <c r="T38" i="1"/>
  <c r="U38" i="1" s="1"/>
  <c r="S38" i="1" s="1"/>
  <c r="X38" i="1"/>
  <c r="W59" i="1"/>
  <c r="T54" i="1"/>
  <c r="U54" i="1" s="1"/>
  <c r="S54" i="1" s="1"/>
  <c r="X54" i="1"/>
  <c r="T50" i="1"/>
  <c r="U50" i="1" s="1"/>
  <c r="S50" i="1" s="1"/>
  <c r="X50" i="1"/>
  <c r="T46" i="1"/>
  <c r="U46" i="1" s="1"/>
  <c r="S46" i="1" s="1"/>
  <c r="X46" i="1"/>
  <c r="W36" i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AA20" i="1"/>
  <c r="W20" i="1" s="1"/>
  <c r="AA18" i="1"/>
  <c r="W18" i="1" s="1"/>
  <c r="AA16" i="1"/>
  <c r="W16" i="1" s="1"/>
  <c r="AA14" i="1"/>
  <c r="W14" i="1" s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T18" i="1"/>
  <c r="U18" i="1" s="1"/>
  <c r="S18" i="1" s="1"/>
  <c r="X18" i="1"/>
  <c r="T16" i="1"/>
  <c r="U16" i="1" s="1"/>
  <c r="S16" i="1" s="1"/>
  <c r="X16" i="1"/>
  <c r="T14" i="1"/>
  <c r="U14" i="1" s="1"/>
  <c r="S14" i="1" s="1"/>
  <c r="AA33" i="1"/>
  <c r="W33" i="1" s="1"/>
  <c r="AA31" i="1"/>
  <c r="W31" i="1" s="1"/>
  <c r="AA29" i="1"/>
  <c r="W29" i="1" s="1"/>
  <c r="AA27" i="1"/>
  <c r="W27" i="1" s="1"/>
  <c r="AA25" i="1"/>
  <c r="W25" i="1" s="1"/>
  <c r="AA23" i="1"/>
  <c r="W23" i="1" s="1"/>
  <c r="W21" i="1"/>
  <c r="W19" i="1"/>
  <c r="W17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T19" i="1"/>
  <c r="U19" i="1" s="1"/>
  <c r="S19" i="1" s="1"/>
  <c r="X19" i="1"/>
  <c r="T17" i="1"/>
  <c r="U17" i="1" s="1"/>
  <c r="S17" i="1" s="1"/>
  <c r="X17" i="1"/>
  <c r="T15" i="1"/>
  <c r="U15" i="1" s="1"/>
  <c r="S15" i="1" s="1"/>
  <c r="X15" i="1"/>
  <c r="AC27" i="3"/>
  <c r="T27" i="3"/>
  <c r="AC15" i="3"/>
  <c r="T15" i="3"/>
  <c r="AE30" i="3"/>
  <c r="AC21" i="3"/>
  <c r="AE23" i="3"/>
  <c r="AC18" i="3"/>
  <c r="AD19" i="3"/>
  <c r="AD9" i="3"/>
  <c r="AC26" i="3"/>
  <c r="AE19" i="3"/>
  <c r="AC23" i="3"/>
  <c r="AE26" i="3"/>
  <c r="AD23" i="3"/>
  <c r="AD8" i="3"/>
  <c r="AC12" i="3"/>
  <c r="AC19" i="3"/>
  <c r="AC22" i="3"/>
  <c r="AC10" i="3"/>
  <c r="AC14" i="3"/>
  <c r="AC24" i="3"/>
  <c r="AC25" i="3"/>
  <c r="T25" i="3"/>
  <c r="Y14" i="3"/>
  <c r="Y24" i="3"/>
  <c r="Y19" i="3"/>
  <c r="Y21" i="3"/>
  <c r="Y18" i="3"/>
  <c r="Y28" i="3"/>
  <c r="Y13" i="3"/>
  <c r="Y27" i="3"/>
  <c r="Y22" i="3"/>
  <c r="Y25" i="3"/>
  <c r="Y15" i="3"/>
  <c r="Y20" i="3"/>
  <c r="Y11" i="3"/>
  <c r="Y9" i="3"/>
  <c r="Y7" i="3"/>
  <c r="Y30" i="3"/>
  <c r="Y8" i="3"/>
  <c r="Y26" i="3"/>
  <c r="Y10" i="3"/>
  <c r="Y12" i="3"/>
  <c r="Y23" i="3"/>
  <c r="Y17" i="3"/>
  <c r="AC7" i="3"/>
  <c r="AD18" i="3"/>
  <c r="T7" i="3"/>
  <c r="AE18" i="3"/>
  <c r="AC11" i="3"/>
  <c r="T11" i="3"/>
  <c r="AD14" i="3"/>
  <c r="AE14" i="3"/>
  <c r="AC9" i="3"/>
  <c r="AD25" i="3"/>
  <c r="T9" i="3"/>
  <c r="AE25" i="3"/>
  <c r="AC30" i="3"/>
  <c r="AD10" i="3"/>
  <c r="T30" i="3"/>
  <c r="AE10" i="3"/>
  <c r="AC16" i="3"/>
  <c r="AD22" i="3"/>
  <c r="T16" i="3"/>
  <c r="AE22" i="3"/>
  <c r="AE28" i="3"/>
  <c r="T8" i="3"/>
  <c r="AE24" i="3"/>
  <c r="T26" i="3"/>
  <c r="AE21" i="3"/>
  <c r="T10" i="3"/>
  <c r="AE17" i="3"/>
  <c r="T12" i="3"/>
  <c r="AE13" i="3"/>
  <c r="T23" i="3"/>
  <c r="AE9" i="3"/>
  <c r="T17" i="3"/>
  <c r="AE27" i="3"/>
  <c r="AE20" i="3"/>
  <c r="AE16" i="3"/>
  <c r="AE12" i="3"/>
  <c r="AE8" i="3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S29" i="3"/>
  <c r="R29" i="3"/>
  <c r="M29" i="3"/>
  <c r="U29" i="3"/>
  <c r="AC29" i="3" s="1"/>
  <c r="V29" i="3"/>
  <c r="X29" i="3"/>
  <c r="AE29" i="3" l="1"/>
  <c r="AD29" i="3"/>
  <c r="S126" i="1"/>
  <c r="S112" i="1"/>
  <c r="S119" i="1"/>
  <c r="T29" i="3"/>
  <c r="W29" i="3"/>
  <c r="Y29" i="3" l="1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N24" i="3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N13" i="3" s="1"/>
  <c r="G245" i="4"/>
  <c r="G246" i="4"/>
  <c r="G247" i="4"/>
  <c r="G248" i="4"/>
  <c r="G249" i="4"/>
  <c r="N8" i="3" l="1"/>
  <c r="N11" i="3"/>
  <c r="K13" i="1"/>
  <c r="M13" i="1"/>
  <c r="P13" i="1" s="1"/>
  <c r="Y13" i="1"/>
  <c r="Z13" i="1"/>
  <c r="AB13" i="1"/>
  <c r="AC13" i="1"/>
  <c r="AD13" i="1"/>
  <c r="X14" i="1" s="1"/>
  <c r="AE13" i="1"/>
  <c r="R17" i="3" s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S17" i="3" s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N17" i="3" s="1"/>
  <c r="G11" i="4"/>
  <c r="N28" i="3" s="1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N30" i="3" s="1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N15" i="3" s="1"/>
  <c r="G129" i="4"/>
  <c r="G130" i="4"/>
  <c r="G131" i="4"/>
  <c r="G132" i="4"/>
  <c r="G133" i="4"/>
  <c r="G134" i="4"/>
  <c r="N12" i="3" s="1"/>
  <c r="G135" i="4"/>
  <c r="N14" i="3" s="1"/>
  <c r="G136" i="4"/>
  <c r="G137" i="4"/>
  <c r="G138" i="4"/>
  <c r="G139" i="4"/>
  <c r="G140" i="4"/>
  <c r="G141" i="4"/>
  <c r="G142" i="4"/>
  <c r="G143" i="4"/>
  <c r="N7" i="3" s="1"/>
  <c r="G144" i="4"/>
  <c r="G145" i="4"/>
  <c r="G146" i="4"/>
  <c r="G147" i="4"/>
  <c r="G148" i="4"/>
  <c r="N25" i="3" s="1"/>
  <c r="G149" i="4"/>
  <c r="N18" i="3" s="1"/>
  <c r="G150" i="4"/>
  <c r="G151" i="4"/>
  <c r="G152" i="4"/>
  <c r="G153" i="4"/>
  <c r="G154" i="4"/>
  <c r="G155" i="4"/>
  <c r="N10" i="3" s="1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N16" i="3" s="1"/>
  <c r="G173" i="4"/>
  <c r="G174" i="4"/>
  <c r="G175" i="4"/>
  <c r="G176" i="4"/>
  <c r="G177" i="4"/>
  <c r="G178" i="4"/>
  <c r="G179" i="4"/>
  <c r="G180" i="4"/>
  <c r="G181" i="4"/>
  <c r="G182" i="4"/>
  <c r="N22" i="3" s="1"/>
  <c r="G183" i="4"/>
  <c r="G184" i="4"/>
  <c r="N29" i="3" s="1"/>
  <c r="G185" i="4"/>
  <c r="G186" i="4"/>
  <c r="G187" i="4"/>
  <c r="G188" i="4"/>
  <c r="G189" i="4"/>
  <c r="G190" i="4"/>
  <c r="G191" i="4"/>
  <c r="N21" i="3" s="1"/>
  <c r="G192" i="4"/>
  <c r="N26" i="3" s="1"/>
  <c r="G193" i="4"/>
  <c r="G194" i="4"/>
  <c r="G195" i="4"/>
  <c r="G196" i="4"/>
  <c r="G197" i="4"/>
  <c r="G198" i="4"/>
  <c r="G199" i="4"/>
  <c r="G200" i="4"/>
  <c r="G201" i="4"/>
  <c r="N9" i="3" s="1"/>
  <c r="G202" i="4"/>
  <c r="G203" i="4"/>
  <c r="G204" i="4"/>
  <c r="G205" i="4"/>
  <c r="G206" i="4"/>
  <c r="G207" i="4"/>
  <c r="G208" i="4"/>
  <c r="G209" i="4"/>
  <c r="G210" i="4"/>
  <c r="G211" i="4"/>
  <c r="G212" i="4"/>
  <c r="G213" i="4"/>
  <c r="N27" i="3" s="1"/>
  <c r="G214" i="4"/>
  <c r="G215" i="4"/>
  <c r="G216" i="4"/>
  <c r="G217" i="4"/>
  <c r="G218" i="4"/>
  <c r="G219" i="4"/>
  <c r="G220" i="4"/>
  <c r="G221" i="4"/>
  <c r="G222" i="4"/>
  <c r="G223" i="4"/>
  <c r="G2" i="4"/>
  <c r="N23" i="3" l="1"/>
  <c r="N20" i="3"/>
  <c r="N19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<sst xmlns="http://schemas.openxmlformats.org/spreadsheetml/2006/main" count="2831" uniqueCount="1059">
  <si>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</si>
  <si>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</si>
  <si>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</si>
  <si>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</si>
  <si>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</si>
  <si>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</si>
  <si>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</si>
  <si>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</si>
  <si>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</si>
  <si>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</si>
  <si>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</si>
  <si>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</si>
  <si>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</si>
  <si>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</si>
  <si>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</si>
  <si>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</si>
  <si>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</si>
  <si>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</si>
  <si>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</si>
  <si>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</si>
  <si>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</si>
  <si>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</si>
  <si>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</si>
  <si>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</si>
  <si>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</si>
  <si>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</si>
  <si>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</si>
  <si>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</si>
  <si>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</si>
  <si>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</si>
  <si>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</si>
  <si>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</si>
  <si>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</si>
  <si>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</si>
  <si>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</si>
  <si>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</si>
  <si>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</si>
  <si>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</si>
  <si>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</si>
  <si>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</si>
  <si>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</si>
  <si>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</si>
  <si>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</si>
  <si>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</si>
  <si>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</si>
  <si>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</si>
  <si>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</si>
  <si>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</si>
  <si>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</si>
  <si>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</si>
  <si>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</si>
  <si>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</si>
  <si>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</si>
  <si>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</si>
  <si>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</si>
  <si>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</si>
  <si>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</si>
  <si>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</si>
  <si>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</si>
  <si>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</si>
  <si>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</si>
  <si>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</si>
  <si>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</si>
  <si>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</si>
  <si>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</si>
  <si>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</si>
  <si>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</si>
  <si>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</si>
  <si>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</si>
  <si>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</si>
  <si>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</si>
  <si>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</si>
  <si>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</si>
  <si>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</si>
  <si>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</si>
  <si>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</si>
  <si>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</si>
  <si>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</si>
  <si>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</si>
  <si>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</si>
  <si>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</si>
  <si>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</si>
  <si>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</si>
  <si>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</si>
  <si>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</si>
  <si>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</si>
  <si>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</si>
  <si>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</si>
  <si>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</si>
  <si>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</si>
  <si>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</si>
  <si>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</si>
  <si>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</si>
  <si>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</si>
  <si>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</si>
  <si>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</si>
  <si>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</si>
  <si>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</si>
  <si>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</si>
  <si>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</si>
  <si>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</si>
  <si>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</si>
  <si>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</si>
  <si>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</si>
  <si>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</si>
  <si>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</si>
  <si>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</si>
  <si>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</si>
  <si>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</si>
  <si>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</si>
  <si>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</si>
  <si>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</si>
  <si>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</si>
  <si>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</si>
  <si>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</si>
  <si>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</si>
  <si>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</si>
  <si>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</si>
  <si>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</si>
  <si>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</si>
  <si>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</si>
  <si>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</si>
  <si>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</si>
  <si>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</si>
  <si>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</si>
  <si>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</si>
  <si>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</si>
  <si>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</si>
  <si>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</si>
  <si>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</si>
  <si>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</si>
  <si>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</si>
  <si>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</si>
  <si>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</si>
  <si>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</si>
  <si>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</si>
  <si>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</si>
  <si>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</si>
  <si>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</si>
  <si>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</si>
  <si>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</si>
  <si>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</si>
  <si>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</si>
  <si>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</si>
  <si>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</si>
  <si>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</si>
  <si>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</si>
  <si>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</si>
  <si>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</si>
  <si>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</si>
  <si>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</si>
  <si>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</si>
  <si>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</si>
  <si>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</si>
  <si>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</si>
  <si>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</si>
  <si>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</si>
  <si>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</si>
  <si>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</si>
  <si>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</si>
  <si>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</si>
  <si>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</si>
  <si>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</si>
  <si>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</si>
  <si>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</si>
  <si>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</si>
  <si>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</si>
  <si>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</si>
  <si>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</si>
  <si>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</si>
  <si>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</si>
  <si>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</si>
  <si>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</si>
  <si>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</si>
  <si>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</si>
  <si>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</si>
  <si>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</si>
  <si>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</si>
  <si>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</si>
  <si>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</si>
  <si>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</si>
  <si>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</si>
  <si>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</si>
  <si>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</si>
  <si>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</si>
  <si>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</si>
  <si>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</si>
  <si>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</si>
  <si>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</si>
  <si>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</si>
  <si>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</si>
  <si>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</si>
  <si>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</si>
  <si>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</si>
  <si>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</si>
  <si>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</si>
  <si>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</si>
  <si>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</si>
  <si>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</si>
  <si>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</si>
  <si>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</si>
  <si>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</si>
  <si>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</si>
  <si>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</si>
  <si>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</si>
  <si>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</si>
  <si>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</si>
  <si>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</si>
  <si>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</si>
  <si>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</si>
  <si>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</si>
  <si>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</si>
  <si>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</si>
  <si>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</si>
  <si>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</si>
  <si>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</si>
  <si>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</si>
  <si>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</si>
  <si>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</si>
  <si>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</si>
  <si>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</si>
  <si>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</si>
  <si>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</si>
  <si>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</si>
  <si>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</si>
  <si>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</si>
  <si>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</si>
  <si>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</si>
  <si>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</si>
  <si>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</si>
  <si>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</si>
  <si>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</si>
  <si>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</si>
  <si>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</si>
  <si>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</si>
  <si>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</si>
  <si>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</si>
  <si>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</si>
  <si>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</si>
  <si>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</si>
  <si>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</si>
  <si>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</si>
  <si>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</si>
  <si>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</si>
  <si>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</si>
  <si>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</si>
  <si>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</si>
  <si>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</si>
  <si>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</si>
  <si>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</si>
  <si>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</si>
  <si>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</si>
  <si>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</si>
  <si>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</si>
  <si>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</si>
  <si>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</si>
  <si>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</si>
  <si>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</si>
  <si>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</si>
  <si>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</si>
  <si>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</si>
  <si>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</si>
  <si>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</si>
  <si>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</si>
  <si>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</si>
  <si>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</si>
  <si>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</si>
  <si>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</si>
  <si>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</si>
  <si>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</si>
  <si>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</si>
  <si>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</si>
  <si>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</si>
  <si>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</si>
  <si>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</si>
  <si>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</si>
  <si>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</si>
  <si>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</si>
  <si>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</si>
  <si>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</si>
  <si>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</si>
  <si>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</si>
  <si>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</si>
  <si>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</si>
  <si>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</si>
  <si>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</si>
  <si>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</si>
  <si>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</si>
  <si>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</si>
  <si>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</si>
  <si>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</si>
  <si>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</si>
  <si>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</si>
  <si>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</si>
  <si>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</si>
  <si>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</si>
  <si>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</si>
  <si>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</si>
  <si>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</si>
  <si>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</si>
  <si>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</si>
  <si>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</si>
  <si>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</si>
  <si>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</si>
  <si>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</si>
  <si>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</si>
  <si>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</si>
  <si>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</si>
  <si>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</si>
  <si>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</si>
  <si>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</si>
  <si>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</si>
  <si>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</si>
  <si>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</si>
  <si>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</si>
  <si>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</si>
  <si>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</si>
  <si>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</si>
  <si>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</si>
  <si>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</si>
  <si>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</si>
  <si>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</si>
  <si>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</si>
  <si>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</si>
  <si>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</si>
  <si>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</si>
  <si>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</si>
  <si>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</si>
  <si>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</si>
  <si>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</si>
  <si>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</si>
  <si>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</si>
  <si>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</si>
  <si>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</si>
  <si>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</si>
  <si>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</si>
  <si>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</si>
  <si>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</si>
  <si>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</si>
  <si>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</si>
  <si>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</si>
  <si>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</si>
  <si>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</si>
  <si>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</si>
  <si>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</si>
  <si>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</si>
  <si>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</si>
  <si>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</si>
  <si>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</si>
  <si>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</si>
  <si>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</si>
  <si>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</si>
  <si>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</si>
  <si>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</si>
  <si>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</si>
  <si>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</si>
  <si>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</si>
  <si>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</si>
  <si>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</si>
  <si>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</si>
  <si>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JAMES</t>
  </si>
  <si>
    <t>204:460</t>
  </si>
  <si>
    <t>204:158</t>
  </si>
  <si>
    <t>204:139</t>
  </si>
  <si>
    <t>204:451</t>
  </si>
  <si>
    <t>204:233312</t>
  </si>
  <si>
    <t>204:471</t>
  </si>
  <si>
    <t>STAMBAUGH</t>
  </si>
  <si>
    <t>204:154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</si>
  <si>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</si>
  <si>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</si>
  <si>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</si>
  <si>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</si>
  <si>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</si>
  <si>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</si>
  <si>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</si>
  <si>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rtdc.l.rtdc.4040:itc</t>
  </si>
  <si>
    <t>ROCHA</t>
  </si>
  <si>
    <t>YAOTL</t>
  </si>
  <si>
    <t>ANDERS</t>
  </si>
  <si>
    <t>STEVEN</t>
  </si>
  <si>
    <t>204:233291</t>
  </si>
  <si>
    <t>204:467</t>
  </si>
  <si>
    <t>204:473</t>
  </si>
  <si>
    <t>rtdc.l.rtdc.4055:itc</t>
  </si>
  <si>
    <t>MICHAEL</t>
  </si>
  <si>
    <t>204:160</t>
  </si>
  <si>
    <t>clear-night</t>
  </si>
  <si>
    <t>Clear</t>
  </si>
  <si>
    <t>rtdc.l.rtdc.4066:itc</t>
  </si>
  <si>
    <t>rtdc.l.rtdc.4065:itc</t>
  </si>
  <si>
    <t>MCREYNOLDS</t>
  </si>
  <si>
    <t>KYLE</t>
  </si>
  <si>
    <t>204:233314</t>
  </si>
  <si>
    <t>%REDMINEAPIKEY%</t>
  </si>
  <si>
    <t>204:232977</t>
  </si>
  <si>
    <t>204:464</t>
  </si>
  <si>
    <t>rtdc.l.rtdc.4052:itc</t>
  </si>
  <si>
    <t>rtdc.l.rtdc.4051:itc</t>
  </si>
  <si>
    <t>STEWART</t>
  </si>
  <si>
    <t>204:232994</t>
  </si>
  <si>
    <t>clear-day</t>
  </si>
  <si>
    <t>204:442</t>
  </si>
  <si>
    <t>204:462</t>
  </si>
  <si>
    <t>204:232987</t>
  </si>
  <si>
    <t>300:23346</t>
  </si>
  <si>
    <t>SIGNAL</t>
  </si>
  <si>
    <t>Signal based authority (5)</t>
  </si>
  <si>
    <t>rtdc.l.rtdc.4001:itc</t>
  </si>
  <si>
    <t>rtdc.l.rtdc.4002:itc</t>
  </si>
  <si>
    <t>204:438</t>
  </si>
  <si>
    <t>204:138</t>
  </si>
  <si>
    <t>204:440</t>
  </si>
  <si>
    <t>204:444</t>
  </si>
  <si>
    <t>204:233299</t>
  </si>
  <si>
    <t>204:141</t>
  </si>
  <si>
    <t>Wi-MAX data drop</t>
  </si>
  <si>
    <t>rtdc.l.rtdc.4008:itc</t>
  </si>
  <si>
    <t>204:233021</t>
  </si>
  <si>
    <t>204:233295</t>
  </si>
  <si>
    <t>204:232983</t>
  </si>
  <si>
    <t>rtdc.l.rtdc.4060:itc</t>
  </si>
  <si>
    <t>rtdc.l.rtdc.4059:itc</t>
  </si>
  <si>
    <t>rtdc.l.rtdc.4009:itc</t>
  </si>
  <si>
    <t>rtdc.l.rtdc.4010:itc</t>
  </si>
  <si>
    <t>YANAI</t>
  </si>
  <si>
    <t>IAN</t>
  </si>
  <si>
    <t>LEVERE</t>
  </si>
  <si>
    <t>CRAIG</t>
  </si>
  <si>
    <t>LEVIN</t>
  </si>
  <si>
    <t>SCOTT</t>
  </si>
  <si>
    <t>204:232996</t>
  </si>
  <si>
    <t>204:469</t>
  </si>
  <si>
    <t>204:233288</t>
  </si>
  <si>
    <t>204:233293</t>
  </si>
  <si>
    <t>204:233311</t>
  </si>
  <si>
    <t>204:437</t>
  </si>
  <si>
    <t>204:233327</t>
  </si>
  <si>
    <t>204:232980</t>
  </si>
  <si>
    <t>300:58931</t>
  </si>
  <si>
    <t>BONDS</t>
  </si>
  <si>
    <t>REYNALDO</t>
  </si>
  <si>
    <t>DE LA ROSA</t>
  </si>
  <si>
    <t>ALEX</t>
  </si>
  <si>
    <t>BRUDER</t>
  </si>
  <si>
    <t>RICHARD</t>
  </si>
  <si>
    <t>MOSES</t>
  </si>
  <si>
    <t>BRADLEY</t>
  </si>
  <si>
    <t>BIRKHOLZ</t>
  </si>
  <si>
    <t>NADINE</t>
  </si>
  <si>
    <t>204:233002</t>
  </si>
  <si>
    <t>204:232988</t>
  </si>
  <si>
    <t>204:132</t>
  </si>
  <si>
    <t>rtdc.l.rtdc.4018:itc</t>
  </si>
  <si>
    <t>rtdc.l.rtdc.4005:itc</t>
  </si>
  <si>
    <t>rtdc.l.rtdc.4007:itc</t>
  </si>
  <si>
    <t>Track device (7)</t>
  </si>
  <si>
    <t>rtdc.l.rtdc.4017:itc</t>
  </si>
  <si>
    <t>SWITCH UNKNOWN</t>
  </si>
  <si>
    <t>rtdc.l.rtdc.4039:itc</t>
  </si>
  <si>
    <t>rtdc.l.rtdc.4043:itc</t>
  </si>
  <si>
    <t>rtdc.l.rtdc.4044:itc</t>
  </si>
  <si>
    <t>DAVIS</t>
  </si>
  <si>
    <t>WENDY</t>
  </si>
  <si>
    <t>FORTUNATO</t>
  </si>
  <si>
    <t>FRANK</t>
  </si>
  <si>
    <t>GEBRETEKLE</t>
  </si>
  <si>
    <t>DAGNEW</t>
  </si>
  <si>
    <t>PAGE</t>
  </si>
  <si>
    <t>MARCUS</t>
  </si>
  <si>
    <t>ACKERMAN</t>
  </si>
  <si>
    <t>JARED</t>
  </si>
  <si>
    <t>rtdc.l.rtdc.4006:itc</t>
  </si>
  <si>
    <t>BERLING</t>
  </si>
  <si>
    <t>GARY</t>
  </si>
  <si>
    <t>HOLCOMB</t>
  </si>
  <si>
    <t>KAMDEN</t>
  </si>
  <si>
    <t>DELGADO</t>
  </si>
  <si>
    <t>DIANAH</t>
  </si>
  <si>
    <t>ZEWDU</t>
  </si>
  <si>
    <t>DEREJE</t>
  </si>
  <si>
    <t>204:233315</t>
  </si>
  <si>
    <t>204:134</t>
  </si>
  <si>
    <t>204:233309</t>
  </si>
  <si>
    <t>204:232982</t>
  </si>
  <si>
    <t>204:233013</t>
  </si>
  <si>
    <t>204:232986</t>
  </si>
  <si>
    <t>204:233334</t>
  </si>
  <si>
    <t>204:232984</t>
  </si>
  <si>
    <t>204:163</t>
  </si>
  <si>
    <t>204:233307</t>
  </si>
  <si>
    <t>204:233308</t>
  </si>
  <si>
    <t>204:233000</t>
  </si>
  <si>
    <t>204:233317</t>
  </si>
  <si>
    <t>204:484</t>
  </si>
  <si>
    <t>300:58658</t>
  </si>
  <si>
    <t>204:706</t>
  </si>
  <si>
    <t>204:713</t>
  </si>
  <si>
    <t>204:985</t>
  </si>
  <si>
    <t>300:58645</t>
  </si>
  <si>
    <t>204:677</t>
  </si>
  <si>
    <t>ANDERS STEVEN</t>
  </si>
  <si>
    <t>rtdc.l.rtdc.4015:itc</t>
  </si>
  <si>
    <t>rtdc.l.rtdc.4058:itc</t>
  </si>
  <si>
    <t>rtdc.l.rtdc.4024:itc</t>
  </si>
  <si>
    <t>rtdc.l.rtdc.4023:itc</t>
  </si>
  <si>
    <t>rtdc.l.rtdc.4057:itc</t>
  </si>
  <si>
    <t>rtdc.l.rtdc.4031:itc</t>
  </si>
  <si>
    <t>837-19</t>
  </si>
  <si>
    <t>216-19</t>
  </si>
  <si>
    <t>226-19</t>
  </si>
  <si>
    <t>SPECTOR</t>
  </si>
  <si>
    <t>MAELZER</t>
  </si>
  <si>
    <t>KURT</t>
  </si>
  <si>
    <t>WILLIAMS</t>
  </si>
  <si>
    <t>DONTE</t>
  </si>
  <si>
    <t>rtdc.l.rtdc.4016:itc</t>
  </si>
  <si>
    <t>rtdc.l.rtdc.4013:itc</t>
  </si>
  <si>
    <t>rtdc.l.rtdc.4014:itc</t>
  </si>
  <si>
    <t>HUFFSMITH</t>
  </si>
  <si>
    <t>MONTY</t>
  </si>
  <si>
    <t>BADERTSCHER</t>
  </si>
  <si>
    <t>DIANE</t>
  </si>
  <si>
    <t>DAVID</t>
  </si>
  <si>
    <t>rtdc.l.rtdc.4032:itc</t>
  </si>
  <si>
    <t>75-19</t>
  </si>
  <si>
    <t>206-19</t>
  </si>
  <si>
    <t>213-19</t>
  </si>
  <si>
    <t>79-19</t>
  </si>
  <si>
    <t>NICHOLSON</t>
  </si>
  <si>
    <t>WESLEY</t>
  </si>
  <si>
    <t>208-19</t>
  </si>
  <si>
    <t>215-19</t>
  </si>
  <si>
    <t>836-19</t>
  </si>
  <si>
    <t>210-19</t>
  </si>
  <si>
    <t>217-19</t>
  </si>
  <si>
    <t>ELBAUM</t>
  </si>
  <si>
    <t>MIKE</t>
  </si>
  <si>
    <t>212-19</t>
  </si>
  <si>
    <t>219-19</t>
  </si>
  <si>
    <t>838-19</t>
  </si>
  <si>
    <t>839-19</t>
  </si>
  <si>
    <t>214-19</t>
  </si>
  <si>
    <t>301-19</t>
  </si>
  <si>
    <t>218-19</t>
  </si>
  <si>
    <t>221-19</t>
  </si>
  <si>
    <t>SANTIZO</t>
  </si>
  <si>
    <t>D. EDY</t>
  </si>
  <si>
    <t>906-19</t>
  </si>
  <si>
    <t>840-19</t>
  </si>
  <si>
    <t>DAVIDSON</t>
  </si>
  <si>
    <t>841-19</t>
  </si>
  <si>
    <t>303-19</t>
  </si>
  <si>
    <t>220-19</t>
  </si>
  <si>
    <t>223-19</t>
  </si>
  <si>
    <t>222-19</t>
  </si>
  <si>
    <t>305-19</t>
  </si>
  <si>
    <t>225-19</t>
  </si>
  <si>
    <t>843-19</t>
  </si>
  <si>
    <t>224-19</t>
  </si>
  <si>
    <t>227-19</t>
  </si>
  <si>
    <t>842-19</t>
  </si>
  <si>
    <t>229-19</t>
  </si>
  <si>
    <t>845-19</t>
  </si>
  <si>
    <t>LOPES</t>
  </si>
  <si>
    <t>KIMBERLY</t>
  </si>
  <si>
    <t>231-19</t>
  </si>
  <si>
    <t>228-19</t>
  </si>
  <si>
    <t>844-19</t>
  </si>
  <si>
    <t>233-19</t>
  </si>
  <si>
    <t>230-19</t>
  </si>
  <si>
    <t>847-19</t>
  </si>
  <si>
    <t>232-19</t>
  </si>
  <si>
    <t>235-19</t>
  </si>
  <si>
    <t>846-19</t>
  </si>
  <si>
    <t>234-19</t>
  </si>
  <si>
    <t>237-19</t>
  </si>
  <si>
    <t>849-19</t>
  </si>
  <si>
    <t>236-19</t>
  </si>
  <si>
    <t>908-19</t>
  </si>
  <si>
    <t>239-19</t>
  </si>
  <si>
    <t>241-19</t>
  </si>
  <si>
    <t>238-19</t>
  </si>
  <si>
    <t>243-19</t>
  </si>
  <si>
    <t>240-19</t>
  </si>
  <si>
    <t>313-19</t>
  </si>
  <si>
    <t>242-19</t>
  </si>
  <si>
    <t>307-19</t>
  </si>
  <si>
    <t>244-19</t>
  </si>
  <si>
    <t>309-19</t>
  </si>
  <si>
    <t>311-19</t>
  </si>
  <si>
    <t>300-20</t>
  </si>
  <si>
    <t>Partly Cloudy</t>
  </si>
  <si>
    <t>partly-cloudy-night</t>
  </si>
  <si>
    <t>204:449</t>
  </si>
  <si>
    <t>204:165</t>
  </si>
  <si>
    <t>204:232978</t>
  </si>
  <si>
    <t>204:232973</t>
  </si>
  <si>
    <t>204:233340</t>
  </si>
  <si>
    <t>204:232969</t>
  </si>
  <si>
    <t>204:482</t>
  </si>
  <si>
    <t>204:232971</t>
  </si>
  <si>
    <t>204:233304</t>
  </si>
  <si>
    <t>204:232979</t>
  </si>
  <si>
    <t>204:232967</t>
  </si>
  <si>
    <t>204:233362</t>
  </si>
  <si>
    <t>204:233017</t>
  </si>
  <si>
    <t>204:233316</t>
  </si>
  <si>
    <t>204:427</t>
  </si>
  <si>
    <t>204:233280</t>
  </si>
  <si>
    <t>204:433</t>
  </si>
  <si>
    <t>204:233355</t>
  </si>
  <si>
    <t>204:233049</t>
  </si>
  <si>
    <t>204:233028</t>
  </si>
  <si>
    <t>204:233349</t>
  </si>
  <si>
    <t>204:233364</t>
  </si>
  <si>
    <t>300:23306</t>
  </si>
  <si>
    <t>300:23304</t>
  </si>
  <si>
    <t>204:1505</t>
  </si>
  <si>
    <t>300:58702</t>
  </si>
  <si>
    <t>204:972</t>
  </si>
  <si>
    <t>300:58976</t>
  </si>
  <si>
    <t>300:58944</t>
  </si>
  <si>
    <t>300:58924</t>
  </si>
  <si>
    <t>204:969</t>
  </si>
  <si>
    <t>204:1002</t>
  </si>
  <si>
    <t>300:58935</t>
  </si>
  <si>
    <t>300:58617</t>
  </si>
  <si>
    <t>204:992</t>
  </si>
  <si>
    <t>204:720</t>
  </si>
  <si>
    <t>300:58600</t>
  </si>
  <si>
    <t>Onboard en route failure</t>
  </si>
  <si>
    <t>rtdc.l.rtdc.4063:itc</t>
  </si>
  <si>
    <t>302-20</t>
  </si>
  <si>
    <t>rtdc.l.rtdc.4054:itc</t>
  </si>
  <si>
    <t>101-20</t>
  </si>
  <si>
    <t>60-20</t>
  </si>
  <si>
    <t>814-20</t>
  </si>
  <si>
    <t>818-20</t>
  </si>
  <si>
    <t>170-20</t>
  </si>
  <si>
    <t>rtdc.l.rtdc.4056:itc</t>
  </si>
  <si>
    <t>181-20</t>
  </si>
  <si>
    <t>174-20</t>
  </si>
  <si>
    <t>187-20</t>
  </si>
  <si>
    <t>825-20</t>
  </si>
  <si>
    <t>186-20</t>
  </si>
  <si>
    <t>rtdc.l.rtdc.4025:itc</t>
  </si>
  <si>
    <t>190-20</t>
  </si>
  <si>
    <t>200-20</t>
  </si>
  <si>
    <t>834-20</t>
  </si>
  <si>
    <t>836-20</t>
  </si>
  <si>
    <t>837-20</t>
  </si>
  <si>
    <t>221-20</t>
  </si>
  <si>
    <t>843-20</t>
  </si>
  <si>
    <t>846-20</t>
  </si>
  <si>
    <t>237-20</t>
  </si>
  <si>
    <t>246-20</t>
  </si>
  <si>
    <t>51-20</t>
  </si>
  <si>
    <t>52-20</t>
  </si>
  <si>
    <t>rtdc.l.rtdc.4064:itc</t>
  </si>
  <si>
    <t>103-20</t>
  </si>
  <si>
    <t>304-20</t>
  </si>
  <si>
    <t>rtdc.l.rtdc.4053:itc</t>
  </si>
  <si>
    <t>102-20</t>
  </si>
  <si>
    <t>rtdc.l.rtdc.4026:itc</t>
  </si>
  <si>
    <t>105-20</t>
  </si>
  <si>
    <t>306-20</t>
  </si>
  <si>
    <t>107-20</t>
  </si>
  <si>
    <t>308-20</t>
  </si>
  <si>
    <t>104-20</t>
  </si>
  <si>
    <t>109-20</t>
  </si>
  <si>
    <t>901-20</t>
  </si>
  <si>
    <t>111-20</t>
  </si>
  <si>
    <t>310-20</t>
  </si>
  <si>
    <t>MACDONALD</t>
  </si>
  <si>
    <t>THOMAS</t>
  </si>
  <si>
    <t>106-20</t>
  </si>
  <si>
    <t>108-20</t>
  </si>
  <si>
    <t>113-20</t>
  </si>
  <si>
    <t>800-20</t>
  </si>
  <si>
    <t>312-20</t>
  </si>
  <si>
    <t>59-20</t>
  </si>
  <si>
    <t>115-20</t>
  </si>
  <si>
    <t>110-20</t>
  </si>
  <si>
    <t>117-20</t>
  </si>
  <si>
    <t>801-20</t>
  </si>
  <si>
    <t>112-20</t>
  </si>
  <si>
    <t>902-20</t>
  </si>
  <si>
    <t>119-20</t>
  </si>
  <si>
    <t>114-20</t>
  </si>
  <si>
    <t>802-20</t>
  </si>
  <si>
    <t>803-20</t>
  </si>
  <si>
    <t>121-20</t>
  </si>
  <si>
    <t>116-20</t>
  </si>
  <si>
    <t>118-20</t>
  </si>
  <si>
    <t>123-20</t>
  </si>
  <si>
    <t>804-20</t>
  </si>
  <si>
    <t>805-20</t>
  </si>
  <si>
    <t>125-20</t>
  </si>
  <si>
    <t>122-20</t>
  </si>
  <si>
    <t>127-20</t>
  </si>
  <si>
    <t>120-20</t>
  </si>
  <si>
    <t>806-20</t>
  </si>
  <si>
    <t>807-20</t>
  </si>
  <si>
    <t>129-20</t>
  </si>
  <si>
    <t>124-20</t>
  </si>
  <si>
    <t>131-20</t>
  </si>
  <si>
    <t>808-20</t>
  </si>
  <si>
    <t>809-20</t>
  </si>
  <si>
    <t>126-20</t>
  </si>
  <si>
    <t>133-20</t>
  </si>
  <si>
    <t>128-20</t>
  </si>
  <si>
    <t>130-20</t>
  </si>
  <si>
    <t>135-20</t>
  </si>
  <si>
    <t>810-20</t>
  </si>
  <si>
    <t>811-20</t>
  </si>
  <si>
    <t>132-20</t>
  </si>
  <si>
    <t>137-20</t>
  </si>
  <si>
    <t>139-20</t>
  </si>
  <si>
    <t>53-20</t>
  </si>
  <si>
    <t>812-20</t>
  </si>
  <si>
    <t>54-20</t>
  </si>
  <si>
    <t>903-20</t>
  </si>
  <si>
    <t>136-20</t>
  </si>
  <si>
    <t>134-20</t>
  </si>
  <si>
    <t>141-20</t>
  </si>
  <si>
    <t>143-20</t>
  </si>
  <si>
    <t>138-20</t>
  </si>
  <si>
    <t>813-20</t>
  </si>
  <si>
    <t>145-20</t>
  </si>
  <si>
    <t>147-20</t>
  </si>
  <si>
    <t>140-20</t>
  </si>
  <si>
    <t>142-20</t>
  </si>
  <si>
    <t>149-20</t>
  </si>
  <si>
    <t>144-20</t>
  </si>
  <si>
    <t>146-20</t>
  </si>
  <si>
    <t>151-20</t>
  </si>
  <si>
    <t>815-20</t>
  </si>
  <si>
    <t>153-20</t>
  </si>
  <si>
    <t>148-20</t>
  </si>
  <si>
    <t>150-20</t>
  </si>
  <si>
    <t>816-20</t>
  </si>
  <si>
    <t>155-20</t>
  </si>
  <si>
    <t>157-20</t>
  </si>
  <si>
    <t>56-20</t>
  </si>
  <si>
    <t>152-20</t>
  </si>
  <si>
    <t>159-20</t>
  </si>
  <si>
    <t>817-20</t>
  </si>
  <si>
    <t>154-20</t>
  </si>
  <si>
    <t>61-20</t>
  </si>
  <si>
    <t>161-20</t>
  </si>
  <si>
    <t>SAFIEF</t>
  </si>
  <si>
    <t>AEIMEN</t>
  </si>
  <si>
    <t>156-20</t>
  </si>
  <si>
    <t>163-20</t>
  </si>
  <si>
    <t>158-20</t>
  </si>
  <si>
    <t>160-20</t>
  </si>
  <si>
    <t>165-20</t>
  </si>
  <si>
    <t>167-20</t>
  </si>
  <si>
    <t>162-20</t>
  </si>
  <si>
    <t>819-20</t>
  </si>
  <si>
    <t>169-20</t>
  </si>
  <si>
    <t>164-20</t>
  </si>
  <si>
    <t>171-20</t>
  </si>
  <si>
    <t>820-20</t>
  </si>
  <si>
    <t>166-20</t>
  </si>
  <si>
    <t>168-20</t>
  </si>
  <si>
    <t>173-20</t>
  </si>
  <si>
    <t>175-20</t>
  </si>
  <si>
    <t>821-20</t>
  </si>
  <si>
    <t>177-20</t>
  </si>
  <si>
    <t>172-20</t>
  </si>
  <si>
    <t>179-20</t>
  </si>
  <si>
    <t>822-20</t>
  </si>
  <si>
    <t>176-20</t>
  </si>
  <si>
    <t>183-20</t>
  </si>
  <si>
    <t>823-20</t>
  </si>
  <si>
    <t>178-20</t>
  </si>
  <si>
    <t>185-20</t>
  </si>
  <si>
    <t>180-20</t>
  </si>
  <si>
    <t>182-20</t>
  </si>
  <si>
    <t>824-20</t>
  </si>
  <si>
    <t>189-20</t>
  </si>
  <si>
    <t>184-20</t>
  </si>
  <si>
    <t>191-20</t>
  </si>
  <si>
    <t>193-20</t>
  </si>
  <si>
    <t>904-20</t>
  </si>
  <si>
    <t>SMITH</t>
  </si>
  <si>
    <t>188-20</t>
  </si>
  <si>
    <t>195-20</t>
  </si>
  <si>
    <t>826-20</t>
  </si>
  <si>
    <t>827-20</t>
  </si>
  <si>
    <t>197-20</t>
  </si>
  <si>
    <t>192-20</t>
  </si>
  <si>
    <t>199-20</t>
  </si>
  <si>
    <t>828-20</t>
  </si>
  <si>
    <t>829-20</t>
  </si>
  <si>
    <t>194-20</t>
  </si>
  <si>
    <t>201-20</t>
  </si>
  <si>
    <t>196-20</t>
  </si>
  <si>
    <t>203-20</t>
  </si>
  <si>
    <t>830-20</t>
  </si>
  <si>
    <t>831-20</t>
  </si>
  <si>
    <t>198-20</t>
  </si>
  <si>
    <t>205-20</t>
  </si>
  <si>
    <t>75-20</t>
  </si>
  <si>
    <t>207-20</t>
  </si>
  <si>
    <t>832-20</t>
  </si>
  <si>
    <t>833-20</t>
  </si>
  <si>
    <t>202-20</t>
  </si>
  <si>
    <t>209-20</t>
  </si>
  <si>
    <t>204-20</t>
  </si>
  <si>
    <t>77-20</t>
  </si>
  <si>
    <t>211-20</t>
  </si>
  <si>
    <t>835-20</t>
  </si>
  <si>
    <t>206-20</t>
  </si>
  <si>
    <t>213-20</t>
  </si>
  <si>
    <t>208-20</t>
  </si>
  <si>
    <t>72-20</t>
  </si>
  <si>
    <t>WEST</t>
  </si>
  <si>
    <t>BRYAN</t>
  </si>
  <si>
    <t>215-20</t>
  </si>
  <si>
    <t>210-20</t>
  </si>
  <si>
    <t>217-20</t>
  </si>
  <si>
    <t>212-20</t>
  </si>
  <si>
    <t>214-20</t>
  </si>
  <si>
    <t>219-20</t>
  </si>
  <si>
    <t>839-20</t>
  </si>
  <si>
    <t>838-20</t>
  </si>
  <si>
    <t>301-20</t>
  </si>
  <si>
    <t>216-20</t>
  </si>
  <si>
    <t>GUNTHIER</t>
  </si>
  <si>
    <t>ERIC</t>
  </si>
  <si>
    <t>906-20</t>
  </si>
  <si>
    <t>218-20</t>
  </si>
  <si>
    <t>841-20</t>
  </si>
  <si>
    <t>303-20</t>
  </si>
  <si>
    <t>220-20</t>
  </si>
  <si>
    <t>223-20</t>
  </si>
  <si>
    <t>840-20</t>
  </si>
  <si>
    <t>305-20</t>
  </si>
  <si>
    <t>222-20</t>
  </si>
  <si>
    <t>225-20</t>
  </si>
  <si>
    <t>227-20</t>
  </si>
  <si>
    <t>224-20</t>
  </si>
  <si>
    <t>842-20</t>
  </si>
  <si>
    <t>226-20</t>
  </si>
  <si>
    <t>229-20</t>
  </si>
  <si>
    <t>845-20</t>
  </si>
  <si>
    <t>228-20</t>
  </si>
  <si>
    <t>231-20</t>
  </si>
  <si>
    <t>844-20</t>
  </si>
  <si>
    <t>230-20</t>
  </si>
  <si>
    <t>233-20</t>
  </si>
  <si>
    <t>847-20</t>
  </si>
  <si>
    <t>235-20</t>
  </si>
  <si>
    <t>232-20</t>
  </si>
  <si>
    <t>234-20</t>
  </si>
  <si>
    <t>849-20</t>
  </si>
  <si>
    <t>236-20</t>
  </si>
  <si>
    <t>239-20</t>
  </si>
  <si>
    <t>908-20</t>
  </si>
  <si>
    <t>241-20</t>
  </si>
  <si>
    <t>240-20</t>
  </si>
  <si>
    <t>243-20</t>
  </si>
  <si>
    <t>242-20</t>
  </si>
  <si>
    <t>245-20</t>
  </si>
  <si>
    <t>713-20</t>
  </si>
  <si>
    <t>244-20</t>
  </si>
  <si>
    <t>307-20</t>
  </si>
  <si>
    <t>309-20</t>
  </si>
  <si>
    <t>311-20</t>
  </si>
  <si>
    <t>Mostly Cloudy</t>
  </si>
  <si>
    <t>204:768</t>
  </si>
  <si>
    <t>204:125826</t>
  </si>
  <si>
    <t>204:934</t>
  </si>
  <si>
    <t>204:233030</t>
  </si>
  <si>
    <t>204:233251</t>
  </si>
  <si>
    <t>204:170</t>
  </si>
  <si>
    <t>204:233025</t>
  </si>
  <si>
    <t>204:233278</t>
  </si>
  <si>
    <t>204:233289</t>
  </si>
  <si>
    <t>204:232974</t>
  </si>
  <si>
    <t>204:480</t>
  </si>
  <si>
    <t>204:233015</t>
  </si>
  <si>
    <t>204:475</t>
  </si>
  <si>
    <t>204:233286</t>
  </si>
  <si>
    <t>204:232975</t>
  </si>
  <si>
    <t>204:233283</t>
  </si>
  <si>
    <t>204:1177</t>
  </si>
  <si>
    <t>204:233328</t>
  </si>
  <si>
    <t>204:233036</t>
  </si>
  <si>
    <t>204:233011</t>
  </si>
  <si>
    <t>204:232992</t>
  </si>
  <si>
    <t>204:233325</t>
  </si>
  <si>
    <t>204:233323</t>
  </si>
  <si>
    <t>204:233006</t>
  </si>
  <si>
    <t>204:233331</t>
  </si>
  <si>
    <t>204:233300</t>
  </si>
  <si>
    <t>204:233270</t>
  </si>
  <si>
    <t>204:232968</t>
  </si>
  <si>
    <t>204:232953</t>
  </si>
  <si>
    <t>204:233324</t>
  </si>
  <si>
    <t>204:233038</t>
  </si>
  <si>
    <t>204:431</t>
  </si>
  <si>
    <t>204:233010</t>
  </si>
  <si>
    <t>204:233330</t>
  </si>
  <si>
    <t>204:233005</t>
  </si>
  <si>
    <t>204:233045</t>
  </si>
  <si>
    <t>204:233345</t>
  </si>
  <si>
    <t>204:233007</t>
  </si>
  <si>
    <t>204:233004</t>
  </si>
  <si>
    <t>204:233329</t>
  </si>
  <si>
    <t>204:233341</t>
  </si>
  <si>
    <t>204:233046</t>
  </si>
  <si>
    <t>204:67258</t>
  </si>
  <si>
    <t>204:180</t>
  </si>
  <si>
    <t>204:127855</t>
  </si>
  <si>
    <t>204:233320</t>
  </si>
  <si>
    <t>204:233366</t>
  </si>
  <si>
    <t>204:233043</t>
  </si>
  <si>
    <t>204:69793</t>
  </si>
  <si>
    <t>204:64002</t>
  </si>
  <si>
    <t>204:62243</t>
  </si>
  <si>
    <t>204:233276</t>
  </si>
  <si>
    <t>204:119</t>
  </si>
  <si>
    <t>204:232959</t>
  </si>
  <si>
    <t>204:233040</t>
  </si>
  <si>
    <t>204:37185</t>
  </si>
  <si>
    <t>204:233284</t>
  </si>
  <si>
    <t>204:232955</t>
  </si>
  <si>
    <t>204:416</t>
  </si>
  <si>
    <t>204:233378</t>
  </si>
  <si>
    <t>204:233322</t>
  </si>
  <si>
    <t>300:19896</t>
  </si>
  <si>
    <t>204:4625</t>
  </si>
  <si>
    <t>300:23392</t>
  </si>
  <si>
    <t>300:23301</t>
  </si>
  <si>
    <t>300:23686</t>
  </si>
  <si>
    <t>300:22258</t>
  </si>
  <si>
    <t>204:169</t>
  </si>
  <si>
    <t>300:23289</t>
  </si>
  <si>
    <t>300:23074</t>
  </si>
  <si>
    <t>204:172</t>
  </si>
  <si>
    <t>300:23308</t>
  </si>
  <si>
    <t>300:23754</t>
  </si>
  <si>
    <t>204:3546</t>
  </si>
  <si>
    <t>204:1511</t>
  </si>
  <si>
    <t>204:3551</t>
  </si>
  <si>
    <t>204:3207</t>
  </si>
  <si>
    <t>204:1196</t>
  </si>
  <si>
    <t>204:3238</t>
  </si>
  <si>
    <t>204:3534</t>
  </si>
  <si>
    <t>204:3220</t>
  </si>
  <si>
    <t>300:22231</t>
  </si>
  <si>
    <t>204:162</t>
  </si>
  <si>
    <t>204:1236</t>
  </si>
  <si>
    <t>300:21721</t>
  </si>
  <si>
    <t>204:1184</t>
  </si>
  <si>
    <t>300:24243</t>
  </si>
  <si>
    <t>300:23111</t>
  </si>
  <si>
    <t>300:23574</t>
  </si>
  <si>
    <t>204:1358</t>
  </si>
  <si>
    <t>204:1490</t>
  </si>
  <si>
    <t>204:1165</t>
  </si>
  <si>
    <t>300:58604</t>
  </si>
  <si>
    <t>204:986</t>
  </si>
  <si>
    <t>300:57240</t>
  </si>
  <si>
    <t>300:57242</t>
  </si>
  <si>
    <t>204:705</t>
  </si>
  <si>
    <t>204:981</t>
  </si>
  <si>
    <t>300:58978</t>
  </si>
  <si>
    <t>300:58647</t>
  </si>
  <si>
    <t>204:685</t>
  </si>
  <si>
    <t>204:999</t>
  </si>
  <si>
    <t>300:57263</t>
  </si>
  <si>
    <t>300:58632</t>
  </si>
  <si>
    <t>300:57253</t>
  </si>
  <si>
    <t>300:58971</t>
  </si>
  <si>
    <t>300:58649</t>
  </si>
  <si>
    <t>204:1014</t>
  </si>
  <si>
    <t>300:58636</t>
  </si>
  <si>
    <t>300:57246</t>
  </si>
  <si>
    <t>300:57250</t>
  </si>
  <si>
    <t>204:687</t>
  </si>
  <si>
    <t>204:953</t>
  </si>
  <si>
    <t>300:58655</t>
  </si>
  <si>
    <t>204:965</t>
  </si>
  <si>
    <t>300:58973</t>
  </si>
  <si>
    <t>300:58653</t>
  </si>
  <si>
    <t>204:680</t>
  </si>
  <si>
    <t>300:58969</t>
  </si>
  <si>
    <t>300:58656</t>
  </si>
  <si>
    <t>204:656</t>
  </si>
  <si>
    <t>204:971</t>
  </si>
  <si>
    <t>300:58660</t>
  </si>
  <si>
    <t>204:4576</t>
  </si>
  <si>
    <t>204:682</t>
  </si>
  <si>
    <t>204:962</t>
  </si>
  <si>
    <t>300:58664</t>
  </si>
  <si>
    <t>204:712</t>
  </si>
  <si>
    <t>300:58918</t>
  </si>
  <si>
    <t>300:58592</t>
  </si>
  <si>
    <t>204:990</t>
  </si>
  <si>
    <t>300:59005</t>
  </si>
  <si>
    <t>300:58687</t>
  </si>
  <si>
    <t>204:974</t>
  </si>
  <si>
    <t>300:58928</t>
  </si>
  <si>
    <t>204:689</t>
  </si>
  <si>
    <t>300:58965</t>
  </si>
  <si>
    <t>204:710</t>
  </si>
  <si>
    <t>300:58666</t>
  </si>
  <si>
    <t>204:722</t>
  </si>
  <si>
    <t>204:731</t>
  </si>
  <si>
    <t>300:58975</t>
  </si>
  <si>
    <t>204:750</t>
  </si>
  <si>
    <t>300:59018</t>
  </si>
  <si>
    <t>300:58613</t>
  </si>
  <si>
    <t>204:694</t>
  </si>
  <si>
    <t>204:1020</t>
  </si>
  <si>
    <t>300:58926</t>
  </si>
  <si>
    <t>300:58619</t>
  </si>
  <si>
    <t>204:4548</t>
  </si>
  <si>
    <t>300:58933</t>
  </si>
  <si>
    <t>300:58927</t>
  </si>
  <si>
    <t>300:30180</t>
  </si>
  <si>
    <t>300:23476</t>
  </si>
  <si>
    <t>300:24258</t>
  </si>
  <si>
    <t>300:23336</t>
  </si>
  <si>
    <t>300:28786</t>
  </si>
  <si>
    <t>300:28791</t>
  </si>
  <si>
    <t>start /low /b %USERPROFILE%\Documents\GitHub\eaglep3\Utilities\DownloadLogsFromS3.py --loco 4054 --day 2017-10-20</t>
  </si>
  <si>
    <t>start /low /b %USERPROFILE%\Documents\GitHub\eaglep3\Utilities\DownloadLogsFromS3.py --loco 4063 --day 2017-10-20</t>
  </si>
  <si>
    <t>start /low /b %USERPROFILE%\Documents\GitHub\eaglep3\Utilities\DownloadLogsFromS3.py --loco 4043 --day 2017-10-20</t>
  </si>
  <si>
    <t>start /low /b %USERPROFILE%\Documents\GitHub\eaglep3\Utilities\DownloadLogsFromS3.py --loco 4015 --day 2017-10-20</t>
  </si>
  <si>
    <t>start /low /b %USERPROFILE%\Documents\GitHub\eaglep3\Utilities\DownloadLogsFromS3.py --loco 4056 --day 2017-10-20</t>
  </si>
  <si>
    <t>start /low /b %USERPROFILE%\Documents\GitHub\eaglep3\Utilities\DownloadLogsFromS3.py --loco 4051 --day 2017-10-20</t>
  </si>
  <si>
    <t>start /low /b %USERPROFILE%\Documents\GitHub\eaglep3\Utilities\DownloadLogsFromS3.py --loco 4059 --day 2017-10-20</t>
  </si>
  <si>
    <t>start /low /b %USERPROFILE%\Documents\GitHub\eaglep3\Utilities\DownloadLogsFromS3.py --loco 4032 --day 2017-10-20</t>
  </si>
  <si>
    <t>start /low /b %USERPROFILE%\Documents\GitHub\eaglep3\Utilities\DownloadLogsFromS3.py --loco 4056 --day 2017-10-21</t>
  </si>
  <si>
    <t>start /low /b %USERPROFILE%\Documents\GitHub\eaglep3\Utilities\DownloadLogsFromS3.py --loco 4025 --day 2017-10-20</t>
  </si>
  <si>
    <t>start /low /b %USERPROFILE%\Documents\GitHub\eaglep3\Utilities\DownloadLogsFromS3.py --loco 4031 --day 2017-10-20</t>
  </si>
  <si>
    <t>start /low /b %USERPROFILE%\Documents\GitHub\eaglep3\Utilities\DownloadLogsFromS3.py --loco 4023 --day 2017-10-21</t>
  </si>
  <si>
    <t>start /low /b %USERPROFILE%\Documents\GitHub\eaglep3\Utilities\DownloadLogsFromS3.py --loco 4051 --day 2017-10-21</t>
  </si>
  <si>
    <t>start /low /b %USERPROFILE%\Documents\GitHub\eaglep3\Utilities\DownloadLogsFromS3.py --loco 4059 --day 2017-10-21</t>
  </si>
  <si>
    <t>start /low /b %USERPROFILE%\Documents\GitHub\eaglep3\Utilities\DownloadLogsFromS3.py --loco 4060 --day 2017-10-20</t>
  </si>
  <si>
    <t>start /low /b %USERPROFILE%\Documents\GitHub\eaglep3\Utilities\DownloadLogsFromS3.py --loco 4060 --day 2017-10-21</t>
  </si>
  <si>
    <t>Trip delay at Peoria due to passenger illness, no PTC issues</t>
  </si>
  <si>
    <t>Trip 200-20 saw the 4S at CP Sand Creek drop from SG-5 to SG-1 in front of the train at about 17:19:38.  Do the logs indicate anything unusual for this signal?  Thanks!</t>
  </si>
  <si>
    <t>Premature downgrade at CP Sand Creek 4S</t>
  </si>
  <si>
    <t>2 early arrivals in a row, cut-out to maintain schedule</t>
  </si>
  <si>
    <t>238-20</t>
  </si>
  <si>
    <t>No init at DIA after cycling Wi-MAX and PTC data breakers, propulsion problems en route to DUS</t>
  </si>
  <si>
    <t>204:37186</t>
  </si>
  <si>
    <t>Signal issue at CP Sand Creek 4S related to Trip 200-20</t>
  </si>
  <si>
    <t>Went active too close to S. Westminster 2S</t>
  </si>
  <si>
    <t>Poor GPS under Wewatta St. overpass</t>
  </si>
  <si>
    <t>Observed unhealthy crossing at Chambers due to station stop at 40th</t>
  </si>
  <si>
    <t>Wi-MAX data drop, observed unhealthy crossing banner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</si>
</sst>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12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43028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43028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COUNTIFS($N$13:$N$9455,"&gt;0",$AG$13:$AG$9455,I1)</f>
        <v>141</v>
      </c>
      <c r="K5" s="39"/>
      <c r="L5" s="172"/>
      <c r="M5" s="40">
        <f>AVERAGEIFS($N$13:$N$9455,$AG$13:$AG$9455,I1)</f>
        <v>37.490898345329583</v>
      </c>
      <c r="N5" s="38">
        <f t="array" ref="N5">MIN(IF($AG$13:$AG$9455=I1,IF(ISNUMBER($N$13:$N$9455),IF($N$13:$N$9455&gt;0,$N$13:$N$9455))))</f>
        <v>33.800000001210719</v>
      </c>
      <c r="O5" s="3">
        <f t="array" ref="O5">MAX(IF($AG$13:$AG$9455=I1,IF(ISNUMBER($N$13:$N$9455),IF($N$13:$N$9455&gt;0,$N$13:$N$9455))))</f>
        <v>54.183333332184702</v>
      </c>
      <c r="P5" s="2"/>
      <c r="R5" s="163" t="s">
        <v>17</v>
      </c>
      <c r="S5" s="207">
        <f>COUNTIFS($N$13:$N$9455,"&gt;0",$AG$13:$AG$9455,R1)</f>
        <v>49</v>
      </c>
      <c r="T5" s="172"/>
      <c r="U5" s="195"/>
      <c r="V5" s="211">
        <f>AVERAGEIFS($N$13:$N$9455,$AG$13:$AG$9455,R1)</f>
        <v>16.074149660072383</v>
      </c>
      <c r="W5" s="212">
        <f t="array" ref="W5">MIN(IF($AG$13:$AG$9455=R1,IF(ISNUMBER($N$13:$N$9455),IF($N$13:$N$9455&gt;0,$N$13:$N$9455))))</f>
        <v>10.26666666730307</v>
      </c>
      <c r="X5" s="200">
        <f t="array" ref="X5">MAX(IF($AG$13:$AG$9455=R1,IF(ISNUMBER($N$13:$N$9455),IF($N$13:$N$9455&gt;0,$N$13:$N$9455))))</f>
        <v>24.833333333954215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COUNT($O$13:$O$213)</f>
        <v>0</v>
      </c>
      <c r="K6" s="39"/>
      <c r="L6" s="172"/>
      <c r="M6" s="40">
        <f>IFERROR(AVERAGE($O$13:$O$213),0)</f>
        <v>0</v>
      </c>
      <c r="N6" s="38">
        <f>MIN($O$13:$O$213)</f>
        <v>0</v>
      </c>
      <c r="O6" s="3">
        <f>MAX($O$13:$O$213)</f>
        <v>0</v>
      </c>
      <c r="P6" s="2"/>
      <c r="R6" s="164" t="s">
        <v>43</v>
      </c>
      <c r="S6" s="207">
        <f>COUNT($O$13:$O$213)</f>
        <v>0</v>
      </c>
      <c r="T6" s="172"/>
      <c r="U6" s="195"/>
      <c r="V6" s="211">
        <f>IFERROR(AVERAGE($O$13:$O$213),0)</f>
        <v>0</v>
      </c>
      <c r="W6" s="212">
        <f>MIN($O$13:$O$213)</f>
        <v>0</v>
      </c>
      <c r="X6" s="200">
        <f>MAX($O$13:$O$213)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COUNTIFS($P$13:$P$9455,"&gt;0",$AG$13:$AG$9455,I1)</f>
        <v>5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COUNTIFS($P$13:$P$9455,"&gt;0",$AG$13:$AG$9455,R1)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2"/>
      <c r="M8" s="40">
        <f>M5</f>
        <v>37.490898345329583</v>
      </c>
      <c r="N8" s="38">
        <f>N5</f>
        <v>33.800000001210719</v>
      </c>
      <c r="O8" s="3">
        <f>O5</f>
        <v>54.183333332184702</v>
      </c>
      <c r="P8" s="2"/>
      <c r="R8" s="163" t="s">
        <v>16</v>
      </c>
      <c r="S8" s="207">
        <f>S5</f>
        <v>49</v>
      </c>
      <c r="T8" s="172"/>
      <c r="U8" s="195"/>
      <c r="V8" s="211">
        <f>V5</f>
        <v>16.074149660072383</v>
      </c>
      <c r="W8" s="212">
        <f>W5</f>
        <v>10.26666666730307</v>
      </c>
      <c r="X8" s="200">
        <f>X5</f>
        <v>24.833333333954215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0.96575342465753422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- 2017-10-20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AVERAGE(S13:S116)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375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635</v>
      </c>
      <c r="B13" s="7">
        <v>4054</v>
      </c>
      <c r="C13" s="21" t="s">
        <v>194</v>
      </c>
      <c r="D13" s="21" t="s">
        <v>873</v>
      </c>
      <c r="E13" s="13">
        <v>43028.12568287037</v>
      </c>
      <c r="F13" s="13">
        <v>43028.135613425926</v>
      </c>
      <c r="G13" s="7">
        <v>54</v>
      </c>
      <c r="H13" s="21" t="s">
        <v>874</v>
      </c>
      <c r="I13" s="13">
        <v>43028.150520833333</v>
      </c>
      <c r="J13" s="7">
        <v>0</v>
      </c>
      <c r="K13" s="89" t="str">
        <f>IF(ISEVEN(B13),(B13-1)&amp;"/"&amp;B13,B13&amp;"/"&amp;(B13+1))</f>
        <v>4053/4054</v>
      </c>
      <c r="L13" s="185" t="str">
        <f>VLOOKUP(A13,'Trips&amp;Operators'!$C$1:$G$99911,5,FALSE)</f>
        <v>YORK EDGAR</v>
      </c>
      <c r="M13" s="6">
        <f>I13-F13</f>
        <v>1.4907407407008577E-2</v>
      </c>
      <c r="N13" s="7"/>
      <c r="O13" s="7"/>
      <c r="P13" s="7">
        <f>24*60*SUM($M13:$M13)</f>
        <v>21.466666666092351</v>
      </c>
      <c r="Q13" s="22"/>
      <c r="R13" s="167" t="s">
        <v>416</v>
      </c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-20T02:00:59-0600',mode:absolute,to:'2017-10-20T04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" s="204" t="str">
        <f>IF(AA13&lt;VLOOKUP(AG13,Variables!$AC$3:$AD$8,2,FALSE),"Y","N")</f>
        <v>Y</v>
      </c>
      <c r="X13" s="204" t="e">
        <f>VALUE(LEFT(AD13,4))-VALUE(LEFT(AD12,4))</f>
        <v>#VALUE!</v>
      </c>
      <c r="Y13" s="204">
        <f>RIGHT(D13,LEN(D13)-4)/10000</f>
        <v>7.6799999999999993E-2</v>
      </c>
      <c r="Z13" s="204">
        <f>RIGHT(H13,LEN(H13)-4)/10000</f>
        <v>12.582599999999999</v>
      </c>
      <c r="AA13" s="204">
        <f>ABS(Z13-Y13)</f>
        <v>12.505799999999999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s3://rtdc.mdm.uploadarchive.raw/RTDC4054/ "%USERPROFILE%\AppData\Local\Temp\OnboardLogs"\RTDC4054\2017-10-20 --exclude "*" --recursive --include "*20171020*" &amp; "%USERPROFILE%\Documents\GitHub\mrs-test-scripts\Headless Mode &amp; Sideloading\WalkAndUnGZ.bat" "%USERPROFILE%\AppData\Local\Temp\OnboardLogs"\RTDC4054\2017-10-20 &amp; aws s3 cp s3://rtdc.mdm.uploadarchive.raw/RTDC4054/ "%USERPROFILE%\AppData\Local\Temp\OnboardLogs"\RTDC4054\2017-10-21 --exclude "*" --recursive --include "*20171021*" &amp; "%USERPROFILE%\Documents\GitHub\mrs-test-scripts\Headless Mode &amp; Sideloading\WalkAndUnGZ.bat" "%USERPROFILE%\AppData\Local\Temp\OnboardLogs"\RTDC4054\2017-10-21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/stypes="app*4054*20171020*"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4054 --swversion DE.1.0.9.0 --startMP 204:768 --initTime 2017-10-20T03:00:59 --startdatetime 2017-10-20T03:15:17 --delay 54 --endMP 204:125826 --enddatetime 2017-10-20T03:36:45 --enforcementcount 0 &gt;&gt;%USERPROFILE%\Documents\GitHub\eaglep3-reporting\EC\2017-10-20-refined-times.txt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drop","project_id":79,"tracker_id":40,"status_id":1,"priority_id":2,"assigned_to_id":338,"start_date":"2017-10-20","description":"","custom_fields":[{"id":1,"name":"Subdivision","value":"EC"},{"id":4,"name":"Milepost","value":"12.5826"},{"id":17,"name":"Train ID","value":"101-20"},{"id":16,"name":"Locomotive ID","value":"4054"},{"id":130,"name":"Impact","value":""},{"id":150,"name":"Time of Event (Mountain Time)","value":"03:36:45"},{"id":151,"name":"Denver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4054 --day 2017-10-20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09:36:45"},{"id":29,"name":"Sharepoint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-20T02:00:59-0600',mode:absolute,to:'2017-10-20T04:36:45-0600'))&amp;_a=(columns:!('Message%20ID',Summary),filters:!(),index:'emp_*',interval:auto,query:(query_string:(analyze_wildcard:!t,query:'%22rtdc.l.rtdc.4054%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663</v>
      </c>
      <c r="B14" s="7">
        <v>4053</v>
      </c>
      <c r="C14" s="21" t="s">
        <v>194</v>
      </c>
      <c r="D14" s="21" t="s">
        <v>612</v>
      </c>
      <c r="E14" s="13">
        <v>43028.160949074074</v>
      </c>
      <c r="F14" s="13">
        <v>43028.175347222219</v>
      </c>
      <c r="G14" s="7">
        <v>50</v>
      </c>
      <c r="H14" s="21" t="s">
        <v>875</v>
      </c>
      <c r="I14" s="13">
        <v>43028.201273148145</v>
      </c>
      <c r="J14" s="7">
        <v>0</v>
      </c>
      <c r="K14" s="89" t="str">
        <f>IF(ISEVEN(B14),(B14-1)&amp;"/"&amp;B14,B14&amp;"/"&amp;(B14+1))</f>
        <v>4053/4054</v>
      </c>
      <c r="L14" s="185" t="str">
        <f>VLOOKUP(A14,'Trips&amp;Operators'!$C$1:$G$99911,5,FALSE)</f>
        <v>YORK EDGAR</v>
      </c>
      <c r="M14" s="6">
        <f>I14-F14</f>
        <v>2.5925925925548654E-2</v>
      </c>
      <c r="N14" s="7">
        <f>24*60*SUM($M14:$M14)</f>
        <v>37.333333332790062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-20T02:51:46-0600',mode:absolute,to:'2017-10-20T05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23.3049</v>
      </c>
      <c r="Z14" s="204">
        <f>RIGHT(H14,LEN(H14)-4)/10000</f>
        <v>9.3399999999999997E-2</v>
      </c>
      <c r="AA14" s="204">
        <f>ABS(Z14-Y14)</f>
        <v>23.211500000000001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s3://rtdc.mdm.uploadarchive.raw/RTDC4053/ "%USERPROFILE%\AppData\Local\Temp\OnboardLogs"\RTDC4053\2017-10-20 --exclude "*" --recursive --include "*20171020*" &amp; "%USERPROFILE%\Documents\GitHub\mrs-test-scripts\Headless Mode &amp; Sideloading\WalkAndUnGZ.bat" "%USERPROFILE%\AppData\Local\Temp\OnboardLogs"\RTDC4053\2017-10-20 &amp; aws s3 cp s3://rtdc.mdm.uploadarchive.raw/RTDC4053/ "%USERPROFILE%\AppData\Local\Temp\OnboardLogs"\RTDC4053\2017-10-21 --exclude "*" --recursive --include "*20171021*" &amp; "%USERPROFILE%\Documents\GitHub\mrs-test-scripts\Headless Mode &amp; Sideloading\WalkAndUnGZ.bat" "%USERPROFILE%\AppData\Local\Temp\OnboardLogs"\RTDC4053\2017-10-21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/stypes="app*4053*20171020*"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4053 --swversion DE.1.0.9.0 --startMP 204:233049 --initTime 2017-10-20T03:51:46 --startdatetime 2017-10-20T04:12:30 --delay 50 --endMP 204:934 --enddatetime 2017-10-20T04:49:50 --enforcementcount 0 &gt;&gt;%USERPROFILE%\Documents\GitHub\eaglep3-reporting\EC\2017-10-20-refined-times.txt</v>
      </c>
      <c r="AI14" s="96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{"issue":{"subject":"","project_id":79,"tracker_id":40,"status_id":1,"priority_id":2,"assigned_to_id":338,"start_date":"2017-10-20","description":"","custom_fields":[{"id":1,"name":"Subdivision","value":"EC"},{"id":4,"name":"Milepost","value":"0.0934"},{"id":17,"name":"Train ID","value":"102-20"},{"id":16,"name":"Locomotive ID","value":"4053"},{"id":130,"name":"Impact","value":""},{"id":150,"name":"Time of Event (Mountain Time)","value":"04:49:50"},{"id":151,"name":"Denver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7">"start /low /b "&amp;dls3logs&amp;" --loco "&amp;B14&amp;" --day "&amp;TEXT(F14,"YYYY-MM-DD")</f>
        <v>start /low /b %USERPROFILE%\Documents\GitHub\eaglep3\Utilities\DownloadLogsFromS3.py --loco 4053 --day 2017-10-20</v>
      </c>
      <c r="AN14" s="15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10:49:50"},{"id":29,"name":"Sharepoint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-20T02:51:46-0600',mode:absolute,to:'2017-10-20T05:49:50-0600'))&amp;_a=(columns:!('Message%20ID',Summary),filters:!(),index:'emp_*',interval:auto,query:(query_string:(analyze_wildcard:!t,query:'%22rtdc.l.rtdc.4053%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660</v>
      </c>
      <c r="B15" s="7">
        <v>4064</v>
      </c>
      <c r="C15" s="21" t="s">
        <v>194</v>
      </c>
      <c r="D15" s="21" t="s">
        <v>436</v>
      </c>
      <c r="E15" s="13">
        <v>43028.149791666663</v>
      </c>
      <c r="F15" s="13">
        <v>43028.156458333331</v>
      </c>
      <c r="G15" s="7">
        <v>101</v>
      </c>
      <c r="H15" s="21" t="s">
        <v>615</v>
      </c>
      <c r="I15" s="13">
        <v>43028.181134259263</v>
      </c>
      <c r="J15" s="7">
        <v>0</v>
      </c>
      <c r="K15" s="89" t="str">
        <f>IF(ISEVEN(B15),(B15-1)&amp;"/"&amp;B15,B15&amp;"/"&amp;(B15+1))</f>
        <v>4063/4064</v>
      </c>
      <c r="L15" s="185" t="str">
        <f>VLOOKUP(A15,'Trips&amp;Operators'!$C$1:$G$99911,5,FALSE)</f>
        <v>MAELZER KURT</v>
      </c>
      <c r="M15" s="6">
        <f>I15-F15</f>
        <v>2.4675925931660458E-2</v>
      </c>
      <c r="N15" s="7">
        <f>24*60*SUM($M15:$M15)</f>
        <v>35.53333334159106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-20T02:35:42-0600',mode:absolute,to:'2017-10-20T05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4.3700000000000003E-2</v>
      </c>
      <c r="Z15" s="204">
        <f>RIGHT(H15,LEN(H15)-4)/10000</f>
        <v>23.336400000000001</v>
      </c>
      <c r="AA15" s="204">
        <f>ABS(Z15-Y15)</f>
        <v>23.2927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s3://rtdc.mdm.uploadarchive.raw/RTDC4064/ "%USERPROFILE%\AppData\Local\Temp\OnboardLogs"\RTDC4064\2017-10-20 --exclude "*" --recursive --include "*20171020*" &amp; "%USERPROFILE%\Documents\GitHub\mrs-test-scripts\Headless Mode &amp; Sideloading\WalkAndUnGZ.bat" "%USERPROFILE%\AppData\Local\Temp\OnboardLogs"\RTDC4064\2017-10-20 &amp; aws s3 cp s3://rtdc.mdm.uploadarchive.raw/RTDC4064/ "%USERPROFILE%\AppData\Local\Temp\OnboardLogs"\RTDC4064\2017-10-21 --exclude "*" --recursive --include "*20171021*" &amp; "%USERPROFILE%\Documents\GitHub\mrs-test-scripts\Headless Mode &amp; Sideloading\WalkAndUnGZ.bat" "%USERPROFILE%\AppData\Local\Temp\OnboardLogs"\RTDC4064\2017-10-21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/stypes="app*4064*20171020*"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103-20 --locoid 4064 --swversion DE.1.0.9.0 --startMP 204:437 --initTime 2017-10-20T03:35:42 --startdatetime 2017-10-20T03:45:18 --delay 101 --endMP 204:233364 --enddatetime 2017-10-20T04:20:50 --enforcementcount 0 &gt;&gt;%USERPROFILE%\Documents\GitHub\eaglep3-reporting\EC\2017-10-20-refined-times.txt</v>
      </c>
      <c r="AI15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{"issue":{"subject":"","project_id":79,"tracker_id":40,"status_id":1,"priority_id":2,"assigned_to_id":338,"start_date":"2017-10-20","description":"","custom_fields":[{"id":1,"name":"Subdivision","value":"EC"},{"id":4,"name":"Milepost","value":"23.3364"},{"id":17,"name":"Train ID","value":"103-20"},{"id":16,"name":"Locomotive ID","value":"4064"},{"id":130,"name":"Impact","value":""},{"id":150,"name":"Time of Event (Mountain Time)","value":"04:20:50"},{"id":151,"name":"Denver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4064 --day 2017-10-20</v>
      </c>
      <c r="AN15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10:20:50"},{"id":29,"name":"Sharepoint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-10-20T02:35:42-0600',mode:absolute,to:'2017-10-20T05:20:50-0600'))&amp;_a=(columns:!('Message%20ID',Summary),filters:!(),index:'emp_*',interval:auto,query:(query_string:(analyze_wildcard:!t,query:'%22rtdc.l.rtdc.4064%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669</v>
      </c>
      <c r="B16" s="7">
        <v>4063</v>
      </c>
      <c r="C16" s="21" t="s">
        <v>194</v>
      </c>
      <c r="D16" s="21" t="s">
        <v>876</v>
      </c>
      <c r="E16" s="13">
        <v>43028.187743055554</v>
      </c>
      <c r="F16" s="13">
        <v>43028.196030092593</v>
      </c>
      <c r="G16" s="7">
        <v>45</v>
      </c>
      <c r="H16" s="21" t="s">
        <v>415</v>
      </c>
      <c r="I16" s="13">
        <v>43028.223113425927</v>
      </c>
      <c r="J16" s="7">
        <v>0</v>
      </c>
      <c r="K16" s="89" t="str">
        <f>IF(ISEVEN(B16),(B16-1)&amp;"/"&amp;B16,B16&amp;"/"&amp;(B16+1))</f>
        <v>4063/4064</v>
      </c>
      <c r="L16" s="185" t="str">
        <f>VLOOKUP(A16,'Trips&amp;Operators'!$C$1:$G$99911,5,FALSE)</f>
        <v>MAELZER KURT</v>
      </c>
      <c r="M16" s="6">
        <f>I16-F16</f>
        <v>2.7083333334303461E-2</v>
      </c>
      <c r="N16" s="7">
        <f>24*60*SUM($M16:$M16)</f>
        <v>39.000000001396984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-10-20T03:30:21-0600',mode:absolute,to:'2017-10-20T06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23.303000000000001</v>
      </c>
      <c r="Z16" s="204">
        <f>RIGHT(H16,LEN(H16)-4)/10000</f>
        <v>1.41E-2</v>
      </c>
      <c r="AA16" s="204">
        <f>ABS(Z16-Y16)</f>
        <v>23.288900000000002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/stypes="app*4063*20171020*"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104-20 --locoid 4063 --swversion DE.1.0.9.0 --startMP 204:233030 --initTime 2017-10-20T04:30:21 --startdatetime 2017-10-20T04:42:17 --delay 45 --endMP 204:141 --enddatetime 2017-10-20T05:21:17 --enforcementcount 0 &gt;&gt;%USERPROFILE%\Documents\GitHub\eaglep3-reporting\EC\2017-10-20-refined-times.txt</v>
      </c>
      <c r="AI16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{"issue":{"subject":"","project_id":79,"tracker_id":40,"status_id":1,"priority_id":2,"assigned_to_id":338,"start_date":"2017-10-20","description":"","custom_fields":[{"id":1,"name":"Subdivision","value":"EC"},{"id":4,"name":"Milepost","value":"0.0141"},{"id":17,"name":"Train ID","value":"104-20"},{"id":16,"name":"Locomotive ID","value":"4063"},{"id":130,"name":"Impact","value":""},{"id":150,"name":"Time of Event (Mountain Time)","value":"05:21:17"},{"id":151,"name":"Denver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4063 --day 2017-10-20</v>
      </c>
      <c r="AN16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11:21:17"},{"id":29,"name":"Sharepoint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-10-20T03:30:21-0600',mode:absolute,to:'2017-10-20T06:21:17-0600'))&amp;_a=(columns:!('Message%20ID',Summary),filters:!(),index:'emp_*',interval:auto,query:(query_string:(analyze_wildcard:!t,query:'%22rtdc.l.rtdc.4063%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665</v>
      </c>
      <c r="B17" s="7">
        <v>4026</v>
      </c>
      <c r="C17" s="21" t="s">
        <v>194</v>
      </c>
      <c r="D17" s="21" t="s">
        <v>344</v>
      </c>
      <c r="E17" s="13">
        <v>43028.168912037036</v>
      </c>
      <c r="F17" s="13">
        <v>43028.177349537036</v>
      </c>
      <c r="G17" s="7">
        <v>65</v>
      </c>
      <c r="H17" s="21" t="s">
        <v>877</v>
      </c>
      <c r="I17" s="13">
        <v>43028.202187499999</v>
      </c>
      <c r="J17" s="7">
        <v>0</v>
      </c>
      <c r="K17" s="89" t="str">
        <f>IF(ISEVEN(B17),(B17-1)&amp;"/"&amp;B17,B17&amp;"/"&amp;(B17+1))</f>
        <v>4025/4026</v>
      </c>
      <c r="L17" s="185" t="str">
        <f>VLOOKUP(A17,'Trips&amp;Operators'!$C$1:$G$99911,5,FALSE)</f>
        <v>BONDS REYNALDO</v>
      </c>
      <c r="M17" s="6">
        <f>I17-F17</f>
        <v>2.4837962962919846E-2</v>
      </c>
      <c r="N17" s="7">
        <f>24*60*SUM($M17:$M17)</f>
        <v>35.766666666604578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-10-20T03:03:14-0600',mode:absolute,to:'2017-10-20T05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4.5499999999999999E-2</v>
      </c>
      <c r="Z17" s="204">
        <f>RIGHT(H17,LEN(H17)-4)/10000</f>
        <v>23.325099999999999</v>
      </c>
      <c r="AA17" s="204">
        <f>ABS(Z17-Y17)</f>
        <v>23.279599999999999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s3://rtdc.mdm.uploadarchive.raw/RTDC4026/ "%USERPROFILE%\AppData\Local\Temp\OnboardLogs"\RTDC4026\2017-10-20 --exclude "*" --recursive --include "*20171020*" &amp; "%USERPROFILE%\Documents\GitHub\mrs-test-scripts\Headless Mode &amp; Sideloading\WalkAndUnGZ.bat" "%USERPROFILE%\AppData\Local\Temp\OnboardLogs"\RTDC4026\2017-10-20 &amp; aws s3 cp s3://rtdc.mdm.uploadarchive.raw/RTDC4026/ "%USERPROFILE%\AppData\Local\Temp\OnboardLogs"\RTDC4026\2017-10-21 --exclude "*" --recursive --include "*20171021*" &amp; "%USERPROFILE%\Documents\GitHub\mrs-test-scripts\Headless Mode &amp; Sideloading\WalkAndUnGZ.bat" "%USERPROFILE%\AppData\Local\Temp\OnboardLogs"\RTDC4026\2017-10-21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/stypes="app*4026*20171020*"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105-20 --locoid 4026 --swversion DE.1.0.9.0 --startMP 204:455 --initTime 2017-10-20T04:03:14 --startdatetime 2017-10-20T04:15:23 --delay 65 --endMP 204:233251 --enddatetime 2017-10-20T04:51:09 --enforcementcount 0 &gt;&gt;%USERPROFILE%\Documents\GitHub\eaglep3-reporting\EC\2017-10-20-refined-times.txt</v>
      </c>
      <c r="AI17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{"issue":{"subject":"","project_id":79,"tracker_id":40,"status_id":1,"priority_id":2,"assigned_to_id":338,"start_date":"2017-10-20","description":"","custom_fields":[{"id":1,"name":"Subdivision","value":"EC"},{"id":4,"name":"Milepost","value":"23.3251"},{"id":17,"name":"Train ID","value":"105-20"},{"id":16,"name":"Locomotive ID","value":"4026"},{"id":130,"name":"Impact","value":""},{"id":150,"name":"Time of Event (Mountain Time)","value":"04:51:09"},{"id":151,"name":"Denver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4026 --day 2017-10-20</v>
      </c>
      <c r="AN17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10:51:09"},{"id":29,"name":"Sharepoint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-10-20T03:03:14-0600',mode:absolute,to:'2017-10-20T05:51:09-0600'))&amp;_a=(columns:!('Message%20ID',Summary),filters:!(),index:'emp_*',interval:auto,query:(query_string:(analyze_wildcard:!t,query:'%22rtdc.l.rtdc.4026%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676</v>
      </c>
      <c r="B18" s="7">
        <v>4025</v>
      </c>
      <c r="C18" s="21" t="s">
        <v>194</v>
      </c>
      <c r="D18" s="21" t="s">
        <v>601</v>
      </c>
      <c r="E18" s="13">
        <v>43028.212754629632</v>
      </c>
      <c r="F18" s="13">
        <v>43028.216863425929</v>
      </c>
      <c r="G18" s="7">
        <v>51</v>
      </c>
      <c r="H18" s="21" t="s">
        <v>878</v>
      </c>
      <c r="I18" s="13">
        <v>43028.243692129632</v>
      </c>
      <c r="J18" s="7">
        <v>0</v>
      </c>
      <c r="K18" s="89" t="str">
        <f>IF(ISEVEN(B18),(B18-1)&amp;"/"&amp;B18,B18&amp;"/"&amp;(B18+1))</f>
        <v>4025/4026</v>
      </c>
      <c r="L18" s="185" t="str">
        <f>VLOOKUP(A18,'Trips&amp;Operators'!$C$1:$G$99911,5,FALSE)</f>
        <v>BONDS REYNALDO</v>
      </c>
      <c r="M18" s="6">
        <f>I18-F18</f>
        <v>2.6828703703358769E-2</v>
      </c>
      <c r="N18" s="7">
        <f>24*60*SUM($M18:$M18)</f>
        <v>38.633333332836628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-20T04:06:22-0600',mode:absolute,to:'2017-10-20T06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23.2971</v>
      </c>
      <c r="Z18" s="204">
        <f>RIGHT(H18,LEN(H18)-4)/10000</f>
        <v>1.7000000000000001E-2</v>
      </c>
      <c r="AA18" s="204">
        <f>ABS(Z18-Y18)</f>
        <v>23.280100000000001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s3://rtdc.mdm.uploadarchive.raw/RTDC4025/ "%USERPROFILE%\AppData\Local\Temp\OnboardLogs"\RTDC4025\2017-10-20 --exclude "*" --recursive --include "*20171020*" &amp; "%USERPROFILE%\Documents\GitHub\mrs-test-scripts\Headless Mode &amp; Sideloading\WalkAndUnGZ.bat" "%USERPROFILE%\AppData\Local\Temp\OnboardLogs"\RTDC4025\2017-10-20 &amp; aws s3 cp s3://rtdc.mdm.uploadarchive.raw/RTDC4025/ "%USERPROFILE%\AppData\Local\Temp\OnboardLogs"\RTDC4025\2017-10-21 --exclude "*" --recursive --include "*20171021*" &amp; "%USERPROFILE%\Documents\GitHub\mrs-test-scripts\Headless Mode &amp; Sideloading\WalkAndUnGZ.bat" "%USERPROFILE%\AppData\Local\Temp\OnboardLogs"\RTDC4025\2017-10-21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/stypes="app*4025*20171020*"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106-20 --locoid 4025 --swversion DE.1.0.9.0 --startMP 204:232971 --initTime 2017-10-20T05:06:22 --startdatetime 2017-10-20T05:12:17 --delay 51 --endMP 204:170 --enddatetime 2017-10-20T05:50:55 --enforcementcount 0 &gt;&gt;%USERPROFILE%\Documents\GitHub\eaglep3-reporting\EC\2017-10-20-refined-times.txt</v>
      </c>
      <c r="AI18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{"issue":{"subject":"","project_id":79,"tracker_id":40,"status_id":1,"priority_id":2,"assigned_to_id":338,"start_date":"2017-10-20","description":"","custom_fields":[{"id":1,"name":"Subdivision","value":"EC"},{"id":4,"name":"Milepost","value":"0.017"},{"id":17,"name":"Train ID","value":"106-20"},{"id":16,"name":"Locomotive ID","value":"4025"},{"id":130,"name":"Impact","value":""},{"id":150,"name":"Time of Event (Mountain Time)","value":"05:50:55"},{"id":151,"name":"Denver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4025 --day 2017-10-20</v>
      </c>
      <c r="AN18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11:50:55"},{"id":29,"name":"Sharepoint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-10-20T04:06:22-0600',mode:absolute,to:'2017-10-20T06:50:55-0600'))&amp;_a=(columns:!('Message%20ID',Summary),filters:!(),index:'emp_*',interval:auto,query:(query_string:(analyze_wildcard:!t,query:'%22rtdc.l.rtdc.4025%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667</v>
      </c>
      <c r="B19" s="7">
        <v>4044</v>
      </c>
      <c r="C19" s="21" t="s">
        <v>194</v>
      </c>
      <c r="D19" s="21" t="s">
        <v>432</v>
      </c>
      <c r="E19" s="13">
        <v>43028.183009259257</v>
      </c>
      <c r="F19" s="13">
        <v>43028.187731481485</v>
      </c>
      <c r="G19" s="7">
        <v>71</v>
      </c>
      <c r="H19" s="21" t="s">
        <v>437</v>
      </c>
      <c r="I19" s="13">
        <v>43028.21197916667</v>
      </c>
      <c r="J19" s="7">
        <v>0</v>
      </c>
      <c r="K19" s="89" t="str">
        <f>IF(ISEVEN(B19),(B19-1)&amp;"/"&amp;B19,B19&amp;"/"&amp;(B19+1))</f>
        <v>4043/4044</v>
      </c>
      <c r="L19" s="185" t="str">
        <f>VLOOKUP(A19,'Trips&amp;Operators'!$C$1:$G$99911,5,FALSE)</f>
        <v>GEBRETEKLE DAGNEW</v>
      </c>
      <c r="M19" s="6">
        <f>I19-F19</f>
        <v>2.4247685185400769E-2</v>
      </c>
      <c r="N19" s="7">
        <f>24*60*SUM($M19:$M19)</f>
        <v>34.916666666977108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-10-20T03:23:32-0600',mode:absolute,to:'2017-10-20T06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4.6899999999999997E-2</v>
      </c>
      <c r="Z19" s="204">
        <f>RIGHT(H19,LEN(H19)-4)/10000</f>
        <v>23.332699999999999</v>
      </c>
      <c r="AA19" s="204">
        <f>ABS(Z19-Y19)</f>
        <v>23.285799999999998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 &amp; aws s3 cp s3://rtdc.mdm.uploadarchive.raw/RTDC4044/ "%USERPROFILE%\AppData\Local\Temp\OnboardLogs"\RTDC4044\2017-10-21 --exclude "*" --recursive --include "*20171021*" &amp; "%USERPROFILE%\Documents\GitHub\mrs-test-scripts\Headless Mode &amp; Sideloading\WalkAndUnGZ.bat" "%USERPROFILE%\AppData\Local\Temp\OnboardLogs"\RTDC4044\2017-10-21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/stypes="app*4044*20171020*"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107-20 --locoid 4044 --swversion DE.1.0.9.0 --startMP 204:469 --initTime 2017-10-20T04:23:32 --startdatetime 2017-10-20T04:30:20 --delay 71 --endMP 204:233327 --enddatetime 2017-10-20T05:05:15 --enforcementcount 0 &gt;&gt;%USERPROFILE%\Documents\GitHub\eaglep3-reporting\EC\2017-10-20-refined-times.txt</v>
      </c>
      <c r="AI19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{"issue":{"subject":"","project_id":79,"tracker_id":40,"status_id":1,"priority_id":2,"assigned_to_id":338,"start_date":"2017-10-20","description":"","custom_fields":[{"id":1,"name":"Subdivision","value":"EC"},{"id":4,"name":"Milepost","value":"23.3327"},{"id":17,"name":"Train ID","value":"107-20"},{"id":16,"name":"Locomotive ID","value":"4044"},{"id":130,"name":"Impact","value":""},{"id":150,"name":"Time of Event (Mountain Time)","value":"05:05:15"},{"id":151,"name":"Denver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4044 --day 2017-10-20</v>
      </c>
      <c r="AN19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11:05:15"},{"id":29,"name":"Sharepoint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-10-20T03:23:32-0600',mode:absolute,to:'2017-10-20T06:05:15-0600'))&amp;_a=(columns:!('Message%20ID',Summary),filters:!(),index:'emp_*',interval:auto,query:(query_string:(analyze_wildcard:!t,query:'%22rtdc.l.rtdc.4044%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677</v>
      </c>
      <c r="B20" s="7">
        <v>4043</v>
      </c>
      <c r="C20" s="21" t="s">
        <v>194</v>
      </c>
      <c r="D20" s="21" t="s">
        <v>879</v>
      </c>
      <c r="E20" s="13">
        <v>43028.213136574072</v>
      </c>
      <c r="F20" s="13">
        <v>43028.227280092593</v>
      </c>
      <c r="G20" s="7">
        <v>63</v>
      </c>
      <c r="H20" s="21" t="s">
        <v>354</v>
      </c>
      <c r="I20" s="13">
        <v>43028.252569444441</v>
      </c>
      <c r="J20" s="7">
        <v>0</v>
      </c>
      <c r="K20" s="89" t="str">
        <f>IF(ISEVEN(B20),(B20-1)&amp;"/"&amp;B20,B20&amp;"/"&amp;(B20+1))</f>
        <v>4043/4044</v>
      </c>
      <c r="L20" s="185" t="str">
        <f>VLOOKUP(A20,'Trips&amp;Operators'!$C$1:$G$99911,5,FALSE)</f>
        <v>GEBRETEKLE DAGNEW</v>
      </c>
      <c r="M20" s="6">
        <f>I20-F20</f>
        <v>2.5289351848186925E-2</v>
      </c>
      <c r="N20" s="7">
        <f>24*60*SUM($M20:$M20)</f>
        <v>36.416666661389172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-10-20T04:06:55-0600',mode:absolute,to:'2017-10-20T07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23.302499999999998</v>
      </c>
      <c r="Z20" s="204">
        <f>RIGHT(H20,LEN(H20)-4)/10000</f>
        <v>1.52E-2</v>
      </c>
      <c r="AA20" s="204">
        <f>ABS(Z20-Y20)</f>
        <v>23.287299999999998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 &amp; aws s3 cp s3://rtdc.mdm.uploadarchive.raw/RTDC4043/ "%USERPROFILE%\AppData\Local\Temp\OnboardLogs"\RTDC4043\2017-10-21 --exclude "*" --recursive --include "*20171021*" &amp; "%USERPROFILE%\Documents\GitHub\mrs-test-scripts\Headless Mode &amp; Sideloading\WalkAndUnGZ.bat" "%USERPROFILE%\AppData\Local\Temp\OnboardLogs"\RTDC4043\2017-10-21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/stypes="app*4043*20171020*"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108-20 --locoid 4043 --swversion DE.1.0.9.0 --startMP 204:233025 --initTime 2017-10-20T05:06:55 --startdatetime 2017-10-20T05:27:17 --delay 63 --endMP 204:152 --enddatetime 2017-10-20T06:03:42 --enforcementcount 0 &gt;&gt;%USERPROFILE%\Documents\GitHub\eaglep3-reporting\EC\2017-10-20-refined-times.txt</v>
      </c>
      <c r="AI20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{"issue":{"subject":"","project_id":79,"tracker_id":40,"status_id":1,"priority_id":2,"assigned_to_id":338,"start_date":"2017-10-20","description":"","custom_fields":[{"id":1,"name":"Subdivision","value":"EC"},{"id":4,"name":"Milepost","value":"0.0152"},{"id":17,"name":"Train ID","value":"108-20"},{"id":16,"name":"Locomotive ID","value":"4043"},{"id":130,"name":"Impact","value":""},{"id":150,"name":"Time of Event (Mountain Time)","value":"06:03:42"},{"id":151,"name":"Denver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4043 --day 2017-10-20</v>
      </c>
      <c r="AN20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12:03:42"},{"id":29,"name":"Sharepoint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-10-20T04:06:55-0600',mode:absolute,to:'2017-10-20T07:03:42-0600'))&amp;_a=(columns:!('Message%20ID',Summary),filters:!(),index:'emp_*',interval:auto,query:(query_string:(analyze_wildcard:!t,query:'%22rtdc.l.rtdc.4043%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670</v>
      </c>
      <c r="B21" s="7">
        <v>4040</v>
      </c>
      <c r="C21" s="21" t="s">
        <v>194</v>
      </c>
      <c r="D21" s="21" t="s">
        <v>364</v>
      </c>
      <c r="E21" s="13">
        <v>43028.196793981479</v>
      </c>
      <c r="F21" s="13">
        <v>43028.198159722226</v>
      </c>
      <c r="G21" s="7">
        <v>60</v>
      </c>
      <c r="H21" s="21" t="s">
        <v>880</v>
      </c>
      <c r="I21" s="13">
        <v>43028.22415509259</v>
      </c>
      <c r="J21" s="7">
        <v>0</v>
      </c>
      <c r="K21" s="89" t="str">
        <f>IF(ISEVEN(B21),(B21-1)&amp;"/"&amp;B21,B21&amp;"/"&amp;(B21+1))</f>
        <v>4039/4040</v>
      </c>
      <c r="L21" s="185" t="str">
        <f>VLOOKUP(A21,'Trips&amp;Operators'!$C$1:$G$99911,5,FALSE)</f>
        <v>DAVIS WENDY</v>
      </c>
      <c r="M21" s="6">
        <f>I21-F21</f>
        <v>2.5995370364398696E-2</v>
      </c>
      <c r="N21" s="7">
        <f>24*60*SUM($M21:$M21)</f>
        <v>37.433333324734122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-10-20T03:43:23-0600',mode:absolute,to:'2017-10-20T06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4.5100000000000001E-2</v>
      </c>
      <c r="Z21" s="204">
        <f>RIGHT(H21,LEN(H21)-4)/10000</f>
        <v>23.3278</v>
      </c>
      <c r="AA21" s="204">
        <f>ABS(Z21-Y21)</f>
        <v>23.282699999999998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s3://rtdc.mdm.uploadarchive.raw/RTDC4040/ "%USERPROFILE%\AppData\Local\Temp\OnboardLogs"\RTDC4040\2017-10-20 --exclude "*" --recursive --include "*20171020*" &amp; "%USERPROFILE%\Documents\GitHub\mrs-test-scripts\Headless Mode &amp; Sideloading\WalkAndUnGZ.bat" "%USERPROFILE%\AppData\Local\Temp\OnboardLogs"\RTDC4040\2017-10-20 &amp; aws s3 cp s3://rtdc.mdm.uploadarchive.raw/RTDC4040/ "%USERPROFILE%\AppData\Local\Temp\OnboardLogs"\RTDC4040\2017-10-21 --exclude "*" --recursive --include "*20171021*" &amp; "%USERPROFILE%\Documents\GitHub\mrs-test-scripts\Headless Mode &amp; Sideloading\WalkAndUnGZ.bat" "%USERPROFILE%\AppData\Local\Temp\OnboardLogs"\RTDC4040\2017-10-21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/stypes="app*4040*20171020*"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109-20 --locoid 4040 --swversion DE.1.0.9.0 --startMP 204:451 --initTime 2017-10-20T04:43:23 --startdatetime 2017-10-20T04:45:21 --delay 60 --endMP 204:233278 --enddatetime 2017-10-20T05:22:47 --enforcementcount 0 &gt;&gt;%USERPROFILE%\Documents\GitHub\eaglep3-reporting\EC\2017-10-20-refined-times.txt</v>
      </c>
      <c r="AI21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{"issue":{"subject":"","project_id":79,"tracker_id":40,"status_id":1,"priority_id":2,"assigned_to_id":338,"start_date":"2017-10-20","description":"","custom_fields":[{"id":1,"name":"Subdivision","value":"EC"},{"id":4,"name":"Milepost","value":"23.3278"},{"id":17,"name":"Train ID","value":"109-20"},{"id":16,"name":"Locomotive ID","value":"4040"},{"id":130,"name":"Impact","value":""},{"id":150,"name":"Time of Event (Mountain Time)","value":"05:22:47"},{"id":151,"name":"Denver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4040 --day 2017-10-20</v>
      </c>
      <c r="AN21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11:22:47"},{"id":29,"name":"Sharepoint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-10-20T03:43:23-0600',mode:absolute,to:'2017-10-20T06:22:47-0600'))&amp;_a=(columns:!('Message%20ID',Summary),filters:!(),index:'emp_*',interval:auto,query:(query_string:(analyze_wildcard:!t,query:'%22rtdc.l.rtdc.4040%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683</v>
      </c>
      <c r="B22" s="7">
        <v>4039</v>
      </c>
      <c r="C22" s="21" t="s">
        <v>194</v>
      </c>
      <c r="D22" s="21" t="s">
        <v>395</v>
      </c>
      <c r="E22" s="13">
        <v>43028.227129629631</v>
      </c>
      <c r="F22" s="13">
        <v>43028.237650462965</v>
      </c>
      <c r="G22" s="7">
        <v>84</v>
      </c>
      <c r="H22" s="21" t="s">
        <v>357</v>
      </c>
      <c r="I22" s="13">
        <v>43028.266018518516</v>
      </c>
      <c r="J22" s="7">
        <v>0</v>
      </c>
      <c r="K22" s="89" t="str">
        <f>IF(ISEVEN(B22),(B22-1)&amp;"/"&amp;B22,B22&amp;"/"&amp;(B22+1))</f>
        <v>4039/4040</v>
      </c>
      <c r="L22" s="185" t="str">
        <f>VLOOKUP(A22,'Trips&amp;Operators'!$C$1:$G$99911,5,FALSE)</f>
        <v>DAVIS WENDY</v>
      </c>
      <c r="M22" s="6">
        <f>I22-F22</f>
        <v>2.8368055551254656E-2</v>
      </c>
      <c r="N22" s="7">
        <f>24*60*SUM($M22:$M22)</f>
        <v>40.849999993806705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-10-20T04:27:04-0600',mode:absolute,to:'2017-10-20T07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23.297699999999999</v>
      </c>
      <c r="Z22" s="204">
        <f>RIGHT(H22,LEN(H22)-4)/10000</f>
        <v>1.5599999999999999E-2</v>
      </c>
      <c r="AA22" s="204">
        <f>ABS(Z22-Y22)</f>
        <v>23.2821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s3://rtdc.mdm.uploadarchive.raw/RTDC4039/ "%USERPROFILE%\AppData\Local\Temp\OnboardLogs"\RTDC4039\2017-10-20 --exclude "*" --recursive --include "*20171020*" &amp; "%USERPROFILE%\Documents\GitHub\mrs-test-scripts\Headless Mode &amp; Sideloading\WalkAndUnGZ.bat" "%USERPROFILE%\AppData\Local\Temp\OnboardLogs"\RTDC4039\2017-10-20 &amp; aws s3 cp s3://rtdc.mdm.uploadarchive.raw/RTDC4039/ "%USERPROFILE%\AppData\Local\Temp\OnboardLogs"\RTDC4039\2017-10-21 --exclude "*" --recursive --include "*20171021*" &amp; "%USERPROFILE%\Documents\GitHub\mrs-test-scripts\Headless Mode &amp; Sideloading\WalkAndUnGZ.bat" "%USERPROFILE%\AppData\Local\Temp\OnboardLogs"\RTDC4039\2017-10-21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/stypes="app*4039*20171020*"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110-20 --locoid 4039 --swversion DE.1.0.9.0 --startMP 204:232977 --initTime 2017-10-20T05:27:04 --startdatetime 2017-10-20T05:42:13 --delay 84 --endMP 204:156 --enddatetime 2017-10-20T06:23:04 --enforcementcount 0 &gt;&gt;%USERPROFILE%\Documents\GitHub\eaglep3-reporting\EC\2017-10-20-refined-times.txt</v>
      </c>
      <c r="AI22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{"issue":{"subject":"","project_id":79,"tracker_id":40,"status_id":1,"priority_id":2,"assigned_to_id":338,"start_date":"2017-10-20","description":"","custom_fields":[{"id":1,"name":"Subdivision","value":"EC"},{"id":4,"name":"Milepost","value":"0.0156"},{"id":17,"name":"Train ID","value":"110-20"},{"id":16,"name":"Locomotive ID","value":"4039"},{"id":130,"name":"Impact","value":""},{"id":150,"name":"Time of Event (Mountain Time)","value":"06:23:04"},{"id":151,"name":"Denver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4039 --day 2017-10-20</v>
      </c>
      <c r="AN22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12:23:04"},{"id":29,"name":"Sharepoint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-10-20T04:27:04-0600',mode:absolute,to:'2017-10-20T07:23:04-0600'))&amp;_a=(columns:!('Message%20ID',Summary),filters:!(),index:'emp_*',interval:auto,query:(query_string:(analyze_wildcard:!t,query:'%22rtdc.l.rtdc.4039%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672</v>
      </c>
      <c r="B23" s="7">
        <v>4056</v>
      </c>
      <c r="C23" s="21" t="s">
        <v>194</v>
      </c>
      <c r="D23" s="21" t="s">
        <v>594</v>
      </c>
      <c r="E23" s="13">
        <v>43028.203958333332</v>
      </c>
      <c r="F23" s="13">
        <v>43028.208645833336</v>
      </c>
      <c r="G23" s="7">
        <v>69</v>
      </c>
      <c r="H23" s="21" t="s">
        <v>881</v>
      </c>
      <c r="I23" s="13">
        <v>43028.233495370368</v>
      </c>
      <c r="J23" s="7">
        <v>0</v>
      </c>
      <c r="K23" s="89" t="str">
        <f>IF(ISEVEN(B23),(B23-1)&amp;"/"&amp;B23,B23&amp;"/"&amp;(B23+1))</f>
        <v>4055/4056</v>
      </c>
      <c r="L23" s="185" t="str">
        <f>VLOOKUP(A23,'Trips&amp;Operators'!$C$1:$G$99911,5,FALSE)</f>
        <v>YORK EDGAR</v>
      </c>
      <c r="M23" s="6">
        <f>I23-F23</f>
        <v>2.4849537032423541E-2</v>
      </c>
      <c r="N23" s="7">
        <f>24*60*SUM($M23:$M23)</f>
        <v>35.783333326689899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-10-20T03:53:42-0600',mode:absolute,to:'2017-10-20T06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4.4900000000000002E-2</v>
      </c>
      <c r="Z23" s="204">
        <f>RIGHT(H23,LEN(H23)-4)/10000</f>
        <v>23.328900000000001</v>
      </c>
      <c r="AA23" s="204">
        <f>ABS(Z23-Y23)</f>
        <v>23.284000000000002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/stypes="app*4056*20171020*"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111-20 --locoid 4056 --swversion DE.1.0.9.0 --startMP 204:449 --initTime 2017-10-20T04:53:42 --startdatetime 2017-10-20T05:00:27 --delay 69 --endMP 204:233289 --enddatetime 2017-10-20T05:36:14 --enforcementcount 0 &gt;&gt;%USERPROFILE%\Documents\GitHub\eaglep3-reporting\EC\2017-10-20-refined-times.txt</v>
      </c>
      <c r="AI23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{"issue":{"subject":"","project_id":79,"tracker_id":40,"status_id":1,"priority_id":2,"assigned_to_id":338,"start_date":"2017-10-20","description":"","custom_fields":[{"id":1,"name":"Subdivision","value":"EC"},{"id":4,"name":"Milepost","value":"23.3289"},{"id":17,"name":"Train ID","value":"111-20"},{"id":16,"name":"Locomotive ID","value":"4056"},{"id":130,"name":"Impact","value":""},{"id":150,"name":"Time of Event (Mountain Time)","value":"05:36:14"},{"id":151,"name":"Denver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4056 --day 2017-10-20</v>
      </c>
      <c r="AN23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-10-20T03:53:42-0600',mode:absolute,to:'2017-10-20T06:36:14-0600'))&amp;_a=(columns:!('Message%20ID',Summary),filters:!(),index:'emp_*',interval:auto,query:(query_string:(analyze_wildcard:!t,query:'%22rtdc.l.rtdc.4056%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686</v>
      </c>
      <c r="B24" s="7">
        <v>4055</v>
      </c>
      <c r="C24" s="21" t="s">
        <v>194</v>
      </c>
      <c r="D24" s="21" t="s">
        <v>882</v>
      </c>
      <c r="E24" s="13">
        <v>43028.234618055554</v>
      </c>
      <c r="F24" s="13">
        <v>43028.248506944445</v>
      </c>
      <c r="G24" s="7">
        <v>66</v>
      </c>
      <c r="H24" s="21" t="s">
        <v>357</v>
      </c>
      <c r="I24" s="13">
        <v>43028.274178240739</v>
      </c>
      <c r="J24" s="7">
        <v>0</v>
      </c>
      <c r="K24" s="89" t="str">
        <f>IF(ISEVEN(B24),(B24-1)&amp;"/"&amp;B24,B24&amp;"/"&amp;(B24+1))</f>
        <v>4055/4056</v>
      </c>
      <c r="L24" s="185" t="str">
        <f>VLOOKUP(A24,'Trips&amp;Operators'!$C$1:$G$99911,5,FALSE)</f>
        <v>YORK EDGAR</v>
      </c>
      <c r="M24" s="6">
        <f>I24-F24</f>
        <v>2.5671296294603962E-2</v>
      </c>
      <c r="N24" s="7">
        <f>24*60*SUM($M24:$M24)</f>
        <v>36.966666664229706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-20T04:37:51-0600',mode:absolute,to:'2017-10-20T07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23.2974</v>
      </c>
      <c r="Z24" s="204">
        <f>RIGHT(H24,LEN(H24)-4)/10000</f>
        <v>1.5599999999999999E-2</v>
      </c>
      <c r="AA24" s="204">
        <f>ABS(Z24-Y24)</f>
        <v>23.2818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s3://rtdc.mdm.uploadarchive.raw/RTDC4055/ "%USERPROFILE%\AppData\Local\Temp\OnboardLogs"\RTDC4055\2017-10-20 --exclude "*" --recursive --include "*20171020*" &amp; "%USERPROFILE%\Documents\GitHub\mrs-test-scripts\Headless Mode &amp; Sideloading\WalkAndUnGZ.bat" "%USERPROFILE%\AppData\Local\Temp\OnboardLogs"\RTDC4055\2017-10-20 &amp; aws s3 cp s3://rtdc.mdm.uploadarchive.raw/RTDC4055/ "%USERPROFILE%\AppData\Local\Temp\OnboardLogs"\RTDC4055\2017-10-21 --exclude "*" --recursive --include "*20171021*" &amp; "%USERPROFILE%\Documents\GitHub\mrs-test-scripts\Headless Mode &amp; Sideloading\WalkAndUnGZ.bat" "%USERPROFILE%\AppData\Local\Temp\OnboardLogs"\RTDC4055\2017-10-21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/stypes="app*4055*20171020*"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112-20 --locoid 4055 --swversion DE.1.0.9.0 --startMP 204:232974 --initTime 2017-10-20T05:37:51 --startdatetime 2017-10-20T05:57:51 --delay 66 --endMP 204:156 --enddatetime 2017-10-20T06:34:49 --enforcementcount 0 &gt;&gt;%USERPROFILE%\Documents\GitHub\eaglep3-reporting\EC\2017-10-20-refined-times.txt</v>
      </c>
      <c r="AI24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{"issue":{"subject":"","project_id":79,"tracker_id":40,"status_id":1,"priority_id":2,"assigned_to_id":338,"start_date":"2017-10-20","description":"","custom_fields":[{"id":1,"name":"Subdivision","value":"EC"},{"id":4,"name":"Milepost","value":"0.0156"},{"id":17,"name":"Train ID","value":"112-20"},{"id":16,"name":"Locomotive ID","value":"4055"},{"id":130,"name":"Impact","value":""},{"id":150,"name":"Time of Event (Mountain Time)","value":"06:34:49"},{"id":151,"name":"Denver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4055 --day 2017-10-20</v>
      </c>
      <c r="AN24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12:34:49"},{"id":29,"name":"Sharepoint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-10-20T04:37:51-0600',mode:absolute,to:'2017-10-20T07:34:49-0600'))&amp;_a=(columns:!('Message%20ID',Summary),filters:!(),index:'emp_*',interval:auto,query:(query_string:(analyze_wildcard:!t,query:'%22rtdc.l.rtdc.4055%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678</v>
      </c>
      <c r="B25" s="7">
        <v>4002</v>
      </c>
      <c r="C25" s="21" t="s">
        <v>194</v>
      </c>
      <c r="D25" s="21" t="s">
        <v>883</v>
      </c>
      <c r="E25" s="13">
        <v>43028.216481481482</v>
      </c>
      <c r="F25" s="13">
        <v>43028.219039351854</v>
      </c>
      <c r="G25" s="7">
        <v>69</v>
      </c>
      <c r="H25" s="21" t="s">
        <v>607</v>
      </c>
      <c r="I25" s="13">
        <v>43028.243333333332</v>
      </c>
      <c r="J25" s="7">
        <v>0</v>
      </c>
      <c r="K25" s="89" t="str">
        <f>IF(ISEVEN(B25),(B25-1)&amp;"/"&amp;B25,B25&amp;"/"&amp;(B25+1))</f>
        <v>4001/4002</v>
      </c>
      <c r="L25" s="185" t="str">
        <f>VLOOKUP(A25,'Trips&amp;Operators'!$C$1:$G$99911,5,FALSE)</f>
        <v>MACDONALD THOMAS</v>
      </c>
      <c r="M25" s="6">
        <f>I25-F25</f>
        <v>2.4293981477967463E-2</v>
      </c>
      <c r="N25" s="7">
        <f>24*60*SUM($M25:$M25)</f>
        <v>34.983333328273147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-10-20T04:11:44-0600',mode:absolute,to:'2017-10-20T06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4.8000000000000001E-2</v>
      </c>
      <c r="Z25" s="204">
        <f>RIGHT(H25,LEN(H25)-4)/10000</f>
        <v>23.331600000000002</v>
      </c>
      <c r="AA25" s="204">
        <f>ABS(Z25-Y25)</f>
        <v>23.283600000000003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s3://rtdc.mdm.uploadarchive.raw/RTDC4002/ "%USERPROFILE%\AppData\Local\Temp\OnboardLogs"\RTDC4002\2017-10-20 --exclude "*" --recursive --include "*20171020*" &amp; "%USERPROFILE%\Documents\GitHub\mrs-test-scripts\Headless Mode &amp; Sideloading\WalkAndUnGZ.bat" "%USERPROFILE%\AppData\Local\Temp\OnboardLogs"\RTDC4002\2017-10-20 &amp; aws s3 cp s3://rtdc.mdm.uploadarchive.raw/RTDC4002/ "%USERPROFILE%\AppData\Local\Temp\OnboardLogs"\RTDC4002\2017-10-21 --exclude "*" --recursive --include "*20171021*" &amp; "%USERPROFILE%\Documents\GitHub\mrs-test-scripts\Headless Mode &amp; Sideloading\WalkAndUnGZ.bat" "%USERPROFILE%\AppData\Local\Temp\OnboardLogs"\RTDC4002\2017-10-21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/stypes="app*4002*20171020*"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113-20 --locoid 4002 --swversion DE.1.0.9.0 --startMP 204:480 --initTime 2017-10-20T05:11:44 --startdatetime 2017-10-20T05:15:25 --delay 69 --endMP 204:233316 --enddatetime 2017-10-20T05:50:24 --enforcementcount 0 &gt;&gt;%USERPROFILE%\Documents\GitHub\eaglep3-reporting\EC\2017-10-20-refined-times.txt</v>
      </c>
      <c r="AI25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{"issue":{"subject":"","project_id":79,"tracker_id":40,"status_id":1,"priority_id":2,"assigned_to_id":338,"start_date":"2017-10-20","description":"","custom_fields":[{"id":1,"name":"Subdivision","value":"EC"},{"id":4,"name":"Milepost","value":"23.3316"},{"id":17,"name":"Train ID","value":"113-20"},{"id":16,"name":"Locomotive ID","value":"4002"},{"id":130,"name":"Impact","value":""},{"id":150,"name":"Time of Event (Mountain Time)","value":"05:50:24"},{"id":151,"name":"Denver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4002 --day 2017-10-20</v>
      </c>
      <c r="AN25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11:50:24"},{"id":29,"name":"Sharepoint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-10-20T04:11:44-0600',mode:absolute,to:'2017-10-20T06:50:24-0600'))&amp;_a=(columns:!('Message%20ID',Summary),filters:!(),index:'emp_*',interval:auto,query:(query_string:(analyze_wildcard:!t,query:'%22rtdc.l.rtdc.4002%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689</v>
      </c>
      <c r="B26" s="7">
        <v>4001</v>
      </c>
      <c r="C26" s="21" t="s">
        <v>194</v>
      </c>
      <c r="D26" s="21" t="s">
        <v>451</v>
      </c>
      <c r="E26" s="13">
        <v>43028.248078703706</v>
      </c>
      <c r="F26" s="13">
        <v>43028.258819444447</v>
      </c>
      <c r="G26" s="7">
        <v>63</v>
      </c>
      <c r="H26" s="21" t="s">
        <v>386</v>
      </c>
      <c r="I26" s="13">
        <v>43028.285324074073</v>
      </c>
      <c r="J26" s="7">
        <v>0</v>
      </c>
      <c r="K26" s="89" t="str">
        <f>IF(ISEVEN(B26),(B26-1)&amp;"/"&amp;B26,B26&amp;"/"&amp;(B26+1))</f>
        <v>4001/4002</v>
      </c>
      <c r="L26" s="185" t="str">
        <f>VLOOKUP(A26,'Trips&amp;Operators'!$C$1:$G$99911,5,FALSE)</f>
        <v>MACDONALD THOMAS</v>
      </c>
      <c r="M26" s="6">
        <f>I26-F26</f>
        <v>2.6504629626288079E-2</v>
      </c>
      <c r="N26" s="7">
        <f>24*60*SUM($M26:$M26)</f>
        <v>38.166666661854833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-10-20T04:57:14-0600',mode:absolute,to:'2017-10-20T07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23.2988</v>
      </c>
      <c r="Z26" s="204">
        <f>RIGHT(H26,LEN(H26)-4)/10000</f>
        <v>1.6E-2</v>
      </c>
      <c r="AA26" s="204">
        <f>ABS(Z26-Y26)</f>
        <v>23.282800000000002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s3://rtdc.mdm.uploadarchive.raw/RTDC4001/ "%USERPROFILE%\AppData\Local\Temp\OnboardLogs"\RTDC4001\2017-10-20 --exclude "*" --recursive --include "*20171020*" &amp; "%USERPROFILE%\Documents\GitHub\mrs-test-scripts\Headless Mode &amp; Sideloading\WalkAndUnGZ.bat" "%USERPROFILE%\AppData\Local\Temp\OnboardLogs"\RTDC4001\2017-10-20 &amp; aws s3 cp s3://rtdc.mdm.uploadarchive.raw/RTDC4001/ "%USERPROFILE%\AppData\Local\Temp\OnboardLogs"\RTDC4001\2017-10-21 --exclude "*" --recursive --include "*20171021*" &amp; "%USERPROFILE%\Documents\GitHub\mrs-test-scripts\Headless Mode &amp; Sideloading\WalkAndUnGZ.bat" "%USERPROFILE%\AppData\Local\Temp\OnboardLogs"\RTDC4001\2017-10-21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/stypes="app*4001*20171020*"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114-20 --locoid 4001 --swversion DE.1.0.9.0 --startMP 204:232988 --initTime 2017-10-20T05:57:14 --startdatetime 2017-10-20T06:12:42 --delay 63 --endMP 204:160 --enddatetime 2017-10-20T06:50:52 --enforcementcount 0 &gt;&gt;%USERPROFILE%\Documents\GitHub\eaglep3-reporting\EC\2017-10-20-refined-times.txt</v>
      </c>
      <c r="AI26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{"issue":{"subject":"","project_id":79,"tracker_id":40,"status_id":1,"priority_id":2,"assigned_to_id":338,"start_date":"2017-10-20","description":"","custom_fields":[{"id":1,"name":"Subdivision","value":"EC"},{"id":4,"name":"Milepost","value":"0.016"},{"id":17,"name":"Train ID","value":"114-20"},{"id":16,"name":"Locomotive ID","value":"4001"},{"id":130,"name":"Impact","value":""},{"id":150,"name":"Time of Event (Mountain Time)","value":"06:50:52"},{"id":151,"name":"Denver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4001 --day 2017-10-20</v>
      </c>
      <c r="AN26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12:50:52"},{"id":29,"name":"Sharepoint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-10-20T04:57:14-0600',mode:absolute,to:'2017-10-20T07:50:52-0600'))&amp;_a=(columns:!('Message%20ID',Summary),filters:!(),index:'emp_*',interval:auto,query:(query_string:(analyze_wildcard:!t,query:'%22rtdc.l.rtdc.4001%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682</v>
      </c>
      <c r="B27" s="7">
        <v>4064</v>
      </c>
      <c r="C27" s="21" t="s">
        <v>194</v>
      </c>
      <c r="D27" s="21" t="s">
        <v>608</v>
      </c>
      <c r="E27" s="13">
        <v>43028.227534722224</v>
      </c>
      <c r="F27" s="13">
        <v>43028.229363425926</v>
      </c>
      <c r="G27" s="7">
        <v>46</v>
      </c>
      <c r="H27" s="21" t="s">
        <v>598</v>
      </c>
      <c r="I27" s="13">
        <v>43028.255787037036</v>
      </c>
      <c r="J27" s="7">
        <v>0</v>
      </c>
      <c r="K27" s="89" t="str">
        <f>IF(ISEVEN(B27),(B27-1)&amp;"/"&amp;B27,B27&amp;"/"&amp;(B27+1))</f>
        <v>4063/4064</v>
      </c>
      <c r="L27" s="185" t="str">
        <f>VLOOKUP(A27,'Trips&amp;Operators'!$C$1:$G$99911,5,FALSE)</f>
        <v>MAELZER KURT</v>
      </c>
      <c r="M27" s="6">
        <f>I27-F27</f>
        <v>2.6423611110658385E-2</v>
      </c>
      <c r="N27" s="7">
        <f>24*60*SUM($M27:$M27)</f>
        <v>38.049999999348074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-10-20T04:27:39-0600',mode:absolute,to:'2017-10-20T07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4.2700000000000002E-2</v>
      </c>
      <c r="Z27" s="204">
        <f>RIGHT(H27,LEN(H27)-4)/10000</f>
        <v>23.334</v>
      </c>
      <c r="AA27" s="204">
        <f>ABS(Z27-Y27)</f>
        <v>23.2913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s3://rtdc.mdm.uploadarchive.raw/RTDC4064/ "%USERPROFILE%\AppData\Local\Temp\OnboardLogs"\RTDC4064\2017-10-20 --exclude "*" --recursive --include "*20171020*" &amp; "%USERPROFILE%\Documents\GitHub\mrs-test-scripts\Headless Mode &amp; Sideloading\WalkAndUnGZ.bat" "%USERPROFILE%\AppData\Local\Temp\OnboardLogs"\RTDC4064\2017-10-20 &amp; aws s3 cp s3://rtdc.mdm.uploadarchive.raw/RTDC4064/ "%USERPROFILE%\AppData\Local\Temp\OnboardLogs"\RTDC4064\2017-10-21 --exclude "*" --recursive --include "*20171021*" &amp; "%USERPROFILE%\Documents\GitHub\mrs-test-scripts\Headless Mode &amp; Sideloading\WalkAndUnGZ.bat" "%USERPROFILE%\AppData\Local\Temp\OnboardLogs"\RTDC4064\2017-10-21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/stypes="app*4064*20171020*"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115-20 --locoid 4064 --swversion DE.1.0.9.0 --startMP 204:427 --initTime 2017-10-20T05:27:39 --startdatetime 2017-10-20T05:30:17 --delay 46 --endMP 204:233340 --enddatetime 2017-10-20T06:08:20 --enforcementcount 0 &gt;&gt;%USERPROFILE%\Documents\GitHub\eaglep3-reporting\EC\2017-10-20-refined-times.txt</v>
      </c>
      <c r="AI27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{"issue":{"subject":"","project_id":79,"tracker_id":40,"status_id":1,"priority_id":2,"assigned_to_id":338,"start_date":"2017-10-20","description":"","custom_fields":[{"id":1,"name":"Subdivision","value":"EC"},{"id":4,"name":"Milepost","value":"23.334"},{"id":17,"name":"Train ID","value":"115-20"},{"id":16,"name":"Locomotive ID","value":"4064"},{"id":130,"name":"Impact","value":""},{"id":150,"name":"Time of Event (Mountain Time)","value":"06:08:20"},{"id":151,"name":"Denver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4064 --day 2017-10-20</v>
      </c>
      <c r="AN27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12:08:20"},{"id":29,"name":"Sharepoint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-10-20T04:27:39-0600',mode:absolute,to:'2017-10-20T07:08:20-0600'))&amp;_a=(columns:!('Message%20ID',Summary),filters:!(),index:'emp_*',interval:auto,query:(query_string:(analyze_wildcard:!t,query:'%22rtdc.l.rtdc.4064%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693</v>
      </c>
      <c r="B28" s="7">
        <v>4063</v>
      </c>
      <c r="C28" s="21" t="s">
        <v>194</v>
      </c>
      <c r="D28" s="21" t="s">
        <v>884</v>
      </c>
      <c r="E28" s="13">
        <v>43028.262754629628</v>
      </c>
      <c r="F28" s="13">
        <v>43028.268912037034</v>
      </c>
      <c r="G28" s="7">
        <v>48</v>
      </c>
      <c r="H28" s="21" t="s">
        <v>363</v>
      </c>
      <c r="I28" s="13">
        <v>43028.295810185184</v>
      </c>
      <c r="J28" s="7">
        <v>0</v>
      </c>
      <c r="K28" s="89" t="str">
        <f>IF(ISEVEN(B28),(B28-1)&amp;"/"&amp;B28,B28&amp;"/"&amp;(B28+1))</f>
        <v>4063/4064</v>
      </c>
      <c r="L28" s="185" t="str">
        <f>VLOOKUP(A28,'Trips&amp;Operators'!$C$1:$G$99911,5,FALSE)</f>
        <v>MAELZER KURT</v>
      </c>
      <c r="M28" s="6">
        <f>I28-F28</f>
        <v>2.6898148149484769E-2</v>
      </c>
      <c r="N28" s="7">
        <f>24*60*SUM($M28:$M28)</f>
        <v>38.733333335258067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-10-20T05:18:22-0600',mode:absolute,to:'2017-10-20T08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23.301500000000001</v>
      </c>
      <c r="Z28" s="204">
        <f>RIGHT(H28,LEN(H28)-4)/10000</f>
        <v>1.3899999999999999E-2</v>
      </c>
      <c r="AA28" s="204">
        <f>ABS(Z28-Y28)</f>
        <v>23.287600000000001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/stypes="app*4063*20171020*"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116-20 --locoid 4063 --swversion DE.1.0.9.0 --startMP 204:233015 --initTime 2017-10-20T06:18:22 --startdatetime 2017-10-20T06:27:14 --delay 48 --endMP 204:139 --enddatetime 2017-10-20T07:05:58 --enforcementcount 0 &gt;&gt;%USERPROFILE%\Documents\GitHub\eaglep3-reporting\EC\2017-10-20-refined-times.txt</v>
      </c>
      <c r="AI28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{"issue":{"subject":"","project_id":79,"tracker_id":40,"status_id":1,"priority_id":2,"assigned_to_id":338,"start_date":"2017-10-20","description":"","custom_fields":[{"id":1,"name":"Subdivision","value":"EC"},{"id":4,"name":"Milepost","value":"0.0139"},{"id":17,"name":"Train ID","value":"116-20"},{"id":16,"name":"Locomotive ID","value":"4063"},{"id":130,"name":"Impact","value":""},{"id":150,"name":"Time of Event (Mountain Time)","value":"07:05:58"},{"id":151,"name":"Denver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4063 --day 2017-10-20</v>
      </c>
      <c r="AN28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13:05:58"},{"id":29,"name":"Sharepoint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-10-20T05:18:22-0600',mode:absolute,to:'2017-10-20T08:05:58-0600'))&amp;_a=(columns:!('Message%20ID',Summary),filters:!(),index:'emp_*',interval:auto,query:(query_string:(analyze_wildcard:!t,query:'%22rtdc.l.rtdc.4063%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684</v>
      </c>
      <c r="B29" s="7">
        <v>4032</v>
      </c>
      <c r="C29" s="21" t="s">
        <v>194</v>
      </c>
      <c r="D29" s="21" t="s">
        <v>885</v>
      </c>
      <c r="E29" s="13">
        <v>43028.22892361111</v>
      </c>
      <c r="F29" s="13">
        <v>43028.239756944444</v>
      </c>
      <c r="G29" s="7">
        <v>101</v>
      </c>
      <c r="H29" s="21" t="s">
        <v>886</v>
      </c>
      <c r="I29" s="13">
        <v>43028.264050925929</v>
      </c>
      <c r="J29" s="7">
        <v>0</v>
      </c>
      <c r="K29" s="89" t="str">
        <f>IF(ISEVEN(B29),(B29-1)&amp;"/"&amp;B29,B29&amp;"/"&amp;(B29+1))</f>
        <v>4031/4032</v>
      </c>
      <c r="L29" s="185" t="str">
        <f>VLOOKUP(A29,'Trips&amp;Operators'!$C$1:$G$99911,5,FALSE)</f>
        <v>YANAI IAN</v>
      </c>
      <c r="M29" s="6">
        <f>I29-F29</f>
        <v>2.4293981485243421E-2</v>
      </c>
      <c r="N29" s="7">
        <f>24*60*SUM($M29:$M29)</f>
        <v>34.983333338750526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-20T04:29:39-0600',mode:absolute,to:'2017-10-20T07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4.7500000000000001E-2</v>
      </c>
      <c r="Z29" s="204">
        <f>RIGHT(H29,LEN(H29)-4)/10000</f>
        <v>23.328600000000002</v>
      </c>
      <c r="AA29" s="204">
        <f>ABS(Z29-Y29)</f>
        <v>23.281100000000002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s3://rtdc.mdm.uploadarchive.raw/RTDC4032/ "%USERPROFILE%\AppData\Local\Temp\OnboardLogs"\RTDC4032\2017-10-20 --exclude "*" --recursive --include "*20171020*" &amp; "%USERPROFILE%\Documents\GitHub\mrs-test-scripts\Headless Mode &amp; Sideloading\WalkAndUnGZ.bat" "%USERPROFILE%\AppData\Local\Temp\OnboardLogs"\RTDC4032\2017-10-20 &amp; aws s3 cp s3://rtdc.mdm.uploadarchive.raw/RTDC4032/ "%USERPROFILE%\AppData\Local\Temp\OnboardLogs"\RTDC4032\2017-10-21 --exclude "*" --recursive --include "*20171021*" &amp; "%USERPROFILE%\Documents\GitHub\mrs-test-scripts\Headless Mode &amp; Sideloading\WalkAndUnGZ.bat" "%USERPROFILE%\AppData\Local\Temp\OnboardLogs"\RTDC4032\2017-10-21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/stypes="app*4032*20171020*"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117-20 --locoid 4032 --swversion DE.1.0.9.0 --startMP 204:475 --initTime 2017-10-20T05:29:39 --startdatetime 2017-10-20T05:45:15 --delay 101 --endMP 204:233286 --enddatetime 2017-10-20T06:20:14 --enforcementcount 0 &gt;&gt;%USERPROFILE%\Documents\GitHub\eaglep3-reporting\EC\2017-10-20-refined-times.txt</v>
      </c>
      <c r="AI29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{"issue":{"subject":"","project_id":79,"tracker_id":40,"status_id":1,"priority_id":2,"assigned_to_id":338,"start_date":"2017-10-20","description":"","custom_fields":[{"id":1,"name":"Subdivision","value":"EC"},{"id":4,"name":"Milepost","value":"23.3286"},{"id":17,"name":"Train ID","value":"117-20"},{"id":16,"name":"Locomotive ID","value":"4032"},{"id":130,"name":"Impact","value":""},{"id":150,"name":"Time of Event (Mountain Time)","value":"06:20:14"},{"id":151,"name":"Denver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4032 --day 2017-10-20</v>
      </c>
      <c r="AN29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12:20:14"},{"id":29,"name":"Sharepoint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-10-20T04:29:39-0600',mode:absolute,to:'2017-10-20T07:20:14-0600'))&amp;_a=(columns:!('Message%20ID',Summary),filters:!(),index:'emp_*',interval:auto,query:(query_string:(analyze_wildcard:!t,query:'%22rtdc.l.rtdc.4032%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694</v>
      </c>
      <c r="B30" s="7">
        <v>4031</v>
      </c>
      <c r="C30" s="21" t="s">
        <v>194</v>
      </c>
      <c r="D30" s="21" t="s">
        <v>887</v>
      </c>
      <c r="E30" s="13">
        <v>43028.265081018515</v>
      </c>
      <c r="F30" s="13">
        <v>43028.279432870368</v>
      </c>
      <c r="G30" s="7">
        <v>48</v>
      </c>
      <c r="H30" s="21" t="s">
        <v>339</v>
      </c>
      <c r="I30" s="13">
        <v>43028.305300925924</v>
      </c>
      <c r="J30" s="7">
        <v>0</v>
      </c>
      <c r="K30" s="89" t="str">
        <f>IF(ISEVEN(B30),(B30-1)&amp;"/"&amp;B30,B30&amp;"/"&amp;(B30+1))</f>
        <v>4031/4032</v>
      </c>
      <c r="L30" s="185" t="str">
        <f>VLOOKUP(A30,'Trips&amp;Operators'!$C$1:$G$99911,5,FALSE)</f>
        <v>YANAI IAN</v>
      </c>
      <c r="M30" s="6">
        <f>I30-F30</f>
        <v>2.5868055556202307E-2</v>
      </c>
      <c r="N30" s="7">
        <f>24*60*SUM($M30:$M30)</f>
        <v>37.250000000931323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-10-20T05:21:43-0600',mode:absolute,to:'2017-10-20T08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23.297499999999999</v>
      </c>
      <c r="Z30" s="204">
        <f>RIGHT(H30,LEN(H30)-4)/10000</f>
        <v>1.47E-2</v>
      </c>
      <c r="AA30" s="204">
        <f>ABS(Z30-Y30)</f>
        <v>23.282799999999998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s3://rtdc.mdm.uploadarchive.raw/RTDC4031/ "%USERPROFILE%\AppData\Local\Temp\OnboardLogs"\RTDC4031\2017-10-20 --exclude "*" --recursive --include "*20171020*" &amp; "%USERPROFILE%\Documents\GitHub\mrs-test-scripts\Headless Mode &amp; Sideloading\WalkAndUnGZ.bat" "%USERPROFILE%\AppData\Local\Temp\OnboardLogs"\RTDC4031\2017-10-20 &amp; aws s3 cp s3://rtdc.mdm.uploadarchive.raw/RTDC4031/ "%USERPROFILE%\AppData\Local\Temp\OnboardLogs"\RTDC4031\2017-10-21 --exclude "*" --recursive --include "*20171021*" &amp; "%USERPROFILE%\Documents\GitHub\mrs-test-scripts\Headless Mode &amp; Sideloading\WalkAndUnGZ.bat" "%USERPROFILE%\AppData\Local\Temp\OnboardLogs"\RTDC4031\2017-10-21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/stypes="app*4031*20171020*"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118-20 --locoid 4031 --swversion DE.1.0.9.0 --startMP 204:232975 --initTime 2017-10-20T06:21:43 --startdatetime 2017-10-20T06:42:23 --delay 48 --endMP 204:147 --enddatetime 2017-10-20T07:19:38 --enforcementcount 0 &gt;&gt;%USERPROFILE%\Documents\GitHub\eaglep3-reporting\EC\2017-10-20-refined-times.txt</v>
      </c>
      <c r="AI30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{"issue":{"subject":"","project_id":79,"tracker_id":40,"status_id":1,"priority_id":2,"assigned_to_id":338,"start_date":"2017-10-20","description":"","custom_fields":[{"id":1,"name":"Subdivision","value":"EC"},{"id":4,"name":"Milepost","value":"0.0147"},{"id":17,"name":"Train ID","value":"118-20"},{"id":16,"name":"Locomotive ID","value":"4031"},{"id":130,"name":"Impact","value":""},{"id":150,"name":"Time of Event (Mountain Time)","value":"07:19:38"},{"id":151,"name":"Denver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4031 --day 2017-10-20</v>
      </c>
      <c r="AN30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13:19:38"},{"id":29,"name":"Sharepoint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-10-20T05:21:43-0600',mode:absolute,to:'2017-10-20T08:19:38-0600'))&amp;_a=(columns:!('Message%20ID',Summary),filters:!(),index:'emp_*',interval:auto,query:(query_string:(analyze_wildcard:!t,query:'%22rtdc.l.rtdc.4031%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688</v>
      </c>
      <c r="B31" s="7">
        <v>4026</v>
      </c>
      <c r="C31" s="21" t="s">
        <v>194</v>
      </c>
      <c r="D31" s="21" t="s">
        <v>369</v>
      </c>
      <c r="E31" s="13">
        <v>43028.246527777781</v>
      </c>
      <c r="F31" s="13">
        <v>43028.250196759262</v>
      </c>
      <c r="G31" s="7">
        <v>67</v>
      </c>
      <c r="H31" s="21" t="s">
        <v>888</v>
      </c>
      <c r="I31" s="13">
        <v>43028.275682870371</v>
      </c>
      <c r="J31" s="7">
        <v>0</v>
      </c>
      <c r="K31" s="89" t="str">
        <f>IF(ISEVEN(B31),(B31-1)&amp;"/"&amp;B31,B31&amp;"/"&amp;(B31+1))</f>
        <v>4025/4026</v>
      </c>
      <c r="L31" s="185" t="str">
        <f>VLOOKUP(A31,'Trips&amp;Operators'!$C$1:$G$99911,5,FALSE)</f>
        <v>BONDS REYNALDO</v>
      </c>
      <c r="M31" s="6">
        <f>I31-F31</f>
        <v>2.548611110978527E-2</v>
      </c>
      <c r="N31" s="7">
        <f>24*60*SUM($M31:$M31)</f>
        <v>36.699999998090789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-10-20T04:55:00-0600',mode:absolute,to:'2017-10-20T07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4.4699999999999997E-2</v>
      </c>
      <c r="Z31" s="204">
        <f>RIGHT(H31,LEN(H31)-4)/10000</f>
        <v>23.328299999999999</v>
      </c>
      <c r="AA31" s="204">
        <f>ABS(Z31-Y31)</f>
        <v>23.2836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s3://rtdc.mdm.uploadarchive.raw/RTDC4026/ "%USERPROFILE%\AppData\Local\Temp\OnboardLogs"\RTDC4026\2017-10-20 --exclude "*" --recursive --include "*20171020*" &amp; "%USERPROFILE%\Documents\GitHub\mrs-test-scripts\Headless Mode &amp; Sideloading\WalkAndUnGZ.bat" "%USERPROFILE%\AppData\Local\Temp\OnboardLogs"\RTDC4026\2017-10-20 &amp; aws s3 cp s3://rtdc.mdm.uploadarchive.raw/RTDC4026/ "%USERPROFILE%\AppData\Local\Temp\OnboardLogs"\RTDC4026\2017-10-21 --exclude "*" --recursive --include "*20171021*" &amp; "%USERPROFILE%\Documents\GitHub\mrs-test-scripts\Headless Mode &amp; Sideloading\WalkAndUnGZ.bat" "%USERPROFILE%\AppData\Local\Temp\OnboardLogs"\RTDC4026\2017-10-21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/stypes="app*4026*20171020*"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119-20 --locoid 4026 --swversion DE.1.0.9.0 --startMP 204:447 --initTime 2017-10-20T05:55:00 --startdatetime 2017-10-20T06:00:17 --delay 67 --endMP 204:233283 --enddatetime 2017-10-20T06:36:59 --enforcementcount 0 &gt;&gt;%USERPROFILE%\Documents\GitHub\eaglep3-reporting\EC\2017-10-20-refined-times.txt</v>
      </c>
      <c r="AI31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{"issue":{"subject":"","project_id":79,"tracker_id":40,"status_id":1,"priority_id":2,"assigned_to_id":338,"start_date":"2017-10-20","description":"","custom_fields":[{"id":1,"name":"Subdivision","value":"EC"},{"id":4,"name":"Milepost","value":"23.3283"},{"id":17,"name":"Train ID","value":"119-20"},{"id":16,"name":"Locomotive ID","value":"4026"},{"id":130,"name":"Impact","value":""},{"id":150,"name":"Time of Event (Mountain Time)","value":"06:36:59"},{"id":151,"name":"Denver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4026 --day 2017-10-20</v>
      </c>
      <c r="AN31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12:36:59"},{"id":29,"name":"Sharepoint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-10-20T04:55:00-0600',mode:absolute,to:'2017-10-20T07:36:59-0600'))&amp;_a=(columns:!('Message%20ID',Summary),filters:!(),index:'emp_*',interval:auto,query:(query_string:(analyze_wildcard:!t,query:'%22rtdc.l.rtdc.4026%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701</v>
      </c>
      <c r="B32" s="7">
        <v>4025</v>
      </c>
      <c r="C32" s="21" t="s">
        <v>194</v>
      </c>
      <c r="D32" s="21" t="s">
        <v>420</v>
      </c>
      <c r="E32" s="13">
        <v>43028.288356481484</v>
      </c>
      <c r="F32" s="13">
        <v>43028.289768518516</v>
      </c>
      <c r="G32" s="7">
        <v>58</v>
      </c>
      <c r="H32" s="21" t="s">
        <v>336</v>
      </c>
      <c r="I32" s="13">
        <v>43028.315821759257</v>
      </c>
      <c r="J32" s="7">
        <v>0</v>
      </c>
      <c r="K32" s="89" t="str">
        <f>IF(ISEVEN(B32),(B32-1)&amp;"/"&amp;B32,B32&amp;"/"&amp;(B32+1))</f>
        <v>4025/4026</v>
      </c>
      <c r="L32" s="185" t="str">
        <f>VLOOKUP(A32,'Trips&amp;Operators'!$C$1:$G$99911,5,FALSE)</f>
        <v>BONDS REYNALDO</v>
      </c>
      <c r="M32" s="6">
        <f>I32-F32</f>
        <v>2.6053240741021E-2</v>
      </c>
      <c r="N32" s="7">
        <f>24*60*SUM($M32:$M32)</f>
        <v>37.51666666707024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-10-20T05:55:14-0600',mode:absolute,to:'2017-10-20T08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23.298300000000001</v>
      </c>
      <c r="Z32" s="204">
        <f>RIGHT(H32,LEN(H32)-4)/10000</f>
        <v>1.49E-2</v>
      </c>
      <c r="AA32" s="204">
        <f>ABS(Z32-Y32)</f>
        <v>23.2834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s3://rtdc.mdm.uploadarchive.raw/RTDC4025/ "%USERPROFILE%\AppData\Local\Temp\OnboardLogs"\RTDC4025\2017-10-20 --exclude "*" --recursive --include "*20171020*" &amp; "%USERPROFILE%\Documents\GitHub\mrs-test-scripts\Headless Mode &amp; Sideloading\WalkAndUnGZ.bat" "%USERPROFILE%\AppData\Local\Temp\OnboardLogs"\RTDC4025\2017-10-20 &amp; aws s3 cp s3://rtdc.mdm.uploadarchive.raw/RTDC4025/ "%USERPROFILE%\AppData\Local\Temp\OnboardLogs"\RTDC4025\2017-10-21 --exclude "*" --recursive --include "*20171021*" &amp; "%USERPROFILE%\Documents\GitHub\mrs-test-scripts\Headless Mode &amp; Sideloading\WalkAndUnGZ.bat" "%USERPROFILE%\AppData\Local\Temp\OnboardLogs"\RTDC4025\2017-10-21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/stypes="app*4025*20171020*"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120-20 --locoid 4025 --swversion DE.1.0.9.0 --startMP 204:232983 --initTime 2017-10-20T06:55:14 --startdatetime 2017-10-20T06:57:16 --delay 58 --endMP 204:149 --enddatetime 2017-10-20T07:34:47 --enforcementcount 0 &gt;&gt;%USERPROFILE%\Documents\GitHub\eaglep3-reporting\EC\2017-10-20-refined-times.txt</v>
      </c>
      <c r="AI32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{"issue":{"subject":"","project_id":79,"tracker_id":40,"status_id":1,"priority_id":2,"assigned_to_id":338,"start_date":"2017-10-20","description":"","custom_fields":[{"id":1,"name":"Subdivision","value":"EC"},{"id":4,"name":"Milepost","value":"0.0149"},{"id":17,"name":"Train ID","value":"120-20"},{"id":16,"name":"Locomotive ID","value":"4025"},{"id":130,"name":"Impact","value":""},{"id":150,"name":"Time of Event (Mountain Time)","value":"07:34:47"},{"id":151,"name":"Denver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4025 --day 2017-10-20</v>
      </c>
      <c r="AN32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13:34:47"},{"id":29,"name":"Sharepoint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-10-20T05:55:14-0600',mode:absolute,to:'2017-10-20T08:34:47-0600'))&amp;_a=(columns:!('Message%20ID',Summary),filters:!(),index:'emp_*',interval:auto,query:(query_string:(analyze_wildcard:!t,query:'%22rtdc.l.rtdc.4025%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692</v>
      </c>
      <c r="B33" s="7">
        <v>4044</v>
      </c>
      <c r="C33" s="21" t="s">
        <v>194</v>
      </c>
      <c r="D33" s="21" t="s">
        <v>338</v>
      </c>
      <c r="E33" s="13">
        <v>43028.254560185182</v>
      </c>
      <c r="F33" s="13">
        <v>43028.26059027778</v>
      </c>
      <c r="G33" s="7">
        <v>52</v>
      </c>
      <c r="H33" s="21" t="s">
        <v>393</v>
      </c>
      <c r="I33" s="13">
        <v>43028.284467592595</v>
      </c>
      <c r="J33" s="7">
        <v>0</v>
      </c>
      <c r="K33" s="89" t="str">
        <f>IF(ISEVEN(B33),(B33-1)&amp;"/"&amp;B33,B33&amp;"/"&amp;(B33+1))</f>
        <v>4043/4044</v>
      </c>
      <c r="L33" s="185" t="str">
        <f>VLOOKUP(A33,'Trips&amp;Operators'!$C$1:$G$99911,5,FALSE)</f>
        <v>GEBRETEKLE DAGNEW</v>
      </c>
      <c r="M33" s="6">
        <f>I33-F33</f>
        <v>2.3877314815763384E-2</v>
      </c>
      <c r="N33" s="7">
        <f>24*60*SUM($M33:$M33)</f>
        <v>34.383333334699273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-10-20T05:06:34-0600',mode:absolute,to:'2017-10-20T07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4.53E-2</v>
      </c>
      <c r="Z33" s="204">
        <f>RIGHT(H33,LEN(H33)-4)/10000</f>
        <v>23.331399999999999</v>
      </c>
      <c r="AA33" s="204">
        <f>ABS(Z33-Y33)</f>
        <v>23.286099999999998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 &amp; aws s3 cp s3://rtdc.mdm.uploadarchive.raw/RTDC4044/ "%USERPROFILE%\AppData\Local\Temp\OnboardLogs"\RTDC4044\2017-10-21 --exclude "*" --recursive --include "*20171021*" &amp; "%USERPROFILE%\Documents\GitHub\mrs-test-scripts\Headless Mode &amp; Sideloading\WalkAndUnGZ.bat" "%USERPROFILE%\AppData\Local\Temp\OnboardLogs"\RTDC4044\2017-10-21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/stypes="app*4044*20171020*"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121-20 --locoid 4044 --swversion DE.1.0.9.0 --startMP 204:453 --initTime 2017-10-20T06:06:34 --startdatetime 2017-10-20T06:15:15 --delay 52 --endMP 204:233314 --enddatetime 2017-10-20T06:49:38 --enforcementcount 0 &gt;&gt;%USERPROFILE%\Documents\GitHub\eaglep3-reporting\EC\2017-10-20-refined-times.txt</v>
      </c>
      <c r="AI33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{"issue":{"subject":"","project_id":79,"tracker_id":40,"status_id":1,"priority_id":2,"assigned_to_id":338,"start_date":"2017-10-20","description":"","custom_fields":[{"id":1,"name":"Subdivision","value":"EC"},{"id":4,"name":"Milepost","value":"23.3314"},{"id":17,"name":"Train ID","value":"121-20"},{"id":16,"name":"Locomotive ID","value":"4044"},{"id":130,"name":"Impact","value":""},{"id":150,"name":"Time of Event (Mountain Time)","value":"06:49:38"},{"id":151,"name":"Denver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4044 --day 2017-10-20</v>
      </c>
      <c r="AN33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12:49:38"},{"id":29,"name":"Sharepoint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-10-20T05:06:34-0600',mode:absolute,to:'2017-10-20T07:49:38-0600'))&amp;_a=(columns:!('Message%20ID',Summary),filters:!(),index:'emp_*',interval:auto,query:(query_string:(analyze_wildcard:!t,query:'%22rtdc.l.rtdc.4044%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699</v>
      </c>
      <c r="B34" s="7">
        <v>4043</v>
      </c>
      <c r="C34" s="21" t="s">
        <v>194</v>
      </c>
      <c r="D34" s="21" t="s">
        <v>431</v>
      </c>
      <c r="E34" s="13">
        <v>43028.285497685189</v>
      </c>
      <c r="F34" s="13">
        <v>43028.300185185188</v>
      </c>
      <c r="G34" s="7">
        <v>55</v>
      </c>
      <c r="H34" s="21" t="s">
        <v>339</v>
      </c>
      <c r="I34" s="13">
        <v>43028.32640046296</v>
      </c>
      <c r="J34" s="7">
        <v>0</v>
      </c>
      <c r="K34" s="89" t="str">
        <f>IF(ISEVEN(B34),(B34-1)&amp;"/"&amp;B34,B34&amp;"/"&amp;(B34+1))</f>
        <v>4043/4044</v>
      </c>
      <c r="L34" s="185" t="str">
        <f>VLOOKUP(A34,'Trips&amp;Operators'!$C$1:$G$99911,5,FALSE)</f>
        <v>GEBRETEKLE DAGNEW</v>
      </c>
      <c r="M34" s="6">
        <f>I34-F34</f>
        <v>2.6215277772280388E-2</v>
      </c>
      <c r="N34" s="7">
        <f>24*60*SUM($M34:$M34)</f>
        <v>37.749999992083758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-10-20T05:51:07-0600',mode:absolute,to:'2017-10-20T08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23.299600000000002</v>
      </c>
      <c r="Z34" s="204">
        <f>RIGHT(H34,LEN(H34)-4)/10000</f>
        <v>1.47E-2</v>
      </c>
      <c r="AA34" s="204">
        <f>ABS(Z34-Y34)</f>
        <v>23.2849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 &amp; aws s3 cp s3://rtdc.mdm.uploadarchive.raw/RTDC4043/ "%USERPROFILE%\AppData\Local\Temp\OnboardLogs"\RTDC4043\2017-10-21 --exclude "*" --recursive --include "*20171021*" &amp; "%USERPROFILE%\Documents\GitHub\mrs-test-scripts\Headless Mode &amp; Sideloading\WalkAndUnGZ.bat" "%USERPROFILE%\AppData\Local\Temp\OnboardLogs"\RTDC4043\2017-10-21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/stypes="app*4043*20171020*"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122-20 --locoid 4043 --swversion DE.1.0.9.0 --startMP 204:232996 --initTime 2017-10-20T06:51:07 --startdatetime 2017-10-20T07:12:16 --delay 55 --endMP 204:147 --enddatetime 2017-10-20T07:50:01 --enforcementcount 0 &gt;&gt;%USERPROFILE%\Documents\GitHub\eaglep3-reporting\EC\2017-10-20-refined-times.txt</v>
      </c>
      <c r="AI34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{"issue":{"subject":"","project_id":79,"tracker_id":40,"status_id":1,"priority_id":2,"assigned_to_id":338,"start_date":"2017-10-20","description":"","custom_fields":[{"id":1,"name":"Subdivision","value":"EC"},{"id":4,"name":"Milepost","value":"0.0147"},{"id":17,"name":"Train ID","value":"122-20"},{"id":16,"name":"Locomotive ID","value":"4043"},{"id":130,"name":"Impact","value":""},{"id":150,"name":"Time of Event (Mountain Time)","value":"07:50:01"},{"id":151,"name":"Denver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4043 --day 2017-10-20</v>
      </c>
      <c r="AN34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13:50:01"},{"id":29,"name":"Sharepoint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-10-20T05:51:07-0600',mode:absolute,to:'2017-10-20T08:50:01-0600'))&amp;_a=(columns:!('Message%20ID',Summary),filters:!(),index:'emp_*',interval:auto,query:(query_string:(analyze_wildcard:!t,query:'%22rtdc.l.rtdc.4043%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695</v>
      </c>
      <c r="B35" s="7">
        <v>4040</v>
      </c>
      <c r="C35" s="21" t="s">
        <v>194</v>
      </c>
      <c r="D35" s="21" t="s">
        <v>382</v>
      </c>
      <c r="E35" s="13">
        <v>43028.268611111111</v>
      </c>
      <c r="F35" s="13">
        <v>43028.270995370367</v>
      </c>
      <c r="G35" s="7">
        <v>56</v>
      </c>
      <c r="H35" s="21" t="s">
        <v>393</v>
      </c>
      <c r="I35" s="13">
        <v>43028.2971875</v>
      </c>
      <c r="J35" s="7">
        <v>0</v>
      </c>
      <c r="K35" s="89" t="str">
        <f>IF(ISEVEN(B35),(B35-1)&amp;"/"&amp;B35,B35&amp;"/"&amp;(B35+1))</f>
        <v>4039/4040</v>
      </c>
      <c r="L35" s="185" t="str">
        <f>VLOOKUP(A35,'Trips&amp;Operators'!$C$1:$G$99911,5,FALSE)</f>
        <v>DAVIS WENDY</v>
      </c>
      <c r="M35" s="6">
        <f>I35-F35</f>
        <v>2.6192129633272998E-2</v>
      </c>
      <c r="N35" s="7">
        <f>24*60*SUM($M35:$M35)</f>
        <v>37.716666671913117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-10-20T05:26:48-0600',mode:absolute,to:'2017-10-20T08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4.6699999999999998E-2</v>
      </c>
      <c r="Z35" s="204">
        <f>RIGHT(H35,LEN(H35)-4)/10000</f>
        <v>23.331399999999999</v>
      </c>
      <c r="AA35" s="204">
        <f>ABS(Z35-Y35)</f>
        <v>23.284699999999997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s3://rtdc.mdm.uploadarchive.raw/RTDC4040/ "%USERPROFILE%\AppData\Local\Temp\OnboardLogs"\RTDC4040\2017-10-20 --exclude "*" --recursive --include "*20171020*" &amp; "%USERPROFILE%\Documents\GitHub\mrs-test-scripts\Headless Mode &amp; Sideloading\WalkAndUnGZ.bat" "%USERPROFILE%\AppData\Local\Temp\OnboardLogs"\RTDC4040\2017-10-20 &amp; aws s3 cp s3://rtdc.mdm.uploadarchive.raw/RTDC4040/ "%USERPROFILE%\AppData\Local\Temp\OnboardLogs"\RTDC4040\2017-10-21 --exclude "*" --recursive --include "*20171021*" &amp; "%USERPROFILE%\Documents\GitHub\mrs-test-scripts\Headless Mode &amp; Sideloading\WalkAndUnGZ.bat" "%USERPROFILE%\AppData\Local\Temp\OnboardLogs"\RTDC4040\2017-10-21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/stypes="app*4040*20171020*"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123-20 --locoid 4040 --swversion DE.1.0.9.0 --startMP 204:467 --initTime 2017-10-20T06:26:48 --startdatetime 2017-10-20T06:30:14 --delay 56 --endMP 204:233314 --enddatetime 2017-10-20T07:07:57 --enforcementcount 0 &gt;&gt;%USERPROFILE%\Documents\GitHub\eaglep3-reporting\EC\2017-10-20-refined-times.txt</v>
      </c>
      <c r="AI35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{"issue":{"subject":"","project_id":79,"tracker_id":40,"status_id":1,"priority_id":2,"assigned_to_id":338,"start_date":"2017-10-20","description":"","custom_fields":[{"id":1,"name":"Subdivision","value":"EC"},{"id":4,"name":"Milepost","value":"23.3314"},{"id":17,"name":"Train ID","value":"123-20"},{"id":16,"name":"Locomotive ID","value":"4040"},{"id":130,"name":"Impact","value":""},{"id":150,"name":"Time of Event (Mountain Time)","value":"07:07:57"},{"id":151,"name":"Denver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4040 --day 2017-10-20</v>
      </c>
      <c r="AN35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13:07:57"},{"id":29,"name":"Sharepoint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-10-20T05:26:48-0600',mode:absolute,to:'2017-10-20T08:07:57-0600'))&amp;_a=(columns:!('Message%20ID',Summary),filters:!(),index:'emp_*',interval:auto,query:(query_string:(analyze_wildcard:!t,query:'%22rtdc.l.rtdc.4040%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705</v>
      </c>
      <c r="B36" s="7">
        <v>4039</v>
      </c>
      <c r="C36" s="21" t="s">
        <v>194</v>
      </c>
      <c r="D36" s="21" t="s">
        <v>400</v>
      </c>
      <c r="E36" s="13">
        <v>43028.299293981479</v>
      </c>
      <c r="F36" s="13">
        <v>43028.310555555552</v>
      </c>
      <c r="G36" s="7">
        <v>67</v>
      </c>
      <c r="H36" s="21" t="s">
        <v>354</v>
      </c>
      <c r="I36" s="13">
        <v>43028.337384259263</v>
      </c>
      <c r="J36" s="7">
        <v>0</v>
      </c>
      <c r="K36" s="89" t="str">
        <f>IF(ISEVEN(B36),(B36-1)&amp;"/"&amp;B36,B36&amp;"/"&amp;(B36+1))</f>
        <v>4039/4040</v>
      </c>
      <c r="L36" s="185" t="str">
        <f>VLOOKUP(A36,'Trips&amp;Operators'!$C$1:$G$99911,5,FALSE)</f>
        <v>DAVIS WENDY</v>
      </c>
      <c r="M36" s="6">
        <f>I36-F36</f>
        <v>2.6828703710634727E-2</v>
      </c>
      <c r="N36" s="7">
        <f>24*60*SUM($M36:$M36)</f>
        <v>38.633333343314007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-10-20T06:10:59-0600',mode:absolute,to:'2017-10-20T09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23.299399999999999</v>
      </c>
      <c r="Z36" s="204">
        <f>RIGHT(H36,LEN(H36)-4)/10000</f>
        <v>1.52E-2</v>
      </c>
      <c r="AA36" s="204">
        <f>ABS(Z36-Y36)</f>
        <v>23.284199999999998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s3://rtdc.mdm.uploadarchive.raw/RTDC4039/ "%USERPROFILE%\AppData\Local\Temp\OnboardLogs"\RTDC4039\2017-10-20 --exclude "*" --recursive --include "*20171020*" &amp; "%USERPROFILE%\Documents\GitHub\mrs-test-scripts\Headless Mode &amp; Sideloading\WalkAndUnGZ.bat" "%USERPROFILE%\AppData\Local\Temp\OnboardLogs"\RTDC4039\2017-10-20 &amp; aws s3 cp s3://rtdc.mdm.uploadarchive.raw/RTDC4039/ "%USERPROFILE%\AppData\Local\Temp\OnboardLogs"\RTDC4039\2017-10-21 --exclude "*" --recursive --include "*20171021*" &amp; "%USERPROFILE%\Documents\GitHub\mrs-test-scripts\Headless Mode &amp; Sideloading\WalkAndUnGZ.bat" "%USERPROFILE%\AppData\Local\Temp\OnboardLogs"\RTDC4039\2017-10-21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/stypes="app*4039*20171020*"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124-20 --locoid 4039 --swversion DE.1.0.9.0 --startMP 204:232994 --initTime 2017-10-20T07:10:59 --startdatetime 2017-10-20T07:27:12 --delay 67 --endMP 204:152 --enddatetime 2017-10-20T08:05:50 --enforcementcount 0 &gt;&gt;%USERPROFILE%\Documents\GitHub\eaglep3-reporting\EC\2017-10-20-refined-times.txt</v>
      </c>
      <c r="AI36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{"issue":{"subject":"","project_id":79,"tracker_id":40,"status_id":1,"priority_id":2,"assigned_to_id":338,"start_date":"2017-10-20","description":"","custom_fields":[{"id":1,"name":"Subdivision","value":"EC"},{"id":4,"name":"Milepost","value":"0.0152"},{"id":17,"name":"Train ID","value":"124-20"},{"id":16,"name":"Locomotive ID","value":"4039"},{"id":130,"name":"Impact","value":""},{"id":150,"name":"Time of Event (Mountain Time)","value":"08:05:50"},{"id":151,"name":"Denver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4039 --day 2017-10-20</v>
      </c>
      <c r="AN36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14:05:50"},{"id":29,"name":"Sharepoint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-10-20T06:10:59-0600',mode:absolute,to:'2017-10-20T09:05:50-0600'))&amp;_a=(columns:!('Message%20ID',Summary),filters:!(),index:'emp_*',interval:auto,query:(query_string:(analyze_wildcard:!t,query:'%22rtdc.l.rtdc.4039%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698</v>
      </c>
      <c r="B37" s="7">
        <v>4056</v>
      </c>
      <c r="C37" s="21" t="s">
        <v>194</v>
      </c>
      <c r="D37" s="21" t="s">
        <v>594</v>
      </c>
      <c r="E37" s="13">
        <v>43028.276504629626</v>
      </c>
      <c r="F37" s="13">
        <v>43028.281631944446</v>
      </c>
      <c r="G37" s="7">
        <v>67</v>
      </c>
      <c r="H37" s="21" t="s">
        <v>881</v>
      </c>
      <c r="I37" s="13">
        <v>43028.305104166669</v>
      </c>
      <c r="J37" s="7">
        <v>0</v>
      </c>
      <c r="K37" s="89" t="str">
        <f>IF(ISEVEN(B37),(B37-1)&amp;"/"&amp;B37,B37&amp;"/"&amp;(B37+1))</f>
        <v>4055/4056</v>
      </c>
      <c r="L37" s="185" t="str">
        <f>VLOOKUP(A37,'Trips&amp;Operators'!$C$1:$G$99911,5,FALSE)</f>
        <v>YORK EDGAR</v>
      </c>
      <c r="M37" s="6">
        <f>I37-F37</f>
        <v>2.3472222223063E-2</v>
      </c>
      <c r="N37" s="7">
        <f>24*60*SUM($M37:$M37)</f>
        <v>33.800000001210719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-10-20T05:38:10-0600',mode:absolute,to:'2017-10-20T08:19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4.4900000000000002E-2</v>
      </c>
      <c r="Z37" s="204">
        <f>RIGHT(H37,LEN(H37)-4)/10000</f>
        <v>23.328900000000001</v>
      </c>
      <c r="AA37" s="204">
        <f>ABS(Z37-Y37)</f>
        <v>23.284000000000002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/stypes="app*4056*20171020*"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125-20 --locoid 4056 --swversion DE.1.0.9.0 --startMP 204:449 --initTime 2017-10-20T06:38:10 --startdatetime 2017-10-20T06:45:33 --delay 67 --endMP 204:233289 --enddatetime 2017-10-20T07:19:21 --enforcementcount 0 &gt;&gt;%USERPROFILE%\Documents\GitHub\eaglep3-reporting\EC\2017-10-20-refined-times.txt</v>
      </c>
      <c r="AI37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{"issue":{"subject":"","project_id":79,"tracker_id":40,"status_id":1,"priority_id":2,"assigned_to_id":338,"start_date":"2017-10-20","description":"","custom_fields":[{"id":1,"name":"Subdivision","value":"EC"},{"id":4,"name":"Milepost","value":"23.3289"},{"id":17,"name":"Train ID","value":"125-20"},{"id":16,"name":"Locomotive ID","value":"4056"},{"id":130,"name":"Impact","value":""},{"id":150,"name":"Time of Event (Mountain Time)","value":"07:19:21"},{"id":151,"name":"Denver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4056 --day 2017-10-20</v>
      </c>
      <c r="AN37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13:19:21"},{"id":29,"name":"Sharepoint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-10-20T05:38:10-0600',mode:absolute,to:'2017-10-20T08:19:21-0600'))&amp;_a=(columns:!('Message%20ID',Summary),filters:!(),index:'emp_*',interval:auto,query:(query_string:(analyze_wildcard:!t,query:'%22rtdc.l.rtdc.4056%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709</v>
      </c>
      <c r="B38" s="7">
        <v>4055</v>
      </c>
      <c r="C38" s="21" t="s">
        <v>194</v>
      </c>
      <c r="D38" s="21" t="s">
        <v>601</v>
      </c>
      <c r="E38" s="13">
        <v>43028.31790509259</v>
      </c>
      <c r="F38" s="13">
        <v>43028.321423611109</v>
      </c>
      <c r="G38" s="7">
        <v>51</v>
      </c>
      <c r="H38" s="21" t="s">
        <v>362</v>
      </c>
      <c r="I38" s="13">
        <v>43028.347708333335</v>
      </c>
      <c r="J38" s="7">
        <v>0</v>
      </c>
      <c r="K38" s="89" t="str">
        <f>IF(ISEVEN(B38),(B38-1)&amp;"/"&amp;B38,B38&amp;"/"&amp;(B38+1))</f>
        <v>4055/4056</v>
      </c>
      <c r="L38" s="185" t="str">
        <f>VLOOKUP(A38,'Trips&amp;Operators'!$C$1:$G$99911,5,FALSE)</f>
        <v>YORK EDGAR</v>
      </c>
      <c r="M38" s="6">
        <f>I38-F38</f>
        <v>2.6284722225682344E-2</v>
      </c>
      <c r="N38" s="7">
        <f>24*60*SUM($M38:$M38)</f>
        <v>37.850000004982576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-20T06:37:47-0600',mode:absolute,to:'2017-10-20T09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23.2971</v>
      </c>
      <c r="Z38" s="204">
        <f>RIGHT(H38,LEN(H38)-4)/10000</f>
        <v>1.5800000000000002E-2</v>
      </c>
      <c r="AA38" s="204">
        <f>ABS(Z38-Y38)</f>
        <v>23.281300000000002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s3://rtdc.mdm.uploadarchive.raw/RTDC4055/ "%USERPROFILE%\AppData\Local\Temp\OnboardLogs"\RTDC4055\2017-10-20 --exclude "*" --recursive --include "*20171020*" &amp; "%USERPROFILE%\Documents\GitHub\mrs-test-scripts\Headless Mode &amp; Sideloading\WalkAndUnGZ.bat" "%USERPROFILE%\AppData\Local\Temp\OnboardLogs"\RTDC4055\2017-10-20 &amp; aws s3 cp s3://rtdc.mdm.uploadarchive.raw/RTDC4055/ "%USERPROFILE%\AppData\Local\Temp\OnboardLogs"\RTDC4055\2017-10-21 --exclude "*" --recursive --include "*20171021*" &amp; "%USERPROFILE%\Documents\GitHub\mrs-test-scripts\Headless Mode &amp; Sideloading\WalkAndUnGZ.bat" "%USERPROFILE%\AppData\Local\Temp\OnboardLogs"\RTDC4055\2017-10-21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/stypes="app*4055*20171020*" /stext=" 14:.+((SYSTEM_STATE.+slice.+state.+changed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126-20 --locoid 4055 --swversion DE.1.0.9.0 --startMP 204:232971 --initTime 2017-10-20T07:37:47 --startdatetime 2017-10-20T07:42:51 --delay 51 --endMP 204:158 --enddatetime 2017-10-20T08:20:42 --enforcementcount 0 &gt;&gt;%USERPROFILE%\Documents\GitHub\eaglep3-reporting\EC\2017-10-20-refined-times.txt</v>
      </c>
      <c r="AI38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{"issue":{"subject":"","project_id":79,"tracker_id":40,"status_id":1,"priority_id":2,"assigned_to_id":338,"start_date":"2017-10-20","description":"","custom_fields":[{"id":1,"name":"Subdivision","value":"EC"},{"id":4,"name":"Milepost","value":"0.0158"},{"id":17,"name":"Train ID","value":"126-20"},{"id":16,"name":"Locomotive ID","value":"4055"},{"id":130,"name":"Impact","value":""},{"id":150,"name":"Time of Event (Mountain Time)","value":"08:20:42"},{"id":151,"name":"Denver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4055 --day 2017-10-20</v>
      </c>
      <c r="AN38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14:20:42"},{"id":29,"name":"Sharepoint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-10-20T06:37:47-0600',mode:absolute,to:'2017-10-20T09:20:42-0600'))&amp;_a=(columns:!('Message%20ID',Summary),filters:!(),index:'emp_*',interval:auto,query:(query_string:(analyze_wildcard:!t,query:'%22rtdc.l.rtdc.4055%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700</v>
      </c>
      <c r="B39" s="7">
        <v>4002</v>
      </c>
      <c r="C39" s="21" t="s">
        <v>194</v>
      </c>
      <c r="D39" s="21" t="s">
        <v>396</v>
      </c>
      <c r="E39" s="13">
        <v>43028.288113425922</v>
      </c>
      <c r="F39" s="13">
        <v>43028.292118055557</v>
      </c>
      <c r="G39" s="7">
        <v>74</v>
      </c>
      <c r="H39" s="21" t="s">
        <v>598</v>
      </c>
      <c r="I39" s="13">
        <v>43028.316805555558</v>
      </c>
      <c r="J39" s="7">
        <v>0</v>
      </c>
      <c r="K39" s="89" t="str">
        <f>IF(ISEVEN(B39),(B39-1)&amp;"/"&amp;B39,B39&amp;"/"&amp;(B39+1))</f>
        <v>4001/4002</v>
      </c>
      <c r="L39" s="185" t="str">
        <f>VLOOKUP(A39,'Trips&amp;Operators'!$C$1:$G$99911,5,FALSE)</f>
        <v>MACDONALD THOMAS</v>
      </c>
      <c r="M39" s="6">
        <f>I39-F39</f>
        <v>2.4687500001164153E-2</v>
      </c>
      <c r="N39" s="7">
        <f>24*60*SUM($M39:$M39)</f>
        <v>35.550000001676381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-10-20T05:54:53-0600',mode:absolute,to:'2017-10-20T08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4.6399999999999997E-2</v>
      </c>
      <c r="Z39" s="204">
        <f>RIGHT(H39,LEN(H39)-4)/10000</f>
        <v>23.334</v>
      </c>
      <c r="AA39" s="204">
        <f>ABS(Z39-Y39)</f>
        <v>23.287600000000001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s3://rtdc.mdm.uploadarchive.raw/RTDC4002/ "%USERPROFILE%\AppData\Local\Temp\OnboardLogs"\RTDC4002\2017-10-20 --exclude "*" --recursive --include "*20171020*" &amp; "%USERPROFILE%\Documents\GitHub\mrs-test-scripts\Headless Mode &amp; Sideloading\WalkAndUnGZ.bat" "%USERPROFILE%\AppData\Local\Temp\OnboardLogs"\RTDC4002\2017-10-20 &amp; aws s3 cp s3://rtdc.mdm.uploadarchive.raw/RTDC4002/ "%USERPROFILE%\AppData\Local\Temp\OnboardLogs"\RTDC4002\2017-10-21 --exclude "*" --recursive --include "*20171021*" &amp; "%USERPROFILE%\Documents\GitHub\mrs-test-scripts\Headless Mode &amp; Sideloading\WalkAndUnGZ.bat" "%USERPROFILE%\AppData\Local\Temp\OnboardLogs"\RTDC4002\2017-10-21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/stypes="app*4002*20171020*" /stext=" 13:.+((SYSTEM_STATE.+slice.+state.+changed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127-20 --locoid 4002 --swversion DE.1.0.9.0 --startMP 204:464 --initTime 2017-10-20T06:54:53 --startdatetime 2017-10-20T07:00:39 --delay 74 --endMP 204:233340 --enddatetime 2017-10-20T07:36:12 --enforcementcount 0 &gt;&gt;%USERPROFILE%\Documents\GitHub\eaglep3-reporting\EC\2017-10-20-refined-times.txt</v>
      </c>
      <c r="AI39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{"issue":{"subject":"","project_id":79,"tracker_id":40,"status_id":1,"priority_id":2,"assigned_to_id":338,"start_date":"2017-10-20","description":"","custom_fields":[{"id":1,"name":"Subdivision","value":"EC"},{"id":4,"name":"Milepost","value":"23.334"},{"id":17,"name":"Train ID","value":"127-20"},{"id":16,"name":"Locomotive ID","value":"4002"},{"id":130,"name":"Impact","value":""},{"id":150,"name":"Time of Event (Mountain Time)","value":"07:36:12"},{"id":151,"name":"Denver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4002 --day 2017-10-20</v>
      </c>
      <c r="AN39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13:36:12"},{"id":29,"name":"Sharepoint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-10-20T05:54:53-0600',mode:absolute,to:'2017-10-20T08:36:12-0600'))&amp;_a=(columns:!('Message%20ID',Summary),filters:!(),index:'emp_*',interval:auto,query:(query_string:(analyze_wildcard:!t,query:'%22rtdc.l.rtdc.4002%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711</v>
      </c>
      <c r="B40" s="7">
        <v>4001</v>
      </c>
      <c r="C40" s="21" t="s">
        <v>194</v>
      </c>
      <c r="D40" s="21" t="s">
        <v>879</v>
      </c>
      <c r="E40" s="13">
        <v>43028.320289351854</v>
      </c>
      <c r="F40" s="13">
        <v>43028.331562500003</v>
      </c>
      <c r="G40" s="7">
        <v>171</v>
      </c>
      <c r="H40" s="21" t="s">
        <v>889</v>
      </c>
      <c r="I40" s="13">
        <v>43028.369189814817</v>
      </c>
      <c r="J40" s="7">
        <v>0</v>
      </c>
      <c r="K40" s="89" t="str">
        <f>IF(ISEVEN(B40),(B40-1)&amp;"/"&amp;B40,B40&amp;"/"&amp;(B40+1))</f>
        <v>4001/4002</v>
      </c>
      <c r="L40" s="185" t="str">
        <f>VLOOKUP(A40,'Trips&amp;Operators'!$C$1:$G$99911,5,FALSE)</f>
        <v>MACDONALD THOMAS</v>
      </c>
      <c r="M40" s="6">
        <f>I40-F40</f>
        <v>3.7627314814017154E-2</v>
      </c>
      <c r="N40" s="7">
        <f>24*60*SUM($M40:$M40)</f>
        <v>54.183333332184702</v>
      </c>
      <c r="O40" s="7"/>
      <c r="P40" s="7"/>
      <c r="Q40" s="22"/>
      <c r="R40" s="174" t="s">
        <v>1047</v>
      </c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-20T06:41:13-0600',mode:absolute,to:'2017-10-20T09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23.302499999999998</v>
      </c>
      <c r="Z40" s="204">
        <f>RIGHT(H40,LEN(H40)-4)/10000</f>
        <v>0.1177</v>
      </c>
      <c r="AA40" s="204">
        <f>ABS(Z40-Y40)</f>
        <v>23.184799999999999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s3://rtdc.mdm.uploadarchive.raw/RTDC4001/ "%USERPROFILE%\AppData\Local\Temp\OnboardLogs"\RTDC4001\2017-10-20 --exclude "*" --recursive --include "*20171020*" &amp; "%USERPROFILE%\Documents\GitHub\mrs-test-scripts\Headless Mode &amp; Sideloading\WalkAndUnGZ.bat" "%USERPROFILE%\AppData\Local\Temp\OnboardLogs"\RTDC4001\2017-10-20 &amp; aws s3 cp s3://rtdc.mdm.uploadarchive.raw/RTDC4001/ "%USERPROFILE%\AppData\Local\Temp\OnboardLogs"\RTDC4001\2017-10-21 --exclude "*" --recursive --include "*20171021*" &amp; "%USERPROFILE%\Documents\GitHub\mrs-test-scripts\Headless Mode &amp; Sideloading\WalkAndUnGZ.bat" "%USERPROFILE%\AppData\Local\Temp\OnboardLogs"\RTDC4001\2017-10-21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/stypes="app*4001*20171020*" /stext=" 14:.+((SYSTEM_STATE.+slice.+state.+changed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128-20 --locoid 4001 --swversion DE.1.0.9.0 --startMP 204:233025 --initTime 2017-10-20T07:41:13 --startdatetime 2017-10-20T07:57:27 --delay 171 --endMP 204:1177 --enddatetime 2017-10-20T08:51:38 --enforcementcount 0 &gt;&gt;%USERPROFILE%\Documents\GitHub\eaglep3-reporting\EC\2017-10-20-refined-times.txt</v>
      </c>
      <c r="AI40" s="96" t="str">
        <f t="shared" si="6"/>
        <v>echo {"issue":{"subject":"Trip delay at Peoria due to passenger illness, no PTC issues","project_id":79,"tracker_id":40,"status_id":1,"priority_id":2,"assigned_to_id":338,"start_date":"2017-10-20","description":"","custom_fields":[{"id":1,"name":"Subdivision","value":"EC"},{"id":4,"name":"Milepost","value":"0.1177"},{"id":17,"name":"Train ID","value":"128-20"},{"id":16,"name":"Locomotive ID","value":"4001"},{"id":130,"name":"Impact","value":""},{"id":150,"name":"Time of Event (Mountain Time)","value":"08:51:38"},{"id":151,"name":"Denver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4001 --day 2017-10-20</v>
      </c>
      <c r="AN40" s="151" t="str">
        <f t="shared" si="8"/>
        <v>echo {"issue":{"subject":"Trip delay at Peoria due to passenger illness, no PTC issues","project_id":30,"tracker_id":4,"status_id":1,"priority_id":1,"assigned_to_id":10,"start_date":"2017-10-20","description":"","custom_fields":[{"id":30,"name":"Category","value":"Issue"},{"id":3,"name":"Functional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14:51:38"},{"id":29,"name":"Sharepoint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-10-20T06:41:13-0600',mode:absolute,to:'2017-10-20T09:51:38-0600'))&amp;_a=(columns:!('Message%20ID',Summary),filters:!(),index:'emp_*',interval:auto,query:(query_string:(analyze_wildcard:!t,query:'%22rtdc.l.rtdc.4001%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704</v>
      </c>
      <c r="B41" s="7">
        <v>4064</v>
      </c>
      <c r="C41" s="21" t="s">
        <v>194</v>
      </c>
      <c r="D41" s="21" t="s">
        <v>410</v>
      </c>
      <c r="E41" s="13">
        <v>43028.297858796293</v>
      </c>
      <c r="F41" s="13">
        <v>43028.302268518521</v>
      </c>
      <c r="G41" s="7">
        <v>90</v>
      </c>
      <c r="H41" s="21" t="s">
        <v>890</v>
      </c>
      <c r="I41" s="13">
        <v>43028.326226851852</v>
      </c>
      <c r="J41" s="7">
        <v>0</v>
      </c>
      <c r="K41" s="89" t="str">
        <f>IF(ISEVEN(B41),(B41-1)&amp;"/"&amp;B41,B41&amp;"/"&amp;(B41+1))</f>
        <v>4063/4064</v>
      </c>
      <c r="L41" s="185" t="str">
        <f>VLOOKUP(A41,'Trips&amp;Operators'!$C$1:$G$99911,5,FALSE)</f>
        <v>ROCHA YAOTL</v>
      </c>
      <c r="M41" s="6">
        <f>I41-F41</f>
        <v>2.3958333331393078E-2</v>
      </c>
      <c r="N41" s="7">
        <f>24*60*SUM($M41:$M41)</f>
        <v>34.499999997206032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-10-20T06:08:55-0600',mode:absolute,to:'2017-10-20T08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4.3799999999999999E-2</v>
      </c>
      <c r="Z41" s="204">
        <f>RIGHT(H41,LEN(H41)-4)/10000</f>
        <v>23.332799999999999</v>
      </c>
      <c r="AA41" s="204">
        <f>ABS(Z41-Y41)</f>
        <v>23.288999999999998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s3://rtdc.mdm.uploadarchive.raw/RTDC4064/ "%USERPROFILE%\AppData\Local\Temp\OnboardLogs"\RTDC4064\2017-10-20 --exclude "*" --recursive --include "*20171020*" &amp; "%USERPROFILE%\Documents\GitHub\mrs-test-scripts\Headless Mode &amp; Sideloading\WalkAndUnGZ.bat" "%USERPROFILE%\AppData\Local\Temp\OnboardLogs"\RTDC4064\2017-10-20 &amp; aws s3 cp s3://rtdc.mdm.uploadarchive.raw/RTDC4064/ "%USERPROFILE%\AppData\Local\Temp\OnboardLogs"\RTDC4064\2017-10-21 --exclude "*" --recursive --include "*20171021*" &amp; "%USERPROFILE%\Documents\GitHub\mrs-test-scripts\Headless Mode &amp; Sideloading\WalkAndUnGZ.bat" "%USERPROFILE%\AppData\Local\Temp\OnboardLogs"\RTDC4064\2017-10-21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/stypes="app*4064*20171020*" /stext=" 13:.+((SYSTEM_STATE.+slice.+state.+changed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129-20 --locoid 4064 --swversion DE.1.0.9.0 --startMP 204:438 --initTime 2017-10-20T07:08:55 --startdatetime 2017-10-20T07:15:16 --delay 90 --endMP 204:233328 --enddatetime 2017-10-20T07:49:46 --enforcementcount 0 &gt;&gt;%USERPROFILE%\Documents\GitHub\eaglep3-reporting\EC\2017-10-20-refined-times.txt</v>
      </c>
      <c r="AI41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{"issue":{"subject":"","project_id":79,"tracker_id":40,"status_id":1,"priority_id":2,"assigned_to_id":338,"start_date":"2017-10-20","description":"","custom_fields":[{"id":1,"name":"Subdivision","value":"EC"},{"id":4,"name":"Milepost","value":"23.3328"},{"id":17,"name":"Train ID","value":"129-20"},{"id":16,"name":"Locomotive ID","value":"4064"},{"id":130,"name":"Impact","value":""},{"id":150,"name":"Time of Event (Mountain Time)","value":"07:49:46"},{"id":151,"name":"Denver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4064 --day 2017-10-20</v>
      </c>
      <c r="AN41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13:49:46"},{"id":29,"name":"Sharepoint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-10-20T06:08:55-0600',mode:absolute,to:'2017-10-20T08:49:46-0600'))&amp;_a=(columns:!('Message%20ID',Summary),filters:!(),index:'emp_*',interval:auto,query:(query_string:(analyze_wildcard:!t,query:'%22rtdc.l.rtdc.4064%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712</v>
      </c>
      <c r="B42" s="7">
        <v>4063</v>
      </c>
      <c r="C42" s="21" t="s">
        <v>194</v>
      </c>
      <c r="D42" s="21" t="s">
        <v>891</v>
      </c>
      <c r="E42" s="13">
        <v>43028.327928240738</v>
      </c>
      <c r="F42" s="13">
        <v>43028.341898148145</v>
      </c>
      <c r="G42" s="7">
        <v>55</v>
      </c>
      <c r="H42" s="21" t="s">
        <v>354</v>
      </c>
      <c r="I42" s="13">
        <v>43028.37122685185</v>
      </c>
      <c r="J42" s="7">
        <v>0</v>
      </c>
      <c r="K42" s="89" t="str">
        <f>IF(ISEVEN(B42),(B42-1)&amp;"/"&amp;B42,B42&amp;"/"&amp;(B42+1))</f>
        <v>4063/4064</v>
      </c>
      <c r="L42" s="185" t="str">
        <f>VLOOKUP(A42,'Trips&amp;Operators'!$C$1:$G$99911,5,FALSE)</f>
        <v>ROCHA YAOTL</v>
      </c>
      <c r="M42" s="6">
        <f>I42-F42</f>
        <v>2.9328703705687076E-2</v>
      </c>
      <c r="N42" s="7">
        <f>24*60*SUM($M42:$M42)</f>
        <v>42.233333336189389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-10-20T06:52:13-0600',mode:absolute,to:'2017-10-20T09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23.303599999999999</v>
      </c>
      <c r="Z42" s="204">
        <f>RIGHT(H42,LEN(H42)-4)/10000</f>
        <v>1.52E-2</v>
      </c>
      <c r="AA42" s="204">
        <f>ABS(Z42-Y42)</f>
        <v>23.288399999999999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/stypes="app*4063*20171020*" /stext=" 14:.+((SYSTEM_STATE.+slice.+state.+changed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130-20 --locoid 4063 --swversion DE.1.0.9.0 --startMP 204:233036 --initTime 2017-10-20T07:52:13 --startdatetime 2017-10-20T08:12:20 --delay 55 --endMP 204:152 --enddatetime 2017-10-20T08:54:34 --enforcementcount 0 &gt;&gt;%USERPROFILE%\Documents\GitHub\eaglep3-reporting\EC\2017-10-20-refined-times.txt</v>
      </c>
      <c r="AI42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{"issue":{"subject":"","project_id":79,"tracker_id":40,"status_id":1,"priority_id":2,"assigned_to_id":338,"start_date":"2017-10-20","description":"","custom_fields":[{"id":1,"name":"Subdivision","value":"EC"},{"id":4,"name":"Milepost","value":"0.0152"},{"id":17,"name":"Train ID","value":"130-20"},{"id":16,"name":"Locomotive ID","value":"4063"},{"id":130,"name":"Impact","value":""},{"id":150,"name":"Time of Event (Mountain Time)","value":"08:54:34"},{"id":151,"name":"Denver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4063 --day 2017-10-20</v>
      </c>
      <c r="AN42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14:54:34"},{"id":29,"name":"Sharepoint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-10-20T06:52:13-0600',mode:absolute,to:'2017-10-20T09:54:34-0600'))&amp;_a=(columns:!('Message%20ID',Summary),filters:!(),index:'emp_*',interval:auto,query:(query_string:(analyze_wildcard:!t,query:'%22rtdc.l.rtdc.4063%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706</v>
      </c>
      <c r="B43" s="7">
        <v>4032</v>
      </c>
      <c r="C43" s="21" t="s">
        <v>194</v>
      </c>
      <c r="D43" s="21" t="s">
        <v>344</v>
      </c>
      <c r="E43" s="13">
        <v>43028.307905092595</v>
      </c>
      <c r="F43" s="13">
        <v>43028.312696759262</v>
      </c>
      <c r="G43" s="7">
        <v>46</v>
      </c>
      <c r="H43" s="21" t="s">
        <v>487</v>
      </c>
      <c r="I43" s="13">
        <v>43028.337326388886</v>
      </c>
      <c r="J43" s="7">
        <v>0</v>
      </c>
      <c r="K43" s="89" t="str">
        <f>IF(ISEVEN(B43),(B43-1)&amp;"/"&amp;B43,B43&amp;"/"&amp;(B43+1))</f>
        <v>4031/4032</v>
      </c>
      <c r="L43" s="185" t="str">
        <f>VLOOKUP(A43,'Trips&amp;Operators'!$C$1:$G$99911,5,FALSE)</f>
        <v>YANAI IAN</v>
      </c>
      <c r="M43" s="6">
        <f>I43-F43</f>
        <v>2.4629629624541849E-2</v>
      </c>
      <c r="N43" s="7">
        <f>24*60*SUM($M43:$M43)</f>
        <v>35.466666659340262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-10-20T06:23:23-0600',mode:absolute,to:'2017-10-20T09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4.5499999999999999E-2</v>
      </c>
      <c r="Z43" s="204">
        <f>RIGHT(H43,LEN(H43)-4)/10000</f>
        <v>23.333400000000001</v>
      </c>
      <c r="AA43" s="204">
        <f>ABS(Z43-Y43)</f>
        <v>23.2879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s3://rtdc.mdm.uploadarchive.raw/RTDC4032/ "%USERPROFILE%\AppData\Local\Temp\OnboardLogs"\RTDC4032\2017-10-20 --exclude "*" --recursive --include "*20171020*" &amp; "%USERPROFILE%\Documents\GitHub\mrs-test-scripts\Headless Mode &amp; Sideloading\WalkAndUnGZ.bat" "%USERPROFILE%\AppData\Local\Temp\OnboardLogs"\RTDC4032\2017-10-20 &amp; aws s3 cp s3://rtdc.mdm.uploadarchive.raw/RTDC4032/ "%USERPROFILE%\AppData\Local\Temp\OnboardLogs"\RTDC4032\2017-10-21 --exclude "*" --recursive --include "*20171021*" &amp; "%USERPROFILE%\Documents\GitHub\mrs-test-scripts\Headless Mode &amp; Sideloading\WalkAndUnGZ.bat" "%USERPROFILE%\AppData\Local\Temp\OnboardLogs"\RTDC4032\2017-10-21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/stypes="app*4032*20171020*"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131-20 --locoid 4032 --swversion DE.1.0.9.0 --startMP 204:455 --initTime 2017-10-20T07:23:23 --startdatetime 2017-10-20T07:30:17 --delay 46 --endMP 204:233334 --enddatetime 2017-10-20T08:05:45 --enforcementcount 0 &gt;&gt;%USERPROFILE%\Documents\GitHub\eaglep3-reporting\EC\2017-10-20-refined-times.txt</v>
      </c>
      <c r="AI43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{"issue":{"subject":"","project_id":79,"tracker_id":40,"status_id":1,"priority_id":2,"assigned_to_id":338,"start_date":"2017-10-20","description":"","custom_fields":[{"id":1,"name":"Subdivision","value":"EC"},{"id":4,"name":"Milepost","value":"23.3334"},{"id":17,"name":"Train ID","value":"131-20"},{"id":16,"name":"Locomotive ID","value":"4032"},{"id":130,"name":"Impact","value":""},{"id":150,"name":"Time of Event (Mountain Time)","value":"08:05:45"},{"id":151,"name":"Denver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4032 --day 2017-10-20</v>
      </c>
      <c r="AN43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14:05:45"},{"id":29,"name":"Sharepoint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-10-20T06:23:23-0600',mode:absolute,to:'2017-10-20T09:05:45-0600'))&amp;_a=(columns:!('Message%20ID',Summary),filters:!(),index:'emp_*',interval:auto,query:(query_string:(analyze_wildcard:!t,query:'%22rtdc.l.rtdc.4032%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716</v>
      </c>
      <c r="B44" s="7">
        <v>4031</v>
      </c>
      <c r="C44" s="21" t="s">
        <v>194</v>
      </c>
      <c r="D44" s="21" t="s">
        <v>892</v>
      </c>
      <c r="E44" s="13">
        <v>43028.338321759256</v>
      </c>
      <c r="F44" s="13">
        <v>43028.352326388886</v>
      </c>
      <c r="G44" s="7">
        <v>73</v>
      </c>
      <c r="H44" s="21" t="s">
        <v>337</v>
      </c>
      <c r="I44" s="13">
        <v>43028.377812500003</v>
      </c>
      <c r="J44" s="7">
        <v>0</v>
      </c>
      <c r="K44" s="89" t="str">
        <f>IF(ISEVEN(B44),(B44-1)&amp;"/"&amp;B44,B44&amp;"/"&amp;(B44+1))</f>
        <v>4031/4032</v>
      </c>
      <c r="L44" s="185" t="str">
        <f>VLOOKUP(A44,'Trips&amp;Operators'!$C$1:$G$99911,5,FALSE)</f>
        <v>YANAI IAN</v>
      </c>
      <c r="M44" s="6">
        <f>I44-F44</f>
        <v>2.5486111117061228E-2</v>
      </c>
      <c r="N44" s="7">
        <f>24*60*SUM($M44:$M44)</f>
        <v>36.700000008568168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-20T07:07:11-0600',mode:absolute,to:'2017-10-20T10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23.301100000000002</v>
      </c>
      <c r="Z44" s="204">
        <f>RIGHT(H44,LEN(H44)-4)/10000</f>
        <v>1.43E-2</v>
      </c>
      <c r="AA44" s="204">
        <f>ABS(Z44-Y44)</f>
        <v>23.286800000000003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s3://rtdc.mdm.uploadarchive.raw/RTDC4031/ "%USERPROFILE%\AppData\Local\Temp\OnboardLogs"\RTDC4031\2017-10-20 --exclude "*" --recursive --include "*20171020*" &amp; "%USERPROFILE%\Documents\GitHub\mrs-test-scripts\Headless Mode &amp; Sideloading\WalkAndUnGZ.bat" "%USERPROFILE%\AppData\Local\Temp\OnboardLogs"\RTDC4031\2017-10-20 &amp; aws s3 cp s3://rtdc.mdm.uploadarchive.raw/RTDC4031/ "%USERPROFILE%\AppData\Local\Temp\OnboardLogs"\RTDC4031\2017-10-21 --exclude "*" --recursive --include "*20171021*" &amp; "%USERPROFILE%\Documents\GitHub\mrs-test-scripts\Headless Mode &amp; Sideloading\WalkAndUnGZ.bat" "%USERPROFILE%\AppData\Local\Temp\OnboardLogs"\RTDC4031\2017-10-21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/stypes="app*4031*20171020*" /stext=" 15:.+((SYSTEM_STATE.+slice.+state.+changed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132-20 --locoid 4031 --swversion DE.1.0.9.0 --startMP 204:233011 --initTime 2017-10-20T08:07:11 --startdatetime 2017-10-20T08:27:21 --delay 73 --endMP 204:143 --enddatetime 2017-10-20T09:04:03 --enforcementcount 0 &gt;&gt;%USERPROFILE%\Documents\GitHub\eaglep3-reporting\EC\2017-10-20-refined-times.txt</v>
      </c>
      <c r="AI44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{"issue":{"subject":"","project_id":79,"tracker_id":40,"status_id":1,"priority_id":2,"assigned_to_id":338,"start_date":"2017-10-20","description":"","custom_fields":[{"id":1,"name":"Subdivision","value":"EC"},{"id":4,"name":"Milepost","value":"0.0143"},{"id":17,"name":"Train ID","value":"132-20"},{"id":16,"name":"Locomotive ID","value":"4031"},{"id":130,"name":"Impact","value":""},{"id":150,"name":"Time of Event (Mountain Time)","value":"09:04:03"},{"id":151,"name":"Denver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4031 --day 2017-10-20</v>
      </c>
      <c r="AN44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15:04:03"},{"id":29,"name":"Sharepoint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-10-20T07:07:11-0600',mode:absolute,to:'2017-10-20T10:04:03-0600'))&amp;_a=(columns:!('Message%20ID',Summary),filters:!(),index:'emp_*',interval:auto,query:(query_string:(analyze_wildcard:!t,query:'%22rtdc.l.rtdc.4031%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710</v>
      </c>
      <c r="B45" s="7">
        <v>4026</v>
      </c>
      <c r="C45" s="21" t="s">
        <v>194</v>
      </c>
      <c r="D45" s="21" t="s">
        <v>412</v>
      </c>
      <c r="E45" s="13">
        <v>43028.318298611113</v>
      </c>
      <c r="F45" s="13">
        <v>43028.323101851849</v>
      </c>
      <c r="G45" s="7">
        <v>71</v>
      </c>
      <c r="H45" s="21" t="s">
        <v>886</v>
      </c>
      <c r="I45" s="13">
        <v>43028.34747685185</v>
      </c>
      <c r="J45" s="7">
        <v>0</v>
      </c>
      <c r="K45" s="89" t="str">
        <f>IF(ISEVEN(B45),(B45-1)&amp;"/"&amp;B45,B45&amp;"/"&amp;(B45+1))</f>
        <v>4025/4026</v>
      </c>
      <c r="L45" s="185" t="str">
        <f>VLOOKUP(A45,'Trips&amp;Operators'!$C$1:$G$99911,5,FALSE)</f>
        <v>PAGE MARCUS</v>
      </c>
      <c r="M45" s="6">
        <f>I45-F45</f>
        <v>2.4375000000873115E-2</v>
      </c>
      <c r="N45" s="7">
        <f>24*60*SUM($M45:$M45)</f>
        <v>35.100000001257285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-10-20T06:38:21-0600',mode:absolute,to:'2017-10-20T09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4.3999999999999997E-2</v>
      </c>
      <c r="Z45" s="204">
        <f>RIGHT(H45,LEN(H45)-4)/10000</f>
        <v>23.328600000000002</v>
      </c>
      <c r="AA45" s="204">
        <f>ABS(Z45-Y45)</f>
        <v>23.284600000000001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s3://rtdc.mdm.uploadarchive.raw/RTDC4026/ "%USERPROFILE%\AppData\Local\Temp\OnboardLogs"\RTDC4026\2017-10-20 --exclude "*" --recursive --include "*20171020*" &amp; "%USERPROFILE%\Documents\GitHub\mrs-test-scripts\Headless Mode &amp; Sideloading\WalkAndUnGZ.bat" "%USERPROFILE%\AppData\Local\Temp\OnboardLogs"\RTDC4026\2017-10-20 &amp; aws s3 cp s3://rtdc.mdm.uploadarchive.raw/RTDC4026/ "%USERPROFILE%\AppData\Local\Temp\OnboardLogs"\RTDC4026\2017-10-21 --exclude "*" --recursive --include "*20171021*" &amp; "%USERPROFILE%\Documents\GitHub\mrs-test-scripts\Headless Mode &amp; Sideloading\WalkAndUnGZ.bat" "%USERPROFILE%\AppData\Local\Temp\OnboardLogs"\RTDC4026\2017-10-21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/stypes="app*4026*20171020*" /stext=" 14:.+((SYSTEM_STATE.+slice.+state.+changed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133-20 --locoid 4026 --swversion DE.1.0.9.0 --startMP 204:440 --initTime 2017-10-20T07:38:21 --startdatetime 2017-10-20T07:45:16 --delay 71 --endMP 204:233286 --enddatetime 2017-10-20T08:20:22 --enforcementcount 0 &gt;&gt;%USERPROFILE%\Documents\GitHub\eaglep3-reporting\EC\2017-10-20-refined-times.txt</v>
      </c>
      <c r="AI45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{"issue":{"subject":"","project_id":79,"tracker_id":40,"status_id":1,"priority_id":2,"assigned_to_id":338,"start_date":"2017-10-20","description":"","custom_fields":[{"id":1,"name":"Subdivision","value":"EC"},{"id":4,"name":"Milepost","value":"23.3286"},{"id":17,"name":"Train ID","value":"133-20"},{"id":16,"name":"Locomotive ID","value":"4026"},{"id":130,"name":"Impact","value":""},{"id":150,"name":"Time of Event (Mountain Time)","value":"08:20:22"},{"id":151,"name":"Denver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4026 --day 2017-10-20</v>
      </c>
      <c r="AN45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14:20:22"},{"id":29,"name":"Sharepoint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-10-20T06:38:21-0600',mode:absolute,to:'2017-10-20T09:20:22-0600'))&amp;_a=(columns:!('Message%20ID',Summary),filters:!(),index:'emp_*',interval:auto,query:(query_string:(analyze_wildcard:!t,query:'%22rtdc.l.rtdc.4026%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724</v>
      </c>
      <c r="B46" s="7">
        <v>4025</v>
      </c>
      <c r="C46" s="21" t="s">
        <v>194</v>
      </c>
      <c r="D46" s="21" t="s">
        <v>893</v>
      </c>
      <c r="E46" s="13">
        <v>43028.35900462963</v>
      </c>
      <c r="F46" s="13">
        <v>43028.362673611111</v>
      </c>
      <c r="G46" s="7">
        <v>85</v>
      </c>
      <c r="H46" s="21" t="s">
        <v>482</v>
      </c>
      <c r="I46" s="13">
        <v>43028.391226851854</v>
      </c>
      <c r="J46" s="7">
        <v>0</v>
      </c>
      <c r="K46" s="89" t="str">
        <f>IF(ISEVEN(B46),(B46-1)&amp;"/"&amp;B46,B46&amp;"/"&amp;(B46+1))</f>
        <v>4025/4026</v>
      </c>
      <c r="L46" s="185" t="str">
        <f>VLOOKUP(A46,'Trips&amp;Operators'!$C$1:$G$99911,5,FALSE)</f>
        <v>PAGE MARCUS</v>
      </c>
      <c r="M46" s="6">
        <f>I46-F46</f>
        <v>2.8553240743349306E-2</v>
      </c>
      <c r="N46" s="7">
        <f>24*60*SUM($M46:$M46)</f>
        <v>41.116666670423001</v>
      </c>
      <c r="O46" s="7"/>
      <c r="P46" s="7"/>
      <c r="Q46" s="22"/>
      <c r="R46" s="174" t="s">
        <v>1057</v>
      </c>
      <c r="S46" s="221">
        <f>1/IF(AG46="EC",12,1)*SUM(U46:U46)</f>
        <v>1</v>
      </c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-10-20T07:36:58-0600',mode:absolute,to:'2017-10-20T10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23.299199999999999</v>
      </c>
      <c r="Z46" s="204">
        <f>RIGHT(H46,LEN(H46)-4)/10000</f>
        <v>1.34E-2</v>
      </c>
      <c r="AA46" s="204">
        <f>ABS(Z46-Y46)</f>
        <v>23.285799999999998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s3://rtdc.mdm.uploadarchive.raw/RTDC4025/ "%USERPROFILE%\AppData\Local\Temp\OnboardLogs"\RTDC4025\2017-10-20 --exclude "*" --recursive --include "*20171020*" &amp; "%USERPROFILE%\Documents\GitHub\mrs-test-scripts\Headless Mode &amp; Sideloading\WalkAndUnGZ.bat" "%USERPROFILE%\AppData\Local\Temp\OnboardLogs"\RTDC4025\2017-10-20 &amp; aws s3 cp s3://rtdc.mdm.uploadarchive.raw/RTDC4025/ "%USERPROFILE%\AppData\Local\Temp\OnboardLogs"\RTDC4025\2017-10-21 --exclude "*" --recursive --include "*20171021*" &amp; "%USERPROFILE%\Documents\GitHub\mrs-test-scripts\Headless Mode &amp; Sideloading\WalkAndUnGZ.bat" "%USERPROFILE%\AppData\Local\Temp\OnboardLogs"\RTDC4025\2017-10-21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/stypes="app*4025*20171020*" /stext=" 15:.+((SYSTEM_STATE.+slice.+state.+changed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134-20 --locoid 4025 --swversion DE.1.0.9.0 --startMP 204:232992 --initTime 2017-10-20T08:36:58 --startdatetime 2017-10-20T08:42:15 --delay 85 --endMP 204:134 --enddatetime 2017-10-20T09:23:22 --enforcementcount 0 &gt;&gt;%USERPROFILE%\Documents\GitHub\eaglep3-reporting\EC\2017-10-20-refined-times.txt</v>
      </c>
      <c r="AI46" s="96" t="str">
        <f t="shared" si="6"/>
        <v>echo {"issue":{"subject":"Observed unhealthy crossing at Chambers due to station stop at 40th","project_id":79,"tracker_id":40,"status_id":1,"priority_id":2,"assigned_to_id":338,"start_date":"2017-10-20","description":"","custom_fields":[{"id":1,"name":"Subdivision","value":"EC"},{"id":4,"name":"Milepost","value":"0.0134"},{"id":17,"name":"Train ID","value":"134-20"},{"id":16,"name":"Locomotive ID","value":"4025"},{"id":130,"name":"Impact","value":""},{"id":150,"name":"Time of Event (Mountain Time)","value":"09:23:22"},{"id":151,"name":"Denver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4025 --day 2017-10-20</v>
      </c>
      <c r="AN46" s="151" t="str">
        <f t="shared" si="8"/>
        <v>echo {"issue":{"subject":"Observed unhealthy crossing at Chambers due to station stop at 40th","project_id":30,"tracker_id":4,"status_id":1,"priority_id":1,"assigned_to_id":10,"start_date":"2017-10-20","description":"","custom_fields":[{"id":30,"name":"Category","value":"Issue"},{"id":3,"name":"Functional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15:23:22"},{"id":29,"name":"Sharepoint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-10-20T07:36:58-0600',mode:absolute,to:'2017-10-20T10:23:22-0600'))&amp;_a=(columns:!('Message%20ID',Summary),filters:!(),index:'emp_*',interval:auto,query:(query_string:(analyze_wildcard:!t,query:'%22rtdc.l.rtdc.4025%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713</v>
      </c>
      <c r="B47" s="7">
        <v>4044</v>
      </c>
      <c r="C47" s="21" t="s">
        <v>194</v>
      </c>
      <c r="D47" s="21" t="s">
        <v>412</v>
      </c>
      <c r="E47" s="13">
        <v>43028.328541666669</v>
      </c>
      <c r="F47" s="13">
        <v>43028.333506944444</v>
      </c>
      <c r="G47" s="7">
        <v>95</v>
      </c>
      <c r="H47" s="21" t="s">
        <v>894</v>
      </c>
      <c r="I47" s="13">
        <v>43028.357881944445</v>
      </c>
      <c r="J47" s="7">
        <v>0</v>
      </c>
      <c r="K47" s="89" t="str">
        <f>IF(ISEVEN(B47),(B47-1)&amp;"/"&amp;B47,B47&amp;"/"&amp;(B47+1))</f>
        <v>4043/4044</v>
      </c>
      <c r="L47" s="185" t="str">
        <f>VLOOKUP(A47,'Trips&amp;Operators'!$C$1:$G$99911,5,FALSE)</f>
        <v>GEBRETEKLE DAGNEW</v>
      </c>
      <c r="M47" s="6">
        <f>I47-F47</f>
        <v>2.4375000000873115E-2</v>
      </c>
      <c r="N47" s="7">
        <f>24*60*SUM($M47:$M47)</f>
        <v>35.100000001257285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-10-20T06:53:06-0600',mode:absolute,to:'2017-10-20T09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4.3999999999999997E-2</v>
      </c>
      <c r="Z47" s="204">
        <f>RIGHT(H47,LEN(H47)-4)/10000</f>
        <v>23.3325</v>
      </c>
      <c r="AA47" s="204">
        <f>ABS(Z47-Y47)</f>
        <v>23.288499999999999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 &amp; aws s3 cp s3://rtdc.mdm.uploadarchive.raw/RTDC4044/ "%USERPROFILE%\AppData\Local\Temp\OnboardLogs"\RTDC4044\2017-10-21 --exclude "*" --recursive --include "*20171021*" &amp; "%USERPROFILE%\Documents\GitHub\mrs-test-scripts\Headless Mode &amp; Sideloading\WalkAndUnGZ.bat" "%USERPROFILE%\AppData\Local\Temp\OnboardLogs"\RTDC4044\2017-10-21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/stypes="app*4044*20171020*" /stext=" 14:.+((SYSTEM_STATE.+slice.+state.+changed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135-20 --locoid 4044 --swversion DE.1.0.9.0 --startMP 204:440 --initTime 2017-10-20T07:53:06 --startdatetime 2017-10-20T08:00:15 --delay 95 --endMP 204:233325 --enddatetime 2017-10-20T08:35:21 --enforcementcount 0 &gt;&gt;%USERPROFILE%\Documents\GitHub\eaglep3-reporting\EC\2017-10-20-refined-times.txt</v>
      </c>
      <c r="AI47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{"issue":{"subject":"","project_id":79,"tracker_id":40,"status_id":1,"priority_id":2,"assigned_to_id":338,"start_date":"2017-10-20","description":"","custom_fields":[{"id":1,"name":"Subdivision","value":"EC"},{"id":4,"name":"Milepost","value":"23.3325"},{"id":17,"name":"Train ID","value":"135-20"},{"id":16,"name":"Locomotive ID","value":"4044"},{"id":130,"name":"Impact","value":""},{"id":150,"name":"Time of Event (Mountain Time)","value":"08:35:21"},{"id":151,"name":"Denver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4044 --day 2017-10-20</v>
      </c>
      <c r="AN47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14:35:21"},{"id":29,"name":"Sharepoint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-10-20T06:53:06-0600',mode:absolute,to:'2017-10-20T09:35:21-0600'))&amp;_a=(columns:!('Message%20ID',Summary),filters:!(),index:'emp_*',interval:auto,query:(query_string:(analyze_wildcard:!t,query:'%22rtdc.l.rtdc.4044%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723</v>
      </c>
      <c r="B48" s="7">
        <v>4043</v>
      </c>
      <c r="C48" s="21" t="s">
        <v>194</v>
      </c>
      <c r="D48" s="21" t="s">
        <v>418</v>
      </c>
      <c r="E48" s="13">
        <v>43028.359224537038</v>
      </c>
      <c r="F48" s="13">
        <v>43028.373101851852</v>
      </c>
      <c r="G48" s="7">
        <v>47</v>
      </c>
      <c r="H48" s="21" t="s">
        <v>357</v>
      </c>
      <c r="I48" s="13">
        <v>43028.403703703705</v>
      </c>
      <c r="J48" s="7">
        <v>0</v>
      </c>
      <c r="K48" s="89" t="str">
        <f>IF(ISEVEN(B48),(B48-1)&amp;"/"&amp;B48,B48&amp;"/"&amp;(B48+1))</f>
        <v>4043/4044</v>
      </c>
      <c r="L48" s="185" t="str">
        <f>VLOOKUP(A48,'Trips&amp;Operators'!$C$1:$G$99911,5,FALSE)</f>
        <v>GEBRETEKLE DAGNEW</v>
      </c>
      <c r="M48" s="6">
        <f>I48-F48</f>
        <v>3.0601851853134576E-2</v>
      </c>
      <c r="N48" s="7">
        <f>24*60*SUM($M48:$M48)</f>
        <v>44.06666666851379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-10-20T07:37:17-0600',mode:absolute,to:'2017-10-20T10:41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23.302099999999999</v>
      </c>
      <c r="Z48" s="204">
        <f>RIGHT(H48,LEN(H48)-4)/10000</f>
        <v>1.5599999999999999E-2</v>
      </c>
      <c r="AA48" s="204">
        <f>ABS(Z48-Y48)</f>
        <v>23.2865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 &amp; aws s3 cp s3://rtdc.mdm.uploadarchive.raw/RTDC4043/ "%USERPROFILE%\AppData\Local\Temp\OnboardLogs"\RTDC4043\2017-10-21 --exclude "*" --recursive --include "*20171021*" &amp; "%USERPROFILE%\Documents\GitHub\mrs-test-scripts\Headless Mode &amp; Sideloading\WalkAndUnGZ.bat" "%USERPROFILE%\AppData\Local\Temp\OnboardLogs"\RTDC4043\2017-10-21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/stypes="app*4043*20171020*" /stext=" 15:.+((SYSTEM_STATE.+slice.+state.+changed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136-20 --locoid 4043 --swversion DE.1.0.9.0 --startMP 204:233021 --initTime 2017-10-20T08:37:17 --startdatetime 2017-10-20T08:57:16 --delay 47 --endMP 204:156 --enddatetime 2017-10-20T09:41:20 --enforcementcount 0 &gt;&gt;%USERPROFILE%\Documents\GitHub\eaglep3-reporting\EC\2017-10-20-refined-times.txt</v>
      </c>
      <c r="AI48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{"issue":{"subject":"","project_id":79,"tracker_id":40,"status_id":1,"priority_id":2,"assigned_to_id":338,"start_date":"2017-10-20","description":"","custom_fields":[{"id":1,"name":"Subdivision","value":"EC"},{"id":4,"name":"Milepost","value":"0.0156"},{"id":17,"name":"Train ID","value":"136-20"},{"id":16,"name":"Locomotive ID","value":"4043"},{"id":130,"name":"Impact","value":""},{"id":150,"name":"Time of Event (Mountain Time)","value":"09:41:20"},{"id":151,"name":"Denver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4043 --day 2017-10-20</v>
      </c>
      <c r="AN48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15:41:20"},{"id":29,"name":"Sharepoint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-10-20T07:37:17-0600',mode:absolute,to:'2017-10-20T10:41:20-0600'))&amp;_a=(columns:!('Message%20ID',Summary),filters:!(),index:'emp_*',interval:auto,query:(query_string:(analyze_wildcard:!t,query:'%22rtdc.l.rtdc.4043%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717</v>
      </c>
      <c r="B49" s="7">
        <v>4040</v>
      </c>
      <c r="C49" s="21" t="s">
        <v>194</v>
      </c>
      <c r="D49" s="21" t="s">
        <v>353</v>
      </c>
      <c r="E49" s="13">
        <v>43028.338854166665</v>
      </c>
      <c r="F49" s="13">
        <v>43028.344039351854</v>
      </c>
      <c r="G49" s="7">
        <v>58</v>
      </c>
      <c r="H49" s="21" t="s">
        <v>435</v>
      </c>
      <c r="I49" s="13">
        <v>43028.369259259256</v>
      </c>
      <c r="J49" s="7">
        <v>0</v>
      </c>
      <c r="K49" s="89" t="str">
        <f>IF(ISEVEN(B49),(B49-1)&amp;"/"&amp;B49,B49&amp;"/"&amp;(B49+1))</f>
        <v>4039/4040</v>
      </c>
      <c r="L49" s="185" t="str">
        <f>VLOOKUP(A49,'Trips&amp;Operators'!$C$1:$G$99911,5,FALSE)</f>
        <v>DAVIS WENDY</v>
      </c>
      <c r="M49" s="6">
        <f>I49-F49</f>
        <v>2.5219907402060926E-2</v>
      </c>
      <c r="N49" s="7">
        <f>24*60*SUM($M49:$M49)</f>
        <v>36.316666658967733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-10-20T07:07:57-0600',mode:absolute,to:'2017-10-20T09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4.58E-2</v>
      </c>
      <c r="Z49" s="204">
        <f>RIGHT(H49,LEN(H49)-4)/10000</f>
        <v>23.331099999999999</v>
      </c>
      <c r="AA49" s="204">
        <f>ABS(Z49-Y49)</f>
        <v>23.285299999999999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s3://rtdc.mdm.uploadarchive.raw/RTDC4040/ "%USERPROFILE%\AppData\Local\Temp\OnboardLogs"\RTDC4040\2017-10-20 --exclude "*" --recursive --include "*20171020*" &amp; "%USERPROFILE%\Documents\GitHub\mrs-test-scripts\Headless Mode &amp; Sideloading\WalkAndUnGZ.bat" "%USERPROFILE%\AppData\Local\Temp\OnboardLogs"\RTDC4040\2017-10-20 &amp; aws s3 cp s3://rtdc.mdm.uploadarchive.raw/RTDC4040/ "%USERPROFILE%\AppData\Local\Temp\OnboardLogs"\RTDC4040\2017-10-21 --exclude "*" --recursive --include "*20171021*" &amp; "%USERPROFILE%\Documents\GitHub\mrs-test-scripts\Headless Mode &amp; Sideloading\WalkAndUnGZ.bat" "%USERPROFILE%\AppData\Local\Temp\OnboardLogs"\RTDC4040\2017-10-21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/stypes="app*4040*20171020*" /stext=" 14:.+((SYSTEM_STATE.+slice.+state.+changed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137-20 --locoid 4040 --swversion DE.1.0.9.0 --startMP 204:458 --initTime 2017-10-20T08:07:57 --startdatetime 2017-10-20T08:15:25 --delay 58 --endMP 204:233311 --enddatetime 2017-10-20T08:51:44 --enforcementcount 0 &gt;&gt;%USERPROFILE%\Documents\GitHub\eaglep3-reporting\EC\2017-10-20-refined-times.txt</v>
      </c>
      <c r="AI49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{"issue":{"subject":"","project_id":79,"tracker_id":40,"status_id":1,"priority_id":2,"assigned_to_id":338,"start_date":"2017-10-20","description":"","custom_fields":[{"id":1,"name":"Subdivision","value":"EC"},{"id":4,"name":"Milepost","value":"23.3311"},{"id":17,"name":"Train ID","value":"137-20"},{"id":16,"name":"Locomotive ID","value":"4040"},{"id":130,"name":"Impact","value":""},{"id":150,"name":"Time of Event (Mountain Time)","value":"08:51:44"},{"id":151,"name":"Denver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4040 --day 2017-10-20</v>
      </c>
      <c r="AN49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14:51:44"},{"id":29,"name":"Sharepoint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-10-20T07:07:57-0600',mode:absolute,to:'2017-10-20T09:51:44-0600'))&amp;_a=(columns:!('Message%20ID',Summary),filters:!(),index:'emp_*',interval:auto,query:(query_string:(analyze_wildcard:!t,query:'%22rtdc.l.rtdc.4040%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727</v>
      </c>
      <c r="B50" s="7">
        <v>4039</v>
      </c>
      <c r="C50" s="21" t="s">
        <v>194</v>
      </c>
      <c r="D50" s="21" t="s">
        <v>484</v>
      </c>
      <c r="E50" s="13">
        <v>43028.377199074072</v>
      </c>
      <c r="F50" s="13">
        <v>43028.383634259262</v>
      </c>
      <c r="G50" s="7">
        <v>73</v>
      </c>
      <c r="H50" s="21" t="s">
        <v>339</v>
      </c>
      <c r="I50" s="13">
        <v>43028.41128472222</v>
      </c>
      <c r="J50" s="7">
        <v>0</v>
      </c>
      <c r="K50" s="89" t="str">
        <f>IF(ISEVEN(B50),(B50-1)&amp;"/"&amp;B50,B50&amp;"/"&amp;(B50+1))</f>
        <v>4039/4040</v>
      </c>
      <c r="L50" s="185" t="str">
        <f>VLOOKUP(A50,'Trips&amp;Operators'!$C$1:$G$99911,5,FALSE)</f>
        <v>DAVIS WENDY</v>
      </c>
      <c r="M50" s="6">
        <f>I50-F50</f>
        <v>2.7650462958263233E-2</v>
      </c>
      <c r="N50" s="7">
        <f>24*60*SUM($M50:$M50)</f>
        <v>39.816666659899056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-10-20T08:03:10-0600',mode:absolute,to:'2017-10-20T10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23.298200000000001</v>
      </c>
      <c r="Z50" s="204">
        <f>RIGHT(H50,LEN(H50)-4)/10000</f>
        <v>1.47E-2</v>
      </c>
      <c r="AA50" s="204">
        <f>ABS(Z50-Y50)</f>
        <v>23.2835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s3://rtdc.mdm.uploadarchive.raw/RTDC4039/ "%USERPROFILE%\AppData\Local\Temp\OnboardLogs"\RTDC4039\2017-10-20 --exclude "*" --recursive --include "*20171020*" &amp; "%USERPROFILE%\Documents\GitHub\mrs-test-scripts\Headless Mode &amp; Sideloading\WalkAndUnGZ.bat" "%USERPROFILE%\AppData\Local\Temp\OnboardLogs"\RTDC4039\2017-10-20 &amp; aws s3 cp s3://rtdc.mdm.uploadarchive.raw/RTDC4039/ "%USERPROFILE%\AppData\Local\Temp\OnboardLogs"\RTDC4039\2017-10-21 --exclude "*" --recursive --include "*20171021*" &amp; "%USERPROFILE%\Documents\GitHub\mrs-test-scripts\Headless Mode &amp; Sideloading\WalkAndUnGZ.bat" "%USERPROFILE%\AppData\Local\Temp\OnboardLogs"\RTDC4039\2017-10-21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/stypes="app*4039*20171020*" /stext=" 15:.+((SYSTEM_STATE.+slice.+state.+changed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138-20 --locoid 4039 --swversion DE.1.0.9.0 --startMP 204:232982 --initTime 2017-10-20T09:03:10 --startdatetime 2017-10-20T09:12:26 --delay 73 --endMP 204:147 --enddatetime 2017-10-20T09:52:15 --enforcementcount 0 &gt;&gt;%USERPROFILE%\Documents\GitHub\eaglep3-reporting\EC\2017-10-20-refined-times.txt</v>
      </c>
      <c r="AI50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{"issue":{"subject":"","project_id":79,"tracker_id":40,"status_id":1,"priority_id":2,"assigned_to_id":338,"start_date":"2017-10-20","description":"","custom_fields":[{"id":1,"name":"Subdivision","value":"EC"},{"id":4,"name":"Milepost","value":"0.0147"},{"id":17,"name":"Train ID","value":"138-20"},{"id":16,"name":"Locomotive ID","value":"4039"},{"id":130,"name":"Impact","value":""},{"id":150,"name":"Time of Event (Mountain Time)","value":"09:52:15"},{"id":151,"name":"Denver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4039 --day 2017-10-20</v>
      </c>
      <c r="AN50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15:52:15"},{"id":29,"name":"Sharepoint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-10-20T08:03:10-0600',mode:absolute,to:'2017-10-20T10:52:15-0600'))&amp;_a=(columns:!('Message%20ID',Summary),filters:!(),index:'emp_*',interval:auto,query:(query_string:(analyze_wildcard:!t,query:'%22rtdc.l.rtdc.4039%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718</v>
      </c>
      <c r="B51" s="7">
        <v>4056</v>
      </c>
      <c r="C51" s="21" t="s">
        <v>194</v>
      </c>
      <c r="D51" s="21" t="s">
        <v>432</v>
      </c>
      <c r="E51" s="13">
        <v>43028.349212962959</v>
      </c>
      <c r="F51" s="13">
        <v>43028.354351851849</v>
      </c>
      <c r="G51" s="7">
        <v>45</v>
      </c>
      <c r="H51" s="21" t="s">
        <v>419</v>
      </c>
      <c r="I51" s="13">
        <v>43028.378969907404</v>
      </c>
      <c r="J51" s="7">
        <v>0</v>
      </c>
      <c r="K51" s="89" t="str">
        <f>IF(ISEVEN(B51),(B51-1)&amp;"/"&amp;B51,B51&amp;"/"&amp;(B51+1))</f>
        <v>4055/4056</v>
      </c>
      <c r="L51" s="185" t="str">
        <f>VLOOKUP(A51,'Trips&amp;Operators'!$C$1:$G$99911,5,FALSE)</f>
        <v>YORK EDGAR</v>
      </c>
      <c r="M51" s="6">
        <f>I51-F51</f>
        <v>2.4618055555038154E-2</v>
      </c>
      <c r="N51" s="7">
        <f>24*60*SUM($M51:$M51)</f>
        <v>35.449999999254942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-10-20T07:22:52-0600',mode:absolute,to:'2017-10-20T10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4.6899999999999997E-2</v>
      </c>
      <c r="Z51" s="204">
        <f>RIGHT(H51,LEN(H51)-4)/10000</f>
        <v>23.329499999999999</v>
      </c>
      <c r="AA51" s="204">
        <f>ABS(Z51-Y51)</f>
        <v>23.282599999999999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/stypes="app*4056*20171020*"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139-20 --locoid 4056 --swversion DE.1.0.9.0 --startMP 204:469 --initTime 2017-10-20T08:22:52 --startdatetime 2017-10-20T08:30:16 --delay 45 --endMP 204:233295 --enddatetime 2017-10-20T09:05:43 --enforcementcount 0 &gt;&gt;%USERPROFILE%\Documents\GitHub\eaglep3-reporting\EC\2017-10-20-refined-times.txt</v>
      </c>
      <c r="AI51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{"issue":{"subject":"","project_id":79,"tracker_id":40,"status_id":1,"priority_id":2,"assigned_to_id":338,"start_date":"2017-10-20","description":"","custom_fields":[{"id":1,"name":"Subdivision","value":"EC"},{"id":4,"name":"Milepost","value":"23.3295"},{"id":17,"name":"Train ID","value":"139-20"},{"id":16,"name":"Locomotive ID","value":"4056"},{"id":130,"name":"Impact","value":""},{"id":150,"name":"Time of Event (Mountain Time)","value":"09:05:43"},{"id":151,"name":"Denver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4056 --day 2017-10-20</v>
      </c>
      <c r="AN51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15:05:43"},{"id":29,"name":"Sharepoint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-10-20T07:22:52-0600',mode:absolute,to:'2017-10-20T10:05:43-0600'))&amp;_a=(columns:!('Message%20ID',Summary),filters:!(),index:'emp_*',interval:auto,query:(query_string:(analyze_wildcard:!t,query:'%22rtdc.l.rtdc.4056%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731</v>
      </c>
      <c r="B52" s="7">
        <v>4055</v>
      </c>
      <c r="C52" s="21" t="s">
        <v>194</v>
      </c>
      <c r="D52" s="21" t="s">
        <v>882</v>
      </c>
      <c r="E52" s="13">
        <v>43028.392546296294</v>
      </c>
      <c r="F52" s="13">
        <v>43028.394375000003</v>
      </c>
      <c r="G52" s="7">
        <v>52</v>
      </c>
      <c r="H52" s="21" t="s">
        <v>368</v>
      </c>
      <c r="I52" s="13">
        <v>43028.419178240743</v>
      </c>
      <c r="J52" s="7">
        <v>0</v>
      </c>
      <c r="K52" s="89" t="str">
        <f>IF(ISEVEN(B52),(B52-1)&amp;"/"&amp;B52,B52&amp;"/"&amp;(B52+1))</f>
        <v>4055/4056</v>
      </c>
      <c r="L52" s="185" t="str">
        <f>VLOOKUP(A52,'Trips&amp;Operators'!$C$1:$G$99911,5,FALSE)</f>
        <v>YORK EDGAR</v>
      </c>
      <c r="M52" s="6">
        <f>I52-F52</f>
        <v>2.4803240739856847E-2</v>
      </c>
      <c r="N52" s="7">
        <f>24*60*SUM($M52:$M52)</f>
        <v>35.716666665393859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-10-20T08:25:16-0600',mode:absolute,to:'2017-10-20T11:03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23.2974</v>
      </c>
      <c r="Z52" s="204">
        <f>RIGHT(H52,LEN(H52)-4)/10000</f>
        <v>1.54E-2</v>
      </c>
      <c r="AA52" s="204">
        <f>ABS(Z52-Y52)</f>
        <v>23.282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s3://rtdc.mdm.uploadarchive.raw/RTDC4055/ "%USERPROFILE%\AppData\Local\Temp\OnboardLogs"\RTDC4055\2017-10-20 --exclude "*" --recursive --include "*20171020*" &amp; "%USERPROFILE%\Documents\GitHub\mrs-test-scripts\Headless Mode &amp; Sideloading\WalkAndUnGZ.bat" "%USERPROFILE%\AppData\Local\Temp\OnboardLogs"\RTDC4055\2017-10-20 &amp; aws s3 cp s3://rtdc.mdm.uploadarchive.raw/RTDC4055/ "%USERPROFILE%\AppData\Local\Temp\OnboardLogs"\RTDC4055\2017-10-21 --exclude "*" --recursive --include "*20171021*" &amp; "%USERPROFILE%\Documents\GitHub\mrs-test-scripts\Headless Mode &amp; Sideloading\WalkAndUnGZ.bat" "%USERPROFILE%\AppData\Local\Temp\OnboardLogs"\RTDC4055\2017-10-21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/stypes="app*4055*20171020*" /stext=" 16:.+((SYSTEM_STATE.+slice.+state.+changed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140-20 --locoid 4055 --swversion DE.1.0.9.0 --startMP 204:232974 --initTime 2017-10-20T09:25:16 --startdatetime 2017-10-20T09:27:54 --delay 52 --endMP 204:154 --enddatetime 2017-10-20T10:03:37 --enforcementcount 0 &gt;&gt;%USERPROFILE%\Documents\GitHub\eaglep3-reporting\EC\2017-10-20-refined-times.txt</v>
      </c>
      <c r="AI52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{"issue":{"subject":"","project_id":79,"tracker_id":40,"status_id":1,"priority_id":2,"assigned_to_id":338,"start_date":"2017-10-20","description":"","custom_fields":[{"id":1,"name":"Subdivision","value":"EC"},{"id":4,"name":"Milepost","value":"0.0154"},{"id":17,"name":"Train ID","value":"140-20"},{"id":16,"name":"Locomotive ID","value":"4055"},{"id":130,"name":"Impact","value":""},{"id":150,"name":"Time of Event (Mountain Time)","value":"10:03:37"},{"id":151,"name":"Denver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4055 --day 2017-10-20</v>
      </c>
      <c r="AN52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16:03:37"},{"id":29,"name":"Sharepoint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-10-20T08:25:16-0600',mode:absolute,to:'2017-10-20T11:03:37-0600'))&amp;_a=(columns:!('Message%20ID',Summary),filters:!(),index:'emp_*',interval:auto,query:(query_string:(analyze_wildcard:!t,query:'%22rtdc.l.rtdc.4055%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725</v>
      </c>
      <c r="B53" s="7">
        <v>4016</v>
      </c>
      <c r="C53" s="21" t="s">
        <v>194</v>
      </c>
      <c r="D53" s="21" t="s">
        <v>338</v>
      </c>
      <c r="E53" s="13">
        <v>43028.361898148149</v>
      </c>
      <c r="F53" s="13">
        <v>43028.364942129629</v>
      </c>
      <c r="G53" s="7">
        <v>75</v>
      </c>
      <c r="H53" s="21" t="s">
        <v>490</v>
      </c>
      <c r="I53" s="13">
        <v>43028.390335648146</v>
      </c>
      <c r="J53" s="7">
        <v>0</v>
      </c>
      <c r="K53" s="89" t="str">
        <f>IF(ISEVEN(B53),(B53-1)&amp;"/"&amp;B53,B53&amp;"/"&amp;(B53+1))</f>
        <v>4015/4016</v>
      </c>
      <c r="L53" s="185" t="str">
        <f>VLOOKUP(A53,'Trips&amp;Operators'!$C$1:$G$99911,5,FALSE)</f>
        <v>SPECTOR MICHAEL</v>
      </c>
      <c r="M53" s="6">
        <f>I53-F53</f>
        <v>2.5393518517375924E-2</v>
      </c>
      <c r="N53" s="7">
        <f>24*60*SUM($M53:$M53)</f>
        <v>36.56666666502133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-10-20T07:41:08-0600',mode:absolute,to:'2017-10-20T10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4.53E-2</v>
      </c>
      <c r="Z53" s="204">
        <f>RIGHT(H53,LEN(H53)-4)/10000</f>
        <v>23.3307</v>
      </c>
      <c r="AA53" s="204">
        <f>ABS(Z53-Y53)</f>
        <v>23.285399999999999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 &amp; 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/stypes="app*4016*20171020*" /stext=" 15:.+((SYSTEM_STATE.+slice.+state.+changed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141-20 --locoid 4016 --swversion DE.1.0.9.0 --startMP 204:453 --initTime 2017-10-20T08:41:08 --startdatetime 2017-10-20T08:45:31 --delay 75 --endMP 204:233307 --enddatetime 2017-10-20T09:22:05 --enforcementcount 0 &gt;&gt;%USERPROFILE%\Documents\GitHub\eaglep3-reporting\EC\2017-10-20-refined-times.txt</v>
      </c>
      <c r="AI53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{"issue":{"subject":"","project_id":79,"tracker_id":40,"status_id":1,"priority_id":2,"assigned_to_id":338,"start_date":"2017-10-20","description":"","custom_fields":[{"id":1,"name":"Subdivision","value":"EC"},{"id":4,"name":"Milepost","value":"23.3307"},{"id":17,"name":"Train ID","value":"141-20"},{"id":16,"name":"Locomotive ID","value":"4016"},{"id":130,"name":"Impact","value":""},{"id":150,"name":"Time of Event (Mountain Time)","value":"09:22:05"},{"id":151,"name":"Denver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4016 --day 2017-10-20</v>
      </c>
      <c r="AN53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15:22:05"},{"id":29,"name":"Sharepoint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-10-20T07:41:08-0600',mode:absolute,to:'2017-10-20T10:22:05-0600'))&amp;_a=(columns:!('Message%20ID',Summary),filters:!(),index:'emp_*',interval:auto,query:(query_string:(analyze_wildcard:!t,query:'%22rtdc.l.rtdc.4016%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732</v>
      </c>
      <c r="B54" s="7">
        <v>4015</v>
      </c>
      <c r="C54" s="21" t="s">
        <v>194</v>
      </c>
      <c r="D54" s="21" t="s">
        <v>486</v>
      </c>
      <c r="E54" s="13">
        <v>43028.399259259262</v>
      </c>
      <c r="F54" s="13">
        <v>43028.404351851852</v>
      </c>
      <c r="G54" s="7">
        <v>72</v>
      </c>
      <c r="H54" s="21" t="s">
        <v>411</v>
      </c>
      <c r="I54" s="13">
        <v>43028.432337962964</v>
      </c>
      <c r="J54" s="7">
        <v>0</v>
      </c>
      <c r="K54" s="89" t="str">
        <f>IF(ISEVEN(B54),(B54-1)&amp;"/"&amp;B54,B54&amp;"/"&amp;(B54+1))</f>
        <v>4015/4016</v>
      </c>
      <c r="L54" s="185" t="str">
        <f>VLOOKUP(A54,'Trips&amp;Operators'!$C$1:$G$99911,5,FALSE)</f>
        <v>SPECTOR MICHAEL</v>
      </c>
      <c r="M54" s="6">
        <f>I54-F54</f>
        <v>2.7986111112113576E-2</v>
      </c>
      <c r="N54" s="7">
        <f>24*60*SUM($M54:$M54)</f>
        <v>40.30000000144355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-10-20T08:34:56-0600',mode:absolute,to:'2017-10-20T11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23.2986</v>
      </c>
      <c r="Z54" s="204">
        <f>RIGHT(H54,LEN(H54)-4)/10000</f>
        <v>1.38E-2</v>
      </c>
      <c r="AA54" s="204">
        <f>ABS(Z54-Y54)</f>
        <v>23.284800000000001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 &amp; 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/stypes="app*4015*20171020*" /stext=" 16:.+((SYSTEM_STATE.+slice.+state.+changed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142-20 --locoid 4015 --swversion DE.1.0.9.0 --startMP 204:232986 --initTime 2017-10-20T09:34:56 --startdatetime 2017-10-20T09:42:16 --delay 72 --endMP 204:138 --enddatetime 2017-10-20T10:22:34 --enforcementcount 0 &gt;&gt;%USERPROFILE%\Documents\GitHub\eaglep3-reporting\EC\2017-10-20-refined-times.txt</v>
      </c>
      <c r="AI54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{"issue":{"subject":"","project_id":79,"tracker_id":40,"status_id":1,"priority_id":2,"assigned_to_id":338,"start_date":"2017-10-20","description":"","custom_fields":[{"id":1,"name":"Subdivision","value":"EC"},{"id":4,"name":"Milepost","value":"0.0138"},{"id":17,"name":"Train ID","value":"142-20"},{"id":16,"name":"Locomotive ID","value":"4015"},{"id":130,"name":"Impact","value":""},{"id":150,"name":"Time of Event (Mountain Time)","value":"10:22:34"},{"id":151,"name":"Denver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4015 --day 2017-10-20</v>
      </c>
      <c r="AN54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16:22:34"},{"id":29,"name":"Sharepoint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-10-20T08:34:56-0600',mode:absolute,to:'2017-10-20T11:22:34-0600'))&amp;_a=(columns:!('Message%20ID',Summary),filters:!(),index:'emp_*',interval:auto,query:(query_string:(analyze_wildcard:!t,query:'%22rtdc.l.rtdc.4015%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726</v>
      </c>
      <c r="B55" s="7">
        <v>4064</v>
      </c>
      <c r="C55" s="21" t="s">
        <v>194</v>
      </c>
      <c r="D55" s="21" t="s">
        <v>361</v>
      </c>
      <c r="E55" s="13">
        <v>43028.372256944444</v>
      </c>
      <c r="F55" s="13">
        <v>43028.375219907408</v>
      </c>
      <c r="G55" s="7">
        <v>76</v>
      </c>
      <c r="H55" s="21" t="s">
        <v>895</v>
      </c>
      <c r="I55" s="13">
        <v>43028.399884259263</v>
      </c>
      <c r="J55" s="7">
        <v>0</v>
      </c>
      <c r="K55" s="89" t="str">
        <f>IF(ISEVEN(B55),(B55-1)&amp;"/"&amp;B55,B55&amp;"/"&amp;(B55+1))</f>
        <v>4063/4064</v>
      </c>
      <c r="L55" s="185" t="str">
        <f>VLOOKUP(A55,'Trips&amp;Operators'!$C$1:$G$99911,5,FALSE)</f>
        <v>MAELZER KURT</v>
      </c>
      <c r="M55" s="6">
        <f>I55-F55</f>
        <v>2.4664351854880806E-2</v>
      </c>
      <c r="N55" s="7">
        <f>24*60*SUM($M55:$M55)</f>
        <v>35.516666671028361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-10-20T07:56:03-0600',mode:absolute,to:'2017-10-20T10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4.5999999999999999E-2</v>
      </c>
      <c r="Z55" s="204">
        <f>RIGHT(H55,LEN(H55)-4)/10000</f>
        <v>23.3323</v>
      </c>
      <c r="AA55" s="204">
        <f>ABS(Z55-Y55)</f>
        <v>23.286300000000001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s3://rtdc.mdm.uploadarchive.raw/RTDC4064/ "%USERPROFILE%\AppData\Local\Temp\OnboardLogs"\RTDC4064\2017-10-20 --exclude "*" --recursive --include "*20171020*" &amp; "%USERPROFILE%\Documents\GitHub\mrs-test-scripts\Headless Mode &amp; Sideloading\WalkAndUnGZ.bat" "%USERPROFILE%\AppData\Local\Temp\OnboardLogs"\RTDC4064\2017-10-20 &amp; aws s3 cp s3://rtdc.mdm.uploadarchive.raw/RTDC4064/ "%USERPROFILE%\AppData\Local\Temp\OnboardLogs"\RTDC4064\2017-10-21 --exclude "*" --recursive --include "*20171021*" &amp; "%USERPROFILE%\Documents\GitHub\mrs-test-scripts\Headless Mode &amp; Sideloading\WalkAndUnGZ.bat" "%USERPROFILE%\AppData\Local\Temp\OnboardLogs"\RTDC4064\2017-10-21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/stypes="app*4064*20171020*" /stext=" 15:.+((SYSTEM_STATE.+slice.+state.+changed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143-20 --locoid 4064 --swversion DE.1.0.9.0 --startMP 204:460 --initTime 2017-10-20T08:56:03 --startdatetime 2017-10-20T09:00:19 --delay 76 --endMP 204:233323 --enddatetime 2017-10-20T09:35:50 --enforcementcount 0 &gt;&gt;%USERPROFILE%\Documents\GitHub\eaglep3-reporting\EC\2017-10-20-refined-times.txt</v>
      </c>
      <c r="AI55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{"issue":{"subject":"","project_id":79,"tracker_id":40,"status_id":1,"priority_id":2,"assigned_to_id":338,"start_date":"2017-10-20","description":"","custom_fields":[{"id":1,"name":"Subdivision","value":"EC"},{"id":4,"name":"Milepost","value":"23.3323"},{"id":17,"name":"Train ID","value":"143-20"},{"id":16,"name":"Locomotive ID","value":"4064"},{"id":130,"name":"Impact","value":""},{"id":150,"name":"Time of Event (Mountain Time)","value":"09:35:50"},{"id":151,"name":"Denver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4064 --day 2017-10-20</v>
      </c>
      <c r="AN55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15:35:50"},{"id":29,"name":"Sharepoint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-10-20T07:56:03-0600',mode:absolute,to:'2017-10-20T10:35:50-0600'))&amp;_a=(columns:!('Message%20ID',Summary),filters:!(),index:'emp_*',interval:auto,query:(query_string:(analyze_wildcard:!t,query:'%22rtdc.l.rtdc.4064%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734</v>
      </c>
      <c r="B56" s="7">
        <v>4063</v>
      </c>
      <c r="C56" s="21" t="s">
        <v>194</v>
      </c>
      <c r="D56" s="21" t="s">
        <v>896</v>
      </c>
      <c r="E56" s="13">
        <v>43028.404861111114</v>
      </c>
      <c r="F56" s="13">
        <v>43028.414930555555</v>
      </c>
      <c r="G56" s="7">
        <v>86</v>
      </c>
      <c r="H56" s="21" t="s">
        <v>415</v>
      </c>
      <c r="I56" s="13">
        <v>43028.441180555557</v>
      </c>
      <c r="J56" s="7">
        <v>0</v>
      </c>
      <c r="K56" s="89" t="str">
        <f>IF(ISEVEN(B56),(B56-1)&amp;"/"&amp;B56,B56&amp;"/"&amp;(B56+1))</f>
        <v>4063/4064</v>
      </c>
      <c r="L56" s="185" t="str">
        <f>VLOOKUP(A56,'Trips&amp;Operators'!$C$1:$G$99911,5,FALSE)</f>
        <v>MAELZER KURT</v>
      </c>
      <c r="M56" s="6">
        <f>I56-F56</f>
        <v>2.6250000002619345E-2</v>
      </c>
      <c r="N56" s="7">
        <f>24*60*SUM($M56:$M56)</f>
        <v>37.800000003771856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-10-20T08:43:00-0600',mode:absolute,to:'2017-10-20T11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23.300599999999999</v>
      </c>
      <c r="Z56" s="204">
        <f>RIGHT(H56,LEN(H56)-4)/10000</f>
        <v>1.41E-2</v>
      </c>
      <c r="AA56" s="204">
        <f>ABS(Z56-Y56)</f>
        <v>23.2865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/stypes="app*4063*20171020*" /stext=" 16:.+((SYSTEM_STATE.+slice.+state.+changed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144-20 --locoid 4063 --swversion DE.1.0.9.0 --startMP 204:233006 --initTime 2017-10-20T09:43:00 --startdatetime 2017-10-20T09:57:30 --delay 86 --endMP 204:141 --enddatetime 2017-10-20T10:35:18 --enforcementcount 0 &gt;&gt;%USERPROFILE%\Documents\GitHub\eaglep3-reporting\EC\2017-10-20-refined-times.txt</v>
      </c>
      <c r="AI56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{"issue":{"subject":"","project_id":79,"tracker_id":40,"status_id":1,"priority_id":2,"assigned_to_id":338,"start_date":"2017-10-20","description":"","custom_fields":[{"id":1,"name":"Subdivision","value":"EC"},{"id":4,"name":"Milepost","value":"0.0141"},{"id":17,"name":"Train ID","value":"144-20"},{"id":16,"name":"Locomotive ID","value":"4063"},{"id":130,"name":"Impact","value":""},{"id":150,"name":"Time of Event (Mountain Time)","value":"10:35:18"},{"id":151,"name":"Denver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4063 --day 2017-10-20</v>
      </c>
      <c r="AN56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16:35:18"},{"id":29,"name":"Sharepoint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-10-20T08:43:00-0600',mode:absolute,to:'2017-10-20T11:35:18-0600'))&amp;_a=(columns:!('Message%20ID',Summary),filters:!(),index:'emp_*',interval:auto,query:(query_string:(analyze_wildcard:!t,query:'%22rtdc.l.rtdc.4063%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729</v>
      </c>
      <c r="B57" s="7">
        <v>4032</v>
      </c>
      <c r="C57" s="21" t="s">
        <v>194</v>
      </c>
      <c r="D57" s="21" t="s">
        <v>364</v>
      </c>
      <c r="E57" s="13">
        <v>43028.378958333335</v>
      </c>
      <c r="F57" s="13">
        <v>43028.38559027778</v>
      </c>
      <c r="G57" s="7">
        <v>49</v>
      </c>
      <c r="H57" s="21" t="s">
        <v>487</v>
      </c>
      <c r="I57" s="13">
        <v>43028.409675925926</v>
      </c>
      <c r="J57" s="7">
        <v>0</v>
      </c>
      <c r="K57" s="89" t="str">
        <f>IF(ISEVEN(B57),(B57-1)&amp;"/"&amp;B57,B57&amp;"/"&amp;(B57+1))</f>
        <v>4031/4032</v>
      </c>
      <c r="L57" s="185" t="str">
        <f>VLOOKUP(A57,'Trips&amp;Operators'!$C$1:$G$99911,5,FALSE)</f>
        <v>YANAI IAN</v>
      </c>
      <c r="M57" s="6">
        <f>I57-F57</f>
        <v>2.4085648146865424E-2</v>
      </c>
      <c r="N57" s="7">
        <f>24*60*SUM($M57:$M57)</f>
        <v>34.68333333148621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-10-20T08:05:42-0600',mode:absolute,to:'2017-10-20T10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4.5100000000000001E-2</v>
      </c>
      <c r="Z57" s="204">
        <f>RIGHT(H57,LEN(H57)-4)/10000</f>
        <v>23.333400000000001</v>
      </c>
      <c r="AA57" s="204">
        <f>ABS(Z57-Y57)</f>
        <v>23.2883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s3://rtdc.mdm.uploadarchive.raw/RTDC4032/ "%USERPROFILE%\AppData\Local\Temp\OnboardLogs"\RTDC4032\2017-10-20 --exclude "*" --recursive --include "*20171020*" &amp; "%USERPROFILE%\Documents\GitHub\mrs-test-scripts\Headless Mode &amp; Sideloading\WalkAndUnGZ.bat" "%USERPROFILE%\AppData\Local\Temp\OnboardLogs"\RTDC4032\2017-10-20 &amp; aws s3 cp s3://rtdc.mdm.uploadarchive.raw/RTDC4032/ "%USERPROFILE%\AppData\Local\Temp\OnboardLogs"\RTDC4032\2017-10-21 --exclude "*" --recursive --include "*20171021*" &amp; "%USERPROFILE%\Documents\GitHub\mrs-test-scripts\Headless Mode &amp; Sideloading\WalkAndUnGZ.bat" "%USERPROFILE%\AppData\Local\Temp\OnboardLogs"\RTDC4032\2017-10-21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/stypes="app*4032*20171020*" /stext=" 15:.+((SYSTEM_STATE.+slice.+state.+changed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145-20 --locoid 4032 --swversion DE.1.0.9.0 --startMP 204:451 --initTime 2017-10-20T09:05:42 --startdatetime 2017-10-20T09:15:15 --delay 49 --endMP 204:233334 --enddatetime 2017-10-20T09:49:56 --enforcementcount 0 &gt;&gt;%USERPROFILE%\Documents\GitHub\eaglep3-reporting\EC\2017-10-20-refined-times.txt</v>
      </c>
      <c r="AI57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{"issue":{"subject":"","project_id":79,"tracker_id":40,"status_id":1,"priority_id":2,"assigned_to_id":338,"start_date":"2017-10-20","description":"","custom_fields":[{"id":1,"name":"Subdivision","value":"EC"},{"id":4,"name":"Milepost","value":"23.3334"},{"id":17,"name":"Train ID","value":"145-20"},{"id":16,"name":"Locomotive ID","value":"4032"},{"id":130,"name":"Impact","value":""},{"id":150,"name":"Time of Event (Mountain Time)","value":"09:49:56"},{"id":151,"name":"Denver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4032 --day 2017-10-20</v>
      </c>
      <c r="AN57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15:49:56"},{"id":29,"name":"Sharepoint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-10-20T08:05:42-0600',mode:absolute,to:'2017-10-20T10:49:56-0600'))&amp;_a=(columns:!('Message%20ID',Summary),filters:!(),index:'emp_*',interval:auto,query:(query_string:(analyze_wildcard:!t,query:'%22rtdc.l.rtdc.4032%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735</v>
      </c>
      <c r="B58" s="7">
        <v>4031</v>
      </c>
      <c r="C58" s="21" t="s">
        <v>194</v>
      </c>
      <c r="D58" s="21" t="s">
        <v>418</v>
      </c>
      <c r="E58" s="13">
        <v>43028.41070601852</v>
      </c>
      <c r="F58" s="13">
        <v>43028.425196759257</v>
      </c>
      <c r="G58" s="7">
        <v>55</v>
      </c>
      <c r="H58" s="21" t="s">
        <v>335</v>
      </c>
      <c r="I58" s="13">
        <v>43028.450659722221</v>
      </c>
      <c r="J58" s="7">
        <v>0</v>
      </c>
      <c r="K58" s="89" t="str">
        <f>IF(ISEVEN(B58),(B58-1)&amp;"/"&amp;B58,B58&amp;"/"&amp;(B58+1))</f>
        <v>4031/4032</v>
      </c>
      <c r="L58" s="185" t="str">
        <f>VLOOKUP(A58,'Trips&amp;Operators'!$C$1:$G$99911,5,FALSE)</f>
        <v>YANAI IAN</v>
      </c>
      <c r="M58" s="6">
        <f>I58-F58</f>
        <v>2.5462962963501923E-2</v>
      </c>
      <c r="N58" s="7">
        <f>24*60*SUM($M58:$M58)</f>
        <v>36.666666667442769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-10-20T08:51:25-0600',mode:absolute,to:'2017-10-20T11:48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23.302099999999999</v>
      </c>
      <c r="Z58" s="204">
        <f>RIGHT(H58,LEN(H58)-4)/10000</f>
        <v>1.4999999999999999E-2</v>
      </c>
      <c r="AA58" s="204">
        <f>ABS(Z58-Y58)</f>
        <v>23.287099999999999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s3://rtdc.mdm.uploadarchive.raw/RTDC4031/ "%USERPROFILE%\AppData\Local\Temp\OnboardLogs"\RTDC4031\2017-10-20 --exclude "*" --recursive --include "*20171020*" &amp; "%USERPROFILE%\Documents\GitHub\mrs-test-scripts\Headless Mode &amp; Sideloading\WalkAndUnGZ.bat" "%USERPROFILE%\AppData\Local\Temp\OnboardLogs"\RTDC4031\2017-10-20 &amp; aws s3 cp s3://rtdc.mdm.uploadarchive.raw/RTDC4031/ "%USERPROFILE%\AppData\Local\Temp\OnboardLogs"\RTDC4031\2017-10-21 --exclude "*" --recursive --include "*20171021*" &amp; "%USERPROFILE%\Documents\GitHub\mrs-test-scripts\Headless Mode &amp; Sideloading\WalkAndUnGZ.bat" "%USERPROFILE%\AppData\Local\Temp\OnboardLogs"\RTDC4031\2017-10-21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/stypes="app*4031*20171020*" /stext=" 16:.+((SYSTEM_STATE.+slice.+state.+changed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146-20 --locoid 4031 --swversion DE.1.0.9.0 --startMP 204:233021 --initTime 2017-10-20T09:51:25 --startdatetime 2017-10-20T10:12:17 --delay 55 --endMP 204:150 --enddatetime 2017-10-20T10:48:57 --enforcementcount 0 &gt;&gt;%USERPROFILE%\Documents\GitHub\eaglep3-reporting\EC\2017-10-20-refined-times.txt</v>
      </c>
      <c r="AI58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{"issue":{"subject":"","project_id":79,"tracker_id":40,"status_id":1,"priority_id":2,"assigned_to_id":338,"start_date":"2017-10-20","description":"","custom_fields":[{"id":1,"name":"Subdivision","value":"EC"},{"id":4,"name":"Milepost","value":"0.015"},{"id":17,"name":"Train ID","value":"146-20"},{"id":16,"name":"Locomotive ID","value":"4031"},{"id":130,"name":"Impact","value":""},{"id":150,"name":"Time of Event (Mountain Time)","value":"10:48:57"},{"id":151,"name":"Denver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4031 --day 2017-10-20</v>
      </c>
      <c r="AN58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16:48:57"},{"id":29,"name":"Sharepoint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-10-20T08:51:25-0600',mode:absolute,to:'2017-10-20T11:48:57-0600'))&amp;_a=(columns:!('Message%20ID',Summary),filters:!(),index:'emp_*',interval:auto,query:(query_string:(analyze_wildcard:!t,query:'%22rtdc.l.rtdc.4031%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730</v>
      </c>
      <c r="B59" s="7">
        <v>4026</v>
      </c>
      <c r="C59" s="21" t="s">
        <v>194</v>
      </c>
      <c r="D59" s="21" t="s">
        <v>364</v>
      </c>
      <c r="E59" s="13">
        <v>43028.391342592593</v>
      </c>
      <c r="F59" s="13">
        <v>43028.396261574075</v>
      </c>
      <c r="G59" s="7">
        <v>87</v>
      </c>
      <c r="H59" s="21" t="s">
        <v>897</v>
      </c>
      <c r="I59" s="13">
        <v>43028.42114583333</v>
      </c>
      <c r="J59" s="7">
        <v>0</v>
      </c>
      <c r="K59" s="89" t="str">
        <f>IF(ISEVEN(B59),(B59-1)&amp;"/"&amp;B59,B59&amp;"/"&amp;(B59+1))</f>
        <v>4025/4026</v>
      </c>
      <c r="L59" s="185" t="str">
        <f>VLOOKUP(A59,'Trips&amp;Operators'!$C$1:$G$99911,5,FALSE)</f>
        <v>BONDS REYNALDO</v>
      </c>
      <c r="M59" s="6">
        <f>I59-F59</f>
        <v>2.488425925548654E-2</v>
      </c>
      <c r="N59" s="7">
        <f>24*60*SUM($M59:$M59)</f>
        <v>35.833333327900618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-10-20T08:23:32-0600',mode:absolute,to:'2017-10-20T11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4.5100000000000001E-2</v>
      </c>
      <c r="Z59" s="204">
        <f>RIGHT(H59,LEN(H59)-4)/10000</f>
        <v>23.333100000000002</v>
      </c>
      <c r="AA59" s="204">
        <f>ABS(Z59-Y59)</f>
        <v>23.288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s3://rtdc.mdm.uploadarchive.raw/RTDC4026/ "%USERPROFILE%\AppData\Local\Temp\OnboardLogs"\RTDC4026\2017-10-20 --exclude "*" --recursive --include "*20171020*" &amp; "%USERPROFILE%\Documents\GitHub\mrs-test-scripts\Headless Mode &amp; Sideloading\WalkAndUnGZ.bat" "%USERPROFILE%\AppData\Local\Temp\OnboardLogs"\RTDC4026\2017-10-20 &amp; aws s3 cp s3://rtdc.mdm.uploadarchive.raw/RTDC4026/ "%USERPROFILE%\AppData\Local\Temp\OnboardLogs"\RTDC4026\2017-10-21 --exclude "*" --recursive --include "*20171021*" &amp; "%USERPROFILE%\Documents\GitHub\mrs-test-scripts\Headless Mode &amp; Sideloading\WalkAndUnGZ.bat" "%USERPROFILE%\AppData\Local\Temp\OnboardLogs"\RTDC4026\2017-10-21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/stypes="app*4026*20171020*"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147-20 --locoid 4026 --swversion DE.1.0.9.0 --startMP 204:451 --initTime 2017-10-20T09:23:32 --startdatetime 2017-10-20T09:30:37 --delay 87 --endMP 204:233331 --enddatetime 2017-10-20T10:06:27 --enforcementcount 0 &gt;&gt;%USERPROFILE%\Documents\GitHub\eaglep3-reporting\EC\2017-10-20-refined-times.txt</v>
      </c>
      <c r="AI59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{"issue":{"subject":"","project_id":79,"tracker_id":40,"status_id":1,"priority_id":2,"assigned_to_id":338,"start_date":"2017-10-20","description":"","custom_fields":[{"id":1,"name":"Subdivision","value":"EC"},{"id":4,"name":"Milepost","value":"23.3331"},{"id":17,"name":"Train ID","value":"147-20"},{"id":16,"name":"Locomotive ID","value":"4026"},{"id":130,"name":"Impact","value":""},{"id":150,"name":"Time of Event (Mountain Time)","value":"10:06:27"},{"id":151,"name":"Denver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4026 --day 2017-10-20</v>
      </c>
      <c r="AN59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16:06:27"},{"id":29,"name":"Sharepoint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-10-20T08:23:32-0600',mode:absolute,to:'2017-10-20T11:06:27-0600'))&amp;_a=(columns:!('Message%20ID',Summary),filters:!(),index:'emp_*',interval:auto,query:(query_string:(analyze_wildcard:!t,query:'%22rtdc.l.rtdc.4026%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739</v>
      </c>
      <c r="B60" s="7">
        <v>4025</v>
      </c>
      <c r="C60" s="21" t="s">
        <v>194</v>
      </c>
      <c r="D60" s="21" t="s">
        <v>485</v>
      </c>
      <c r="E60" s="13">
        <v>43028.429189814815</v>
      </c>
      <c r="F60" s="13">
        <v>43028.435682870368</v>
      </c>
      <c r="G60" s="7">
        <v>68</v>
      </c>
      <c r="H60" s="21" t="s">
        <v>339</v>
      </c>
      <c r="I60" s="13">
        <v>43028.462106481478</v>
      </c>
      <c r="J60" s="7">
        <v>0</v>
      </c>
      <c r="K60" s="89" t="str">
        <f>IF(ISEVEN(B60),(B60-1)&amp;"/"&amp;B60,B60&amp;"/"&amp;(B60+1))</f>
        <v>4025/4026</v>
      </c>
      <c r="L60" s="185" t="str">
        <f>VLOOKUP(A60,'Trips&amp;Operators'!$C$1:$G$99911,5,FALSE)</f>
        <v>BONDS REYNALDO</v>
      </c>
      <c r="M60" s="6">
        <f>I60-F60</f>
        <v>2.6423611110658385E-2</v>
      </c>
      <c r="N60" s="7">
        <f>24*60*SUM($M60:$M60)</f>
        <v>38.049999999348074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-10-20T09:18:02-0600',mode:absolute,to:'2017-10-20T12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23.301300000000001</v>
      </c>
      <c r="Z60" s="204">
        <f>RIGHT(H60,LEN(H60)-4)/10000</f>
        <v>1.47E-2</v>
      </c>
      <c r="AA60" s="204">
        <f>ABS(Z60-Y60)</f>
        <v>23.2866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s3://rtdc.mdm.uploadarchive.raw/RTDC4025/ "%USERPROFILE%\AppData\Local\Temp\OnboardLogs"\RTDC4025\2017-10-20 --exclude "*" --recursive --include "*20171020*" &amp; "%USERPROFILE%\Documents\GitHub\mrs-test-scripts\Headless Mode &amp; Sideloading\WalkAndUnGZ.bat" "%USERPROFILE%\AppData\Local\Temp\OnboardLogs"\RTDC4025\2017-10-20 &amp; aws s3 cp s3://rtdc.mdm.uploadarchive.raw/RTDC4025/ "%USERPROFILE%\AppData\Local\Temp\OnboardLogs"\RTDC4025\2017-10-21 --exclude "*" --recursive --include "*20171021*" &amp; "%USERPROFILE%\Documents\GitHub\mrs-test-scripts\Headless Mode &amp; Sideloading\WalkAndUnGZ.bat" "%USERPROFILE%\AppData\Local\Temp\OnboardLogs"\RTDC4025\2017-10-21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/stypes="app*4025*20171020*" /stext=" 17:.+((SYSTEM_STATE.+slice.+state.+changed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148-20 --locoid 4025 --swversion DE.1.0.9.0 --startMP 204:233013 --initTime 2017-10-20T10:18:02 --startdatetime 2017-10-20T10:27:23 --delay 68 --endMP 204:147 --enddatetime 2017-10-20T11:05:26 --enforcementcount 0 &gt;&gt;%USERPROFILE%\Documents\GitHub\eaglep3-reporting\EC\2017-10-20-refined-times.txt</v>
      </c>
      <c r="AI60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{"issue":{"subject":"","project_id":79,"tracker_id":40,"status_id":1,"priority_id":2,"assigned_to_id":338,"start_date":"2017-10-20","description":"","custom_fields":[{"id":1,"name":"Subdivision","value":"EC"},{"id":4,"name":"Milepost","value":"0.0147"},{"id":17,"name":"Train ID","value":"148-20"},{"id":16,"name":"Locomotive ID","value":"4025"},{"id":130,"name":"Impact","value":""},{"id":150,"name":"Time of Event (Mountain Time)","value":"11:05:26"},{"id":151,"name":"Denver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4025 --day 2017-10-20</v>
      </c>
      <c r="AN60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17:05:26"},{"id":29,"name":"Sharepoint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-10-20T09:18:02-0600',mode:absolute,to:'2017-10-20T12:05:26-0600'))&amp;_a=(columns:!('Message%20ID',Summary),filters:!(),index:'emp_*',interval:auto,query:(query_string:(analyze_wildcard:!t,query:'%22rtdc.l.rtdc.4025%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733</v>
      </c>
      <c r="B61" s="7">
        <v>4044</v>
      </c>
      <c r="C61" s="21" t="s">
        <v>194</v>
      </c>
      <c r="D61" s="21" t="s">
        <v>396</v>
      </c>
      <c r="E61" s="13">
        <v>43028.404618055552</v>
      </c>
      <c r="F61" s="13">
        <v>43028.406423611108</v>
      </c>
      <c r="G61" s="7">
        <v>49</v>
      </c>
      <c r="H61" s="21" t="s">
        <v>419</v>
      </c>
      <c r="I61" s="13">
        <v>43028.43</v>
      </c>
      <c r="J61" s="7">
        <v>0</v>
      </c>
      <c r="K61" s="89" t="str">
        <f>IF(ISEVEN(B61),(B61-1)&amp;"/"&amp;B61,B61&amp;"/"&amp;(B61+1))</f>
        <v>4043/4044</v>
      </c>
      <c r="L61" s="185" t="str">
        <f>VLOOKUP(A61,'Trips&amp;Operators'!$C$1:$G$99911,5,FALSE)</f>
        <v>GEBRETEKLE DAGNEW</v>
      </c>
      <c r="M61" s="6">
        <f>I61-F61</f>
        <v>2.3576388892251998E-2</v>
      </c>
      <c r="N61" s="7">
        <f>24*60*SUM($M61:$M61)</f>
        <v>33.950000004842877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-10-20T08:42:39-0600',mode:absolute,to:'2017-10-20T11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4.6399999999999997E-2</v>
      </c>
      <c r="Z61" s="204">
        <f>RIGHT(H61,LEN(H61)-4)/10000</f>
        <v>23.329499999999999</v>
      </c>
      <c r="AA61" s="204">
        <f>ABS(Z61-Y61)</f>
        <v>23.283100000000001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 &amp; aws s3 cp s3://rtdc.mdm.uploadarchive.raw/RTDC4044/ "%USERPROFILE%\AppData\Local\Temp\OnboardLogs"\RTDC4044\2017-10-21 --exclude "*" --recursive --include "*20171021*" &amp; "%USERPROFILE%\Documents\GitHub\mrs-test-scripts\Headless Mode &amp; Sideloading\WalkAndUnGZ.bat" "%USERPROFILE%\AppData\Local\Temp\OnboardLogs"\RTDC4044\2017-10-21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/stypes="app*4044*20171020*" /stext=" 16:.+((SYSTEM_STATE.+slice.+state.+changed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149-20 --locoid 4044 --swversion DE.1.0.9.0 --startMP 204:464 --initTime 2017-10-20T09:42:39 --startdatetime 2017-10-20T09:45:15 --delay 49 --endMP 204:233295 --enddatetime 2017-10-20T10:19:12 --enforcementcount 0 &gt;&gt;%USERPROFILE%\Documents\GitHub\eaglep3-reporting\EC\2017-10-20-refined-times.txt</v>
      </c>
      <c r="AI61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{"issue":{"subject":"","project_id":79,"tracker_id":40,"status_id":1,"priority_id":2,"assigned_to_id":338,"start_date":"2017-10-20","description":"","custom_fields":[{"id":1,"name":"Subdivision","value":"EC"},{"id":4,"name":"Milepost","value":"23.3295"},{"id":17,"name":"Train ID","value":"149-20"},{"id":16,"name":"Locomotive ID","value":"4044"},{"id":130,"name":"Impact","value":""},{"id":150,"name":"Time of Event (Mountain Time)","value":"10:19:12"},{"id":151,"name":"Denver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4044 --day 2017-10-20</v>
      </c>
      <c r="AN61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16:19:12"},{"id":29,"name":"Sharepoint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-10-20T08:42:39-0600',mode:absolute,to:'2017-10-20T11:19:12-0600'))&amp;_a=(columns:!('Message%20ID',Summary),filters:!(),index:'emp_*',interval:auto,query:(query_string:(analyze_wildcard:!t,query:'%22rtdc.l.rtdc.4044%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740</v>
      </c>
      <c r="B62" s="7">
        <v>4043</v>
      </c>
      <c r="C62" s="21" t="s">
        <v>194</v>
      </c>
      <c r="D62" s="21" t="s">
        <v>596</v>
      </c>
      <c r="E62" s="13">
        <v>43028.431840277779</v>
      </c>
      <c r="F62" s="13">
        <v>43028.446064814816</v>
      </c>
      <c r="G62" s="7">
        <v>48</v>
      </c>
      <c r="H62" s="21" t="s">
        <v>368</v>
      </c>
      <c r="I62" s="13">
        <v>43028.47246527778</v>
      </c>
      <c r="J62" s="7">
        <v>0</v>
      </c>
      <c r="K62" s="89" t="str">
        <f>IF(ISEVEN(B62),(B62-1)&amp;"/"&amp;B62,B62&amp;"/"&amp;(B62+1))</f>
        <v>4043/4044</v>
      </c>
      <c r="L62" s="185" t="str">
        <f>VLOOKUP(A62,'Trips&amp;Operators'!$C$1:$G$99911,5,FALSE)</f>
        <v>GEBRETEKLE DAGNEW</v>
      </c>
      <c r="M62" s="6">
        <f>I62-F62</f>
        <v>2.6400462964375038E-2</v>
      </c>
      <c r="N62" s="7">
        <f>24*60*SUM($M62:$M62)</f>
        <v>38.016666668700054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-10-20T09:21:51-0600',mode:absolute,to:'2017-10-20T12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23.297799999999999</v>
      </c>
      <c r="Z62" s="204">
        <f>RIGHT(H62,LEN(H62)-4)/10000</f>
        <v>1.54E-2</v>
      </c>
      <c r="AA62" s="204">
        <f>ABS(Z62-Y62)</f>
        <v>23.282399999999999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 &amp; aws s3 cp s3://rtdc.mdm.uploadarchive.raw/RTDC4043/ "%USERPROFILE%\AppData\Local\Temp\OnboardLogs"\RTDC4043\2017-10-21 --exclude "*" --recursive --include "*20171021*" &amp; "%USERPROFILE%\Documents\GitHub\mrs-test-scripts\Headless Mode &amp; Sideloading\WalkAndUnGZ.bat" "%USERPROFILE%\AppData\Local\Temp\OnboardLogs"\RTDC4043\2017-10-21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/stypes="app*4043*20171020*" /stext=" 17:.+((SYSTEM_STATE.+slice.+state.+changed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150-20 --locoid 4043 --swversion DE.1.0.9.0 --startMP 204:232978 --initTime 2017-10-20T10:21:51 --startdatetime 2017-10-20T10:42:20 --delay 48 --endMP 204:154 --enddatetime 2017-10-20T11:20:21 --enforcementcount 0 &gt;&gt;%USERPROFILE%\Documents\GitHub\eaglep3-reporting\EC\2017-10-20-refined-times.txt</v>
      </c>
      <c r="AI62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{"issue":{"subject":"","project_id":79,"tracker_id":40,"status_id":1,"priority_id":2,"assigned_to_id":338,"start_date":"2017-10-20","description":"","custom_fields":[{"id":1,"name":"Subdivision","value":"EC"},{"id":4,"name":"Milepost","value":"0.0154"},{"id":17,"name":"Train ID","value":"150-20"},{"id":16,"name":"Locomotive ID","value":"4043"},{"id":130,"name":"Impact","value":""},{"id":150,"name":"Time of Event (Mountain Time)","value":"11:20:21"},{"id":151,"name":"Denver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4043 --day 2017-10-20</v>
      </c>
      <c r="AN62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17:20:21"},{"id":29,"name":"Sharepoint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-10-20T09:21:51-0600',mode:absolute,to:'2017-10-20T12:20:21-0600'))&amp;_a=(columns:!('Message%20ID',Summary),filters:!(),index:'emp_*',interval:auto,query:(query_string:(analyze_wildcard:!t,query:'%22rtdc.l.rtdc.4043%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736</v>
      </c>
      <c r="B63" s="7">
        <v>4040</v>
      </c>
      <c r="C63" s="21" t="s">
        <v>194</v>
      </c>
      <c r="D63" s="21" t="s">
        <v>344</v>
      </c>
      <c r="E63" s="13">
        <v>43028.413541666669</v>
      </c>
      <c r="F63" s="13">
        <v>43028.416875000003</v>
      </c>
      <c r="G63" s="7">
        <v>56</v>
      </c>
      <c r="H63" s="21" t="s">
        <v>898</v>
      </c>
      <c r="I63" s="13">
        <v>43028.442291666666</v>
      </c>
      <c r="J63" s="7">
        <v>0</v>
      </c>
      <c r="K63" s="89" t="str">
        <f>IF(ISEVEN(B63),(B63-1)&amp;"/"&amp;B63,B63&amp;"/"&amp;(B63+1))</f>
        <v>4039/4040</v>
      </c>
      <c r="L63" s="185" t="str">
        <f>VLOOKUP(A63,'Trips&amp;Operators'!$C$1:$G$99911,5,FALSE)</f>
        <v>DAVIS WENDY</v>
      </c>
      <c r="M63" s="6">
        <f>I63-F63</f>
        <v>2.5416666663659271E-2</v>
      </c>
      <c r="N63" s="7">
        <f>24*60*SUM($M63:$M63)</f>
        <v>36.59999999566935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-20T08:55:30-0600',mode:absolute,to:'2017-10-20T11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4.5499999999999999E-2</v>
      </c>
      <c r="Z63" s="204">
        <f>RIGHT(H63,LEN(H63)-4)/10000</f>
        <v>23.33</v>
      </c>
      <c r="AA63" s="204">
        <f>ABS(Z63-Y63)</f>
        <v>23.284499999999998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s3://rtdc.mdm.uploadarchive.raw/RTDC4040/ "%USERPROFILE%\AppData\Local\Temp\OnboardLogs"\RTDC4040\2017-10-20 --exclude "*" --recursive --include "*20171020*" &amp; "%USERPROFILE%\Documents\GitHub\mrs-test-scripts\Headless Mode &amp; Sideloading\WalkAndUnGZ.bat" "%USERPROFILE%\AppData\Local\Temp\OnboardLogs"\RTDC4040\2017-10-20 &amp; aws s3 cp s3://rtdc.mdm.uploadarchive.raw/RTDC4040/ "%USERPROFILE%\AppData\Local\Temp\OnboardLogs"\RTDC4040\2017-10-21 --exclude "*" --recursive --include "*20171021*" &amp; "%USERPROFILE%\Documents\GitHub\mrs-test-scripts\Headless Mode &amp; Sideloading\WalkAndUnGZ.bat" "%USERPROFILE%\AppData\Local\Temp\OnboardLogs"\RTDC4040\2017-10-21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/stypes="app*4040*20171020*" /stext=" 16:.+((SYSTEM_STATE.+slice.+state.+changed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151-20 --locoid 4040 --swversion DE.1.0.9.0 --startMP 204:455 --initTime 2017-10-20T09:55:30 --startdatetime 2017-10-20T10:00:18 --delay 56 --endMP 204:233300 --enddatetime 2017-10-20T10:36:54 --enforcementcount 0 &gt;&gt;%USERPROFILE%\Documents\GitHub\eaglep3-reporting\EC\2017-10-20-refined-times.txt</v>
      </c>
      <c r="AI63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{"issue":{"subject":"","project_id":79,"tracker_id":40,"status_id":1,"priority_id":2,"assigned_to_id":338,"start_date":"2017-10-20","description":"","custom_fields":[{"id":1,"name":"Subdivision","value":"EC"},{"id":4,"name":"Milepost","value":"23.33"},{"id":17,"name":"Train ID","value":"151-20"},{"id":16,"name":"Locomotive ID","value":"4040"},{"id":130,"name":"Impact","value":""},{"id":150,"name":"Time of Event (Mountain Time)","value":"10:36:54"},{"id":151,"name":"Denver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4040 --day 2017-10-20</v>
      </c>
      <c r="AN63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16:36:54"},{"id":29,"name":"Sharepoint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-10-20T08:55:30-0600',mode:absolute,to:'2017-10-20T11:36:54-0600'))&amp;_a=(columns:!('Message%20ID',Summary),filters:!(),index:'emp_*',interval:auto,query:(query_string:(analyze_wildcard:!t,query:'%22rtdc.l.rtdc.4040%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745</v>
      </c>
      <c r="B64" s="7">
        <v>4039</v>
      </c>
      <c r="C64" s="21" t="s">
        <v>194</v>
      </c>
      <c r="D64" s="21" t="s">
        <v>420</v>
      </c>
      <c r="E64" s="13">
        <v>43028.448993055557</v>
      </c>
      <c r="F64" s="13">
        <v>43028.456400462965</v>
      </c>
      <c r="G64" s="7">
        <v>52</v>
      </c>
      <c r="H64" s="21" t="s">
        <v>335</v>
      </c>
      <c r="I64" s="13">
        <v>43028.48332175926</v>
      </c>
      <c r="J64" s="7">
        <v>0</v>
      </c>
      <c r="K64" s="89" t="str">
        <f>IF(ISEVEN(B64),(B64-1)&amp;"/"&amp;B64,B64&amp;"/"&amp;(B64+1))</f>
        <v>4039/4040</v>
      </c>
      <c r="L64" s="185" t="str">
        <f>VLOOKUP(A64,'Trips&amp;Operators'!$C$1:$G$99911,5,FALSE)</f>
        <v>DAVIS WENDY</v>
      </c>
      <c r="M64" s="6">
        <f>I64-F64</f>
        <v>2.6921296295768116E-2</v>
      </c>
      <c r="N64" s="7">
        <f>24*60*SUM($M64:$M64)</f>
        <v>38.766666665906087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-10-20T09:46:33-0600',mode:absolute,to:'2017-10-20T12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23.298300000000001</v>
      </c>
      <c r="Z64" s="204">
        <f>RIGHT(H64,LEN(H64)-4)/10000</f>
        <v>1.4999999999999999E-2</v>
      </c>
      <c r="AA64" s="204">
        <f>ABS(Z64-Y64)</f>
        <v>23.283300000000001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s3://rtdc.mdm.uploadarchive.raw/RTDC4039/ "%USERPROFILE%\AppData\Local\Temp\OnboardLogs"\RTDC4039\2017-10-20 --exclude "*" --recursive --include "*20171020*" &amp; "%USERPROFILE%\Documents\GitHub\mrs-test-scripts\Headless Mode &amp; Sideloading\WalkAndUnGZ.bat" "%USERPROFILE%\AppData\Local\Temp\OnboardLogs"\RTDC4039\2017-10-20 &amp; aws s3 cp s3://rtdc.mdm.uploadarchive.raw/RTDC4039/ "%USERPROFILE%\AppData\Local\Temp\OnboardLogs"\RTDC4039\2017-10-21 --exclude "*" --recursive --include "*20171021*" &amp; "%USERPROFILE%\Documents\GitHub\mrs-test-scripts\Headless Mode &amp; Sideloading\WalkAndUnGZ.bat" "%USERPROFILE%\AppData\Local\Temp\OnboardLogs"\RTDC4039\2017-10-21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/stypes="app*4039*20171020*" /stext=" 17:.+((SYSTEM_STATE.+slice.+state.+changed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152-20 --locoid 4039 --swversion DE.1.0.9.0 --startMP 204:232983 --initTime 2017-10-20T10:46:33 --startdatetime 2017-10-20T10:57:13 --delay 52 --endMP 204:150 --enddatetime 2017-10-20T11:35:59 --enforcementcount 0 &gt;&gt;%USERPROFILE%\Documents\GitHub\eaglep3-reporting\EC\2017-10-20-refined-times.txt</v>
      </c>
      <c r="AI64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{"issue":{"subject":"","project_id":79,"tracker_id":40,"status_id":1,"priority_id":2,"assigned_to_id":338,"start_date":"2017-10-20","description":"","custom_fields":[{"id":1,"name":"Subdivision","value":"EC"},{"id":4,"name":"Milepost","value":"0.015"},{"id":17,"name":"Train ID","value":"152-20"},{"id":16,"name":"Locomotive ID","value":"4039"},{"id":130,"name":"Impact","value":""},{"id":150,"name":"Time of Event (Mountain Time)","value":"11:35:59"},{"id":151,"name":"Denver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4039 --day 2017-10-20</v>
      </c>
      <c r="AN64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17:35:59"},{"id":29,"name":"Sharepoint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-10-20T09:46:33-0600',mode:absolute,to:'2017-10-20T12:35:59-0600'))&amp;_a=(columns:!('Message%20ID',Summary),filters:!(),index:'emp_*',interval:auto,query:(query_string:(analyze_wildcard:!t,query:'%22rtdc.l.rtdc.4039%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738</v>
      </c>
      <c r="B65" s="7">
        <v>4056</v>
      </c>
      <c r="C65" s="21" t="s">
        <v>194</v>
      </c>
      <c r="D65" s="21" t="s">
        <v>373</v>
      </c>
      <c r="E65" s="13">
        <v>43028.423113425924</v>
      </c>
      <c r="F65" s="13">
        <v>43028.427719907406</v>
      </c>
      <c r="G65" s="7">
        <v>88</v>
      </c>
      <c r="H65" s="21" t="s">
        <v>899</v>
      </c>
      <c r="I65" s="13">
        <v>43028.452905092592</v>
      </c>
      <c r="J65" s="7">
        <v>0</v>
      </c>
      <c r="K65" s="89" t="str">
        <f>IF(ISEVEN(B65),(B65-1)&amp;"/"&amp;B65,B65&amp;"/"&amp;(B65+1))</f>
        <v>4055/4056</v>
      </c>
      <c r="L65" s="185" t="str">
        <f>VLOOKUP(A65,'Trips&amp;Operators'!$C$1:$G$99911,5,FALSE)</f>
        <v>WILLIAMS DONTE</v>
      </c>
      <c r="M65" s="6">
        <f>I65-F65</f>
        <v>2.5185185186273884E-2</v>
      </c>
      <c r="N65" s="7">
        <f>24*60*SUM($M65:$M65)</f>
        <v>36.266666668234393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-10-20T09:09:17-0600',mode:absolute,to:'2017-10-20T11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4.5699999999999998E-2</v>
      </c>
      <c r="Z65" s="204">
        <f>RIGHT(H65,LEN(H65)-4)/10000</f>
        <v>23.327000000000002</v>
      </c>
      <c r="AA65" s="204">
        <f>ABS(Z65-Y65)</f>
        <v>23.281300000000002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/stypes="app*4056*20171020*" /stext=" 16:.+((SYSTEM_STATE.+slice.+state.+changed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153-20 --locoid 4056 --swversion DE.1.0.9.0 --startMP 204:457 --initTime 2017-10-20T10:09:17 --startdatetime 2017-10-20T10:15:55 --delay 88 --endMP 204:233270 --enddatetime 2017-10-20T10:52:11 --enforcementcount 0 &gt;&gt;%USERPROFILE%\Documents\GitHub\eaglep3-reporting\EC\2017-10-20-refined-times.txt</v>
      </c>
      <c r="AI65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{"issue":{"subject":"","project_id":79,"tracker_id":40,"status_id":1,"priority_id":2,"assigned_to_id":338,"start_date":"2017-10-20","description":"","custom_fields":[{"id":1,"name":"Subdivision","value":"EC"},{"id":4,"name":"Milepost","value":"23.327"},{"id":17,"name":"Train ID","value":"153-20"},{"id":16,"name":"Locomotive ID","value":"4056"},{"id":130,"name":"Impact","value":""},{"id":150,"name":"Time of Event (Mountain Time)","value":"10:52:11"},{"id":151,"name":"Denver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4056 --day 2017-10-20</v>
      </c>
      <c r="AN65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16:52:11"},{"id":29,"name":"Sharepoint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-10-20T09:09:17-0600',mode:absolute,to:'2017-10-20T11:52:11-0600'))&amp;_a=(columns:!('Message%20ID',Summary),filters:!(),index:'emp_*',interval:auto,query:(query_string:(analyze_wildcard:!t,query:'%22rtdc.l.rtdc.4056%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748</v>
      </c>
      <c r="B66" s="7">
        <v>4055</v>
      </c>
      <c r="C66" s="21" t="s">
        <v>194</v>
      </c>
      <c r="D66" s="21" t="s">
        <v>604</v>
      </c>
      <c r="E66" s="13">
        <v>43028.462141203701</v>
      </c>
      <c r="F66" s="13">
        <v>43028.466817129629</v>
      </c>
      <c r="G66" s="7">
        <v>73</v>
      </c>
      <c r="H66" s="21" t="s">
        <v>357</v>
      </c>
      <c r="I66" s="13">
        <v>43028.494652777779</v>
      </c>
      <c r="J66" s="7">
        <v>0</v>
      </c>
      <c r="K66" s="89" t="str">
        <f>IF(ISEVEN(B66),(B66-1)&amp;"/"&amp;B66,B66&amp;"/"&amp;(B66+1))</f>
        <v>4055/4056</v>
      </c>
      <c r="L66" s="185" t="str">
        <f>VLOOKUP(A66,'Trips&amp;Operators'!$C$1:$G$99911,5,FALSE)</f>
        <v>WILLIAMS DONTE</v>
      </c>
      <c r="M66" s="6">
        <f>I66-F66</f>
        <v>2.7835648150357883E-2</v>
      </c>
      <c r="N66" s="7">
        <f>24*60*SUM($M66:$M66)</f>
        <v>40.083333336515352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-10-20T10:05:29-0600',mode:absolute,to:'2017-10-20T12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23.296700000000001</v>
      </c>
      <c r="Z66" s="204">
        <f>RIGHT(H66,LEN(H66)-4)/10000</f>
        <v>1.5599999999999999E-2</v>
      </c>
      <c r="AA66" s="204">
        <f>ABS(Z66-Y66)</f>
        <v>23.281100000000002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s3://rtdc.mdm.uploadarchive.raw/RTDC4055/ "%USERPROFILE%\AppData\Local\Temp\OnboardLogs"\RTDC4055\2017-10-20 --exclude "*" --recursive --include "*20171020*" &amp; "%USERPROFILE%\Documents\GitHub\mrs-test-scripts\Headless Mode &amp; Sideloading\WalkAndUnGZ.bat" "%USERPROFILE%\AppData\Local\Temp\OnboardLogs"\RTDC4055\2017-10-20 &amp; aws s3 cp s3://rtdc.mdm.uploadarchive.raw/RTDC4055/ "%USERPROFILE%\AppData\Local\Temp\OnboardLogs"\RTDC4055\2017-10-21 --exclude "*" --recursive --include "*20171021*" &amp; "%USERPROFILE%\Documents\GitHub\mrs-test-scripts\Headless Mode &amp; Sideloading\WalkAndUnGZ.bat" "%USERPROFILE%\AppData\Local\Temp\OnboardLogs"\RTDC4055\2017-10-21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/stypes="app*4055*20171020*" /stext=" 17:.+((SYSTEM_STATE.+slice.+state.+changed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154-20 --locoid 4055 --swversion DE.1.0.9.0 --startMP 204:232967 --initTime 2017-10-20T11:05:29 --startdatetime 2017-10-20T11:12:13 --delay 73 --endMP 204:156 --enddatetime 2017-10-20T11:52:18 --enforcementcount 0 &gt;&gt;%USERPROFILE%\Documents\GitHub\eaglep3-reporting\EC\2017-10-20-refined-times.txt</v>
      </c>
      <c r="AI66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{"issue":{"subject":"","project_id":79,"tracker_id":40,"status_id":1,"priority_id":2,"assigned_to_id":338,"start_date":"2017-10-20","description":"","custom_fields":[{"id":1,"name":"Subdivision","value":"EC"},{"id":4,"name":"Milepost","value":"0.0156"},{"id":17,"name":"Train ID","value":"154-20"},{"id":16,"name":"Locomotive ID","value":"4055"},{"id":130,"name":"Impact","value":""},{"id":150,"name":"Time of Event (Mountain Time)","value":"11:52:18"},{"id":151,"name":"Denver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4055 --day 2017-10-20</v>
      </c>
      <c r="AN66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17:52:18"},{"id":29,"name":"Sharepoint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-10-20T10:05:29-0600',mode:absolute,to:'2017-10-20T12:52:18-0600'))&amp;_a=(columns:!('Message%20ID',Summary),filters:!(),index:'emp_*',interval:auto,query:(query_string:(analyze_wildcard:!t,query:'%22rtdc.l.rtdc.4055%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742</v>
      </c>
      <c r="B67" s="7">
        <v>4016</v>
      </c>
      <c r="C67" s="21" t="s">
        <v>194</v>
      </c>
      <c r="D67" s="21" t="s">
        <v>413</v>
      </c>
      <c r="E67" s="13">
        <v>43028.434432870374</v>
      </c>
      <c r="F67" s="13">
        <v>43028.437789351854</v>
      </c>
      <c r="G67" s="7">
        <v>87</v>
      </c>
      <c r="H67" s="21" t="s">
        <v>888</v>
      </c>
      <c r="I67" s="13">
        <v>43028.462199074071</v>
      </c>
      <c r="J67" s="7">
        <v>0</v>
      </c>
      <c r="K67" s="89" t="str">
        <f>IF(ISEVEN(B67),(B67-1)&amp;"/"&amp;B67,B67&amp;"/"&amp;(B67+1))</f>
        <v>4015/4016</v>
      </c>
      <c r="L67" s="185" t="str">
        <f>VLOOKUP(A67,'Trips&amp;Operators'!$C$1:$G$99911,5,FALSE)</f>
        <v>MACDONALD THOMAS</v>
      </c>
      <c r="M67" s="6">
        <f>I67-F67</f>
        <v>2.4409722216660157E-2</v>
      </c>
      <c r="N67" s="7">
        <f>24*60*SUM($M67:$M67)</f>
        <v>35.149999991990626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-20T09:25:35-0600',mode:absolute,to:'2017-10-20T12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4.4400000000000002E-2</v>
      </c>
      <c r="Z67" s="204">
        <f>RIGHT(H67,LEN(H67)-4)/10000</f>
        <v>23.328299999999999</v>
      </c>
      <c r="AA67" s="204">
        <f>ABS(Z67-Y67)</f>
        <v>23.283899999999999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 &amp; 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/stypes="app*4016*20171020*"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155-20 --locoid 4016 --swversion DE.1.0.9.0 --startMP 204:444 --initTime 2017-10-20T10:25:35 --startdatetime 2017-10-20T10:30:25 --delay 87 --endMP 204:233283 --enddatetime 2017-10-20T11:05:34 --enforcementcount 0 &gt;&gt;%USERPROFILE%\Documents\GitHub\eaglep3-reporting\EC\2017-10-20-refined-times.txt</v>
      </c>
      <c r="AI67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{"issue":{"subject":"","project_id":79,"tracker_id":40,"status_id":1,"priority_id":2,"assigned_to_id":338,"start_date":"2017-10-20","description":"","custom_fields":[{"id":1,"name":"Subdivision","value":"EC"},{"id":4,"name":"Milepost","value":"23.3283"},{"id":17,"name":"Train ID","value":"155-20"},{"id":16,"name":"Locomotive ID","value":"4016"},{"id":130,"name":"Impact","value":""},{"id":150,"name":"Time of Event (Mountain Time)","value":"11:05:34"},{"id":151,"name":"Denver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4016 --day 2017-10-20</v>
      </c>
      <c r="AN67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17:05:34"},{"id":29,"name":"Sharepoint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-10-20T09:25:35-0600',mode:absolute,to:'2017-10-20T12:05:34-0600'))&amp;_a=(columns:!('Message%20ID',Summary),filters:!(),index:'emp_*',interval:auto,query:(query_string:(analyze_wildcard:!t,query:'%22rtdc.l.rtdc.4016%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753</v>
      </c>
      <c r="B68" s="7">
        <v>4015</v>
      </c>
      <c r="C68" s="21" t="s">
        <v>194</v>
      </c>
      <c r="D68" s="21" t="s">
        <v>900</v>
      </c>
      <c r="E68" s="13">
        <v>43028.47384259259</v>
      </c>
      <c r="F68" s="13">
        <v>43028.477673611109</v>
      </c>
      <c r="G68" s="7">
        <v>57</v>
      </c>
      <c r="H68" s="21" t="s">
        <v>489</v>
      </c>
      <c r="I68" s="13">
        <v>43028.504004629627</v>
      </c>
      <c r="J68" s="7">
        <v>0</v>
      </c>
      <c r="K68" s="89" t="str">
        <f>IF(ISEVEN(B68),(B68-1)&amp;"/"&amp;B68,B68&amp;"/"&amp;(B68+1))</f>
        <v>4015/4016</v>
      </c>
      <c r="L68" s="185" t="str">
        <f>VLOOKUP(A68,'Trips&amp;Operators'!$C$1:$G$99911,5,FALSE)</f>
        <v>MACDONALD THOMAS</v>
      </c>
      <c r="M68" s="6">
        <f>I68-F68</f>
        <v>2.6331018518249039E-2</v>
      </c>
      <c r="N68" s="7">
        <f>24*60*SUM($M68:$M68)</f>
        <v>37.916666666278616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-10-20T10:22:20-0600',mode:absolute,to:'2017-10-20T13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23.296800000000001</v>
      </c>
      <c r="Z68" s="204">
        <f>RIGHT(H68,LEN(H68)-4)/10000</f>
        <v>1.6299999999999999E-2</v>
      </c>
      <c r="AA68" s="204">
        <f>ABS(Z68-Y68)</f>
        <v>23.2805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 &amp; 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/stypes="app*4015*20171020*" /stext=" 18:.+((SYSTEM_STATE.+slice.+state.+changed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156-20 --locoid 4015 --swversion DE.1.0.9.0 --startMP 204:232968 --initTime 2017-10-20T11:22:20 --startdatetime 2017-10-20T11:27:51 --delay 57 --endMP 204:163 --enddatetime 2017-10-20T12:05:46 --enforcementcount 0 &gt;&gt;%USERPROFILE%\Documents\GitHub\eaglep3-reporting\EC\2017-10-20-refined-times.txt</v>
      </c>
      <c r="AI68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{"issue":{"subject":"","project_id":79,"tracker_id":40,"status_id":1,"priority_id":2,"assigned_to_id":338,"start_date":"2017-10-20","description":"","custom_fields":[{"id":1,"name":"Subdivision","value":"EC"},{"id":4,"name":"Milepost","value":"0.0163"},{"id":17,"name":"Train ID","value":"156-20"},{"id":16,"name":"Locomotive ID","value":"4015"},{"id":130,"name":"Impact","value":""},{"id":150,"name":"Time of Event (Mountain Time)","value":"12:05:46"},{"id":151,"name":"Denver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4015 --day 2017-10-20</v>
      </c>
      <c r="AN68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18:05:46"},{"id":29,"name":"Sharepoint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-10-20T10:22:20-0600',mode:absolute,to:'2017-10-20T13:05:46-0600'))&amp;_a=(columns:!('Message%20ID',Summary),filters:!(),index:'emp_*',interval:auto,query:(query_string:(analyze_wildcard:!t,query:'%22rtdc.l.rtdc.4015%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743</v>
      </c>
      <c r="B69" s="7">
        <v>4064</v>
      </c>
      <c r="C69" s="21" t="s">
        <v>194</v>
      </c>
      <c r="D69" s="21" t="s">
        <v>338</v>
      </c>
      <c r="E69" s="13">
        <v>43028.443749999999</v>
      </c>
      <c r="F69" s="13">
        <v>43028.448101851849</v>
      </c>
      <c r="G69" s="7">
        <v>71</v>
      </c>
      <c r="H69" s="21" t="s">
        <v>899</v>
      </c>
      <c r="I69" s="13">
        <v>43028.473182870373</v>
      </c>
      <c r="J69" s="7">
        <v>0</v>
      </c>
      <c r="K69" s="89" t="str">
        <f>IF(ISEVEN(B69),(B69-1)&amp;"/"&amp;B69,B69&amp;"/"&amp;(B69+1))</f>
        <v>4063/4064</v>
      </c>
      <c r="L69" s="185" t="str">
        <f>VLOOKUP(A69,'Trips&amp;Operators'!$C$1:$G$99911,5,FALSE)</f>
        <v>BADERTSCHER DIANE</v>
      </c>
      <c r="M69" s="6">
        <f>I69-F69</f>
        <v>2.5081018524360843E-2</v>
      </c>
      <c r="N69" s="7">
        <f>24*60*SUM($M69:$M69)</f>
        <v>36.116666675079614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-10-20T09:39:00-0600',mode:absolute,to:'2017-10-20T12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4.53E-2</v>
      </c>
      <c r="Z69" s="204">
        <f>RIGHT(H69,LEN(H69)-4)/10000</f>
        <v>23.327000000000002</v>
      </c>
      <c r="AA69" s="204">
        <f>ABS(Z69-Y69)</f>
        <v>23.281700000000001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s3://rtdc.mdm.uploadarchive.raw/RTDC4064/ "%USERPROFILE%\AppData\Local\Temp\OnboardLogs"\RTDC4064\2017-10-20 --exclude "*" --recursive --include "*20171020*" &amp; "%USERPROFILE%\Documents\GitHub\mrs-test-scripts\Headless Mode &amp; Sideloading\WalkAndUnGZ.bat" "%USERPROFILE%\AppData\Local\Temp\OnboardLogs"\RTDC4064\2017-10-20 &amp; aws s3 cp s3://rtdc.mdm.uploadarchive.raw/RTDC4064/ "%USERPROFILE%\AppData\Local\Temp\OnboardLogs"\RTDC4064\2017-10-21 --exclude "*" --recursive --include "*20171021*" &amp; "%USERPROFILE%\Documents\GitHub\mrs-test-scripts\Headless Mode &amp; Sideloading\WalkAndUnGZ.bat" "%USERPROFILE%\AppData\Local\Temp\OnboardLogs"\RTDC4064\2017-10-21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/stypes="app*4064*20171020*" /stext=" 17:.+((SYSTEM_STATE.+slice.+state.+changed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157-20 --locoid 4064 --swversion DE.1.0.9.0 --startMP 204:453 --initTime 2017-10-20T10:39:00 --startdatetime 2017-10-20T10:45:16 --delay 71 --endMP 204:233270 --enddatetime 2017-10-20T11:21:23 --enforcementcount 0 &gt;&gt;%USERPROFILE%\Documents\GitHub\eaglep3-reporting\EC\2017-10-20-refined-times.txt</v>
      </c>
      <c r="AI69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{"issue":{"subject":"","project_id":79,"tracker_id":40,"status_id":1,"priority_id":2,"assigned_to_id":338,"start_date":"2017-10-20","description":"","custom_fields":[{"id":1,"name":"Subdivision","value":"EC"},{"id":4,"name":"Milepost","value":"23.327"},{"id":17,"name":"Train ID","value":"157-20"},{"id":16,"name":"Locomotive ID","value":"4064"},{"id":130,"name":"Impact","value":""},{"id":150,"name":"Time of Event (Mountain Time)","value":"11:21:23"},{"id":151,"name":"Denver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4064 --day 2017-10-20</v>
      </c>
      <c r="AN69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17:21:23"},{"id":29,"name":"Sharepoint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-10-20T09:39:00-0600',mode:absolute,to:'2017-10-20T12:21:23-0600'))&amp;_a=(columns:!('Message%20ID',Summary),filters:!(),index:'emp_*',interval:auto,query:(query_string:(analyze_wildcard:!t,query:'%22rtdc.l.rtdc.4064%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755</v>
      </c>
      <c r="B70" s="7">
        <v>4063</v>
      </c>
      <c r="C70" s="21" t="s">
        <v>194</v>
      </c>
      <c r="D70" s="21" t="s">
        <v>901</v>
      </c>
      <c r="E70" s="13">
        <v>43028.480486111112</v>
      </c>
      <c r="F70" s="13">
        <v>43028.48773148148</v>
      </c>
      <c r="G70" s="7">
        <v>78</v>
      </c>
      <c r="H70" s="21" t="s">
        <v>337</v>
      </c>
      <c r="I70" s="13">
        <v>43028.514918981484</v>
      </c>
      <c r="J70" s="7">
        <v>0</v>
      </c>
      <c r="K70" s="89" t="str">
        <f>IF(ISEVEN(B70),(B70-1)&amp;"/"&amp;B70,B70&amp;"/"&amp;(B70+1))</f>
        <v>4063/4064</v>
      </c>
      <c r="L70" s="185" t="str">
        <f>VLOOKUP(A70,'Trips&amp;Operators'!$C$1:$G$99911,5,FALSE)</f>
        <v>BADERTSCHER DIANE</v>
      </c>
      <c r="M70" s="6">
        <f>I70-F70</f>
        <v>2.718750000349246E-2</v>
      </c>
      <c r="N70" s="7">
        <f>24*60*SUM($M70:$M70)</f>
        <v>39.150000005029142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-10-20T10:31:54-0600',mode:absolute,to:'2017-10-20T13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23.295300000000001</v>
      </c>
      <c r="Z70" s="204">
        <f>RIGHT(H70,LEN(H70)-4)/10000</f>
        <v>1.43E-2</v>
      </c>
      <c r="AA70" s="204">
        <f>ABS(Z70-Y70)</f>
        <v>23.281000000000002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/stypes="app*4063*20171020*" /stext=" 18:.+((SYSTEM_STATE.+slice.+state.+changed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158-20 --locoid 4063 --swversion DE.1.0.9.0 --startMP 204:232953 --initTime 2017-10-20T11:31:54 --startdatetime 2017-10-20T11:42:20 --delay 78 --endMP 204:143 --enddatetime 2017-10-20T12:21:29 --enforcementcount 0 &gt;&gt;%USERPROFILE%\Documents\GitHub\eaglep3-reporting\EC\2017-10-20-refined-times.txt</v>
      </c>
      <c r="AI70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{"issue":{"subject":"","project_id":79,"tracker_id":40,"status_id":1,"priority_id":2,"assigned_to_id":338,"start_date":"2017-10-20","description":"","custom_fields":[{"id":1,"name":"Subdivision","value":"EC"},{"id":4,"name":"Milepost","value":"0.0143"},{"id":17,"name":"Train ID","value":"158-20"},{"id":16,"name":"Locomotive ID","value":"4063"},{"id":130,"name":"Impact","value":""},{"id":150,"name":"Time of Event (Mountain Time)","value":"12:21:29"},{"id":151,"name":"Denver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4063 --day 2017-10-20</v>
      </c>
      <c r="AN70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18:21:29"},{"id":29,"name":"Sharepoint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-10-20T10:31:54-0600',mode:absolute,to:'2017-10-20T13:21:29-0600'))&amp;_a=(columns:!('Message%20ID',Summary),filters:!(),index:'emp_*',interval:auto,query:(query_string:(analyze_wildcard:!t,query:'%22rtdc.l.rtdc.4063%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746</v>
      </c>
      <c r="B71" s="7">
        <v>4032</v>
      </c>
      <c r="C71" s="21" t="s">
        <v>194</v>
      </c>
      <c r="D71" s="21" t="s">
        <v>594</v>
      </c>
      <c r="E71" s="13">
        <v>43028.452407407407</v>
      </c>
      <c r="F71" s="13">
        <v>43028.458518518521</v>
      </c>
      <c r="G71" s="7">
        <v>44</v>
      </c>
      <c r="H71" s="21" t="s">
        <v>419</v>
      </c>
      <c r="I71" s="13">
        <v>43028.483263888891</v>
      </c>
      <c r="J71" s="7">
        <v>0</v>
      </c>
      <c r="K71" s="89" t="str">
        <f>IF(ISEVEN(B71),(B71-1)&amp;"/"&amp;B71,B71&amp;"/"&amp;(B71+1))</f>
        <v>4031/4032</v>
      </c>
      <c r="L71" s="185" t="str">
        <f>VLOOKUP(A71,'Trips&amp;Operators'!$C$1:$G$99911,5,FALSE)</f>
        <v>YANAI IAN</v>
      </c>
      <c r="M71" s="6">
        <f>I71-F71</f>
        <v>2.47453703705105E-2</v>
      </c>
      <c r="N71" s="7">
        <f>24*60*SUM($M71:$M71)</f>
        <v>35.63333333353512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-10-20T09:51:28-0600',mode:absolute,to:'2017-10-20T12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4.4900000000000002E-2</v>
      </c>
      <c r="Z71" s="204">
        <f>RIGHT(H71,LEN(H71)-4)/10000</f>
        <v>23.329499999999999</v>
      </c>
      <c r="AA71" s="204">
        <f>ABS(Z71-Y71)</f>
        <v>23.284600000000001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s3://rtdc.mdm.uploadarchive.raw/RTDC4032/ "%USERPROFILE%\AppData\Local\Temp\OnboardLogs"\RTDC4032\2017-10-20 --exclude "*" --recursive --include "*20171020*" &amp; "%USERPROFILE%\Documents\GitHub\mrs-test-scripts\Headless Mode &amp; Sideloading\WalkAndUnGZ.bat" "%USERPROFILE%\AppData\Local\Temp\OnboardLogs"\RTDC4032\2017-10-20 &amp; aws s3 cp s3://rtdc.mdm.uploadarchive.raw/RTDC4032/ "%USERPROFILE%\AppData\Local\Temp\OnboardLogs"\RTDC4032\2017-10-21 --exclude "*" --recursive --include "*20171021*" &amp; "%USERPROFILE%\Documents\GitHub\mrs-test-scripts\Headless Mode &amp; Sideloading\WalkAndUnGZ.bat" "%USERPROFILE%\AppData\Local\Temp\OnboardLogs"\RTDC4032\2017-10-21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/stypes="app*4032*20171020*" /stext=" 17:.+((SYSTEM_STATE.+slice.+state.+changed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159-20 --locoid 4032 --swversion DE.1.0.9.0 --startMP 204:449 --initTime 2017-10-20T10:51:28 --startdatetime 2017-10-20T11:00:16 --delay 44 --endMP 204:233295 --enddatetime 2017-10-20T11:35:54 --enforcementcount 0 &gt;&gt;%USERPROFILE%\Documents\GitHub\eaglep3-reporting\EC\2017-10-20-refined-times.txt</v>
      </c>
      <c r="AI71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{"issue":{"subject":"","project_id":79,"tracker_id":40,"status_id":1,"priority_id":2,"assigned_to_id":338,"start_date":"2017-10-20","description":"","custom_fields":[{"id":1,"name":"Subdivision","value":"EC"},{"id":4,"name":"Milepost","value":"23.3295"},{"id":17,"name":"Train ID","value":"159-20"},{"id":16,"name":"Locomotive ID","value":"4032"},{"id":130,"name":"Impact","value":""},{"id":150,"name":"Time of Event (Mountain Time)","value":"11:35:54"},{"id":151,"name":"Denver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4032 --day 2017-10-20</v>
      </c>
      <c r="AN71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17:35:54"},{"id":29,"name":"Sharepoint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-10-20T09:51:28-0600',mode:absolute,to:'2017-10-20T12:35:54-0600'))&amp;_a=(columns:!('Message%20ID',Summary),filters:!(),index:'emp_*',interval:auto,query:(query_string:(analyze_wildcard:!t,query:'%22rtdc.l.rtdc.4032%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756</v>
      </c>
      <c r="B72" s="7">
        <v>4031</v>
      </c>
      <c r="C72" s="21" t="s">
        <v>194</v>
      </c>
      <c r="D72" s="21" t="s">
        <v>603</v>
      </c>
      <c r="E72" s="13">
        <v>43028.484386574077</v>
      </c>
      <c r="F72" s="13">
        <v>43028.498148148145</v>
      </c>
      <c r="G72" s="7">
        <v>70</v>
      </c>
      <c r="H72" s="21" t="s">
        <v>411</v>
      </c>
      <c r="I72" s="13">
        <v>43028.523865740739</v>
      </c>
      <c r="J72" s="7">
        <v>0</v>
      </c>
      <c r="K72" s="89" t="str">
        <f>IF(ISEVEN(B72),(B72-1)&amp;"/"&amp;B72,B72&amp;"/"&amp;(B72+1))</f>
        <v>4031/4032</v>
      </c>
      <c r="L72" s="185" t="str">
        <f>VLOOKUP(A72,'Trips&amp;Operators'!$C$1:$G$99911,5,FALSE)</f>
        <v>YANAI IAN</v>
      </c>
      <c r="M72" s="6">
        <f>I72-F72</f>
        <v>2.5717592594446614E-2</v>
      </c>
      <c r="N72" s="7">
        <f>24*60*SUM($M72:$M72)</f>
        <v>37.033333336003125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-10-20T10:37:31-0600',mode:absolute,to:'2017-10-20T13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23.297899999999998</v>
      </c>
      <c r="Z72" s="204">
        <f>RIGHT(H72,LEN(H72)-4)/10000</f>
        <v>1.38E-2</v>
      </c>
      <c r="AA72" s="204">
        <f>ABS(Z72-Y72)</f>
        <v>23.284099999999999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s3://rtdc.mdm.uploadarchive.raw/RTDC4031/ "%USERPROFILE%\AppData\Local\Temp\OnboardLogs"\RTDC4031\2017-10-20 --exclude "*" --recursive --include "*20171020*" &amp; "%USERPROFILE%\Documents\GitHub\mrs-test-scripts\Headless Mode &amp; Sideloading\WalkAndUnGZ.bat" "%USERPROFILE%\AppData\Local\Temp\OnboardLogs"\RTDC4031\2017-10-20 &amp; aws s3 cp s3://rtdc.mdm.uploadarchive.raw/RTDC4031/ "%USERPROFILE%\AppData\Local\Temp\OnboardLogs"\RTDC4031\2017-10-21 --exclude "*" --recursive --include "*20171021*" &amp; "%USERPROFILE%\Documents\GitHub\mrs-test-scripts\Headless Mode &amp; Sideloading\WalkAndUnGZ.bat" "%USERPROFILE%\AppData\Local\Temp\OnboardLogs"\RTDC4031\2017-10-21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/stypes="app*4031*20171020*" /stext=" 18:.+((SYSTEM_STATE.+slice.+state.+changed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160-20 --locoid 4031 --swversion DE.1.0.9.0 --startMP 204:232979 --initTime 2017-10-20T11:37:31 --startdatetime 2017-10-20T11:57:20 --delay 70 --endMP 204:138 --enddatetime 2017-10-20T12:34:22 --enforcementcount 0 &gt;&gt;%USERPROFILE%\Documents\GitHub\eaglep3-reporting\EC\2017-10-20-refined-times.txt</v>
      </c>
      <c r="AI72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{"issue":{"subject":"","project_id":79,"tracker_id":40,"status_id":1,"priority_id":2,"assigned_to_id":338,"start_date":"2017-10-20","description":"","custom_fields":[{"id":1,"name":"Subdivision","value":"EC"},{"id":4,"name":"Milepost","value":"0.0138"},{"id":17,"name":"Train ID","value":"160-20"},{"id":16,"name":"Locomotive ID","value":"4031"},{"id":130,"name":"Impact","value":""},{"id":150,"name":"Time of Event (Mountain Time)","value":"12:34:22"},{"id":151,"name":"Denver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4031 --day 2017-10-20</v>
      </c>
      <c r="AN72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18:34:22"},{"id":29,"name":"Sharepoint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-10-20T10:37:31-0600',mode:absolute,to:'2017-10-20T13:34:22-0600'))&amp;_a=(columns:!('Message%20ID',Summary),filters:!(),index:'emp_*',interval:auto,query:(query_string:(analyze_wildcard:!t,query:'%22rtdc.l.rtdc.4031%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750</v>
      </c>
      <c r="B73" s="7">
        <v>4026</v>
      </c>
      <c r="C73" s="21" t="s">
        <v>194</v>
      </c>
      <c r="D73" s="21" t="s">
        <v>402</v>
      </c>
      <c r="E73" s="13">
        <v>43028.464768518519</v>
      </c>
      <c r="F73" s="13">
        <v>43028.469085648147</v>
      </c>
      <c r="G73" s="7">
        <v>202</v>
      </c>
      <c r="H73" s="21" t="s">
        <v>902</v>
      </c>
      <c r="I73" s="13">
        <v>43028.493275462963</v>
      </c>
      <c r="J73" s="7">
        <v>0</v>
      </c>
      <c r="K73" s="89" t="str">
        <f>IF(ISEVEN(B73),(B73-1)&amp;"/"&amp;B73,B73&amp;"/"&amp;(B73+1))</f>
        <v>4025/4026</v>
      </c>
      <c r="L73" s="185" t="str">
        <f>VLOOKUP(A73,'Trips&amp;Operators'!$C$1:$G$99911,5,FALSE)</f>
        <v>SAFIEF AEIMEN</v>
      </c>
      <c r="M73" s="6">
        <f>I73-F73</f>
        <v>2.4189814816054422E-2</v>
      </c>
      <c r="N73" s="7">
        <f>24*60*SUM($M73:$M73)</f>
        <v>34.833333335118368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-10-20T10:09:16-0600',mode:absolute,to:'2017-10-20T12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4.4200000000000003E-2</v>
      </c>
      <c r="Z73" s="204">
        <f>RIGHT(H73,LEN(H73)-4)/10000</f>
        <v>23.3324</v>
      </c>
      <c r="AA73" s="204">
        <f>ABS(Z73-Y73)</f>
        <v>23.2882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s3://rtdc.mdm.uploadarchive.raw/RTDC4026/ "%USERPROFILE%\AppData\Local\Temp\OnboardLogs"\RTDC4026\2017-10-20 --exclude "*" --recursive --include "*20171020*" &amp; "%USERPROFILE%\Documents\GitHub\mrs-test-scripts\Headless Mode &amp; Sideloading\WalkAndUnGZ.bat" "%USERPROFILE%\AppData\Local\Temp\OnboardLogs"\RTDC4026\2017-10-20 &amp; aws s3 cp s3://rtdc.mdm.uploadarchive.raw/RTDC4026/ "%USERPROFILE%\AppData\Local\Temp\OnboardLogs"\RTDC4026\2017-10-21 --exclude "*" --recursive --include "*20171021*" &amp; "%USERPROFILE%\Documents\GitHub\mrs-test-scripts\Headless Mode &amp; Sideloading\WalkAndUnGZ.bat" "%USERPROFILE%\AppData\Local\Temp\OnboardLogs"\RTDC4026\2017-10-21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/stypes="app*4026*20171020*" /stext=" 17:.+((SYSTEM_STATE.+slice.+state.+changed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161-20 --locoid 4026 --swversion DE.1.0.9.0 --startMP 204:442 --initTime 2017-10-20T11:09:16 --startdatetime 2017-10-20T11:15:29 --delay 202 --endMP 204:233324 --enddatetime 2017-10-20T11:50:19 --enforcementcount 0 &gt;&gt;%USERPROFILE%\Documents\GitHub\eaglep3-reporting\EC\2017-10-20-refined-times.txt</v>
      </c>
      <c r="AI73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{"issue":{"subject":"","project_id":79,"tracker_id":40,"status_id":1,"priority_id":2,"assigned_to_id":338,"start_date":"2017-10-20","description":"","custom_fields":[{"id":1,"name":"Subdivision","value":"EC"},{"id":4,"name":"Milepost","value":"23.3324"},{"id":17,"name":"Train ID","value":"161-20"},{"id":16,"name":"Locomotive ID","value":"4026"},{"id":130,"name":"Impact","value":""},{"id":150,"name":"Time of Event (Mountain Time)","value":"11:50:19"},{"id":151,"name":"Denver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4026 --day 2017-10-20</v>
      </c>
      <c r="AN73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17:50:19"},{"id":29,"name":"Sharepoint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-10-20T10:09:16-0600',mode:absolute,to:'2017-10-20T12:50:19-0600'))&amp;_a=(columns:!('Message%20ID',Summary),filters:!(),index:'emp_*',interval:auto,query:(query_string:(analyze_wildcard:!t,query:'%22rtdc.l.rtdc.4026%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759</v>
      </c>
      <c r="B74" s="7">
        <v>4025</v>
      </c>
      <c r="C74" s="21" t="s">
        <v>194</v>
      </c>
      <c r="D74" s="21" t="s">
        <v>893</v>
      </c>
      <c r="E74" s="13">
        <v>43028.498726851853</v>
      </c>
      <c r="F74" s="13">
        <v>43028.508796296293</v>
      </c>
      <c r="G74" s="7">
        <v>105</v>
      </c>
      <c r="H74" s="21" t="s">
        <v>355</v>
      </c>
      <c r="I74" s="13">
        <v>43028.535011574073</v>
      </c>
      <c r="J74" s="7">
        <v>0</v>
      </c>
      <c r="K74" s="89" t="str">
        <f>IF(ISEVEN(B74),(B74-1)&amp;"/"&amp;B74,B74&amp;"/"&amp;(B74+1))</f>
        <v>4025/4026</v>
      </c>
      <c r="L74" s="185" t="str">
        <f>VLOOKUP(A74,'Trips&amp;Operators'!$C$1:$G$99911,5,FALSE)</f>
        <v>SAFIEF AEIMEN</v>
      </c>
      <c r="M74" s="6">
        <f>I74-F74</f>
        <v>2.6215277779556345E-2</v>
      </c>
      <c r="N74" s="7">
        <f>24*60*SUM($M74:$M74)</f>
        <v>37.750000002561137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-10-20T10:58:10-0600',mode:absolute,to:'2017-10-20T13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23.299199999999999</v>
      </c>
      <c r="Z74" s="204">
        <f>RIGHT(H74,LEN(H74)-4)/10000</f>
        <v>1.4500000000000001E-2</v>
      </c>
      <c r="AA74" s="204">
        <f>ABS(Z74-Y74)</f>
        <v>23.284699999999997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s3://rtdc.mdm.uploadarchive.raw/RTDC4025/ "%USERPROFILE%\AppData\Local\Temp\OnboardLogs"\RTDC4025\2017-10-20 --exclude "*" --recursive --include "*20171020*" &amp; "%USERPROFILE%\Documents\GitHub\mrs-test-scripts\Headless Mode &amp; Sideloading\WalkAndUnGZ.bat" "%USERPROFILE%\AppData\Local\Temp\OnboardLogs"\RTDC4025\2017-10-20 &amp; aws s3 cp s3://rtdc.mdm.uploadarchive.raw/RTDC4025/ "%USERPROFILE%\AppData\Local\Temp\OnboardLogs"\RTDC4025\2017-10-21 --exclude "*" --recursive --include "*20171021*" &amp; "%USERPROFILE%\Documents\GitHub\mrs-test-scripts\Headless Mode &amp; Sideloading\WalkAndUnGZ.bat" "%USERPROFILE%\AppData\Local\Temp\OnboardLogs"\RTDC4025\2017-10-21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/stypes="app*4025*20171020*" /stext=" 18:.+((SYSTEM_STATE.+slice.+state.+changed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162-20 --locoid 4025 --swversion DE.1.0.9.0 --startMP 204:232992 --initTime 2017-10-20T11:58:10 --startdatetime 2017-10-20T12:12:40 --delay 105 --endMP 204:145 --enddatetime 2017-10-20T12:50:25 --enforcementcount 0 &gt;&gt;%USERPROFILE%\Documents\GitHub\eaglep3-reporting\EC\2017-10-20-refined-times.txt</v>
      </c>
      <c r="AI74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{"issue":{"subject":"","project_id":79,"tracker_id":40,"status_id":1,"priority_id":2,"assigned_to_id":338,"start_date":"2017-10-20","description":"","custom_fields":[{"id":1,"name":"Subdivision","value":"EC"},{"id":4,"name":"Milepost","value":"0.0145"},{"id":17,"name":"Train ID","value":"162-20"},{"id":16,"name":"Locomotive ID","value":"4025"},{"id":130,"name":"Impact","value":""},{"id":150,"name":"Time of Event (Mountain Time)","value":"12:50:25"},{"id":151,"name":"Denver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4025 --day 2017-10-20</v>
      </c>
      <c r="AN74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18:50:25"},{"id":29,"name":"Sharepoint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-10-20T10:58:10-0600',mode:absolute,to:'2017-10-20T13:50:25-0600'))&amp;_a=(columns:!('Message%20ID',Summary),filters:!(),index:'emp_*',interval:auto,query:(query_string:(analyze_wildcard:!t,query:'%22rtdc.l.rtdc.4025%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754</v>
      </c>
      <c r="B75" s="7">
        <v>4044</v>
      </c>
      <c r="C75" s="21" t="s">
        <v>194</v>
      </c>
      <c r="D75" s="21" t="s">
        <v>885</v>
      </c>
      <c r="E75" s="13">
        <v>43028.475462962961</v>
      </c>
      <c r="F75" s="13">
        <v>43028.47934027778</v>
      </c>
      <c r="G75" s="7">
        <v>125</v>
      </c>
      <c r="H75" s="21" t="s">
        <v>365</v>
      </c>
      <c r="I75" s="13">
        <v>43028.503645833334</v>
      </c>
      <c r="J75" s="7">
        <v>0</v>
      </c>
      <c r="K75" s="89" t="str">
        <f>IF(ISEVEN(B75),(B75-1)&amp;"/"&amp;B75,B75&amp;"/"&amp;(B75+1))</f>
        <v>4043/4044</v>
      </c>
      <c r="L75" s="185" t="str">
        <f>VLOOKUP(A75,'Trips&amp;Operators'!$C$1:$G$99911,5,FALSE)</f>
        <v>BRUDER RICHARD</v>
      </c>
      <c r="M75" s="6">
        <f>I75-F75</f>
        <v>2.4305555554747116E-2</v>
      </c>
      <c r="N75" s="7">
        <f>24*60*SUM($M75:$M75)</f>
        <v>34.999999998835847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-20T10:24:40-0600',mode:absolute,to:'2017-10-20T13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4.7500000000000001E-2</v>
      </c>
      <c r="Z75" s="204">
        <f>RIGHT(H75,LEN(H75)-4)/10000</f>
        <v>23.331199999999999</v>
      </c>
      <c r="AA75" s="204">
        <f>ABS(Z75-Y75)</f>
        <v>23.2837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 &amp; aws s3 cp s3://rtdc.mdm.uploadarchive.raw/RTDC4044/ "%USERPROFILE%\AppData\Local\Temp\OnboardLogs"\RTDC4044\2017-10-21 --exclude "*" --recursive --include "*20171021*" &amp; "%USERPROFILE%\Documents\GitHub\mrs-test-scripts\Headless Mode &amp; Sideloading\WalkAndUnGZ.bat" "%USERPROFILE%\AppData\Local\Temp\OnboardLogs"\RTDC4044\2017-10-21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/stypes="app*4044*20171020*"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163-20 --locoid 4044 --swversion DE.1.0.9.0 --startMP 204:475 --initTime 2017-10-20T11:24:40 --startdatetime 2017-10-20T11:30:15 --delay 125 --endMP 204:233312 --enddatetime 2017-10-20T12:05:15 --enforcementcount 0 &gt;&gt;%USERPROFILE%\Documents\GitHub\eaglep3-reporting\EC\2017-10-20-refined-times.txt</v>
      </c>
      <c r="AI75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{"issue":{"subject":"","project_id":79,"tracker_id":40,"status_id":1,"priority_id":2,"assigned_to_id":338,"start_date":"2017-10-20","description":"","custom_fields":[{"id":1,"name":"Subdivision","value":"EC"},{"id":4,"name":"Milepost","value":"23.3312"},{"id":17,"name":"Train ID","value":"163-20"},{"id":16,"name":"Locomotive ID","value":"4044"},{"id":130,"name":"Impact","value":""},{"id":150,"name":"Time of Event (Mountain Time)","value":"12:05:15"},{"id":151,"name":"Denver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4044 --day 2017-10-20</v>
      </c>
      <c r="AN75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18:05:15"},{"id":29,"name":"Sharepoint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-10-20T10:24:40-0600',mode:absolute,to:'2017-10-20T13:05:15-0600'))&amp;_a=(columns:!('Message%20ID',Summary),filters:!(),index:'emp_*',interval:auto,query:(query_string:(analyze_wildcard:!t,query:'%22rtdc.l.rtdc.4044%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762</v>
      </c>
      <c r="B76" s="7">
        <v>4043</v>
      </c>
      <c r="C76" s="21" t="s">
        <v>194</v>
      </c>
      <c r="D76" s="21" t="s">
        <v>404</v>
      </c>
      <c r="E76" s="13">
        <v>43028.515960648147</v>
      </c>
      <c r="F76" s="13">
        <v>43028.518923611111</v>
      </c>
      <c r="G76" s="7">
        <v>104</v>
      </c>
      <c r="H76" s="21" t="s">
        <v>386</v>
      </c>
      <c r="I76" s="13">
        <v>43028.544571759259</v>
      </c>
      <c r="J76" s="7">
        <v>0</v>
      </c>
      <c r="K76" s="89" t="str">
        <f>IF(ISEVEN(B76),(B76-1)&amp;"/"&amp;B76,B76&amp;"/"&amp;(B76+1))</f>
        <v>4043/4044</v>
      </c>
      <c r="L76" s="185" t="str">
        <f>VLOOKUP(A76,'Trips&amp;Operators'!$C$1:$G$99911,5,FALSE)</f>
        <v>BRUDER RICHARD</v>
      </c>
      <c r="M76" s="6">
        <f>I76-F76</f>
        <v>2.5648148148320615E-2</v>
      </c>
      <c r="N76" s="7">
        <f>24*60*SUM($M76:$M76)</f>
        <v>36.933333333581686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-20T11:22:59-0600',mode:absolute,to:'2017-10-20T14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23.2987</v>
      </c>
      <c r="Z76" s="204">
        <f>RIGHT(H76,LEN(H76)-4)/10000</f>
        <v>1.6E-2</v>
      </c>
      <c r="AA76" s="204">
        <f>ABS(Z76-Y76)</f>
        <v>23.282700000000002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 &amp; aws s3 cp s3://rtdc.mdm.uploadarchive.raw/RTDC4043/ "%USERPROFILE%\AppData\Local\Temp\OnboardLogs"\RTDC4043\2017-10-21 --exclude "*" --recursive --include "*20171021*" &amp; "%USERPROFILE%\Documents\GitHub\mrs-test-scripts\Headless Mode &amp; Sideloading\WalkAndUnGZ.bat" "%USERPROFILE%\AppData\Local\Temp\OnboardLogs"\RTDC4043\2017-10-21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/stypes="app*4043*20171020*" /stext=" 19:.+((SYSTEM_STATE.+slice.+state.+changed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164-20 --locoid 4043 --swversion DE.1.0.9.0 --startMP 204:232987 --initTime 2017-10-20T12:22:59 --startdatetime 2017-10-20T12:27:15 --delay 104 --endMP 204:160 --enddatetime 2017-10-20T13:04:11 --enforcementcount 0 &gt;&gt;%USERPROFILE%\Documents\GitHub\eaglep3-reporting\EC\2017-10-20-refined-times.txt</v>
      </c>
      <c r="AI76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{"issue":{"subject":"","project_id":79,"tracker_id":40,"status_id":1,"priority_id":2,"assigned_to_id":338,"start_date":"2017-10-20","description":"","custom_fields":[{"id":1,"name":"Subdivision","value":"EC"},{"id":4,"name":"Milepost","value":"0.016"},{"id":17,"name":"Train ID","value":"164-20"},{"id":16,"name":"Locomotive ID","value":"4043"},{"id":130,"name":"Impact","value":""},{"id":150,"name":"Time of Event (Mountain Time)","value":"13:04:11"},{"id":151,"name":"Denver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4043 --day 2017-10-20</v>
      </c>
      <c r="AN76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19:04:11"},{"id":29,"name":"Sharepoint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-10-20T11:22:59-0600',mode:absolute,to:'2017-10-20T14:04:11-0600'))&amp;_a=(columns:!('Message%20ID',Summary),filters:!(),index:'emp_*',interval:auto,query:(query_string:(analyze_wildcard:!t,query:'%22rtdc.l.rtdc.4043%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757</v>
      </c>
      <c r="B77" s="7">
        <v>4040</v>
      </c>
      <c r="C77" s="21" t="s">
        <v>194</v>
      </c>
      <c r="D77" s="21" t="s">
        <v>373</v>
      </c>
      <c r="E77" s="13">
        <v>43028.487199074072</v>
      </c>
      <c r="F77" s="13">
        <v>43028.489768518521</v>
      </c>
      <c r="G77" s="7">
        <v>67</v>
      </c>
      <c r="H77" s="21" t="s">
        <v>393</v>
      </c>
      <c r="I77" s="13">
        <v>43028.514490740738</v>
      </c>
      <c r="J77" s="7">
        <v>0</v>
      </c>
      <c r="K77" s="89" t="str">
        <f>IF(ISEVEN(B77),(B77-1)&amp;"/"&amp;B77,B77&amp;"/"&amp;(B77+1))</f>
        <v>4039/4040</v>
      </c>
      <c r="L77" s="185" t="str">
        <f>VLOOKUP(A77,'Trips&amp;Operators'!$C$1:$G$99911,5,FALSE)</f>
        <v>LEVERE CRAIG</v>
      </c>
      <c r="M77" s="6">
        <f>I77-F77</f>
        <v>2.4722222216951195E-2</v>
      </c>
      <c r="N77" s="7">
        <f>24*60*SUM($M77:$M77)</f>
        <v>35.599999992409721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-20T10:41:34-0600',mode:absolute,to:'2017-10-20T13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4.5699999999999998E-2</v>
      </c>
      <c r="Z77" s="204">
        <f>RIGHT(H77,LEN(H77)-4)/10000</f>
        <v>23.331399999999999</v>
      </c>
      <c r="AA77" s="204">
        <f>ABS(Z77-Y77)</f>
        <v>23.285699999999999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s3://rtdc.mdm.uploadarchive.raw/RTDC4040/ "%USERPROFILE%\AppData\Local\Temp\OnboardLogs"\RTDC4040\2017-10-20 --exclude "*" --recursive --include "*20171020*" &amp; "%USERPROFILE%\Documents\GitHub\mrs-test-scripts\Headless Mode &amp; Sideloading\WalkAndUnGZ.bat" "%USERPROFILE%\AppData\Local\Temp\OnboardLogs"\RTDC4040\2017-10-20 &amp; aws s3 cp s3://rtdc.mdm.uploadarchive.raw/RTDC4040/ "%USERPROFILE%\AppData\Local\Temp\OnboardLogs"\RTDC4040\2017-10-21 --exclude "*" --recursive --include "*20171021*" &amp; "%USERPROFILE%\Documents\GitHub\mrs-test-scripts\Headless Mode &amp; Sideloading\WalkAndUnGZ.bat" "%USERPROFILE%\AppData\Local\Temp\OnboardLogs"\RTDC4040\2017-10-21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/stypes="app*4040*20171020*" /stext=" 18:.+((SYSTEM_STATE.+slice.+state.+changed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5"/>
        <v>"%USERPROFILE%\Documents\GitHub\eaglep3\Utilities\RefineRTDCRunTimes.py" --tripid 165-20 --locoid 4040 --swversion DE.1.0.9.0 --startMP 204:457 --initTime 2017-10-20T11:41:34 --startdatetime 2017-10-20T11:45:16 --delay 67 --endMP 204:233314 --enddatetime 2017-10-20T12:20:52 --enforcementcount 0 &gt;&gt;%USERPROFILE%\Documents\GitHub\eaglep3-reporting\EC\2017-10-20-refined-times.txt</v>
      </c>
      <c r="AI77" s="96" t="str">
        <f t="shared" si="6"/>
        <v>echo {"issue":{"subject":"","project_id":79,"tracker_id":40,"status_id":1,"priority_id":2,"assigned_to_id":338,"start_date":"2017-10-20","description":"","custom_fields":[{"id":1,"name":"Subdivision","value":"EC"},{"id":4,"name":"Milepost","value":"23.3314"},{"id":17,"name":"Train ID","value":"165-20"},{"id":16,"name":"Locomotive ID","value":"4040"},{"id":130,"name":"Impact","value":""},{"id":150,"name":"Time of Event (Mountain Time)","value":"12:20:52"},{"id":151,"name":"Denver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4040 --day 2017-10-20</v>
      </c>
      <c r="AN77" s="151" t="str">
        <f t="shared" si="8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18:20:52"},{"id":29,"name":"Sharepoint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9"/>
        <v>https://d0f6bd738d7f1b3e5a7ca70fe4ff75f0.us-east-1.aws.found.io/app/kibana#/discover/Steve-Slow-Train-Analysis-(2080s-and-2083s)?_g=(refreshInterval:(display:Off,pause:!f,section:0,value:0),time:(from:'2017-10-20T10:41:34-0600',mode:absolute,to:'2017-10-20T13:20:52-0600'))&amp;_a=(columns:!('Message%20ID',Summary),filters:!(),index:'emp_*',interval:auto,query:(query_string:(analyze_wildcard:!t,query:'%22rtdc.l.rtdc.4040%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765</v>
      </c>
      <c r="B78" s="7">
        <v>4039</v>
      </c>
      <c r="C78" s="21" t="s">
        <v>194</v>
      </c>
      <c r="D78" s="21" t="s">
        <v>484</v>
      </c>
      <c r="E78" s="13">
        <v>43028.5234837963</v>
      </c>
      <c r="F78" s="13">
        <v>43028.529351851852</v>
      </c>
      <c r="G78" s="7">
        <v>89</v>
      </c>
      <c r="H78" s="21" t="s">
        <v>415</v>
      </c>
      <c r="I78" s="13">
        <v>43028.556886574072</v>
      </c>
      <c r="J78" s="7">
        <v>0</v>
      </c>
      <c r="K78" s="89" t="str">
        <f>IF(ISEVEN(B78),(B78-1)&amp;"/"&amp;B78,B78&amp;"/"&amp;(B78+1))</f>
        <v>4039/4040</v>
      </c>
      <c r="L78" s="185" t="str">
        <f>VLOOKUP(A78,'Trips&amp;Operators'!$C$1:$G$99911,5,FALSE)</f>
        <v>LEVERE CRAIG</v>
      </c>
      <c r="M78" s="6">
        <f>I78-F78</f>
        <v>2.753472221957054E-2</v>
      </c>
      <c r="N78" s="7">
        <f>24*60*SUM($M78:$M78)</f>
        <v>39.649999996181577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-20T11:33:49-0600',mode:absolute,to:'2017-10-20T14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23.298200000000001</v>
      </c>
      <c r="Z78" s="204">
        <f>RIGHT(H78,LEN(H78)-4)/10000</f>
        <v>1.41E-2</v>
      </c>
      <c r="AA78" s="204">
        <f>ABS(Z78-Y78)</f>
        <v>23.284100000000002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s3://rtdc.mdm.uploadarchive.raw/RTDC4039/ "%USERPROFILE%\AppData\Local\Temp\OnboardLogs"\RTDC4039\2017-10-20 --exclude "*" --recursive --include "*20171020*" &amp; "%USERPROFILE%\Documents\GitHub\mrs-test-scripts\Headless Mode &amp; Sideloading\WalkAndUnGZ.bat" "%USERPROFILE%\AppData\Local\Temp\OnboardLogs"\RTDC4039\2017-10-20 &amp; aws s3 cp s3://rtdc.mdm.uploadarchive.raw/RTDC4039/ "%USERPROFILE%\AppData\Local\Temp\OnboardLogs"\RTDC4039\2017-10-21 --exclude "*" --recursive --include "*20171021*" &amp; "%USERPROFILE%\Documents\GitHub\mrs-test-scripts\Headless Mode &amp; Sideloading\WalkAndUnGZ.bat" "%USERPROFILE%\AppData\Local\Temp\OnboardLogs"\RTDC4039\2017-10-21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/stypes="app*4039*20171020*" /stext=" 19:.+((SYSTEM_STATE.+slice.+state.+changed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ref="AH78:AH145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166-20 --locoid 4039 --swversion DE.1.0.9.0 --startMP 204:232982 --initTime 2017-10-20T12:33:49 --startdatetime 2017-10-20T12:42:16 --delay 89 --endMP 204:141 --enddatetime 2017-10-20T13:21:55 --enforcementcount 0 &gt;&gt;%USERPROFILE%\Documents\GitHub\eaglep3-reporting\EC\2017-10-20-refined-times.txt</v>
      </c>
      <c r="AI78" s="96" t="str">
        <f t="shared" ref="AI78:AI145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{"issue":{"subject":"","project_id":79,"tracker_id":40,"status_id":1,"priority_id":2,"assigned_to_id":338,"start_date":"2017-10-20","description":"","custom_fields":[{"id":1,"name":"Subdivision","value":"EC"},{"id":4,"name":"Milepost","value":"0.0141"},{"id":17,"name":"Train ID","value":"166-20"},{"id":16,"name":"Locomotive ID","value":"4039"},{"id":130,"name":"Impact","value":""},{"id":150,"name":"Time of Event (Mountain Time)","value":"13:21:55"},{"id":151,"name":"Denver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5" si="12">"start /low /b "&amp;dls3logs&amp;" --loco "&amp;B78&amp;" --day "&amp;TEXT(F78,"YYYY-MM-DD")</f>
        <v>start /low /b %USERPROFILE%\Documents\GitHub\eaglep3\Utilities\DownloadLogsFromS3.py --loco 4039 --day 2017-10-20</v>
      </c>
      <c r="AN78" s="151" t="str">
        <f t="shared" ref="AN78:AN145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19:21:55"},{"id":29,"name":"Sharepoint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5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-20T11:33:49-0600',mode:absolute,to:'2017-10-20T14:21:55-0600'))&amp;_a=(columns:!('Message%20ID',Summary),filters:!(),index:'emp_*',interval:auto,query:(query_string:(analyze_wildcard:!t,query:'%22rtdc.l.rtdc.4039%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758</v>
      </c>
      <c r="B79" s="7">
        <v>4056</v>
      </c>
      <c r="C79" s="21" t="s">
        <v>194</v>
      </c>
      <c r="D79" s="21" t="s">
        <v>369</v>
      </c>
      <c r="E79" s="13">
        <v>43028.497256944444</v>
      </c>
      <c r="F79" s="13">
        <v>43028.500185185185</v>
      </c>
      <c r="G79" s="7">
        <v>73</v>
      </c>
      <c r="H79" s="21" t="s">
        <v>393</v>
      </c>
      <c r="I79" s="13">
        <v>43028.524884259263</v>
      </c>
      <c r="J79" s="7">
        <v>0</v>
      </c>
      <c r="K79" s="89" t="str">
        <f>IF(ISEVEN(B79),(B79-1)&amp;"/"&amp;B79,B79&amp;"/"&amp;(B79+1))</f>
        <v>4055/4056</v>
      </c>
      <c r="L79" s="185" t="str">
        <f>VLOOKUP(A79,'Trips&amp;Operators'!$C$1:$G$99911,5,FALSE)</f>
        <v>FORTUNATO FRANK</v>
      </c>
      <c r="M79" s="6">
        <f>I79-F79</f>
        <v>2.4699074077943806E-2</v>
      </c>
      <c r="N79" s="7">
        <f>24*60*SUM($M79:$M79)</f>
        <v>35.56666667223908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-20T10:56:03-0600',mode:absolute,to:'2017-10-20T13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4.4699999999999997E-2</v>
      </c>
      <c r="Z79" s="204">
        <f>RIGHT(H79,LEN(H79)-4)/10000</f>
        <v>23.331399999999999</v>
      </c>
      <c r="AA79" s="204">
        <f>ABS(Z79-Y79)</f>
        <v>23.2867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/stypes="app*4056*20171020*" /stext=" 18:.+((SYSTEM_STATE.+slice.+state.+changed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0"/>
        <v>"%USERPROFILE%\Documents\GitHub\eaglep3\Utilities\RefineRTDCRunTimes.py" --tripid 167-20 --locoid 4056 --swversion DE.1.0.9.0 --startMP 204:447 --initTime 2017-10-20T11:56:03 --startdatetime 2017-10-20T12:00:16 --delay 73 --endMP 204:233314 --enddatetime 2017-10-20T12:35:50 --enforcementcount 0 &gt;&gt;%USERPROFILE%\Documents\GitHub\eaglep3-reporting\EC\2017-10-20-refined-times.txt</v>
      </c>
      <c r="AI79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{"issue":{"subject":"","project_id":79,"tracker_id":40,"status_id":1,"priority_id":2,"assigned_to_id":338,"start_date":"2017-10-20","description":"","custom_fields":[{"id":1,"name":"Subdivision","value":"EC"},{"id":4,"name":"Milepost","value":"23.3314"},{"id":17,"name":"Train ID","value":"167-20"},{"id":16,"name":"Locomotive ID","value":"4056"},{"id":130,"name":"Impact","value":""},{"id":150,"name":"Time of Event (Mountain Time)","value":"12:35:50"},{"id":151,"name":"Denver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2"/>
        <v>start /low /b %USERPROFILE%\Documents\GitHub\eaglep3\Utilities\DownloadLogsFromS3.py --loco 4056 --day 2017-10-20</v>
      </c>
      <c r="AN79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18:35:50"},{"id":29,"name":"Sharepoint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4"/>
        <v>https://d0f6bd738d7f1b3e5a7ca70fe4ff75f0.us-east-1.aws.found.io/app/kibana#/discover/Steve-Slow-Train-Analysis-(2080s-and-2083s)?_g=(refreshInterval:(display:Off,pause:!f,section:0,value:0),time:(from:'2017-10-20T10:56:03-0600',mode:absolute,to:'2017-10-20T13:35:50-0600'))&amp;_a=(columns:!('Message%20ID',Summary),filters:!(),index:'emp_*',interval:auto,query:(query_string:(analyze_wildcard:!t,query:'%22rtdc.l.rtdc.4056%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766</v>
      </c>
      <c r="B80" s="7">
        <v>4055</v>
      </c>
      <c r="C80" s="21" t="s">
        <v>194</v>
      </c>
      <c r="D80" s="21" t="s">
        <v>404</v>
      </c>
      <c r="E80" s="13">
        <v>43028.526145833333</v>
      </c>
      <c r="F80" s="13">
        <v>43028.539733796293</v>
      </c>
      <c r="G80" s="7">
        <v>64</v>
      </c>
      <c r="H80" s="21" t="s">
        <v>415</v>
      </c>
      <c r="I80" s="13">
        <v>43028.566516203704</v>
      </c>
      <c r="J80" s="7">
        <v>0</v>
      </c>
      <c r="K80" s="89" t="str">
        <f>IF(ISEVEN(B80),(B80-1)&amp;"/"&amp;B80,B80&amp;"/"&amp;(B80+1))</f>
        <v>4055/4056</v>
      </c>
      <c r="L80" s="185" t="str">
        <f>VLOOKUP(A80,'Trips&amp;Operators'!$C$1:$G$99911,5,FALSE)</f>
        <v>FORTUNATO FRANK</v>
      </c>
      <c r="M80" s="6">
        <f>I80-F80</f>
        <v>2.6782407410792075E-2</v>
      </c>
      <c r="N80" s="7">
        <f>24*60*SUM($M80:$M80)</f>
        <v>38.566666671540588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-10-20T11:37:39-0600',mode:absolute,to:'2017-10-20T14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23.2987</v>
      </c>
      <c r="Z80" s="204">
        <f>RIGHT(H80,LEN(H80)-4)/10000</f>
        <v>1.41E-2</v>
      </c>
      <c r="AA80" s="204">
        <f>ABS(Z80-Y80)</f>
        <v>23.284600000000001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s3://rtdc.mdm.uploadarchive.raw/RTDC4055/ "%USERPROFILE%\AppData\Local\Temp\OnboardLogs"\RTDC4055\2017-10-20 --exclude "*" --recursive --include "*20171020*" &amp; "%USERPROFILE%\Documents\GitHub\mrs-test-scripts\Headless Mode &amp; Sideloading\WalkAndUnGZ.bat" "%USERPROFILE%\AppData\Local\Temp\OnboardLogs"\RTDC4055\2017-10-20 &amp; aws s3 cp s3://rtdc.mdm.uploadarchive.raw/RTDC4055/ "%USERPROFILE%\AppData\Local\Temp\OnboardLogs"\RTDC4055\2017-10-21 --exclude "*" --recursive --include "*20171021*" &amp; "%USERPROFILE%\Documents\GitHub\mrs-test-scripts\Headless Mode &amp; Sideloading\WalkAndUnGZ.bat" "%USERPROFILE%\AppData\Local\Temp\OnboardLogs"\RTDC4055\2017-10-21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/stypes="app*4055*20171020*" /stext=" 19:.+((SYSTEM_STATE.+slice.+state.+changed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0"/>
        <v>"%USERPROFILE%\Documents\GitHub\eaglep3\Utilities\RefineRTDCRunTimes.py" --tripid 168-20 --locoid 4055 --swversion DE.1.0.9.0 --startMP 204:232987 --initTime 2017-10-20T12:37:39 --startdatetime 2017-10-20T12:57:13 --delay 64 --endMP 204:141 --enddatetime 2017-10-20T13:35:47 --enforcementcount 0 &gt;&gt;%USERPROFILE%\Documents\GitHub\eaglep3-reporting\EC\2017-10-20-refined-times.txt</v>
      </c>
      <c r="AI80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{"issue":{"subject":"","project_id":79,"tracker_id":40,"status_id":1,"priority_id":2,"assigned_to_id":338,"start_date":"2017-10-20","description":"","custom_fields":[{"id":1,"name":"Subdivision","value":"EC"},{"id":4,"name":"Milepost","value":"0.0141"},{"id":17,"name":"Train ID","value":"168-20"},{"id":16,"name":"Locomotive ID","value":"4055"},{"id":130,"name":"Impact","value":""},{"id":150,"name":"Time of Event (Mountain Time)","value":"13:35:47"},{"id":151,"name":"Denver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2"/>
        <v>start /low /b %USERPROFILE%\Documents\GitHub\eaglep3\Utilities\DownloadLogsFromS3.py --loco 4055 --day 2017-10-20</v>
      </c>
      <c r="AN80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19:35:47"},{"id":29,"name":"Sharepoint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4"/>
        <v>https://d0f6bd738d7f1b3e5a7ca70fe4ff75f0.us-east-1.aws.found.io/app/kibana#/discover/Steve-Slow-Train-Analysis-(2080s-and-2083s)?_g=(refreshInterval:(display:Off,pause:!f,section:0,value:0),time:(from:'2017-10-20T11:37:39-0600',mode:absolute,to:'2017-10-20T14:35:47-0600'))&amp;_a=(columns:!('Message%20ID',Summary),filters:!(),index:'emp_*',interval:auto,query:(query_string:(analyze_wildcard:!t,query:'%22rtdc.l.rtdc.4055%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761</v>
      </c>
      <c r="B81" s="7">
        <v>4016</v>
      </c>
      <c r="C81" s="21" t="s">
        <v>194</v>
      </c>
      <c r="D81" s="21" t="s">
        <v>396</v>
      </c>
      <c r="E81" s="13">
        <v>43028.507627314815</v>
      </c>
      <c r="F81" s="13">
        <v>43028.51059027778</v>
      </c>
      <c r="G81" s="7">
        <v>126</v>
      </c>
      <c r="H81" s="21" t="s">
        <v>605</v>
      </c>
      <c r="I81" s="13">
        <v>43028.534675925926</v>
      </c>
      <c r="J81" s="7">
        <v>0</v>
      </c>
      <c r="K81" s="89" t="str">
        <f>IF(ISEVEN(B81),(B81-1)&amp;"/"&amp;B81,B81&amp;"/"&amp;(B81+1))</f>
        <v>4015/4016</v>
      </c>
      <c r="L81" s="185" t="str">
        <f>VLOOKUP(A81,'Trips&amp;Operators'!$C$1:$G$99911,5,FALSE)</f>
        <v>LEVIN SCOTT</v>
      </c>
      <c r="M81" s="6">
        <f>I81-F81</f>
        <v>2.4085648146865424E-2</v>
      </c>
      <c r="N81" s="7">
        <f>24*60*SUM($M81:$M81)</f>
        <v>34.68333333148621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-20T11:10:59-0600',mode:absolute,to:'2017-10-20T13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4.6399999999999997E-2</v>
      </c>
      <c r="Z81" s="204">
        <f>RIGHT(H81,LEN(H81)-4)/10000</f>
        <v>23.336200000000002</v>
      </c>
      <c r="AA81" s="204">
        <f>ABS(Z81-Y81)</f>
        <v>23.289800000000003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 &amp; 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/stypes="app*4016*20171020*" /stext=" 18:.+((SYSTEM_STATE.+slice.+state.+changed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0"/>
        <v>"%USERPROFILE%\Documents\GitHub\eaglep3\Utilities\RefineRTDCRunTimes.py" --tripid 169-20 --locoid 4016 --swversion DE.1.0.9.0 --startMP 204:464 --initTime 2017-10-20T12:10:59 --startdatetime 2017-10-20T12:15:15 --delay 126 --endMP 204:233362 --enddatetime 2017-10-20T12:49:56 --enforcementcount 0 &gt;&gt;%USERPROFILE%\Documents\GitHub\eaglep3-reporting\EC\2017-10-20-refined-times.txt</v>
      </c>
      <c r="AI81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{"issue":{"subject":"","project_id":79,"tracker_id":40,"status_id":1,"priority_id":2,"assigned_to_id":338,"start_date":"2017-10-20","description":"","custom_fields":[{"id":1,"name":"Subdivision","value":"EC"},{"id":4,"name":"Milepost","value":"23.3362"},{"id":17,"name":"Train ID","value":"169-20"},{"id":16,"name":"Locomotive ID","value":"4016"},{"id":130,"name":"Impact","value":""},{"id":150,"name":"Time of Event (Mountain Time)","value":"12:49:56"},{"id":151,"name":"Denver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2"/>
        <v>start /low /b %USERPROFILE%\Documents\GitHub\eaglep3\Utilities\DownloadLogsFromS3.py --loco 4016 --day 2017-10-20</v>
      </c>
      <c r="AN81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18:49:56"},{"id":29,"name":"Sharepoint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4"/>
        <v>https://d0f6bd738d7f1b3e5a7ca70fe4ff75f0.us-east-1.aws.found.io/app/kibana#/discover/Steve-Slow-Train-Analysis-(2080s-and-2083s)?_g=(refreshInterval:(display:Off,pause:!f,section:0,value:0),time:(from:'2017-10-20T11:10:59-0600',mode:absolute,to:'2017-10-20T13:49:56-0600'))&amp;_a=(columns:!('Message%20ID',Summary),filters:!(),index:'emp_*',interval:auto,query:(query_string:(analyze_wildcard:!t,query:'%22rtdc.l.rtdc.4016%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639</v>
      </c>
      <c r="B82" s="7">
        <v>4015</v>
      </c>
      <c r="C82" s="21" t="s">
        <v>194</v>
      </c>
      <c r="D82" s="21" t="s">
        <v>903</v>
      </c>
      <c r="E82" s="13">
        <v>43028.545393518521</v>
      </c>
      <c r="F82" s="13">
        <v>43028.550335648149</v>
      </c>
      <c r="G82" s="7">
        <v>76</v>
      </c>
      <c r="H82" s="21" t="s">
        <v>354</v>
      </c>
      <c r="I82" s="13">
        <v>43028.576863425929</v>
      </c>
      <c r="J82" s="7">
        <v>0</v>
      </c>
      <c r="K82" s="89" t="str">
        <f>IF(ISEVEN(B82),(B82-1)&amp;"/"&amp;B82,B82&amp;"/"&amp;(B82+1))</f>
        <v>4015/4016</v>
      </c>
      <c r="L82" s="185" t="str">
        <f>VLOOKUP(A82,'Trips&amp;Operators'!$C$1:$G$99911,5,FALSE)</f>
        <v>LEVIN SCOTT</v>
      </c>
      <c r="M82" s="6">
        <f>I82-F82</f>
        <v>2.6527777779847383E-2</v>
      </c>
      <c r="N82" s="7">
        <f>24*60*SUM($M82:$M82)</f>
        <v>38.200000002980232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-10-20T12:05:22-0600',mode:absolute,to:'2017-10-20T14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23.303799999999999</v>
      </c>
      <c r="Z82" s="204">
        <f>RIGHT(H82,LEN(H82)-4)/10000</f>
        <v>1.52E-2</v>
      </c>
      <c r="AA82" s="204">
        <f>ABS(Z82-Y82)</f>
        <v>23.288599999999999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 &amp; 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/stypes="app*4015*20171020*" /stext=" 19:.+((SYSTEM_STATE.+slice.+state.+changed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0"/>
        <v>"%USERPROFILE%\Documents\GitHub\eaglep3\Utilities\RefineRTDCRunTimes.py" --tripid 170-20 --locoid 4015 --swversion DE.1.0.9.0 --startMP 204:233038 --initTime 2017-10-20T13:05:22 --startdatetime 2017-10-20T13:12:29 --delay 76 --endMP 204:152 --enddatetime 2017-10-20T13:50:41 --enforcementcount 0 &gt;&gt;%USERPROFILE%\Documents\GitHub\eaglep3-reporting\EC\2017-10-20-refined-times.txt</v>
      </c>
      <c r="AI82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{"issue":{"subject":"","project_id":79,"tracker_id":40,"status_id":1,"priority_id":2,"assigned_to_id":338,"start_date":"2017-10-20","description":"","custom_fields":[{"id":1,"name":"Subdivision","value":"EC"},{"id":4,"name":"Milepost","value":"0.0152"},{"id":17,"name":"Train ID","value":"170-20"},{"id":16,"name":"Locomotive ID","value":"4015"},{"id":130,"name":"Impact","value":""},{"id":150,"name":"Time of Event (Mountain Time)","value":"13:50:41"},{"id":151,"name":"Denver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2"/>
        <v>start /low /b %USERPROFILE%\Documents\GitHub\eaglep3\Utilities\DownloadLogsFromS3.py --loco 4015 --day 2017-10-20</v>
      </c>
      <c r="AN82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19:50:41"},{"id":29,"name":"Sharepoint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4"/>
        <v>https://d0f6bd738d7f1b3e5a7ca70fe4ff75f0.us-east-1.aws.found.io/app/kibana#/discover/Steve-Slow-Train-Analysis-(2080s-and-2083s)?_g=(refreshInterval:(display:Off,pause:!f,section:0,value:0),time:(from:'2017-10-20T12:05:22-0600',mode:absolute,to:'2017-10-20T14:50:41-0600'))&amp;_a=(columns:!('Message%20ID',Summary),filters:!(),index:'emp_*',interval:auto,query:(query_string:(analyze_wildcard:!t,query:'%22rtdc.l.rtdc.4015%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763</v>
      </c>
      <c r="B83" s="7">
        <v>4064</v>
      </c>
      <c r="C83" s="21" t="s">
        <v>194</v>
      </c>
      <c r="D83" s="21" t="s">
        <v>904</v>
      </c>
      <c r="E83" s="13">
        <v>43028.516631944447</v>
      </c>
      <c r="F83" s="13">
        <v>43028.521006944444</v>
      </c>
      <c r="G83" s="7">
        <v>62</v>
      </c>
      <c r="H83" s="21" t="s">
        <v>437</v>
      </c>
      <c r="I83" s="13">
        <v>43028.546307870369</v>
      </c>
      <c r="J83" s="7">
        <v>0</v>
      </c>
      <c r="K83" s="89" t="str">
        <f>IF(ISEVEN(B83),(B83-1)&amp;"/"&amp;B83,B83&amp;"/"&amp;(B83+1))</f>
        <v>4063/4064</v>
      </c>
      <c r="L83" s="185" t="str">
        <f>VLOOKUP(A83,'Trips&amp;Operators'!$C$1:$G$99911,5,FALSE)</f>
        <v>BADERTSCHER DIANE</v>
      </c>
      <c r="M83" s="6">
        <f>I83-F83</f>
        <v>2.5300925924966577E-2</v>
      </c>
      <c r="N83" s="7">
        <f>24*60*SUM($M83:$M83)</f>
        <v>36.433333331951872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-10-20T11:23:57-0600',mode:absolute,to:'2017-10-20T14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4.3099999999999999E-2</v>
      </c>
      <c r="Z83" s="204">
        <f>RIGHT(H83,LEN(H83)-4)/10000</f>
        <v>23.332699999999999</v>
      </c>
      <c r="AA83" s="204">
        <f>ABS(Z83-Y83)</f>
        <v>23.2896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s3://rtdc.mdm.uploadarchive.raw/RTDC4064/ "%USERPROFILE%\AppData\Local\Temp\OnboardLogs"\RTDC4064\2017-10-20 --exclude "*" --recursive --include "*20171020*" &amp; "%USERPROFILE%\Documents\GitHub\mrs-test-scripts\Headless Mode &amp; Sideloading\WalkAndUnGZ.bat" "%USERPROFILE%\AppData\Local\Temp\OnboardLogs"\RTDC4064\2017-10-20 &amp; aws s3 cp s3://rtdc.mdm.uploadarchive.raw/RTDC4064/ "%USERPROFILE%\AppData\Local\Temp\OnboardLogs"\RTDC4064\2017-10-21 --exclude "*" --recursive --include "*20171021*" &amp; "%USERPROFILE%\Documents\GitHub\mrs-test-scripts\Headless Mode &amp; Sideloading\WalkAndUnGZ.bat" "%USERPROFILE%\AppData\Local\Temp\OnboardLogs"\RTDC4064\2017-10-21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/stypes="app*4064*20171020*"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0"/>
        <v>"%USERPROFILE%\Documents\GitHub\eaglep3\Utilities\RefineRTDCRunTimes.py" --tripid 171-20 --locoid 4064 --swversion DE.1.0.9.0 --startMP 204:431 --initTime 2017-10-20T12:23:57 --startdatetime 2017-10-20T12:30:15 --delay 62 --endMP 204:233327 --enddatetime 2017-10-20T13:06:41 --enforcementcount 0 &gt;&gt;%USERPROFILE%\Documents\GitHub\eaglep3-reporting\EC\2017-10-20-refined-times.txt</v>
      </c>
      <c r="AI83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{"issue":{"subject":"","project_id":79,"tracker_id":40,"status_id":1,"priority_id":2,"assigned_to_id":338,"start_date":"2017-10-20","description":"","custom_fields":[{"id":1,"name":"Subdivision","value":"EC"},{"id":4,"name":"Milepost","value":"23.3327"},{"id":17,"name":"Train ID","value":"171-20"},{"id":16,"name":"Locomotive ID","value":"4064"},{"id":130,"name":"Impact","value":""},{"id":150,"name":"Time of Event (Mountain Time)","value":"13:06:41"},{"id":151,"name":"Denver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2"/>
        <v>start /low /b %USERPROFILE%\Documents\GitHub\eaglep3\Utilities\DownloadLogsFromS3.py --loco 4064 --day 2017-10-20</v>
      </c>
      <c r="AN83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19:06:41"},{"id":29,"name":"Sharepoint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4"/>
        <v>https://d0f6bd738d7f1b3e5a7ca70fe4ff75f0.us-east-1.aws.found.io/app/kibana#/discover/Steve-Slow-Train-Analysis-(2080s-and-2083s)?_g=(refreshInterval:(display:Off,pause:!f,section:0,value:0),time:(from:'2017-10-20T11:23:57-0600',mode:absolute,to:'2017-10-20T14:06:41-0600'))&amp;_a=(columns:!('Message%20ID',Summary),filters:!(),index:'emp_*',interval:auto,query:(query_string:(analyze_wildcard:!t,query:'%22rtdc.l.rtdc.4064%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771</v>
      </c>
      <c r="B84" s="7">
        <v>4063</v>
      </c>
      <c r="C84" s="21" t="s">
        <v>194</v>
      </c>
      <c r="D84" s="21" t="s">
        <v>905</v>
      </c>
      <c r="E84" s="13">
        <v>43028.554756944446</v>
      </c>
      <c r="F84" s="13">
        <v>43028.560659722221</v>
      </c>
      <c r="G84" s="7">
        <v>107</v>
      </c>
      <c r="H84" s="21" t="s">
        <v>335</v>
      </c>
      <c r="I84" s="13">
        <v>43028.587881944448</v>
      </c>
      <c r="J84" s="7">
        <v>0</v>
      </c>
      <c r="K84" s="89" t="str">
        <f>IF(ISEVEN(B84),(B84-1)&amp;"/"&amp;B84,B84&amp;"/"&amp;(B84+1))</f>
        <v>4063/4064</v>
      </c>
      <c r="L84" s="185" t="str">
        <f>VLOOKUP(A84,'Trips&amp;Operators'!$C$1:$G$99911,5,FALSE)</f>
        <v>BADERTSCHER DIANE</v>
      </c>
      <c r="M84" s="6">
        <f>I84-F84</f>
        <v>2.7222222226555459E-2</v>
      </c>
      <c r="N84" s="7">
        <f>24*60*SUM($M84:$M84)</f>
        <v>39.200000006239861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-10-20T12:18:51-0600',mode:absolute,to:'2017-10-20T15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23.300999999999998</v>
      </c>
      <c r="Z84" s="204">
        <f>RIGHT(H84,LEN(H84)-4)/10000</f>
        <v>1.4999999999999999E-2</v>
      </c>
      <c r="AA84" s="204">
        <f>ABS(Z84-Y84)</f>
        <v>23.285999999999998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/stypes="app*4063*20171020*" /stext=" 20:.+((SYSTEM_STATE.+slice.+state.+changed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0"/>
        <v>"%USERPROFILE%\Documents\GitHub\eaglep3\Utilities\RefineRTDCRunTimes.py" --tripid 172-20 --locoid 4063 --swversion DE.1.0.9.0 --startMP 204:233010 --initTime 2017-10-20T13:18:51 --startdatetime 2017-10-20T13:27:21 --delay 107 --endMP 204:150 --enddatetime 2017-10-20T14:06:33 --enforcementcount 0 &gt;&gt;%USERPROFILE%\Documents\GitHub\eaglep3-reporting\EC\2017-10-20-refined-times.txt</v>
      </c>
      <c r="AI84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{"issue":{"subject":"","project_id":79,"tracker_id":40,"status_id":1,"priority_id":2,"assigned_to_id":338,"start_date":"2017-10-20","description":"","custom_fields":[{"id":1,"name":"Subdivision","value":"EC"},{"id":4,"name":"Milepost","value":"0.015"},{"id":17,"name":"Train ID","value":"172-20"},{"id":16,"name":"Locomotive ID","value":"4063"},{"id":130,"name":"Impact","value":""},{"id":150,"name":"Time of Event (Mountain Time)","value":"14:06:33"},{"id":151,"name":"Denver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2"/>
        <v>start /low /b %USERPROFILE%\Documents\GitHub\eaglep3\Utilities\DownloadLogsFromS3.py --loco 4063 --day 2017-10-20</v>
      </c>
      <c r="AN84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20:06:33"},{"id":29,"name":"Sharepoint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4"/>
        <v>https://d0f6bd738d7f1b3e5a7ca70fe4ff75f0.us-east-1.aws.found.io/app/kibana#/discover/Steve-Slow-Train-Analysis-(2080s-and-2083s)?_g=(refreshInterval:(display:Off,pause:!f,section:0,value:0),time:(from:'2017-10-20T12:18:51-0600',mode:absolute,to:'2017-10-20T15:06:33-0600'))&amp;_a=(columns:!('Message%20ID',Summary),filters:!(),index:'emp_*',interval:auto,query:(query_string:(analyze_wildcard:!t,query:'%22rtdc.l.rtdc.4063%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767</v>
      </c>
      <c r="B85" s="7">
        <v>4032</v>
      </c>
      <c r="C85" s="21" t="s">
        <v>194</v>
      </c>
      <c r="D85" s="21" t="s">
        <v>396</v>
      </c>
      <c r="E85" s="13">
        <v>43028.52685185185</v>
      </c>
      <c r="F85" s="13">
        <v>43028.531469907408</v>
      </c>
      <c r="G85" s="7">
        <v>67</v>
      </c>
      <c r="H85" s="21" t="s">
        <v>906</v>
      </c>
      <c r="I85" s="13">
        <v>43028.555520833332</v>
      </c>
      <c r="J85" s="7">
        <v>0</v>
      </c>
      <c r="K85" s="89" t="str">
        <f>IF(ISEVEN(B85),(B85-1)&amp;"/"&amp;B85,B85&amp;"/"&amp;(B85+1))</f>
        <v>4031/4032</v>
      </c>
      <c r="L85" s="185" t="str">
        <f>VLOOKUP(A85,'Trips&amp;Operators'!$C$1:$G$99911,5,FALSE)</f>
        <v>HOLCOMB KAMDEN</v>
      </c>
      <c r="M85" s="6">
        <f>I85-F85</f>
        <v>2.4050925923802424E-2</v>
      </c>
      <c r="N85" s="7">
        <f>24*60*SUM($M85:$M85)</f>
        <v>34.633333330275491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-10-20T11:38:40-0600',mode:absolute,to:'2017-10-20T14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4.6399999999999997E-2</v>
      </c>
      <c r="Z85" s="204">
        <f>RIGHT(H85,LEN(H85)-4)/10000</f>
        <v>23.332999999999998</v>
      </c>
      <c r="AA85" s="204">
        <f>ABS(Z85-Y85)</f>
        <v>23.2866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s3://rtdc.mdm.uploadarchive.raw/RTDC4032/ "%USERPROFILE%\AppData\Local\Temp\OnboardLogs"\RTDC4032\2017-10-20 --exclude "*" --recursive --include "*20171020*" &amp; "%USERPROFILE%\Documents\GitHub\mrs-test-scripts\Headless Mode &amp; Sideloading\WalkAndUnGZ.bat" "%USERPROFILE%\AppData\Local\Temp\OnboardLogs"\RTDC4032\2017-10-20 &amp; aws s3 cp s3://rtdc.mdm.uploadarchive.raw/RTDC4032/ "%USERPROFILE%\AppData\Local\Temp\OnboardLogs"\RTDC4032\2017-10-21 --exclude "*" --recursive --include "*20171021*" &amp; "%USERPROFILE%\Documents\GitHub\mrs-test-scripts\Headless Mode &amp; Sideloading\WalkAndUnGZ.bat" "%USERPROFILE%\AppData\Local\Temp\OnboardLogs"\RTDC4032\2017-10-21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/stypes="app*4032*20171020*" /stext=" 19:.+((SYSTEM_STATE.+slice.+state.+changed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0"/>
        <v>"%USERPROFILE%\Documents\GitHub\eaglep3\Utilities\RefineRTDCRunTimes.py" --tripid 173-20 --locoid 4032 --swversion DE.1.0.9.0 --startMP 204:464 --initTime 2017-10-20T12:38:40 --startdatetime 2017-10-20T12:45:19 --delay 67 --endMP 204:233330 --enddatetime 2017-10-20T13:19:57 --enforcementcount 0 &gt;&gt;%USERPROFILE%\Documents\GitHub\eaglep3-reporting\EC\2017-10-20-refined-times.txt</v>
      </c>
      <c r="AI85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{"issue":{"subject":"","project_id":79,"tracker_id":40,"status_id":1,"priority_id":2,"assigned_to_id":338,"start_date":"2017-10-20","description":"","custom_fields":[{"id":1,"name":"Subdivision","value":"EC"},{"id":4,"name":"Milepost","value":"23.333"},{"id":17,"name":"Train ID","value":"173-20"},{"id":16,"name":"Locomotive ID","value":"4032"},{"id":130,"name":"Impact","value":""},{"id":150,"name":"Time of Event (Mountain Time)","value":"13:19:57"},{"id":151,"name":"Denver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2"/>
        <v>start /low /b %USERPROFILE%\Documents\GitHub\eaglep3\Utilities\DownloadLogsFromS3.py --loco 4032 --day 2017-10-20</v>
      </c>
      <c r="AN85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19:19:57"},{"id":29,"name":"Sharepoint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4"/>
        <v>https://d0f6bd738d7f1b3e5a7ca70fe4ff75f0.us-east-1.aws.found.io/app/kibana#/discover/Steve-Slow-Train-Analysis-(2080s-and-2083s)?_g=(refreshInterval:(display:Off,pause:!f,section:0,value:0),time:(from:'2017-10-20T11:38:40-0600',mode:absolute,to:'2017-10-20T14:19:57-0600'))&amp;_a=(columns:!('Message%20ID',Summary),filters:!(),index:'emp_*',interval:auto,query:(query_string:(analyze_wildcard:!t,query:'%22rtdc.l.rtdc.4032%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642</v>
      </c>
      <c r="B86" s="7">
        <v>4031</v>
      </c>
      <c r="C86" s="21" t="s">
        <v>194</v>
      </c>
      <c r="D86" s="21" t="s">
        <v>907</v>
      </c>
      <c r="E86" s="13">
        <v>43028.566678240742</v>
      </c>
      <c r="F86" s="13">
        <v>43028.571111111109</v>
      </c>
      <c r="G86" s="7">
        <v>71</v>
      </c>
      <c r="H86" s="21" t="s">
        <v>355</v>
      </c>
      <c r="I86" s="13">
        <v>43028.598761574074</v>
      </c>
      <c r="J86" s="7">
        <v>0</v>
      </c>
      <c r="K86" s="89" t="str">
        <f>IF(ISEVEN(B86),(B86-1)&amp;"/"&amp;B86,B86&amp;"/"&amp;(B86+1))</f>
        <v>4031/4032</v>
      </c>
      <c r="L86" s="185" t="str">
        <f>VLOOKUP(A86,'Trips&amp;Operators'!$C$1:$G$99911,5,FALSE)</f>
        <v>HOLCOMB KAMDEN</v>
      </c>
      <c r="M86" s="6">
        <f>I86-F86</f>
        <v>2.7650462965539191E-2</v>
      </c>
      <c r="N86" s="7">
        <f>24*60*SUM($M86:$M86)</f>
        <v>39.816666670376435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-10-20T12:36:01-0600',mode:absolute,to:'2017-10-20T15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23.3005</v>
      </c>
      <c r="Z86" s="204">
        <f>RIGHT(H86,LEN(H86)-4)/10000</f>
        <v>1.4500000000000001E-2</v>
      </c>
      <c r="AA86" s="204">
        <f>ABS(Z86-Y86)</f>
        <v>23.285999999999998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s3://rtdc.mdm.uploadarchive.raw/RTDC4031/ "%USERPROFILE%\AppData\Local\Temp\OnboardLogs"\RTDC4031\2017-10-20 --exclude "*" --recursive --include "*20171020*" &amp; "%USERPROFILE%\Documents\GitHub\mrs-test-scripts\Headless Mode &amp; Sideloading\WalkAndUnGZ.bat" "%USERPROFILE%\AppData\Local\Temp\OnboardLogs"\RTDC4031\2017-10-20 &amp; aws s3 cp s3://rtdc.mdm.uploadarchive.raw/RTDC4031/ "%USERPROFILE%\AppData\Local\Temp\OnboardLogs"\RTDC4031\2017-10-21 --exclude "*" --recursive --include "*20171021*" &amp; "%USERPROFILE%\Documents\GitHub\mrs-test-scripts\Headless Mode &amp; Sideloading\WalkAndUnGZ.bat" "%USERPROFILE%\AppData\Local\Temp\OnboardLogs"\RTDC4031\2017-10-21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/stypes="app*4031*20171020*" /stext=" 20:.+((SYSTEM_STATE.+slice.+state.+changed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0"/>
        <v>"%USERPROFILE%\Documents\GitHub\eaglep3\Utilities\RefineRTDCRunTimes.py" --tripid 174-20 --locoid 4031 --swversion DE.1.0.9.0 --startMP 204:233005 --initTime 2017-10-20T13:36:01 --startdatetime 2017-10-20T13:42:24 --delay 71 --endMP 204:145 --enddatetime 2017-10-20T14:22:13 --enforcementcount 0 &gt;&gt;%USERPROFILE%\Documents\GitHub\eaglep3-reporting\EC\2017-10-20-refined-times.txt</v>
      </c>
      <c r="AI86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{"issue":{"subject":"","project_id":79,"tracker_id":40,"status_id":1,"priority_id":2,"assigned_to_id":338,"start_date":"2017-10-20","description":"","custom_fields":[{"id":1,"name":"Subdivision","value":"EC"},{"id":4,"name":"Milepost","value":"0.0145"},{"id":17,"name":"Train ID","value":"174-20"},{"id":16,"name":"Locomotive ID","value":"4031"},{"id":130,"name":"Impact","value":""},{"id":150,"name":"Time of Event (Mountain Time)","value":"14:22:13"},{"id":151,"name":"Denver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2"/>
        <v>start /low /b %USERPROFILE%\Documents\GitHub\eaglep3\Utilities\DownloadLogsFromS3.py --loco 4031 --day 2017-10-20</v>
      </c>
      <c r="AN86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20:22:13"},{"id":29,"name":"Sharepoint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4"/>
        <v>https://d0f6bd738d7f1b3e5a7ca70fe4ff75f0.us-east-1.aws.found.io/app/kibana#/discover/Steve-Slow-Train-Analysis-(2080s-and-2083s)?_g=(refreshInterval:(display:Off,pause:!f,section:0,value:0),time:(from:'2017-10-20T12:36:01-0600',mode:absolute,to:'2017-10-20T15:22:13-0600'))&amp;_a=(columns:!('Message%20ID',Summary),filters:!(),index:'emp_*',interval:auto,query:(query_string:(analyze_wildcard:!t,query:'%22rtdc.l.rtdc.4031%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768</v>
      </c>
      <c r="B87" s="7">
        <v>4026</v>
      </c>
      <c r="C87" s="21" t="s">
        <v>194</v>
      </c>
      <c r="D87" s="21" t="s">
        <v>344</v>
      </c>
      <c r="E87" s="13">
        <v>43028.53765046296</v>
      </c>
      <c r="F87" s="13">
        <v>43028.541944444441</v>
      </c>
      <c r="G87" s="7">
        <v>83</v>
      </c>
      <c r="H87" s="21" t="s">
        <v>894</v>
      </c>
      <c r="I87" s="13">
        <v>43028.567175925928</v>
      </c>
      <c r="J87" s="7">
        <v>0</v>
      </c>
      <c r="K87" s="89" t="str">
        <f>IF(ISEVEN(B87),(B87-1)&amp;"/"&amp;B87,B87&amp;"/"&amp;(B87+1))</f>
        <v>4025/4026</v>
      </c>
      <c r="L87" s="185" t="str">
        <f>VLOOKUP(A87,'Trips&amp;Operators'!$C$1:$G$99911,5,FALSE)</f>
        <v>SAFIEF AEIMEN</v>
      </c>
      <c r="M87" s="6">
        <f>I87-F87</f>
        <v>2.5231481486116536E-2</v>
      </c>
      <c r="N87" s="7">
        <f>24*60*SUM($M87:$M87)</f>
        <v>36.333333340007812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-20T11:54:13-0600',mode:absolute,to:'2017-10-20T14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4.5499999999999999E-2</v>
      </c>
      <c r="Z87" s="204">
        <f>RIGHT(H87,LEN(H87)-4)/10000</f>
        <v>23.3325</v>
      </c>
      <c r="AA87" s="204">
        <f>ABS(Z87-Y87)</f>
        <v>23.286999999999999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s3://rtdc.mdm.uploadarchive.raw/RTDC4026/ "%USERPROFILE%\AppData\Local\Temp\OnboardLogs"\RTDC4026\2017-10-20 --exclude "*" --recursive --include "*20171020*" &amp; "%USERPROFILE%\Documents\GitHub\mrs-test-scripts\Headless Mode &amp; Sideloading\WalkAndUnGZ.bat" "%USERPROFILE%\AppData\Local\Temp\OnboardLogs"\RTDC4026\2017-10-20 &amp; aws s3 cp s3://rtdc.mdm.uploadarchive.raw/RTDC4026/ "%USERPROFILE%\AppData\Local\Temp\OnboardLogs"\RTDC4026\2017-10-21 --exclude "*" --recursive --include "*20171021*" &amp; "%USERPROFILE%\Documents\GitHub\mrs-test-scripts\Headless Mode &amp; Sideloading\WalkAndUnGZ.bat" "%USERPROFILE%\AppData\Local\Temp\OnboardLogs"\RTDC4026\2017-10-21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/stypes="app*4026*20171020*" /stext=" 19:.+((SYSTEM_STATE.+slice.+state.+changed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0"/>
        <v>"%USERPROFILE%\Documents\GitHub\eaglep3\Utilities\RefineRTDCRunTimes.py" --tripid 175-20 --locoid 4026 --swversion DE.1.0.9.0 --startMP 204:455 --initTime 2017-10-20T12:54:13 --startdatetime 2017-10-20T13:00:24 --delay 83 --endMP 204:233325 --enddatetime 2017-10-20T13:36:44 --enforcementcount 0 &gt;&gt;%USERPROFILE%\Documents\GitHub\eaglep3-reporting\EC\2017-10-20-refined-times.txt</v>
      </c>
      <c r="AI87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{"issue":{"subject":"","project_id":79,"tracker_id":40,"status_id":1,"priority_id":2,"assigned_to_id":338,"start_date":"2017-10-20","description":"","custom_fields":[{"id":1,"name":"Subdivision","value":"EC"},{"id":4,"name":"Milepost","value":"23.3325"},{"id":17,"name":"Train ID","value":"175-20"},{"id":16,"name":"Locomotive ID","value":"4026"},{"id":130,"name":"Impact","value":""},{"id":150,"name":"Time of Event (Mountain Time)","value":"13:36:44"},{"id":151,"name":"Denver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2"/>
        <v>start /low /b %USERPROFILE%\Documents\GitHub\eaglep3\Utilities\DownloadLogsFromS3.py --loco 4026 --day 2017-10-20</v>
      </c>
      <c r="AN87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19:36:44"},{"id":29,"name":"Sharepoint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14"/>
        <v>https://d0f6bd738d7f1b3e5a7ca70fe4ff75f0.us-east-1.aws.found.io/app/kibana#/discover/Steve-Slow-Train-Analysis-(2080s-and-2083s)?_g=(refreshInterval:(display:Off,pause:!f,section:0,value:0),time:(from:'2017-10-20T11:54:13-0600',mode:absolute,to:'2017-10-20T14:36:44-0600'))&amp;_a=(columns:!('Message%20ID',Summary),filters:!(),index:'emp_*',interval:auto,query:(query_string:(analyze_wildcard:!t,query:'%22rtdc.l.rtdc.4026%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774</v>
      </c>
      <c r="B88" s="7">
        <v>4025</v>
      </c>
      <c r="C88" s="21" t="s">
        <v>194</v>
      </c>
      <c r="D88" s="21" t="s">
        <v>492</v>
      </c>
      <c r="E88" s="13">
        <v>43028.56894675926</v>
      </c>
      <c r="F88" s="13">
        <v>43028.581585648149</v>
      </c>
      <c r="G88" s="7">
        <v>65</v>
      </c>
      <c r="H88" s="21" t="s">
        <v>336</v>
      </c>
      <c r="I88" s="13">
        <v>43028.607557870368</v>
      </c>
      <c r="J88" s="7">
        <v>0</v>
      </c>
      <c r="K88" s="89" t="str">
        <f>IF(ISEVEN(B88),(B88-1)&amp;"/"&amp;B88,B88&amp;"/"&amp;(B88+1))</f>
        <v>4025/4026</v>
      </c>
      <c r="L88" s="185" t="str">
        <f>VLOOKUP(A88,'Trips&amp;Operators'!$C$1:$G$99911,5,FALSE)</f>
        <v>SAFIEF AEIMEN</v>
      </c>
      <c r="M88" s="6">
        <f>I88-F88</f>
        <v>2.5972222218115348E-2</v>
      </c>
      <c r="N88" s="7">
        <f>24*60*SUM($M88:$M88)</f>
        <v>37.399999994086102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-10-20T12:39:17-0600',mode:absolute,to:'2017-10-20T15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23.3</v>
      </c>
      <c r="Z88" s="204">
        <f>RIGHT(H88,LEN(H88)-4)/10000</f>
        <v>1.49E-2</v>
      </c>
      <c r="AA88" s="204">
        <f>ABS(Z88-Y88)</f>
        <v>23.2851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s3://rtdc.mdm.uploadarchive.raw/RTDC4025/ "%USERPROFILE%\AppData\Local\Temp\OnboardLogs"\RTDC4025\2017-10-20 --exclude "*" --recursive --include "*20171020*" &amp; "%USERPROFILE%\Documents\GitHub\mrs-test-scripts\Headless Mode &amp; Sideloading\WalkAndUnGZ.bat" "%USERPROFILE%\AppData\Local\Temp\OnboardLogs"\RTDC4025\2017-10-20 &amp; aws s3 cp s3://rtdc.mdm.uploadarchive.raw/RTDC4025/ "%USERPROFILE%\AppData\Local\Temp\OnboardLogs"\RTDC4025\2017-10-21 --exclude "*" --recursive --include "*20171021*" &amp; "%USERPROFILE%\Documents\GitHub\mrs-test-scripts\Headless Mode &amp; Sideloading\WalkAndUnGZ.bat" "%USERPROFILE%\AppData\Local\Temp\OnboardLogs"\RTDC4025\2017-10-21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/stypes="app*4025*20171020*" /stext=" 20:.+((SYSTEM_STATE.+slice.+state.+changed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0"/>
        <v>"%USERPROFILE%\Documents\GitHub\eaglep3\Utilities\RefineRTDCRunTimes.py" --tripid 176-20 --locoid 4025 --swversion DE.1.0.9.0 --startMP 204:233000 --initTime 2017-10-20T13:39:17 --startdatetime 2017-10-20T13:57:29 --delay 65 --endMP 204:149 --enddatetime 2017-10-20T14:34:53 --enforcementcount 0 &gt;&gt;%USERPROFILE%\Documents\GitHub\eaglep3-reporting\EC\2017-10-20-refined-times.txt</v>
      </c>
      <c r="AI88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{"issue":{"subject":"","project_id":79,"tracker_id":40,"status_id":1,"priority_id":2,"assigned_to_id":338,"start_date":"2017-10-20","description":"","custom_fields":[{"id":1,"name":"Subdivision","value":"EC"},{"id":4,"name":"Milepost","value":"0.0149"},{"id":17,"name":"Train ID","value":"176-20"},{"id":16,"name":"Locomotive ID","value":"4025"},{"id":130,"name":"Impact","value":""},{"id":150,"name":"Time of Event (Mountain Time)","value":"14:34:53"},{"id":151,"name":"Denver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2"/>
        <v>start /low /b %USERPROFILE%\Documents\GitHub\eaglep3\Utilities\DownloadLogsFromS3.py --loco 4025 --day 2017-10-20</v>
      </c>
      <c r="AN88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20:34:53"},{"id":29,"name":"Sharepoint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14"/>
        <v>https://d0f6bd738d7f1b3e5a7ca70fe4ff75f0.us-east-1.aws.found.io/app/kibana#/discover/Steve-Slow-Train-Analysis-(2080s-and-2083s)?_g=(refreshInterval:(display:Off,pause:!f,section:0,value:0),time:(from:'2017-10-20T12:39:17-0600',mode:absolute,to:'2017-10-20T15:34:53-0600'))&amp;_a=(columns:!('Message%20ID',Summary),filters:!(),index:'emp_*',interval:auto,query:(query_string:(analyze_wildcard:!t,query:'%22rtdc.l.rtdc.4025%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770</v>
      </c>
      <c r="B89" s="7">
        <v>4044</v>
      </c>
      <c r="C89" s="21" t="s">
        <v>194</v>
      </c>
      <c r="D89" s="21" t="s">
        <v>403</v>
      </c>
      <c r="E89" s="13">
        <v>43028.548981481479</v>
      </c>
      <c r="F89" s="13">
        <v>43028.552314814813</v>
      </c>
      <c r="G89" s="7">
        <v>73</v>
      </c>
      <c r="H89" s="21" t="s">
        <v>381</v>
      </c>
      <c r="I89" s="13">
        <v>43028.576307870368</v>
      </c>
      <c r="J89" s="7">
        <v>0</v>
      </c>
      <c r="K89" s="89" t="str">
        <f>IF(ISEVEN(B89),(B89-1)&amp;"/"&amp;B89,B89&amp;"/"&amp;(B89+1))</f>
        <v>4043/4044</v>
      </c>
      <c r="L89" s="185" t="str">
        <f>VLOOKUP(A89,'Trips&amp;Operators'!$C$1:$G$99911,5,FALSE)</f>
        <v>BRUDER RICHARD</v>
      </c>
      <c r="M89" s="6">
        <f>I89-F89</f>
        <v>2.3993055554456078E-2</v>
      </c>
      <c r="N89" s="7">
        <f>24*60*SUM($M89:$M89)</f>
        <v>34.549999998416752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-10-20T12:10:32-0600',mode:absolute,to:'2017-10-20T14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4.6199999999999998E-2</v>
      </c>
      <c r="Z89" s="204">
        <f>RIGHT(H89,LEN(H89)-4)/10000</f>
        <v>23.3291</v>
      </c>
      <c r="AA89" s="204">
        <f>ABS(Z89-Y89)</f>
        <v>23.282900000000001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 &amp; aws s3 cp s3://rtdc.mdm.uploadarchive.raw/RTDC4044/ "%USERPROFILE%\AppData\Local\Temp\OnboardLogs"\RTDC4044\2017-10-21 --exclude "*" --recursive --include "*20171021*" &amp; "%USERPROFILE%\Documents\GitHub\mrs-test-scripts\Headless Mode &amp; Sideloading\WalkAndUnGZ.bat" "%USERPROFILE%\AppData\Local\Temp\OnboardLogs"\RTDC4044\2017-10-21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/stypes="app*4044*20171020*" /stext=" 19:.+((SYSTEM_STATE.+slice.+state.+changed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0"/>
        <v>"%USERPROFILE%\Documents\GitHub\eaglep3\Utilities\RefineRTDCRunTimes.py" --tripid 177-20 --locoid 4044 --swversion DE.1.0.9.0 --startMP 204:462 --initTime 2017-10-20T13:10:32 --startdatetime 2017-10-20T13:15:20 --delay 73 --endMP 204:233291 --enddatetime 2017-10-20T13:49:53 --enforcementcount 0 &gt;&gt;%USERPROFILE%\Documents\GitHub\eaglep3-reporting\EC\2017-10-20-refined-times.txt</v>
      </c>
      <c r="AI89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{"issue":{"subject":"","project_id":79,"tracker_id":40,"status_id":1,"priority_id":2,"assigned_to_id":338,"start_date":"2017-10-20","description":"","custom_fields":[{"id":1,"name":"Subdivision","value":"EC"},{"id":4,"name":"Milepost","value":"23.3291"},{"id":17,"name":"Train ID","value":"177-20"},{"id":16,"name":"Locomotive ID","value":"4044"},{"id":130,"name":"Impact","value":""},{"id":150,"name":"Time of Event (Mountain Time)","value":"13:49:53"},{"id":151,"name":"Denver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2"/>
        <v>start /low /b %USERPROFILE%\Documents\GitHub\eaglep3\Utilities\DownloadLogsFromS3.py --loco 4044 --day 2017-10-20</v>
      </c>
      <c r="AN89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19:49:53"},{"id":29,"name":"Sharepoint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4"/>
        <v>https://d0f6bd738d7f1b3e5a7ca70fe4ff75f0.us-east-1.aws.found.io/app/kibana#/discover/Steve-Slow-Train-Analysis-(2080s-and-2083s)?_g=(refreshInterval:(display:Off,pause:!f,section:0,value:0),time:(from:'2017-10-20T12:10:32-0600',mode:absolute,to:'2017-10-20T14:49:53-0600'))&amp;_a=(columns:!('Message%20ID',Summary),filters:!(),index:'emp_*',interval:auto,query:(query_string:(analyze_wildcard:!t,query:'%22rtdc.l.rtdc.4044%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777</v>
      </c>
      <c r="B90" s="7">
        <v>4043</v>
      </c>
      <c r="C90" s="21" t="s">
        <v>194</v>
      </c>
      <c r="D90" s="21" t="s">
        <v>451</v>
      </c>
      <c r="E90" s="13">
        <v>43028.587395833332</v>
      </c>
      <c r="F90" s="13">
        <v>43028.591874999998</v>
      </c>
      <c r="G90" s="7">
        <v>75</v>
      </c>
      <c r="H90" s="21" t="s">
        <v>339</v>
      </c>
      <c r="I90" s="13">
        <v>43028.617951388886</v>
      </c>
      <c r="J90" s="7">
        <v>0</v>
      </c>
      <c r="K90" s="89" t="str">
        <f>IF(ISEVEN(B90),(B90-1)&amp;"/"&amp;B90,B90&amp;"/"&amp;(B90+1))</f>
        <v>4043/4044</v>
      </c>
      <c r="L90" s="185" t="str">
        <f>VLOOKUP(A90,'Trips&amp;Operators'!$C$1:$G$99911,5,FALSE)</f>
        <v>BRUDER RICHARD</v>
      </c>
      <c r="M90" s="6">
        <f>I90-F90</f>
        <v>2.6076388887304347E-2</v>
      </c>
      <c r="N90" s="7">
        <f>24*60*SUM($M90:$M90)</f>
        <v>37.54999999771826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-10-20T13:05:51-0600',mode:absolute,to:'2017-10-20T15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23.2988</v>
      </c>
      <c r="Z90" s="204">
        <f>RIGHT(H90,LEN(H90)-4)/10000</f>
        <v>1.47E-2</v>
      </c>
      <c r="AA90" s="204">
        <f>ABS(Z90-Y90)</f>
        <v>23.284099999999999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 &amp; aws s3 cp s3://rtdc.mdm.uploadarchive.raw/RTDC4043/ "%USERPROFILE%\AppData\Local\Temp\OnboardLogs"\RTDC4043\2017-10-21 --exclude "*" --recursive --include "*20171021*" &amp; "%USERPROFILE%\Documents\GitHub\mrs-test-scripts\Headless Mode &amp; Sideloading\WalkAndUnGZ.bat" "%USERPROFILE%\AppData\Local\Temp\OnboardLogs"\RTDC4043\2017-10-21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/stypes="app*4043*20171020*" /stext=" 20:.+((SYSTEM_STATE.+slice.+state.+changed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0"/>
        <v>"%USERPROFILE%\Documents\GitHub\eaglep3\Utilities\RefineRTDCRunTimes.py" --tripid 178-20 --locoid 4043 --swversion DE.1.0.9.0 --startMP 204:232988 --initTime 2017-10-20T14:05:51 --startdatetime 2017-10-20T14:12:18 --delay 75 --endMP 204:147 --enddatetime 2017-10-20T14:49:51 --enforcementcount 0 &gt;&gt;%USERPROFILE%\Documents\GitHub\eaglep3-reporting\EC\2017-10-20-refined-times.txt</v>
      </c>
      <c r="AI90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{"issue":{"subject":"","project_id":79,"tracker_id":40,"status_id":1,"priority_id":2,"assigned_to_id":338,"start_date":"2017-10-20","description":"","custom_fields":[{"id":1,"name":"Subdivision","value":"EC"},{"id":4,"name":"Milepost","value":"0.0147"},{"id":17,"name":"Train ID","value":"178-20"},{"id":16,"name":"Locomotive ID","value":"4043"},{"id":130,"name":"Impact","value":""},{"id":150,"name":"Time of Event (Mountain Time)","value":"14:49:51"},{"id":151,"name":"Denver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2"/>
        <v>start /low /b %USERPROFILE%\Documents\GitHub\eaglep3\Utilities\DownloadLogsFromS3.py --loco 4043 --day 2017-10-20</v>
      </c>
      <c r="AN90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20:49:51"},{"id":29,"name":"Sharepoint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4"/>
        <v>https://d0f6bd738d7f1b3e5a7ca70fe4ff75f0.us-east-1.aws.found.io/app/kibana#/discover/Steve-Slow-Train-Analysis-(2080s-and-2083s)?_g=(refreshInterval:(display:Off,pause:!f,section:0,value:0),time:(from:'2017-10-20T13:05:51-0600',mode:absolute,to:'2017-10-20T15:49:51-0600'))&amp;_a=(columns:!('Message%20ID',Summary),filters:!(),index:'emp_*',interval:auto,query:(query_string:(analyze_wildcard:!t,query:'%22rtdc.l.rtdc.4043%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772</v>
      </c>
      <c r="B91" s="7">
        <v>4040</v>
      </c>
      <c r="C91" s="21" t="s">
        <v>194</v>
      </c>
      <c r="D91" s="21" t="s">
        <v>338</v>
      </c>
      <c r="E91" s="13">
        <v>43028.558472222219</v>
      </c>
      <c r="F91" s="13">
        <v>43028.562673611108</v>
      </c>
      <c r="G91" s="7">
        <v>58</v>
      </c>
      <c r="H91" s="21" t="s">
        <v>481</v>
      </c>
      <c r="I91" s="13">
        <v>43028.588009259256</v>
      </c>
      <c r="J91" s="7">
        <v>0</v>
      </c>
      <c r="K91" s="89" t="str">
        <f>IF(ISEVEN(B91),(B91-1)&amp;"/"&amp;B91,B91&amp;"/"&amp;(B91+1))</f>
        <v>4039/4040</v>
      </c>
      <c r="L91" s="185" t="str">
        <f>VLOOKUP(A91,'Trips&amp;Operators'!$C$1:$G$99911,5,FALSE)</f>
        <v>LEVERE CRAIG</v>
      </c>
      <c r="M91" s="6">
        <f>I91-F91</f>
        <v>2.5335648148029577E-2</v>
      </c>
      <c r="N91" s="7">
        <f>24*60*SUM($M91:$M91)</f>
        <v>36.483333333162591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-10-20T12:24:12-0600',mode:absolute,to:'2017-10-20T15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4.53E-2</v>
      </c>
      <c r="Z91" s="204">
        <f>RIGHT(H91,LEN(H91)-4)/10000</f>
        <v>23.331499999999998</v>
      </c>
      <c r="AA91" s="204">
        <f>ABS(Z91-Y91)</f>
        <v>23.286199999999997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s3://rtdc.mdm.uploadarchive.raw/RTDC4040/ "%USERPROFILE%\AppData\Local\Temp\OnboardLogs"\RTDC4040\2017-10-20 --exclude "*" --recursive --include "*20171020*" &amp; "%USERPROFILE%\Documents\GitHub\mrs-test-scripts\Headless Mode &amp; Sideloading\WalkAndUnGZ.bat" "%USERPROFILE%\AppData\Local\Temp\OnboardLogs"\RTDC4040\2017-10-20 &amp; aws s3 cp s3://rtdc.mdm.uploadarchive.raw/RTDC4040/ "%USERPROFILE%\AppData\Local\Temp\OnboardLogs"\RTDC4040\2017-10-21 --exclude "*" --recursive --include "*20171021*" &amp; "%USERPROFILE%\Documents\GitHub\mrs-test-scripts\Headless Mode &amp; Sideloading\WalkAndUnGZ.bat" "%USERPROFILE%\AppData\Local\Temp\OnboardLogs"\RTDC4040\2017-10-21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/stypes="app*4040*20171020*"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0"/>
        <v>"%USERPROFILE%\Documents\GitHub\eaglep3\Utilities\RefineRTDCRunTimes.py" --tripid 179-20 --locoid 4040 --swversion DE.1.0.9.0 --startMP 204:453 --initTime 2017-10-20T13:24:12 --startdatetime 2017-10-20T13:30:15 --delay 58 --endMP 204:233315 --enddatetime 2017-10-20T14:06:44 --enforcementcount 0 &gt;&gt;%USERPROFILE%\Documents\GitHub\eaglep3-reporting\EC\2017-10-20-refined-times.txt</v>
      </c>
      <c r="AI91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{"issue":{"subject":"","project_id":79,"tracker_id":40,"status_id":1,"priority_id":2,"assigned_to_id":338,"start_date":"2017-10-20","description":"","custom_fields":[{"id":1,"name":"Subdivision","value":"EC"},{"id":4,"name":"Milepost","value":"23.3315"},{"id":17,"name":"Train ID","value":"179-20"},{"id":16,"name":"Locomotive ID","value":"4040"},{"id":130,"name":"Impact","value":""},{"id":150,"name":"Time of Event (Mountain Time)","value":"14:06:44"},{"id":151,"name":"Denver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2"/>
        <v>start /low /b %USERPROFILE%\Documents\GitHub\eaglep3\Utilities\DownloadLogsFromS3.py --loco 4040 --day 2017-10-20</v>
      </c>
      <c r="AN91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20:06:44"},{"id":29,"name":"Sharepoint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4"/>
        <v>https://d0f6bd738d7f1b3e5a7ca70fe4ff75f0.us-east-1.aws.found.io/app/kibana#/discover/Steve-Slow-Train-Analysis-(2080s-and-2083s)?_g=(refreshInterval:(display:Off,pause:!f,section:0,value:0),time:(from:'2017-10-20T12:24:12-0600',mode:absolute,to:'2017-10-20T15:06:44-0600'))&amp;_a=(columns:!('Message%20ID',Summary),filters:!(),index:'emp_*',interval:auto,query:(query_string:(analyze_wildcard:!t,query:'%22rtdc.l.rtdc.4040%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779</v>
      </c>
      <c r="B92" s="7">
        <v>4039</v>
      </c>
      <c r="C92" s="21" t="s">
        <v>194</v>
      </c>
      <c r="D92" s="21" t="s">
        <v>892</v>
      </c>
      <c r="E92" s="13">
        <v>43028.597627314812</v>
      </c>
      <c r="F92" s="13">
        <v>43028.60229166667</v>
      </c>
      <c r="G92" s="7">
        <v>55</v>
      </c>
      <c r="H92" s="21" t="s">
        <v>489</v>
      </c>
      <c r="I92" s="13">
        <v>43028.629247685189</v>
      </c>
      <c r="J92" s="7">
        <v>0</v>
      </c>
      <c r="K92" s="89" t="str">
        <f>IF(ISEVEN(B92),(B92-1)&amp;"/"&amp;B92,B92&amp;"/"&amp;(B92+1))</f>
        <v>4039/4040</v>
      </c>
      <c r="L92" s="185" t="str">
        <f>VLOOKUP(A92,'Trips&amp;Operators'!$C$1:$G$99911,5,FALSE)</f>
        <v>LEVERE CRAIG</v>
      </c>
      <c r="M92" s="6">
        <f>I92-F92</f>
        <v>2.6956018518831115E-2</v>
      </c>
      <c r="N92" s="7">
        <f>24*60*SUM($M92:$M92)</f>
        <v>38.816666667116806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-20T13:20:35-0600',mode:absolute,to:'2017-10-20T16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23.301100000000002</v>
      </c>
      <c r="Z92" s="204">
        <f>RIGHT(H92,LEN(H92)-4)/10000</f>
        <v>1.6299999999999999E-2</v>
      </c>
      <c r="AA92" s="204">
        <f>ABS(Z92-Y92)</f>
        <v>23.284800000000001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s3://rtdc.mdm.uploadarchive.raw/RTDC4039/ "%USERPROFILE%\AppData\Local\Temp\OnboardLogs"\RTDC4039\2017-10-20 --exclude "*" --recursive --include "*20171020*" &amp; "%USERPROFILE%\Documents\GitHub\mrs-test-scripts\Headless Mode &amp; Sideloading\WalkAndUnGZ.bat" "%USERPROFILE%\AppData\Local\Temp\OnboardLogs"\RTDC4039\2017-10-20 &amp; aws s3 cp s3://rtdc.mdm.uploadarchive.raw/RTDC4039/ "%USERPROFILE%\AppData\Local\Temp\OnboardLogs"\RTDC4039\2017-10-21 --exclude "*" --recursive --include "*20171021*" &amp; "%USERPROFILE%\Documents\GitHub\mrs-test-scripts\Headless Mode &amp; Sideloading\WalkAndUnGZ.bat" "%USERPROFILE%\AppData\Local\Temp\OnboardLogs"\RTDC4039\2017-10-21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/stypes="app*4039*20171020*" /stext=" 21:.+((SYSTEM_STATE.+slice.+state.+changed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0"/>
        <v>"%USERPROFILE%\Documents\GitHub\eaglep3\Utilities\RefineRTDCRunTimes.py" --tripid 180-20 --locoid 4039 --swversion DE.1.0.9.0 --startMP 204:233011 --initTime 2017-10-20T14:20:35 --startdatetime 2017-10-20T14:27:18 --delay 55 --endMP 204:163 --enddatetime 2017-10-20T15:06:07 --enforcementcount 0 &gt;&gt;%USERPROFILE%\Documents\GitHub\eaglep3-reporting\EC\2017-10-20-refined-times.txt</v>
      </c>
      <c r="AI92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{"issue":{"subject":"","project_id":79,"tracker_id":40,"status_id":1,"priority_id":2,"assigned_to_id":338,"start_date":"2017-10-20","description":"","custom_fields":[{"id":1,"name":"Subdivision","value":"EC"},{"id":4,"name":"Milepost","value":"0.0163"},{"id":17,"name":"Train ID","value":"180-20"},{"id":16,"name":"Locomotive ID","value":"4039"},{"id":130,"name":"Impact","value":""},{"id":150,"name":"Time of Event (Mountain Time)","value":"15:06:07"},{"id":151,"name":"Denver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2"/>
        <v>start /low /b %USERPROFILE%\Documents\GitHub\eaglep3\Utilities\DownloadLogsFromS3.py --loco 4039 --day 2017-10-20</v>
      </c>
      <c r="AN92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21:06:07"},{"id":29,"name":"Sharepoint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4"/>
        <v>https://d0f6bd738d7f1b3e5a7ca70fe4ff75f0.us-east-1.aws.found.io/app/kibana#/discover/Steve-Slow-Train-Analysis-(2080s-and-2083s)?_g=(refreshInterval:(display:Off,pause:!f,section:0,value:0),time:(from:'2017-10-20T13:20:35-0600',mode:absolute,to:'2017-10-20T16:06:07-0600'))&amp;_a=(columns:!('Message%20ID',Summary),filters:!(),index:'emp_*',interval:auto,query:(query_string:(analyze_wildcard:!t,query:'%22rtdc.l.rtdc.4039%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641</v>
      </c>
      <c r="B93" s="7">
        <v>4056</v>
      </c>
      <c r="C93" s="21" t="s">
        <v>194</v>
      </c>
      <c r="D93" s="21" t="s">
        <v>403</v>
      </c>
      <c r="E93" s="13">
        <v>43028.568726851852</v>
      </c>
      <c r="F93" s="13">
        <v>43028.573194444441</v>
      </c>
      <c r="G93" s="7">
        <v>64</v>
      </c>
      <c r="H93" s="21" t="s">
        <v>435</v>
      </c>
      <c r="I93" s="13">
        <v>43028.598287037035</v>
      </c>
      <c r="J93" s="7">
        <v>0</v>
      </c>
      <c r="K93" s="89" t="str">
        <f>IF(ISEVEN(B93),(B93-1)&amp;"/"&amp;B93,B93&amp;"/"&amp;(B93+1))</f>
        <v>4055/4056</v>
      </c>
      <c r="L93" s="185" t="str">
        <f>VLOOKUP(A93,'Trips&amp;Operators'!$C$1:$G$99911,5,FALSE)</f>
        <v>FORTUNATO FRANK</v>
      </c>
      <c r="M93" s="6">
        <f>I93-F93</f>
        <v>2.5092592593864538E-2</v>
      </c>
      <c r="N93" s="7">
        <f>24*60*SUM($M93:$M93)</f>
        <v>36.133333335164934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-20T12:38:58-0600',mode:absolute,to:'2017-10-20T15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4.6199999999999998E-2</v>
      </c>
      <c r="Z93" s="204">
        <f>RIGHT(H93,LEN(H93)-4)/10000</f>
        <v>23.331099999999999</v>
      </c>
      <c r="AA93" s="204">
        <f>ABS(Z93-Y93)</f>
        <v>23.2849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/stypes="app*4056*20171020*" /stext=" 20:.+((SYSTEM_STATE.+slice.+state.+changed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0"/>
        <v>"%USERPROFILE%\Documents\GitHub\eaglep3\Utilities\RefineRTDCRunTimes.py" --tripid 181-20 --locoid 4056 --swversion DE.1.0.9.0 --startMP 204:462 --initTime 2017-10-20T13:38:58 --startdatetime 2017-10-20T13:45:24 --delay 64 --endMP 204:233311 --enddatetime 2017-10-20T14:21:32 --enforcementcount 0 &gt;&gt;%USERPROFILE%\Documents\GitHub\eaglep3-reporting\EC\2017-10-20-refined-times.txt</v>
      </c>
      <c r="AI93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{"issue":{"subject":"","project_id":79,"tracker_id":40,"status_id":1,"priority_id":2,"assigned_to_id":338,"start_date":"2017-10-20","description":"","custom_fields":[{"id":1,"name":"Subdivision","value":"EC"},{"id":4,"name":"Milepost","value":"23.3311"},{"id":17,"name":"Train ID","value":"181-20"},{"id":16,"name":"Locomotive ID","value":"4056"},{"id":130,"name":"Impact","value":""},{"id":150,"name":"Time of Event (Mountain Time)","value":"14:21:32"},{"id":151,"name":"Denver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2"/>
        <v>start /low /b %USERPROFILE%\Documents\GitHub\eaglep3\Utilities\DownloadLogsFromS3.py --loco 4056 --day 2017-10-20</v>
      </c>
      <c r="AN93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14"/>
        <v>https://d0f6bd738d7f1b3e5a7ca70fe4ff75f0.us-east-1.aws.found.io/app/kibana#/discover/Steve-Slow-Train-Analysis-(2080s-and-2083s)?_g=(refreshInterval:(display:Off,pause:!f,section:0,value:0),time:(from:'2017-10-20T12:38:58-0600',mode:absolute,to:'2017-10-20T15:21:32-0600'))&amp;_a=(columns:!('Message%20ID',Summary),filters:!(),index:'emp_*',interval:auto,query:(query_string:(analyze_wildcard:!t,query:'%22rtdc.l.rtdc.4056%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780</v>
      </c>
      <c r="B94" s="7">
        <v>4055</v>
      </c>
      <c r="C94" s="21" t="s">
        <v>194</v>
      </c>
      <c r="D94" s="21" t="s">
        <v>431</v>
      </c>
      <c r="E94" s="13">
        <v>43028.59946759259</v>
      </c>
      <c r="F94" s="13">
        <v>43028.612638888888</v>
      </c>
      <c r="G94" s="7">
        <v>49</v>
      </c>
      <c r="H94" s="21" t="s">
        <v>337</v>
      </c>
      <c r="I94" s="13">
        <v>43028.638657407406</v>
      </c>
      <c r="J94" s="7">
        <v>0</v>
      </c>
      <c r="K94" s="89" t="str">
        <f>IF(ISEVEN(B94),(B94-1)&amp;"/"&amp;B94,B94&amp;"/"&amp;(B94+1))</f>
        <v>4055/4056</v>
      </c>
      <c r="L94" s="185" t="str">
        <f>VLOOKUP(A94,'Trips&amp;Operators'!$C$1:$G$99911,5,FALSE)</f>
        <v>FORTUNATO FRANK</v>
      </c>
      <c r="M94" s="6">
        <f>I94-F94</f>
        <v>2.6018518517958E-2</v>
      </c>
      <c r="N94" s="7">
        <f>24*60*SUM($M94:$M94)</f>
        <v>37.46666666585952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-10-20T13:23:14-0600',mode:absolute,to:'2017-10-20T16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23.299600000000002</v>
      </c>
      <c r="Z94" s="204">
        <f>RIGHT(H94,LEN(H94)-4)/10000</f>
        <v>1.43E-2</v>
      </c>
      <c r="AA94" s="204">
        <f>ABS(Z94-Y94)</f>
        <v>23.285300000000003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s3://rtdc.mdm.uploadarchive.raw/RTDC4055/ "%USERPROFILE%\AppData\Local\Temp\OnboardLogs"\RTDC4055\2017-10-20 --exclude "*" --recursive --include "*20171020*" &amp; "%USERPROFILE%\Documents\GitHub\mrs-test-scripts\Headless Mode &amp; Sideloading\WalkAndUnGZ.bat" "%USERPROFILE%\AppData\Local\Temp\OnboardLogs"\RTDC4055\2017-10-20 &amp; aws s3 cp s3://rtdc.mdm.uploadarchive.raw/RTDC4055/ "%USERPROFILE%\AppData\Local\Temp\OnboardLogs"\RTDC4055\2017-10-21 --exclude "*" --recursive --include "*20171021*" &amp; "%USERPROFILE%\Documents\GitHub\mrs-test-scripts\Headless Mode &amp; Sideloading\WalkAndUnGZ.bat" "%USERPROFILE%\AppData\Local\Temp\OnboardLogs"\RTDC4055\2017-10-21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/stypes="app*4055*20171020*" /stext=" 21:.+((SYSTEM_STATE.+slice.+state.+changed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0"/>
        <v>"%USERPROFILE%\Documents\GitHub\eaglep3\Utilities\RefineRTDCRunTimes.py" --tripid 182-20 --locoid 4055 --swversion DE.1.0.9.0 --startMP 204:232996 --initTime 2017-10-20T14:23:14 --startdatetime 2017-10-20T14:42:12 --delay 49 --endMP 204:143 --enddatetime 2017-10-20T15:19:40 --enforcementcount 0 &gt;&gt;%USERPROFILE%\Documents\GitHub\eaglep3-reporting\EC\2017-10-20-refined-times.txt</v>
      </c>
      <c r="AI94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{"issue":{"subject":"","project_id":79,"tracker_id":40,"status_id":1,"priority_id":2,"assigned_to_id":338,"start_date":"2017-10-20","description":"","custom_fields":[{"id":1,"name":"Subdivision","value":"EC"},{"id":4,"name":"Milepost","value":"0.0143"},{"id":17,"name":"Train ID","value":"182-20"},{"id":16,"name":"Locomotive ID","value":"4055"},{"id":130,"name":"Impact","value":""},{"id":150,"name":"Time of Event (Mountain Time)","value":"15:19:40"},{"id":151,"name":"Denver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2"/>
        <v>start /low /b %USERPROFILE%\Documents\GitHub\eaglep3\Utilities\DownloadLogsFromS3.py --loco 4055 --day 2017-10-20</v>
      </c>
      <c r="AN94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21:19:40"},{"id":29,"name":"Sharepoint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4"/>
        <v>https://d0f6bd738d7f1b3e5a7ca70fe4ff75f0.us-east-1.aws.found.io/app/kibana#/discover/Steve-Slow-Train-Analysis-(2080s-and-2083s)?_g=(refreshInterval:(display:Off,pause:!f,section:0,value:0),time:(from:'2017-10-20T13:23:14-0600',mode:absolute,to:'2017-10-20T16:19:40-0600'))&amp;_a=(columns:!('Message%20ID',Summary),filters:!(),index:'emp_*',interval:auto,query:(query_string:(analyze_wildcard:!t,query:'%22rtdc.l.rtdc.4055%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775</v>
      </c>
      <c r="B95" s="7">
        <v>4016</v>
      </c>
      <c r="C95" s="21" t="s">
        <v>194</v>
      </c>
      <c r="D95" s="21" t="s">
        <v>366</v>
      </c>
      <c r="E95" s="13">
        <v>43028.581620370373</v>
      </c>
      <c r="F95" s="13">
        <v>43028.583483796298</v>
      </c>
      <c r="G95" s="7">
        <v>52</v>
      </c>
      <c r="H95" s="21" t="s">
        <v>614</v>
      </c>
      <c r="I95" s="13">
        <v>43028.608310185184</v>
      </c>
      <c r="J95" s="7">
        <v>0</v>
      </c>
      <c r="K95" s="89" t="str">
        <f>IF(ISEVEN(B95),(B95-1)&amp;"/"&amp;B95,B95&amp;"/"&amp;(B95+1))</f>
        <v>4015/4016</v>
      </c>
      <c r="L95" s="185" t="str">
        <f>VLOOKUP(A95,'Trips&amp;Operators'!$C$1:$G$99911,5,FALSE)</f>
        <v>LEVIN SCOTT</v>
      </c>
      <c r="M95" s="6">
        <f>I95-F95</f>
        <v>2.4826388886140194E-2</v>
      </c>
      <c r="N95" s="7">
        <f>24*60*SUM($M95:$M95)</f>
        <v>35.749999996041879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-10-20T12:57:32-0600',mode:absolute,to:'2017-10-20T15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4.7100000000000003E-2</v>
      </c>
      <c r="Z95" s="204">
        <f>RIGHT(H95,LEN(H95)-4)/10000</f>
        <v>23.334900000000001</v>
      </c>
      <c r="AA95" s="204">
        <f>ABS(Z95-Y95)</f>
        <v>23.287800000000001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 &amp; 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/stypes="app*4016*20171020*" /stext=" 20:.+((SYSTEM_STATE.+slice.+state.+changed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0"/>
        <v>"%USERPROFILE%\Documents\GitHub\eaglep3\Utilities\RefineRTDCRunTimes.py" --tripid 183-20 --locoid 4016 --swversion DE.1.0.9.0 --startMP 204:471 --initTime 2017-10-20T13:57:32 --startdatetime 2017-10-20T14:00:13 --delay 52 --endMP 204:233349 --enddatetime 2017-10-20T14:35:58 --enforcementcount 0 &gt;&gt;%USERPROFILE%\Documents\GitHub\eaglep3-reporting\EC\2017-10-20-refined-times.txt</v>
      </c>
      <c r="AI95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{"issue":{"subject":"","project_id":79,"tracker_id":40,"status_id":1,"priority_id":2,"assigned_to_id":338,"start_date":"2017-10-20","description":"","custom_fields":[{"id":1,"name":"Subdivision","value":"EC"},{"id":4,"name":"Milepost","value":"23.3349"},{"id":17,"name":"Train ID","value":"183-20"},{"id":16,"name":"Locomotive ID","value":"4016"},{"id":130,"name":"Impact","value":""},{"id":150,"name":"Time of Event (Mountain Time)","value":"14:35:58"},{"id":151,"name":"Denver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2"/>
        <v>start /low /b %USERPROFILE%\Documents\GitHub\eaglep3\Utilities\DownloadLogsFromS3.py --loco 4016 --day 2017-10-20</v>
      </c>
      <c r="AN95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20:35:58"},{"id":29,"name":"Sharepoint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4"/>
        <v>https://d0f6bd738d7f1b3e5a7ca70fe4ff75f0.us-east-1.aws.found.io/app/kibana#/discover/Steve-Slow-Train-Analysis-(2080s-and-2083s)?_g=(refreshInterval:(display:Off,pause:!f,section:0,value:0),time:(from:'2017-10-20T12:57:32-0600',mode:absolute,to:'2017-10-20T15:35:58-0600'))&amp;_a=(columns:!('Message%20ID',Summary),filters:!(),index:'emp_*',interval:auto,query:(query_string:(analyze_wildcard:!t,query:'%22rtdc.l.rtdc.4016%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783</v>
      </c>
      <c r="B96" s="7">
        <v>4015</v>
      </c>
      <c r="C96" s="21" t="s">
        <v>194</v>
      </c>
      <c r="D96" s="21" t="s">
        <v>908</v>
      </c>
      <c r="E96" s="13">
        <v>43028.618090277778</v>
      </c>
      <c r="F96" s="13">
        <v>43028.623090277775</v>
      </c>
      <c r="G96" s="7">
        <v>50</v>
      </c>
      <c r="H96" s="21" t="s">
        <v>368</v>
      </c>
      <c r="I96" s="13">
        <v>43028.648888888885</v>
      </c>
      <c r="J96" s="7">
        <v>0</v>
      </c>
      <c r="K96" s="89" t="str">
        <f>IF(ISEVEN(B96),(B96-1)&amp;"/"&amp;B96,B96&amp;"/"&amp;(B96+1))</f>
        <v>4015/4016</v>
      </c>
      <c r="L96" s="185" t="str">
        <f>VLOOKUP(A96,'Trips&amp;Operators'!$C$1:$G$99911,5,FALSE)</f>
        <v>LEVIN SCOTT</v>
      </c>
      <c r="M96" s="6">
        <f>I96-F96</f>
        <v>2.5798611110076308E-2</v>
      </c>
      <c r="N96" s="7">
        <f>24*60*SUM($M96:$M96)</f>
        <v>37.149999998509884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-10-20T13:50:03-0600',mode:absolute,to:'2017-10-20T16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23.304500000000001</v>
      </c>
      <c r="Z96" s="204">
        <f>RIGHT(H96,LEN(H96)-4)/10000</f>
        <v>1.54E-2</v>
      </c>
      <c r="AA96" s="204">
        <f>ABS(Z96-Y96)</f>
        <v>23.289100000000001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 &amp; 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/stypes="app*4015*20171020*" /stext=" 21:.+((SYSTEM_STATE.+slice.+state.+changed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0"/>
        <v>"%USERPROFILE%\Documents\GitHub\eaglep3\Utilities\RefineRTDCRunTimes.py" --tripid 184-20 --locoid 4015 --swversion DE.1.0.9.0 --startMP 204:233045 --initTime 2017-10-20T14:50:03 --startdatetime 2017-10-20T14:57:15 --delay 50 --endMP 204:154 --enddatetime 2017-10-20T15:34:24 --enforcementcount 0 &gt;&gt;%USERPROFILE%\Documents\GitHub\eaglep3-reporting\EC\2017-10-20-refined-times.txt</v>
      </c>
      <c r="AI96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{"issue":{"subject":"","project_id":79,"tracker_id":40,"status_id":1,"priority_id":2,"assigned_to_id":338,"start_date":"2017-10-20","description":"","custom_fields":[{"id":1,"name":"Subdivision","value":"EC"},{"id":4,"name":"Milepost","value":"0.0154"},{"id":17,"name":"Train ID","value":"184-20"},{"id":16,"name":"Locomotive ID","value":"4015"},{"id":130,"name":"Impact","value":""},{"id":150,"name":"Time of Event (Mountain Time)","value":"15:34:24"},{"id":151,"name":"Denver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2"/>
        <v>start /low /b %USERPROFILE%\Documents\GitHub\eaglep3\Utilities\DownloadLogsFromS3.py --loco 4015 --day 2017-10-20</v>
      </c>
      <c r="AN96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21:34:24"},{"id":29,"name":"Sharepoint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4"/>
        <v>https://d0f6bd738d7f1b3e5a7ca70fe4ff75f0.us-east-1.aws.found.io/app/kibana#/discover/Steve-Slow-Train-Analysis-(2080s-and-2083s)?_g=(refreshInterval:(display:Off,pause:!f,section:0,value:0),time:(from:'2017-10-20T13:50:03-0600',mode:absolute,to:'2017-10-20T16:34:24-0600'))&amp;_a=(columns:!('Message%20ID',Summary),filters:!(),index:'emp_*',interval:auto,query:(query_string:(analyze_wildcard:!t,query:'%22rtdc.l.rtdc.4015%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778</v>
      </c>
      <c r="B97" s="7">
        <v>4064</v>
      </c>
      <c r="C97" s="21" t="s">
        <v>194</v>
      </c>
      <c r="D97" s="21" t="s">
        <v>373</v>
      </c>
      <c r="E97" s="13">
        <v>43028.589560185188</v>
      </c>
      <c r="F97" s="13">
        <v>43028.593923611108</v>
      </c>
      <c r="G97" s="7">
        <v>50</v>
      </c>
      <c r="H97" s="21" t="s">
        <v>909</v>
      </c>
      <c r="I97" s="13">
        <v>43028.619560185187</v>
      </c>
      <c r="J97" s="7">
        <v>0</v>
      </c>
      <c r="K97" s="89" t="str">
        <f>IF(ISEVEN(B97),(B97-1)&amp;"/"&amp;B97,B97&amp;"/"&amp;(B97+1))</f>
        <v>4063/4064</v>
      </c>
      <c r="L97" s="185" t="str">
        <f>VLOOKUP(A97,'Trips&amp;Operators'!$C$1:$G$99911,5,FALSE)</f>
        <v>BADERTSCHER DIANE</v>
      </c>
      <c r="M97" s="6">
        <f>I97-F97</f>
        <v>2.5636574078816921E-2</v>
      </c>
      <c r="N97" s="7">
        <f>24*60*SUM($M97:$M97)</f>
        <v>36.916666673496366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-10-20T13:08:58-0600',mode:absolute,to:'2017-10-20T15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4.5699999999999998E-2</v>
      </c>
      <c r="Z97" s="204">
        <f>RIGHT(H97,LEN(H97)-4)/10000</f>
        <v>23.334499999999998</v>
      </c>
      <c r="AA97" s="204">
        <f>ABS(Z97-Y97)</f>
        <v>23.288799999999998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s3://rtdc.mdm.uploadarchive.raw/RTDC4064/ "%USERPROFILE%\AppData\Local\Temp\OnboardLogs"\RTDC4064\2017-10-20 --exclude "*" --recursive --include "*20171020*" &amp; "%USERPROFILE%\Documents\GitHub\mrs-test-scripts\Headless Mode &amp; Sideloading\WalkAndUnGZ.bat" "%USERPROFILE%\AppData\Local\Temp\OnboardLogs"\RTDC4064\2017-10-20 &amp; aws s3 cp s3://rtdc.mdm.uploadarchive.raw/RTDC4064/ "%USERPROFILE%\AppData\Local\Temp\OnboardLogs"\RTDC4064\2017-10-21 --exclude "*" --recursive --include "*20171021*" &amp; "%USERPROFILE%\Documents\GitHub\mrs-test-scripts\Headless Mode &amp; Sideloading\WalkAndUnGZ.bat" "%USERPROFILE%\AppData\Local\Temp\OnboardLogs"\RTDC4064\2017-10-21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/stypes="app*4064*20171020*" /stext=" 20:.+((SYSTEM_STATE.+slice.+state.+changed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0"/>
        <v>"%USERPROFILE%\Documents\GitHub\eaglep3\Utilities\RefineRTDCRunTimes.py" --tripid 185-20 --locoid 4064 --swversion DE.1.0.9.0 --startMP 204:457 --initTime 2017-10-20T14:08:58 --startdatetime 2017-10-20T14:15:15 --delay 50 --endMP 204:233345 --enddatetime 2017-10-20T14:52:10 --enforcementcount 0 &gt;&gt;%USERPROFILE%\Documents\GitHub\eaglep3-reporting\EC\2017-10-20-refined-times.txt</v>
      </c>
      <c r="AI97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{"issue":{"subject":"","project_id":79,"tracker_id":40,"status_id":1,"priority_id":2,"assigned_to_id":338,"start_date":"2017-10-20","description":"","custom_fields":[{"id":1,"name":"Subdivision","value":"EC"},{"id":4,"name":"Milepost","value":"23.3345"},{"id":17,"name":"Train ID","value":"185-20"},{"id":16,"name":"Locomotive ID","value":"4064"},{"id":130,"name":"Impact","value":""},{"id":150,"name":"Time of Event (Mountain Time)","value":"14:52:10"},{"id":151,"name":"Denver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2"/>
        <v>start /low /b %USERPROFILE%\Documents\GitHub\eaglep3\Utilities\DownloadLogsFromS3.py --loco 4064 --day 2017-10-20</v>
      </c>
      <c r="AN97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20:52:10"},{"id":29,"name":"Sharepoint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14"/>
        <v>https://d0f6bd738d7f1b3e5a7ca70fe4ff75f0.us-east-1.aws.found.io/app/kibana#/discover/Steve-Slow-Train-Analysis-(2080s-and-2083s)?_g=(refreshInterval:(display:Off,pause:!f,section:0,value:0),time:(from:'2017-10-20T13:08:58-0600',mode:absolute,to:'2017-10-20T15:52:10-0600'))&amp;_a=(columns:!('Message%20ID',Summary),filters:!(),index:'emp_*',interval:auto,query:(query_string:(analyze_wildcard:!t,query:'%22rtdc.l.rtdc.4064%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645</v>
      </c>
      <c r="B98" s="7">
        <v>4063</v>
      </c>
      <c r="C98" s="21" t="s">
        <v>194</v>
      </c>
      <c r="D98" s="21" t="s">
        <v>910</v>
      </c>
      <c r="E98" s="13">
        <v>43028.628009259257</v>
      </c>
      <c r="F98" s="13">
        <v>43028.633506944447</v>
      </c>
      <c r="G98" s="7">
        <v>94</v>
      </c>
      <c r="H98" s="21" t="s">
        <v>363</v>
      </c>
      <c r="I98" s="13">
        <v>43028.660543981481</v>
      </c>
      <c r="J98" s="7">
        <v>0</v>
      </c>
      <c r="K98" s="89" t="str">
        <f>IF(ISEVEN(B98),(B98-1)&amp;"/"&amp;B98,B98&amp;"/"&amp;(B98+1))</f>
        <v>4063/4064</v>
      </c>
      <c r="L98" s="185" t="str">
        <f>VLOOKUP(A98,'Trips&amp;Operators'!$C$1:$G$99911,5,FALSE)</f>
        <v>BADERTSCHER DIANE</v>
      </c>
      <c r="M98" s="6">
        <f>I98-F98</f>
        <v>2.7037037034460809E-2</v>
      </c>
      <c r="N98" s="7">
        <f>24*60*SUM($M98:$M98)</f>
        <v>38.933333329623565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-20T14:04:20-0600',mode:absolute,to:'2017-10-20T16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23.300699999999999</v>
      </c>
      <c r="Z98" s="204">
        <f>RIGHT(H98,LEN(H98)-4)/10000</f>
        <v>1.3899999999999999E-2</v>
      </c>
      <c r="AA98" s="204">
        <f>ABS(Z98-Y98)</f>
        <v>23.286799999999999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/stypes="app*4063*20171020*" /stext=" 21:.+((SYSTEM_STATE.+slice.+state.+changed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0"/>
        <v>"%USERPROFILE%\Documents\GitHub\eaglep3\Utilities\RefineRTDCRunTimes.py" --tripid 186-20 --locoid 4063 --swversion DE.1.0.9.0 --startMP 204:233007 --initTime 2017-10-20T15:04:20 --startdatetime 2017-10-20T15:12:15 --delay 94 --endMP 204:139 --enddatetime 2017-10-20T15:51:11 --enforcementcount 0 &gt;&gt;%USERPROFILE%\Documents\GitHub\eaglep3-reporting\EC\2017-10-20-refined-times.txt</v>
      </c>
      <c r="AI98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{"issue":{"subject":"","project_id":79,"tracker_id":40,"status_id":1,"priority_id":2,"assigned_to_id":338,"start_date":"2017-10-20","description":"","custom_fields":[{"id":1,"name":"Subdivision","value":"EC"},{"id":4,"name":"Milepost","value":"0.0139"},{"id":17,"name":"Train ID","value":"186-20"},{"id":16,"name":"Locomotive ID","value":"4063"},{"id":130,"name":"Impact","value":""},{"id":150,"name":"Time of Event (Mountain Time)","value":"15:51:11"},{"id":151,"name":"Denver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2"/>
        <v>start /low /b %USERPROFILE%\Documents\GitHub\eaglep3\Utilities\DownloadLogsFromS3.py --loco 4063 --day 2017-10-20</v>
      </c>
      <c r="AN98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21:51:11"},{"id":29,"name":"Sharepoint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14"/>
        <v>https://d0f6bd738d7f1b3e5a7ca70fe4ff75f0.us-east-1.aws.found.io/app/kibana#/discover/Steve-Slow-Train-Analysis-(2080s-and-2083s)?_g=(refreshInterval:(display:Off,pause:!f,section:0,value:0),time:(from:'2017-10-20T14:04:20-0600',mode:absolute,to:'2017-10-20T16:51:11-0600'))&amp;_a=(columns:!('Message%20ID',Summary),filters:!(),index:'emp_*',interval:auto,query:(query_string:(analyze_wildcard:!t,query:'%22rtdc.l.rtdc.4063%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643</v>
      </c>
      <c r="B99" s="7">
        <v>4032</v>
      </c>
      <c r="C99" s="21" t="s">
        <v>194</v>
      </c>
      <c r="D99" s="21" t="s">
        <v>402</v>
      </c>
      <c r="E99" s="13">
        <v>43028.602141203701</v>
      </c>
      <c r="F99" s="13">
        <v>43028.604444444441</v>
      </c>
      <c r="G99" s="7">
        <v>48</v>
      </c>
      <c r="H99" s="21" t="s">
        <v>481</v>
      </c>
      <c r="I99" s="13">
        <v>43028.628877314812</v>
      </c>
      <c r="J99" s="7">
        <v>0</v>
      </c>
      <c r="K99" s="89" t="str">
        <f>IF(ISEVEN(B99),(B99-1)&amp;"/"&amp;B99,B99&amp;"/"&amp;(B99+1))</f>
        <v>4031/4032</v>
      </c>
      <c r="L99" s="185" t="str">
        <f>VLOOKUP(A99,'Trips&amp;Operators'!$C$1:$G$99911,5,FALSE)</f>
        <v>HOLCOMB KAMDEN</v>
      </c>
      <c r="M99" s="6">
        <f>I99-F99</f>
        <v>2.4432870370219462E-2</v>
      </c>
      <c r="N99" s="7">
        <f>24*60*SUM($M99:$M99)</f>
        <v>35.183333333116025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-10-20T13:27:05-0600',mode:absolute,to:'2017-10-20T16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4.4200000000000003E-2</v>
      </c>
      <c r="Z99" s="204">
        <f>RIGHT(H99,LEN(H99)-4)/10000</f>
        <v>23.331499999999998</v>
      </c>
      <c r="AA99" s="204">
        <f>ABS(Z99-Y99)</f>
        <v>23.287299999999998</v>
      </c>
      <c r="AB99" s="54" t="str">
        <f>VLOOKUP(A99,Enforcements!$C$7:$K$11,8,0)</f>
        <v>Bulletin (2)</v>
      </c>
      <c r="AC99" s="51" t="str">
        <f>VLOOKUP(A99,Enforcements!$C$7:$E$11,3,0)</f>
        <v>GRADE CROSSING</v>
      </c>
      <c r="AD99" s="179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s3://rtdc.mdm.uploadarchive.raw/RTDC4032/ "%USERPROFILE%\AppData\Local\Temp\OnboardLogs"\RTDC4032\2017-10-20 --exclude "*" --recursive --include "*20171020*" &amp; "%USERPROFILE%\Documents\GitHub\mrs-test-scripts\Headless Mode &amp; Sideloading\WalkAndUnGZ.bat" "%USERPROFILE%\AppData\Local\Temp\OnboardLogs"\RTDC4032\2017-10-20 &amp; aws s3 cp s3://rtdc.mdm.uploadarchive.raw/RTDC4032/ "%USERPROFILE%\AppData\Local\Temp\OnboardLogs"\RTDC4032\2017-10-21 --exclude "*" --recursive --include "*20171021*" &amp; "%USERPROFILE%\Documents\GitHub\mrs-test-scripts\Headless Mode &amp; Sideloading\WalkAndUnGZ.bat" "%USERPROFILE%\AppData\Local\Temp\OnboardLogs"\RTDC4032\2017-10-21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/stypes="app*4032*20171020*"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0"/>
        <v>"%USERPROFILE%\Documents\GitHub\eaglep3\Utilities\RefineRTDCRunTimes.py" --tripid 187-20 --locoid 4032 --swversion DE.1.0.9.0 --startMP 204:442 --initTime 2017-10-20T14:27:05 --startdatetime 2017-10-20T14:30:24 --delay 48 --endMP 204:233315 --enddatetime 2017-10-20T15:05:35 --enforcementcount 0 &gt;&gt;%USERPROFILE%\Documents\GitHub\eaglep3-reporting\EC\2017-10-20-refined-times.txt</v>
      </c>
      <c r="AI99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{"issue":{"subject":"","project_id":79,"tracker_id":40,"status_id":1,"priority_id":2,"assigned_to_id":338,"start_date":"2017-10-20","description":"","custom_fields":[{"id":1,"name":"Subdivision","value":"EC"},{"id":4,"name":"Milepost","value":"23.3315"},{"id":17,"name":"Train ID","value":"187-20"},{"id":16,"name":"Locomotive ID","value":"4032"},{"id":130,"name":"Impact","value":""},{"id":150,"name":"Time of Event (Mountain Time)","value":"15:05:35"},{"id":151,"name":"Denver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2"/>
        <v>start /low /b %USERPROFILE%\Documents\GitHub\eaglep3\Utilities\DownloadLogsFromS3.py --loco 4032 --day 2017-10-20</v>
      </c>
      <c r="AN99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21:05:35"},{"id":29,"name":"Sharepoint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4"/>
        <v>https://d0f6bd738d7f1b3e5a7ca70fe4ff75f0.us-east-1.aws.found.io/app/kibana#/discover/Steve-Slow-Train-Analysis-(2080s-and-2083s)?_g=(refreshInterval:(display:Off,pause:!f,section:0,value:0),time:(from:'2017-10-20T13:27:05-0600',mode:absolute,to:'2017-10-20T16:05:35-0600'))&amp;_a=(columns:!('Message%20ID',Summary),filters:!(),index:'emp_*',interval:auto,query:(query_string:(analyze_wildcard:!t,query:'%22rtdc.l.rtdc.4032%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788</v>
      </c>
      <c r="B100" s="7">
        <v>4031</v>
      </c>
      <c r="C100" s="21" t="s">
        <v>194</v>
      </c>
      <c r="D100" s="21" t="s">
        <v>911</v>
      </c>
      <c r="E100" s="13">
        <v>43028.63958333333</v>
      </c>
      <c r="F100" s="13">
        <v>43028.644004629627</v>
      </c>
      <c r="G100" s="7">
        <v>68</v>
      </c>
      <c r="H100" s="21" t="s">
        <v>452</v>
      </c>
      <c r="I100" s="13">
        <v>43028.66978009259</v>
      </c>
      <c r="J100" s="7">
        <v>0</v>
      </c>
      <c r="K100" s="89" t="str">
        <f>IF(ISEVEN(B100),(B100-1)&amp;"/"&amp;B100,B100&amp;"/"&amp;(B100+1))</f>
        <v>4031/4032</v>
      </c>
      <c r="L100" s="185" t="str">
        <f>VLOOKUP(A100,'Trips&amp;Operators'!$C$1:$G$99911,5,FALSE)</f>
        <v>HOLCOMB KAMDEN</v>
      </c>
      <c r="M100" s="6">
        <f>I100-F100</f>
        <v>2.5775462963792961E-2</v>
      </c>
      <c r="N100" s="7">
        <f>24*60*SUM($M100:$M100)</f>
        <v>37.116666667861864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-10-20T14:21:00-0600',mode:absolute,to:'2017-10-20T17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23.3004</v>
      </c>
      <c r="Z100" s="204">
        <f>RIGHT(H100,LEN(H100)-4)/10000</f>
        <v>1.32E-2</v>
      </c>
      <c r="AA100" s="204">
        <f>ABS(Z100-Y100)</f>
        <v>23.287199999999999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s3://rtdc.mdm.uploadarchive.raw/RTDC4031/ "%USERPROFILE%\AppData\Local\Temp\OnboardLogs"\RTDC4031\2017-10-20 --exclude "*" --recursive --include "*20171020*" &amp; "%USERPROFILE%\Documents\GitHub\mrs-test-scripts\Headless Mode &amp; Sideloading\WalkAndUnGZ.bat" "%USERPROFILE%\AppData\Local\Temp\OnboardLogs"\RTDC4031\2017-10-20 &amp; aws s3 cp s3://rtdc.mdm.uploadarchive.raw/RTDC4031/ "%USERPROFILE%\AppData\Local\Temp\OnboardLogs"\RTDC4031\2017-10-21 --exclude "*" --recursive --include "*20171021*" &amp; "%USERPROFILE%\Documents\GitHub\mrs-test-scripts\Headless Mode &amp; Sideloading\WalkAndUnGZ.bat" "%USERPROFILE%\AppData\Local\Temp\OnboardLogs"\RTDC4031\2017-10-21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/stypes="app*4031*20171020*" /stext=" 22:.+((SYSTEM_STATE.+slice.+state.+changed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0"/>
        <v>"%USERPROFILE%\Documents\GitHub\eaglep3\Utilities\RefineRTDCRunTimes.py" --tripid 188-20 --locoid 4031 --swversion DE.1.0.9.0 --startMP 204:233004 --initTime 2017-10-20T15:21:00 --startdatetime 2017-10-20T15:27:22 --delay 68 --endMP 204:132 --enddatetime 2017-10-20T16:04:29 --enforcementcount 0 &gt;&gt;%USERPROFILE%\Documents\GitHub\eaglep3-reporting\EC\2017-10-20-refined-times.txt</v>
      </c>
      <c r="AI100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{"issue":{"subject":"","project_id":79,"tracker_id":40,"status_id":1,"priority_id":2,"assigned_to_id":338,"start_date":"2017-10-20","description":"","custom_fields":[{"id":1,"name":"Subdivision","value":"EC"},{"id":4,"name":"Milepost","value":"0.0132"},{"id":17,"name":"Train ID","value":"188-20"},{"id":16,"name":"Locomotive ID","value":"4031"},{"id":130,"name":"Impact","value":""},{"id":150,"name":"Time of Event (Mountain Time)","value":"16:04:29"},{"id":151,"name":"Denver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12"/>
        <v>start /low /b %USERPROFILE%\Documents\GitHub\eaglep3\Utilities\DownloadLogsFromS3.py --loco 4031 --day 2017-10-20</v>
      </c>
      <c r="AN100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22:04:29"},{"id":29,"name":"Sharepoint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4"/>
        <v>https://d0f6bd738d7f1b3e5a7ca70fe4ff75f0.us-east-1.aws.found.io/app/kibana#/discover/Steve-Slow-Train-Analysis-(2080s-and-2083s)?_g=(refreshInterval:(display:Off,pause:!f,section:0,value:0),time:(from:'2017-10-20T14:21:00-0600',mode:absolute,to:'2017-10-20T17:04:29-0600'))&amp;_a=(columns:!('Message%20ID',Summary),filters:!(),index:'emp_*',interval:auto,query:(query_string:(analyze_wildcard:!t,query:'%22rtdc.l.rtdc.4031%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32" t="s">
        <v>782</v>
      </c>
      <c r="B101" s="7">
        <v>4026</v>
      </c>
      <c r="C101" s="21" t="s">
        <v>194</v>
      </c>
      <c r="D101" s="21" t="s">
        <v>373</v>
      </c>
      <c r="E101" s="13">
        <v>43028.611388888887</v>
      </c>
      <c r="F101" s="13">
        <v>43028.614768518521</v>
      </c>
      <c r="G101" s="7">
        <v>96</v>
      </c>
      <c r="H101" s="21" t="s">
        <v>902</v>
      </c>
      <c r="I101" s="13">
        <v>43028.639675925922</v>
      </c>
      <c r="J101" s="7">
        <v>0</v>
      </c>
      <c r="K101" s="89" t="str">
        <f>IF(ISEVEN(B101),(B101-1)&amp;"/"&amp;B101,B101&amp;"/"&amp;(B101+1))</f>
        <v>4025/4026</v>
      </c>
      <c r="L101" s="185" t="str">
        <f>VLOOKUP(A101,'Trips&amp;Operators'!$C$1:$G$99911,5,FALSE)</f>
        <v>SAFIEF AEIMEN</v>
      </c>
      <c r="M101" s="6">
        <f>I101-F101</f>
        <v>2.4907407401769888E-2</v>
      </c>
      <c r="N101" s="7">
        <f>24*60*SUM($M101:$M101)</f>
        <v>35.866666658548638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-20T13:40:24-0600',mode:absolute,to:'2017-10-20T16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4.5699999999999998E-2</v>
      </c>
      <c r="Z101" s="204">
        <f>RIGHT(H101,LEN(H101)-4)/10000</f>
        <v>23.3324</v>
      </c>
      <c r="AA101" s="204">
        <f>ABS(Z101-Y101)</f>
        <v>23.2867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s3://rtdc.mdm.uploadarchive.raw/RTDC4026/ "%USERPROFILE%\AppData\Local\Temp\OnboardLogs"\RTDC4026\2017-10-20 --exclude "*" --recursive --include "*20171020*" &amp; "%USERPROFILE%\Documents\GitHub\mrs-test-scripts\Headless Mode &amp; Sideloading\WalkAndUnGZ.bat" "%USERPROFILE%\AppData\Local\Temp\OnboardLogs"\RTDC4026\2017-10-20 &amp; aws s3 cp s3://rtdc.mdm.uploadarchive.raw/RTDC4026/ "%USERPROFILE%\AppData\Local\Temp\OnboardLogs"\RTDC4026\2017-10-21 --exclude "*" --recursive --include "*20171021*" &amp; "%USERPROFILE%\Documents\GitHub\mrs-test-scripts\Headless Mode &amp; Sideloading\WalkAndUnGZ.bat" "%USERPROFILE%\AppData\Local\Temp\OnboardLogs"\RTDC4026\2017-10-21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/stypes="app*4026*20171020*" /stext=" 21:.+((SYSTEM_STATE.+slice.+state.+changed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0"/>
        <v>"%USERPROFILE%\Documents\GitHub\eaglep3\Utilities\RefineRTDCRunTimes.py" --tripid 189-20 --locoid 4026 --swversion DE.1.0.9.0 --startMP 204:457 --initTime 2017-10-20T14:40:24 --startdatetime 2017-10-20T14:45:16 --delay 96 --endMP 204:233324 --enddatetime 2017-10-20T15:21:08 --enforcementcount 0 &gt;&gt;%USERPROFILE%\Documents\GitHub\eaglep3-reporting\EC\2017-10-20-refined-times.txt</v>
      </c>
      <c r="AI101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{"issue":{"subject":"","project_id":79,"tracker_id":40,"status_id":1,"priority_id":2,"assigned_to_id":338,"start_date":"2017-10-20","description":"","custom_fields":[{"id":1,"name":"Subdivision","value":"EC"},{"id":4,"name":"Milepost","value":"23.3324"},{"id":17,"name":"Train ID","value":"189-20"},{"id":16,"name":"Locomotive ID","value":"4026"},{"id":130,"name":"Impact","value":""},{"id":150,"name":"Time of Event (Mountain Time)","value":"15:21:08"},{"id":151,"name":"Denver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12"/>
        <v>start /low /b %USERPROFILE%\Documents\GitHub\eaglep3\Utilities\DownloadLogsFromS3.py --loco 4026 --day 2017-10-20</v>
      </c>
      <c r="AN101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21:21:08"},{"id":29,"name":"Sharepoint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4"/>
        <v>https://d0f6bd738d7f1b3e5a7ca70fe4ff75f0.us-east-1.aws.found.io/app/kibana#/discover/Steve-Slow-Train-Analysis-(2080s-and-2083s)?_g=(refreshInterval:(display:Off,pause:!f,section:0,value:0),time:(from:'2017-10-20T13:40:24-0600',mode:absolute,to:'2017-10-20T16:21:08-0600'))&amp;_a=(columns:!('Message%20ID',Summary),filters:!(),index:'emp_*',interval:auto,query:(query_string:(analyze_wildcard:!t,query:'%22rtdc.l.rtdc.4026%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3">
      <c r="A102" s="32" t="s">
        <v>647</v>
      </c>
      <c r="B102" s="7">
        <v>4025</v>
      </c>
      <c r="C102" s="21" t="s">
        <v>194</v>
      </c>
      <c r="D102" s="21" t="s">
        <v>907</v>
      </c>
      <c r="E102" s="13">
        <v>43028.64162037037</v>
      </c>
      <c r="F102" s="13">
        <v>43028.654548611114</v>
      </c>
      <c r="G102" s="7">
        <v>74</v>
      </c>
      <c r="H102" s="21" t="s">
        <v>354</v>
      </c>
      <c r="I102" s="13">
        <v>43028.680844907409</v>
      </c>
      <c r="J102" s="7">
        <v>0</v>
      </c>
      <c r="K102" s="89" t="str">
        <f>IF(ISEVEN(B102),(B102-1)&amp;"/"&amp;B102,B102&amp;"/"&amp;(B102+1))</f>
        <v>4025/4026</v>
      </c>
      <c r="L102" s="185" t="str">
        <f>VLOOKUP(A102,'Trips&amp;Operators'!$C$1:$G$99911,5,FALSE)</f>
        <v>SAFIEF AEIMEN</v>
      </c>
      <c r="M102" s="6">
        <f>I102-F102</f>
        <v>2.6296296295186039E-2</v>
      </c>
      <c r="N102" s="7">
        <f>24*60*SUM($M102:$M102)</f>
        <v>37.866666665067896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-20T14:23:56-0600',mode:absolute,to:'2017-10-20T17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23.3005</v>
      </c>
      <c r="Z102" s="204">
        <f>RIGHT(H102,LEN(H102)-4)/10000</f>
        <v>1.52E-2</v>
      </c>
      <c r="AA102" s="204">
        <f>ABS(Z102-Y102)</f>
        <v>23.285299999999999</v>
      </c>
      <c r="AB102" s="54" t="str">
        <f>VLOOKUP(A102,Enforcements!$C$7:$K$11,8,0)</f>
        <v>Bulletin (2)</v>
      </c>
      <c r="AC102" s="51" t="str">
        <f>VLOOKUP(A102,Enforcements!$C$7:$E$11,3,0)</f>
        <v>GRADE CROSSING</v>
      </c>
      <c r="AD102" s="179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s3://rtdc.mdm.uploadarchive.raw/RTDC4025/ "%USERPROFILE%\AppData\Local\Temp\OnboardLogs"\RTDC4025\2017-10-20 --exclude "*" --recursive --include "*20171020*" &amp; "%USERPROFILE%\Documents\GitHub\mrs-test-scripts\Headless Mode &amp; Sideloading\WalkAndUnGZ.bat" "%USERPROFILE%\AppData\Local\Temp\OnboardLogs"\RTDC4025\2017-10-20 &amp; aws s3 cp s3://rtdc.mdm.uploadarchive.raw/RTDC4025/ "%USERPROFILE%\AppData\Local\Temp\OnboardLogs"\RTDC4025\2017-10-21 --exclude "*" --recursive --include "*20171021*" &amp; "%USERPROFILE%\Documents\GitHub\mrs-test-scripts\Headless Mode &amp; Sideloading\WalkAndUnGZ.bat" "%USERPROFILE%\AppData\Local\Temp\OnboardLogs"\RTDC4025\2017-10-21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/stypes="app*4025*20171020*" /stext=" 22:.+((SYSTEM_STATE.+slice.+state.+changed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0"/>
        <v>"%USERPROFILE%\Documents\GitHub\eaglep3\Utilities\RefineRTDCRunTimes.py" --tripid 190-20 --locoid 4025 --swversion DE.1.0.9.0 --startMP 204:233005 --initTime 2017-10-20T15:23:56 --startdatetime 2017-10-20T15:42:33 --delay 74 --endMP 204:152 --enddatetime 2017-10-20T16:20:25 --enforcementcount 0 &gt;&gt;%USERPROFILE%\Documents\GitHub\eaglep3-reporting\EC\2017-10-20-refined-times.txt</v>
      </c>
      <c r="AI102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{"issue":{"subject":"","project_id":79,"tracker_id":40,"status_id":1,"priority_id":2,"assigned_to_id":338,"start_date":"2017-10-20","description":"","custom_fields":[{"id":1,"name":"Subdivision","value":"EC"},{"id":4,"name":"Milepost","value":"0.0152"},{"id":17,"name":"Train ID","value":"190-20"},{"id":16,"name":"Locomotive ID","value":"4025"},{"id":130,"name":"Impact","value":""},{"id":150,"name":"Time of Event (Mountain Time)","value":"16:20:25"},{"id":151,"name":"Denver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0"/>
      <c r="AK102" s="47"/>
      <c r="AL102" s="47"/>
      <c r="AM102" s="142" t="str">
        <f t="shared" si="12"/>
        <v>start /low /b %USERPROFILE%\Documents\GitHub\eaglep3\Utilities\DownloadLogsFromS3.py --loco 4025 --day 2017-10-20</v>
      </c>
      <c r="AN102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22:20:25"},{"id":29,"name":"Sharepoint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4"/>
        <v>https://d0f6bd738d7f1b3e5a7ca70fe4ff75f0.us-east-1.aws.found.io/app/kibana#/discover/Steve-Slow-Train-Analysis-(2080s-and-2083s)?_g=(refreshInterval:(display:Off,pause:!f,section:0,value:0),time:(from:'2017-10-20T14:23:56-0600',mode:absolute,to:'2017-10-20T17:20:25-0600'))&amp;_a=(columns:!('Message%20ID',Summary),filters:!(),index:'emp_*',interval:auto,query:(query_string:(analyze_wildcard:!t,query:'%22rtdc.l.rtdc.4025%22')),sort:!(Time.ISO8601,asc))</v>
      </c>
    </row>
    <row r="103" spans="1:91" s="20" customFormat="1" x14ac:dyDescent="0.3">
      <c r="A103" s="32" t="s">
        <v>784</v>
      </c>
      <c r="B103" s="7">
        <v>4044</v>
      </c>
      <c r="C103" s="21" t="s">
        <v>194</v>
      </c>
      <c r="D103" s="21" t="s">
        <v>344</v>
      </c>
      <c r="E103" s="13">
        <v>43028.620243055557</v>
      </c>
      <c r="F103" s="13">
        <v>43028.625162037039</v>
      </c>
      <c r="G103" s="7">
        <v>101</v>
      </c>
      <c r="H103" s="21" t="s">
        <v>491</v>
      </c>
      <c r="I103" s="13">
        <v>43028.649594907409</v>
      </c>
      <c r="J103" s="7">
        <v>0</v>
      </c>
      <c r="K103" s="89" t="str">
        <f>IF(ISEVEN(B103),(B103-1)&amp;"/"&amp;B103,B103&amp;"/"&amp;(B103+1))</f>
        <v>4043/4044</v>
      </c>
      <c r="L103" s="185" t="str">
        <f>VLOOKUP(A103,'Trips&amp;Operators'!$C$1:$G$99911,5,FALSE)</f>
        <v>BRUDER RICHARD</v>
      </c>
      <c r="M103" s="6">
        <f>I103-F103</f>
        <v>2.4432870370219462E-2</v>
      </c>
      <c r="N103" s="7">
        <f>24*60*SUM($M103:$M103)</f>
        <v>35.183333333116025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-20T13:53:09-0600',mode:absolute,to:'2017-10-20T16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4.5499999999999999E-2</v>
      </c>
      <c r="Z103" s="204">
        <f>RIGHT(H103,LEN(H103)-4)/10000</f>
        <v>23.3308</v>
      </c>
      <c r="AA103" s="204">
        <f>ABS(Z103-Y103)</f>
        <v>23.285299999999999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 &amp; aws s3 cp s3://rtdc.mdm.uploadarchive.raw/RTDC4044/ "%USERPROFILE%\AppData\Local\Temp\OnboardLogs"\RTDC4044\2017-10-21 --exclude "*" --recursive --include "*20171021*" &amp; "%USERPROFILE%\Documents\GitHub\mrs-test-scripts\Headless Mode &amp; Sideloading\WalkAndUnGZ.bat" "%USERPROFILE%\AppData\Local\Temp\OnboardLogs"\RTDC4044\2017-10-21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/stypes="app*4044*20171020*" /stext=" 21:.+((SYSTEM_STATE.+slice.+state.+changed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0"/>
        <v>"%USERPROFILE%\Documents\GitHub\eaglep3\Utilities\RefineRTDCRunTimes.py" --tripid 191-20 --locoid 4044 --swversion DE.1.0.9.0 --startMP 204:455 --initTime 2017-10-20T14:53:09 --startdatetime 2017-10-20T15:00:14 --delay 101 --endMP 204:233308 --enddatetime 2017-10-20T15:35:25 --enforcementcount 0 &gt;&gt;%USERPROFILE%\Documents\GitHub\eaglep3-reporting\EC\2017-10-20-refined-times.txt</v>
      </c>
      <c r="AI103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{"issue":{"subject":"","project_id":79,"tracker_id":40,"status_id":1,"priority_id":2,"assigned_to_id":338,"start_date":"2017-10-20","description":"","custom_fields":[{"id":1,"name":"Subdivision","value":"EC"},{"id":4,"name":"Milepost","value":"23.3308"},{"id":17,"name":"Train ID","value":"191-20"},{"id":16,"name":"Locomotive ID","value":"4044"},{"id":130,"name":"Impact","value":""},{"id":150,"name":"Time of Event (Mountain Time)","value":"15:35:25"},{"id":151,"name":"Denver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12"/>
        <v>start /low /b %USERPROFILE%\Documents\GitHub\eaglep3\Utilities\DownloadLogsFromS3.py --loco 4044 --day 2017-10-20</v>
      </c>
      <c r="AN103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21:35:25"},{"id":29,"name":"Sharepoint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4"/>
        <v>https://d0f6bd738d7f1b3e5a7ca70fe4ff75f0.us-east-1.aws.found.io/app/kibana#/discover/Steve-Slow-Train-Analysis-(2080s-and-2083s)?_g=(refreshInterval:(display:Off,pause:!f,section:0,value:0),time:(from:'2017-10-20T13:53:09-0600',mode:absolute,to:'2017-10-20T16:35:25-0600'))&amp;_a=(columns:!('Message%20ID',Summary),filters:!(),index:'emp_*',interval:auto,query:(query_string:(analyze_wildcard:!t,query:'%22rtdc.l.rtdc.4044%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793</v>
      </c>
      <c r="B104" s="7">
        <v>4043</v>
      </c>
      <c r="C104" s="21" t="s">
        <v>194</v>
      </c>
      <c r="D104" s="21" t="s">
        <v>400</v>
      </c>
      <c r="E104" s="13">
        <v>43028.661273148151</v>
      </c>
      <c r="F104" s="13">
        <v>43028.664780092593</v>
      </c>
      <c r="G104" s="7">
        <v>57</v>
      </c>
      <c r="H104" s="21" t="s">
        <v>595</v>
      </c>
      <c r="I104" s="13">
        <v>43028.690081018518</v>
      </c>
      <c r="J104" s="7">
        <v>0</v>
      </c>
      <c r="K104" s="89" t="str">
        <f>IF(ISEVEN(B104),(B104-1)&amp;"/"&amp;B104,B104&amp;"/"&amp;(B104+1))</f>
        <v>4043/4044</v>
      </c>
      <c r="L104" s="185" t="str">
        <f>VLOOKUP(A104,'Trips&amp;Operators'!$C$1:$G$99911,5,FALSE)</f>
        <v>BRUDER RICHARD</v>
      </c>
      <c r="M104" s="6">
        <f>I104-F104</f>
        <v>2.5300925924966577E-2</v>
      </c>
      <c r="N104" s="7">
        <f>24*60*SUM($M104:$M104)</f>
        <v>36.433333331951872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-10-20T14:52:14-0600',mode:absolute,to:'2017-10-20T17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23.299399999999999</v>
      </c>
      <c r="Z104" s="204">
        <f>RIGHT(H104,LEN(H104)-4)/10000</f>
        <v>1.6500000000000001E-2</v>
      </c>
      <c r="AA104" s="204">
        <f>ABS(Z104-Y104)</f>
        <v>23.282899999999998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 &amp; aws s3 cp s3://rtdc.mdm.uploadarchive.raw/RTDC4043/ "%USERPROFILE%\AppData\Local\Temp\OnboardLogs"\RTDC4043\2017-10-21 --exclude "*" --recursive --include "*20171021*" &amp; "%USERPROFILE%\Documents\GitHub\mrs-test-scripts\Headless Mode &amp; Sideloading\WalkAndUnGZ.bat" "%USERPROFILE%\AppData\Local\Temp\OnboardLogs"\RTDC4043\2017-10-21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/stypes="app*4043*20171020*" /stext=" 22:.+((SYSTEM_STATE.+slice.+state.+changed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0"/>
        <v>"%USERPROFILE%\Documents\GitHub\eaglep3\Utilities\RefineRTDCRunTimes.py" --tripid 192-20 --locoid 4043 --swversion DE.1.0.9.0 --startMP 204:232994 --initTime 2017-10-20T15:52:14 --startdatetime 2017-10-20T15:57:17 --delay 57 --endMP 204:165 --enddatetime 2017-10-20T16:33:43 --enforcementcount 0 &gt;&gt;%USERPROFILE%\Documents\GitHub\eaglep3-reporting\EC\2017-10-20-refined-times.txt</v>
      </c>
      <c r="AI104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{"issue":{"subject":"","project_id":79,"tracker_id":40,"status_id":1,"priority_id":2,"assigned_to_id":338,"start_date":"2017-10-20","description":"","custom_fields":[{"id":1,"name":"Subdivision","value":"EC"},{"id":4,"name":"Milepost","value":"0.0165"},{"id":17,"name":"Train ID","value":"192-20"},{"id":16,"name":"Locomotive ID","value":"4043"},{"id":130,"name":"Impact","value":""},{"id":150,"name":"Time of Event (Mountain Time)","value":"16:33:43"},{"id":151,"name":"Denver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2"/>
        <v>start /low /b %USERPROFILE%\Documents\GitHub\eaglep3\Utilities\DownloadLogsFromS3.py --loco 4043 --day 2017-10-20</v>
      </c>
      <c r="AN104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22:33:43"},{"id":29,"name":"Sharepoint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4"/>
        <v>https://d0f6bd738d7f1b3e5a7ca70fe4ff75f0.us-east-1.aws.found.io/app/kibana#/discover/Steve-Slow-Train-Analysis-(2080s-and-2083s)?_g=(refreshInterval:(display:Off,pause:!f,section:0,value:0),time:(from:'2017-10-20T14:52:14-0600',mode:absolute,to:'2017-10-20T17:33:43-0600'))&amp;_a=(columns:!('Message%20ID',Summary),filters:!(),index:'emp_*',interval:auto,query:(query_string:(analyze_wildcard:!t,query:'%22rtdc.l.rtdc.4043%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785</v>
      </c>
      <c r="B105" s="7">
        <v>4040</v>
      </c>
      <c r="C105" s="21" t="s">
        <v>194</v>
      </c>
      <c r="D105" s="21" t="s">
        <v>600</v>
      </c>
      <c r="E105" s="13">
        <v>43028.631203703706</v>
      </c>
      <c r="F105" s="13">
        <v>43028.635706018518</v>
      </c>
      <c r="G105" s="7">
        <v>59</v>
      </c>
      <c r="H105" s="21" t="s">
        <v>393</v>
      </c>
      <c r="I105" s="13">
        <v>43028.661365740743</v>
      </c>
      <c r="J105" s="7">
        <v>0</v>
      </c>
      <c r="K105" s="89" t="str">
        <f>IF(ISEVEN(B105),(B105-1)&amp;"/"&amp;B105,B105&amp;"/"&amp;(B105+1))</f>
        <v>4039/4040</v>
      </c>
      <c r="L105" s="185" t="str">
        <f>VLOOKUP(A105,'Trips&amp;Operators'!$C$1:$G$99911,5,FALSE)</f>
        <v>LEVERE CRAIG</v>
      </c>
      <c r="M105" s="6">
        <f>I105-F105</f>
        <v>2.5659722225100268E-2</v>
      </c>
      <c r="N105" s="7">
        <f>24*60*SUM($M105:$M105)</f>
        <v>36.950000004144385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-20T14:08:56-0600',mode:absolute,to:'2017-10-20T16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4.82E-2</v>
      </c>
      <c r="Z105" s="204">
        <f>RIGHT(H105,LEN(H105)-4)/10000</f>
        <v>23.331399999999999</v>
      </c>
      <c r="AA105" s="204">
        <f>ABS(Z105-Y105)</f>
        <v>23.283199999999997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s3://rtdc.mdm.uploadarchive.raw/RTDC4040/ "%USERPROFILE%\AppData\Local\Temp\OnboardLogs"\RTDC4040\2017-10-20 --exclude "*" --recursive --include "*20171020*" &amp; "%USERPROFILE%\Documents\GitHub\mrs-test-scripts\Headless Mode &amp; Sideloading\WalkAndUnGZ.bat" "%USERPROFILE%\AppData\Local\Temp\OnboardLogs"\RTDC4040\2017-10-20 &amp; aws s3 cp s3://rtdc.mdm.uploadarchive.raw/RTDC4040/ "%USERPROFILE%\AppData\Local\Temp\OnboardLogs"\RTDC4040\2017-10-21 --exclude "*" --recursive --include "*20171021*" &amp; "%USERPROFILE%\Documents\GitHub\mrs-test-scripts\Headless Mode &amp; Sideloading\WalkAndUnGZ.bat" "%USERPROFILE%\AppData\Local\Temp\OnboardLogs"\RTDC4040\2017-10-21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/stypes="app*4040*20171020*" /stext=" 21:.+((SYSTEM_STATE.+slice.+state.+changed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0"/>
        <v>"%USERPROFILE%\Documents\GitHub\eaglep3\Utilities\RefineRTDCRunTimes.py" --tripid 193-20 --locoid 4040 --swversion DE.1.0.9.0 --startMP 204:482 --initTime 2017-10-20T15:08:56 --startdatetime 2017-10-20T15:15:25 --delay 59 --endMP 204:233314 --enddatetime 2017-10-20T15:52:22 --enforcementcount 0 &gt;&gt;%USERPROFILE%\Documents\GitHub\eaglep3-reporting\EC\2017-10-20-refined-times.txt</v>
      </c>
      <c r="AI105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{"issue":{"subject":"","project_id":79,"tracker_id":40,"status_id":1,"priority_id":2,"assigned_to_id":338,"start_date":"2017-10-20","description":"","custom_fields":[{"id":1,"name":"Subdivision","value":"EC"},{"id":4,"name":"Milepost","value":"23.3314"},{"id":17,"name":"Train ID","value":"193-20"},{"id":16,"name":"Locomotive ID","value":"4040"},{"id":130,"name":"Impact","value":""},{"id":150,"name":"Time of Event (Mountain Time)","value":"15:52:22"},{"id":151,"name":"Denver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2"/>
        <v>start /low /b %USERPROFILE%\Documents\GitHub\eaglep3\Utilities\DownloadLogsFromS3.py --loco 4040 --day 2017-10-20</v>
      </c>
      <c r="AN105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21:52:22"},{"id":29,"name":"Sharepoint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14"/>
        <v>https://d0f6bd738d7f1b3e5a7ca70fe4ff75f0.us-east-1.aws.found.io/app/kibana#/discover/Steve-Slow-Train-Analysis-(2080s-and-2083s)?_g=(refreshInterval:(display:Off,pause:!f,section:0,value:0),time:(from:'2017-10-20T14:08:56-0600',mode:absolute,to:'2017-10-20T16:52:22-0600'))&amp;_a=(columns:!('Message%20ID',Summary),filters:!(),index:'emp_*',interval:auto,query:(query_string:(analyze_wildcard:!t,query:'%22rtdc.l.rtdc.4040%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797</v>
      </c>
      <c r="B106" s="7">
        <v>4039</v>
      </c>
      <c r="C106" s="21" t="s">
        <v>194</v>
      </c>
      <c r="D106" s="21" t="s">
        <v>488</v>
      </c>
      <c r="E106" s="13">
        <v>43028.669687499998</v>
      </c>
      <c r="F106" s="13">
        <v>43028.675150462965</v>
      </c>
      <c r="G106" s="7">
        <v>58</v>
      </c>
      <c r="H106" s="21" t="s">
        <v>354</v>
      </c>
      <c r="I106" s="13">
        <v>43028.702465277776</v>
      </c>
      <c r="J106" s="7">
        <v>0</v>
      </c>
      <c r="K106" s="89" t="str">
        <f>IF(ISEVEN(B106),(B106-1)&amp;"/"&amp;B106,B106&amp;"/"&amp;(B106+1))</f>
        <v>4039/4040</v>
      </c>
      <c r="L106" s="185" t="str">
        <f>VLOOKUP(A106,'Trips&amp;Operators'!$C$1:$G$99911,5,FALSE)</f>
        <v>LEVERE CRAIG</v>
      </c>
      <c r="M106" s="6">
        <f>I106-F106</f>
        <v>2.7314814811688848E-2</v>
      </c>
      <c r="N106" s="7">
        <f>24*60*SUM($M106:$M106)</f>
        <v>39.333333328831941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-10-20T15:04:21-0600',mode:absolute,to:'2017-10-20T17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23.298400000000001</v>
      </c>
      <c r="Z106" s="204">
        <f>RIGHT(H106,LEN(H106)-4)/10000</f>
        <v>1.52E-2</v>
      </c>
      <c r="AA106" s="204">
        <f>ABS(Z106-Y106)</f>
        <v>23.283200000000001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s3://rtdc.mdm.uploadarchive.raw/RTDC4039/ "%USERPROFILE%\AppData\Local\Temp\OnboardLogs"\RTDC4039\2017-10-20 --exclude "*" --recursive --include "*20171020*" &amp; "%USERPROFILE%\Documents\GitHub\mrs-test-scripts\Headless Mode &amp; Sideloading\WalkAndUnGZ.bat" "%USERPROFILE%\AppData\Local\Temp\OnboardLogs"\RTDC4039\2017-10-20 &amp; aws s3 cp s3://rtdc.mdm.uploadarchive.raw/RTDC4039/ "%USERPROFILE%\AppData\Local\Temp\OnboardLogs"\RTDC4039\2017-10-21 --exclude "*" --recursive --include "*20171021*" &amp; "%USERPROFILE%\Documents\GitHub\mrs-test-scripts\Headless Mode &amp; Sideloading\WalkAndUnGZ.bat" "%USERPROFILE%\AppData\Local\Temp\OnboardLogs"\RTDC4039\2017-10-21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/stypes="app*4039*20171020*" /stext=" 22:.+((SYSTEM_STATE.+slice.+state.+changed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0"/>
        <v>"%USERPROFILE%\Documents\GitHub\eaglep3\Utilities\RefineRTDCRunTimes.py" --tripid 194-20 --locoid 4039 --swversion DE.1.0.9.0 --startMP 204:232984 --initTime 2017-10-20T16:04:21 --startdatetime 2017-10-20T16:12:13 --delay 58 --endMP 204:152 --enddatetime 2017-10-20T16:51:33 --enforcementcount 0 &gt;&gt;%USERPROFILE%\Documents\GitHub\eaglep3-reporting\EC\2017-10-20-refined-times.txt</v>
      </c>
      <c r="AI106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{"issue":{"subject":"","project_id":79,"tracker_id":40,"status_id":1,"priority_id":2,"assigned_to_id":338,"start_date":"2017-10-20","description":"","custom_fields":[{"id":1,"name":"Subdivision","value":"EC"},{"id":4,"name":"Milepost","value":"0.0152"},{"id":17,"name":"Train ID","value":"194-20"},{"id":16,"name":"Locomotive ID","value":"4039"},{"id":130,"name":"Impact","value":""},{"id":150,"name":"Time of Event (Mountain Time)","value":"16:51:33"},{"id":151,"name":"Denver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2"/>
        <v>start /low /b %USERPROFILE%\Documents\GitHub\eaglep3\Utilities\DownloadLogsFromS3.py --loco 4039 --day 2017-10-20</v>
      </c>
      <c r="AN106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22:51:33"},{"id":29,"name":"Sharepoint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4"/>
        <v>https://d0f6bd738d7f1b3e5a7ca70fe4ff75f0.us-east-1.aws.found.io/app/kibana#/discover/Steve-Slow-Train-Analysis-(2080s-and-2083s)?_g=(refreshInterval:(display:Off,pause:!f,section:0,value:0),time:(from:'2017-10-20T15:04:21-0600',mode:absolute,to:'2017-10-20T17:51:33-0600'))&amp;_a=(columns:!('Message%20ID',Summary),filters:!(),index:'emp_*',interval:auto,query:(query_string:(analyze_wildcard:!t,query:'%22rtdc.l.rtdc.4039%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789</v>
      </c>
      <c r="B107" s="7">
        <v>4056</v>
      </c>
      <c r="C107" s="21" t="s">
        <v>194</v>
      </c>
      <c r="D107" s="21" t="s">
        <v>338</v>
      </c>
      <c r="E107" s="13">
        <v>43028.641006944446</v>
      </c>
      <c r="F107" s="13">
        <v>43028.646099537036</v>
      </c>
      <c r="G107" s="7">
        <v>50</v>
      </c>
      <c r="H107" s="21" t="s">
        <v>912</v>
      </c>
      <c r="I107" s="13">
        <v>43028.670856481483</v>
      </c>
      <c r="J107" s="7">
        <v>0</v>
      </c>
      <c r="K107" s="89" t="str">
        <f>IF(ISEVEN(B107),(B107-1)&amp;"/"&amp;B107,B107&amp;"/"&amp;(B107+1))</f>
        <v>4055/4056</v>
      </c>
      <c r="L107" s="185" t="str">
        <f>VLOOKUP(A107,'Trips&amp;Operators'!$C$1:$G$99911,5,FALSE)</f>
        <v>FORTUNATO FRANK</v>
      </c>
      <c r="M107" s="6">
        <f>I107-F107</f>
        <v>2.4756944447290152E-2</v>
      </c>
      <c r="N107" s="7">
        <f>24*60*SUM($M107:$M107)</f>
        <v>35.650000004097819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-20T14:23:03-0600',mode:absolute,to:'2017-10-20T17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4.53E-2</v>
      </c>
      <c r="Z107" s="204">
        <f>RIGHT(H107,LEN(H107)-4)/10000</f>
        <v>23.332899999999999</v>
      </c>
      <c r="AA107" s="204">
        <f>ABS(Z107-Y107)</f>
        <v>23.287599999999998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/stypes="app*4056*20171020*"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0"/>
        <v>"%USERPROFILE%\Documents\GitHub\eaglep3\Utilities\RefineRTDCRunTimes.py" --tripid 195-20 --locoid 4056 --swversion DE.1.0.9.0 --startMP 204:453 --initTime 2017-10-20T15:23:03 --startdatetime 2017-10-20T15:30:23 --delay 50 --endMP 204:233329 --enddatetime 2017-10-20T16:06:02 --enforcementcount 0 &gt;&gt;%USERPROFILE%\Documents\GitHub\eaglep3-reporting\EC\2017-10-20-refined-times.txt</v>
      </c>
      <c r="AI107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{"issue":{"subject":"","project_id":79,"tracker_id":40,"status_id":1,"priority_id":2,"assigned_to_id":338,"start_date":"2017-10-20","description":"","custom_fields":[{"id":1,"name":"Subdivision","value":"EC"},{"id":4,"name":"Milepost","value":"23.3329"},{"id":17,"name":"Train ID","value":"195-20"},{"id":16,"name":"Locomotive ID","value":"4056"},{"id":130,"name":"Impact","value":""},{"id":150,"name":"Time of Event (Mountain Time)","value":"16:06:02"},{"id":151,"name":"Denver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2"/>
        <v>start /low /b %USERPROFILE%\Documents\GitHub\eaglep3\Utilities\DownloadLogsFromS3.py --loco 4056 --day 2017-10-20</v>
      </c>
      <c r="AN107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22:06:02"},{"id":29,"name":"Sharepoint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14"/>
        <v>https://d0f6bd738d7f1b3e5a7ca70fe4ff75f0.us-east-1.aws.found.io/app/kibana#/discover/Steve-Slow-Train-Analysis-(2080s-and-2083s)?_g=(refreshInterval:(display:Off,pause:!f,section:0,value:0),time:(from:'2017-10-20T14:23:03-0600',mode:absolute,to:'2017-10-20T17:06:02-0600'))&amp;_a=(columns:!('Message%20ID',Summary),filters:!(),index:'emp_*',interval:auto,query:(query_string:(analyze_wildcard:!t,query:'%22rtdc.l.rtdc.4056%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799</v>
      </c>
      <c r="B108" s="7">
        <v>4055</v>
      </c>
      <c r="C108" s="21" t="s">
        <v>194</v>
      </c>
      <c r="D108" s="21" t="s">
        <v>606</v>
      </c>
      <c r="E108" s="13">
        <v>43028.673958333333</v>
      </c>
      <c r="F108" s="13">
        <v>43028.685543981483</v>
      </c>
      <c r="G108" s="7">
        <v>59</v>
      </c>
      <c r="H108" s="21" t="s">
        <v>363</v>
      </c>
      <c r="I108" s="13">
        <v>43028.712395833332</v>
      </c>
      <c r="J108" s="7">
        <v>0</v>
      </c>
      <c r="K108" s="89" t="str">
        <f>IF(ISEVEN(B108),(B108-1)&amp;"/"&amp;B108,B108&amp;"/"&amp;(B108+1))</f>
        <v>4055/4056</v>
      </c>
      <c r="L108" s="185" t="str">
        <f>VLOOKUP(A108,'Trips&amp;Operators'!$C$1:$G$99911,5,FALSE)</f>
        <v>FORTUNATO FRANK</v>
      </c>
      <c r="M108" s="6">
        <f>I108-F108</f>
        <v>2.6851851849642117E-2</v>
      </c>
      <c r="N108" s="7">
        <f>24*60*SUM($M108:$M108)</f>
        <v>38.666666663484648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-10-20T15:10:30-0600',mode:absolute,to:'2017-10-20T18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23.3017</v>
      </c>
      <c r="Z108" s="204">
        <f>RIGHT(H108,LEN(H108)-4)/10000</f>
        <v>1.3899999999999999E-2</v>
      </c>
      <c r="AA108" s="204">
        <f>ABS(Z108-Y108)</f>
        <v>23.287800000000001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s3://rtdc.mdm.uploadarchive.raw/RTDC4055/ "%USERPROFILE%\AppData\Local\Temp\OnboardLogs"\RTDC4055\2017-10-20 --exclude "*" --recursive --include "*20171020*" &amp; "%USERPROFILE%\Documents\GitHub\mrs-test-scripts\Headless Mode &amp; Sideloading\WalkAndUnGZ.bat" "%USERPROFILE%\AppData\Local\Temp\OnboardLogs"\RTDC4055\2017-10-20 &amp; aws s3 cp s3://rtdc.mdm.uploadarchive.raw/RTDC4055/ "%USERPROFILE%\AppData\Local\Temp\OnboardLogs"\RTDC4055\2017-10-21 --exclude "*" --recursive --include "*20171021*" &amp; "%USERPROFILE%\Documents\GitHub\mrs-test-scripts\Headless Mode &amp; Sideloading\WalkAndUnGZ.bat" "%USERPROFILE%\AppData\Local\Temp\OnboardLogs"\RTDC4055\2017-10-21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/stypes="app*4055*20171020*" /stext=" 23:.+((SYSTEM_STATE.+slice.+state.+changed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0"/>
        <v>"%USERPROFILE%\Documents\GitHub\eaglep3\Utilities\RefineRTDCRunTimes.py" --tripid 196-20 --locoid 4055 --swversion DE.1.0.9.0 --startMP 204:233017 --initTime 2017-10-20T16:10:30 --startdatetime 2017-10-20T16:27:11 --delay 59 --endMP 204:139 --enddatetime 2017-10-20T17:05:51 --enforcementcount 0 &gt;&gt;%USERPROFILE%\Documents\GitHub\eaglep3-reporting\EC\2017-10-20-refined-times.txt</v>
      </c>
      <c r="AI108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{"issue":{"subject":"","project_id":79,"tracker_id":40,"status_id":1,"priority_id":2,"assigned_to_id":338,"start_date":"2017-10-20","description":"","custom_fields":[{"id":1,"name":"Subdivision","value":"EC"},{"id":4,"name":"Milepost","value":"0.0139"},{"id":17,"name":"Train ID","value":"196-20"},{"id":16,"name":"Locomotive ID","value":"4055"},{"id":130,"name":"Impact","value":""},{"id":150,"name":"Time of Event (Mountain Time)","value":"17:05:51"},{"id":151,"name":"Denver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2"/>
        <v>start /low /b %USERPROFILE%\Documents\GitHub\eaglep3\Utilities\DownloadLogsFromS3.py --loco 4055 --day 2017-10-20</v>
      </c>
      <c r="AN108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23:05:51"},{"id":29,"name":"Sharepoint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4"/>
        <v>https://d0f6bd738d7f1b3e5a7ca70fe4ff75f0.us-east-1.aws.found.io/app/kibana#/discover/Steve-Slow-Train-Analysis-(2080s-and-2083s)?_g=(refreshInterval:(display:Off,pause:!f,section:0,value:0),time:(from:'2017-10-20T15:10:30-0600',mode:absolute,to:'2017-10-20T18:05:51-0600'))&amp;_a=(columns:!('Message%20ID',Summary),filters:!(),index:'emp_*',interval:auto,query:(query_string:(analyze_wildcard:!t,query:'%22rtdc.l.rtdc.4055%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792</v>
      </c>
      <c r="B109" s="7">
        <v>4016</v>
      </c>
      <c r="C109" s="21" t="s">
        <v>194</v>
      </c>
      <c r="D109" s="21" t="s">
        <v>396</v>
      </c>
      <c r="E109" s="13">
        <v>43028.653634259259</v>
      </c>
      <c r="F109" s="13">
        <v>43028.656597222223</v>
      </c>
      <c r="G109" s="7">
        <v>50</v>
      </c>
      <c r="H109" s="21" t="s">
        <v>913</v>
      </c>
      <c r="I109" s="13">
        <v>43028.681909722225</v>
      </c>
      <c r="J109" s="7">
        <v>0</v>
      </c>
      <c r="K109" s="89" t="str">
        <f>IF(ISEVEN(B109),(B109-1)&amp;"/"&amp;B109,B109&amp;"/"&amp;(B109+1))</f>
        <v>4015/4016</v>
      </c>
      <c r="L109" s="185" t="str">
        <f>VLOOKUP(A109,'Trips&amp;Operators'!$C$1:$G$99911,5,FALSE)</f>
        <v>LEVIN SCOTT</v>
      </c>
      <c r="M109" s="6">
        <f>I109-F109</f>
        <v>2.531250000174623E-2</v>
      </c>
      <c r="N109" s="7">
        <f>24*60*SUM($M109:$M109)</f>
        <v>36.450000002514571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-10-20T14:41:14-0600',mode:absolute,to:'2017-10-20T17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4.6399999999999997E-2</v>
      </c>
      <c r="Z109" s="204">
        <f>RIGHT(H109,LEN(H109)-4)/10000</f>
        <v>23.334099999999999</v>
      </c>
      <c r="AA109" s="204">
        <f>ABS(Z109-Y109)</f>
        <v>23.287700000000001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 &amp; 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/stypes="app*4016*20171020*" /stext=" 22:.+((SYSTEM_STATE.+slice.+state.+changed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0"/>
        <v>"%USERPROFILE%\Documents\GitHub\eaglep3\Utilities\RefineRTDCRunTimes.py" --tripid 197-20 --locoid 4016 --swversion DE.1.0.9.0 --startMP 204:464 --initTime 2017-10-20T15:41:14 --startdatetime 2017-10-20T15:45:30 --delay 50 --endMP 204:233341 --enddatetime 2017-10-20T16:21:57 --enforcementcount 0 &gt;&gt;%USERPROFILE%\Documents\GitHub\eaglep3-reporting\EC\2017-10-20-refined-times.txt</v>
      </c>
      <c r="AI109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{"issue":{"subject":"","project_id":79,"tracker_id":40,"status_id":1,"priority_id":2,"assigned_to_id":338,"start_date":"2017-10-20","description":"","custom_fields":[{"id":1,"name":"Subdivision","value":"EC"},{"id":4,"name":"Milepost","value":"23.3341"},{"id":17,"name":"Train ID","value":"197-20"},{"id":16,"name":"Locomotive ID","value":"4016"},{"id":130,"name":"Impact","value":""},{"id":150,"name":"Time of Event (Mountain Time)","value":"16:21:57"},{"id":151,"name":"Denver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2"/>
        <v>start /low /b %USERPROFILE%\Documents\GitHub\eaglep3\Utilities\DownloadLogsFromS3.py --loco 4016 --day 2017-10-20</v>
      </c>
      <c r="AN109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22:21:57"},{"id":29,"name":"Sharepoint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4"/>
        <v>https://d0f6bd738d7f1b3e5a7ca70fe4ff75f0.us-east-1.aws.found.io/app/kibana#/discover/Steve-Slow-Train-Analysis-(2080s-and-2083s)?_g=(refreshInterval:(display:Off,pause:!f,section:0,value:0),time:(from:'2017-10-20T14:41:14-0600',mode:absolute,to:'2017-10-20T17:21:57-0600'))&amp;_a=(columns:!('Message%20ID',Summary),filters:!(),index:'emp_*',interval:auto,query:(query_string:(analyze_wildcard:!t,query:'%22rtdc.l.rtdc.4016%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803</v>
      </c>
      <c r="B110" s="7">
        <v>4015</v>
      </c>
      <c r="C110" s="21" t="s">
        <v>194</v>
      </c>
      <c r="D110" s="21" t="s">
        <v>914</v>
      </c>
      <c r="E110" s="13">
        <v>43028.691736111112</v>
      </c>
      <c r="F110" s="13">
        <v>43028.69599537037</v>
      </c>
      <c r="G110" s="7">
        <v>63</v>
      </c>
      <c r="H110" s="21" t="s">
        <v>339</v>
      </c>
      <c r="I110" s="13">
        <v>43028.723310185182</v>
      </c>
      <c r="J110" s="7">
        <v>0</v>
      </c>
      <c r="K110" s="89" t="str">
        <f>IF(ISEVEN(B110),(B110-1)&amp;"/"&amp;B110,B110&amp;"/"&amp;(B110+1))</f>
        <v>4015/4016</v>
      </c>
      <c r="L110" s="185" t="str">
        <f>VLOOKUP(A110,'Trips&amp;Operators'!$C$1:$G$99911,5,FALSE)</f>
        <v>LEVIN SCOTT</v>
      </c>
      <c r="M110" s="6">
        <f>I110-F110</f>
        <v>2.7314814811688848E-2</v>
      </c>
      <c r="N110" s="7">
        <f>24*60*SUM($M110:$M110)</f>
        <v>39.333333328831941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-20T15:36:06-0600',mode:absolute,to:'2017-10-20T18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23.304600000000001</v>
      </c>
      <c r="Z110" s="204">
        <f>RIGHT(H110,LEN(H110)-4)/10000</f>
        <v>1.47E-2</v>
      </c>
      <c r="AA110" s="204">
        <f>ABS(Z110-Y110)</f>
        <v>23.289899999999999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 &amp; 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/stypes="app*4015*20171020*" /stext=" 23:.+((SYSTEM_STATE.+slice.+state.+changed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0"/>
        <v>"%USERPROFILE%\Documents\GitHub\eaglep3\Utilities\RefineRTDCRunTimes.py" --tripid 198-20 --locoid 4015 --swversion DE.1.0.9.0 --startMP 204:233046 --initTime 2017-10-20T16:36:06 --startdatetime 2017-10-20T16:42:14 --delay 63 --endMP 204:147 --enddatetime 2017-10-20T17:21:34 --enforcementcount 0 &gt;&gt;%USERPROFILE%\Documents\GitHub\eaglep3-reporting\EC\2017-10-20-refined-times.txt</v>
      </c>
      <c r="AI110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{"issue":{"subject":"","project_id":79,"tracker_id":40,"status_id":1,"priority_id":2,"assigned_to_id":338,"start_date":"2017-10-20","description":"","custom_fields":[{"id":1,"name":"Subdivision","value":"EC"},{"id":4,"name":"Milepost","value":"0.0147"},{"id":17,"name":"Train ID","value":"198-20"},{"id":16,"name":"Locomotive ID","value":"4015"},{"id":130,"name":"Impact","value":""},{"id":150,"name":"Time of Event (Mountain Time)","value":"17:21:34"},{"id":151,"name":"Denver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2"/>
        <v>start /low /b %USERPROFILE%\Documents\GitHub\eaglep3\Utilities\DownloadLogsFromS3.py --loco 4015 --day 2017-10-20</v>
      </c>
      <c r="AN110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23:21:34"},{"id":29,"name":"Sharepoint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4"/>
        <v>https://d0f6bd738d7f1b3e5a7ca70fe4ff75f0.us-east-1.aws.found.io/app/kibana#/discover/Steve-Slow-Train-Analysis-(2080s-and-2083s)?_g=(refreshInterval:(display:Off,pause:!f,section:0,value:0),time:(from:'2017-10-20T15:36:06-0600',mode:absolute,to:'2017-10-20T18:21:34-0600'))&amp;_a=(columns:!('Message%20ID',Summary),filters:!(),index:'emp_*',interval:auto,query:(query_string:(analyze_wildcard:!t,query:'%22rtdc.l.rtdc.4015%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794</v>
      </c>
      <c r="B111" s="7">
        <v>4064</v>
      </c>
      <c r="C111" s="21" t="s">
        <v>194</v>
      </c>
      <c r="D111" s="21" t="s">
        <v>361</v>
      </c>
      <c r="E111" s="13">
        <v>43028.662442129629</v>
      </c>
      <c r="F111" s="13">
        <v>43028.666828703703</v>
      </c>
      <c r="G111" s="7">
        <v>50</v>
      </c>
      <c r="H111" s="21" t="s">
        <v>493</v>
      </c>
      <c r="I111" s="13">
        <v>43028.692314814813</v>
      </c>
      <c r="J111" s="7">
        <v>0</v>
      </c>
      <c r="K111" s="89" t="str">
        <f>IF(ISEVEN(B111),(B111-1)&amp;"/"&amp;B111,B111&amp;"/"&amp;(B111+1))</f>
        <v>4063/4064</v>
      </c>
      <c r="L111" s="185" t="str">
        <f>VLOOKUP(A111,'Trips&amp;Operators'!$C$1:$G$99911,5,FALSE)</f>
        <v>BADERTSCHER DIANE</v>
      </c>
      <c r="M111" s="6">
        <f>I111-F111</f>
        <v>2.548611110978527E-2</v>
      </c>
      <c r="N111" s="7">
        <f>24*60*SUM($M111:$M111)</f>
        <v>36.699999998090789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-10-20T14:53:55-0600',mode:absolute,to:'2017-10-20T17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4.5999999999999999E-2</v>
      </c>
      <c r="Z111" s="204">
        <f>RIGHT(H111,LEN(H111)-4)/10000</f>
        <v>23.331700000000001</v>
      </c>
      <c r="AA111" s="204">
        <f>ABS(Z111-Y111)</f>
        <v>23.285700000000002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>VALUE(LEFT(A111,LEN(A111)-3))</f>
        <v>199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s3://rtdc.mdm.uploadarchive.raw/RTDC4064/ "%USERPROFILE%\AppData\Local\Temp\OnboardLogs"\RTDC4064\2017-10-20 --exclude "*" --recursive --include "*20171020*" &amp; "%USERPROFILE%\Documents\GitHub\mrs-test-scripts\Headless Mode &amp; Sideloading\WalkAndUnGZ.bat" "%USERPROFILE%\AppData\Local\Temp\OnboardLogs"\RTDC4064\2017-10-20 &amp; aws s3 cp s3://rtdc.mdm.uploadarchive.raw/RTDC4064/ "%USERPROFILE%\AppData\Local\Temp\OnboardLogs"\RTDC4064\2017-10-21 --exclude "*" --recursive --include "*20171021*" &amp; "%USERPROFILE%\Documents\GitHub\mrs-test-scripts\Headless Mode &amp; Sideloading\WalkAndUnGZ.bat" "%USERPROFILE%\AppData\Local\Temp\OnboardLogs"\RTDC4064\2017-10-21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/stypes="app*4064*20171020*" /stext=" 22:.+((SYSTEM_STATE.+slice.+state.+changed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0"/>
        <v>"%USERPROFILE%\Documents\GitHub\eaglep3\Utilities\RefineRTDCRunTimes.py" --tripid 199-20 --locoid 4064 --swversion DE.1.0.9.0 --startMP 204:460 --initTime 2017-10-20T15:53:55 --startdatetime 2017-10-20T16:00:14 --delay 50 --endMP 204:233317 --enddatetime 2017-10-20T16:36:56 --enforcementcount 0 &gt;&gt;%USERPROFILE%\Documents\GitHub\eaglep3-reporting\EC\2017-10-20-refined-times.txt</v>
      </c>
      <c r="AI111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{"issue":{"subject":"","project_id":79,"tracker_id":40,"status_id":1,"priority_id":2,"assigned_to_id":338,"start_date":"2017-10-20","description":"","custom_fields":[{"id":1,"name":"Subdivision","value":"EC"},{"id":4,"name":"Milepost","value":"23.3317"},{"id":17,"name":"Train ID","value":"199-20"},{"id":16,"name":"Locomotive ID","value":"4064"},{"id":130,"name":"Impact","value":""},{"id":150,"name":"Time of Event (Mountain Time)","value":"16:36:56"},{"id":151,"name":"Denver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2"/>
        <v>start /low /b %USERPROFILE%\Documents\GitHub\eaglep3\Utilities\DownloadLogsFromS3.py --loco 4064 --day 2017-10-20</v>
      </c>
      <c r="AN111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22:36:56"},{"id":29,"name":"Sharepoint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4"/>
        <v>https://d0f6bd738d7f1b3e5a7ca70fe4ff75f0.us-east-1.aws.found.io/app/kibana#/discover/Steve-Slow-Train-Analysis-(2080s-and-2083s)?_g=(refreshInterval:(display:Off,pause:!f,section:0,value:0),time:(from:'2017-10-20T14:53:55-0600',mode:absolute,to:'2017-10-20T17:36:56-0600'))&amp;_a=(columns:!('Message%20ID',Summary),filters:!(),index:'emp_*',interval:auto,query:(query_string:(analyze_wildcard:!t,query:'%22rtdc.l.rtdc.4064%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648</v>
      </c>
      <c r="B112" s="7">
        <v>4063</v>
      </c>
      <c r="C112" s="21" t="s">
        <v>194</v>
      </c>
      <c r="D112" s="21" t="s">
        <v>915</v>
      </c>
      <c r="E112" s="13">
        <v>43028.723645833335</v>
      </c>
      <c r="F112" s="13">
        <v>43028.706562500003</v>
      </c>
      <c r="G112" s="7">
        <v>39</v>
      </c>
      <c r="H112" s="21" t="s">
        <v>335</v>
      </c>
      <c r="I112" s="13">
        <v>43028.737638888888</v>
      </c>
      <c r="J112" s="7">
        <v>0</v>
      </c>
      <c r="K112" s="89" t="str">
        <f>IF(ISEVEN(B112),(B112-1)&amp;"/"&amp;B112,B112&amp;"/"&amp;(B112+1))</f>
        <v>4063/4064</v>
      </c>
      <c r="L112" s="185" t="str">
        <f>VLOOKUP(A112,'Trips&amp;Operators'!$C$1:$G$99911,5,FALSE)</f>
        <v>BADERTSCHER DIANE</v>
      </c>
      <c r="M112" s="6">
        <f>I112-F112</f>
        <v>3.1076388884685002E-2</v>
      </c>
      <c r="N112" s="7">
        <f>24*60*SUM($M112:$M112)</f>
        <v>44.749999993946403</v>
      </c>
      <c r="O112" s="7"/>
      <c r="P112" s="7"/>
      <c r="Q112" s="22"/>
      <c r="R112" s="174" t="s">
        <v>1049</v>
      </c>
      <c r="S112" s="221">
        <f>1/IF(AG112="EC",12,1)*SUM(U112:U113)</f>
        <v>1</v>
      </c>
      <c r="T112" s="174" t="str">
        <f>IF(ISEVEN(LEFT(AD112,4)),"Southbound","NorthBound")</f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9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-20T16:22:03-0600',mode:absolute,to:'2017-10-20T18:42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2" s="204" t="str">
        <f>IF(AA112&lt;VLOOKUP(AG112,Variables!$AC$3:$AD$8,2,FALSE),"Y","N")</f>
        <v>Y</v>
      </c>
      <c r="X112" s="204">
        <f>VALUE(LEFT(AD112,4))-VALUE(LEFT(AD111,4))</f>
        <v>1</v>
      </c>
      <c r="Y112" s="204">
        <f>RIGHT(D112,LEN(D112)-4)/10000</f>
        <v>6.7257999999999996</v>
      </c>
      <c r="Z112" s="204">
        <f>RIGHT(H112,LEN(H112)-4)/10000</f>
        <v>1.4999999999999999E-2</v>
      </c>
      <c r="AA112" s="204">
        <f>ABS(Z112-Y112)</f>
        <v>6.7107999999999999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>VALUE(LEFT(A112,LEN(A112)-3))</f>
        <v>200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/stypes="app*4063*20171020*" /stext=" 23:.+((SYSTEM_STATE.+slice.+state.+changed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0"/>
        <v>"%USERPROFILE%\Documents\GitHub\eaglep3\Utilities\RefineRTDCRunTimes.py" --tripid 200-20 --locoid 4063 --swversion DE.1.0.9.0 --startMP 204:67258 --initTime 2017-10-20T17:22:03 --startdatetime 2017-10-20T16:57:27 --delay 39 --endMP 204:150 --enddatetime 2017-10-20T17:42:12 --enforcementcount 0 &gt;&gt;%USERPROFILE%\Documents\GitHub\eaglep3-reporting\EC\2017-10-20-refined-times.txt</v>
      </c>
      <c r="AI112" s="96" t="str">
        <f t="shared" si="11"/>
        <v>echo {"issue":{"subject":"Premature downgrade at CP Sand Creek 4S","project_id":79,"tracker_id":40,"status_id":1,"priority_id":2,"assigned_to_id":338,"start_date":"2017-10-20","description":"","custom_fields":[{"id":1,"name":"Subdivision","value":"EC"},{"id":4,"name":"Milepost","value":"0.015"},{"id":17,"name":"Train ID","value":"200-20"},{"id":16,"name":"Locomotive ID","value":"4063"},{"id":130,"name":"Impact","value":""},{"id":150,"name":"Time of Event (Mountain Time)","value":"17:42:12"},{"id":151,"name":"Denver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2"/>
        <v>start /low /b %USERPROFILE%\Documents\GitHub\eaglep3\Utilities\DownloadLogsFromS3.py --loco 4063 --day 2017-10-20</v>
      </c>
      <c r="AN112" s="151" t="str">
        <f t="shared" si="13"/>
        <v>echo {"issue":{"subject":"Premature downgrade at CP Sand Creek 4S","project_id":30,"tracker_id":4,"status_id":1,"priority_id":1,"assigned_to_id":10,"start_date":"2017-10-20","description":"","custom_fields":[{"id":30,"name":"Category","value":"Issue"},{"id":3,"name":"Functional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23:42:12"},{"id":29,"name":"Sharepoint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4"/>
        <v>https://d0f6bd738d7f1b3e5a7ca70fe4ff75f0.us-east-1.aws.found.io/app/kibana#/discover/Steve-Slow-Train-Analysis-(2080s-and-2083s)?_g=(refreshInterval:(display:Off,pause:!f,section:0,value:0),time:(from:'2017-10-20T16:22:03-0600',mode:absolute,to:'2017-10-20T18:42:12-0600'))&amp;_a=(columns:!('Message%20ID',Summary),filters:!(),index:'emp_*',interval:auto,query:(query_string:(analyze_wildcard:!t,query:'%22rtdc.l.rtdc.4063%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648</v>
      </c>
      <c r="B113" s="7">
        <v>4063</v>
      </c>
      <c r="C113" s="21" t="s">
        <v>194</v>
      </c>
      <c r="D113" s="21" t="s">
        <v>896</v>
      </c>
      <c r="E113" s="13">
        <v>43028.699513888889</v>
      </c>
      <c r="F113" s="13">
        <v>43028.724942129629</v>
      </c>
      <c r="G113" s="7">
        <v>49</v>
      </c>
      <c r="H113" s="21" t="s">
        <v>915</v>
      </c>
      <c r="I113" s="13">
        <v>43028.737638888888</v>
      </c>
      <c r="J113" s="7">
        <v>0</v>
      </c>
      <c r="K113" s="89" t="str">
        <f>IF(ISEVEN(B113),(B113-1)&amp;"/"&amp;B113,B113&amp;"/"&amp;(B113+1))</f>
        <v>4063/4064</v>
      </c>
      <c r="L113" s="185" t="str">
        <f>VLOOKUP(A113,'Trips&amp;Operators'!$C$1:$G$99911,5,FALSE)</f>
        <v>BADERTSCHER DIANE</v>
      </c>
      <c r="M113" s="6">
        <f>I113-F113</f>
        <v>1.2696759258687962E-2</v>
      </c>
      <c r="N113" s="7"/>
      <c r="O113" s="7"/>
      <c r="P113" s="7"/>
      <c r="Q113" s="22"/>
      <c r="R113" s="174"/>
      <c r="S113" s="221"/>
      <c r="T113" s="174" t="str">
        <f>IF(ISEVEN(LEFT(AD113,4)),"Southbound","NorthBound")</f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3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-20T15:47:18-0600',mode:absolute,to:'2017-10-20T18:42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3" s="204" t="str">
        <f>IF(AA113&lt;VLOOKUP(AG113,Variables!$AC$3:$AD$8,2,FALSE),"Y","N")</f>
        <v>Y</v>
      </c>
      <c r="X113" s="204">
        <f>VALUE(LEFT(AD113,4))-VALUE(LEFT(AD112,4))</f>
        <v>0</v>
      </c>
      <c r="Y113" s="204">
        <f>RIGHT(D113,LEN(D113)-4)/10000</f>
        <v>23.300599999999999</v>
      </c>
      <c r="Z113" s="204">
        <f>RIGHT(H113,LEN(H113)-4)/10000</f>
        <v>6.7257999999999996</v>
      </c>
      <c r="AA113" s="204">
        <f>ABS(Z113-Y113)</f>
        <v>16.5748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/stypes="app*4063*20171020*" /stext=" 23:.+((SYSTEM_STATE.+slice.+state.+changed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0"/>
        <v>"%USERPROFILE%\Documents\GitHub\eaglep3\Utilities\RefineRTDCRunTimes.py" --tripid 200-20 --locoid 4063 --swversion DE.1.0.9.0 --startMP 204:233006 --initTime 2017-10-20T16:47:18 --startdatetime 2017-10-20T17:23:55 --delay 49 --endMP 204:67258 --enddatetime 2017-10-20T17:42:12 --enforcementcount 0 &gt;&gt;%USERPROFILE%\Documents\GitHub\eaglep3-reporting\EC\2017-10-20-refined-times.txt</v>
      </c>
      <c r="AI113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{"issue":{"subject":"","project_id":79,"tracker_id":40,"status_id":1,"priority_id":2,"assigned_to_id":338,"start_date":"2017-10-20","description":"","custom_fields":[{"id":1,"name":"Subdivision","value":"EC"},{"id":4,"name":"Milepost","value":"6.7258"},{"id":17,"name":"Train ID","value":"200-20"},{"id":16,"name":"Locomotive ID","value":"4063"},{"id":130,"name":"Impact","value":""},{"id":150,"name":"Time of Event (Mountain Time)","value":"17:42:12"},{"id":151,"name":"Denver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2"/>
        <v>start /low /b %USERPROFILE%\Documents\GitHub\eaglep3\Utilities\DownloadLogsFromS3.py --loco 4063 --day 2017-10-20</v>
      </c>
      <c r="AN113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23:42:12"},{"id":29,"name":"Sharepoint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14"/>
        <v>https://d0f6bd738d7f1b3e5a7ca70fe4ff75f0.us-east-1.aws.found.io/app/kibana#/discover/Steve-Slow-Train-Analysis-(2080s-and-2083s)?_g=(refreshInterval:(display:Off,pause:!f,section:0,value:0),time:(from:'2017-10-20T15:47:18-0600',mode:absolute,to:'2017-10-20T18:42:12-0600'))&amp;_a=(columns:!('Message%20ID',Summary),filters:!(),index:'emp_*',interval:auto,query:(query_string:(analyze_wildcard:!t,query:'%22rtdc.l.rtdc.4063%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798</v>
      </c>
      <c r="B114" s="7">
        <v>4032</v>
      </c>
      <c r="C114" s="21" t="s">
        <v>194</v>
      </c>
      <c r="D114" s="21" t="s">
        <v>410</v>
      </c>
      <c r="E114" s="13">
        <v>43028.67386574074</v>
      </c>
      <c r="F114" s="13">
        <v>43028.677314814813</v>
      </c>
      <c r="G114" s="7">
        <v>50</v>
      </c>
      <c r="H114" s="21" t="s">
        <v>393</v>
      </c>
      <c r="I114" s="13">
        <v>43028.703668981485</v>
      </c>
      <c r="J114" s="7">
        <v>0</v>
      </c>
      <c r="K114" s="89" t="str">
        <f>IF(ISEVEN(B114),(B114-1)&amp;"/"&amp;B114,B114&amp;"/"&amp;(B114+1))</f>
        <v>4031/4032</v>
      </c>
      <c r="L114" s="185" t="str">
        <f>VLOOKUP(A114,'Trips&amp;Operators'!$C$1:$G$99911,5,FALSE)</f>
        <v>HOLCOMB KAMDEN</v>
      </c>
      <c r="M114" s="6">
        <f>I114-F114</f>
        <v>2.6354166671808343E-2</v>
      </c>
      <c r="N114" s="7">
        <f>24*60*SUM($M114:$M114)</f>
        <v>37.950000007404014</v>
      </c>
      <c r="O114" s="7"/>
      <c r="P114" s="7"/>
      <c r="Q114" s="22"/>
      <c r="R114" s="174" t="s">
        <v>1058</v>
      </c>
      <c r="S114" s="221">
        <f>1/IF(AG114="EC",12,1)*SUM(U114:U114)</f>
        <v>1</v>
      </c>
      <c r="T114" s="174" t="str">
        <f>IF(ISEVEN(LEFT(AD114,4)),"Southbound","NorthBound")</f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-20T15:10:22-0600',mode:absolute,to:'2017-10-20T17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4.3799999999999999E-2</v>
      </c>
      <c r="Z114" s="204">
        <f>RIGHT(H114,LEN(H114)-4)/10000</f>
        <v>23.331399999999999</v>
      </c>
      <c r="AA114" s="204">
        <f>ABS(Z114-Y114)</f>
        <v>23.287599999999998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s3://rtdc.mdm.uploadarchive.raw/RTDC4032/ "%USERPROFILE%\AppData\Local\Temp\OnboardLogs"\RTDC4032\2017-10-20 --exclude "*" --recursive --include "*20171020*" &amp; "%USERPROFILE%\Documents\GitHub\mrs-test-scripts\Headless Mode &amp; Sideloading\WalkAndUnGZ.bat" "%USERPROFILE%\AppData\Local\Temp\OnboardLogs"\RTDC4032\2017-10-20 &amp; aws s3 cp s3://rtdc.mdm.uploadarchive.raw/RTDC4032/ "%USERPROFILE%\AppData\Local\Temp\OnboardLogs"\RTDC4032\2017-10-21 --exclude "*" --recursive --include "*20171021*" &amp; "%USERPROFILE%\Documents\GitHub\mrs-test-scripts\Headless Mode &amp; Sideloading\WalkAndUnGZ.bat" "%USERPROFILE%\AppData\Local\Temp\OnboardLogs"\RTDC4032\2017-10-21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/stypes="app*4032*20171020*" /stext=" 22:.+((SYSTEM_STATE.+slice.+state.+changed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0"/>
        <v>"%USERPROFILE%\Documents\GitHub\eaglep3\Utilities\RefineRTDCRunTimes.py" --tripid 201-20 --locoid 4032 --swversion DE.1.0.9.0 --startMP 204:438 --initTime 2017-10-20T16:10:22 --startdatetime 2017-10-20T16:15:20 --delay 50 --endMP 204:233314 --enddatetime 2017-10-20T16:53:17 --enforcementcount 0 &gt;&gt;%USERPROFILE%\Documents\GitHub\eaglep3-reporting\EC\2017-10-20-refined-times.txt</v>
      </c>
      <c r="AI114" s="96" t="str">
        <f t="shared" si="11"/>
        <v>echo {"issue":{"subject":"Wi-MAX data drop, observed unhealthy crossing banner","project_id":79,"tracker_id":40,"status_id":1,"priority_id":2,"assigned_to_id":338,"start_date":"2017-10-20","description":"","custom_fields":[{"id":1,"name":"Subdivision","value":"EC"},{"id":4,"name":"Milepost","value":"23.3314"},{"id":17,"name":"Train ID","value":"201-20"},{"id":16,"name":"Locomotive ID","value":"4032"},{"id":130,"name":"Impact","value":""},{"id":150,"name":"Time of Event (Mountain Time)","value":"16:53:17"},{"id":151,"name":"Denver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2"/>
        <v>start /low /b %USERPROFILE%\Documents\GitHub\eaglep3\Utilities\DownloadLogsFromS3.py --loco 4032 --day 2017-10-20</v>
      </c>
      <c r="AN114" s="151" t="str">
        <f t="shared" si="13"/>
        <v>echo {"issue":{"subject":"Wi-MAX data drop, observed unhealthy crossing banner","project_id":30,"tracker_id":4,"status_id":1,"priority_id":1,"assigned_to_id":10,"start_date":"2017-10-20","description":"","custom_fields":[{"id":30,"name":"Category","value":"Issue"},{"id":3,"name":"Functional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22:53:17"},{"id":29,"name":"Sharepoint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14"/>
        <v>https://d0f6bd738d7f1b3e5a7ca70fe4ff75f0.us-east-1.aws.found.io/app/kibana#/discover/Steve-Slow-Train-Analysis-(2080s-and-2083s)?_g=(refreshInterval:(display:Off,pause:!f,section:0,value:0),time:(from:'2017-10-20T15:10:22-0600',mode:absolute,to:'2017-10-20T17:53:17-0600'))&amp;_a=(columns:!('Message%20ID',Summary),filters:!(),index:'emp_*',interval:auto,query:(query_string:(analyze_wildcard:!t,query:'%22rtdc.l.rtdc.4032%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809</v>
      </c>
      <c r="B115" s="7">
        <v>4031</v>
      </c>
      <c r="C115" s="21" t="s">
        <v>194</v>
      </c>
      <c r="D115" s="21" t="s">
        <v>492</v>
      </c>
      <c r="E115" s="13">
        <v>43028.712650462963</v>
      </c>
      <c r="F115" s="13">
        <v>43028.716886574075</v>
      </c>
      <c r="G115" s="7">
        <v>55</v>
      </c>
      <c r="H115" s="21" t="s">
        <v>337</v>
      </c>
      <c r="I115" s="13">
        <v>43028.742824074077</v>
      </c>
      <c r="J115" s="7">
        <v>0</v>
      </c>
      <c r="K115" s="89" t="str">
        <f>IF(ISEVEN(B115),(B115-1)&amp;"/"&amp;B115,B115&amp;"/"&amp;(B115+1))</f>
        <v>4031/4032</v>
      </c>
      <c r="L115" s="185" t="str">
        <f>VLOOKUP(A115,'Trips&amp;Operators'!$C$1:$G$99911,5,FALSE)</f>
        <v>HOLCOMB KAMDEN</v>
      </c>
      <c r="M115" s="6">
        <f>I115-F115</f>
        <v>2.5937500002328306E-2</v>
      </c>
      <c r="N115" s="7">
        <f>24*60*SUM($M115:$M115)</f>
        <v>37.350000003352761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-10-20T16:06:13-0600',mode:absolute,to:'2017-10-20T18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23.3</v>
      </c>
      <c r="Z115" s="204">
        <f>RIGHT(H115,LEN(H115)-4)/10000</f>
        <v>1.43E-2</v>
      </c>
      <c r="AA115" s="204">
        <f>ABS(Z115-Y115)</f>
        <v>23.285700000000002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s3://rtdc.mdm.uploadarchive.raw/RTDC4031/ "%USERPROFILE%\AppData\Local\Temp\OnboardLogs"\RTDC4031\2017-10-20 --exclude "*" --recursive --include "*20171020*" &amp; "%USERPROFILE%\Documents\GitHub\mrs-test-scripts\Headless Mode &amp; Sideloading\WalkAndUnGZ.bat" "%USERPROFILE%\AppData\Local\Temp\OnboardLogs"\RTDC4031\2017-10-20 &amp; aws s3 cp s3://rtdc.mdm.uploadarchive.raw/RTDC4031/ "%USERPROFILE%\AppData\Local\Temp\OnboardLogs"\RTDC4031\2017-10-21 --exclude "*" --recursive --include "*20171021*" &amp; "%USERPROFILE%\Documents\GitHub\mrs-test-scripts\Headless Mode &amp; Sideloading\WalkAndUnGZ.bat" "%USERPROFILE%\AppData\Local\Temp\OnboardLogs"\RTDC4031\2017-10-21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/stypes="app*4031*20171020*"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0"/>
        <v>"%USERPROFILE%\Documents\GitHub\eaglep3\Utilities\RefineRTDCRunTimes.py" --tripid 202-20 --locoid 4031 --swversion DE.1.0.9.0 --startMP 204:233000 --initTime 2017-10-20T17:06:13 --startdatetime 2017-10-20T17:12:19 --delay 55 --endMP 204:143 --enddatetime 2017-10-20T17:49:40 --enforcementcount 0 &gt;&gt;%USERPROFILE%\Documents\GitHub\eaglep3-reporting\EC\2017-10-20-refined-times.txt</v>
      </c>
      <c r="AI115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{"issue":{"subject":"","project_id":79,"tracker_id":40,"status_id":1,"priority_id":2,"assigned_to_id":338,"start_date":"2017-10-20","description":"","custom_fields":[{"id":1,"name":"Subdivision","value":"EC"},{"id":4,"name":"Milepost","value":"0.0143"},{"id":17,"name":"Train ID","value":"202-20"},{"id":16,"name":"Locomotive ID","value":"4031"},{"id":130,"name":"Impact","value":""},{"id":150,"name":"Time of Event (Mountain Time)","value":"17:49:40"},{"id":151,"name":"Denver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2"/>
        <v>start /low /b %USERPROFILE%\Documents\GitHub\eaglep3\Utilities\DownloadLogsFromS3.py --loco 4031 --day 2017-10-20</v>
      </c>
      <c r="AN115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23:49:40"},{"id":29,"name":"Sharepoint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4"/>
        <v>https://d0f6bd738d7f1b3e5a7ca70fe4ff75f0.us-east-1.aws.found.io/app/kibana#/discover/Steve-Slow-Train-Analysis-(2080s-and-2083s)?_g=(refreshInterval:(display:Off,pause:!f,section:0,value:0),time:(from:'2017-10-20T16:06:13-0600',mode:absolute,to:'2017-10-20T18:49:40-0600'))&amp;_a=(columns:!('Message%20ID',Summary),filters:!(),index:'emp_*',interval:auto,query:(query_string:(analyze_wildcard:!t,query:'%22rtdc.l.rtdc.4031%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800</v>
      </c>
      <c r="B116" s="7">
        <v>4026</v>
      </c>
      <c r="C116" s="21" t="s">
        <v>194</v>
      </c>
      <c r="D116" s="21" t="s">
        <v>608</v>
      </c>
      <c r="E116" s="13">
        <v>43028.684872685182</v>
      </c>
      <c r="F116" s="13">
        <v>43028.687673611108</v>
      </c>
      <c r="G116" s="7">
        <v>72</v>
      </c>
      <c r="H116" s="21" t="s">
        <v>393</v>
      </c>
      <c r="I116" s="13">
        <v>43028.712638888886</v>
      </c>
      <c r="J116" s="7">
        <v>0</v>
      </c>
      <c r="K116" s="89" t="str">
        <f>IF(ISEVEN(B116),(B116-1)&amp;"/"&amp;B116,B116&amp;"/"&amp;(B116+1))</f>
        <v>4025/4026</v>
      </c>
      <c r="L116" s="185" t="str">
        <f>VLOOKUP(A116,'Trips&amp;Operators'!$C$1:$G$99911,5,FALSE)</f>
        <v>SAFIEF AEIMEN</v>
      </c>
      <c r="M116" s="6">
        <f>I116-F116</f>
        <v>2.4965277778392192E-2</v>
      </c>
      <c r="N116" s="7">
        <f>24*60*SUM($M116:$M116)</f>
        <v>35.950000000884756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-10-20T15:26:13-0600',mode:absolute,to:'2017-10-20T18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4.2700000000000002E-2</v>
      </c>
      <c r="Z116" s="204">
        <f>RIGHT(H116,LEN(H116)-4)/10000</f>
        <v>23.331399999999999</v>
      </c>
      <c r="AA116" s="204">
        <f>ABS(Z116-Y116)</f>
        <v>23.288699999999999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s3://rtdc.mdm.uploadarchive.raw/RTDC4026/ "%USERPROFILE%\AppData\Local\Temp\OnboardLogs"\RTDC4026\2017-10-20 --exclude "*" --recursive --include "*20171020*" &amp; "%USERPROFILE%\Documents\GitHub\mrs-test-scripts\Headless Mode &amp; Sideloading\WalkAndUnGZ.bat" "%USERPROFILE%\AppData\Local\Temp\OnboardLogs"\RTDC4026\2017-10-20 &amp; aws s3 cp s3://rtdc.mdm.uploadarchive.raw/RTDC4026/ "%USERPROFILE%\AppData\Local\Temp\OnboardLogs"\RTDC4026\2017-10-21 --exclude "*" --recursive --include "*20171021*" &amp; "%USERPROFILE%\Documents\GitHub\mrs-test-scripts\Headless Mode &amp; Sideloading\WalkAndUnGZ.bat" "%USERPROFILE%\AppData\Local\Temp\OnboardLogs"\RTDC4026\2017-10-21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/stypes="app*4026*20171020*" /stext=" 23:.+((SYSTEM_STATE.+slice.+state.+changed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0"/>
        <v>"%USERPROFILE%\Documents\GitHub\eaglep3\Utilities\RefineRTDCRunTimes.py" --tripid 203-20 --locoid 4026 --swversion DE.1.0.9.0 --startMP 204:427 --initTime 2017-10-20T16:26:13 --startdatetime 2017-10-20T16:30:15 --delay 72 --endMP 204:233314 --enddatetime 2017-10-20T17:06:12 --enforcementcount 0 &gt;&gt;%USERPROFILE%\Documents\GitHub\eaglep3-reporting\EC\2017-10-20-refined-times.txt</v>
      </c>
      <c r="AI116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{"issue":{"subject":"","project_id":79,"tracker_id":40,"status_id":1,"priority_id":2,"assigned_to_id":338,"start_date":"2017-10-20","description":"","custom_fields":[{"id":1,"name":"Subdivision","value":"EC"},{"id":4,"name":"Milepost","value":"23.3314"},{"id":17,"name":"Train ID","value":"203-20"},{"id":16,"name":"Locomotive ID","value":"4026"},{"id":130,"name":"Impact","value":""},{"id":150,"name":"Time of Event (Mountain Time)","value":"17:06:12"},{"id":151,"name":"Denver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2"/>
        <v>start /low /b %USERPROFILE%\Documents\GitHub\eaglep3\Utilities\DownloadLogsFromS3.py --loco 4026 --day 2017-10-20</v>
      </c>
      <c r="AN116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23:06:12"},{"id":29,"name":"Sharepoint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4"/>
        <v>https://d0f6bd738d7f1b3e5a7ca70fe4ff75f0.us-east-1.aws.found.io/app/kibana#/discover/Steve-Slow-Train-Analysis-(2080s-and-2083s)?_g=(refreshInterval:(display:Off,pause:!f,section:0,value:0),time:(from:'2017-10-20T15:26:13-0600',mode:absolute,to:'2017-10-20T18:06:12-0600'))&amp;_a=(columns:!('Message%20ID',Summary),filters:!(),index:'emp_*',interval:auto,query:(query_string:(analyze_wildcard:!t,query:'%22rtdc.l.rtdc.4026%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811</v>
      </c>
      <c r="B117" s="7">
        <v>4025</v>
      </c>
      <c r="C117" s="21" t="s">
        <v>194</v>
      </c>
      <c r="D117" s="21" t="s">
        <v>450</v>
      </c>
      <c r="E117" s="13">
        <v>43028.714629629627</v>
      </c>
      <c r="F117" s="13">
        <v>43028.727256944447</v>
      </c>
      <c r="G117" s="7">
        <v>53</v>
      </c>
      <c r="H117" s="21" t="s">
        <v>916</v>
      </c>
      <c r="I117" s="13">
        <v>43028.753344907411</v>
      </c>
      <c r="J117" s="7">
        <v>0</v>
      </c>
      <c r="K117" s="89" t="str">
        <f>IF(ISEVEN(B117),(B117-1)&amp;"/"&amp;B117,B117&amp;"/"&amp;(B117+1))</f>
        <v>4025/4026</v>
      </c>
      <c r="L117" s="185" t="str">
        <f>VLOOKUP(A117,'Trips&amp;Operators'!$C$1:$G$99911,5,FALSE)</f>
        <v>SAFIEF AEIMEN</v>
      </c>
      <c r="M117" s="6">
        <f>I117-F117</f>
        <v>2.6087962964083999E-2</v>
      </c>
      <c r="N117" s="7">
        <f>24*60*SUM($M117:$M117)</f>
        <v>37.566666668280959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-20T16:09:04-0600',mode:absolute,to:'2017-10-20T19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23.3002</v>
      </c>
      <c r="Z117" s="204">
        <f>RIGHT(H117,LEN(H117)-4)/10000</f>
        <v>1.7999999999999999E-2</v>
      </c>
      <c r="AA117" s="204">
        <f>ABS(Z117-Y117)</f>
        <v>23.2822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s3://rtdc.mdm.uploadarchive.raw/RTDC4025/ "%USERPROFILE%\AppData\Local\Temp\OnboardLogs"\RTDC4025\2017-10-20 --exclude "*" --recursive --include "*20171020*" &amp; "%USERPROFILE%\Documents\GitHub\mrs-test-scripts\Headless Mode &amp; Sideloading\WalkAndUnGZ.bat" "%USERPROFILE%\AppData\Local\Temp\OnboardLogs"\RTDC4025\2017-10-20 &amp; aws s3 cp s3://rtdc.mdm.uploadarchive.raw/RTDC4025/ "%USERPROFILE%\AppData\Local\Temp\OnboardLogs"\RTDC4025\2017-10-21 --exclude "*" --recursive --include "*20171021*" &amp; "%USERPROFILE%\Documents\GitHub\mrs-test-scripts\Headless Mode &amp; Sideloading\WalkAndUnGZ.bat" "%USERPROFILE%\AppData\Local\Temp\OnboardLogs"\RTDC4025\2017-10-21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/stypes="app*4025*20171021*" /stext=" 00:.+((SYSTEM_STATE.+slice.+state.+changed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0"/>
        <v>"%USERPROFILE%\Documents\GitHub\eaglep3\Utilities\RefineRTDCRunTimes.py" --tripid 204-20 --locoid 4025 --swversion DE.1.0.9.0 --startMP 204:233002 --initTime 2017-10-20T17:09:04 --startdatetime 2017-10-20T17:27:15 --delay 53 --endMP 204:180 --enddatetime 2017-10-20T18:04:49 --enforcementcount 0 &gt;&gt;%USERPROFILE%\Documents\GitHub\eaglep3-reporting\EC\2017-10-20-refined-times.txt</v>
      </c>
      <c r="AI117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{"issue":{"subject":"","project_id":79,"tracker_id":40,"status_id":1,"priority_id":2,"assigned_to_id":338,"start_date":"2017-10-20","description":"","custom_fields":[{"id":1,"name":"Subdivision","value":"EC"},{"id":4,"name":"Milepost","value":"0.018"},{"id":17,"name":"Train ID","value":"204-20"},{"id":16,"name":"Locomotive ID","value":"4025"},{"id":130,"name":"Impact","value":""},{"id":150,"name":"Time of Event (Mountain Time)","value":"18:04:49"},{"id":151,"name":"Denver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2"/>
        <v>start /low /b %USERPROFILE%\Documents\GitHub\eaglep3\Utilities\DownloadLogsFromS3.py --loco 4025 --day 2017-10-20</v>
      </c>
      <c r="AN117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14"/>
        <v>https://d0f6bd738d7f1b3e5a7ca70fe4ff75f0.us-east-1.aws.found.io/app/kibana#/discover/Steve-Slow-Train-Analysis-(2080s-and-2083s)?_g=(refreshInterval:(display:Off,pause:!f,section:0,value:0),time:(from:'2017-10-20T16:09:04-0600',mode:absolute,to:'2017-10-20T19:04:49-0600'))&amp;_a=(columns:!('Message%20ID',Summary),filters:!(),index:'emp_*',interval:auto,query:(query_string:(analyze_wildcard:!t,query:'%22rtdc.l.rtdc.4025%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804</v>
      </c>
      <c r="B118" s="7">
        <v>4044</v>
      </c>
      <c r="C118" s="21" t="s">
        <v>194</v>
      </c>
      <c r="D118" s="21" t="s">
        <v>366</v>
      </c>
      <c r="E118" s="13">
        <v>43028.693541666667</v>
      </c>
      <c r="F118" s="13">
        <v>43028.69809027778</v>
      </c>
      <c r="G118" s="7">
        <v>73</v>
      </c>
      <c r="H118" s="21" t="s">
        <v>434</v>
      </c>
      <c r="I118" s="13">
        <v>43028.722800925927</v>
      </c>
      <c r="J118" s="7">
        <v>0</v>
      </c>
      <c r="K118" s="89" t="str">
        <f>IF(ISEVEN(B118),(B118-1)&amp;"/"&amp;B118,B118&amp;"/"&amp;(B118+1))</f>
        <v>4043/4044</v>
      </c>
      <c r="L118" s="185" t="str">
        <f>VLOOKUP(A118,'Trips&amp;Operators'!$C$1:$G$99911,5,FALSE)</f>
        <v>BRUDER RICHARD</v>
      </c>
      <c r="M118" s="6">
        <f>I118-F118</f>
        <v>2.47106481474475E-2</v>
      </c>
      <c r="N118" s="7">
        <f>24*60*SUM($M118:$M118)</f>
        <v>35.583333332324401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-20T15:38:42-0600',mode:absolute,to:'2017-10-20T18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4.7100000000000003E-2</v>
      </c>
      <c r="Z118" s="204">
        <f>RIGHT(H118,LEN(H118)-4)/10000</f>
        <v>23.3293</v>
      </c>
      <c r="AA118" s="204">
        <f>ABS(Z118-Y118)</f>
        <v>23.2822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 &amp; aws s3 cp s3://rtdc.mdm.uploadarchive.raw/RTDC4044/ "%USERPROFILE%\AppData\Local\Temp\OnboardLogs"\RTDC4044\2017-10-21 --exclude "*" --recursive --include "*20171021*" &amp; "%USERPROFILE%\Documents\GitHub\mrs-test-scripts\Headless Mode &amp; Sideloading\WalkAndUnGZ.bat" "%USERPROFILE%\AppData\Local\Temp\OnboardLogs"\RTDC4044\2017-10-21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/stypes="app*4044*20171020*" /stext=" 23:.+((SYSTEM_STATE.+slice.+state.+changed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0"/>
        <v>"%USERPROFILE%\Documents\GitHub\eaglep3\Utilities\RefineRTDCRunTimes.py" --tripid 205-20 --locoid 4044 --swversion DE.1.0.9.0 --startMP 204:471 --initTime 2017-10-20T16:38:42 --startdatetime 2017-10-20T16:45:15 --delay 73 --endMP 204:233293 --enddatetime 2017-10-20T17:20:50 --enforcementcount 0 &gt;&gt;%USERPROFILE%\Documents\GitHub\eaglep3-reporting\EC\2017-10-20-refined-times.txt</v>
      </c>
      <c r="AI118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{"issue":{"subject":"","project_id":79,"tracker_id":40,"status_id":1,"priority_id":2,"assigned_to_id":338,"start_date":"2017-10-20","description":"","custom_fields":[{"id":1,"name":"Subdivision","value":"EC"},{"id":4,"name":"Milepost","value":"23.3293"},{"id":17,"name":"Train ID","value":"205-20"},{"id":16,"name":"Locomotive ID","value":"4044"},{"id":130,"name":"Impact","value":""},{"id":150,"name":"Time of Event (Mountain Time)","value":"17:20:50"},{"id":151,"name":"Denver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2"/>
        <v>start /low /b %USERPROFILE%\Documents\GitHub\eaglep3\Utilities\DownloadLogsFromS3.py --loco 4044 --day 2017-10-20</v>
      </c>
      <c r="AN118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23:20:50"},{"id":29,"name":"Sharepoint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14"/>
        <v>https://d0f6bd738d7f1b3e5a7ca70fe4ff75f0.us-east-1.aws.found.io/app/kibana#/discover/Steve-Slow-Train-Analysis-(2080s-and-2083s)?_g=(refreshInterval:(display:Off,pause:!f,section:0,value:0),time:(from:'2017-10-20T15:38:42-0600',mode:absolute,to:'2017-10-20T18:20:50-0600'))&amp;_a=(columns:!('Message%20ID',Summary),filters:!(),index:'emp_*',interval:auto,query:(query_string:(analyze_wildcard:!t,query:'%22rtdc.l.rtdc.4044%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815</v>
      </c>
      <c r="B119" s="7">
        <v>4043</v>
      </c>
      <c r="C119" s="21" t="s">
        <v>194</v>
      </c>
      <c r="D119" s="21" t="s">
        <v>597</v>
      </c>
      <c r="E119" s="13">
        <v>43028.734097222223</v>
      </c>
      <c r="F119" s="13">
        <v>43028.750034722223</v>
      </c>
      <c r="G119" s="7">
        <v>48</v>
      </c>
      <c r="H119" s="21" t="s">
        <v>438</v>
      </c>
      <c r="I119" s="13">
        <v>43028.766365740739</v>
      </c>
      <c r="J119" s="7">
        <v>0</v>
      </c>
      <c r="K119" s="89" t="str">
        <f>IF(ISEVEN(B119),(B119-1)&amp;"/"&amp;B119,B119&amp;"/"&amp;(B119+1))</f>
        <v>4043/4044</v>
      </c>
      <c r="L119" s="185" t="str">
        <f>VLOOKUP(A119,'Trips&amp;Operators'!$C$1:$G$99911,5,FALSE)</f>
        <v>BRUDER RICHARD</v>
      </c>
      <c r="M119" s="6">
        <f>I119-F119</f>
        <v>1.633101851621177E-2</v>
      </c>
      <c r="N119" s="7"/>
      <c r="O119" s="7"/>
      <c r="P119" s="7">
        <f>24*60*SUM($M119:$M119)</f>
        <v>23.516666663344949</v>
      </c>
      <c r="Q119" s="22"/>
      <c r="R119" s="174" t="s">
        <v>631</v>
      </c>
      <c r="S119" s="221">
        <f>1/IF(AG119="EC",12,1)*SUM(U119:U120)</f>
        <v>1</v>
      </c>
      <c r="T119" s="174" t="str">
        <f>IF(ISEVEN(LEFT(AD119,4)),"Southbound","NorthBound")</f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0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-10-20T16:37:06-0600',mode:absolute,to:'2017-10-20T19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9" s="204" t="str">
        <f>IF(AA119&lt;VLOOKUP(AG119,Variables!$AC$3:$AD$8,2,FALSE),"Y","N")</f>
        <v>Y</v>
      </c>
      <c r="X119" s="204">
        <f>VALUE(LEFT(AD119,4))-VALUE(LEFT(AD118,4))</f>
        <v>1</v>
      </c>
      <c r="Y119" s="204">
        <f>RIGHT(D119,LEN(D119)-4)/10000</f>
        <v>23.2973</v>
      </c>
      <c r="Z119" s="204">
        <f>RIGHT(H119,LEN(H119)-4)/10000</f>
        <v>23.297999999999998</v>
      </c>
      <c r="AA119" s="204">
        <f>ABS(Z119-Y119)</f>
        <v>6.9999999999836859E-4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 &amp; aws s3 cp s3://rtdc.mdm.uploadarchive.raw/RTDC4043/ "%USERPROFILE%\AppData\Local\Temp\OnboardLogs"\RTDC4043\2017-10-21 --exclude "*" --recursive --include "*20171021*" &amp; "%USERPROFILE%\Documents\GitHub\mrs-test-scripts\Headless Mode &amp; Sideloading\WalkAndUnGZ.bat" "%USERPROFILE%\AppData\Local\Temp\OnboardLogs"\RTDC4043\2017-10-21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/stypes="app*4043*20171021*" /stext=" 00:.+((SYSTEM_STATE.+slice.+state.+changed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0"/>
        <v>"%USERPROFILE%\Documents\GitHub\eaglep3\Utilities\RefineRTDCRunTimes.py" --tripid 206-20 --locoid 4043 --swversion DE.1.0.9.0 --startMP 204:232973 --initTime 2017-10-20T17:37:06 --startdatetime 2017-10-20T18:00:03 --delay 48 --endMP 204:232980 --enddatetime 2017-10-20T18:23:34 --enforcementcount 0 &gt;&gt;%USERPROFILE%\Documents\GitHub\eaglep3-reporting\EC\2017-10-20-refined-times.txt</v>
      </c>
      <c r="AI119" s="96" t="str">
        <f t="shared" si="11"/>
        <v>echo {"issue":{"subject":"Onboard en route failure","project_id":79,"tracker_id":40,"status_id":1,"priority_id":2,"assigned_to_id":338,"start_date":"2017-10-20","description":"","custom_fields":[{"id":1,"name":"Subdivision","value":"EC"},{"id":4,"name":"Milepost","value":"23.298"},{"id":17,"name":"Train ID","value":"206-20"},{"id":16,"name":"Locomotive ID","value":"4043"},{"id":130,"name":"Impact","value":""},{"id":150,"name":"Time of Event (Mountain Time)","value":"18:23:34"},{"id":151,"name":"Denver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2"/>
        <v>start /low /b %USERPROFILE%\Documents\GitHub\eaglep3\Utilities\DownloadLogsFromS3.py --loco 4043 --day 2017-10-20</v>
      </c>
      <c r="AN119" s="151" t="str">
        <f t="shared" si="13"/>
        <v>echo {"issue":{"subject":"Onboard en route failure","project_id":30,"tracker_id":4,"status_id":1,"priority_id":1,"assigned_to_id":10,"start_date":"2017-10-21","description":"","custom_fields":[{"id":30,"name":"Category","value":"Issue"},{"id":3,"name":"Functional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4"/>
        <v>https://d0f6bd738d7f1b3e5a7ca70fe4ff75f0.us-east-1.aws.found.io/app/kibana#/discover/Steve-Slow-Train-Analysis-(2080s-and-2083s)?_g=(refreshInterval:(display:Off,pause:!f,section:0,value:0),time:(from:'2017-10-20T16:37:06-0600',mode:absolute,to:'2017-10-20T19:23:34-0600'))&amp;_a=(columns:!('Message%20ID',Summary),filters:!(),index:'emp_*',interval:auto,query:(query_string:(analyze_wildcard:!t,query:'%22rtdc.l.rtdc.4043%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815</v>
      </c>
      <c r="B120" s="7">
        <v>4043</v>
      </c>
      <c r="C120" s="21" t="s">
        <v>194</v>
      </c>
      <c r="D120" s="21" t="s">
        <v>917</v>
      </c>
      <c r="E120" s="13">
        <v>43028.748252314814</v>
      </c>
      <c r="F120" s="13">
        <v>43028.750034722223</v>
      </c>
      <c r="G120" s="7">
        <v>101</v>
      </c>
      <c r="H120" s="21" t="s">
        <v>411</v>
      </c>
      <c r="I120" s="13">
        <v>43028.766365740739</v>
      </c>
      <c r="J120" s="7">
        <v>0</v>
      </c>
      <c r="K120" s="89" t="str">
        <f>IF(ISEVEN(B120),(B120-1)&amp;"/"&amp;B120,B120&amp;"/"&amp;(B120+1))</f>
        <v>4043/4044</v>
      </c>
      <c r="L120" s="185" t="str">
        <f>VLOOKUP(A120,'Trips&amp;Operators'!$C$1:$G$99911,5,FALSE)</f>
        <v>BRUDER RICHARD</v>
      </c>
      <c r="M120" s="6">
        <f>I120-F120</f>
        <v>1.633101851621177E-2</v>
      </c>
      <c r="N120" s="7"/>
      <c r="O120" s="7"/>
      <c r="P120" s="7"/>
      <c r="Q120" s="22"/>
      <c r="R120" s="174"/>
      <c r="S120" s="221"/>
      <c r="T120" s="174" t="str">
        <f>IF(ISEVEN(LEFT(AD120,4)),"Southbound","NorthBound")</f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-20T16:57:29-0600',mode:absolute,to:'2017-10-20T19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0" s="204" t="str">
        <f>IF(AA120&lt;VLOOKUP(AG120,Variables!$AC$3:$AD$8,2,FALSE),"Y","N")</f>
        <v>Y</v>
      </c>
      <c r="X120" s="204">
        <f>VALUE(LEFT(AD120,4))-VALUE(LEFT(AD119,4))</f>
        <v>0</v>
      </c>
      <c r="Y120" s="204">
        <f>RIGHT(D120,LEN(D120)-4)/10000</f>
        <v>12.785500000000001</v>
      </c>
      <c r="Z120" s="204">
        <f>RIGHT(H120,LEN(H120)-4)/10000</f>
        <v>1.38E-2</v>
      </c>
      <c r="AA120" s="204">
        <f>ABS(Z120-Y120)</f>
        <v>12.771700000000001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>VALUE(LEFT(A120,LEN(A120)-3))</f>
        <v>206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 &amp; aws s3 cp s3://rtdc.mdm.uploadarchive.raw/RTDC4043/ "%USERPROFILE%\AppData\Local\Temp\OnboardLogs"\RTDC4043\2017-10-21 --exclude "*" --recursive --include "*20171021*" &amp; "%USERPROFILE%\Documents\GitHub\mrs-test-scripts\Headless Mode &amp; Sideloading\WalkAndUnGZ.bat" "%USERPROFILE%\AppData\Local\Temp\OnboardLogs"\RTDC4043\2017-10-21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/stypes="app*4043*20171021*" /stext=" 00:.+((SYSTEM_STATE.+slice.+state.+changed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0"/>
        <v>"%USERPROFILE%\Documents\GitHub\eaglep3\Utilities\RefineRTDCRunTimes.py" --tripid 206-20 --locoid 4043 --swversion DE.1.0.9.0 --startMP 204:127855 --initTime 2017-10-20T17:57:29 --startdatetime 2017-10-20T18:00:03 --delay 101 --endMP 204:138 --enddatetime 2017-10-20T18:23:34 --enforcementcount 0 &gt;&gt;%USERPROFILE%\Documents\GitHub\eaglep3-reporting\EC\2017-10-20-refined-times.txt</v>
      </c>
      <c r="AI120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{"issue":{"subject":"","project_id":79,"tracker_id":40,"status_id":1,"priority_id":2,"assigned_to_id":338,"start_date":"2017-10-20","description":"","custom_fields":[{"id":1,"name":"Subdivision","value":"EC"},{"id":4,"name":"Milepost","value":"0.0138"},{"id":17,"name":"Train ID","value":"206-20"},{"id":16,"name":"Locomotive ID","value":"4043"},{"id":130,"name":"Impact","value":""},{"id":150,"name":"Time of Event (Mountain Time)","value":"18:23:34"},{"id":151,"name":"Denver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2"/>
        <v>start /low /b %USERPROFILE%\Documents\GitHub\eaglep3\Utilities\DownloadLogsFromS3.py --loco 4043 --day 2017-10-20</v>
      </c>
      <c r="AN120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4"/>
        <v>https://d0f6bd738d7f1b3e5a7ca70fe4ff75f0.us-east-1.aws.found.io/app/kibana#/discover/Steve-Slow-Train-Analysis-(2080s-and-2083s)?_g=(refreshInterval:(display:Off,pause:!f,section:0,value:0),time:(from:'2017-10-20T16:57:29-0600',mode:absolute,to:'2017-10-20T19:23:34-0600'))&amp;_a=(columns:!('Message%20ID',Summary),filters:!(),index:'emp_*',interval:auto,query:(query_string:(analyze_wildcard:!t,query:'%22rtdc.l.rtdc.4043%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806</v>
      </c>
      <c r="B121" s="7">
        <v>4040</v>
      </c>
      <c r="C121" s="21" t="s">
        <v>194</v>
      </c>
      <c r="D121" s="21" t="s">
        <v>334</v>
      </c>
      <c r="E121" s="13">
        <v>43028.704108796293</v>
      </c>
      <c r="F121" s="13">
        <v>43028.708506944444</v>
      </c>
      <c r="G121" s="7">
        <v>63</v>
      </c>
      <c r="H121" s="21" t="s">
        <v>602</v>
      </c>
      <c r="I121" s="13">
        <v>43028.733888888892</v>
      </c>
      <c r="J121" s="7">
        <v>0</v>
      </c>
      <c r="K121" s="89" t="str">
        <f>IF(ISEVEN(B121),(B121-1)&amp;"/"&amp;B121,B121&amp;"/"&amp;(B121+1))</f>
        <v>4039/4040</v>
      </c>
      <c r="L121" s="185" t="str">
        <f>VLOOKUP(A121,'Trips&amp;Operators'!$C$1:$G$99911,5,FALSE)</f>
        <v>LEVERE CRAIG</v>
      </c>
      <c r="M121" s="6">
        <f>I121-F121</f>
        <v>2.5381944447872229E-2</v>
      </c>
      <c r="N121" s="7">
        <f>24*60*SUM($M121:$M121)</f>
        <v>36.55000000493601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-20T15:53:55-0600',mode:absolute,to:'2017-10-20T18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4.4600000000000001E-2</v>
      </c>
      <c r="Z121" s="204">
        <f>RIGHT(H121,LEN(H121)-4)/10000</f>
        <v>23.330400000000001</v>
      </c>
      <c r="AA121" s="204">
        <f>ABS(Z121-Y121)</f>
        <v>23.285800000000002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>VALUE(LEFT(A121,LEN(A121)-3))</f>
        <v>207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s3://rtdc.mdm.uploadarchive.raw/RTDC4040/ "%USERPROFILE%\AppData\Local\Temp\OnboardLogs"\RTDC4040\2017-10-20 --exclude "*" --recursive --include "*20171020*" &amp; "%USERPROFILE%\Documents\GitHub\mrs-test-scripts\Headless Mode &amp; Sideloading\WalkAndUnGZ.bat" "%USERPROFILE%\AppData\Local\Temp\OnboardLogs"\RTDC4040\2017-10-20 &amp; aws s3 cp s3://rtdc.mdm.uploadarchive.raw/RTDC4040/ "%USERPROFILE%\AppData\Local\Temp\OnboardLogs"\RTDC4040\2017-10-21 --exclude "*" --recursive --include "*20171021*" &amp; "%USERPROFILE%\Documents\GitHub\mrs-test-scripts\Headless Mode &amp; Sideloading\WalkAndUnGZ.bat" "%USERPROFILE%\AppData\Local\Temp\OnboardLogs"\RTDC4040\2017-10-21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/stypes="app*4040*20171020*" /stext=" 23:.+((SYSTEM_STATE.+slice.+state.+changed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0"/>
        <v>"%USERPROFILE%\Documents\GitHub\eaglep3\Utilities\RefineRTDCRunTimes.py" --tripid 207-20 --locoid 4040 --swversion DE.1.0.9.0 --startMP 204:446 --initTime 2017-10-20T16:53:55 --startdatetime 2017-10-20T17:00:15 --delay 63 --endMP 204:233304 --enddatetime 2017-10-20T17:36:48 --enforcementcount 0 &gt;&gt;%USERPROFILE%\Documents\GitHub\eaglep3-reporting\EC\2017-10-20-refined-times.txt</v>
      </c>
      <c r="AI121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{"issue":{"subject":"","project_id":79,"tracker_id":40,"status_id":1,"priority_id":2,"assigned_to_id":338,"start_date":"2017-10-20","description":"","custom_fields":[{"id":1,"name":"Subdivision","value":"EC"},{"id":4,"name":"Milepost","value":"23.3304"},{"id":17,"name":"Train ID","value":"207-20"},{"id":16,"name":"Locomotive ID","value":"4040"},{"id":130,"name":"Impact","value":""},{"id":150,"name":"Time of Event (Mountain Time)","value":"17:36:48"},{"id":151,"name":"Denver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2"/>
        <v>start /low /b %USERPROFILE%\Documents\GitHub\eaglep3\Utilities\DownloadLogsFromS3.py --loco 4040 --day 2017-10-20</v>
      </c>
      <c r="AN121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14"/>
        <v>https://d0f6bd738d7f1b3e5a7ca70fe4ff75f0.us-east-1.aws.found.io/app/kibana#/discover/Steve-Slow-Train-Analysis-(2080s-and-2083s)?_g=(refreshInterval:(display:Off,pause:!f,section:0,value:0),time:(from:'2017-10-20T15:53:55-0600',mode:absolute,to:'2017-10-20T18:36:48-0600'))&amp;_a=(columns:!('Message%20ID',Summary),filters:!(),index:'emp_*',interval:auto,query:(query_string:(analyze_wildcard:!t,query:'%22rtdc.l.rtdc.4040%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817</v>
      </c>
      <c r="B122" s="7">
        <v>4039</v>
      </c>
      <c r="C122" s="21" t="s">
        <v>194</v>
      </c>
      <c r="D122" s="21" t="s">
        <v>420</v>
      </c>
      <c r="E122" s="13">
        <v>43028.743483796294</v>
      </c>
      <c r="F122" s="13">
        <v>43028.748148148145</v>
      </c>
      <c r="G122" s="7">
        <v>69</v>
      </c>
      <c r="H122" s="21" t="s">
        <v>339</v>
      </c>
      <c r="I122" s="13">
        <v>43028.775763888887</v>
      </c>
      <c r="J122" s="7">
        <v>0</v>
      </c>
      <c r="K122" s="89" t="str">
        <f>IF(ISEVEN(B122),(B122-1)&amp;"/"&amp;B122,B122&amp;"/"&amp;(B122+1))</f>
        <v>4039/4040</v>
      </c>
      <c r="L122" s="185" t="str">
        <f>VLOOKUP(A122,'Trips&amp;Operators'!$C$1:$G$99911,5,FALSE)</f>
        <v>LEVERE CRAIG</v>
      </c>
      <c r="M122" s="6">
        <f>I122-F122</f>
        <v>2.7615740742476191E-2</v>
      </c>
      <c r="N122" s="7">
        <f>24*60*SUM($M122:$M122)</f>
        <v>39.766666669165716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-10-20T16:50:37-0600',mode:absolute,to:'2017-10-20T19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23.298300000000001</v>
      </c>
      <c r="Z122" s="204">
        <f>RIGHT(H122,LEN(H122)-4)/10000</f>
        <v>1.47E-2</v>
      </c>
      <c r="AA122" s="204">
        <f>ABS(Z122-Y122)</f>
        <v>23.2836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>VALUE(LEFT(A122,LEN(A122)-3))</f>
        <v>208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s3://rtdc.mdm.uploadarchive.raw/RTDC4039/ "%USERPROFILE%\AppData\Local\Temp\OnboardLogs"\RTDC4039\2017-10-20 --exclude "*" --recursive --include "*20171020*" &amp; "%USERPROFILE%\Documents\GitHub\mrs-test-scripts\Headless Mode &amp; Sideloading\WalkAndUnGZ.bat" "%USERPROFILE%\AppData\Local\Temp\OnboardLogs"\RTDC4039\2017-10-20 &amp; aws s3 cp s3://rtdc.mdm.uploadarchive.raw/RTDC4039/ "%USERPROFILE%\AppData\Local\Temp\OnboardLogs"\RTDC4039\2017-10-21 --exclude "*" --recursive --include "*20171021*" &amp; "%USERPROFILE%\Documents\GitHub\mrs-test-scripts\Headless Mode &amp; Sideloading\WalkAndUnGZ.bat" "%USERPROFILE%\AppData\Local\Temp\OnboardLogs"\RTDC4039\2017-10-21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/stypes="app*4039*20171021*" /stext=" 00:.+((SYSTEM_STATE.+slice.+state.+changed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0"/>
        <v>"%USERPROFILE%\Documents\GitHub\eaglep3\Utilities\RefineRTDCRunTimes.py" --tripid 208-20 --locoid 4039 --swversion DE.1.0.9.0 --startMP 204:232983 --initTime 2017-10-20T17:50:37 --startdatetime 2017-10-20T17:57:20 --delay 69 --endMP 204:147 --enddatetime 2017-10-20T18:37:06 --enforcementcount 0 &gt;&gt;%USERPROFILE%\Documents\GitHub\eaglep3-reporting\EC\2017-10-20-refined-times.txt</v>
      </c>
      <c r="AI122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{"issue":{"subject":"","project_id":79,"tracker_id":40,"status_id":1,"priority_id":2,"assigned_to_id":338,"start_date":"2017-10-20","description":"","custom_fields":[{"id":1,"name":"Subdivision","value":"EC"},{"id":4,"name":"Milepost","value":"0.0147"},{"id":17,"name":"Train ID","value":"208-20"},{"id":16,"name":"Locomotive ID","value":"4039"},{"id":130,"name":"Impact","value":""},{"id":150,"name":"Time of Event (Mountain Time)","value":"18:37:06"},{"id":151,"name":"Denver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2"/>
        <v>start /low /b %USERPROFILE%\Documents\GitHub\eaglep3\Utilities\DownloadLogsFromS3.py --loco 4039 --day 2017-10-20</v>
      </c>
      <c r="AN122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4"/>
        <v>https://d0f6bd738d7f1b3e5a7ca70fe4ff75f0.us-east-1.aws.found.io/app/kibana#/discover/Steve-Slow-Train-Analysis-(2080s-and-2083s)?_g=(refreshInterval:(display:Off,pause:!f,section:0,value:0),time:(from:'2017-10-20T16:50:37-0600',mode:absolute,to:'2017-10-20T19:37:06-0600'))&amp;_a=(columns:!('Message%20ID',Summary),filters:!(),index:'emp_*',interval:auto,query:(query_string:(analyze_wildcard:!t,query:'%22rtdc.l.rtdc.4039%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810</v>
      </c>
      <c r="B123" s="7">
        <v>4056</v>
      </c>
      <c r="C123" s="21" t="s">
        <v>194</v>
      </c>
      <c r="D123" s="21" t="s">
        <v>353</v>
      </c>
      <c r="E123" s="13">
        <v>43028.713703703703</v>
      </c>
      <c r="F123" s="13">
        <v>43028.719143518516</v>
      </c>
      <c r="G123" s="7">
        <v>50</v>
      </c>
      <c r="H123" s="21" t="s">
        <v>918</v>
      </c>
      <c r="I123" s="13">
        <v>43028.744976851849</v>
      </c>
      <c r="J123" s="7">
        <v>0</v>
      </c>
      <c r="K123" s="89" t="str">
        <f>IF(ISEVEN(B123),(B123-1)&amp;"/"&amp;B123,B123&amp;"/"&amp;(B123+1))</f>
        <v>4055/4056</v>
      </c>
      <c r="L123" s="185" t="str">
        <f>VLOOKUP(A123,'Trips&amp;Operators'!$C$1:$G$99911,5,FALSE)</f>
        <v>FORTUNATO FRANK</v>
      </c>
      <c r="M123" s="6">
        <f>I123-F123</f>
        <v>2.5833333333139308E-2</v>
      </c>
      <c r="N123" s="7">
        <f>24*60*SUM($M123:$M123)</f>
        <v>37.199999999720603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-20T16:07:44-0600',mode:absolute,to:'2017-10-20T18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4.58E-2</v>
      </c>
      <c r="Z123" s="204">
        <f>RIGHT(H123,LEN(H123)-4)/10000</f>
        <v>23.332000000000001</v>
      </c>
      <c r="AA123" s="204">
        <f>ABS(Z123-Y123)</f>
        <v>23.286200000000001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>VALUE(LEFT(A123,LEN(A123)-3))</f>
        <v>209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/stypes="app*4056*20171020*" /stext=" 23:.+((SYSTEM_STATE.+slice.+state.+changed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0"/>
        <v>"%USERPROFILE%\Documents\GitHub\eaglep3\Utilities\RefineRTDCRunTimes.py" --tripid 209-20 --locoid 4056 --swversion DE.1.0.9.0 --startMP 204:458 --initTime 2017-10-20T17:07:44 --startdatetime 2017-10-20T17:15:34 --delay 50 --endMP 204:233320 --enddatetime 2017-10-20T17:52:46 --enforcementcount 0 &gt;&gt;%USERPROFILE%\Documents\GitHub\eaglep3-reporting\EC\2017-10-20-refined-times.txt</v>
      </c>
      <c r="AI123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{"issue":{"subject":"","project_id":79,"tracker_id":40,"status_id":1,"priority_id":2,"assigned_to_id":338,"start_date":"2017-10-20","description":"","custom_fields":[{"id":1,"name":"Subdivision","value":"EC"},{"id":4,"name":"Milepost","value":"23.332"},{"id":17,"name":"Train ID","value":"209-20"},{"id":16,"name":"Locomotive ID","value":"4056"},{"id":130,"name":"Impact","value":""},{"id":150,"name":"Time of Event (Mountain Time)","value":"17:52:46"},{"id":151,"name":"Denver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2"/>
        <v>start /low /b %USERPROFILE%\Documents\GitHub\eaglep3\Utilities\DownloadLogsFromS3.py --loco 4056 --day 2017-10-20</v>
      </c>
      <c r="AN123" s="151" t="str">
        <f t="shared" si="1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23:52:46"},{"id":29,"name":"Sharepoint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4"/>
        <v>https://d0f6bd738d7f1b3e5a7ca70fe4ff75f0.us-east-1.aws.found.io/app/kibana#/discover/Steve-Slow-Train-Analysis-(2080s-and-2083s)?_g=(refreshInterval:(display:Off,pause:!f,section:0,value:0),time:(from:'2017-10-20T16:07:44-0600',mode:absolute,to:'2017-10-20T18:52:46-0600'))&amp;_a=(columns:!('Message%20ID',Summary),filters:!(),index:'emp_*',interval:auto,query:(query_string:(analyze_wildcard:!t,query:'%22rtdc.l.rtdc.4056%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822</v>
      </c>
      <c r="B124" s="7">
        <v>4055</v>
      </c>
      <c r="C124" s="21" t="s">
        <v>194</v>
      </c>
      <c r="D124" s="21" t="s">
        <v>431</v>
      </c>
      <c r="E124" s="13">
        <v>43028.74627314815</v>
      </c>
      <c r="F124" s="13">
        <v>43028.758460648147</v>
      </c>
      <c r="G124" s="7">
        <v>49</v>
      </c>
      <c r="H124" s="21" t="s">
        <v>368</v>
      </c>
      <c r="I124" s="13">
        <v>43028.785671296297</v>
      </c>
      <c r="J124" s="7">
        <v>0</v>
      </c>
      <c r="K124" s="89" t="str">
        <f>IF(ISEVEN(B124),(B124-1)&amp;"/"&amp;B124,B124&amp;"/"&amp;(B124+1))</f>
        <v>4055/4056</v>
      </c>
      <c r="L124" s="185" t="str">
        <f>VLOOKUP(A124,'Trips&amp;Operators'!$C$1:$G$99911,5,FALSE)</f>
        <v>FORTUNATO FRANK</v>
      </c>
      <c r="M124" s="6">
        <f>I124-F124</f>
        <v>2.7210648149775807E-2</v>
      </c>
      <c r="N124" s="7">
        <f>24*60*SUM($M124:$M124)</f>
        <v>39.183333335677162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-20T16:54:38-0600',mode:absolute,to:'2017-10-20T19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23.299600000000002</v>
      </c>
      <c r="Z124" s="204">
        <f>RIGHT(H124,LEN(H124)-4)/10000</f>
        <v>1.54E-2</v>
      </c>
      <c r="AA124" s="204">
        <f>ABS(Z124-Y124)</f>
        <v>23.284200000000002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>VALUE(LEFT(A124,LEN(A124)-3))</f>
        <v>210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s3://rtdc.mdm.uploadarchive.raw/RTDC4055/ "%USERPROFILE%\AppData\Local\Temp\OnboardLogs"\RTDC4055\2017-10-20 --exclude "*" --recursive --include "*20171020*" &amp; "%USERPROFILE%\Documents\GitHub\mrs-test-scripts\Headless Mode &amp; Sideloading\WalkAndUnGZ.bat" "%USERPROFILE%\AppData\Local\Temp\OnboardLogs"\RTDC4055\2017-10-20 &amp; aws s3 cp s3://rtdc.mdm.uploadarchive.raw/RTDC4055/ "%USERPROFILE%\AppData\Local\Temp\OnboardLogs"\RTDC4055\2017-10-21 --exclude "*" --recursive --include "*20171021*" &amp; "%USERPROFILE%\Documents\GitHub\mrs-test-scripts\Headless Mode &amp; Sideloading\WalkAndUnGZ.bat" "%USERPROFILE%\AppData\Local\Temp\OnboardLogs"\RTDC4055\2017-10-21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/stypes="app*4055*20171021*" /stext=" 00:.+((SYSTEM_STATE.+slice.+state.+changed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0"/>
        <v>"%USERPROFILE%\Documents\GitHub\eaglep3\Utilities\RefineRTDCRunTimes.py" --tripid 210-20 --locoid 4055 --swversion DE.1.0.9.0 --startMP 204:232996 --initTime 2017-10-20T17:54:38 --startdatetime 2017-10-20T18:12:11 --delay 49 --endMP 204:154 --enddatetime 2017-10-20T18:51:22 --enforcementcount 0 &gt;&gt;%USERPROFILE%\Documents\GitHub\eaglep3-reporting\EC\2017-10-20-refined-times.txt</v>
      </c>
      <c r="AI124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{"issue":{"subject":"","project_id":79,"tracker_id":40,"status_id":1,"priority_id":2,"assigned_to_id":338,"start_date":"2017-10-20","description":"","custom_fields":[{"id":1,"name":"Subdivision","value":"EC"},{"id":4,"name":"Milepost","value":"0.0154"},{"id":17,"name":"Train ID","value":"210-20"},{"id":16,"name":"Locomotive ID","value":"4055"},{"id":130,"name":"Impact","value":""},{"id":150,"name":"Time of Event (Mountain Time)","value":"18:51:22"},{"id":151,"name":"Denver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2"/>
        <v>start /low /b %USERPROFILE%\Documents\GitHub\eaglep3\Utilities\DownloadLogsFromS3.py --loco 4055 --day 2017-10-20</v>
      </c>
      <c r="AN124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14"/>
        <v>https://d0f6bd738d7f1b3e5a7ca70fe4ff75f0.us-east-1.aws.found.io/app/kibana#/discover/Steve-Slow-Train-Analysis-(2080s-and-2083s)?_g=(refreshInterval:(display:Off,pause:!f,section:0,value:0),time:(from:'2017-10-20T16:54:38-0600',mode:absolute,to:'2017-10-20T19:51:22-0600'))&amp;_a=(columns:!('Message%20ID',Summary),filters:!(),index:'emp_*',interval:auto,query:(query_string:(analyze_wildcard:!t,query:'%22rtdc.l.rtdc.4055%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813</v>
      </c>
      <c r="B125" s="7">
        <v>4016</v>
      </c>
      <c r="C125" s="21" t="s">
        <v>194</v>
      </c>
      <c r="D125" s="21" t="s">
        <v>344</v>
      </c>
      <c r="E125" s="13">
        <v>43028.726469907408</v>
      </c>
      <c r="F125" s="13">
        <v>43028.729317129626</v>
      </c>
      <c r="G125" s="7">
        <v>55</v>
      </c>
      <c r="H125" s="21" t="s">
        <v>919</v>
      </c>
      <c r="I125" s="13">
        <v>43028.754317129627</v>
      </c>
      <c r="J125" s="7">
        <v>0</v>
      </c>
      <c r="K125" s="89" t="str">
        <f>IF(ISEVEN(B125),(B125-1)&amp;"/"&amp;B125,B125&amp;"/"&amp;(B125+1))</f>
        <v>4015/4016</v>
      </c>
      <c r="L125" s="185" t="str">
        <f>VLOOKUP(A125,'Trips&amp;Operators'!$C$1:$G$99911,5,FALSE)</f>
        <v>LEVIN SCOTT</v>
      </c>
      <c r="M125" s="6">
        <f>I125-F125</f>
        <v>2.5000000001455192E-2</v>
      </c>
      <c r="N125" s="7">
        <f>24*60*SUM($M125:$M125)</f>
        <v>36.000000002095476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-20T16:26:07-0600',mode:absolute,to:'2017-10-20T19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4.5499999999999999E-2</v>
      </c>
      <c r="Z125" s="204">
        <f>RIGHT(H125,LEN(H125)-4)/10000</f>
        <v>23.336600000000001</v>
      </c>
      <c r="AA125" s="204">
        <f>ABS(Z125-Y125)</f>
        <v>23.2911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>VALUE(LEFT(A125,LEN(A125)-3))</f>
        <v>211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 &amp; 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/stypes="app*4016*20171021*" /stext=" 00:.+((SYSTEM_STATE.+slice.+state.+changed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0"/>
        <v>"%USERPROFILE%\Documents\GitHub\eaglep3\Utilities\RefineRTDCRunTimes.py" --tripid 211-20 --locoid 4016 --swversion DE.1.0.9.0 --startMP 204:455 --initTime 2017-10-20T17:26:07 --startdatetime 2017-10-20T17:30:13 --delay 55 --endMP 204:233366 --enddatetime 2017-10-20T18:06:13 --enforcementcount 0 &gt;&gt;%USERPROFILE%\Documents\GitHub\eaglep3-reporting\EC\2017-10-20-refined-times.txt</v>
      </c>
      <c r="AI125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{"issue":{"subject":"","project_id":79,"tracker_id":40,"status_id":1,"priority_id":2,"assigned_to_id":338,"start_date":"2017-10-20","description":"","custom_fields":[{"id":1,"name":"Subdivision","value":"EC"},{"id":4,"name":"Milepost","value":"23.3366"},{"id":17,"name":"Train ID","value":"211-20"},{"id":16,"name":"Locomotive ID","value":"4016"},{"id":130,"name":"Impact","value":""},{"id":150,"name":"Time of Event (Mountain Time)","value":"18:06:13"},{"id":151,"name":"Denver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2"/>
        <v>start /low /b %USERPROFILE%\Documents\GitHub\eaglep3\Utilities\DownloadLogsFromS3.py --loco 4016 --day 2017-10-20</v>
      </c>
      <c r="AN125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4"/>
        <v>https://d0f6bd738d7f1b3e5a7ca70fe4ff75f0.us-east-1.aws.found.io/app/kibana#/discover/Steve-Slow-Train-Analysis-(2080s-and-2083s)?_g=(refreshInterval:(display:Off,pause:!f,section:0,value:0),time:(from:'2017-10-20T16:26:07-0600',mode:absolute,to:'2017-10-20T19:06:13-0600'))&amp;_a=(columns:!('Message%20ID',Summary),filters:!(),index:'emp_*',interval:auto,query:(query_string:(analyze_wildcard:!t,query:'%22rtdc.l.rtdc.4016%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824</v>
      </c>
      <c r="B126" s="7">
        <v>4015</v>
      </c>
      <c r="C126" s="21" t="s">
        <v>194</v>
      </c>
      <c r="D126" s="21" t="s">
        <v>920</v>
      </c>
      <c r="E126" s="13">
        <v>43028.760462962964</v>
      </c>
      <c r="F126" s="13">
        <v>43028.768912037034</v>
      </c>
      <c r="G126" s="7">
        <v>51</v>
      </c>
      <c r="H126" s="21" t="s">
        <v>921</v>
      </c>
      <c r="I126" s="13">
        <v>43028.790381944447</v>
      </c>
      <c r="J126" s="7">
        <v>0</v>
      </c>
      <c r="K126" s="89" t="str">
        <f>IF(ISEVEN(B126),(B126-1)&amp;"/"&amp;B126,B126&amp;"/"&amp;(B126+1))</f>
        <v>4015/4016</v>
      </c>
      <c r="L126" s="185" t="str">
        <f>VLOOKUP(A126,'Trips&amp;Operators'!$C$1:$G$99911,5,FALSE)</f>
        <v>LEVIN SCOTT</v>
      </c>
      <c r="M126" s="6">
        <f>I126-F126</f>
        <v>2.1469907413120382E-2</v>
      </c>
      <c r="N126" s="7"/>
      <c r="O126" s="7"/>
      <c r="P126" s="7">
        <f>24*60*SUM($M126:$M126)</f>
        <v>30.916666674893349</v>
      </c>
      <c r="Q126" s="22"/>
      <c r="R126" s="174" t="s">
        <v>1054</v>
      </c>
      <c r="S126" s="221">
        <f>1/IF(AG126="EC",12,1)*SUM(U126:U127)</f>
        <v>0.33333333333333331</v>
      </c>
      <c r="T126" s="174" t="str">
        <f>IF(ISEVEN(LEFT(AD126,4)),"Southbound","NorthBound")</f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3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-20T17:15:04-0600',mode:absolute,to:'2017-10-20T19:58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6" s="204" t="str">
        <f>IF(AA126&lt;VLOOKUP(AG126,Variables!$AC$3:$AD$8,2,FALSE),"Y","N")</f>
        <v>Y</v>
      </c>
      <c r="X126" s="204">
        <f>VALUE(LEFT(AD126,4))-VALUE(LEFT(AD125,4))</f>
        <v>1</v>
      </c>
      <c r="Y126" s="204">
        <f>RIGHT(D126,LEN(D126)-4)/10000</f>
        <v>23.304300000000001</v>
      </c>
      <c r="Z126" s="204">
        <f>RIGHT(H126,LEN(H126)-4)/10000</f>
        <v>6.9793000000000003</v>
      </c>
      <c r="AA126" s="204">
        <f>ABS(Z126-Y126)</f>
        <v>16.325000000000003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>VALUE(LEFT(A126,LEN(A126)-3))</f>
        <v>212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 &amp; 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/stypes="app*4015*20171021*" /stext=" 00:.+((SYSTEM_STATE.+slice.+state.+changed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0"/>
        <v>"%USERPROFILE%\Documents\GitHub\eaglep3\Utilities\RefineRTDCRunTimes.py" --tripid 212-20 --locoid 4015 --swversion DE.1.0.9.0 --startMP 204:233043 --initTime 2017-10-20T18:15:04 --startdatetime 2017-10-20T18:27:14 --delay 51 --endMP 204:69793 --enddatetime 2017-10-20T18:58:09 --enforcementcount 0 &gt;&gt;%USERPROFILE%\Documents\GitHub\eaglep3-reporting\EC\2017-10-20-refined-times.txt</v>
      </c>
      <c r="AI126" s="96" t="str">
        <f t="shared" si="11"/>
        <v>echo {"issue":{"subject":"Signal issue at CP Sand Creek 4S related to Trip 200-20","project_id":79,"tracker_id":40,"status_id":1,"priority_id":2,"assigned_to_id":338,"start_date":"2017-10-20","description":"","custom_fields":[{"id":1,"name":"Subdivision","value":"EC"},{"id":4,"name":"Milepost","value":"6.9793"},{"id":17,"name":"Train ID","value":"212-20"},{"id":16,"name":"Locomotive ID","value":"4015"},{"id":130,"name":"Impact","value":""},{"id":150,"name":"Time of Event (Mountain Time)","value":"18:58:09"},{"id":151,"name":"Denver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2"/>
        <v>start /low /b %USERPROFILE%\Documents\GitHub\eaglep3\Utilities\DownloadLogsFromS3.py --loco 4015 --day 2017-10-20</v>
      </c>
      <c r="AN126" s="151" t="str">
        <f t="shared" si="13"/>
        <v>echo {"issue":{"subject":"Signal issue at CP Sand Creek 4S related to Trip 200-20","project_id":30,"tracker_id":4,"status_id":1,"priority_id":1,"assigned_to_id":10,"start_date":"2017-10-21","description":"","custom_fields":[{"id":30,"name":"Category","value":"Issue"},{"id":3,"name":"Functional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00:58:09"},{"id":29,"name":"Sharepoint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14"/>
        <v>https://d0f6bd738d7f1b3e5a7ca70fe4ff75f0.us-east-1.aws.found.io/app/kibana#/discover/Steve-Slow-Train-Analysis-(2080s-and-2083s)?_g=(refreshInterval:(display:Off,pause:!f,section:0,value:0),time:(from:'2017-10-20T17:15:04-0600',mode:absolute,to:'2017-10-20T19:58:09-0600'))&amp;_a=(columns:!('Message%20ID',Summary),filters:!(),index:'emp_*',interval:auto,query:(query_string:(analyze_wildcard:!t,query:'%22rtdc.l.rtdc.4015%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824</v>
      </c>
      <c r="B127" s="7">
        <v>4015</v>
      </c>
      <c r="C127" s="21" t="s">
        <v>194</v>
      </c>
      <c r="D127" s="21" t="s">
        <v>922</v>
      </c>
      <c r="E127" s="13">
        <v>43028.7890625</v>
      </c>
      <c r="F127" s="13">
        <v>43028.789976851855</v>
      </c>
      <c r="G127" s="7">
        <v>50</v>
      </c>
      <c r="H127" s="21" t="s">
        <v>923</v>
      </c>
      <c r="I127" s="13">
        <v>43028.790381944447</v>
      </c>
      <c r="J127" s="7">
        <v>0</v>
      </c>
      <c r="K127" s="89" t="str">
        <f>IF(ISEVEN(B127),(B127-1)&amp;"/"&amp;B127,B127&amp;"/"&amp;(B127+1))</f>
        <v>4015/4016</v>
      </c>
      <c r="L127" s="185" t="str">
        <f>VLOOKUP(A127,'Trips&amp;Operators'!$C$1:$G$99911,5,FALSE)</f>
        <v>LEVIN SCOTT</v>
      </c>
      <c r="M127" s="6">
        <f>I127-F127</f>
        <v>4.0509259270038456E-4</v>
      </c>
      <c r="N127" s="7"/>
      <c r="O127" s="7"/>
      <c r="P127" s="7"/>
      <c r="Q127" s="22"/>
      <c r="R127" s="174"/>
      <c r="S127" s="221"/>
      <c r="T127" s="174" t="str">
        <f>IF(ISEVEN(LEFT(AD127,4)),"Southbound","NorthBound")</f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-20T17:56:15-0600',mode:absolute,to:'2017-10-20T19:58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7" s="204" t="str">
        <f>IF(AA127&lt;VLOOKUP(AG127,Variables!$AC$3:$AD$8,2,FALSE),"Y","N")</f>
        <v>Y</v>
      </c>
      <c r="X127" s="204">
        <f>VALUE(LEFT(AD127,4))-VALUE(LEFT(AD126,4))</f>
        <v>0</v>
      </c>
      <c r="Y127" s="204">
        <f>RIGHT(D127,LEN(D127)-4)/10000</f>
        <v>6.4001999999999999</v>
      </c>
      <c r="Z127" s="204">
        <f>RIGHT(H127,LEN(H127)-4)/10000</f>
        <v>6.2243000000000004</v>
      </c>
      <c r="AA127" s="204">
        <f>ABS(Z127-Y127)</f>
        <v>0.1758999999999995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>VALUE(LEFT(A127,LEN(A127)-3))</f>
        <v>212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 &amp; 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/stypes="app*4015*20171021*" /stext=" 00:.+((SYSTEM_STATE.+slice.+state.+changed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0"/>
        <v>"%USERPROFILE%\Documents\GitHub\eaglep3\Utilities\RefineRTDCRunTimes.py" --tripid 212-20 --locoid 4015 --swversion DE.1.0.9.0 --startMP 204:64002 --initTime 2017-10-20T18:56:15 --startdatetime 2017-10-20T18:57:34 --delay 50 --endMP 204:62243 --enddatetime 2017-10-20T18:58:09 --enforcementcount 0 &gt;&gt;%USERPROFILE%\Documents\GitHub\eaglep3-reporting\EC\2017-10-20-refined-times.txt</v>
      </c>
      <c r="AI127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{"issue":{"subject":"","project_id":79,"tracker_id":40,"status_id":1,"priority_id":2,"assigned_to_id":338,"start_date":"2017-10-20","description":"","custom_fields":[{"id":1,"name":"Subdivision","value":"EC"},{"id":4,"name":"Milepost","value":"6.2243"},{"id":17,"name":"Train ID","value":"212-20"},{"id":16,"name":"Locomotive ID","value":"4015"},{"id":130,"name":"Impact","value":""},{"id":150,"name":"Time of Event (Mountain Time)","value":"18:58:09"},{"id":151,"name":"Denver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2"/>
        <v>start /low /b %USERPROFILE%\Documents\GitHub\eaglep3\Utilities\DownloadLogsFromS3.py --loco 4015 --day 2017-10-20</v>
      </c>
      <c r="AN127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00:58:09"},{"id":29,"name":"Sharepoint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14"/>
        <v>https://d0f6bd738d7f1b3e5a7ca70fe4ff75f0.us-east-1.aws.found.io/app/kibana#/discover/Steve-Slow-Train-Analysis-(2080s-and-2083s)?_g=(refreshInterval:(display:Off,pause:!f,section:0,value:0),time:(from:'2017-10-20T17:56:15-0600',mode:absolute,to:'2017-10-20T19:58:09-0600'))&amp;_a=(columns:!('Message%20ID',Summary),filters:!(),index:'emp_*',interval:auto,query:(query_string:(analyze_wildcard:!t,query:'%22rtdc.l.rtdc.4015%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816</v>
      </c>
      <c r="B128" s="7">
        <v>4064</v>
      </c>
      <c r="C128" s="21" t="s">
        <v>194</v>
      </c>
      <c r="D128" s="21" t="s">
        <v>412</v>
      </c>
      <c r="E128" s="13">
        <v>43028.739108796297</v>
      </c>
      <c r="F128" s="13">
        <v>43028.740810185183</v>
      </c>
      <c r="G128" s="7">
        <v>75</v>
      </c>
      <c r="H128" s="21" t="s">
        <v>924</v>
      </c>
      <c r="I128" s="13">
        <v>43028.766736111109</v>
      </c>
      <c r="J128" s="7">
        <v>0</v>
      </c>
      <c r="K128" s="89" t="str">
        <f>IF(ISEVEN(B128),(B128-1)&amp;"/"&amp;B128,B128&amp;"/"&amp;(B128+1))</f>
        <v>4063/4064</v>
      </c>
      <c r="L128" s="185" t="str">
        <f>VLOOKUP(A128,'Trips&amp;Operators'!$C$1:$G$99911,5,FALSE)</f>
        <v>DAVIDSON DAVID</v>
      </c>
      <c r="M128" s="6">
        <f>I128-F128</f>
        <v>2.5925925925548654E-2</v>
      </c>
      <c r="N128" s="7">
        <f>24*60*SUM($M128:$M128)</f>
        <v>37.333333332790062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-20T16:44:19-0600',mode:absolute,to:'2017-10-20T19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4.3999999999999997E-2</v>
      </c>
      <c r="Z128" s="204">
        <f>RIGHT(H128,LEN(H128)-4)/10000</f>
        <v>23.3276</v>
      </c>
      <c r="AA128" s="204">
        <f>ABS(Z128-Y128)</f>
        <v>23.2836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>VALUE(LEFT(A128,LEN(A128)-3))</f>
        <v>213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s3://rtdc.mdm.uploadarchive.raw/RTDC4064/ "%USERPROFILE%\AppData\Local\Temp\OnboardLogs"\RTDC4064\2017-10-20 --exclude "*" --recursive --include "*20171020*" &amp; "%USERPROFILE%\Documents\GitHub\mrs-test-scripts\Headless Mode &amp; Sideloading\WalkAndUnGZ.bat" "%USERPROFILE%\AppData\Local\Temp\OnboardLogs"\RTDC4064\2017-10-20 &amp; aws s3 cp s3://rtdc.mdm.uploadarchive.raw/RTDC4064/ "%USERPROFILE%\AppData\Local\Temp\OnboardLogs"\RTDC4064\2017-10-21 --exclude "*" --recursive --include "*20171021*" &amp; "%USERPROFILE%\Documents\GitHub\mrs-test-scripts\Headless Mode &amp; Sideloading\WalkAndUnGZ.bat" "%USERPROFILE%\AppData\Local\Temp\OnboardLogs"\RTDC4064\2017-10-21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/stypes="app*4064*20171021*" /stext=" 00:.+((SYSTEM_STATE.+slice.+state.+changed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0"/>
        <v>"%USERPROFILE%\Documents\GitHub\eaglep3\Utilities\RefineRTDCRunTimes.py" --tripid 213-20 --locoid 4064 --swversion DE.1.0.9.0 --startMP 204:440 --initTime 2017-10-20T17:44:19 --startdatetime 2017-10-20T17:46:46 --delay 75 --endMP 204:233276 --enddatetime 2017-10-20T18:24:06 --enforcementcount 0 &gt;&gt;%USERPROFILE%\Documents\GitHub\eaglep3-reporting\EC\2017-10-20-refined-times.txt</v>
      </c>
      <c r="AI128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{"issue":{"subject":"","project_id":79,"tracker_id":40,"status_id":1,"priority_id":2,"assigned_to_id":338,"start_date":"2017-10-20","description":"","custom_fields":[{"id":1,"name":"Subdivision","value":"EC"},{"id":4,"name":"Milepost","value":"23.3276"},{"id":17,"name":"Train ID","value":"213-20"},{"id":16,"name":"Locomotive ID","value":"4064"},{"id":130,"name":"Impact","value":""},{"id":150,"name":"Time of Event (Mountain Time)","value":"18:24:06"},{"id":151,"name":"Denver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2"/>
        <v>start /low /b %USERPROFILE%\Documents\GitHub\eaglep3\Utilities\DownloadLogsFromS3.py --loco 4064 --day 2017-10-20</v>
      </c>
      <c r="AN128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4"/>
        <v>https://d0f6bd738d7f1b3e5a7ca70fe4ff75f0.us-east-1.aws.found.io/app/kibana#/discover/Steve-Slow-Train-Analysis-(2080s-and-2083s)?_g=(refreshInterval:(display:Off,pause:!f,section:0,value:0),time:(from:'2017-10-20T16:44:19-0600',mode:absolute,to:'2017-10-20T19:24:06-0600'))&amp;_a=(columns:!('Message%20ID',Summary),filters:!(),index:'emp_*',interval:auto,query:(query_string:(analyze_wildcard:!t,query:'%22rtdc.l.rtdc.4064%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825</v>
      </c>
      <c r="B129" s="7">
        <v>4063</v>
      </c>
      <c r="C129" s="21" t="s">
        <v>194</v>
      </c>
      <c r="D129" s="21" t="s">
        <v>412</v>
      </c>
      <c r="E129" s="13">
        <v>43028.739108796297</v>
      </c>
      <c r="F129" s="13">
        <v>43028.779386574075</v>
      </c>
      <c r="G129" s="7">
        <v>75</v>
      </c>
      <c r="H129" s="21" t="s">
        <v>924</v>
      </c>
      <c r="I129" s="13">
        <v>43028.807881944442</v>
      </c>
      <c r="J129" s="7">
        <v>0</v>
      </c>
      <c r="K129" s="89" t="str">
        <f>IF(ISEVEN(B129),(B129-1)&amp;"/"&amp;B129,B129&amp;"/"&amp;(B129+1))</f>
        <v>4063/4064</v>
      </c>
      <c r="L129" s="185" t="str">
        <f>VLOOKUP(A129,'Trips&amp;Operators'!$C$1:$G$99911,5,FALSE)</f>
        <v>DAVIDSON DAVID</v>
      </c>
      <c r="M129" s="6">
        <f>I129-F129</f>
        <v>2.8495370366727002E-2</v>
      </c>
      <c r="N129" s="7">
        <f>24*60*SUM($M129:$M129)</f>
        <v>41.033333328086883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-20T16:44:19-0600',mode:absolute,to:'2017-10-20T20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v>23.299600000000002</v>
      </c>
      <c r="Z129" s="204">
        <v>1.54E-2</v>
      </c>
      <c r="AA129" s="204">
        <f>ABS(Z129-Y129)</f>
        <v>23.284200000000002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>VALUE(LEFT(A129,LEN(A129)-3))</f>
        <v>214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/stypes="app*4063*20171021*" /stext=" 01:.+((SYSTEM_STATE.+slice.+state.+changed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ref="AH129" si="15"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"&amp;J129&amp;IF(outputrefinedruntimes," &gt;&gt;"&amp;RefinedRTDCRunTimesOutputFile,"")</f>
        <v>"%USERPROFILE%\Documents\GitHub\eaglep3\Utilities\RefineRTDCRunTimes.py" --tripid 214-20 --locoid 4063 --swversion DE.1.0.9.0 --startMP 204:440 --initTime 2017-10-20T17:44:19 --startdatetime 2017-10-20T18:42:19 --delay 75 --endMP 204:233276 --enddatetime 2017-10-20T19:23:21 --enforcementcount 0 &gt;&gt;%USERPROFILE%\Documents\GitHub\eaglep3-reporting\EC\2017-10-20-refined-times.txt</v>
      </c>
      <c r="AI129" s="96" t="str">
        <f t="shared" ref="AI129" si="16"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Z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{"issue":{"subject":"","project_id":79,"tracker_id":40,"status_id":1,"priority_id":2,"assigned_to_id":338,"start_date":"2017-10-20","description":"","custom_fields":[{"id":1,"name":"Subdivision","value":"EC"},{"id":4,"name":"Milepost","value":"0.0154"},{"id":17,"name":"Train ID","value":"214-20"},{"id":16,"name":"Locomotive ID","value":"4063"},{"id":130,"name":"Impact","value":""},{"id":150,"name":"Time of Event (Mountain Time)","value":"19:23:21"},{"id":151,"name":"Denver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ref="AM129" si="17">"start /low /b "&amp;dls3logs&amp;" --loco "&amp;B129&amp;" --day "&amp;TEXT(F129,"YYYY-MM-DD")</f>
        <v>start /low /b %USERPROFILE%\Documents\GitHub\eaglep3\Utilities\DownloadLogsFromS3.py --loco 4063 --day 2017-10-20</v>
      </c>
      <c r="AN129" s="151" t="str">
        <f t="shared" ref="AN129" si="18">"echo {""issue"":{""subject"":"""&amp;R129&amp;""",""project_id"":30,""tracker_id"":4,""status_id"":"&amp;redmine_status_wcr&amp;",""priority_id"":"&amp;redmine_priority_wcr&amp;",""assigned_to_id"":"&amp;redmine_assignee_wcr&amp;",""start_date"":"""&amp;TEXT(I129-utc_offset/24,"YYYY-mm-dd")&amp;""",""description"":"""&amp;AJ129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01:23:21"},{"id":29,"name":"Sharepoint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ref="AO129" si="19"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Message%20ID',Summary),filters:!(),index:'emp_*',interval:auto,query:"&amp;"(query_string:(analyze_wildcard:!t,query:'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-20T16:44:19-0600',mode:absolute,to:'2017-10-20T20:23:21-0600'))&amp;_a=(columns:!('Message%20ID',Summary),filters:!(),index:'emp_*',interval:auto,query:(query_string:(analyze_wildcard:!t,query:'%22rtdc.l.rtdc.4063%22')),sort:!(Time.ISO8601,asc))</v>
      </c>
    </row>
    <row r="130" spans="1:91" s="20" customFormat="1" x14ac:dyDescent="0.3">
      <c r="A130" s="32" t="s">
        <v>821</v>
      </c>
      <c r="B130" s="7">
        <v>4032</v>
      </c>
      <c r="C130" s="21" t="s">
        <v>194</v>
      </c>
      <c r="D130" s="21" t="s">
        <v>412</v>
      </c>
      <c r="E130" s="13">
        <v>43028.739108796297</v>
      </c>
      <c r="F130" s="13">
        <v>43028.750300925924</v>
      </c>
      <c r="G130" s="7">
        <v>75</v>
      </c>
      <c r="H130" s="21" t="s">
        <v>924</v>
      </c>
      <c r="I130" s="13">
        <v>43028.776192129626</v>
      </c>
      <c r="J130" s="7">
        <v>0</v>
      </c>
      <c r="K130" s="89" t="str">
        <f>IF(ISEVEN(B130),(B130-1)&amp;"/"&amp;B130,B130&amp;"/"&amp;(B130+1))</f>
        <v>4031/4032</v>
      </c>
      <c r="L130" s="185" t="str">
        <f>VLOOKUP(A130,'Trips&amp;Operators'!$C$1:$G$99911,5,FALSE)</f>
        <v>HOLCOMB KAMDEN</v>
      </c>
      <c r="M130" s="6">
        <f>I130-F130</f>
        <v>2.5891203702485655E-2</v>
      </c>
      <c r="N130" s="7">
        <f>24*60*SUM($M130:$M130)</f>
        <v>37.283333331579342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-20T16:44:19-0600',mode:absolute,to:'2017-10-20T19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v>4.3999999999999997E-2</v>
      </c>
      <c r="Z130" s="204">
        <v>23.3276</v>
      </c>
      <c r="AA130" s="204">
        <f>ABS(Z130-Y130)</f>
        <v>23.2836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>VALUE(LEFT(A130,LEN(A130)-3))</f>
        <v>215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s3://rtdc.mdm.uploadarchive.raw/RTDC4032/ "%USERPROFILE%\AppData\Local\Temp\OnboardLogs"\RTDC4032\2017-10-20 --exclude "*" --recursive --include "*20171020*" &amp; "%USERPROFILE%\Documents\GitHub\mrs-test-scripts\Headless Mode &amp; Sideloading\WalkAndUnGZ.bat" "%USERPROFILE%\AppData\Local\Temp\OnboardLogs"\RTDC4032\2017-10-20 &amp; aws s3 cp s3://rtdc.mdm.uploadarchive.raw/RTDC4032/ "%USERPROFILE%\AppData\Local\Temp\OnboardLogs"\RTDC4032\2017-10-21 --exclude "*" --recursive --include "*20171021*" &amp; "%USERPROFILE%\Documents\GitHub\mrs-test-scripts\Headless Mode &amp; Sideloading\WalkAndUnGZ.bat" "%USERPROFILE%\AppData\Local\Temp\OnboardLogs"\RTDC4032\2017-10-21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/stypes="app*4032*20171021*" /stext=" 00:.+((SYSTEM_STATE.+slice.+state.+changed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ref="AH130" si="20"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215-20 --locoid 4032 --swversion DE.1.0.9.0 --startMP 204:440 --initTime 2017-10-20T17:44:19 --startdatetime 2017-10-20T18:00:26 --delay 75 --endMP 204:233276 --enddatetime 2017-10-20T18:37:43 --enforcementcount 0 &gt;&gt;%USERPROFILE%\Documents\GitHub\eaglep3-reporting\EC\2017-10-20-refined-times.txt</v>
      </c>
      <c r="AI130" s="96" t="str">
        <f t="shared" ref="AI130" si="21"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Z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{"issue":{"subject":"","project_id":79,"tracker_id":40,"status_id":1,"priority_id":2,"assigned_to_id":338,"start_date":"2017-10-20","description":"","custom_fields":[{"id":1,"name":"Subdivision","value":"EC"},{"id":4,"name":"Milepost","value":"23.3276"},{"id":17,"name":"Train ID","value":"215-20"},{"id":16,"name":"Locomotive ID","value":"4032"},{"id":130,"name":"Impact","value":""},{"id":150,"name":"Time of Event (Mountain Time)","value":"18:37:43"},{"id":151,"name":"Denver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ref="AM130" si="22">"start /low /b "&amp;dls3logs&amp;" --loco "&amp;B130&amp;" --day "&amp;TEXT(F130,"YYYY-MM-DD")</f>
        <v>start /low /b %USERPROFILE%\Documents\GitHub\eaglep3\Utilities\DownloadLogsFromS3.py --loco 4032 --day 2017-10-20</v>
      </c>
      <c r="AN130" s="151" t="str">
        <f t="shared" ref="AN130" si="23">"echo {""issue"":{""subject"":"""&amp;R130&amp;""",""project_id"":30,""tracker_id"":4,""status_id"":"&amp;redmine_status_wcr&amp;",""priority_id"":"&amp;redmine_priority_wcr&amp;",""assigned_to_id"":"&amp;redmine_assignee_wcr&amp;",""start_date"":"""&amp;TEXT(I130-utc_offset/24,"YYYY-mm-dd")&amp;""",""description"":"""&amp;AJ130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ref="AO130" si="24"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Message%20ID',Summary),filters:!(),index:'emp_*',interval:auto,query:"&amp;"(query_string:(analyze_wildcard:!t,query:'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-20T16:44:19-0600',mode:absolute,to:'2017-10-20T19:37:43-0600'))&amp;_a=(columns:!('Message%20ID',Summary),filters:!(),index:'emp_*',interval:auto,query:(query_string:(analyze_wildcard:!t,query:'%22rtdc.l.rtdc.4032%22')),sort:!(Time.ISO8601,asc))</v>
      </c>
    </row>
    <row r="131" spans="1:91" s="20" customFormat="1" x14ac:dyDescent="0.3">
      <c r="A131" s="32" t="s">
        <v>830</v>
      </c>
      <c r="B131" s="7">
        <v>4031</v>
      </c>
      <c r="C131" s="21" t="s">
        <v>194</v>
      </c>
      <c r="D131" s="21" t="s">
        <v>412</v>
      </c>
      <c r="E131" s="13">
        <v>43028.739108796297</v>
      </c>
      <c r="F131" s="13">
        <v>43028.789849537039</v>
      </c>
      <c r="G131" s="7">
        <v>75</v>
      </c>
      <c r="H131" s="21" t="s">
        <v>924</v>
      </c>
      <c r="I131" s="13">
        <v>43028.819166666668</v>
      </c>
      <c r="J131" s="7">
        <v>0</v>
      </c>
      <c r="K131" s="89" t="str">
        <f>IF(ISEVEN(B131),(B131-1)&amp;"/"&amp;B131,B131&amp;"/"&amp;(B131+1))</f>
        <v>4031/4032</v>
      </c>
      <c r="L131" s="185" t="str">
        <f>VLOOKUP(A131,'Trips&amp;Operators'!$C$1:$G$99911,5,FALSE)</f>
        <v>HOLCOMB KAMDEN</v>
      </c>
      <c r="M131" s="6">
        <f>I131-F131</f>
        <v>2.9317129628907423E-2</v>
      </c>
      <c r="N131" s="7">
        <f>24*60*SUM($M131:$M131)</f>
        <v>42.21666666562669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-20T16:44:19-0600',mode:absolute,to:'2017-10-20T20:39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1" s="204" t="str">
        <f>IF(AA131&lt;VLOOKUP(AG131,Variables!$AC$3:$AD$8,2,FALSE),"Y","N")</f>
        <v>N</v>
      </c>
      <c r="X131" s="204">
        <f t="shared" ref="X131:X132" si="25">VALUE(LEFT(AD131,4))-VALUE(LEFT(AD130,4))</f>
        <v>1</v>
      </c>
      <c r="Y131" s="204">
        <v>23.299600000000002</v>
      </c>
      <c r="Z131" s="204">
        <v>1.54E-2</v>
      </c>
      <c r="AA131" s="204">
        <f>ABS(Z131-Y131)</f>
        <v>23.284200000000002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>VALUE(LEFT(A131,LEN(A131)-3))</f>
        <v>216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s3://rtdc.mdm.uploadarchive.raw/RTDC4031/ "%USERPROFILE%\AppData\Local\Temp\OnboardLogs"\RTDC4031\2017-10-20 --exclude "*" --recursive --include "*20171020*" &amp; "%USERPROFILE%\Documents\GitHub\mrs-test-scripts\Headless Mode &amp; Sideloading\WalkAndUnGZ.bat" "%USERPROFILE%\AppData\Local\Temp\OnboardLogs"\RTDC4031\2017-10-20 &amp; aws s3 cp s3://rtdc.mdm.uploadarchive.raw/RTDC4031/ "%USERPROFILE%\AppData\Local\Temp\OnboardLogs"\RTDC4031\2017-10-21 --exclude "*" --recursive --include "*20171021*" &amp; "%USERPROFILE%\Documents\GitHub\mrs-test-scripts\Headless Mode &amp; Sideloading\WalkAndUnGZ.bat" "%USERPROFILE%\AppData\Local\Temp\OnboardLogs"\RTDC4031\2017-10-21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/stypes="app*4031*20171021*"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ref="AH131" si="26">refinertdcruntimes&amp;" --tripid "&amp;A131&amp;" --locoid "&amp;B131&amp;" --swversion "&amp;C131&amp;" --startMP "&amp;D131&amp;" --initTime "&amp;TEXT(E131,"yyyy-mm-ddTHH:MM:SS")&amp;" --startdatetime "&amp;TEXT(F131,"yyyy-mm-ddTHH:MM:SS")&amp;" --delay "&amp;G131&amp;" --endMP "&amp;H131&amp;" --enddatetime "&amp;TEXT(I131,"yyyy-mm-ddTHH:MM:SS")&amp;" --enforcementcount "&amp;J131&amp;IF(outputrefinedruntimes," &gt;&gt;"&amp;RefinedRTDCRunTimesOutputFile,"")</f>
        <v>"%USERPROFILE%\Documents\GitHub\eaglep3\Utilities\RefineRTDCRunTimes.py" --tripid 216-20 --locoid 4031 --swversion DE.1.0.9.0 --startMP 204:440 --initTime 2017-10-20T17:44:19 --startdatetime 2017-10-20T18:57:23 --delay 75 --endMP 204:233276 --enddatetime 2017-10-20T19:39:36 --enforcementcount 0 &gt;&gt;%USERPROFILE%\Documents\GitHub\eaglep3-reporting\EC\2017-10-20-refined-times.txt</v>
      </c>
      <c r="AI131" s="96" t="str">
        <f t="shared" ref="AI131" si="27">"echo {""issue"":{""subject"":"""&amp;R131&amp;""",""project_id"":79,""tracker_id"":40,""status_id"":"&amp;redmine_status&amp;",""priority_id"":"&amp;redmine_priority&amp;",""assigned_to_id"":"&amp;redmine_assignee&amp;",""start_date"":"""&amp;TEXT(I131,"YYYY-mm-dd")&amp;""",""description"":"""&amp;AJ131&amp;""",""custom_fields"":[{""id"":1,""name"":""Subdivision"",""value"":"""&amp;AG131&amp;"""},{""id"":4,""name"":""Milepost"",""value"":"""&amp;Z131&amp;"""},{""id"":17,""name"":""Train ID"",""value"":"""&amp;A131&amp;"""},{""id"":16,""name"":""Locomotive ID"",""value"":"""&amp;B131&amp;"""},{""id"":130,""name"":""Impact"",""value"":"""&amp;AK131&amp;"""},{""id"":150,""name"":""Time of Event (Mountain Time)"",""value"":"""&amp;TEXT(I131,"hh:mm:ss")&amp;"""},{""id"":151,""name"":""Denver Issue ID"",""value"":"""&amp;"""},{""id"":178,""name"":""Operational Impact"",""value"":"""&amp;redmine_op_impact&amp;"""},{""id"":179,""name"":""Denver Segment Assigned"",""value"":"""&amp;AL131&amp;"""}]}}"&amp;"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{"issue":{"subject":"","project_id":79,"tracker_id":40,"status_id":1,"priority_id":2,"assigned_to_id":338,"start_date":"2017-10-20","description":"","custom_fields":[{"id":1,"name":"Subdivision","value":"EC"},{"id":4,"name":"Milepost","value":"0.0154"},{"id":17,"name":"Train ID","value":"216-20"},{"id":16,"name":"Locomotive ID","value":"4031"},{"id":130,"name":"Impact","value":""},{"id":150,"name":"Time of Event (Mountain Time)","value":"19:39:36"},{"id":151,"name":"Denver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ref="AM131" si="28">"start /low /b "&amp;dls3logs&amp;" --loco "&amp;B131&amp;" --day "&amp;TEXT(F131,"YYYY-MM-DD")</f>
        <v>start /low /b %USERPROFILE%\Documents\GitHub\eaglep3\Utilities\DownloadLogsFromS3.py --loco 4031 --day 2017-10-20</v>
      </c>
      <c r="AN131" s="151" t="str">
        <f t="shared" ref="AN131" si="29">"echo {""issue"":{""subject"":"""&amp;R131&amp;""",""project_id"":30,""tracker_id"":4,""status_id"":"&amp;redmine_status_wcr&amp;",""priority_id"":"&amp;redmine_priority_wcr&amp;",""assigned_to_id"":"&amp;redmine_assignee_wcr&amp;",""start_date"":"""&amp;TEXT(I131-utc_offset/24,"YYYY-mm-dd")&amp;""",""description"":"""&amp;AJ131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01:39:36"},{"id":29,"name":"Sharepoint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ref="AO131" si="30"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Message%20ID',Summary),filters:!(),index:'emp_*',interval:auto,query:"&amp;"(query_string:(analyze_wildcard:!t,query:'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-20T16:44:19-0600',mode:absolute,to:'2017-10-20T20:39:36-0600'))&amp;_a=(columns:!('Message%20ID',Summary),filters:!(),index:'emp_*',interval:auto,query:(query_string:(analyze_wildcard:!t,query:'%22rtdc.l.rtdc.4031%22')),sort:!(Time.ISO8601,asc))</v>
      </c>
    </row>
    <row r="132" spans="1:91" s="20" customFormat="1" x14ac:dyDescent="0.3">
      <c r="A132" s="32" t="s">
        <v>823</v>
      </c>
      <c r="B132" s="7">
        <v>4026</v>
      </c>
      <c r="C132" s="21" t="s">
        <v>194</v>
      </c>
      <c r="D132" s="21" t="s">
        <v>494</v>
      </c>
      <c r="E132" s="13">
        <v>43028.756215277775</v>
      </c>
      <c r="F132" s="13">
        <v>43028.760694444441</v>
      </c>
      <c r="G132" s="7">
        <v>123</v>
      </c>
      <c r="H132" s="21" t="s">
        <v>419</v>
      </c>
      <c r="I132" s="13">
        <v>43028.786516203705</v>
      </c>
      <c r="J132" s="7">
        <v>0</v>
      </c>
      <c r="K132" s="89" t="str">
        <f>IF(ISEVEN(B132),(B132-1)&amp;"/"&amp;B132,B132&amp;"/"&amp;(B132+1))</f>
        <v>4025/4026</v>
      </c>
      <c r="L132" s="185" t="str">
        <f>VLOOKUP(A132,'Trips&amp;Operators'!$C$1:$G$99911,5,FALSE)</f>
        <v>NICHOLSON WESLEY</v>
      </c>
      <c r="M132" s="6">
        <f>I132-F132</f>
        <v>2.5821759263635613E-2</v>
      </c>
      <c r="N132" s="7">
        <f>24*60*SUM($M132:$M132)</f>
        <v>37.183333339635283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-20T17:08:57-0600',mode:absolute,to:'2017-10-20T19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2" s="204" t="str">
        <f>IF(AA132&lt;VLOOKUP(AG132,Variables!$AC$3:$AD$8,2,FALSE),"Y","N")</f>
        <v>N</v>
      </c>
      <c r="X132" s="204">
        <f t="shared" si="25"/>
        <v>1</v>
      </c>
      <c r="Y132" s="204">
        <f>RIGHT(D132,LEN(D132)-4)/10000</f>
        <v>4.8399999999999999E-2</v>
      </c>
      <c r="Z132" s="204">
        <f>RIGHT(H132,LEN(H132)-4)/10000</f>
        <v>23.329499999999999</v>
      </c>
      <c r="AA132" s="204">
        <f>ABS(Z132-Y132)</f>
        <v>23.281099999999999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>VALUE(LEFT(A132,LEN(A132)-3))</f>
        <v>217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s3://rtdc.mdm.uploadarchive.raw/RTDC4026/ "%USERPROFILE%\AppData\Local\Temp\OnboardLogs"\RTDC4026\2017-10-20 --exclude "*" --recursive --include "*20171020*" &amp; "%USERPROFILE%\Documents\GitHub\mrs-test-scripts\Headless Mode &amp; Sideloading\WalkAndUnGZ.bat" "%USERPROFILE%\AppData\Local\Temp\OnboardLogs"\RTDC4026\2017-10-20 &amp; aws s3 cp s3://rtdc.mdm.uploadarchive.raw/RTDC4026/ "%USERPROFILE%\AppData\Local\Temp\OnboardLogs"\RTDC4026\2017-10-21 --exclude "*" --recursive --include "*20171021*" &amp; "%USERPROFILE%\Documents\GitHub\mrs-test-scripts\Headless Mode &amp; Sideloading\WalkAndUnGZ.bat" "%USERPROFILE%\AppData\Local\Temp\OnboardLogs"\RTDC4026\2017-10-21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/stypes="app*4026*20171021*" /stext=" 00:.+((SYSTEM_STATE.+slice.+state.+changed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0"/>
        <v>"%USERPROFILE%\Documents\GitHub\eaglep3\Utilities\RefineRTDCRunTimes.py" --tripid 217-20 --locoid 4026 --swversion DE.1.0.9.0 --startMP 204:484 --initTime 2017-10-20T18:08:57 --startdatetime 2017-10-20T18:15:24 --delay 123 --endMP 204:233295 --enddatetime 2017-10-20T18:52:35 --enforcementcount 0 &gt;&gt;%USERPROFILE%\Documents\GitHub\eaglep3-reporting\EC\2017-10-20-refined-times.txt</v>
      </c>
      <c r="AI132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{"issue":{"subject":"","project_id":79,"tracker_id":40,"status_id":1,"priority_id":2,"assigned_to_id":338,"start_date":"2017-10-20","description":"","custom_fields":[{"id":1,"name":"Subdivision","value":"EC"},{"id":4,"name":"Milepost","value":"23.3295"},{"id":17,"name":"Train ID","value":"217-20"},{"id":16,"name":"Locomotive ID","value":"4026"},{"id":130,"name":"Impact","value":""},{"id":150,"name":"Time of Event (Mountain Time)","value":"18:52:35"},{"id":151,"name":"Denver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2"/>
        <v>start /low /b %USERPROFILE%\Documents\GitHub\eaglep3\Utilities\DownloadLogsFromS3.py --loco 4026 --day 2017-10-20</v>
      </c>
      <c r="AN132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4"/>
        <v>https://d0f6bd738d7f1b3e5a7ca70fe4ff75f0.us-east-1.aws.found.io/app/kibana#/discover/Steve-Slow-Train-Analysis-(2080s-and-2083s)?_g=(refreshInterval:(display:Off,pause:!f,section:0,value:0),time:(from:'2017-10-20T17:08:57-0600',mode:absolute,to:'2017-10-20T19:52:35-0600'))&amp;_a=(columns:!('Message%20ID',Summary),filters:!(),index:'emp_*',interval:auto,query:(query_string:(analyze_wildcard:!t,query:'%22rtdc.l.rtdc.4026%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834</v>
      </c>
      <c r="B133" s="7">
        <v>4025</v>
      </c>
      <c r="C133" s="21" t="s">
        <v>194</v>
      </c>
      <c r="D133" s="21" t="s">
        <v>395</v>
      </c>
      <c r="E133" s="13">
        <v>43028.791203703702</v>
      </c>
      <c r="F133" s="13">
        <v>43028.800254629627</v>
      </c>
      <c r="G133" s="7">
        <v>115</v>
      </c>
      <c r="H133" s="21" t="s">
        <v>925</v>
      </c>
      <c r="I133" s="13">
        <v>43028.827268518522</v>
      </c>
      <c r="J133" s="7">
        <v>0</v>
      </c>
      <c r="K133" s="89" t="str">
        <f>IF(ISEVEN(B133),(B133-1)&amp;"/"&amp;B133,B133&amp;"/"&amp;(B133+1))</f>
        <v>4025/4026</v>
      </c>
      <c r="L133" s="185" t="str">
        <f>VLOOKUP(A133,'Trips&amp;Operators'!$C$1:$G$99911,5,FALSE)</f>
        <v>NICHOLSON WESLEY</v>
      </c>
      <c r="M133" s="6">
        <f>I133-F133</f>
        <v>2.701388889545342E-2</v>
      </c>
      <c r="N133" s="7">
        <f>24*60*SUM($M133:$M133)</f>
        <v>38.900000009452924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-10-20T17:59:20-0600',mode:absolute,to:'2017-10-20T20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23.297699999999999</v>
      </c>
      <c r="Z133" s="204">
        <f>RIGHT(H133,LEN(H133)-4)/10000</f>
        <v>1.1900000000000001E-2</v>
      </c>
      <c r="AA133" s="204">
        <f>ABS(Z133-Y133)</f>
        <v>23.285799999999998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>VALUE(LEFT(A133,LEN(A133)-3))</f>
        <v>218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s3://rtdc.mdm.uploadarchive.raw/RTDC4025/ "%USERPROFILE%\AppData\Local\Temp\OnboardLogs"\RTDC4025\2017-10-20 --exclude "*" --recursive --include "*20171020*" &amp; "%USERPROFILE%\Documents\GitHub\mrs-test-scripts\Headless Mode &amp; Sideloading\WalkAndUnGZ.bat" "%USERPROFILE%\AppData\Local\Temp\OnboardLogs"\RTDC4025\2017-10-20 &amp; aws s3 cp s3://rtdc.mdm.uploadarchive.raw/RTDC4025/ "%USERPROFILE%\AppData\Local\Temp\OnboardLogs"\RTDC4025\2017-10-21 --exclude "*" --recursive --include "*20171021*" &amp; "%USERPROFILE%\Documents\GitHub\mrs-test-scripts\Headless Mode &amp; Sideloading\WalkAndUnGZ.bat" "%USERPROFILE%\AppData\Local\Temp\OnboardLogs"\RTDC4025\2017-10-21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/stypes="app*4025*20171021*" /stext=" 01:.+((SYSTEM_STATE.+slice.+state.+changed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0"/>
        <v>"%USERPROFILE%\Documents\GitHub\eaglep3\Utilities\RefineRTDCRunTimes.py" --tripid 218-20 --locoid 4025 --swversion DE.1.0.9.0 --startMP 204:232977 --initTime 2017-10-20T18:59:20 --startdatetime 2017-10-20T19:12:22 --delay 115 --endMP 204:119 --enddatetime 2017-10-20T19:51:16 --enforcementcount 0 &gt;&gt;%USERPROFILE%\Documents\GitHub\eaglep3-reporting\EC\2017-10-20-refined-times.txt</v>
      </c>
      <c r="AI133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{"issue":{"subject":"","project_id":79,"tracker_id":40,"status_id":1,"priority_id":2,"assigned_to_id":338,"start_date":"2017-10-20","description":"","custom_fields":[{"id":1,"name":"Subdivision","value":"EC"},{"id":4,"name":"Milepost","value":"0.0119"},{"id":17,"name":"Train ID","value":"218-20"},{"id":16,"name":"Locomotive ID","value":"4025"},{"id":130,"name":"Impact","value":""},{"id":150,"name":"Time of Event (Mountain Time)","value":"19:51:16"},{"id":151,"name":"Denver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2"/>
        <v>start /low /b %USERPROFILE%\Documents\GitHub\eaglep3\Utilities\DownloadLogsFromS3.py --loco 4025 --day 2017-10-20</v>
      </c>
      <c r="AN133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01:51:16"},{"id":29,"name":"Sharepoint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14"/>
        <v>https://d0f6bd738d7f1b3e5a7ca70fe4ff75f0.us-east-1.aws.found.io/app/kibana#/discover/Steve-Slow-Train-Analysis-(2080s-and-2083s)?_g=(refreshInterval:(display:Off,pause:!f,section:0,value:0),time:(from:'2017-10-20T17:59:20-0600',mode:absolute,to:'2017-10-20T20:51:16-0600'))&amp;_a=(columns:!('Message%20ID',Summary),filters:!(),index:'emp_*',interval:auto,query:(query_string:(analyze_wildcard:!t,query:'%22rtdc.l.rtdc.4025%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826</v>
      </c>
      <c r="B134" s="7">
        <v>4044</v>
      </c>
      <c r="C134" s="21" t="s">
        <v>194</v>
      </c>
      <c r="D134" s="21" t="s">
        <v>410</v>
      </c>
      <c r="E134" s="13">
        <v>43028.768194444441</v>
      </c>
      <c r="F134" s="13">
        <v>43028.771041666667</v>
      </c>
      <c r="G134" s="7">
        <v>93</v>
      </c>
      <c r="H134" s="21" t="s">
        <v>609</v>
      </c>
      <c r="I134" s="13">
        <v>43028.795914351853</v>
      </c>
      <c r="J134" s="7">
        <v>0</v>
      </c>
      <c r="K134" s="89" t="str">
        <f>IF(ISEVEN(B134),(B134-1)&amp;"/"&amp;B134,B134&amp;"/"&amp;(B134+1))</f>
        <v>4043/4044</v>
      </c>
      <c r="L134" s="185" t="str">
        <f>VLOOKUP(A134,'Trips&amp;Operators'!$C$1:$G$99911,5,FALSE)</f>
        <v>ZEWDU DEREJE</v>
      </c>
      <c r="M134" s="6">
        <f>I134-F134</f>
        <v>2.4872685185982846E-2</v>
      </c>
      <c r="N134" s="7">
        <f>24*60*SUM($M134:$M134)</f>
        <v>35.816666667815298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-20T17:26:12-0600',mode:absolute,to:'2017-10-20T20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4.3799999999999999E-2</v>
      </c>
      <c r="Z134" s="204">
        <f>RIGHT(H134,LEN(H134)-4)/10000</f>
        <v>23.327999999999999</v>
      </c>
      <c r="AA134" s="204">
        <f>ABS(Z134-Y134)</f>
        <v>23.284199999999998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>VALUE(LEFT(A134,LEN(A134)-3))</f>
        <v>219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 &amp; aws s3 cp s3://rtdc.mdm.uploadarchive.raw/RTDC4044/ "%USERPROFILE%\AppData\Local\Temp\OnboardLogs"\RTDC4044\2017-10-21 --exclude "*" --recursive --include "*20171021*" &amp; "%USERPROFILE%\Documents\GitHub\mrs-test-scripts\Headless Mode &amp; Sideloading\WalkAndUnGZ.bat" "%USERPROFILE%\AppData\Local\Temp\OnboardLogs"\RTDC4044\2017-10-21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/stypes="app*4044*20171021*" /stext=" 01:.+((SYSTEM_STATE.+slice.+state.+changed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0"/>
        <v>"%USERPROFILE%\Documents\GitHub\eaglep3\Utilities\RefineRTDCRunTimes.py" --tripid 219-20 --locoid 4044 --swversion DE.1.0.9.0 --startMP 204:438 --initTime 2017-10-20T18:26:12 --startdatetime 2017-10-20T18:30:18 --delay 93 --endMP 204:233280 --enddatetime 2017-10-20T19:06:07 --enforcementcount 0 &gt;&gt;%USERPROFILE%\Documents\GitHub\eaglep3-reporting\EC\2017-10-20-refined-times.txt</v>
      </c>
      <c r="AI134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{"issue":{"subject":"","project_id":79,"tracker_id":40,"status_id":1,"priority_id":2,"assigned_to_id":338,"start_date":"2017-10-20","description":"","custom_fields":[{"id":1,"name":"Subdivision","value":"EC"},{"id":4,"name":"Milepost","value":"23.328"},{"id":17,"name":"Train ID","value":"219-20"},{"id":16,"name":"Locomotive ID","value":"4044"},{"id":130,"name":"Impact","value":""},{"id":150,"name":"Time of Event (Mountain Time)","value":"19:06:07"},{"id":151,"name":"Denver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2"/>
        <v>start /low /b %USERPROFILE%\Documents\GitHub\eaglep3\Utilities\DownloadLogsFromS3.py --loco 4044 --day 2017-10-20</v>
      </c>
      <c r="AN134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01:06:07"},{"id":29,"name":"Sharepoint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14"/>
        <v>https://d0f6bd738d7f1b3e5a7ca70fe4ff75f0.us-east-1.aws.found.io/app/kibana#/discover/Steve-Slow-Train-Analysis-(2080s-and-2083s)?_g=(refreshInterval:(display:Off,pause:!f,section:0,value:0),time:(from:'2017-10-20T17:26:12-0600',mode:absolute,to:'2017-10-20T20:06:07-0600'))&amp;_a=(columns:!('Message%20ID',Summary),filters:!(),index:'emp_*',interval:auto,query:(query_string:(analyze_wildcard:!t,query:'%22rtdc.l.rtdc.4044%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837</v>
      </c>
      <c r="B135" s="7">
        <v>4043</v>
      </c>
      <c r="C135" s="21" t="s">
        <v>194</v>
      </c>
      <c r="D135" s="21" t="s">
        <v>410</v>
      </c>
      <c r="E135" s="13">
        <v>43028.768194444441</v>
      </c>
      <c r="F135" s="13">
        <v>43028.810590277775</v>
      </c>
      <c r="G135" s="7">
        <v>93</v>
      </c>
      <c r="H135" s="21" t="s">
        <v>609</v>
      </c>
      <c r="I135" s="13">
        <v>43028.838020833333</v>
      </c>
      <c r="J135" s="7">
        <v>0</v>
      </c>
      <c r="K135" s="89" t="str">
        <f>IF(ISEVEN(B135),(B135-1)&amp;"/"&amp;B135,B135&amp;"/"&amp;(B135+1))</f>
        <v>4043/4044</v>
      </c>
      <c r="L135" s="185" t="str">
        <f>VLOOKUP(A135,'Trips&amp;Operators'!$C$1:$G$99911,5,FALSE)</f>
        <v>ZEWDU DEREJE</v>
      </c>
      <c r="M135" s="6">
        <f>I135-F135</f>
        <v>2.7430555557657499E-2</v>
      </c>
      <c r="N135" s="7">
        <f>24*60*SUM($M135:$M135)</f>
        <v>39.500000003026798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-20T17:26:12-0600',mode:absolute,to:'2017-10-20T21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v>23.297699999999999</v>
      </c>
      <c r="Z135" s="204">
        <v>1.1900000000000001E-2</v>
      </c>
      <c r="AA135" s="204">
        <f>ABS(Z135-Y135)</f>
        <v>23.285799999999998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>VALUE(LEFT(A135,LEN(A135)-3))</f>
        <v>220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 &amp; aws s3 cp s3://rtdc.mdm.uploadarchive.raw/RTDC4043/ "%USERPROFILE%\AppData\Local\Temp\OnboardLogs"\RTDC4043\2017-10-21 --exclude "*" --recursive --include "*20171021*" &amp; "%USERPROFILE%\Documents\GitHub\mrs-test-scripts\Headless Mode &amp; Sideloading\WalkAndUnGZ.bat" "%USERPROFILE%\AppData\Local\Temp\OnboardLogs"\RTDC4043\2017-10-21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/stypes="app*4043*20171021*"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ref="AH135" si="31">refinertdcruntimes&amp;" --tripid "&amp;A135&amp;" --locoid "&amp;B135&amp;" --swversion "&amp;C135&amp;" --startMP "&amp;D135&amp;" --initTime "&amp;TEXT(E135,"yyyy-mm-ddTHH:MM:SS")&amp;" --startdatetime "&amp;TEXT(F135,"yyyy-mm-ddTHH:MM:SS")&amp;" --delay "&amp;G135&amp;" --endMP "&amp;H135&amp;" --enddatetime "&amp;TEXT(I135,"yyyy-mm-ddTHH:MM:SS")&amp;" --enforcementcount "&amp;J135&amp;IF(outputrefinedruntimes," &gt;&gt;"&amp;RefinedRTDCRunTimesOutputFile,"")</f>
        <v>"%USERPROFILE%\Documents\GitHub\eaglep3\Utilities\RefineRTDCRunTimes.py" --tripid 220-20 --locoid 4043 --swversion DE.1.0.9.0 --startMP 204:438 --initTime 2017-10-20T18:26:12 --startdatetime 2017-10-20T19:27:15 --delay 93 --endMP 204:233280 --enddatetime 2017-10-20T20:06:45 --enforcementcount 0 &gt;&gt;%USERPROFILE%\Documents\GitHub\eaglep3-reporting\EC\2017-10-20-refined-times.txt</v>
      </c>
      <c r="AI135" s="96" t="str">
        <f t="shared" ref="AI135" si="32">"echo {""issue"":{""subject"":"""&amp;R135&amp;""",""project_id"":79,""tracker_id"":40,""status_id"":"&amp;redmine_status&amp;",""priority_id"":"&amp;redmine_priority&amp;",""assigned_to_id"":"&amp;redmine_assignee&amp;",""start_date"":"""&amp;TEXT(I135,"YYYY-mm-dd")&amp;""",""description"":"""&amp;AJ135&amp;""",""custom_fields"":[{""id"":1,""name"":""Subdivision"",""value"":"""&amp;AG135&amp;"""},{""id"":4,""name"":""Milepost"",""value"":"""&amp;Z135&amp;"""},{""id"":17,""name"":""Train ID"",""value"":"""&amp;A135&amp;"""},{""id"":16,""name"":""Locomotive ID"",""value"":"""&amp;B135&amp;"""},{""id"":130,""name"":""Impact"",""value"":"""&amp;AK135&amp;"""},{""id"":150,""name"":""Time of Event (Mountain Time)"",""value"":"""&amp;TEXT(I135,"hh:mm:ss")&amp;"""},{""id"":151,""name"":""Denver Issue ID"",""value"":"""&amp;"""},{""id"":178,""name"":""Operational Impact"",""value"":"""&amp;redmine_op_impact&amp;"""},{""id"":179,""name"":""Denver Segment Assigned"",""value"":"""&amp;AL135&amp;"""}]}}"&amp;"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{"issue":{"subject":"","project_id":79,"tracker_id":40,"status_id":1,"priority_id":2,"assigned_to_id":338,"start_date":"2017-10-20","description":"","custom_fields":[{"id":1,"name":"Subdivision","value":"EC"},{"id":4,"name":"Milepost","value":"0.0119"},{"id":17,"name":"Train ID","value":"220-20"},{"id":16,"name":"Locomotive ID","value":"4043"},{"id":130,"name":"Impact","value":""},{"id":150,"name":"Time of Event (Mountain Time)","value":"20:06:45"},{"id":151,"name":"Denver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ref="AM135" si="33">"start /low /b "&amp;dls3logs&amp;" --loco "&amp;B135&amp;" --day "&amp;TEXT(F135,"YYYY-MM-DD")</f>
        <v>start /low /b %USERPROFILE%\Documents\GitHub\eaglep3\Utilities\DownloadLogsFromS3.py --loco 4043 --day 2017-10-20</v>
      </c>
      <c r="AN135" s="151" t="str">
        <f t="shared" ref="AN135" si="34">"echo {""issue"":{""subject"":"""&amp;R135&amp;""",""project_id"":30,""tracker_id"":4,""status_id"":"&amp;redmine_status_wcr&amp;",""priority_id"":"&amp;redmine_priority_wcr&amp;",""assigned_to_id"":"&amp;redmine_assignee_wcr&amp;",""start_date"":"""&amp;TEXT(I135-utc_offset/24,"YYYY-mm-dd")&amp;""",""description"":"""&amp;AJ135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02:06:45"},{"id":29,"name":"Sharepoint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ref="AO135" si="35"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Message%20ID',Summary),filters:!(),index:'emp_*',interval:auto,query:"&amp;"(query_string:(analyze_wildcard:!t,query:'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-20T17:26:12-0600',mode:absolute,to:'2017-10-20T21:06:45-0600'))&amp;_a=(columns:!('Message%20ID',Summary),filters:!(),index:'emp_*',interval:auto,query:(query_string:(analyze_wildcard:!t,query:'%22rtdc.l.rtdc.4043%22')),sort:!(Time.ISO8601,asc))</v>
      </c>
    </row>
    <row r="136" spans="1:91" s="20" customFormat="1" x14ac:dyDescent="0.3">
      <c r="A136" s="32" t="s">
        <v>652</v>
      </c>
      <c r="B136" s="7">
        <v>4056</v>
      </c>
      <c r="C136" s="21" t="s">
        <v>194</v>
      </c>
      <c r="D136" s="21" t="s">
        <v>344</v>
      </c>
      <c r="E136" s="13">
        <v>43028.78765046296</v>
      </c>
      <c r="F136" s="13">
        <v>43028.79184027778</v>
      </c>
      <c r="G136" s="7">
        <v>74</v>
      </c>
      <c r="H136" s="21" t="s">
        <v>434</v>
      </c>
      <c r="I136" s="13">
        <v>43028.816678240742</v>
      </c>
      <c r="J136" s="7">
        <v>0</v>
      </c>
      <c r="K136" s="89" t="str">
        <f>IF(ISEVEN(B136),(B136-1)&amp;"/"&amp;B136,B136&amp;"/"&amp;(B136+1))</f>
        <v>4055/4056</v>
      </c>
      <c r="L136" s="185" t="str">
        <f>VLOOKUP(A136,'Trips&amp;Operators'!$C$1:$G$99911,5,FALSE)</f>
        <v>GUNTHIER ERIC</v>
      </c>
      <c r="M136" s="6">
        <f>I136-F136</f>
        <v>2.4837962962919846E-2</v>
      </c>
      <c r="N136" s="7">
        <f>24*60*SUM($M136:$M136)</f>
        <v>35.766666666604578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-20T17:54:13-0600',mode:absolute,to:'2017-10-20T20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4.5499999999999999E-2</v>
      </c>
      <c r="Z136" s="204">
        <f>RIGHT(H136,LEN(H136)-4)/10000</f>
        <v>23.3293</v>
      </c>
      <c r="AA136" s="204">
        <f>ABS(Z136-Y136)</f>
        <v>23.283799999999999</v>
      </c>
      <c r="AB136" s="54" t="str">
        <f>VLOOKUP(A136,Enforcements!$C$7:$K$11,8,0)</f>
        <v>Bulletin (2)</v>
      </c>
      <c r="AC136" s="51" t="str">
        <f>VLOOKUP(A136,Enforcements!$C$7:$E$11,3,0)</f>
        <v>GRADE CROSSING</v>
      </c>
      <c r="AD136" s="179">
        <f>VALUE(LEFT(A136,LEN(A136)-3))</f>
        <v>221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/stypes="app*4056*20171021*" /stext=" 01:.+((SYSTEM_STATE.+slice.+state.+changed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0"/>
        <v>"%USERPROFILE%\Documents\GitHub\eaglep3\Utilities\RefineRTDCRunTimes.py" --tripid 221-20 --locoid 4056 --swversion DE.1.0.9.0 --startMP 204:455 --initTime 2017-10-20T18:54:13 --startdatetime 2017-10-20T19:00:15 --delay 74 --endMP 204:233293 --enddatetime 2017-10-20T19:36:01 --enforcementcount 0 &gt;&gt;%USERPROFILE%\Documents\GitHub\eaglep3-reporting\EC\2017-10-20-refined-times.txt</v>
      </c>
      <c r="AI136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{"issue":{"subject":"","project_id":79,"tracker_id":40,"status_id":1,"priority_id":2,"assigned_to_id":338,"start_date":"2017-10-20","description":"","custom_fields":[{"id":1,"name":"Subdivision","value":"EC"},{"id":4,"name":"Milepost","value":"23.3293"},{"id":17,"name":"Train ID","value":"221-20"},{"id":16,"name":"Locomotive ID","value":"4056"},{"id":130,"name":"Impact","value":""},{"id":150,"name":"Time of Event (Mountain Time)","value":"19:36:01"},{"id":151,"name":"Denver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2"/>
        <v>start /low /b %USERPROFILE%\Documents\GitHub\eaglep3\Utilities\DownloadLogsFromS3.py --loco 4056 --day 2017-10-20</v>
      </c>
      <c r="AN136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14"/>
        <v>https://d0f6bd738d7f1b3e5a7ca70fe4ff75f0.us-east-1.aws.found.io/app/kibana#/discover/Steve-Slow-Train-Analysis-(2080s-and-2083s)?_g=(refreshInterval:(display:Off,pause:!f,section:0,value:0),time:(from:'2017-10-20T17:54:13-0600',mode:absolute,to:'2017-10-20T20:36:01-0600'))&amp;_a=(columns:!('Message%20ID',Summary),filters:!(),index:'emp_*',interval:auto,query:(query_string:(analyze_wildcard:!t,query:'%22rtdc.l.rtdc.4056%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841</v>
      </c>
      <c r="B137" s="7">
        <v>4055</v>
      </c>
      <c r="C137" s="21" t="s">
        <v>194</v>
      </c>
      <c r="D137" s="21" t="s">
        <v>599</v>
      </c>
      <c r="E137" s="13">
        <v>43028.82880787037</v>
      </c>
      <c r="F137" s="13">
        <v>43028.831793981481</v>
      </c>
      <c r="G137" s="7">
        <v>57</v>
      </c>
      <c r="H137" s="21" t="s">
        <v>339</v>
      </c>
      <c r="I137" s="13">
        <v>43028.85833333333</v>
      </c>
      <c r="J137" s="7">
        <v>0</v>
      </c>
      <c r="K137" s="89" t="str">
        <f>IF(ISEVEN(B137),(B137-1)&amp;"/"&amp;B137,B137&amp;"/"&amp;(B137+1))</f>
        <v>4055/4056</v>
      </c>
      <c r="L137" s="185" t="str">
        <f>VLOOKUP(A137,'Trips&amp;Operators'!$C$1:$G$99911,5,FALSE)</f>
        <v>GUNTHIER ERIC</v>
      </c>
      <c r="M137" s="6">
        <f>I137-F137</f>
        <v>2.6539351849351078E-2</v>
      </c>
      <c r="N137" s="7">
        <f>24*60*SUM($M137:$M137)</f>
        <v>38.216666663065553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-20T18:53:29-0600',mode:absolute,to:'2017-10-20T21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23.296900000000001</v>
      </c>
      <c r="Z137" s="204">
        <f>RIGHT(H137,LEN(H137)-4)/10000</f>
        <v>1.47E-2</v>
      </c>
      <c r="AA137" s="204">
        <f>ABS(Z137-Y137)</f>
        <v>23.2822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>VALUE(LEFT(A137,LEN(A137)-3))</f>
        <v>222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s3://rtdc.mdm.uploadarchive.raw/RTDC4055/ "%USERPROFILE%\AppData\Local\Temp\OnboardLogs"\RTDC4055\2017-10-20 --exclude "*" --recursive --include "*20171020*" &amp; "%USERPROFILE%\Documents\GitHub\mrs-test-scripts\Headless Mode &amp; Sideloading\WalkAndUnGZ.bat" "%USERPROFILE%\AppData\Local\Temp\OnboardLogs"\RTDC4055\2017-10-20 &amp; aws s3 cp s3://rtdc.mdm.uploadarchive.raw/RTDC4055/ "%USERPROFILE%\AppData\Local\Temp\OnboardLogs"\RTDC4055\2017-10-21 --exclude "*" --recursive --include "*20171021*" &amp; "%USERPROFILE%\Documents\GitHub\mrs-test-scripts\Headless Mode &amp; Sideloading\WalkAndUnGZ.bat" "%USERPROFILE%\AppData\Local\Temp\OnboardLogs"\RTDC4055\2017-10-21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/stypes="app*4055*20171021*" /stext=" 02:.+((SYSTEM_STATE.+slice.+state.+changed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0"/>
        <v>"%USERPROFILE%\Documents\GitHub\eaglep3\Utilities\RefineRTDCRunTimes.py" --tripid 222-20 --locoid 4055 --swversion DE.1.0.9.0 --startMP 204:232969 --initTime 2017-10-20T19:53:29 --startdatetime 2017-10-20T19:57:47 --delay 57 --endMP 204:147 --enddatetime 2017-10-20T20:36:00 --enforcementcount 0 &gt;&gt;%USERPROFILE%\Documents\GitHub\eaglep3-reporting\EC\2017-10-20-refined-times.txt</v>
      </c>
      <c r="AI137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{"issue":{"subject":"","project_id":79,"tracker_id":40,"status_id":1,"priority_id":2,"assigned_to_id":338,"start_date":"2017-10-20","description":"","custom_fields":[{"id":1,"name":"Subdivision","value":"EC"},{"id":4,"name":"Milepost","value":"0.0147"},{"id":17,"name":"Train ID","value":"222-20"},{"id":16,"name":"Locomotive ID","value":"4055"},{"id":130,"name":"Impact","value":""},{"id":150,"name":"Time of Event (Mountain Time)","value":"20:36:00"},{"id":151,"name":"Denver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2"/>
        <v>start /low /b %USERPROFILE%\Documents\GitHub\eaglep3\Utilities\DownloadLogsFromS3.py --loco 4055 --day 2017-10-20</v>
      </c>
      <c r="AN137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02:36:00"},{"id":29,"name":"Sharepoint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14"/>
        <v>https://d0f6bd738d7f1b3e5a7ca70fe4ff75f0.us-east-1.aws.found.io/app/kibana#/discover/Steve-Slow-Train-Analysis-(2080s-and-2083s)?_g=(refreshInterval:(display:Off,pause:!f,section:0,value:0),time:(from:'2017-10-20T18:53:29-0600',mode:absolute,to:'2017-10-20T21:36:00-0600'))&amp;_a=(columns:!('Message%20ID',Summary),filters:!(),index:'emp_*',interval:auto,query:(query_string:(analyze_wildcard:!t,query:'%22rtdc.l.rtdc.4055%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838</v>
      </c>
      <c r="B138" s="7">
        <v>4064</v>
      </c>
      <c r="C138" s="21" t="s">
        <v>194</v>
      </c>
      <c r="D138" s="21" t="s">
        <v>432</v>
      </c>
      <c r="E138" s="13">
        <v>43028.809224537035</v>
      </c>
      <c r="F138" s="13">
        <v>43028.812696759262</v>
      </c>
      <c r="G138" s="7">
        <v>52</v>
      </c>
      <c r="H138" s="21" t="s">
        <v>881</v>
      </c>
      <c r="I138" s="13">
        <v>43028.838935185187</v>
      </c>
      <c r="J138" s="7">
        <v>0</v>
      </c>
      <c r="K138" s="89" t="str">
        <f>IF(ISEVEN(B138),(B138-1)&amp;"/"&amp;B138,B138&amp;"/"&amp;(B138+1))</f>
        <v>4063/4064</v>
      </c>
      <c r="L138" s="185" t="str">
        <f>VLOOKUP(A138,'Trips&amp;Operators'!$C$1:$G$99911,5,FALSE)</f>
        <v>DAVIDSON DAVID</v>
      </c>
      <c r="M138" s="6">
        <f>I138-F138</f>
        <v>2.6238425925839692E-2</v>
      </c>
      <c r="N138" s="7">
        <f>24*60*SUM($M138:$M138)</f>
        <v>37.783333333209157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-10-20T18:25:17-0600',mode:absolute,to:'2017-10-20T21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4.6899999999999997E-2</v>
      </c>
      <c r="Z138" s="204">
        <f>RIGHT(H138,LEN(H138)-4)/10000</f>
        <v>23.328900000000001</v>
      </c>
      <c r="AA138" s="204">
        <f>ABS(Z138-Y138)</f>
        <v>23.282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>VALUE(LEFT(A138,LEN(A138)-3))</f>
        <v>223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s3://rtdc.mdm.uploadarchive.raw/RTDC4064/ "%USERPROFILE%\AppData\Local\Temp\OnboardLogs"\RTDC4064\2017-10-20 --exclude "*" --recursive --include "*20171020*" &amp; "%USERPROFILE%\Documents\GitHub\mrs-test-scripts\Headless Mode &amp; Sideloading\WalkAndUnGZ.bat" "%USERPROFILE%\AppData\Local\Temp\OnboardLogs"\RTDC4064\2017-10-20 &amp; aws s3 cp s3://rtdc.mdm.uploadarchive.raw/RTDC4064/ "%USERPROFILE%\AppData\Local\Temp\OnboardLogs"\RTDC4064\2017-10-21 --exclude "*" --recursive --include "*20171021*" &amp; "%USERPROFILE%\Documents\GitHub\mrs-test-scripts\Headless Mode &amp; Sideloading\WalkAndUnGZ.bat" "%USERPROFILE%\AppData\Local\Temp\OnboardLogs"\RTDC4064\2017-10-21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/stypes="app*4064*20171021*" /stext=" 02:.+((SYSTEM_STATE.+slice.+state.+changed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0"/>
        <v>"%USERPROFILE%\Documents\GitHub\eaglep3\Utilities\RefineRTDCRunTimes.py" --tripid 223-20 --locoid 4064 --swversion DE.1.0.9.0 --startMP 204:469 --initTime 2017-10-20T19:25:17 --startdatetime 2017-10-20T19:30:17 --delay 52 --endMP 204:233289 --enddatetime 2017-10-20T20:08:04 --enforcementcount 0 &gt;&gt;%USERPROFILE%\Documents\GitHub\eaglep3-reporting\EC\2017-10-20-refined-times.txt</v>
      </c>
      <c r="AI138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{"issue":{"subject":"","project_id":79,"tracker_id":40,"status_id":1,"priority_id":2,"assigned_to_id":338,"start_date":"2017-10-20","description":"","custom_fields":[{"id":1,"name":"Subdivision","value":"EC"},{"id":4,"name":"Milepost","value":"23.3289"},{"id":17,"name":"Train ID","value":"223-20"},{"id":16,"name":"Locomotive ID","value":"4064"},{"id":130,"name":"Impact","value":""},{"id":150,"name":"Time of Event (Mountain Time)","value":"20:08:04"},{"id":151,"name":"Denver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2"/>
        <v>start /low /b %USERPROFILE%\Documents\GitHub\eaglep3\Utilities\DownloadLogsFromS3.py --loco 4064 --day 2017-10-20</v>
      </c>
      <c r="AN138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02:08:04"},{"id":29,"name":"Sharepoint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14"/>
        <v>https://d0f6bd738d7f1b3e5a7ca70fe4ff75f0.us-east-1.aws.found.io/app/kibana#/discover/Steve-Slow-Train-Analysis-(2080s-and-2083s)?_g=(refreshInterval:(display:Off,pause:!f,section:0,value:0),time:(from:'2017-10-20T18:25:17-0600',mode:absolute,to:'2017-10-20T21:08:04-0600'))&amp;_a=(columns:!('Message%20ID',Summary),filters:!(),index:'emp_*',interval:auto,query:(query_string:(analyze_wildcard:!t,query:'%22rtdc.l.rtdc.4064%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844</v>
      </c>
      <c r="B139" s="7">
        <v>4063</v>
      </c>
      <c r="C139" s="21" t="s">
        <v>194</v>
      </c>
      <c r="D139" s="21" t="s">
        <v>926</v>
      </c>
      <c r="E139" s="13">
        <v>43028.840115740742</v>
      </c>
      <c r="F139" s="13">
        <v>43028.852407407408</v>
      </c>
      <c r="G139" s="7">
        <v>49</v>
      </c>
      <c r="H139" s="21" t="s">
        <v>339</v>
      </c>
      <c r="I139" s="13">
        <v>43028.880590277775</v>
      </c>
      <c r="J139" s="7">
        <v>0</v>
      </c>
      <c r="K139" s="89" t="str">
        <f>IF(ISEVEN(B139),(B139-1)&amp;"/"&amp;B139,B139&amp;"/"&amp;(B139+1))</f>
        <v>4063/4064</v>
      </c>
      <c r="L139" s="185" t="str">
        <f>VLOOKUP(A139,'Trips&amp;Operators'!$C$1:$G$99911,5,FALSE)</f>
        <v>DAVIDSON DAVID</v>
      </c>
      <c r="M139" s="6">
        <f>I139-F139</f>
        <v>2.8182870366435964E-2</v>
      </c>
      <c r="N139" s="7">
        <f>24*60*SUM($M139:$M139)</f>
        <v>40.583333327667788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-20T19:09:46-0600',mode:absolute,to:'2017-10-20T22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23.2959</v>
      </c>
      <c r="Z139" s="204">
        <f>RIGHT(H139,LEN(H139)-4)/10000</f>
        <v>1.47E-2</v>
      </c>
      <c r="AA139" s="204">
        <f>ABS(Z139-Y139)</f>
        <v>23.281199999999998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>VALUE(LEFT(A139,LEN(A139)-3))</f>
        <v>224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/stypes="app*4063*20171021*"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10"/>
        <v>"%USERPROFILE%\Documents\GitHub\eaglep3\Utilities\RefineRTDCRunTimes.py" --tripid 224-20 --locoid 4063 --swversion DE.1.0.9.0 --startMP 204:232959 --initTime 2017-10-20T20:09:46 --startdatetime 2017-10-20T20:27:28 --delay 49 --endMP 204:147 --enddatetime 2017-10-20T21:08:03 --enforcementcount 0 &gt;&gt;%USERPROFILE%\Documents\GitHub\eaglep3-reporting\EC\2017-10-20-refined-times.txt</v>
      </c>
      <c r="AI139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{"issue":{"subject":"","project_id":79,"tracker_id":40,"status_id":1,"priority_id":2,"assigned_to_id":338,"start_date":"2017-10-20","description":"","custom_fields":[{"id":1,"name":"Subdivision","value":"EC"},{"id":4,"name":"Milepost","value":"0.0147"},{"id":17,"name":"Train ID","value":"224-20"},{"id":16,"name":"Locomotive ID","value":"4063"},{"id":130,"name":"Impact","value":""},{"id":150,"name":"Time of Event (Mountain Time)","value":"21:08:03"},{"id":151,"name":"Denver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12"/>
        <v>start /low /b %USERPROFILE%\Documents\GitHub\eaglep3\Utilities\DownloadLogsFromS3.py --loco 4063 --day 2017-10-20</v>
      </c>
      <c r="AN139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03:08:03"},{"id":29,"name":"Sharepoint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14"/>
        <v>https://d0f6bd738d7f1b3e5a7ca70fe4ff75f0.us-east-1.aws.found.io/app/kibana#/discover/Steve-Slow-Train-Analysis-(2080s-and-2083s)?_g=(refreshInterval:(display:Off,pause:!f,section:0,value:0),time:(from:'2017-10-20T19:09:46-0600',mode:absolute,to:'2017-10-20T22:08:03-0600'))&amp;_a=(columns:!('Message%20ID',Summary),filters:!(),index:'emp_*',interval:auto,query:(query_string:(analyze_wildcard:!t,query:'%22rtdc.l.rtdc.4063%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842</v>
      </c>
      <c r="B140" s="7">
        <v>4026</v>
      </c>
      <c r="C140" s="21" t="s">
        <v>194</v>
      </c>
      <c r="D140" s="21" t="s">
        <v>403</v>
      </c>
      <c r="E140" s="13">
        <v>43028.830543981479</v>
      </c>
      <c r="F140" s="13">
        <v>43028.83357638889</v>
      </c>
      <c r="G140" s="7">
        <v>74</v>
      </c>
      <c r="H140" s="21" t="s">
        <v>365</v>
      </c>
      <c r="I140" s="13">
        <v>43028.859537037039</v>
      </c>
      <c r="J140" s="7">
        <v>0</v>
      </c>
      <c r="K140" s="89" t="str">
        <f>IF(ISEVEN(B140),(B140-1)&amp;"/"&amp;B140,B140&amp;"/"&amp;(B140+1))</f>
        <v>4025/4026</v>
      </c>
      <c r="L140" s="185" t="str">
        <f>VLOOKUP(A140,'Trips&amp;Operators'!$C$1:$G$99911,5,FALSE)</f>
        <v>NICHOLSON WESLEY</v>
      </c>
      <c r="M140" s="6">
        <f>I140-F140</f>
        <v>2.5960648148611654E-2</v>
      </c>
      <c r="N140" s="7">
        <f>24*60*SUM($M140:$M140)</f>
        <v>37.383333334000781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-20T18:55:59-0600',mode:absolute,to:'2017-10-20T21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4.6199999999999998E-2</v>
      </c>
      <c r="Z140" s="204">
        <f>RIGHT(H140,LEN(H140)-4)/10000</f>
        <v>23.331199999999999</v>
      </c>
      <c r="AA140" s="204">
        <f>ABS(Z140-Y140)</f>
        <v>23.285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>VALUE(LEFT(A140,LEN(A140)-3))</f>
        <v>225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s3://rtdc.mdm.uploadarchive.raw/RTDC4026/ "%USERPROFILE%\AppData\Local\Temp\OnboardLogs"\RTDC4026\2017-10-20 --exclude "*" --recursive --include "*20171020*" &amp; "%USERPROFILE%\Documents\GitHub\mrs-test-scripts\Headless Mode &amp; Sideloading\WalkAndUnGZ.bat" "%USERPROFILE%\AppData\Local\Temp\OnboardLogs"\RTDC4026\2017-10-20 &amp; aws s3 cp s3://rtdc.mdm.uploadarchive.raw/RTDC4026/ "%USERPROFILE%\AppData\Local\Temp\OnboardLogs"\RTDC4026\2017-10-21 --exclude "*" --recursive --include "*20171021*" &amp; "%USERPROFILE%\Documents\GitHub\mrs-test-scripts\Headless Mode &amp; Sideloading\WalkAndUnGZ.bat" "%USERPROFILE%\AppData\Local\Temp\OnboardLogs"\RTDC4026\2017-10-21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/stypes="app*4026*20171021*" /stext=" 02:.+((SYSTEM_STATE.+slice.+state.+changed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0"/>
        <v>"%USERPROFILE%\Documents\GitHub\eaglep3\Utilities\RefineRTDCRunTimes.py" --tripid 225-20 --locoid 4026 --swversion DE.1.0.9.0 --startMP 204:462 --initTime 2017-10-20T19:55:59 --startdatetime 2017-10-20T20:00:21 --delay 74 --endMP 204:233312 --enddatetime 2017-10-20T20:37:44 --enforcementcount 0 &gt;&gt;%USERPROFILE%\Documents\GitHub\eaglep3-reporting\EC\2017-10-20-refined-times.txt</v>
      </c>
      <c r="AI140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{"issue":{"subject":"","project_id":79,"tracker_id":40,"status_id":1,"priority_id":2,"assigned_to_id":338,"start_date":"2017-10-20","description":"","custom_fields":[{"id":1,"name":"Subdivision","value":"EC"},{"id":4,"name":"Milepost","value":"23.3312"},{"id":17,"name":"Train ID","value":"225-20"},{"id":16,"name":"Locomotive ID","value":"4026"},{"id":130,"name":"Impact","value":""},{"id":150,"name":"Time of Event (Mountain Time)","value":"20:37:44"},{"id":151,"name":"Denver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2"/>
        <v>start /low /b %USERPROFILE%\Documents\GitHub\eaglep3\Utilities\DownloadLogsFromS3.py --loco 4026 --day 2017-10-20</v>
      </c>
      <c r="AN140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02:37:44"},{"id":29,"name":"Sharepoint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14"/>
        <v>https://d0f6bd738d7f1b3e5a7ca70fe4ff75f0.us-east-1.aws.found.io/app/kibana#/discover/Steve-Slow-Train-Analysis-(2080s-and-2083s)?_g=(refreshInterval:(display:Off,pause:!f,section:0,value:0),time:(from:'2017-10-20T18:55:59-0600',mode:absolute,to:'2017-10-20T21:37:44-0600'))&amp;_a=(columns:!('Message%20ID',Summary),filters:!(),index:'emp_*',interval:auto,query:(query_string:(analyze_wildcard:!t,query:'%22rtdc.l.rtdc.4026%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846</v>
      </c>
      <c r="B141" s="7">
        <v>4025</v>
      </c>
      <c r="C141" s="21" t="s">
        <v>194</v>
      </c>
      <c r="D141" s="21" t="s">
        <v>395</v>
      </c>
      <c r="E141" s="13">
        <v>43028.867858796293</v>
      </c>
      <c r="F141" s="13">
        <v>43028.873252314814</v>
      </c>
      <c r="G141" s="7">
        <v>93</v>
      </c>
      <c r="H141" s="21" t="s">
        <v>336</v>
      </c>
      <c r="I141" s="13">
        <v>43028.900358796294</v>
      </c>
      <c r="J141" s="7">
        <v>0</v>
      </c>
      <c r="K141" s="89" t="str">
        <f>IF(ISEVEN(B141),(B141-1)&amp;"/"&amp;B141,B141&amp;"/"&amp;(B141+1))</f>
        <v>4025/4026</v>
      </c>
      <c r="L141" s="185" t="str">
        <f>VLOOKUP(A141,'Trips&amp;Operators'!$C$1:$G$99911,5,FALSE)</f>
        <v>NICHOLSON WESLEY</v>
      </c>
      <c r="M141" s="6">
        <f>I141-F141</f>
        <v>2.7106481480586808E-2</v>
      </c>
      <c r="N141" s="7">
        <f>24*60*SUM($M141:$M141)</f>
        <v>39.033333332045004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-20T19:49:43-0600',mode:absolute,to:'2017-10-20T22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23.297699999999999</v>
      </c>
      <c r="Z141" s="204">
        <f>RIGHT(H141,LEN(H141)-4)/10000</f>
        <v>1.49E-2</v>
      </c>
      <c r="AA141" s="204">
        <f>ABS(Z141-Y141)</f>
        <v>23.282799999999998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>VALUE(LEFT(A141,LEN(A141)-3))</f>
        <v>226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s3://rtdc.mdm.uploadarchive.raw/RTDC4025/ "%USERPROFILE%\AppData\Local\Temp\OnboardLogs"\RTDC4025\2017-10-20 --exclude "*" --recursive --include "*20171020*" &amp; "%USERPROFILE%\Documents\GitHub\mrs-test-scripts\Headless Mode &amp; Sideloading\WalkAndUnGZ.bat" "%USERPROFILE%\AppData\Local\Temp\OnboardLogs"\RTDC4025\2017-10-20 &amp; aws s3 cp s3://rtdc.mdm.uploadarchive.raw/RTDC4025/ "%USERPROFILE%\AppData\Local\Temp\OnboardLogs"\RTDC4025\2017-10-21 --exclude "*" --recursive --include "*20171021*" &amp; "%USERPROFILE%\Documents\GitHub\mrs-test-scripts\Headless Mode &amp; Sideloading\WalkAndUnGZ.bat" "%USERPROFILE%\AppData\Local\Temp\OnboardLogs"\RTDC4025\2017-10-21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/stypes="app*4025*20171021*" /stext=" 03:.+((SYSTEM_STATE.+slice.+state.+changed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10"/>
        <v>"%USERPROFILE%\Documents\GitHub\eaglep3\Utilities\RefineRTDCRunTimes.py" --tripid 226-20 --locoid 4025 --swversion DE.1.0.9.0 --startMP 204:232977 --initTime 2017-10-20T20:49:43 --startdatetime 2017-10-20T20:57:29 --delay 93 --endMP 204:149 --enddatetime 2017-10-20T21:36:31 --enforcementcount 0 &gt;&gt;%USERPROFILE%\Documents\GitHub\eaglep3-reporting\EC\2017-10-20-refined-times.txt</v>
      </c>
      <c r="AI141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{"issue":{"subject":"","project_id":79,"tracker_id":40,"status_id":1,"priority_id":2,"assigned_to_id":338,"start_date":"2017-10-20","description":"","custom_fields":[{"id":1,"name":"Subdivision","value":"EC"},{"id":4,"name":"Milepost","value":"0.0149"},{"id":17,"name":"Train ID","value":"226-20"},{"id":16,"name":"Locomotive ID","value":"4025"},{"id":130,"name":"Impact","value":""},{"id":150,"name":"Time of Event (Mountain Time)","value":"21:36:31"},{"id":151,"name":"Denver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12"/>
        <v>start /low /b %USERPROFILE%\Documents\GitHub\eaglep3\Utilities\DownloadLogsFromS3.py --loco 4025 --day 2017-10-20</v>
      </c>
      <c r="AN141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03:36:31"},{"id":29,"name":"Sharepoint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14"/>
        <v>https://d0f6bd738d7f1b3e5a7ca70fe4ff75f0.us-east-1.aws.found.io/app/kibana#/discover/Steve-Slow-Train-Analysis-(2080s-and-2083s)?_g=(refreshInterval:(display:Off,pause:!f,section:0,value:0),time:(from:'2017-10-20T19:49:43-0600',mode:absolute,to:'2017-10-20T22:36:31-0600'))&amp;_a=(columns:!('Message%20ID',Summary),filters:!(),index:'emp_*',interval:auto,query:(query_string:(analyze_wildcard:!t,query:'%22rtdc.l.rtdc.4025%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843</v>
      </c>
      <c r="B142" s="7">
        <v>4044</v>
      </c>
      <c r="C142" s="21" t="s">
        <v>194</v>
      </c>
      <c r="D142" s="21" t="s">
        <v>344</v>
      </c>
      <c r="E142" s="13">
        <v>43028.839155092595</v>
      </c>
      <c r="F142" s="13">
        <v>43028.854328703703</v>
      </c>
      <c r="G142" s="7">
        <v>67</v>
      </c>
      <c r="H142" s="21" t="s">
        <v>611</v>
      </c>
      <c r="I142" s="13">
        <v>43028.879120370373</v>
      </c>
      <c r="J142" s="7">
        <v>0</v>
      </c>
      <c r="K142" s="89" t="str">
        <f>IF(ISEVEN(B142),(B142-1)&amp;"/"&amp;B142,B142&amp;"/"&amp;(B142+1))</f>
        <v>4043/4044</v>
      </c>
      <c r="L142" s="185" t="str">
        <f>VLOOKUP(A142,'Trips&amp;Operators'!$C$1:$G$99911,5,FALSE)</f>
        <v>ELBAUM MIKE</v>
      </c>
      <c r="M142" s="6">
        <f>I142-F142</f>
        <v>2.4791666670353152E-2</v>
      </c>
      <c r="N142" s="7">
        <f>24*60*SUM($M142:$M142)</f>
        <v>35.700000005308539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-20T19:08:23-0600',mode:absolute,to:'2017-10-20T22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4.5499999999999999E-2</v>
      </c>
      <c r="Z142" s="204">
        <f>RIGHT(H142,LEN(H142)-4)/10000</f>
        <v>23.3355</v>
      </c>
      <c r="AA142" s="204">
        <f>ABS(Z142-Y142)</f>
        <v>23.29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>VALUE(LEFT(A142,LEN(A142)-3))</f>
        <v>227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 &amp; aws s3 cp s3://rtdc.mdm.uploadarchive.raw/RTDC4044/ "%USERPROFILE%\AppData\Local\Temp\OnboardLogs"\RTDC4044\2017-10-21 --exclude "*" --recursive --include "*20171021*" &amp; "%USERPROFILE%\Documents\GitHub\mrs-test-scripts\Headless Mode &amp; Sideloading\WalkAndUnGZ.bat" "%USERPROFILE%\AppData\Local\Temp\OnboardLogs"\RTDC4044\2017-10-21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/stypes="app*4044*20171021*" /stext=" 03:.+((SYSTEM_STATE.+slice.+state.+changed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10"/>
        <v>"%USERPROFILE%\Documents\GitHub\eaglep3\Utilities\RefineRTDCRunTimes.py" --tripid 227-20 --locoid 4044 --swversion DE.1.0.9.0 --startMP 204:455 --initTime 2017-10-20T20:08:23 --startdatetime 2017-10-20T20:30:14 --delay 67 --endMP 204:233355 --enddatetime 2017-10-20T21:05:56 --enforcementcount 0 &gt;&gt;%USERPROFILE%\Documents\GitHub\eaglep3-reporting\EC\2017-10-20-refined-times.txt</v>
      </c>
      <c r="AI142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{"issue":{"subject":"","project_id":79,"tracker_id":40,"status_id":1,"priority_id":2,"assigned_to_id":338,"start_date":"2017-10-20","description":"","custom_fields":[{"id":1,"name":"Subdivision","value":"EC"},{"id":4,"name":"Milepost","value":"23.3355"},{"id":17,"name":"Train ID","value":"227-20"},{"id":16,"name":"Locomotive ID","value":"4044"},{"id":130,"name":"Impact","value":""},{"id":150,"name":"Time of Event (Mountain Time)","value":"21:05:56"},{"id":151,"name":"Denver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12"/>
        <v>start /low /b %USERPROFILE%\Documents\GitHub\eaglep3\Utilities\DownloadLogsFromS3.py --loco 4044 --day 2017-10-20</v>
      </c>
      <c r="AN142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03:05:56"},{"id":29,"name":"Sharepoint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14"/>
        <v>https://d0f6bd738d7f1b3e5a7ca70fe4ff75f0.us-east-1.aws.found.io/app/kibana#/discover/Steve-Slow-Train-Analysis-(2080s-and-2083s)?_g=(refreshInterval:(display:Off,pause:!f,section:0,value:0),time:(from:'2017-10-20T19:08:23-0600',mode:absolute,to:'2017-10-20T22:05:56-0600'))&amp;_a=(columns:!('Message%20ID',Summary),filters:!(),index:'emp_*',interval:auto,query:(query_string:(analyze_wildcard:!t,query:'%22rtdc.l.rtdc.4044%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849</v>
      </c>
      <c r="B143" s="7">
        <v>4043</v>
      </c>
      <c r="C143" s="21" t="s">
        <v>194</v>
      </c>
      <c r="D143" s="21" t="s">
        <v>927</v>
      </c>
      <c r="E143" s="13">
        <v>43028.880266203705</v>
      </c>
      <c r="F143" s="13">
        <v>43028.893946759257</v>
      </c>
      <c r="G143" s="7">
        <v>73</v>
      </c>
      <c r="H143" s="21" t="s">
        <v>335</v>
      </c>
      <c r="I143" s="13">
        <v>43028.92</v>
      </c>
      <c r="J143" s="7">
        <v>0</v>
      </c>
      <c r="K143" s="89" t="str">
        <f>IF(ISEVEN(B143),(B143-1)&amp;"/"&amp;B143,B143&amp;"/"&amp;(B143+1))</f>
        <v>4043/4044</v>
      </c>
      <c r="L143" s="185" t="str">
        <f>VLOOKUP(A143,'Trips&amp;Operators'!$C$1:$G$99911,5,FALSE)</f>
        <v>ELBAUM MIKE</v>
      </c>
      <c r="M143" s="6">
        <f>I143-F143</f>
        <v>2.6053240741021E-2</v>
      </c>
      <c r="N143" s="7">
        <f>24*60*SUM($M143:$M143)</f>
        <v>37.51666666707024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-20T20:07:35-0600',mode:absolute,to:'2017-10-20T23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23.303999999999998</v>
      </c>
      <c r="Z143" s="204">
        <f>RIGHT(H143,LEN(H143)-4)/10000</f>
        <v>1.4999999999999999E-2</v>
      </c>
      <c r="AA143" s="204">
        <f>ABS(Z143-Y143)</f>
        <v>23.288999999999998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>VALUE(LEFT(A143,LEN(A143)-3))</f>
        <v>228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 &amp; aws s3 cp s3://rtdc.mdm.uploadarchive.raw/RTDC4043/ "%USERPROFILE%\AppData\Local\Temp\OnboardLogs"\RTDC4043\2017-10-21 --exclude "*" --recursive --include "*20171021*" &amp; "%USERPROFILE%\Documents\GitHub\mrs-test-scripts\Headless Mode &amp; Sideloading\WalkAndUnGZ.bat" "%USERPROFILE%\AppData\Local\Temp\OnboardLogs"\RTDC4043\2017-10-21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/stypes="app*4043*20171021*"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si="10"/>
        <v>"%USERPROFILE%\Documents\GitHub\eaglep3\Utilities\RefineRTDCRunTimes.py" --tripid 228-20 --locoid 4043 --swversion DE.1.0.9.0 --startMP 204:233040 --initTime 2017-10-20T21:07:35 --startdatetime 2017-10-20T21:27:17 --delay 73 --endMP 204:150 --enddatetime 2017-10-20T22:04:48 --enforcementcount 0 &gt;&gt;%USERPROFILE%\Documents\GitHub\eaglep3-reporting\EC\2017-10-20-refined-times.txt</v>
      </c>
      <c r="AI143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{"issue":{"subject":"","project_id":79,"tracker_id":40,"status_id":1,"priority_id":2,"assigned_to_id":338,"start_date":"2017-10-20","description":"","custom_fields":[{"id":1,"name":"Subdivision","value":"EC"},{"id":4,"name":"Milepost","value":"0.015"},{"id":17,"name":"Train ID","value":"228-20"},{"id":16,"name":"Locomotive ID","value":"4043"},{"id":130,"name":"Impact","value":""},{"id":150,"name":"Time of Event (Mountain Time)","value":"22:04:48"},{"id":151,"name":"Denver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12"/>
        <v>start /low /b %USERPROFILE%\Documents\GitHub\eaglep3\Utilities\DownloadLogsFromS3.py --loco 4043 --day 2017-10-20</v>
      </c>
      <c r="AN143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04:04:48"},{"id":29,"name":"Sharepoint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14"/>
        <v>https://d0f6bd738d7f1b3e5a7ca70fe4ff75f0.us-east-1.aws.found.io/app/kibana#/discover/Steve-Slow-Train-Analysis-(2080s-and-2083s)?_g=(refreshInterval:(display:Off,pause:!f,section:0,value:0),time:(from:'2017-10-20T20:07:35-0600',mode:absolute,to:'2017-10-20T23:04:48-0600'))&amp;_a=(columns:!('Message%20ID',Summary),filters:!(),index:'emp_*',interval:auto,query:(query_string:(analyze_wildcard:!t,query:'%22rtdc.l.rtdc.4043%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847</v>
      </c>
      <c r="B144" s="7">
        <v>4056</v>
      </c>
      <c r="C144" s="21" t="s">
        <v>194</v>
      </c>
      <c r="D144" s="21" t="s">
        <v>402</v>
      </c>
      <c r="E144" s="13">
        <v>43028.871805555558</v>
      </c>
      <c r="F144" s="13">
        <v>43028.875277777777</v>
      </c>
      <c r="G144" s="7">
        <v>83</v>
      </c>
      <c r="H144" s="21" t="s">
        <v>433</v>
      </c>
      <c r="I144" s="13">
        <v>43028.900370370371</v>
      </c>
      <c r="J144" s="7">
        <v>0</v>
      </c>
      <c r="K144" s="89" t="str">
        <f>IF(ISEVEN(B144),(B144-1)&amp;"/"&amp;B144,B144&amp;"/"&amp;(B144+1))</f>
        <v>4055/4056</v>
      </c>
      <c r="L144" s="185" t="str">
        <f>VLOOKUP(A144,'Trips&amp;Operators'!$C$1:$G$99911,5,FALSE)</f>
        <v>ANDERS STEVEN</v>
      </c>
      <c r="M144" s="6">
        <f>I144-F144</f>
        <v>2.5092592593864538E-2</v>
      </c>
      <c r="N144" s="7">
        <f>24*60*SUM($M144:$M144)</f>
        <v>36.133333335164934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-20T19:55:24-0600',mode:absolute,to:'2017-10-20T22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4.4200000000000003E-2</v>
      </c>
      <c r="Z144" s="204">
        <f>RIGHT(H144,LEN(H144)-4)/10000</f>
        <v>23.328800000000001</v>
      </c>
      <c r="AA144" s="204">
        <f>ABS(Z144-Y144)</f>
        <v>23.284600000000001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>VALUE(LEFT(A144,LEN(A144)-3))</f>
        <v>229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/stypes="app*4056*20171021*" /stext=" 03:.+((SYSTEM_STATE.+slice.+state.+changed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si="10"/>
        <v>"%USERPROFILE%\Documents\GitHub\eaglep3\Utilities\RefineRTDCRunTimes.py" --tripid 229-20 --locoid 4056 --swversion DE.1.0.9.0 --startMP 204:442 --initTime 2017-10-20T20:55:24 --startdatetime 2017-10-20T21:00:24 --delay 83 --endMP 204:233288 --enddatetime 2017-10-20T21:36:32 --enforcementcount 0 &gt;&gt;%USERPROFILE%\Documents\GitHub\eaglep3-reporting\EC\2017-10-20-refined-times.txt</v>
      </c>
      <c r="AI144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{"issue":{"subject":"","project_id":79,"tracker_id":40,"status_id":1,"priority_id":2,"assigned_to_id":338,"start_date":"2017-10-20","description":"","custom_fields":[{"id":1,"name":"Subdivision","value":"EC"},{"id":4,"name":"Milepost","value":"23.3288"},{"id":17,"name":"Train ID","value":"229-20"},{"id":16,"name":"Locomotive ID","value":"4056"},{"id":130,"name":"Impact","value":""},{"id":150,"name":"Time of Event (Mountain Time)","value":"21:36:32"},{"id":151,"name":"Denver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12"/>
        <v>start /low /b %USERPROFILE%\Documents\GitHub\eaglep3\Utilities\DownloadLogsFromS3.py --loco 4056 --day 2017-10-20</v>
      </c>
      <c r="AN144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03:36:32"},{"id":29,"name":"Sharepoint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14"/>
        <v>https://d0f6bd738d7f1b3e5a7ca70fe4ff75f0.us-east-1.aws.found.io/app/kibana#/discover/Steve-Slow-Train-Analysis-(2080s-and-2083s)?_g=(refreshInterval:(display:Off,pause:!f,section:0,value:0),time:(from:'2017-10-20T19:55:24-0600',mode:absolute,to:'2017-10-20T22:36:32-0600'))&amp;_a=(columns:!('Message%20ID',Summary),filters:!(),index:'emp_*',interval:auto,query:(query_string:(analyze_wildcard:!t,query:'%22rtdc.l.rtdc.4056%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852</v>
      </c>
      <c r="B145" s="7">
        <v>4055</v>
      </c>
      <c r="C145" s="21" t="s">
        <v>194</v>
      </c>
      <c r="D145" s="21" t="s">
        <v>484</v>
      </c>
      <c r="E145" s="13">
        <v>43028.903298611112</v>
      </c>
      <c r="F145" s="13">
        <v>43028.914849537039</v>
      </c>
      <c r="G145" s="7">
        <v>60</v>
      </c>
      <c r="H145" s="21" t="s">
        <v>368</v>
      </c>
      <c r="I145" s="13">
        <v>43028.941874999997</v>
      </c>
      <c r="J145" s="7">
        <v>0</v>
      </c>
      <c r="K145" s="89" t="str">
        <f>IF(ISEVEN(B145),(B145-1)&amp;"/"&amp;B145,B145&amp;"/"&amp;(B145+1))</f>
        <v>4055/4056</v>
      </c>
      <c r="L145" s="185" t="str">
        <f>VLOOKUP(A145,'Trips&amp;Operators'!$C$1:$G$99911,5,FALSE)</f>
        <v>ANDERS STEVEN</v>
      </c>
      <c r="M145" s="6">
        <f>I145-F145</f>
        <v>2.7025462957681157E-2</v>
      </c>
      <c r="N145" s="7">
        <f>24*60*SUM($M145:$M145)</f>
        <v>38.916666659060866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-20T20:40:45-0600',mode:absolute,to:'2017-10-20T23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23.298200000000001</v>
      </c>
      <c r="Z145" s="204">
        <f>RIGHT(H145,LEN(H145)-4)/10000</f>
        <v>1.54E-2</v>
      </c>
      <c r="AA145" s="204">
        <f>ABS(Z145-Y145)</f>
        <v>23.282800000000002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>VALUE(LEFT(A145,LEN(A145)-3))</f>
        <v>230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s3://rtdc.mdm.uploadarchive.raw/RTDC4055/ "%USERPROFILE%\AppData\Local\Temp\OnboardLogs"\RTDC4055\2017-10-20 --exclude "*" --recursive --include "*20171020*" &amp; "%USERPROFILE%\Documents\GitHub\mrs-test-scripts\Headless Mode &amp; Sideloading\WalkAndUnGZ.bat" "%USERPROFILE%\AppData\Local\Temp\OnboardLogs"\RTDC4055\2017-10-20 &amp; aws s3 cp s3://rtdc.mdm.uploadarchive.raw/RTDC4055/ "%USERPROFILE%\AppData\Local\Temp\OnboardLogs"\RTDC4055\2017-10-21 --exclude "*" --recursive --include "*20171021*" &amp; "%USERPROFILE%\Documents\GitHub\mrs-test-scripts\Headless Mode &amp; Sideloading\WalkAndUnGZ.bat" "%USERPROFILE%\AppData\Local\Temp\OnboardLogs"\RTDC4055\2017-10-21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/stypes="app*4055*20171021*" /stext=" 04:.+((SYSTEM_STATE.+slice.+state.+changed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10"/>
        <v>"%USERPROFILE%\Documents\GitHub\eaglep3\Utilities\RefineRTDCRunTimes.py" --tripid 230-20 --locoid 4055 --swversion DE.1.0.9.0 --startMP 204:232982 --initTime 2017-10-20T21:40:45 --startdatetime 2017-10-20T21:57:23 --delay 60 --endMP 204:154 --enddatetime 2017-10-20T22:36:18 --enforcementcount 0 &gt;&gt;%USERPROFILE%\Documents\GitHub\eaglep3-reporting\EC\2017-10-20-refined-times.txt</v>
      </c>
      <c r="AI145" s="96" t="str">
        <f t="shared" si="11"/>
        <v>echo {"issue":{"subject":"","project_id":79,"tracker_id":40,"status_id":1,"priority_id":2,"assigned_to_id":338,"start_date":"2017-10-20","description":"","custom_fields":[{"id":1,"name":"Subdivision","value":"EC"},{"id":4,"name":"Milepost","value":"0.0154"},{"id":17,"name":"Train ID","value":"230-20"},{"id":16,"name":"Locomotive ID","value":"4055"},{"id":130,"name":"Impact","value":""},{"id":150,"name":"Time of Event (Mountain Time)","value":"22:36:18"},{"id":151,"name":"Denver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12"/>
        <v>start /low /b %USERPROFILE%\Documents\GitHub\eaglep3\Utilities\DownloadLogsFromS3.py --loco 4055 --day 2017-10-20</v>
      </c>
      <c r="AN145" s="151" t="str">
        <f t="shared" si="1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04:36:18"},{"id":29,"name":"Sharepoint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14"/>
        <v>https://d0f6bd738d7f1b3e5a7ca70fe4ff75f0.us-east-1.aws.found.io/app/kibana#/discover/Steve-Slow-Train-Analysis-(2080s-and-2083s)?_g=(refreshInterval:(display:Off,pause:!f,section:0,value:0),time:(from:'2017-10-20T20:40:45-0600',mode:absolute,to:'2017-10-20T23:36:18-0600'))&amp;_a=(columns:!('Message%20ID',Summary),filters:!(),index:'emp_*',interval:auto,query:(query_string:(analyze_wildcard:!t,query:'%22rtdc.l.rtdc.4055%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850</v>
      </c>
      <c r="B146" s="7">
        <v>4064</v>
      </c>
      <c r="C146" s="21" t="s">
        <v>194</v>
      </c>
      <c r="D146" s="21" t="s">
        <v>344</v>
      </c>
      <c r="E146" s="13">
        <v>43028.881921296299</v>
      </c>
      <c r="F146" s="13">
        <v>43028.896041666667</v>
      </c>
      <c r="G146" s="7">
        <v>56</v>
      </c>
      <c r="H146" s="21" t="s">
        <v>414</v>
      </c>
      <c r="I146" s="13">
        <v>43028.922326388885</v>
      </c>
      <c r="J146" s="7">
        <v>0</v>
      </c>
      <c r="K146" s="89" t="str">
        <f>IF(ISEVEN(B146),(B146-1)&amp;"/"&amp;B146,B146&amp;"/"&amp;(B146+1))</f>
        <v>4063/4064</v>
      </c>
      <c r="L146" s="185" t="str">
        <f>VLOOKUP(A146,'Trips&amp;Operators'!$C$1:$G$99911,5,FALSE)</f>
        <v>DAVIDSON DAVID</v>
      </c>
      <c r="M146" s="6">
        <f>I146-F146</f>
        <v>2.6284722218406387E-2</v>
      </c>
      <c r="N146" s="7">
        <f>24*60*SUM($M146:$M146)</f>
        <v>37.849999994505197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-20T20:09:58-0600',mode:absolute,to:'2017-10-20T23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4.5499999999999999E-2</v>
      </c>
      <c r="Z146" s="204">
        <f>RIGHT(H146,LEN(H146)-4)/10000</f>
        <v>23.329899999999999</v>
      </c>
      <c r="AA146" s="204">
        <f>ABS(Z146-Y146)</f>
        <v>23.284399999999998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>VALUE(LEFT(A146,LEN(A146)-3))</f>
        <v>231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s3://rtdc.mdm.uploadarchive.raw/RTDC4064/ "%USERPROFILE%\AppData\Local\Temp\OnboardLogs"\RTDC4064\2017-10-20 --exclude "*" --recursive --include "*20171020*" &amp; "%USERPROFILE%\Documents\GitHub\mrs-test-scripts\Headless Mode &amp; Sideloading\WalkAndUnGZ.bat" "%USERPROFILE%\AppData\Local\Temp\OnboardLogs"\RTDC4064\2017-10-20 &amp; aws s3 cp s3://rtdc.mdm.uploadarchive.raw/RTDC4064/ "%USERPROFILE%\AppData\Local\Temp\OnboardLogs"\RTDC4064\2017-10-21 --exclude "*" --recursive --include "*20171021*" &amp; "%USERPROFILE%\Documents\GitHub\mrs-test-scripts\Headless Mode &amp; Sideloading\WalkAndUnGZ.bat" "%USERPROFILE%\AppData\Local\Temp\OnboardLogs"\RTDC4064\2017-10-21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/stypes="app*4064*20171021*" /stext=" 04:.+((SYSTEM_STATE.+slice.+state.+changed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ref="AH146:AH216" si="36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231-20 --locoid 4064 --swversion DE.1.0.9.0 --startMP 204:455 --initTime 2017-10-20T21:09:58 --startdatetime 2017-10-20T21:30:18 --delay 56 --endMP 204:233299 --enddatetime 2017-10-20T22:08:09 --enforcementcount 0 &gt;&gt;%USERPROFILE%\Documents\GitHub\eaglep3-reporting\EC\2017-10-20-refined-times.txt</v>
      </c>
      <c r="AI146" s="96" t="str">
        <f t="shared" ref="AI146:AI216" si="37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{"issue":{"subject":"","project_id":79,"tracker_id":40,"status_id":1,"priority_id":2,"assigned_to_id":338,"start_date":"2017-10-20","description":"","custom_fields":[{"id":1,"name":"Subdivision","value":"EC"},{"id":4,"name":"Milepost","value":"23.3299"},{"id":17,"name":"Train ID","value":"231-20"},{"id":16,"name":"Locomotive ID","value":"4064"},{"id":130,"name":"Impact","value":""},{"id":150,"name":"Time of Event (Mountain Time)","value":"22:08:09"},{"id":151,"name":"Denver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ref="AM146:AM216" si="38">"start /low /b "&amp;dls3logs&amp;" --loco "&amp;B146&amp;" --day "&amp;TEXT(F146,"YYYY-MM-DD")</f>
        <v>start /low /b %USERPROFILE%\Documents\GitHub\eaglep3\Utilities\DownloadLogsFromS3.py --loco 4064 --day 2017-10-20</v>
      </c>
      <c r="AN146" s="151" t="str">
        <f t="shared" ref="AN146:AN216" si="39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04:08:09"},{"id":29,"name":"Sharepoint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ref="AO146:AO216" si="40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-20T20:09:58-0600',mode:absolute,to:'2017-10-20T23:08:09-0600'))&amp;_a=(columns:!('Message%20ID',Summary),filters:!(),index:'emp_*',interval:auto,query:(query_string:(analyze_wildcard:!t,query:'%22rtdc.l.rtdc.4064%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856</v>
      </c>
      <c r="B147" s="7">
        <v>4063</v>
      </c>
      <c r="C147" s="21" t="s">
        <v>194</v>
      </c>
      <c r="D147" s="21" t="s">
        <v>344</v>
      </c>
      <c r="E147" s="13">
        <v>43028.881921296299</v>
      </c>
      <c r="F147" s="13">
        <v>43028.935682870368</v>
      </c>
      <c r="G147" s="7">
        <v>56</v>
      </c>
      <c r="H147" s="21" t="s">
        <v>414</v>
      </c>
      <c r="I147" s="13">
        <v>43028.963935185187</v>
      </c>
      <c r="J147" s="7">
        <v>0</v>
      </c>
      <c r="K147" s="89" t="str">
        <f>IF(ISEVEN(B147),(B147-1)&amp;"/"&amp;B147,B147&amp;"/"&amp;(B147+1))</f>
        <v>4063/4064</v>
      </c>
      <c r="L147" s="185" t="str">
        <f>VLOOKUP(A147,'Trips&amp;Operators'!$C$1:$G$99911,5,FALSE)</f>
        <v>DAVIDSON DAVID</v>
      </c>
      <c r="M147" s="6">
        <f>I147-F147</f>
        <v>2.825231481983792E-2</v>
      </c>
      <c r="N147" s="7">
        <f>24*60*SUM($M147:$M147)</f>
        <v>40.683333340566605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-20T20:09:58-0600',mode:absolute,to:'2017-10-21T00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v>23.298200000000001</v>
      </c>
      <c r="Z147" s="204">
        <v>1.54E-2</v>
      </c>
      <c r="AA147" s="204">
        <f>ABS(Z147-Y147)</f>
        <v>23.282800000000002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>VALUE(LEFT(A147,LEN(A147)-3))</f>
        <v>232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/stypes="app*4063*20171021*"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ref="AH147" si="41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232-20 --locoid 4063 --swversion DE.1.0.9.0 --startMP 204:455 --initTime 2017-10-20T21:09:58 --startdatetime 2017-10-20T22:27:23 --delay 56 --endMP 204:233299 --enddatetime 2017-10-20T23:08:04 --enforcementcount 0 &gt;&gt;%USERPROFILE%\Documents\GitHub\eaglep3-reporting\EC\2017-10-20-refined-times.txt</v>
      </c>
      <c r="AI147" s="96" t="str">
        <f t="shared" ref="AI147" si="42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{"issue":{"subject":"","project_id":79,"tracker_id":40,"status_id":1,"priority_id":2,"assigned_to_id":338,"start_date":"2017-10-20","description":"","custom_fields":[{"id":1,"name":"Subdivision","value":"EC"},{"id":4,"name":"Milepost","value":"0.0154"},{"id":17,"name":"Train ID","value":"232-20"},{"id":16,"name":"Locomotive ID","value":"4063"},{"id":130,"name":"Impact","value":""},{"id":150,"name":"Time of Event (Mountain Time)","value":"23:08:04"},{"id":151,"name":"Denver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ref="AM147" si="43">"start /low /b "&amp;dls3logs&amp;" --loco "&amp;B147&amp;" --day "&amp;TEXT(F147,"YYYY-MM-DD")</f>
        <v>start /low /b %USERPROFILE%\Documents\GitHub\eaglep3\Utilities\DownloadLogsFromS3.py --loco 4063 --day 2017-10-20</v>
      </c>
      <c r="AN147" s="151" t="str">
        <f t="shared" ref="AN147" si="44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05:08:04"},{"id":29,"name":"Sharepoint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ref="AO147" si="45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-20T20:09:58-0600',mode:absolute,to:'2017-10-21T00:08:04-0600'))&amp;_a=(columns:!('Message%20ID',Summary),filters:!(),index:'emp_*',interval:auto,query:(query_string:(analyze_wildcard:!t,query:'%22rtdc.l.rtdc.4063%22')),sort:!(Time.ISO8601,asc))</v>
      </c>
    </row>
    <row r="148" spans="1:91" s="20" customFormat="1" x14ac:dyDescent="0.3">
      <c r="A148" s="32" t="s">
        <v>853</v>
      </c>
      <c r="B148" s="7">
        <v>4026</v>
      </c>
      <c r="C148" s="21" t="s">
        <v>194</v>
      </c>
      <c r="D148" s="21" t="s">
        <v>344</v>
      </c>
      <c r="E148" s="13">
        <v>43028.903865740744</v>
      </c>
      <c r="F148" s="13">
        <v>43028.916909722226</v>
      </c>
      <c r="G148" s="7">
        <v>64</v>
      </c>
      <c r="H148" s="21" t="s">
        <v>483</v>
      </c>
      <c r="I148" s="13">
        <v>43028.942361111112</v>
      </c>
      <c r="J148" s="7">
        <v>0</v>
      </c>
      <c r="K148" s="89" t="str">
        <f>IF(ISEVEN(B148),(B148-1)&amp;"/"&amp;B148,B148&amp;"/"&amp;(B148+1))</f>
        <v>4025/4026</v>
      </c>
      <c r="L148" s="185" t="str">
        <f>VLOOKUP(A148,'Trips&amp;Operators'!$C$1:$G$99911,5,FALSE)</f>
        <v>NICHOLSON WESLEY</v>
      </c>
      <c r="M148" s="6">
        <f>I148-F148</f>
        <v>2.545138888672227E-2</v>
      </c>
      <c r="N148" s="7">
        <f>24*60*SUM($M148:$M148)</f>
        <v>36.649999996880069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-20T20:41:34-0600',mode:absolute,to:'2017-10-20T23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4.5499999999999999E-2</v>
      </c>
      <c r="Z148" s="204">
        <f>RIGHT(H148,LEN(H148)-4)/10000</f>
        <v>23.3309</v>
      </c>
      <c r="AA148" s="204">
        <f>ABS(Z148-Y148)</f>
        <v>23.285399999999999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>VALUE(LEFT(A148,LEN(A148)-3))</f>
        <v>233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s3://rtdc.mdm.uploadarchive.raw/RTDC4026/ "%USERPROFILE%\AppData\Local\Temp\OnboardLogs"\RTDC4026\2017-10-20 --exclude "*" --recursive --include "*20171020*" &amp; "%USERPROFILE%\Documents\GitHub\mrs-test-scripts\Headless Mode &amp; Sideloading\WalkAndUnGZ.bat" "%USERPROFILE%\AppData\Local\Temp\OnboardLogs"\RTDC4026\2017-10-20 &amp; aws s3 cp s3://rtdc.mdm.uploadarchive.raw/RTDC4026/ "%USERPROFILE%\AppData\Local\Temp\OnboardLogs"\RTDC4026\2017-10-21 --exclude "*" --recursive --include "*20171021*" &amp; "%USERPROFILE%\Documents\GitHub\mrs-test-scripts\Headless Mode &amp; Sideloading\WalkAndUnGZ.bat" "%USERPROFILE%\AppData\Local\Temp\OnboardLogs"\RTDC4026\2017-10-21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/stypes="app*4026*20171021*" /stext=" 04:.+((SYSTEM_STATE.+slice.+state.+changed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36"/>
        <v>"%USERPROFILE%\Documents\GitHub\eaglep3\Utilities\RefineRTDCRunTimes.py" --tripid 233-20 --locoid 4026 --swversion DE.1.0.9.0 --startMP 204:455 --initTime 2017-10-20T21:41:34 --startdatetime 2017-10-20T22:00:21 --delay 64 --endMP 204:233309 --enddatetime 2017-10-20T22:37:00 --enforcementcount 0 &gt;&gt;%USERPROFILE%\Documents\GitHub\eaglep3-reporting\EC\2017-10-20-refined-times.txt</v>
      </c>
      <c r="AI148" s="96" t="str">
        <f t="shared" si="37"/>
        <v>echo {"issue":{"subject":"","project_id":79,"tracker_id":40,"status_id":1,"priority_id":2,"assigned_to_id":338,"start_date":"2017-10-20","description":"","custom_fields":[{"id":1,"name":"Subdivision","value":"EC"},{"id":4,"name":"Milepost","value":"23.3309"},{"id":17,"name":"Train ID","value":"233-20"},{"id":16,"name":"Locomotive ID","value":"4026"},{"id":130,"name":"Impact","value":""},{"id":150,"name":"Time of Event (Mountain Time)","value":"22:37:00"},{"id":151,"name":"Denver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38"/>
        <v>start /low /b %USERPROFILE%\Documents\GitHub\eaglep3\Utilities\DownloadLogsFromS3.py --loco 4026 --day 2017-10-20</v>
      </c>
      <c r="AN148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04:37:00"},{"id":29,"name":"Sharepoint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40"/>
        <v>https://d0f6bd738d7f1b3e5a7ca70fe4ff75f0.us-east-1.aws.found.io/app/kibana#/discover/Steve-Slow-Train-Analysis-(2080s-and-2083s)?_g=(refreshInterval:(display:Off,pause:!f,section:0,value:0),time:(from:'2017-10-20T20:41:34-0600',mode:absolute,to:'2017-10-20T23:37:00-0600'))&amp;_a=(columns:!('Message%20ID',Summary),filters:!(),index:'emp_*',interval:auto,query:(query_string:(analyze_wildcard:!t,query:'%22rtdc.l.rtdc.4026%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857</v>
      </c>
      <c r="B149" s="7">
        <v>4025</v>
      </c>
      <c r="C149" s="21" t="s">
        <v>194</v>
      </c>
      <c r="D149" s="21" t="s">
        <v>451</v>
      </c>
      <c r="E149" s="13">
        <v>43028.950219907405</v>
      </c>
      <c r="F149" s="13">
        <v>43028.956608796296</v>
      </c>
      <c r="G149" s="7">
        <v>66</v>
      </c>
      <c r="H149" s="21" t="s">
        <v>335</v>
      </c>
      <c r="I149" s="13">
        <v>43028.984224537038</v>
      </c>
      <c r="J149" s="7">
        <v>0</v>
      </c>
      <c r="K149" s="89" t="str">
        <f>IF(ISEVEN(B149),(B149-1)&amp;"/"&amp;B149,B149&amp;"/"&amp;(B149+1))</f>
        <v>4025/4026</v>
      </c>
      <c r="L149" s="185" t="str">
        <f>VLOOKUP(A149,'Trips&amp;Operators'!$C$1:$G$99911,5,FALSE)</f>
        <v>NICHOLSON WESLEY</v>
      </c>
      <c r="M149" s="6">
        <f>I149-F149</f>
        <v>2.7615740742476191E-2</v>
      </c>
      <c r="N149" s="7">
        <f>24*60*SUM($M149:$M149)</f>
        <v>39.766666669165716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-10-20T21:48:19-0600',mode:absolute,to:'2017-10-21T00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23.2988</v>
      </c>
      <c r="Z149" s="204">
        <f>RIGHT(H149,LEN(H149)-4)/10000</f>
        <v>1.4999999999999999E-2</v>
      </c>
      <c r="AA149" s="204">
        <f>ABS(Z149-Y149)</f>
        <v>23.283799999999999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>VALUE(LEFT(A149,LEN(A149)-3))</f>
        <v>234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s3://rtdc.mdm.uploadarchive.raw/RTDC4025/ "%USERPROFILE%\AppData\Local\Temp\OnboardLogs"\RTDC4025\2017-10-20 --exclude "*" --recursive --include "*20171020*" &amp; "%USERPROFILE%\Documents\GitHub\mrs-test-scripts\Headless Mode &amp; Sideloading\WalkAndUnGZ.bat" "%USERPROFILE%\AppData\Local\Temp\OnboardLogs"\RTDC4025\2017-10-20 &amp; aws s3 cp s3://rtdc.mdm.uploadarchive.raw/RTDC4025/ "%USERPROFILE%\AppData\Local\Temp\OnboardLogs"\RTDC4025\2017-10-21 --exclude "*" --recursive --include "*20171021*" &amp; "%USERPROFILE%\Documents\GitHub\mrs-test-scripts\Headless Mode &amp; Sideloading\WalkAndUnGZ.bat" "%USERPROFILE%\AppData\Local\Temp\OnboardLogs"\RTDC4025\2017-10-21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/stypes="app*4025*20171021*" /stext=" 05:.+((SYSTEM_STATE.+slice.+state.+changed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36"/>
        <v>"%USERPROFILE%\Documents\GitHub\eaglep3\Utilities\RefineRTDCRunTimes.py" --tripid 234-20 --locoid 4025 --swversion DE.1.0.9.0 --startMP 204:232988 --initTime 2017-10-20T22:48:19 --startdatetime 2017-10-20T22:57:31 --delay 66 --endMP 204:150 --enddatetime 2017-10-20T23:37:17 --enforcementcount 0 &gt;&gt;%USERPROFILE%\Documents\GitHub\eaglep3-reporting\EC\2017-10-20-refined-times.txt</v>
      </c>
      <c r="AI149" s="96" t="str">
        <f t="shared" si="37"/>
        <v>echo {"issue":{"subject":"","project_id":79,"tracker_id":40,"status_id":1,"priority_id":2,"assigned_to_id":338,"start_date":"2017-10-20","description":"","custom_fields":[{"id":1,"name":"Subdivision","value":"EC"},{"id":4,"name":"Milepost","value":"0.015"},{"id":17,"name":"Train ID","value":"234-20"},{"id":16,"name":"Locomotive ID","value":"4025"},{"id":130,"name":"Impact","value":""},{"id":150,"name":"Time of Event (Mountain Time)","value":"23:37:17"},{"id":151,"name":"Denver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38"/>
        <v>start /low /b %USERPROFILE%\Documents\GitHub\eaglep3\Utilities\DownloadLogsFromS3.py --loco 4025 --day 2017-10-20</v>
      </c>
      <c r="AN149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05:37:17"},{"id":29,"name":"Sharepoint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40"/>
        <v>https://d0f6bd738d7f1b3e5a7ca70fe4ff75f0.us-east-1.aws.found.io/app/kibana#/discover/Steve-Slow-Train-Analysis-(2080s-and-2083s)?_g=(refreshInterval:(display:Off,pause:!f,section:0,value:0),time:(from:'2017-10-20T21:48:19-0600',mode:absolute,to:'2017-10-21T00:37:17-0600'))&amp;_a=(columns:!('Message%20ID',Summary),filters:!(),index:'emp_*',interval:auto,query:(query_string:(analyze_wildcard:!t,query:'%22rtdc.l.rtdc.4025%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855</v>
      </c>
      <c r="B150" s="7">
        <v>4044</v>
      </c>
      <c r="C150" s="21" t="s">
        <v>194</v>
      </c>
      <c r="D150" s="21" t="s">
        <v>353</v>
      </c>
      <c r="E150" s="13">
        <v>43028.921168981484</v>
      </c>
      <c r="F150" s="13">
        <v>43028.937673611108</v>
      </c>
      <c r="G150" s="7">
        <v>72</v>
      </c>
      <c r="H150" s="21" t="s">
        <v>365</v>
      </c>
      <c r="I150" s="13">
        <v>43028.961805555555</v>
      </c>
      <c r="J150" s="7">
        <v>0</v>
      </c>
      <c r="K150" s="89" t="str">
        <f>IF(ISEVEN(B150),(B150-1)&amp;"/"&amp;B150,B150&amp;"/"&amp;(B150+1))</f>
        <v>4043/4044</v>
      </c>
      <c r="L150" s="185" t="str">
        <f>VLOOKUP(A150,'Trips&amp;Operators'!$C$1:$G$99911,5,FALSE)</f>
        <v>ELBAUM MIKE</v>
      </c>
      <c r="M150" s="6">
        <f>I150-F150</f>
        <v>2.4131944446708076E-2</v>
      </c>
      <c r="N150" s="7">
        <f>24*60*SUM($M150:$M150)</f>
        <v>34.750000003259629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-20T21:06:29-0600',mode:absolute,to:'2017-10-21T00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4.58E-2</v>
      </c>
      <c r="Z150" s="204">
        <f>RIGHT(H150,LEN(H150)-4)/10000</f>
        <v>23.331199999999999</v>
      </c>
      <c r="AA150" s="204">
        <f>ABS(Z150-Y150)</f>
        <v>23.285399999999999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>VALUE(LEFT(A150,LEN(A150)-3))</f>
        <v>235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 &amp; aws s3 cp s3://rtdc.mdm.uploadarchive.raw/RTDC4044/ "%USERPROFILE%\AppData\Local\Temp\OnboardLogs"\RTDC4044\2017-10-21 --exclude "*" --recursive --include "*20171021*" &amp; "%USERPROFILE%\Documents\GitHub\mrs-test-scripts\Headless Mode &amp; Sideloading\WalkAndUnGZ.bat" "%USERPROFILE%\AppData\Local\Temp\OnboardLogs"\RTDC4044\2017-10-21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/stypes="app*4044*20171021*" /stext=" 05:.+((SYSTEM_STATE.+slice.+state.+changed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36"/>
        <v>"%USERPROFILE%\Documents\GitHub\eaglep3\Utilities\RefineRTDCRunTimes.py" --tripid 235-20 --locoid 4044 --swversion DE.1.0.9.0 --startMP 204:458 --initTime 2017-10-20T22:06:29 --startdatetime 2017-10-20T22:30:15 --delay 72 --endMP 204:233312 --enddatetime 2017-10-20T23:05:00 --enforcementcount 0 &gt;&gt;%USERPROFILE%\Documents\GitHub\eaglep3-reporting\EC\2017-10-20-refined-times.txt</v>
      </c>
      <c r="AI150" s="96" t="str">
        <f t="shared" si="37"/>
        <v>echo {"issue":{"subject":"","project_id":79,"tracker_id":40,"status_id":1,"priority_id":2,"assigned_to_id":338,"start_date":"2017-10-20","description":"","custom_fields":[{"id":1,"name":"Subdivision","value":"EC"},{"id":4,"name":"Milepost","value":"23.3312"},{"id":17,"name":"Train ID","value":"235-20"},{"id":16,"name":"Locomotive ID","value":"4044"},{"id":130,"name":"Impact","value":""},{"id":150,"name":"Time of Event (Mountain Time)","value":"23:05:00"},{"id":151,"name":"Denver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38"/>
        <v>start /low /b %USERPROFILE%\Documents\GitHub\eaglep3\Utilities\DownloadLogsFromS3.py --loco 4044 --day 2017-10-20</v>
      </c>
      <c r="AN150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05:05:00"},{"id":29,"name":"Sharepoint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40"/>
        <v>https://d0f6bd738d7f1b3e5a7ca70fe4ff75f0.us-east-1.aws.found.io/app/kibana#/discover/Steve-Slow-Train-Analysis-(2080s-and-2083s)?_g=(refreshInterval:(display:Off,pause:!f,section:0,value:0),time:(from:'2017-10-20T21:06:29-0600',mode:absolute,to:'2017-10-21T00:05:00-0600'))&amp;_a=(columns:!('Message%20ID',Summary),filters:!(),index:'emp_*',interval:auto,query:(query_string:(analyze_wildcard:!t,query:'%22rtdc.l.rtdc.4044%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859</v>
      </c>
      <c r="B151" s="7">
        <v>4043</v>
      </c>
      <c r="C151" s="21" t="s">
        <v>194</v>
      </c>
      <c r="D151" s="21" t="s">
        <v>353</v>
      </c>
      <c r="E151" s="13">
        <v>43028.921168981484</v>
      </c>
      <c r="F151" s="13">
        <v>43028.977222222224</v>
      </c>
      <c r="G151" s="7">
        <v>72</v>
      </c>
      <c r="H151" s="21" t="s">
        <v>365</v>
      </c>
      <c r="I151" s="13">
        <v>43029.005185185182</v>
      </c>
      <c r="J151" s="7">
        <v>0</v>
      </c>
      <c r="K151" s="89" t="str">
        <f>IF(ISEVEN(B151),(B151-1)&amp;"/"&amp;B151,B151&amp;"/"&amp;(B151+1))</f>
        <v>4043/4044</v>
      </c>
      <c r="L151" s="185" t="str">
        <f>VLOOKUP(A151,'Trips&amp;Operators'!$C$1:$G$99911,5,FALSE)</f>
        <v>ELBAUM MIKE</v>
      </c>
      <c r="M151" s="6">
        <f>I151-F151</f>
        <v>2.7962962958554272E-2</v>
      </c>
      <c r="N151" s="7">
        <f>24*60*SUM($M151:$M151)</f>
        <v>40.266666660318151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-20T21:06:29-0600',mode:absolute,to:'2017-10-21T01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1" s="204" t="str">
        <f>IF(AA151&lt;VLOOKUP(AG151,Variables!$AC$3:$AD$8,2,FALSE),"Y","N")</f>
        <v>N</v>
      </c>
      <c r="X151" s="204">
        <f t="shared" ref="X151:X155" si="46">VALUE(LEFT(AD151,4))-VALUE(LEFT(AD150,4))</f>
        <v>1</v>
      </c>
      <c r="Y151" s="204">
        <v>23.2988</v>
      </c>
      <c r="Z151" s="204">
        <v>1.4999999999999999E-2</v>
      </c>
      <c r="AA151" s="204">
        <f>ABS(Z151-Y151)</f>
        <v>23.283799999999999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>VALUE(LEFT(A151,LEN(A151)-3))</f>
        <v>236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 &amp; aws s3 cp s3://rtdc.mdm.uploadarchive.raw/RTDC4043/ "%USERPROFILE%\AppData\Local\Temp\OnboardLogs"\RTDC4043\2017-10-21 --exclude "*" --recursive --include "*20171021*" &amp; "%USERPROFILE%\Documents\GitHub\mrs-test-scripts\Headless Mode &amp; Sideloading\WalkAndUnGZ.bat" "%USERPROFILE%\AppData\Local\Temp\OnboardLogs"\RTDC4043\2017-10-21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/stypes="app*4043*20171021*"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ref="AH151" si="47"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236-20 --locoid 4043 --swversion DE.1.0.9.0 --startMP 204:458 --initTime 2017-10-20T22:06:29 --startdatetime 2017-10-20T23:27:12 --delay 72 --endMP 204:233312 --enddatetime 2017-10-21T00:07:28 --enforcementcount 0 &gt;&gt;%USERPROFILE%\Documents\GitHub\eaglep3-reporting\EC\2017-10-20-refined-times.txt</v>
      </c>
      <c r="AI151" s="96" t="str">
        <f t="shared" ref="AI151" si="48"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{"issue":{"subject":"","project_id":79,"tracker_id":40,"status_id":1,"priority_id":2,"assigned_to_id":338,"start_date":"2017-10-21","description":"","custom_fields":[{"id":1,"name":"Subdivision","value":"EC"},{"id":4,"name":"Milepost","value":"0.015"},{"id":17,"name":"Train ID","value":"236-20"},{"id":16,"name":"Locomotive ID","value":"4043"},{"id":130,"name":"Impact","value":""},{"id":150,"name":"Time of Event (Mountain Time)","value":"00:07:28"},{"id":151,"name":"Denver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ref="AM151" si="49">"start /low /b "&amp;dls3logs&amp;" --loco "&amp;B151&amp;" --day "&amp;TEXT(F151,"YYYY-MM-DD")</f>
        <v>start /low /b %USERPROFILE%\Documents\GitHub\eaglep3\Utilities\DownloadLogsFromS3.py --loco 4043 --day 2017-10-20</v>
      </c>
      <c r="AN151" s="151" t="str">
        <f t="shared" ref="AN151" si="50"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06:07:28"},{"id":29,"name":"Sharepoint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ref="AO151" si="51"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-20T21:06:29-0600',mode:absolute,to:'2017-10-21T01:07:28-0600'))&amp;_a=(columns:!('Message%20ID',Summary),filters:!(),index:'emp_*',interval:auto,query:(query_string:(analyze_wildcard:!t,query:'%22rtdc.l.rtdc.4043%22')),sort:!(Time.ISO8601,asc))</v>
      </c>
    </row>
    <row r="152" spans="1:91" s="20" customFormat="1" x14ac:dyDescent="0.3">
      <c r="A152" s="32" t="s">
        <v>655</v>
      </c>
      <c r="B152" s="7">
        <v>4056</v>
      </c>
      <c r="C152" s="21" t="s">
        <v>194</v>
      </c>
      <c r="D152" s="21" t="s">
        <v>432</v>
      </c>
      <c r="E152" s="13">
        <v>43028.944548611114</v>
      </c>
      <c r="F152" s="13">
        <v>43028.95853009259</v>
      </c>
      <c r="G152" s="7">
        <v>48</v>
      </c>
      <c r="H152" s="21" t="s">
        <v>928</v>
      </c>
      <c r="I152" s="13">
        <v>43028.965879629628</v>
      </c>
      <c r="J152" s="7">
        <v>0</v>
      </c>
      <c r="K152" s="89" t="str">
        <f>IF(ISEVEN(B152),(B152-1)&amp;"/"&amp;B152,B152&amp;"/"&amp;(B152+1))</f>
        <v>4055/4056</v>
      </c>
      <c r="L152" s="185" t="str">
        <f>VLOOKUP(A152,'Trips&amp;Operators'!$C$1:$G$99911,5,FALSE)</f>
        <v>ANDERS STEVEN</v>
      </c>
      <c r="M152" s="6">
        <f>I152-F152</f>
        <v>7.3495370379532687E-3</v>
      </c>
      <c r="N152" s="7"/>
      <c r="O152" s="7"/>
      <c r="P152" s="7">
        <f>24*60*SUM($M152:$M152)</f>
        <v>10.583333334652707</v>
      </c>
      <c r="Q152" s="22"/>
      <c r="R152" s="174" t="s">
        <v>1050</v>
      </c>
      <c r="S152" s="221">
        <f>1/IF(AG152="EC",12,1)*SUM(U152:U152)</f>
        <v>0.25</v>
      </c>
      <c r="T152" s="174" t="str">
        <f>IF(ISEVEN(LEFT(AD152,4)),"Southbound","NorthBound")</f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3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-20T21:40:09-0600',mode:absolute,to:'2017-10-21T00:10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2" s="204" t="str">
        <f>IF(AA152&lt;VLOOKUP(AG152,Variables!$AC$3:$AD$8,2,FALSE),"Y","N")</f>
        <v>Y</v>
      </c>
      <c r="X152" s="204">
        <f t="shared" si="46"/>
        <v>1</v>
      </c>
      <c r="Y152" s="204">
        <f>RIGHT(D152,LEN(D152)-4)/10000</f>
        <v>4.6899999999999997E-2</v>
      </c>
      <c r="Z152" s="204">
        <f>RIGHT(H152,LEN(H152)-4)/10000</f>
        <v>3.7185000000000001</v>
      </c>
      <c r="AA152" s="204">
        <f>ABS(Z152-Y152)</f>
        <v>3.6716000000000002</v>
      </c>
      <c r="AB152" s="54" t="str">
        <f>VLOOKUP(A152,Enforcements!$C$7:$K$11,8,0)</f>
        <v>Bulletin (2)</v>
      </c>
      <c r="AC152" s="51" t="str">
        <f>VLOOKUP(A152,Enforcements!$C$7:$E$11,3,0)</f>
        <v>GRADE CROSSING</v>
      </c>
      <c r="AD152" s="179">
        <f>VALUE(LEFT(A152,LEN(A152)-3))</f>
        <v>237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/stypes="app*4056*20171021*" /stext=" 05:.+((SYSTEM_STATE.+slice.+state.+changed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36"/>
        <v>"%USERPROFILE%\Documents\GitHub\eaglep3\Utilities\RefineRTDCRunTimes.py" --tripid 237-20 --locoid 4056 --swversion DE.1.0.9.0 --startMP 204:469 --initTime 2017-10-20T22:40:09 --startdatetime 2017-10-20T23:00:17 --delay 48 --endMP 204:37185 --enddatetime 2017-10-20T23:10:52 --enforcementcount 0 &gt;&gt;%USERPROFILE%\Documents\GitHub\eaglep3-reporting\EC\2017-10-20-refined-times.txt</v>
      </c>
      <c r="AI152" s="96" t="str">
        <f t="shared" si="37"/>
        <v>echo {"issue":{"subject":"2 early arrivals in a row, cut-out to maintain schedule","project_id":79,"tracker_id":40,"status_id":1,"priority_id":2,"assigned_to_id":338,"start_date":"2017-10-20","description":"","custom_fields":[{"id":1,"name":"Subdivision","value":"EC"},{"id":4,"name":"Milepost","value":"3.7185"},{"id":17,"name":"Train ID","value":"237-20"},{"id":16,"name":"Locomotive ID","value":"4056"},{"id":130,"name":"Impact","value":""},{"id":150,"name":"Time of Event (Mountain Time)","value":"23:10:52"},{"id":151,"name":"Denver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38"/>
        <v>start /low /b %USERPROFILE%\Documents\GitHub\eaglep3\Utilities\DownloadLogsFromS3.py --loco 4056 --day 2017-10-20</v>
      </c>
      <c r="AN152" s="151" t="str">
        <f t="shared" si="39"/>
        <v>echo {"issue":{"subject":"2 early arrivals in a row, cut-out to maintain schedule","project_id":30,"tracker_id":4,"status_id":1,"priority_id":1,"assigned_to_id":10,"start_date":"2017-10-21","description":"","custom_fields":[{"id":30,"name":"Category","value":"Issue"},{"id":3,"name":"Functional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05:10:52"},{"id":29,"name":"Sharepoint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40"/>
        <v>https://d0f6bd738d7f1b3e5a7ca70fe4ff75f0.us-east-1.aws.found.io/app/kibana#/discover/Steve-Slow-Train-Analysis-(2080s-and-2083s)?_g=(refreshInterval:(display:Off,pause:!f,section:0,value:0),time:(from:'2017-10-20T21:40:09-0600',mode:absolute,to:'2017-10-21T00:10:52-0600'))&amp;_a=(columns:!('Message%20ID',Summary),filters:!(),index:'emp_*',interval:auto,query:(query_string:(analyze_wildcard:!t,query:'%22rtdc.l.rtdc.4056%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1051</v>
      </c>
      <c r="B153" s="7">
        <v>4055</v>
      </c>
      <c r="C153" s="21" t="s">
        <v>194</v>
      </c>
      <c r="D153" s="21" t="s">
        <v>432</v>
      </c>
      <c r="E153" s="13">
        <v>43028.944548611114</v>
      </c>
      <c r="F153" s="13">
        <v>43029</v>
      </c>
      <c r="G153" s="7">
        <v>49</v>
      </c>
      <c r="H153" s="21" t="s">
        <v>1053</v>
      </c>
      <c r="I153" s="13">
        <v>43029.000694444447</v>
      </c>
      <c r="J153" s="7">
        <v>0</v>
      </c>
      <c r="K153" s="89" t="str">
        <f>IF(ISEVEN(B153),(B153-1)&amp;"/"&amp;B153,B153&amp;"/"&amp;(B153+1))</f>
        <v>4055/4056</v>
      </c>
      <c r="L153" s="185" t="s">
        <v>501</v>
      </c>
      <c r="M153" s="6">
        <f>I153-F153</f>
        <v>6.944444467080757E-4</v>
      </c>
      <c r="N153" s="7"/>
      <c r="O153" s="7"/>
      <c r="P153" s="7">
        <f>24*60*SUM($M153:$M153)</f>
        <v>1.000000003259629</v>
      </c>
      <c r="Q153" s="22"/>
      <c r="R153" s="174" t="s">
        <v>1052</v>
      </c>
      <c r="S153" s="221">
        <f>1/IF(AG153="EC",12,1)*SUM(U153:U153)</f>
        <v>0</v>
      </c>
      <c r="T153" s="174" t="str">
        <f>IF(ISEVEN(LEFT(AD153,4)),"Southbound","NorthBound")</f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-20T21:40:09-0600',mode:absolute,to:'2017-10-21T01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3" s="204" t="str">
        <f>IF(AA153&lt;VLOOKUP(AG153,Variables!$AC$3:$AD$8,2,FALSE),"Y","N")</f>
        <v>Y</v>
      </c>
      <c r="X153" s="204">
        <f t="shared" si="46"/>
        <v>1</v>
      </c>
      <c r="Y153" s="204">
        <v>23.2988</v>
      </c>
      <c r="Z153" s="204">
        <v>23.2988</v>
      </c>
      <c r="AA153" s="204">
        <f>ABS(Z153-Y153)</f>
        <v>0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>VALUE(LEFT(A153,LEN(A153)-3))</f>
        <v>238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s3://rtdc.mdm.uploadarchive.raw/RTDC4055/ "%USERPROFILE%\AppData\Local\Temp\OnboardLogs"\RTDC4055\2017-10-21 --exclude "*" --recursive --include "*20171021*" &amp; "%USERPROFILE%\Documents\GitHub\mrs-test-scripts\Headless Mode &amp; Sideloading\WalkAndUnGZ.bat" "%USERPROFILE%\AppData\Local\Temp\OnboardLogs"\RTDC4055\2017-10-21 &amp; aws s3 cp s3://rtdc.mdm.uploadarchive.raw/RTDC4055/ "%USERPROFILE%\AppData\Local\Temp\OnboardLogs"\RTDC4055\2017-10-22 --exclude "*" --recursive --include "*20171022*" &amp; "%USERPROFILE%\Documents\GitHub\mrs-test-scripts\Headless Mode &amp; Sideloading\WalkAndUnGZ.bat" "%USERPROFILE%\AppData\Local\Temp\OnboardLogs"\RTDC4055\2017-10-22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/stypes="app*4055*20171021*" /stext=" 06:.+((SYSTEM_STATE.+slice.+state.+changed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ref="AH153" si="52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238-20 --locoid 4055 --swversion DE.1.0.9.0 --startMP 204:469 --initTime 2017-10-20T22:40:09 --startdatetime 2017-10-21T00:00:00 --delay 49 --endMP 204:37186 --enddatetime 2017-10-21T00:01:00 --enforcementcount 0 &gt;&gt;%USERPROFILE%\Documents\GitHub\eaglep3-reporting\EC\2017-10-20-refined-times.txt</v>
      </c>
      <c r="AI153" s="96" t="str">
        <f t="shared" ref="AI153" si="53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{"issue":{"subject":"No init at DIA after cycling Wi-MAX and PTC data breakers, propulsion problems en route to DUS","project_id":79,"tracker_id":40,"status_id":1,"priority_id":2,"assigned_to_id":338,"start_date":"2017-10-21","description":"","custom_fields":[{"id":1,"name":"Subdivision","value":"EC"},{"id":4,"name":"Milepost","value":"23.2988"},{"id":17,"name":"Train ID","value":"238-20"},{"id":16,"name":"Locomotive ID","value":"4055"},{"id":130,"name":"Impact","value":""},{"id":150,"name":"Time of Event (Mountain Time)","value":"00:01:00"},{"id":151,"name":"Denver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ref="AM153" si="54">"start /low /b "&amp;dls3logs&amp;" --loco "&amp;B153&amp;" --day "&amp;TEXT(F153,"YYYY-MM-DD")</f>
        <v>start /low /b %USERPROFILE%\Documents\GitHub\eaglep3\Utilities\DownloadLogsFromS3.py --loco 4055 --day 2017-10-21</v>
      </c>
      <c r="AN153" s="151" t="str">
        <f t="shared" ref="AN153" si="55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{"issue":{"subject":"No init at DIA after cycling Wi-MAX and PTC data breakers, propulsion problems en route to DUS","project_id":30,"tracker_id":4,"status_id":1,"priority_id":1,"assigned_to_id":10,"start_date":"2017-10-21","description":"","custom_fields":[{"id":30,"name":"Category","value":"Issue"},{"id":3,"name":"Functional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06:01:00"},{"id":29,"name":"Sharepoint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ref="AO153" si="56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-20T21:40:09-0600',mode:absolute,to:'2017-10-21T01:01:00-0600'))&amp;_a=(columns:!('Message%20ID',Summary),filters:!(),index:'emp_*',interval:auto,query:(query_string:(analyze_wildcard:!t,query:'%22rtdc.l.rtdc.4055%22')),sort:!(Time.ISO8601,asc))</v>
      </c>
    </row>
    <row r="154" spans="1:91" s="20" customFormat="1" x14ac:dyDescent="0.3">
      <c r="A154" s="32" t="s">
        <v>860</v>
      </c>
      <c r="B154" s="7">
        <v>4064</v>
      </c>
      <c r="C154" s="21" t="s">
        <v>194</v>
      </c>
      <c r="D154" s="21" t="s">
        <v>383</v>
      </c>
      <c r="E154" s="13">
        <v>43028.970775462964</v>
      </c>
      <c r="F154" s="13">
        <v>43028.979375000003</v>
      </c>
      <c r="G154" s="7">
        <v>51</v>
      </c>
      <c r="H154" s="21" t="s">
        <v>929</v>
      </c>
      <c r="I154" s="13">
        <v>43029.006053240744</v>
      </c>
      <c r="J154" s="7">
        <v>0</v>
      </c>
      <c r="K154" s="89" t="str">
        <f>IF(ISEVEN(B154),(B154-1)&amp;"/"&amp;B154,B154&amp;"/"&amp;(B154+1))</f>
        <v>4063/4064</v>
      </c>
      <c r="L154" s="185" t="str">
        <f>VLOOKUP(A154,'Trips&amp;Operators'!$C$1:$G$99911,5,FALSE)</f>
        <v>DAVIDSON DAVID</v>
      </c>
      <c r="M154" s="6">
        <f>I154-F154</f>
        <v>2.6678240741603076E-2</v>
      </c>
      <c r="N154" s="7">
        <f>24*60*SUM($M154:$M154)</f>
        <v>38.41666666790843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-20T22:17:55-0600',mode:absolute,to:'2017-10-21T01:08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4" s="204" t="str">
        <f>IF(AA154&lt;VLOOKUP(AG154,Variables!$AC$3:$AD$8,2,FALSE),"Y","N")</f>
        <v>N</v>
      </c>
      <c r="X154" s="204">
        <f t="shared" si="46"/>
        <v>1</v>
      </c>
      <c r="Y154" s="204">
        <f>RIGHT(D154,LEN(D154)-4)/10000</f>
        <v>4.7300000000000002E-2</v>
      </c>
      <c r="Z154" s="204">
        <f>RIGHT(H154,LEN(H154)-4)/10000</f>
        <v>23.328399999999998</v>
      </c>
      <c r="AA154" s="204">
        <f>ABS(Z154-Y154)</f>
        <v>23.281099999999999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>VALUE(LEFT(A154,LEN(A154)-3))</f>
        <v>239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s3://rtdc.mdm.uploadarchive.raw/RTDC4064/ "%USERPROFILE%\AppData\Local\Temp\OnboardLogs"\RTDC4064\2017-10-20 --exclude "*" --recursive --include "*20171020*" &amp; "%USERPROFILE%\Documents\GitHub\mrs-test-scripts\Headless Mode &amp; Sideloading\WalkAndUnGZ.bat" "%USERPROFILE%\AppData\Local\Temp\OnboardLogs"\RTDC4064\2017-10-20 &amp; aws s3 cp s3://rtdc.mdm.uploadarchive.raw/RTDC4064/ "%USERPROFILE%\AppData\Local\Temp\OnboardLogs"\RTDC4064\2017-10-21 --exclude "*" --recursive --include "*20171021*" &amp; "%USERPROFILE%\Documents\GitHub\mrs-test-scripts\Headless Mode &amp; Sideloading\WalkAndUnGZ.bat" "%USERPROFILE%\AppData\Local\Temp\OnboardLogs"\RTDC4064\2017-10-21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/stypes="app*4064*20171021*" /stext=" 06:.+((SYSTEM_STATE.+slice.+state.+changed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36"/>
        <v>"%USERPROFILE%\Documents\GitHub\eaglep3\Utilities\RefineRTDCRunTimes.py" --tripid 239-20 --locoid 4064 --swversion DE.1.0.9.0 --startMP 204:473 --initTime 2017-10-20T23:17:55 --startdatetime 2017-10-20T23:30:18 --delay 51 --endMP 204:233284 --enddatetime 2017-10-21T00:08:43 --enforcementcount 0 &gt;&gt;%USERPROFILE%\Documents\GitHub\eaglep3-reporting\EC\2017-10-20-refined-times.txt</v>
      </c>
      <c r="AI154" s="96" t="str">
        <f t="shared" si="37"/>
        <v>echo {"issue":{"subject":"","project_id":79,"tracker_id":40,"status_id":1,"priority_id":2,"assigned_to_id":338,"start_date":"2017-10-21","description":"","custom_fields":[{"id":1,"name":"Subdivision","value":"EC"},{"id":4,"name":"Milepost","value":"23.3284"},{"id":17,"name":"Train ID","value":"239-20"},{"id":16,"name":"Locomotive ID","value":"4064"},{"id":130,"name":"Impact","value":""},{"id":150,"name":"Time of Event (Mountain Time)","value":"00:08:43"},{"id":151,"name":"Denver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38"/>
        <v>start /low /b %USERPROFILE%\Documents\GitHub\eaglep3\Utilities\DownloadLogsFromS3.py --loco 4064 --day 2017-10-20</v>
      </c>
      <c r="AN154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06:08:43"},{"id":29,"name":"Sharepoint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40"/>
        <v>https://d0f6bd738d7f1b3e5a7ca70fe4ff75f0.us-east-1.aws.found.io/app/kibana#/discover/Steve-Slow-Train-Analysis-(2080s-and-2083s)?_g=(refreshInterval:(display:Off,pause:!f,section:0,value:0),time:(from:'2017-10-20T22:17:55-0600',mode:absolute,to:'2017-10-21T01:08:43-0600'))&amp;_a=(columns:!('Message%20ID',Summary),filters:!(),index:'emp_*',interval:auto,query:(query_string:(analyze_wildcard:!t,query:'%22rtdc.l.rtdc.4064%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863</v>
      </c>
      <c r="B155" s="7">
        <v>4063</v>
      </c>
      <c r="C155" s="21" t="s">
        <v>194</v>
      </c>
      <c r="D155" s="21" t="s">
        <v>930</v>
      </c>
      <c r="E155" s="13">
        <v>43029.007824074077</v>
      </c>
      <c r="F155" s="13">
        <v>43029.018946759257</v>
      </c>
      <c r="G155" s="7">
        <v>53</v>
      </c>
      <c r="H155" s="21" t="s">
        <v>362</v>
      </c>
      <c r="I155" s="13">
        <v>43029.047372685185</v>
      </c>
      <c r="J155" s="7">
        <v>0</v>
      </c>
      <c r="K155" s="89" t="str">
        <f>IF(ISEVEN(B155),(B155-1)&amp;"/"&amp;B155,B155&amp;"/"&amp;(B155+1))</f>
        <v>4063/4064</v>
      </c>
      <c r="L155" s="185" t="str">
        <f>VLOOKUP(A155,'Trips&amp;Operators'!$C$1:$G$99911,5,FALSE)</f>
        <v>DAVIDSON DAVID</v>
      </c>
      <c r="M155" s="6">
        <f>I155-F155</f>
        <v>2.842592592787696E-2</v>
      </c>
      <c r="N155" s="7">
        <f>24*60*SUM($M155:$M155)</f>
        <v>40.933333336142823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-20T23:11:16-0600',mode:absolute,to:'2017-10-21T02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5" s="204" t="str">
        <f>IF(AA155&lt;VLOOKUP(AG155,Variables!$AC$3:$AD$8,2,FALSE),"Y","N")</f>
        <v>N</v>
      </c>
      <c r="X155" s="204">
        <f t="shared" si="46"/>
        <v>1</v>
      </c>
      <c r="Y155" s="204">
        <f>RIGHT(D155,LEN(D155)-4)/10000</f>
        <v>23.295500000000001</v>
      </c>
      <c r="Z155" s="204">
        <f>RIGHT(H155,LEN(H155)-4)/10000</f>
        <v>1.5800000000000002E-2</v>
      </c>
      <c r="AA155" s="204">
        <f>ABS(Z155-Y155)</f>
        <v>23.279700000000002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>VALUE(LEFT(A155,LEN(A155)-3))</f>
        <v>240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 &amp; aws s3 cp s3://rtdc.mdm.uploadarchive.raw/RTDC4063/ "%USERPROFILE%\AppData\Local\Temp\OnboardLogs"\RTDC4063\2017-10-22 --exclude "*" --recursive --include "*20171022*" &amp; "%USERPROFILE%\Documents\GitHub\mrs-test-scripts\Headless Mode &amp; Sideloading\WalkAndUnGZ.bat" "%USERPROFILE%\AppData\Local\Temp\OnboardLogs"\RTDC4063\2017-10-22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/stypes="app*4063*20171021*"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36"/>
        <v>"%USERPROFILE%\Documents\GitHub\eaglep3\Utilities\RefineRTDCRunTimes.py" --tripid 240-20 --locoid 4063 --swversion DE.1.0.9.0 --startMP 204:232955 --initTime 2017-10-21T00:11:16 --startdatetime 2017-10-21T00:27:17 --delay 53 --endMP 204:158 --enddatetime 2017-10-21T01:08:13 --enforcementcount 0 &gt;&gt;%USERPROFILE%\Documents\GitHub\eaglep3-reporting\EC\2017-10-20-refined-times.txt</v>
      </c>
      <c r="AI155" s="96" t="str">
        <f t="shared" si="37"/>
        <v>echo {"issue":{"subject":"","project_id":79,"tracker_id":40,"status_id":1,"priority_id":2,"assigned_to_id":338,"start_date":"2017-10-21","description":"","custom_fields":[{"id":1,"name":"Subdivision","value":"EC"},{"id":4,"name":"Milepost","value":"0.0158"},{"id":17,"name":"Train ID","value":"240-20"},{"id":16,"name":"Locomotive ID","value":"4063"},{"id":130,"name":"Impact","value":""},{"id":150,"name":"Time of Event (Mountain Time)","value":"01:08:13"},{"id":151,"name":"Denver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38"/>
        <v>start /low /b %USERPROFILE%\Documents\GitHub\eaglep3\Utilities\DownloadLogsFromS3.py --loco 4063 --day 2017-10-21</v>
      </c>
      <c r="AN155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07:08:13"},{"id":29,"name":"Sharepoint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40"/>
        <v>https://d0f6bd738d7f1b3e5a7ca70fe4ff75f0.us-east-1.aws.found.io/app/kibana#/discover/Steve-Slow-Train-Analysis-(2080s-and-2083s)?_g=(refreshInterval:(display:Off,pause:!f,section:0,value:0),time:(from:'2017-10-20T23:11:16-0600',mode:absolute,to:'2017-10-21T02:08:13-0600'))&amp;_a=(columns:!('Message%20ID',Summary),filters:!(),index:'emp_*',interval:auto,query:(query_string:(analyze_wildcard:!t,query:'%22rtdc.l.rtdc.4063%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862</v>
      </c>
      <c r="B156" s="7">
        <v>4026</v>
      </c>
      <c r="C156" s="21" t="s">
        <v>194</v>
      </c>
      <c r="D156" s="21" t="s">
        <v>931</v>
      </c>
      <c r="E156" s="13">
        <v>43028.990532407406</v>
      </c>
      <c r="F156" s="13">
        <v>43029.000335648147</v>
      </c>
      <c r="G156" s="7">
        <v>62</v>
      </c>
      <c r="H156" s="21" t="s">
        <v>483</v>
      </c>
      <c r="I156" s="13">
        <v>43029.026550925926</v>
      </c>
      <c r="J156" s="7">
        <v>0</v>
      </c>
      <c r="K156" s="89" t="str">
        <f>IF(ISEVEN(B156),(B156-1)&amp;"/"&amp;B156,B156&amp;"/"&amp;(B156+1))</f>
        <v>4025/4026</v>
      </c>
      <c r="L156" s="185" t="str">
        <f>VLOOKUP(A156,'Trips&amp;Operators'!$C$1:$G$99911,5,FALSE)</f>
        <v>NICHOLSON WESLEY</v>
      </c>
      <c r="M156" s="6">
        <f>I156-F156</f>
        <v>2.6215277779556345E-2</v>
      </c>
      <c r="N156" s="7">
        <f>24*60*SUM($M156:$M156)</f>
        <v>37.750000002561137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-20T22:46:22-0600',mode:absolute,to:'2017-10-21T01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f>RIGHT(D156,LEN(D156)-4)/10000</f>
        <v>4.1599999999999998E-2</v>
      </c>
      <c r="Z156" s="204">
        <f>RIGHT(H156,LEN(H156)-4)/10000</f>
        <v>23.3309</v>
      </c>
      <c r="AA156" s="204">
        <f>ABS(Z156-Y156)</f>
        <v>23.289300000000001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>VALUE(LEFT(A156,LEN(A156)-3))</f>
        <v>241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s3://rtdc.mdm.uploadarchive.raw/RTDC4026/ "%USERPROFILE%\AppData\Local\Temp\OnboardLogs"\RTDC4026\2017-10-21 --exclude "*" --recursive --include "*20171021*" &amp; "%USERPROFILE%\Documents\GitHub\mrs-test-scripts\Headless Mode &amp; Sideloading\WalkAndUnGZ.bat" "%USERPROFILE%\AppData\Local\Temp\OnboardLogs"\RTDC4026\2017-10-21 &amp; aws s3 cp s3://rtdc.mdm.uploadarchive.raw/RTDC4026/ "%USERPROFILE%\AppData\Local\Temp\OnboardLogs"\RTDC4026\2017-10-22 --exclude "*" --recursive --include "*20171022*" &amp; "%USERPROFILE%\Documents\GitHub\mrs-test-scripts\Headless Mode &amp; Sideloading\WalkAndUnGZ.bat" "%USERPROFILE%\AppData\Local\Temp\OnboardLogs"\RTDC4026\2017-10-22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/stypes="app*4026*20171021*" /stext=" 06:.+((SYSTEM_STATE.+slice.+state.+changed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36"/>
        <v>"%USERPROFILE%\Documents\GitHub\eaglep3\Utilities\RefineRTDCRunTimes.py" --tripid 241-20 --locoid 4026 --swversion DE.1.0.9.0 --startMP 204:416 --initTime 2017-10-20T23:46:22 --startdatetime 2017-10-21T00:00:29 --delay 62 --endMP 204:233309 --enddatetime 2017-10-21T00:38:14 --enforcementcount 0 &gt;&gt;%USERPROFILE%\Documents\GitHub\eaglep3-reporting\EC\2017-10-20-refined-times.txt</v>
      </c>
      <c r="AI156" s="96" t="str">
        <f t="shared" si="37"/>
        <v>echo {"issue":{"subject":"","project_id":79,"tracker_id":40,"status_id":1,"priority_id":2,"assigned_to_id":338,"start_date":"2017-10-21","description":"","custom_fields":[{"id":1,"name":"Subdivision","value":"EC"},{"id":4,"name":"Milepost","value":"23.3309"},{"id":17,"name":"Train ID","value":"241-20"},{"id":16,"name":"Locomotive ID","value":"4026"},{"id":130,"name":"Impact","value":""},{"id":150,"name":"Time of Event (Mountain Time)","value":"00:38:14"},{"id":151,"name":"Denver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38"/>
        <v>start /low /b %USERPROFILE%\Documents\GitHub\eaglep3\Utilities\DownloadLogsFromS3.py --loco 4026 --day 2017-10-21</v>
      </c>
      <c r="AN156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06:38:14"},{"id":29,"name":"Sharepoint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40"/>
        <v>https://d0f6bd738d7f1b3e5a7ca70fe4ff75f0.us-east-1.aws.found.io/app/kibana#/discover/Steve-Slow-Train-Analysis-(2080s-and-2083s)?_g=(refreshInterval:(display:Off,pause:!f,section:0,value:0),time:(from:'2017-10-20T22:46:22-0600',mode:absolute,to:'2017-10-21T01:38:14-0600'))&amp;_a=(columns:!('Message%20ID',Summary),filters:!(),index:'emp_*',interval:auto,query:(query_string:(analyze_wildcard:!t,query:'%22rtdc.l.rtdc.4026%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865</v>
      </c>
      <c r="B157" s="7">
        <v>4025</v>
      </c>
      <c r="C157" s="21" t="s">
        <v>194</v>
      </c>
      <c r="D157" s="21" t="s">
        <v>596</v>
      </c>
      <c r="E157" s="13">
        <v>43029.030393518522</v>
      </c>
      <c r="F157" s="13">
        <v>43029.039988425924</v>
      </c>
      <c r="G157" s="7">
        <v>97</v>
      </c>
      <c r="H157" s="21" t="s">
        <v>489</v>
      </c>
      <c r="I157" s="13">
        <v>43029.06758101852</v>
      </c>
      <c r="J157" s="7">
        <v>0</v>
      </c>
      <c r="K157" s="89" t="str">
        <f>IF(ISEVEN(B157),(B157-1)&amp;"/"&amp;B157,B157&amp;"/"&amp;(B157+1))</f>
        <v>4025/4026</v>
      </c>
      <c r="L157" s="185" t="str">
        <f>VLOOKUP(A157,'Trips&amp;Operators'!$C$1:$G$99911,5,FALSE)</f>
        <v>NICHOLSON WESLEY</v>
      </c>
      <c r="M157" s="6">
        <f>I157-F157</f>
        <v>2.7592592596192844E-2</v>
      </c>
      <c r="N157" s="7">
        <f>24*60*SUM($M157:$M157)</f>
        <v>39.733333338517696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-20T23:43:46-0600',mode:absolute,to:'2017-10-21T02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23.297799999999999</v>
      </c>
      <c r="Z157" s="204">
        <f>RIGHT(H157,LEN(H157)-4)/10000</f>
        <v>1.6299999999999999E-2</v>
      </c>
      <c r="AA157" s="204">
        <f>ABS(Z157-Y157)</f>
        <v>23.281499999999998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>VALUE(LEFT(A157,LEN(A157)-3))</f>
        <v>242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s3://rtdc.mdm.uploadarchive.raw/RTDC4025/ "%USERPROFILE%\AppData\Local\Temp\OnboardLogs"\RTDC4025\2017-10-21 --exclude "*" --recursive --include "*20171021*" &amp; "%USERPROFILE%\Documents\GitHub\mrs-test-scripts\Headless Mode &amp; Sideloading\WalkAndUnGZ.bat" "%USERPROFILE%\AppData\Local\Temp\OnboardLogs"\RTDC4025\2017-10-21 &amp; aws s3 cp s3://rtdc.mdm.uploadarchive.raw/RTDC4025/ "%USERPROFILE%\AppData\Local\Temp\OnboardLogs"\RTDC4025\2017-10-22 --exclude "*" --recursive --include "*20171022*" &amp; "%USERPROFILE%\Documents\GitHub\mrs-test-scripts\Headless Mode &amp; Sideloading\WalkAndUnGZ.bat" "%USERPROFILE%\AppData\Local\Temp\OnboardLogs"\RTDC4025\2017-10-22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/stypes="app*4025*20171021*" /stext=" 07:.+((SYSTEM_STATE.+slice.+state.+changed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36"/>
        <v>"%USERPROFILE%\Documents\GitHub\eaglep3\Utilities\RefineRTDCRunTimes.py" --tripid 242-20 --locoid 4025 --swversion DE.1.0.9.0 --startMP 204:232978 --initTime 2017-10-21T00:43:46 --startdatetime 2017-10-21T00:57:35 --delay 97 --endMP 204:163 --enddatetime 2017-10-21T01:37:19 --enforcementcount 0 &gt;&gt;%USERPROFILE%\Documents\GitHub\eaglep3-reporting\EC\2017-10-20-refined-times.txt</v>
      </c>
      <c r="AI157" s="96" t="str">
        <f t="shared" si="37"/>
        <v>echo {"issue":{"subject":"","project_id":79,"tracker_id":40,"status_id":1,"priority_id":2,"assigned_to_id":338,"start_date":"2017-10-21","description":"","custom_fields":[{"id":1,"name":"Subdivision","value":"EC"},{"id":4,"name":"Milepost","value":"0.0163"},{"id":17,"name":"Train ID","value":"242-20"},{"id":16,"name":"Locomotive ID","value":"4025"},{"id":130,"name":"Impact","value":""},{"id":150,"name":"Time of Event (Mountain Time)","value":"01:37:19"},{"id":151,"name":"Denver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38"/>
        <v>start /low /b %USERPROFILE%\Documents\GitHub\eaglep3\Utilities\DownloadLogsFromS3.py --loco 4025 --day 2017-10-21</v>
      </c>
      <c r="AN157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07:37:19"},{"id":29,"name":"Sharepoint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40"/>
        <v>https://d0f6bd738d7f1b3e5a7ca70fe4ff75f0.us-east-1.aws.found.io/app/kibana#/discover/Steve-Slow-Train-Analysis-(2080s-and-2083s)?_g=(refreshInterval:(display:Off,pause:!f,section:0,value:0),time:(from:'2017-10-20T23:43:46-0600',mode:absolute,to:'2017-10-21T02:37:19-0600'))&amp;_a=(columns:!('Message%20ID',Summary),filters:!(),index:'emp_*',interval:auto,query:(query_string:(analyze_wildcard:!t,query:'%22rtdc.l.rtdc.4025%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864</v>
      </c>
      <c r="B158" s="7">
        <v>4044</v>
      </c>
      <c r="C158" s="21" t="s">
        <v>194</v>
      </c>
      <c r="D158" s="21" t="s">
        <v>610</v>
      </c>
      <c r="E158" s="13">
        <v>43029.009826388887</v>
      </c>
      <c r="F158" s="13">
        <v>43029.021006944444</v>
      </c>
      <c r="G158" s="7">
        <v>64</v>
      </c>
      <c r="H158" s="21" t="s">
        <v>932</v>
      </c>
      <c r="I158" s="13">
        <v>43029.04478009259</v>
      </c>
      <c r="J158" s="7">
        <v>0</v>
      </c>
      <c r="K158" s="89" t="str">
        <f>IF(ISEVEN(B158),(B158-1)&amp;"/"&amp;B158,B158&amp;"/"&amp;(B158+1))</f>
        <v>4043/4044</v>
      </c>
      <c r="L158" s="185" t="str">
        <f>VLOOKUP(A158,'Trips&amp;Operators'!$C$1:$G$99911,5,FALSE)</f>
        <v>ELBAUM MIKE</v>
      </c>
      <c r="M158" s="6">
        <f>I158-F158</f>
        <v>2.3773148146574385E-2</v>
      </c>
      <c r="N158" s="7">
        <f>24*60*SUM($M158:$M158)</f>
        <v>34.233333331067115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-20T23:14:09-0600',mode:absolute,to:'2017-10-21T02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1</v>
      </c>
      <c r="Y158" s="204">
        <f>RIGHT(D158,LEN(D158)-4)/10000</f>
        <v>4.3299999999999998E-2</v>
      </c>
      <c r="Z158" s="204">
        <f>RIGHT(H158,LEN(H158)-4)/10000</f>
        <v>23.337800000000001</v>
      </c>
      <c r="AA158" s="204">
        <f>ABS(Z158-Y158)</f>
        <v>23.294500000000003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>VALUE(LEFT(A158,LEN(A158)-3))</f>
        <v>243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s3://rtdc.mdm.uploadarchive.raw/RTDC4044/ "%USERPROFILE%\AppData\Local\Temp\OnboardLogs"\RTDC4044\2017-10-21 --exclude "*" --recursive --include "*20171021*" &amp; "%USERPROFILE%\Documents\GitHub\mrs-test-scripts\Headless Mode &amp; Sideloading\WalkAndUnGZ.bat" "%USERPROFILE%\AppData\Local\Temp\OnboardLogs"\RTDC4044\2017-10-21 &amp; aws s3 cp s3://rtdc.mdm.uploadarchive.raw/RTDC4044/ "%USERPROFILE%\AppData\Local\Temp\OnboardLogs"\RTDC4044\2017-10-22 --exclude "*" --recursive --include "*20171022*" &amp; "%USERPROFILE%\Documents\GitHub\mrs-test-scripts\Headless Mode &amp; Sideloading\WalkAndUnGZ.bat" "%USERPROFILE%\AppData\Local\Temp\OnboardLogs"\RTDC4044\2017-10-22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/stypes="app*4044*20171021*" /stext=" 07:.+((SYSTEM_STATE.+slice.+state.+changed )|(ment ac)|(multiple cpu faults)|(system.+state.+changed )|(\[timeout)|(PRM\|1\|D)|(kpr)|(kdp)|(train st.+moving)|(\|lc)|(penalty))"</v>
      </c>
      <c r="AG158" s="182" t="str">
        <f>DetSubdiv(A158)</f>
        <v>EC</v>
      </c>
      <c r="AH158" s="78" t="str">
        <f t="shared" si="36"/>
        <v>"%USERPROFILE%\Documents\GitHub\eaglep3\Utilities\RefineRTDCRunTimes.py" --tripid 243-20 --locoid 4044 --swversion DE.1.0.9.0 --startMP 204:433 --initTime 2017-10-21T00:14:09 --startdatetime 2017-10-21T00:30:15 --delay 64 --endMP 204:233378 --enddatetime 2017-10-21T01:04:29 --enforcementcount 0 &gt;&gt;%USERPROFILE%\Documents\GitHub\eaglep3-reporting\EC\2017-10-20-refined-times.txt</v>
      </c>
      <c r="AI158" s="96" t="str">
        <f t="shared" si="37"/>
        <v>echo {"issue":{"subject":"","project_id":79,"tracker_id":40,"status_id":1,"priority_id":2,"assigned_to_id":338,"start_date":"2017-10-21","description":"","custom_fields":[{"id":1,"name":"Subdivision","value":"EC"},{"id":4,"name":"Milepost","value":"23.3378"},{"id":17,"name":"Train ID","value":"243-20"},{"id":16,"name":"Locomotive ID","value":"4044"},{"id":130,"name":"Impact","value":""},{"id":150,"name":"Time of Event (Mountain Time)","value":"01:04:29"},{"id":151,"name":"Denver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38"/>
        <v>start /low /b %USERPROFILE%\Documents\GitHub\eaglep3\Utilities\DownloadLogsFromS3.py --loco 4044 --day 2017-10-21</v>
      </c>
      <c r="AN158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07:04:29"},{"id":29,"name":"Sharepoint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40"/>
        <v>https://d0f6bd738d7f1b3e5a7ca70fe4ff75f0.us-east-1.aws.found.io/app/kibana#/discover/Steve-Slow-Train-Analysis-(2080s-and-2083s)?_g=(refreshInterval:(display:Off,pause:!f,section:0,value:0),time:(from:'2017-10-20T23:14:09-0600',mode:absolute,to:'2017-10-21T02:04:29-0600'))&amp;_a=(columns:!('Message%20ID',Summary),filters:!(),index:'emp_*',interval:auto,query:(query_string:(analyze_wildcard:!t,query:'%22rtdc.l.rtdc.4044%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868</v>
      </c>
      <c r="B159" s="7">
        <v>4043</v>
      </c>
      <c r="C159" s="21" t="s">
        <v>194</v>
      </c>
      <c r="D159" s="21" t="s">
        <v>613</v>
      </c>
      <c r="E159" s="13">
        <v>43029.045868055553</v>
      </c>
      <c r="F159" s="13">
        <v>43029.060555555552</v>
      </c>
      <c r="G159" s="7">
        <v>53</v>
      </c>
      <c r="H159" s="21" t="s">
        <v>354</v>
      </c>
      <c r="I159" s="13">
        <v>43029.086377314816</v>
      </c>
      <c r="J159" s="7">
        <v>0</v>
      </c>
      <c r="K159" s="89" t="str">
        <f>IF(ISEVEN(B159),(B159-1)&amp;"/"&amp;B159,B159&amp;"/"&amp;(B159+1))</f>
        <v>4043/4044</v>
      </c>
      <c r="L159" s="185" t="str">
        <f>VLOOKUP(A159,'Trips&amp;Operators'!$C$1:$G$99911,5,FALSE)</f>
        <v>ELBAUM MIKE</v>
      </c>
      <c r="M159" s="6">
        <f>I159-F159</f>
        <v>2.5821759263635613E-2</v>
      </c>
      <c r="N159" s="7">
        <f>24*60*SUM($M159:$M159)</f>
        <v>37.183333339635283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-21T00:06:03-0600',mode:absolute,to:'2017-10-21T03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1</v>
      </c>
      <c r="Y159" s="204">
        <f>RIGHT(D159,LEN(D159)-4)/10000</f>
        <v>23.302800000000001</v>
      </c>
      <c r="Z159" s="204">
        <f>RIGHT(H159,LEN(H159)-4)/10000</f>
        <v>1.52E-2</v>
      </c>
      <c r="AA159" s="204">
        <f>ABS(Z159-Y159)</f>
        <v>23.287600000000001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>VALUE(LEFT(A159,LEN(A159)-3))</f>
        <v>244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s3://rtdc.mdm.uploadarchive.raw/RTDC4043/ "%USERPROFILE%\AppData\Local\Temp\OnboardLogs"\RTDC4043\2017-10-21 --exclude "*" --recursive --include "*20171021*" &amp; "%USERPROFILE%\Documents\GitHub\mrs-test-scripts\Headless Mode &amp; Sideloading\WalkAndUnGZ.bat" "%USERPROFILE%\AppData\Local\Temp\OnboardLogs"\RTDC4043\2017-10-21 &amp; aws s3 cp s3://rtdc.mdm.uploadarchive.raw/RTDC4043/ "%USERPROFILE%\AppData\Local\Temp\OnboardLogs"\RTDC4043\2017-10-22 --exclude "*" --recursive --include "*20171022*" &amp; "%USERPROFILE%\Documents\GitHub\mrs-test-scripts\Headless Mode &amp; Sideloading\WalkAndUnGZ.bat" "%USERPROFILE%\AppData\Local\Temp\OnboardLogs"\RTDC4043\2017-10-22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/stypes="app*4043*20171021*" /stext=" 08:.+((SYSTEM_STATE.+slice.+state.+changed )|(ment ac)|(multiple cpu faults)|(system.+state.+changed )|(\[timeout)|(PRM\|1\|D)|(kpr)|(kdp)|(train st.+moving)|(\|lc)|(penalty))"</v>
      </c>
      <c r="AG159" s="182" t="str">
        <f>DetSubdiv(A159)</f>
        <v>EC</v>
      </c>
      <c r="AH159" s="78" t="str">
        <f t="shared" si="36"/>
        <v>"%USERPROFILE%\Documents\GitHub\eaglep3\Utilities\RefineRTDCRunTimes.py" --tripid 244-20 --locoid 4043 --swversion DE.1.0.9.0 --startMP 204:233028 --initTime 2017-10-21T01:06:03 --startdatetime 2017-10-21T01:27:12 --delay 53 --endMP 204:152 --enddatetime 2017-10-21T02:04:23 --enforcementcount 0 &gt;&gt;%USERPROFILE%\Documents\GitHub\eaglep3-reporting\EC\2017-10-20-refined-times.txt</v>
      </c>
      <c r="AI159" s="96" t="str">
        <f t="shared" si="37"/>
        <v>echo {"issue":{"subject":"","project_id":79,"tracker_id":40,"status_id":1,"priority_id":2,"assigned_to_id":338,"start_date":"2017-10-21","description":"","custom_fields":[{"id":1,"name":"Subdivision","value":"EC"},{"id":4,"name":"Milepost","value":"0.0152"},{"id":17,"name":"Train ID","value":"244-20"},{"id":16,"name":"Locomotive ID","value":"4043"},{"id":130,"name":"Impact","value":""},{"id":150,"name":"Time of Event (Mountain Time)","value":"02:04:23"},{"id":151,"name":"Denver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38"/>
        <v>start /low /b %USERPROFILE%\Documents\GitHub\eaglep3\Utilities\DownloadLogsFromS3.py --loco 4043 --day 2017-10-21</v>
      </c>
      <c r="AN159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08:04:23"},{"id":29,"name":"Sharepoint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40"/>
        <v>https://d0f6bd738d7f1b3e5a7ca70fe4ff75f0.us-east-1.aws.found.io/app/kibana#/discover/Steve-Slow-Train-Analysis-(2080s-and-2083s)?_g=(refreshInterval:(display:Off,pause:!f,section:0,value:0),time:(from:'2017-10-21T00:06:03-0600',mode:absolute,to:'2017-10-21T03:04:23-0600'))&amp;_a=(columns:!('Message%20ID',Summary),filters:!(),index:'emp_*',interval:auto,query:(query_string:(analyze_wildcard:!t,query:'%22rtdc.l.rtdc.4043%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866</v>
      </c>
      <c r="B160" s="7">
        <v>4024</v>
      </c>
      <c r="C160" s="21" t="s">
        <v>194</v>
      </c>
      <c r="D160" s="21" t="s">
        <v>366</v>
      </c>
      <c r="E160" s="13">
        <v>43029.038275462961</v>
      </c>
      <c r="F160" s="13">
        <v>43029.042083333334</v>
      </c>
      <c r="G160" s="7">
        <v>98</v>
      </c>
      <c r="H160" s="21" t="s">
        <v>933</v>
      </c>
      <c r="I160" s="13">
        <v>43029.06722222222</v>
      </c>
      <c r="J160" s="7">
        <v>0</v>
      </c>
      <c r="K160" s="89" t="str">
        <f>IF(ISEVEN(B160),(B160-1)&amp;"/"&amp;B160,B160&amp;"/"&amp;(B160+1))</f>
        <v>4023/4024</v>
      </c>
      <c r="L160" s="185" t="str">
        <f>VLOOKUP(A160,'Trips&amp;Operators'!$C$1:$G$99911,5,FALSE)</f>
        <v>ANDERS STEVEN</v>
      </c>
      <c r="M160" s="6">
        <f>I160-F160</f>
        <v>2.5138888886431232E-2</v>
      </c>
      <c r="N160" s="7">
        <f>24*60*SUM($M160:$M160)</f>
        <v>36.199999996460974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-20T23:55:07-0600',mode:absolute,to:'2017-10-21T02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f>RIGHT(D160,LEN(D160)-4)/10000</f>
        <v>4.7100000000000003E-2</v>
      </c>
      <c r="Z160" s="204">
        <f>RIGHT(H160,LEN(H160)-4)/10000</f>
        <v>23.3322</v>
      </c>
      <c r="AA160" s="204">
        <f>ABS(Z160-Y160)</f>
        <v>23.2851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>VALUE(LEFT(A160,LEN(A160)-3))</f>
        <v>245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s3://rtdc.mdm.uploadarchive.raw/RTDC4024/ "%USERPROFILE%\AppData\Local\Temp\OnboardLogs"\RTDC4024\2017-10-21 --exclude "*" --recursive --include "*20171021*" &amp; "%USERPROFILE%\Documents\GitHub\mrs-test-scripts\Headless Mode &amp; Sideloading\WalkAndUnGZ.bat" "%USERPROFILE%\AppData\Local\Temp\OnboardLogs"\RTDC4024\2017-10-21 &amp; aws s3 cp s3://rtdc.mdm.uploadarchive.raw/RTDC4024/ "%USERPROFILE%\AppData\Local\Temp\OnboardLogs"\RTDC4024\2017-10-22 --exclude "*" --recursive --include "*20171022*" &amp; "%USERPROFILE%\Documents\GitHub\mrs-test-scripts\Headless Mode &amp; Sideloading\WalkAndUnGZ.bat" "%USERPROFILE%\AppData\Local\Temp\OnboardLogs"\RTDC4024\2017-10-22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/stypes="app*4024*20171021*" /stext=" 07:.+((SYSTEM_STATE.+slice.+state.+changed )|(ment ac)|(multiple cpu faults)|(system.+state.+changed )|(\[timeout)|(PRM\|1\|D)|(kpr)|(kdp)|(train st.+moving)|(\|lc)|(penalty))"</v>
      </c>
      <c r="AG160" s="182" t="str">
        <f>DetSubdiv(A160)</f>
        <v>EC</v>
      </c>
      <c r="AH160" s="78" t="str">
        <f t="shared" si="36"/>
        <v>"%USERPROFILE%\Documents\GitHub\eaglep3\Utilities\RefineRTDCRunTimes.py" --tripid 245-20 --locoid 4024 --swversion DE.1.0.9.0 --startMP 204:471 --initTime 2017-10-21T00:55:07 --startdatetime 2017-10-21T01:00:36 --delay 98 --endMP 204:233322 --enddatetime 2017-10-21T01:36:48 --enforcementcount 0 &gt;&gt;%USERPROFILE%\Documents\GitHub\eaglep3-reporting\EC\2017-10-20-refined-times.txt</v>
      </c>
      <c r="AI160" s="96" t="str">
        <f t="shared" si="37"/>
        <v>echo {"issue":{"subject":"","project_id":79,"tracker_id":40,"status_id":1,"priority_id":2,"assigned_to_id":338,"start_date":"2017-10-21","description":"","custom_fields":[{"id":1,"name":"Subdivision","value":"EC"},{"id":4,"name":"Milepost","value":"23.3322"},{"id":17,"name":"Train ID","value":"245-20"},{"id":16,"name":"Locomotive ID","value":"4024"},{"id":130,"name":"Impact","value":""},{"id":150,"name":"Time of Event (Mountain Time)","value":"01:36:48"},{"id":151,"name":"Denver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38"/>
        <v>start /low /b %USERPROFILE%\Documents\GitHub\eaglep3\Utilities\DownloadLogsFromS3.py --loco 4024 --day 2017-10-21</v>
      </c>
      <c r="AN160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07:36:48"},{"id":29,"name":"Sharepoint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40"/>
        <v>https://d0f6bd738d7f1b3e5a7ca70fe4ff75f0.us-east-1.aws.found.io/app/kibana#/discover/Steve-Slow-Train-Analysis-(2080s-and-2083s)?_g=(refreshInterval:(display:Off,pause:!f,section:0,value:0),time:(from:'2017-10-20T23:55:07-0600',mode:absolute,to:'2017-10-21T02:36:48-0600'))&amp;_a=(columns:!('Message%20ID',Summary),filters:!(),index:'emp_*',interval:auto,query:(query_string:(analyze_wildcard:!t,query:'%22rtdc.l.rtdc.4024%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656</v>
      </c>
      <c r="B161" s="7">
        <v>4023</v>
      </c>
      <c r="C161" s="21" t="s">
        <v>194</v>
      </c>
      <c r="D161" s="21" t="s">
        <v>366</v>
      </c>
      <c r="E161" s="13">
        <v>43029.038275462961</v>
      </c>
      <c r="F161" s="13">
        <v>43029.082094907404</v>
      </c>
      <c r="G161" s="7">
        <v>98</v>
      </c>
      <c r="H161" s="21" t="s">
        <v>933</v>
      </c>
      <c r="I161" s="13">
        <v>43029.109872685185</v>
      </c>
      <c r="J161" s="7">
        <v>0</v>
      </c>
      <c r="K161" s="89" t="str">
        <f>IF(ISEVEN(B161),(B161-1)&amp;"/"&amp;B161,B161&amp;"/"&amp;(B161+1))</f>
        <v>4023/4024</v>
      </c>
      <c r="L161" s="185" t="str">
        <f>VLOOKUP(A161,'Trips&amp;Operators'!$C$1:$G$99911,5,FALSE)</f>
        <v>ANDERS STEVEN</v>
      </c>
      <c r="M161" s="6">
        <f>I161-F161</f>
        <v>2.7777777781011537E-2</v>
      </c>
      <c r="N161" s="7">
        <f>24*60*SUM($M161:$M161)</f>
        <v>40.000000004656613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-20T23:55:07-0600',mode:absolute,to:'2017-10-21T03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1" s="204" t="str">
        <f>IF(AA161&lt;VLOOKUP(AG161,Variables!$AC$3:$AD$8,2,FALSE),"Y","N")</f>
        <v>N</v>
      </c>
      <c r="X161" s="204">
        <f t="shared" ref="X161:X162" si="57">VALUE(LEFT(AD161,4))-VALUE(LEFT(AD160,4))</f>
        <v>1</v>
      </c>
      <c r="Y161" s="204">
        <v>23.302800000000001</v>
      </c>
      <c r="Z161" s="204">
        <v>1.52E-2</v>
      </c>
      <c r="AA161" s="204">
        <f>ABS(Z161-Y161)</f>
        <v>23.287600000000001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>VALUE(LEFT(A161,LEN(A161)-3))</f>
        <v>246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s3://rtdc.mdm.uploadarchive.raw/RTDC4023/ "%USERPROFILE%\AppData\Local\Temp\OnboardLogs"\RTDC4023\2017-10-21 --exclude "*" --recursive --include "*20171021*" &amp; "%USERPROFILE%\Documents\GitHub\mrs-test-scripts\Headless Mode &amp; Sideloading\WalkAndUnGZ.bat" "%USERPROFILE%\AppData\Local\Temp\OnboardLogs"\RTDC4023\2017-10-21 &amp; aws s3 cp s3://rtdc.mdm.uploadarchive.raw/RTDC4023/ "%USERPROFILE%\AppData\Local\Temp\OnboardLogs"\RTDC4023\2017-10-22 --exclude "*" --recursive --include "*20171022*" &amp; "%USERPROFILE%\Documents\GitHub\mrs-test-scripts\Headless Mode &amp; Sideloading\WalkAndUnGZ.bat" "%USERPROFILE%\AppData\Local\Temp\OnboardLogs"\RTDC4023\2017-10-22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/stypes="app*4023*20171021*" /stext=" 08:.+((SYSTEM_STATE.+slice.+state.+changed )|(ment ac)|(multiple cpu faults)|(system.+state.+changed )|(\[timeout)|(PRM\|1\|D)|(kpr)|(kdp)|(train st.+moving)|(\|lc)|(penalty))"</v>
      </c>
      <c r="AG161" s="182" t="str">
        <f>DetSubdiv(A161)</f>
        <v>EC</v>
      </c>
      <c r="AH161" s="78" t="str">
        <f t="shared" ref="AH161" si="58"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246-20 --locoid 4023 --swversion DE.1.0.9.0 --startMP 204:471 --initTime 2017-10-21T00:55:07 --startdatetime 2017-10-21T01:58:13 --delay 98 --endMP 204:233322 --enddatetime 2017-10-21T02:38:13 --enforcementcount 0 &gt;&gt;%USERPROFILE%\Documents\GitHub\eaglep3-reporting\EC\2017-10-20-refined-times.txt</v>
      </c>
      <c r="AI161" s="96" t="str">
        <f t="shared" ref="AI161" si="59"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{"issue":{"subject":"","project_id":79,"tracker_id":40,"status_id":1,"priority_id":2,"assigned_to_id":338,"start_date":"2017-10-21","description":"","custom_fields":[{"id":1,"name":"Subdivision","value":"EC"},{"id":4,"name":"Milepost","value":"0.0152"},{"id":17,"name":"Train ID","value":"246-20"},{"id":16,"name":"Locomotive ID","value":"4023"},{"id":130,"name":"Impact","value":""},{"id":150,"name":"Time of Event (Mountain Time)","value":"02:38:13"},{"id":151,"name":"Denver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ref="AM161" si="60">"start /low /b "&amp;dls3logs&amp;" --loco "&amp;B161&amp;" --day "&amp;TEXT(F161,"YYYY-MM-DD")</f>
        <v>start /low /b %USERPROFILE%\Documents\GitHub\eaglep3\Utilities\DownloadLogsFromS3.py --loco 4023 --day 2017-10-21</v>
      </c>
      <c r="AN161" s="151" t="str">
        <f t="shared" ref="AN161" si="61">"echo {""issue"":{""subject"":"""&amp;R161&amp;""",""project_id"":30,""tracker_id"":4,""status_id"":"&amp;redmine_status_wcr&amp;",""priority_id"":"&amp;redmine_priority_wcr&amp;",""assigned_to_id"":"&amp;redmine_assignee_wcr&amp;",""start_date"":"""&amp;TEXT(I161-utc_offset/24,"YYYY-mm-dd")&amp;""",""description"":"""&amp;AJ161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08:38:13"},{"id":29,"name":"Sharepoint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ref="AO161" si="62"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Message%20ID',Summary),filters:!(),index:'emp_*',interval:auto,query:"&amp;"(query_string:(analyze_wildcard:!t,query:'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-20T23:55:07-0600',mode:absolute,to:'2017-10-21T03:38:13-0600'))&amp;_a=(columns:!('Message%20ID',Summary),filters:!(),index:'emp_*',interval:auto,query:(query_string:(analyze_wildcard:!t,query:'%22rtdc.l.rtdc.4023%22')),sort:!(Time.ISO8601,asc))</v>
      </c>
    </row>
    <row r="162" spans="1:91" s="20" customFormat="1" x14ac:dyDescent="0.3">
      <c r="A162" s="32" t="s">
        <v>679</v>
      </c>
      <c r="B162" s="7">
        <v>4051</v>
      </c>
      <c r="C162" s="21" t="s">
        <v>194</v>
      </c>
      <c r="D162" s="21" t="s">
        <v>965</v>
      </c>
      <c r="E162" s="13">
        <v>43028.216817129629</v>
      </c>
      <c r="F162" s="13">
        <v>43028.218564814815</v>
      </c>
      <c r="G162" s="7">
        <v>85</v>
      </c>
      <c r="H162" s="21" t="s">
        <v>497</v>
      </c>
      <c r="I162" s="13">
        <v>43028.229756944442</v>
      </c>
      <c r="J162" s="7">
        <v>0</v>
      </c>
      <c r="K162" s="89" t="str">
        <f>IF(ISEVEN(B162),(B162-1)&amp;"/"&amp;B162,B162&amp;"/"&amp;(B162+1))</f>
        <v>4051/4052</v>
      </c>
      <c r="L162" s="185" t="str">
        <f>VLOOKUP(A162,'Trips&amp;Operators'!$C$1:$G$99911,5,FALSE)</f>
        <v>WILLIAMS DONTE</v>
      </c>
      <c r="M162" s="6">
        <f>I162-F162</f>
        <v>1.1192129626579117E-2</v>
      </c>
      <c r="N162" s="7">
        <f>24*60*SUM($M162:$M162)</f>
        <v>16.116666662273929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-10-20T04:12:13-0600',mode:absolute,to:'2017-10-20T06:30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2" s="204" t="str">
        <f>IF(AA162&lt;VLOOKUP(AG162,Variables!$AC$3:$AD$8,2,FALSE),"Y","N")</f>
        <v>N</v>
      </c>
      <c r="X162" s="204">
        <f t="shared" si="57"/>
        <v>554</v>
      </c>
      <c r="Y162" s="204">
        <f>RIGHT(D162,LEN(D162)-4)/10000</f>
        <v>5.8604000000000003</v>
      </c>
      <c r="Z162" s="204">
        <f>RIGHT(H162,LEN(H162)-4)/10000</f>
        <v>7.1300000000000002E-2</v>
      </c>
      <c r="AA162" s="204">
        <f>ABS(Z162-Y162)</f>
        <v>5.7891000000000004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>VALUE(LEFT(A162,LEN(A162)-3))</f>
        <v>800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s3://rtdc.mdm.uploadarchive.raw/RTDC4051/ "%USERPROFILE%\AppData\Local\Temp\OnboardLogs"\RTDC4051\2017-10-20 --exclude "*" --recursive --include "*20171020*" &amp; "%USERPROFILE%\Documents\GitHub\mrs-test-scripts\Headless Mode &amp; Sideloading\WalkAndUnGZ.bat" "%USERPROFILE%\AppData\Local\Temp\OnboardLogs"\RTDC4051\2017-10-20 &amp; aws s3 cp s3://rtdc.mdm.uploadarchive.raw/RTDC4051/ "%USERPROFILE%\AppData\Local\Temp\OnboardLogs"\RTDC4051\2017-10-21 --exclude "*" --recursive --include "*20171021*" &amp; "%USERPROFILE%\Documents\GitHub\mrs-test-scripts\Headless Mode &amp; Sideloading\WalkAndUnGZ.bat" "%USERPROFILE%\AppData\Local\Temp\OnboardLogs"\RTDC4051\2017-10-21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/stypes="app*4051*20171020*" /stext=" 11:.+((SYSTEM_STATE.+slice.+state.+changed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36"/>
        <v>"%USERPROFILE%\Documents\GitHub\eaglep3\Utilities\RefineRTDCRunTimes.py" --tripid 800-20 --locoid 4051 --swversion DE.1.0.9.0 --startMP 300:58604 --initTime 2017-10-20T05:12:13 --startdatetime 2017-10-20T05:14:44 --delay 85 --endMP 204:713 --enddatetime 2017-10-20T05:30:51 --enforcementcount 0 &gt;&gt;%USERPROFILE%\Documents\GitHub\eaglep3-reporting\EC\2017-10-20-refined-times.txt</v>
      </c>
      <c r="AI162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{"issue":{"subject":"","project_id":79,"tracker_id":40,"status_id":1,"priority_id":2,"assigned_to_id":338,"start_date":"2017-10-20","description":"","custom_fields":[{"id":1,"name":"Subdivision","value":"NW"},{"id":4,"name":"Milepost","value":"0.0713"},{"id":17,"name":"Train ID","value":"800-20"},{"id":16,"name":"Locomotive ID","value":"4051"},{"id":130,"name":"Impact","value":""},{"id":150,"name":"Time of Event (Mountain Time)","value":"05:30:51"},{"id":151,"name":"Denver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38"/>
        <v>start /low /b %USERPROFILE%\Documents\GitHub\eaglep3\Utilities\DownloadLogsFromS3.py --loco 4051 --day 2017-10-20</v>
      </c>
      <c r="AN162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11:30:51"},{"id":29,"name":"Sharepoint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40"/>
        <v>https://d0f6bd738d7f1b3e5a7ca70fe4ff75f0.us-east-1.aws.found.io/app/kibana#/discover/Steve-Slow-Train-Analysis-(2080s-and-2083s)?_g=(refreshInterval:(display:Off,pause:!f,section:0,value:0),time:(from:'2017-10-20T04:12:13-0600',mode:absolute,to:'2017-10-20T06:30:51-0600'))&amp;_a=(columns:!('Message%20ID',Summary),filters:!(),index:'emp_*',interval:auto,query:(query_string:(analyze_wildcard:!t,query:'%22rtdc.l.rtdc.4051%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685</v>
      </c>
      <c r="B163" s="7">
        <v>4052</v>
      </c>
      <c r="C163" s="21" t="s">
        <v>194</v>
      </c>
      <c r="D163" s="21" t="s">
        <v>966</v>
      </c>
      <c r="E163" s="13">
        <v>43028.23159722222</v>
      </c>
      <c r="F163" s="13">
        <v>43028.235601851855</v>
      </c>
      <c r="G163" s="7">
        <v>56</v>
      </c>
      <c r="H163" s="21" t="s">
        <v>626</v>
      </c>
      <c r="I163" s="13">
        <v>43028.247210648151</v>
      </c>
      <c r="J163" s="7">
        <v>0</v>
      </c>
      <c r="K163" s="89" t="str">
        <f>IF(ISEVEN(B163),(B163-1)&amp;"/"&amp;B163,B163&amp;"/"&amp;(B163+1))</f>
        <v>4051/4052</v>
      </c>
      <c r="L163" s="185" t="str">
        <f>VLOOKUP(A163,'Trips&amp;Operators'!$C$1:$G$99911,5,FALSE)</f>
        <v>WILLIAMS DONTE</v>
      </c>
      <c r="M163" s="6">
        <f>I163-F163</f>
        <v>1.1608796296059154E-2</v>
      </c>
      <c r="N163" s="7">
        <f>24*60*SUM($M163:$M163)</f>
        <v>16.716666666325182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-20T04:33:30-0600',mode:absolute,to:'2017-10-20T06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9.8599999999999993E-2</v>
      </c>
      <c r="Z163" s="204">
        <f>RIGHT(H163,LEN(H163)-4)/10000</f>
        <v>5.8935000000000004</v>
      </c>
      <c r="AA163" s="204">
        <f>ABS(Z163-Y163)</f>
        <v>5.7949000000000002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>VALUE(LEFT(A163,LEN(A163)-3))</f>
        <v>801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s3://rtdc.mdm.uploadarchive.raw/RTDC4052/ "%USERPROFILE%\AppData\Local\Temp\OnboardLogs"\RTDC4052\2017-10-20 --exclude "*" --recursive --include "*20171020*" &amp; "%USERPROFILE%\Documents\GitHub\mrs-test-scripts\Headless Mode &amp; Sideloading\WalkAndUnGZ.bat" "%USERPROFILE%\AppData\Local\Temp\OnboardLogs"\RTDC4052\2017-10-20 &amp; aws s3 cp s3://rtdc.mdm.uploadarchive.raw/RTDC4052/ "%USERPROFILE%\AppData\Local\Temp\OnboardLogs"\RTDC4052\2017-10-21 --exclude "*" --recursive --include "*20171021*" &amp; "%USERPROFILE%\Documents\GitHub\mrs-test-scripts\Headless Mode &amp; Sideloading\WalkAndUnGZ.bat" "%USERPROFILE%\AppData\Local\Temp\OnboardLogs"\RTDC4052\2017-10-21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/stypes="app*4052*20171020*" /stext=" 11:.+((SYSTEM_STATE.+slice.+state.+changed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36"/>
        <v>"%USERPROFILE%\Documents\GitHub\eaglep3\Utilities\RefineRTDCRunTimes.py" --tripid 801-20 --locoid 4052 --swversion DE.1.0.9.0 --startMP 204:986 --initTime 2017-10-20T05:33:30 --startdatetime 2017-10-20T05:39:16 --delay 56 --endMP 300:58935 --enddatetime 2017-10-20T05:55:59 --enforcementcount 0 &gt;&gt;%USERPROFILE%\Documents\GitHub\eaglep3-reporting\EC\2017-10-20-refined-times.txt</v>
      </c>
      <c r="AI163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{"issue":{"subject":"","project_id":79,"tracker_id":40,"status_id":1,"priority_id":2,"assigned_to_id":338,"start_date":"2017-10-20","description":"","custom_fields":[{"id":1,"name":"Subdivision","value":"NW"},{"id":4,"name":"Milepost","value":"5.8935"},{"id":17,"name":"Train ID","value":"801-20"},{"id":16,"name":"Locomotive ID","value":"4052"},{"id":130,"name":"Impact","value":""},{"id":150,"name":"Time of Event (Mountain Time)","value":"05:55:59"},{"id":151,"name":"Denver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38"/>
        <v>start /low /b %USERPROFILE%\Documents\GitHub\eaglep3\Utilities\DownloadLogsFromS3.py --loco 4052 --day 2017-10-20</v>
      </c>
      <c r="AN163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11:55:59"},{"id":29,"name":"Sharepoint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40"/>
        <v>https://d0f6bd738d7f1b3e5a7ca70fe4ff75f0.us-east-1.aws.found.io/app/kibana#/discover/Steve-Slow-Train-Analysis-(2080s-and-2083s)?_g=(refreshInterval:(display:Off,pause:!f,section:0,value:0),time:(from:'2017-10-20T04:33:30-0600',mode:absolute,to:'2017-10-20T06:55:59-0600'))&amp;_a=(columns:!('Message%20ID',Summary),filters:!(),index:'emp_*',interval:auto,query:(query_string:(analyze_wildcard:!t,query:'%22rtdc.l.rtdc.4052%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690</v>
      </c>
      <c r="B164" s="7">
        <v>4051</v>
      </c>
      <c r="C164" s="21" t="s">
        <v>194</v>
      </c>
      <c r="D164" s="21" t="s">
        <v>627</v>
      </c>
      <c r="E164" s="13">
        <v>43028.248414351852</v>
      </c>
      <c r="F164" s="13">
        <v>43028.259363425925</v>
      </c>
      <c r="G164" s="7">
        <v>58</v>
      </c>
      <c r="H164" s="21" t="s">
        <v>967</v>
      </c>
      <c r="I164" s="13">
        <v>43028.270821759259</v>
      </c>
      <c r="J164" s="7">
        <v>0</v>
      </c>
      <c r="K164" s="89" t="str">
        <f>IF(ISEVEN(B164),(B164-1)&amp;"/"&amp;B164,B164&amp;"/"&amp;(B164+1))</f>
        <v>4051/4052</v>
      </c>
      <c r="L164" s="185" t="str">
        <f>VLOOKUP(A164,'Trips&amp;Operators'!$C$1:$G$99911,5,FALSE)</f>
        <v>WILLIAMS DONTE</v>
      </c>
      <c r="M164" s="6">
        <f>I164-F164</f>
        <v>1.1458333334303461E-2</v>
      </c>
      <c r="N164" s="7"/>
      <c r="O164" s="7"/>
      <c r="P164" s="7"/>
      <c r="Q164" s="22"/>
      <c r="R164" s="174"/>
      <c r="S164" s="221"/>
      <c r="T164" s="174" t="str">
        <f>IF(ISEVEN(LEFT(AD164,4)),"Southbound","NorthBound")</f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-20T04:57:43-0600',mode:absolute,to:'2017-10-20T07:29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4" s="204" t="str">
        <f>IF(AA164&lt;VLOOKUP(AG164,Variables!$AC$3:$AD$8,2,FALSE),"Y","N")</f>
        <v>Y</v>
      </c>
      <c r="X164" s="204">
        <f>VALUE(LEFT(AD164,4))-VALUE(LEFT(AD163,4))</f>
        <v>1</v>
      </c>
      <c r="Y164" s="204">
        <f>RIGHT(D164,LEN(D164)-4)/10000</f>
        <v>5.8616999999999999</v>
      </c>
      <c r="Z164" s="204">
        <f>RIGHT(H164,LEN(H164)-4)/10000</f>
        <v>5.7240000000000002</v>
      </c>
      <c r="AA164" s="204">
        <f>ABS(Z164-Y164)</f>
        <v>0.13769999999999971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>VALUE(LEFT(A164,LEN(A164)-3))</f>
        <v>802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s3://rtdc.mdm.uploadarchive.raw/RTDC4051/ "%USERPROFILE%\AppData\Local\Temp\OnboardLogs"\RTDC4051\2017-10-20 --exclude "*" --recursive --include "*20171020*" &amp; "%USERPROFILE%\Documents\GitHub\mrs-test-scripts\Headless Mode &amp; Sideloading\WalkAndUnGZ.bat" "%USERPROFILE%\AppData\Local\Temp\OnboardLogs"\RTDC4051\2017-10-20 &amp; aws s3 cp s3://rtdc.mdm.uploadarchive.raw/RTDC4051/ "%USERPROFILE%\AppData\Local\Temp\OnboardLogs"\RTDC4051\2017-10-21 --exclude "*" --recursive --include "*20171021*" &amp; "%USERPROFILE%\Documents\GitHub\mrs-test-scripts\Headless Mode &amp; Sideloading\WalkAndUnGZ.bat" "%USERPROFILE%\AppData\Local\Temp\OnboardLogs"\RTDC4051\2017-10-21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/stypes="app*4051*20171020*" /stext=" 12:.+((SYSTEM_STATE.+slice.+state.+changed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36"/>
        <v>"%USERPROFILE%\Documents\GitHub\eaglep3\Utilities\RefineRTDCRunTimes.py" --tripid 802-20 --locoid 4051 --swversion DE.1.0.9.0 --startMP 300:58617 --initTime 2017-10-20T05:57:43 --startdatetime 2017-10-20T06:13:29 --delay 58 --endMP 300:57240 --enddatetime 2017-10-20T06:29:59 --enforcementcount 0 &gt;&gt;%USERPROFILE%\Documents\GitHub\eaglep3-reporting\EC\2017-10-20-refined-times.txt</v>
      </c>
      <c r="AI164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{"issue":{"subject":"","project_id":79,"tracker_id":40,"status_id":1,"priority_id":2,"assigned_to_id":338,"start_date":"2017-10-20","description":"","custom_fields":[{"id":1,"name":"Subdivision","value":"NW"},{"id":4,"name":"Milepost","value":"5.724"},{"id":17,"name":"Train ID","value":"802-20"},{"id":16,"name":"Locomotive ID","value":"4051"},{"id":130,"name":"Impact","value":""},{"id":150,"name":"Time of Event (Mountain Time)","value":"06:29:59"},{"id":151,"name":"Denver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38"/>
        <v>start /low /b %USERPROFILE%\Documents\GitHub\eaglep3\Utilities\DownloadLogsFromS3.py --loco 4051 --day 2017-10-20</v>
      </c>
      <c r="AN164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12:29:59"},{"id":29,"name":"Sharepoint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40"/>
        <v>https://d0f6bd738d7f1b3e5a7ca70fe4ff75f0.us-east-1.aws.found.io/app/kibana#/discover/Steve-Slow-Train-Analysis-(2080s-and-2083s)?_g=(refreshInterval:(display:Off,pause:!f,section:0,value:0),time:(from:'2017-10-20T04:57:43-0600',mode:absolute,to:'2017-10-20T07:29:59-0600'))&amp;_a=(columns:!('Message%20ID',Summary),filters:!(),index:'emp_*',interval:auto,query:(query_string:(analyze_wildcard:!t,query:'%22rtdc.l.rtdc.4051%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690</v>
      </c>
      <c r="B165" s="7">
        <v>4051</v>
      </c>
      <c r="C165" s="21" t="s">
        <v>194</v>
      </c>
      <c r="D165" s="21" t="s">
        <v>968</v>
      </c>
      <c r="E165" s="13">
        <v>43028.255555555559</v>
      </c>
      <c r="F165" s="13">
        <v>43028.259363425925</v>
      </c>
      <c r="G165" s="7">
        <v>67</v>
      </c>
      <c r="H165" s="21" t="s">
        <v>969</v>
      </c>
      <c r="I165" s="13">
        <v>43028.270821759259</v>
      </c>
      <c r="J165" s="7">
        <v>0</v>
      </c>
      <c r="K165" s="89" t="str">
        <f>IF(ISEVEN(B165),(B165-1)&amp;"/"&amp;B165,B165&amp;"/"&amp;(B165+1))</f>
        <v>4051/4052</v>
      </c>
      <c r="L165" s="185" t="str">
        <f>VLOOKUP(A165,'Trips&amp;Operators'!$C$1:$G$99911,5,FALSE)</f>
        <v>WILLIAMS DONTE</v>
      </c>
      <c r="M165" s="6">
        <f>I165-F165</f>
        <v>1.1458333334303461E-2</v>
      </c>
      <c r="N165" s="7">
        <f>24*60*SUM($M165:$M165)</f>
        <v>16.500000001396984</v>
      </c>
      <c r="O165" s="7"/>
      <c r="P165" s="7"/>
      <c r="Q165" s="22"/>
      <c r="R165" s="174" t="s">
        <v>1055</v>
      </c>
      <c r="S165" s="221">
        <f>1/IF(AG165="EC",12,1)*SUM(U165:U165)</f>
        <v>1</v>
      </c>
      <c r="T165" s="174" t="str">
        <f>IF(ISEVEN(LEFT(AD165,4)),"Southbound","NorthBound")</f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-10-20T05:08:00-0600',mode:absolute,to:'2017-10-20T07:29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0</v>
      </c>
      <c r="Y165" s="204">
        <f>RIGHT(D165,LEN(D165)-4)/10000</f>
        <v>5.7241999999999997</v>
      </c>
      <c r="Z165" s="204">
        <f>RIGHT(H165,LEN(H165)-4)/10000</f>
        <v>7.0499999999999993E-2</v>
      </c>
      <c r="AA165" s="204">
        <f>ABS(Z165-Y165)</f>
        <v>5.6536999999999997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>VALUE(LEFT(A165,LEN(A165)-3))</f>
        <v>802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s3://rtdc.mdm.uploadarchive.raw/RTDC4051/ "%USERPROFILE%\AppData\Local\Temp\OnboardLogs"\RTDC4051\2017-10-20 --exclude "*" --recursive --include "*20171020*" &amp; "%USERPROFILE%\Documents\GitHub\mrs-test-scripts\Headless Mode &amp; Sideloading\WalkAndUnGZ.bat" "%USERPROFILE%\AppData\Local\Temp\OnboardLogs"\RTDC4051\2017-10-20 &amp; aws s3 cp s3://rtdc.mdm.uploadarchive.raw/RTDC4051/ "%USERPROFILE%\AppData\Local\Temp\OnboardLogs"\RTDC4051\2017-10-21 --exclude "*" --recursive --include "*20171021*" &amp; "%USERPROFILE%\Documents\GitHub\mrs-test-scripts\Headless Mode &amp; Sideloading\WalkAndUnGZ.bat" "%USERPROFILE%\AppData\Local\Temp\OnboardLogs"\RTDC4051\2017-10-21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/stypes="app*4051*20171020*" /stext=" 12:.+((SYSTEM_STATE.+slice.+state.+changed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36"/>
        <v>"%USERPROFILE%\Documents\GitHub\eaglep3\Utilities\RefineRTDCRunTimes.py" --tripid 802-20 --locoid 4051 --swversion DE.1.0.9.0 --startMP 300:57242 --initTime 2017-10-20T06:08:00 --startdatetime 2017-10-20T06:13:29 --delay 67 --endMP 204:705 --enddatetime 2017-10-20T06:29:59 --enforcementcount 0 &gt;&gt;%USERPROFILE%\Documents\GitHub\eaglep3-reporting\EC\2017-10-20-refined-times.txt</v>
      </c>
      <c r="AI165" s="96" t="str">
        <f t="shared" si="37"/>
        <v>echo {"issue":{"subject":"Went active too close to S. Westminster 2S","project_id":79,"tracker_id":40,"status_id":1,"priority_id":2,"assigned_to_id":338,"start_date":"2017-10-20","description":"","custom_fields":[{"id":1,"name":"Subdivision","value":"NW"},{"id":4,"name":"Milepost","value":"0.0705"},{"id":17,"name":"Train ID","value":"802-20"},{"id":16,"name":"Locomotive ID","value":"4051"},{"id":130,"name":"Impact","value":""},{"id":150,"name":"Time of Event (Mountain Time)","value":"06:29:59"},{"id":151,"name":"Denver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38"/>
        <v>start /low /b %USERPROFILE%\Documents\GitHub\eaglep3\Utilities\DownloadLogsFromS3.py --loco 4051 --day 2017-10-20</v>
      </c>
      <c r="AN165" s="151" t="str">
        <f t="shared" si="39"/>
        <v>echo {"issue":{"subject":"Went active too close to S. Westminster 2S","project_id":30,"tracker_id":4,"status_id":1,"priority_id":1,"assigned_to_id":10,"start_date":"2017-10-20","description":"","custom_fields":[{"id":30,"name":"Category","value":"Issue"},{"id":3,"name":"Functional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12:29:59"},{"id":29,"name":"Sharepoint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40"/>
        <v>https://d0f6bd738d7f1b3e5a7ca70fe4ff75f0.us-east-1.aws.found.io/app/kibana#/discover/Steve-Slow-Train-Analysis-(2080s-and-2083s)?_g=(refreshInterval:(display:Off,pause:!f,section:0,value:0),time:(from:'2017-10-20T05:08:00-0600',mode:absolute,to:'2017-10-20T07:29:59-0600'))&amp;_a=(columns:!('Message%20ID',Summary),filters:!(),index:'emp_*',interval:auto,query:(query_string:(analyze_wildcard:!t,query:'%22rtdc.l.rtdc.4051%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691</v>
      </c>
      <c r="B166" s="7">
        <v>4060</v>
      </c>
      <c r="C166" s="21" t="s">
        <v>194</v>
      </c>
      <c r="D166" s="21" t="s">
        <v>970</v>
      </c>
      <c r="E166" s="13">
        <v>43028.249548611115</v>
      </c>
      <c r="F166" s="13">
        <v>43028.256435185183</v>
      </c>
      <c r="G166" s="7">
        <v>84</v>
      </c>
      <c r="H166" s="21" t="s">
        <v>971</v>
      </c>
      <c r="I166" s="13">
        <v>43028.268865740742</v>
      </c>
      <c r="J166" s="7">
        <v>0</v>
      </c>
      <c r="K166" s="89" t="str">
        <f>IF(ISEVEN(B166),(B166-1)&amp;"/"&amp;B166,B166&amp;"/"&amp;(B166+1))</f>
        <v>4059/4060</v>
      </c>
      <c r="L166" s="185" t="str">
        <f>VLOOKUP(A166,'Trips&amp;Operators'!$C$1:$G$99911,5,FALSE)</f>
        <v>HUFFSMITH MONTY</v>
      </c>
      <c r="M166" s="6">
        <f>I166-F166</f>
        <v>1.2430555558239575E-2</v>
      </c>
      <c r="N166" s="7">
        <f>24*60*SUM($M166:$M166)</f>
        <v>17.900000003864989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-10-20T04:59:21-0600',mode:absolute,to:'2017-10-20T07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9.8100000000000007E-2</v>
      </c>
      <c r="Z166" s="204">
        <f>RIGHT(H166,LEN(H166)-4)/10000</f>
        <v>5.8978000000000002</v>
      </c>
      <c r="AA166" s="204">
        <f>ABS(Z166-Y166)</f>
        <v>5.7997000000000005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>VALUE(LEFT(A166,LEN(A166)-3))</f>
        <v>803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/stypes="app*4060*20171020*" /stext=" 12:.+((SYSTEM_STATE.+slice.+state.+changed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36"/>
        <v>"%USERPROFILE%\Documents\GitHub\eaglep3\Utilities\RefineRTDCRunTimes.py" --tripid 803-20 --locoid 4060 --swversion DE.1.0.9.0 --startMP 204:981 --initTime 2017-10-20T05:59:21 --startdatetime 2017-10-20T06:09:16 --delay 84 --endMP 300:58978 --enddatetime 2017-10-20T06:27:10 --enforcementcount 0 &gt;&gt;%USERPROFILE%\Documents\GitHub\eaglep3-reporting\EC\2017-10-20-refined-times.txt</v>
      </c>
      <c r="AI166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{"issue":{"subject":"","project_id":79,"tracker_id":40,"status_id":1,"priority_id":2,"assigned_to_id":338,"start_date":"2017-10-20","description":"","custom_fields":[{"id":1,"name":"Subdivision","value":"NW"},{"id":4,"name":"Milepost","value":"5.8978"},{"id":17,"name":"Train ID","value":"803-20"},{"id":16,"name":"Locomotive ID","value":"4060"},{"id":130,"name":"Impact","value":""},{"id":150,"name":"Time of Event (Mountain Time)","value":"06:27:10"},{"id":151,"name":"Denver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38"/>
        <v>start /low /b %USERPROFILE%\Documents\GitHub\eaglep3\Utilities\DownloadLogsFromS3.py --loco 4060 --day 2017-10-20</v>
      </c>
      <c r="AN166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12:27:10"},{"id":29,"name":"Sharepoint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40"/>
        <v>https://d0f6bd738d7f1b3e5a7ca70fe4ff75f0.us-east-1.aws.found.io/app/kibana#/discover/Steve-Slow-Train-Analysis-(2080s-and-2083s)?_g=(refreshInterval:(display:Off,pause:!f,section:0,value:0),time:(from:'2017-10-20T04:59:21-0600',mode:absolute,to:'2017-10-20T07:27:10-0600'))&amp;_a=(columns:!('Message%20ID',Summary),filters:!(),index:'emp_*',interval:auto,query:(query_string:(analyze_wildcard:!t,query:'%22rtdc.l.rtdc.4060%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696</v>
      </c>
      <c r="B167" s="7">
        <v>4059</v>
      </c>
      <c r="C167" s="21" t="s">
        <v>194</v>
      </c>
      <c r="D167" s="21" t="s">
        <v>972</v>
      </c>
      <c r="E167" s="13">
        <v>43028.270601851851</v>
      </c>
      <c r="F167" s="13">
        <v>43028.272118055553</v>
      </c>
      <c r="G167" s="7">
        <v>53</v>
      </c>
      <c r="H167" s="21" t="s">
        <v>973</v>
      </c>
      <c r="I167" s="13">
        <v>43028.289189814815</v>
      </c>
      <c r="J167" s="7">
        <v>0</v>
      </c>
      <c r="K167" s="89" t="str">
        <f>IF(ISEVEN(B167),(B167-1)&amp;"/"&amp;B167,B167&amp;"/"&amp;(B167+1))</f>
        <v>4059/4060</v>
      </c>
      <c r="L167" s="185" t="str">
        <f>VLOOKUP(A167,'Trips&amp;Operators'!$C$1:$G$99911,5,FALSE)</f>
        <v>HUFFSMITH MONTY</v>
      </c>
      <c r="M167" s="6">
        <f>I167-F167</f>
        <v>1.7071759262762498E-2</v>
      </c>
      <c r="N167" s="7">
        <f>24*60*SUM($M167:$M167)</f>
        <v>24.583333338377997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-20T05:29:40-0600',mode:absolute,to:'2017-10-20T07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5.8647</v>
      </c>
      <c r="Z167" s="204">
        <f>RIGHT(H167,LEN(H167)-4)/10000</f>
        <v>6.8500000000000005E-2</v>
      </c>
      <c r="AA167" s="204">
        <f>ABS(Z167-Y167)</f>
        <v>5.7961999999999998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>VALUE(LEFT(A167,LEN(A167)-3))</f>
        <v>804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/stypes="app*4059*20171020*" /stext=" 12:.+((SYSTEM_STATE.+slice.+state.+changed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36"/>
        <v>"%USERPROFILE%\Documents\GitHub\eaglep3\Utilities\RefineRTDCRunTimes.py" --tripid 804-20 --locoid 4059 --swversion DE.1.0.9.0 --startMP 300:58647 --initTime 2017-10-20T06:29:40 --startdatetime 2017-10-20T06:31:51 --delay 53 --endMP 204:685 --enddatetime 2017-10-20T06:56:26 --enforcementcount 0 &gt;&gt;%USERPROFILE%\Documents\GitHub\eaglep3-reporting\EC\2017-10-20-refined-times.txt</v>
      </c>
      <c r="AI167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{"issue":{"subject":"","project_id":79,"tracker_id":40,"status_id":1,"priority_id":2,"assigned_to_id":338,"start_date":"2017-10-20","description":"","custom_fields":[{"id":1,"name":"Subdivision","value":"NW"},{"id":4,"name":"Milepost","value":"0.0685"},{"id":17,"name":"Train ID","value":"804-20"},{"id":16,"name":"Locomotive ID","value":"4059"},{"id":130,"name":"Impact","value":""},{"id":150,"name":"Time of Event (Mountain Time)","value":"06:56:26"},{"id":151,"name":"Denver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38"/>
        <v>start /low /b %USERPROFILE%\Documents\GitHub\eaglep3\Utilities\DownloadLogsFromS3.py --loco 4059 --day 2017-10-20</v>
      </c>
      <c r="AN167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12:56:26"},{"id":29,"name":"Sharepoint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40"/>
        <v>https://d0f6bd738d7f1b3e5a7ca70fe4ff75f0.us-east-1.aws.found.io/app/kibana#/discover/Steve-Slow-Train-Analysis-(2080s-and-2083s)?_g=(refreshInterval:(display:Off,pause:!f,section:0,value:0),time:(from:'2017-10-20T05:29:40-0600',mode:absolute,to:'2017-10-20T07:56:26-0600'))&amp;_a=(columns:!('Message%20ID',Summary),filters:!(),index:'emp_*',interval:auto,query:(query_string:(analyze_wildcard:!t,query:'%22rtdc.l.rtdc.4059%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697</v>
      </c>
      <c r="B168" s="7">
        <v>4052</v>
      </c>
      <c r="C168" s="21" t="s">
        <v>194</v>
      </c>
      <c r="D168" s="21" t="s">
        <v>974</v>
      </c>
      <c r="E168" s="13">
        <v>43028.27270833333</v>
      </c>
      <c r="F168" s="13">
        <v>43028.277314814812</v>
      </c>
      <c r="G168" s="7">
        <v>53</v>
      </c>
      <c r="H168" s="21" t="s">
        <v>622</v>
      </c>
      <c r="I168" s="13">
        <v>43028.288287037038</v>
      </c>
      <c r="J168" s="7">
        <v>0</v>
      </c>
      <c r="K168" s="89" t="str">
        <f>IF(ISEVEN(B168),(B168-1)&amp;"/"&amp;B168,B168&amp;"/"&amp;(B168+1))</f>
        <v>4051/4052</v>
      </c>
      <c r="L168" s="185" t="str">
        <f>VLOOKUP(A168,'Trips&amp;Operators'!$C$1:$G$99911,5,FALSE)</f>
        <v>WILLIAMS DONTE</v>
      </c>
      <c r="M168" s="6">
        <f>I168-F168</f>
        <v>1.0972222225973383E-2</v>
      </c>
      <c r="N168" s="7">
        <f>24*60*SUM($M168:$M168)</f>
        <v>15.800000005401671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-10-20T05:32:42-0600',mode:absolute,to:'2017-10-20T07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9.9900000000000003E-2</v>
      </c>
      <c r="Z168" s="204">
        <f>RIGHT(H168,LEN(H168)-4)/10000</f>
        <v>5.8944000000000001</v>
      </c>
      <c r="AA168" s="204">
        <f>ABS(Z168-Y168)</f>
        <v>5.7945000000000002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>VALUE(LEFT(A168,LEN(A168)-3))</f>
        <v>805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s3://rtdc.mdm.uploadarchive.raw/RTDC4052/ "%USERPROFILE%\AppData\Local\Temp\OnboardLogs"\RTDC4052\2017-10-20 --exclude "*" --recursive --include "*20171020*" &amp; "%USERPROFILE%\Documents\GitHub\mrs-test-scripts\Headless Mode &amp; Sideloading\WalkAndUnGZ.bat" "%USERPROFILE%\AppData\Local\Temp\OnboardLogs"\RTDC4052\2017-10-20 &amp; aws s3 cp s3://rtdc.mdm.uploadarchive.raw/RTDC4052/ "%USERPROFILE%\AppData\Local\Temp\OnboardLogs"\RTDC4052\2017-10-21 --exclude "*" --recursive --include "*20171021*" &amp; "%USERPROFILE%\Documents\GitHub\mrs-test-scripts\Headless Mode &amp; Sideloading\WalkAndUnGZ.bat" "%USERPROFILE%\AppData\Local\Temp\OnboardLogs"\RTDC4052\2017-10-21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/stypes="app*4052*20171020*" /stext=" 12:.+((SYSTEM_STATE.+slice.+state.+changed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36"/>
        <v>"%USERPROFILE%\Documents\GitHub\eaglep3\Utilities\RefineRTDCRunTimes.py" --tripid 805-20 --locoid 4052 --swversion DE.1.0.9.0 --startMP 204:999 --initTime 2017-10-20T06:32:42 --startdatetime 2017-10-20T06:39:20 --delay 53 --endMP 300:58944 --enddatetime 2017-10-20T06:55:08 --enforcementcount 0 &gt;&gt;%USERPROFILE%\Documents\GitHub\eaglep3-reporting\EC\2017-10-20-refined-times.txt</v>
      </c>
      <c r="AI168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{"issue":{"subject":"","project_id":79,"tracker_id":40,"status_id":1,"priority_id":2,"assigned_to_id":338,"start_date":"2017-10-20","description":"","custom_fields":[{"id":1,"name":"Subdivision","value":"NW"},{"id":4,"name":"Milepost","value":"5.8944"},{"id":17,"name":"Train ID","value":"805-20"},{"id":16,"name":"Locomotive ID","value":"4052"},{"id":130,"name":"Impact","value":""},{"id":150,"name":"Time of Event (Mountain Time)","value":"06:55:08"},{"id":151,"name":"Denver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38"/>
        <v>start /low /b %USERPROFILE%\Documents\GitHub\eaglep3\Utilities\DownloadLogsFromS3.py --loco 4052 --day 2017-10-20</v>
      </c>
      <c r="AN168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12:55:08"},{"id":29,"name":"Sharepoint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40"/>
        <v>https://d0f6bd738d7f1b3e5a7ca70fe4ff75f0.us-east-1.aws.found.io/app/kibana#/discover/Steve-Slow-Train-Analysis-(2080s-and-2083s)?_g=(refreshInterval:(display:Off,pause:!f,section:0,value:0),time:(from:'2017-10-20T05:32:42-0600',mode:absolute,to:'2017-10-20T07:55:08-0600'))&amp;_a=(columns:!('Message%20ID',Summary),filters:!(),index:'emp_*',interval:auto,query:(query_string:(analyze_wildcard:!t,query:'%22rtdc.l.rtdc.4052%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702</v>
      </c>
      <c r="B169" s="7">
        <v>4051</v>
      </c>
      <c r="C169" s="21" t="s">
        <v>194</v>
      </c>
      <c r="D169" s="21" t="s">
        <v>975</v>
      </c>
      <c r="E169" s="13">
        <v>43028.295914351853</v>
      </c>
      <c r="F169" s="13">
        <v>43028.301087962966</v>
      </c>
      <c r="G169" s="7">
        <v>99</v>
      </c>
      <c r="H169" s="21" t="s">
        <v>496</v>
      </c>
      <c r="I169" s="13">
        <v>43028.312858796293</v>
      </c>
      <c r="J169" s="7">
        <v>0</v>
      </c>
      <c r="K169" s="89" t="str">
        <f>IF(ISEVEN(B169),(B169-1)&amp;"/"&amp;B169,B169&amp;"/"&amp;(B169+1))</f>
        <v>4051/4052</v>
      </c>
      <c r="L169" s="185" t="str">
        <f>VLOOKUP(A169,'Trips&amp;Operators'!$C$1:$G$99911,5,FALSE)</f>
        <v>WILLIAMS DONTE</v>
      </c>
      <c r="M169" s="6">
        <f>I169-F169</f>
        <v>1.1770833327318542E-2</v>
      </c>
      <c r="N169" s="7">
        <f>24*60*SUM($M169:$M169)</f>
        <v>16.9499999913387</v>
      </c>
      <c r="O169" s="7"/>
      <c r="P169" s="7"/>
      <c r="Q169" s="22"/>
      <c r="R169" s="174" t="s">
        <v>1055</v>
      </c>
      <c r="S169" s="221">
        <f>1/IF(AG169="EC",12,1)*SUM(U169:U169)</f>
        <v>1</v>
      </c>
      <c r="T169" s="174" t="str">
        <f>IF(ISEVEN(LEFT(AD169,4)),"Southbound","NorthBound")</f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-10-20T06:06:07-0600',mode:absolute,to:'2017-10-20T08:30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9" s="204" t="str">
        <f>IF(AA169&lt;VLOOKUP(AG169,Variables!$AC$3:$AD$8,2,FALSE),"Y","N")</f>
        <v>N</v>
      </c>
      <c r="X169" s="204">
        <f>VALUE(LEFT(AD169,4))-VALUE(LEFT(AD168,4))</f>
        <v>1</v>
      </c>
      <c r="Y169" s="204">
        <f>RIGHT(D169,LEN(D169)-4)/10000</f>
        <v>5.7263000000000002</v>
      </c>
      <c r="Z169" s="204">
        <f>RIGHT(H169,LEN(H169)-4)/10000</f>
        <v>7.0599999999999996E-2</v>
      </c>
      <c r="AA169" s="204">
        <f>ABS(Z169-Y169)</f>
        <v>5.6557000000000004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>VALUE(LEFT(A169,LEN(A169)-3))</f>
        <v>806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s3://rtdc.mdm.uploadarchive.raw/RTDC4051/ "%USERPROFILE%\AppData\Local\Temp\OnboardLogs"\RTDC4051\2017-10-20 --exclude "*" --recursive --include "*20171020*" &amp; "%USERPROFILE%\Documents\GitHub\mrs-test-scripts\Headless Mode &amp; Sideloading\WalkAndUnGZ.bat" "%USERPROFILE%\AppData\Local\Temp\OnboardLogs"\RTDC4051\2017-10-20 &amp; aws s3 cp s3://rtdc.mdm.uploadarchive.raw/RTDC4051/ "%USERPROFILE%\AppData\Local\Temp\OnboardLogs"\RTDC4051\2017-10-21 --exclude "*" --recursive --include "*20171021*" &amp; "%USERPROFILE%\Documents\GitHub\mrs-test-scripts\Headless Mode &amp; Sideloading\WalkAndUnGZ.bat" "%USERPROFILE%\AppData\Local\Temp\OnboardLogs"\RTDC4051\2017-10-21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/stypes="app*4051*20171020*" /stext=" 13:.+((SYSTEM_STATE.+slice.+state.+changed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36"/>
        <v>"%USERPROFILE%\Documents\GitHub\eaglep3\Utilities\RefineRTDCRunTimes.py" --tripid 806-20 --locoid 4051 --swversion DE.1.0.9.0 --startMP 300:57263 --initTime 2017-10-20T07:06:07 --startdatetime 2017-10-20T07:13:34 --delay 99 --endMP 204:706 --enddatetime 2017-10-20T07:30:31 --enforcementcount 0 &gt;&gt;%USERPROFILE%\Documents\GitHub\eaglep3-reporting\EC\2017-10-20-refined-times.txt</v>
      </c>
      <c r="AI169" s="96" t="str">
        <f t="shared" si="37"/>
        <v>echo {"issue":{"subject":"Went active too close to S. Westminster 2S","project_id":79,"tracker_id":40,"status_id":1,"priority_id":2,"assigned_to_id":338,"start_date":"2017-10-20","description":"","custom_fields":[{"id":1,"name":"Subdivision","value":"NW"},{"id":4,"name":"Milepost","value":"0.0706"},{"id":17,"name":"Train ID","value":"806-20"},{"id":16,"name":"Locomotive ID","value":"4051"},{"id":130,"name":"Impact","value":""},{"id":150,"name":"Time of Event (Mountain Time)","value":"07:30:31"},{"id":151,"name":"Denver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38"/>
        <v>start /low /b %USERPROFILE%\Documents\GitHub\eaglep3\Utilities\DownloadLogsFromS3.py --loco 4051 --day 2017-10-20</v>
      </c>
      <c r="AN169" s="151" t="str">
        <f t="shared" si="39"/>
        <v>echo {"issue":{"subject":"Went active too close to S. Westminster 2S","project_id":30,"tracker_id":4,"status_id":1,"priority_id":1,"assigned_to_id":10,"start_date":"2017-10-20","description":"","custom_fields":[{"id":30,"name":"Category","value":"Issue"},{"id":3,"name":"Functional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13:30:31"},{"id":29,"name":"Sharepoint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40"/>
        <v>https://d0f6bd738d7f1b3e5a7ca70fe4ff75f0.us-east-1.aws.found.io/app/kibana#/discover/Steve-Slow-Train-Analysis-(2080s-and-2083s)?_g=(refreshInterval:(display:Off,pause:!f,section:0,value:0),time:(from:'2017-10-20T06:06:07-0600',mode:absolute,to:'2017-10-20T08:30:31-0600'))&amp;_a=(columns:!('Message%20ID',Summary),filters:!(),index:'emp_*',interval:auto,query:(query_string:(analyze_wildcard:!t,query:'%22rtdc.l.rtdc.4051%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702</v>
      </c>
      <c r="B170" s="7">
        <v>4051</v>
      </c>
      <c r="C170" s="21" t="s">
        <v>194</v>
      </c>
      <c r="D170" s="21" t="s">
        <v>976</v>
      </c>
      <c r="E170" s="13">
        <v>43028.289502314816</v>
      </c>
      <c r="F170" s="13">
        <v>43028.301087962966</v>
      </c>
      <c r="G170" s="7">
        <v>71</v>
      </c>
      <c r="H170" s="21" t="s">
        <v>977</v>
      </c>
      <c r="I170" s="13">
        <v>43028.312858796293</v>
      </c>
      <c r="J170" s="7">
        <v>0</v>
      </c>
      <c r="K170" s="89" t="str">
        <f>IF(ISEVEN(B170),(B170-1)&amp;"/"&amp;B170,B170&amp;"/"&amp;(B170+1))</f>
        <v>4051/4052</v>
      </c>
      <c r="L170" s="185" t="str">
        <f>VLOOKUP(A170,'Trips&amp;Operators'!$C$1:$G$99911,5,FALSE)</f>
        <v>WILLIAMS DONTE</v>
      </c>
      <c r="M170" s="6">
        <f>I170-F170</f>
        <v>1.1770833327318542E-2</v>
      </c>
      <c r="N170" s="7"/>
      <c r="O170" s="7"/>
      <c r="P170" s="7"/>
      <c r="Q170" s="22"/>
      <c r="R170" s="174"/>
      <c r="S170" s="221"/>
      <c r="T170" s="174" t="str">
        <f>IF(ISEVEN(LEFT(AD170,4)),"Southbound","NorthBound")</f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0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-10-20T05:56:53-0600',mode:absolute,to:'2017-10-20T08:30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0" s="204" t="str">
        <f>IF(AA170&lt;VLOOKUP(AG170,Variables!$AC$3:$AD$8,2,FALSE),"Y","N")</f>
        <v>Y</v>
      </c>
      <c r="X170" s="204">
        <f>VALUE(LEFT(AD170,4))-VALUE(LEFT(AD169,4))</f>
        <v>0</v>
      </c>
      <c r="Y170" s="204">
        <f>RIGHT(D170,LEN(D170)-4)/10000</f>
        <v>5.8632</v>
      </c>
      <c r="Z170" s="204">
        <f>RIGHT(H170,LEN(H170)-4)/10000</f>
        <v>5.7252999999999998</v>
      </c>
      <c r="AA170" s="204">
        <f>ABS(Z170-Y170)</f>
        <v>0.13790000000000013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>VALUE(LEFT(A170,LEN(A170)-3))</f>
        <v>806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s3://rtdc.mdm.uploadarchive.raw/RTDC4051/ "%USERPROFILE%\AppData\Local\Temp\OnboardLogs"\RTDC4051\2017-10-20 --exclude "*" --recursive --include "*20171020*" &amp; "%USERPROFILE%\Documents\GitHub\mrs-test-scripts\Headless Mode &amp; Sideloading\WalkAndUnGZ.bat" "%USERPROFILE%\AppData\Local\Temp\OnboardLogs"\RTDC4051\2017-10-20 &amp; aws s3 cp s3://rtdc.mdm.uploadarchive.raw/RTDC4051/ "%USERPROFILE%\AppData\Local\Temp\OnboardLogs"\RTDC4051\2017-10-21 --exclude "*" --recursive --include "*20171021*" &amp; "%USERPROFILE%\Documents\GitHub\mrs-test-scripts\Headless Mode &amp; Sideloading\WalkAndUnGZ.bat" "%USERPROFILE%\AppData\Local\Temp\OnboardLogs"\RTDC4051\2017-10-21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/stypes="app*4051*20171020*" /stext=" 13:.+((SYSTEM_STATE.+slice.+state.+changed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36"/>
        <v>"%USERPROFILE%\Documents\GitHub\eaglep3\Utilities\RefineRTDCRunTimes.py" --tripid 806-20 --locoid 4051 --swversion DE.1.0.9.0 --startMP 300:58632 --initTime 2017-10-20T06:56:53 --startdatetime 2017-10-20T07:13:34 --delay 71 --endMP 300:57253 --enddatetime 2017-10-20T07:30:31 --enforcementcount 0 &gt;&gt;%USERPROFILE%\Documents\GitHub\eaglep3-reporting\EC\2017-10-20-refined-times.txt</v>
      </c>
      <c r="AI170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{"issue":{"subject":"","project_id":79,"tracker_id":40,"status_id":1,"priority_id":2,"assigned_to_id":338,"start_date":"2017-10-20","description":"","custom_fields":[{"id":1,"name":"Subdivision","value":"NW"},{"id":4,"name":"Milepost","value":"5.7253"},{"id":17,"name":"Train ID","value":"806-20"},{"id":16,"name":"Locomotive ID","value":"4051"},{"id":130,"name":"Impact","value":""},{"id":150,"name":"Time of Event (Mountain Time)","value":"07:30:31"},{"id":151,"name":"Denver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38"/>
        <v>start /low /b %USERPROFILE%\Documents\GitHub\eaglep3\Utilities\DownloadLogsFromS3.py --loco 4051 --day 2017-10-20</v>
      </c>
      <c r="AN170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13:30:31"},{"id":29,"name":"Sharepoint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40"/>
        <v>https://d0f6bd738d7f1b3e5a7ca70fe4ff75f0.us-east-1.aws.found.io/app/kibana#/discover/Steve-Slow-Train-Analysis-(2080s-and-2083s)?_g=(refreshInterval:(display:Off,pause:!f,section:0,value:0),time:(from:'2017-10-20T05:56:53-0600',mode:absolute,to:'2017-10-20T08:30:31-0600'))&amp;_a=(columns:!('Message%20ID',Summary),filters:!(),index:'emp_*',interval:auto,query:(query_string:(analyze_wildcard:!t,query:'%22rtdc.l.rtdc.4051%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703</v>
      </c>
      <c r="B171" s="7">
        <v>4060</v>
      </c>
      <c r="C171" s="21" t="s">
        <v>194</v>
      </c>
      <c r="D171" s="21" t="s">
        <v>970</v>
      </c>
      <c r="E171" s="13">
        <v>43028.292326388888</v>
      </c>
      <c r="F171" s="13">
        <v>43028.298506944448</v>
      </c>
      <c r="G171" s="7">
        <v>55</v>
      </c>
      <c r="H171" s="21" t="s">
        <v>978</v>
      </c>
      <c r="I171" s="13">
        <v>43028.309756944444</v>
      </c>
      <c r="J171" s="7">
        <v>0</v>
      </c>
      <c r="K171" s="89" t="str">
        <f>IF(ISEVEN(B171),(B171-1)&amp;"/"&amp;B171,B171&amp;"/"&amp;(B171+1))</f>
        <v>4059/4060</v>
      </c>
      <c r="L171" s="185" t="str">
        <f>VLOOKUP(A171,'Trips&amp;Operators'!$C$1:$G$99911,5,FALSE)</f>
        <v>HUFFSMITH MONTY</v>
      </c>
      <c r="M171" s="6">
        <f>I171-F171</f>
        <v>1.1249999995925464E-2</v>
      </c>
      <c r="N171" s="7">
        <f>24*60*SUM($M171:$M171)</f>
        <v>16.199999994132668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-10-20T06:00:57-0600',mode:absolute,to:'2017-10-20T08:26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9.8100000000000007E-2</v>
      </c>
      <c r="Z171" s="204">
        <f>RIGHT(H171,LEN(H171)-4)/10000</f>
        <v>5.8971</v>
      </c>
      <c r="AA171" s="204">
        <f>ABS(Z171-Y171)</f>
        <v>5.7990000000000004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>VALUE(LEFT(A171,LEN(A171)-3))</f>
        <v>807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/stypes="app*4060*20171020*" /stext=" 13:.+((SYSTEM_STATE.+slice.+state.+changed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36"/>
        <v>"%USERPROFILE%\Documents\GitHub\eaglep3\Utilities\RefineRTDCRunTimes.py" --tripid 807-20 --locoid 4060 --swversion DE.1.0.9.0 --startMP 204:981 --initTime 2017-10-20T07:00:57 --startdatetime 2017-10-20T07:09:51 --delay 55 --endMP 300:58971 --enddatetime 2017-10-20T07:26:03 --enforcementcount 0 &gt;&gt;%USERPROFILE%\Documents\GitHub\eaglep3-reporting\EC\2017-10-20-refined-times.txt</v>
      </c>
      <c r="AI171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{"issue":{"subject":"","project_id":79,"tracker_id":40,"status_id":1,"priority_id":2,"assigned_to_id":338,"start_date":"2017-10-20","description":"","custom_fields":[{"id":1,"name":"Subdivision","value":"NW"},{"id":4,"name":"Milepost","value":"5.8971"},{"id":17,"name":"Train ID","value":"807-20"},{"id":16,"name":"Locomotive ID","value":"4060"},{"id":130,"name":"Impact","value":""},{"id":150,"name":"Time of Event (Mountain Time)","value":"07:26:03"},{"id":151,"name":"Denver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38"/>
        <v>start /low /b %USERPROFILE%\Documents\GitHub\eaglep3\Utilities\DownloadLogsFromS3.py --loco 4060 --day 2017-10-20</v>
      </c>
      <c r="AN171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13:26:03"},{"id":29,"name":"Sharepoint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40"/>
        <v>https://d0f6bd738d7f1b3e5a7ca70fe4ff75f0.us-east-1.aws.found.io/app/kibana#/discover/Steve-Slow-Train-Analysis-(2080s-and-2083s)?_g=(refreshInterval:(display:Off,pause:!f,section:0,value:0),time:(from:'2017-10-20T06:00:57-0600',mode:absolute,to:'2017-10-20T08:26:03-0600'))&amp;_a=(columns:!('Message%20ID',Summary),filters:!(),index:'emp_*',interval:auto,query:(query_string:(analyze_wildcard:!t,query:'%22rtdc.l.rtdc.4060%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707</v>
      </c>
      <c r="B172" s="7">
        <v>4059</v>
      </c>
      <c r="C172" s="21" t="s">
        <v>194</v>
      </c>
      <c r="D172" s="21" t="s">
        <v>979</v>
      </c>
      <c r="E172" s="13">
        <v>43028.311365740738</v>
      </c>
      <c r="F172" s="13">
        <v>43028.321597222224</v>
      </c>
      <c r="G172" s="7">
        <v>51</v>
      </c>
      <c r="H172" s="21" t="s">
        <v>500</v>
      </c>
      <c r="I172" s="13">
        <v>43028.330694444441</v>
      </c>
      <c r="J172" s="7">
        <v>0</v>
      </c>
      <c r="K172" s="89" t="str">
        <f>IF(ISEVEN(B172),(B172-1)&amp;"/"&amp;B172,B172&amp;"/"&amp;(B172+1))</f>
        <v>4059/4060</v>
      </c>
      <c r="L172" s="185" t="str">
        <f>VLOOKUP(A172,'Trips&amp;Operators'!$C$1:$G$99911,5,FALSE)</f>
        <v>HUFFSMITH MONTY</v>
      </c>
      <c r="M172" s="6">
        <f>I172-F172</f>
        <v>9.0972222169511952E-3</v>
      </c>
      <c r="N172" s="7">
        <f>24*60*SUM($M172:$M172)</f>
        <v>13.099999992409721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-10-20T06:28:22-0600',mode:absolute,to:'2017-10-20T08:56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5.8648999999999996</v>
      </c>
      <c r="Z172" s="204">
        <f>RIGHT(H172,LEN(H172)-4)/10000</f>
        <v>6.7699999999999996E-2</v>
      </c>
      <c r="AA172" s="204">
        <f>ABS(Z172-Y172)</f>
        <v>5.7971999999999992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>VALUE(LEFT(A172,LEN(A172)-3))</f>
        <v>808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/stypes="app*4059*20171020*" /stext=" 13:.+((SYSTEM_STATE.+slice.+state.+changed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36"/>
        <v>"%USERPROFILE%\Documents\GitHub\eaglep3\Utilities\RefineRTDCRunTimes.py" --tripid 808-20 --locoid 4059 --swversion DE.1.0.9.0 --startMP 300:58649 --initTime 2017-10-20T07:28:22 --startdatetime 2017-10-20T07:43:06 --delay 51 --endMP 204:677 --enddatetime 2017-10-20T07:56:12 --enforcementcount 0 &gt;&gt;%USERPROFILE%\Documents\GitHub\eaglep3-reporting\EC\2017-10-20-refined-times.txt</v>
      </c>
      <c r="AI172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{"issue":{"subject":"","project_id":79,"tracker_id":40,"status_id":1,"priority_id":2,"assigned_to_id":338,"start_date":"2017-10-20","description":"","custom_fields":[{"id":1,"name":"Subdivision","value":"NW"},{"id":4,"name":"Milepost","value":"0.0677"},{"id":17,"name":"Train ID","value":"808-20"},{"id":16,"name":"Locomotive ID","value":"4059"},{"id":130,"name":"Impact","value":""},{"id":150,"name":"Time of Event (Mountain Time)","value":"07:56:12"},{"id":151,"name":"Denver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38"/>
        <v>start /low /b %USERPROFILE%\Documents\GitHub\eaglep3\Utilities\DownloadLogsFromS3.py --loco 4059 --day 2017-10-20</v>
      </c>
      <c r="AN172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13:56:12"},{"id":29,"name":"Sharepoint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40"/>
        <v>https://d0f6bd738d7f1b3e5a7ca70fe4ff75f0.us-east-1.aws.found.io/app/kibana#/discover/Steve-Slow-Train-Analysis-(2080s-and-2083s)?_g=(refreshInterval:(display:Off,pause:!f,section:0,value:0),time:(from:'2017-10-20T06:28:22-0600',mode:absolute,to:'2017-10-20T08:56:12-0600'))&amp;_a=(columns:!('Message%20ID',Summary),filters:!(),index:'emp_*',interval:auto,query:(query_string:(analyze_wildcard:!t,query:'%22rtdc.l.rtdc.4059%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708</v>
      </c>
      <c r="B173" s="7">
        <v>4052</v>
      </c>
      <c r="C173" s="21" t="s">
        <v>194</v>
      </c>
      <c r="D173" s="21" t="s">
        <v>980</v>
      </c>
      <c r="E173" s="13">
        <v>43028.315381944441</v>
      </c>
      <c r="F173" s="13">
        <v>43028.319745370369</v>
      </c>
      <c r="G173" s="7">
        <v>59</v>
      </c>
      <c r="H173" s="21" t="s">
        <v>622</v>
      </c>
      <c r="I173" s="13">
        <v>43028.33048611111</v>
      </c>
      <c r="J173" s="7">
        <v>0</v>
      </c>
      <c r="K173" s="89" t="str">
        <f>IF(ISEVEN(B173),(B173-1)&amp;"/"&amp;B173,B173&amp;"/"&amp;(B173+1))</f>
        <v>4051/4052</v>
      </c>
      <c r="L173" s="185" t="str">
        <f>VLOOKUP(A173,'Trips&amp;Operators'!$C$1:$G$99911,5,FALSE)</f>
        <v>WILLIAMS DONTE</v>
      </c>
      <c r="M173" s="6">
        <f>I173-F173</f>
        <v>1.0740740741312038E-2</v>
      </c>
      <c r="N173" s="7">
        <f>24*60*SUM($M173:$M173)</f>
        <v>15.466666667489335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-10-20T06:34:09-0600',mode:absolute,to:'2017-10-20T08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0.1014</v>
      </c>
      <c r="Z173" s="204">
        <f>RIGHT(H173,LEN(H173)-4)/10000</f>
        <v>5.8944000000000001</v>
      </c>
      <c r="AA173" s="204">
        <f>ABS(Z173-Y173)</f>
        <v>5.7930000000000001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>VALUE(LEFT(A173,LEN(A173)-3))</f>
        <v>809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s3://rtdc.mdm.uploadarchive.raw/RTDC4052/ "%USERPROFILE%\AppData\Local\Temp\OnboardLogs"\RTDC4052\2017-10-20 --exclude "*" --recursive --include "*20171020*" &amp; "%USERPROFILE%\Documents\GitHub\mrs-test-scripts\Headless Mode &amp; Sideloading\WalkAndUnGZ.bat" "%USERPROFILE%\AppData\Local\Temp\OnboardLogs"\RTDC4052\2017-10-20 &amp; aws s3 cp s3://rtdc.mdm.uploadarchive.raw/RTDC4052/ "%USERPROFILE%\AppData\Local\Temp\OnboardLogs"\RTDC4052\2017-10-21 --exclude "*" --recursive --include "*20171021*" &amp; "%USERPROFILE%\Documents\GitHub\mrs-test-scripts\Headless Mode &amp; Sideloading\WalkAndUnGZ.bat" "%USERPROFILE%\AppData\Local\Temp\OnboardLogs"\RTDC4052\2017-10-21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/stypes="app*4052*20171020*" /stext=" 13:.+((SYSTEM_STATE.+slice.+state.+changed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36"/>
        <v>"%USERPROFILE%\Documents\GitHub\eaglep3\Utilities\RefineRTDCRunTimes.py" --tripid 809-20 --locoid 4052 --swversion DE.1.0.9.0 --startMP 204:1014 --initTime 2017-10-20T07:34:09 --startdatetime 2017-10-20T07:40:26 --delay 59 --endMP 300:58944 --enddatetime 2017-10-20T07:55:54 --enforcementcount 0 &gt;&gt;%USERPROFILE%\Documents\GitHub\eaglep3-reporting\EC\2017-10-20-refined-times.txt</v>
      </c>
      <c r="AI173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{"issue":{"subject":"","project_id":79,"tracker_id":40,"status_id":1,"priority_id":2,"assigned_to_id":338,"start_date":"2017-10-20","description":"","custom_fields":[{"id":1,"name":"Subdivision","value":"NW"},{"id":4,"name":"Milepost","value":"5.8944"},{"id":17,"name":"Train ID","value":"809-20"},{"id":16,"name":"Locomotive ID","value":"4052"},{"id":130,"name":"Impact","value":""},{"id":150,"name":"Time of Event (Mountain Time)","value":"07:55:54"},{"id":151,"name":"Denver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38"/>
        <v>start /low /b %USERPROFILE%\Documents\GitHub\eaglep3\Utilities\DownloadLogsFromS3.py --loco 4052 --day 2017-10-20</v>
      </c>
      <c r="AN173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13:55:54"},{"id":29,"name":"Sharepoint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40"/>
        <v>https://d0f6bd738d7f1b3e5a7ca70fe4ff75f0.us-east-1.aws.found.io/app/kibana#/discover/Steve-Slow-Train-Analysis-(2080s-and-2083s)?_g=(refreshInterval:(display:Off,pause:!f,section:0,value:0),time:(from:'2017-10-20T06:34:09-0600',mode:absolute,to:'2017-10-20T08:55:54-0600'))&amp;_a=(columns:!('Message%20ID',Summary),filters:!(),index:'emp_*',interval:auto,query:(query_string:(analyze_wildcard:!t,query:'%22rtdc.l.rtdc.4052%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714</v>
      </c>
      <c r="B174" s="7">
        <v>4051</v>
      </c>
      <c r="C174" s="21" t="s">
        <v>194</v>
      </c>
      <c r="D174" s="21" t="s">
        <v>981</v>
      </c>
      <c r="E174" s="13">
        <v>43028.331747685188</v>
      </c>
      <c r="F174" s="13">
        <v>43028.342604166668</v>
      </c>
      <c r="G174" s="7">
        <v>69</v>
      </c>
      <c r="H174" s="21" t="s">
        <v>982</v>
      </c>
      <c r="I174" s="13">
        <v>43028.353900462964</v>
      </c>
      <c r="J174" s="7">
        <v>0</v>
      </c>
      <c r="K174" s="89" t="str">
        <f>IF(ISEVEN(B174),(B174-1)&amp;"/"&amp;B174,B174&amp;"/"&amp;(B174+1))</f>
        <v>4051/4052</v>
      </c>
      <c r="L174" s="185" t="str">
        <f>VLOOKUP(A174,'Trips&amp;Operators'!$C$1:$G$99911,5,FALSE)</f>
        <v>WILLIAMS DONTE</v>
      </c>
      <c r="M174" s="6">
        <f>I174-F174</f>
        <v>1.1296296295768116E-2</v>
      </c>
      <c r="N174" s="7"/>
      <c r="O174" s="7"/>
      <c r="P174" s="7"/>
      <c r="Q174" s="22"/>
      <c r="R174" s="174"/>
      <c r="S174" s="221"/>
      <c r="T174" s="174" t="str">
        <f>IF(ISEVEN(LEFT(AD174,4)),"Southbound","NorthBound")</f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0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-10-20T06:57:43-0600',mode:absolute,to:'2017-10-20T09:29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4" s="204" t="str">
        <f>IF(AA174&lt;VLOOKUP(AG174,Variables!$AC$3:$AD$8,2,FALSE),"Y","N")</f>
        <v>Y</v>
      </c>
      <c r="X174" s="204">
        <f>VALUE(LEFT(AD174,4))-VALUE(LEFT(AD173,4))</f>
        <v>1</v>
      </c>
      <c r="Y174" s="204">
        <f>RIGHT(D174,LEN(D174)-4)/10000</f>
        <v>5.8635999999999999</v>
      </c>
      <c r="Z174" s="204">
        <f>RIGHT(H174,LEN(H174)-4)/10000</f>
        <v>5.7245999999999997</v>
      </c>
      <c r="AA174" s="204">
        <f>ABS(Z174-Y174)</f>
        <v>0.13900000000000023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>VALUE(LEFT(A174,LEN(A174)-3))</f>
        <v>810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s3://rtdc.mdm.uploadarchive.raw/RTDC4051/ "%USERPROFILE%\AppData\Local\Temp\OnboardLogs"\RTDC4051\2017-10-20 --exclude "*" --recursive --include "*20171020*" &amp; "%USERPROFILE%\Documents\GitHub\mrs-test-scripts\Headless Mode &amp; Sideloading\WalkAndUnGZ.bat" "%USERPROFILE%\AppData\Local\Temp\OnboardLogs"\RTDC4051\2017-10-20 &amp; aws s3 cp s3://rtdc.mdm.uploadarchive.raw/RTDC4051/ "%USERPROFILE%\AppData\Local\Temp\OnboardLogs"\RTDC4051\2017-10-21 --exclude "*" --recursive --include "*20171021*" &amp; "%USERPROFILE%\Documents\GitHub\mrs-test-scripts\Headless Mode &amp; Sideloading\WalkAndUnGZ.bat" "%USERPROFILE%\AppData\Local\Temp\OnboardLogs"\RTDC4051\2017-10-21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/stypes="app*4051*20171020*" /stext=" 14:.+((SYSTEM_STATE.+slice.+state.+changed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36"/>
        <v>"%USERPROFILE%\Documents\GitHub\eaglep3\Utilities\RefineRTDCRunTimes.py" --tripid 810-20 --locoid 4051 --swversion DE.1.0.9.0 --startMP 300:58636 --initTime 2017-10-20T07:57:43 --startdatetime 2017-10-20T08:13:21 --delay 69 --endMP 300:57246 --enddatetime 2017-10-20T08:29:37 --enforcementcount 0 &gt;&gt;%USERPROFILE%\Documents\GitHub\eaglep3-reporting\EC\2017-10-20-refined-times.txt</v>
      </c>
      <c r="AI174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{"issue":{"subject":"","project_id":79,"tracker_id":40,"status_id":1,"priority_id":2,"assigned_to_id":338,"start_date":"2017-10-20","description":"","custom_fields":[{"id":1,"name":"Subdivision","value":"NW"},{"id":4,"name":"Milepost","value":"5.7246"},{"id":17,"name":"Train ID","value":"810-20"},{"id":16,"name":"Locomotive ID","value":"4051"},{"id":130,"name":"Impact","value":""},{"id":150,"name":"Time of Event (Mountain Time)","value":"08:29:37"},{"id":151,"name":"Denver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38"/>
        <v>start /low /b %USERPROFILE%\Documents\GitHub\eaglep3\Utilities\DownloadLogsFromS3.py --loco 4051 --day 2017-10-20</v>
      </c>
      <c r="AN174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14:29:37"},{"id":29,"name":"Sharepoint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40"/>
        <v>https://d0f6bd738d7f1b3e5a7ca70fe4ff75f0.us-east-1.aws.found.io/app/kibana#/discover/Steve-Slow-Train-Analysis-(2080s-and-2083s)?_g=(refreshInterval:(display:Off,pause:!f,section:0,value:0),time:(from:'2017-10-20T06:57:43-0600',mode:absolute,to:'2017-10-20T09:29:37-0600'))&amp;_a=(columns:!('Message%20ID',Summary),filters:!(),index:'emp_*',interval:auto,query:(query_string:(analyze_wildcard:!t,query:'%22rtdc.l.rtdc.4051%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714</v>
      </c>
      <c r="B175" s="7">
        <v>4051</v>
      </c>
      <c r="C175" s="21" t="s">
        <v>194</v>
      </c>
      <c r="D175" s="21" t="s">
        <v>983</v>
      </c>
      <c r="E175" s="13">
        <v>43028.337893518517</v>
      </c>
      <c r="F175" s="13">
        <v>43028.342604166668</v>
      </c>
      <c r="G175" s="7">
        <v>58</v>
      </c>
      <c r="H175" s="21" t="s">
        <v>984</v>
      </c>
      <c r="I175" s="13">
        <v>43028.353900462964</v>
      </c>
      <c r="J175" s="7">
        <v>0</v>
      </c>
      <c r="K175" s="89" t="str">
        <f>IF(ISEVEN(B175),(B175-1)&amp;"/"&amp;B175,B175&amp;"/"&amp;(B175+1))</f>
        <v>4051/4052</v>
      </c>
      <c r="L175" s="185" t="str">
        <f>VLOOKUP(A175,'Trips&amp;Operators'!$C$1:$G$99911,5,FALSE)</f>
        <v>WILLIAMS DONTE</v>
      </c>
      <c r="M175" s="6">
        <f>I175-F175</f>
        <v>1.1296296295768116E-2</v>
      </c>
      <c r="N175" s="7">
        <f>24*60*SUM($M175:$M175)</f>
        <v>16.266666665906087</v>
      </c>
      <c r="O175" s="7"/>
      <c r="P175" s="7"/>
      <c r="Q175" s="22"/>
      <c r="R175" s="174" t="s">
        <v>1055</v>
      </c>
      <c r="S175" s="221">
        <f>1/IF(AG175="EC",12,1)*SUM(U175:U175)</f>
        <v>1</v>
      </c>
      <c r="T175" s="174" t="str">
        <f>IF(ISEVEN(LEFT(AD175,4)),"Southbound","NorthBound")</f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-20T07:06:34-0600',mode:absolute,to:'2017-10-20T09:29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0</v>
      </c>
      <c r="Y175" s="204">
        <f>RIGHT(D175,LEN(D175)-4)/10000</f>
        <v>5.7249999999999996</v>
      </c>
      <c r="Z175" s="204">
        <f>RIGHT(H175,LEN(H175)-4)/10000</f>
        <v>6.8699999999999997E-2</v>
      </c>
      <c r="AA175" s="204">
        <f>ABS(Z175-Y175)</f>
        <v>5.6562999999999999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>VALUE(LEFT(A175,LEN(A175)-3))</f>
        <v>810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s3://rtdc.mdm.uploadarchive.raw/RTDC4051/ "%USERPROFILE%\AppData\Local\Temp\OnboardLogs"\RTDC4051\2017-10-20 --exclude "*" --recursive --include "*20171020*" &amp; "%USERPROFILE%\Documents\GitHub\mrs-test-scripts\Headless Mode &amp; Sideloading\WalkAndUnGZ.bat" "%USERPROFILE%\AppData\Local\Temp\OnboardLogs"\RTDC4051\2017-10-20 &amp; aws s3 cp s3://rtdc.mdm.uploadarchive.raw/RTDC4051/ "%USERPROFILE%\AppData\Local\Temp\OnboardLogs"\RTDC4051\2017-10-21 --exclude "*" --recursive --include "*20171021*" &amp; "%USERPROFILE%\Documents\GitHub\mrs-test-scripts\Headless Mode &amp; Sideloading\WalkAndUnGZ.bat" "%USERPROFILE%\AppData\Local\Temp\OnboardLogs"\RTDC4051\2017-10-21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/stypes="app*4051*20171020*" /stext=" 14:.+((SYSTEM_STATE.+slice.+state.+changed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36"/>
        <v>"%USERPROFILE%\Documents\GitHub\eaglep3\Utilities\RefineRTDCRunTimes.py" --tripid 810-20 --locoid 4051 --swversion DE.1.0.9.0 --startMP 300:57250 --initTime 2017-10-20T08:06:34 --startdatetime 2017-10-20T08:13:21 --delay 58 --endMP 204:687 --enddatetime 2017-10-20T08:29:37 --enforcementcount 0 &gt;&gt;%USERPROFILE%\Documents\GitHub\eaglep3-reporting\EC\2017-10-20-refined-times.txt</v>
      </c>
      <c r="AI175" s="96" t="str">
        <f t="shared" si="37"/>
        <v>echo {"issue":{"subject":"Went active too close to S. Westminster 2S","project_id":79,"tracker_id":40,"status_id":1,"priority_id":2,"assigned_to_id":338,"start_date":"2017-10-20","description":"","custom_fields":[{"id":1,"name":"Subdivision","value":"NW"},{"id":4,"name":"Milepost","value":"0.0687"},{"id":17,"name":"Train ID","value":"810-20"},{"id":16,"name":"Locomotive ID","value":"4051"},{"id":130,"name":"Impact","value":""},{"id":150,"name":"Time of Event (Mountain Time)","value":"08:29:37"},{"id":151,"name":"Denver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38"/>
        <v>start /low /b %USERPROFILE%\Documents\GitHub\eaglep3\Utilities\DownloadLogsFromS3.py --loco 4051 --day 2017-10-20</v>
      </c>
      <c r="AN175" s="151" t="str">
        <f t="shared" si="39"/>
        <v>echo {"issue":{"subject":"Went active too close to S. Westminster 2S","project_id":30,"tracker_id":4,"status_id":1,"priority_id":1,"assigned_to_id":10,"start_date":"2017-10-20","description":"","custom_fields":[{"id":30,"name":"Category","value":"Issue"},{"id":3,"name":"Functional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14:29:37"},{"id":29,"name":"Sharepoint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40"/>
        <v>https://d0f6bd738d7f1b3e5a7ca70fe4ff75f0.us-east-1.aws.found.io/app/kibana#/discover/Steve-Slow-Train-Analysis-(2080s-and-2083s)?_g=(refreshInterval:(display:Off,pause:!f,section:0,value:0),time:(from:'2017-10-20T07:06:34-0600',mode:absolute,to:'2017-10-20T09:29:37-0600'))&amp;_a=(columns:!('Message%20ID',Summary),filters:!(),index:'emp_*',interval:auto,query:(query_string:(analyze_wildcard:!t,query:'%22rtdc.l.rtdc.4051%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715</v>
      </c>
      <c r="B176" s="7">
        <v>4060</v>
      </c>
      <c r="C176" s="21" t="s">
        <v>194</v>
      </c>
      <c r="D176" s="21" t="s">
        <v>985</v>
      </c>
      <c r="E176" s="13">
        <v>43028.333553240744</v>
      </c>
      <c r="F176" s="13">
        <v>43028.340231481481</v>
      </c>
      <c r="G176" s="7">
        <v>69</v>
      </c>
      <c r="H176" s="21" t="s">
        <v>978</v>
      </c>
      <c r="I176" s="13">
        <v>43028.351180555554</v>
      </c>
      <c r="J176" s="7">
        <v>0</v>
      </c>
      <c r="K176" s="89" t="str">
        <f>IF(ISEVEN(B176),(B176-1)&amp;"/"&amp;B176,B176&amp;"/"&amp;(B176+1))</f>
        <v>4059/4060</v>
      </c>
      <c r="L176" s="185" t="str">
        <f>VLOOKUP(A176,'Trips&amp;Operators'!$C$1:$G$99911,5,FALSE)</f>
        <v>HUFFSMITH MONTY</v>
      </c>
      <c r="M176" s="6">
        <f>I176-F176</f>
        <v>1.0949074072414078E-2</v>
      </c>
      <c r="N176" s="7">
        <f>24*60*SUM($M176:$M176)</f>
        <v>15.766666664276272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-10-20T07:00:19-0600',mode:absolute,to:'2017-10-20T09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9.5299999999999996E-2</v>
      </c>
      <c r="Z176" s="204">
        <f>RIGHT(H176,LEN(H176)-4)/10000</f>
        <v>5.8971</v>
      </c>
      <c r="AA176" s="204">
        <f>ABS(Z176-Y176)</f>
        <v>5.8018000000000001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>VALUE(LEFT(A176,LEN(A176)-3))</f>
        <v>811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/stypes="app*4060*20171020*" /stext=" 14:.+((SYSTEM_STATE.+slice.+state.+changed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36"/>
        <v>"%USERPROFILE%\Documents\GitHub\eaglep3\Utilities\RefineRTDCRunTimes.py" --tripid 811-20 --locoid 4060 --swversion DE.1.0.9.0 --startMP 204:953 --initTime 2017-10-20T08:00:19 --startdatetime 2017-10-20T08:09:56 --delay 69 --endMP 300:58971 --enddatetime 2017-10-20T08:25:42 --enforcementcount 0 &gt;&gt;%USERPROFILE%\Documents\GitHub\eaglep3-reporting\EC\2017-10-20-refined-times.txt</v>
      </c>
      <c r="AI176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{"issue":{"subject":"","project_id":79,"tracker_id":40,"status_id":1,"priority_id":2,"assigned_to_id":338,"start_date":"2017-10-20","description":"","custom_fields":[{"id":1,"name":"Subdivision","value":"NW"},{"id":4,"name":"Milepost","value":"5.8971"},{"id":17,"name":"Train ID","value":"811-20"},{"id":16,"name":"Locomotive ID","value":"4060"},{"id":130,"name":"Impact","value":""},{"id":150,"name":"Time of Event (Mountain Time)","value":"08:25:42"},{"id":151,"name":"Denver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38"/>
        <v>start /low /b %USERPROFILE%\Documents\GitHub\eaglep3\Utilities\DownloadLogsFromS3.py --loco 4060 --day 2017-10-20</v>
      </c>
      <c r="AN176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14:25:42"},{"id":29,"name":"Sharepoint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40"/>
        <v>https://d0f6bd738d7f1b3e5a7ca70fe4ff75f0.us-east-1.aws.found.io/app/kibana#/discover/Steve-Slow-Train-Analysis-(2080s-and-2083s)?_g=(refreshInterval:(display:Off,pause:!f,section:0,value:0),time:(from:'2017-10-20T07:00:19-0600',mode:absolute,to:'2017-10-20T09:25:42-0600'))&amp;_a=(columns:!('Message%20ID',Summary),filters:!(),index:'emp_*',interval:auto,query:(query_string:(analyze_wildcard:!t,query:'%22rtdc.l.rtdc.4060%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720</v>
      </c>
      <c r="B177" s="7">
        <v>4059</v>
      </c>
      <c r="C177" s="21" t="s">
        <v>194</v>
      </c>
      <c r="D177" s="21" t="s">
        <v>986</v>
      </c>
      <c r="E177" s="13">
        <v>43028.352824074071</v>
      </c>
      <c r="F177" s="13">
        <v>43028.363252314812</v>
      </c>
      <c r="G177" s="7">
        <v>46</v>
      </c>
      <c r="H177" s="21" t="s">
        <v>984</v>
      </c>
      <c r="I177" s="13">
        <v>43028.37222222222</v>
      </c>
      <c r="J177" s="7">
        <v>0</v>
      </c>
      <c r="K177" s="89" t="str">
        <f>IF(ISEVEN(B177),(B177-1)&amp;"/"&amp;B177,B177&amp;"/"&amp;(B177+1))</f>
        <v>4059/4060</v>
      </c>
      <c r="L177" s="185" t="str">
        <f>VLOOKUP(A177,'Trips&amp;Operators'!$C$1:$G$99911,5,FALSE)</f>
        <v>HUFFSMITH MONTY</v>
      </c>
      <c r="M177" s="6">
        <f>I177-F177</f>
        <v>8.969907408754807E-3</v>
      </c>
      <c r="N177" s="7">
        <f>24*60*SUM($M177:$M177)</f>
        <v>12.916666668606922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-20T07:28:04-0600',mode:absolute,to:'2017-10-20T09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5.8654999999999999</v>
      </c>
      <c r="Z177" s="204">
        <f>RIGHT(H177,LEN(H177)-4)/10000</f>
        <v>6.8699999999999997E-2</v>
      </c>
      <c r="AA177" s="204">
        <f>ABS(Z177-Y177)</f>
        <v>5.7968000000000002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>VALUE(LEFT(A177,LEN(A177)-3))</f>
        <v>812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/stypes="app*4059*20171020*" /stext=" 14:.+((SYSTEM_STATE.+slice.+state.+changed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36"/>
        <v>"%USERPROFILE%\Documents\GitHub\eaglep3\Utilities\RefineRTDCRunTimes.py" --tripid 812-20 --locoid 4059 --swversion DE.1.0.9.0 --startMP 300:58655 --initTime 2017-10-20T08:28:04 --startdatetime 2017-10-20T08:43:05 --delay 46 --endMP 204:687 --enddatetime 2017-10-20T08:56:00 --enforcementcount 0 &gt;&gt;%USERPROFILE%\Documents\GitHub\eaglep3-reporting\EC\2017-10-20-refined-times.txt</v>
      </c>
      <c r="AI177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{"issue":{"subject":"","project_id":79,"tracker_id":40,"status_id":1,"priority_id":2,"assigned_to_id":338,"start_date":"2017-10-20","description":"","custom_fields":[{"id":1,"name":"Subdivision","value":"NW"},{"id":4,"name":"Milepost","value":"0.0687"},{"id":17,"name":"Train ID","value":"812-20"},{"id":16,"name":"Locomotive ID","value":"4059"},{"id":130,"name":"Impact","value":""},{"id":150,"name":"Time of Event (Mountain Time)","value":"08:56:00"},{"id":151,"name":"Denver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38"/>
        <v>start /low /b %USERPROFILE%\Documents\GitHub\eaglep3\Utilities\DownloadLogsFromS3.py --loco 4059 --day 2017-10-20</v>
      </c>
      <c r="AN177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14:56:00"},{"id":29,"name":"Sharepoint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40"/>
        <v>https://d0f6bd738d7f1b3e5a7ca70fe4ff75f0.us-east-1.aws.found.io/app/kibana#/discover/Steve-Slow-Train-Analysis-(2080s-and-2083s)?_g=(refreshInterval:(display:Off,pause:!f,section:0,value:0),time:(from:'2017-10-20T07:28:04-0600',mode:absolute,to:'2017-10-20T09:56:00-0600'))&amp;_a=(columns:!('Message%20ID',Summary),filters:!(),index:'emp_*',interval:auto,query:(query_string:(analyze_wildcard:!t,query:'%22rtdc.l.rtdc.4059%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728</v>
      </c>
      <c r="B178" s="7">
        <v>4060</v>
      </c>
      <c r="C178" s="21" t="s">
        <v>194</v>
      </c>
      <c r="D178" s="21" t="s">
        <v>987</v>
      </c>
      <c r="E178" s="13">
        <v>43028.378796296296</v>
      </c>
      <c r="F178" s="13">
        <v>43028.381435185183</v>
      </c>
      <c r="G178" s="7">
        <v>59</v>
      </c>
      <c r="H178" s="21" t="s">
        <v>988</v>
      </c>
      <c r="I178" s="13">
        <v>43028.3909375</v>
      </c>
      <c r="J178" s="7">
        <v>0</v>
      </c>
      <c r="K178" s="89" t="str">
        <f>IF(ISEVEN(B178),(B178-1)&amp;"/"&amp;B178,B178&amp;"/"&amp;(B178+1))</f>
        <v>4059/4060</v>
      </c>
      <c r="L178" s="185" t="str">
        <f>VLOOKUP(A178,'Trips&amp;Operators'!$C$1:$G$99911,5,FALSE)</f>
        <v>HUFFSMITH MONTY</v>
      </c>
      <c r="M178" s="6">
        <f>I178-F178</f>
        <v>9.5023148169275373E-3</v>
      </c>
      <c r="N178" s="7">
        <f>24*60*SUM($M178:$M178)</f>
        <v>13.683333336375654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-10-20T08:05:28-0600',mode:absolute,to:'2017-10-20T10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9.6500000000000002E-2</v>
      </c>
      <c r="Z178" s="204">
        <f>RIGHT(H178,LEN(H178)-4)/10000</f>
        <v>5.8973000000000004</v>
      </c>
      <c r="AA178" s="204">
        <f>ABS(Z178-Y178)</f>
        <v>5.8008000000000006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>VALUE(LEFT(A178,LEN(A178)-3))</f>
        <v>813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/stypes="app*4060*20171020*" /stext=" 15:.+((SYSTEM_STATE.+slice.+state.+changed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36"/>
        <v>"%USERPROFILE%\Documents\GitHub\eaglep3\Utilities\RefineRTDCRunTimes.py" --tripid 813-20 --locoid 4060 --swversion DE.1.0.9.0 --startMP 204:965 --initTime 2017-10-20T09:05:28 --startdatetime 2017-10-20T09:09:16 --delay 59 --endMP 300:58973 --enddatetime 2017-10-20T09:22:57 --enforcementcount 0 &gt;&gt;%USERPROFILE%\Documents\GitHub\eaglep3-reporting\EC\2017-10-20-refined-times.txt</v>
      </c>
      <c r="AI178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{"issue":{"subject":"","project_id":79,"tracker_id":40,"status_id":1,"priority_id":2,"assigned_to_id":338,"start_date":"2017-10-20","description":"","custom_fields":[{"id":1,"name":"Subdivision","value":"NW"},{"id":4,"name":"Milepost","value":"5.8973"},{"id":17,"name":"Train ID","value":"813-20"},{"id":16,"name":"Locomotive ID","value":"4060"},{"id":130,"name":"Impact","value":""},{"id":150,"name":"Time of Event (Mountain Time)","value":"09:22:57"},{"id":151,"name":"Denver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38"/>
        <v>start /low /b %USERPROFILE%\Documents\GitHub\eaglep3\Utilities\DownloadLogsFromS3.py --loco 4060 --day 2017-10-20</v>
      </c>
      <c r="AN178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15:22:57"},{"id":29,"name":"Sharepoint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40"/>
        <v>https://d0f6bd738d7f1b3e5a7ca70fe4ff75f0.us-east-1.aws.found.io/app/kibana#/discover/Steve-Slow-Train-Analysis-(2080s-and-2083s)?_g=(refreshInterval:(display:Off,pause:!f,section:0,value:0),time:(from:'2017-10-20T08:05:28-0600',mode:absolute,to:'2017-10-20T10:22:57-0600'))&amp;_a=(columns:!('Message%20ID',Summary),filters:!(),index:'emp_*',interval:auto,query:(query_string:(analyze_wildcard:!t,query:'%22rtdc.l.rtdc.4060%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637</v>
      </c>
      <c r="B179" s="7">
        <v>4059</v>
      </c>
      <c r="C179" s="21" t="s">
        <v>194</v>
      </c>
      <c r="D179" s="21" t="s">
        <v>989</v>
      </c>
      <c r="E179" s="13">
        <v>43028.392442129632</v>
      </c>
      <c r="F179" s="13">
        <v>43028.404930555553</v>
      </c>
      <c r="G179" s="7">
        <v>50</v>
      </c>
      <c r="H179" s="21" t="s">
        <v>990</v>
      </c>
      <c r="I179" s="13">
        <v>43028.414722222224</v>
      </c>
      <c r="J179" s="7">
        <v>0</v>
      </c>
      <c r="K179" s="89" t="str">
        <f>IF(ISEVEN(B179),(B179-1)&amp;"/"&amp;B179,B179&amp;"/"&amp;(B179+1))</f>
        <v>4059/4060</v>
      </c>
      <c r="L179" s="185" t="str">
        <f>VLOOKUP(A179,'Trips&amp;Operators'!$C$1:$G$99911,5,FALSE)</f>
        <v>HUFFSMITH MONTY</v>
      </c>
      <c r="M179" s="6">
        <f>I179-F179</f>
        <v>9.7916666709352285E-3</v>
      </c>
      <c r="N179" s="7">
        <f>24*60*SUM($M179:$M179)</f>
        <v>14.100000006146729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-20T08:25:07-0600',mode:absolute,to:'2017-10-20T10:57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5.8653000000000004</v>
      </c>
      <c r="Z179" s="204">
        <f>RIGHT(H179,LEN(H179)-4)/10000</f>
        <v>6.8000000000000005E-2</v>
      </c>
      <c r="AA179" s="204">
        <f>ABS(Z179-Y179)</f>
        <v>5.7973000000000008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>VALUE(LEFT(A179,LEN(A179)-3))</f>
        <v>814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/stypes="app*4059*20171020*" /stext=" 15:.+((SYSTEM_STATE.+slice.+state.+changed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36"/>
        <v>"%USERPROFILE%\Documents\GitHub\eaglep3\Utilities\RefineRTDCRunTimes.py" --tripid 814-20 --locoid 4059 --swversion DE.1.0.9.0 --startMP 300:58653 --initTime 2017-10-20T09:25:07 --startdatetime 2017-10-20T09:43:06 --delay 50 --endMP 204:680 --enddatetime 2017-10-20T09:57:12 --enforcementcount 0 &gt;&gt;%USERPROFILE%\Documents\GitHub\eaglep3-reporting\EC\2017-10-20-refined-times.txt</v>
      </c>
      <c r="AI179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{"issue":{"subject":"","project_id":79,"tracker_id":40,"status_id":1,"priority_id":2,"assigned_to_id":338,"start_date":"2017-10-20","description":"","custom_fields":[{"id":1,"name":"Subdivision","value":"NW"},{"id":4,"name":"Milepost","value":"0.068"},{"id":17,"name":"Train ID","value":"814-20"},{"id":16,"name":"Locomotive ID","value":"4059"},{"id":130,"name":"Impact","value":""},{"id":150,"name":"Time of Event (Mountain Time)","value":"09:57:12"},{"id":151,"name":"Denver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38"/>
        <v>start /low /b %USERPROFILE%\Documents\GitHub\eaglep3\Utilities\DownloadLogsFromS3.py --loco 4059 --day 2017-10-20</v>
      </c>
      <c r="AN179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15:57:12"},{"id":29,"name":"Sharepoint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40"/>
        <v>https://d0f6bd738d7f1b3e5a7ca70fe4ff75f0.us-east-1.aws.found.io/app/kibana#/discover/Steve-Slow-Train-Analysis-(2080s-and-2083s)?_g=(refreshInterval:(display:Off,pause:!f,section:0,value:0),time:(from:'2017-10-20T08:25:07-0600',mode:absolute,to:'2017-10-20T10:57:12-0600'))&amp;_a=(columns:!('Message%20ID',Summary),filters:!(),index:'emp_*',interval:auto,query:(query_string:(analyze_wildcard:!t,query:'%22rtdc.l.rtdc.4059%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737</v>
      </c>
      <c r="B180" s="7">
        <v>4060</v>
      </c>
      <c r="C180" s="21" t="s">
        <v>194</v>
      </c>
      <c r="D180" s="21" t="s">
        <v>624</v>
      </c>
      <c r="E180" s="13">
        <v>43028.417118055557</v>
      </c>
      <c r="F180" s="13">
        <v>43028.42355324074</v>
      </c>
      <c r="G180" s="7">
        <v>50</v>
      </c>
      <c r="H180" s="21" t="s">
        <v>991</v>
      </c>
      <c r="I180" s="13">
        <v>43028.433321759258</v>
      </c>
      <c r="J180" s="7">
        <v>0</v>
      </c>
      <c r="K180" s="89" t="str">
        <f>IF(ISEVEN(B180),(B180-1)&amp;"/"&amp;B180,B180&amp;"/"&amp;(B180+1))</f>
        <v>4059/4060</v>
      </c>
      <c r="L180" s="185" t="str">
        <f>VLOOKUP(A180,'Trips&amp;Operators'!$C$1:$G$99911,5,FALSE)</f>
        <v>HUFFSMITH MONTY</v>
      </c>
      <c r="M180" s="6">
        <f>I180-F180</f>
        <v>9.7685185173759237E-3</v>
      </c>
      <c r="N180" s="7">
        <f>24*60*SUM($M180:$M180)</f>
        <v>14.06666666502133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-20T09:00:39-0600',mode:absolute,to:'2017-10-20T11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0" s="204" t="str">
        <f>IF(AA180&lt;VLOOKUP(AG180,Variables!$AC$3:$AD$8,2,FALSE),"Y","N")</f>
        <v>N</v>
      </c>
      <c r="X180" s="204">
        <f>VALUE(LEFT(AD180,4))-VALUE(LEFT(AD179,4))</f>
        <v>1</v>
      </c>
      <c r="Y180" s="204">
        <f>RIGHT(D180,LEN(D180)-4)/10000</f>
        <v>9.69E-2</v>
      </c>
      <c r="Z180" s="204">
        <f>RIGHT(H180,LEN(H180)-4)/10000</f>
        <v>5.8968999999999996</v>
      </c>
      <c r="AA180" s="204">
        <f>ABS(Z180-Y180)</f>
        <v>5.8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>VALUE(LEFT(A180,LEN(A180)-3))</f>
        <v>815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/stypes="app*4060*20171020*" /stext=" 16:.+((SYSTEM_STATE.+slice.+state.+changed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36"/>
        <v>"%USERPROFILE%\Documents\GitHub\eaglep3\Utilities\RefineRTDCRunTimes.py" --tripid 815-20 --locoid 4060 --swversion DE.1.0.9.0 --startMP 204:969 --initTime 2017-10-20T10:00:39 --startdatetime 2017-10-20T10:09:55 --delay 50 --endMP 300:58969 --enddatetime 2017-10-20T10:23:59 --enforcementcount 0 &gt;&gt;%USERPROFILE%\Documents\GitHub\eaglep3-reporting\EC\2017-10-20-refined-times.txt</v>
      </c>
      <c r="AI180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{"issue":{"subject":"","project_id":79,"tracker_id":40,"status_id":1,"priority_id":2,"assigned_to_id":338,"start_date":"2017-10-20","description":"","custom_fields":[{"id":1,"name":"Subdivision","value":"NW"},{"id":4,"name":"Milepost","value":"5.8969"},{"id":17,"name":"Train ID","value":"815-20"},{"id":16,"name":"Locomotive ID","value":"4060"},{"id":130,"name":"Impact","value":""},{"id":150,"name":"Time of Event (Mountain Time)","value":"10:23:59"},{"id":151,"name":"Denver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38"/>
        <v>start /low /b %USERPROFILE%\Documents\GitHub\eaglep3\Utilities\DownloadLogsFromS3.py --loco 4060 --day 2017-10-20</v>
      </c>
      <c r="AN180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16:23:59"},{"id":29,"name":"Sharepoint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40"/>
        <v>https://d0f6bd738d7f1b3e5a7ca70fe4ff75f0.us-east-1.aws.found.io/app/kibana#/discover/Steve-Slow-Train-Analysis-(2080s-and-2083s)?_g=(refreshInterval:(display:Off,pause:!f,section:0,value:0),time:(from:'2017-10-20T09:00:39-0600',mode:absolute,to:'2017-10-20T11:23:59-0600'))&amp;_a=(columns:!('Message%20ID',Summary),filters:!(),index:'emp_*',interval:auto,query:(query_string:(analyze_wildcard:!t,query:'%22rtdc.l.rtdc.4060%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741</v>
      </c>
      <c r="B181" s="7">
        <v>4059</v>
      </c>
      <c r="C181" s="21" t="s">
        <v>194</v>
      </c>
      <c r="D181" s="21" t="s">
        <v>992</v>
      </c>
      <c r="E181" s="13">
        <v>43028.434351851851</v>
      </c>
      <c r="F181" s="13">
        <v>43028.440567129626</v>
      </c>
      <c r="G181" s="7">
        <v>58</v>
      </c>
      <c r="H181" s="21" t="s">
        <v>993</v>
      </c>
      <c r="I181" s="13">
        <v>43028.456238425926</v>
      </c>
      <c r="J181" s="7">
        <v>0</v>
      </c>
      <c r="K181" s="89" t="str">
        <f>IF(ISEVEN(B181),(B181-1)&amp;"/"&amp;B181,B181&amp;"/"&amp;(B181+1))</f>
        <v>4059/4060</v>
      </c>
      <c r="L181" s="185" t="str">
        <f>VLOOKUP(A181,'Trips&amp;Operators'!$C$1:$G$99911,5,FALSE)</f>
        <v>HUFFSMITH MONTY</v>
      </c>
      <c r="M181" s="6">
        <f>I181-F181</f>
        <v>1.5671296299842652E-2</v>
      </c>
      <c r="N181" s="7">
        <f>24*60*SUM($M181:$M181)</f>
        <v>22.566666671773419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-20T09:25:28-0600',mode:absolute,to:'2017-10-20T11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5.8655999999999997</v>
      </c>
      <c r="Z181" s="204">
        <f>RIGHT(H181,LEN(H181)-4)/10000</f>
        <v>6.5600000000000006E-2</v>
      </c>
      <c r="AA181" s="204">
        <f>ABS(Z181-Y181)</f>
        <v>5.8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>VALUE(LEFT(A181,LEN(A181)-3))</f>
        <v>816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/stypes="app*4059*20171020*" /stext=" 16:.+((SYSTEM_STATE.+slice.+state.+changed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36"/>
        <v>"%USERPROFILE%\Documents\GitHub\eaglep3\Utilities\RefineRTDCRunTimes.py" --tripid 816-20 --locoid 4059 --swversion DE.1.0.9.0 --startMP 300:58656 --initTime 2017-10-20T10:25:28 --startdatetime 2017-10-20T10:34:25 --delay 58 --endMP 204:656 --enddatetime 2017-10-20T10:56:59 --enforcementcount 0 &gt;&gt;%USERPROFILE%\Documents\GitHub\eaglep3-reporting\EC\2017-10-20-refined-times.txt</v>
      </c>
      <c r="AI181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{"issue":{"subject":"","project_id":79,"tracker_id":40,"status_id":1,"priority_id":2,"assigned_to_id":338,"start_date":"2017-10-20","description":"","custom_fields":[{"id":1,"name":"Subdivision","value":"NW"},{"id":4,"name":"Milepost","value":"0.0656"},{"id":17,"name":"Train ID","value":"816-20"},{"id":16,"name":"Locomotive ID","value":"4059"},{"id":130,"name":"Impact","value":""},{"id":150,"name":"Time of Event (Mountain Time)","value":"10:56:59"},{"id":151,"name":"Denver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38"/>
        <v>start /low /b %USERPROFILE%\Documents\GitHub\eaglep3\Utilities\DownloadLogsFromS3.py --loco 4059 --day 2017-10-20</v>
      </c>
      <c r="AN181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16:56:59"},{"id":29,"name":"Sharepoint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40"/>
        <v>https://d0f6bd738d7f1b3e5a7ca70fe4ff75f0.us-east-1.aws.found.io/app/kibana#/discover/Steve-Slow-Train-Analysis-(2080s-and-2083s)?_g=(refreshInterval:(display:Off,pause:!f,section:0,value:0),time:(from:'2017-10-20T09:25:28-0600',mode:absolute,to:'2017-10-20T11:56:59-0600'))&amp;_a=(columns:!('Message%20ID',Summary),filters:!(),index:'emp_*',interval:auto,query:(query_string:(analyze_wildcard:!t,query:'%22rtdc.l.rtdc.4059%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747</v>
      </c>
      <c r="B182" s="7">
        <v>4060</v>
      </c>
      <c r="C182" s="21" t="s">
        <v>194</v>
      </c>
      <c r="D182" s="21" t="s">
        <v>994</v>
      </c>
      <c r="E182" s="13">
        <v>43028.458483796298</v>
      </c>
      <c r="F182" s="13">
        <v>43028.464756944442</v>
      </c>
      <c r="G182" s="7">
        <v>47</v>
      </c>
      <c r="H182" s="21" t="s">
        <v>991</v>
      </c>
      <c r="I182" s="13">
        <v>43028.474537037036</v>
      </c>
      <c r="J182" s="7">
        <v>0</v>
      </c>
      <c r="K182" s="89" t="str">
        <f>IF(ISEVEN(B182),(B182-1)&amp;"/"&amp;B182,B182&amp;"/"&amp;(B182+1))</f>
        <v>4059/4060</v>
      </c>
      <c r="L182" s="185" t="str">
        <f>VLOOKUP(A182,'Trips&amp;Operators'!$C$1:$G$99911,5,FALSE)</f>
        <v>HUFFSMITH MONTY</v>
      </c>
      <c r="M182" s="6">
        <f>I182-F182</f>
        <v>9.7800925941555761E-3</v>
      </c>
      <c r="N182" s="7">
        <f>24*60*SUM($M182:$M182)</f>
        <v>14.08333333558403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-20T10:00:13-0600',mode:absolute,to:'2017-10-20T12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9.7100000000000006E-2</v>
      </c>
      <c r="Z182" s="204">
        <f>RIGHT(H182,LEN(H182)-4)/10000</f>
        <v>5.8968999999999996</v>
      </c>
      <c r="AA182" s="204">
        <f>ABS(Z182-Y182)</f>
        <v>5.7997999999999994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>VALUE(LEFT(A182,LEN(A182)-3))</f>
        <v>817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/stypes="app*4060*20171020*" /stext=" 17:.+((SYSTEM_STATE.+slice.+state.+changed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36"/>
        <v>"%USERPROFILE%\Documents\GitHub\eaglep3\Utilities\RefineRTDCRunTimes.py" --tripid 817-20 --locoid 4060 --swversion DE.1.0.9.0 --startMP 204:971 --initTime 2017-10-20T11:00:13 --startdatetime 2017-10-20T11:09:15 --delay 47 --endMP 300:58969 --enddatetime 2017-10-20T11:23:20 --enforcementcount 0 &gt;&gt;%USERPROFILE%\Documents\GitHub\eaglep3-reporting\EC\2017-10-20-refined-times.txt</v>
      </c>
      <c r="AI182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{"issue":{"subject":"","project_id":79,"tracker_id":40,"status_id":1,"priority_id":2,"assigned_to_id":338,"start_date":"2017-10-20","description":"","custom_fields":[{"id":1,"name":"Subdivision","value":"NW"},{"id":4,"name":"Milepost","value":"5.8969"},{"id":17,"name":"Train ID","value":"817-20"},{"id":16,"name":"Locomotive ID","value":"4060"},{"id":130,"name":"Impact","value":""},{"id":150,"name":"Time of Event (Mountain Time)","value":"11:23:20"},{"id":151,"name":"Denver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38"/>
        <v>start /low /b %USERPROFILE%\Documents\GitHub\eaglep3\Utilities\DownloadLogsFromS3.py --loco 4060 --day 2017-10-20</v>
      </c>
      <c r="AN182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17:23:20"},{"id":29,"name":"Sharepoint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40"/>
        <v>https://d0f6bd738d7f1b3e5a7ca70fe4ff75f0.us-east-1.aws.found.io/app/kibana#/discover/Steve-Slow-Train-Analysis-(2080s-and-2083s)?_g=(refreshInterval:(display:Off,pause:!f,section:0,value:0),time:(from:'2017-10-20T10:00:13-0600',mode:absolute,to:'2017-10-20T12:23:20-0600'))&amp;_a=(columns:!('Message%20ID',Summary),filters:!(),index:'emp_*',interval:auto,query:(query_string:(analyze_wildcard:!t,query:'%22rtdc.l.rtdc.4060%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638</v>
      </c>
      <c r="B183" s="7">
        <v>4059</v>
      </c>
      <c r="C183" s="21" t="s">
        <v>194</v>
      </c>
      <c r="D183" s="21" t="s">
        <v>995</v>
      </c>
      <c r="E183" s="13">
        <v>43028.475798611114</v>
      </c>
      <c r="F183" s="13">
        <v>43028.488263888888</v>
      </c>
      <c r="G183" s="7">
        <v>47</v>
      </c>
      <c r="H183" s="21" t="s">
        <v>996</v>
      </c>
      <c r="I183" s="13">
        <v>43028.495520833334</v>
      </c>
      <c r="J183" s="7">
        <v>0</v>
      </c>
      <c r="K183" s="89" t="str">
        <f>IF(ISEVEN(B183),(B183-1)&amp;"/"&amp;B183,B183&amp;"/"&amp;(B183+1))</f>
        <v>4059/4060</v>
      </c>
      <c r="L183" s="185" t="str">
        <f>VLOOKUP(A183,'Trips&amp;Operators'!$C$1:$G$99911,5,FALSE)</f>
        <v>HUFFSMITH MONTY</v>
      </c>
      <c r="M183" s="6">
        <f>I183-F183</f>
        <v>7.2569444455439225E-3</v>
      </c>
      <c r="N183" s="7">
        <f>24*60*SUM($M183:$M183)</f>
        <v>10.450000001583248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-10-20T10:25:09-0600',mode:absolute,to:'2017-10-20T12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3" s="204" t="str">
        <f>IF(AA183&lt;VLOOKUP(AG183,Variables!$AC$3:$AD$8,2,FALSE),"Y","N")</f>
        <v>Y</v>
      </c>
      <c r="X183" s="204">
        <f>VALUE(LEFT(AD183,4))-VALUE(LEFT(AD182,4))</f>
        <v>1</v>
      </c>
      <c r="Y183" s="204">
        <f>RIGHT(D183,LEN(D183)-4)/10000</f>
        <v>5.8659999999999997</v>
      </c>
      <c r="Z183" s="204">
        <f>RIGHT(H183,LEN(H183)-4)/10000</f>
        <v>0.45760000000000001</v>
      </c>
      <c r="AA183" s="204">
        <f>ABS(Z183-Y183)</f>
        <v>5.4083999999999994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>VALUE(LEFT(A183,LEN(A183)-3))</f>
        <v>818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/stypes="app*4059*20171020*" /stext=" 17:.+((SYSTEM_STATE.+slice.+state.+changed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36"/>
        <v>"%USERPROFILE%\Documents\GitHub\eaglep3\Utilities\RefineRTDCRunTimes.py" --tripid 818-20 --locoid 4059 --swversion DE.1.0.9.0 --startMP 300:58660 --initTime 2017-10-20T11:25:09 --startdatetime 2017-10-20T11:43:06 --delay 47 --endMP 204:4576 --enddatetime 2017-10-20T11:53:33 --enforcementcount 0 &gt;&gt;%USERPROFILE%\Documents\GitHub\eaglep3-reporting\EC\2017-10-20-refined-times.txt</v>
      </c>
      <c r="AI183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{"issue":{"subject":"","project_id":79,"tracker_id":40,"status_id":1,"priority_id":2,"assigned_to_id":338,"start_date":"2017-10-20","description":"","custom_fields":[{"id":1,"name":"Subdivision","value":"NW"},{"id":4,"name":"Milepost","value":"0.4576"},{"id":17,"name":"Train ID","value":"818-20"},{"id":16,"name":"Locomotive ID","value":"4059"},{"id":130,"name":"Impact","value":""},{"id":150,"name":"Time of Event (Mountain Time)","value":"11:53:33"},{"id":151,"name":"Denver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38"/>
        <v>start /low /b %USERPROFILE%\Documents\GitHub\eaglep3\Utilities\DownloadLogsFromS3.py --loco 4059 --day 2017-10-20</v>
      </c>
      <c r="AN183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17:53:33"},{"id":29,"name":"Sharepoint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40"/>
        <v>https://d0f6bd738d7f1b3e5a7ca70fe4ff75f0.us-east-1.aws.found.io/app/kibana#/discover/Steve-Slow-Train-Analysis-(2080s-and-2083s)?_g=(refreshInterval:(display:Off,pause:!f,section:0,value:0),time:(from:'2017-10-20T10:25:09-0600',mode:absolute,to:'2017-10-20T12:53:33-0600'))&amp;_a=(columns:!('Message%20ID',Summary),filters:!(),index:'emp_*',interval:auto,query:(query_string:(analyze_wildcard:!t,query:'%22rtdc.l.rtdc.4059%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760</v>
      </c>
      <c r="B184" s="7">
        <v>4060</v>
      </c>
      <c r="C184" s="21" t="s">
        <v>194</v>
      </c>
      <c r="D184" s="21" t="s">
        <v>620</v>
      </c>
      <c r="E184" s="13">
        <v>43028.500532407408</v>
      </c>
      <c r="F184" s="13">
        <v>43028.50644675926</v>
      </c>
      <c r="G184" s="7">
        <v>47</v>
      </c>
      <c r="H184" s="21" t="s">
        <v>621</v>
      </c>
      <c r="I184" s="13">
        <v>43028.516458333332</v>
      </c>
      <c r="J184" s="7">
        <v>0</v>
      </c>
      <c r="K184" s="89" t="str">
        <f>IF(ISEVEN(B184),(B184-1)&amp;"/"&amp;B184,B184&amp;"/"&amp;(B184+1))</f>
        <v>4059/4060</v>
      </c>
      <c r="L184" s="185" t="str">
        <f>VLOOKUP(A184,'Trips&amp;Operators'!$C$1:$G$99911,5,FALSE)</f>
        <v>HUFFSMITH MONTY</v>
      </c>
      <c r="M184" s="6">
        <f>I184-F184</f>
        <v>1.0011574071540963E-2</v>
      </c>
      <c r="N184" s="7">
        <f>24*60*SUM($M184:$M184)</f>
        <v>14.416666663018987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-10-20T11:00:46-0600',mode:absolute,to:'2017-10-20T13:23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9.7199999999999995E-2</v>
      </c>
      <c r="Z184" s="204">
        <f>RIGHT(H184,LEN(H184)-4)/10000</f>
        <v>5.8975999999999997</v>
      </c>
      <c r="AA184" s="204">
        <f>ABS(Z184-Y184)</f>
        <v>5.8003999999999998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>VALUE(LEFT(A184,LEN(A184)-3))</f>
        <v>819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/stypes="app*4060*20171020*" /stext=" 18:.+((SYSTEM_STATE.+slice.+state.+changed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36"/>
        <v>"%USERPROFILE%\Documents\GitHub\eaglep3\Utilities\RefineRTDCRunTimes.py" --tripid 819-20 --locoid 4060 --swversion DE.1.0.9.0 --startMP 204:972 --initTime 2017-10-20T12:00:46 --startdatetime 2017-10-20T12:09:17 --delay 47 --endMP 300:58976 --enddatetime 2017-10-20T12:23:42 --enforcementcount 0 &gt;&gt;%USERPROFILE%\Documents\GitHub\eaglep3-reporting\EC\2017-10-20-refined-times.txt</v>
      </c>
      <c r="AI184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{"issue":{"subject":"","project_id":79,"tracker_id":40,"status_id":1,"priority_id":2,"assigned_to_id":338,"start_date":"2017-10-20","description":"","custom_fields":[{"id":1,"name":"Subdivision","value":"NW"},{"id":4,"name":"Milepost","value":"5.8976"},{"id":17,"name":"Train ID","value":"819-20"},{"id":16,"name":"Locomotive ID","value":"4060"},{"id":130,"name":"Impact","value":""},{"id":150,"name":"Time of Event (Mountain Time)","value":"12:23:42"},{"id":151,"name":"Denver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38"/>
        <v>start /low /b %USERPROFILE%\Documents\GitHub\eaglep3\Utilities\DownloadLogsFromS3.py --loco 4060 --day 2017-10-20</v>
      </c>
      <c r="AN184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18:23:42"},{"id":29,"name":"Sharepoint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40"/>
        <v>https://d0f6bd738d7f1b3e5a7ca70fe4ff75f0.us-east-1.aws.found.io/app/kibana#/discover/Steve-Slow-Train-Analysis-(2080s-and-2083s)?_g=(refreshInterval:(display:Off,pause:!f,section:0,value:0),time:(from:'2017-10-20T11:00:46-0600',mode:absolute,to:'2017-10-20T13:23:42-0600'))&amp;_a=(columns:!('Message%20ID',Summary),filters:!(),index:'emp_*',interval:auto,query:(query_string:(analyze_wildcard:!t,query:'%22rtdc.l.rtdc.4060%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764</v>
      </c>
      <c r="B185" s="7">
        <v>4059</v>
      </c>
      <c r="C185" s="21" t="s">
        <v>194</v>
      </c>
      <c r="D185" s="21" t="s">
        <v>495</v>
      </c>
      <c r="E185" s="13">
        <v>43028.517893518518</v>
      </c>
      <c r="F185" s="13">
        <v>43028.529930555553</v>
      </c>
      <c r="G185" s="7">
        <v>47</v>
      </c>
      <c r="H185" s="21" t="s">
        <v>997</v>
      </c>
      <c r="I185" s="13">
        <v>43028.538877314815</v>
      </c>
      <c r="J185" s="7">
        <v>0</v>
      </c>
      <c r="K185" s="89" t="str">
        <f>IF(ISEVEN(B185),(B185-1)&amp;"/"&amp;B185,B185&amp;"/"&amp;(B185+1))</f>
        <v>4059/4060</v>
      </c>
      <c r="L185" s="185" t="str">
        <f>VLOOKUP(A185,'Trips&amp;Operators'!$C$1:$G$99911,5,FALSE)</f>
        <v>HUFFSMITH MONTY</v>
      </c>
      <c r="M185" s="6">
        <f>I185-F185</f>
        <v>8.9467592624714598E-3</v>
      </c>
      <c r="N185" s="7">
        <f>24*60*SUM($M185:$M185)</f>
        <v>12.883333337958902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-20T11:25:46-0600',mode:absolute,to:'2017-10-20T13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5.8658000000000001</v>
      </c>
      <c r="Z185" s="204">
        <f>RIGHT(H185,LEN(H185)-4)/10000</f>
        <v>6.8199999999999997E-2</v>
      </c>
      <c r="AA185" s="204">
        <f>ABS(Z185-Y185)</f>
        <v>5.7976000000000001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>VALUE(LEFT(A185,LEN(A185)-3))</f>
        <v>820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/stypes="app*4059*20171020*" /stext=" 18:.+((SYSTEM_STATE.+slice.+state.+changed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36"/>
        <v>"%USERPROFILE%\Documents\GitHub\eaglep3\Utilities\RefineRTDCRunTimes.py" --tripid 820-20 --locoid 4059 --swversion DE.1.0.9.0 --startMP 300:58658 --initTime 2017-10-20T12:25:46 --startdatetime 2017-10-20T12:43:06 --delay 47 --endMP 204:682 --enddatetime 2017-10-20T12:55:59 --enforcementcount 0 &gt;&gt;%USERPROFILE%\Documents\GitHub\eaglep3-reporting\EC\2017-10-20-refined-times.txt</v>
      </c>
      <c r="AI185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{"issue":{"subject":"","project_id":79,"tracker_id":40,"status_id":1,"priority_id":2,"assigned_to_id":338,"start_date":"2017-10-20","description":"","custom_fields":[{"id":1,"name":"Subdivision","value":"NW"},{"id":4,"name":"Milepost","value":"0.0682"},{"id":17,"name":"Train ID","value":"820-20"},{"id":16,"name":"Locomotive ID","value":"4059"},{"id":130,"name":"Impact","value":""},{"id":150,"name":"Time of Event (Mountain Time)","value":"12:55:59"},{"id":151,"name":"Denver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38"/>
        <v>start /low /b %USERPROFILE%\Documents\GitHub\eaglep3\Utilities\DownloadLogsFromS3.py --loco 4059 --day 2017-10-20</v>
      </c>
      <c r="AN185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18:55:59"},{"id":29,"name":"Sharepoint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40"/>
        <v>https://d0f6bd738d7f1b3e5a7ca70fe4ff75f0.us-east-1.aws.found.io/app/kibana#/discover/Steve-Slow-Train-Analysis-(2080s-and-2083s)?_g=(refreshInterval:(display:Off,pause:!f,section:0,value:0),time:(from:'2017-10-20T11:25:46-0600',mode:absolute,to:'2017-10-20T13:55:59-0600'))&amp;_a=(columns:!('Message%20ID',Summary),filters:!(),index:'emp_*',interval:auto,query:(query_string:(analyze_wildcard:!t,query:'%22rtdc.l.rtdc.4059%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769</v>
      </c>
      <c r="B186" s="7">
        <v>4060</v>
      </c>
      <c r="C186" s="21" t="s">
        <v>194</v>
      </c>
      <c r="D186" s="21" t="s">
        <v>998</v>
      </c>
      <c r="E186" s="13">
        <v>43028.541643518518</v>
      </c>
      <c r="F186" s="13">
        <v>43028.548125000001</v>
      </c>
      <c r="G186" s="7">
        <v>455</v>
      </c>
      <c r="H186" s="21" t="s">
        <v>971</v>
      </c>
      <c r="I186" s="13">
        <v>43028.557789351849</v>
      </c>
      <c r="J186" s="7">
        <v>0</v>
      </c>
      <c r="K186" s="89" t="str">
        <f>IF(ISEVEN(B186),(B186-1)&amp;"/"&amp;B186,B186&amp;"/"&amp;(B186+1))</f>
        <v>4059/4060</v>
      </c>
      <c r="L186" s="185" t="str">
        <f>VLOOKUP(A186,'Trips&amp;Operators'!$C$1:$G$99911,5,FALSE)</f>
        <v>BERLING GARY</v>
      </c>
      <c r="M186" s="6">
        <f>I186-F186</f>
        <v>9.6643518481869251E-3</v>
      </c>
      <c r="N186" s="7">
        <f>24*60*SUM($M186:$M186)</f>
        <v>13.916666661389172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-20T11:59:58-0600',mode:absolute,to:'2017-10-20T14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9.6199999999999994E-2</v>
      </c>
      <c r="Z186" s="204">
        <f>RIGHT(H186,LEN(H186)-4)/10000</f>
        <v>5.8978000000000002</v>
      </c>
      <c r="AA186" s="204">
        <f>ABS(Z186-Y186)</f>
        <v>5.8016000000000005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>VALUE(LEFT(A186,LEN(A186)-3))</f>
        <v>821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/stypes="app*4060*20171020*" /stext=" 19:.+((SYSTEM_STATE.+slice.+state.+changed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36"/>
        <v>"%USERPROFILE%\Documents\GitHub\eaglep3\Utilities\RefineRTDCRunTimes.py" --tripid 821-20 --locoid 4060 --swversion DE.1.0.9.0 --startMP 204:962 --initTime 2017-10-20T12:59:58 --startdatetime 2017-10-20T13:09:18 --delay 455 --endMP 300:58978 --enddatetime 2017-10-20T13:23:13 --enforcementcount 0 &gt;&gt;%USERPROFILE%\Documents\GitHub\eaglep3-reporting\EC\2017-10-20-refined-times.txt</v>
      </c>
      <c r="AI186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{"issue":{"subject":"","project_id":79,"tracker_id":40,"status_id":1,"priority_id":2,"assigned_to_id":338,"start_date":"2017-10-20","description":"","custom_fields":[{"id":1,"name":"Subdivision","value":"NW"},{"id":4,"name":"Milepost","value":"5.8978"},{"id":17,"name":"Train ID","value":"821-20"},{"id":16,"name":"Locomotive ID","value":"4060"},{"id":130,"name":"Impact","value":""},{"id":150,"name":"Time of Event (Mountain Time)","value":"13:23:13"},{"id":151,"name":"Denver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38"/>
        <v>start /low /b %USERPROFILE%\Documents\GitHub\eaglep3\Utilities\DownloadLogsFromS3.py --loco 4060 --day 2017-10-20</v>
      </c>
      <c r="AN186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19:23:13"},{"id":29,"name":"Sharepoint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40"/>
        <v>https://d0f6bd738d7f1b3e5a7ca70fe4ff75f0.us-east-1.aws.found.io/app/kibana#/discover/Steve-Slow-Train-Analysis-(2080s-and-2083s)?_g=(refreshInterval:(display:Off,pause:!f,section:0,value:0),time:(from:'2017-10-20T11:59:58-0600',mode:absolute,to:'2017-10-20T14:23:13-0600'))&amp;_a=(columns:!('Message%20ID',Summary),filters:!(),index:'emp_*',interval:auto,query:(query_string:(analyze_wildcard:!t,query:'%22rtdc.l.rtdc.4060%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773</v>
      </c>
      <c r="B187" s="7">
        <v>4059</v>
      </c>
      <c r="C187" s="21" t="s">
        <v>194</v>
      </c>
      <c r="D187" s="21" t="s">
        <v>999</v>
      </c>
      <c r="E187" s="13">
        <v>43028.560081018521</v>
      </c>
      <c r="F187" s="13">
        <v>43028.562511574077</v>
      </c>
      <c r="G187" s="7">
        <v>98</v>
      </c>
      <c r="H187" s="21" t="s">
        <v>1000</v>
      </c>
      <c r="I187" s="13">
        <v>43028.579756944448</v>
      </c>
      <c r="J187" s="7">
        <v>0</v>
      </c>
      <c r="K187" s="89" t="str">
        <f>IF(ISEVEN(B187),(B187-1)&amp;"/"&amp;B187,B187&amp;"/"&amp;(B187+1))</f>
        <v>4059/4060</v>
      </c>
      <c r="L187" s="185" t="str">
        <f>VLOOKUP(A187,'Trips&amp;Operators'!$C$1:$G$99911,5,FALSE)</f>
        <v>BERLING GARY</v>
      </c>
      <c r="M187" s="6">
        <f>I187-F187</f>
        <v>1.7245370370801538E-2</v>
      </c>
      <c r="N187" s="7">
        <f>24*60*SUM($M187:$M187)</f>
        <v>24.833333333954215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-10-20T12:26:31-0600',mode:absolute,to:'2017-10-20T14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5.8663999999999996</v>
      </c>
      <c r="Z187" s="204">
        <f>RIGHT(H187,LEN(H187)-4)/10000</f>
        <v>7.1199999999999999E-2</v>
      </c>
      <c r="AA187" s="204">
        <f>ABS(Z187-Y187)</f>
        <v>5.7951999999999995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>VALUE(LEFT(A187,LEN(A187)-3))</f>
        <v>822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/stypes="app*4059*20171020*" /stext=" 19:.+((SYSTEM_STATE.+slice.+state.+changed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36"/>
        <v>"%USERPROFILE%\Documents\GitHub\eaglep3\Utilities\RefineRTDCRunTimes.py" --tripid 822-20 --locoid 4059 --swversion DE.1.0.9.0 --startMP 300:58664 --initTime 2017-10-20T13:26:31 --startdatetime 2017-10-20T13:30:01 --delay 98 --endMP 204:712 --enddatetime 2017-10-20T13:54:51 --enforcementcount 0 &gt;&gt;%USERPROFILE%\Documents\GitHub\eaglep3-reporting\EC\2017-10-20-refined-times.txt</v>
      </c>
      <c r="AI187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{"issue":{"subject":"","project_id":79,"tracker_id":40,"status_id":1,"priority_id":2,"assigned_to_id":338,"start_date":"2017-10-20","description":"","custom_fields":[{"id":1,"name":"Subdivision","value":"NW"},{"id":4,"name":"Milepost","value":"0.0712"},{"id":17,"name":"Train ID","value":"822-20"},{"id":16,"name":"Locomotive ID","value":"4059"},{"id":130,"name":"Impact","value":""},{"id":150,"name":"Time of Event (Mountain Time)","value":"13:54:51"},{"id":151,"name":"Denver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38"/>
        <v>start /low /b %USERPROFILE%\Documents\GitHub\eaglep3\Utilities\DownloadLogsFromS3.py --loco 4059 --day 2017-10-20</v>
      </c>
      <c r="AN187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19:54:51"},{"id":29,"name":"Sharepoint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40"/>
        <v>https://d0f6bd738d7f1b3e5a7ca70fe4ff75f0.us-east-1.aws.found.io/app/kibana#/discover/Steve-Slow-Train-Analysis-(2080s-and-2083s)?_g=(refreshInterval:(display:Off,pause:!f,section:0,value:0),time:(from:'2017-10-20T12:26:31-0600',mode:absolute,to:'2017-10-20T14:54:51-0600'))&amp;_a=(columns:!('Message%20ID',Summary),filters:!(),index:'emp_*',interval:auto,query:(query_string:(analyze_wildcard:!t,query:'%22rtdc.l.rtdc.4059%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776</v>
      </c>
      <c r="B188" s="7">
        <v>4060</v>
      </c>
      <c r="C188" s="21" t="s">
        <v>194</v>
      </c>
      <c r="D188" s="21" t="s">
        <v>625</v>
      </c>
      <c r="E188" s="13">
        <v>43028.584780092591</v>
      </c>
      <c r="F188" s="13">
        <v>43028.589745370373</v>
      </c>
      <c r="G188" s="7">
        <v>73</v>
      </c>
      <c r="H188" s="21" t="s">
        <v>988</v>
      </c>
      <c r="I188" s="13">
        <v>43028.600254629629</v>
      </c>
      <c r="J188" s="7">
        <v>0</v>
      </c>
      <c r="K188" s="89" t="str">
        <f>IF(ISEVEN(B188),(B188-1)&amp;"/"&amp;B188,B188&amp;"/"&amp;(B188+1))</f>
        <v>4059/4060</v>
      </c>
      <c r="L188" s="185" t="str">
        <f>VLOOKUP(A188,'Trips&amp;Operators'!$C$1:$G$99911,5,FALSE)</f>
        <v>BERLING GARY</v>
      </c>
      <c r="M188" s="6">
        <f>I188-F188</f>
        <v>1.0509259256650694E-2</v>
      </c>
      <c r="N188" s="7">
        <f>24*60*SUM($M188:$M188)</f>
        <v>15.133333329576999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-20T13:02:05-0600',mode:absolute,to:'2017-10-20T15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0.1002</v>
      </c>
      <c r="Z188" s="204">
        <f>RIGHT(H188,LEN(H188)-4)/10000</f>
        <v>5.8973000000000004</v>
      </c>
      <c r="AA188" s="204">
        <f>ABS(Z188-Y188)</f>
        <v>5.7971000000000004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>VALUE(LEFT(A188,LEN(A188)-3))</f>
        <v>823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/stypes="app*4060*20171020*" /stext=" 20:.+((SYSTEM_STATE.+slice.+state.+changed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36"/>
        <v>"%USERPROFILE%\Documents\GitHub\eaglep3\Utilities\RefineRTDCRunTimes.py" --tripid 823-20 --locoid 4060 --swversion DE.1.0.9.0 --startMP 204:1002 --initTime 2017-10-20T14:02:05 --startdatetime 2017-10-20T14:09:14 --delay 73 --endMP 300:58973 --enddatetime 2017-10-20T14:24:22 --enforcementcount 0 &gt;&gt;%USERPROFILE%\Documents\GitHub\eaglep3-reporting\EC\2017-10-20-refined-times.txt</v>
      </c>
      <c r="AI188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{"issue":{"subject":"","project_id":79,"tracker_id":40,"status_id":1,"priority_id":2,"assigned_to_id":338,"start_date":"2017-10-20","description":"","custom_fields":[{"id":1,"name":"Subdivision","value":"NW"},{"id":4,"name":"Milepost","value":"5.8973"},{"id":17,"name":"Train ID","value":"823-20"},{"id":16,"name":"Locomotive ID","value":"4060"},{"id":130,"name":"Impact","value":""},{"id":150,"name":"Time of Event (Mountain Time)","value":"14:24:22"},{"id":151,"name":"Denver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38"/>
        <v>start /low /b %USERPROFILE%\Documents\GitHub\eaglep3\Utilities\DownloadLogsFromS3.py --loco 4060 --day 2017-10-20</v>
      </c>
      <c r="AN188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20:24:22"},{"id":29,"name":"Sharepoint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40"/>
        <v>https://d0f6bd738d7f1b3e5a7ca70fe4ff75f0.us-east-1.aws.found.io/app/kibana#/discover/Steve-Slow-Train-Analysis-(2080s-and-2083s)?_g=(refreshInterval:(display:Off,pause:!f,section:0,value:0),time:(from:'2017-10-20T13:02:05-0600',mode:absolute,to:'2017-10-20T15:24:22-0600'))&amp;_a=(columns:!('Message%20ID',Summary),filters:!(),index:'emp_*',interval:auto,query:(query_string:(analyze_wildcard:!t,query:'%22rtdc.l.rtdc.4060%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781</v>
      </c>
      <c r="B189" s="7">
        <v>4059</v>
      </c>
      <c r="C189" s="21" t="s">
        <v>194</v>
      </c>
      <c r="D189" s="21" t="s">
        <v>495</v>
      </c>
      <c r="E189" s="13">
        <v>43028.602847222224</v>
      </c>
      <c r="F189" s="13">
        <v>43028.605104166665</v>
      </c>
      <c r="G189" s="7">
        <v>90</v>
      </c>
      <c r="H189" s="21" t="s">
        <v>969</v>
      </c>
      <c r="I189" s="13">
        <v>43028.621701388889</v>
      </c>
      <c r="J189" s="7">
        <v>0</v>
      </c>
      <c r="K189" s="89" t="str">
        <f>IF(ISEVEN(B189),(B189-1)&amp;"/"&amp;B189,B189&amp;"/"&amp;(B189+1))</f>
        <v>4059/4060</v>
      </c>
      <c r="L189" s="185" t="str">
        <f>VLOOKUP(A189,'Trips&amp;Operators'!$C$1:$G$99911,5,FALSE)</f>
        <v>BERLING GARY</v>
      </c>
      <c r="M189" s="6">
        <f>I189-F189</f>
        <v>1.6597222223936114E-2</v>
      </c>
      <c r="N189" s="7">
        <f>24*60*SUM($M189:$M189)</f>
        <v>23.900000002468005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-20T13:28:06-0600',mode:absolute,to:'2017-10-20T15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5.8658000000000001</v>
      </c>
      <c r="Z189" s="204">
        <f>RIGHT(H189,LEN(H189)-4)/10000</f>
        <v>7.0499999999999993E-2</v>
      </c>
      <c r="AA189" s="204">
        <f>ABS(Z189-Y189)</f>
        <v>5.7953000000000001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>VALUE(LEFT(A189,LEN(A189)-3))</f>
        <v>824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/stypes="app*4059*20171020*" /stext=" 20:.+((SYSTEM_STATE.+slice.+state.+changed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36"/>
        <v>"%USERPROFILE%\Documents\GitHub\eaglep3\Utilities\RefineRTDCRunTimes.py" --tripid 824-20 --locoid 4059 --swversion DE.1.0.9.0 --startMP 300:58658 --initTime 2017-10-20T14:28:06 --startdatetime 2017-10-20T14:31:21 --delay 90 --endMP 204:705 --enddatetime 2017-10-20T14:55:15 --enforcementcount 0 &gt;&gt;%USERPROFILE%\Documents\GitHub\eaglep3-reporting\EC\2017-10-20-refined-times.txt</v>
      </c>
      <c r="AI189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{"issue":{"subject":"","project_id":79,"tracker_id":40,"status_id":1,"priority_id":2,"assigned_to_id":338,"start_date":"2017-10-20","description":"","custom_fields":[{"id":1,"name":"Subdivision","value":"NW"},{"id":4,"name":"Milepost","value":"0.0705"},{"id":17,"name":"Train ID","value":"824-20"},{"id":16,"name":"Locomotive ID","value":"4059"},{"id":130,"name":"Impact","value":""},{"id":150,"name":"Time of Event (Mountain Time)","value":"14:55:15"},{"id":151,"name":"Denver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38"/>
        <v>start /low /b %USERPROFILE%\Documents\GitHub\eaglep3\Utilities\DownloadLogsFromS3.py --loco 4059 --day 2017-10-20</v>
      </c>
      <c r="AN189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20:55:15"},{"id":29,"name":"Sharepoint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40"/>
        <v>https://d0f6bd738d7f1b3e5a7ca70fe4ff75f0.us-east-1.aws.found.io/app/kibana#/discover/Steve-Slow-Train-Analysis-(2080s-and-2083s)?_g=(refreshInterval:(display:Off,pause:!f,section:0,value:0),time:(from:'2017-10-20T13:28:06-0600',mode:absolute,to:'2017-10-20T15:55:15-0600'))&amp;_a=(columns:!('Message%20ID',Summary),filters:!(),index:'emp_*',interval:auto,query:(query_string:(analyze_wildcard:!t,query:'%22rtdc.l.rtdc.4059%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644</v>
      </c>
      <c r="B190" s="7">
        <v>4060</v>
      </c>
      <c r="C190" s="21" t="s">
        <v>194</v>
      </c>
      <c r="D190" s="21" t="s">
        <v>628</v>
      </c>
      <c r="E190" s="13">
        <v>43028.627789351849</v>
      </c>
      <c r="F190" s="13">
        <v>43028.631423611114</v>
      </c>
      <c r="G190" s="7">
        <v>67</v>
      </c>
      <c r="H190" s="21" t="s">
        <v>1001</v>
      </c>
      <c r="I190" s="13">
        <v>43028.641805555555</v>
      </c>
      <c r="J190" s="7">
        <v>0</v>
      </c>
      <c r="K190" s="89" t="str">
        <f>IF(ISEVEN(B190),(B190-1)&amp;"/"&amp;B190,B190&amp;"/"&amp;(B190+1))</f>
        <v>4059/4060</v>
      </c>
      <c r="L190" s="185" t="str">
        <f>VLOOKUP(A190,'Trips&amp;Operators'!$C$1:$G$99911,5,FALSE)</f>
        <v>BERLING GARY</v>
      </c>
      <c r="M190" s="6">
        <f>I190-F190</f>
        <v>1.0381944441178348E-2</v>
      </c>
      <c r="N190" s="7">
        <f>24*60*SUM($M190:$M190)</f>
        <v>14.949999995296821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-20T14:04:01-0600',mode:absolute,to:'2017-10-20T16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9.9199999999999997E-2</v>
      </c>
      <c r="Z190" s="204">
        <f>RIGHT(H190,LEN(H190)-4)/10000</f>
        <v>5.8917999999999999</v>
      </c>
      <c r="AA190" s="204">
        <f>ABS(Z190-Y190)</f>
        <v>5.7926000000000002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>VALUE(LEFT(A190,LEN(A190)-3))</f>
        <v>825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/stypes="app*4060*20171020*" /stext=" 21:.+((SYSTEM_STATE.+slice.+state.+changed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36"/>
        <v>"%USERPROFILE%\Documents\GitHub\eaglep3\Utilities\RefineRTDCRunTimes.py" --tripid 825-20 --locoid 4060 --swversion DE.1.0.9.0 --startMP 204:992 --initTime 2017-10-20T15:04:01 --startdatetime 2017-10-20T15:09:15 --delay 67 --endMP 300:58918 --enddatetime 2017-10-20T15:24:12 --enforcementcount 0 &gt;&gt;%USERPROFILE%\Documents\GitHub\eaglep3-reporting\EC\2017-10-20-refined-times.txt</v>
      </c>
      <c r="AI190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{"issue":{"subject":"","project_id":79,"tracker_id":40,"status_id":1,"priority_id":2,"assigned_to_id":338,"start_date":"2017-10-20","description":"","custom_fields":[{"id":1,"name":"Subdivision","value":"NW"},{"id":4,"name":"Milepost","value":"5.8918"},{"id":17,"name":"Train ID","value":"825-20"},{"id":16,"name":"Locomotive ID","value":"4060"},{"id":130,"name":"Impact","value":""},{"id":150,"name":"Time of Event (Mountain Time)","value":"15:24:12"},{"id":151,"name":"Denver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38"/>
        <v>start /low /b %USERPROFILE%\Documents\GitHub\eaglep3\Utilities\DownloadLogsFromS3.py --loco 4060 --day 2017-10-20</v>
      </c>
      <c r="AN190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21:24:12"},{"id":29,"name":"Sharepoint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40"/>
        <v>https://d0f6bd738d7f1b3e5a7ca70fe4ff75f0.us-east-1.aws.found.io/app/kibana#/discover/Steve-Slow-Train-Analysis-(2080s-and-2083s)?_g=(refreshInterval:(display:Off,pause:!f,section:0,value:0),time:(from:'2017-10-20T14:04:01-0600',mode:absolute,to:'2017-10-20T16:24:12-0600'))&amp;_a=(columns:!('Message%20ID',Summary),filters:!(),index:'emp_*',interval:auto,query:(query_string:(analyze_wildcard:!t,query:'%22rtdc.l.rtdc.4060%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790</v>
      </c>
      <c r="B191" s="7">
        <v>4059</v>
      </c>
      <c r="C191" s="21" t="s">
        <v>194</v>
      </c>
      <c r="D191" s="21" t="s">
        <v>1002</v>
      </c>
      <c r="E191" s="13">
        <v>43028.643287037034</v>
      </c>
      <c r="F191" s="13">
        <v>43028.646099537036</v>
      </c>
      <c r="G191" s="7">
        <v>66</v>
      </c>
      <c r="H191" s="21" t="s">
        <v>984</v>
      </c>
      <c r="I191" s="13">
        <v>43028.66333333333</v>
      </c>
      <c r="J191" s="7">
        <v>0</v>
      </c>
      <c r="K191" s="89" t="str">
        <f>IF(ISEVEN(B191),(B191-1)&amp;"/"&amp;B191,B191&amp;"/"&amp;(B191+1))</f>
        <v>4059/4060</v>
      </c>
      <c r="L191" s="185" t="str">
        <f>VLOOKUP(A191,'Trips&amp;Operators'!$C$1:$G$99911,5,FALSE)</f>
        <v>BERLING GARY</v>
      </c>
      <c r="M191" s="6">
        <f>I191-F191</f>
        <v>1.7233796294021886E-2</v>
      </c>
      <c r="N191" s="7">
        <f>24*60*SUM($M191:$M191)</f>
        <v>24.816666663391516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-20T14:26:20-0600',mode:absolute,to:'2017-10-20T16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5.8592000000000004</v>
      </c>
      <c r="Z191" s="204">
        <f>RIGHT(H191,LEN(H191)-4)/10000</f>
        <v>6.8699999999999997E-2</v>
      </c>
      <c r="AA191" s="204">
        <f>ABS(Z191-Y191)</f>
        <v>5.7905000000000006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>VALUE(LEFT(A191,LEN(A191)-3))</f>
        <v>826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/stypes="app*4059*20171020*" /stext=" 21:.+((SYSTEM_STATE.+slice.+state.+changed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36"/>
        <v>"%USERPROFILE%\Documents\GitHub\eaglep3\Utilities\RefineRTDCRunTimes.py" --tripid 826-20 --locoid 4059 --swversion DE.1.0.9.0 --startMP 300:58592 --initTime 2017-10-20T15:26:20 --startdatetime 2017-10-20T15:30:23 --delay 66 --endMP 204:687 --enddatetime 2017-10-20T15:55:12 --enforcementcount 0 &gt;&gt;%USERPROFILE%\Documents\GitHub\eaglep3-reporting\EC\2017-10-20-refined-times.txt</v>
      </c>
      <c r="AI191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{"issue":{"subject":"","project_id":79,"tracker_id":40,"status_id":1,"priority_id":2,"assigned_to_id":338,"start_date":"2017-10-20","description":"","custom_fields":[{"id":1,"name":"Subdivision","value":"NW"},{"id":4,"name":"Milepost","value":"0.0687"},{"id":17,"name":"Train ID","value":"826-20"},{"id":16,"name":"Locomotive ID","value":"4059"},{"id":130,"name":"Impact","value":""},{"id":150,"name":"Time of Event (Mountain Time)","value":"15:55:12"},{"id":151,"name":"Denver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38"/>
        <v>start /low /b %USERPROFILE%\Documents\GitHub\eaglep3\Utilities\DownloadLogsFromS3.py --loco 4059 --day 2017-10-20</v>
      </c>
      <c r="AN191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21:55:12"},{"id":29,"name":"Sharepoint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40"/>
        <v>https://d0f6bd738d7f1b3e5a7ca70fe4ff75f0.us-east-1.aws.found.io/app/kibana#/discover/Steve-Slow-Train-Analysis-(2080s-and-2083s)?_g=(refreshInterval:(display:Off,pause:!f,section:0,value:0),time:(from:'2017-10-20T14:26:20-0600',mode:absolute,to:'2017-10-20T16:55:12-0600'))&amp;_a=(columns:!('Message%20ID',Summary),filters:!(),index:'emp_*',interval:auto,query:(query_string:(analyze_wildcard:!t,query:'%22rtdc.l.rtdc.4059%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791</v>
      </c>
      <c r="B192" s="7">
        <v>4052</v>
      </c>
      <c r="C192" s="21" t="s">
        <v>194</v>
      </c>
      <c r="D192" s="21" t="s">
        <v>620</v>
      </c>
      <c r="E192" s="13">
        <v>43028.65011574074</v>
      </c>
      <c r="F192" s="13">
        <v>43028.652395833335</v>
      </c>
      <c r="G192" s="7">
        <v>81</v>
      </c>
      <c r="H192" s="21" t="s">
        <v>626</v>
      </c>
      <c r="I192" s="13">
        <v>43028.662881944445</v>
      </c>
      <c r="J192" s="7">
        <v>0</v>
      </c>
      <c r="K192" s="89" t="str">
        <f>IF(ISEVEN(B192),(B192-1)&amp;"/"&amp;B192,B192&amp;"/"&amp;(B192+1))</f>
        <v>4051/4052</v>
      </c>
      <c r="L192" s="185" t="str">
        <f>VLOOKUP(A192,'Trips&amp;Operators'!$C$1:$G$99911,5,FALSE)</f>
        <v>SMITH MICHAEL</v>
      </c>
      <c r="M192" s="6">
        <f>I192-F192</f>
        <v>1.0486111110367347E-2</v>
      </c>
      <c r="N192" s="7">
        <f>24*60*SUM($M192:$M192)</f>
        <v>15.099999998928979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-20T14:36:10-0600',mode:absolute,to:'2017-10-20T16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9.7199999999999995E-2</v>
      </c>
      <c r="Z192" s="204">
        <f>RIGHT(H192,LEN(H192)-4)/10000</f>
        <v>5.8935000000000004</v>
      </c>
      <c r="AA192" s="204">
        <f>ABS(Z192-Y192)</f>
        <v>5.7963000000000005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>VALUE(LEFT(A192,LEN(A192)-3))</f>
        <v>827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s3://rtdc.mdm.uploadarchive.raw/RTDC4052/ "%USERPROFILE%\AppData\Local\Temp\OnboardLogs"\RTDC4052\2017-10-20 --exclude "*" --recursive --include "*20171020*" &amp; "%USERPROFILE%\Documents\GitHub\mrs-test-scripts\Headless Mode &amp; Sideloading\WalkAndUnGZ.bat" "%USERPROFILE%\AppData\Local\Temp\OnboardLogs"\RTDC4052\2017-10-20 &amp; aws s3 cp s3://rtdc.mdm.uploadarchive.raw/RTDC4052/ "%USERPROFILE%\AppData\Local\Temp\OnboardLogs"\RTDC4052\2017-10-21 --exclude "*" --recursive --include "*20171021*" &amp; "%USERPROFILE%\Documents\GitHub\mrs-test-scripts\Headless Mode &amp; Sideloading\WalkAndUnGZ.bat" "%USERPROFILE%\AppData\Local\Temp\OnboardLogs"\RTDC4052\2017-10-21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/stypes="app*4052*20171020*" /stext=" 21:.+((SYSTEM_STATE.+slice.+state.+changed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36"/>
        <v>"%USERPROFILE%\Documents\GitHub\eaglep3\Utilities\RefineRTDCRunTimes.py" --tripid 827-20 --locoid 4052 --swversion DE.1.0.9.0 --startMP 204:972 --initTime 2017-10-20T15:36:10 --startdatetime 2017-10-20T15:39:27 --delay 81 --endMP 300:58935 --enddatetime 2017-10-20T15:54:33 --enforcementcount 0 &gt;&gt;%USERPROFILE%\Documents\GitHub\eaglep3-reporting\EC\2017-10-20-refined-times.txt</v>
      </c>
      <c r="AI192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{"issue":{"subject":"","project_id":79,"tracker_id":40,"status_id":1,"priority_id":2,"assigned_to_id":338,"start_date":"2017-10-20","description":"","custom_fields":[{"id":1,"name":"Subdivision","value":"NW"},{"id":4,"name":"Milepost","value":"5.8935"},{"id":17,"name":"Train ID","value":"827-20"},{"id":16,"name":"Locomotive ID","value":"4052"},{"id":130,"name":"Impact","value":""},{"id":150,"name":"Time of Event (Mountain Time)","value":"15:54:33"},{"id":151,"name":"Denver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38"/>
        <v>start /low /b %USERPROFILE%\Documents\GitHub\eaglep3\Utilities\DownloadLogsFromS3.py --loco 4052 --day 2017-10-20</v>
      </c>
      <c r="AN192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21:54:33"},{"id":29,"name":"Sharepoint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40"/>
        <v>https://d0f6bd738d7f1b3e5a7ca70fe4ff75f0.us-east-1.aws.found.io/app/kibana#/discover/Steve-Slow-Train-Analysis-(2080s-and-2083s)?_g=(refreshInterval:(display:Off,pause:!f,section:0,value:0),time:(from:'2017-10-20T14:36:10-0600',mode:absolute,to:'2017-10-20T16:54:33-0600'))&amp;_a=(columns:!('Message%20ID',Summary),filters:!(),index:'emp_*',interval:auto,query:(query_string:(analyze_wildcard:!t,query:'%22rtdc.l.rtdc.4052%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795</v>
      </c>
      <c r="B193" s="7">
        <v>4051</v>
      </c>
      <c r="C193" s="21" t="s">
        <v>194</v>
      </c>
      <c r="D193" s="21" t="s">
        <v>620</v>
      </c>
      <c r="E193" s="13">
        <v>43028.65011574074</v>
      </c>
      <c r="F193" s="13">
        <v>43028.675833333335</v>
      </c>
      <c r="G193" s="7">
        <v>81</v>
      </c>
      <c r="H193" s="21" t="s">
        <v>626</v>
      </c>
      <c r="I193" s="13">
        <v>43028.684537037036</v>
      </c>
      <c r="J193" s="7">
        <v>0</v>
      </c>
      <c r="K193" s="89" t="str">
        <f>IF(ISEVEN(B193),(B193-1)&amp;"/"&amp;B193,B193&amp;"/"&amp;(B193+1))</f>
        <v>4051/4052</v>
      </c>
      <c r="L193" s="185" t="str">
        <f>VLOOKUP(A193,'Trips&amp;Operators'!$C$1:$G$99911,5,FALSE)</f>
        <v>SMITH MICHAEL</v>
      </c>
      <c r="M193" s="6">
        <f>I193-F193</f>
        <v>8.703703701030463E-3</v>
      </c>
      <c r="N193" s="7">
        <f>24*60*SUM($M193:$M193)</f>
        <v>12.533333329483867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-20T14:36:10-0600',mode:absolute,to:'2017-10-20T17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3" s="204" t="str">
        <f>IF(AA193&lt;VLOOKUP(AG193,Variables!$AC$3:$AD$8,2,FALSE),"Y","N")</f>
        <v>N</v>
      </c>
      <c r="X193" s="204">
        <f t="shared" ref="X193:X194" si="63">VALUE(LEFT(AD193,4))-VALUE(LEFT(AD192,4))</f>
        <v>1</v>
      </c>
      <c r="Y193" s="204">
        <v>5.8592000000000004</v>
      </c>
      <c r="Z193" s="204">
        <v>6.8699999999999997E-2</v>
      </c>
      <c r="AA193" s="204">
        <f>ABS(Z193-Y193)</f>
        <v>5.7905000000000006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>VALUE(LEFT(A193,LEN(A193)-3))</f>
        <v>828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s3://rtdc.mdm.uploadarchive.raw/RTDC4051/ "%USERPROFILE%\AppData\Local\Temp\OnboardLogs"\RTDC4051\2017-10-20 --exclude "*" --recursive --include "*20171020*" &amp; "%USERPROFILE%\Documents\GitHub\mrs-test-scripts\Headless Mode &amp; Sideloading\WalkAndUnGZ.bat" "%USERPROFILE%\AppData\Local\Temp\OnboardLogs"\RTDC4051\2017-10-20 &amp; aws s3 cp s3://rtdc.mdm.uploadarchive.raw/RTDC4051/ "%USERPROFILE%\AppData\Local\Temp\OnboardLogs"\RTDC4051\2017-10-21 --exclude "*" --recursive --include "*20171021*" &amp; "%USERPROFILE%\Documents\GitHub\mrs-test-scripts\Headless Mode &amp; Sideloading\WalkAndUnGZ.bat" "%USERPROFILE%\AppData\Local\Temp\OnboardLogs"\RTDC4051\2017-10-21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/stypes="app*4051*20171020*" /stext=" 22:.+((SYSTEM_STATE.+slice.+state.+changed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ref="AH193" si="64">refinertdcruntimes&amp;" --tripid "&amp;A193&amp;" --locoid "&amp;B193&amp;" --swversion "&amp;C193&amp;" --startMP "&amp;D193&amp;" --initTime "&amp;TEXT(E193,"yyyy-mm-ddTHH:MM:SS")&amp;" --startdatetime "&amp;TEXT(F193,"yyyy-mm-ddTHH:MM:SS")&amp;" --delay "&amp;G193&amp;" --endMP "&amp;H193&amp;" --enddatetime "&amp;TEXT(I193,"yyyy-mm-ddTHH:MM:SS")&amp;" --enforcementcount "&amp;J193&amp;IF(outputrefinedruntimes," &gt;&gt;"&amp;RefinedRTDCRunTimesOutputFile,"")</f>
        <v>"%USERPROFILE%\Documents\GitHub\eaglep3\Utilities\RefineRTDCRunTimes.py" --tripid 828-20 --locoid 4051 --swversion DE.1.0.9.0 --startMP 204:972 --initTime 2017-10-20T15:36:10 --startdatetime 2017-10-20T16:13:12 --delay 81 --endMP 300:58935 --enddatetime 2017-10-20T16:25:44 --enforcementcount 0 &gt;&gt;%USERPROFILE%\Documents\GitHub\eaglep3-reporting\EC\2017-10-20-refined-times.txt</v>
      </c>
      <c r="AI193" s="96" t="str">
        <f t="shared" ref="AI193" si="65">"echo {""issue"":{""subject"":"""&amp;R193&amp;""",""project_id"":79,""tracker_id"":40,""status_id"":"&amp;redmine_status&amp;",""priority_id"":"&amp;redmine_priority&amp;",""assigned_to_id"":"&amp;redmine_assignee&amp;",""start_date"":"""&amp;TEXT(I193,"YYYY-mm-dd")&amp;""",""description"":"""&amp;AJ193&amp;""",""custom_fields"":[{""id"":1,""name"":""Subdivision"",""value"":"""&amp;AG193&amp;"""},{""id"":4,""name"":""Milepost"",""value"":"""&amp;Z193&amp;"""},{""id"":17,""name"":""Train ID"",""value"":"""&amp;A193&amp;"""},{""id"":16,""name"":""Locomotive ID"",""value"":"""&amp;B193&amp;"""},{""id"":130,""name"":""Impact"",""value"":"""&amp;AK193&amp;"""},{""id"":150,""name"":""Time of Event (Mountain Time)"",""value"":"""&amp;TEXT(I193,"hh:mm:ss")&amp;"""},{""id"":151,""name"":""Denver Issue ID"",""value"":"""&amp;"""},{""id"":178,""name"":""Operational Impact"",""value"":"""&amp;redmine_op_impact&amp;"""},{""id"":179,""name"":""Denver Segment Assigned"",""value"":"""&amp;AL193&amp;"""}]}}"&amp;"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{"issue":{"subject":"","project_id":79,"tracker_id":40,"status_id":1,"priority_id":2,"assigned_to_id":338,"start_date":"2017-10-20","description":"","custom_fields":[{"id":1,"name":"Subdivision","value":"NW"},{"id":4,"name":"Milepost","value":"0.0687"},{"id":17,"name":"Train ID","value":"828-20"},{"id":16,"name":"Locomotive ID","value":"4051"},{"id":130,"name":"Impact","value":""},{"id":150,"name":"Time of Event (Mountain Time)","value":"16:25:44"},{"id":151,"name":"Denver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ref="AM193" si="66">"start /low /b "&amp;dls3logs&amp;" --loco "&amp;B193&amp;" --day "&amp;TEXT(F193,"YYYY-MM-DD")</f>
        <v>start /low /b %USERPROFILE%\Documents\GitHub\eaglep3\Utilities\DownloadLogsFromS3.py --loco 4051 --day 2017-10-20</v>
      </c>
      <c r="AN193" s="151" t="str">
        <f t="shared" ref="AN193" si="67">"echo {""issue"":{""subject"":"""&amp;R193&amp;""",""project_id"":30,""tracker_id"":4,""status_id"":"&amp;redmine_status_wcr&amp;",""priority_id"":"&amp;redmine_priority_wcr&amp;",""assigned_to_id"":"&amp;redmine_assignee_wcr&amp;",""start_date"":"""&amp;TEXT(I193-utc_offset/24,"YYYY-mm-dd")&amp;""",""description"":"""&amp;AJ193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22:25:44"},{"id":29,"name":"Sharepoint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ref="AO193" si="68"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Message%20ID',Summary),filters:!(),index:'emp_*',interval:auto,query:"&amp;"(query_string:(analyze_wildcard:!t,query:'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-20T14:36:10-0600',mode:absolute,to:'2017-10-20T17:25:44-0600'))&amp;_a=(columns:!('Message%20ID',Summary),filters:!(),index:'emp_*',interval:auto,query:(query_string:(analyze_wildcard:!t,query:'%22rtdc.l.rtdc.4051%22')),sort:!(Time.ISO8601,asc))</v>
      </c>
    </row>
    <row r="194" spans="1:91" s="20" customFormat="1" x14ac:dyDescent="0.3">
      <c r="A194" s="32" t="s">
        <v>796</v>
      </c>
      <c r="B194" s="7">
        <v>4060</v>
      </c>
      <c r="C194" s="21" t="s">
        <v>194</v>
      </c>
      <c r="D194" s="21" t="s">
        <v>1003</v>
      </c>
      <c r="E194" s="13">
        <v>43028.668379629627</v>
      </c>
      <c r="F194" s="13">
        <v>43028.673078703701</v>
      </c>
      <c r="G194" s="7">
        <v>70</v>
      </c>
      <c r="H194" s="21" t="s">
        <v>1004</v>
      </c>
      <c r="I194" s="13">
        <v>43028.68340277778</v>
      </c>
      <c r="J194" s="7">
        <v>0</v>
      </c>
      <c r="K194" s="89" t="str">
        <f>IF(ISEVEN(B194),(B194-1)&amp;"/"&amp;B194,B194&amp;"/"&amp;(B194+1))</f>
        <v>4059/4060</v>
      </c>
      <c r="L194" s="185" t="str">
        <f>VLOOKUP(A194,'Trips&amp;Operators'!$C$1:$G$99911,5,FALSE)</f>
        <v>BERLING GARY</v>
      </c>
      <c r="M194" s="6">
        <f>I194-F194</f>
        <v>1.0324074079107959E-2</v>
      </c>
      <c r="N194" s="7">
        <f>24*60*SUM($M194:$M194)</f>
        <v>14.866666673915461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-20T15:02:28-0600',mode:absolute,to:'2017-10-20T17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4" s="204" t="str">
        <f>IF(AA194&lt;VLOOKUP(AG194,Variables!$AC$3:$AD$8,2,FALSE),"Y","N")</f>
        <v>N</v>
      </c>
      <c r="X194" s="204">
        <f t="shared" si="63"/>
        <v>1</v>
      </c>
      <c r="Y194" s="204">
        <f>RIGHT(D194,LEN(D194)-4)/10000</f>
        <v>9.9000000000000005E-2</v>
      </c>
      <c r="Z194" s="204">
        <f>RIGHT(H194,LEN(H194)-4)/10000</f>
        <v>5.9005000000000001</v>
      </c>
      <c r="AA194" s="204">
        <f>ABS(Z194-Y194)</f>
        <v>5.8014999999999999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>VALUE(LEFT(A194,LEN(A194)-3))</f>
        <v>829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/stypes="app*4060*20171020*" /stext=" 22:.+((SYSTEM_STATE.+slice.+state.+changed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36"/>
        <v>"%USERPROFILE%\Documents\GitHub\eaglep3\Utilities\RefineRTDCRunTimes.py" --tripid 829-20 --locoid 4060 --swversion DE.1.0.9.0 --startMP 204:990 --initTime 2017-10-20T16:02:28 --startdatetime 2017-10-20T16:09:14 --delay 70 --endMP 300:59005 --enddatetime 2017-10-20T16:24:06 --enforcementcount 0 &gt;&gt;%USERPROFILE%\Documents\GitHub\eaglep3-reporting\EC\2017-10-20-refined-times.txt</v>
      </c>
      <c r="AI194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{"issue":{"subject":"","project_id":79,"tracker_id":40,"status_id":1,"priority_id":2,"assigned_to_id":338,"start_date":"2017-10-20","description":"","custom_fields":[{"id":1,"name":"Subdivision","value":"NW"},{"id":4,"name":"Milepost","value":"5.9005"},{"id":17,"name":"Train ID","value":"829-20"},{"id":16,"name":"Locomotive ID","value":"4060"},{"id":130,"name":"Impact","value":""},{"id":150,"name":"Time of Event (Mountain Time)","value":"16:24:06"},{"id":151,"name":"Denver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38"/>
        <v>start /low /b %USERPROFILE%\Documents\GitHub\eaglep3\Utilities\DownloadLogsFromS3.py --loco 4060 --day 2017-10-20</v>
      </c>
      <c r="AN194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22:24:06"},{"id":29,"name":"Sharepoint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40"/>
        <v>https://d0f6bd738d7f1b3e5a7ca70fe4ff75f0.us-east-1.aws.found.io/app/kibana#/discover/Steve-Slow-Train-Analysis-(2080s-and-2083s)?_g=(refreshInterval:(display:Off,pause:!f,section:0,value:0),time:(from:'2017-10-20T15:02:28-0600',mode:absolute,to:'2017-10-20T17:24:06-0600'))&amp;_a=(columns:!('Message%20ID',Summary),filters:!(),index:'emp_*',interval:auto,query:(query_string:(analyze_wildcard:!t,query:'%22rtdc.l.rtdc.4060%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801</v>
      </c>
      <c r="B195" s="7">
        <v>4059</v>
      </c>
      <c r="C195" s="21" t="s">
        <v>194</v>
      </c>
      <c r="D195" s="21" t="s">
        <v>1005</v>
      </c>
      <c r="E195" s="13">
        <v>43028.684976851851</v>
      </c>
      <c r="F195" s="13">
        <v>43028.696250000001</v>
      </c>
      <c r="G195" s="7">
        <v>75</v>
      </c>
      <c r="H195" s="21" t="s">
        <v>629</v>
      </c>
      <c r="I195" s="13">
        <v>43028.70484953704</v>
      </c>
      <c r="J195" s="7">
        <v>0</v>
      </c>
      <c r="K195" s="89" t="str">
        <f>IF(ISEVEN(B195),(B195-1)&amp;"/"&amp;B195,B195&amp;"/"&amp;(B195+1))</f>
        <v>4059/4060</v>
      </c>
      <c r="L195" s="185" t="str">
        <f>VLOOKUP(A195,'Trips&amp;Operators'!$C$1:$G$99911,5,FALSE)</f>
        <v>BERLING GARY</v>
      </c>
      <c r="M195" s="6">
        <f>I195-F195</f>
        <v>8.599537039117422E-3</v>
      </c>
      <c r="N195" s="7">
        <f>24*60*SUM($M195:$M195)</f>
        <v>12.383333336329088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-20T15:26:22-0600',mode:absolute,to:'2017-10-20T17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5.8686999999999996</v>
      </c>
      <c r="Z195" s="204">
        <f>RIGHT(H195,LEN(H195)-4)/10000</f>
        <v>7.1999999999999995E-2</v>
      </c>
      <c r="AA195" s="204">
        <f>ABS(Z195-Y195)</f>
        <v>5.7966999999999995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>VALUE(LEFT(A195,LEN(A195)-3))</f>
        <v>830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/stypes="app*4059*20171020*" /stext=" 22:.+((SYSTEM_STATE.+slice.+state.+changed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36"/>
        <v>"%USERPROFILE%\Documents\GitHub\eaglep3\Utilities\RefineRTDCRunTimes.py" --tripid 830-20 --locoid 4059 --swversion DE.1.0.9.0 --startMP 300:58687 --initTime 2017-10-20T16:26:22 --startdatetime 2017-10-20T16:42:36 --delay 75 --endMP 204:720 --enddatetime 2017-10-20T16:54:59 --enforcementcount 0 &gt;&gt;%USERPROFILE%\Documents\GitHub\eaglep3-reporting\EC\2017-10-20-refined-times.txt</v>
      </c>
      <c r="AI195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{"issue":{"subject":"","project_id":79,"tracker_id":40,"status_id":1,"priority_id":2,"assigned_to_id":338,"start_date":"2017-10-20","description":"","custom_fields":[{"id":1,"name":"Subdivision","value":"NW"},{"id":4,"name":"Milepost","value":"0.072"},{"id":17,"name":"Train ID","value":"830-20"},{"id":16,"name":"Locomotive ID","value":"4059"},{"id":130,"name":"Impact","value":""},{"id":150,"name":"Time of Event (Mountain Time)","value":"16:54:59"},{"id":151,"name":"Denver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38"/>
        <v>start /low /b %USERPROFILE%\Documents\GitHub\eaglep3\Utilities\DownloadLogsFromS3.py --loco 4059 --day 2017-10-20</v>
      </c>
      <c r="AN195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22:54:59"},{"id":29,"name":"Sharepoint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40"/>
        <v>https://d0f6bd738d7f1b3e5a7ca70fe4ff75f0.us-east-1.aws.found.io/app/kibana#/discover/Steve-Slow-Train-Analysis-(2080s-and-2083s)?_g=(refreshInterval:(display:Off,pause:!f,section:0,value:0),time:(from:'2017-10-20T15:26:22-0600',mode:absolute,to:'2017-10-20T17:54:59-0600'))&amp;_a=(columns:!('Message%20ID',Summary),filters:!(),index:'emp_*',interval:auto,query:(query_string:(analyze_wildcard:!t,query:'%22rtdc.l.rtdc.4059%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802</v>
      </c>
      <c r="B196" s="7">
        <v>4052</v>
      </c>
      <c r="C196" s="21" t="s">
        <v>194</v>
      </c>
      <c r="D196" s="21" t="s">
        <v>1006</v>
      </c>
      <c r="E196" s="13">
        <v>43028.686157407406</v>
      </c>
      <c r="F196" s="13">
        <v>43028.69394675926</v>
      </c>
      <c r="G196" s="7">
        <v>57</v>
      </c>
      <c r="H196" s="21" t="s">
        <v>1007</v>
      </c>
      <c r="I196" s="13">
        <v>43028.703935185185</v>
      </c>
      <c r="J196" s="7">
        <v>0</v>
      </c>
      <c r="K196" s="89" t="str">
        <f>IF(ISEVEN(B196),(B196-1)&amp;"/"&amp;B196,B196&amp;"/"&amp;(B196+1))</f>
        <v>4051/4052</v>
      </c>
      <c r="L196" s="185" t="str">
        <f>VLOOKUP(A196,'Trips&amp;Operators'!$C$1:$G$99911,5,FALSE)</f>
        <v>SMITH MICHAEL</v>
      </c>
      <c r="M196" s="6">
        <f>I196-F196</f>
        <v>9.9884259252576157E-3</v>
      </c>
      <c r="N196" s="7">
        <f>24*60*SUM($M196:$M196)</f>
        <v>14.383333332370967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-20T15:28:04-0600',mode:absolute,to:'2017-10-20T17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6" s="204" t="str">
        <f>IF(AA196&lt;VLOOKUP(AG196,Variables!$AC$3:$AD$8,2,FALSE),"Y","N")</f>
        <v>N</v>
      </c>
      <c r="X196" s="204">
        <f>VALUE(LEFT(AD196,4))-VALUE(LEFT(AD195,4))</f>
        <v>1</v>
      </c>
      <c r="Y196" s="204">
        <f>RIGHT(D196,LEN(D196)-4)/10000</f>
        <v>9.74E-2</v>
      </c>
      <c r="Z196" s="204">
        <f>RIGHT(H196,LEN(H196)-4)/10000</f>
        <v>5.8928000000000003</v>
      </c>
      <c r="AA196" s="204">
        <f>ABS(Z196-Y196)</f>
        <v>5.7953999999999999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>VALUE(LEFT(A196,LEN(A196)-3))</f>
        <v>831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s3://rtdc.mdm.uploadarchive.raw/RTDC4052/ "%USERPROFILE%\AppData\Local\Temp\OnboardLogs"\RTDC4052\2017-10-20 --exclude "*" --recursive --include "*20171020*" &amp; "%USERPROFILE%\Documents\GitHub\mrs-test-scripts\Headless Mode &amp; Sideloading\WalkAndUnGZ.bat" "%USERPROFILE%\AppData\Local\Temp\OnboardLogs"\RTDC4052\2017-10-20 &amp; aws s3 cp s3://rtdc.mdm.uploadarchive.raw/RTDC4052/ "%USERPROFILE%\AppData\Local\Temp\OnboardLogs"\RTDC4052\2017-10-21 --exclude "*" --recursive --include "*20171021*" &amp; "%USERPROFILE%\Documents\GitHub\mrs-test-scripts\Headless Mode &amp; Sideloading\WalkAndUnGZ.bat" "%USERPROFILE%\AppData\Local\Temp\OnboardLogs"\RTDC4052\2017-10-21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/stypes="app*4052*20171020*" /stext=" 22:.+((SYSTEM_STATE.+slice.+state.+changed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36"/>
        <v>"%USERPROFILE%\Documents\GitHub\eaglep3\Utilities\RefineRTDCRunTimes.py" --tripid 831-20 --locoid 4052 --swversion DE.1.0.9.0 --startMP 204:974 --initTime 2017-10-20T16:28:04 --startdatetime 2017-10-20T16:39:17 --delay 57 --endMP 300:58928 --enddatetime 2017-10-20T16:53:40 --enforcementcount 0 &gt;&gt;%USERPROFILE%\Documents\GitHub\eaglep3-reporting\EC\2017-10-20-refined-times.txt</v>
      </c>
      <c r="AI196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{"issue":{"subject":"","project_id":79,"tracker_id":40,"status_id":1,"priority_id":2,"assigned_to_id":338,"start_date":"2017-10-20","description":"","custom_fields":[{"id":1,"name":"Subdivision","value":"NW"},{"id":4,"name":"Milepost","value":"5.8928"},{"id":17,"name":"Train ID","value":"831-20"},{"id":16,"name":"Locomotive ID","value":"4052"},{"id":130,"name":"Impact","value":""},{"id":150,"name":"Time of Event (Mountain Time)","value":"16:53:40"},{"id":151,"name":"Denver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38"/>
        <v>start /low /b %USERPROFILE%\Documents\GitHub\eaglep3\Utilities\DownloadLogsFromS3.py --loco 4052 --day 2017-10-20</v>
      </c>
      <c r="AN196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22:53:40"},{"id":29,"name":"Sharepoint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40"/>
        <v>https://d0f6bd738d7f1b3e5a7ca70fe4ff75f0.us-east-1.aws.found.io/app/kibana#/discover/Steve-Slow-Train-Analysis-(2080s-and-2083s)?_g=(refreshInterval:(display:Off,pause:!f,section:0,value:0),time:(from:'2017-10-20T15:28:04-0600',mode:absolute,to:'2017-10-20T17:53:40-0600'))&amp;_a=(columns:!('Message%20ID',Summary),filters:!(),index:'emp_*',interval:auto,query:(query_string:(analyze_wildcard:!t,query:'%22rtdc.l.rtdc.4052%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807</v>
      </c>
      <c r="B197" s="7">
        <v>4051</v>
      </c>
      <c r="C197" s="21" t="s">
        <v>194</v>
      </c>
      <c r="D197" s="21" t="s">
        <v>627</v>
      </c>
      <c r="E197" s="13">
        <v>43028.706724537034</v>
      </c>
      <c r="F197" s="13">
        <v>43028.709166666667</v>
      </c>
      <c r="G197" s="7">
        <v>93</v>
      </c>
      <c r="H197" s="21" t="s">
        <v>1008</v>
      </c>
      <c r="I197" s="13">
        <v>43028.725590277776</v>
      </c>
      <c r="J197" s="7">
        <v>0</v>
      </c>
      <c r="K197" s="89" t="str">
        <f>IF(ISEVEN(B197),(B197-1)&amp;"/"&amp;B197,B197&amp;"/"&amp;(B197+1))</f>
        <v>4051/4052</v>
      </c>
      <c r="L197" s="185" t="str">
        <f>VLOOKUP(A197,'Trips&amp;Operators'!$C$1:$G$99911,5,FALSE)</f>
        <v>SMITH MICHAEL</v>
      </c>
      <c r="M197" s="6">
        <f>I197-F197</f>
        <v>1.6423611108621117E-2</v>
      </c>
      <c r="N197" s="7">
        <f>24*60*SUM($M197:$M197)</f>
        <v>23.649999996414408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-20T15:57:41-0600',mode:absolute,to:'2017-10-20T18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7" s="204" t="str">
        <f>IF(AA197&lt;VLOOKUP(AG197,Variables!$AC$3:$AD$8,2,FALSE),"Y","N")</f>
        <v>N</v>
      </c>
      <c r="X197" s="204">
        <f>VALUE(LEFT(AD197,4))-VALUE(LEFT(AD196,4))</f>
        <v>1</v>
      </c>
      <c r="Y197" s="204">
        <f>RIGHT(D197,LEN(D197)-4)/10000</f>
        <v>5.8616999999999999</v>
      </c>
      <c r="Z197" s="204">
        <f>RIGHT(H197,LEN(H197)-4)/10000</f>
        <v>6.8900000000000003E-2</v>
      </c>
      <c r="AA197" s="204">
        <f>ABS(Z197-Y197)</f>
        <v>5.7927999999999997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>VALUE(LEFT(A197,LEN(A197)-3))</f>
        <v>832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s3://rtdc.mdm.uploadarchive.raw/RTDC4051/ "%USERPROFILE%\AppData\Local\Temp\OnboardLogs"\RTDC4051\2017-10-20 --exclude "*" --recursive --include "*20171020*" &amp; "%USERPROFILE%\Documents\GitHub\mrs-test-scripts\Headless Mode &amp; Sideloading\WalkAndUnGZ.bat" "%USERPROFILE%\AppData\Local\Temp\OnboardLogs"\RTDC4051\2017-10-20 &amp; aws s3 cp s3://rtdc.mdm.uploadarchive.raw/RTDC4051/ "%USERPROFILE%\AppData\Local\Temp\OnboardLogs"\RTDC4051\2017-10-21 --exclude "*" --recursive --include "*20171021*" &amp; "%USERPROFILE%\Documents\GitHub\mrs-test-scripts\Headless Mode &amp; Sideloading\WalkAndUnGZ.bat" "%USERPROFILE%\AppData\Local\Temp\OnboardLogs"\RTDC4051\2017-10-21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/stypes="app*4051*20171020*" /stext=" 23:.+((SYSTEM_STATE.+slice.+state.+changed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36"/>
        <v>"%USERPROFILE%\Documents\GitHub\eaglep3\Utilities\RefineRTDCRunTimes.py" --tripid 832-20 --locoid 4051 --swversion DE.1.0.9.0 --startMP 300:58617 --initTime 2017-10-20T16:57:41 --startdatetime 2017-10-20T17:01:12 --delay 93 --endMP 204:689 --enddatetime 2017-10-20T17:24:51 --enforcementcount 0 &gt;&gt;%USERPROFILE%\Documents\GitHub\eaglep3-reporting\EC\2017-10-20-refined-times.txt</v>
      </c>
      <c r="AI197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{"issue":{"subject":"","project_id":79,"tracker_id":40,"status_id":1,"priority_id":2,"assigned_to_id":338,"start_date":"2017-10-20","description":"","custom_fields":[{"id":1,"name":"Subdivision","value":"NW"},{"id":4,"name":"Milepost","value":"0.0689"},{"id":17,"name":"Train ID","value":"832-20"},{"id":16,"name":"Locomotive ID","value":"4051"},{"id":130,"name":"Impact","value":""},{"id":150,"name":"Time of Event (Mountain Time)","value":"17:24:51"},{"id":151,"name":"Denver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38"/>
        <v>start /low /b %USERPROFILE%\Documents\GitHub\eaglep3\Utilities\DownloadLogsFromS3.py --loco 4051 --day 2017-10-20</v>
      </c>
      <c r="AN197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23:24:51"},{"id":29,"name":"Sharepoint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40"/>
        <v>https://d0f6bd738d7f1b3e5a7ca70fe4ff75f0.us-east-1.aws.found.io/app/kibana#/discover/Steve-Slow-Train-Analysis-(2080s-and-2083s)?_g=(refreshInterval:(display:Off,pause:!f,section:0,value:0),time:(from:'2017-10-20T15:57:41-0600',mode:absolute,to:'2017-10-20T18:24:51-0600'))&amp;_a=(columns:!('Message%20ID',Summary),filters:!(),index:'emp_*',interval:auto,query:(query_string:(analyze_wildcard:!t,query:'%22rtdc.l.rtdc.4051%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808</v>
      </c>
      <c r="B198" s="7">
        <v>4060</v>
      </c>
      <c r="C198" s="21" t="s">
        <v>194</v>
      </c>
      <c r="D198" s="21" t="s">
        <v>628</v>
      </c>
      <c r="E198" s="13">
        <v>43028.710416666669</v>
      </c>
      <c r="F198" s="13">
        <v>43028.715138888889</v>
      </c>
      <c r="G198" s="7">
        <v>88</v>
      </c>
      <c r="H198" s="21" t="s">
        <v>1009</v>
      </c>
      <c r="I198" s="13">
        <v>43028.725763888891</v>
      </c>
      <c r="J198" s="7">
        <v>0</v>
      </c>
      <c r="K198" s="89" t="str">
        <f>IF(ISEVEN(B198),(B198-1)&amp;"/"&amp;B198,B198&amp;"/"&amp;(B198+1))</f>
        <v>4059/4060</v>
      </c>
      <c r="L198" s="185" t="str">
        <f>VLOOKUP(A198,'Trips&amp;Operators'!$C$1:$G$99911,5,FALSE)</f>
        <v>BERLING GARY</v>
      </c>
      <c r="M198" s="6">
        <f>I198-F198</f>
        <v>1.0625000002619345E-2</v>
      </c>
      <c r="N198" s="7">
        <f>24*60*SUM($M198:$M198)</f>
        <v>15.300000003771856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-20T16:03:00-0600',mode:absolute,to:'2017-10-20T18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f>RIGHT(D198,LEN(D198)-4)/10000</f>
        <v>9.9199999999999997E-2</v>
      </c>
      <c r="Z198" s="204">
        <f>RIGHT(H198,LEN(H198)-4)/10000</f>
        <v>5.8964999999999996</v>
      </c>
      <c r="AA198" s="204">
        <f>ABS(Z198-Y198)</f>
        <v>5.7972999999999999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>VALUE(LEFT(A198,LEN(A198)-3))</f>
        <v>833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/stypes="app*4060*20171020*" /stext=" 23:.+((SYSTEM_STATE.+slice.+state.+changed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36"/>
        <v>"%USERPROFILE%\Documents\GitHub\eaglep3\Utilities\RefineRTDCRunTimes.py" --tripid 833-20 --locoid 4060 --swversion DE.1.0.9.0 --startMP 204:992 --initTime 2017-10-20T17:03:00 --startdatetime 2017-10-20T17:09:48 --delay 88 --endMP 300:58965 --enddatetime 2017-10-20T17:25:06 --enforcementcount 0 &gt;&gt;%USERPROFILE%\Documents\GitHub\eaglep3-reporting\EC\2017-10-20-refined-times.txt</v>
      </c>
      <c r="AI198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{"issue":{"subject":"","project_id":79,"tracker_id":40,"status_id":1,"priority_id":2,"assigned_to_id":338,"start_date":"2017-10-20","description":"","custom_fields":[{"id":1,"name":"Subdivision","value":"NW"},{"id":4,"name":"Milepost","value":"5.8965"},{"id":17,"name":"Train ID","value":"833-20"},{"id":16,"name":"Locomotive ID","value":"4060"},{"id":130,"name":"Impact","value":""},{"id":150,"name":"Time of Event (Mountain Time)","value":"17:25:06"},{"id":151,"name":"Denver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38"/>
        <v>start /low /b %USERPROFILE%\Documents\GitHub\eaglep3\Utilities\DownloadLogsFromS3.py --loco 4060 --day 2017-10-20</v>
      </c>
      <c r="AN198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23:25:06"},{"id":29,"name":"Sharepoint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40"/>
        <v>https://d0f6bd738d7f1b3e5a7ca70fe4ff75f0.us-east-1.aws.found.io/app/kibana#/discover/Steve-Slow-Train-Analysis-(2080s-and-2083s)?_g=(refreshInterval:(display:Off,pause:!f,section:0,value:0),time:(from:'2017-10-20T16:03:00-0600',mode:absolute,to:'2017-10-20T18:25:06-0600'))&amp;_a=(columns:!('Message%20ID',Summary),filters:!(),index:'emp_*',interval:auto,query:(query_string:(analyze_wildcard:!t,query:'%22rtdc.l.rtdc.4060%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649</v>
      </c>
      <c r="B199" s="7">
        <v>4059</v>
      </c>
      <c r="C199" s="21" t="s">
        <v>194</v>
      </c>
      <c r="D199" s="21" t="s">
        <v>499</v>
      </c>
      <c r="E199" s="13">
        <v>43028.727500000001</v>
      </c>
      <c r="F199" s="13">
        <v>43028.738020833334</v>
      </c>
      <c r="G199" s="7">
        <v>57</v>
      </c>
      <c r="H199" s="21" t="s">
        <v>1010</v>
      </c>
      <c r="I199" s="13">
        <v>43028.747106481482</v>
      </c>
      <c r="J199" s="7">
        <v>0</v>
      </c>
      <c r="K199" s="89" t="str">
        <f>IF(ISEVEN(B199),(B199-1)&amp;"/"&amp;B199,B199&amp;"/"&amp;(B199+1))</f>
        <v>4059/4060</v>
      </c>
      <c r="L199" s="185" t="str">
        <f>VLOOKUP(A199,'Trips&amp;Operators'!$C$1:$G$99911,5,FALSE)</f>
        <v>BERLING GARY</v>
      </c>
      <c r="M199" s="6">
        <f>I199-F199</f>
        <v>9.0856481474475004E-3</v>
      </c>
      <c r="N199" s="7">
        <f>24*60*SUM($M199:$M199)</f>
        <v>13.083333332324401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-20T16:27:36-0600',mode:absolute,to:'2017-10-20T18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9" s="204" t="str">
        <f>IF(AA199&lt;VLOOKUP(AG199,Variables!$AC$3:$AD$8,2,FALSE),"Y","N")</f>
        <v>N</v>
      </c>
      <c r="X199" s="204">
        <f>VALUE(LEFT(AD199,4))-VALUE(LEFT(AD198,4))</f>
        <v>1</v>
      </c>
      <c r="Y199" s="204">
        <f>RIGHT(D199,LEN(D199)-4)/10000</f>
        <v>5.8644999999999996</v>
      </c>
      <c r="Z199" s="204">
        <f>RIGHT(H199,LEN(H199)-4)/10000</f>
        <v>7.0999999999999994E-2</v>
      </c>
      <c r="AA199" s="204">
        <f>ABS(Z199-Y199)</f>
        <v>5.7934999999999999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>VALUE(LEFT(A199,LEN(A199)-3))</f>
        <v>834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/stypes="app*4059*20171020*" /stext=" 23:.+((SYSTEM_STATE.+slice.+state.+changed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36"/>
        <v>"%USERPROFILE%\Documents\GitHub\eaglep3\Utilities\RefineRTDCRunTimes.py" --tripid 834-20 --locoid 4059 --swversion DE.1.0.9.0 --startMP 300:58645 --initTime 2017-10-20T17:27:36 --startdatetime 2017-10-20T17:42:45 --delay 57 --endMP 204:710 --enddatetime 2017-10-20T17:55:50 --enforcementcount 0 &gt;&gt;%USERPROFILE%\Documents\GitHub\eaglep3-reporting\EC\2017-10-20-refined-times.txt</v>
      </c>
      <c r="AI199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{"issue":{"subject":"","project_id":79,"tracker_id":40,"status_id":1,"priority_id":2,"assigned_to_id":338,"start_date":"2017-10-20","description":"","custom_fields":[{"id":1,"name":"Subdivision","value":"NW"},{"id":4,"name":"Milepost","value":"0.071"},{"id":17,"name":"Train ID","value":"834-20"},{"id":16,"name":"Locomotive ID","value":"4059"},{"id":130,"name":"Impact","value":""},{"id":150,"name":"Time of Event (Mountain Time)","value":"17:55:50"},{"id":151,"name":"Denver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38"/>
        <v>start /low /b %USERPROFILE%\Documents\GitHub\eaglep3\Utilities\DownloadLogsFromS3.py --loco 4059 --day 2017-10-20</v>
      </c>
      <c r="AN199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23:55:50"},{"id":29,"name":"Sharepoint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40"/>
        <v>https://d0f6bd738d7f1b3e5a7ca70fe4ff75f0.us-east-1.aws.found.io/app/kibana#/discover/Steve-Slow-Train-Analysis-(2080s-and-2083s)?_g=(refreshInterval:(display:Off,pause:!f,section:0,value:0),time:(from:'2017-10-20T16:27:36-0600',mode:absolute,to:'2017-10-20T18:55:50-0600'))&amp;_a=(columns:!('Message%20ID',Summary),filters:!(),index:'emp_*',interval:auto,query:(query_string:(analyze_wildcard:!t,query:'%22rtdc.l.rtdc.4059%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814</v>
      </c>
      <c r="B200" s="7">
        <v>4052</v>
      </c>
      <c r="C200" s="21" t="s">
        <v>194</v>
      </c>
      <c r="D200" s="21" t="s">
        <v>970</v>
      </c>
      <c r="E200" s="13">
        <v>43028.728796296295</v>
      </c>
      <c r="F200" s="13">
        <v>43028.736157407409</v>
      </c>
      <c r="G200" s="7">
        <v>61</v>
      </c>
      <c r="H200" s="21" t="s">
        <v>623</v>
      </c>
      <c r="I200" s="13">
        <v>43028.747210648151</v>
      </c>
      <c r="J200" s="7">
        <v>0</v>
      </c>
      <c r="K200" s="89" t="str">
        <f>IF(ISEVEN(B200),(B200-1)&amp;"/"&amp;B200,B200&amp;"/"&amp;(B200+1))</f>
        <v>4051/4052</v>
      </c>
      <c r="L200" s="185" t="str">
        <f>VLOOKUP(A200,'Trips&amp;Operators'!$C$1:$G$99911,5,FALSE)</f>
        <v>SMITH MICHAEL</v>
      </c>
      <c r="M200" s="6">
        <f>I200-F200</f>
        <v>1.1053240741603076E-2</v>
      </c>
      <c r="N200" s="7">
        <f>24*60*SUM($M200:$M200)</f>
        <v>15.91666666790843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-20T16:29:28-0600',mode:absolute,to:'2017-10-20T18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f>RIGHT(D200,LEN(D200)-4)/10000</f>
        <v>9.8100000000000007E-2</v>
      </c>
      <c r="Z200" s="204">
        <f>RIGHT(H200,LEN(H200)-4)/10000</f>
        <v>5.8924000000000003</v>
      </c>
      <c r="AA200" s="204">
        <f>ABS(Z200-Y200)</f>
        <v>5.7943000000000007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>VALUE(LEFT(A200,LEN(A200)-3))</f>
        <v>835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s3://rtdc.mdm.uploadarchive.raw/RTDC4052/ "%USERPROFILE%\AppData\Local\Temp\OnboardLogs"\RTDC4052\2017-10-20 --exclude "*" --recursive --include "*20171020*" &amp; "%USERPROFILE%\Documents\GitHub\mrs-test-scripts\Headless Mode &amp; Sideloading\WalkAndUnGZ.bat" "%USERPROFILE%\AppData\Local\Temp\OnboardLogs"\RTDC4052\2017-10-20 &amp; aws s3 cp s3://rtdc.mdm.uploadarchive.raw/RTDC4052/ "%USERPROFILE%\AppData\Local\Temp\OnboardLogs"\RTDC4052\2017-10-21 --exclude "*" --recursive --include "*20171021*" &amp; "%USERPROFILE%\Documents\GitHub\mrs-test-scripts\Headless Mode &amp; Sideloading\WalkAndUnGZ.bat" "%USERPROFILE%\AppData\Local\Temp\OnboardLogs"\RTDC4052\2017-10-21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/stypes="app*4052*20171020*" /stext=" 23:.+((SYSTEM_STATE.+slice.+state.+changed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36"/>
        <v>"%USERPROFILE%\Documents\GitHub\eaglep3\Utilities\RefineRTDCRunTimes.py" --tripid 835-20 --locoid 4052 --swversion DE.1.0.9.0 --startMP 204:981 --initTime 2017-10-20T17:29:28 --startdatetime 2017-10-20T17:40:04 --delay 61 --endMP 300:58924 --enddatetime 2017-10-20T17:55:59 --enforcementcount 0 &gt;&gt;%USERPROFILE%\Documents\GitHub\eaglep3-reporting\EC\2017-10-20-refined-times.txt</v>
      </c>
      <c r="AI200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{"issue":{"subject":"","project_id":79,"tracker_id":40,"status_id":1,"priority_id":2,"assigned_to_id":338,"start_date":"2017-10-20","description":"","custom_fields":[{"id":1,"name":"Subdivision","value":"NW"},{"id":4,"name":"Milepost","value":"5.8924"},{"id":17,"name":"Train ID","value":"835-20"},{"id":16,"name":"Locomotive ID","value":"4052"},{"id":130,"name":"Impact","value":""},{"id":150,"name":"Time of Event (Mountain Time)","value":"17:55:59"},{"id":151,"name":"Denver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38"/>
        <v>start /low /b %USERPROFILE%\Documents\GitHub\eaglep3\Utilities\DownloadLogsFromS3.py --loco 4052 --day 2017-10-20</v>
      </c>
      <c r="AN200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23:55:59"},{"id":29,"name":"Sharepoint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40"/>
        <v>https://d0f6bd738d7f1b3e5a7ca70fe4ff75f0.us-east-1.aws.found.io/app/kibana#/discover/Steve-Slow-Train-Analysis-(2080s-and-2083s)?_g=(refreshInterval:(display:Off,pause:!f,section:0,value:0),time:(from:'2017-10-20T16:29:28-0600',mode:absolute,to:'2017-10-20T18:55:59-0600'))&amp;_a=(columns:!('Message%20ID',Summary),filters:!(),index:'emp_*',interval:auto,query:(query_string:(analyze_wildcard:!t,query:'%22rtdc.l.rtdc.4052%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650</v>
      </c>
      <c r="B201" s="7">
        <v>4051</v>
      </c>
      <c r="C201" s="21" t="s">
        <v>194</v>
      </c>
      <c r="D201" s="21" t="s">
        <v>970</v>
      </c>
      <c r="E201" s="13">
        <v>43028.728796296295</v>
      </c>
      <c r="F201" s="13">
        <v>43028.75917824074</v>
      </c>
      <c r="G201" s="7">
        <v>61</v>
      </c>
      <c r="H201" s="21" t="s">
        <v>623</v>
      </c>
      <c r="I201" s="13">
        <v>43028.767708333333</v>
      </c>
      <c r="J201" s="7">
        <v>0</v>
      </c>
      <c r="K201" s="89" t="str">
        <f>IF(ISEVEN(B201),(B201-1)&amp;"/"&amp;B201,B201&amp;"/"&amp;(B201+1))</f>
        <v>4051/4052</v>
      </c>
      <c r="L201" s="185" t="str">
        <f>VLOOKUP(A201,'Trips&amp;Operators'!$C$1:$G$99911,5,FALSE)</f>
        <v>SMITH MICHAEL</v>
      </c>
      <c r="M201" s="6">
        <f>I201-F201</f>
        <v>8.5300925929914229E-3</v>
      </c>
      <c r="N201" s="7">
        <f>24*60*SUM($M201:$M201)</f>
        <v>12.283333333907649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-20T16:29:28-0600',mode:absolute,to:'2017-10-20T19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1" s="204" t="str">
        <f>IF(AA201&lt;VLOOKUP(AG201,Variables!$AC$3:$AD$8,2,FALSE),"Y","N")</f>
        <v>N</v>
      </c>
      <c r="X201" s="204">
        <f t="shared" ref="X201:X205" si="69">VALUE(LEFT(AD201,4))-VALUE(LEFT(AD200,4))</f>
        <v>1</v>
      </c>
      <c r="Y201" s="204">
        <v>5.8644999999999996</v>
      </c>
      <c r="Z201" s="204">
        <v>7.0999999999999994E-2</v>
      </c>
      <c r="AA201" s="204">
        <f>ABS(Z201-Y201)</f>
        <v>5.7934999999999999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>VALUE(LEFT(A201,LEN(A201)-3))</f>
        <v>836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s3://rtdc.mdm.uploadarchive.raw/RTDC4051/ "%USERPROFILE%\AppData\Local\Temp\OnboardLogs"\RTDC4051\2017-10-20 --exclude "*" --recursive --include "*20171020*" &amp; "%USERPROFILE%\Documents\GitHub\mrs-test-scripts\Headless Mode &amp; Sideloading\WalkAndUnGZ.bat" "%USERPROFILE%\AppData\Local\Temp\OnboardLogs"\RTDC4051\2017-10-20 &amp; aws s3 cp s3://rtdc.mdm.uploadarchive.raw/RTDC4051/ "%USERPROFILE%\AppData\Local\Temp\OnboardLogs"\RTDC4051\2017-10-21 --exclude "*" --recursive --include "*20171021*" &amp; "%USERPROFILE%\Documents\GitHub\mrs-test-scripts\Headless Mode &amp; Sideloading\WalkAndUnGZ.bat" "%USERPROFILE%\AppData\Local\Temp\OnboardLogs"\RTDC4051\2017-10-21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/stypes="app*4051*20171021*" /stext=" 00:.+((SYSTEM_STATE.+slice.+state.+changed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ref="AH201" si="70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836-20 --locoid 4051 --swversion DE.1.0.9.0 --startMP 204:981 --initTime 2017-10-20T17:29:28 --startdatetime 2017-10-20T18:13:13 --delay 61 --endMP 300:58924 --enddatetime 2017-10-20T18:25:30 --enforcementcount 0 &gt;&gt;%USERPROFILE%\Documents\GitHub\eaglep3-reporting\EC\2017-10-20-refined-times.txt</v>
      </c>
      <c r="AI201" s="96" t="str">
        <f t="shared" ref="AI201" si="71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{"issue":{"subject":"","project_id":79,"tracker_id":40,"status_id":1,"priority_id":2,"assigned_to_id":338,"start_date":"2017-10-20","description":"","custom_fields":[{"id":1,"name":"Subdivision","value":"NW"},{"id":4,"name":"Milepost","value":"0.071"},{"id":17,"name":"Train ID","value":"836-20"},{"id":16,"name":"Locomotive ID","value":"4051"},{"id":130,"name":"Impact","value":""},{"id":150,"name":"Time of Event (Mountain Time)","value":"18:25:30"},{"id":151,"name":"Denver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ref="AM201" si="72">"start /low /b "&amp;dls3logs&amp;" --loco "&amp;B201&amp;" --day "&amp;TEXT(F201,"YYYY-MM-DD")</f>
        <v>start /low /b %USERPROFILE%\Documents\GitHub\eaglep3\Utilities\DownloadLogsFromS3.py --loco 4051 --day 2017-10-20</v>
      </c>
      <c r="AN201" s="151" t="str">
        <f t="shared" ref="AN201" si="73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ref="AO201" si="74"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Message%20ID',Summary),filters:!(),index:'emp_*',interval:auto,query:"&amp;"(query_string:(analyze_wildcard:!t,query:'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-20T16:29:28-0600',mode:absolute,to:'2017-10-20T19:25:30-0600'))&amp;_a=(columns:!('Message%20ID',Summary),filters:!(),index:'emp_*',interval:auto,query:(query_string:(analyze_wildcard:!t,query:'%22rtdc.l.rtdc.4051%22')),sort:!(Time.ISO8601,asc))</v>
      </c>
    </row>
    <row r="202" spans="1:91" s="20" customFormat="1" x14ac:dyDescent="0.3">
      <c r="A202" s="32" t="s">
        <v>651</v>
      </c>
      <c r="B202" s="7">
        <v>4060</v>
      </c>
      <c r="C202" s="21" t="s">
        <v>194</v>
      </c>
      <c r="D202" s="21" t="s">
        <v>970</v>
      </c>
      <c r="E202" s="13">
        <v>43028.728796296295</v>
      </c>
      <c r="F202" s="13">
        <v>43028.75644675926</v>
      </c>
      <c r="G202" s="7">
        <v>61</v>
      </c>
      <c r="H202" s="21" t="s">
        <v>623</v>
      </c>
      <c r="I202" s="13">
        <v>43028.767025462963</v>
      </c>
      <c r="J202" s="7">
        <v>0</v>
      </c>
      <c r="K202" s="89" t="str">
        <f>IF(ISEVEN(B202),(B202-1)&amp;"/"&amp;B202,B202&amp;"/"&amp;(B202+1))</f>
        <v>4059/4060</v>
      </c>
      <c r="L202" s="185" t="str">
        <f>VLOOKUP(A202,'Trips&amp;Operators'!$C$1:$G$99911,5,FALSE)</f>
        <v>BERLING GARY</v>
      </c>
      <c r="M202" s="6">
        <f>I202-F202</f>
        <v>1.0578703702776693E-2</v>
      </c>
      <c r="N202" s="7">
        <f>24*60*SUM($M202:$M202)</f>
        <v>15.233333331998438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-20T16:29:28-0600',mode:absolute,to:'2017-10-20T19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2" s="204" t="str">
        <f>IF(AA202&lt;VLOOKUP(AG202,Variables!$AC$3:$AD$8,2,FALSE),"Y","N")</f>
        <v>N</v>
      </c>
      <c r="X202" s="204">
        <f t="shared" si="69"/>
        <v>1</v>
      </c>
      <c r="Y202" s="204">
        <v>9.8100000000000007E-2</v>
      </c>
      <c r="Z202" s="204">
        <v>5.8924000000000003</v>
      </c>
      <c r="AA202" s="204">
        <f>ABS(Z202-Y202)</f>
        <v>5.7943000000000007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>VALUE(LEFT(A202,LEN(A202)-3))</f>
        <v>837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/stypes="app*4060*20171021*" /stext=" 00:.+((SYSTEM_STATE.+slice.+state.+changed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ref="AH202" si="75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837-20 --locoid 4060 --swversion DE.1.0.9.0 --startMP 204:981 --initTime 2017-10-20T17:29:28 --startdatetime 2017-10-20T18:09:17 --delay 61 --endMP 300:58924 --enddatetime 2017-10-20T18:24:31 --enforcementcount 0 &gt;&gt;%USERPROFILE%\Documents\GitHub\eaglep3-reporting\EC\2017-10-20-refined-times.txt</v>
      </c>
      <c r="AI202" s="96" t="str">
        <f t="shared" ref="AI202" si="76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{"issue":{"subject":"","project_id":79,"tracker_id":40,"status_id":1,"priority_id":2,"assigned_to_id":338,"start_date":"2017-10-20","description":"","custom_fields":[{"id":1,"name":"Subdivision","value":"NW"},{"id":4,"name":"Milepost","value":"5.8924"},{"id":17,"name":"Train ID","value":"837-20"},{"id":16,"name":"Locomotive ID","value":"4060"},{"id":130,"name":"Impact","value":""},{"id":150,"name":"Time of Event (Mountain Time)","value":"18:24:31"},{"id":151,"name":"Denver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ref="AM202" si="77">"start /low /b "&amp;dls3logs&amp;" --loco "&amp;B202&amp;" --day "&amp;TEXT(F202,"YYYY-MM-DD")</f>
        <v>start /low /b %USERPROFILE%\Documents\GitHub\eaglep3\Utilities\DownloadLogsFromS3.py --loco 4060 --day 2017-10-20</v>
      </c>
      <c r="AN202" s="151" t="str">
        <f t="shared" ref="AN202" si="78"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ref="AO202" si="79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Message%20ID',Summary),filters:!(),index:'emp_*',interval:auto,query:"&amp;"(query_string:(analyze_wildcard:!t,query:'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-20T16:29:28-0600',mode:absolute,to:'2017-10-20T19:24:31-0600'))&amp;_a=(columns:!('Message%20ID',Summary),filters:!(),index:'emp_*',interval:auto,query:(query_string:(analyze_wildcard:!t,query:'%22rtdc.l.rtdc.4060%22')),sort:!(Time.ISO8601,asc))</v>
      </c>
    </row>
    <row r="203" spans="1:91" s="20" customFormat="1" x14ac:dyDescent="0.3">
      <c r="A203" s="32" t="s">
        <v>828</v>
      </c>
      <c r="B203" s="7">
        <v>4059</v>
      </c>
      <c r="C203" s="21" t="s">
        <v>194</v>
      </c>
      <c r="D203" s="21" t="s">
        <v>1011</v>
      </c>
      <c r="E203" s="13">
        <v>43028.769467592596</v>
      </c>
      <c r="F203" s="13">
        <v>43028.779907407406</v>
      </c>
      <c r="G203" s="7">
        <v>60</v>
      </c>
      <c r="H203" s="21" t="s">
        <v>1012</v>
      </c>
      <c r="I203" s="13">
        <v>43028.788912037038</v>
      </c>
      <c r="J203" s="7">
        <v>0</v>
      </c>
      <c r="K203" s="89" t="str">
        <f>IF(ISEVEN(B203),(B203-1)&amp;"/"&amp;B203,B203&amp;"/"&amp;(B203+1))</f>
        <v>4059/4060</v>
      </c>
      <c r="L203" s="185" t="str">
        <f>VLOOKUP(A203,'Trips&amp;Operators'!$C$1:$G$99911,5,FALSE)</f>
        <v>BERLING GARY</v>
      </c>
      <c r="M203" s="6">
        <f>I203-F203</f>
        <v>9.0046296318178065E-3</v>
      </c>
      <c r="N203" s="7">
        <f>24*60*SUM($M203:$M203)</f>
        <v>12.966666669817641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-20T17:28:02-0600',mode:absolute,to:'2017-10-20T19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3" s="204" t="str">
        <f>IF(AA203&lt;VLOOKUP(AG203,Variables!$AC$3:$AD$8,2,FALSE),"Y","N")</f>
        <v>N</v>
      </c>
      <c r="X203" s="204">
        <f t="shared" si="69"/>
        <v>1</v>
      </c>
      <c r="Y203" s="204">
        <f>RIGHT(D203,LEN(D203)-4)/10000</f>
        <v>5.8666</v>
      </c>
      <c r="Z203" s="204">
        <f>RIGHT(H203,LEN(H203)-4)/10000</f>
        <v>7.22E-2</v>
      </c>
      <c r="AA203" s="204">
        <f>ABS(Z203-Y203)</f>
        <v>5.7944000000000004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>VALUE(LEFT(A203,LEN(A203)-3))</f>
        <v>838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/stypes="app*4059*20171021*" /stext=" 00:.+((SYSTEM_STATE.+slice.+state.+changed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36"/>
        <v>"%USERPROFILE%\Documents\GitHub\eaglep3\Utilities\RefineRTDCRunTimes.py" --tripid 838-20 --locoid 4059 --swversion DE.1.0.9.0 --startMP 300:58666 --initTime 2017-10-20T18:28:02 --startdatetime 2017-10-20T18:43:04 --delay 60 --endMP 204:722 --enddatetime 2017-10-20T18:56:02 --enforcementcount 0 &gt;&gt;%USERPROFILE%\Documents\GitHub\eaglep3-reporting\EC\2017-10-20-refined-times.txt</v>
      </c>
      <c r="AI203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{"issue":{"subject":"","project_id":79,"tracker_id":40,"status_id":1,"priority_id":2,"assigned_to_id":338,"start_date":"2017-10-20","description":"","custom_fields":[{"id":1,"name":"Subdivision","value":"NW"},{"id":4,"name":"Milepost","value":"0.0722"},{"id":17,"name":"Train ID","value":"838-20"},{"id":16,"name":"Locomotive ID","value":"4059"},{"id":130,"name":"Impact","value":""},{"id":150,"name":"Time of Event (Mountain Time)","value":"18:56:02"},{"id":151,"name":"Denver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38"/>
        <v>start /low /b %USERPROFILE%\Documents\GitHub\eaglep3\Utilities\DownloadLogsFromS3.py --loco 4059 --day 2017-10-20</v>
      </c>
      <c r="AN203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40"/>
        <v>https://d0f6bd738d7f1b3e5a7ca70fe4ff75f0.us-east-1.aws.found.io/app/kibana#/discover/Steve-Slow-Train-Analysis-(2080s-and-2083s)?_g=(refreshInterval:(display:Off,pause:!f,section:0,value:0),time:(from:'2017-10-20T17:28:02-0600',mode:absolute,to:'2017-10-20T19:56:02-0600'))&amp;_a=(columns:!('Message%20ID',Summary),filters:!(),index:'emp_*',interval:auto,query:(query_string:(analyze_wildcard:!t,query:'%22rtdc.l.rtdc.4059%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827</v>
      </c>
      <c r="B204" s="7">
        <v>4052</v>
      </c>
      <c r="C204" s="21" t="s">
        <v>194</v>
      </c>
      <c r="D204" s="21" t="s">
        <v>970</v>
      </c>
      <c r="E204" s="13">
        <v>43028.769201388888</v>
      </c>
      <c r="F204" s="13">
        <v>43028.777314814812</v>
      </c>
      <c r="G204" s="7">
        <v>72</v>
      </c>
      <c r="H204" s="21" t="s">
        <v>1007</v>
      </c>
      <c r="I204" s="13">
        <v>43028.787789351853</v>
      </c>
      <c r="J204" s="7">
        <v>0</v>
      </c>
      <c r="K204" s="89" t="str">
        <f>IF(ISEVEN(B204),(B204-1)&amp;"/"&amp;B204,B204&amp;"/"&amp;(B204+1))</f>
        <v>4051/4052</v>
      </c>
      <c r="L204" s="185" t="str">
        <f>VLOOKUP(A204,'Trips&amp;Operators'!$C$1:$G$99911,5,FALSE)</f>
        <v>SMITH MICHAEL</v>
      </c>
      <c r="M204" s="6">
        <f>I204-F204</f>
        <v>1.0474537040863652E-2</v>
      </c>
      <c r="N204" s="7">
        <f>24*60*SUM($M204:$M204)</f>
        <v>15.083333338843659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-20T17:27:39-0600',mode:absolute,to:'2017-10-20T19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4" s="204" t="str">
        <f>IF(AA204&lt;VLOOKUP(AG204,Variables!$AC$3:$AD$8,2,FALSE),"Y","N")</f>
        <v>N</v>
      </c>
      <c r="X204" s="204">
        <f t="shared" si="69"/>
        <v>1</v>
      </c>
      <c r="Y204" s="204">
        <f>RIGHT(D204,LEN(D204)-4)/10000</f>
        <v>9.8100000000000007E-2</v>
      </c>
      <c r="Z204" s="204">
        <f>RIGHT(H204,LEN(H204)-4)/10000</f>
        <v>5.8928000000000003</v>
      </c>
      <c r="AA204" s="204">
        <f>ABS(Z204-Y204)</f>
        <v>5.7947000000000006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>VALUE(LEFT(A204,LEN(A204)-3))</f>
        <v>839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s3://rtdc.mdm.uploadarchive.raw/RTDC4052/ "%USERPROFILE%\AppData\Local\Temp\OnboardLogs"\RTDC4052\2017-10-20 --exclude "*" --recursive --include "*20171020*" &amp; "%USERPROFILE%\Documents\GitHub\mrs-test-scripts\Headless Mode &amp; Sideloading\WalkAndUnGZ.bat" "%USERPROFILE%\AppData\Local\Temp\OnboardLogs"\RTDC4052\2017-10-20 &amp; aws s3 cp s3://rtdc.mdm.uploadarchive.raw/RTDC4052/ "%USERPROFILE%\AppData\Local\Temp\OnboardLogs"\RTDC4052\2017-10-21 --exclude "*" --recursive --include "*20171021*" &amp; "%USERPROFILE%\Documents\GitHub\mrs-test-scripts\Headless Mode &amp; Sideloading\WalkAndUnGZ.bat" "%USERPROFILE%\AppData\Local\Temp\OnboardLogs"\RTDC4052\2017-10-21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/stypes="app*4052*20171021*" /stext=" 00:.+((SYSTEM_STATE.+slice.+state.+changed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si="36"/>
        <v>"%USERPROFILE%\Documents\GitHub\eaglep3\Utilities\RefineRTDCRunTimes.py" --tripid 839-20 --locoid 4052 --swversion DE.1.0.9.0 --startMP 204:981 --initTime 2017-10-20T18:27:39 --startdatetime 2017-10-20T18:39:20 --delay 72 --endMP 300:58928 --enddatetime 2017-10-20T18:54:25 --enforcementcount 0 &gt;&gt;%USERPROFILE%\Documents\GitHub\eaglep3-reporting\EC\2017-10-20-refined-times.txt</v>
      </c>
      <c r="AI204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{"issue":{"subject":"","project_id":79,"tracker_id":40,"status_id":1,"priority_id":2,"assigned_to_id":338,"start_date":"2017-10-20","description":"","custom_fields":[{"id":1,"name":"Subdivision","value":"NW"},{"id":4,"name":"Milepost","value":"5.8928"},{"id":17,"name":"Train ID","value":"839-20"},{"id":16,"name":"Locomotive ID","value":"4052"},{"id":130,"name":"Impact","value":""},{"id":150,"name":"Time of Event (Mountain Time)","value":"18:54:25"},{"id":151,"name":"Denver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38"/>
        <v>start /low /b %USERPROFILE%\Documents\GitHub\eaglep3\Utilities\DownloadLogsFromS3.py --loco 4052 --day 2017-10-20</v>
      </c>
      <c r="AN204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40"/>
        <v>https://d0f6bd738d7f1b3e5a7ca70fe4ff75f0.us-east-1.aws.found.io/app/kibana#/discover/Steve-Slow-Train-Analysis-(2080s-and-2083s)?_g=(refreshInterval:(display:Off,pause:!f,section:0,value:0),time:(from:'2017-10-20T17:27:39-0600',mode:absolute,to:'2017-10-20T19:54:25-0600'))&amp;_a=(columns:!('Message%20ID',Summary),filters:!(),index:'emp_*',interval:auto,query:(query_string:(analyze_wildcard:!t,query:'%22rtdc.l.rtdc.4052%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839</v>
      </c>
      <c r="B205" s="7">
        <v>4059</v>
      </c>
      <c r="C205" s="21" t="s">
        <v>194</v>
      </c>
      <c r="D205" s="21" t="s">
        <v>999</v>
      </c>
      <c r="E205" s="13">
        <v>43028.811956018515</v>
      </c>
      <c r="F205" s="13">
        <v>43028.813564814816</v>
      </c>
      <c r="G205" s="7">
        <v>65</v>
      </c>
      <c r="H205" s="21" t="s">
        <v>1013</v>
      </c>
      <c r="I205" s="13">
        <v>43028.830069444448</v>
      </c>
      <c r="J205" s="7">
        <v>0</v>
      </c>
      <c r="K205" s="89" t="str">
        <f>IF(ISEVEN(B205),(B205-1)&amp;"/"&amp;B205,B205&amp;"/"&amp;(B205+1))</f>
        <v>4059/4060</v>
      </c>
      <c r="L205" s="185" t="str">
        <f>VLOOKUP(A205,'Trips&amp;Operators'!$C$1:$G$99911,5,FALSE)</f>
        <v>BERLING GARY</v>
      </c>
      <c r="M205" s="6">
        <f>I205-F205</f>
        <v>1.6504629631526768E-2</v>
      </c>
      <c r="N205" s="7">
        <f>24*60*SUM($M205:$M205)</f>
        <v>23.766666669398546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-20T18:29:13-0600',mode:absolute,to:'2017-10-20T20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5" s="204" t="str">
        <f>IF(AA205&lt;VLOOKUP(AG205,Variables!$AC$3:$AD$8,2,FALSE),"Y","N")</f>
        <v>N</v>
      </c>
      <c r="X205" s="204">
        <f t="shared" si="69"/>
        <v>1</v>
      </c>
      <c r="Y205" s="204">
        <f>RIGHT(D205,LEN(D205)-4)/10000</f>
        <v>5.8663999999999996</v>
      </c>
      <c r="Z205" s="204">
        <f>RIGHT(H205,LEN(H205)-4)/10000</f>
        <v>7.3099999999999998E-2</v>
      </c>
      <c r="AA205" s="204">
        <f>ABS(Z205-Y205)</f>
        <v>5.7932999999999995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>VALUE(LEFT(A205,LEN(A205)-3))</f>
        <v>840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/stypes="app*4059*20171021*" /stext=" 01:.+((SYSTEM_STATE.+slice.+state.+changed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si="36"/>
        <v>"%USERPROFILE%\Documents\GitHub\eaglep3\Utilities\RefineRTDCRunTimes.py" --tripid 840-20 --locoid 4059 --swversion DE.1.0.9.0 --startMP 300:58664 --initTime 2017-10-20T19:29:13 --startdatetime 2017-10-20T19:31:32 --delay 65 --endMP 204:731 --enddatetime 2017-10-20T19:55:18 --enforcementcount 0 &gt;&gt;%USERPROFILE%\Documents\GitHub\eaglep3-reporting\EC\2017-10-20-refined-times.txt</v>
      </c>
      <c r="AI205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{"issue":{"subject":"","project_id":79,"tracker_id":40,"status_id":1,"priority_id":2,"assigned_to_id":338,"start_date":"2017-10-20","description":"","custom_fields":[{"id":1,"name":"Subdivision","value":"NW"},{"id":4,"name":"Milepost","value":"0.0731"},{"id":17,"name":"Train ID","value":"840-20"},{"id":16,"name":"Locomotive ID","value":"4059"},{"id":130,"name":"Impact","value":""},{"id":150,"name":"Time of Event (Mountain Time)","value":"19:55:18"},{"id":151,"name":"Denver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38"/>
        <v>start /low /b %USERPROFILE%\Documents\GitHub\eaglep3\Utilities\DownloadLogsFromS3.py --loco 4059 --day 2017-10-20</v>
      </c>
      <c r="AN205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01:55:18"},{"id":29,"name":"Sharepoint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40"/>
        <v>https://d0f6bd738d7f1b3e5a7ca70fe4ff75f0.us-east-1.aws.found.io/app/kibana#/discover/Steve-Slow-Train-Analysis-(2080s-and-2083s)?_g=(refreshInterval:(display:Off,pause:!f,section:0,value:0),time:(from:'2017-10-20T18:29:13-0600',mode:absolute,to:'2017-10-20T20:55:18-0600'))&amp;_a=(columns:!('Message%20ID',Summary),filters:!(),index:'emp_*',interval:auto,query:(query_string:(analyze_wildcard:!t,query:'%22rtdc.l.rtdc.4059%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835</v>
      </c>
      <c r="B206" s="7">
        <v>4060</v>
      </c>
      <c r="C206" s="21" t="s">
        <v>194</v>
      </c>
      <c r="D206" s="21" t="s">
        <v>498</v>
      </c>
      <c r="E206" s="13">
        <v>43028.795694444445</v>
      </c>
      <c r="F206" s="13">
        <v>43028.798483796294</v>
      </c>
      <c r="G206" s="7">
        <v>85</v>
      </c>
      <c r="H206" s="21" t="s">
        <v>1014</v>
      </c>
      <c r="I206" s="13">
        <v>43028.808321759258</v>
      </c>
      <c r="J206" s="7">
        <v>0</v>
      </c>
      <c r="K206" s="89" t="str">
        <f>IF(ISEVEN(B206),(B206-1)&amp;"/"&amp;B206,B206&amp;"/"&amp;(B206+1))</f>
        <v>4059/4060</v>
      </c>
      <c r="L206" s="185" t="str">
        <f>VLOOKUP(A206,'Trips&amp;Operators'!$C$1:$G$99911,5,FALSE)</f>
        <v>BERLING GARY</v>
      </c>
      <c r="M206" s="6">
        <f>I206-F206</f>
        <v>9.8379629635019228E-3</v>
      </c>
      <c r="N206" s="7">
        <f>24*60*SUM($M206:$M206)</f>
        <v>14.166666667442769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-20T18:05:48-0600',mode:absolute,to:'2017-10-20T20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6" s="204" t="str">
        <f>IF(AA206&lt;VLOOKUP(AG206,Variables!$AC$3:$AD$8,2,FALSE),"Y","N")</f>
        <v>N</v>
      </c>
      <c r="X206" s="204">
        <f>VALUE(LEFT(AD206,4))-VALUE(LEFT(AD205,4))</f>
        <v>1</v>
      </c>
      <c r="Y206" s="204">
        <f>RIGHT(D206,LEN(D206)-4)/10000</f>
        <v>9.8500000000000004E-2</v>
      </c>
      <c r="Z206" s="204">
        <f>RIGHT(H206,LEN(H206)-4)/10000</f>
        <v>5.8975</v>
      </c>
      <c r="AA206" s="204">
        <f>ABS(Z206-Y206)</f>
        <v>5.7990000000000004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>VALUE(LEFT(A206,LEN(A206)-3))</f>
        <v>841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/stypes="app*4060*20171021*" /stext=" 01:.+((SYSTEM_STATE.+slice.+state.+changed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36"/>
        <v>"%USERPROFILE%\Documents\GitHub\eaglep3\Utilities\RefineRTDCRunTimes.py" --tripid 841-20 --locoid 4060 --swversion DE.1.0.9.0 --startMP 204:985 --initTime 2017-10-20T19:05:48 --startdatetime 2017-10-20T19:09:49 --delay 85 --endMP 300:58975 --enddatetime 2017-10-20T19:23:59 --enforcementcount 0 &gt;&gt;%USERPROFILE%\Documents\GitHub\eaglep3-reporting\EC\2017-10-20-refined-times.txt</v>
      </c>
      <c r="AI206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{"issue":{"subject":"","project_id":79,"tracker_id":40,"status_id":1,"priority_id":2,"assigned_to_id":338,"start_date":"2017-10-20","description":"","custom_fields":[{"id":1,"name":"Subdivision","value":"NW"},{"id":4,"name":"Milepost","value":"5.8975"},{"id":17,"name":"Train ID","value":"841-20"},{"id":16,"name":"Locomotive ID","value":"4060"},{"id":130,"name":"Impact","value":""},{"id":150,"name":"Time of Event (Mountain Time)","value":"19:23:59"},{"id":151,"name":"Denver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38"/>
        <v>start /low /b %USERPROFILE%\Documents\GitHub\eaglep3\Utilities\DownloadLogsFromS3.py --loco 4060 --day 2017-10-20</v>
      </c>
      <c r="AN206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01:23:59"},{"id":29,"name":"Sharepoint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40"/>
        <v>https://d0f6bd738d7f1b3e5a7ca70fe4ff75f0.us-east-1.aws.found.io/app/kibana#/discover/Steve-Slow-Train-Analysis-(2080s-and-2083s)?_g=(refreshInterval:(display:Off,pause:!f,section:0,value:0),time:(from:'2017-10-20T18:05:48-0600',mode:absolute,to:'2017-10-20T20:23:59-0600'))&amp;_a=(columns:!('Message%20ID',Summary),filters:!(),index:'emp_*',interval:auto,query:(query_string:(analyze_wildcard:!t,query:'%22rtdc.l.rtdc.4060%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845</v>
      </c>
      <c r="B207" s="7">
        <v>4059</v>
      </c>
      <c r="C207" s="21" t="s">
        <v>194</v>
      </c>
      <c r="D207" s="21" t="s">
        <v>619</v>
      </c>
      <c r="E207" s="13">
        <v>43028.851030092592</v>
      </c>
      <c r="F207" s="13">
        <v>43028.863240740742</v>
      </c>
      <c r="G207" s="7">
        <v>51</v>
      </c>
      <c r="H207" s="21" t="s">
        <v>1015</v>
      </c>
      <c r="I207" s="13">
        <v>43028.87164351852</v>
      </c>
      <c r="J207" s="7">
        <v>0</v>
      </c>
      <c r="K207" s="89" t="str">
        <f>IF(ISEVEN(B207),(B207-1)&amp;"/"&amp;B207,B207&amp;"/"&amp;(B207+1))</f>
        <v>4059/4060</v>
      </c>
      <c r="L207" s="185" t="str">
        <f>VLOOKUP(A207,'Trips&amp;Operators'!$C$1:$G$99911,5,FALSE)</f>
        <v>BERLING GARY</v>
      </c>
      <c r="M207" s="6">
        <f>I207-F207</f>
        <v>8.4027777775190771E-3</v>
      </c>
      <c r="N207" s="7">
        <f>24*60*SUM($M207:$M207)</f>
        <v>12.099999999627471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-20T19:25:29-0600',mode:absolute,to:'2017-10-20T21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7" s="204" t="str">
        <f>IF(AA207&lt;VLOOKUP(AG207,Variables!$AC$3:$AD$8,2,FALSE),"Y","N")</f>
        <v>N</v>
      </c>
      <c r="X207" s="204">
        <f>VALUE(LEFT(AD207,4))-VALUE(LEFT(AD206,4))</f>
        <v>1</v>
      </c>
      <c r="Y207" s="204">
        <f>RIGHT(D207,LEN(D207)-4)/10000</f>
        <v>5.8701999999999996</v>
      </c>
      <c r="Z207" s="204">
        <f>RIGHT(H207,LEN(H207)-4)/10000</f>
        <v>7.4999999999999997E-2</v>
      </c>
      <c r="AA207" s="204">
        <f>ABS(Z207-Y207)</f>
        <v>5.7951999999999995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>VALUE(LEFT(A207,LEN(A207)-3))</f>
        <v>842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/stypes="app*4059*20171021*" /stext=" 02:.+((SYSTEM_STATE.+slice.+state.+changed )|(ment ac)|(multiple cpu faults)|(system.+state.+changed )|(\[timeout)|(PRM\|1\|D)|(kpr)|(kdp)|(train st.+moving)|(\|lc)|(penalty))"</v>
      </c>
      <c r="AG207" s="182" t="str">
        <f>DetSubdiv(A207)</f>
        <v>NW</v>
      </c>
      <c r="AH207" s="78" t="str">
        <f t="shared" si="36"/>
        <v>"%USERPROFILE%\Documents\GitHub\eaglep3\Utilities\RefineRTDCRunTimes.py" --tripid 842-20 --locoid 4059 --swversion DE.1.0.9.0 --startMP 300:58702 --initTime 2017-10-20T20:25:29 --startdatetime 2017-10-20T20:43:04 --delay 51 --endMP 204:750 --enddatetime 2017-10-20T20:55:10 --enforcementcount 0 &gt;&gt;%USERPROFILE%\Documents\GitHub\eaglep3-reporting\EC\2017-10-20-refined-times.txt</v>
      </c>
      <c r="AI207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{"issue":{"subject":"","project_id":79,"tracker_id":40,"status_id":1,"priority_id":2,"assigned_to_id":338,"start_date":"2017-10-20","description":"","custom_fields":[{"id":1,"name":"Subdivision","value":"NW"},{"id":4,"name":"Milepost","value":"0.075"},{"id":17,"name":"Train ID","value":"842-20"},{"id":16,"name":"Locomotive ID","value":"4059"},{"id":130,"name":"Impact","value":""},{"id":150,"name":"Time of Event (Mountain Time)","value":"20:55:10"},{"id":151,"name":"Denver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38"/>
        <v>start /low /b %USERPROFILE%\Documents\GitHub\eaglep3\Utilities\DownloadLogsFromS3.py --loco 4059 --day 2017-10-20</v>
      </c>
      <c r="AN207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02:55:10"},{"id":29,"name":"Sharepoint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40"/>
        <v>https://d0f6bd738d7f1b3e5a7ca70fe4ff75f0.us-east-1.aws.found.io/app/kibana#/discover/Steve-Slow-Train-Analysis-(2080s-and-2083s)?_g=(refreshInterval:(display:Off,pause:!f,section:0,value:0),time:(from:'2017-10-20T19:25:29-0600',mode:absolute,to:'2017-10-20T21:55:10-0600'))&amp;_a=(columns:!('Message%20ID',Summary),filters:!(),index:'emp_*',interval:auto,query:(query_string:(analyze_wildcard:!t,query:'%22rtdc.l.rtdc.4059%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653</v>
      </c>
      <c r="B208" s="7">
        <v>4060</v>
      </c>
      <c r="C208" s="21" t="s">
        <v>194</v>
      </c>
      <c r="D208" s="21" t="s">
        <v>628</v>
      </c>
      <c r="E208" s="13">
        <v>43028.833981481483</v>
      </c>
      <c r="F208" s="13">
        <v>43028.839780092596</v>
      </c>
      <c r="G208" s="7">
        <v>68</v>
      </c>
      <c r="H208" s="21" t="s">
        <v>1016</v>
      </c>
      <c r="I208" s="13">
        <v>43028.850011574075</v>
      </c>
      <c r="J208" s="7">
        <v>0</v>
      </c>
      <c r="K208" s="89" t="str">
        <f>IF(ISEVEN(B208),(B208-1)&amp;"/"&amp;B208,B208&amp;"/"&amp;(B208+1))</f>
        <v>4059/4060</v>
      </c>
      <c r="L208" s="185" t="str">
        <f>VLOOKUP(A208,'Trips&amp;Operators'!$C$1:$G$99911,5,FALSE)</f>
        <v>BERLING GARY</v>
      </c>
      <c r="M208" s="6">
        <f>I208-F208</f>
        <v>1.0231481479422655E-2</v>
      </c>
      <c r="N208" s="7">
        <f>24*60*SUM($M208:$M208)</f>
        <v>14.733333330368623</v>
      </c>
      <c r="O208" s="7"/>
      <c r="P208" s="7"/>
      <c r="Q208" s="22"/>
      <c r="R208" s="174" t="s">
        <v>1058</v>
      </c>
      <c r="S208" s="221">
        <f>1/IF(AG208="EC",12,1)*SUM(U208:U208)</f>
        <v>1</v>
      </c>
      <c r="T208" s="174" t="str">
        <f>IF(ISEVEN(LEFT(AD208,4)),"Southbound","NorthBound")</f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-20T19:00:56-0600',mode:absolute,to:'2017-10-20T21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8" s="204" t="str">
        <f>IF(AA208&lt;VLOOKUP(AG208,Variables!$AC$3:$AD$8,2,FALSE),"Y","N")</f>
        <v>N</v>
      </c>
      <c r="X208" s="204">
        <f>VALUE(LEFT(AD208,4))-VALUE(LEFT(AD207,4))</f>
        <v>1</v>
      </c>
      <c r="Y208" s="204">
        <f>RIGHT(D208,LEN(D208)-4)/10000</f>
        <v>9.9199999999999997E-2</v>
      </c>
      <c r="Z208" s="204">
        <f>RIGHT(H208,LEN(H208)-4)/10000</f>
        <v>5.9017999999999997</v>
      </c>
      <c r="AA208" s="204">
        <f>ABS(Z208-Y208)</f>
        <v>5.8026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>VALUE(LEFT(A208,LEN(A208)-3))</f>
        <v>843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/stypes="app*4060*20171021*" /stext=" 02:.+((SYSTEM_STATE.+slice.+state.+changed )|(ment ac)|(multiple cpu faults)|(system.+state.+changed )|(\[timeout)|(PRM\|1\|D)|(kpr)|(kdp)|(train st.+moving)|(\|lc)|(penalty))"</v>
      </c>
      <c r="AG208" s="182" t="str">
        <f>DetSubdiv(A208)</f>
        <v>NW</v>
      </c>
      <c r="AH208" s="78" t="str">
        <f t="shared" si="36"/>
        <v>"%USERPROFILE%\Documents\GitHub\eaglep3\Utilities\RefineRTDCRunTimes.py" --tripid 843-20 --locoid 4060 --swversion DE.1.0.9.0 --startMP 204:992 --initTime 2017-10-20T20:00:56 --startdatetime 2017-10-20T20:09:17 --delay 68 --endMP 300:59018 --enddatetime 2017-10-20T20:24:01 --enforcementcount 0 &gt;&gt;%USERPROFILE%\Documents\GitHub\eaglep3-reporting\EC\2017-10-20-refined-times.txt</v>
      </c>
      <c r="AI208" s="96" t="str">
        <f t="shared" si="37"/>
        <v>echo {"issue":{"subject":"Wi-MAX data drop, observed unhealthy crossing banner","project_id":79,"tracker_id":40,"status_id":1,"priority_id":2,"assigned_to_id":338,"start_date":"2017-10-20","description":"","custom_fields":[{"id":1,"name":"Subdivision","value":"NW"},{"id":4,"name":"Milepost","value":"5.9018"},{"id":17,"name":"Train ID","value":"843-20"},{"id":16,"name":"Locomotive ID","value":"4060"},{"id":130,"name":"Impact","value":""},{"id":150,"name":"Time of Event (Mountain Time)","value":"20:24:01"},{"id":151,"name":"Denver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38"/>
        <v>start /low /b %USERPROFILE%\Documents\GitHub\eaglep3\Utilities\DownloadLogsFromS3.py --loco 4060 --day 2017-10-20</v>
      </c>
      <c r="AN208" s="151" t="str">
        <f t="shared" si="39"/>
        <v>echo {"issue":{"subject":"Wi-MAX data drop, observed unhealthy crossing banner","project_id":30,"tracker_id":4,"status_id":1,"priority_id":1,"assigned_to_id":10,"start_date":"2017-10-21","description":"","custom_fields":[{"id":30,"name":"Category","value":"Issue"},{"id":3,"name":"Functional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02:24:01"},{"id":29,"name":"Sharepoint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40"/>
        <v>https://d0f6bd738d7f1b3e5a7ca70fe4ff75f0.us-east-1.aws.found.io/app/kibana#/discover/Steve-Slow-Train-Analysis-(2080s-and-2083s)?_g=(refreshInterval:(display:Off,pause:!f,section:0,value:0),time:(from:'2017-10-20T19:00:56-0600',mode:absolute,to:'2017-10-20T21:24:01-0600'))&amp;_a=(columns:!('Message%20ID',Summary),filters:!(),index:'emp_*',interval:auto,query:(query_string:(analyze_wildcard:!t,query:'%22rtdc.l.rtdc.4060%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851</v>
      </c>
      <c r="B209" s="7">
        <v>4059</v>
      </c>
      <c r="C209" s="21" t="s">
        <v>194</v>
      </c>
      <c r="D209" s="21" t="s">
        <v>1017</v>
      </c>
      <c r="E209" s="13">
        <v>43028.89472222222</v>
      </c>
      <c r="F209" s="13">
        <v>43028.897060185183</v>
      </c>
      <c r="G209" s="7">
        <v>78</v>
      </c>
      <c r="H209" s="21" t="s">
        <v>1018</v>
      </c>
      <c r="I209" s="13">
        <v>43028.913703703707</v>
      </c>
      <c r="J209" s="7">
        <v>0</v>
      </c>
      <c r="K209" s="89" t="str">
        <f>IF(ISEVEN(B209),(B209-1)&amp;"/"&amp;B209,B209&amp;"/"&amp;(B209+1))</f>
        <v>4059/4060</v>
      </c>
      <c r="L209" s="185" t="str">
        <f>VLOOKUP(A209,'Trips&amp;Operators'!$C$1:$G$99911,5,FALSE)</f>
        <v>SMITH MICHAEL</v>
      </c>
      <c r="M209" s="6">
        <f>I209-F209</f>
        <v>1.6643518523778766E-2</v>
      </c>
      <c r="N209" s="7">
        <f>24*60*SUM($M209:$M209)</f>
        <v>23.966666674241424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-20T20:28:24-0600',mode:absolute,to:'2017-10-20T22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9" s="204" t="str">
        <f>IF(AA209&lt;VLOOKUP(AG209,Variables!$AC$3:$AD$8,2,FALSE),"Y","N")</f>
        <v>N</v>
      </c>
      <c r="X209" s="204">
        <f>VALUE(LEFT(AD209,4))-VALUE(LEFT(AD208,4))</f>
        <v>1</v>
      </c>
      <c r="Y209" s="204">
        <f>RIGHT(D209,LEN(D209)-4)/10000</f>
        <v>5.8613</v>
      </c>
      <c r="Z209" s="204">
        <f>RIGHT(H209,LEN(H209)-4)/10000</f>
        <v>6.9400000000000003E-2</v>
      </c>
      <c r="AA209" s="204">
        <f>ABS(Z209-Y209)</f>
        <v>5.7919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>VALUE(LEFT(A209,LEN(A209)-3))</f>
        <v>844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/stypes="app*4059*20171021*" /stext=" 03:.+((SYSTEM_STATE.+slice.+state.+changed )|(ment ac)|(multiple cpu faults)|(system.+state.+changed )|(\[timeout)|(PRM\|1\|D)|(kpr)|(kdp)|(train st.+moving)|(\|lc)|(penalty))"</v>
      </c>
      <c r="AG209" s="182" t="str">
        <f>DetSubdiv(A209)</f>
        <v>NW</v>
      </c>
      <c r="AH209" s="78" t="str">
        <f t="shared" si="36"/>
        <v>"%USERPROFILE%\Documents\GitHub\eaglep3\Utilities\RefineRTDCRunTimes.py" --tripid 844-20 --locoid 4059 --swversion DE.1.0.9.0 --startMP 300:58613 --initTime 2017-10-20T21:28:24 --startdatetime 2017-10-20T21:31:46 --delay 78 --endMP 204:694 --enddatetime 2017-10-20T21:55:44 --enforcementcount 0 &gt;&gt;%USERPROFILE%\Documents\GitHub\eaglep3-reporting\EC\2017-10-20-refined-times.txt</v>
      </c>
      <c r="AI209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{"issue":{"subject":"","project_id":79,"tracker_id":40,"status_id":1,"priority_id":2,"assigned_to_id":338,"start_date":"2017-10-20","description":"","custom_fields":[{"id":1,"name":"Subdivision","value":"NW"},{"id":4,"name":"Milepost","value":"0.0694"},{"id":17,"name":"Train ID","value":"844-20"},{"id":16,"name":"Locomotive ID","value":"4059"},{"id":130,"name":"Impact","value":""},{"id":150,"name":"Time of Event (Mountain Time)","value":"21:55:44"},{"id":151,"name":"Denver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38"/>
        <v>start /low /b %USERPROFILE%\Documents\GitHub\eaglep3\Utilities\DownloadLogsFromS3.py --loco 4059 --day 2017-10-20</v>
      </c>
      <c r="AN209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03:55:44"},{"id":29,"name":"Sharepoint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40"/>
        <v>https://d0f6bd738d7f1b3e5a7ca70fe4ff75f0.us-east-1.aws.found.io/app/kibana#/discover/Steve-Slow-Train-Analysis-(2080s-and-2083s)?_g=(refreshInterval:(display:Off,pause:!f,section:0,value:0),time:(from:'2017-10-20T20:28:24-0600',mode:absolute,to:'2017-10-20T22:55:44-0600'))&amp;_a=(columns:!('Message%20ID',Summary),filters:!(),index:'emp_*',interval:auto,query:(query_string:(analyze_wildcard:!t,query:'%22rtdc.l.rtdc.4059%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848</v>
      </c>
      <c r="B210" s="7">
        <v>4060</v>
      </c>
      <c r="C210" s="21" t="s">
        <v>194</v>
      </c>
      <c r="D210" s="21" t="s">
        <v>1019</v>
      </c>
      <c r="E210" s="13">
        <v>43028.87537037037</v>
      </c>
      <c r="F210" s="13">
        <v>43028.881493055553</v>
      </c>
      <c r="G210" s="7">
        <v>84</v>
      </c>
      <c r="H210" s="21" t="s">
        <v>1020</v>
      </c>
      <c r="I210" s="13">
        <v>43028.892175925925</v>
      </c>
      <c r="J210" s="7">
        <v>0</v>
      </c>
      <c r="K210" s="89" t="str">
        <f>IF(ISEVEN(B210),(B210-1)&amp;"/"&amp;B210,B210&amp;"/"&amp;(B210+1))</f>
        <v>4059/4060</v>
      </c>
      <c r="L210" s="185" t="str">
        <f>VLOOKUP(A210,'Trips&amp;Operators'!$C$1:$G$99911,5,FALSE)</f>
        <v>SMITH MICHAEL</v>
      </c>
      <c r="M210" s="6">
        <f>I210-F210</f>
        <v>1.0682870371965691E-2</v>
      </c>
      <c r="N210" s="7">
        <f>24*60*SUM($M210:$M210)</f>
        <v>15.383333335630596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-20T20:00:32-0600',mode:absolute,to:'2017-10-20T22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0" s="204" t="str">
        <f>IF(AA210&lt;VLOOKUP(AG210,Variables!$AC$3:$AD$8,2,FALSE),"Y","N")</f>
        <v>N</v>
      </c>
      <c r="X210" s="204">
        <f>VALUE(LEFT(AD210,4))-VALUE(LEFT(AD209,4))</f>
        <v>1</v>
      </c>
      <c r="Y210" s="204">
        <f>RIGHT(D210,LEN(D210)-4)/10000</f>
        <v>0.10199999999999999</v>
      </c>
      <c r="Z210" s="204">
        <f>RIGHT(H210,LEN(H210)-4)/10000</f>
        <v>5.8925999999999998</v>
      </c>
      <c r="AA210" s="204">
        <f>ABS(Z210-Y210)</f>
        <v>5.7905999999999995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>VALUE(LEFT(A210,LEN(A210)-3))</f>
        <v>845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/stypes="app*4060*20171021*" /stext=" 03:.+((SYSTEM_STATE.+slice.+state.+changed )|(ment ac)|(multiple cpu faults)|(system.+state.+changed )|(\[timeout)|(PRM\|1\|D)|(kpr)|(kdp)|(train st.+moving)|(\|lc)|(penalty))"</v>
      </c>
      <c r="AG210" s="182" t="str">
        <f>DetSubdiv(A210)</f>
        <v>NW</v>
      </c>
      <c r="AH210" s="78" t="str">
        <f t="shared" si="36"/>
        <v>"%USERPROFILE%\Documents\GitHub\eaglep3\Utilities\RefineRTDCRunTimes.py" --tripid 845-20 --locoid 4060 --swversion DE.1.0.9.0 --startMP 204:1020 --initTime 2017-10-20T21:00:32 --startdatetime 2017-10-20T21:09:21 --delay 84 --endMP 300:58926 --enddatetime 2017-10-20T21:24:44 --enforcementcount 0 &gt;&gt;%USERPROFILE%\Documents\GitHub\eaglep3-reporting\EC\2017-10-20-refined-times.txt</v>
      </c>
      <c r="AI210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{"issue":{"subject":"","project_id":79,"tracker_id":40,"status_id":1,"priority_id":2,"assigned_to_id":338,"start_date":"2017-10-20","description":"","custom_fields":[{"id":1,"name":"Subdivision","value":"NW"},{"id":4,"name":"Milepost","value":"5.8926"},{"id":17,"name":"Train ID","value":"845-20"},{"id":16,"name":"Locomotive ID","value":"4060"},{"id":130,"name":"Impact","value":""},{"id":150,"name":"Time of Event (Mountain Time)","value":"21:24:44"},{"id":151,"name":"Denver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38"/>
        <v>start /low /b %USERPROFILE%\Documents\GitHub\eaglep3\Utilities\DownloadLogsFromS3.py --loco 4060 --day 2017-10-20</v>
      </c>
      <c r="AN210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03:24:44"},{"id":29,"name":"Sharepoint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40"/>
        <v>https://d0f6bd738d7f1b3e5a7ca70fe4ff75f0.us-east-1.aws.found.io/app/kibana#/discover/Steve-Slow-Train-Analysis-(2080s-and-2083s)?_g=(refreshInterval:(display:Off,pause:!f,section:0,value:0),time:(from:'2017-10-20T20:00:32-0600',mode:absolute,to:'2017-10-20T22:24:44-0600'))&amp;_a=(columns:!('Message%20ID',Summary),filters:!(),index:'emp_*',interval:auto,query:(query_string:(analyze_wildcard:!t,query:'%22rtdc.l.rtdc.4060%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654</v>
      </c>
      <c r="B211" s="7">
        <v>4059</v>
      </c>
      <c r="C211" s="21" t="s">
        <v>194</v>
      </c>
      <c r="D211" s="21" t="s">
        <v>1021</v>
      </c>
      <c r="E211" s="13">
        <v>43028.937245370369</v>
      </c>
      <c r="F211" s="13">
        <v>43028.946655092594</v>
      </c>
      <c r="G211" s="7">
        <v>74</v>
      </c>
      <c r="H211" s="21" t="s">
        <v>1022</v>
      </c>
      <c r="I211" s="13">
        <v>43028.953784722224</v>
      </c>
      <c r="J211" s="7">
        <v>0</v>
      </c>
      <c r="K211" s="89" t="str">
        <f>IF(ISEVEN(B211),(B211-1)&amp;"/"&amp;B211,B211&amp;"/"&amp;(B211+1))</f>
        <v>4059/4060</v>
      </c>
      <c r="L211" s="185" t="str">
        <f>VLOOKUP(A211,'Trips&amp;Operators'!$C$1:$G$99911,5,FALSE)</f>
        <v>SMITH MICHAEL</v>
      </c>
      <c r="M211" s="6">
        <f>I211-F211</f>
        <v>7.1296296300715767E-3</v>
      </c>
      <c r="N211" s="7">
        <f>24*60*SUM($M211:$M211)</f>
        <v>10.26666666730307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-20T21:29:38-0600',mode:absolute,to:'2017-10-20T23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1</v>
      </c>
      <c r="Y211" s="204">
        <f>RIGHT(D211,LEN(D211)-4)/10000</f>
        <v>5.8619000000000003</v>
      </c>
      <c r="Z211" s="204">
        <f>RIGHT(H211,LEN(H211)-4)/10000</f>
        <v>0.45479999999999998</v>
      </c>
      <c r="AA211" s="204">
        <f>ABS(Z211-Y211)</f>
        <v>5.4071000000000007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>VALUE(LEFT(A211,LEN(A211)-3))</f>
        <v>846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/stypes="app*4059*20171021*" /stext=" 04:.+((SYSTEM_STATE.+slice.+state.+changed )|(ment ac)|(multiple cpu faults)|(system.+state.+changed )|(\[timeout)|(PRM\|1\|D)|(kpr)|(kdp)|(train st.+moving)|(\|lc)|(penalty))"</v>
      </c>
      <c r="AG211" s="182" t="str">
        <f>DetSubdiv(A211)</f>
        <v>NW</v>
      </c>
      <c r="AH211" s="78" t="str">
        <f t="shared" si="36"/>
        <v>"%USERPROFILE%\Documents\GitHub\eaglep3\Utilities\RefineRTDCRunTimes.py" --tripid 846-20 --locoid 4059 --swversion DE.1.0.9.0 --startMP 300:58619 --initTime 2017-10-20T22:29:38 --startdatetime 2017-10-20T22:43:11 --delay 74 --endMP 204:4548 --enddatetime 2017-10-20T22:53:27 --enforcementcount 0 &gt;&gt;%USERPROFILE%\Documents\GitHub\eaglep3-reporting\EC\2017-10-20-refined-times.txt</v>
      </c>
      <c r="AI211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{"issue":{"subject":"","project_id":79,"tracker_id":40,"status_id":1,"priority_id":2,"assigned_to_id":338,"start_date":"2017-10-20","description":"","custom_fields":[{"id":1,"name":"Subdivision","value":"NW"},{"id":4,"name":"Milepost","value":"0.4548"},{"id":17,"name":"Train ID","value":"846-20"},{"id":16,"name":"Locomotive ID","value":"4059"},{"id":130,"name":"Impact","value":""},{"id":150,"name":"Time of Event (Mountain Time)","value":"22:53:27"},{"id":151,"name":"Denver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38"/>
        <v>start /low /b %USERPROFILE%\Documents\GitHub\eaglep3\Utilities\DownloadLogsFromS3.py --loco 4059 --day 2017-10-20</v>
      </c>
      <c r="AN211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04:53:27"},{"id":29,"name":"Sharepoint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40"/>
        <v>https://d0f6bd738d7f1b3e5a7ca70fe4ff75f0.us-east-1.aws.found.io/app/kibana#/discover/Steve-Slow-Train-Analysis-(2080s-and-2083s)?_g=(refreshInterval:(display:Off,pause:!f,section:0,value:0),time:(from:'2017-10-20T21:29:38-0600',mode:absolute,to:'2017-10-20T23:53:27-0600'))&amp;_a=(columns:!('Message%20ID',Summary),filters:!(),index:'emp_*',interval:auto,query:(query_string:(analyze_wildcard:!t,query:'%22rtdc.l.rtdc.4059%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854</v>
      </c>
      <c r="B212" s="7">
        <v>4060</v>
      </c>
      <c r="C212" s="21" t="s">
        <v>194</v>
      </c>
      <c r="D212" s="21" t="s">
        <v>620</v>
      </c>
      <c r="E212" s="13">
        <v>43028.915462962963</v>
      </c>
      <c r="F212" s="13">
        <v>43028.923506944448</v>
      </c>
      <c r="G212" s="7">
        <v>76</v>
      </c>
      <c r="H212" s="21" t="s">
        <v>1023</v>
      </c>
      <c r="I212" s="13">
        <v>43028.934814814813</v>
      </c>
      <c r="J212" s="7">
        <v>0</v>
      </c>
      <c r="K212" s="89" t="str">
        <f>IF(ISEVEN(B212),(B212-1)&amp;"/"&amp;B212,B212&amp;"/"&amp;(B212+1))</f>
        <v>4059/4060</v>
      </c>
      <c r="L212" s="185" t="str">
        <f>VLOOKUP(A212,'Trips&amp;Operators'!$C$1:$G$99911,5,FALSE)</f>
        <v>SMITH MICHAEL</v>
      </c>
      <c r="M212" s="6">
        <f>I212-F212</f>
        <v>1.130787036527181E-2</v>
      </c>
      <c r="N212" s="7">
        <f>24*60*SUM($M212:$M212)</f>
        <v>16.283333325991407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-20T20:58:16-0600',mode:absolute,to:'2017-10-20T23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2" s="204" t="str">
        <f>IF(AA212&lt;VLOOKUP(AG212,Variables!$AC$3:$AD$8,2,FALSE),"Y","N")</f>
        <v>N</v>
      </c>
      <c r="X212" s="204">
        <f>VALUE(LEFT(AD212,4))-VALUE(LEFT(AD211,4))</f>
        <v>1</v>
      </c>
      <c r="Y212" s="204">
        <f>RIGHT(D212,LEN(D212)-4)/10000</f>
        <v>9.7199999999999995E-2</v>
      </c>
      <c r="Z212" s="204">
        <f>RIGHT(H212,LEN(H212)-4)/10000</f>
        <v>5.8933</v>
      </c>
      <c r="AA212" s="204">
        <f>ABS(Z212-Y212)</f>
        <v>5.7961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>VALUE(LEFT(A212,LEN(A212)-3))</f>
        <v>847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/stypes="app*4060*20171021*" /stext=" 04:.+((SYSTEM_STATE.+slice.+state.+changed )|(ment ac)|(multiple cpu faults)|(system.+state.+changed )|(\[timeout)|(PRM\|1\|D)|(kpr)|(kdp)|(train st.+moving)|(\|lc)|(penalty))"</v>
      </c>
      <c r="AG212" s="182" t="str">
        <f>DetSubdiv(A212)</f>
        <v>NW</v>
      </c>
      <c r="AH212" s="78" t="str">
        <f t="shared" si="36"/>
        <v>"%USERPROFILE%\Documents\GitHub\eaglep3\Utilities\RefineRTDCRunTimes.py" --tripid 847-20 --locoid 4060 --swversion DE.1.0.9.0 --startMP 204:972 --initTime 2017-10-20T21:58:16 --startdatetime 2017-10-20T22:09:51 --delay 76 --endMP 300:58933 --enddatetime 2017-10-20T22:26:08 --enforcementcount 0 &gt;&gt;%USERPROFILE%\Documents\GitHub\eaglep3-reporting\EC\2017-10-20-refined-times.txt</v>
      </c>
      <c r="AI212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{"issue":{"subject":"","project_id":79,"tracker_id":40,"status_id":1,"priority_id":2,"assigned_to_id":338,"start_date":"2017-10-20","description":"","custom_fields":[{"id":1,"name":"Subdivision","value":"NW"},{"id":4,"name":"Milepost","value":"5.8933"},{"id":17,"name":"Train ID","value":"847-20"},{"id":16,"name":"Locomotive ID","value":"4060"},{"id":130,"name":"Impact","value":""},{"id":150,"name":"Time of Event (Mountain Time)","value":"22:26:08"},{"id":151,"name":"Denver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38"/>
        <v>start /low /b %USERPROFILE%\Documents\GitHub\eaglep3\Utilities\DownloadLogsFromS3.py --loco 4060 --day 2017-10-20</v>
      </c>
      <c r="AN212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04:26:08"},{"id":29,"name":"Sharepoint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40"/>
        <v>https://d0f6bd738d7f1b3e5a7ca70fe4ff75f0.us-east-1.aws.found.io/app/kibana#/discover/Steve-Slow-Train-Analysis-(2080s-and-2083s)?_g=(refreshInterval:(display:Off,pause:!f,section:0,value:0),time:(from:'2017-10-20T20:58:16-0600',mode:absolute,to:'2017-10-20T23:26:08-0600'))&amp;_a=(columns:!('Message%20ID',Summary),filters:!(),index:'emp_*',interval:auto,query:(query_string:(analyze_wildcard:!t,query:'%22rtdc.l.rtdc.4060%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858</v>
      </c>
      <c r="B213" s="7">
        <v>4060</v>
      </c>
      <c r="C213" s="21" t="s">
        <v>194</v>
      </c>
      <c r="D213" s="21" t="s">
        <v>624</v>
      </c>
      <c r="E213" s="13">
        <v>43028.958749999998</v>
      </c>
      <c r="F213" s="13">
        <v>43028.964826388888</v>
      </c>
      <c r="G213" s="7">
        <v>73</v>
      </c>
      <c r="H213" s="21" t="s">
        <v>1024</v>
      </c>
      <c r="I213" s="13">
        <v>43028.976006944446</v>
      </c>
      <c r="J213" s="7">
        <v>0</v>
      </c>
      <c r="K213" s="89" t="str">
        <f>IF(ISEVEN(B213),(B213-1)&amp;"/"&amp;B213,B213&amp;"/"&amp;(B213+1))</f>
        <v>4059/4060</v>
      </c>
      <c r="L213" s="185" t="str">
        <f>VLOOKUP(A213,'Trips&amp;Operators'!$C$1:$G$99911,5,FALSE)</f>
        <v>SMITH MICHAEL</v>
      </c>
      <c r="M213" s="6">
        <f>I213-F213</f>
        <v>1.1180555557075422E-2</v>
      </c>
      <c r="N213" s="7">
        <f>24*60*SUM($M213:$M213)</f>
        <v>16.100000002188608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-20T22:00:36-0600',mode:absolute,to:'2017-10-21T00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3" s="204" t="str">
        <f>IF(AA213&lt;VLOOKUP(AG213,Variables!$AC$3:$AD$8,2,FALSE),"Y","N")</f>
        <v>N</v>
      </c>
      <c r="X213" s="204">
        <f>VALUE(LEFT(AD213,4))-VALUE(LEFT(AD212,4))</f>
        <v>2</v>
      </c>
      <c r="Y213" s="204">
        <f>RIGHT(D213,LEN(D213)-4)/10000</f>
        <v>9.69E-2</v>
      </c>
      <c r="Z213" s="204">
        <f>RIGHT(H213,LEN(H213)-4)/10000</f>
        <v>5.8926999999999996</v>
      </c>
      <c r="AA213" s="204">
        <f>ABS(Z213-Y213)</f>
        <v>5.7957999999999998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>VALUE(LEFT(A213,LEN(A213)-3))</f>
        <v>849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/stypes="app*4060*20171021*" /stext=" 05:.+((SYSTEM_STATE.+slice.+state.+changed )|(ment ac)|(multiple cpu faults)|(system.+state.+changed )|(\[timeout)|(PRM\|1\|D)|(kpr)|(kdp)|(train st.+moving)|(\|lc)|(penalty))"</v>
      </c>
      <c r="AG213" s="182" t="str">
        <f>DetSubdiv(A213)</f>
        <v>NW</v>
      </c>
      <c r="AH213" s="78" t="str">
        <f t="shared" si="36"/>
        <v>"%USERPROFILE%\Documents\GitHub\eaglep3\Utilities\RefineRTDCRunTimes.py" --tripid 849-20 --locoid 4060 --swversion DE.1.0.9.0 --startMP 204:969 --initTime 2017-10-20T23:00:36 --startdatetime 2017-10-20T23:09:21 --delay 73 --endMP 300:58927 --enddatetime 2017-10-20T23:25:27 --enforcementcount 0 &gt;&gt;%USERPROFILE%\Documents\GitHub\eaglep3-reporting\EC\2017-10-20-refined-times.txt</v>
      </c>
      <c r="AI213" s="96" t="str">
        <f t="shared" si="37"/>
        <v>echo {"issue":{"subject":"","project_id":79,"tracker_id":40,"status_id":1,"priority_id":2,"assigned_to_id":338,"start_date":"2017-10-20","description":"","custom_fields":[{"id":1,"name":"Subdivision","value":"NW"},{"id":4,"name":"Milepost","value":"5.8927"},{"id":17,"name":"Train ID","value":"849-20"},{"id":16,"name":"Locomotive ID","value":"4060"},{"id":130,"name":"Impact","value":""},{"id":150,"name":"Time of Event (Mountain Time)","value":"23:25:27"},{"id":151,"name":"Denver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38"/>
        <v>start /low /b %USERPROFILE%\Documents\GitHub\eaglep3\Utilities\DownloadLogsFromS3.py --loco 4060 --day 2017-10-20</v>
      </c>
      <c r="AN213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05:25:27"},{"id":29,"name":"Sharepoint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40"/>
        <v>https://d0f6bd738d7f1b3e5a7ca70fe4ff75f0.us-east-1.aws.found.io/app/kibana#/discover/Steve-Slow-Train-Analysis-(2080s-and-2083s)?_g=(refreshInterval:(display:Off,pause:!f,section:0,value:0),time:(from:'2017-10-20T22:00:36-0600',mode:absolute,to:'2017-10-21T00:25:27-0600'))&amp;_a=(columns:!('Message%20ID',Summary),filters:!(),index:'emp_*',interval:auto,query:(query_string:(analyze_wildcard:!t,query:'%22rtdc.l.rtdc.4060%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829</v>
      </c>
      <c r="B214" s="7">
        <v>4040</v>
      </c>
      <c r="C214" s="21" t="s">
        <v>194</v>
      </c>
      <c r="D214" s="21" t="s">
        <v>396</v>
      </c>
      <c r="E214" s="13">
        <v>43028.777557870373</v>
      </c>
      <c r="F214" s="13">
        <v>43028.779178240744</v>
      </c>
      <c r="G214" s="7">
        <v>60</v>
      </c>
      <c r="H214" s="21" t="s">
        <v>617</v>
      </c>
      <c r="I214" s="13">
        <v>43028.786921296298</v>
      </c>
      <c r="J214" s="7">
        <v>0</v>
      </c>
      <c r="K214" s="89" t="str">
        <f>IF(ISEVEN(B214),(B214-1)&amp;"/"&amp;B214,B214&amp;"/"&amp;(B214+1))</f>
        <v>4039/4040</v>
      </c>
      <c r="L214" s="185" t="str">
        <f>VLOOKUP(A214,'Trips&amp;Operators'!$C$1:$G$99911,5,FALSE)</f>
        <v>LEVERE CRAIG</v>
      </c>
      <c r="M214" s="6">
        <f>I214-F214</f>
        <v>7.7430555538740009E-3</v>
      </c>
      <c r="N214" s="7">
        <f>24*60*SUM($M214:$M214)</f>
        <v>11.149999997578561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-20T17:39:41-0600',mode:absolute,to:'2017-10-20T19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-548</v>
      </c>
      <c r="Y214" s="204">
        <f>RIGHT(D214,LEN(D214)-4)/10000</f>
        <v>4.6399999999999997E-2</v>
      </c>
      <c r="Z214" s="204">
        <f>RIGHT(H214,LEN(H214)-4)/10000</f>
        <v>2.3304</v>
      </c>
      <c r="AA214" s="204">
        <f>ABS(Z214-Y214)</f>
        <v>2.2839999999999998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>VALUE(LEFT(A214,LEN(A214)-3))</f>
        <v>301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s3://rtdc.mdm.uploadarchive.raw/RTDC4040/ "%USERPROFILE%\AppData\Local\Temp\OnboardLogs"\RTDC4040\2017-10-20 --exclude "*" --recursive --include "*20171020*" &amp; "%USERPROFILE%\Documents\GitHub\mrs-test-scripts\Headless Mode &amp; Sideloading\WalkAndUnGZ.bat" "%USERPROFILE%\AppData\Local\Temp\OnboardLogs"\RTDC4040\2017-10-20 &amp; aws s3 cp s3://rtdc.mdm.uploadarchive.raw/RTDC4040/ "%USERPROFILE%\AppData\Local\Temp\OnboardLogs"\RTDC4040\2017-10-21 --exclude "*" --recursive --include "*20171021*" &amp; "%USERPROFILE%\Documents\GitHub\mrs-test-scripts\Headless Mode &amp; Sideloading\WalkAndUnGZ.bat" "%USERPROFILE%\AppData\Local\Temp\OnboardLogs"\RTDC4040\2017-10-21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/stypes="app*4040*20171021*" /stext=" 00:.+((SYSTEM_STATE.+slice.+state.+changed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36"/>
        <v>"%USERPROFILE%\Documents\GitHub\eaglep3\Utilities\RefineRTDCRunTimes.py" --tripid 301-20 --locoid 4040 --swversion DE.1.0.9.0 --startMP 204:464 --initTime 2017-10-20T18:39:41 --startdatetime 2017-10-20T18:42:01 --delay 60 --endMP 300:23304 --enddatetime 2017-10-20T18:53:10 --enforcementcount 0 &gt;&gt;%USERPROFILE%\Documents\GitHub\eaglep3-reporting\EC\2017-10-20-refined-times.txt</v>
      </c>
      <c r="AI214" s="96" t="str">
        <f t="shared" si="37"/>
        <v>echo {"issue":{"subject":"","project_id":79,"tracker_id":40,"status_id":1,"priority_id":2,"assigned_to_id":338,"start_date":"2017-10-20","description":"","custom_fields":[{"id":1,"name":"Subdivision","value":"Other"},{"id":4,"name":"Milepost","value":"2.3304"},{"id":17,"name":"Train ID","value":"301-20"},{"id":16,"name":"Locomotive ID","value":"4040"},{"id":130,"name":"Impact","value":""},{"id":150,"name":"Time of Event (Mountain Time)","value":"18:53:10"},{"id":151,"name":"Denver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38"/>
        <v>start /low /b %USERPROFILE%\Documents\GitHub\eaglep3\Utilities\DownloadLogsFromS3.py --loco 4040 --day 2017-10-20</v>
      </c>
      <c r="AN214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40"/>
        <v>https://d0f6bd738d7f1b3e5a7ca70fe4ff75f0.us-east-1.aws.found.io/app/kibana#/discover/Steve-Slow-Train-Analysis-(2080s-and-2083s)?_g=(refreshInterval:(display:Off,pause:!f,section:0,value:0),time:(from:'2017-10-20T17:39:41-0600',mode:absolute,to:'2017-10-20T19:53:10-0600'))&amp;_a=(columns:!('Message%20ID',Summary),filters:!(),index:'emp_*',interval:auto,query:(query_string:(analyze_wildcard:!t,query:'%22rtdc.l.rtdc.4040%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633</v>
      </c>
      <c r="B215" s="7">
        <v>4063</v>
      </c>
      <c r="C215" s="21" t="s">
        <v>194</v>
      </c>
      <c r="D215" s="21" t="s">
        <v>934</v>
      </c>
      <c r="E215" s="13">
        <v>43028.134513888886</v>
      </c>
      <c r="F215" s="13">
        <v>43028.140694444446</v>
      </c>
      <c r="G215" s="7">
        <v>78</v>
      </c>
      <c r="H215" s="21" t="s">
        <v>935</v>
      </c>
      <c r="I215" s="13">
        <v>43028.144467592596</v>
      </c>
      <c r="J215" s="7">
        <v>0</v>
      </c>
      <c r="K215" s="89" t="str">
        <f>IF(ISEVEN(B215),(B215-1)&amp;"/"&amp;B215,B215&amp;"/"&amp;(B215+1))</f>
        <v>4063/4064</v>
      </c>
      <c r="L215" s="185" t="str">
        <f>VLOOKUP(A215,'Trips&amp;Operators'!$C$1:$G$99911,5,FALSE)</f>
        <v>MAELZER KURT</v>
      </c>
      <c r="M215" s="6">
        <f>I215-F215</f>
        <v>3.7731481497758068E-3</v>
      </c>
      <c r="N215" s="7">
        <f>24*60*SUM($M215:$M215)</f>
        <v>5.4333333356771618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-10-20T02:13:42-0600',mode:absolute,to:'2017-10-20T04:28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1.9896</v>
      </c>
      <c r="Z215" s="204">
        <f>RIGHT(H215,LEN(H215)-4)/10000</f>
        <v>0.46250000000000002</v>
      </c>
      <c r="AA215" s="204">
        <f>ABS(Z215-Y215)</f>
        <v>1.5270999999999999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>VALUE(LEFT(A215,LEN(A215)-3))</f>
        <v>302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/stypes="app*4063*20171020*" /stext=" 09:.+((SYSTEM_STATE.+slice.+state.+changed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36"/>
        <v>"%USERPROFILE%\Documents\GitHub\eaglep3\Utilities\RefineRTDCRunTimes.py" --tripid 302-20 --locoid 4063 --swversion DE.1.0.9.0 --startMP 300:19896 --initTime 2017-10-20T03:13:42 --startdatetime 2017-10-20T03:22:36 --delay 78 --endMP 204:4625 --enddatetime 2017-10-20T03:28:02 --enforcementcount 0 &gt;&gt;%USERPROFILE%\Documents\GitHub\eaglep3-reporting\EC\2017-10-20-refined-times.txt</v>
      </c>
      <c r="AI215" s="96" t="str">
        <f t="shared" si="37"/>
        <v>echo {"issue":{"subject":"","project_id":79,"tracker_id":40,"status_id":1,"priority_id":2,"assigned_to_id":338,"start_date":"2017-10-20","description":"","custom_fields":[{"id":1,"name":"Subdivision","value":"Other"},{"id":4,"name":"Milepost","value":"0.4625"},{"id":17,"name":"Train ID","value":"302-20"},{"id":16,"name":"Locomotive ID","value":"4063"},{"id":130,"name":"Impact","value":""},{"id":150,"name":"Time of Event (Mountain Time)","value":"03:28:02"},{"id":151,"name":"Denver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38"/>
        <v>start /low /b %USERPROFILE%\Documents\GitHub\eaglep3\Utilities\DownloadLogsFromS3.py --loco 4063 --day 2017-10-20</v>
      </c>
      <c r="AN215" s="151" t="str">
        <f t="shared" si="39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09:28:02"},{"id":29,"name":"Sharepoint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40"/>
        <v>https://d0f6bd738d7f1b3e5a7ca70fe4ff75f0.us-east-1.aws.found.io/app/kibana#/discover/Steve-Slow-Train-Analysis-(2080s-and-2083s)?_g=(refreshInterval:(display:Off,pause:!f,section:0,value:0),time:(from:'2017-10-20T02:13:42-0600',mode:absolute,to:'2017-10-20T04:28:02-0600'))&amp;_a=(columns:!('Message%20ID',Summary),filters:!(),index:'emp_*',interval:auto,query:(query_string:(analyze_wildcard:!t,query:'%22rtdc.l.rtdc.4063%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836</v>
      </c>
      <c r="B216" s="7">
        <v>4016</v>
      </c>
      <c r="C216" s="21" t="s">
        <v>194</v>
      </c>
      <c r="D216" s="21" t="s">
        <v>600</v>
      </c>
      <c r="E216" s="13">
        <v>43028.802129629628</v>
      </c>
      <c r="F216" s="13">
        <v>43028.803738425922</v>
      </c>
      <c r="G216" s="7">
        <v>56</v>
      </c>
      <c r="H216" s="21" t="s">
        <v>405</v>
      </c>
      <c r="I216" s="13">
        <v>43028.809861111113</v>
      </c>
      <c r="J216" s="7">
        <v>0</v>
      </c>
      <c r="K216" s="89" t="str">
        <f>IF(ISEVEN(B216),(B216-1)&amp;"/"&amp;B216,B216&amp;"/"&amp;(B216+1))</f>
        <v>4015/4016</v>
      </c>
      <c r="L216" s="185" t="str">
        <f>VLOOKUP(A216,'Trips&amp;Operators'!$C$1:$G$99911,5,FALSE)</f>
        <v>LEVIN SCOTT</v>
      </c>
      <c r="M216" s="6">
        <f>I216-F216</f>
        <v>6.1226851903484203E-3</v>
      </c>
      <c r="N216" s="7">
        <f>24*60*SUM($M216:$M216)</f>
        <v>8.8166666741017252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-10-20T18:15:04-0600',mode:absolute,to:'2017-10-20T20:26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4.82E-2</v>
      </c>
      <c r="Z216" s="204">
        <f>RIGHT(H216,LEN(H216)-4)/10000</f>
        <v>2.3346</v>
      </c>
      <c r="AA216" s="204">
        <f>ABS(Z216-Y216)</f>
        <v>2.2864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>VALUE(LEFT(A216,LEN(A216)-3))</f>
        <v>303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 &amp; 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/stypes="app*4016*20171021*" /stext=" 01:.+((SYSTEM_STATE.+slice.+state.+changed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36"/>
        <v>"%USERPROFILE%\Documents\GitHub\eaglep3\Utilities\RefineRTDCRunTimes.py" --tripid 303-20 --locoid 4016 --swversion DE.1.0.9.0 --startMP 204:482 --initTime 2017-10-20T19:15:04 --startdatetime 2017-10-20T19:17:23 --delay 56 --endMP 300:23346 --enddatetime 2017-10-20T19:26:12 --enforcementcount 0 &gt;&gt;%USERPROFILE%\Documents\GitHub\eaglep3-reporting\EC\2017-10-20-refined-times.txt</v>
      </c>
      <c r="AI216" s="96" t="str">
        <f t="shared" si="37"/>
        <v>echo {"issue":{"subject":"","project_id":79,"tracker_id":40,"status_id":1,"priority_id":2,"assigned_to_id":338,"start_date":"2017-10-20","description":"","custom_fields":[{"id":1,"name":"Subdivision","value":"Other"},{"id":4,"name":"Milepost","value":"2.3346"},{"id":17,"name":"Train ID","value":"303-20"},{"id":16,"name":"Locomotive ID","value":"4016"},{"id":130,"name":"Impact","value":""},{"id":150,"name":"Time of Event (Mountain Time)","value":"19:26:12"},{"id":151,"name":"Denver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38"/>
        <v>start /low /b %USERPROFILE%\Documents\GitHub\eaglep3\Utilities\DownloadLogsFromS3.py --loco 4016 --day 2017-10-20</v>
      </c>
      <c r="AN216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01:26:12"},{"id":29,"name":"Sharepoint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40"/>
        <v>https://d0f6bd738d7f1b3e5a7ca70fe4ff75f0.us-east-1.aws.found.io/app/kibana#/discover/Steve-Slow-Train-Analysis-(2080s-and-2083s)?_g=(refreshInterval:(display:Off,pause:!f,section:0,value:0),time:(from:'2017-10-20T18:15:04-0600',mode:absolute,to:'2017-10-20T20:26:12-0600'))&amp;_a=(columns:!('Message%20ID',Summary),filters:!(),index:'emp_*',interval:auto,query:(query_string:(analyze_wildcard:!t,query:'%22rtdc.l.rtdc.4016%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661</v>
      </c>
      <c r="B217" s="7">
        <v>4025</v>
      </c>
      <c r="C217" s="21" t="s">
        <v>194</v>
      </c>
      <c r="D217" s="21" t="s">
        <v>936</v>
      </c>
      <c r="E217" s="13">
        <v>43028.156574074077</v>
      </c>
      <c r="F217" s="13">
        <v>43028.160601851851</v>
      </c>
      <c r="G217" s="7">
        <v>75</v>
      </c>
      <c r="H217" s="21" t="s">
        <v>357</v>
      </c>
      <c r="I217" s="13">
        <v>43028.167060185187</v>
      </c>
      <c r="J217" s="7">
        <v>0</v>
      </c>
      <c r="K217" s="89" t="str">
        <f>IF(ISEVEN(B217),(B217-1)&amp;"/"&amp;B217,B217&amp;"/"&amp;(B217+1))</f>
        <v>4025/4026</v>
      </c>
      <c r="L217" s="185" t="str">
        <f>VLOOKUP(A217,'Trips&amp;Operators'!$C$1:$G$99911,5,FALSE)</f>
        <v>BONDS REYNALDO</v>
      </c>
      <c r="M217" s="6">
        <f>I217-F217</f>
        <v>6.4583333369228058E-3</v>
      </c>
      <c r="N217" s="7">
        <f>24*60*SUM($M217:$M217)</f>
        <v>9.3000000051688403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-20T02:45:28-0600',mode:absolute,to:'2017-10-20T05:00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2.3391999999999999</v>
      </c>
      <c r="Z217" s="204">
        <f>RIGHT(H217,LEN(H217)-4)/10000</f>
        <v>1.5599999999999999E-2</v>
      </c>
      <c r="AA217" s="204">
        <f>ABS(Z217-Y217)</f>
        <v>2.3235999999999999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>VALUE(LEFT(A217,LEN(A217)-3))</f>
        <v>304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s3://rtdc.mdm.uploadarchive.raw/RTDC4025/ "%USERPROFILE%\AppData\Local\Temp\OnboardLogs"\RTDC4025\2017-10-20 --exclude "*" --recursive --include "*20171020*" &amp; "%USERPROFILE%\Documents\GitHub\mrs-test-scripts\Headless Mode &amp; Sideloading\WalkAndUnGZ.bat" "%USERPROFILE%\AppData\Local\Temp\OnboardLogs"\RTDC4025\2017-10-20 &amp; aws s3 cp s3://rtdc.mdm.uploadarchive.raw/RTDC4025/ "%USERPROFILE%\AppData\Local\Temp\OnboardLogs"\RTDC4025\2017-10-21 --exclude "*" --recursive --include "*20171021*" &amp; "%USERPROFILE%\Documents\GitHub\mrs-test-scripts\Headless Mode &amp; Sideloading\WalkAndUnGZ.bat" "%USERPROFILE%\AppData\Local\Temp\OnboardLogs"\RTDC4025\2017-10-21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/stypes="app*4025*20171020*" /stext=" 10:.+((SYSTEM_STATE.+slice.+state.+changed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ref="AH217:AH245" si="80"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304-20 --locoid 4025 --swversion DE.1.0.9.0 --startMP 300:23392 --initTime 2017-10-20T03:45:28 --startdatetime 2017-10-20T03:51:16 --delay 75 --endMP 204:156 --enddatetime 2017-10-20T04:00:34 --enforcementcount 0 &gt;&gt;%USERPROFILE%\Documents\GitHub\eaglep3-reporting\EC\2017-10-20-refined-times.txt</v>
      </c>
      <c r="AI217" s="96" t="str">
        <f t="shared" ref="AI217:AI245" si="81"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{"issue":{"subject":"","project_id":79,"tracker_id":40,"status_id":1,"priority_id":2,"assigned_to_id":338,"start_date":"2017-10-20","description":"","custom_fields":[{"id":1,"name":"Subdivision","value":"Other"},{"id":4,"name":"Milepost","value":"0.0156"},{"id":17,"name":"Train ID","value":"304-20"},{"id":16,"name":"Locomotive ID","value":"4025"},{"id":130,"name":"Impact","value":""},{"id":150,"name":"Time of Event (Mountain Time)","value":"04:00:34"},{"id":151,"name":"Denver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ref="AM217:AM245" si="82">"start /low /b "&amp;dls3logs&amp;" --loco "&amp;B217&amp;" --day "&amp;TEXT(F217,"YYYY-MM-DD")</f>
        <v>start /low /b %USERPROFILE%\Documents\GitHub\eaglep3\Utilities\DownloadLogsFromS3.py --loco 4025 --day 2017-10-20</v>
      </c>
      <c r="AN217" s="151" t="str">
        <f t="shared" ref="AN217:AN245" si="83">"echo {""issue"":{""subject"":"""&amp;R217&amp;""",""project_id"":30,""tracker_id"":4,""status_id"":"&amp;redmine_status_wcr&amp;",""priority_id"":"&amp;redmine_priority_wcr&amp;",""assigned_to_id"":"&amp;redmine_assignee_wcr&amp;",""start_date"":"""&amp;TEXT(I217-utc_offset/24,"YYYY-mm-dd")&amp;""",""description"":"""&amp;AJ217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10:00:34"},{"id":29,"name":"Sharepoint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ref="AO217:AO245" si="84"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Message%20ID',Summary),filters:!(),index:'emp_*',interval:auto,query:"&amp;"(query_string:(analyze_wildcard:!t,query:'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-20T02:45:28-0600',mode:absolute,to:'2017-10-20T05:00:34-0600'))&amp;_a=(columns:!('Message%20ID',Summary),filters:!(),index:'emp_*',interval:auto,query:(query_string:(analyze_wildcard:!t,query:'%22rtdc.l.rtdc.4025%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840</v>
      </c>
      <c r="B218" s="7">
        <v>4032</v>
      </c>
      <c r="C218" s="21" t="s">
        <v>194</v>
      </c>
      <c r="D218" s="21" t="s">
        <v>410</v>
      </c>
      <c r="E218" s="13">
        <v>43028.823298611111</v>
      </c>
      <c r="F218" s="13">
        <v>43028.82476851852</v>
      </c>
      <c r="G218" s="7">
        <v>60</v>
      </c>
      <c r="H218" s="21" t="s">
        <v>937</v>
      </c>
      <c r="I218" s="13">
        <v>43028.830914351849</v>
      </c>
      <c r="J218" s="7">
        <v>0</v>
      </c>
      <c r="K218" s="89" t="str">
        <f>IF(ISEVEN(B218),(B218-1)&amp;"/"&amp;B218,B218&amp;"/"&amp;(B218+1))</f>
        <v>4031/4032</v>
      </c>
      <c r="L218" s="185" t="str">
        <f>VLOOKUP(A218,'Trips&amp;Operators'!$C$1:$G$99911,5,FALSE)</f>
        <v>HOLCOMB KAMDEN</v>
      </c>
      <c r="M218" s="6">
        <f>I218-F218</f>
        <v>6.1458333293558098E-3</v>
      </c>
      <c r="N218" s="7">
        <f>24*60*SUM($M218:$M218)</f>
        <v>8.8499999942723662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-10-20T18:45:33-0600',mode:absolute,to:'2017-10-20T20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1</v>
      </c>
      <c r="Y218" s="204">
        <f>RIGHT(D218,LEN(D218)-4)/10000</f>
        <v>4.3799999999999999E-2</v>
      </c>
      <c r="Z218" s="204">
        <f>RIGHT(H218,LEN(H218)-4)/10000</f>
        <v>2.3300999999999998</v>
      </c>
      <c r="AA218" s="204">
        <f>ABS(Z218-Y218)</f>
        <v>2.2862999999999998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>VALUE(LEFT(A218,LEN(A218)-3))</f>
        <v>305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s3://rtdc.mdm.uploadarchive.raw/RTDC4032/ "%USERPROFILE%\AppData\Local\Temp\OnboardLogs"\RTDC4032\2017-10-20 --exclude "*" --recursive --include "*20171020*" &amp; "%USERPROFILE%\Documents\GitHub\mrs-test-scripts\Headless Mode &amp; Sideloading\WalkAndUnGZ.bat" "%USERPROFILE%\AppData\Local\Temp\OnboardLogs"\RTDC4032\2017-10-20 &amp; aws s3 cp s3://rtdc.mdm.uploadarchive.raw/RTDC4032/ "%USERPROFILE%\AppData\Local\Temp\OnboardLogs"\RTDC4032\2017-10-21 --exclude "*" --recursive --include "*20171021*" &amp; "%USERPROFILE%\Documents\GitHub\mrs-test-scripts\Headless Mode &amp; Sideloading\WalkAndUnGZ.bat" "%USERPROFILE%\AppData\Local\Temp\OnboardLogs"\RTDC4032\2017-10-21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/stypes="app*4032*20171021*" /stext=" 01:.+((SYSTEM_STATE.+slice.+state.+changed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80"/>
        <v>"%USERPROFILE%\Documents\GitHub\eaglep3\Utilities\RefineRTDCRunTimes.py" --tripid 305-20 --locoid 4032 --swversion DE.1.0.9.0 --startMP 204:438 --initTime 2017-10-20T19:45:33 --startdatetime 2017-10-20T19:47:40 --delay 60 --endMP 300:23301 --enddatetime 2017-10-20T19:56:31 --enforcementcount 0 &gt;&gt;%USERPROFILE%\Documents\GitHub\eaglep3-reporting\EC\2017-10-20-refined-times.txt</v>
      </c>
      <c r="AI218" s="96" t="str">
        <f t="shared" si="81"/>
        <v>echo {"issue":{"subject":"","project_id":79,"tracker_id":40,"status_id":1,"priority_id":2,"assigned_to_id":338,"start_date":"2017-10-20","description":"","custom_fields":[{"id":1,"name":"Subdivision","value":"Other"},{"id":4,"name":"Milepost","value":"2.3301"},{"id":17,"name":"Train ID","value":"305-20"},{"id":16,"name":"Locomotive ID","value":"4032"},{"id":130,"name":"Impact","value":""},{"id":150,"name":"Time of Event (Mountain Time)","value":"19:56:31"},{"id":151,"name":"Denver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82"/>
        <v>start /low /b %USERPROFILE%\Documents\GitHub\eaglep3\Utilities\DownloadLogsFromS3.py --loco 4032 --day 2017-10-20</v>
      </c>
      <c r="AN218" s="151" t="str">
        <f t="shared" si="8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01:56:31"},{"id":29,"name":"Sharepoint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84"/>
        <v>https://d0f6bd738d7f1b3e5a7ca70fe4ff75f0.us-east-1.aws.found.io/app/kibana#/discover/Steve-Slow-Train-Analysis-(2080s-and-2083s)?_g=(refreshInterval:(display:Off,pause:!f,section:0,value:0),time:(from:'2017-10-20T18:45:33-0600',mode:absolute,to:'2017-10-20T20:56:31-0600'))&amp;_a=(columns:!('Message%20ID',Summary),filters:!(),index:'emp_*',interval:auto,query:(query_string:(analyze_wildcard:!t,query:'%22rtdc.l.rtdc.4032%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666</v>
      </c>
      <c r="B219" s="7">
        <v>4043</v>
      </c>
      <c r="C219" s="21" t="s">
        <v>194</v>
      </c>
      <c r="D219" s="21" t="s">
        <v>938</v>
      </c>
      <c r="E219" s="13">
        <v>43028.170636574076</v>
      </c>
      <c r="F219" s="13">
        <v>43028.174525462964</v>
      </c>
      <c r="G219" s="7">
        <v>68</v>
      </c>
      <c r="H219" s="21" t="s">
        <v>489</v>
      </c>
      <c r="I219" s="13">
        <v>43028.181111111109</v>
      </c>
      <c r="J219" s="7">
        <v>0</v>
      </c>
      <c r="K219" s="89" t="str">
        <f>IF(ISEVEN(B219),(B219-1)&amp;"/"&amp;B219,B219&amp;"/"&amp;(B219+1))</f>
        <v>4043/4044</v>
      </c>
      <c r="L219" s="185" t="str">
        <f>VLOOKUP(A219,'Trips&amp;Operators'!$C$1:$G$99911,5,FALSE)</f>
        <v>GEBRETEKLE DAGNEW</v>
      </c>
      <c r="M219" s="6">
        <f>I219-F219</f>
        <v>6.5856481451191939E-3</v>
      </c>
      <c r="N219" s="7">
        <f>24*60*SUM($M219:$M219)</f>
        <v>9.4833333289716393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-10-20T03:05:43-0600',mode:absolute,to:'2017-10-20T05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1</v>
      </c>
      <c r="Y219" s="204">
        <f>RIGHT(D219,LEN(D219)-4)/10000</f>
        <v>2.3685999999999998</v>
      </c>
      <c r="Z219" s="204">
        <f>RIGHT(H219,LEN(H219)-4)/10000</f>
        <v>1.6299999999999999E-2</v>
      </c>
      <c r="AA219" s="204">
        <f>ABS(Z219-Y219)</f>
        <v>2.3522999999999996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>VALUE(LEFT(A219,LEN(A219)-3))</f>
        <v>306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 &amp; aws s3 cp s3://rtdc.mdm.uploadarchive.raw/RTDC4043/ "%USERPROFILE%\AppData\Local\Temp\OnboardLogs"\RTDC4043\2017-10-21 --exclude "*" --recursive --include "*20171021*" &amp; "%USERPROFILE%\Documents\GitHub\mrs-test-scripts\Headless Mode &amp; Sideloading\WalkAndUnGZ.bat" "%USERPROFILE%\AppData\Local\Temp\OnboardLogs"\RTDC4043\2017-10-21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/stypes="app*4043*20171020*" /stext=" 10:.+((SYSTEM_STATE.+slice.+state.+changed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80"/>
        <v>"%USERPROFILE%\Documents\GitHub\eaglep3\Utilities\RefineRTDCRunTimes.py" --tripid 306-20 --locoid 4043 --swversion DE.1.0.9.0 --startMP 300:23686 --initTime 2017-10-20T04:05:43 --startdatetime 2017-10-20T04:11:19 --delay 68 --endMP 204:163 --enddatetime 2017-10-20T04:20:48 --enforcementcount 0 &gt;&gt;%USERPROFILE%\Documents\GitHub\eaglep3-reporting\EC\2017-10-20-refined-times.txt</v>
      </c>
      <c r="AI219" s="96" t="str">
        <f t="shared" si="81"/>
        <v>echo {"issue":{"subject":"","project_id":79,"tracker_id":40,"status_id":1,"priority_id":2,"assigned_to_id":338,"start_date":"2017-10-20","description":"","custom_fields":[{"id":1,"name":"Subdivision","value":"Other"},{"id":4,"name":"Milepost","value":"0.0163"},{"id":17,"name":"Train ID","value":"306-20"},{"id":16,"name":"Locomotive ID","value":"4043"},{"id":130,"name":"Impact","value":""},{"id":150,"name":"Time of Event (Mountain Time)","value":"04:20:48"},{"id":151,"name":"Denver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82"/>
        <v>start /low /b %USERPROFILE%\Documents\GitHub\eaglep3\Utilities\DownloadLogsFromS3.py --loco 4043 --day 2017-10-20</v>
      </c>
      <c r="AN219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10:20:48"},{"id":29,"name":"Sharepoint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84"/>
        <v>https://d0f6bd738d7f1b3e5a7ca70fe4ff75f0.us-east-1.aws.found.io/app/kibana#/discover/Steve-Slow-Train-Analysis-(2080s-and-2083s)?_g=(refreshInterval:(display:Off,pause:!f,section:0,value:0),time:(from:'2017-10-20T03:05:43-0600',mode:absolute,to:'2017-10-20T05:20:48-0600'))&amp;_a=(columns:!('Message%20ID',Summary),filters:!(),index:'emp_*',interval:auto,query:(query_string:(analyze_wildcard:!t,query:'%22rtdc.l.rtdc.4043%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869</v>
      </c>
      <c r="B220" s="7">
        <v>4064</v>
      </c>
      <c r="C220" s="21" t="s">
        <v>194</v>
      </c>
      <c r="D220" s="21" t="s">
        <v>432</v>
      </c>
      <c r="E220" s="13">
        <v>43029.048796296294</v>
      </c>
      <c r="F220" s="13">
        <v>43029.050428240742</v>
      </c>
      <c r="G220" s="7">
        <v>55</v>
      </c>
      <c r="H220" s="21" t="s">
        <v>616</v>
      </c>
      <c r="I220" s="13">
        <v>25568.708333333332</v>
      </c>
      <c r="J220" s="7">
        <v>0</v>
      </c>
      <c r="K220" s="89" t="str">
        <f>IF(ISEVEN(B220),(B220-1)&amp;"/"&amp;B220,B220&amp;"/"&amp;(B220+1))</f>
        <v>4063/4064</v>
      </c>
      <c r="L220" s="185" t="str">
        <f>VLOOKUP(A220,'Trips&amp;Operators'!$C$1:$G$99911,5,FALSE)</f>
        <v>DAVIDSON DAVID</v>
      </c>
      <c r="M220" s="6">
        <f>I220-F220</f>
        <v>-17460.34209490741</v>
      </c>
      <c r="N220" s="7">
        <f>24*60*SUM($M220:$M220)</f>
        <v>-25142892.616666671</v>
      </c>
      <c r="O220" s="7"/>
      <c r="P220" s="7"/>
      <c r="Q220" s="22"/>
      <c r="R220" s="174"/>
      <c r="S220" s="221">
        <f>1/IF(AG220="EC",12,1)*SUM(U220:U220)</f>
        <v>1</v>
      </c>
      <c r="T220" s="174" t="str">
        <f>IF(ISEVEN(LEFT(AD220,4)),"Southbound","NorthBound")</f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-10-21T00:10:16-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1</v>
      </c>
      <c r="Y220" s="204">
        <f>RIGHT(D220,LEN(D220)-4)/10000</f>
        <v>4.6899999999999997E-2</v>
      </c>
      <c r="Z220" s="204">
        <f>RIGHT(H220,LEN(H220)-4)/10000</f>
        <v>2.3306</v>
      </c>
      <c r="AA220" s="204">
        <f>ABS(Z220-Y220)</f>
        <v>2.2837000000000001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>VALUE(LEFT(A220,LEN(A220)-3))</f>
        <v>307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s3://rtdc.mdm.uploadarchive.raw/RTDC4064/ "%USERPROFILE%\AppData\Local\Temp\OnboardLogs"\RTDC4064\2017-10-21 --exclude "*" --recursive --include "*20171021*" &amp; "%USERPROFILE%\Documents\GitHub\mrs-test-scripts\Headless Mode &amp; Sideloading\WalkAndUnGZ.bat" "%USERPROFILE%\AppData\Local\Temp\OnboardLogs"\RTDC4064\2017-10-21 &amp; aws s3 cp s3://rtdc.mdm.uploadarchive.raw/RTDC4064/ "%USERPROFILE%\AppData\Local\Temp\OnboardLogs"\RTDC4064\2017-10-22 --exclude "*" --recursive --include "*20171022*" &amp; "%USERPROFILE%\Documents\GitHub\mrs-test-scripts\Headless Mode &amp; Sideloading\WalkAndUnGZ.bat" "%USERPROFILE%\AppData\Local\Temp\OnboardLogs"\RTDC4064\2017-10-22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/stypes="app*4064*19691231*" /stext=" 23:.+((SYSTEM_STATE.+slice.+state.+changed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80"/>
        <v>"%USERPROFILE%\Documents\GitHub\eaglep3\Utilities\RefineRTDCRunTimes.py" --tripid 307-20 --locoid 4064 --swversion DE.1.0.9.0 --startMP 204:469 --initTime 2017-10-21T01:10:16 --startdatetime 2017-10-21T01:12:37 --delay 55 --endMP 300:23306 --enddatetime 1969-12-31T17:00:00 --enforcementcount 0 &gt;&gt;%USERPROFILE%\Documents\GitHub\eaglep3-reporting\EC\2017-10-20-refined-times.txt</v>
      </c>
      <c r="AI220" s="96" t="str">
        <f t="shared" si="81"/>
        <v>echo {"issue":{"subject":"","project_id":79,"tracker_id":40,"status_id":1,"priority_id":2,"assigned_to_id":338,"start_date":"1969-12-31","description":"","custom_fields":[{"id":1,"name":"Subdivision","value":"Other"},{"id":4,"name":"Milepost","value":"2.3306"},{"id":17,"name":"Train ID","value":"307-20"},{"id":16,"name":"Locomotive ID","value":"4064"},{"id":130,"name":"Impact","value":""},{"id":150,"name":"Time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82"/>
        <v>start /low /b %USERPROFILE%\Documents\GitHub\eaglep3\Utilities\DownloadLogsFromS3.py --loco 4064 --day 2017-10-21</v>
      </c>
      <c r="AN220" s="151" t="str">
        <f t="shared" si="8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84"/>
        <v>https://d0f6bd738d7f1b3e5a7ca70fe4ff75f0.us-east-1.aws.found.io/app/kibana#/discover/Steve-Slow-Train-Analysis-(2080s-and-2083s)?_g=(refreshInterval:(display:Off,pause:!f,section:0,value:0),time:(from:'2017-10-21T00:10:16-0600',mode:absolute,to:'1969-12-31T18:00:00-0600'))&amp;_a=(columns:!('Message%20ID',Summary),filters:!(),index:'emp_*',interval:auto,query:(query_string:(analyze_wildcard:!t,query:'%22rtdc.l.rtdc.4064%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668</v>
      </c>
      <c r="B221" s="7">
        <v>4039</v>
      </c>
      <c r="C221" s="21" t="s">
        <v>194</v>
      </c>
      <c r="D221" s="21" t="s">
        <v>939</v>
      </c>
      <c r="E221" s="13">
        <v>43028.186053240737</v>
      </c>
      <c r="F221" s="13">
        <v>43028.189282407409</v>
      </c>
      <c r="G221" s="7">
        <v>70</v>
      </c>
      <c r="H221" s="21" t="s">
        <v>940</v>
      </c>
      <c r="I221" s="13">
        <v>43028.195451388892</v>
      </c>
      <c r="J221" s="7">
        <v>0</v>
      </c>
      <c r="K221" s="89" t="str">
        <f>IF(ISEVEN(B221),(B221-1)&amp;"/"&amp;B221,B221&amp;"/"&amp;(B221+1))</f>
        <v>4039/4040</v>
      </c>
      <c r="L221" s="185" t="str">
        <f>VLOOKUP(A221,'Trips&amp;Operators'!$C$1:$G$99911,5,FALSE)</f>
        <v>DAVIS WENDY</v>
      </c>
      <c r="M221" s="6">
        <f>I221-F221</f>
        <v>6.1689814829151146E-3</v>
      </c>
      <c r="N221" s="7">
        <f>24*60*SUM($M221:$M221)</f>
        <v>8.883333335397765</v>
      </c>
      <c r="O221" s="7"/>
      <c r="P221" s="7"/>
      <c r="Q221" s="22"/>
      <c r="R221" s="174"/>
      <c r="S221" s="221">
        <f>1/IF(AG221="EC",12,1)*SUM(U221:U221)</f>
        <v>1</v>
      </c>
      <c r="T221" s="174" t="str">
        <f>IF(ISEVEN(LEFT(AD221,4)),"Southbound","NorthBound")</f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-10-20T03:27:55-0600',mode:absolute,to:'2017-10-20T05:41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1</v>
      </c>
      <c r="Y221" s="204">
        <f>RIGHT(D221,LEN(D221)-4)/10000</f>
        <v>2.2258</v>
      </c>
      <c r="Z221" s="204">
        <f>RIGHT(H221,LEN(H221)-4)/10000</f>
        <v>1.6899999999999998E-2</v>
      </c>
      <c r="AA221" s="204">
        <f>ABS(Z221-Y221)</f>
        <v>2.2088999999999999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>VALUE(LEFT(A221,LEN(A221)-3))</f>
        <v>308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s3://rtdc.mdm.uploadarchive.raw/RTDC4039/ "%USERPROFILE%\AppData\Local\Temp\OnboardLogs"\RTDC4039\2017-10-20 --exclude "*" --recursive --include "*20171020*" &amp; "%USERPROFILE%\Documents\GitHub\mrs-test-scripts\Headless Mode &amp; Sideloading\WalkAndUnGZ.bat" "%USERPROFILE%\AppData\Local\Temp\OnboardLogs"\RTDC4039\2017-10-20 &amp; aws s3 cp s3://rtdc.mdm.uploadarchive.raw/RTDC4039/ "%USERPROFILE%\AppData\Local\Temp\OnboardLogs"\RTDC4039\2017-10-21 --exclude "*" --recursive --include "*20171021*" &amp; "%USERPROFILE%\Documents\GitHub\mrs-test-scripts\Headless Mode &amp; Sideloading\WalkAndUnGZ.bat" "%USERPROFILE%\AppData\Local\Temp\OnboardLogs"\RTDC4039\2017-10-21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/stypes="app*4039*20171020*" /stext=" 10:.+((SYSTEM_STATE.+slice.+state.+changed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80"/>
        <v>"%USERPROFILE%\Documents\GitHub\eaglep3\Utilities\RefineRTDCRunTimes.py" --tripid 308-20 --locoid 4039 --swversion DE.1.0.9.0 --startMP 300:22258 --initTime 2017-10-20T04:27:55 --startdatetime 2017-10-20T04:32:34 --delay 70 --endMP 204:169 --enddatetime 2017-10-20T04:41:27 --enforcementcount 0 &gt;&gt;%USERPROFILE%\Documents\GitHub\eaglep3-reporting\EC\2017-10-20-refined-times.txt</v>
      </c>
      <c r="AI221" s="96" t="str">
        <f t="shared" si="81"/>
        <v>echo {"issue":{"subject":"","project_id":79,"tracker_id":40,"status_id":1,"priority_id":2,"assigned_to_id":338,"start_date":"2017-10-20","description":"","custom_fields":[{"id":1,"name":"Subdivision","value":"Other"},{"id":4,"name":"Milepost","value":"0.0169"},{"id":17,"name":"Train ID","value":"308-20"},{"id":16,"name":"Locomotive ID","value":"4039"},{"id":130,"name":"Impact","value":""},{"id":150,"name":"Time of Event (Mountain Time)","value":"04:41:27"},{"id":151,"name":"Denver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82"/>
        <v>start /low /b %USERPROFILE%\Documents\GitHub\eaglep3\Utilities\DownloadLogsFromS3.py --loco 4039 --day 2017-10-20</v>
      </c>
      <c r="AN221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10:41:27"},{"id":29,"name":"Sharepoint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84"/>
        <v>https://d0f6bd738d7f1b3e5a7ca70fe4ff75f0.us-east-1.aws.found.io/app/kibana#/discover/Steve-Slow-Train-Analysis-(2080s-and-2083s)?_g=(refreshInterval:(display:Off,pause:!f,section:0,value:0),time:(from:'2017-10-20T03:27:55-0600',mode:absolute,to:'2017-10-20T05:41:27-0600'))&amp;_a=(columns:!('Message%20ID',Summary),filters:!(),index:'emp_*',interval:auto,query:(query_string:(analyze_wildcard:!t,query:'%22rtdc.l.rtdc.4039%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870</v>
      </c>
      <c r="B222" s="7">
        <v>4026</v>
      </c>
      <c r="C222" s="21" t="s">
        <v>194</v>
      </c>
      <c r="D222" s="21" t="s">
        <v>364</v>
      </c>
      <c r="E222" s="13">
        <v>43029.071759259263</v>
      </c>
      <c r="F222" s="13">
        <v>43029.073912037034</v>
      </c>
      <c r="G222" s="7">
        <v>86</v>
      </c>
      <c r="H222" s="21" t="s">
        <v>941</v>
      </c>
      <c r="I222" s="13">
        <v>43029.083761574075</v>
      </c>
      <c r="J222" s="7">
        <v>0</v>
      </c>
      <c r="K222" s="89" t="str">
        <f>IF(ISEVEN(B222),(B222-1)&amp;"/"&amp;B222,B222&amp;"/"&amp;(B222+1))</f>
        <v>4025/4026</v>
      </c>
      <c r="L222" s="185" t="str">
        <f>VLOOKUP(A222,'Trips&amp;Operators'!$C$1:$G$99911,5,FALSE)</f>
        <v>NICHOLSON WESLEY</v>
      </c>
      <c r="M222" s="6">
        <f>I222-F222</f>
        <v>9.8495370402815752E-3</v>
      </c>
      <c r="N222" s="7">
        <f>24*60*SUM($M222:$M222)</f>
        <v>14.183333338005468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-10-21T00:43:20-0600',mode:absolute,to:'2017-10-21T03:00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1</v>
      </c>
      <c r="Y222" s="204">
        <f>RIGHT(D222,LEN(D222)-4)/10000</f>
        <v>4.5100000000000001E-2</v>
      </c>
      <c r="Z222" s="204">
        <f>RIGHT(H222,LEN(H222)-4)/10000</f>
        <v>2.3289</v>
      </c>
      <c r="AA222" s="204">
        <f>ABS(Z222-Y222)</f>
        <v>2.2837999999999998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>VALUE(LEFT(A222,LEN(A222)-3))</f>
        <v>309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s3://rtdc.mdm.uploadarchive.raw/RTDC4026/ "%USERPROFILE%\AppData\Local\Temp\OnboardLogs"\RTDC4026\2017-10-21 --exclude "*" --recursive --include "*20171021*" &amp; "%USERPROFILE%\Documents\GitHub\mrs-test-scripts\Headless Mode &amp; Sideloading\WalkAndUnGZ.bat" "%USERPROFILE%\AppData\Local\Temp\OnboardLogs"\RTDC4026\2017-10-21 &amp; aws s3 cp s3://rtdc.mdm.uploadarchive.raw/RTDC4026/ "%USERPROFILE%\AppData\Local\Temp\OnboardLogs"\RTDC4026\2017-10-22 --exclude "*" --recursive --include "*20171022*" &amp; "%USERPROFILE%\Documents\GitHub\mrs-test-scripts\Headless Mode &amp; Sideloading\WalkAndUnGZ.bat" "%USERPROFILE%\AppData\Local\Temp\OnboardLogs"\RTDC4026\2017-10-22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/stypes="app*4026*20171021*" /stext=" 08:.+((SYSTEM_STATE.+slice.+state.+changed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80"/>
        <v>"%USERPROFILE%\Documents\GitHub\eaglep3\Utilities\RefineRTDCRunTimes.py" --tripid 309-20 --locoid 4026 --swversion DE.1.0.9.0 --startMP 204:451 --initTime 2017-10-21T01:43:20 --startdatetime 2017-10-21T01:46:26 --delay 86 --endMP 300:23289 --enddatetime 2017-10-21T02:00:37 --enforcementcount 0 &gt;&gt;%USERPROFILE%\Documents\GitHub\eaglep3-reporting\EC\2017-10-20-refined-times.txt</v>
      </c>
      <c r="AI222" s="96" t="str">
        <f t="shared" si="81"/>
        <v>echo {"issue":{"subject":"","project_id":79,"tracker_id":40,"status_id":1,"priority_id":2,"assigned_to_id":338,"start_date":"2017-10-21","description":"","custom_fields":[{"id":1,"name":"Subdivision","value":"Other"},{"id":4,"name":"Milepost","value":"2.3289"},{"id":17,"name":"Train ID","value":"309-20"},{"id":16,"name":"Locomotive ID","value":"4026"},{"id":130,"name":"Impact","value":""},{"id":150,"name":"Time of Event (Mountain Time)","value":"02:00:37"},{"id":151,"name":"Denver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82"/>
        <v>start /low /b %USERPROFILE%\Documents\GitHub\eaglep3\Utilities\DownloadLogsFromS3.py --loco 4026 --day 2017-10-21</v>
      </c>
      <c r="AN222" s="151" t="str">
        <f t="shared" si="8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08:00:37"},{"id":29,"name":"Sharepoint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84"/>
        <v>https://d0f6bd738d7f1b3e5a7ca70fe4ff75f0.us-east-1.aws.found.io/app/kibana#/discover/Steve-Slow-Train-Analysis-(2080s-and-2083s)?_g=(refreshInterval:(display:Off,pause:!f,section:0,value:0),time:(from:'2017-10-21T00:43:20-0600',mode:absolute,to:'2017-10-21T03:00:37-0600'))&amp;_a=(columns:!('Message%20ID',Summary),filters:!(),index:'emp_*',interval:auto,query:(query_string:(analyze_wildcard:!t,query:'%22rtdc.l.rtdc.4026%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673</v>
      </c>
      <c r="B223" s="7">
        <v>4001</v>
      </c>
      <c r="C223" s="21" t="s">
        <v>194</v>
      </c>
      <c r="D223" s="21" t="s">
        <v>942</v>
      </c>
      <c r="E223" s="13">
        <v>43028.203923611109</v>
      </c>
      <c r="F223" s="13">
        <v>43028.207905092589</v>
      </c>
      <c r="G223" s="7">
        <v>73</v>
      </c>
      <c r="H223" s="21" t="s">
        <v>943</v>
      </c>
      <c r="I223" s="13">
        <v>43028.213472222225</v>
      </c>
      <c r="J223" s="7">
        <v>0</v>
      </c>
      <c r="K223" s="89" t="str">
        <f>IF(ISEVEN(B223),(B223-1)&amp;"/"&amp;B223,B223&amp;"/"&amp;(B223+1))</f>
        <v>4001/4002</v>
      </c>
      <c r="L223" s="185" t="str">
        <f>VLOOKUP(A223,'Trips&amp;Operators'!$C$1:$G$99911,5,FALSE)</f>
        <v>MACDONALD THOMAS</v>
      </c>
      <c r="M223" s="6">
        <f>I223-F223</f>
        <v>5.5671296358923428E-3</v>
      </c>
      <c r="N223" s="7">
        <f>24*60*SUM($M223:$M223)</f>
        <v>8.0166666756849736</v>
      </c>
      <c r="O223" s="7"/>
      <c r="P223" s="7"/>
      <c r="Q223" s="22"/>
      <c r="R223" s="174"/>
      <c r="S223" s="221">
        <f>1/IF(AG223="EC",12,1)*SUM(U223:U223)</f>
        <v>1</v>
      </c>
      <c r="T223" s="174" t="str">
        <f>IF(ISEVEN(LEFT(AD223,4)),"Southbound","NorthBound")</f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-10-20T03:53:39-0600',mode:absolute,to:'2017-10-20T06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1</v>
      </c>
      <c r="Y223" s="204">
        <f>RIGHT(D223,LEN(D223)-4)/10000</f>
        <v>2.3073999999999999</v>
      </c>
      <c r="Z223" s="204">
        <f>RIGHT(H223,LEN(H223)-4)/10000</f>
        <v>1.72E-2</v>
      </c>
      <c r="AA223" s="204">
        <f>ABS(Z223-Y223)</f>
        <v>2.2902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>VALUE(LEFT(A223,LEN(A223)-3))</f>
        <v>310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s3://rtdc.mdm.uploadarchive.raw/RTDC4001/ "%USERPROFILE%\AppData\Local\Temp\OnboardLogs"\RTDC4001\2017-10-20 --exclude "*" --recursive --include "*20171020*" &amp; "%USERPROFILE%\Documents\GitHub\mrs-test-scripts\Headless Mode &amp; Sideloading\WalkAndUnGZ.bat" "%USERPROFILE%\AppData\Local\Temp\OnboardLogs"\RTDC4001\2017-10-20 &amp; aws s3 cp s3://rtdc.mdm.uploadarchive.raw/RTDC4001/ "%USERPROFILE%\AppData\Local\Temp\OnboardLogs"\RTDC4001\2017-10-21 --exclude "*" --recursive --include "*20171021*" &amp; "%USERPROFILE%\Documents\GitHub\mrs-test-scripts\Headless Mode &amp; Sideloading\WalkAndUnGZ.bat" "%USERPROFILE%\AppData\Local\Temp\OnboardLogs"\RTDC4001\2017-10-21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/stypes="app*4001*20171020*" /stext=" 11:.+((SYSTEM_STATE.+slice.+state.+changed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80"/>
        <v>"%USERPROFILE%\Documents\GitHub\eaglep3\Utilities\RefineRTDCRunTimes.py" --tripid 310-20 --locoid 4001 --swversion DE.1.0.9.0 --startMP 300:23074 --initTime 2017-10-20T04:53:39 --startdatetime 2017-10-20T04:59:23 --delay 73 --endMP 204:172 --enddatetime 2017-10-20T05:07:24 --enforcementcount 0 &gt;&gt;%USERPROFILE%\Documents\GitHub\eaglep3-reporting\EC\2017-10-20-refined-times.txt</v>
      </c>
      <c r="AI223" s="96" t="str">
        <f t="shared" si="81"/>
        <v>echo {"issue":{"subject":"","project_id":79,"tracker_id":40,"status_id":1,"priority_id":2,"assigned_to_id":338,"start_date":"2017-10-20","description":"","custom_fields":[{"id":1,"name":"Subdivision","value":"Other"},{"id":4,"name":"Milepost","value":"0.0172"},{"id":17,"name":"Train ID","value":"310-20"},{"id":16,"name":"Locomotive ID","value":"4001"},{"id":130,"name":"Impact","value":""},{"id":150,"name":"Time of Event (Mountain Time)","value":"05:07:24"},{"id":151,"name":"Denver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82"/>
        <v>start /low /b %USERPROFILE%\Documents\GitHub\eaglep3\Utilities\DownloadLogsFromS3.py --loco 4001 --day 2017-10-20</v>
      </c>
      <c r="AN223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11:07:24"},{"id":29,"name":"Sharepoint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84"/>
        <v>https://d0f6bd738d7f1b3e5a7ca70fe4ff75f0.us-east-1.aws.found.io/app/kibana#/discover/Steve-Slow-Train-Analysis-(2080s-and-2083s)?_g=(refreshInterval:(display:Off,pause:!f,section:0,value:0),time:(from:'2017-10-20T03:53:39-0600',mode:absolute,to:'2017-10-20T06:07:24-0600'))&amp;_a=(columns:!('Message%20ID',Summary),filters:!(),index:'emp_*',interval:auto,query:(query_string:(analyze_wildcard:!t,query:'%22rtdc.l.rtdc.4001%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871</v>
      </c>
      <c r="B224" s="7">
        <v>4044</v>
      </c>
      <c r="C224" s="21" t="s">
        <v>194</v>
      </c>
      <c r="D224" s="21" t="s">
        <v>608</v>
      </c>
      <c r="E224" s="13">
        <v>43029.087256944447</v>
      </c>
      <c r="F224" s="13">
        <v>25568.708333333332</v>
      </c>
      <c r="G224" s="7">
        <v>50</v>
      </c>
      <c r="H224" s="21" t="s">
        <v>944</v>
      </c>
      <c r="I224" s="13">
        <v>25568.708333333332</v>
      </c>
      <c r="J224" s="7">
        <v>0</v>
      </c>
      <c r="K224" s="89" t="str">
        <f>IF(ISEVEN(B224),(B224-1)&amp;"/"&amp;B224,B224&amp;"/"&amp;(B224+1))</f>
        <v>4043/4044</v>
      </c>
      <c r="L224" s="185" t="str">
        <f>VLOOKUP(A224,'Trips&amp;Operators'!$C$1:$G$99911,5,FALSE)</f>
        <v>ELBAUM MIKE</v>
      </c>
      <c r="M224" s="6">
        <f>I224-F224</f>
        <v>0</v>
      </c>
      <c r="N224" s="7">
        <f>24*60*SUM($M224:$M224)</f>
        <v>0</v>
      </c>
      <c r="O224" s="7"/>
      <c r="P224" s="7"/>
      <c r="Q224" s="22"/>
      <c r="R224" s="174"/>
      <c r="S224" s="221">
        <f>1/IF(AG224="EC",12,1)*SUM(U224:U224)</f>
        <v>1</v>
      </c>
      <c r="T224" s="174" t="str">
        <f>IF(ISEVEN(LEFT(AD224,4)),"Southbound","NorthBound")</f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-10-21T01:05:39-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1</v>
      </c>
      <c r="Y224" s="204">
        <f>RIGHT(D224,LEN(D224)-4)/10000</f>
        <v>4.2700000000000002E-2</v>
      </c>
      <c r="Z224" s="204">
        <f>RIGHT(H224,LEN(H224)-4)/10000</f>
        <v>2.3308</v>
      </c>
      <c r="AA224" s="204">
        <f>ABS(Z224-Y224)</f>
        <v>2.2881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>VALUE(LEFT(A224,LEN(A224)-3))</f>
        <v>311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/stypes="app*4044*19691231*" /stext=" 23:.+((SYSTEM_STATE.+slice.+state.+changed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80"/>
        <v>"%USERPROFILE%\Documents\GitHub\eaglep3\Utilities\RefineRTDCRunTimes.py" --tripid 311-20 --locoid 4044 --swversion DE.1.0.9.0 --startMP 204:427 --initTime 2017-10-21T02:05:39 --startdatetime 1969-12-31T17:00:00 --delay 50 --endMP 300:23308 --enddatetime 1969-12-31T17:00:00 --enforcementcount 0 &gt;&gt;%USERPROFILE%\Documents\GitHub\eaglep3-reporting\EC\2017-10-20-refined-times.txt</v>
      </c>
      <c r="AI224" s="96" t="str">
        <f t="shared" si="81"/>
        <v>echo {"issue":{"subject":"","project_id":79,"tracker_id":40,"status_id":1,"priority_id":2,"assigned_to_id":338,"start_date":"1969-12-31","description":"","custom_fields":[{"id":1,"name":"Subdivision","value":"Other"},{"id":4,"name":"Milepost","value":"2.3308"},{"id":17,"name":"Train ID","value":"311-20"},{"id":16,"name":"Locomotive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82"/>
        <v>start /low /b %USERPROFILE%\Documents\GitHub\eaglep3\Utilities\DownloadLogsFromS3.py --loco 4044 --day 1969-12-31</v>
      </c>
      <c r="AN224" s="151" t="str">
        <f t="shared" si="8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84"/>
        <v>https://d0f6bd738d7f1b3e5a7ca70fe4ff75f0.us-east-1.aws.found.io/app/kibana#/discover/Steve-Slow-Train-Analysis-(2080s-and-2083s)?_g=(refreshInterval:(display:Off,pause:!f,section:0,value:0),time:(from:'2017-10-21T01:05:39-0600',mode:absolute,to:'1969-12-31T18:00:00-0600'))&amp;_a=(columns:!('Message%20ID',Summary),filters:!(),index:'emp_*',interval:auto,query:(query_string:(analyze_wildcard:!t,query:'%22rtdc.l.rtdc.4044%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680</v>
      </c>
      <c r="B225" s="7">
        <v>4031</v>
      </c>
      <c r="C225" s="21" t="s">
        <v>194</v>
      </c>
      <c r="D225" s="21" t="s">
        <v>945</v>
      </c>
      <c r="E225" s="13">
        <v>43028.217789351853</v>
      </c>
      <c r="F225" s="13">
        <v>43028.220335648148</v>
      </c>
      <c r="G225" s="7">
        <v>66</v>
      </c>
      <c r="H225" s="21" t="s">
        <v>411</v>
      </c>
      <c r="I225" s="13">
        <v>43028.226273148146</v>
      </c>
      <c r="J225" s="7">
        <v>0</v>
      </c>
      <c r="K225" s="89" t="str">
        <f>IF(ISEVEN(B225),(B225-1)&amp;"/"&amp;B225,B225&amp;"/"&amp;(B225+1))</f>
        <v>4031/4032</v>
      </c>
      <c r="L225" s="185" t="str">
        <f>VLOOKUP(A225,'Trips&amp;Operators'!$C$1:$G$99911,5,FALSE)</f>
        <v>YANAI IAN</v>
      </c>
      <c r="M225" s="6">
        <f>I225-F225</f>
        <v>5.9374999982537702E-3</v>
      </c>
      <c r="N225" s="7">
        <f>24*60*SUM($M225:$M225)</f>
        <v>8.549999997485429</v>
      </c>
      <c r="O225" s="7"/>
      <c r="P225" s="7"/>
      <c r="Q225" s="22"/>
      <c r="R225" s="174"/>
      <c r="S225" s="221">
        <f>1/IF(AG225="EC",12,1)*SUM(U225:U225)</f>
        <v>1</v>
      </c>
      <c r="T225" s="174" t="str">
        <f>IF(ISEVEN(LEFT(AD225,4)),"Southbound","NorthBound")</f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-10-20T04:13:37-0600',mode:absolute,to:'2017-10-20T06:25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1</v>
      </c>
      <c r="Y225" s="204">
        <f>RIGHT(D225,LEN(D225)-4)/10000</f>
        <v>2.3754</v>
      </c>
      <c r="Z225" s="204">
        <f>RIGHT(H225,LEN(H225)-4)/10000</f>
        <v>1.38E-2</v>
      </c>
      <c r="AA225" s="204">
        <f>ABS(Z225-Y225)</f>
        <v>2.3616000000000001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>VALUE(LEFT(A225,LEN(A225)-3))</f>
        <v>312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s3://rtdc.mdm.uploadarchive.raw/RTDC4031/ "%USERPROFILE%\AppData\Local\Temp\OnboardLogs"\RTDC4031\2017-10-20 --exclude "*" --recursive --include "*20171020*" &amp; "%USERPROFILE%\Documents\GitHub\mrs-test-scripts\Headless Mode &amp; Sideloading\WalkAndUnGZ.bat" "%USERPROFILE%\AppData\Local\Temp\OnboardLogs"\RTDC4031\2017-10-20 &amp; aws s3 cp s3://rtdc.mdm.uploadarchive.raw/RTDC4031/ "%USERPROFILE%\AppData\Local\Temp\OnboardLogs"\RTDC4031\2017-10-21 --exclude "*" --recursive --include "*20171021*" &amp; "%USERPROFILE%\Documents\GitHub\mrs-test-scripts\Headless Mode &amp; Sideloading\WalkAndUnGZ.bat" "%USERPROFILE%\AppData\Local\Temp\OnboardLogs"\RTDC4031\2017-10-21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/stypes="app*4031*20171020*" /stext=" 11:.+((SYSTEM_STATE.+slice.+state.+changed )|(ment ac)|(multiple cpu faults)|(system.+state.+changed )|(\[timeout)|(PRM\|1\|D)|(kpr)|(kdp)|(train st.+moving)|(\|lc)|(penalty))"</v>
      </c>
      <c r="AG225" s="182" t="str">
        <f>DetSubdiv(A225)</f>
        <v>Other</v>
      </c>
      <c r="AH225" s="78" t="str">
        <f t="shared" si="80"/>
        <v>"%USERPROFILE%\Documents\GitHub\eaglep3\Utilities\RefineRTDCRunTimes.py" --tripid 312-20 --locoid 4031 --swversion DE.1.0.9.0 --startMP 300:23754 --initTime 2017-10-20T05:13:37 --startdatetime 2017-10-20T05:17:17 --delay 66 --endMP 204:138 --enddatetime 2017-10-20T05:25:50 --enforcementcount 0 &gt;&gt;%USERPROFILE%\Documents\GitHub\eaglep3-reporting\EC\2017-10-20-refined-times.txt</v>
      </c>
      <c r="AI225" s="96" t="str">
        <f t="shared" si="81"/>
        <v>echo {"issue":{"subject":"","project_id":79,"tracker_id":40,"status_id":1,"priority_id":2,"assigned_to_id":338,"start_date":"2017-10-20","description":"","custom_fields":[{"id":1,"name":"Subdivision","value":"Other"},{"id":4,"name":"Milepost","value":"0.0138"},{"id":17,"name":"Train ID","value":"312-20"},{"id":16,"name":"Locomotive ID","value":"4031"},{"id":130,"name":"Impact","value":""},{"id":150,"name":"Time of Event (Mountain Time)","value":"05:25:50"},{"id":151,"name":"Denver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82"/>
        <v>start /low /b %USERPROFILE%\Documents\GitHub\eaglep3\Utilities\DownloadLogsFromS3.py --loco 4031 --day 2017-10-20</v>
      </c>
      <c r="AN225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11:25:50"},{"id":29,"name":"Sharepoint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84"/>
        <v>https://d0f6bd738d7f1b3e5a7ca70fe4ff75f0.us-east-1.aws.found.io/app/kibana#/discover/Steve-Slow-Train-Analysis-(2080s-and-2083s)?_g=(refreshInterval:(display:Off,pause:!f,section:0,value:0),time:(from:'2017-10-20T04:13:37-0600',mode:absolute,to:'2017-10-20T06:25:50-0600'))&amp;_a=(columns:!('Message%20ID',Summary),filters:!(),index:'emp_*',interval:auto,query:(query_string:(analyze_wildcard:!t,query:'%22rtdc.l.rtdc.4031%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867</v>
      </c>
      <c r="B226" s="7">
        <v>4056</v>
      </c>
      <c r="C226" s="21" t="s">
        <v>194</v>
      </c>
      <c r="D226" s="21" t="s">
        <v>620</v>
      </c>
      <c r="E226" s="13">
        <v>43029.045254629629</v>
      </c>
      <c r="F226" s="13">
        <v>43029.047210648147</v>
      </c>
      <c r="G226" s="7">
        <v>68</v>
      </c>
      <c r="H226" s="21" t="s">
        <v>960</v>
      </c>
      <c r="I226" s="13">
        <v>43029.055277777778</v>
      </c>
      <c r="J226" s="7">
        <v>0</v>
      </c>
      <c r="K226" s="89" t="str">
        <f>IF(ISEVEN(B226),(B226-1)&amp;"/"&amp;B226,B226&amp;"/"&amp;(B226+1))</f>
        <v>4055/4056</v>
      </c>
      <c r="L226" s="185" t="str">
        <f>VLOOKUP(A226,'Trips&amp;Operators'!$C$1:$G$99911,5,FALSE)</f>
        <v>GUNTHIER ERIC</v>
      </c>
      <c r="M226" s="6">
        <f>I226-F226</f>
        <v>8.0671296309446916E-3</v>
      </c>
      <c r="N226" s="7">
        <f>24*60*SUM($M226:$M226)</f>
        <v>11.616666668560356</v>
      </c>
      <c r="O226" s="7"/>
      <c r="P226" s="7"/>
      <c r="Q226" s="22"/>
      <c r="R226" s="174"/>
      <c r="S226" s="221">
        <f>1/IF(AG226="EC",12,1)*SUM(U226:U226)</f>
        <v>1</v>
      </c>
      <c r="T226" s="174" t="str">
        <f>IF(ISEVEN(LEFT(AD226,4)),"Southbound","NorthBound")</f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-10-21T00:05:10-0600',mode:absolute,to:'2017-10-21T02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401</v>
      </c>
      <c r="Y226" s="204">
        <f>RIGHT(D226,LEN(D226)-4)/10000</f>
        <v>9.7199999999999995E-2</v>
      </c>
      <c r="Z226" s="204">
        <f>RIGHT(H226,LEN(H226)-4)/10000</f>
        <v>2.3111000000000002</v>
      </c>
      <c r="AA226" s="204">
        <f>ABS(Z226-Y226)</f>
        <v>2.2139000000000002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>VALUE(LEFT(A226,LEN(A226)-3))</f>
        <v>713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 &amp; aws s3 cp s3://rtdc.mdm.uploadarchive.raw/RTDC4056/ "%USERPROFILE%\AppData\Local\Temp\OnboardLogs"\RTDC4056\2017-10-22 --exclude "*" --recursive --include "*20171022*" &amp; "%USERPROFILE%\Documents\GitHub\mrs-test-scripts\Headless Mode &amp; Sideloading\WalkAndUnGZ.bat" "%USERPROFILE%\AppData\Local\Temp\OnboardLogs"\RTDC4056\2017-10-22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/stypes="app*4056*20171021*" /stext=" 07:.+((SYSTEM_STATE.+slice.+state.+changed )|(ment ac)|(multiple cpu faults)|(system.+state.+changed )|(\[timeout)|(PRM\|1\|D)|(kpr)|(kdp)|(train st.+moving)|(\|lc)|(penalty))"</v>
      </c>
      <c r="AG226" s="182" t="str">
        <f>DetSubdiv(A226)</f>
        <v>Other</v>
      </c>
      <c r="AH226" s="78" t="str">
        <f t="shared" si="80"/>
        <v>"%USERPROFILE%\Documents\GitHub\eaglep3\Utilities\RefineRTDCRunTimes.py" --tripid 713-20 --locoid 4056 --swversion DE.1.0.9.0 --startMP 204:972 --initTime 2017-10-21T01:05:10 --startdatetime 2017-10-21T01:07:59 --delay 68 --endMP 300:23111 --enddatetime 2017-10-21T01:19:36 --enforcementcount 0 &gt;&gt;%USERPROFILE%\Documents\GitHub\eaglep3-reporting\EC\2017-10-20-refined-times.txt</v>
      </c>
      <c r="AI226" s="96" t="str">
        <f t="shared" si="81"/>
        <v>echo {"issue":{"subject":"","project_id":79,"tracker_id":40,"status_id":1,"priority_id":2,"assigned_to_id":338,"start_date":"2017-10-21","description":"","custom_fields":[{"id":1,"name":"Subdivision","value":"Other"},{"id":4,"name":"Milepost","value":"2.3111"},{"id":17,"name":"Train ID","value":"713-20"},{"id":16,"name":"Locomotive ID","value":"4056"},{"id":130,"name":"Impact","value":""},{"id":150,"name":"Time of Event (Mountain Time)","value":"01:19:36"},{"id":151,"name":"Denver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82"/>
        <v>start /low /b %USERPROFILE%\Documents\GitHub\eaglep3\Utilities\DownloadLogsFromS3.py --loco 4056 --day 2017-10-21</v>
      </c>
      <c r="AN226" s="151" t="str">
        <f t="shared" si="8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07:19:36"},{"id":29,"name":"Sharepoint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84"/>
        <v>https://d0f6bd738d7f1b3e5a7ca70fe4ff75f0.us-east-1.aws.found.io/app/kibana#/discover/Steve-Slow-Train-Analysis-(2080s-and-2083s)?_g=(refreshInterval:(display:Off,pause:!f,section:0,value:0),time:(from:'2017-10-21T00:05:10-0600',mode:absolute,to:'2017-10-21T02:19:36-0600'))&amp;_a=(columns:!('Message%20ID',Summary),filters:!(),index:'emp_*',interval:auto,query:(query_string:(analyze_wildcard:!t,query:'%22rtdc.l.rtdc.4056%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671</v>
      </c>
      <c r="B227" s="7">
        <v>4052</v>
      </c>
      <c r="C227" s="21" t="s">
        <v>194</v>
      </c>
      <c r="D227" s="21" t="s">
        <v>1025</v>
      </c>
      <c r="E227" s="13">
        <v>43028.205601851849</v>
      </c>
      <c r="F227" s="13">
        <v>43028.209849537037</v>
      </c>
      <c r="G227" s="7">
        <v>57</v>
      </c>
      <c r="H227" s="21" t="s">
        <v>439</v>
      </c>
      <c r="I227" s="13">
        <v>43028.215694444443</v>
      </c>
      <c r="J227" s="7">
        <v>0</v>
      </c>
      <c r="K227" s="89" t="str">
        <f>IF(ISEVEN(B227),(B227-1)&amp;"/"&amp;B227,B227&amp;"/"&amp;(B227+1))</f>
        <v>4051/4052</v>
      </c>
      <c r="L227" s="185" t="str">
        <f>VLOOKUP(A227,'Trips&amp;Operators'!$C$1:$G$99911,5,FALSE)</f>
        <v>WILLIAMS DONTE</v>
      </c>
      <c r="M227" s="6">
        <f>I227-F227</f>
        <v>5.8449074058444239E-3</v>
      </c>
      <c r="N227" s="7">
        <f>24*60*SUM($M227:$M227)</f>
        <v>8.4166666644159704</v>
      </c>
      <c r="O227" s="7"/>
      <c r="P227" s="7"/>
      <c r="Q227" s="22"/>
      <c r="R227" s="174"/>
      <c r="S227" s="221">
        <f>1/IF(AG227="EC",12,1)*SUM(U227:U227)</f>
        <v>0</v>
      </c>
      <c r="T227" s="174" t="str">
        <f>IF(ISEVEN(LEFT(AD227,4)),"Southbound","NorthBound")</f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-10-20T03:56:04-0600',mode:absolute,to:'2017-10-20T06:10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188</v>
      </c>
      <c r="Y227" s="204">
        <f>RIGHT(D227,LEN(D227)-4)/10000</f>
        <v>3.0179999999999998</v>
      </c>
      <c r="Z227" s="204">
        <f>RIGHT(H227,LEN(H227)-4)/10000</f>
        <v>5.8930999999999996</v>
      </c>
      <c r="AA227" s="204">
        <f>ABS(Z227-Y227)</f>
        <v>2.8750999999999998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>VALUE(LEFT(A227,LEN(A227)-3))</f>
        <v>901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s3://rtdc.mdm.uploadarchive.raw/RTDC4052/ "%USERPROFILE%\AppData\Local\Temp\OnboardLogs"\RTDC4052\2017-10-20 --exclude "*" --recursive --include "*20171020*" &amp; "%USERPROFILE%\Documents\GitHub\mrs-test-scripts\Headless Mode &amp; Sideloading\WalkAndUnGZ.bat" "%USERPROFILE%\AppData\Local\Temp\OnboardLogs"\RTDC4052\2017-10-20 &amp; aws s3 cp s3://rtdc.mdm.uploadarchive.raw/RTDC4052/ "%USERPROFILE%\AppData\Local\Temp\OnboardLogs"\RTDC4052\2017-10-21 --exclude "*" --recursive --include "*20171021*" &amp; "%USERPROFILE%\Documents\GitHub\mrs-test-scripts\Headless Mode &amp; Sideloading\WalkAndUnGZ.bat" "%USERPROFILE%\AppData\Local\Temp\OnboardLogs"\RTDC4052\2017-10-21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/stypes="app*4052*20171020*" /stext=" 11:.+((SYSTEM_STATE.+slice.+state.+changed )|(ment ac)|(multiple cpu faults)|(system.+state.+changed )|(\[timeout)|(PRM\|1\|D)|(kpr)|(kdp)|(train st.+moving)|(\|lc)|(penalty))"</v>
      </c>
      <c r="AG227" s="182" t="str">
        <f>DetSubdiv(A227)</f>
        <v>Other</v>
      </c>
      <c r="AH227" s="78" t="str">
        <f t="shared" si="80"/>
        <v>"%USERPROFILE%\Documents\GitHub\eaglep3\Utilities\RefineRTDCRunTimes.py" --tripid 901-20 --locoid 4052 --swversion DE.1.0.9.0 --startMP 300:30180 --initTime 2017-10-20T04:56:04 --startdatetime 2017-10-20T05:02:11 --delay 57 --endMP 300:58931 --enddatetime 2017-10-20T05:10:36 --enforcementcount 0 &gt;&gt;%USERPROFILE%\Documents\GitHub\eaglep3-reporting\EC\2017-10-20-refined-times.txt</v>
      </c>
      <c r="AI227" s="96" t="str">
        <f t="shared" si="81"/>
        <v>echo {"issue":{"subject":"","project_id":79,"tracker_id":40,"status_id":1,"priority_id":2,"assigned_to_id":338,"start_date":"2017-10-20","description":"","custom_fields":[{"id":1,"name":"Subdivision","value":"Other"},{"id":4,"name":"Milepost","value":"5.8931"},{"id":17,"name":"Train ID","value":"901-20"},{"id":16,"name":"Locomotive ID","value":"4052"},{"id":130,"name":"Impact","value":""},{"id":150,"name":"Time of Event (Mountain Time)","value":"05:10:36"},{"id":151,"name":"Denver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82"/>
        <v>start /low /b %USERPROFILE%\Documents\GitHub\eaglep3\Utilities\DownloadLogsFromS3.py --loco 4052 --day 2017-10-20</v>
      </c>
      <c r="AN227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11:10:36"},{"id":29,"name":"Sharepoint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84"/>
        <v>https://d0f6bd738d7f1b3e5a7ca70fe4ff75f0.us-east-1.aws.found.io/app/kibana#/discover/Steve-Slow-Train-Analysis-(2080s-and-2083s)?_g=(refreshInterval:(display:Off,pause:!f,section:0,value:0),time:(from:'2017-10-20T03:56:04-0600',mode:absolute,to:'2017-10-20T06:10:36-0600'))&amp;_a=(columns:!('Message%20ID',Summary),filters:!(),index:'emp_*',interval:auto,query:(query_string:(analyze_wildcard:!t,query:'%22rtdc.l.rtdc.4052%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687</v>
      </c>
      <c r="B228" s="7">
        <v>4059</v>
      </c>
      <c r="C228" s="21" t="s">
        <v>194</v>
      </c>
      <c r="D228" s="21" t="s">
        <v>1026</v>
      </c>
      <c r="E228" s="13">
        <v>43028.238564814812</v>
      </c>
      <c r="F228" s="13">
        <v>43028.241076388891</v>
      </c>
      <c r="G228" s="7">
        <v>49</v>
      </c>
      <c r="H228" s="21" t="s">
        <v>496</v>
      </c>
      <c r="I228" s="13">
        <v>43028.247013888889</v>
      </c>
      <c r="J228" s="7">
        <v>0</v>
      </c>
      <c r="K228" s="89" t="str">
        <f>IF(ISEVEN(B228),(B228-1)&amp;"/"&amp;B228,B228&amp;"/"&amp;(B228+1))</f>
        <v>4059/4060</v>
      </c>
      <c r="L228" s="185" t="str">
        <f>VLOOKUP(A228,'Trips&amp;Operators'!$C$1:$G$99911,5,FALSE)</f>
        <v>HUFFSMITH MONTY</v>
      </c>
      <c r="M228" s="6">
        <f>I228-F228</f>
        <v>5.9374999982537702E-3</v>
      </c>
      <c r="N228" s="7">
        <f>24*60*SUM($M228:$M228)</f>
        <v>8.549999997485429</v>
      </c>
      <c r="O228" s="7"/>
      <c r="P228" s="7"/>
      <c r="Q228" s="22"/>
      <c r="R228" s="174"/>
      <c r="S228" s="221">
        <f>1/IF(AG228="EC",12,1)*SUM(U228:U228)</f>
        <v>1</v>
      </c>
      <c r="T228" s="174" t="str">
        <f>IF(ISEVEN(LEFT(AD228,4)),"Southbound","NorthBound")</f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-10-20T04:43:32-0600',mode:absolute,to:'2017-10-20T06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1</v>
      </c>
      <c r="Y228" s="204">
        <f>RIGHT(D228,LEN(D228)-4)/10000</f>
        <v>2.3475999999999999</v>
      </c>
      <c r="Z228" s="204">
        <f>RIGHT(H228,LEN(H228)-4)/10000</f>
        <v>7.0599999999999996E-2</v>
      </c>
      <c r="AA228" s="204">
        <f>ABS(Z228-Y228)</f>
        <v>2.2770000000000001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>VALUE(LEFT(A228,LEN(A228)-3))</f>
        <v>902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/stypes="app*4059*20171020*" /stext=" 11:.+((SYSTEM_STATE.+slice.+state.+changed )|(ment ac)|(multiple cpu faults)|(system.+state.+changed )|(\[timeout)|(PRM\|1\|D)|(kpr)|(kdp)|(train st.+moving)|(\|lc)|(penalty))"</v>
      </c>
      <c r="AG228" s="182" t="str">
        <f>DetSubdiv(A228)</f>
        <v>Other</v>
      </c>
      <c r="AH228" s="78" t="str">
        <f t="shared" si="80"/>
        <v>"%USERPROFILE%\Documents\GitHub\eaglep3\Utilities\RefineRTDCRunTimes.py" --tripid 902-20 --locoid 4059 --swversion DE.1.0.9.0 --startMP 300:23476 --initTime 2017-10-20T05:43:32 --startdatetime 2017-10-20T05:47:09 --delay 49 --endMP 204:706 --enddatetime 2017-10-20T05:55:42 --enforcementcount 0 &gt;&gt;%USERPROFILE%\Documents\GitHub\eaglep3-reporting\EC\2017-10-20-refined-times.txt</v>
      </c>
      <c r="AI228" s="96" t="str">
        <f t="shared" si="81"/>
        <v>echo {"issue":{"subject":"","project_id":79,"tracker_id":40,"status_id":1,"priority_id":2,"assigned_to_id":338,"start_date":"2017-10-20","description":"","custom_fields":[{"id":1,"name":"Subdivision","value":"Other"},{"id":4,"name":"Milepost","value":"0.0706"},{"id":17,"name":"Train ID","value":"902-20"},{"id":16,"name":"Locomotive ID","value":"4059"},{"id":130,"name":"Impact","value":""},{"id":150,"name":"Time of Event (Mountain Time)","value":"05:55:42"},{"id":151,"name":"Denver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82"/>
        <v>start /low /b %USERPROFILE%\Documents\GitHub\eaglep3\Utilities\DownloadLogsFromS3.py --loco 4059 --day 2017-10-20</v>
      </c>
      <c r="AN228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11:55:42"},{"id":29,"name":"Sharepoint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84"/>
        <v>https://d0f6bd738d7f1b3e5a7ca70fe4ff75f0.us-east-1.aws.found.io/app/kibana#/discover/Steve-Slow-Train-Analysis-(2080s-and-2083s)?_g=(refreshInterval:(display:Off,pause:!f,section:0,value:0),time:(from:'2017-10-20T04:43:32-0600',mode:absolute,to:'2017-10-20T06:55:42-0600'))&amp;_a=(columns:!('Message%20ID',Summary),filters:!(),index:'emp_*',interval:auto,query:(query_string:(analyze_wildcard:!t,query:'%22rtdc.l.rtdc.4059%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722</v>
      </c>
      <c r="B229" s="7">
        <v>4052</v>
      </c>
      <c r="C229" s="21" t="s">
        <v>194</v>
      </c>
      <c r="D229" s="21" t="s">
        <v>624</v>
      </c>
      <c r="E229" s="13">
        <v>43028.355856481481</v>
      </c>
      <c r="F229" s="13">
        <v>43028.357557870368</v>
      </c>
      <c r="G229" s="7">
        <v>76</v>
      </c>
      <c r="H229" s="21" t="s">
        <v>1027</v>
      </c>
      <c r="I229" s="13">
        <v>43028.366909722223</v>
      </c>
      <c r="J229" s="7">
        <v>0</v>
      </c>
      <c r="K229" s="89" t="str">
        <f>IF(ISEVEN(B229),(B229-1)&amp;"/"&amp;B229,B229&amp;"/"&amp;(B229+1))</f>
        <v>4051/4052</v>
      </c>
      <c r="L229" s="185" t="str">
        <f>VLOOKUP(A229,'Trips&amp;Operators'!$C$1:$G$99911,5,FALSE)</f>
        <v>WILLIAMS DONTE</v>
      </c>
      <c r="M229" s="6">
        <f>I229-F229</f>
        <v>9.3518518551718444E-3</v>
      </c>
      <c r="N229" s="7">
        <f>24*60*SUM($M229:$M229)</f>
        <v>13.466666671447456</v>
      </c>
      <c r="O229" s="7"/>
      <c r="P229" s="7"/>
      <c r="Q229" s="22"/>
      <c r="R229" s="174"/>
      <c r="S229" s="221">
        <f>1/IF(AG229="EC",12,1)*SUM(U229:U229)</f>
        <v>1</v>
      </c>
      <c r="T229" s="174" t="str">
        <f>IF(ISEVEN(LEFT(AD229,4)),"Southbound","NorthBound")</f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-10-20T07:32:26-0600',mode:absolute,to:'2017-10-20T09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1</v>
      </c>
      <c r="Y229" s="204">
        <f>RIGHT(D229,LEN(D229)-4)/10000</f>
        <v>9.69E-2</v>
      </c>
      <c r="Z229" s="204">
        <f>RIGHT(H229,LEN(H229)-4)/10000</f>
        <v>2.4258000000000002</v>
      </c>
      <c r="AA229" s="204">
        <f>ABS(Z229-Y229)</f>
        <v>2.3289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>VALUE(LEFT(A229,LEN(A229)-3))</f>
        <v>903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s3://rtdc.mdm.uploadarchive.raw/RTDC4052/ "%USERPROFILE%\AppData\Local\Temp\OnboardLogs"\RTDC4052\2017-10-20 --exclude "*" --recursive --include "*20171020*" &amp; "%USERPROFILE%\Documents\GitHub\mrs-test-scripts\Headless Mode &amp; Sideloading\WalkAndUnGZ.bat" "%USERPROFILE%\AppData\Local\Temp\OnboardLogs"\RTDC4052\2017-10-20 &amp; aws s3 cp s3://rtdc.mdm.uploadarchive.raw/RTDC4052/ "%USERPROFILE%\AppData\Local\Temp\OnboardLogs"\RTDC4052\2017-10-21 --exclude "*" --recursive --include "*20171021*" &amp; "%USERPROFILE%\Documents\GitHub\mrs-test-scripts\Headless Mode &amp; Sideloading\WalkAndUnGZ.bat" "%USERPROFILE%\AppData\Local\Temp\OnboardLogs"\RTDC4052\2017-10-21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/stypes="app*4052*20171020*" /stext=" 14:.+((SYSTEM_STATE.+slice.+state.+changed )|(ment ac)|(multiple cpu faults)|(system.+state.+changed )|(\[timeout)|(PRM\|1\|D)|(kpr)|(kdp)|(train st.+moving)|(\|lc)|(penalty))"</v>
      </c>
      <c r="AG229" s="182" t="str">
        <f>DetSubdiv(A229)</f>
        <v>Other</v>
      </c>
      <c r="AH229" s="78" t="str">
        <f t="shared" si="80"/>
        <v>"%USERPROFILE%\Documents\GitHub\eaglep3\Utilities\RefineRTDCRunTimes.py" --tripid 903-20 --locoid 4052 --swversion DE.1.0.9.0 --startMP 204:969 --initTime 2017-10-20T08:32:26 --startdatetime 2017-10-20T08:34:53 --delay 76 --endMP 300:24258 --enddatetime 2017-10-20T08:48:21 --enforcementcount 0 &gt;&gt;%USERPROFILE%\Documents\GitHub\eaglep3-reporting\EC\2017-10-20-refined-times.txt</v>
      </c>
      <c r="AI229" s="96" t="str">
        <f t="shared" si="81"/>
        <v>echo {"issue":{"subject":"","project_id":79,"tracker_id":40,"status_id":1,"priority_id":2,"assigned_to_id":338,"start_date":"2017-10-20","description":"","custom_fields":[{"id":1,"name":"Subdivision","value":"Other"},{"id":4,"name":"Milepost","value":"2.4258"},{"id":17,"name":"Train ID","value":"903-20"},{"id":16,"name":"Locomotive ID","value":"4052"},{"id":130,"name":"Impact","value":""},{"id":150,"name":"Time of Event (Mountain Time)","value":"08:48:21"},{"id":151,"name":"Denver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82"/>
        <v>start /low /b %USERPROFILE%\Documents\GitHub\eaglep3\Utilities\DownloadLogsFromS3.py --loco 4052 --day 2017-10-20</v>
      </c>
      <c r="AN229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14:48:21"},{"id":29,"name":"Sharepoint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84"/>
        <v>https://d0f6bd738d7f1b3e5a7ca70fe4ff75f0.us-east-1.aws.found.io/app/kibana#/discover/Steve-Slow-Train-Analysis-(2080s-and-2083s)?_g=(refreshInterval:(display:Off,pause:!f,section:0,value:0),time:(from:'2017-10-20T07:32:26-0600',mode:absolute,to:'2017-10-20T09:48:21-0600'))&amp;_a=(columns:!('Message%20ID',Summary),filters:!(),index:'emp_*',interval:auto,query:(query_string:(analyze_wildcard:!t,query:'%22rtdc.l.rtdc.4052%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786</v>
      </c>
      <c r="B230" s="7">
        <v>4051</v>
      </c>
      <c r="C230" s="21" t="s">
        <v>194</v>
      </c>
      <c r="D230" s="21" t="s">
        <v>1028</v>
      </c>
      <c r="E230" s="13">
        <v>43028.639849537038</v>
      </c>
      <c r="F230" s="13">
        <v>43028.642430555556</v>
      </c>
      <c r="G230" s="7">
        <v>64</v>
      </c>
      <c r="H230" s="21" t="s">
        <v>500</v>
      </c>
      <c r="I230" s="13">
        <v>43028.648518518516</v>
      </c>
      <c r="J230" s="7">
        <v>0</v>
      </c>
      <c r="K230" s="89" t="str">
        <f>IF(ISEVEN(B230),(B230-1)&amp;"/"&amp;B230,B230&amp;"/"&amp;(B230+1))</f>
        <v>4051/4052</v>
      </c>
      <c r="L230" s="185" t="str">
        <f>VLOOKUP(A230,'Trips&amp;Operators'!$C$1:$G$99911,5,FALSE)</f>
        <v>SMITH MICHAEL</v>
      </c>
      <c r="M230" s="6">
        <f>I230-F230</f>
        <v>6.0879629600094631E-3</v>
      </c>
      <c r="N230" s="7">
        <f>24*60*SUM($M230:$M230)</f>
        <v>8.7666666624136269</v>
      </c>
      <c r="O230" s="7"/>
      <c r="P230" s="7"/>
      <c r="Q230" s="22"/>
      <c r="R230" s="174"/>
      <c r="S230" s="221">
        <f>1/IF(AG230="EC",12,1)*SUM(U230:U230)</f>
        <v>1</v>
      </c>
      <c r="T230" s="174" t="str">
        <f>IF(ISEVEN(LEFT(AD230,4)),"Southbound","NorthBound")</f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-10-20T14:21:23-0600',mode:absolute,to:'2017-10-20T16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1</v>
      </c>
      <c r="Y230" s="204">
        <f>RIGHT(D230,LEN(D230)-4)/10000</f>
        <v>2.3336000000000001</v>
      </c>
      <c r="Z230" s="204">
        <f>RIGHT(H230,LEN(H230)-4)/10000</f>
        <v>6.7699999999999996E-2</v>
      </c>
      <c r="AA230" s="204">
        <f>ABS(Z230-Y230)</f>
        <v>2.2659000000000002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>VALUE(LEFT(A230,LEN(A230)-3))</f>
        <v>904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s3://rtdc.mdm.uploadarchive.raw/RTDC4051/ "%USERPROFILE%\AppData\Local\Temp\OnboardLogs"\RTDC4051\2017-10-20 --exclude "*" --recursive --include "*20171020*" &amp; "%USERPROFILE%\Documents\GitHub\mrs-test-scripts\Headless Mode &amp; Sideloading\WalkAndUnGZ.bat" "%USERPROFILE%\AppData\Local\Temp\OnboardLogs"\RTDC4051\2017-10-20 &amp; aws s3 cp s3://rtdc.mdm.uploadarchive.raw/RTDC4051/ "%USERPROFILE%\AppData\Local\Temp\OnboardLogs"\RTDC4051\2017-10-21 --exclude "*" --recursive --include "*20171021*" &amp; "%USERPROFILE%\Documents\GitHub\mrs-test-scripts\Headless Mode &amp; Sideloading\WalkAndUnGZ.bat" "%USERPROFILE%\AppData\Local\Temp\OnboardLogs"\RTDC4051\2017-10-21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/stypes="app*4051*20171020*" /stext=" 21:.+((SYSTEM_STATE.+slice.+state.+changed )|(ment ac)|(multiple cpu faults)|(system.+state.+changed )|(\[timeout)|(PRM\|1\|D)|(kpr)|(kdp)|(train st.+moving)|(\|lc)|(penalty))"</v>
      </c>
      <c r="AG230" s="182" t="str">
        <f>DetSubdiv(A230)</f>
        <v>Other</v>
      </c>
      <c r="AH230" s="78" t="str">
        <f t="shared" si="80"/>
        <v>"%USERPROFILE%\Documents\GitHub\eaglep3\Utilities\RefineRTDCRunTimes.py" --tripid 904-20 --locoid 4051 --swversion DE.1.0.9.0 --startMP 300:23336 --initTime 2017-10-20T15:21:23 --startdatetime 2017-10-20T15:25:06 --delay 64 --endMP 204:677 --enddatetime 2017-10-20T15:33:52 --enforcementcount 0 &gt;&gt;%USERPROFILE%\Documents\GitHub\eaglep3-reporting\EC\2017-10-20-refined-times.txt</v>
      </c>
      <c r="AI230" s="96" t="str">
        <f t="shared" si="81"/>
        <v>echo {"issue":{"subject":"","project_id":79,"tracker_id":40,"status_id":1,"priority_id":2,"assigned_to_id":338,"start_date":"2017-10-20","description":"","custom_fields":[{"id":1,"name":"Subdivision","value":"Other"},{"id":4,"name":"Milepost","value":"0.0677"},{"id":17,"name":"Train ID","value":"904-20"},{"id":16,"name":"Locomotive ID","value":"4051"},{"id":130,"name":"Impact","value":""},{"id":150,"name":"Time of Event (Mountain Time)","value":"15:33:52"},{"id":151,"name":"Denver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82"/>
        <v>start /low /b %USERPROFILE%\Documents\GitHub\eaglep3\Utilities\DownloadLogsFromS3.py --loco 4051 --day 2017-10-20</v>
      </c>
      <c r="AN230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21:33:52"},{"id":29,"name":"Sharepoint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84"/>
        <v>https://d0f6bd738d7f1b3e5a7ca70fe4ff75f0.us-east-1.aws.found.io/app/kibana#/discover/Steve-Slow-Train-Analysis-(2080s-and-2083s)?_g=(refreshInterval:(display:Off,pause:!f,section:0,value:0),time:(from:'2017-10-20T14:21:23-0600',mode:absolute,to:'2017-10-20T16:33:52-0600'))&amp;_a=(columns:!('Message%20ID',Summary),filters:!(),index:'emp_*',interval:auto,query:(query_string:(analyze_wildcard:!t,query:'%22rtdc.l.rtdc.4051%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833</v>
      </c>
      <c r="B231" s="7">
        <v>4051</v>
      </c>
      <c r="C231" s="21" t="s">
        <v>194</v>
      </c>
      <c r="D231" s="21" t="s">
        <v>1017</v>
      </c>
      <c r="E231" s="13">
        <v>43028.788912037038</v>
      </c>
      <c r="F231" s="13">
        <v>43028.790567129632</v>
      </c>
      <c r="G231" s="7">
        <v>57</v>
      </c>
      <c r="H231" s="21" t="s">
        <v>1029</v>
      </c>
      <c r="I231" s="13">
        <v>43028.803171296298</v>
      </c>
      <c r="J231" s="7">
        <v>0</v>
      </c>
      <c r="K231" s="89" t="str">
        <f>IF(ISEVEN(B231),(B231-1)&amp;"/"&amp;B231,B231&amp;"/"&amp;(B231+1))</f>
        <v>4051/4052</v>
      </c>
      <c r="L231" s="185" t="str">
        <f>VLOOKUP(A231,'Trips&amp;Operators'!$C$1:$G$99911,5,FALSE)</f>
        <v>SMITH MICHAEL</v>
      </c>
      <c r="M231" s="6">
        <f>I231-F231</f>
        <v>1.2604166666278616E-2</v>
      </c>
      <c r="N231" s="7">
        <f>24*60*SUM($M231:$M231)</f>
        <v>18.149999999441206</v>
      </c>
      <c r="O231" s="7"/>
      <c r="P231" s="7"/>
      <c r="Q231" s="22"/>
      <c r="R231" s="174"/>
      <c r="S231" s="221">
        <f>1/IF(AG231="EC",12,1)*SUM(U231:U231)</f>
        <v>0</v>
      </c>
      <c r="T231" s="174" t="str">
        <f>IF(ISEVEN(LEFT(AD231,4)),"Southbound","NorthBound")</f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-10-20T17:56:02-0600',mode:absolute,to:'2017-10-20T20:16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2</v>
      </c>
      <c r="Y231" s="204">
        <f>RIGHT(D231,LEN(D231)-4)/10000</f>
        <v>5.8613</v>
      </c>
      <c r="Z231" s="204">
        <f>RIGHT(H231,LEN(H231)-4)/10000</f>
        <v>2.8786</v>
      </c>
      <c r="AA231" s="204">
        <f>ABS(Z231-Y231)</f>
        <v>2.9826999999999999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>VALUE(LEFT(A231,LEN(A231)-3))</f>
        <v>906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s3://rtdc.mdm.uploadarchive.raw/RTDC4051/ "%USERPROFILE%\AppData\Local\Temp\OnboardLogs"\RTDC4051\2017-10-20 --exclude "*" --recursive --include "*20171020*" &amp; "%USERPROFILE%\Documents\GitHub\mrs-test-scripts\Headless Mode &amp; Sideloading\WalkAndUnGZ.bat" "%USERPROFILE%\AppData\Local\Temp\OnboardLogs"\RTDC4051\2017-10-20 &amp; aws s3 cp s3://rtdc.mdm.uploadarchive.raw/RTDC4051/ "%USERPROFILE%\AppData\Local\Temp\OnboardLogs"\RTDC4051\2017-10-21 --exclude "*" --recursive --include "*20171021*" &amp; "%USERPROFILE%\Documents\GitHub\mrs-test-scripts\Headless Mode &amp; Sideloading\WalkAndUnGZ.bat" "%USERPROFILE%\AppData\Local\Temp\OnboardLogs"\RTDC4051\2017-10-21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/stypes="app*4051*20171021*" /stext=" 01:.+((SYSTEM_STATE.+slice.+state.+changed )|(ment ac)|(multiple cpu faults)|(system.+state.+changed )|(\[timeout)|(PRM\|1\|D)|(kpr)|(kdp)|(train st.+moving)|(\|lc)|(penalty))"</v>
      </c>
      <c r="AG231" s="182" t="str">
        <f>DetSubdiv(A231)</f>
        <v>Other</v>
      </c>
      <c r="AH231" s="78" t="str">
        <f t="shared" si="80"/>
        <v>"%USERPROFILE%\Documents\GitHub\eaglep3\Utilities\RefineRTDCRunTimes.py" --tripid 906-20 --locoid 4051 --swversion DE.1.0.9.0 --startMP 300:58613 --initTime 2017-10-20T18:56:02 --startdatetime 2017-10-20T18:58:25 --delay 57 --endMP 300:28786 --enddatetime 2017-10-20T19:16:34 --enforcementcount 0 &gt;&gt;%USERPROFILE%\Documents\GitHub\eaglep3-reporting\EC\2017-10-20-refined-times.txt</v>
      </c>
      <c r="AI231" s="96" t="str">
        <f t="shared" si="81"/>
        <v>echo {"issue":{"subject":"","project_id":79,"tracker_id":40,"status_id":1,"priority_id":2,"assigned_to_id":338,"start_date":"2017-10-20","description":"","custom_fields":[{"id":1,"name":"Subdivision","value":"Other"},{"id":4,"name":"Milepost","value":"2.8786"},{"id":17,"name":"Train ID","value":"906-20"},{"id":16,"name":"Locomotive ID","value":"4051"},{"id":130,"name":"Impact","value":""},{"id":150,"name":"Time of Event (Mountain Time)","value":"19:16:34"},{"id":151,"name":"Denver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82"/>
        <v>start /low /b %USERPROFILE%\Documents\GitHub\eaglep3\Utilities\DownloadLogsFromS3.py --loco 4051 --day 2017-10-20</v>
      </c>
      <c r="AN231" s="151" t="str">
        <f t="shared" si="8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01:16:34"},{"id":29,"name":"Sharepoint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84"/>
        <v>https://d0f6bd738d7f1b3e5a7ca70fe4ff75f0.us-east-1.aws.found.io/app/kibana#/discover/Steve-Slow-Train-Analysis-(2080s-and-2083s)?_g=(refreshInterval:(display:Off,pause:!f,section:0,value:0),time:(from:'2017-10-20T17:56:02-0600',mode:absolute,to:'2017-10-20T20:16:34-0600'))&amp;_a=(columns:!('Message%20ID',Summary),filters:!(),index:'emp_*',interval:auto,query:(query_string:(analyze_wildcard:!t,query:'%22rtdc.l.rtdc.4051%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861</v>
      </c>
      <c r="B232" s="7">
        <v>4059</v>
      </c>
      <c r="C232" s="21" t="s">
        <v>194</v>
      </c>
      <c r="D232" s="21" t="s">
        <v>630</v>
      </c>
      <c r="E232" s="13">
        <v>43028.977500000001</v>
      </c>
      <c r="F232" s="13">
        <v>43028.97934027778</v>
      </c>
      <c r="G232" s="7">
        <v>63</v>
      </c>
      <c r="H232" s="21" t="s">
        <v>1030</v>
      </c>
      <c r="I232" s="13">
        <v>43028.990416666667</v>
      </c>
      <c r="J232" s="7">
        <v>0</v>
      </c>
      <c r="K232" s="89" t="str">
        <f>IF(ISEVEN(B232),(B232-1)&amp;"/"&amp;B232,B232&amp;"/"&amp;(B232+1))</f>
        <v>4059/4060</v>
      </c>
      <c r="L232" s="185" t="str">
        <f>VLOOKUP(A232,'Trips&amp;Operators'!$C$1:$G$99911,5,FALSE)</f>
        <v>SMITH MICHAEL</v>
      </c>
      <c r="M232" s="6">
        <f>I232-F232</f>
        <v>1.1076388887886424E-2</v>
      </c>
      <c r="N232" s="7">
        <f>24*60*SUM($M232:$M232)</f>
        <v>15.94999999855645</v>
      </c>
      <c r="O232" s="7"/>
      <c r="P232" s="7"/>
      <c r="Q232" s="22"/>
      <c r="R232" s="174"/>
      <c r="S232" s="221">
        <f>1/IF(AG232="EC",12,1)*SUM(U232:U232)</f>
        <v>0</v>
      </c>
      <c r="T232" s="174" t="str">
        <f>IF(ISEVEN(LEFT(AD232,4)),"Southbound","NorthBound")</f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-10-20T22:27:36-0600',mode:absolute,to:'2017-10-21T00:46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2</v>
      </c>
      <c r="Y232" s="204">
        <f>RIGHT(D232,LEN(D232)-4)/10000</f>
        <v>5.86</v>
      </c>
      <c r="Z232" s="204">
        <f>RIGHT(H232,LEN(H232)-4)/10000</f>
        <v>2.8791000000000002</v>
      </c>
      <c r="AA232" s="204">
        <f>ABS(Z232-Y232)</f>
        <v>2.9809000000000001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>VALUE(LEFT(A232,LEN(A232)-3))</f>
        <v>908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/stypes="app*4059*20171021*" /stext=" 05:.+((SYSTEM_STATE.+slice.+state.+changed )|(ment ac)|(multiple cpu faults)|(system.+state.+changed )|(\[timeout)|(PRM\|1\|D)|(kpr)|(kdp)|(train st.+moving)|(\|lc)|(penalty))"</v>
      </c>
      <c r="AG232" s="182" t="str">
        <f>DetSubdiv(A232)</f>
        <v>Other</v>
      </c>
      <c r="AH232" s="78" t="str">
        <f t="shared" si="80"/>
        <v>"%USERPROFILE%\Documents\GitHub\eaglep3\Utilities\RefineRTDCRunTimes.py" --tripid 908-20 --locoid 4059 --swversion DE.1.0.9.0 --startMP 300:58600 --initTime 2017-10-20T23:27:36 --startdatetime 2017-10-20T23:30:15 --delay 63 --endMP 300:28791 --enddatetime 2017-10-20T23:46:12 --enforcementcount 0 &gt;&gt;%USERPROFILE%\Documents\GitHub\eaglep3-reporting\EC\2017-10-20-refined-times.txt</v>
      </c>
      <c r="AI232" s="96" t="str">
        <f t="shared" si="81"/>
        <v>echo {"issue":{"subject":"","project_id":79,"tracker_id":40,"status_id":1,"priority_id":2,"assigned_to_id":338,"start_date":"2017-10-20","description":"","custom_fields":[{"id":1,"name":"Subdivision","value":"Other"},{"id":4,"name":"Milepost","value":"2.8791"},{"id":17,"name":"Train ID","value":"908-20"},{"id":16,"name":"Locomotive ID","value":"4059"},{"id":130,"name":"Impact","value":""},{"id":150,"name":"Time of Event (Mountain Time)","value":"23:46:12"},{"id":151,"name":"Denver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82"/>
        <v>start /low /b %USERPROFILE%\Documents\GitHub\eaglep3\Utilities\DownloadLogsFromS3.py --loco 4059 --day 2017-10-20</v>
      </c>
      <c r="AN232" s="151" t="str">
        <f t="shared" si="8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05:46:12"},{"id":29,"name":"Sharepoint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84"/>
        <v>https://d0f6bd738d7f1b3e5a7ca70fe4ff75f0.us-east-1.aws.found.io/app/kibana#/discover/Steve-Slow-Train-Analysis-(2080s-and-2083s)?_g=(refreshInterval:(display:Off,pause:!f,section:0,value:0),time:(from:'2017-10-20T22:27:36-0600',mode:absolute,to:'2017-10-21T00:46:12-0600'))&amp;_a=(columns:!('Message%20ID',Summary),filters:!(),index:'emp_*',interval:auto,query:(query_string:(analyze_wildcard:!t,query:'%22rtdc.l.rtdc.4059%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657</v>
      </c>
      <c r="B233" s="7">
        <v>4056</v>
      </c>
      <c r="C233" s="21" t="s">
        <v>194</v>
      </c>
      <c r="D233" s="21" t="s">
        <v>436</v>
      </c>
      <c r="E233" s="13">
        <v>43028.124166666668</v>
      </c>
      <c r="F233" s="13">
        <v>43028.136921296296</v>
      </c>
      <c r="G233" s="7">
        <v>89</v>
      </c>
      <c r="H233" s="21" t="s">
        <v>946</v>
      </c>
      <c r="I233" s="13">
        <v>43028.138194444444</v>
      </c>
      <c r="J233" s="7">
        <v>0</v>
      </c>
      <c r="K233" s="89" t="str">
        <f>IF(ISEVEN(B233),(B233-1)&amp;"/"&amp;B233,B233&amp;"/"&amp;(B233+1))</f>
        <v>4055/4056</v>
      </c>
      <c r="L233" s="185" t="str">
        <f>VLOOKUP(A233,'Trips&amp;Operators'!$C$1:$G$99911,5,FALSE)</f>
        <v>SPECTOR MICHAEL</v>
      </c>
      <c r="M233" s="6">
        <f>I233-F233</f>
        <v>1.2731481474475004E-3</v>
      </c>
      <c r="N233" s="7">
        <f>24*60*SUM($M233:$M233)</f>
        <v>1.8333333323244005</v>
      </c>
      <c r="O233" s="7"/>
      <c r="P233" s="7"/>
      <c r="Q233" s="22"/>
      <c r="R233" s="174"/>
      <c r="S233" s="221">
        <f>1/IF(AG233="EC",12,1)*SUM(U233:U233)</f>
        <v>0</v>
      </c>
      <c r="T233" s="174" t="str">
        <f>IF(ISEVEN(LEFT(AD233,4)),"Southbound","NorthBound")</f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-10-20T01:58:48-0600',mode:absolute,to:'2017-10-20T04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-857</v>
      </c>
      <c r="Y233" s="204">
        <f>RIGHT(D233,LEN(D233)-4)/10000</f>
        <v>4.3700000000000003E-2</v>
      </c>
      <c r="Z233" s="204">
        <f>RIGHT(H233,LEN(H233)-4)/10000</f>
        <v>0.35460000000000003</v>
      </c>
      <c r="AA233" s="204">
        <f>ABS(Z233-Y233)</f>
        <v>0.31090000000000001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>VALUE(LEFT(A233,LEN(A233)-3))</f>
        <v>51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/stypes="app*4056*20171020*" /stext=" 09:.+((SYSTEM_STATE.+slice.+state.+changed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80"/>
        <v>"%USERPROFILE%\Documents\GitHub\eaglep3\Utilities\RefineRTDCRunTimes.py" --tripid 51-20 --locoid 4056 --swversion DE.1.0.9.0 --startMP 204:437 --initTime 2017-10-20T02:58:48 --startdatetime 2017-10-20T03:17:10 --delay 89 --endMP 204:3546 --enddatetime 2017-10-20T03:19:00 --enforcementcount 0 &gt;&gt;%USERPROFILE%\Documents\GitHub\eaglep3-reporting\EC\2017-10-20-refined-times.txt</v>
      </c>
      <c r="AI233" s="96" t="str">
        <f t="shared" si="81"/>
        <v>echo {"issue":{"subject":"","project_id":79,"tracker_id":40,"status_id":1,"priority_id":2,"assigned_to_id":338,"start_date":"2017-10-20","description":"","custom_fields":[{"id":1,"name":"Subdivision","value":"Shuttle/Test"},{"id":4,"name":"Milepost","value":"0.3546"},{"id":17,"name":"Train ID","value":"51-20"},{"id":16,"name":"Locomotive ID","value":"4056"},{"id":130,"name":"Impact","value":""},{"id":150,"name":"Time of Event (Mountain Time)","value":"03:19:00"},{"id":151,"name":"Denver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82"/>
        <v>start /low /b %USERPROFILE%\Documents\GitHub\eaglep3\Utilities\DownloadLogsFromS3.py --loco 4056 --day 2017-10-20</v>
      </c>
      <c r="AN233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09:19:00"},{"id":29,"name":"Sharepoint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84"/>
        <v>https://d0f6bd738d7f1b3e5a7ca70fe4ff75f0.us-east-1.aws.found.io/app/kibana#/discover/Steve-Slow-Train-Analysis-(2080s-and-2083s)?_g=(refreshInterval:(display:Off,pause:!f,section:0,value:0),time:(from:'2017-10-20T01:58:48-0600',mode:absolute,to:'2017-10-20T04:19:00-0600'))&amp;_a=(columns:!('Message%20ID',Summary),filters:!(),index:'emp_*',interval:auto,query:(query_string:(analyze_wildcard:!t,query:'%22rtdc.l.rtdc.4056%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657</v>
      </c>
      <c r="B234" s="7">
        <v>4056</v>
      </c>
      <c r="C234" s="21" t="s">
        <v>194</v>
      </c>
      <c r="D234" s="21" t="s">
        <v>947</v>
      </c>
      <c r="E234" s="13">
        <v>43028.180115740739</v>
      </c>
      <c r="F234" s="13">
        <v>43028.181689814817</v>
      </c>
      <c r="G234" s="7">
        <v>65</v>
      </c>
      <c r="H234" s="21" t="s">
        <v>948</v>
      </c>
      <c r="I234" s="13">
        <v>43028.182743055557</v>
      </c>
      <c r="J234" s="7">
        <v>0</v>
      </c>
      <c r="K234" s="89" t="str">
        <f>IF(ISEVEN(B234),(B234-1)&amp;"/"&amp;B234,B234&amp;"/"&amp;(B234+1))</f>
        <v>4055/4056</v>
      </c>
      <c r="L234" s="185" t="str">
        <f>VLOOKUP(A234,'Trips&amp;Operators'!$C$1:$G$99911,5,FALSE)</f>
        <v>SPECTOR MICHAEL</v>
      </c>
      <c r="M234" s="6">
        <f>I234-F234</f>
        <v>1.0532407395658083E-3</v>
      </c>
      <c r="N234" s="7">
        <f>24*60*SUM($M234:$M234)</f>
        <v>1.516666664974764</v>
      </c>
      <c r="O234" s="7"/>
      <c r="P234" s="7"/>
      <c r="Q234" s="22"/>
      <c r="R234" s="174"/>
      <c r="S234" s="221">
        <f>1/IF(AG234="EC",12,1)*SUM(U234:U234)</f>
        <v>0</v>
      </c>
      <c r="T234" s="174" t="str">
        <f>IF(ISEVEN(LEFT(AD234,4)),"Southbound","NorthBound")</f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-10-20T03:19:22-0600',mode:absolute,to:'2017-10-20T05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0</v>
      </c>
      <c r="Y234" s="204">
        <f>RIGHT(D234,LEN(D234)-4)/10000</f>
        <v>0.15110000000000001</v>
      </c>
      <c r="Z234" s="204">
        <f>RIGHT(H234,LEN(H234)-4)/10000</f>
        <v>0.35510000000000003</v>
      </c>
      <c r="AA234" s="204">
        <f>ABS(Z234-Y234)</f>
        <v>0.20400000000000001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>VALUE(LEFT(A234,LEN(A234)-3))</f>
        <v>51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/stypes="app*4056*20171020*" /stext=" 10:.+((SYSTEM_STATE.+slice.+state.+changed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80"/>
        <v>"%USERPROFILE%\Documents\GitHub\eaglep3\Utilities\RefineRTDCRunTimes.py" --tripid 51-20 --locoid 4056 --swversion DE.1.0.9.0 --startMP 204:1511 --initTime 2017-10-20T04:19:22 --startdatetime 2017-10-20T04:21:38 --delay 65 --endMP 204:3551 --enddatetime 2017-10-20T04:23:09 --enforcementcount 0 &gt;&gt;%USERPROFILE%\Documents\GitHub\eaglep3-reporting\EC\2017-10-20-refined-times.txt</v>
      </c>
      <c r="AI234" s="96" t="str">
        <f t="shared" si="81"/>
        <v>echo {"issue":{"subject":"","project_id":79,"tracker_id":40,"status_id":1,"priority_id":2,"assigned_to_id":338,"start_date":"2017-10-20","description":"","custom_fields":[{"id":1,"name":"Subdivision","value":"Shuttle/Test"},{"id":4,"name":"Milepost","value":"0.3551"},{"id":17,"name":"Train ID","value":"51-20"},{"id":16,"name":"Locomotive ID","value":"4056"},{"id":130,"name":"Impact","value":""},{"id":150,"name":"Time of Event (Mountain Time)","value":"04:23:09"},{"id":151,"name":"Denver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82"/>
        <v>start /low /b %USERPROFILE%\Documents\GitHub\eaglep3\Utilities\DownloadLogsFromS3.py --loco 4056 --day 2017-10-20</v>
      </c>
      <c r="AN234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10:23:09"},{"id":29,"name":"Sharepoint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84"/>
        <v>https://d0f6bd738d7f1b3e5a7ca70fe4ff75f0.us-east-1.aws.found.io/app/kibana#/discover/Steve-Slow-Train-Analysis-(2080s-and-2083s)?_g=(refreshInterval:(display:Off,pause:!f,section:0,value:0),time:(from:'2017-10-20T03:19:22-0600',mode:absolute,to:'2017-10-20T05:23:09-0600'))&amp;_a=(columns:!('Message%20ID',Summary),filters:!(),index:'emp_*',interval:auto,query:(query_string:(analyze_wildcard:!t,query:'%22rtdc.l.rtdc.4056%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658</v>
      </c>
      <c r="B235" s="7">
        <v>4055</v>
      </c>
      <c r="C235" s="21" t="s">
        <v>194</v>
      </c>
      <c r="D235" s="21" t="s">
        <v>949</v>
      </c>
      <c r="E235" s="13">
        <v>43028.139166666668</v>
      </c>
      <c r="F235" s="13">
        <v>43028.140787037039</v>
      </c>
      <c r="G235" s="7">
        <v>68</v>
      </c>
      <c r="H235" s="21" t="s">
        <v>950</v>
      </c>
      <c r="I235" s="13">
        <v>43028.141805555555</v>
      </c>
      <c r="J235" s="7">
        <v>0</v>
      </c>
      <c r="K235" s="89" t="str">
        <f>IF(ISEVEN(B235),(B235-1)&amp;"/"&amp;B235,B235&amp;"/"&amp;(B235+1))</f>
        <v>4055/4056</v>
      </c>
      <c r="L235" s="185" t="str">
        <f>VLOOKUP(A235,'Trips&amp;Operators'!$C$1:$G$99911,5,FALSE)</f>
        <v>SPECTOR MICHAEL</v>
      </c>
      <c r="M235" s="6">
        <f>I235-F235</f>
        <v>1.0185185165028088E-3</v>
      </c>
      <c r="N235" s="7">
        <f>24*60*SUM($M235:$M235)</f>
        <v>1.4666666637640446</v>
      </c>
      <c r="O235" s="7"/>
      <c r="P235" s="7"/>
      <c r="Q235" s="22"/>
      <c r="R235" s="174"/>
      <c r="S235" s="221">
        <f>1/IF(AG235="EC",12,1)*SUM(U235:U235)</f>
        <v>0</v>
      </c>
      <c r="T235" s="174" t="str">
        <f>IF(ISEVEN(LEFT(AD235,4)),"Southbound","NorthBound")</f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-10-20T02:20:24-0600',mode:absolute,to:'2017-10-20T04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1</v>
      </c>
      <c r="Y235" s="204">
        <f>RIGHT(D235,LEN(D235)-4)/10000</f>
        <v>0.32069999999999999</v>
      </c>
      <c r="Z235" s="204">
        <f>RIGHT(H235,LEN(H235)-4)/10000</f>
        <v>0.1196</v>
      </c>
      <c r="AA235" s="204">
        <f>ABS(Z235-Y235)</f>
        <v>0.2011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>VALUE(LEFT(A235,LEN(A235)-3))</f>
        <v>52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s3://rtdc.mdm.uploadarchive.raw/RTDC4055/ "%USERPROFILE%\AppData\Local\Temp\OnboardLogs"\RTDC4055\2017-10-20 --exclude "*" --recursive --include "*20171020*" &amp; "%USERPROFILE%\Documents\GitHub\mrs-test-scripts\Headless Mode &amp; Sideloading\WalkAndUnGZ.bat" "%USERPROFILE%\AppData\Local\Temp\OnboardLogs"\RTDC4055\2017-10-20 &amp; aws s3 cp s3://rtdc.mdm.uploadarchive.raw/RTDC4055/ "%USERPROFILE%\AppData\Local\Temp\OnboardLogs"\RTDC4055\2017-10-21 --exclude "*" --recursive --include "*20171021*" &amp; "%USERPROFILE%\Documents\GitHub\mrs-test-scripts\Headless Mode &amp; Sideloading\WalkAndUnGZ.bat" "%USERPROFILE%\AppData\Local\Temp\OnboardLogs"\RTDC4055\2017-10-21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/stypes="app*4055*20171020*" /stext=" 09:.+((SYSTEM_STATE.+slice.+state.+changed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80"/>
        <v>"%USERPROFILE%\Documents\GitHub\eaglep3\Utilities\RefineRTDCRunTimes.py" --tripid 52-20 --locoid 4055 --swversion DE.1.0.9.0 --startMP 204:3207 --initTime 2017-10-20T03:20:24 --startdatetime 2017-10-20T03:22:44 --delay 68 --endMP 204:1196 --enddatetime 2017-10-20T03:24:12 --enforcementcount 0 &gt;&gt;%USERPROFILE%\Documents\GitHub\eaglep3-reporting\EC\2017-10-20-refined-times.txt</v>
      </c>
      <c r="AI235" s="96" t="str">
        <f t="shared" si="81"/>
        <v>echo {"issue":{"subject":"","project_id":79,"tracker_id":40,"status_id":1,"priority_id":2,"assigned_to_id":338,"start_date":"2017-10-20","description":"","custom_fields":[{"id":1,"name":"Subdivision","value":"Shuttle/Test"},{"id":4,"name":"Milepost","value":"0.1196"},{"id":17,"name":"Train ID","value":"52-20"},{"id":16,"name":"Locomotive ID","value":"4055"},{"id":130,"name":"Impact","value":""},{"id":150,"name":"Time of Event (Mountain Time)","value":"03:24:12"},{"id":151,"name":"Denver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82"/>
        <v>start /low /b %USERPROFILE%\Documents\GitHub\eaglep3\Utilities\DownloadLogsFromS3.py --loco 4055 --day 2017-10-20</v>
      </c>
      <c r="AN235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09:24:12"},{"id":29,"name":"Sharepoint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84"/>
        <v>https://d0f6bd738d7f1b3e5a7ca70fe4ff75f0.us-east-1.aws.found.io/app/kibana#/discover/Steve-Slow-Train-Analysis-(2080s-and-2083s)?_g=(refreshInterval:(display:Off,pause:!f,section:0,value:0),time:(from:'2017-10-20T02:20:24-0600',mode:absolute,to:'2017-10-20T04:24:12-0600'))&amp;_a=(columns:!('Message%20ID',Summary),filters:!(),index:'emp_*',interval:auto,query:(query_string:(analyze_wildcard:!t,query:'%22rtdc.l.rtdc.4055%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658</v>
      </c>
      <c r="B236" s="7">
        <v>4055</v>
      </c>
      <c r="C236" s="21" t="s">
        <v>194</v>
      </c>
      <c r="D236" s="21" t="s">
        <v>951</v>
      </c>
      <c r="E236" s="13">
        <v>43028.183530092596</v>
      </c>
      <c r="F236" s="13">
        <v>43028.184999999998</v>
      </c>
      <c r="G236" s="7">
        <v>77</v>
      </c>
      <c r="H236" s="21" t="s">
        <v>337</v>
      </c>
      <c r="I236" s="13">
        <v>43028.186759259261</v>
      </c>
      <c r="J236" s="7">
        <v>0</v>
      </c>
      <c r="K236" s="89" t="str">
        <f>IF(ISEVEN(B236),(B236-1)&amp;"/"&amp;B236,B236&amp;"/"&amp;(B236+1))</f>
        <v>4055/4056</v>
      </c>
      <c r="L236" s="185" t="str">
        <f>VLOOKUP(A236,'Trips&amp;Operators'!$C$1:$G$99911,5,FALSE)</f>
        <v>SPECTOR MICHAEL</v>
      </c>
      <c r="M236" s="6">
        <f>I236-F236</f>
        <v>1.7592592630535364E-3</v>
      </c>
      <c r="N236" s="7">
        <f>24*60*SUM($M236:$M236)</f>
        <v>2.5333333387970924</v>
      </c>
      <c r="O236" s="7"/>
      <c r="P236" s="7"/>
      <c r="Q236" s="22"/>
      <c r="R236" s="174"/>
      <c r="S236" s="221">
        <f>1/IF(AG236="EC",12,1)*SUM(U236:U236)</f>
        <v>0</v>
      </c>
      <c r="T236" s="174" t="str">
        <f>IF(ISEVEN(LEFT(AD236,4)),"Southbound","NorthBound")</f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-10-20T03:24:17-0600',mode:absolute,to:'2017-10-20T05:28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0</v>
      </c>
      <c r="Y236" s="204">
        <f>RIGHT(D236,LEN(D236)-4)/10000</f>
        <v>0.32379999999999998</v>
      </c>
      <c r="Z236" s="204">
        <f>RIGHT(H236,LEN(H236)-4)/10000</f>
        <v>1.43E-2</v>
      </c>
      <c r="AA236" s="204">
        <f>ABS(Z236-Y236)</f>
        <v>0.3095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>VALUE(LEFT(A236,LEN(A236)-3))</f>
        <v>52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s3://rtdc.mdm.uploadarchive.raw/RTDC4055/ "%USERPROFILE%\AppData\Local\Temp\OnboardLogs"\RTDC4055\2017-10-20 --exclude "*" --recursive --include "*20171020*" &amp; "%USERPROFILE%\Documents\GitHub\mrs-test-scripts\Headless Mode &amp; Sideloading\WalkAndUnGZ.bat" "%USERPROFILE%\AppData\Local\Temp\OnboardLogs"\RTDC4055\2017-10-20 &amp; aws s3 cp s3://rtdc.mdm.uploadarchive.raw/RTDC4055/ "%USERPROFILE%\AppData\Local\Temp\OnboardLogs"\RTDC4055\2017-10-21 --exclude "*" --recursive --include "*20171021*" &amp; "%USERPROFILE%\Documents\GitHub\mrs-test-scripts\Headless Mode &amp; Sideloading\WalkAndUnGZ.bat" "%USERPROFILE%\AppData\Local\Temp\OnboardLogs"\RTDC4055\2017-10-21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/stypes="app*4055*20171020*" /stext=" 10:.+((SYSTEM_STATE.+slice.+state.+changed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80"/>
        <v>"%USERPROFILE%\Documents\GitHub\eaglep3\Utilities\RefineRTDCRunTimes.py" --tripid 52-20 --locoid 4055 --swversion DE.1.0.9.0 --startMP 204:3238 --initTime 2017-10-20T04:24:17 --startdatetime 2017-10-20T04:26:24 --delay 77 --endMP 204:143 --enddatetime 2017-10-20T04:28:56 --enforcementcount 0 &gt;&gt;%USERPROFILE%\Documents\GitHub\eaglep3-reporting\EC\2017-10-20-refined-times.txt</v>
      </c>
      <c r="AI236" s="96" t="str">
        <f t="shared" si="81"/>
        <v>echo {"issue":{"subject":"","project_id":79,"tracker_id":40,"status_id":1,"priority_id":2,"assigned_to_id":338,"start_date":"2017-10-20","description":"","custom_fields":[{"id":1,"name":"Subdivision","value":"Shuttle/Test"},{"id":4,"name":"Milepost","value":"0.0143"},{"id":17,"name":"Train ID","value":"52-20"},{"id":16,"name":"Locomotive ID","value":"4055"},{"id":130,"name":"Impact","value":""},{"id":150,"name":"Time of Event (Mountain Time)","value":"04:28:56"},{"id":151,"name":"Denver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82"/>
        <v>start /low /b %USERPROFILE%\Documents\GitHub\eaglep3\Utilities\DownloadLogsFromS3.py --loco 4055 --day 2017-10-20</v>
      </c>
      <c r="AN236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10:28:56"},{"id":29,"name":"Sharepoint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84"/>
        <v>https://d0f6bd738d7f1b3e5a7ca70fe4ff75f0.us-east-1.aws.found.io/app/kibana#/discover/Steve-Slow-Train-Analysis-(2080s-and-2083s)?_g=(refreshInterval:(display:Off,pause:!f,section:0,value:0),time:(from:'2017-10-20T03:24:17-0600',mode:absolute,to:'2017-10-20T05:28:56-0600'))&amp;_a=(columns:!('Message%20ID',Summary),filters:!(),index:'emp_*',interval:auto,query:(query_string:(analyze_wildcard:!t,query:'%22rtdc.l.rtdc.4055%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719</v>
      </c>
      <c r="B237" s="7">
        <v>4016</v>
      </c>
      <c r="C237" s="21" t="s">
        <v>194</v>
      </c>
      <c r="D237" s="21" t="s">
        <v>618</v>
      </c>
      <c r="E237" s="13">
        <v>43028.351446759261</v>
      </c>
      <c r="F237" s="13">
        <v>43028.353912037041</v>
      </c>
      <c r="G237" s="7">
        <v>89</v>
      </c>
      <c r="H237" s="21" t="s">
        <v>952</v>
      </c>
      <c r="I237" s="13">
        <v>43028.354618055557</v>
      </c>
      <c r="J237" s="7">
        <v>0</v>
      </c>
      <c r="K237" s="89" t="str">
        <f>IF(ISEVEN(B237),(B237-1)&amp;"/"&amp;B237,B237&amp;"/"&amp;(B237+1))</f>
        <v>4015/4016</v>
      </c>
      <c r="L237" s="185" t="str">
        <f>VLOOKUP(A237,'Trips&amp;Operators'!$C$1:$G$99911,5,FALSE)</f>
        <v>SPECTOR MICHAEL</v>
      </c>
      <c r="M237" s="6">
        <f>I237-F237</f>
        <v>7.0601851621177047E-4</v>
      </c>
      <c r="N237" s="7">
        <f>24*60*SUM($M237:$M237)</f>
        <v>1.0166666633449495</v>
      </c>
      <c r="O237" s="7"/>
      <c r="P237" s="7"/>
      <c r="Q237" s="22"/>
      <c r="R237" s="174"/>
      <c r="S237" s="221">
        <f>1/IF(AG237="EC",12,1)*SUM(U237:U237)</f>
        <v>0</v>
      </c>
      <c r="T237" s="174" t="str">
        <f>IF(ISEVEN(LEFT(AD237,4)),"Southbound","NorthBound")</f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-10-20T07:26:05-0600',mode:absolute,to:'2017-10-20T09:30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1</v>
      </c>
      <c r="Y237" s="204">
        <f>RIGHT(D237,LEN(D237)-4)/10000</f>
        <v>0.15049999999999999</v>
      </c>
      <c r="Z237" s="204">
        <f>RIGHT(H237,LEN(H237)-4)/10000</f>
        <v>0.35339999999999999</v>
      </c>
      <c r="AA237" s="204">
        <f>ABS(Z237-Y237)</f>
        <v>0.2029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>VALUE(LEFT(A237,LEN(A237)-3))</f>
        <v>53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 &amp; 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/stypes="app*4016*20171020*" /stext=" 14:.+((SYSTEM_STATE.+slice.+state.+changed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80"/>
        <v>"%USERPROFILE%\Documents\GitHub\eaglep3\Utilities\RefineRTDCRunTimes.py" --tripid 53-20 --locoid 4016 --swversion DE.1.0.9.0 --startMP 204:1505 --initTime 2017-10-20T08:26:05 --startdatetime 2017-10-20T08:29:38 --delay 89 --endMP 204:3534 --enddatetime 2017-10-20T08:30:39 --enforcementcount 0 &gt;&gt;%USERPROFILE%\Documents\GitHub\eaglep3-reporting\EC\2017-10-20-refined-times.txt</v>
      </c>
      <c r="AI237" s="96" t="str">
        <f t="shared" si="81"/>
        <v>echo {"issue":{"subject":"","project_id":79,"tracker_id":40,"status_id":1,"priority_id":2,"assigned_to_id":338,"start_date":"2017-10-20","description":"","custom_fields":[{"id":1,"name":"Subdivision","value":"Shuttle/Test"},{"id":4,"name":"Milepost","value":"0.3534"},{"id":17,"name":"Train ID","value":"53-20"},{"id":16,"name":"Locomotive ID","value":"4016"},{"id":130,"name":"Impact","value":""},{"id":150,"name":"Time of Event (Mountain Time)","value":"08:30:39"},{"id":151,"name":"Denver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82"/>
        <v>start /low /b %USERPROFILE%\Documents\GitHub\eaglep3\Utilities\DownloadLogsFromS3.py --loco 4016 --day 2017-10-20</v>
      </c>
      <c r="AN237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14:30:39"},{"id":29,"name":"Sharepoint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84"/>
        <v>https://d0f6bd738d7f1b3e5a7ca70fe4ff75f0.us-east-1.aws.found.io/app/kibana#/discover/Steve-Slow-Train-Analysis-(2080s-and-2083s)?_g=(refreshInterval:(display:Off,pause:!f,section:0,value:0),time:(from:'2017-10-20T07:26:05-0600',mode:absolute,to:'2017-10-20T09:30:39-0600'))&amp;_a=(columns:!('Message%20ID',Summary),filters:!(),index:'emp_*',interval:auto,query:(query_string:(analyze_wildcard:!t,query:'%22rtdc.l.rtdc.4016%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721</v>
      </c>
      <c r="B238" s="7">
        <v>4015</v>
      </c>
      <c r="C238" s="21" t="s">
        <v>194</v>
      </c>
      <c r="D238" s="21" t="s">
        <v>953</v>
      </c>
      <c r="E238" s="13">
        <v>43028.355717592596</v>
      </c>
      <c r="F238" s="13">
        <v>43028.357106481482</v>
      </c>
      <c r="G238" s="7">
        <v>64</v>
      </c>
      <c r="H238" s="21" t="s">
        <v>339</v>
      </c>
      <c r="I238" s="13">
        <v>43028.358391203707</v>
      </c>
      <c r="J238" s="7">
        <v>0</v>
      </c>
      <c r="K238" s="89" t="str">
        <f>IF(ISEVEN(B238),(B238-1)&amp;"/"&amp;B238,B238&amp;"/"&amp;(B238+1))</f>
        <v>4015/4016</v>
      </c>
      <c r="L238" s="185" t="str">
        <f>VLOOKUP(A238,'Trips&amp;Operators'!$C$1:$G$99911,5,FALSE)</f>
        <v>SPECTOR MICHAEL</v>
      </c>
      <c r="M238" s="6">
        <f>I238-F238</f>
        <v>1.2847222242271528E-3</v>
      </c>
      <c r="N238" s="7">
        <f>24*60*SUM($M238:$M238)</f>
        <v>1.8500000028871</v>
      </c>
      <c r="O238" s="7"/>
      <c r="P238" s="7"/>
      <c r="Q238" s="22"/>
      <c r="R238" s="174"/>
      <c r="S238" s="221">
        <f>1/IF(AG238="EC",12,1)*SUM(U238:U238)</f>
        <v>0</v>
      </c>
      <c r="T238" s="174" t="str">
        <f>IF(ISEVEN(LEFT(AD238,4)),"Southbound","NorthBound")</f>
        <v>Southbound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-10-20T07:32:14-0600',mode:absolute,to:'2017-10-20T09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8" s="204" t="str">
        <f>IF(AA238&lt;VLOOKUP(AG238,Variables!$AC$3:$AD$8,2,FALSE),"Y","N")</f>
        <v>Y</v>
      </c>
      <c r="X238" s="204">
        <f>VALUE(LEFT(AD238,4))-VALUE(LEFT(AD237,4))</f>
        <v>1</v>
      </c>
      <c r="Y238" s="204">
        <f>RIGHT(D238,LEN(D238)-4)/10000</f>
        <v>0.32200000000000001</v>
      </c>
      <c r="Z238" s="204">
        <f>RIGHT(H238,LEN(H238)-4)/10000</f>
        <v>1.47E-2</v>
      </c>
      <c r="AA238" s="204">
        <f>ABS(Z238-Y238)</f>
        <v>0.30730000000000002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>VALUE(LEFT(A238,LEN(A238)-3))</f>
        <v>54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 &amp; 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/stypes="app*4015*20171020*" /stext=" 14:.+((SYSTEM_STATE.+slice.+state.+changed )|(ment ac)|(multiple cpu faults)|(system.+state.+changed )|(\[timeout)|(PRM\|1\|D)|(kpr)|(kdp)|(train st.+moving)|(\|lc)|(penalty))"</v>
      </c>
      <c r="AG238" s="182" t="str">
        <f>DetSubdiv(A238)</f>
        <v>Shuttle/Test</v>
      </c>
      <c r="AH238" s="78" t="str">
        <f t="shared" si="80"/>
        <v>"%USERPROFILE%\Documents\GitHub\eaglep3\Utilities\RefineRTDCRunTimes.py" --tripid 54-20 --locoid 4015 --swversion DE.1.0.9.0 --startMP 204:3220 --initTime 2017-10-20T08:32:14 --startdatetime 2017-10-20T08:34:14 --delay 64 --endMP 204:147 --enddatetime 2017-10-20T08:36:05 --enforcementcount 0 &gt;&gt;%USERPROFILE%\Documents\GitHub\eaglep3-reporting\EC\2017-10-20-refined-times.txt</v>
      </c>
      <c r="AI238" s="96" t="str">
        <f t="shared" si="81"/>
        <v>echo {"issue":{"subject":"","project_id":79,"tracker_id":40,"status_id":1,"priority_id":2,"assigned_to_id":338,"start_date":"2017-10-20","description":"","custom_fields":[{"id":1,"name":"Subdivision","value":"Shuttle/Test"},{"id":4,"name":"Milepost","value":"0.0147"},{"id":17,"name":"Train ID","value":"54-20"},{"id":16,"name":"Locomotive ID","value":"4015"},{"id":130,"name":"Impact","value":""},{"id":150,"name":"Time of Event (Mountain Time)","value":"08:36:05"},{"id":151,"name":"Denver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82"/>
        <v>start /low /b %USERPROFILE%\Documents\GitHub\eaglep3\Utilities\DownloadLogsFromS3.py --loco 4015 --day 2017-10-20</v>
      </c>
      <c r="AN238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84"/>
        <v>https://d0f6bd738d7f1b3e5a7ca70fe4ff75f0.us-east-1.aws.found.io/app/kibana#/discover/Steve-Slow-Train-Analysis-(2080s-and-2083s)?_g=(refreshInterval:(display:Off,pause:!f,section:0,value:0),time:(from:'2017-10-20T07:32:14-0600',mode:absolute,to:'2017-10-20T09:36:05-0600'))&amp;_a=(columns:!('Message%20ID',Summary),filters:!(),index:'emp_*',interval:auto,query:(query_string:(analyze_wildcard:!t,query:'%22rtdc.l.rtdc.4015%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744</v>
      </c>
      <c r="B239" s="7">
        <v>4065</v>
      </c>
      <c r="C239" s="21" t="s">
        <v>194</v>
      </c>
      <c r="D239" s="21" t="s">
        <v>954</v>
      </c>
      <c r="E239" s="13">
        <v>43028.444374999999</v>
      </c>
      <c r="F239" s="13">
        <v>43028.45040509259</v>
      </c>
      <c r="G239" s="7">
        <v>286</v>
      </c>
      <c r="H239" s="21" t="s">
        <v>955</v>
      </c>
      <c r="I239" s="13">
        <v>43028.455555555556</v>
      </c>
      <c r="J239" s="7">
        <v>0</v>
      </c>
      <c r="K239" s="89" t="str">
        <f>IF(ISEVEN(B239),(B239-1)&amp;"/"&amp;B239,B239&amp;"/"&amp;(B239+1))</f>
        <v>4065/4066</v>
      </c>
      <c r="L239" s="185" t="str">
        <f>VLOOKUP(A239,'Trips&amp;Operators'!$C$1:$G$99911,5,FALSE)</f>
        <v>MOSES BRADLEY</v>
      </c>
      <c r="M239" s="6">
        <f>I239-F239</f>
        <v>5.1504629664123058E-3</v>
      </c>
      <c r="N239" s="7">
        <f>24*60*SUM($M239:$M239)</f>
        <v>7.4166666716337204</v>
      </c>
      <c r="O239" s="7"/>
      <c r="P239" s="7"/>
      <c r="Q239" s="22"/>
      <c r="R239" s="174"/>
      <c r="S239" s="221">
        <f>1/IF(AG239="EC",12,1)*SUM(U239:U239)</f>
        <v>1</v>
      </c>
      <c r="T239" s="174" t="str">
        <f>IF(ISEVEN(LEFT(AD239,4)),"Southbound","NorthBound")</f>
        <v>Southbound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1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-10-20T09:39:54-0600',mode:absolute,to:'2017-10-20T11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9" s="204" t="str">
        <f>IF(AA239&lt;VLOOKUP(AG239,Variables!$AC$3:$AD$8,2,FALSE),"Y","N")</f>
        <v>Y</v>
      </c>
      <c r="X239" s="204">
        <f>VALUE(LEFT(AD239,4))-VALUE(LEFT(AD238,4))</f>
        <v>2</v>
      </c>
      <c r="Y239" s="204">
        <f>RIGHT(D239,LEN(D239)-4)/10000</f>
        <v>2.2231000000000001</v>
      </c>
      <c r="Z239" s="204">
        <f>RIGHT(H239,LEN(H239)-4)/10000</f>
        <v>1.6199999999999999E-2</v>
      </c>
      <c r="AA239" s="204">
        <f>ABS(Z239-Y239)</f>
        <v>2.2069000000000001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>VALUE(LEFT(A239,LEN(A239)-3))</f>
        <v>56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s3://rtdc.mdm.uploadarchive.raw/RTDC4065/ "%USERPROFILE%\AppData\Local\Temp\OnboardLogs"\RTDC4065\2017-10-20 --exclude "*" --recursive --include "*20171020*" &amp; "%USERPROFILE%\Documents\GitHub\mrs-test-scripts\Headless Mode &amp; Sideloading\WalkAndUnGZ.bat" "%USERPROFILE%\AppData\Local\Temp\OnboardLogs"\RTDC4065\2017-10-20 &amp; aws s3 cp s3://rtdc.mdm.uploadarchive.raw/RTDC4065/ "%USERPROFILE%\AppData\Local\Temp\OnboardLogs"\RTDC4065\2017-10-21 --exclude "*" --recursive --include "*20171021*" &amp; "%USERPROFILE%\Documents\GitHub\mrs-test-scripts\Headless Mode &amp; Sideloading\WalkAndUnGZ.bat" "%USERPROFILE%\AppData\Local\Temp\OnboardLogs"\RTDC4065\2017-10-21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/stypes="app*4065*20171020*" /stext=" 16:.+((SYSTEM_STATE.+slice.+state.+changed )|(ment ac)|(multiple cpu faults)|(system.+state.+changed )|(\[timeout)|(PRM\|1\|D)|(kpr)|(kdp)|(train st.+moving)|(\|lc)|(penalty))"</v>
      </c>
      <c r="AG239" s="182" t="str">
        <f>DetSubdiv(A239)</f>
        <v>Shuttle/Test</v>
      </c>
      <c r="AH239" s="78" t="str">
        <f t="shared" si="80"/>
        <v>"%USERPROFILE%\Documents\GitHub\eaglep3\Utilities\RefineRTDCRunTimes.py" --tripid 56-20 --locoid 4065 --swversion DE.1.0.9.0 --startMP 300:22231 --initTime 2017-10-20T10:39:54 --startdatetime 2017-10-20T10:48:35 --delay 286 --endMP 204:162 --enddatetime 2017-10-20T10:56:00 --enforcementcount 0 &gt;&gt;%USERPROFILE%\Documents\GitHub\eaglep3-reporting\EC\2017-10-20-refined-times.txt</v>
      </c>
      <c r="AI239" s="96" t="str">
        <f t="shared" si="81"/>
        <v>echo {"issue":{"subject":"","project_id":79,"tracker_id":40,"status_id":1,"priority_id":2,"assigned_to_id":338,"start_date":"2017-10-20","description":"","custom_fields":[{"id":1,"name":"Subdivision","value":"Shuttle/Test"},{"id":4,"name":"Milepost","value":"0.0162"},{"id":17,"name":"Train ID","value":"56-20"},{"id":16,"name":"Locomotive ID","value":"4065"},{"id":130,"name":"Impact","value":""},{"id":150,"name":"Time of Event (Mountain Time)","value":"10:56:00"},{"id":151,"name":"Denver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82"/>
        <v>start /low /b %USERPROFILE%\Documents\GitHub\eaglep3\Utilities\DownloadLogsFromS3.py --loco 4065 --day 2017-10-20</v>
      </c>
      <c r="AN239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16:56:00"},{"id":29,"name":"Sharepoint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84"/>
        <v>https://d0f6bd738d7f1b3e5a7ca70fe4ff75f0.us-east-1.aws.found.io/app/kibana#/discover/Steve-Slow-Train-Analysis-(2080s-and-2083s)?_g=(refreshInterval:(display:Off,pause:!f,section:0,value:0),time:(from:'2017-10-20T09:39:54-0600',mode:absolute,to:'2017-10-20T11:56:00-0600'))&amp;_a=(columns:!('Message%20ID',Summary),filters:!(),index:'emp_*',interval:auto,query:(query_string:(analyze_wildcard:!t,query:'%22rtdc.l.rtdc.4065%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32" t="s">
        <v>681</v>
      </c>
      <c r="B240" s="7">
        <v>4054</v>
      </c>
      <c r="C240" s="21" t="s">
        <v>194</v>
      </c>
      <c r="D240" s="21" t="s">
        <v>956</v>
      </c>
      <c r="E240" s="13">
        <v>43028.223043981481</v>
      </c>
      <c r="F240" s="13">
        <v>43028.226087962961</v>
      </c>
      <c r="G240" s="7">
        <v>157</v>
      </c>
      <c r="H240" s="21" t="s">
        <v>617</v>
      </c>
      <c r="I240" s="13">
        <v>43028.230439814812</v>
      </c>
      <c r="J240" s="7">
        <v>0</v>
      </c>
      <c r="K240" s="89" t="str">
        <f>IF(ISEVEN(B240),(B240-1)&amp;"/"&amp;B240,B240&amp;"/"&amp;(B240+1))</f>
        <v>4053/4054</v>
      </c>
      <c r="L240" s="185" t="str">
        <f>VLOOKUP(A240,'Trips&amp;Operators'!$C$1:$G$99911,5,FALSE)</f>
        <v>ROCHA YAOTL</v>
      </c>
      <c r="M240" s="6">
        <f>I240-F240</f>
        <v>4.3518518505152315E-3</v>
      </c>
      <c r="N240" s="7">
        <f>24*60*SUM($M240:$M240)</f>
        <v>6.2666666647419333</v>
      </c>
      <c r="O240" s="7"/>
      <c r="P240" s="7"/>
      <c r="Q240" s="22"/>
      <c r="R240" s="174"/>
      <c r="S240" s="221">
        <f>1/IF(AG240="EC",12,1)*SUM(U240:U240)</f>
        <v>1</v>
      </c>
      <c r="T240" s="174" t="str">
        <f>IF(ISEVEN(LEFT(AD240,4)),"Southbound","NorthBound")</f>
        <v>NorthBound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1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-10-20T04:21:11-0600',mode:absolute,to:'2017-10-20T06:31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0" s="204" t="str">
        <f>IF(AA240&lt;VLOOKUP(AG240,Variables!$AC$3:$AD$8,2,FALSE),"Y","N")</f>
        <v>Y</v>
      </c>
      <c r="X240" s="204">
        <f>VALUE(LEFT(AD240,4))-VALUE(LEFT(AD239,4))</f>
        <v>3</v>
      </c>
      <c r="Y240" s="204">
        <f>RIGHT(D240,LEN(D240)-4)/10000</f>
        <v>0.1236</v>
      </c>
      <c r="Z240" s="204">
        <f>RIGHT(H240,LEN(H240)-4)/10000</f>
        <v>2.3304</v>
      </c>
      <c r="AA240" s="204">
        <f>ABS(Z240-Y240)</f>
        <v>2.2067999999999999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>VALUE(LEFT(A240,LEN(A240)-3))</f>
        <v>59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s3://rtdc.mdm.uploadarchive.raw/RTDC4054/ "%USERPROFILE%\AppData\Local\Temp\OnboardLogs"\RTDC4054\2017-10-20 --exclude "*" --recursive --include "*20171020*" &amp; "%USERPROFILE%\Documents\GitHub\mrs-test-scripts\Headless Mode &amp; Sideloading\WalkAndUnGZ.bat" "%USERPROFILE%\AppData\Local\Temp\OnboardLogs"\RTDC4054\2017-10-20 &amp; aws s3 cp s3://rtdc.mdm.uploadarchive.raw/RTDC4054/ "%USERPROFILE%\AppData\Local\Temp\OnboardLogs"\RTDC4054\2017-10-21 --exclude "*" --recursive --include "*20171021*" &amp; "%USERPROFILE%\Documents\GitHub\mrs-test-scripts\Headless Mode &amp; Sideloading\WalkAndUnGZ.bat" "%USERPROFILE%\AppData\Local\Temp\OnboardLogs"\RTDC4054\2017-10-21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/stypes="app*4054*20171020*" /stext=" 11:.+((SYSTEM_STATE.+slice.+state.+changed )|(ment ac)|(multiple cpu faults)|(system.+state.+changed )|(\[timeout)|(PRM\|1\|D)|(kpr)|(kdp)|(train st.+moving)|(\|lc)|(penalty))"</v>
      </c>
      <c r="AG240" s="182" t="str">
        <f>DetSubdiv(A240)</f>
        <v>Shuttle/Test</v>
      </c>
      <c r="AH240" s="78" t="str">
        <f t="shared" si="80"/>
        <v>"%USERPROFILE%\Documents\GitHub\eaglep3\Utilities\RefineRTDCRunTimes.py" --tripid 59-20 --locoid 4054 --swversion DE.1.0.9.0 --startMP 204:1236 --initTime 2017-10-20T05:21:11 --startdatetime 2017-10-20T05:25:34 --delay 157 --endMP 300:23304 --enddatetime 2017-10-20T05:31:50 --enforcementcount 0 &gt;&gt;%USERPROFILE%\Documents\GitHub\eaglep3-reporting\EC\2017-10-20-refined-times.txt</v>
      </c>
      <c r="AI240" s="96" t="str">
        <f t="shared" si="81"/>
        <v>echo {"issue":{"subject":"","project_id":79,"tracker_id":40,"status_id":1,"priority_id":2,"assigned_to_id":338,"start_date":"2017-10-20","description":"","custom_fields":[{"id":1,"name":"Subdivision","value":"Shuttle/Test"},{"id":4,"name":"Milepost","value":"2.3304"},{"id":17,"name":"Train ID","value":"59-20"},{"id":16,"name":"Locomotive ID","value":"4054"},{"id":130,"name":"Impact","value":""},{"id":150,"name":"Time of Event (Mountain Time)","value":"05:31:50"},{"id":151,"name":"Denver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82"/>
        <v>start /low /b %USERPROFILE%\Documents\GitHub\eaglep3\Utilities\DownloadLogsFromS3.py --loco 4054 --day 2017-10-20</v>
      </c>
      <c r="AN240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11:31:50"},{"id":29,"name":"Sharepoint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84"/>
        <v>https://d0f6bd738d7f1b3e5a7ca70fe4ff75f0.us-east-1.aws.found.io/app/kibana#/discover/Steve-Slow-Train-Analysis-(2080s-and-2083s)?_g=(refreshInterval:(display:Off,pause:!f,section:0,value:0),time:(from:'2017-10-20T04:21:11-0600',mode:absolute,to:'2017-10-20T06:31:50-0600'))&amp;_a=(columns:!('Message%20ID',Summary),filters:!(),index:'emp_*',interval:auto,query:(query_string:(analyze_wildcard:!t,query:'%22rtdc.l.rtdc.4054%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32" t="s">
        <v>636</v>
      </c>
      <c r="B241" s="7">
        <v>4015</v>
      </c>
      <c r="C241" s="21" t="s">
        <v>194</v>
      </c>
      <c r="D241" s="21" t="s">
        <v>957</v>
      </c>
      <c r="E241" s="13">
        <v>43028.237974537034</v>
      </c>
      <c r="F241" s="13">
        <v>43028.243391203701</v>
      </c>
      <c r="G241" s="7">
        <v>69</v>
      </c>
      <c r="H241" s="21" t="s">
        <v>958</v>
      </c>
      <c r="I241" s="13">
        <v>43028.249039351853</v>
      </c>
      <c r="J241" s="7">
        <v>0</v>
      </c>
      <c r="K241" s="89" t="str">
        <f>IF(ISEVEN(B241),(B241-1)&amp;"/"&amp;B241,B241&amp;"/"&amp;(B241+1))</f>
        <v>4015/4016</v>
      </c>
      <c r="L241" s="185" t="str">
        <f>VLOOKUP(A241,'Trips&amp;Operators'!$C$1:$G$99911,5,FALSE)</f>
        <v>ROCHA YAOTL</v>
      </c>
      <c r="M241" s="6">
        <f>I241-F241</f>
        <v>5.6481481515220366E-3</v>
      </c>
      <c r="N241" s="7">
        <f>24*60*SUM($M241:$M241)</f>
        <v>8.1333333381917328</v>
      </c>
      <c r="O241" s="7"/>
      <c r="P241" s="7"/>
      <c r="Q241" s="22"/>
      <c r="R241" s="174"/>
      <c r="S241" s="221">
        <f>1/IF(AG241="EC",12,1)*SUM(U241:U241)</f>
        <v>1</v>
      </c>
      <c r="T241" s="174" t="str">
        <f>IF(ISEVEN(LEFT(AD241,4)),"Southbound","NorthBound")</f>
        <v>Southbound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-10-20T04:42:41-0600',mode:absolute,to:'2017-10-20T06:58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1" s="204" t="str">
        <f>IF(AA241&lt;VLOOKUP(AG241,Variables!$AC$3:$AD$8,2,FALSE),"Y","N")</f>
        <v>Y</v>
      </c>
      <c r="X241" s="204">
        <f>VALUE(LEFT(AD241,4))-VALUE(LEFT(AD240,4))</f>
        <v>1</v>
      </c>
      <c r="Y241" s="204">
        <f>RIGHT(D241,LEN(D241)-4)/10000</f>
        <v>2.1720999999999999</v>
      </c>
      <c r="Z241" s="204">
        <f>RIGHT(H241,LEN(H241)-4)/10000</f>
        <v>0.11840000000000001</v>
      </c>
      <c r="AA241" s="204">
        <f>ABS(Z241-Y241)</f>
        <v>2.0537000000000001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>VALUE(LEFT(A241,LEN(A241)-3))</f>
        <v>60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 &amp; 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/stypes="app*4015*20171020*" /stext=" 11:.+((SYSTEM_STATE.+slice.+state.+changed )|(ment ac)|(multiple cpu faults)|(system.+state.+changed )|(\[timeout)|(PRM\|1\|D)|(kpr)|(kdp)|(train st.+moving)|(\|lc)|(penalty))"</v>
      </c>
      <c r="AG241" s="182" t="str">
        <f>DetSubdiv(A241)</f>
        <v>Shuttle/Test</v>
      </c>
      <c r="AH241" s="78" t="str">
        <f t="shared" si="80"/>
        <v>"%USERPROFILE%\Documents\GitHub\eaglep3\Utilities\RefineRTDCRunTimes.py" --tripid 60-20 --locoid 4015 --swversion DE.1.0.9.0 --startMP 300:21721 --initTime 2017-10-20T05:42:41 --startdatetime 2017-10-20T05:50:29 --delay 69 --endMP 204:1184 --enddatetime 2017-10-20T05:58:37 --enforcementcount 0 &gt;&gt;%USERPROFILE%\Documents\GitHub\eaglep3-reporting\EC\2017-10-20-refined-times.txt</v>
      </c>
      <c r="AI241" s="96" t="str">
        <f t="shared" si="81"/>
        <v>echo {"issue":{"subject":"","project_id":79,"tracker_id":40,"status_id":1,"priority_id":2,"assigned_to_id":338,"start_date":"2017-10-20","description":"","custom_fields":[{"id":1,"name":"Subdivision","value":"Shuttle/Test"},{"id":4,"name":"Milepost","value":"0.1184"},{"id":17,"name":"Train ID","value":"60-20"},{"id":16,"name":"Locomotive ID","value":"4015"},{"id":130,"name":"Impact","value":""},{"id":150,"name":"Time of Event (Mountain Time)","value":"05:58:37"},{"id":151,"name":"Denver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82"/>
        <v>start /low /b %USERPROFILE%\Documents\GitHub\eaglep3\Utilities\DownloadLogsFromS3.py --loco 4015 --day 2017-10-20</v>
      </c>
      <c r="AN241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11:58:37"},{"id":29,"name":"Sharepoint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84"/>
        <v>https://d0f6bd738d7f1b3e5a7ca70fe4ff75f0.us-east-1.aws.found.io/app/kibana#/discover/Steve-Slow-Train-Analysis-(2080s-and-2083s)?_g=(refreshInterval:(display:Off,pause:!f,section:0,value:0),time:(from:'2017-10-20T04:42:41-0600',mode:absolute,to:'2017-10-20T06:58:37-0600'))&amp;_a=(columns:!('Message%20ID',Summary),filters:!(),index:'emp_*',interval:auto,query:(query_string:(analyze_wildcard:!t,query:'%22rtdc.l.rtdc.4015%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32" t="s">
        <v>749</v>
      </c>
      <c r="B242" s="7">
        <v>4066</v>
      </c>
      <c r="C242" s="21" t="s">
        <v>194</v>
      </c>
      <c r="D242" s="21" t="s">
        <v>396</v>
      </c>
      <c r="E242" s="13">
        <v>43028.463368055556</v>
      </c>
      <c r="F242" s="13">
        <v>43028.477314814816</v>
      </c>
      <c r="G242" s="7">
        <v>196</v>
      </c>
      <c r="H242" s="21" t="s">
        <v>959</v>
      </c>
      <c r="I242" s="13">
        <v>43028.482789351852</v>
      </c>
      <c r="J242" s="7">
        <v>0</v>
      </c>
      <c r="K242" s="89" t="str">
        <f>IF(ISEVEN(B242),(B242-1)&amp;"/"&amp;B242,B242&amp;"/"&amp;(B242+1))</f>
        <v>4065/4066</v>
      </c>
      <c r="L242" s="185" t="str">
        <f>VLOOKUP(A242,'Trips&amp;Operators'!$C$1:$G$99911,5,FALSE)</f>
        <v>ACKERMAN JARED</v>
      </c>
      <c r="M242" s="6">
        <f>I242-F242</f>
        <v>5.4745370362070389E-3</v>
      </c>
      <c r="N242" s="7">
        <f>24*60*SUM($M242:$M242)</f>
        <v>7.883333332138136</v>
      </c>
      <c r="O242" s="7"/>
      <c r="P242" s="7"/>
      <c r="Q242" s="22"/>
      <c r="R242" s="174"/>
      <c r="S242" s="221">
        <f>1/IF(AG242="EC",12,1)*SUM(U242:U242)</f>
        <v>1</v>
      </c>
      <c r="T242" s="174" t="str">
        <f>IF(ISEVEN(LEFT(AD242,4)),"Southbound","NorthBound")</f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1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-10-20T10:07:15-0600',mode:absolute,to:'2017-10-20T12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2" s="204" t="str">
        <f>IF(AA242&lt;VLOOKUP(AG242,Variables!$AC$3:$AD$8,2,FALSE),"Y","N")</f>
        <v>Y</v>
      </c>
      <c r="X242" s="204">
        <f>VALUE(LEFT(AD242,4))-VALUE(LEFT(AD241,4))</f>
        <v>1</v>
      </c>
      <c r="Y242" s="204">
        <f>RIGHT(D242,LEN(D242)-4)/10000</f>
        <v>4.6399999999999997E-2</v>
      </c>
      <c r="Z242" s="204">
        <f>RIGHT(H242,LEN(H242)-4)/10000</f>
        <v>2.4243000000000001</v>
      </c>
      <c r="AA242" s="204">
        <f>ABS(Z242-Y242)</f>
        <v>2.3779000000000003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>VALUE(LEFT(A242,LEN(A242)-3))</f>
        <v>61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s3://rtdc.mdm.uploadarchive.raw/RTDC4066/ "%USERPROFILE%\AppData\Local\Temp\OnboardLogs"\RTDC4066\2017-10-20 --exclude "*" --recursive --include "*20171020*" &amp; "%USERPROFILE%\Documents\GitHub\mrs-test-scripts\Headless Mode &amp; Sideloading\WalkAndUnGZ.bat" "%USERPROFILE%\AppData\Local\Temp\OnboardLogs"\RTDC4066\2017-10-20 &amp; aws s3 cp s3://rtdc.mdm.uploadarchive.raw/RTDC4066/ "%USERPROFILE%\AppData\Local\Temp\OnboardLogs"\RTDC4066\2017-10-21 --exclude "*" --recursive --include "*20171021*" &amp; "%USERPROFILE%\Documents\GitHub\mrs-test-scripts\Headless Mode &amp; Sideloading\WalkAndUnGZ.bat" "%USERPROFILE%\AppData\Local\Temp\OnboardLogs"\RTDC4066\2017-10-21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/stypes="app*4066*20171020*" /stext=" 17:.+((SYSTEM_STATE.+slice.+state.+changed )|(ment ac)|(multiple cpu faults)|(system.+state.+changed )|(\[timeout)|(PRM\|1\|D)|(kpr)|(kdp)|(train st.+moving)|(\|lc)|(penalty))"</v>
      </c>
      <c r="AG242" s="182" t="str">
        <f>DetSubdiv(A242)</f>
        <v>Shuttle/Test</v>
      </c>
      <c r="AH242" s="78" t="str">
        <f t="shared" si="80"/>
        <v>"%USERPROFILE%\Documents\GitHub\eaglep3\Utilities\RefineRTDCRunTimes.py" --tripid 61-20 --locoid 4066 --swversion DE.1.0.9.0 --startMP 204:464 --initTime 2017-10-20T11:07:15 --startdatetime 2017-10-20T11:27:20 --delay 196 --endMP 300:24243 --enddatetime 2017-10-20T11:35:13 --enforcementcount 0 &gt;&gt;%USERPROFILE%\Documents\GitHub\eaglep3-reporting\EC\2017-10-20-refined-times.txt</v>
      </c>
      <c r="AI242" s="96" t="str">
        <f t="shared" si="81"/>
        <v>echo {"issue":{"subject":"","project_id":79,"tracker_id":40,"status_id":1,"priority_id":2,"assigned_to_id":338,"start_date":"2017-10-20","description":"","custom_fields":[{"id":1,"name":"Subdivision","value":"Shuttle/Test"},{"id":4,"name":"Milepost","value":"2.4243"},{"id":17,"name":"Train ID","value":"61-20"},{"id":16,"name":"Locomotive ID","value":"4066"},{"id":130,"name":"Impact","value":""},{"id":150,"name":"Time of Event (Mountain Time)","value":"11:35:13"},{"id":151,"name":"Denver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47"/>
      <c r="AL242" s="47"/>
      <c r="AM242" s="142" t="str">
        <f t="shared" si="82"/>
        <v>start /low /b %USERPROFILE%\Documents\GitHub\eaglep3\Utilities\DownloadLogsFromS3.py --loco 4066 --day 2017-10-20</v>
      </c>
      <c r="AN242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17:35:13"},{"id":29,"name":"Sharepoint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84"/>
        <v>https://d0f6bd738d7f1b3e5a7ca70fe4ff75f0.us-east-1.aws.found.io/app/kibana#/discover/Steve-Slow-Train-Analysis-(2080s-and-2083s)?_g=(refreshInterval:(display:Off,pause:!f,section:0,value:0),time:(from:'2017-10-20T10:07:15-0600',mode:absolute,to:'2017-10-20T12:35:13-0600'))&amp;_a=(columns:!('Message%20ID',Summary),filters:!(),index:'emp_*',interval:auto,query:(query_string:(analyze_wildcard:!t,query:'%22rtdc.l.rtdc.4066%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 s="32" t="s">
        <v>818</v>
      </c>
      <c r="B243" s="7">
        <v>4023</v>
      </c>
      <c r="C243" s="21" t="s">
        <v>194</v>
      </c>
      <c r="D243" s="21" t="s">
        <v>961</v>
      </c>
      <c r="E243" s="13">
        <v>43028.743032407408</v>
      </c>
      <c r="F243" s="13">
        <v>43028.746041666665</v>
      </c>
      <c r="G243" s="7">
        <v>117</v>
      </c>
      <c r="H243" s="21" t="s">
        <v>962</v>
      </c>
      <c r="I243" s="13">
        <v>43028.753865740742</v>
      </c>
      <c r="J243" s="7">
        <v>0</v>
      </c>
      <c r="K243" s="89" t="str">
        <f>IF(ISEVEN(B243),(B243-1)&amp;"/"&amp;B243,B243&amp;"/"&amp;(B243+1))</f>
        <v>4023/4024</v>
      </c>
      <c r="L243" s="185" t="str">
        <f>VLOOKUP(A243,'Trips&amp;Operators'!$C$1:$G$99911,5,FALSE)</f>
        <v>WEST BRYAN</v>
      </c>
      <c r="M243" s="6">
        <f>I243-F243</f>
        <v>7.8240740767796524E-3</v>
      </c>
      <c r="N243" s="7">
        <f>24*60*SUM($M243:$M243)</f>
        <v>11.266666670562699</v>
      </c>
      <c r="O243" s="7"/>
      <c r="P243" s="7"/>
      <c r="Q243" s="22"/>
      <c r="R243" s="174"/>
      <c r="S243" s="221">
        <f>1/IF(AG243="EC",12,1)*SUM(U243:U243)</f>
        <v>1</v>
      </c>
      <c r="T243" s="174" t="str">
        <f>IF(ISEVEN(LEFT(AD243,4)),"Southbound","NorthBound")</f>
        <v>Southbound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1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-10-20T16:49:58-0600',mode:absolute,to:'2017-10-20T19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3" s="204" t="str">
        <f>IF(AA243&lt;VLOOKUP(AG243,Variables!$AC$3:$AD$8,2,FALSE),"Y","N")</f>
        <v>Y</v>
      </c>
      <c r="X243" s="204">
        <f>VALUE(LEFT(AD243,4))-VALUE(LEFT(AD242,4))</f>
        <v>11</v>
      </c>
      <c r="Y243" s="204">
        <f>RIGHT(D243,LEN(D243)-4)/10000</f>
        <v>2.3574000000000002</v>
      </c>
      <c r="Z243" s="204">
        <f>RIGHT(H243,LEN(H243)-4)/10000</f>
        <v>0.1358</v>
      </c>
      <c r="AA243" s="204">
        <f>ABS(Z243-Y243)</f>
        <v>2.2216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79">
        <f>VALUE(LEFT(A243,LEN(A243)-3))</f>
        <v>72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s3://rtdc.mdm.uploadarchive.raw/RTDC4023/ "%USERPROFILE%\AppData\Local\Temp\OnboardLogs"\RTDC4023\2017-10-20 --exclude "*" --recursive --include "*20171020*" &amp; "%USERPROFILE%\Documents\GitHub\mrs-test-scripts\Headless Mode &amp; Sideloading\WalkAndUnGZ.bat" "%USERPROFILE%\AppData\Local\Temp\OnboardLogs"\RTDC4023\2017-10-20 &amp; aws s3 cp s3://rtdc.mdm.uploadarchive.raw/RTDC4023/ "%USERPROFILE%\AppData\Local\Temp\OnboardLogs"\RTDC4023\2017-10-21 --exclude "*" --recursive --include "*20171021*" &amp; "%USERPROFILE%\Documents\GitHub\mrs-test-scripts\Headless Mode &amp; Sideloading\WalkAndUnGZ.bat" "%USERPROFILE%\AppData\Local\Temp\OnboardLogs"\RTDC4023\2017-10-21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/stypes="app*4023*20171021*" /stext=" 00:.+((SYSTEM_STATE.+slice.+state.+changed )|(ment ac)|(multiple cpu faults)|(system.+state.+changed )|(\[timeout)|(PRM\|1\|D)|(kpr)|(kdp)|(train st.+moving)|(\|lc)|(penalty))"</v>
      </c>
      <c r="AG243" s="182" t="str">
        <f>DetSubdiv(A243)</f>
        <v>Shuttle/Test</v>
      </c>
      <c r="AH243" s="78" t="str">
        <f t="shared" si="80"/>
        <v>"%USERPROFILE%\Documents\GitHub\eaglep3\Utilities\RefineRTDCRunTimes.py" --tripid 72-20 --locoid 4023 --swversion DE.1.0.9.0 --startMP 300:23574 --initTime 2017-10-20T17:49:58 --startdatetime 2017-10-20T17:54:18 --delay 117 --endMP 204:1358 --enddatetime 2017-10-20T18:05:34 --enforcementcount 0 &gt;&gt;%USERPROFILE%\Documents\GitHub\eaglep3-reporting\EC\2017-10-20-refined-times.txt</v>
      </c>
      <c r="AI243" s="96" t="str">
        <f t="shared" si="81"/>
        <v>echo {"issue":{"subject":"","project_id":79,"tracker_id":40,"status_id":1,"priority_id":2,"assigned_to_id":338,"start_date":"2017-10-20","description":"","custom_fields":[{"id":1,"name":"Subdivision","value":"Shuttle/Test"},{"id":4,"name":"Milepost","value":"0.1358"},{"id":17,"name":"Train ID","value":"72-20"},{"id":16,"name":"Locomotive ID","value":"4023"},{"id":130,"name":"Impact","value":""},{"id":150,"name":"Time of Event (Mountain Time)","value":"18:05:34"},{"id":151,"name":"Denver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47"/>
      <c r="AL243" s="47"/>
      <c r="AM243" s="142" t="str">
        <f t="shared" si="82"/>
        <v>start /low /b %USERPROFILE%\Documents\GitHub\eaglep3\Utilities\DownloadLogsFromS3.py --loco 4023 --day 2017-10-20</v>
      </c>
      <c r="AN243" s="151" t="str">
        <f t="shared" si="83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00:05:34"},{"id":29,"name":"Sharepoint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84"/>
        <v>https://d0f6bd738d7f1b3e5a7ca70fe4ff75f0.us-east-1.aws.found.io/app/kibana#/discover/Steve-Slow-Train-Analysis-(2080s-and-2083s)?_g=(refreshInterval:(display:Off,pause:!f,section:0,value:0),time:(from:'2017-10-20T16:49:58-0600',mode:absolute,to:'2017-10-20T19:05:34-0600'))&amp;_a=(columns:!('Message%20ID',Summary),filters:!(),index:'emp_*',interval:auto,query:(query_string:(analyze_wildcard:!t,query:'%22rtdc.l.rtdc.4023%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32" t="s">
        <v>805</v>
      </c>
      <c r="B244" s="7">
        <v>4002</v>
      </c>
      <c r="C244" s="21" t="s">
        <v>194</v>
      </c>
      <c r="D244" s="21" t="s">
        <v>963</v>
      </c>
      <c r="E244" s="13">
        <v>43028.692002314812</v>
      </c>
      <c r="F244" s="13">
        <v>43028.701770833337</v>
      </c>
      <c r="G244" s="7">
        <v>248</v>
      </c>
      <c r="H244" s="21" t="s">
        <v>617</v>
      </c>
      <c r="I244" s="13">
        <v>43028.709328703706</v>
      </c>
      <c r="J244" s="7">
        <v>0</v>
      </c>
      <c r="K244" s="89" t="str">
        <f>IF(ISEVEN(B244),(B244-1)&amp;"/"&amp;B244,B244&amp;"/"&amp;(B244+1))</f>
        <v>4001/4002</v>
      </c>
      <c r="L244" s="185" t="str">
        <f>VLOOKUP(A244,'Trips&amp;Operators'!$C$1:$G$99911,5,FALSE)</f>
        <v>DE LA ROSA ALEX</v>
      </c>
      <c r="M244" s="6">
        <f>I244-F244</f>
        <v>7.5578703690553084E-3</v>
      </c>
      <c r="N244" s="7">
        <f>24*60*SUM($M244:$M244)</f>
        <v>10.883333331439644</v>
      </c>
      <c r="O244" s="7"/>
      <c r="P244" s="7"/>
      <c r="Q244" s="22"/>
      <c r="R244" s="174"/>
      <c r="S244" s="221">
        <f>1/IF(AG244="EC",12,1)*SUM(U244:U244)</f>
        <v>1</v>
      </c>
      <c r="T244" s="174" t="str">
        <f>IF(ISEVEN(LEFT(AD244,4)),"Southbound","NorthBound")</f>
        <v>NorthBound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1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-10-20T15:36:29-0600',mode:absolute,to:'2017-10-20T18:01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4" s="204" t="str">
        <f>IF(AA244&lt;VLOOKUP(AG244,Variables!$AC$3:$AD$8,2,FALSE),"Y","N")</f>
        <v>Y</v>
      </c>
      <c r="X244" s="204">
        <f>VALUE(LEFT(AD244,4))-VALUE(LEFT(AD243,4))</f>
        <v>3</v>
      </c>
      <c r="Y244" s="204">
        <f>RIGHT(D244,LEN(D244)-4)/10000</f>
        <v>0.14899999999999999</v>
      </c>
      <c r="Z244" s="204">
        <f>RIGHT(H244,LEN(H244)-4)/10000</f>
        <v>2.3304</v>
      </c>
      <c r="AA244" s="204">
        <f>ABS(Z244-Y244)</f>
        <v>2.1814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179">
        <f>VALUE(LEFT(A244,LEN(A244)-3))</f>
        <v>75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s3://rtdc.mdm.uploadarchive.raw/RTDC4002/ "%USERPROFILE%\AppData\Local\Temp\OnboardLogs"\RTDC4002\2017-10-20 --exclude "*" --recursive --include "*20171020*" &amp; "%USERPROFILE%\Documents\GitHub\mrs-test-scripts\Headless Mode &amp; Sideloading\WalkAndUnGZ.bat" "%USERPROFILE%\AppData\Local\Temp\OnboardLogs"\RTDC4002\2017-10-20 &amp; aws s3 cp s3://rtdc.mdm.uploadarchive.raw/RTDC4002/ "%USERPROFILE%\AppData\Local\Temp\OnboardLogs"\RTDC4002\2017-10-21 --exclude "*" --recursive --include "*20171021*" &amp; "%USERPROFILE%\Documents\GitHub\mrs-test-scripts\Headless Mode &amp; Sideloading\WalkAndUnGZ.bat" "%USERPROFILE%\AppData\Local\Temp\OnboardLogs"\RTDC4002\2017-10-21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/stypes="app*4002*20171020*" /stext=" 23:.+((SYSTEM_STATE.+slice.+state.+changed )|(ment ac)|(multiple cpu faults)|(system.+state.+changed )|(\[timeout)|(PRM\|1\|D)|(kpr)|(kdp)|(train st.+moving)|(\|lc)|(penalty))"</v>
      </c>
      <c r="AG244" s="182" t="str">
        <f>DetSubdiv(A244)</f>
        <v>Shuttle/Test</v>
      </c>
      <c r="AH244" s="78" t="str">
        <f t="shared" si="80"/>
        <v>"%USERPROFILE%\Documents\GitHub\eaglep3\Utilities\RefineRTDCRunTimes.py" --tripid 75-20 --locoid 4002 --swversion DE.1.0.9.0 --startMP 204:1490 --initTime 2017-10-20T16:36:29 --startdatetime 2017-10-20T16:50:33 --delay 248 --endMP 300:23304 --enddatetime 2017-10-20T17:01:26 --enforcementcount 0 &gt;&gt;%USERPROFILE%\Documents\GitHub\eaglep3-reporting\EC\2017-10-20-refined-times.txt</v>
      </c>
      <c r="AI244" s="96" t="str">
        <f t="shared" si="81"/>
        <v>echo {"issue":{"subject":"","project_id":79,"tracker_id":40,"status_id":1,"priority_id":2,"assigned_to_id":338,"start_date":"2017-10-20","description":"","custom_fields":[{"id":1,"name":"Subdivision","value":"Shuttle/Test"},{"id":4,"name":"Milepost","value":"2.3304"},{"id":17,"name":"Train ID","value":"75-20"},{"id":16,"name":"Locomotive ID","value":"4002"},{"id":130,"name":"Impact","value":""},{"id":150,"name":"Time of Event (Mountain Time)","value":"17:01:26"},{"id":151,"name":"Denver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47"/>
      <c r="AL244" s="47"/>
      <c r="AM244" s="142" t="str">
        <f t="shared" si="82"/>
        <v>start /low /b %USERPROFILE%\Documents\GitHub\eaglep3\Utilities\DownloadLogsFromS3.py --loco 4002 --day 2017-10-20</v>
      </c>
      <c r="AN244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23:01:26"},{"id":29,"name":"Sharepoint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84"/>
        <v>https://d0f6bd738d7f1b3e5a7ca70fe4ff75f0.us-east-1.aws.found.io/app/kibana#/discover/Steve-Slow-Train-Analysis-(2080s-and-2083s)?_g=(refreshInterval:(display:Off,pause:!f,section:0,value:0),time:(from:'2017-10-20T15:36:29-0600',mode:absolute,to:'2017-10-20T18:01:26-0600'))&amp;_a=(columns:!('Message%20ID',Summary),filters:!(),index:'emp_*',interval:auto,query:(query_string:(analyze_wildcard:!t,query:'%22rtdc.l.rtdc.4002%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 s="32" t="s">
        <v>812</v>
      </c>
      <c r="B245" s="7">
        <v>4010</v>
      </c>
      <c r="C245" s="21" t="s">
        <v>194</v>
      </c>
      <c r="D245" s="21" t="s">
        <v>964</v>
      </c>
      <c r="E245" s="13">
        <v>43028.719976851855</v>
      </c>
      <c r="F245" s="13">
        <v>43028.725729166668</v>
      </c>
      <c r="G245" s="7">
        <v>73</v>
      </c>
      <c r="H245" s="21" t="s">
        <v>617</v>
      </c>
      <c r="I245" s="13">
        <v>43028.73364583333</v>
      </c>
      <c r="J245" s="7">
        <v>0</v>
      </c>
      <c r="K245" s="89" t="str">
        <f>IF(ISEVEN(B245),(B245-1)&amp;"/"&amp;B245,B245&amp;"/"&amp;(B245+1))</f>
        <v>4009/4010</v>
      </c>
      <c r="L245" s="185" t="str">
        <f>VLOOKUP(A245,'Trips&amp;Operators'!$C$1:$G$99911,5,FALSE)</f>
        <v>DELGADO DIANAH</v>
      </c>
      <c r="M245" s="6">
        <f>I245-F245</f>
        <v>7.916666661913041E-3</v>
      </c>
      <c r="N245" s="7">
        <f>24*60*SUM($M245:$M245)</f>
        <v>11.399999993154779</v>
      </c>
      <c r="O245" s="7"/>
      <c r="P245" s="7"/>
      <c r="Q245" s="22"/>
      <c r="R245" s="174"/>
      <c r="S245" s="221">
        <f>1/IF(AG245="EC",12,1)*SUM(U245:U245)</f>
        <v>1</v>
      </c>
      <c r="T245" s="174" t="str">
        <f>IF(ISEVEN(LEFT(AD245,4)),"Southbound","NorthBound")</f>
        <v>NorthBound</v>
      </c>
      <c r="U245" s="198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16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-10-20T16:16:46-0600',mode:absolute,to:'2017-10-20T18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5" s="204" t="str">
        <f>IF(AA245&lt;VLOOKUP(AG245,Variables!$AC$3:$AD$8,2,FALSE),"Y","N")</f>
        <v>Y</v>
      </c>
      <c r="X245" s="204">
        <f>VALUE(LEFT(AD245,4))-VALUE(LEFT(AD244,4))</f>
        <v>2</v>
      </c>
      <c r="Y245" s="204">
        <f>RIGHT(D245,LEN(D245)-4)/10000</f>
        <v>0.11650000000000001</v>
      </c>
      <c r="Z245" s="204">
        <f>RIGHT(H245,LEN(H245)-4)/10000</f>
        <v>2.3304</v>
      </c>
      <c r="AA245" s="204">
        <f>ABS(Z245-Y245)</f>
        <v>2.2139000000000002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179">
        <f>VALUE(LEFT(A245,LEN(A245)-3))</f>
        <v>77</v>
      </c>
      <c r="AE245" s="7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s3://rtdc.mdm.uploadarchive.raw/RTDC4010/ "%USERPROFILE%\AppData\Local\Temp\OnboardLogs"\RTDC4010\2017-10-20 --exclude "*" --recursive --include "*20171020*" &amp; "%USERPROFILE%\Documents\GitHub\mrs-test-scripts\Headless Mode &amp; Sideloading\WalkAndUnGZ.bat" "%USERPROFILE%\AppData\Local\Temp\OnboardLogs"\RTDC4010\2017-10-20 &amp; aws s3 cp s3://rtdc.mdm.uploadarchive.raw/RTDC4010/ "%USERPROFILE%\AppData\Local\Temp\OnboardLogs"\RTDC4010\2017-10-21 --exclude "*" --recursive --include "*20171021*" &amp; "%USERPROFILE%\Documents\GitHub\mrs-test-scripts\Headless Mode &amp; Sideloading\WalkAndUnGZ.bat" "%USERPROFILE%\AppData\Local\Temp\OnboardLogs"\RTDC4010\2017-10-21</v>
      </c>
      <c r="AF245" s="7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/stypes="app*4010*20171020*" /stext=" 23:.+((SYSTEM_STATE.+slice.+state.+changed )|(ment ac)|(multiple cpu faults)|(system.+state.+changed )|(\[timeout)|(PRM\|1\|D)|(kpr)|(kdp)|(train st.+moving)|(\|lc)|(penalty))"</v>
      </c>
      <c r="AG245" s="182" t="str">
        <f>DetSubdiv(A245)</f>
        <v>Shuttle/Test</v>
      </c>
      <c r="AH245" s="78" t="str">
        <f t="shared" si="80"/>
        <v>"%USERPROFILE%\Documents\GitHub\eaglep3\Utilities\RefineRTDCRunTimes.py" --tripid 77-20 --locoid 4010 --swversion DE.1.0.9.0 --startMP 204:1165 --initTime 2017-10-20T17:16:46 --startdatetime 2017-10-20T17:25:03 --delay 73 --endMP 300:23304 --enddatetime 2017-10-20T17:36:27 --enforcementcount 0 &gt;&gt;%USERPROFILE%\Documents\GitHub\eaglep3-reporting\EC\2017-10-20-refined-times.txt</v>
      </c>
      <c r="AI245" s="96" t="str">
        <f t="shared" si="81"/>
        <v>echo {"issue":{"subject":"","project_id":79,"tracker_id":40,"status_id":1,"priority_id":2,"assigned_to_id":338,"start_date":"2017-10-20","description":"","custom_fields":[{"id":1,"name":"Subdivision","value":"Shuttle/Test"},{"id":4,"name":"Milepost","value":"2.3304"},{"id":17,"name":"Train ID","value":"77-20"},{"id":16,"name":"Locomotive ID","value":"4010"},{"id":130,"name":"Impact","value":""},{"id":150,"name":"Time of Event (Mountain Time)","value":"17:36:27"},{"id":151,"name":"Denver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5" s="47"/>
      <c r="AL245" s="47"/>
      <c r="AM245" s="142" t="str">
        <f t="shared" si="82"/>
        <v>start /low /b %USERPROFILE%\Documents\GitHub\eaglep3\Utilities\DownloadLogsFromS3.py --loco 4010 --day 2017-10-20</v>
      </c>
      <c r="AN245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23:36:27"},{"id":29,"name":"Sharepoint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68" t="str">
        <f t="shared" si="84"/>
        <v>https://d0f6bd738d7f1b3e5a7ca70fe4ff75f0.us-east-1.aws.found.io/app/kibana#/discover/Steve-Slow-Train-Analysis-(2080s-and-2083s)?_g=(refreshInterval:(display:Off,pause:!f,section:0,value:0),time:(from:'2017-10-20T16:16:46-0600',mode:absolute,to:'2017-10-20T18:36:27-0600'))&amp;_a=(columns:!('Message%20ID',Summary),filters:!(),index:'emp_*',interval:auto,query:(query_string:(analyze_wildcard:!t,query:'%22rtdc.l.rtdc.4010%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9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9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9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9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9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9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9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9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9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9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4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4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4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4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4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4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4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4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4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4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4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4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</sheetData>
  <autoFilter ref="A12:AG407">
    <sortState ref="A13:AG407">
      <sortCondition ref="AG13:AG245"/>
      <sortCondition ref="AD13:AD245"/>
    </sortState>
  </autoFilter>
  <sortState ref="A13:AN312">
    <sortCondition ref="AG13:AG312"/>
    <sortCondition ref="AD13:AD312"/>
  </sortState>
  <mergeCells count="1">
    <mergeCell ref="A11:P11"/>
  </mergeCells>
  <conditionalFormatting sqref="W11:W12 W413:X1048576 W13:X245">
    <cfRule type="cellIs" dxfId="10" priority="457" operator="equal">
      <formula>"Y"</formula>
    </cfRule>
  </conditionalFormatting>
  <conditionalFormatting sqref="X413:X1048576 X13:X245">
    <cfRule type="cellIs" dxfId="9" priority="440" operator="greaterThan">
      <formula>1</formula>
    </cfRule>
  </conditionalFormatting>
  <conditionalFormatting sqref="X413:X1048576 X12:X245">
    <cfRule type="cellIs" dxfId="8" priority="437" operator="equal">
      <formula>0</formula>
    </cfRule>
  </conditionalFormatting>
  <conditionalFormatting sqref="A13:S245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11" zoomScaleNormal="100" workbookViewId="0">
      <selection activeCell="O31" sqref="O31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COUNTIF($O$7:$O$240,"=Y")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COUNTA($O$7:$O$240)-O2</f>
        <v>20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- 2017-10-20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352</v>
      </c>
      <c r="X6" s="181" t="s">
        <v>345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43028.608483796299</v>
      </c>
      <c r="B7" s="30" t="s">
        <v>524</v>
      </c>
      <c r="C7" s="30" t="s">
        <v>643</v>
      </c>
      <c r="D7" s="30" t="s">
        <v>95</v>
      </c>
      <c r="E7" s="30" t="s">
        <v>185</v>
      </c>
      <c r="F7" s="42">
        <v>0</v>
      </c>
      <c r="G7" s="42">
        <v>215</v>
      </c>
      <c r="H7" s="42">
        <v>27053</v>
      </c>
      <c r="I7" s="42">
        <v>27392</v>
      </c>
      <c r="J7" s="30" t="s">
        <v>186</v>
      </c>
      <c r="K7" s="42">
        <v>27053</v>
      </c>
      <c r="L7" s="131" t="s">
        <v>50</v>
      </c>
      <c r="M7" s="132">
        <f>CONVERT((I7-K7)/10000,"mi","ft")*IF(L7="Increasing Mileposts (1)",-1,1)</f>
        <v>-178.99199999999999</v>
      </c>
      <c r="N7" s="133" t="str">
        <f>VLOOKUP(C7,'Trips&amp;Operators'!$C$1:$G$99911,5,FALSE)</f>
        <v>HOLCOMB KAMDEN</v>
      </c>
      <c r="O7" s="176" t="s">
        <v>178</v>
      </c>
      <c r="P7" s="134" t="s">
        <v>356</v>
      </c>
      <c r="Q7" s="30"/>
      <c r="R7" s="81" t="str">
        <f>VLOOKUP(C7,'Train Runs'!$A$13:$AE$10066,31,0)</f>
        <v>aws s3 cp s3://rtdc.mdm.uploadarchive.raw/RTDC4032/ "%USERPROFILE%\AppData\Local\Temp\OnboardLogs"\RTDC4032\2017-10-20 --exclude "*" --recursive --include "*20171020*" &amp; "%USERPROFILE%\Documents\GitHub\mrs-test-scripts\Headless Mode &amp; Sideloading\WalkAndUnGZ.bat" "%USERPROFILE%\AppData\Local\Temp\OnboardLogs"\RTDC4032\2017-10-20 &amp; aws s3 cp s3://rtdc.mdm.uploadarchive.raw/RTDC4032/ "%USERPROFILE%\AppData\Local\Temp\OnboardLogs"\RTDC4032\2017-10-21 --exclude "*" --recursive --include "*20171021*" &amp; "%USERPROFILE%\Documents\GitHub\mrs-test-scripts\Headless Mode &amp; Sideloading\WalkAndUnGZ.bat" "%USERPROFILE%\AppData\Local\Temp\OnboardLogs"\RTDC4032\2017-10-21</v>
      </c>
      <c r="S7" s="84" t="str">
        <f>VLOOKUP(C7,'Train Runs'!$A$13:$AE$10066,22,0)</f>
        <v>https://d0f6bd738d7f1b3e5a7ca70fe4ff75f0.us-east-1.aws.found.io/app/kibana#/discover/Steve-Slow-Train-Analysis-(2080s-and-2083s)?_g=(refreshInterval:(display:Off,pause:!f,section:0,value:0),time:(from:'2017-10-20T13:27:05-0600',mode:absolute,to:'2017-10-20T16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/stypes="*4032*201710202*" /stext=" 20:.+((SYSTEM_STATE.+slice.+state.+changed )|(ment ac)|(multiple cpu faults)|(system.+state.+changed )|(\[timeout)|(PRM\|1\|D)|(kpr)|(kdp)|(train st.+moving)|(\|lc)|(penalty))"</v>
      </c>
      <c r="U7" s="9" t="str">
        <f>MID(B7,13,4)</f>
        <v>4032</v>
      </c>
      <c r="V7" s="31">
        <f>A7-utc_offset/24</f>
        <v>43028.858483796299</v>
      </c>
      <c r="W7" s="45" t="str">
        <f>DetSubdiv(C7)</f>
        <v>EC</v>
      </c>
      <c r="X7" s="22">
        <f>VALUE(LEFT(C7,LEN(C7)-3))</f>
        <v>187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Arrival","project_id":79,"tracker_id":40,"status_id":1,"priority_id":2,"assigned_to_id":338,"start_date":"2017-10-20","description":"","custom_fields":[{"id":1,"name":"Subdivision","value":"EC"},{"id":4,"name":"Milepost","value":"2.7053"},{"id":17,"name":"Train ID","value":"187-20"},{"id":16,"name":"Locomotive ID","value":"4032"},{"id":130,"name":"Impact","value":""},{"id":150,"name":"Time of Event (Mountain Time)","value":"14:36:13"},{"id":151,"name":"Denver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/c/Users/stu/AppData/Local/Temp/OnboardLogs/RTDC4032 --include="*4032*201710202*"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"%USERPROFILE%\AppData\Local\Temp\OnboardLogs"\RTDC4032\*4032*201710202* &gt;&gt; 2017-10-20-SliceDisagreementCheck.txt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4032 --day 2017-10-20</v>
      </c>
    </row>
    <row r="8" spans="1:32" s="1" customFormat="1" x14ac:dyDescent="0.3">
      <c r="A8" s="31">
        <v>43028.96297453704</v>
      </c>
      <c r="B8" s="30" t="s">
        <v>640</v>
      </c>
      <c r="C8" s="30" t="s">
        <v>655</v>
      </c>
      <c r="D8" s="30" t="s">
        <v>49</v>
      </c>
      <c r="E8" s="30" t="s">
        <v>185</v>
      </c>
      <c r="F8" s="42">
        <v>0</v>
      </c>
      <c r="G8" s="42">
        <v>209</v>
      </c>
      <c r="H8" s="42">
        <v>26966</v>
      </c>
      <c r="I8" s="42">
        <v>27323</v>
      </c>
      <c r="J8" s="30" t="s">
        <v>186</v>
      </c>
      <c r="K8" s="42">
        <v>27053</v>
      </c>
      <c r="L8" s="131" t="s">
        <v>50</v>
      </c>
      <c r="M8" s="132">
        <f>CONVERT((I8-K8)/10000,"mi","ft")*IF(L8="Increasing Mileposts (1)",-1,1)</f>
        <v>-142.56</v>
      </c>
      <c r="N8" s="133" t="str">
        <f>VLOOKUP(C8,'Trips&amp;Operators'!$C$1:$G$99911,5,FALSE)</f>
        <v>ANDERS STEVEN</v>
      </c>
      <c r="O8" s="176" t="s">
        <v>178</v>
      </c>
      <c r="P8" s="134" t="s">
        <v>356</v>
      </c>
      <c r="Q8" s="30"/>
      <c r="R8" s="81" t="str">
        <f>VLOOKUP(C8,'Train Runs'!$A$13:$AE$10066,31,0)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S8" s="84" t="str">
        <f>VLOOKUP(C8,'Train Runs'!$A$13:$AE$10066,22,0)</f>
        <v>https://d0f6bd738d7f1b3e5a7ca70fe4ff75f0.us-east-1.aws.found.io/app/kibana#/discover/Steve-Slow-Train-Analysis-(2080s-and-2083s)?_g=(refreshInterval:(display:Off,pause:!f,section:0,value:0),time:(from:'2017-10-20T21:40:09-0600',mode:absolute,to:'2017-10-21T00:10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/stypes="*4056*201710210*" /stext=" 05:.+((SYSTEM_STATE.+slice.+state.+changed )|(ment ac)|(multiple cpu faults)|(system.+state.+changed )|(\[timeout)|(PRM\|1\|D)|(kpr)|(kdp)|(train st.+moving)|(\|lc)|(penalty))"</v>
      </c>
      <c r="U8" s="9" t="str">
        <f>MID(B8,13,4)</f>
        <v>4056</v>
      </c>
      <c r="V8" s="31">
        <f>A8-utc_offset/24</f>
        <v>43029.21297453704</v>
      </c>
      <c r="W8" s="45" t="str">
        <f>DetSubdiv(C8)</f>
        <v>EC</v>
      </c>
      <c r="X8" s="22">
        <f>VALUE(LEFT(C8,LEN(C8)-3))</f>
        <v>237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Arrival","project_id":79,"tracker_id":40,"status_id":1,"priority_id":2,"assigned_to_id":338,"start_date":"2017-10-20","description":"","custom_fields":[{"id":1,"name":"Subdivision","value":"EC"},{"id":4,"name":"Milepost","value":"2.7053"},{"id":17,"name":"Train ID","value":"237-20"},{"id":16,"name":"Locomotive ID","value":"4056"},{"id":130,"name":"Impact","value":""},{"id":150,"name":"Time of Event (Mountain Time)","value":"23:06:41"},{"id":151,"name":"Denver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/c/Users/stu/AppData/Local/Temp/OnboardLogs/RTDC4056 --include="*4056*201710210*"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"%USERPROFILE%\AppData\Local\Temp\OnboardLogs"\RTDC4056\*4056*201710210* &gt;&gt; 2017-10-20-SliceDisagreementCheck.txt</v>
      </c>
      <c r="AE8" s="145" t="str">
        <f t="shared" ref="AE8:AE30" si="1">"start /low /b "&amp;dls3logs&amp;" --loco "&amp;U8&amp;" --day "&amp;TEXT(V8,"YYYY-MM-DD")</f>
        <v>start /low /b %USERPROFILE%\Documents\GitHub\eaglep3\Utilities\DownloadLogsFromS3.py --loco 4056 --day 2017-10-21</v>
      </c>
    </row>
    <row r="9" spans="1:32" s="1" customFormat="1" x14ac:dyDescent="0.3">
      <c r="A9" s="31">
        <v>43028.797013888892</v>
      </c>
      <c r="B9" s="30" t="s">
        <v>640</v>
      </c>
      <c r="C9" s="30" t="s">
        <v>652</v>
      </c>
      <c r="D9" s="30" t="s">
        <v>95</v>
      </c>
      <c r="E9" s="30" t="s">
        <v>185</v>
      </c>
      <c r="F9" s="42">
        <v>0</v>
      </c>
      <c r="G9" s="42">
        <v>187</v>
      </c>
      <c r="H9" s="42">
        <v>30833</v>
      </c>
      <c r="I9" s="42">
        <v>30905</v>
      </c>
      <c r="J9" s="30" t="s">
        <v>186</v>
      </c>
      <c r="K9" s="42">
        <v>30830</v>
      </c>
      <c r="L9" s="131" t="s">
        <v>50</v>
      </c>
      <c r="M9" s="132">
        <f>CONVERT((I9-K9)/10000,"mi","ft")*IF(L9="Increasing Mileposts (1)",-1,1)</f>
        <v>-39.6</v>
      </c>
      <c r="N9" s="133" t="str">
        <f>VLOOKUP(C9,'Trips&amp;Operators'!$C$1:$G$99911,5,FALSE)</f>
        <v>GUNTHIER ERIC</v>
      </c>
      <c r="O9" s="176" t="s">
        <v>178</v>
      </c>
      <c r="P9" s="134" t="s">
        <v>356</v>
      </c>
      <c r="Q9" s="30"/>
      <c r="R9" s="81" t="str">
        <f>VLOOKUP(C9,'Train Runs'!$A$13:$AE$10066,31,0)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S9" s="84" t="str">
        <f>VLOOKUP(C9,'Train Runs'!$A$13:$AE$10066,22,0)</f>
        <v>https://d0f6bd738d7f1b3e5a7ca70fe4ff75f0.us-east-1.aws.found.io/app/kibana#/discover/Steve-Slow-Train-Analysis-(2080s-and-2083s)?_g=(refreshInterval:(display:Off,pause:!f,section:0,value:0),time:(from:'2017-10-20T17:54:13-0600',mode:absolute,to:'2017-10-20T20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/stypes="*4056*201710210*" /stext=" 01:.+((SYSTEM_STATE.+slice.+state.+changed )|(ment ac)|(multiple cpu faults)|(system.+state.+changed )|(\[timeout)|(PRM\|1\|D)|(kpr)|(kdp)|(train st.+moving)|(\|lc)|(penalty))"</v>
      </c>
      <c r="U9" s="9" t="str">
        <f>MID(B9,13,4)</f>
        <v>4056</v>
      </c>
      <c r="V9" s="31">
        <f>A9-utc_offset/24</f>
        <v>43029.047013888892</v>
      </c>
      <c r="W9" s="45" t="str">
        <f>DetSubdiv(C9)</f>
        <v>EC</v>
      </c>
      <c r="X9" s="22">
        <f>VALUE(LEFT(C9,LEN(C9)-3))</f>
        <v>221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Arrival","project_id":79,"tracker_id":40,"status_id":1,"priority_id":2,"assigned_to_id":338,"start_date":"2017-10-20","description":"","custom_fields":[{"id":1,"name":"Subdivision","value":"EC"},{"id":4,"name":"Milepost","value":"3.083"},{"id":17,"name":"Train ID","value":"221-20"},{"id":16,"name":"Locomotive ID","value":"4056"},{"id":130,"name":"Impact","value":""},{"id":150,"name":"Time of Event (Mountain Time)","value":"19:07:42"},{"id":151,"name":"Denver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/c/Users/stu/AppData/Local/Temp/OnboardLogs/RTDC4056 --include="*4056*201710210*"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"%USERPROFILE%\AppData\Local\Temp\OnboardLogs"\RTDC4056\*4056*201710210* &gt;&gt; 2017-10-20-SliceDisagreementCheck.txt</v>
      </c>
      <c r="AE9" s="145" t="str">
        <f t="shared" si="1"/>
        <v>start /low /b %USERPROFILE%\Documents\GitHub\eaglep3\Utilities\DownloadLogsFromS3.py --loco 4056 --day 2017-10-21</v>
      </c>
    </row>
    <row r="10" spans="1:32" s="1" customFormat="1" x14ac:dyDescent="0.3">
      <c r="A10" s="31">
        <v>43028.674803240741</v>
      </c>
      <c r="B10" s="30" t="s">
        <v>646</v>
      </c>
      <c r="C10" s="30" t="s">
        <v>647</v>
      </c>
      <c r="D10" s="30" t="s">
        <v>49</v>
      </c>
      <c r="E10" s="30" t="s">
        <v>185</v>
      </c>
      <c r="F10" s="42">
        <v>0</v>
      </c>
      <c r="G10" s="42">
        <v>176</v>
      </c>
      <c r="H10" s="42">
        <v>31064</v>
      </c>
      <c r="I10" s="42">
        <v>30893</v>
      </c>
      <c r="J10" s="30" t="s">
        <v>186</v>
      </c>
      <c r="K10" s="42">
        <v>30970</v>
      </c>
      <c r="L10" s="131" t="s">
        <v>51</v>
      </c>
      <c r="M10" s="132">
        <f>CONVERT((I10-K10)/10000,"mi","ft")*IF(L10="Increasing Mileposts (1)",-1,1)</f>
        <v>-40.655999999999999</v>
      </c>
      <c r="N10" s="133" t="str">
        <f>VLOOKUP(C10,'Trips&amp;Operators'!$C$1:$G$99911,5,FALSE)</f>
        <v>SAFIEF AEIMEN</v>
      </c>
      <c r="O10" s="176" t="s">
        <v>178</v>
      </c>
      <c r="P10" s="134" t="s">
        <v>356</v>
      </c>
      <c r="Q10" s="30"/>
      <c r="R10" s="81" t="str">
        <f>VLOOKUP(C10,'Train Runs'!$A$13:$AE$10066,31,0)</f>
        <v>aws s3 cp s3://rtdc.mdm.uploadarchive.raw/RTDC4025/ "%USERPROFILE%\AppData\Local\Temp\OnboardLogs"\RTDC4025\2017-10-20 --exclude "*" --recursive --include "*20171020*" &amp; "%USERPROFILE%\Documents\GitHub\mrs-test-scripts\Headless Mode &amp; Sideloading\WalkAndUnGZ.bat" "%USERPROFILE%\AppData\Local\Temp\OnboardLogs"\RTDC4025\2017-10-20 &amp; aws s3 cp s3://rtdc.mdm.uploadarchive.raw/RTDC4025/ "%USERPROFILE%\AppData\Local\Temp\OnboardLogs"\RTDC4025\2017-10-21 --exclude "*" --recursive --include "*20171021*" &amp; "%USERPROFILE%\Documents\GitHub\mrs-test-scripts\Headless Mode &amp; Sideloading\WalkAndUnGZ.bat" "%USERPROFILE%\AppData\Local\Temp\OnboardLogs"\RTDC4025\2017-10-21</v>
      </c>
      <c r="S10" s="84" t="str">
        <f>VLOOKUP(C10,'Train Runs'!$A$13:$AE$10066,22,0)</f>
        <v>https://d0f6bd738d7f1b3e5a7ca70fe4ff75f0.us-east-1.aws.found.io/app/kibana#/discover/Steve-Slow-Train-Analysis-(2080s-and-2083s)?_g=(refreshInterval:(display:Off,pause:!f,section:0,value:0),time:(from:'2017-10-20T14:23:56-0600',mode:absolute,to:'2017-10-20T17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/stypes="*4025*201710202*" /stext=" 22:.+((SYSTEM_STATE.+slice.+state.+changed )|(ment ac)|(multiple cpu faults)|(system.+state.+changed )|(\[timeout)|(PRM\|1\|D)|(kpr)|(kdp)|(train st.+moving)|(\|lc)|(penalty))"</v>
      </c>
      <c r="U10" s="9" t="str">
        <f>MID(B10,13,4)</f>
        <v>4025</v>
      </c>
      <c r="V10" s="31">
        <f>A10-utc_offset/24</f>
        <v>43028.924803240741</v>
      </c>
      <c r="W10" s="45" t="str">
        <f>DetSubdiv(C10)</f>
        <v>EC</v>
      </c>
      <c r="X10" s="22">
        <f>VALUE(LEFT(C10,LEN(C10)-3))</f>
        <v>190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Arrival","project_id":79,"tracker_id":40,"status_id":1,"priority_id":2,"assigned_to_id":338,"start_date":"2017-10-20","description":"","custom_fields":[{"id":1,"name":"Subdivision","value":"EC"},{"id":4,"name":"Milepost","value":"3.097"},{"id":17,"name":"Train ID","value":"190-20"},{"id":16,"name":"Locomotive ID","value":"4025"},{"id":130,"name":"Impact","value":""},{"id":150,"name":"Time of Event (Mountain Time)","value":"16:11:43"},{"id":151,"name":"Denver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/c/Users/stu/AppData/Local/Temp/OnboardLogs/RTDC4025 --include="*4025*201710202*"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"%USERPROFILE%\AppData\Local\Temp\OnboardLogs"\RTDC4025\*4025*201710202* &gt;&gt; 2017-10-20-SliceDisagreementCheck.txt</v>
      </c>
      <c r="AE10" s="145" t="str">
        <f t="shared" si="1"/>
        <v>start /low /b %USERPROFILE%\Documents\GitHub\eaglep3\Utilities\DownloadLogsFromS3.py --loco 4025 --day 2017-10-20</v>
      </c>
    </row>
    <row r="11" spans="1:32" s="1" customFormat="1" x14ac:dyDescent="0.3">
      <c r="A11" s="31">
        <v>43028.964606481481</v>
      </c>
      <c r="B11" s="30" t="s">
        <v>640</v>
      </c>
      <c r="C11" s="30" t="s">
        <v>655</v>
      </c>
      <c r="D11" s="30" t="s">
        <v>49</v>
      </c>
      <c r="E11" s="30" t="s">
        <v>185</v>
      </c>
      <c r="F11" s="42">
        <v>350</v>
      </c>
      <c r="G11" s="42">
        <v>403</v>
      </c>
      <c r="H11" s="42">
        <v>32171</v>
      </c>
      <c r="I11" s="42">
        <v>33182</v>
      </c>
      <c r="J11" s="30" t="s">
        <v>186</v>
      </c>
      <c r="K11" s="42">
        <v>33137</v>
      </c>
      <c r="L11" s="131" t="s">
        <v>50</v>
      </c>
      <c r="M11" s="132">
        <f>CONVERT((I11-K11)/10000,"mi","ft")*IF(L11="Increasing Mileposts (1)",-1,1)</f>
        <v>-23.76</v>
      </c>
      <c r="N11" s="133" t="str">
        <f>VLOOKUP(C11,'Trips&amp;Operators'!$C$1:$G$99911,5,FALSE)</f>
        <v>ANDERS STEVEN</v>
      </c>
      <c r="O11" s="176" t="s">
        <v>178</v>
      </c>
      <c r="P11" s="134" t="s">
        <v>356</v>
      </c>
      <c r="Q11" s="30"/>
      <c r="R11" s="81" t="str">
        <f>VLOOKUP(C11,'Train Runs'!$A$13:$AE$10066,31,0)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S11" s="84" t="str">
        <f>VLOOKUP(C11,'Train Runs'!$A$13:$AE$10066,22,0)</f>
        <v>https://d0f6bd738d7f1b3e5a7ca70fe4ff75f0.us-east-1.aws.found.io/app/kibana#/discover/Steve-Slow-Train-Analysis-(2080s-and-2083s)?_g=(refreshInterval:(display:Off,pause:!f,section:0,value:0),time:(from:'2017-10-20T21:40:09-0600',mode:absolute,to:'2017-10-21T00:10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/stypes="*4056*201710210*" /stext=" 05:.+((SYSTEM_STATE.+slice.+state.+changed )|(ment ac)|(multiple cpu faults)|(system.+state.+changed )|(\[timeout)|(PRM\|1\|D)|(kpr)|(kdp)|(train st.+moving)|(\|lc)|(penalty))"</v>
      </c>
      <c r="U11" s="9" t="str">
        <f>MID(B11,13,4)</f>
        <v>4056</v>
      </c>
      <c r="V11" s="31">
        <f>A11-utc_offset/24</f>
        <v>43029.214606481481</v>
      </c>
      <c r="W11" s="45" t="str">
        <f>DetSubdiv(C11)</f>
        <v>EC</v>
      </c>
      <c r="X11" s="22">
        <f>VALUE(LEFT(C11,LEN(C11)-3))</f>
        <v>237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Arrival","project_id":79,"tracker_id":40,"status_id":1,"priority_id":2,"assigned_to_id":338,"start_date":"2017-10-20","description":"","custom_fields":[{"id":1,"name":"Subdivision","value":"EC"},{"id":4,"name":"Milepost","value":"3.3137"},{"id":17,"name":"Train ID","value":"237-20"},{"id":16,"name":"Locomotive ID","value":"4056"},{"id":130,"name":"Impact","value":""},{"id":150,"name":"Time of Event (Mountain Time)","value":"23:09:02"},{"id":151,"name":"Denver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/c/Users/stu/AppData/Local/Temp/OnboardLogs/RTDC4056 --include="*4056*201710210*"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"%USERPROFILE%\AppData\Local\Temp\OnboardLogs"\RTDC4056\*4056*201710210* &gt;&gt; 2017-10-20-SliceDisagreementCheck.txt</v>
      </c>
      <c r="AE11" s="145" t="str">
        <f t="shared" si="1"/>
        <v>start /low /b %USERPROFILE%\Documents\GitHub\eaglep3\Utilities\DownloadLogsFromS3.py --loco 4056 --day 2017-10-21</v>
      </c>
    </row>
    <row r="12" spans="1:32" x14ac:dyDescent="0.3">
      <c r="A12" s="31">
        <v>43028.587916666664</v>
      </c>
      <c r="B12" s="30" t="s">
        <v>507</v>
      </c>
      <c r="C12" s="30" t="s">
        <v>642</v>
      </c>
      <c r="D12" s="30" t="s">
        <v>49</v>
      </c>
      <c r="E12" s="30" t="s">
        <v>185</v>
      </c>
      <c r="F12" s="42">
        <v>230</v>
      </c>
      <c r="G12" s="42">
        <v>336</v>
      </c>
      <c r="H12" s="42">
        <v>58838</v>
      </c>
      <c r="I12" s="42">
        <v>58266</v>
      </c>
      <c r="J12" s="30" t="s">
        <v>186</v>
      </c>
      <c r="K12" s="42">
        <v>58301</v>
      </c>
      <c r="L12" s="131" t="s">
        <v>51</v>
      </c>
      <c r="M12" s="132">
        <f>CONVERT((I12-K12)/10000,"mi","ft")*IF(L12="Increasing Mileposts (1)",-1,1)</f>
        <v>-18.48</v>
      </c>
      <c r="N12" s="133" t="str">
        <f>VLOOKUP(C12,'Trips&amp;Operators'!$C$1:$G$99911,5,FALSE)</f>
        <v>HOLCOMB KAMDEN</v>
      </c>
      <c r="O12" s="176" t="s">
        <v>178</v>
      </c>
      <c r="P12" s="134" t="s">
        <v>356</v>
      </c>
      <c r="Q12" s="30"/>
      <c r="R12" s="81" t="str">
        <f>VLOOKUP(C12,'Train Runs'!$A$13:$AE$10066,31,0)</f>
        <v>aws s3 cp s3://rtdc.mdm.uploadarchive.raw/RTDC4031/ "%USERPROFILE%\AppData\Local\Temp\OnboardLogs"\RTDC4031\2017-10-20 --exclude "*" --recursive --include "*20171020*" &amp; "%USERPROFILE%\Documents\GitHub\mrs-test-scripts\Headless Mode &amp; Sideloading\WalkAndUnGZ.bat" "%USERPROFILE%\AppData\Local\Temp\OnboardLogs"\RTDC4031\2017-10-20 &amp; aws s3 cp s3://rtdc.mdm.uploadarchive.raw/RTDC4031/ "%USERPROFILE%\AppData\Local\Temp\OnboardLogs"\RTDC4031\2017-10-21 --exclude "*" --recursive --include "*20171021*" &amp; "%USERPROFILE%\Documents\GitHub\mrs-test-scripts\Headless Mode &amp; Sideloading\WalkAndUnGZ.bat" "%USERPROFILE%\AppData\Local\Temp\OnboardLogs"\RTDC4031\2017-10-21</v>
      </c>
      <c r="S12" s="84" t="str">
        <f>VLOOKUP(C12,'Train Runs'!$A$13:$AE$10066,22,0)</f>
        <v>https://d0f6bd738d7f1b3e5a7ca70fe4ff75f0.us-east-1.aws.found.io/app/kibana#/discover/Steve-Slow-Train-Analysis-(2080s-and-2083s)?_g=(refreshInterval:(display:Off,pause:!f,section:0,value:0),time:(from:'2017-10-20T12:36:01-0600',mode:absolute,to:'2017-10-20T15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/stypes="*4031*201710202*" /stext=" 20:.+((SYSTEM_STATE.+slice.+state.+changed )|(ment ac)|(multiple cpu faults)|(system.+state.+changed )|(\[timeout)|(PRM\|1\|D)|(kpr)|(kdp)|(train st.+moving)|(\|lc)|(penalty))"</v>
      </c>
      <c r="U12" s="9" t="str">
        <f>MID(B12,13,4)</f>
        <v>4031</v>
      </c>
      <c r="V12" s="31">
        <f>A12-utc_offset/24</f>
        <v>43028.837916666664</v>
      </c>
      <c r="W12" s="45" t="str">
        <f>DetSubdiv(C12)</f>
        <v>EC</v>
      </c>
      <c r="X12" s="22">
        <f>VALUE(LEFT(C12,LEN(C12)-3))</f>
        <v>174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Arrival","project_id":79,"tracker_id":40,"status_id":1,"priority_id":2,"assigned_to_id":338,"start_date":"2017-10-20","description":"","custom_fields":[{"id":1,"name":"Subdivision","value":"EC"},{"id":4,"name":"Milepost","value":"5.8301"},{"id":17,"name":"Train ID","value":"174-20"},{"id":16,"name":"Locomotive ID","value":"4031"},{"id":130,"name":"Impact","value":""},{"id":150,"name":"Time of Event (Mountain Time)","value":"14:06:36"},{"id":151,"name":"Denver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/c/Users/stu/AppData/Local/Temp/OnboardLogs/RTDC4031 --include="*4031*201710202*"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"%USERPROFILE%\AppData\Local\Temp\OnboardLogs"\RTDC4031\*4031*201710202* &gt;&gt; 2017-10-20-SliceDisagreementCheck.txt</v>
      </c>
      <c r="AE12" s="145" t="str">
        <f t="shared" si="1"/>
        <v>start /low /b %USERPROFILE%\Documents\GitHub\eaglep3\Utilities\DownloadLogsFromS3.py --loco 4031 --day 2017-10-20</v>
      </c>
      <c r="AF12" s="1"/>
    </row>
    <row r="13" spans="1:32" x14ac:dyDescent="0.3">
      <c r="A13" s="31">
        <v>43029.100046296298</v>
      </c>
      <c r="B13" s="30" t="s">
        <v>505</v>
      </c>
      <c r="C13" s="30" t="s">
        <v>656</v>
      </c>
      <c r="D13" s="30" t="s">
        <v>95</v>
      </c>
      <c r="E13" s="30" t="s">
        <v>185</v>
      </c>
      <c r="F13" s="42">
        <v>380</v>
      </c>
      <c r="G13" s="42">
        <v>437</v>
      </c>
      <c r="H13" s="42">
        <v>58152</v>
      </c>
      <c r="I13" s="42">
        <v>56860</v>
      </c>
      <c r="J13" s="30" t="s">
        <v>186</v>
      </c>
      <c r="K13" s="42">
        <v>58301</v>
      </c>
      <c r="L13" s="131" t="s">
        <v>51</v>
      </c>
      <c r="M13" s="132">
        <f>CONVERT((I13-K13)/10000,"mi","ft")*IF(L13="Increasing Mileposts (1)",-1,1)</f>
        <v>-760.84799999999996</v>
      </c>
      <c r="N13" s="133" t="str">
        <f>VLOOKUP(C13,'Trips&amp;Operators'!$C$1:$G$99911,5,FALSE)</f>
        <v>ANDERS STEVEN</v>
      </c>
      <c r="O13" s="176" t="s">
        <v>178</v>
      </c>
      <c r="P13" s="134" t="s">
        <v>356</v>
      </c>
      <c r="Q13" s="30"/>
      <c r="R13" s="81" t="str">
        <f>VLOOKUP(C13,'Train Runs'!$A$13:$AE$10066,31,0)</f>
        <v>aws s3 cp s3://rtdc.mdm.uploadarchive.raw/RTDC4023/ "%USERPROFILE%\AppData\Local\Temp\OnboardLogs"\RTDC4023\2017-10-21 --exclude "*" --recursive --include "*20171021*" &amp; "%USERPROFILE%\Documents\GitHub\mrs-test-scripts\Headless Mode &amp; Sideloading\WalkAndUnGZ.bat" "%USERPROFILE%\AppData\Local\Temp\OnboardLogs"\RTDC4023\2017-10-21 &amp; aws s3 cp s3://rtdc.mdm.uploadarchive.raw/RTDC4023/ "%USERPROFILE%\AppData\Local\Temp\OnboardLogs"\RTDC4023\2017-10-22 --exclude "*" --recursive --include "*20171022*" &amp; "%USERPROFILE%\Documents\GitHub\mrs-test-scripts\Headless Mode &amp; Sideloading\WalkAndUnGZ.bat" "%USERPROFILE%\AppData\Local\Temp\OnboardLogs"\RTDC4023\2017-10-22</v>
      </c>
      <c r="S13" s="84" t="str">
        <f>VLOOKUP(C13,'Train Runs'!$A$13:$AE$10066,22,0)</f>
        <v>https://d0f6bd738d7f1b3e5a7ca70fe4ff75f0.us-east-1.aws.found.io/app/kibana#/discover/Steve-Slow-Train-Analysis-(2080s-and-2083s)?_g=(refreshInterval:(display:Off,pause:!f,section:0,value:0),time:(from:'2017-10-20T23:55:07-0600',mode:absolute,to:'2017-10-21T03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/stypes="*4023*201710210*" /stext=" 08:.+((SYSTEM_STATE.+slice.+state.+changed )|(ment ac)|(multiple cpu faults)|(system.+state.+changed )|(\[timeout)|(PRM\|1\|D)|(kpr)|(kdp)|(train st.+moving)|(\|lc)|(penalty))"</v>
      </c>
      <c r="U13" s="9" t="str">
        <f>MID(B13,13,4)</f>
        <v>4023</v>
      </c>
      <c r="V13" s="31">
        <f>A13-utc_offset/24</f>
        <v>43029.350046296298</v>
      </c>
      <c r="W13" s="45" t="str">
        <f>DetSubdiv(C13)</f>
        <v>EC</v>
      </c>
      <c r="X13" s="22">
        <f>VALUE(LEFT(C13,LEN(C13)-3))</f>
        <v>246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Arrival","project_id":79,"tracker_id":40,"status_id":1,"priority_id":2,"assigned_to_id":338,"start_date":"2017-10-21","description":"","custom_fields":[{"id":1,"name":"Subdivision","value":"EC"},{"id":4,"name":"Milepost","value":"5.8301"},{"id":17,"name":"Train ID","value":"246-20"},{"id":16,"name":"Locomotive ID","value":"4023"},{"id":130,"name":"Impact","value":""},{"id":150,"name":"Time of Event (Mountain Time)","value":"02:24:04"},{"id":151,"name":"Denver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/c/Users/stu/AppData/Local/Temp/OnboardLogs/RTDC4023 --include="*4023*201710210*"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"%USERPROFILE%\AppData\Local\Temp\OnboardLogs"\RTDC4023\*4023*201710210* &gt;&gt; 2017-10-20-SliceDisagreementCheck.txt</v>
      </c>
      <c r="AE13" s="145" t="str">
        <f t="shared" si="1"/>
        <v>start /low /b %USERPROFILE%\Documents\GitHub\eaglep3\Utilities\DownloadLogsFromS3.py --loco 4023 --day 2017-10-21</v>
      </c>
      <c r="AF13" s="1"/>
    </row>
    <row r="14" spans="1:32" x14ac:dyDescent="0.3">
      <c r="A14" s="31">
        <v>43028.577256944445</v>
      </c>
      <c r="B14" s="30" t="s">
        <v>640</v>
      </c>
      <c r="C14" s="30" t="s">
        <v>641</v>
      </c>
      <c r="D14" s="30" t="s">
        <v>95</v>
      </c>
      <c r="E14" s="30" t="s">
        <v>192</v>
      </c>
      <c r="F14" s="42">
        <v>300</v>
      </c>
      <c r="G14" s="42">
        <v>359</v>
      </c>
      <c r="H14" s="42">
        <v>20402</v>
      </c>
      <c r="I14" s="42">
        <v>21351</v>
      </c>
      <c r="J14" s="30" t="s">
        <v>193</v>
      </c>
      <c r="K14" s="42">
        <v>20338</v>
      </c>
      <c r="L14" s="131" t="s">
        <v>50</v>
      </c>
      <c r="M14" s="132">
        <f>CONVERT((I14-K14)/10000,"mi","ft")*IF(L14="Increasing Mileposts (1)",-1,1)</f>
        <v>-534.86400000000003</v>
      </c>
      <c r="N14" s="133" t="str">
        <f>VLOOKUP(C14,'Trips&amp;Operators'!$C$1:$G$99911,5,FALSE)</f>
        <v>FORTUNATO FRANK</v>
      </c>
      <c r="O14" s="176" t="s">
        <v>178</v>
      </c>
      <c r="P14" s="134"/>
      <c r="Q14" s="30"/>
      <c r="R14" s="81" t="str">
        <f>VLOOKUP(C14,'Train Runs'!$A$13:$AE$10066,31,0)</f>
        <v>aws s3 cp s3://rtdc.mdm.uploadarchive.raw/RTDC4056/ "%USERPROFILE%\AppData\Local\Temp\OnboardLogs"\RTDC4056\2017-10-20 --exclude "*" --recursive --include "*20171020*" &amp; "%USERPROFILE%\Documents\GitHub\mrs-test-scripts\Headless Mode &amp; Sideloading\WalkAndUnGZ.bat" "%USERPROFILE%\AppData\Local\Temp\OnboardLogs"\RTDC4056\2017-10-20 &amp; aws s3 cp s3://rtdc.mdm.uploadarchive.raw/RTDC4056/ "%USERPROFILE%\AppData\Local\Temp\OnboardLogs"\RTDC4056\2017-10-21 --exclude "*" --recursive --include "*20171021*" &amp; "%USERPROFILE%\Documents\GitHub\mrs-test-scripts\Headless Mode &amp; Sideloading\WalkAndUnGZ.bat" "%USERPROFILE%\AppData\Local\Temp\OnboardLogs"\RTDC4056\2017-10-21</v>
      </c>
      <c r="S14" s="84" t="str">
        <f>VLOOKUP(C14,'Train Runs'!$A$13:$AE$10066,22,0)</f>
        <v>https://d0f6bd738d7f1b3e5a7ca70fe4ff75f0.us-east-1.aws.found.io/app/kibana#/discover/Steve-Slow-Train-Analysis-(2080s-and-2083s)?_g=(refreshInterval:(display:Off,pause:!f,section:0,value:0),time:(from:'2017-10-20T12:38:58-0600',mode:absolute,to:'2017-10-20T15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/stypes="*4056*201710201*" /stext=" 19:.+((SYSTEM_STATE.+slice.+state.+changed )|(ment ac)|(multiple cpu faults)|(system.+state.+changed )|(\[timeout)|(PRM\|1\|D)|(kpr)|(kdp)|(train st.+moving)|(\|lc)|(penalty))"</v>
      </c>
      <c r="U14" s="9" t="str">
        <f>MID(B14,13,4)</f>
        <v>4056</v>
      </c>
      <c r="V14" s="31">
        <f>A14-utc_offset/24</f>
        <v>43028.827256944445</v>
      </c>
      <c r="W14" s="45" t="str">
        <f>DetSubdiv(C14)</f>
        <v>EC</v>
      </c>
      <c r="X14" s="22">
        <f>VALUE(LEFT(C14,LEN(C14)-3))</f>
        <v>181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{"issue":{"subject":"","project_id":79,"tracker_id":40,"status_id":1,"priority_id":2,"assigned_to_id":338,"start_date":"2017-10-20","description":"","custom_fields":[{"id":1,"name":"Subdivision","value":"EC"},{"id":4,"name":"Milepost","value":"2.0338"},{"id":17,"name":"Train ID","value":"181-20"},{"id":16,"name":"Locomotive ID","value":"4056"},{"id":130,"name":"Impact","value":""},{"id":150,"name":"Time of Event (Mountain Time)","value":"13:51:15"},{"id":151,"name":"Denver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/c/Users/stu/AppData/Local/Temp/OnboardLogs/RTDC4056 --include="*4056*201710201*"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"%USERPROFILE%\AppData\Local\Temp\OnboardLogs"\RTDC4056\*4056*201710201* &gt;&gt; 2017-10-20-SliceDisagreementCheck.txt</v>
      </c>
      <c r="AE14" s="145" t="str">
        <f t="shared" si="1"/>
        <v>start /low /b %USERPROFILE%\Documents\GitHub\eaglep3\Utilities\DownloadLogsFromS3.py --loco 4056 --day 2017-10-20</v>
      </c>
      <c r="AF14" s="1"/>
    </row>
    <row r="15" spans="1:32" x14ac:dyDescent="0.3">
      <c r="A15" s="31">
        <v>43028.572337962964</v>
      </c>
      <c r="B15" s="30" t="s">
        <v>502</v>
      </c>
      <c r="C15" s="30" t="s">
        <v>639</v>
      </c>
      <c r="D15" s="30" t="s">
        <v>49</v>
      </c>
      <c r="E15" s="30" t="s">
        <v>192</v>
      </c>
      <c r="F15" s="42">
        <v>300</v>
      </c>
      <c r="G15" s="42">
        <v>353</v>
      </c>
      <c r="H15" s="42">
        <v>22706</v>
      </c>
      <c r="I15" s="42">
        <v>21752</v>
      </c>
      <c r="J15" s="30" t="s">
        <v>193</v>
      </c>
      <c r="K15" s="42">
        <v>21848</v>
      </c>
      <c r="L15" s="131" t="s">
        <v>51</v>
      </c>
      <c r="M15" s="132">
        <f>CONVERT((I15-K15)/10000,"mi","ft")*IF(L15="Increasing Mileposts (1)",-1,1)</f>
        <v>-50.688000000000002</v>
      </c>
      <c r="N15" s="133" t="str">
        <f>VLOOKUP(C15,'Trips&amp;Operators'!$C$1:$G$99911,5,FALSE)</f>
        <v>LEVIN SCOTT</v>
      </c>
      <c r="O15" s="176" t="s">
        <v>178</v>
      </c>
      <c r="P15" s="134"/>
      <c r="Q15" s="30"/>
      <c r="R15" s="81" t="str">
        <f>VLOOKUP(C15,'Train Runs'!$A$13:$AE$10066,31,0)</f>
        <v>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 &amp; 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</v>
      </c>
      <c r="S15" s="84" t="str">
        <f>VLOOKUP(C15,'Train Runs'!$A$13:$AE$10066,22,0)</f>
        <v>https://d0f6bd738d7f1b3e5a7ca70fe4ff75f0.us-east-1.aws.found.io/app/kibana#/discover/Steve-Slow-Train-Analysis-(2080s-and-2083s)?_g=(refreshInterval:(display:Off,pause:!f,section:0,value:0),time:(from:'2017-10-20T12:05:22-0600',mode:absolute,to:'2017-10-20T14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/stypes="*4015*201710201*" /stext=" 19:.+((SYSTEM_STATE.+slice.+state.+changed )|(ment ac)|(multiple cpu faults)|(system.+state.+changed )|(\[timeout)|(PRM\|1\|D)|(kpr)|(kdp)|(train st.+moving)|(\|lc)|(penalty))"</v>
      </c>
      <c r="U15" s="9" t="str">
        <f>MID(B15,13,4)</f>
        <v>4015</v>
      </c>
      <c r="V15" s="31">
        <f>A15-utc_offset/24</f>
        <v>43028.822337962964</v>
      </c>
      <c r="W15" s="45" t="str">
        <f>DetSubdiv(C15)</f>
        <v>EC</v>
      </c>
      <c r="X15" s="22">
        <f>VALUE(LEFT(C15,LEN(C15)-3))</f>
        <v>170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{"issue":{"subject":"","project_id":79,"tracker_id":40,"status_id":1,"priority_id":2,"assigned_to_id":338,"start_date":"2017-10-20","description":"","custom_fields":[{"id":1,"name":"Subdivision","value":"EC"},{"id":4,"name":"Milepost","value":"2.1848"},{"id":17,"name":"Train ID","value":"170-20"},{"id":16,"name":"Locomotive ID","value":"4015"},{"id":130,"name":"Impact","value":""},{"id":150,"name":"Time of Event (Mountain Time)","value":"13:44:10"},{"id":151,"name":"Denver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/c/Users/stu/AppData/Local/Temp/OnboardLogs/RTDC4015 --include="*4015*201710201*"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"%USERPROFILE%\AppData\Local\Temp\OnboardLogs"\RTDC4015\*4015*201710201* &gt;&gt; 2017-10-20-SliceDisagreementCheck.txt</v>
      </c>
      <c r="AE15" s="145" t="str">
        <f t="shared" si="1"/>
        <v>start /low /b %USERPROFILE%\Documents\GitHub\eaglep3\Utilities\DownloadLogsFromS3.py --loco 4015 --day 2017-10-20</v>
      </c>
      <c r="AF15" s="1"/>
    </row>
    <row r="16" spans="1:32" x14ac:dyDescent="0.3">
      <c r="A16" s="31">
        <v>43028.722268518519</v>
      </c>
      <c r="B16" s="30" t="s">
        <v>632</v>
      </c>
      <c r="C16" s="30" t="s">
        <v>648</v>
      </c>
      <c r="D16" s="30" t="s">
        <v>95</v>
      </c>
      <c r="E16" s="30" t="s">
        <v>406</v>
      </c>
      <c r="F16" s="42">
        <v>0</v>
      </c>
      <c r="G16" s="42">
        <v>519</v>
      </c>
      <c r="H16" s="42">
        <v>69297</v>
      </c>
      <c r="I16" s="42">
        <v>67221</v>
      </c>
      <c r="J16" s="30" t="s">
        <v>407</v>
      </c>
      <c r="K16" s="42">
        <v>69363</v>
      </c>
      <c r="L16" s="131" t="s">
        <v>51</v>
      </c>
      <c r="M16" s="132">
        <f>CONVERT((I16-K16)/10000,"mi","ft")*IF(L16="Increasing Mileposts (1)",-1,1)</f>
        <v>-1130.9760000000001</v>
      </c>
      <c r="N16" s="133" t="str">
        <f>VLOOKUP(C16,'Trips&amp;Operators'!$C$1:$G$99911,5,FALSE)</f>
        <v>BADERTSCHER DIANE</v>
      </c>
      <c r="O16" s="176" t="s">
        <v>372</v>
      </c>
      <c r="P16" s="134" t="s">
        <v>1049</v>
      </c>
      <c r="Q16" s="30"/>
      <c r="R16" s="81" t="str">
        <f>VLOOKUP(C16,'Train Runs'!$A$13:$AE$10066,31,0)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S16" s="84" t="str">
        <f>VLOOKUP(C16,'Train Runs'!$A$13:$AE$10066,22,0)</f>
        <v>https://d0f6bd738d7f1b3e5a7ca70fe4ff75f0.us-east-1.aws.found.io/app/kibana#/discover/Steve-Slow-Train-Analysis-(2080s-and-2083s)?_g=(refreshInterval:(display:Off,pause:!f,section:0,value:0),time:(from:'2017-10-20T16:22:03-0600',mode:absolute,to:'2017-10-20T18:42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/stypes="*4063*201710202*" /stext=" 23:.+((SYSTEM_STATE.+slice.+state.+changed )|(ment ac)|(multiple cpu faults)|(system.+state.+changed )|(\[timeout)|(PRM\|1\|D)|(kpr)|(kdp)|(train st.+moving)|(\|lc)|(penalty))"</v>
      </c>
      <c r="U16" s="9" t="str">
        <f>MID(B16,13,4)</f>
        <v>4063</v>
      </c>
      <c r="V16" s="31">
        <f>A16-utc_offset/24</f>
        <v>43028.972268518519</v>
      </c>
      <c r="W16" s="45" t="str">
        <f>DetSubdiv(C16)</f>
        <v>EC</v>
      </c>
      <c r="X16" s="22">
        <f>VALUE(LEFT(C16,LEN(C16)-3))</f>
        <v>200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{"issue":{"subject":"Premature downgrade at CP Sand Creek 4S","project_id":79,"tracker_id":40,"status_id":1,"priority_id":2,"assigned_to_id":338,"start_date":"2017-10-20","description":"Trip 200-20 saw the 4S at CP Sand Creek drop from SG-5 to SG-1 in front of the train at about 17:19:38.  Do the logs indicate anything unusual for this signal?  Thanks!","custom_fields":[{"id":1,"name":"Subdivision","value":"EC"},{"id":4,"name":"Milepost","value":"6.9363"},{"id":17,"name":"Train ID","value":"200-20"},{"id":16,"name":"Locomotive ID","value":"4063"},{"id":130,"name":"Impact","value":"Enforcement"},{"id":150,"name":"Time of Event (Mountain Time)","value":"17:20:04"},{"id":151,"name":"Denver Issue ID","value":""},{"id":178,"name":"Operational Impact","value":"Yes"},{"id":179,"name":"Denver Segment Assigned","value":"Signal"}]}} | curl --insecure -X POST -H "Content-Type: application/json" -H "X-Redmine-API-Key: %REDMINEAPIKEY%" https://secure.xorail.net/redmine/issues.json --data @-</v>
      </c>
      <c r="Z16" s="159" t="s">
        <v>1048</v>
      </c>
      <c r="AA16" s="47" t="s">
        <v>118</v>
      </c>
      <c r="AB16" s="47" t="s">
        <v>123</v>
      </c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/c/Users/stu/AppData/Local/Temp/OnboardLogs/RTDC4063 --include="*4063*201710202*"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"%USERPROFILE%\AppData\Local\Temp\OnboardLogs"\RTDC4063\*4063*201710202* &gt;&gt; 2017-10-20-SliceDisagreementCheck.txt</v>
      </c>
      <c r="AE16" s="145" t="str">
        <f t="shared" si="1"/>
        <v>start /low /b %USERPROFILE%\Documents\GitHub\eaglep3\Utilities\DownloadLogsFromS3.py --loco 4063 --day 2017-10-20</v>
      </c>
      <c r="AF16" s="1"/>
    </row>
    <row r="17" spans="1:32" x14ac:dyDescent="0.3">
      <c r="A17" s="31">
        <v>43028.15053240741</v>
      </c>
      <c r="B17" s="30" t="s">
        <v>634</v>
      </c>
      <c r="C17" s="30" t="s">
        <v>635</v>
      </c>
      <c r="D17" s="30" t="s">
        <v>49</v>
      </c>
      <c r="E17" s="30" t="s">
        <v>458</v>
      </c>
      <c r="F17" s="42">
        <v>0</v>
      </c>
      <c r="G17" s="42">
        <v>598</v>
      </c>
      <c r="H17" s="42">
        <v>122900</v>
      </c>
      <c r="I17" s="42">
        <v>125856</v>
      </c>
      <c r="J17" s="30" t="s">
        <v>456</v>
      </c>
      <c r="K17" s="42">
        <v>126678</v>
      </c>
      <c r="L17" s="131" t="s">
        <v>50</v>
      </c>
      <c r="M17" s="132">
        <f>CONVERT((I17-K17)/10000,"mi","ft")*IF(L17="Increasing Mileposts (1)",-1,1)</f>
        <v>434.01600000000002</v>
      </c>
      <c r="N17" s="133" t="str">
        <f>VLOOKUP(C17,'Trips&amp;Operators'!$C$1:$G$99911,5,FALSE)</f>
        <v>YORK EDGAR</v>
      </c>
      <c r="O17" s="176" t="s">
        <v>372</v>
      </c>
      <c r="P17" s="134" t="s">
        <v>416</v>
      </c>
      <c r="Q17" s="30"/>
      <c r="R17" s="81" t="str">
        <f>VLOOKUP(C17,'Train Runs'!$A$13:$AE$10066,31,0)</f>
        <v>aws s3 cp s3://rtdc.mdm.uploadarchive.raw/RTDC4054/ "%USERPROFILE%\AppData\Local\Temp\OnboardLogs"\RTDC4054\2017-10-20 --exclude "*" --recursive --include "*20171020*" &amp; "%USERPROFILE%\Documents\GitHub\mrs-test-scripts\Headless Mode &amp; Sideloading\WalkAndUnGZ.bat" "%USERPROFILE%\AppData\Local\Temp\OnboardLogs"\RTDC4054\2017-10-20 &amp; aws s3 cp s3://rtdc.mdm.uploadarchive.raw/RTDC4054/ "%USERPROFILE%\AppData\Local\Temp\OnboardLogs"\RTDC4054\2017-10-21 --exclude "*" --recursive --include "*20171021*" &amp; "%USERPROFILE%\Documents\GitHub\mrs-test-scripts\Headless Mode &amp; Sideloading\WalkAndUnGZ.bat" "%USERPROFILE%\AppData\Local\Temp\OnboardLogs"\RTDC4054\2017-10-21</v>
      </c>
      <c r="S17" s="84" t="str">
        <f>VLOOKUP(C17,'Train Runs'!$A$13:$AE$10066,22,0)</f>
        <v>https://d0f6bd738d7f1b3e5a7ca70fe4ff75f0.us-east-1.aws.found.io/app/kibana#/discover/Steve-Slow-Train-Analysis-(2080s-and-2083s)?_g=(refreshInterval:(display:Off,pause:!f,section:0,value:0),time:(from:'2017-10-20T02:00:59-0600',mode:absolute,to:'2017-10-20T04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/stypes="*4054*201710200*" /stext=" 09:.+((SYSTEM_STATE.+slice.+state.+changed )|(ment ac)|(multiple cpu faults)|(system.+state.+changed )|(\[timeout)|(PRM\|1\|D)|(kpr)|(kdp)|(train st.+moving)|(\|lc)|(penalty))"</v>
      </c>
      <c r="U17" s="9" t="str">
        <f>MID(B17,13,4)</f>
        <v>4054</v>
      </c>
      <c r="V17" s="31">
        <f>A17-utc_offset/24</f>
        <v>43028.40053240741</v>
      </c>
      <c r="W17" s="45" t="str">
        <f>DetSubdiv(C17)</f>
        <v>EC</v>
      </c>
      <c r="X17" s="22">
        <f>VALUE(LEFT(C17,LEN(C17)-3))</f>
        <v>101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drop","project_id":79,"tracker_id":40,"status_id":1,"priority_id":2,"assigned_to_id":338,"start_date":"2017-10-20","description":"","custom_fields":[{"id":1,"name":"Subdivision","value":"EC"},{"id":4,"name":"Milepost","value":"12.6678"},{"id":17,"name":"Train ID","value":"101-20"},{"id":16,"name":"Locomotive ID","value":"4054"},{"id":130,"name":"Impact","value":""},{"id":150,"name":"Time of Event (Mountain Time)","value":"03:36:46"},{"id":151,"name":"Denver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/c/Users/stu/AppData/Local/Temp/OnboardLogs/RTDC4054 --include="*4054*201710200*"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"%USERPROFILE%\AppData\Local\Temp\OnboardLogs"\RTDC4054\*4054*201710200* &gt;&gt; 2017-10-20-SliceDisagreementCheck.txt</v>
      </c>
      <c r="AE17" s="145" t="str">
        <f t="shared" si="1"/>
        <v>start /low /b %USERPROFILE%\Documents\GitHub\eaglep3\Utilities\DownloadLogsFromS3.py --loco 4054 --day 2017-10-20</v>
      </c>
      <c r="AF17" s="1"/>
    </row>
    <row r="18" spans="1:32" x14ac:dyDescent="0.3">
      <c r="A18" s="31">
        <v>43028.660555555558</v>
      </c>
      <c r="B18" s="30" t="s">
        <v>632</v>
      </c>
      <c r="C18" s="30" t="s">
        <v>645</v>
      </c>
      <c r="D18" s="30" t="s">
        <v>49</v>
      </c>
      <c r="E18" s="30" t="s">
        <v>179</v>
      </c>
      <c r="F18" s="42">
        <v>0</v>
      </c>
      <c r="G18" s="42">
        <v>37</v>
      </c>
      <c r="H18" s="42">
        <v>138</v>
      </c>
      <c r="I18" s="42">
        <v>112</v>
      </c>
      <c r="J18" s="30" t="s">
        <v>180</v>
      </c>
      <c r="K18" s="42">
        <v>1</v>
      </c>
      <c r="L18" s="131" t="s">
        <v>51</v>
      </c>
      <c r="M18" s="132">
        <f>CONVERT((I18-K18)/10000,"mi","ft")*IF(L18="Increasing Mileposts (1)",-1,1)</f>
        <v>58.607999999999997</v>
      </c>
      <c r="N18" s="133" t="str">
        <f>VLOOKUP(C18,'Trips&amp;Operators'!$C$1:$G$99911,5,FALSE)</f>
        <v>BADERTSCHER DIANE</v>
      </c>
      <c r="O18" s="176" t="s">
        <v>178</v>
      </c>
      <c r="P18" s="134"/>
      <c r="Q18" s="30"/>
      <c r="R18" s="81" t="str">
        <f>VLOOKUP(C18,'Train Runs'!$A$13:$AE$10066,31,0)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S18" s="84" t="str">
        <f>VLOOKUP(C18,'Train Runs'!$A$13:$AE$10066,22,0)</f>
        <v>https://d0f6bd738d7f1b3e5a7ca70fe4ff75f0.us-east-1.aws.found.io/app/kibana#/discover/Steve-Slow-Train-Analysis-(2080s-and-2083s)?_g=(refreshInterval:(display:Off,pause:!f,section:0,value:0),time:(from:'2017-10-20T14:04:20-0600',mode:absolute,to:'2017-10-20T16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/stypes="*4063*201710202*" /stext=" 21:.+((SYSTEM_STATE.+slice.+state.+changed )|(ment ac)|(multiple cpu faults)|(system.+state.+changed )|(\[timeout)|(PRM\|1\|D)|(kpr)|(kdp)|(train st.+moving)|(\|lc)|(penalty))"</v>
      </c>
      <c r="U18" s="9" t="str">
        <f>MID(B18,13,4)</f>
        <v>4063</v>
      </c>
      <c r="V18" s="31">
        <f>A18-utc_offset/24</f>
        <v>43028.910555555558</v>
      </c>
      <c r="W18" s="45" t="str">
        <f>DetSubdiv(C18)</f>
        <v>EC</v>
      </c>
      <c r="X18" s="22">
        <f>VALUE(LEFT(C18,LEN(C18)-3))</f>
        <v>186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{"issue":{"subject":"","project_id":79,"tracker_id":40,"status_id":1,"priority_id":2,"assigned_to_id":338,"start_date":"2017-10-20","description":"","custom_fields":[{"id":1,"name":"Subdivision","value":"EC"},{"id":4,"name":"Milepost","value":"0.0001"},{"id":17,"name":"Train ID","value":"186-20"},{"id":16,"name":"Locomotive ID","value":"4063"},{"id":130,"name":"Impact","value":""},{"id":150,"name":"Time of Event (Mountain Time)","value":"15:51:12"},{"id":151,"name":"Denver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/c/Users/stu/AppData/Local/Temp/OnboardLogs/RTDC4063 --include="*4063*201710202*"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"%USERPROFILE%\AppData\Local\Temp\OnboardLogs"\RTDC4063\*4063*201710202* &gt;&gt; 2017-10-20-SliceDisagreementCheck.txt</v>
      </c>
      <c r="AE18" s="145" t="str">
        <f t="shared" si="1"/>
        <v>start /low /b %USERPROFILE%\Documents\GitHub\eaglep3\Utilities\DownloadLogsFromS3.py --loco 4063 --day 2017-10-20</v>
      </c>
      <c r="AF18" s="1"/>
    </row>
    <row r="19" spans="1:32" x14ac:dyDescent="0.3">
      <c r="A19" s="31">
        <v>43028.410694444443</v>
      </c>
      <c r="B19" s="30" t="s">
        <v>422</v>
      </c>
      <c r="C19" s="30" t="s">
        <v>637</v>
      </c>
      <c r="D19" s="30" t="s">
        <v>95</v>
      </c>
      <c r="E19" s="30" t="s">
        <v>185</v>
      </c>
      <c r="F19" s="42">
        <v>0</v>
      </c>
      <c r="G19" s="42">
        <v>72</v>
      </c>
      <c r="H19" s="42">
        <v>10954</v>
      </c>
      <c r="I19" s="42">
        <v>10753</v>
      </c>
      <c r="J19" s="30" t="s">
        <v>186</v>
      </c>
      <c r="K19" s="42">
        <v>10988</v>
      </c>
      <c r="L19" s="131" t="s">
        <v>51</v>
      </c>
      <c r="M19" s="132">
        <f>CONVERT((I19-K19)/10000,"mi","ft")*IF(L19="Increasing Mileposts (1)",-1,1)</f>
        <v>-124.08</v>
      </c>
      <c r="N19" s="133" t="str">
        <f>VLOOKUP(C19,'Trips&amp;Operators'!$C$1:$G$99911,5,FALSE)</f>
        <v>HUFFSMITH MONTY</v>
      </c>
      <c r="O19" s="176" t="s">
        <v>178</v>
      </c>
      <c r="P19" s="134" t="s">
        <v>356</v>
      </c>
      <c r="Q19" s="30"/>
      <c r="R19" s="81" t="str">
        <f>VLOOKUP(C19,'Train Runs'!$A$13:$AE$10066,31,0)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S19" s="84" t="str">
        <f>VLOOKUP(C19,'Train Runs'!$A$13:$AE$10066,22,0)</f>
        <v>https://d0f6bd738d7f1b3e5a7ca70fe4ff75f0.us-east-1.aws.found.io/app/kibana#/discover/Steve-Slow-Train-Analysis-(2080s-and-2083s)?_g=(refreshInterval:(display:Off,pause:!f,section:0,value:0),time:(from:'2017-10-20T08:25:07-0600',mode:absolute,to:'2017-10-20T10:57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/stypes="*4059*201710201*" /stext=" 15:.+((SYSTEM_STATE.+slice.+state.+changed )|(ment ac)|(multiple cpu faults)|(system.+state.+changed )|(\[timeout)|(PRM\|1\|D)|(kpr)|(kdp)|(train st.+moving)|(\|lc)|(penalty))"</v>
      </c>
      <c r="U19" s="9" t="str">
        <f>MID(B19,13,4)</f>
        <v>4059</v>
      </c>
      <c r="V19" s="31">
        <f>A19-utc_offset/24</f>
        <v>43028.660694444443</v>
      </c>
      <c r="W19" s="45" t="str">
        <f>DetSubdiv(C19)</f>
        <v>NW</v>
      </c>
      <c r="X19" s="22">
        <f>VALUE(LEFT(C19,LEN(C19)-3))</f>
        <v>814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Arrival","project_id":79,"tracker_id":40,"status_id":1,"priority_id":2,"assigned_to_id":338,"start_date":"2017-10-20","description":"","custom_fields":[{"id":1,"name":"Subdivision","value":"NW"},{"id":4,"name":"Milepost","value":"1.0988"},{"id":17,"name":"Train ID","value":"814-20"},{"id":16,"name":"Locomotive ID","value":"4059"},{"id":130,"name":"Impact","value":""},{"id":150,"name":"Time of Event (Mountain Time)","value":"09:51:24"},{"id":151,"name":"Denver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/c/Users/stu/AppData/Local/Temp/OnboardLogs/RTDC4059 --include="*4059*201710201*"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"%USERPROFILE%\AppData\Local\Temp\OnboardLogs"\RTDC4059\*4059*201710201* &gt;&gt; 2017-10-20-SliceDisagreementCheck.txt</v>
      </c>
      <c r="AE19" s="145" t="str">
        <f t="shared" si="1"/>
        <v>start /low /b %USERPROFILE%\Documents\GitHub\eaglep3\Utilities\DownloadLogsFromS3.py --loco 4059 --day 2017-10-20</v>
      </c>
      <c r="AF19" s="1"/>
    </row>
    <row r="20" spans="1:32" x14ac:dyDescent="0.3">
      <c r="A20" s="31">
        <v>43028.41028935185</v>
      </c>
      <c r="B20" s="30" t="s">
        <v>422</v>
      </c>
      <c r="C20" s="30" t="s">
        <v>637</v>
      </c>
      <c r="D20" s="30" t="s">
        <v>49</v>
      </c>
      <c r="E20" s="30" t="s">
        <v>185</v>
      </c>
      <c r="F20" s="42">
        <v>170</v>
      </c>
      <c r="G20" s="42">
        <v>228</v>
      </c>
      <c r="H20" s="42">
        <v>11415</v>
      </c>
      <c r="I20" s="42">
        <v>11025</v>
      </c>
      <c r="J20" s="30" t="s">
        <v>186</v>
      </c>
      <c r="K20" s="42">
        <v>10988</v>
      </c>
      <c r="L20" s="131" t="s">
        <v>51</v>
      </c>
      <c r="M20" s="132">
        <f>CONVERT((I20-K20)/10000,"mi","ft")*IF(L20="Increasing Mileposts (1)",-1,1)</f>
        <v>19.536000000000001</v>
      </c>
      <c r="N20" s="133" t="str">
        <f>VLOOKUP(C20,'Trips&amp;Operators'!$C$1:$G$99911,5,FALSE)</f>
        <v>HUFFSMITH MONTY</v>
      </c>
      <c r="O20" s="176" t="s">
        <v>178</v>
      </c>
      <c r="P20" s="134" t="s">
        <v>356</v>
      </c>
      <c r="Q20" s="30"/>
      <c r="R20" s="81" t="str">
        <f>VLOOKUP(C20,'Train Runs'!$A$13:$AE$10066,31,0)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S20" s="84" t="str">
        <f>VLOOKUP(C20,'Train Runs'!$A$13:$AE$10066,22,0)</f>
        <v>https://d0f6bd738d7f1b3e5a7ca70fe4ff75f0.us-east-1.aws.found.io/app/kibana#/discover/Steve-Slow-Train-Analysis-(2080s-and-2083s)?_g=(refreshInterval:(display:Off,pause:!f,section:0,value:0),time:(from:'2017-10-20T08:25:07-0600',mode:absolute,to:'2017-10-20T10:57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/stypes="*4059*201710201*" /stext=" 15:.+((SYSTEM_STATE.+slice.+state.+changed )|(ment ac)|(multiple cpu faults)|(system.+state.+changed )|(\[timeout)|(PRM\|1\|D)|(kpr)|(kdp)|(train st.+moving)|(\|lc)|(penalty))"</v>
      </c>
      <c r="U20" s="9" t="str">
        <f>MID(B20,13,4)</f>
        <v>4059</v>
      </c>
      <c r="V20" s="31">
        <f>A20-utc_offset/24</f>
        <v>43028.66028935185</v>
      </c>
      <c r="W20" s="45" t="str">
        <f>DetSubdiv(C20)</f>
        <v>NW</v>
      </c>
      <c r="X20" s="22">
        <f>VALUE(LEFT(C20,LEN(C20)-3))</f>
        <v>814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Arrival","project_id":79,"tracker_id":40,"status_id":1,"priority_id":2,"assigned_to_id":338,"start_date":"2017-10-20","description":"","custom_fields":[{"id":1,"name":"Subdivision","value":"NW"},{"id":4,"name":"Milepost","value":"1.0988"},{"id":17,"name":"Train ID","value":"814-20"},{"id":16,"name":"Locomotive ID","value":"4059"},{"id":130,"name":"Impact","value":""},{"id":150,"name":"Time of Event (Mountain Time)","value":"09:50:49"},{"id":151,"name":"Denver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/c/Users/stu/AppData/Local/Temp/OnboardLogs/RTDC4059 --include="*4059*201710201*"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"%USERPROFILE%\AppData\Local\Temp\OnboardLogs"\RTDC4059\*4059*201710201* &gt;&gt; 2017-10-20-SliceDisagreementCheck.txt</v>
      </c>
      <c r="AE20" s="145" t="str">
        <f t="shared" si="1"/>
        <v>start /low /b %USERPROFILE%\Documents\GitHub\eaglep3\Utilities\DownloadLogsFromS3.py --loco 4059 --day 2017-10-20</v>
      </c>
      <c r="AF20" s="1"/>
    </row>
    <row r="21" spans="1:32" x14ac:dyDescent="0.3">
      <c r="A21" s="31">
        <v>43028.762731481482</v>
      </c>
      <c r="B21" s="30" t="s">
        <v>398</v>
      </c>
      <c r="C21" s="30" t="s">
        <v>650</v>
      </c>
      <c r="D21" s="30" t="s">
        <v>49</v>
      </c>
      <c r="E21" s="30" t="s">
        <v>192</v>
      </c>
      <c r="F21" s="42">
        <v>300</v>
      </c>
      <c r="G21" s="42">
        <v>591</v>
      </c>
      <c r="H21" s="42">
        <v>26836</v>
      </c>
      <c r="I21" s="42">
        <v>24794</v>
      </c>
      <c r="J21" s="30" t="s">
        <v>193</v>
      </c>
      <c r="K21" s="42">
        <v>23561</v>
      </c>
      <c r="L21" s="131" t="s">
        <v>51</v>
      </c>
      <c r="M21" s="132">
        <f>CONVERT((I21-K21)/10000,"mi","ft")*IF(L21="Increasing Mileposts (1)",-1,1)</f>
        <v>651.024</v>
      </c>
      <c r="N21" s="133" t="str">
        <f>VLOOKUP(C21,'Trips&amp;Operators'!$C$1:$G$99911,5,FALSE)</f>
        <v>SMITH MICHAEL</v>
      </c>
      <c r="O21" s="176" t="s">
        <v>178</v>
      </c>
      <c r="P21" s="134"/>
      <c r="Q21" s="30"/>
      <c r="R21" s="81" t="str">
        <f>VLOOKUP(C21,'Train Runs'!$A$13:$AE$10066,31,0)</f>
        <v>aws s3 cp s3://rtdc.mdm.uploadarchive.raw/RTDC4051/ "%USERPROFILE%\AppData\Local\Temp\OnboardLogs"\RTDC4051\2017-10-20 --exclude "*" --recursive --include "*20171020*" &amp; "%USERPROFILE%\Documents\GitHub\mrs-test-scripts\Headless Mode &amp; Sideloading\WalkAndUnGZ.bat" "%USERPROFILE%\AppData\Local\Temp\OnboardLogs"\RTDC4051\2017-10-20 &amp; aws s3 cp s3://rtdc.mdm.uploadarchive.raw/RTDC4051/ "%USERPROFILE%\AppData\Local\Temp\OnboardLogs"\RTDC4051\2017-10-21 --exclude "*" --recursive --include "*20171021*" &amp; "%USERPROFILE%\Documents\GitHub\mrs-test-scripts\Headless Mode &amp; Sideloading\WalkAndUnGZ.bat" "%USERPROFILE%\AppData\Local\Temp\OnboardLogs"\RTDC4051\2017-10-21</v>
      </c>
      <c r="S21" s="84" t="str">
        <f>VLOOKUP(C21,'Train Runs'!$A$13:$AE$10066,22,0)</f>
        <v>https://d0f6bd738d7f1b3e5a7ca70fe4ff75f0.us-east-1.aws.found.io/app/kibana#/discover/Steve-Slow-Train-Analysis-(2080s-and-2083s)?_g=(refreshInterval:(display:Off,pause:!f,section:0,value:0),time:(from:'2017-10-20T16:29:28-0600',mode:absolute,to:'2017-10-20T19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/stypes="*4051*201710210*" /stext=" 00:.+((SYSTEM_STATE.+slice.+state.+changed )|(ment ac)|(multiple cpu faults)|(system.+state.+changed )|(\[timeout)|(PRM\|1\|D)|(kpr)|(kdp)|(train st.+moving)|(\|lc)|(penalty))"</v>
      </c>
      <c r="U21" s="9" t="str">
        <f>MID(B21,13,4)</f>
        <v>4051</v>
      </c>
      <c r="V21" s="31">
        <f>A21-utc_offset/24</f>
        <v>43029.012731481482</v>
      </c>
      <c r="W21" s="45" t="str">
        <f>DetSubdiv(C21)</f>
        <v>NW</v>
      </c>
      <c r="X21" s="22">
        <f>VALUE(LEFT(C21,LEN(C21)-3))</f>
        <v>836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{"issue":{"subject":"","project_id":79,"tracker_id":40,"status_id":1,"priority_id":2,"assigned_to_id":338,"start_date":"2017-10-20","description":"","custom_fields":[{"id":1,"name":"Subdivision","value":"NW"},{"id":4,"name":"Milepost","value":"2.3561"},{"id":17,"name":"Train ID","value":"836-20"},{"id":16,"name":"Locomotive ID","value":"4051"},{"id":130,"name":"Impact","value":""},{"id":150,"name":"Time of Event (Mountain Time)","value":"18:18:20"},{"id":151,"name":"Denver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/c/Users/stu/AppData/Local/Temp/OnboardLogs/RTDC4051 --include="*4051*201710210*"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"%USERPROFILE%\AppData\Local\Temp\OnboardLogs"\RTDC4051\*4051*201710210* &gt;&gt; 2017-10-20-SliceDisagreementCheck.txt</v>
      </c>
      <c r="AE21" s="145" t="str">
        <f t="shared" si="1"/>
        <v>start /low /b %USERPROFILE%\Documents\GitHub\eaglep3\Utilities\DownloadLogsFromS3.py --loco 4051 --day 2017-10-21</v>
      </c>
      <c r="AF21" s="1"/>
    </row>
    <row r="22" spans="1:32" x14ac:dyDescent="0.3">
      <c r="A22" s="31">
        <v>43028.740833333337</v>
      </c>
      <c r="B22" s="30" t="s">
        <v>422</v>
      </c>
      <c r="C22" s="30" t="s">
        <v>649</v>
      </c>
      <c r="D22" s="30" t="s">
        <v>95</v>
      </c>
      <c r="E22" s="30" t="s">
        <v>192</v>
      </c>
      <c r="F22" s="42">
        <v>400</v>
      </c>
      <c r="G22" s="42">
        <v>456</v>
      </c>
      <c r="H22" s="42">
        <v>38955</v>
      </c>
      <c r="I22" s="42">
        <v>37598</v>
      </c>
      <c r="J22" s="30" t="s">
        <v>193</v>
      </c>
      <c r="K22" s="42">
        <v>40977</v>
      </c>
      <c r="L22" s="131" t="s">
        <v>51</v>
      </c>
      <c r="M22" s="132">
        <f>CONVERT((I22-K22)/10000,"mi","ft")*IF(L22="Increasing Mileposts (1)",-1,1)</f>
        <v>-1784.1120000000001</v>
      </c>
      <c r="N22" s="133" t="str">
        <f>VLOOKUP(C22,'Trips&amp;Operators'!$C$1:$G$99911,5,FALSE)</f>
        <v>BERLING GARY</v>
      </c>
      <c r="O22" s="176" t="s">
        <v>178</v>
      </c>
      <c r="P22" s="134"/>
      <c r="Q22" s="30"/>
      <c r="R22" s="81" t="str">
        <f>VLOOKUP(C22,'Train Runs'!$A$13:$AE$10066,31,0)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S22" s="84" t="str">
        <f>VLOOKUP(C22,'Train Runs'!$A$13:$AE$10066,22,0)</f>
        <v>https://d0f6bd738d7f1b3e5a7ca70fe4ff75f0.us-east-1.aws.found.io/app/kibana#/discover/Steve-Slow-Train-Analysis-(2080s-and-2083s)?_g=(refreshInterval:(display:Off,pause:!f,section:0,value:0),time:(from:'2017-10-20T16:27:36-0600',mode:absolute,to:'2017-10-20T18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/stypes="*4059*201710202*" /stext=" 23:.+((SYSTEM_STATE.+slice.+state.+changed )|(ment ac)|(multiple cpu faults)|(system.+state.+changed )|(\[timeout)|(PRM\|1\|D)|(kpr)|(kdp)|(train st.+moving)|(\|lc)|(penalty))"</v>
      </c>
      <c r="U22" s="9" t="str">
        <f>MID(B22,13,4)</f>
        <v>4059</v>
      </c>
      <c r="V22" s="31">
        <f>A22-utc_offset/24</f>
        <v>43028.990833333337</v>
      </c>
      <c r="W22" s="45" t="str">
        <f>DetSubdiv(C22)</f>
        <v>NW</v>
      </c>
      <c r="X22" s="22">
        <f>VALUE(LEFT(C22,LEN(C22)-3))</f>
        <v>834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{"issue":{"subject":"","project_id":79,"tracker_id":40,"status_id":1,"priority_id":2,"assigned_to_id":338,"start_date":"2017-10-20","description":"","custom_fields":[{"id":1,"name":"Subdivision","value":"NW"},{"id":4,"name":"Milepost","value":"4.0977"},{"id":17,"name":"Train ID","value":"834-20"},{"id":16,"name":"Locomotive ID","value":"4059"},{"id":130,"name":"Impact","value":""},{"id":150,"name":"Time of Event (Mountain Time)","value":"17:46:48"},{"id":151,"name":"Denver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/c/Users/stu/AppData/Local/Temp/OnboardLogs/RTDC4059 --include="*4059*201710202*"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"%USERPROFILE%\AppData\Local\Temp\OnboardLogs"\RTDC4059\*4059*201710202* &gt;&gt; 2017-10-20-SliceDisagreementCheck.txt</v>
      </c>
      <c r="AE22" s="145" t="str">
        <f t="shared" si="1"/>
        <v>start /low /b %USERPROFILE%\Documents\GitHub\eaglep3\Utilities\DownloadLogsFromS3.py --loco 4059 --day 2017-10-20</v>
      </c>
      <c r="AF22" s="1"/>
    </row>
    <row r="23" spans="1:32" x14ac:dyDescent="0.3">
      <c r="A23" s="31">
        <v>43028.495520833334</v>
      </c>
      <c r="B23" s="30" t="s">
        <v>422</v>
      </c>
      <c r="C23" s="30" t="s">
        <v>638</v>
      </c>
      <c r="D23" s="30" t="s">
        <v>49</v>
      </c>
      <c r="E23" s="30" t="s">
        <v>406</v>
      </c>
      <c r="F23" s="42">
        <v>0</v>
      </c>
      <c r="G23" s="42">
        <v>76</v>
      </c>
      <c r="H23" s="42">
        <v>4857</v>
      </c>
      <c r="I23" s="42">
        <v>4751</v>
      </c>
      <c r="J23" s="30" t="s">
        <v>407</v>
      </c>
      <c r="K23" s="42">
        <v>4798</v>
      </c>
      <c r="L23" s="131" t="s">
        <v>51</v>
      </c>
      <c r="M23" s="132">
        <f>CONVERT((I23-K23)/10000,"mi","ft")*IF(L23="Increasing Mileposts (1)",-1,1)</f>
        <v>-24.815999999999999</v>
      </c>
      <c r="N23" s="133" t="str">
        <f>VLOOKUP(C23,'Trips&amp;Operators'!$C$1:$G$99911,5,FALSE)</f>
        <v>HUFFSMITH MONTY</v>
      </c>
      <c r="O23" s="176" t="s">
        <v>372</v>
      </c>
      <c r="P23" s="134" t="s">
        <v>1056</v>
      </c>
      <c r="Q23" s="30"/>
      <c r="R23" s="81" t="str">
        <f>VLOOKUP(C23,'Train Runs'!$A$13:$AE$10066,31,0)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S23" s="84" t="str">
        <f>VLOOKUP(C23,'Train Runs'!$A$13:$AE$10066,22,0)</f>
        <v>https://d0f6bd738d7f1b3e5a7ca70fe4ff75f0.us-east-1.aws.found.io/app/kibana#/discover/Steve-Slow-Train-Analysis-(2080s-and-2083s)?_g=(refreshInterval:(display:Off,pause:!f,section:0,value:0),time:(from:'2017-10-20T10:25:09-0600',mode:absolute,to:'2017-10-20T12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/stypes="*4059*201710201*" /stext=" 17:.+((SYSTEM_STATE.+slice.+state.+changed )|(ment ac)|(multiple cpu faults)|(system.+state.+changed )|(\[timeout)|(PRM\|1\|D)|(kpr)|(kdp)|(train st.+moving)|(\|lc)|(penalty))"</v>
      </c>
      <c r="U23" s="9" t="str">
        <f>MID(B23,13,4)</f>
        <v>4059</v>
      </c>
      <c r="V23" s="31">
        <f>A23-utc_offset/24</f>
        <v>43028.745520833334</v>
      </c>
      <c r="W23" s="45" t="str">
        <f>DetSubdiv(C23)</f>
        <v>NW</v>
      </c>
      <c r="X23" s="22">
        <f>VALUE(LEFT(C23,LEN(C23)-3))</f>
        <v>818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overpass","project_id":79,"tracker_id":40,"status_id":1,"priority_id":2,"assigned_to_id":338,"start_date":"2017-10-20","description":"","custom_fields":[{"id":1,"name":"Subdivision","value":"NW"},{"id":4,"name":"Milepost","value":"0.4798"},{"id":17,"name":"Train ID","value":"818-20"},{"id":16,"name":"Locomotive ID","value":"4059"},{"id":130,"name":"Impact","value":""},{"id":150,"name":"Time of Event (Mountain Time)","value":"11:53:33"},{"id":151,"name":"Denver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/c/Users/stu/AppData/Local/Temp/OnboardLogs/RTDC4059 --include="*4059*201710201*"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"%USERPROFILE%\AppData\Local\Temp\OnboardLogs"\RTDC4059\*4059*201710201* &gt;&gt; 2017-10-20-SliceDisagreementCheck.txt</v>
      </c>
      <c r="AE23" s="145" t="str">
        <f t="shared" si="1"/>
        <v>start /low /b %USERPROFILE%\Documents\GitHub\eaglep3\Utilities\DownloadLogsFromS3.py --loco 4059 --day 2017-10-20</v>
      </c>
      <c r="AF23" s="1"/>
    </row>
    <row r="24" spans="1:32" x14ac:dyDescent="0.3">
      <c r="A24" s="31">
        <v>43028.953784722224</v>
      </c>
      <c r="B24" s="30" t="s">
        <v>422</v>
      </c>
      <c r="C24" s="30" t="s">
        <v>654</v>
      </c>
      <c r="D24" s="30" t="s">
        <v>49</v>
      </c>
      <c r="E24" s="30" t="s">
        <v>406</v>
      </c>
      <c r="F24" s="42">
        <v>0</v>
      </c>
      <c r="G24" s="42">
        <v>97</v>
      </c>
      <c r="H24" s="42">
        <v>4828</v>
      </c>
      <c r="I24" s="42">
        <v>4675</v>
      </c>
      <c r="J24" s="30" t="s">
        <v>407</v>
      </c>
      <c r="K24" s="42">
        <v>4798</v>
      </c>
      <c r="L24" s="131" t="s">
        <v>51</v>
      </c>
      <c r="M24" s="132">
        <f>CONVERT((I24-K24)/10000,"mi","ft")*IF(L24="Increasing Mileposts (1)",-1,1)</f>
        <v>-64.944000000000003</v>
      </c>
      <c r="N24" s="133" t="str">
        <f>VLOOKUP(C24,'Trips&amp;Operators'!$C$1:$G$99911,5,FALSE)</f>
        <v>SMITH MICHAEL</v>
      </c>
      <c r="O24" s="176" t="s">
        <v>372</v>
      </c>
      <c r="P24" s="134" t="s">
        <v>1056</v>
      </c>
      <c r="Q24" s="30"/>
      <c r="R24" s="81" t="str">
        <f>VLOOKUP(C24,'Train Runs'!$A$13:$AE$10066,31,0)</f>
        <v>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 &amp; 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</v>
      </c>
      <c r="S24" s="84" t="str">
        <f>VLOOKUP(C24,'Train Runs'!$A$13:$AE$10066,22,0)</f>
        <v>https://d0f6bd738d7f1b3e5a7ca70fe4ff75f0.us-east-1.aws.found.io/app/kibana#/discover/Steve-Slow-Train-Analysis-(2080s-and-2083s)?_g=(refreshInterval:(display:Off,pause:!f,section:0,value:0),time:(from:'2017-10-20T21:29:38-0600',mode:absolute,to:'2017-10-20T23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/stypes="*4059*201710210*" /stext=" 04:.+((SYSTEM_STATE.+slice.+state.+changed )|(ment ac)|(multiple cpu faults)|(system.+state.+changed )|(\[timeout)|(PRM\|1\|D)|(kpr)|(kdp)|(train st.+moving)|(\|lc)|(penalty))"</v>
      </c>
      <c r="U24" s="9" t="str">
        <f>MID(B24,13,4)</f>
        <v>4059</v>
      </c>
      <c r="V24" s="31">
        <f>A24-utc_offset/24</f>
        <v>43029.203784722224</v>
      </c>
      <c r="W24" s="45" t="str">
        <f>DetSubdiv(C24)</f>
        <v>NW</v>
      </c>
      <c r="X24" s="22">
        <f>VALUE(LEFT(C24,LEN(C24)-3))</f>
        <v>846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overpass","project_id":79,"tracker_id":40,"status_id":1,"priority_id":2,"assigned_to_id":338,"start_date":"2017-10-20","description":"","custom_fields":[{"id":1,"name":"Subdivision","value":"NW"},{"id":4,"name":"Milepost","value":"0.4798"},{"id":17,"name":"Train ID","value":"846-20"},{"id":16,"name":"Locomotive ID","value":"4059"},{"id":130,"name":"Impact","value":""},{"id":150,"name":"Time of Event (Mountain Time)","value":"22:53:27"},{"id":151,"name":"Denver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/c/Users/stu/AppData/Local/Temp/OnboardLogs/RTDC4059 --include="*4059*201710210*"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"%USERPROFILE%\AppData\Local\Temp\OnboardLogs"\RTDC4059\*4059*201710210* &gt;&gt; 2017-10-20-SliceDisagreementCheck.txt</v>
      </c>
      <c r="AE24" s="145" t="str">
        <f t="shared" si="1"/>
        <v>start /low /b %USERPROFILE%\Documents\GitHub\eaglep3\Utilities\DownloadLogsFromS3.py --loco 4059 --day 2017-10-21</v>
      </c>
      <c r="AF24" s="1"/>
    </row>
    <row r="25" spans="1:32" x14ac:dyDescent="0.3">
      <c r="A25" s="31">
        <v>43028.641805555555</v>
      </c>
      <c r="B25" s="30" t="s">
        <v>421</v>
      </c>
      <c r="C25" s="30" t="s">
        <v>644</v>
      </c>
      <c r="D25" s="30" t="s">
        <v>49</v>
      </c>
      <c r="E25" s="30" t="s">
        <v>179</v>
      </c>
      <c r="F25" s="42">
        <v>0</v>
      </c>
      <c r="G25" s="42">
        <v>29</v>
      </c>
      <c r="H25" s="42">
        <v>58937</v>
      </c>
      <c r="I25" s="42">
        <v>58950</v>
      </c>
      <c r="J25" s="30" t="s">
        <v>180</v>
      </c>
      <c r="K25" s="42">
        <v>59048</v>
      </c>
      <c r="L25" s="131" t="s">
        <v>50</v>
      </c>
      <c r="M25" s="132">
        <f>CONVERT((I25-K25)/10000,"mi","ft")*IF(L25="Increasing Mileposts (1)",-1,1)</f>
        <v>51.744</v>
      </c>
      <c r="N25" s="133" t="str">
        <f>VLOOKUP(C25,'Trips&amp;Operators'!$C$1:$G$99911,5,FALSE)</f>
        <v>BERLING GARY</v>
      </c>
      <c r="O25" s="176" t="s">
        <v>178</v>
      </c>
      <c r="P25" s="134"/>
      <c r="Q25" s="30"/>
      <c r="R25" s="81" t="str">
        <f>VLOOKUP(C25,'Train Runs'!$A$13:$AE$10066,31,0)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S25" s="84" t="str">
        <f>VLOOKUP(C25,'Train Runs'!$A$13:$AE$10066,22,0)</f>
        <v>https://d0f6bd738d7f1b3e5a7ca70fe4ff75f0.us-east-1.aws.found.io/app/kibana#/discover/Steve-Slow-Train-Analysis-(2080s-and-2083s)?_g=(refreshInterval:(display:Off,pause:!f,section:0,value:0),time:(from:'2017-10-20T14:04:01-0600',mode:absolute,to:'2017-10-20T16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/stypes="*4060*201710202*" /stext=" 21:.+((SYSTEM_STATE.+slice.+state.+changed )|(ment ac)|(multiple cpu faults)|(system.+state.+changed )|(\[timeout)|(PRM\|1\|D)|(kpr)|(kdp)|(train st.+moving)|(\|lc)|(penalty))"</v>
      </c>
      <c r="U25" s="9" t="str">
        <f>MID(B25,13,4)</f>
        <v>4060</v>
      </c>
      <c r="V25" s="31">
        <f>A25-utc_offset/24</f>
        <v>43028.891805555555</v>
      </c>
      <c r="W25" s="45" t="str">
        <f>DetSubdiv(C25)</f>
        <v>NW</v>
      </c>
      <c r="X25" s="22">
        <f>VALUE(LEFT(C25,LEN(C25)-3))</f>
        <v>825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{"issue":{"subject":"","project_id":79,"tracker_id":40,"status_id":1,"priority_id":2,"assigned_to_id":338,"start_date":"2017-10-20","description":"","custom_fields":[{"id":1,"name":"Subdivision","value":"NW"},{"id":4,"name":"Milepost","value":"5.9048"},{"id":17,"name":"Train ID","value":"825-20"},{"id":16,"name":"Locomotive ID","value":"4060"},{"id":130,"name":"Impact","value":""},{"id":150,"name":"Time of Event (Mountain Time)","value":"15:24:12"},{"id":151,"name":"Denver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/c/Users/stu/AppData/Local/Temp/OnboardLogs/RTDC4060 --include="*4060*201710202*"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"%USERPROFILE%\AppData\Local\Temp\OnboardLogs"\RTDC4060\*4060*201710202* &gt;&gt; 2017-10-20-SliceDisagreementCheck.txt</v>
      </c>
      <c r="AE25" s="145" t="str">
        <f t="shared" si="1"/>
        <v>start /low /b %USERPROFILE%\Documents\GitHub\eaglep3\Utilities\DownloadLogsFromS3.py --loco 4060 --day 2017-10-20</v>
      </c>
      <c r="AF25" s="1"/>
    </row>
    <row r="26" spans="1:32" x14ac:dyDescent="0.3">
      <c r="A26" s="31">
        <v>43028.767025462963</v>
      </c>
      <c r="B26" s="30" t="s">
        <v>421</v>
      </c>
      <c r="C26" s="30" t="s">
        <v>651</v>
      </c>
      <c r="D26" s="30" t="s">
        <v>49</v>
      </c>
      <c r="E26" s="30" t="s">
        <v>179</v>
      </c>
      <c r="F26" s="42">
        <v>0</v>
      </c>
      <c r="G26" s="42">
        <v>25</v>
      </c>
      <c r="H26" s="42">
        <v>58990</v>
      </c>
      <c r="I26" s="42">
        <v>59010</v>
      </c>
      <c r="J26" s="30" t="s">
        <v>180</v>
      </c>
      <c r="K26" s="42">
        <v>59048</v>
      </c>
      <c r="L26" s="131" t="s">
        <v>50</v>
      </c>
      <c r="M26" s="132">
        <f>CONVERT((I26-K26)/10000,"mi","ft")*IF(L26="Increasing Mileposts (1)",-1,1)</f>
        <v>20.064</v>
      </c>
      <c r="N26" s="133" t="str">
        <f>VLOOKUP(C26,'Trips&amp;Operators'!$C$1:$G$99911,5,FALSE)</f>
        <v>BERLING GARY</v>
      </c>
      <c r="O26" s="176" t="s">
        <v>178</v>
      </c>
      <c r="P26" s="134"/>
      <c r="Q26" s="30"/>
      <c r="R26" s="81" t="str">
        <f>VLOOKUP(C26,'Train Runs'!$A$13:$AE$10066,31,0)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S26" s="84" t="str">
        <f>VLOOKUP(C26,'Train Runs'!$A$13:$AE$10066,22,0)</f>
        <v>https://d0f6bd738d7f1b3e5a7ca70fe4ff75f0.us-east-1.aws.found.io/app/kibana#/discover/Steve-Slow-Train-Analysis-(2080s-and-2083s)?_g=(refreshInterval:(display:Off,pause:!f,section:0,value:0),time:(from:'2017-10-20T16:29:28-0600',mode:absolute,to:'2017-10-20T19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/stypes="*4060*201710210*" /stext=" 00:.+((SYSTEM_STATE.+slice.+state.+changed )|(ment ac)|(multiple cpu faults)|(system.+state.+changed )|(\[timeout)|(PRM\|1\|D)|(kpr)|(kdp)|(train st.+moving)|(\|lc)|(penalty))"</v>
      </c>
      <c r="U26" s="9" t="str">
        <f>MID(B26,13,4)</f>
        <v>4060</v>
      </c>
      <c r="V26" s="31">
        <f>A26-utc_offset/24</f>
        <v>43029.017025462963</v>
      </c>
      <c r="W26" s="45" t="str">
        <f>DetSubdiv(C26)</f>
        <v>NW</v>
      </c>
      <c r="X26" s="22">
        <f>VALUE(LEFT(C26,LEN(C26)-3))</f>
        <v>837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{"issue":{"subject":"","project_id":79,"tracker_id":40,"status_id":1,"priority_id":2,"assigned_to_id":338,"start_date":"2017-10-20","description":"","custom_fields":[{"id":1,"name":"Subdivision","value":"NW"},{"id":4,"name":"Milepost","value":"5.9048"},{"id":17,"name":"Train ID","value":"837-20"},{"id":16,"name":"Locomotive ID","value":"4060"},{"id":130,"name":"Impact","value":""},{"id":150,"name":"Time of Event (Mountain Time)","value":"18:24:31"},{"id":151,"name":"Denver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/c/Users/stu/AppData/Local/Temp/OnboardLogs/RTDC4060 --include="*4060*201710210*"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"%USERPROFILE%\AppData\Local\Temp\OnboardLogs"\RTDC4060\*4060*201710210* &gt;&gt; 2017-10-20-SliceDisagreementCheck.txt</v>
      </c>
      <c r="AE26" s="145" t="str">
        <f t="shared" si="1"/>
        <v>start /low /b %USERPROFILE%\Documents\GitHub\eaglep3\Utilities\DownloadLogsFromS3.py --loco 4060 --day 2017-10-21</v>
      </c>
      <c r="AF26" s="1"/>
    </row>
    <row r="27" spans="1:32" x14ac:dyDescent="0.3">
      <c r="A27" s="31">
        <v>43028.850011574075</v>
      </c>
      <c r="B27" s="30" t="s">
        <v>421</v>
      </c>
      <c r="C27" s="30" t="s">
        <v>653</v>
      </c>
      <c r="D27" s="30" t="s">
        <v>95</v>
      </c>
      <c r="E27" s="30" t="s">
        <v>179</v>
      </c>
      <c r="F27" s="42">
        <v>0</v>
      </c>
      <c r="G27" s="42">
        <v>6</v>
      </c>
      <c r="H27" s="42">
        <v>59048</v>
      </c>
      <c r="I27" s="42">
        <v>59049</v>
      </c>
      <c r="J27" s="30" t="s">
        <v>180</v>
      </c>
      <c r="K27" s="42">
        <v>59048</v>
      </c>
      <c r="L27" s="131" t="s">
        <v>50</v>
      </c>
      <c r="M27" s="132">
        <f>CONVERT((I27-K27)/10000,"mi","ft")*IF(L27="Increasing Mileposts (1)",-1,1)</f>
        <v>-0.52800000000000002</v>
      </c>
      <c r="N27" s="133" t="str">
        <f>VLOOKUP(C27,'Trips&amp;Operators'!$C$1:$G$99911,5,FALSE)</f>
        <v>BERLING GARY</v>
      </c>
      <c r="O27" s="176" t="s">
        <v>178</v>
      </c>
      <c r="P27" s="134"/>
      <c r="Q27" s="30"/>
      <c r="R27" s="81" t="str">
        <f>VLOOKUP(C27,'Train Runs'!$A$13:$AE$10066,31,0)</f>
        <v>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 &amp; 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</v>
      </c>
      <c r="S27" s="84" t="str">
        <f>VLOOKUP(C27,'Train Runs'!$A$13:$AE$10066,22,0)</f>
        <v>https://d0f6bd738d7f1b3e5a7ca70fe4ff75f0.us-east-1.aws.found.io/app/kibana#/discover/Steve-Slow-Train-Analysis-(2080s-and-2083s)?_g=(refreshInterval:(display:Off,pause:!f,section:0,value:0),time:(from:'2017-10-20T19:00:56-0600',mode:absolute,to:'2017-10-20T21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/stypes="*4060*201710210*" /stext=" 02:.+((SYSTEM_STATE.+slice.+state.+changed )|(ment ac)|(multiple cpu faults)|(system.+state.+changed )|(\[timeout)|(PRM\|1\|D)|(kpr)|(kdp)|(train st.+moving)|(\|lc)|(penalty))"</v>
      </c>
      <c r="U27" s="9" t="str">
        <f>MID(B27,13,4)</f>
        <v>4060</v>
      </c>
      <c r="V27" s="31">
        <f>A27-utc_offset/24</f>
        <v>43029.100011574075</v>
      </c>
      <c r="W27" s="45" t="str">
        <f>DetSubdiv(C27)</f>
        <v>NW</v>
      </c>
      <c r="X27" s="22">
        <f>VALUE(LEFT(C27,LEN(C27)-3))</f>
        <v>843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{"issue":{"subject":"","project_id":79,"tracker_id":40,"status_id":1,"priority_id":2,"assigned_to_id":338,"start_date":"2017-10-20","description":"","custom_fields":[{"id":1,"name":"Subdivision","value":"NW"},{"id":4,"name":"Milepost","value":"5.9048"},{"id":17,"name":"Train ID","value":"843-20"},{"id":16,"name":"Locomotive ID","value":"4060"},{"id":130,"name":"Impact","value":""},{"id":150,"name":"Time of Event (Mountain Time)","value":"20:24:01"},{"id":151,"name":"Denver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/c/Users/stu/AppData/Local/Temp/OnboardLogs/RTDC4060 --include="*4060*201710210*"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"%USERPROFILE%\AppData\Local\Temp\OnboardLogs"\RTDC4060\*4060*201710210* &gt;&gt; 2017-10-20-SliceDisagreementCheck.txt</v>
      </c>
      <c r="AE27" s="145" t="str">
        <f t="shared" si="1"/>
        <v>start /low /b %USERPROFILE%\Documents\GitHub\eaglep3\Utilities\DownloadLogsFromS3.py --loco 4060 --day 2017-10-21</v>
      </c>
      <c r="AF27" s="1"/>
    </row>
    <row r="28" spans="1:32" x14ac:dyDescent="0.3">
      <c r="A28" s="31">
        <v>43028.144479166665</v>
      </c>
      <c r="B28" s="30" t="s">
        <v>632</v>
      </c>
      <c r="C28" s="30" t="s">
        <v>633</v>
      </c>
      <c r="D28" s="30" t="s">
        <v>49</v>
      </c>
      <c r="E28" s="30" t="s">
        <v>406</v>
      </c>
      <c r="F28" s="42">
        <v>0</v>
      </c>
      <c r="G28" s="42">
        <v>71</v>
      </c>
      <c r="H28" s="42">
        <v>4813</v>
      </c>
      <c r="I28" s="42">
        <v>4725</v>
      </c>
      <c r="J28" s="30" t="s">
        <v>407</v>
      </c>
      <c r="K28" s="42">
        <v>4798</v>
      </c>
      <c r="L28" s="131" t="s">
        <v>51</v>
      </c>
      <c r="M28" s="132">
        <f>CONVERT((I28-K28)/10000,"mi","ft")*IF(L28="Increasing Mileposts (1)",-1,1)</f>
        <v>-38.543999999999997</v>
      </c>
      <c r="N28" s="133" t="str">
        <f>VLOOKUP(C28,'Trips&amp;Operators'!$C$1:$G$99911,5,FALSE)</f>
        <v>MAELZER KURT</v>
      </c>
      <c r="O28" s="176" t="s">
        <v>178</v>
      </c>
      <c r="P28" s="134"/>
      <c r="Q28" s="30"/>
      <c r="R28" s="81" t="str">
        <f>VLOOKUP(C28,'Train Runs'!$A$13:$AE$10066,31,0)</f>
        <v>aws s3 cp s3://rtdc.mdm.uploadarchive.raw/RTDC4063/ "%USERPROFILE%\AppData\Local\Temp\OnboardLogs"\RTDC4063\2017-10-20 --exclude "*" --recursive --include "*20171020*" &amp; "%USERPROFILE%\Documents\GitHub\mrs-test-scripts\Headless Mode &amp; Sideloading\WalkAndUnGZ.bat" "%USERPROFILE%\AppData\Local\Temp\OnboardLogs"\RTDC4063\2017-10-20 &amp; aws s3 cp s3://rtdc.mdm.uploadarchive.raw/RTDC4063/ "%USERPROFILE%\AppData\Local\Temp\OnboardLogs"\RTDC4063\2017-10-21 --exclude "*" --recursive --include "*20171021*" &amp; "%USERPROFILE%\Documents\GitHub\mrs-test-scripts\Headless Mode &amp; Sideloading\WalkAndUnGZ.bat" "%USERPROFILE%\AppData\Local\Temp\OnboardLogs"\RTDC4063\2017-10-21</v>
      </c>
      <c r="S28" s="84" t="str">
        <f>VLOOKUP(C28,'Train Runs'!$A$13:$AE$10066,22,0)</f>
        <v>https://d0f6bd738d7f1b3e5a7ca70fe4ff75f0.us-east-1.aws.found.io/app/kibana#/discover/Steve-Slow-Train-Analysis-(2080s-and-2083s)?_g=(refreshInterval:(display:Off,pause:!f,section:0,value:0),time:(from:'2017-10-20T02:13:42-0600',mode:absolute,to:'2017-10-20T04:28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/stypes="*4063*201710200*" /stext=" 09:.+((SYSTEM_STATE.+slice.+state.+changed )|(ment ac)|(multiple cpu faults)|(system.+state.+changed )|(\[timeout)|(PRM\|1\|D)|(kpr)|(kdp)|(train st.+moving)|(\|lc)|(penalty))"</v>
      </c>
      <c r="U28" s="9" t="str">
        <f>MID(B28,13,4)</f>
        <v>4063</v>
      </c>
      <c r="V28" s="31">
        <f>A28-utc_offset/24</f>
        <v>43028.394479166665</v>
      </c>
      <c r="W28" s="45" t="str">
        <f>DetSubdiv(C28)</f>
        <v>Other</v>
      </c>
      <c r="X28" s="22">
        <f>VALUE(LEFT(C28,LEN(C28)-3))</f>
        <v>302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{"issue":{"subject":"","project_id":79,"tracker_id":40,"status_id":1,"priority_id":2,"assigned_to_id":338,"start_date":"2017-10-20","description":"","custom_fields":[{"id":1,"name":"Subdivision","value":"Other"},{"id":4,"name":"Milepost","value":"0.4798"},{"id":17,"name":"Train ID","value":"302-20"},{"id":16,"name":"Locomotive ID","value":"4063"},{"id":130,"name":"Impact","value":""},{"id":150,"name":"Time of Event (Mountain Time)","value":"03:28:03"},{"id":151,"name":"Denver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/c/Users/stu/AppData/Local/Temp/OnboardLogs/RTDC4063 --include="*4063*201710200*"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"%USERPROFILE%\AppData\Local\Temp\OnboardLogs"\RTDC4063\*4063*201710200* &gt;&gt; 2017-10-20-SliceDisagreementCheck.txt</v>
      </c>
      <c r="AE28" s="145" t="str">
        <f t="shared" si="1"/>
        <v>start /low /b %USERPROFILE%\Documents\GitHub\eaglep3\Utilities\DownloadLogsFromS3.py --loco 4063 --day 2017-10-20</v>
      </c>
      <c r="AF28" s="1"/>
    </row>
    <row r="29" spans="1:32" x14ac:dyDescent="0.3">
      <c r="A29" s="31">
        <v>43028.115995370368</v>
      </c>
      <c r="B29" s="30" t="s">
        <v>384</v>
      </c>
      <c r="C29" s="30" t="s">
        <v>591</v>
      </c>
      <c r="D29" s="30" t="s">
        <v>49</v>
      </c>
      <c r="E29" s="30" t="s">
        <v>406</v>
      </c>
      <c r="F29" s="42">
        <v>0</v>
      </c>
      <c r="G29" s="42">
        <v>351</v>
      </c>
      <c r="H29" s="42">
        <v>8992</v>
      </c>
      <c r="I29" s="42">
        <v>8355</v>
      </c>
      <c r="J29" s="30" t="s">
        <v>407</v>
      </c>
      <c r="K29" s="42">
        <v>6799</v>
      </c>
      <c r="L29" s="131" t="s">
        <v>51</v>
      </c>
      <c r="M29" s="132">
        <f>CONVERT((I29-K29)/10000,"mi","ft")*IF(L29="Increasing Mileposts (1)",-1,1)</f>
        <v>821.56799999999998</v>
      </c>
      <c r="N29" s="133" t="str">
        <f>VLOOKUP(C29,'Trips&amp;Operators'!$C$1:$G$99911,5,FALSE)</f>
        <v>YORK EDGAR</v>
      </c>
      <c r="O29" s="176" t="s">
        <v>178</v>
      </c>
      <c r="P29" s="134"/>
      <c r="Q29" s="30"/>
      <c r="R29" s="81" t="e">
        <f>VLOOKUP(C29,'Train Runs'!$A$13:$AE$10066,31,0)</f>
        <v>#N/A</v>
      </c>
      <c r="S29" s="84" t="e">
        <f>VLOOKUP(C29,'Train Runs'!$A$13:$AE$10066,22,0)</f>
        <v>#N/A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/stypes="*4055*201710200*" /stext=" 08:.+((SYSTEM_STATE.+slice.+state.+changed )|(ment ac)|(multiple cpu faults)|(system.+state.+changed )|(\[timeout)|(PRM\|1\|D)|(kpr)|(kdp)|(train st.+moving)|(\|lc)|(penalty))"</v>
      </c>
      <c r="U29" s="9" t="str">
        <f>MID(B29,13,4)</f>
        <v>4055</v>
      </c>
      <c r="V29" s="31">
        <f>A29-utc_offset/24</f>
        <v>43028.365995370368</v>
      </c>
      <c r="W29" s="45" t="str">
        <f>DetSubdiv(C29)</f>
        <v>Other</v>
      </c>
      <c r="X29" s="22">
        <f>VALUE(LEFT(C29,LEN(C29)-3))</f>
        <v>300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{"issue":{"subject":"","project_id":79,"tracker_id":40,"status_id":1,"priority_id":2,"assigned_to_id":338,"start_date":"2017-10-20","description":"","custom_fields":[{"id":1,"name":"Subdivision","value":"Other"},{"id":4,"name":"Milepost","value":"0.6799"},{"id":17,"name":"Train ID","value":"300-20"},{"id":16,"name":"Locomotive ID","value":"4055"},{"id":130,"name":"Impact","value":""},{"id":150,"name":"Time of Event (Mountain Time)","value":"02:47:02"},{"id":151,"name":"Denver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/c/Users/stu/AppData/Local/Temp/OnboardLogs/RTDC4055 --include="*4055*201710200*"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"%USERPROFILE%\AppData\Local\Temp\OnboardLogs"\RTDC4055\*4055*201710200* &gt;&gt; 2017-10-20-SliceDisagreementCheck.txt</v>
      </c>
      <c r="AE29" s="145" t="str">
        <f t="shared" si="1"/>
        <v>start /low /b %USERPROFILE%\Documents\GitHub\eaglep3\Utilities\DownloadLogsFromS3.py --loco 4055 --day 2017-10-20</v>
      </c>
      <c r="AF29" s="1"/>
    </row>
    <row r="30" spans="1:32" x14ac:dyDescent="0.3">
      <c r="A30" s="31">
        <v>43028.246863425928</v>
      </c>
      <c r="B30" s="30" t="s">
        <v>502</v>
      </c>
      <c r="C30" s="30" t="s">
        <v>636</v>
      </c>
      <c r="D30" s="30" t="s">
        <v>49</v>
      </c>
      <c r="E30" s="30" t="s">
        <v>406</v>
      </c>
      <c r="F30" s="42">
        <v>0</v>
      </c>
      <c r="G30" s="42">
        <v>66</v>
      </c>
      <c r="H30" s="42">
        <v>5100</v>
      </c>
      <c r="I30" s="42">
        <v>5061</v>
      </c>
      <c r="J30" s="30" t="s">
        <v>407</v>
      </c>
      <c r="K30" s="42">
        <v>4790</v>
      </c>
      <c r="L30" s="131" t="s">
        <v>51</v>
      </c>
      <c r="M30" s="132">
        <f>CONVERT((I30-K30)/10000,"mi","ft")*IF(L30="Increasing Mileposts (1)",-1,1)</f>
        <v>143.08799999999999</v>
      </c>
      <c r="N30" s="133" t="str">
        <f>VLOOKUP(C30,'Trips&amp;Operators'!$C$1:$G$99911,5,FALSE)</f>
        <v>ROCHA YAOTL</v>
      </c>
      <c r="O30" s="176" t="s">
        <v>178</v>
      </c>
      <c r="P30" s="134"/>
      <c r="Q30" s="30"/>
      <c r="R30" s="81" t="str">
        <f>VLOOKUP(C30,'Train Runs'!$A$13:$AE$10066,31,0)</f>
        <v>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 &amp; 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</v>
      </c>
      <c r="S30" s="84" t="str">
        <f>VLOOKUP(C30,'Train Runs'!$A$13:$AE$10066,22,0)</f>
        <v>https://d0f6bd738d7f1b3e5a7ca70fe4ff75f0.us-east-1.aws.found.io/app/kibana#/discover/Steve-Slow-Train-Analysis-(2080s-and-2083s)?_g=(refreshInterval:(display:Off,pause:!f,section:0,value:0),time:(from:'2017-10-20T04:42:41-0600',mode:absolute,to:'2017-10-20T06:58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/stypes="*4015*201710201*" /stext=" 11:.+((SYSTEM_STATE.+slice.+state.+changed )|(ment ac)|(multiple cpu faults)|(system.+state.+changed )|(\[timeout)|(PRM\|1\|D)|(kpr)|(kdp)|(train st.+moving)|(\|lc)|(penalty))"</v>
      </c>
      <c r="U30" s="9" t="str">
        <f>MID(B30,13,4)</f>
        <v>4015</v>
      </c>
      <c r="V30" s="31">
        <f>A30-utc_offset/24</f>
        <v>43028.496863425928</v>
      </c>
      <c r="W30" s="45" t="str">
        <f>DetSubdiv(C30)</f>
        <v>Shuttle/Test</v>
      </c>
      <c r="X30" s="22">
        <f>VALUE(LEFT(C30,LEN(C30)-3))</f>
        <v>60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Shuttle/Test"},{"id":4,"name":"Milepost","value":"0.479"},{"id":17,"name":"Train ID","value":"60-20"},{"id":16,"name":"Locomotive ID","value":"4015"},{"id":130,"name":"Impact","value":""},{"id":150,"name":"Time of Event (Mountain Time)","value":"05:55:29"},{"id":151,"name":"Denver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/c/Users/stu/AppData/Local/Temp/OnboardLogs/RTDC4015 --include="*4015*201710201*"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"%USERPROFILE%\AppData\Local\Temp\OnboardLogs"\RTDC4015\*4015*201710201* &gt;&gt; 2017-10-20-SliceDisagreementCheck.txt</v>
      </c>
      <c r="AE30" s="145" t="str">
        <f t="shared" si="1"/>
        <v>start /low /b %USERPROFILE%\Documents\GitHub\eaglep3\Utilities\DownloadLogsFromS3.py --loco 4015 --day 2017-10-20</v>
      </c>
      <c r="AF30" s="1"/>
    </row>
    <row r="31" spans="1:32" x14ac:dyDescent="0.3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3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3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3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3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3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3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3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3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3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39">
    <sortState ref="A7:AC39">
      <sortCondition ref="W7:W30"/>
      <sortCondition ref="E7:E30"/>
      <sortCondition ref="K7:K30"/>
      <sortCondition ref="F7:F30"/>
    </sortState>
  </autoFilter>
  <sortState ref="A7:AE25">
    <sortCondition ref="W7:W25"/>
    <sortCondition ref="E7:E25"/>
    <sortCondition ref="K7:K25"/>
    <sortCondition ref="C7:C25"/>
    <sortCondition ref="F7:F25"/>
  </sortState>
  <mergeCells count="1">
    <mergeCell ref="A5:O5"/>
  </mergeCells>
  <conditionalFormatting sqref="O6:P6 R6 O57:O1048576 O7:O30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0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AA7:AA30</xm:sqref>
        </x14:dataValidation>
        <x14:dataValidation type="list" allowBlank="1" showInputMessage="1" showErrorMessage="1">
          <x14:formula1>
            <xm:f>'Redmine List Values'!$C$2:$C$15</xm:f>
          </x14:formula1>
          <xm:sqref>AB7:AB30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2017-10-20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/>
      <c r="B3" s="42" t="str">
        <f>A3&amp;"-"&amp;IF(DAY(Variables!$A$2)&lt;10,0,"")&amp;DAY(Variables!$A$2)</f>
        <v>-20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" s="30" t="e">
        <f>VLOOKUP(B3,'Train Runs'!$A$13:$A$100063,1,FALSE)</f>
        <v>#N/A</v>
      </c>
    </row>
    <row r="4" spans="1:10" x14ac:dyDescent="0.3">
      <c r="A4" s="198"/>
      <c r="B4" s="42" t="str">
        <f>A4&amp;"-"&amp;IF(DAY(Variables!$A$2)&lt;10,0,"")&amp;DAY(Variables!$A$2)</f>
        <v>-20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" s="30" t="e">
        <f>VLOOKUP(B4,'Train Runs'!$A$13:$A$100063,1,FALSE)</f>
        <v>#N/A</v>
      </c>
    </row>
    <row r="5" spans="1:10" x14ac:dyDescent="0.3">
      <c r="A5" s="198"/>
      <c r="B5" s="42" t="str">
        <f>A5&amp;"-"&amp;IF(DAY(Variables!$A$2)&lt;10,0,"")&amp;DAY(Variables!$A$2)</f>
        <v>-20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" s="30" t="e">
        <f>VLOOKUP(B5,'Train Runs'!$A$13:$A$100063,1,FALSE)</f>
        <v>#N/A</v>
      </c>
    </row>
    <row r="6" spans="1:10" x14ac:dyDescent="0.3">
      <c r="A6" s="198"/>
      <c r="B6" s="42" t="str">
        <f>A6&amp;"-"&amp;IF(DAY(Variables!$A$2)&lt;10,0,"")&amp;DAY(Variables!$A$2)</f>
        <v>-20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Runs'!$A$13:$A$100063,1,FALSE)</f>
        <v>#N/A</v>
      </c>
    </row>
    <row r="7" spans="1:10" x14ac:dyDescent="0.3">
      <c r="A7" s="198"/>
      <c r="B7" s="42" t="str">
        <f>A7&amp;"-"&amp;IF(DAY(Variables!$A$2)&lt;10,0,"")&amp;DAY(Variables!$A$2)</f>
        <v>-20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Runs'!$A$13:$A$100063,1,FALSE)</f>
        <v>#N/A</v>
      </c>
    </row>
    <row r="8" spans="1:10" x14ac:dyDescent="0.3">
      <c r="A8" s="198"/>
      <c r="B8" s="42" t="str">
        <f>A8&amp;"-"&amp;IF(DAY(Variables!$A$2)&lt;10,0,"")&amp;DAY(Variables!$A$2)</f>
        <v>-20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Runs'!$A$13:$A$100063,1,FALSE)</f>
        <v>#N/A</v>
      </c>
    </row>
    <row r="9" spans="1:10" x14ac:dyDescent="0.3">
      <c r="A9" s="198"/>
      <c r="B9" s="42" t="str">
        <f>A9&amp;"-"&amp;IF(DAY(Variables!$A$2)&lt;10,0,"")&amp;DAY(Variables!$A$2)</f>
        <v>-20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Runs'!$A$13:$A$100063,1,FALSE)</f>
        <v>#N/A</v>
      </c>
    </row>
    <row r="10" spans="1:10" x14ac:dyDescent="0.3">
      <c r="A10" s="198"/>
      <c r="B10" s="42" t="str">
        <f>A10&amp;"-"&amp;IF(DAY(Variables!$A$2)&lt;10,0,"")&amp;DAY(Variables!$A$2)</f>
        <v>-20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Runs'!$A$13:$A$100063,1,FALSE)</f>
        <v>#N/A</v>
      </c>
    </row>
    <row r="11" spans="1:10" x14ac:dyDescent="0.3">
      <c r="A11" s="198"/>
      <c r="B11" s="42" t="str">
        <f>A11&amp;"-"&amp;IF(DAY(Variables!$A$2)&lt;10,0,"")&amp;DAY(Variables!$A$2)</f>
        <v>-20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Runs'!$A$13:$A$100063,1,FALSE)</f>
        <v>#N/A</v>
      </c>
    </row>
    <row r="12" spans="1:10" x14ac:dyDescent="0.3">
      <c r="A12" s="198"/>
      <c r="B12" s="42" t="str">
        <f>A12&amp;"-"&amp;IF(DAY(Variables!$A$2)&lt;10,0,"")&amp;DAY(Variables!$A$2)</f>
        <v>-20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Runs'!$A$13:$A$100063,1,FALSE)</f>
        <v>#N/A</v>
      </c>
    </row>
    <row r="13" spans="1:10" x14ac:dyDescent="0.3">
      <c r="A13" s="198"/>
      <c r="B13" s="42" t="str">
        <f>A13&amp;"-"&amp;IF(DAY(Variables!$A$2)&lt;10,0,"")&amp;DAY(Variables!$A$2)</f>
        <v>-20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Runs'!$A$13:$A$100063,1,FALSE)</f>
        <v>#N/A</v>
      </c>
    </row>
    <row r="14" spans="1:10" x14ac:dyDescent="0.3">
      <c r="A14" s="198"/>
      <c r="B14" s="42" t="str">
        <f>A14&amp;"-"&amp;IF(DAY(Variables!$A$2)&lt;10,0,"")&amp;DAY(Variables!$A$2)</f>
        <v>-20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Runs'!$A$13:$A$100063,1,FALSE)</f>
        <v>#N/A</v>
      </c>
    </row>
    <row r="15" spans="1:10" x14ac:dyDescent="0.3">
      <c r="A15" s="198"/>
      <c r="B15" s="42" t="str">
        <f>A15&amp;"-"&amp;IF(DAY(Variables!$A$2)&lt;10,0,"")&amp;DAY(Variables!$A$2)</f>
        <v>-20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Runs'!$A$13:$A$100063,1,FALSE)</f>
        <v>#N/A</v>
      </c>
    </row>
    <row r="16" spans="1:10" x14ac:dyDescent="0.3">
      <c r="A16" s="198"/>
      <c r="B16" s="42" t="str">
        <f>A16&amp;"-"&amp;IF(DAY(Variables!$A$2)&lt;10,0,"")&amp;DAY(Variables!$A$2)</f>
        <v>-20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Runs'!$A$13:$A$100063,1,FALSE)</f>
        <v>#N/A</v>
      </c>
    </row>
    <row r="17" spans="1:10" x14ac:dyDescent="0.3">
      <c r="A17" s="198"/>
      <c r="B17" s="42" t="str">
        <f>A17&amp;"-"&amp;IF(DAY(Variables!$A$2)&lt;10,0,"")&amp;DAY(Variables!$A$2)</f>
        <v>-20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Runs'!$A$13:$A$100063,1,FALSE)</f>
        <v>#N/A</v>
      </c>
    </row>
    <row r="18" spans="1:10" x14ac:dyDescent="0.3">
      <c r="A18" s="198"/>
      <c r="B18" s="42" t="str">
        <f>A18&amp;"-"&amp;IF(DAY(Variables!$A$2)&lt;10,0,"")&amp;DAY(Variables!$A$2)</f>
        <v>-20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Runs'!$A$13:$A$100063,1,FALSE)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226" workbookViewId="0">
      <selection activeCell="C231" sqref="C231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43028.031365740739</v>
      </c>
      <c r="B2" s="20" t="s">
        <v>417</v>
      </c>
      <c r="C2" s="20" t="s">
        <v>585</v>
      </c>
      <c r="D2" s="138">
        <v>3310000</v>
      </c>
      <c r="E2" s="20" t="s">
        <v>379</v>
      </c>
      <c r="F2" s="20" t="s">
        <v>380</v>
      </c>
      <c r="G2" s="8" t="str">
        <f>E2&amp;" "&amp;F2</f>
        <v>ANDERS STEVEN</v>
      </c>
      <c r="H2" t="str">
        <f>MID(B2,13,4)</f>
        <v>4008</v>
      </c>
    </row>
    <row r="3" spans="1:8" x14ac:dyDescent="0.3">
      <c r="A3" s="8">
        <v>43028.038553240738</v>
      </c>
      <c r="B3" s="20" t="s">
        <v>506</v>
      </c>
      <c r="C3" s="20" t="s">
        <v>586</v>
      </c>
      <c r="D3" s="138">
        <v>3340000</v>
      </c>
      <c r="E3" s="20" t="s">
        <v>536</v>
      </c>
      <c r="F3" s="20" t="s">
        <v>537</v>
      </c>
      <c r="G3" s="8" t="str">
        <f t="shared" ref="G3:G66" si="0">E3&amp;" "&amp;F3</f>
        <v>ELBAUM MIKE</v>
      </c>
      <c r="H3" s="20" t="str">
        <f t="shared" ref="H3:H66" si="1">MID(B3,13,4)</f>
        <v>4057</v>
      </c>
    </row>
    <row r="4" spans="1:8" x14ac:dyDescent="0.3">
      <c r="A4" s="8">
        <v>43028.047349537039</v>
      </c>
      <c r="B4" s="20" t="s">
        <v>472</v>
      </c>
      <c r="C4" s="20" t="s">
        <v>587</v>
      </c>
      <c r="D4" s="138">
        <v>890000</v>
      </c>
      <c r="E4" s="20" t="s">
        <v>358</v>
      </c>
      <c r="F4" s="20" t="s">
        <v>359</v>
      </c>
      <c r="G4" s="8" t="str">
        <f t="shared" si="0"/>
        <v>LOZA FIDEL</v>
      </c>
      <c r="H4" s="20" t="str">
        <f t="shared" si="1"/>
        <v>4006</v>
      </c>
    </row>
    <row r="5" spans="1:8" x14ac:dyDescent="0.3">
      <c r="A5" s="8">
        <v>43028.053391203706</v>
      </c>
      <c r="B5" s="20" t="s">
        <v>457</v>
      </c>
      <c r="C5" s="20" t="s">
        <v>588</v>
      </c>
      <c r="D5" s="138">
        <v>2540000</v>
      </c>
      <c r="E5" s="20" t="s">
        <v>391</v>
      </c>
      <c r="F5" s="20" t="s">
        <v>392</v>
      </c>
      <c r="G5" s="8" t="str">
        <f t="shared" si="0"/>
        <v>MCREYNOLDS KYLE</v>
      </c>
      <c r="H5" s="20" t="str">
        <f t="shared" si="1"/>
        <v>4017</v>
      </c>
    </row>
    <row r="6" spans="1:8" x14ac:dyDescent="0.3">
      <c r="A6" s="8">
        <v>43028.068229166667</v>
      </c>
      <c r="B6" s="20" t="s">
        <v>503</v>
      </c>
      <c r="C6" s="20" t="s">
        <v>589</v>
      </c>
      <c r="D6" s="138">
        <v>3340000</v>
      </c>
      <c r="E6" s="20" t="s">
        <v>536</v>
      </c>
      <c r="F6" s="20" t="s">
        <v>537</v>
      </c>
      <c r="G6" s="8" t="str">
        <f t="shared" si="0"/>
        <v>ELBAUM MIKE</v>
      </c>
      <c r="H6" s="20" t="str">
        <f t="shared" si="1"/>
        <v>4058</v>
      </c>
    </row>
    <row r="7" spans="1:8" x14ac:dyDescent="0.3">
      <c r="A7" s="8">
        <v>43028.089571759258</v>
      </c>
      <c r="B7" s="20" t="s">
        <v>453</v>
      </c>
      <c r="C7" s="20" t="s">
        <v>590</v>
      </c>
      <c r="D7" s="138">
        <v>2540000</v>
      </c>
      <c r="E7" s="20" t="s">
        <v>391</v>
      </c>
      <c r="F7" s="20" t="s">
        <v>392</v>
      </c>
      <c r="G7" s="8" t="str">
        <f t="shared" si="0"/>
        <v>MCREYNOLDS KYLE</v>
      </c>
      <c r="H7" s="20" t="str">
        <f t="shared" si="1"/>
        <v>4018</v>
      </c>
    </row>
    <row r="8" spans="1:8" x14ac:dyDescent="0.3">
      <c r="A8" s="8">
        <v>43028.111273148148</v>
      </c>
      <c r="B8" s="20" t="s">
        <v>384</v>
      </c>
      <c r="C8" s="20" t="s">
        <v>591</v>
      </c>
      <c r="D8" s="138">
        <v>1830000</v>
      </c>
      <c r="E8" s="20" t="s">
        <v>370</v>
      </c>
      <c r="F8" s="20" t="s">
        <v>371</v>
      </c>
      <c r="G8" s="8" t="str">
        <f t="shared" si="0"/>
        <v>YORK EDGAR</v>
      </c>
      <c r="H8" s="20" t="str">
        <f t="shared" si="1"/>
        <v>4055</v>
      </c>
    </row>
    <row r="9" spans="1:8" ht="15" thickBot="1" x14ac:dyDescent="0.35">
      <c r="A9" s="24">
        <v>43028.124884259261</v>
      </c>
      <c r="B9" s="20" t="s">
        <v>640</v>
      </c>
      <c r="C9" s="20" t="s">
        <v>657</v>
      </c>
      <c r="D9" s="138">
        <v>1090000</v>
      </c>
      <c r="E9" s="20" t="s">
        <v>511</v>
      </c>
      <c r="F9" s="20" t="s">
        <v>385</v>
      </c>
      <c r="G9" s="8" t="str">
        <f t="shared" si="0"/>
        <v>SPECTOR MICHAEL</v>
      </c>
      <c r="H9" s="20" t="str">
        <f t="shared" si="1"/>
        <v>4056</v>
      </c>
    </row>
    <row r="10" spans="1:8" x14ac:dyDescent="0.3">
      <c r="A10" s="8">
        <v>43028.126076388886</v>
      </c>
      <c r="B10" s="20" t="s">
        <v>634</v>
      </c>
      <c r="C10" s="20" t="s">
        <v>635</v>
      </c>
      <c r="D10" s="138">
        <v>1830000</v>
      </c>
      <c r="E10" s="20" t="s">
        <v>370</v>
      </c>
      <c r="F10" s="20" t="s">
        <v>371</v>
      </c>
      <c r="G10" s="8" t="str">
        <f t="shared" si="0"/>
        <v>YORK EDGAR</v>
      </c>
      <c r="H10" s="20" t="str">
        <f t="shared" si="1"/>
        <v>4054</v>
      </c>
    </row>
    <row r="11" spans="1:8" x14ac:dyDescent="0.3">
      <c r="A11" s="8">
        <v>43028.135115740741</v>
      </c>
      <c r="B11" s="20" t="s">
        <v>632</v>
      </c>
      <c r="C11" s="20" t="s">
        <v>633</v>
      </c>
      <c r="D11" s="138">
        <v>2010000</v>
      </c>
      <c r="E11" s="20" t="s">
        <v>512</v>
      </c>
      <c r="F11" s="20" t="s">
        <v>513</v>
      </c>
      <c r="G11" s="8" t="str">
        <f t="shared" si="0"/>
        <v>MAELZER KURT</v>
      </c>
      <c r="H11" s="20" t="str">
        <f t="shared" si="1"/>
        <v>4063</v>
      </c>
    </row>
    <row r="12" spans="1:8" x14ac:dyDescent="0.3">
      <c r="A12" s="8">
        <v>43028.139652777776</v>
      </c>
      <c r="B12" s="20" t="s">
        <v>384</v>
      </c>
      <c r="C12" s="20" t="s">
        <v>658</v>
      </c>
      <c r="D12" s="138">
        <v>1090000</v>
      </c>
      <c r="E12" s="20" t="s">
        <v>511</v>
      </c>
      <c r="F12" s="20" t="s">
        <v>385</v>
      </c>
      <c r="G12" s="8" t="str">
        <f t="shared" si="0"/>
        <v>SPECTOR MICHAEL</v>
      </c>
      <c r="H12" s="20" t="str">
        <f t="shared" si="1"/>
        <v>4055</v>
      </c>
    </row>
    <row r="13" spans="1:8" x14ac:dyDescent="0.3">
      <c r="A13" s="8">
        <v>43028.150648148148</v>
      </c>
      <c r="B13" s="20" t="s">
        <v>659</v>
      </c>
      <c r="C13" s="20" t="s">
        <v>660</v>
      </c>
      <c r="D13" s="138">
        <v>2010000</v>
      </c>
      <c r="E13" s="20" t="s">
        <v>512</v>
      </c>
      <c r="F13" s="20" t="s">
        <v>513</v>
      </c>
      <c r="G13" s="8" t="str">
        <f t="shared" si="0"/>
        <v>MAELZER KURT</v>
      </c>
      <c r="H13" s="20" t="str">
        <f t="shared" si="1"/>
        <v>4064</v>
      </c>
    </row>
    <row r="14" spans="1:8" x14ac:dyDescent="0.3">
      <c r="A14" s="8">
        <v>43028.157199074078</v>
      </c>
      <c r="B14" s="20" t="s">
        <v>646</v>
      </c>
      <c r="C14" s="20" t="s">
        <v>661</v>
      </c>
      <c r="D14" s="138">
        <v>940000</v>
      </c>
      <c r="E14" s="20" t="s">
        <v>440</v>
      </c>
      <c r="F14" s="20" t="s">
        <v>441</v>
      </c>
      <c r="G14" s="8" t="str">
        <f t="shared" si="0"/>
        <v>BONDS REYNALDO</v>
      </c>
      <c r="H14" s="20" t="str">
        <f t="shared" si="1"/>
        <v>4025</v>
      </c>
    </row>
    <row r="15" spans="1:8" x14ac:dyDescent="0.3">
      <c r="A15" s="8">
        <v>43028.16133101852</v>
      </c>
      <c r="B15" s="20" t="s">
        <v>662</v>
      </c>
      <c r="C15" s="20" t="s">
        <v>663</v>
      </c>
      <c r="D15" s="138">
        <v>1830000</v>
      </c>
      <c r="E15" s="20" t="s">
        <v>370</v>
      </c>
      <c r="F15" s="20" t="s">
        <v>371</v>
      </c>
      <c r="G15" s="8" t="str">
        <f t="shared" si="0"/>
        <v>YORK EDGAR</v>
      </c>
      <c r="H15" s="20" t="str">
        <f t="shared" si="1"/>
        <v>4053</v>
      </c>
    </row>
    <row r="16" spans="1:8" x14ac:dyDescent="0.3">
      <c r="A16" s="8">
        <v>43028.169456018521</v>
      </c>
      <c r="B16" s="20" t="s">
        <v>664</v>
      </c>
      <c r="C16" s="20" t="s">
        <v>665</v>
      </c>
      <c r="D16" s="138">
        <v>940000</v>
      </c>
      <c r="E16" s="20" t="s">
        <v>440</v>
      </c>
      <c r="F16" s="20" t="s">
        <v>441</v>
      </c>
      <c r="G16" s="8" t="str">
        <f t="shared" si="0"/>
        <v>BONDS REYNALDO</v>
      </c>
      <c r="H16" s="20" t="str">
        <f t="shared" si="1"/>
        <v>4026</v>
      </c>
    </row>
    <row r="17" spans="1:8" x14ac:dyDescent="0.3">
      <c r="A17" s="8">
        <v>43028.17114583333</v>
      </c>
      <c r="B17" s="20" t="s">
        <v>460</v>
      </c>
      <c r="C17" s="20" t="s">
        <v>666</v>
      </c>
      <c r="D17" s="138">
        <v>1100000</v>
      </c>
      <c r="E17" s="20" t="s">
        <v>466</v>
      </c>
      <c r="F17" s="20" t="s">
        <v>467</v>
      </c>
      <c r="G17" s="8" t="str">
        <f t="shared" si="0"/>
        <v>GEBRETEKLE DAGNEW</v>
      </c>
      <c r="H17" s="20" t="str">
        <f t="shared" si="1"/>
        <v>4043</v>
      </c>
    </row>
    <row r="18" spans="1:8" x14ac:dyDescent="0.3">
      <c r="A18" s="8">
        <v>43028.180567129632</v>
      </c>
      <c r="B18" s="20" t="s">
        <v>640</v>
      </c>
      <c r="C18" s="20" t="s">
        <v>657</v>
      </c>
      <c r="D18" s="138">
        <v>1090000</v>
      </c>
      <c r="E18" s="20" t="s">
        <v>511</v>
      </c>
      <c r="F18" s="20" t="s">
        <v>385</v>
      </c>
      <c r="G18" s="8" t="str">
        <f t="shared" si="0"/>
        <v>SPECTOR MICHAEL</v>
      </c>
      <c r="H18" s="20" t="str">
        <f t="shared" si="1"/>
        <v>4056</v>
      </c>
    </row>
    <row r="19" spans="1:8" x14ac:dyDescent="0.3">
      <c r="A19" s="8">
        <v>43028.183611111112</v>
      </c>
      <c r="B19" s="20" t="s">
        <v>461</v>
      </c>
      <c r="C19" s="20" t="s">
        <v>667</v>
      </c>
      <c r="D19" s="138">
        <v>1100000</v>
      </c>
      <c r="E19" s="20" t="s">
        <v>466</v>
      </c>
      <c r="F19" s="20" t="s">
        <v>467</v>
      </c>
      <c r="G19" s="8" t="str">
        <f t="shared" si="0"/>
        <v>GEBRETEKLE DAGNEW</v>
      </c>
      <c r="H19" s="20" t="str">
        <f t="shared" si="1"/>
        <v>4044</v>
      </c>
    </row>
    <row r="20" spans="1:8" x14ac:dyDescent="0.3">
      <c r="A20" s="8">
        <v>43028.184108796297</v>
      </c>
      <c r="B20" s="20" t="s">
        <v>384</v>
      </c>
      <c r="C20" s="20" t="s">
        <v>658</v>
      </c>
      <c r="D20" s="138">
        <v>1090000</v>
      </c>
      <c r="E20" s="20" t="s">
        <v>511</v>
      </c>
      <c r="F20" s="20" t="s">
        <v>385</v>
      </c>
      <c r="G20" s="8" t="str">
        <f t="shared" si="0"/>
        <v>SPECTOR MICHAEL</v>
      </c>
      <c r="H20" s="20" t="str">
        <f t="shared" si="1"/>
        <v>4055</v>
      </c>
    </row>
    <row r="21" spans="1:8" x14ac:dyDescent="0.3">
      <c r="A21" s="8">
        <v>43028.186643518522</v>
      </c>
      <c r="B21" s="20" t="s">
        <v>459</v>
      </c>
      <c r="C21" s="20" t="s">
        <v>668</v>
      </c>
      <c r="D21" s="138">
        <v>1990000</v>
      </c>
      <c r="E21" s="20" t="s">
        <v>462</v>
      </c>
      <c r="F21" s="20" t="s">
        <v>463</v>
      </c>
      <c r="G21" s="8" t="str">
        <f t="shared" si="0"/>
        <v>DAVIS WENDY</v>
      </c>
      <c r="H21" s="20" t="str">
        <f t="shared" si="1"/>
        <v>4039</v>
      </c>
    </row>
    <row r="22" spans="1:8" x14ac:dyDescent="0.3">
      <c r="A22" s="26">
        <v>43028.188067129631</v>
      </c>
      <c r="B22" s="20" t="s">
        <v>632</v>
      </c>
      <c r="C22" s="20" t="s">
        <v>669</v>
      </c>
      <c r="D22" s="138">
        <v>2010000</v>
      </c>
      <c r="E22" s="20" t="s">
        <v>512</v>
      </c>
      <c r="F22" s="20" t="s">
        <v>513</v>
      </c>
      <c r="G22" s="8" t="str">
        <f t="shared" si="0"/>
        <v>MAELZER KURT</v>
      </c>
      <c r="H22" s="20" t="str">
        <f t="shared" si="1"/>
        <v>4063</v>
      </c>
    </row>
    <row r="23" spans="1:8" x14ac:dyDescent="0.3">
      <c r="A23" s="8">
        <v>43028.197291666664</v>
      </c>
      <c r="B23" s="20" t="s">
        <v>376</v>
      </c>
      <c r="C23" s="20" t="s">
        <v>670</v>
      </c>
      <c r="D23" s="138">
        <v>1990000</v>
      </c>
      <c r="E23" s="20" t="s">
        <v>462</v>
      </c>
      <c r="F23" s="20" t="s">
        <v>463</v>
      </c>
      <c r="G23" s="8" t="str">
        <f t="shared" si="0"/>
        <v>DAVIS WENDY</v>
      </c>
      <c r="H23" s="20" t="str">
        <f t="shared" si="1"/>
        <v>4040</v>
      </c>
    </row>
    <row r="24" spans="1:8" x14ac:dyDescent="0.3">
      <c r="A24" s="8">
        <v>43028.203252314815</v>
      </c>
      <c r="B24" s="20" t="s">
        <v>397</v>
      </c>
      <c r="C24" s="20" t="s">
        <v>671</v>
      </c>
      <c r="D24" s="138">
        <v>3040000</v>
      </c>
      <c r="E24" s="20" t="s">
        <v>514</v>
      </c>
      <c r="F24" s="20" t="s">
        <v>515</v>
      </c>
      <c r="G24" s="8" t="str">
        <f t="shared" si="0"/>
        <v>WILLIAMS DONTE</v>
      </c>
      <c r="H24" s="20" t="str">
        <f t="shared" si="1"/>
        <v>4052</v>
      </c>
    </row>
    <row r="25" spans="1:8" x14ac:dyDescent="0.3">
      <c r="A25" s="8">
        <v>43028.204131944447</v>
      </c>
      <c r="B25" s="20" t="s">
        <v>397</v>
      </c>
      <c r="C25" s="20" t="s">
        <v>671</v>
      </c>
      <c r="D25" s="138">
        <v>3040000</v>
      </c>
      <c r="E25" s="20" t="s">
        <v>514</v>
      </c>
      <c r="F25" s="20" t="s">
        <v>515</v>
      </c>
      <c r="G25" s="8" t="str">
        <f t="shared" si="0"/>
        <v>WILLIAMS DONTE</v>
      </c>
      <c r="H25" s="20" t="str">
        <f t="shared" si="1"/>
        <v>4052</v>
      </c>
    </row>
    <row r="26" spans="1:8" x14ac:dyDescent="0.3">
      <c r="A26" s="8">
        <v>43028.204548611109</v>
      </c>
      <c r="B26" s="20" t="s">
        <v>640</v>
      </c>
      <c r="C26" s="20" t="s">
        <v>672</v>
      </c>
      <c r="D26" s="138">
        <v>1830000</v>
      </c>
      <c r="E26" s="20" t="s">
        <v>370</v>
      </c>
      <c r="F26" s="20" t="s">
        <v>371</v>
      </c>
      <c r="G26" s="8" t="str">
        <f t="shared" si="0"/>
        <v>YORK EDGAR</v>
      </c>
      <c r="H26" s="20" t="str">
        <f t="shared" si="1"/>
        <v>4056</v>
      </c>
    </row>
    <row r="27" spans="1:8" x14ac:dyDescent="0.3">
      <c r="A27" s="8">
        <v>43028.204560185186</v>
      </c>
      <c r="B27" s="20" t="s">
        <v>408</v>
      </c>
      <c r="C27" s="20" t="s">
        <v>673</v>
      </c>
      <c r="D27" s="138">
        <v>2560000</v>
      </c>
      <c r="E27" s="20" t="s">
        <v>674</v>
      </c>
      <c r="F27" s="20" t="s">
        <v>675</v>
      </c>
      <c r="G27" s="8" t="str">
        <f t="shared" si="0"/>
        <v>MACDONALD THOMAS</v>
      </c>
      <c r="H27" s="20" t="str">
        <f t="shared" si="1"/>
        <v>4001</v>
      </c>
    </row>
    <row r="28" spans="1:8" x14ac:dyDescent="0.3">
      <c r="A28" s="8">
        <v>43028.205972222226</v>
      </c>
      <c r="B28" s="20" t="s">
        <v>397</v>
      </c>
      <c r="C28" s="20" t="s">
        <v>671</v>
      </c>
      <c r="D28" s="138">
        <v>3040000</v>
      </c>
      <c r="E28" s="20" t="s">
        <v>514</v>
      </c>
      <c r="F28" s="20" t="s">
        <v>515</v>
      </c>
      <c r="G28" s="8" t="str">
        <f t="shared" si="0"/>
        <v>WILLIAMS DONTE</v>
      </c>
      <c r="H28" s="20" t="str">
        <f t="shared" si="1"/>
        <v>4052</v>
      </c>
    </row>
    <row r="29" spans="1:8" x14ac:dyDescent="0.3">
      <c r="A29" s="8">
        <v>43028.213125000002</v>
      </c>
      <c r="B29" s="20" t="s">
        <v>646</v>
      </c>
      <c r="C29" s="20" t="s">
        <v>676</v>
      </c>
      <c r="D29" s="138">
        <v>940000</v>
      </c>
      <c r="E29" s="20" t="s">
        <v>440</v>
      </c>
      <c r="F29" s="20" t="s">
        <v>441</v>
      </c>
      <c r="G29" s="8" t="str">
        <f t="shared" si="0"/>
        <v>BONDS REYNALDO</v>
      </c>
      <c r="H29" s="20" t="str">
        <f t="shared" si="1"/>
        <v>4025</v>
      </c>
    </row>
    <row r="30" spans="1:8" x14ac:dyDescent="0.3">
      <c r="A30" s="8">
        <v>43028.213541666664</v>
      </c>
      <c r="B30" s="20" t="s">
        <v>460</v>
      </c>
      <c r="C30" s="20" t="s">
        <v>677</v>
      </c>
      <c r="D30" s="138">
        <v>1100000</v>
      </c>
      <c r="E30" s="20" t="s">
        <v>466</v>
      </c>
      <c r="F30" s="20" t="s">
        <v>467</v>
      </c>
      <c r="G30" s="8" t="str">
        <f t="shared" si="0"/>
        <v>GEBRETEKLE DAGNEW</v>
      </c>
      <c r="H30" s="20" t="str">
        <f t="shared" si="1"/>
        <v>4043</v>
      </c>
    </row>
    <row r="31" spans="1:8" x14ac:dyDescent="0.3">
      <c r="A31" s="8">
        <v>43028.217048611114</v>
      </c>
      <c r="B31" s="20" t="s">
        <v>409</v>
      </c>
      <c r="C31" s="20" t="s">
        <v>678</v>
      </c>
      <c r="D31" s="138">
        <v>2560000</v>
      </c>
      <c r="E31" s="20" t="s">
        <v>674</v>
      </c>
      <c r="F31" s="20" t="s">
        <v>675</v>
      </c>
      <c r="G31" s="8" t="str">
        <f t="shared" si="0"/>
        <v>MACDONALD THOMAS</v>
      </c>
      <c r="H31" s="20" t="str">
        <f t="shared" si="1"/>
        <v>4002</v>
      </c>
    </row>
    <row r="32" spans="1:8" x14ac:dyDescent="0.3">
      <c r="A32" s="8">
        <v>43028.217534722222</v>
      </c>
      <c r="B32" s="20" t="s">
        <v>398</v>
      </c>
      <c r="C32" s="20" t="s">
        <v>679</v>
      </c>
      <c r="D32" s="138">
        <v>3040000</v>
      </c>
      <c r="E32" s="20" t="s">
        <v>514</v>
      </c>
      <c r="F32" s="20" t="s">
        <v>515</v>
      </c>
      <c r="G32" s="8" t="str">
        <f t="shared" si="0"/>
        <v>WILLIAMS DONTE</v>
      </c>
      <c r="H32" s="20" t="str">
        <f t="shared" si="1"/>
        <v>4051</v>
      </c>
    </row>
    <row r="33" spans="1:8" x14ac:dyDescent="0.3">
      <c r="A33" s="8">
        <v>43028.218344907407</v>
      </c>
      <c r="B33" s="20" t="s">
        <v>507</v>
      </c>
      <c r="C33" s="20" t="s">
        <v>680</v>
      </c>
      <c r="D33" s="138">
        <v>1230000</v>
      </c>
      <c r="E33" s="20" t="s">
        <v>425</v>
      </c>
      <c r="F33" s="20" t="s">
        <v>426</v>
      </c>
      <c r="G33" s="8" t="str">
        <f t="shared" si="0"/>
        <v>YANAI IAN</v>
      </c>
      <c r="H33" s="20" t="str">
        <f t="shared" si="1"/>
        <v>4031</v>
      </c>
    </row>
    <row r="34" spans="1:8" x14ac:dyDescent="0.3">
      <c r="A34" s="8">
        <v>43028.224293981482</v>
      </c>
      <c r="B34" s="20" t="s">
        <v>634</v>
      </c>
      <c r="C34" s="20" t="s">
        <v>681</v>
      </c>
      <c r="D34" s="138">
        <v>900000</v>
      </c>
      <c r="E34" s="20" t="s">
        <v>377</v>
      </c>
      <c r="F34" s="20" t="s">
        <v>378</v>
      </c>
      <c r="G34" s="8" t="str">
        <f t="shared" si="0"/>
        <v>ROCHA YAOTL</v>
      </c>
      <c r="H34" s="20" t="str">
        <f t="shared" si="1"/>
        <v>4054</v>
      </c>
    </row>
    <row r="35" spans="1:8" x14ac:dyDescent="0.3">
      <c r="A35" s="8">
        <v>43028.227870370371</v>
      </c>
      <c r="B35" s="20" t="s">
        <v>659</v>
      </c>
      <c r="C35" s="20" t="s">
        <v>682</v>
      </c>
      <c r="D35" s="138">
        <v>2010000</v>
      </c>
      <c r="E35" s="20" t="s">
        <v>512</v>
      </c>
      <c r="F35" s="20" t="s">
        <v>513</v>
      </c>
      <c r="G35" s="8" t="str">
        <f t="shared" si="0"/>
        <v>MAELZER KURT</v>
      </c>
      <c r="H35" s="20" t="str">
        <f t="shared" si="1"/>
        <v>4064</v>
      </c>
    </row>
    <row r="36" spans="1:8" x14ac:dyDescent="0.3">
      <c r="A36" s="8">
        <v>43028.227893518517</v>
      </c>
      <c r="B36" s="20" t="s">
        <v>459</v>
      </c>
      <c r="C36" s="20" t="s">
        <v>683</v>
      </c>
      <c r="D36" s="138">
        <v>1990000</v>
      </c>
      <c r="E36" s="20" t="s">
        <v>462</v>
      </c>
      <c r="F36" s="20" t="s">
        <v>463</v>
      </c>
      <c r="G36" s="8" t="str">
        <f t="shared" si="0"/>
        <v>DAVIS WENDY</v>
      </c>
      <c r="H36" s="20" t="str">
        <f t="shared" si="1"/>
        <v>4039</v>
      </c>
    </row>
    <row r="37" spans="1:8" x14ac:dyDescent="0.3">
      <c r="A37" s="8">
        <v>43028.229803240742</v>
      </c>
      <c r="B37" s="20" t="s">
        <v>524</v>
      </c>
      <c r="C37" s="20" t="s">
        <v>684</v>
      </c>
      <c r="D37" s="138">
        <v>1230000</v>
      </c>
      <c r="E37" s="20" t="s">
        <v>425</v>
      </c>
      <c r="F37" s="20" t="s">
        <v>426</v>
      </c>
      <c r="G37" s="8" t="str">
        <f t="shared" si="0"/>
        <v>YANAI IAN</v>
      </c>
      <c r="H37" s="20" t="str">
        <f t="shared" si="1"/>
        <v>4032</v>
      </c>
    </row>
    <row r="38" spans="1:8" x14ac:dyDescent="0.3">
      <c r="A38" s="8">
        <v>43028.232025462959</v>
      </c>
      <c r="B38" s="20" t="s">
        <v>397</v>
      </c>
      <c r="C38" s="20" t="s">
        <v>685</v>
      </c>
      <c r="D38" s="138">
        <v>3040000</v>
      </c>
      <c r="E38" s="20" t="s">
        <v>514</v>
      </c>
      <c r="F38" s="20" t="s">
        <v>515</v>
      </c>
      <c r="G38" s="8" t="str">
        <f t="shared" si="0"/>
        <v>WILLIAMS DONTE</v>
      </c>
      <c r="H38" s="20" t="str">
        <f t="shared" si="1"/>
        <v>4052</v>
      </c>
    </row>
    <row r="39" spans="1:8" x14ac:dyDescent="0.3">
      <c r="A39" s="8">
        <v>43028.235196759262</v>
      </c>
      <c r="B39" s="20" t="s">
        <v>384</v>
      </c>
      <c r="C39" s="20" t="s">
        <v>686</v>
      </c>
      <c r="D39" s="138">
        <v>1830000</v>
      </c>
      <c r="E39" s="20" t="s">
        <v>370</v>
      </c>
      <c r="F39" s="20" t="s">
        <v>371</v>
      </c>
      <c r="G39" s="8" t="str">
        <f t="shared" si="0"/>
        <v>YORK EDGAR</v>
      </c>
      <c r="H39" s="20" t="str">
        <f t="shared" si="1"/>
        <v>4055</v>
      </c>
    </row>
    <row r="40" spans="1:8" x14ac:dyDescent="0.3">
      <c r="A40" s="8">
        <v>43028.237025462964</v>
      </c>
      <c r="B40" s="25" t="s">
        <v>422</v>
      </c>
      <c r="C40" s="20" t="s">
        <v>687</v>
      </c>
      <c r="D40" s="138">
        <v>3180000</v>
      </c>
      <c r="E40" s="20" t="s">
        <v>519</v>
      </c>
      <c r="F40" s="20" t="s">
        <v>520</v>
      </c>
      <c r="G40" s="8" t="str">
        <f t="shared" si="0"/>
        <v>HUFFSMITH MONTY</v>
      </c>
      <c r="H40" s="20" t="str">
        <f t="shared" si="1"/>
        <v>4059</v>
      </c>
    </row>
    <row r="41" spans="1:8" x14ac:dyDescent="0.3">
      <c r="A41" s="8">
        <v>43028.238564814812</v>
      </c>
      <c r="B41" s="20" t="s">
        <v>502</v>
      </c>
      <c r="C41" s="20" t="s">
        <v>636</v>
      </c>
      <c r="D41" s="138">
        <v>900000</v>
      </c>
      <c r="E41" s="20" t="s">
        <v>377</v>
      </c>
      <c r="F41" s="20" t="s">
        <v>378</v>
      </c>
      <c r="G41" s="8" t="str">
        <f t="shared" si="0"/>
        <v>ROCHA YAOTL</v>
      </c>
      <c r="H41" s="20" t="str">
        <f t="shared" si="1"/>
        <v>4015</v>
      </c>
    </row>
    <row r="42" spans="1:8" x14ac:dyDescent="0.3">
      <c r="A42" s="8">
        <v>43028.238912037035</v>
      </c>
      <c r="B42" s="20" t="s">
        <v>422</v>
      </c>
      <c r="C42" s="20" t="s">
        <v>687</v>
      </c>
      <c r="D42" s="138">
        <v>3180000</v>
      </c>
      <c r="E42" s="20" t="s">
        <v>519</v>
      </c>
      <c r="F42" s="20" t="s">
        <v>520</v>
      </c>
      <c r="G42" s="8" t="str">
        <f t="shared" si="0"/>
        <v>HUFFSMITH MONTY</v>
      </c>
      <c r="H42" s="20" t="str">
        <f t="shared" si="1"/>
        <v>4059</v>
      </c>
    </row>
    <row r="43" spans="1:8" x14ac:dyDescent="0.3">
      <c r="A43" s="8">
        <v>43028.246921296297</v>
      </c>
      <c r="B43" s="20" t="s">
        <v>664</v>
      </c>
      <c r="C43" s="20" t="s">
        <v>688</v>
      </c>
      <c r="D43" s="138">
        <v>940000</v>
      </c>
      <c r="E43" s="20" t="s">
        <v>440</v>
      </c>
      <c r="F43" s="20" t="s">
        <v>441</v>
      </c>
      <c r="G43" s="8" t="str">
        <f t="shared" si="0"/>
        <v>BONDS REYNALDO</v>
      </c>
      <c r="H43" s="20" t="str">
        <f t="shared" si="1"/>
        <v>4026</v>
      </c>
    </row>
    <row r="44" spans="1:8" x14ac:dyDescent="0.3">
      <c r="A44" s="8">
        <v>43028.248599537037</v>
      </c>
      <c r="B44" s="20" t="s">
        <v>408</v>
      </c>
      <c r="C44" s="20" t="s">
        <v>689</v>
      </c>
      <c r="D44" s="138">
        <v>2560000</v>
      </c>
      <c r="E44" s="20" t="s">
        <v>674</v>
      </c>
      <c r="F44" s="20" t="s">
        <v>675</v>
      </c>
      <c r="G44" s="8" t="str">
        <f t="shared" si="0"/>
        <v>MACDONALD THOMAS</v>
      </c>
      <c r="H44" s="20" t="str">
        <f t="shared" si="1"/>
        <v>4001</v>
      </c>
    </row>
    <row r="45" spans="1:8" x14ac:dyDescent="0.3">
      <c r="A45" s="8">
        <v>43028.248854166668</v>
      </c>
      <c r="B45" s="20" t="s">
        <v>398</v>
      </c>
      <c r="C45" s="20" t="s">
        <v>690</v>
      </c>
      <c r="D45" s="138">
        <v>3040000</v>
      </c>
      <c r="E45" s="20" t="s">
        <v>514</v>
      </c>
      <c r="F45" s="20" t="s">
        <v>515</v>
      </c>
      <c r="G45" s="8" t="str">
        <f t="shared" si="0"/>
        <v>WILLIAMS DONTE</v>
      </c>
      <c r="H45" s="20" t="str">
        <f t="shared" si="1"/>
        <v>4051</v>
      </c>
    </row>
    <row r="46" spans="1:8" x14ac:dyDescent="0.3">
      <c r="A46" s="8">
        <v>43028.250069444446</v>
      </c>
      <c r="B46" s="20" t="s">
        <v>421</v>
      </c>
      <c r="C46" s="20" t="s">
        <v>691</v>
      </c>
      <c r="D46" s="138">
        <v>3180000</v>
      </c>
      <c r="E46" s="20" t="s">
        <v>519</v>
      </c>
      <c r="F46" s="20" t="s">
        <v>520</v>
      </c>
      <c r="G46" s="8" t="str">
        <f t="shared" si="0"/>
        <v>HUFFSMITH MONTY</v>
      </c>
      <c r="H46" s="20" t="str">
        <f t="shared" si="1"/>
        <v>4060</v>
      </c>
    </row>
    <row r="47" spans="1:8" x14ac:dyDescent="0.3">
      <c r="A47" s="8">
        <v>43028.254942129628</v>
      </c>
      <c r="B47" s="20" t="s">
        <v>461</v>
      </c>
      <c r="C47" s="20" t="s">
        <v>692</v>
      </c>
      <c r="D47" s="138">
        <v>1100000</v>
      </c>
      <c r="E47" s="20" t="s">
        <v>466</v>
      </c>
      <c r="F47" s="20" t="s">
        <v>467</v>
      </c>
      <c r="G47" s="8" t="str">
        <f t="shared" si="0"/>
        <v>GEBRETEKLE DAGNEW</v>
      </c>
      <c r="H47" s="20" t="str">
        <f t="shared" si="1"/>
        <v>4044</v>
      </c>
    </row>
    <row r="48" spans="1:8" x14ac:dyDescent="0.3">
      <c r="A48" s="8">
        <v>43028.256099537037</v>
      </c>
      <c r="B48" s="20" t="s">
        <v>398</v>
      </c>
      <c r="C48" s="20" t="s">
        <v>690</v>
      </c>
      <c r="D48" s="138">
        <v>3040000</v>
      </c>
      <c r="E48" s="20" t="s">
        <v>514</v>
      </c>
      <c r="F48" s="20" t="s">
        <v>515</v>
      </c>
      <c r="G48" s="8" t="str">
        <f t="shared" si="0"/>
        <v>WILLIAMS DONTE</v>
      </c>
      <c r="H48" s="20" t="str">
        <f t="shared" si="1"/>
        <v>4051</v>
      </c>
    </row>
    <row r="49" spans="1:8" x14ac:dyDescent="0.3">
      <c r="A49" s="8">
        <v>43028.263101851851</v>
      </c>
      <c r="B49" s="20" t="s">
        <v>632</v>
      </c>
      <c r="C49" s="20" t="s">
        <v>693</v>
      </c>
      <c r="D49" s="138">
        <v>2010000</v>
      </c>
      <c r="E49" s="20" t="s">
        <v>512</v>
      </c>
      <c r="F49" s="20" t="s">
        <v>513</v>
      </c>
      <c r="G49" s="8" t="str">
        <f t="shared" si="0"/>
        <v>MAELZER KURT</v>
      </c>
      <c r="H49" s="20" t="str">
        <f t="shared" si="1"/>
        <v>4063</v>
      </c>
    </row>
    <row r="50" spans="1:8" x14ac:dyDescent="0.3">
      <c r="A50" s="8">
        <v>43028.265428240738</v>
      </c>
      <c r="B50" s="20" t="s">
        <v>507</v>
      </c>
      <c r="C50" s="20" t="s">
        <v>694</v>
      </c>
      <c r="D50" s="138">
        <v>1230000</v>
      </c>
      <c r="E50" s="20" t="s">
        <v>425</v>
      </c>
      <c r="F50" s="20" t="s">
        <v>426</v>
      </c>
      <c r="G50" s="8" t="str">
        <f t="shared" si="0"/>
        <v>YANAI IAN</v>
      </c>
      <c r="H50" s="20" t="str">
        <f t="shared" si="1"/>
        <v>4031</v>
      </c>
    </row>
    <row r="51" spans="1:8" x14ac:dyDescent="0.3">
      <c r="A51" s="8">
        <v>43028.26902777778</v>
      </c>
      <c r="B51" s="20" t="s">
        <v>376</v>
      </c>
      <c r="C51" s="20" t="s">
        <v>695</v>
      </c>
      <c r="D51" s="138">
        <v>1990000</v>
      </c>
      <c r="E51" s="20" t="s">
        <v>462</v>
      </c>
      <c r="F51" s="20" t="s">
        <v>463</v>
      </c>
      <c r="G51" s="8" t="str">
        <f t="shared" si="0"/>
        <v>DAVIS WENDY</v>
      </c>
      <c r="H51" s="20" t="str">
        <f t="shared" si="1"/>
        <v>4040</v>
      </c>
    </row>
    <row r="52" spans="1:8" x14ac:dyDescent="0.3">
      <c r="A52" s="8">
        <v>43028.270960648151</v>
      </c>
      <c r="B52" s="20" t="s">
        <v>422</v>
      </c>
      <c r="C52" s="20" t="s">
        <v>696</v>
      </c>
      <c r="D52" s="138">
        <v>3180000</v>
      </c>
      <c r="E52" s="20" t="s">
        <v>519</v>
      </c>
      <c r="F52" s="20" t="s">
        <v>520</v>
      </c>
      <c r="G52" s="8" t="str">
        <f t="shared" si="0"/>
        <v>HUFFSMITH MONTY</v>
      </c>
      <c r="H52" s="20" t="str">
        <f t="shared" si="1"/>
        <v>4059</v>
      </c>
    </row>
    <row r="53" spans="1:8" x14ac:dyDescent="0.3">
      <c r="A53" s="8">
        <v>43028.273101851853</v>
      </c>
      <c r="B53" s="20" t="s">
        <v>397</v>
      </c>
      <c r="C53" s="20" t="s">
        <v>697</v>
      </c>
      <c r="D53" s="138">
        <v>3040000</v>
      </c>
      <c r="E53" s="20" t="s">
        <v>514</v>
      </c>
      <c r="F53" s="20" t="s">
        <v>515</v>
      </c>
      <c r="G53" s="8" t="str">
        <f t="shared" si="0"/>
        <v>WILLIAMS DONTE</v>
      </c>
      <c r="H53" s="20" t="str">
        <f t="shared" si="1"/>
        <v>4052</v>
      </c>
    </row>
    <row r="54" spans="1:8" x14ac:dyDescent="0.3">
      <c r="A54" s="8">
        <v>43028.277060185188</v>
      </c>
      <c r="B54" s="20" t="s">
        <v>640</v>
      </c>
      <c r="C54" s="20" t="s">
        <v>698</v>
      </c>
      <c r="D54" s="138">
        <v>1830000</v>
      </c>
      <c r="E54" s="20" t="s">
        <v>370</v>
      </c>
      <c r="F54" s="20" t="s">
        <v>371</v>
      </c>
      <c r="G54" s="8" t="str">
        <f t="shared" si="0"/>
        <v>YORK EDGAR</v>
      </c>
      <c r="H54" s="20" t="str">
        <f t="shared" si="1"/>
        <v>4056</v>
      </c>
    </row>
    <row r="55" spans="1:8" x14ac:dyDescent="0.3">
      <c r="A55" s="8">
        <v>43028.285902777781</v>
      </c>
      <c r="B55" s="20" t="s">
        <v>460</v>
      </c>
      <c r="C55" s="20" t="s">
        <v>699</v>
      </c>
      <c r="D55" s="138">
        <v>1100000</v>
      </c>
      <c r="E55" s="20" t="s">
        <v>466</v>
      </c>
      <c r="F55" s="20" t="s">
        <v>467</v>
      </c>
      <c r="G55" s="8" t="str">
        <f t="shared" si="0"/>
        <v>GEBRETEKLE DAGNEW</v>
      </c>
      <c r="H55" s="20" t="str">
        <f t="shared" si="1"/>
        <v>4043</v>
      </c>
    </row>
    <row r="56" spans="1:8" x14ac:dyDescent="0.3">
      <c r="A56" s="8">
        <v>43028.288599537038</v>
      </c>
      <c r="B56" s="20" t="s">
        <v>409</v>
      </c>
      <c r="C56" s="20" t="s">
        <v>700</v>
      </c>
      <c r="D56" s="138">
        <v>2560000</v>
      </c>
      <c r="E56" s="20" t="s">
        <v>674</v>
      </c>
      <c r="F56" s="20" t="s">
        <v>675</v>
      </c>
      <c r="G56" s="8" t="str">
        <f t="shared" si="0"/>
        <v>MACDONALD THOMAS</v>
      </c>
      <c r="H56" s="20" t="str">
        <f t="shared" si="1"/>
        <v>4002</v>
      </c>
    </row>
    <row r="57" spans="1:8" x14ac:dyDescent="0.3">
      <c r="A57" s="8">
        <v>43028.288807870369</v>
      </c>
      <c r="B57" s="20" t="s">
        <v>646</v>
      </c>
      <c r="C57" s="20" t="s">
        <v>701</v>
      </c>
      <c r="D57" s="138">
        <v>940000</v>
      </c>
      <c r="E57" s="20" t="s">
        <v>440</v>
      </c>
      <c r="F57" s="20" t="s">
        <v>441</v>
      </c>
      <c r="G57" s="8" t="str">
        <f t="shared" si="0"/>
        <v>BONDS REYNALDO</v>
      </c>
      <c r="H57" s="20" t="str">
        <f t="shared" si="1"/>
        <v>4025</v>
      </c>
    </row>
    <row r="58" spans="1:8" x14ac:dyDescent="0.3">
      <c r="A58" s="8">
        <v>43028.290081018517</v>
      </c>
      <c r="B58" s="20" t="s">
        <v>398</v>
      </c>
      <c r="C58" s="20" t="s">
        <v>702</v>
      </c>
      <c r="D58" s="138">
        <v>3040000</v>
      </c>
      <c r="E58" s="20" t="s">
        <v>514</v>
      </c>
      <c r="F58" s="20" t="s">
        <v>515</v>
      </c>
      <c r="G58" s="8" t="str">
        <f t="shared" si="0"/>
        <v>WILLIAMS DONTE</v>
      </c>
      <c r="H58" s="20" t="str">
        <f t="shared" si="1"/>
        <v>4051</v>
      </c>
    </row>
    <row r="59" spans="1:8" x14ac:dyDescent="0.3">
      <c r="A59" s="8">
        <v>43028.292743055557</v>
      </c>
      <c r="B59" s="20" t="s">
        <v>421</v>
      </c>
      <c r="C59" s="20" t="s">
        <v>703</v>
      </c>
      <c r="D59" s="138">
        <v>3180000</v>
      </c>
      <c r="E59" s="20" t="s">
        <v>519</v>
      </c>
      <c r="F59" s="20" t="s">
        <v>520</v>
      </c>
      <c r="G59" s="8" t="str">
        <f t="shared" si="0"/>
        <v>HUFFSMITH MONTY</v>
      </c>
      <c r="H59" s="20" t="str">
        <f t="shared" si="1"/>
        <v>4060</v>
      </c>
    </row>
    <row r="60" spans="1:8" x14ac:dyDescent="0.3">
      <c r="A60" s="8">
        <v>43028.296840277777</v>
      </c>
      <c r="B60" s="20" t="s">
        <v>398</v>
      </c>
      <c r="C60" s="20" t="s">
        <v>702</v>
      </c>
      <c r="D60" s="138">
        <v>3040000</v>
      </c>
      <c r="E60" s="20" t="s">
        <v>514</v>
      </c>
      <c r="F60" s="20" t="s">
        <v>515</v>
      </c>
      <c r="G60" s="8" t="str">
        <f t="shared" si="0"/>
        <v>WILLIAMS DONTE</v>
      </c>
      <c r="H60" s="20" t="str">
        <f t="shared" si="1"/>
        <v>4051</v>
      </c>
    </row>
    <row r="61" spans="1:8" x14ac:dyDescent="0.3">
      <c r="A61" s="8">
        <v>43028.298622685186</v>
      </c>
      <c r="B61" s="20" t="s">
        <v>659</v>
      </c>
      <c r="C61" s="20" t="s">
        <v>704</v>
      </c>
      <c r="D61" s="138">
        <v>900000</v>
      </c>
      <c r="E61" s="20" t="s">
        <v>377</v>
      </c>
      <c r="F61" s="20" t="s">
        <v>378</v>
      </c>
      <c r="G61" s="8" t="str">
        <f t="shared" si="0"/>
        <v>ROCHA YAOTL</v>
      </c>
      <c r="H61" s="20" t="str">
        <f t="shared" si="1"/>
        <v>4064</v>
      </c>
    </row>
    <row r="62" spans="1:8" x14ac:dyDescent="0.3">
      <c r="A62" s="8">
        <v>43028.299861111111</v>
      </c>
      <c r="B62" s="20" t="s">
        <v>459</v>
      </c>
      <c r="C62" s="20" t="s">
        <v>705</v>
      </c>
      <c r="D62" s="138">
        <v>1990000</v>
      </c>
      <c r="E62" s="20" t="s">
        <v>462</v>
      </c>
      <c r="F62" s="20" t="s">
        <v>463</v>
      </c>
      <c r="G62" s="8" t="str">
        <f t="shared" si="0"/>
        <v>DAVIS WENDY</v>
      </c>
      <c r="H62" s="20" t="str">
        <f t="shared" si="1"/>
        <v>4039</v>
      </c>
    </row>
    <row r="63" spans="1:8" x14ac:dyDescent="0.3">
      <c r="A63" s="8">
        <v>43028.308217592596</v>
      </c>
      <c r="B63" s="20" t="s">
        <v>524</v>
      </c>
      <c r="C63" s="20" t="s">
        <v>706</v>
      </c>
      <c r="D63" s="138">
        <v>1230000</v>
      </c>
      <c r="E63" s="20" t="s">
        <v>425</v>
      </c>
      <c r="F63" s="20" t="s">
        <v>426</v>
      </c>
      <c r="G63" s="8" t="str">
        <f t="shared" si="0"/>
        <v>YANAI IAN</v>
      </c>
      <c r="H63" s="20" t="str">
        <f t="shared" si="1"/>
        <v>4032</v>
      </c>
    </row>
    <row r="64" spans="1:8" x14ac:dyDescent="0.3">
      <c r="A64" s="26">
        <v>43028.311747685184</v>
      </c>
      <c r="B64" s="20" t="s">
        <v>422</v>
      </c>
      <c r="C64" s="20" t="s">
        <v>707</v>
      </c>
      <c r="D64" s="138">
        <v>3180000</v>
      </c>
      <c r="E64" s="20" t="s">
        <v>519</v>
      </c>
      <c r="F64" s="20" t="s">
        <v>520</v>
      </c>
      <c r="G64" s="8" t="str">
        <f t="shared" si="0"/>
        <v>HUFFSMITH MONTY</v>
      </c>
      <c r="H64" s="20" t="str">
        <f t="shared" si="1"/>
        <v>4059</v>
      </c>
    </row>
    <row r="65" spans="1:8" x14ac:dyDescent="0.3">
      <c r="A65" s="8">
        <v>43028.315798611111</v>
      </c>
      <c r="B65" s="20" t="s">
        <v>397</v>
      </c>
      <c r="C65" s="20" t="s">
        <v>708</v>
      </c>
      <c r="D65" s="138">
        <v>3040000</v>
      </c>
      <c r="E65" s="20" t="s">
        <v>514</v>
      </c>
      <c r="F65" s="20" t="s">
        <v>515</v>
      </c>
      <c r="G65" s="8" t="str">
        <f t="shared" si="0"/>
        <v>WILLIAMS DONTE</v>
      </c>
      <c r="H65" s="20" t="str">
        <f t="shared" si="1"/>
        <v>4052</v>
      </c>
    </row>
    <row r="66" spans="1:8" x14ac:dyDescent="0.3">
      <c r="A66" s="8">
        <v>43028.318310185183</v>
      </c>
      <c r="B66" s="20" t="s">
        <v>384</v>
      </c>
      <c r="C66" s="20" t="s">
        <v>709</v>
      </c>
      <c r="D66" s="138">
        <v>1830000</v>
      </c>
      <c r="E66" s="20" t="s">
        <v>370</v>
      </c>
      <c r="F66" s="20" t="s">
        <v>371</v>
      </c>
      <c r="G66" s="8" t="str">
        <f t="shared" si="0"/>
        <v>YORK EDGAR</v>
      </c>
      <c r="H66" s="20" t="str">
        <f t="shared" si="1"/>
        <v>4055</v>
      </c>
    </row>
    <row r="67" spans="1:8" x14ac:dyDescent="0.3">
      <c r="A67" s="8">
        <v>43028.318888888891</v>
      </c>
      <c r="B67" s="20" t="s">
        <v>664</v>
      </c>
      <c r="C67" s="20" t="s">
        <v>710</v>
      </c>
      <c r="D67" s="138">
        <v>3260000</v>
      </c>
      <c r="E67" s="20" t="s">
        <v>468</v>
      </c>
      <c r="F67" s="20" t="s">
        <v>469</v>
      </c>
      <c r="G67" s="8" t="str">
        <f t="shared" ref="G67:G130" si="2">E67&amp;" "&amp;F67</f>
        <v>PAGE MARCUS</v>
      </c>
      <c r="H67" s="20" t="str">
        <f t="shared" ref="H67:H130" si="3">MID(B67,13,4)</f>
        <v>4026</v>
      </c>
    </row>
    <row r="68" spans="1:8" x14ac:dyDescent="0.3">
      <c r="A68" s="8">
        <v>43028.322048611109</v>
      </c>
      <c r="B68" s="20" t="s">
        <v>408</v>
      </c>
      <c r="C68" s="20" t="s">
        <v>711</v>
      </c>
      <c r="D68" s="138">
        <v>2560000</v>
      </c>
      <c r="E68" s="20" t="s">
        <v>674</v>
      </c>
      <c r="F68" s="20" t="s">
        <v>675</v>
      </c>
      <c r="G68" s="8" t="str">
        <f t="shared" si="2"/>
        <v>MACDONALD THOMAS</v>
      </c>
      <c r="H68" s="20" t="str">
        <f t="shared" si="3"/>
        <v>4001</v>
      </c>
    </row>
    <row r="69" spans="1:8" x14ac:dyDescent="0.3">
      <c r="A69" s="8">
        <v>43028.328344907408</v>
      </c>
      <c r="B69" s="20" t="s">
        <v>632</v>
      </c>
      <c r="C69" s="20" t="s">
        <v>712</v>
      </c>
      <c r="D69" s="138">
        <v>900000</v>
      </c>
      <c r="E69" s="20" t="s">
        <v>377</v>
      </c>
      <c r="F69" s="20" t="s">
        <v>378</v>
      </c>
      <c r="G69" s="8" t="str">
        <f t="shared" si="2"/>
        <v>ROCHA YAOTL</v>
      </c>
      <c r="H69" s="20" t="str">
        <f t="shared" si="3"/>
        <v>4063</v>
      </c>
    </row>
    <row r="70" spans="1:8" x14ac:dyDescent="0.3">
      <c r="A70" s="8">
        <v>43028.329027777778</v>
      </c>
      <c r="B70" s="20" t="s">
        <v>461</v>
      </c>
      <c r="C70" s="20" t="s">
        <v>713</v>
      </c>
      <c r="D70" s="138">
        <v>1100000</v>
      </c>
      <c r="E70" s="20" t="s">
        <v>466</v>
      </c>
      <c r="F70" s="20" t="s">
        <v>467</v>
      </c>
      <c r="G70" s="8" t="str">
        <f t="shared" si="2"/>
        <v>GEBRETEKLE DAGNEW</v>
      </c>
      <c r="H70" s="20" t="str">
        <f t="shared" si="3"/>
        <v>4044</v>
      </c>
    </row>
    <row r="71" spans="1:8" x14ac:dyDescent="0.3">
      <c r="A71" s="8">
        <v>43028.332314814812</v>
      </c>
      <c r="B71" s="20" t="s">
        <v>398</v>
      </c>
      <c r="C71" s="20" t="s">
        <v>714</v>
      </c>
      <c r="D71" s="138">
        <v>3040000</v>
      </c>
      <c r="E71" s="20" t="s">
        <v>514</v>
      </c>
      <c r="F71" s="20" t="s">
        <v>515</v>
      </c>
      <c r="G71" s="8" t="str">
        <f t="shared" si="2"/>
        <v>WILLIAMS DONTE</v>
      </c>
      <c r="H71" s="20" t="str">
        <f t="shared" si="3"/>
        <v>4051</v>
      </c>
    </row>
    <row r="72" spans="1:8" x14ac:dyDescent="0.3">
      <c r="A72" s="8">
        <v>43028.334097222221</v>
      </c>
      <c r="B72" s="20" t="s">
        <v>421</v>
      </c>
      <c r="C72" s="20" t="s">
        <v>715</v>
      </c>
      <c r="D72" s="138">
        <v>3180000</v>
      </c>
      <c r="E72" s="20" t="s">
        <v>519</v>
      </c>
      <c r="F72" s="20" t="s">
        <v>520</v>
      </c>
      <c r="G72" s="8" t="str">
        <f t="shared" si="2"/>
        <v>HUFFSMITH MONTY</v>
      </c>
      <c r="H72" s="20" t="str">
        <f t="shared" si="3"/>
        <v>4060</v>
      </c>
    </row>
    <row r="73" spans="1:8" x14ac:dyDescent="0.3">
      <c r="A73" s="8">
        <v>43028.33829861111</v>
      </c>
      <c r="B73" s="20" t="s">
        <v>398</v>
      </c>
      <c r="C73" s="20" t="s">
        <v>714</v>
      </c>
      <c r="D73" s="138">
        <v>3040000</v>
      </c>
      <c r="E73" s="20" t="s">
        <v>514</v>
      </c>
      <c r="F73" s="20" t="s">
        <v>515</v>
      </c>
      <c r="G73" s="8" t="str">
        <f t="shared" si="2"/>
        <v>WILLIAMS DONTE</v>
      </c>
      <c r="H73" s="20" t="str">
        <f t="shared" si="3"/>
        <v>4051</v>
      </c>
    </row>
    <row r="74" spans="1:8" x14ac:dyDescent="0.3">
      <c r="A74" s="8">
        <v>43028.338784722226</v>
      </c>
      <c r="B74" s="20" t="s">
        <v>507</v>
      </c>
      <c r="C74" s="20" t="s">
        <v>716</v>
      </c>
      <c r="D74" s="138">
        <v>1230000</v>
      </c>
      <c r="E74" s="20" t="s">
        <v>425</v>
      </c>
      <c r="F74" s="20" t="s">
        <v>426</v>
      </c>
      <c r="G74" s="8" t="str">
        <f t="shared" si="2"/>
        <v>YANAI IAN</v>
      </c>
      <c r="H74" s="20" t="str">
        <f t="shared" si="3"/>
        <v>4031</v>
      </c>
    </row>
    <row r="75" spans="1:8" x14ac:dyDescent="0.3">
      <c r="A75" s="8">
        <v>43028.339270833334</v>
      </c>
      <c r="B75" s="20" t="s">
        <v>376</v>
      </c>
      <c r="C75" s="20" t="s">
        <v>717</v>
      </c>
      <c r="D75" s="138">
        <v>1990000</v>
      </c>
      <c r="E75" s="20" t="s">
        <v>462</v>
      </c>
      <c r="F75" s="20" t="s">
        <v>463</v>
      </c>
      <c r="G75" s="8" t="str">
        <f t="shared" si="2"/>
        <v>DAVIS WENDY</v>
      </c>
      <c r="H75" s="20" t="str">
        <f t="shared" si="3"/>
        <v>4040</v>
      </c>
    </row>
    <row r="76" spans="1:8" x14ac:dyDescent="0.3">
      <c r="A76" s="8">
        <v>43028.34952546296</v>
      </c>
      <c r="B76" s="20" t="s">
        <v>640</v>
      </c>
      <c r="C76" s="20" t="s">
        <v>718</v>
      </c>
      <c r="D76" s="138">
        <v>1830000</v>
      </c>
      <c r="E76" s="20" t="s">
        <v>370</v>
      </c>
      <c r="F76" s="20" t="s">
        <v>371</v>
      </c>
      <c r="G76" s="8" t="str">
        <f t="shared" si="2"/>
        <v>YORK EDGAR</v>
      </c>
      <c r="H76" s="20" t="str">
        <f t="shared" si="3"/>
        <v>4056</v>
      </c>
    </row>
    <row r="77" spans="1:8" x14ac:dyDescent="0.3">
      <c r="A77" s="8">
        <v>43028.352025462962</v>
      </c>
      <c r="B77" s="20" t="s">
        <v>516</v>
      </c>
      <c r="C77" s="20" t="s">
        <v>719</v>
      </c>
      <c r="D77" s="138">
        <v>1090000</v>
      </c>
      <c r="E77" s="20" t="s">
        <v>511</v>
      </c>
      <c r="F77" s="20" t="s">
        <v>385</v>
      </c>
      <c r="G77" s="8" t="str">
        <f t="shared" si="2"/>
        <v>SPECTOR MICHAEL</v>
      </c>
      <c r="H77" s="20" t="str">
        <f t="shared" si="3"/>
        <v>4016</v>
      </c>
    </row>
    <row r="78" spans="1:8" x14ac:dyDescent="0.3">
      <c r="A78" s="8">
        <v>43028.353148148148</v>
      </c>
      <c r="B78" s="20" t="s">
        <v>422</v>
      </c>
      <c r="C78" s="20" t="s">
        <v>720</v>
      </c>
      <c r="D78" s="138">
        <v>3180000</v>
      </c>
      <c r="E78" s="20" t="s">
        <v>519</v>
      </c>
      <c r="F78" s="20" t="s">
        <v>520</v>
      </c>
      <c r="G78" s="8" t="str">
        <f t="shared" si="2"/>
        <v>HUFFSMITH MONTY</v>
      </c>
      <c r="H78" s="20" t="str">
        <f t="shared" si="3"/>
        <v>4059</v>
      </c>
    </row>
    <row r="79" spans="1:8" x14ac:dyDescent="0.3">
      <c r="A79" s="8">
        <v>43028.356168981481</v>
      </c>
      <c r="B79" s="20" t="s">
        <v>502</v>
      </c>
      <c r="C79" s="20" t="s">
        <v>721</v>
      </c>
      <c r="D79" s="138">
        <v>1090000</v>
      </c>
      <c r="E79" s="20" t="s">
        <v>511</v>
      </c>
      <c r="F79" s="20" t="s">
        <v>385</v>
      </c>
      <c r="G79" s="8" t="str">
        <f t="shared" si="2"/>
        <v>SPECTOR MICHAEL</v>
      </c>
      <c r="H79" s="20" t="str">
        <f t="shared" si="3"/>
        <v>4015</v>
      </c>
    </row>
    <row r="80" spans="1:8" x14ac:dyDescent="0.3">
      <c r="A80" s="8">
        <v>43028.356516203705</v>
      </c>
      <c r="B80" s="20" t="s">
        <v>397</v>
      </c>
      <c r="C80" s="20" t="s">
        <v>722</v>
      </c>
      <c r="D80" s="138">
        <v>3040000</v>
      </c>
      <c r="E80" s="20" t="s">
        <v>514</v>
      </c>
      <c r="F80" s="20" t="s">
        <v>515</v>
      </c>
      <c r="G80" s="8" t="str">
        <f t="shared" si="2"/>
        <v>WILLIAMS DONTE</v>
      </c>
      <c r="H80" s="20" t="str">
        <f t="shared" si="3"/>
        <v>4052</v>
      </c>
    </row>
    <row r="81" spans="1:8" x14ac:dyDescent="0.3">
      <c r="A81" s="8">
        <v>43028.359548611108</v>
      </c>
      <c r="B81" s="20" t="s">
        <v>460</v>
      </c>
      <c r="C81" s="20" t="s">
        <v>723</v>
      </c>
      <c r="D81" s="138">
        <v>1100000</v>
      </c>
      <c r="E81" s="20" t="s">
        <v>466</v>
      </c>
      <c r="F81" s="20" t="s">
        <v>467</v>
      </c>
      <c r="G81" s="8" t="str">
        <f t="shared" si="2"/>
        <v>GEBRETEKLE DAGNEW</v>
      </c>
      <c r="H81" s="20" t="str">
        <f t="shared" si="3"/>
        <v>4043</v>
      </c>
    </row>
    <row r="82" spans="1:8" x14ac:dyDescent="0.3">
      <c r="A82" s="8">
        <v>43028.359768518516</v>
      </c>
      <c r="B82" s="20" t="s">
        <v>646</v>
      </c>
      <c r="C82" s="20" t="s">
        <v>724</v>
      </c>
      <c r="D82" s="138">
        <v>3260000</v>
      </c>
      <c r="E82" s="20" t="s">
        <v>468</v>
      </c>
      <c r="F82" s="20" t="s">
        <v>469</v>
      </c>
      <c r="G82" s="8" t="str">
        <f t="shared" si="2"/>
        <v>PAGE MARCUS</v>
      </c>
      <c r="H82" s="20" t="str">
        <f t="shared" si="3"/>
        <v>4025</v>
      </c>
    </row>
    <row r="83" spans="1:8" x14ac:dyDescent="0.3">
      <c r="A83" s="8">
        <v>43028.361192129632</v>
      </c>
      <c r="B83" s="20" t="s">
        <v>516</v>
      </c>
      <c r="C83" s="20" t="s">
        <v>725</v>
      </c>
      <c r="D83" s="138">
        <v>1090000</v>
      </c>
      <c r="E83" s="20" t="s">
        <v>511</v>
      </c>
      <c r="F83" s="20" t="s">
        <v>385</v>
      </c>
      <c r="G83" s="8" t="str">
        <f t="shared" si="2"/>
        <v>SPECTOR MICHAEL</v>
      </c>
      <c r="H83" s="20" t="str">
        <f t="shared" si="3"/>
        <v>4016</v>
      </c>
    </row>
    <row r="84" spans="1:8" x14ac:dyDescent="0.3">
      <c r="A84" s="8">
        <v>43028.362523148149</v>
      </c>
      <c r="B84" s="20" t="s">
        <v>516</v>
      </c>
      <c r="C84" s="20" t="s">
        <v>725</v>
      </c>
      <c r="D84" s="138">
        <v>1090000</v>
      </c>
      <c r="E84" s="20" t="s">
        <v>511</v>
      </c>
      <c r="F84" s="20" t="s">
        <v>385</v>
      </c>
      <c r="G84" s="8" t="str">
        <f t="shared" si="2"/>
        <v>SPECTOR MICHAEL</v>
      </c>
      <c r="H84" s="20" t="str">
        <f t="shared" si="3"/>
        <v>4016</v>
      </c>
    </row>
    <row r="85" spans="1:8" x14ac:dyDescent="0.3">
      <c r="A85" s="8">
        <v>43028.372916666667</v>
      </c>
      <c r="B85" s="20" t="s">
        <v>659</v>
      </c>
      <c r="C85" s="20" t="s">
        <v>726</v>
      </c>
      <c r="D85" s="138">
        <v>2010000</v>
      </c>
      <c r="E85" s="20" t="s">
        <v>512</v>
      </c>
      <c r="F85" s="20" t="s">
        <v>513</v>
      </c>
      <c r="G85" s="8" t="str">
        <f t="shared" si="2"/>
        <v>MAELZER KURT</v>
      </c>
      <c r="H85" s="20" t="str">
        <f t="shared" si="3"/>
        <v>4064</v>
      </c>
    </row>
    <row r="86" spans="1:8" x14ac:dyDescent="0.3">
      <c r="A86" s="8">
        <v>43028.377696759257</v>
      </c>
      <c r="B86" s="20" t="s">
        <v>459</v>
      </c>
      <c r="C86" s="20" t="s">
        <v>727</v>
      </c>
      <c r="D86" s="138">
        <v>1990000</v>
      </c>
      <c r="E86" s="20" t="s">
        <v>462</v>
      </c>
      <c r="F86" s="20" t="s">
        <v>463</v>
      </c>
      <c r="G86" s="8" t="str">
        <f t="shared" si="2"/>
        <v>DAVIS WENDY</v>
      </c>
      <c r="H86" s="20" t="str">
        <f t="shared" si="3"/>
        <v>4039</v>
      </c>
    </row>
    <row r="87" spans="1:8" x14ac:dyDescent="0.3">
      <c r="A87" s="8">
        <v>43028.379259259258</v>
      </c>
      <c r="B87" s="20" t="s">
        <v>421</v>
      </c>
      <c r="C87" s="20" t="s">
        <v>728</v>
      </c>
      <c r="D87" s="138">
        <v>3180000</v>
      </c>
      <c r="E87" s="20" t="s">
        <v>519</v>
      </c>
      <c r="F87" s="20" t="s">
        <v>520</v>
      </c>
      <c r="G87" s="8" t="str">
        <f t="shared" si="2"/>
        <v>HUFFSMITH MONTY</v>
      </c>
      <c r="H87" s="20" t="str">
        <f t="shared" si="3"/>
        <v>4060</v>
      </c>
    </row>
    <row r="88" spans="1:8" x14ac:dyDescent="0.3">
      <c r="A88" s="8">
        <v>43028.379293981481</v>
      </c>
      <c r="B88" s="20" t="s">
        <v>524</v>
      </c>
      <c r="C88" s="20" t="s">
        <v>729</v>
      </c>
      <c r="D88" s="138">
        <v>1230000</v>
      </c>
      <c r="E88" s="20" t="s">
        <v>425</v>
      </c>
      <c r="F88" s="20" t="s">
        <v>426</v>
      </c>
      <c r="G88" s="8" t="str">
        <f t="shared" si="2"/>
        <v>YANAI IAN</v>
      </c>
      <c r="H88" s="20" t="str">
        <f t="shared" si="3"/>
        <v>4032</v>
      </c>
    </row>
    <row r="89" spans="1:8" x14ac:dyDescent="0.3">
      <c r="A89" s="8">
        <v>43028.392118055555</v>
      </c>
      <c r="B89" s="20" t="s">
        <v>664</v>
      </c>
      <c r="C89" s="20" t="s">
        <v>730</v>
      </c>
      <c r="D89" s="138">
        <v>940000</v>
      </c>
      <c r="E89" s="20" t="s">
        <v>440</v>
      </c>
      <c r="F89" s="20" t="s">
        <v>441</v>
      </c>
      <c r="G89" s="8" t="str">
        <f t="shared" si="2"/>
        <v>BONDS REYNALDO</v>
      </c>
      <c r="H89" s="20" t="str">
        <f t="shared" si="3"/>
        <v>4026</v>
      </c>
    </row>
    <row r="90" spans="1:8" x14ac:dyDescent="0.3">
      <c r="A90" s="8">
        <v>43028.392812500002</v>
      </c>
      <c r="B90" s="20" t="s">
        <v>422</v>
      </c>
      <c r="C90" s="20" t="s">
        <v>637</v>
      </c>
      <c r="D90" s="138">
        <v>3180000</v>
      </c>
      <c r="E90" s="20" t="s">
        <v>519</v>
      </c>
      <c r="F90" s="20" t="s">
        <v>520</v>
      </c>
      <c r="G90" s="8" t="str">
        <f t="shared" si="2"/>
        <v>HUFFSMITH MONTY</v>
      </c>
      <c r="H90" s="20" t="str">
        <f t="shared" si="3"/>
        <v>4059</v>
      </c>
    </row>
    <row r="91" spans="1:8" x14ac:dyDescent="0.3">
      <c r="A91" s="8">
        <v>43028.392951388887</v>
      </c>
      <c r="B91" s="20" t="s">
        <v>384</v>
      </c>
      <c r="C91" s="20" t="s">
        <v>731</v>
      </c>
      <c r="D91" s="138">
        <v>1830000</v>
      </c>
      <c r="E91" s="20" t="s">
        <v>370</v>
      </c>
      <c r="F91" s="20" t="s">
        <v>371</v>
      </c>
      <c r="G91" s="8" t="str">
        <f t="shared" si="2"/>
        <v>YORK EDGAR</v>
      </c>
      <c r="H91" s="20" t="str">
        <f t="shared" si="3"/>
        <v>4055</v>
      </c>
    </row>
    <row r="92" spans="1:8" x14ac:dyDescent="0.3">
      <c r="A92" s="8">
        <v>43028.399768518517</v>
      </c>
      <c r="B92" s="20" t="s">
        <v>502</v>
      </c>
      <c r="C92" s="20" t="s">
        <v>732</v>
      </c>
      <c r="D92" s="138">
        <v>1090000</v>
      </c>
      <c r="E92" s="20" t="s">
        <v>511</v>
      </c>
      <c r="F92" s="20" t="s">
        <v>385</v>
      </c>
      <c r="G92" s="8" t="str">
        <f t="shared" si="2"/>
        <v>SPECTOR MICHAEL</v>
      </c>
      <c r="H92" s="20" t="str">
        <f t="shared" si="3"/>
        <v>4015</v>
      </c>
    </row>
    <row r="93" spans="1:8" x14ac:dyDescent="0.3">
      <c r="A93" s="8">
        <v>43028.404965277776</v>
      </c>
      <c r="B93" s="20" t="s">
        <v>461</v>
      </c>
      <c r="C93" s="20" t="s">
        <v>733</v>
      </c>
      <c r="D93" s="138">
        <v>1100000</v>
      </c>
      <c r="E93" s="20" t="s">
        <v>466</v>
      </c>
      <c r="F93" s="20" t="s">
        <v>467</v>
      </c>
      <c r="G93" s="8" t="str">
        <f t="shared" si="2"/>
        <v>GEBRETEKLE DAGNEW</v>
      </c>
      <c r="H93" s="20" t="str">
        <f t="shared" si="3"/>
        <v>4044</v>
      </c>
    </row>
    <row r="94" spans="1:8" x14ac:dyDescent="0.3">
      <c r="A94" s="8">
        <v>43028.405648148146</v>
      </c>
      <c r="B94" s="20" t="s">
        <v>632</v>
      </c>
      <c r="C94" s="20" t="s">
        <v>734</v>
      </c>
      <c r="D94" s="138">
        <v>2010000</v>
      </c>
      <c r="E94" s="20" t="s">
        <v>512</v>
      </c>
      <c r="F94" s="20" t="s">
        <v>513</v>
      </c>
      <c r="G94" s="8" t="str">
        <f t="shared" si="2"/>
        <v>MAELZER KURT</v>
      </c>
      <c r="H94" s="20" t="str">
        <f t="shared" si="3"/>
        <v>4063</v>
      </c>
    </row>
    <row r="95" spans="1:8" x14ac:dyDescent="0.3">
      <c r="A95" s="8">
        <v>43028.411122685182</v>
      </c>
      <c r="B95" s="20" t="s">
        <v>507</v>
      </c>
      <c r="C95" s="20" t="s">
        <v>735</v>
      </c>
      <c r="D95" s="138">
        <v>1230000</v>
      </c>
      <c r="E95" s="20" t="s">
        <v>425</v>
      </c>
      <c r="F95" s="20" t="s">
        <v>426</v>
      </c>
      <c r="G95" s="8" t="str">
        <f t="shared" si="2"/>
        <v>YANAI IAN</v>
      </c>
      <c r="H95" s="20" t="str">
        <f t="shared" si="3"/>
        <v>4031</v>
      </c>
    </row>
    <row r="96" spans="1:8" x14ac:dyDescent="0.3">
      <c r="A96" s="8">
        <v>43028.413969907408</v>
      </c>
      <c r="B96" s="20" t="s">
        <v>376</v>
      </c>
      <c r="C96" s="20" t="s">
        <v>736</v>
      </c>
      <c r="D96" s="138">
        <v>1990000</v>
      </c>
      <c r="E96" s="20" t="s">
        <v>462</v>
      </c>
      <c r="F96" s="20" t="s">
        <v>463</v>
      </c>
      <c r="G96" s="8" t="str">
        <f t="shared" si="2"/>
        <v>DAVIS WENDY</v>
      </c>
      <c r="H96" s="20" t="str">
        <f t="shared" si="3"/>
        <v>4040</v>
      </c>
    </row>
    <row r="97" spans="1:8" x14ac:dyDescent="0.3">
      <c r="A97" s="8">
        <v>43028.41746527778</v>
      </c>
      <c r="B97" s="20" t="s">
        <v>421</v>
      </c>
      <c r="C97" s="20" t="s">
        <v>737</v>
      </c>
      <c r="D97" s="138">
        <v>3180000</v>
      </c>
      <c r="E97" s="20" t="s">
        <v>519</v>
      </c>
      <c r="F97" s="20" t="s">
        <v>520</v>
      </c>
      <c r="G97" s="8" t="str">
        <f t="shared" si="2"/>
        <v>HUFFSMITH MONTY</v>
      </c>
      <c r="H97" s="20" t="str">
        <f t="shared" si="3"/>
        <v>4060</v>
      </c>
    </row>
    <row r="98" spans="1:8" x14ac:dyDescent="0.3">
      <c r="A98" s="8">
        <v>43028.42391203704</v>
      </c>
      <c r="B98" s="20" t="s">
        <v>640</v>
      </c>
      <c r="C98" s="20" t="s">
        <v>738</v>
      </c>
      <c r="D98" s="138">
        <v>3040000</v>
      </c>
      <c r="E98" s="20" t="s">
        <v>514</v>
      </c>
      <c r="F98" s="20" t="s">
        <v>515</v>
      </c>
      <c r="G98" s="8" t="str">
        <f t="shared" si="2"/>
        <v>WILLIAMS DONTE</v>
      </c>
      <c r="H98" s="20" t="str">
        <f t="shared" si="3"/>
        <v>4056</v>
      </c>
    </row>
    <row r="99" spans="1:8" x14ac:dyDescent="0.3">
      <c r="A99" s="8">
        <v>43028.429768518516</v>
      </c>
      <c r="B99" s="20" t="s">
        <v>646</v>
      </c>
      <c r="C99" s="20" t="s">
        <v>739</v>
      </c>
      <c r="D99" s="138">
        <v>940000</v>
      </c>
      <c r="E99" s="20" t="s">
        <v>440</v>
      </c>
      <c r="F99" s="20" t="s">
        <v>441</v>
      </c>
      <c r="G99" s="8" t="str">
        <f t="shared" si="2"/>
        <v>BONDS REYNALDO</v>
      </c>
      <c r="H99" s="20" t="str">
        <f t="shared" si="3"/>
        <v>4025</v>
      </c>
    </row>
    <row r="100" spans="1:8" x14ac:dyDescent="0.3">
      <c r="A100" s="8">
        <v>43028.432175925926</v>
      </c>
      <c r="B100" s="20" t="s">
        <v>460</v>
      </c>
      <c r="C100" s="20" t="s">
        <v>740</v>
      </c>
      <c r="D100" s="138">
        <v>1100000</v>
      </c>
      <c r="E100" s="20" t="s">
        <v>466</v>
      </c>
      <c r="F100" s="20" t="s">
        <v>467</v>
      </c>
      <c r="G100" s="8" t="str">
        <f t="shared" si="2"/>
        <v>GEBRETEKLE DAGNEW</v>
      </c>
      <c r="H100" s="20" t="str">
        <f t="shared" si="3"/>
        <v>4043</v>
      </c>
    </row>
    <row r="101" spans="1:8" x14ac:dyDescent="0.3">
      <c r="A101" s="8">
        <v>43028.434814814813</v>
      </c>
      <c r="B101" s="20" t="s">
        <v>422</v>
      </c>
      <c r="C101" s="20" t="s">
        <v>741</v>
      </c>
      <c r="D101" s="138">
        <v>3180000</v>
      </c>
      <c r="E101" s="20" t="s">
        <v>519</v>
      </c>
      <c r="F101" s="20" t="s">
        <v>520</v>
      </c>
      <c r="G101" s="8" t="str">
        <f t="shared" si="2"/>
        <v>HUFFSMITH MONTY</v>
      </c>
      <c r="H101" s="20" t="str">
        <f t="shared" si="3"/>
        <v>4059</v>
      </c>
    </row>
    <row r="102" spans="1:8" x14ac:dyDescent="0.3">
      <c r="A102" s="8">
        <v>43028.435185185182</v>
      </c>
      <c r="B102" s="20" t="s">
        <v>516</v>
      </c>
      <c r="C102" s="20" t="s">
        <v>742</v>
      </c>
      <c r="D102" s="138">
        <v>2560000</v>
      </c>
      <c r="E102" s="20" t="s">
        <v>674</v>
      </c>
      <c r="F102" s="20" t="s">
        <v>675</v>
      </c>
      <c r="G102" s="8" t="str">
        <f t="shared" si="2"/>
        <v>MACDONALD THOMAS</v>
      </c>
      <c r="H102" s="20" t="str">
        <f t="shared" si="3"/>
        <v>4016</v>
      </c>
    </row>
    <row r="103" spans="1:8" x14ac:dyDescent="0.3">
      <c r="A103" s="8">
        <v>43028.444340277776</v>
      </c>
      <c r="B103" s="20" t="s">
        <v>659</v>
      </c>
      <c r="C103" s="20" t="s">
        <v>743</v>
      </c>
      <c r="D103" s="138">
        <v>2550000</v>
      </c>
      <c r="E103" s="20" t="s">
        <v>521</v>
      </c>
      <c r="F103" s="20" t="s">
        <v>522</v>
      </c>
      <c r="G103" s="8" t="str">
        <f t="shared" si="2"/>
        <v>BADERTSCHER DIANE</v>
      </c>
      <c r="H103" s="20" t="str">
        <f t="shared" si="3"/>
        <v>4064</v>
      </c>
    </row>
    <row r="104" spans="1:8" x14ac:dyDescent="0.3">
      <c r="A104" s="8">
        <v>43028.447372685187</v>
      </c>
      <c r="B104" s="20" t="s">
        <v>390</v>
      </c>
      <c r="C104" s="20" t="s">
        <v>744</v>
      </c>
      <c r="D104" s="138">
        <v>2040000</v>
      </c>
      <c r="E104" s="20" t="s">
        <v>446</v>
      </c>
      <c r="F104" s="20" t="s">
        <v>447</v>
      </c>
      <c r="G104" s="8" t="str">
        <f t="shared" si="2"/>
        <v>MOSES BRADLEY</v>
      </c>
      <c r="H104" s="20" t="str">
        <f t="shared" si="3"/>
        <v>4065</v>
      </c>
    </row>
    <row r="105" spans="1:8" x14ac:dyDescent="0.3">
      <c r="A105" s="8">
        <v>43028.449374999997</v>
      </c>
      <c r="B105" s="20" t="s">
        <v>459</v>
      </c>
      <c r="C105" s="20" t="s">
        <v>745</v>
      </c>
      <c r="D105" s="138">
        <v>1990000</v>
      </c>
      <c r="E105" s="20" t="s">
        <v>462</v>
      </c>
      <c r="F105" s="20" t="s">
        <v>463</v>
      </c>
      <c r="G105" s="8" t="str">
        <f t="shared" si="2"/>
        <v>DAVIS WENDY</v>
      </c>
      <c r="H105" s="20" t="str">
        <f t="shared" si="3"/>
        <v>4039</v>
      </c>
    </row>
    <row r="106" spans="1:8" x14ac:dyDescent="0.3">
      <c r="A106" s="8">
        <v>43028.452719907407</v>
      </c>
      <c r="B106" s="20" t="s">
        <v>524</v>
      </c>
      <c r="C106" s="20" t="s">
        <v>746</v>
      </c>
      <c r="D106" s="138">
        <v>1230000</v>
      </c>
      <c r="E106" s="20" t="s">
        <v>425</v>
      </c>
      <c r="F106" s="20" t="s">
        <v>426</v>
      </c>
      <c r="G106" s="8" t="str">
        <f t="shared" si="2"/>
        <v>YANAI IAN</v>
      </c>
      <c r="H106" s="20" t="str">
        <f t="shared" si="3"/>
        <v>4032</v>
      </c>
    </row>
    <row r="107" spans="1:8" x14ac:dyDescent="0.3">
      <c r="A107" s="8">
        <v>43028.458831018521</v>
      </c>
      <c r="B107" s="20" t="s">
        <v>421</v>
      </c>
      <c r="C107" s="20" t="s">
        <v>747</v>
      </c>
      <c r="D107" s="138">
        <v>3180000</v>
      </c>
      <c r="E107" s="20" t="s">
        <v>519</v>
      </c>
      <c r="F107" s="20" t="s">
        <v>520</v>
      </c>
      <c r="G107" s="8" t="str">
        <f t="shared" si="2"/>
        <v>HUFFSMITH MONTY</v>
      </c>
      <c r="H107" s="20" t="str">
        <f t="shared" si="3"/>
        <v>4060</v>
      </c>
    </row>
    <row r="108" spans="1:8" x14ac:dyDescent="0.3">
      <c r="A108" s="8">
        <v>43028.462754629632</v>
      </c>
      <c r="B108" s="20" t="s">
        <v>384</v>
      </c>
      <c r="C108" s="20" t="s">
        <v>748</v>
      </c>
      <c r="D108" s="138">
        <v>3040000</v>
      </c>
      <c r="E108" s="20" t="s">
        <v>514</v>
      </c>
      <c r="F108" s="20" t="s">
        <v>515</v>
      </c>
      <c r="G108" s="8" t="str">
        <f t="shared" si="2"/>
        <v>WILLIAMS DONTE</v>
      </c>
      <c r="H108" s="20" t="str">
        <f t="shared" si="3"/>
        <v>4055</v>
      </c>
    </row>
    <row r="109" spans="1:8" x14ac:dyDescent="0.3">
      <c r="A109" s="8">
        <v>43028.46539351852</v>
      </c>
      <c r="B109" s="20" t="s">
        <v>389</v>
      </c>
      <c r="C109" s="20" t="s">
        <v>749</v>
      </c>
      <c r="D109" s="138">
        <v>1260000</v>
      </c>
      <c r="E109" s="20" t="s">
        <v>470</v>
      </c>
      <c r="F109" s="20" t="s">
        <v>471</v>
      </c>
      <c r="G109" s="8" t="str">
        <f t="shared" si="2"/>
        <v>ACKERMAN JARED</v>
      </c>
      <c r="H109" s="20" t="str">
        <f t="shared" si="3"/>
        <v>4066</v>
      </c>
    </row>
    <row r="110" spans="1:8" x14ac:dyDescent="0.3">
      <c r="A110" s="8">
        <v>43028.466793981483</v>
      </c>
      <c r="B110" s="20" t="s">
        <v>664</v>
      </c>
      <c r="C110" s="20" t="s">
        <v>750</v>
      </c>
      <c r="D110" s="138">
        <v>2630000</v>
      </c>
      <c r="E110" s="20" t="s">
        <v>751</v>
      </c>
      <c r="F110" s="20" t="s">
        <v>752</v>
      </c>
      <c r="G110" s="8" t="str">
        <f t="shared" si="2"/>
        <v>SAFIEF AEIMEN</v>
      </c>
      <c r="H110" s="20" t="str">
        <f t="shared" si="3"/>
        <v>4026</v>
      </c>
    </row>
    <row r="111" spans="1:8" x14ac:dyDescent="0.3">
      <c r="A111" s="8">
        <v>43028.474282407406</v>
      </c>
      <c r="B111" s="20" t="s">
        <v>502</v>
      </c>
      <c r="C111" s="20" t="s">
        <v>753</v>
      </c>
      <c r="D111" s="138">
        <v>2560000</v>
      </c>
      <c r="E111" s="20" t="s">
        <v>674</v>
      </c>
      <c r="F111" s="20" t="s">
        <v>675</v>
      </c>
      <c r="G111" s="8" t="str">
        <f t="shared" si="2"/>
        <v>MACDONALD THOMAS</v>
      </c>
      <c r="H111" s="20" t="str">
        <f t="shared" si="3"/>
        <v>4015</v>
      </c>
    </row>
    <row r="112" spans="1:8" x14ac:dyDescent="0.3">
      <c r="A112" s="8">
        <v>43028.476134259261</v>
      </c>
      <c r="B112" s="20" t="s">
        <v>422</v>
      </c>
      <c r="C112" s="20" t="s">
        <v>638</v>
      </c>
      <c r="D112" s="138">
        <v>3180000</v>
      </c>
      <c r="E112" s="20" t="s">
        <v>519</v>
      </c>
      <c r="F112" s="20" t="s">
        <v>520</v>
      </c>
      <c r="G112" s="8" t="str">
        <f t="shared" si="2"/>
        <v>HUFFSMITH MONTY</v>
      </c>
      <c r="H112" s="20" t="str">
        <f t="shared" si="3"/>
        <v>4059</v>
      </c>
    </row>
    <row r="113" spans="1:8" x14ac:dyDescent="0.3">
      <c r="A113" s="8">
        <v>43028.476597222223</v>
      </c>
      <c r="B113" s="20" t="s">
        <v>461</v>
      </c>
      <c r="C113" s="20" t="s">
        <v>754</v>
      </c>
      <c r="D113" s="138">
        <v>1770000</v>
      </c>
      <c r="E113" s="20" t="s">
        <v>444</v>
      </c>
      <c r="F113" s="20" t="s">
        <v>445</v>
      </c>
      <c r="G113" s="8" t="str">
        <f t="shared" si="2"/>
        <v>BRUDER RICHARD</v>
      </c>
      <c r="H113" s="20" t="str">
        <f t="shared" si="3"/>
        <v>4044</v>
      </c>
    </row>
    <row r="114" spans="1:8" x14ac:dyDescent="0.3">
      <c r="A114" s="8">
        <v>43028.481134259258</v>
      </c>
      <c r="B114" s="20" t="s">
        <v>632</v>
      </c>
      <c r="C114" s="20" t="s">
        <v>755</v>
      </c>
      <c r="D114" s="138">
        <v>2550000</v>
      </c>
      <c r="E114" s="20" t="s">
        <v>521</v>
      </c>
      <c r="F114" s="20" t="s">
        <v>522</v>
      </c>
      <c r="G114" s="8" t="str">
        <f t="shared" si="2"/>
        <v>BADERTSCHER DIANE</v>
      </c>
      <c r="H114" s="20" t="str">
        <f t="shared" si="3"/>
        <v>4063</v>
      </c>
    </row>
    <row r="115" spans="1:8" x14ac:dyDescent="0.3">
      <c r="A115" s="8">
        <v>43028.484953703701</v>
      </c>
      <c r="B115" s="20" t="s">
        <v>507</v>
      </c>
      <c r="C115" s="20" t="s">
        <v>756</v>
      </c>
      <c r="D115" s="138">
        <v>1230000</v>
      </c>
      <c r="E115" s="20" t="s">
        <v>425</v>
      </c>
      <c r="F115" s="20" t="s">
        <v>426</v>
      </c>
      <c r="G115" s="8" t="str">
        <f t="shared" si="2"/>
        <v>YANAI IAN</v>
      </c>
      <c r="H115" s="20" t="str">
        <f t="shared" si="3"/>
        <v>4031</v>
      </c>
    </row>
    <row r="116" spans="1:8" x14ac:dyDescent="0.3">
      <c r="A116" s="8">
        <v>43028.487743055557</v>
      </c>
      <c r="B116" s="20" t="s">
        <v>376</v>
      </c>
      <c r="C116" s="20" t="s">
        <v>757</v>
      </c>
      <c r="D116" s="138">
        <v>1180000</v>
      </c>
      <c r="E116" s="20" t="s">
        <v>427</v>
      </c>
      <c r="F116" s="20" t="s">
        <v>428</v>
      </c>
      <c r="G116" s="8" t="str">
        <f t="shared" si="2"/>
        <v>LEVERE CRAIG</v>
      </c>
      <c r="H116" s="20" t="str">
        <f t="shared" si="3"/>
        <v>4040</v>
      </c>
    </row>
    <row r="117" spans="1:8" x14ac:dyDescent="0.3">
      <c r="A117" s="8">
        <v>43028.497881944444</v>
      </c>
      <c r="B117" s="20" t="s">
        <v>640</v>
      </c>
      <c r="C117" s="20" t="s">
        <v>758</v>
      </c>
      <c r="D117" s="138">
        <v>3000000</v>
      </c>
      <c r="E117" s="20" t="s">
        <v>464</v>
      </c>
      <c r="F117" s="20" t="s">
        <v>465</v>
      </c>
      <c r="G117" s="8" t="str">
        <f t="shared" si="2"/>
        <v>FORTUNATO FRANK</v>
      </c>
      <c r="H117" s="20" t="str">
        <f t="shared" si="3"/>
        <v>4056</v>
      </c>
    </row>
    <row r="118" spans="1:8" x14ac:dyDescent="0.3">
      <c r="A118" s="8">
        <v>43028.4997337963</v>
      </c>
      <c r="B118" s="20" t="s">
        <v>646</v>
      </c>
      <c r="C118" s="20" t="s">
        <v>759</v>
      </c>
      <c r="D118" s="138">
        <v>2630000</v>
      </c>
      <c r="E118" s="20" t="s">
        <v>751</v>
      </c>
      <c r="F118" s="20" t="s">
        <v>752</v>
      </c>
      <c r="G118" s="8" t="str">
        <f t="shared" si="2"/>
        <v>SAFIEF AEIMEN</v>
      </c>
      <c r="H118" s="20" t="str">
        <f t="shared" si="3"/>
        <v>4025</v>
      </c>
    </row>
    <row r="119" spans="1:8" x14ac:dyDescent="0.3">
      <c r="A119" s="8">
        <v>43028.500856481478</v>
      </c>
      <c r="B119" s="20" t="s">
        <v>421</v>
      </c>
      <c r="C119" s="20" t="s">
        <v>760</v>
      </c>
      <c r="D119" s="138">
        <v>3180000</v>
      </c>
      <c r="E119" s="20" t="s">
        <v>519</v>
      </c>
      <c r="F119" s="20" t="s">
        <v>520</v>
      </c>
      <c r="G119" s="8" t="str">
        <f t="shared" si="2"/>
        <v>HUFFSMITH MONTY</v>
      </c>
      <c r="H119" s="20" t="str">
        <f t="shared" si="3"/>
        <v>4060</v>
      </c>
    </row>
    <row r="120" spans="1:8" x14ac:dyDescent="0.3">
      <c r="A120" s="8">
        <v>43028.50886574074</v>
      </c>
      <c r="B120" s="20" t="s">
        <v>516</v>
      </c>
      <c r="C120" s="20" t="s">
        <v>761</v>
      </c>
      <c r="D120" s="138">
        <v>1300000</v>
      </c>
      <c r="E120" s="20" t="s">
        <v>429</v>
      </c>
      <c r="F120" s="20" t="s">
        <v>430</v>
      </c>
      <c r="G120" s="8" t="str">
        <f t="shared" si="2"/>
        <v>LEVIN SCOTT</v>
      </c>
      <c r="H120" s="20" t="str">
        <f t="shared" si="3"/>
        <v>4016</v>
      </c>
    </row>
    <row r="121" spans="1:8" x14ac:dyDescent="0.3">
      <c r="A121" s="8">
        <v>43028.516770833332</v>
      </c>
      <c r="B121" s="20" t="s">
        <v>460</v>
      </c>
      <c r="C121" s="20" t="s">
        <v>762</v>
      </c>
      <c r="D121" s="138">
        <v>1770000</v>
      </c>
      <c r="E121" s="20" t="s">
        <v>444</v>
      </c>
      <c r="F121" s="20" t="s">
        <v>445</v>
      </c>
      <c r="G121" s="8" t="str">
        <f t="shared" si="2"/>
        <v>BRUDER RICHARD</v>
      </c>
      <c r="H121" s="20" t="str">
        <f t="shared" si="3"/>
        <v>4043</v>
      </c>
    </row>
    <row r="122" spans="1:8" x14ac:dyDescent="0.3">
      <c r="A122" s="8">
        <v>43028.517106481479</v>
      </c>
      <c r="B122" s="25" t="s">
        <v>659</v>
      </c>
      <c r="C122" s="20" t="s">
        <v>763</v>
      </c>
      <c r="D122" s="138">
        <v>2550000</v>
      </c>
      <c r="E122" s="20" t="s">
        <v>521</v>
      </c>
      <c r="F122" s="20" t="s">
        <v>522</v>
      </c>
      <c r="G122" s="8" t="str">
        <f t="shared" si="2"/>
        <v>BADERTSCHER DIANE</v>
      </c>
      <c r="H122" s="20" t="str">
        <f t="shared" si="3"/>
        <v>4064</v>
      </c>
    </row>
    <row r="123" spans="1:8" x14ac:dyDescent="0.3">
      <c r="A123" s="8">
        <v>43028.518206018518</v>
      </c>
      <c r="B123" s="20" t="s">
        <v>422</v>
      </c>
      <c r="C123" s="20" t="s">
        <v>764</v>
      </c>
      <c r="D123" s="138">
        <v>3180000</v>
      </c>
      <c r="E123" s="20" t="s">
        <v>519</v>
      </c>
      <c r="F123" s="20" t="s">
        <v>520</v>
      </c>
      <c r="G123" s="8" t="str">
        <f t="shared" si="2"/>
        <v>HUFFSMITH MONTY</v>
      </c>
      <c r="H123" s="20" t="str">
        <f t="shared" si="3"/>
        <v>4059</v>
      </c>
    </row>
    <row r="124" spans="1:8" x14ac:dyDescent="0.3">
      <c r="A124" s="8">
        <v>43028.524293981478</v>
      </c>
      <c r="B124" s="20" t="s">
        <v>459</v>
      </c>
      <c r="C124" s="20" t="s">
        <v>765</v>
      </c>
      <c r="D124" s="138">
        <v>1180000</v>
      </c>
      <c r="E124" s="20" t="s">
        <v>427</v>
      </c>
      <c r="F124" s="20" t="s">
        <v>428</v>
      </c>
      <c r="G124" s="8" t="str">
        <f t="shared" si="2"/>
        <v>LEVERE CRAIG</v>
      </c>
      <c r="H124" s="20" t="str">
        <f t="shared" si="3"/>
        <v>4039</v>
      </c>
    </row>
    <row r="125" spans="1:8" x14ac:dyDescent="0.3">
      <c r="A125" s="8">
        <v>43028.526678240742</v>
      </c>
      <c r="B125" s="20" t="s">
        <v>384</v>
      </c>
      <c r="C125" s="20" t="s">
        <v>766</v>
      </c>
      <c r="D125" s="138">
        <v>3000000</v>
      </c>
      <c r="E125" s="20" t="s">
        <v>464</v>
      </c>
      <c r="F125" s="20" t="s">
        <v>465</v>
      </c>
      <c r="G125" s="8" t="str">
        <f t="shared" si="2"/>
        <v>FORTUNATO FRANK</v>
      </c>
      <c r="H125" s="20" t="str">
        <f t="shared" si="3"/>
        <v>4055</v>
      </c>
    </row>
    <row r="126" spans="1:8" x14ac:dyDescent="0.3">
      <c r="A126" s="8">
        <v>43028.527384259258</v>
      </c>
      <c r="B126" s="20" t="s">
        <v>524</v>
      </c>
      <c r="C126" s="20" t="s">
        <v>767</v>
      </c>
      <c r="D126" s="138">
        <v>2420000</v>
      </c>
      <c r="E126" s="20" t="s">
        <v>475</v>
      </c>
      <c r="F126" s="20" t="s">
        <v>476</v>
      </c>
      <c r="G126" s="8" t="str">
        <f t="shared" si="2"/>
        <v>HOLCOMB KAMDEN</v>
      </c>
      <c r="H126" s="20" t="str">
        <f t="shared" si="3"/>
        <v>4032</v>
      </c>
    </row>
    <row r="127" spans="1:8" x14ac:dyDescent="0.3">
      <c r="A127" s="8">
        <v>43028.538356481484</v>
      </c>
      <c r="B127" s="20" t="s">
        <v>664</v>
      </c>
      <c r="C127" s="20" t="s">
        <v>768</v>
      </c>
      <c r="D127" s="138">
        <v>2630000</v>
      </c>
      <c r="E127" s="20" t="s">
        <v>751</v>
      </c>
      <c r="F127" s="20" t="s">
        <v>752</v>
      </c>
      <c r="G127" s="8" t="str">
        <f t="shared" si="2"/>
        <v>SAFIEF AEIMEN</v>
      </c>
      <c r="H127" s="20" t="str">
        <f t="shared" si="3"/>
        <v>4026</v>
      </c>
    </row>
    <row r="128" spans="1:8" x14ac:dyDescent="0.3">
      <c r="A128" s="8">
        <v>43028.546064814815</v>
      </c>
      <c r="B128" s="20" t="s">
        <v>502</v>
      </c>
      <c r="C128" s="20" t="s">
        <v>639</v>
      </c>
      <c r="D128" s="138">
        <v>1300000</v>
      </c>
      <c r="E128" s="20" t="s">
        <v>429</v>
      </c>
      <c r="F128" s="20" t="s">
        <v>430</v>
      </c>
      <c r="G128" s="8" t="str">
        <f t="shared" si="2"/>
        <v>LEVIN SCOTT</v>
      </c>
      <c r="H128" s="20" t="str">
        <f t="shared" si="3"/>
        <v>4015</v>
      </c>
    </row>
    <row r="129" spans="1:8" x14ac:dyDescent="0.3">
      <c r="A129" s="8">
        <v>43028.546689814815</v>
      </c>
      <c r="B129" s="20" t="s">
        <v>421</v>
      </c>
      <c r="C129" s="20" t="s">
        <v>769</v>
      </c>
      <c r="D129" s="138">
        <v>2350000</v>
      </c>
      <c r="E129" s="20" t="s">
        <v>473</v>
      </c>
      <c r="F129" s="20" t="s">
        <v>474</v>
      </c>
      <c r="G129" s="8" t="str">
        <f t="shared" si="2"/>
        <v>BERLING GARY</v>
      </c>
      <c r="H129" s="20" t="str">
        <f t="shared" si="3"/>
        <v>4060</v>
      </c>
    </row>
    <row r="130" spans="1:8" x14ac:dyDescent="0.3">
      <c r="A130" s="8">
        <v>43028.549537037034</v>
      </c>
      <c r="B130" s="20" t="s">
        <v>461</v>
      </c>
      <c r="C130" s="20" t="s">
        <v>770</v>
      </c>
      <c r="D130" s="138">
        <v>1770000</v>
      </c>
      <c r="E130" s="20" t="s">
        <v>444</v>
      </c>
      <c r="F130" s="20" t="s">
        <v>445</v>
      </c>
      <c r="G130" s="8" t="str">
        <f t="shared" si="2"/>
        <v>BRUDER RICHARD</v>
      </c>
      <c r="H130" s="20" t="str">
        <f t="shared" si="3"/>
        <v>4044</v>
      </c>
    </row>
    <row r="131" spans="1:8" x14ac:dyDescent="0.3">
      <c r="A131" s="8">
        <v>43028.55574074074</v>
      </c>
      <c r="B131" s="20" t="s">
        <v>632</v>
      </c>
      <c r="C131" s="20" t="s">
        <v>771</v>
      </c>
      <c r="D131" s="138">
        <v>2550000</v>
      </c>
      <c r="E131" s="20" t="s">
        <v>521</v>
      </c>
      <c r="F131" s="20" t="s">
        <v>522</v>
      </c>
      <c r="G131" s="8" t="str">
        <f t="shared" ref="G131:G194" si="4">E131&amp;" "&amp;F131</f>
        <v>BADERTSCHER DIANE</v>
      </c>
      <c r="H131" s="20" t="str">
        <f t="shared" ref="H131:H194" si="5">MID(B131,13,4)</f>
        <v>4063</v>
      </c>
    </row>
    <row r="132" spans="1:8" x14ac:dyDescent="0.3">
      <c r="A132" s="8">
        <v>43028.558877314812</v>
      </c>
      <c r="B132" s="20" t="s">
        <v>376</v>
      </c>
      <c r="C132" s="20" t="s">
        <v>772</v>
      </c>
      <c r="D132" s="138">
        <v>1180000</v>
      </c>
      <c r="E132" s="20" t="s">
        <v>427</v>
      </c>
      <c r="F132" s="20" t="s">
        <v>428</v>
      </c>
      <c r="G132" s="8" t="str">
        <f t="shared" si="4"/>
        <v>LEVERE CRAIG</v>
      </c>
      <c r="H132" s="20" t="str">
        <f t="shared" si="5"/>
        <v>4040</v>
      </c>
    </row>
    <row r="133" spans="1:8" x14ac:dyDescent="0.3">
      <c r="A133" s="8">
        <v>43028.560983796298</v>
      </c>
      <c r="B133" s="20" t="s">
        <v>422</v>
      </c>
      <c r="C133" s="20" t="s">
        <v>773</v>
      </c>
      <c r="D133" s="138">
        <v>2350000</v>
      </c>
      <c r="E133" s="20" t="s">
        <v>473</v>
      </c>
      <c r="F133" s="20" t="s">
        <v>474</v>
      </c>
      <c r="G133" s="8" t="str">
        <f t="shared" si="4"/>
        <v>BERLING GARY</v>
      </c>
      <c r="H133" s="20" t="str">
        <f t="shared" si="5"/>
        <v>4059</v>
      </c>
    </row>
    <row r="134" spans="1:8" x14ac:dyDescent="0.3">
      <c r="A134" s="8">
        <v>43028.567164351851</v>
      </c>
      <c r="B134" s="20" t="s">
        <v>507</v>
      </c>
      <c r="C134" s="20" t="s">
        <v>642</v>
      </c>
      <c r="D134" s="138">
        <v>2420000</v>
      </c>
      <c r="E134" s="20" t="s">
        <v>475</v>
      </c>
      <c r="F134" s="20" t="s">
        <v>476</v>
      </c>
      <c r="G134" s="8" t="str">
        <f t="shared" si="4"/>
        <v>HOLCOMB KAMDEN</v>
      </c>
      <c r="H134" s="20" t="str">
        <f t="shared" si="5"/>
        <v>4031</v>
      </c>
    </row>
    <row r="135" spans="1:8" x14ac:dyDescent="0.3">
      <c r="A135" s="8">
        <v>43028.569247685184</v>
      </c>
      <c r="B135" s="20" t="s">
        <v>640</v>
      </c>
      <c r="C135" s="20" t="s">
        <v>641</v>
      </c>
      <c r="D135" s="138">
        <v>3000000</v>
      </c>
      <c r="E135" s="20" t="s">
        <v>464</v>
      </c>
      <c r="F135" s="20" t="s">
        <v>465</v>
      </c>
      <c r="G135" s="8" t="str">
        <f t="shared" si="4"/>
        <v>FORTUNATO FRANK</v>
      </c>
      <c r="H135" s="20" t="str">
        <f t="shared" si="5"/>
        <v>4056</v>
      </c>
    </row>
    <row r="136" spans="1:8" x14ac:dyDescent="0.3">
      <c r="A136" s="8">
        <v>43028.569490740738</v>
      </c>
      <c r="B136" s="20" t="s">
        <v>646</v>
      </c>
      <c r="C136" s="20" t="s">
        <v>774</v>
      </c>
      <c r="D136" s="138">
        <v>2630000</v>
      </c>
      <c r="E136" s="20" t="s">
        <v>751</v>
      </c>
      <c r="F136" s="20" t="s">
        <v>752</v>
      </c>
      <c r="G136" s="8" t="str">
        <f t="shared" si="4"/>
        <v>SAFIEF AEIMEN</v>
      </c>
      <c r="H136" s="20" t="str">
        <f t="shared" si="5"/>
        <v>4025</v>
      </c>
    </row>
    <row r="137" spans="1:8" x14ac:dyDescent="0.3">
      <c r="A137" s="8">
        <v>43028.582002314812</v>
      </c>
      <c r="B137" s="20" t="s">
        <v>516</v>
      </c>
      <c r="C137" s="20" t="s">
        <v>775</v>
      </c>
      <c r="D137" s="138">
        <v>1300000</v>
      </c>
      <c r="E137" s="20" t="s">
        <v>429</v>
      </c>
      <c r="F137" s="20" t="s">
        <v>430</v>
      </c>
      <c r="G137" s="8" t="str">
        <f t="shared" si="4"/>
        <v>LEVIN SCOTT</v>
      </c>
      <c r="H137" s="20" t="str">
        <f t="shared" si="5"/>
        <v>4016</v>
      </c>
    </row>
    <row r="138" spans="1:8" x14ac:dyDescent="0.3">
      <c r="A138" s="8">
        <v>43028.585381944446</v>
      </c>
      <c r="B138" s="20" t="s">
        <v>421</v>
      </c>
      <c r="C138" s="20" t="s">
        <v>776</v>
      </c>
      <c r="D138" s="138">
        <v>2350000</v>
      </c>
      <c r="E138" s="20" t="s">
        <v>473</v>
      </c>
      <c r="F138" s="20" t="s">
        <v>474</v>
      </c>
      <c r="G138" s="8" t="str">
        <f t="shared" si="4"/>
        <v>BERLING GARY</v>
      </c>
      <c r="H138" s="20" t="str">
        <f t="shared" si="5"/>
        <v>4060</v>
      </c>
    </row>
    <row r="139" spans="1:8" x14ac:dyDescent="0.3">
      <c r="A139" s="8">
        <v>43028.587881944448</v>
      </c>
      <c r="B139" s="20" t="s">
        <v>460</v>
      </c>
      <c r="C139" s="20" t="s">
        <v>777</v>
      </c>
      <c r="D139" s="138">
        <v>1770000</v>
      </c>
      <c r="E139" s="20" t="s">
        <v>444</v>
      </c>
      <c r="F139" s="20" t="s">
        <v>445</v>
      </c>
      <c r="G139" s="8" t="str">
        <f t="shared" si="4"/>
        <v>BRUDER RICHARD</v>
      </c>
      <c r="H139" s="20" t="str">
        <f t="shared" si="5"/>
        <v>4043</v>
      </c>
    </row>
    <row r="140" spans="1:8" x14ac:dyDescent="0.3">
      <c r="A140" s="8">
        <v>43028.589907407404</v>
      </c>
      <c r="B140" s="20" t="s">
        <v>659</v>
      </c>
      <c r="C140" s="20" t="s">
        <v>778</v>
      </c>
      <c r="D140" s="138">
        <v>2550000</v>
      </c>
      <c r="E140" s="20" t="s">
        <v>521</v>
      </c>
      <c r="F140" s="20" t="s">
        <v>522</v>
      </c>
      <c r="G140" s="8" t="str">
        <f t="shared" si="4"/>
        <v>BADERTSCHER DIANE</v>
      </c>
      <c r="H140" s="20" t="str">
        <f t="shared" si="5"/>
        <v>4064</v>
      </c>
    </row>
    <row r="141" spans="1:8" x14ac:dyDescent="0.3">
      <c r="A141" s="8">
        <v>43028.598055555558</v>
      </c>
      <c r="B141" s="20" t="s">
        <v>459</v>
      </c>
      <c r="C141" s="20" t="s">
        <v>779</v>
      </c>
      <c r="D141" s="138">
        <v>1180000</v>
      </c>
      <c r="E141" s="20" t="s">
        <v>427</v>
      </c>
      <c r="F141" s="20" t="s">
        <v>428</v>
      </c>
      <c r="G141" s="8" t="str">
        <f t="shared" si="4"/>
        <v>LEVERE CRAIG</v>
      </c>
      <c r="H141" s="20" t="str">
        <f t="shared" si="5"/>
        <v>4039</v>
      </c>
    </row>
    <row r="142" spans="1:8" x14ac:dyDescent="0.3">
      <c r="A142" s="8">
        <v>43028.599826388891</v>
      </c>
      <c r="B142" s="20" t="s">
        <v>384</v>
      </c>
      <c r="C142" s="20" t="s">
        <v>780</v>
      </c>
      <c r="D142" s="138">
        <v>3000000</v>
      </c>
      <c r="E142" s="20" t="s">
        <v>464</v>
      </c>
      <c r="F142" s="20" t="s">
        <v>465</v>
      </c>
      <c r="G142" s="8" t="str">
        <f t="shared" si="4"/>
        <v>FORTUNATO FRANK</v>
      </c>
      <c r="H142" s="20" t="str">
        <f t="shared" si="5"/>
        <v>4055</v>
      </c>
    </row>
    <row r="143" spans="1:8" x14ac:dyDescent="0.3">
      <c r="A143" s="8">
        <v>43028.602465277778</v>
      </c>
      <c r="B143" s="20" t="s">
        <v>524</v>
      </c>
      <c r="C143" s="20" t="s">
        <v>643</v>
      </c>
      <c r="D143" s="138">
        <v>2420000</v>
      </c>
      <c r="E143" s="20" t="s">
        <v>475</v>
      </c>
      <c r="F143" s="20" t="s">
        <v>476</v>
      </c>
      <c r="G143" s="8" t="str">
        <f t="shared" si="4"/>
        <v>HOLCOMB KAMDEN</v>
      </c>
      <c r="H143" s="20" t="str">
        <f t="shared" si="5"/>
        <v>4032</v>
      </c>
    </row>
    <row r="144" spans="1:8" x14ac:dyDescent="0.3">
      <c r="A144" s="8">
        <v>43028.603668981479</v>
      </c>
      <c r="B144" s="20" t="s">
        <v>422</v>
      </c>
      <c r="C144" s="20" t="s">
        <v>781</v>
      </c>
      <c r="D144" s="138">
        <v>2350000</v>
      </c>
      <c r="E144" s="20" t="s">
        <v>473</v>
      </c>
      <c r="F144" s="20" t="s">
        <v>474</v>
      </c>
      <c r="G144" s="8" t="str">
        <f t="shared" si="4"/>
        <v>BERLING GARY</v>
      </c>
      <c r="H144" s="20" t="str">
        <f t="shared" si="5"/>
        <v>4059</v>
      </c>
    </row>
    <row r="145" spans="1:8" x14ac:dyDescent="0.3">
      <c r="A145" s="8">
        <v>43028.612291666665</v>
      </c>
      <c r="B145" s="20" t="s">
        <v>664</v>
      </c>
      <c r="C145" s="20" t="s">
        <v>782</v>
      </c>
      <c r="D145" s="138">
        <v>2630000</v>
      </c>
      <c r="E145" s="20" t="s">
        <v>751</v>
      </c>
      <c r="F145" s="20" t="s">
        <v>752</v>
      </c>
      <c r="G145" s="8" t="str">
        <f t="shared" si="4"/>
        <v>SAFIEF AEIMEN</v>
      </c>
      <c r="H145" s="20" t="str">
        <f t="shared" si="5"/>
        <v>4026</v>
      </c>
    </row>
    <row r="146" spans="1:8" x14ac:dyDescent="0.3">
      <c r="A146" s="8">
        <v>43028.618472222224</v>
      </c>
      <c r="B146" s="20" t="s">
        <v>502</v>
      </c>
      <c r="C146" s="20" t="s">
        <v>783</v>
      </c>
      <c r="D146" s="138">
        <v>1300000</v>
      </c>
      <c r="E146" s="20" t="s">
        <v>429</v>
      </c>
      <c r="F146" s="20" t="s">
        <v>430</v>
      </c>
      <c r="G146" s="8" t="str">
        <f t="shared" si="4"/>
        <v>LEVIN SCOTT</v>
      </c>
      <c r="H146" s="20" t="str">
        <f t="shared" si="5"/>
        <v>4015</v>
      </c>
    </row>
    <row r="147" spans="1:8" x14ac:dyDescent="0.3">
      <c r="A147" s="8">
        <v>43028.621099537035</v>
      </c>
      <c r="B147" s="20" t="s">
        <v>461</v>
      </c>
      <c r="C147" s="20" t="s">
        <v>784</v>
      </c>
      <c r="D147" s="138">
        <v>1770000</v>
      </c>
      <c r="E147" s="20" t="s">
        <v>444</v>
      </c>
      <c r="F147" s="20" t="s">
        <v>445</v>
      </c>
      <c r="G147" s="8" t="str">
        <f t="shared" si="4"/>
        <v>BRUDER RICHARD</v>
      </c>
      <c r="H147" s="20" t="str">
        <f t="shared" si="5"/>
        <v>4044</v>
      </c>
    </row>
    <row r="148" spans="1:8" x14ac:dyDescent="0.3">
      <c r="A148" s="8">
        <v>43028.628298611111</v>
      </c>
      <c r="B148" s="20" t="s">
        <v>421</v>
      </c>
      <c r="C148" s="20" t="s">
        <v>644</v>
      </c>
      <c r="D148" s="138">
        <v>2350000</v>
      </c>
      <c r="E148" s="20" t="s">
        <v>473</v>
      </c>
      <c r="F148" s="20" t="s">
        <v>474</v>
      </c>
      <c r="G148" s="8" t="str">
        <f t="shared" si="4"/>
        <v>BERLING GARY</v>
      </c>
      <c r="H148" s="20" t="str">
        <f t="shared" si="5"/>
        <v>4060</v>
      </c>
    </row>
    <row r="149" spans="1:8" x14ac:dyDescent="0.3">
      <c r="A149" s="8">
        <v>43028.628703703704</v>
      </c>
      <c r="B149" s="20" t="s">
        <v>632</v>
      </c>
      <c r="C149" s="20" t="s">
        <v>645</v>
      </c>
      <c r="D149" s="138">
        <v>2550000</v>
      </c>
      <c r="E149" s="20" t="s">
        <v>521</v>
      </c>
      <c r="F149" s="20" t="s">
        <v>522</v>
      </c>
      <c r="G149" s="8" t="str">
        <f t="shared" si="4"/>
        <v>BADERTSCHER DIANE</v>
      </c>
      <c r="H149" s="20" t="str">
        <f t="shared" si="5"/>
        <v>4063</v>
      </c>
    </row>
    <row r="150" spans="1:8" x14ac:dyDescent="0.3">
      <c r="A150" s="8">
        <v>43028.631666666668</v>
      </c>
      <c r="B150" s="20" t="s">
        <v>376</v>
      </c>
      <c r="C150" s="20" t="s">
        <v>785</v>
      </c>
      <c r="D150" s="138">
        <v>1180000</v>
      </c>
      <c r="E150" s="20" t="s">
        <v>427</v>
      </c>
      <c r="F150" s="20" t="s">
        <v>428</v>
      </c>
      <c r="G150" s="8" t="str">
        <f t="shared" si="4"/>
        <v>LEVERE CRAIG</v>
      </c>
      <c r="H150" s="20" t="str">
        <f t="shared" si="5"/>
        <v>4040</v>
      </c>
    </row>
    <row r="151" spans="1:8" x14ac:dyDescent="0.3">
      <c r="A151" s="8">
        <v>43028.639062499999</v>
      </c>
      <c r="B151" s="20" t="s">
        <v>398</v>
      </c>
      <c r="C151" s="20" t="s">
        <v>786</v>
      </c>
      <c r="D151" s="138">
        <v>2230000</v>
      </c>
      <c r="E151" s="20" t="s">
        <v>787</v>
      </c>
      <c r="F151" s="20" t="s">
        <v>385</v>
      </c>
      <c r="G151" s="8" t="str">
        <f t="shared" si="4"/>
        <v>SMITH MICHAEL</v>
      </c>
      <c r="H151" s="20" t="str">
        <f t="shared" si="5"/>
        <v>4051</v>
      </c>
    </row>
    <row r="152" spans="1:8" x14ac:dyDescent="0.3">
      <c r="A152" s="8">
        <v>43028.640162037038</v>
      </c>
      <c r="B152" s="20" t="s">
        <v>507</v>
      </c>
      <c r="C152" s="20" t="s">
        <v>788</v>
      </c>
      <c r="D152" s="138">
        <v>2420000</v>
      </c>
      <c r="E152" s="20" t="s">
        <v>475</v>
      </c>
      <c r="F152" s="20" t="s">
        <v>476</v>
      </c>
      <c r="G152" s="8" t="str">
        <f t="shared" si="4"/>
        <v>HOLCOMB KAMDEN</v>
      </c>
      <c r="H152" s="20" t="str">
        <f t="shared" si="5"/>
        <v>4031</v>
      </c>
    </row>
    <row r="153" spans="1:8" x14ac:dyDescent="0.3">
      <c r="A153" s="8">
        <v>43028.6403587963</v>
      </c>
      <c r="B153" s="20" t="s">
        <v>398</v>
      </c>
      <c r="C153" s="20" t="s">
        <v>786</v>
      </c>
      <c r="D153" s="138">
        <v>2230000</v>
      </c>
      <c r="E153" s="20" t="s">
        <v>787</v>
      </c>
      <c r="F153" s="20" t="s">
        <v>385</v>
      </c>
      <c r="G153" s="8" t="str">
        <f t="shared" si="4"/>
        <v>SMITH MICHAEL</v>
      </c>
      <c r="H153" s="20" t="str">
        <f t="shared" si="5"/>
        <v>4051</v>
      </c>
    </row>
    <row r="154" spans="1:8" x14ac:dyDescent="0.3">
      <c r="A154" s="8">
        <v>43028.641377314816</v>
      </c>
      <c r="B154" s="20" t="s">
        <v>640</v>
      </c>
      <c r="C154" s="20" t="s">
        <v>789</v>
      </c>
      <c r="D154" s="138">
        <v>3000000</v>
      </c>
      <c r="E154" s="20" t="s">
        <v>464</v>
      </c>
      <c r="F154" s="20" t="s">
        <v>465</v>
      </c>
      <c r="G154" s="8" t="str">
        <f t="shared" si="4"/>
        <v>FORTUNATO FRANK</v>
      </c>
      <c r="H154" s="20" t="str">
        <f t="shared" si="5"/>
        <v>4056</v>
      </c>
    </row>
    <row r="155" spans="1:8" x14ac:dyDescent="0.3">
      <c r="A155" s="8">
        <v>43028.642222222225</v>
      </c>
      <c r="B155" s="20" t="s">
        <v>646</v>
      </c>
      <c r="C155" s="20" t="s">
        <v>647</v>
      </c>
      <c r="D155" s="138">
        <v>2630000</v>
      </c>
      <c r="E155" s="20" t="s">
        <v>751</v>
      </c>
      <c r="F155" s="20" t="s">
        <v>752</v>
      </c>
      <c r="G155" s="8" t="str">
        <f t="shared" si="4"/>
        <v>SAFIEF AEIMEN</v>
      </c>
      <c r="H155" s="20" t="str">
        <f t="shared" si="5"/>
        <v>4025</v>
      </c>
    </row>
    <row r="156" spans="1:8" x14ac:dyDescent="0.3">
      <c r="A156" s="8">
        <v>43028.643842592595</v>
      </c>
      <c r="B156" s="20" t="s">
        <v>422</v>
      </c>
      <c r="C156" s="20" t="s">
        <v>790</v>
      </c>
      <c r="D156" s="138">
        <v>2350000</v>
      </c>
      <c r="E156" s="20" t="s">
        <v>473</v>
      </c>
      <c r="F156" s="20" t="s">
        <v>474</v>
      </c>
      <c r="G156" s="8" t="str">
        <f t="shared" si="4"/>
        <v>BERLING GARY</v>
      </c>
      <c r="H156" s="20" t="str">
        <f t="shared" si="5"/>
        <v>4059</v>
      </c>
    </row>
    <row r="157" spans="1:8" x14ac:dyDescent="0.3">
      <c r="A157" s="8">
        <v>43028.65084490741</v>
      </c>
      <c r="B157" s="20" t="s">
        <v>397</v>
      </c>
      <c r="C157" s="20" t="s">
        <v>791</v>
      </c>
      <c r="D157" s="138">
        <v>2230000</v>
      </c>
      <c r="E157" s="20" t="s">
        <v>787</v>
      </c>
      <c r="F157" s="20" t="s">
        <v>385</v>
      </c>
      <c r="G157" s="8" t="str">
        <f t="shared" si="4"/>
        <v>SMITH MICHAEL</v>
      </c>
      <c r="H157" s="20" t="str">
        <f t="shared" si="5"/>
        <v>4052</v>
      </c>
    </row>
    <row r="158" spans="1:8" x14ac:dyDescent="0.3">
      <c r="A158" s="8">
        <v>43028.653969907406</v>
      </c>
      <c r="B158" s="20" t="s">
        <v>516</v>
      </c>
      <c r="C158" s="20" t="s">
        <v>792</v>
      </c>
      <c r="D158" s="138">
        <v>1300000</v>
      </c>
      <c r="E158" s="20" t="s">
        <v>429</v>
      </c>
      <c r="F158" s="20" t="s">
        <v>430</v>
      </c>
      <c r="G158" s="8" t="str">
        <f t="shared" si="4"/>
        <v>LEVIN SCOTT</v>
      </c>
      <c r="H158" s="20" t="str">
        <f t="shared" si="5"/>
        <v>4016</v>
      </c>
    </row>
    <row r="159" spans="1:8" x14ac:dyDescent="0.3">
      <c r="A159" s="8">
        <v>43028.661643518521</v>
      </c>
      <c r="B159" s="20" t="s">
        <v>460</v>
      </c>
      <c r="C159" s="20" t="s">
        <v>793</v>
      </c>
      <c r="D159" s="138">
        <v>1770000</v>
      </c>
      <c r="E159" s="20" t="s">
        <v>444</v>
      </c>
      <c r="F159" s="20" t="s">
        <v>445</v>
      </c>
      <c r="G159" s="8" t="str">
        <f t="shared" si="4"/>
        <v>BRUDER RICHARD</v>
      </c>
      <c r="H159" s="20" t="str">
        <f t="shared" si="5"/>
        <v>4043</v>
      </c>
    </row>
    <row r="160" spans="1:8" x14ac:dyDescent="0.3">
      <c r="A160" s="8">
        <v>43028.662800925929</v>
      </c>
      <c r="B160" s="20" t="s">
        <v>659</v>
      </c>
      <c r="C160" s="20" t="s">
        <v>794</v>
      </c>
      <c r="D160" s="138">
        <v>2550000</v>
      </c>
      <c r="E160" s="20" t="s">
        <v>521</v>
      </c>
      <c r="F160" s="20" t="s">
        <v>522</v>
      </c>
      <c r="G160" s="8" t="str">
        <f t="shared" si="4"/>
        <v>BADERTSCHER DIANE</v>
      </c>
      <c r="H160" s="20" t="str">
        <f t="shared" si="5"/>
        <v>4064</v>
      </c>
    </row>
    <row r="161" spans="1:8" x14ac:dyDescent="0.3">
      <c r="A161" s="8">
        <v>43028.664548611108</v>
      </c>
      <c r="B161" s="20" t="s">
        <v>398</v>
      </c>
      <c r="C161" s="20" t="s">
        <v>795</v>
      </c>
      <c r="D161" s="138">
        <v>2230000</v>
      </c>
      <c r="E161" s="20" t="s">
        <v>787</v>
      </c>
      <c r="F161" s="20" t="s">
        <v>385</v>
      </c>
      <c r="G161" s="8" t="str">
        <f t="shared" si="4"/>
        <v>SMITH MICHAEL</v>
      </c>
      <c r="H161" s="20" t="str">
        <f t="shared" si="5"/>
        <v>4051</v>
      </c>
    </row>
    <row r="162" spans="1:8" x14ac:dyDescent="0.3">
      <c r="A162" s="8">
        <v>43028.668923611112</v>
      </c>
      <c r="B162" s="20" t="s">
        <v>421</v>
      </c>
      <c r="C162" s="20" t="s">
        <v>796</v>
      </c>
      <c r="D162" s="138">
        <v>2350000</v>
      </c>
      <c r="E162" s="20" t="s">
        <v>473</v>
      </c>
      <c r="F162" s="20" t="s">
        <v>474</v>
      </c>
      <c r="G162" s="8" t="str">
        <f t="shared" si="4"/>
        <v>BERLING GARY</v>
      </c>
      <c r="H162" s="20" t="str">
        <f t="shared" si="5"/>
        <v>4060</v>
      </c>
    </row>
    <row r="163" spans="1:8" x14ac:dyDescent="0.3">
      <c r="A163" s="8">
        <v>43028.670138888891</v>
      </c>
      <c r="B163" s="20" t="s">
        <v>459</v>
      </c>
      <c r="C163" s="20" t="s">
        <v>797</v>
      </c>
      <c r="D163" s="138">
        <v>1180000</v>
      </c>
      <c r="E163" s="20" t="s">
        <v>427</v>
      </c>
      <c r="F163" s="20" t="s">
        <v>428</v>
      </c>
      <c r="G163" s="8" t="str">
        <f t="shared" si="4"/>
        <v>LEVERE CRAIG</v>
      </c>
      <c r="H163" s="20" t="str">
        <f t="shared" si="5"/>
        <v>4039</v>
      </c>
    </row>
    <row r="164" spans="1:8" x14ac:dyDescent="0.3">
      <c r="A164" s="8">
        <v>43028.674201388887</v>
      </c>
      <c r="B164" s="20" t="s">
        <v>524</v>
      </c>
      <c r="C164" s="20" t="s">
        <v>798</v>
      </c>
      <c r="D164" s="138">
        <v>2420000</v>
      </c>
      <c r="E164" s="20" t="s">
        <v>475</v>
      </c>
      <c r="F164" s="20" t="s">
        <v>476</v>
      </c>
      <c r="G164" s="8" t="str">
        <f t="shared" si="4"/>
        <v>HOLCOMB KAMDEN</v>
      </c>
      <c r="H164" s="20" t="str">
        <f t="shared" si="5"/>
        <v>4032</v>
      </c>
    </row>
    <row r="165" spans="1:8" x14ac:dyDescent="0.3">
      <c r="A165" s="8">
        <v>43028.674363425926</v>
      </c>
      <c r="B165" s="20" t="s">
        <v>384</v>
      </c>
      <c r="C165" s="20" t="s">
        <v>799</v>
      </c>
      <c r="D165" s="138">
        <v>3000000</v>
      </c>
      <c r="E165" s="20" t="s">
        <v>464</v>
      </c>
      <c r="F165" s="20" t="s">
        <v>465</v>
      </c>
      <c r="G165" s="8" t="str">
        <f t="shared" si="4"/>
        <v>FORTUNATO FRANK</v>
      </c>
      <c r="H165" s="20" t="str">
        <f t="shared" si="5"/>
        <v>4055</v>
      </c>
    </row>
    <row r="166" spans="1:8" x14ac:dyDescent="0.3">
      <c r="A166" s="8">
        <v>43028.685439814813</v>
      </c>
      <c r="B166" s="20" t="s">
        <v>664</v>
      </c>
      <c r="C166" s="20" t="s">
        <v>800</v>
      </c>
      <c r="D166" s="138">
        <v>2630000</v>
      </c>
      <c r="E166" s="20" t="s">
        <v>751</v>
      </c>
      <c r="F166" s="20" t="s">
        <v>752</v>
      </c>
      <c r="G166" s="8" t="str">
        <f t="shared" si="4"/>
        <v>SAFIEF AEIMEN</v>
      </c>
      <c r="H166" s="20" t="str">
        <f t="shared" si="5"/>
        <v>4026</v>
      </c>
    </row>
    <row r="167" spans="1:8" x14ac:dyDescent="0.3">
      <c r="A167" s="8">
        <v>43028.685624999998</v>
      </c>
      <c r="B167" s="20" t="s">
        <v>422</v>
      </c>
      <c r="C167" s="20" t="s">
        <v>801</v>
      </c>
      <c r="D167" s="138">
        <v>2350000</v>
      </c>
      <c r="E167" s="20" t="s">
        <v>473</v>
      </c>
      <c r="F167" s="20" t="s">
        <v>474</v>
      </c>
      <c r="G167" s="8" t="str">
        <f t="shared" si="4"/>
        <v>BERLING GARY</v>
      </c>
      <c r="H167" s="20" t="str">
        <f t="shared" si="5"/>
        <v>4059</v>
      </c>
    </row>
    <row r="168" spans="1:8" x14ac:dyDescent="0.3">
      <c r="A168" s="8">
        <v>43028.686608796299</v>
      </c>
      <c r="B168" s="20" t="s">
        <v>397</v>
      </c>
      <c r="C168" s="20" t="s">
        <v>802</v>
      </c>
      <c r="D168" s="138">
        <v>2230000</v>
      </c>
      <c r="E168" s="20" t="s">
        <v>787</v>
      </c>
      <c r="F168" s="20" t="s">
        <v>385</v>
      </c>
      <c r="G168" s="8" t="str">
        <f t="shared" si="4"/>
        <v>SMITH MICHAEL</v>
      </c>
      <c r="H168" s="20" t="str">
        <f t="shared" si="5"/>
        <v>4052</v>
      </c>
    </row>
    <row r="169" spans="1:8" x14ac:dyDescent="0.3">
      <c r="A169" s="8">
        <v>43028.692199074074</v>
      </c>
      <c r="B169" s="20" t="s">
        <v>502</v>
      </c>
      <c r="C169" s="20" t="s">
        <v>803</v>
      </c>
      <c r="D169" s="138">
        <v>1300000</v>
      </c>
      <c r="E169" s="20" t="s">
        <v>429</v>
      </c>
      <c r="F169" s="20" t="s">
        <v>430</v>
      </c>
      <c r="G169" s="8" t="str">
        <f t="shared" si="4"/>
        <v>LEVIN SCOTT</v>
      </c>
      <c r="H169" s="20" t="str">
        <f t="shared" si="5"/>
        <v>4015</v>
      </c>
    </row>
    <row r="170" spans="1:8" x14ac:dyDescent="0.3">
      <c r="A170" s="8">
        <v>43028.693981481483</v>
      </c>
      <c r="B170" s="20" t="s">
        <v>461</v>
      </c>
      <c r="C170" s="20" t="s">
        <v>804</v>
      </c>
      <c r="D170" s="138">
        <v>1770000</v>
      </c>
      <c r="E170" s="20" t="s">
        <v>444</v>
      </c>
      <c r="F170" s="20" t="s">
        <v>445</v>
      </c>
      <c r="G170" s="8" t="str">
        <f t="shared" si="4"/>
        <v>BRUDER RICHARD</v>
      </c>
      <c r="H170" s="20" t="str">
        <f t="shared" si="5"/>
        <v>4044</v>
      </c>
    </row>
    <row r="171" spans="1:8" x14ac:dyDescent="0.3">
      <c r="A171" s="8">
        <v>43028.694525462961</v>
      </c>
      <c r="B171" s="20" t="s">
        <v>409</v>
      </c>
      <c r="C171" s="20" t="s">
        <v>805</v>
      </c>
      <c r="D171" s="138">
        <v>1780000</v>
      </c>
      <c r="E171" s="20" t="s">
        <v>442</v>
      </c>
      <c r="F171" s="20" t="s">
        <v>443</v>
      </c>
      <c r="G171" s="8" t="str">
        <f t="shared" si="4"/>
        <v>DE LA ROSA ALEX</v>
      </c>
      <c r="H171" s="20" t="str">
        <f t="shared" si="5"/>
        <v>4002</v>
      </c>
    </row>
    <row r="172" spans="1:8" x14ac:dyDescent="0.3">
      <c r="A172" s="8">
        <v>43028.699872685182</v>
      </c>
      <c r="B172" s="20" t="s">
        <v>632</v>
      </c>
      <c r="C172" s="20" t="s">
        <v>648</v>
      </c>
      <c r="D172" s="138">
        <v>2550000</v>
      </c>
      <c r="E172" s="20" t="s">
        <v>521</v>
      </c>
      <c r="F172" s="20" t="s">
        <v>522</v>
      </c>
      <c r="G172" s="8" t="str">
        <f t="shared" si="4"/>
        <v>BADERTSCHER DIANE</v>
      </c>
      <c r="H172" s="20" t="str">
        <f t="shared" si="5"/>
        <v>4063</v>
      </c>
    </row>
    <row r="173" spans="1:8" x14ac:dyDescent="0.3">
      <c r="A173" s="8">
        <v>43028.704583333332</v>
      </c>
      <c r="B173" s="20" t="s">
        <v>376</v>
      </c>
      <c r="C173" s="20" t="s">
        <v>806</v>
      </c>
      <c r="D173" s="138">
        <v>1180000</v>
      </c>
      <c r="E173" s="20" t="s">
        <v>427</v>
      </c>
      <c r="F173" s="20" t="s">
        <v>428</v>
      </c>
      <c r="G173" s="8" t="str">
        <f t="shared" si="4"/>
        <v>LEVERE CRAIG</v>
      </c>
      <c r="H173" s="20" t="str">
        <f t="shared" si="5"/>
        <v>4040</v>
      </c>
    </row>
    <row r="174" spans="1:8" x14ac:dyDescent="0.3">
      <c r="A174" s="8">
        <v>43028.707511574074</v>
      </c>
      <c r="B174" s="20" t="s">
        <v>398</v>
      </c>
      <c r="C174" s="20" t="s">
        <v>807</v>
      </c>
      <c r="D174" s="138">
        <v>2230000</v>
      </c>
      <c r="E174" s="20" t="s">
        <v>787</v>
      </c>
      <c r="F174" s="20" t="s">
        <v>385</v>
      </c>
      <c r="G174" s="8" t="str">
        <f t="shared" si="4"/>
        <v>SMITH MICHAEL</v>
      </c>
      <c r="H174" s="20" t="str">
        <f t="shared" si="5"/>
        <v>4051</v>
      </c>
    </row>
    <row r="175" spans="1:8" x14ac:dyDescent="0.3">
      <c r="A175" s="8">
        <v>43028.711226851854</v>
      </c>
      <c r="B175" s="20" t="s">
        <v>421</v>
      </c>
      <c r="C175" s="20" t="s">
        <v>808</v>
      </c>
      <c r="D175" s="138">
        <v>2350000</v>
      </c>
      <c r="E175" s="20" t="s">
        <v>473</v>
      </c>
      <c r="F175" s="20" t="s">
        <v>474</v>
      </c>
      <c r="G175" s="8" t="str">
        <f t="shared" si="4"/>
        <v>BERLING GARY</v>
      </c>
      <c r="H175" s="20" t="str">
        <f t="shared" si="5"/>
        <v>4060</v>
      </c>
    </row>
    <row r="176" spans="1:8" x14ac:dyDescent="0.3">
      <c r="A176" s="8">
        <v>43028.713078703702</v>
      </c>
      <c r="B176" s="20" t="s">
        <v>507</v>
      </c>
      <c r="C176" s="20" t="s">
        <v>809</v>
      </c>
      <c r="D176" s="138">
        <v>2420000</v>
      </c>
      <c r="E176" s="20" t="s">
        <v>475</v>
      </c>
      <c r="F176" s="20" t="s">
        <v>476</v>
      </c>
      <c r="G176" s="8" t="str">
        <f t="shared" si="4"/>
        <v>HOLCOMB KAMDEN</v>
      </c>
      <c r="H176" s="20" t="str">
        <f t="shared" si="5"/>
        <v>4031</v>
      </c>
    </row>
    <row r="177" spans="1:8" x14ac:dyDescent="0.3">
      <c r="A177" s="8">
        <v>43028.714074074072</v>
      </c>
      <c r="B177" s="20" t="s">
        <v>640</v>
      </c>
      <c r="C177" s="20" t="s">
        <v>810</v>
      </c>
      <c r="D177" s="138">
        <v>3000000</v>
      </c>
      <c r="E177" s="20" t="s">
        <v>464</v>
      </c>
      <c r="F177" s="20" t="s">
        <v>465</v>
      </c>
      <c r="G177" s="8" t="str">
        <f t="shared" si="4"/>
        <v>FORTUNATO FRANK</v>
      </c>
      <c r="H177" s="20" t="str">
        <f t="shared" si="5"/>
        <v>4056</v>
      </c>
    </row>
    <row r="178" spans="1:8" x14ac:dyDescent="0.3">
      <c r="A178" s="8">
        <v>43028.71503472222</v>
      </c>
      <c r="B178" s="20" t="s">
        <v>646</v>
      </c>
      <c r="C178" s="20" t="s">
        <v>811</v>
      </c>
      <c r="D178" s="138">
        <v>2630000</v>
      </c>
      <c r="E178" s="20" t="s">
        <v>751</v>
      </c>
      <c r="F178" s="20" t="s">
        <v>752</v>
      </c>
      <c r="G178" s="8" t="str">
        <f t="shared" si="4"/>
        <v>SAFIEF AEIMEN</v>
      </c>
      <c r="H178" s="20" t="str">
        <f t="shared" si="5"/>
        <v>4025</v>
      </c>
    </row>
    <row r="179" spans="1:8" x14ac:dyDescent="0.3">
      <c r="A179" s="8">
        <v>43028.720555555556</v>
      </c>
      <c r="B179" s="20" t="s">
        <v>424</v>
      </c>
      <c r="C179" s="20" t="s">
        <v>812</v>
      </c>
      <c r="D179" s="138">
        <v>2370000</v>
      </c>
      <c r="E179" s="20" t="s">
        <v>477</v>
      </c>
      <c r="F179" s="20" t="s">
        <v>478</v>
      </c>
      <c r="G179" s="8" t="str">
        <f t="shared" si="4"/>
        <v>DELGADO DIANAH</v>
      </c>
      <c r="H179" s="20" t="str">
        <f t="shared" si="5"/>
        <v>4010</v>
      </c>
    </row>
    <row r="180" spans="1:8" x14ac:dyDescent="0.3">
      <c r="A180" s="8">
        <v>43028.72388888889</v>
      </c>
      <c r="B180" s="20" t="s">
        <v>632</v>
      </c>
      <c r="C180" s="20" t="s">
        <v>648</v>
      </c>
      <c r="D180" s="138">
        <v>2550000</v>
      </c>
      <c r="E180" s="20" t="s">
        <v>521</v>
      </c>
      <c r="F180" s="20" t="s">
        <v>522</v>
      </c>
      <c r="G180" s="8" t="str">
        <f t="shared" si="4"/>
        <v>BADERTSCHER DIANE</v>
      </c>
      <c r="H180" s="20" t="str">
        <f t="shared" si="5"/>
        <v>4063</v>
      </c>
    </row>
    <row r="181" spans="1:8" x14ac:dyDescent="0.3">
      <c r="A181" s="8">
        <v>43028.726886574077</v>
      </c>
      <c r="B181" s="20" t="s">
        <v>516</v>
      </c>
      <c r="C181" s="20" t="s">
        <v>813</v>
      </c>
      <c r="D181" s="138">
        <v>1300000</v>
      </c>
      <c r="E181" s="20" t="s">
        <v>429</v>
      </c>
      <c r="F181" s="20" t="s">
        <v>430</v>
      </c>
      <c r="G181" s="8" t="str">
        <f t="shared" si="4"/>
        <v>LEVIN SCOTT</v>
      </c>
      <c r="H181" s="20" t="str">
        <f t="shared" si="5"/>
        <v>4016</v>
      </c>
    </row>
    <row r="182" spans="1:8" x14ac:dyDescent="0.3">
      <c r="A182" s="8">
        <v>43028.727951388886</v>
      </c>
      <c r="B182" s="20" t="s">
        <v>422</v>
      </c>
      <c r="C182" s="20" t="s">
        <v>649</v>
      </c>
      <c r="D182" s="138">
        <v>2350000</v>
      </c>
      <c r="E182" s="20" t="s">
        <v>473</v>
      </c>
      <c r="F182" s="20" t="s">
        <v>474</v>
      </c>
      <c r="G182" s="8" t="str">
        <f t="shared" si="4"/>
        <v>BERLING GARY</v>
      </c>
      <c r="H182" s="20" t="str">
        <f t="shared" si="5"/>
        <v>4059</v>
      </c>
    </row>
    <row r="183" spans="1:8" x14ac:dyDescent="0.3">
      <c r="A183" s="8">
        <v>43028.72929398148</v>
      </c>
      <c r="B183" s="20" t="s">
        <v>397</v>
      </c>
      <c r="C183" s="20" t="s">
        <v>814</v>
      </c>
      <c r="D183" s="138">
        <v>2230000</v>
      </c>
      <c r="E183" s="20" t="s">
        <v>787</v>
      </c>
      <c r="F183" s="20" t="s">
        <v>385</v>
      </c>
      <c r="G183" s="8" t="str">
        <f t="shared" si="4"/>
        <v>SMITH MICHAEL</v>
      </c>
      <c r="H183" s="20" t="str">
        <f t="shared" si="5"/>
        <v>4052</v>
      </c>
    </row>
    <row r="184" spans="1:8" x14ac:dyDescent="0.3">
      <c r="A184" s="8">
        <v>43028.7344212963</v>
      </c>
      <c r="B184" s="20" t="s">
        <v>460</v>
      </c>
      <c r="C184" s="20" t="s">
        <v>815</v>
      </c>
      <c r="D184" s="138">
        <v>1770000</v>
      </c>
      <c r="E184" s="20" t="s">
        <v>444</v>
      </c>
      <c r="F184" s="20" t="s">
        <v>445</v>
      </c>
      <c r="G184" s="8" t="str">
        <f t="shared" si="4"/>
        <v>BRUDER RICHARD</v>
      </c>
      <c r="H184" s="20" t="str">
        <f t="shared" si="5"/>
        <v>4043</v>
      </c>
    </row>
    <row r="185" spans="1:8" x14ac:dyDescent="0.3">
      <c r="A185" s="8">
        <v>43028.739768518521</v>
      </c>
      <c r="B185" s="20" t="s">
        <v>659</v>
      </c>
      <c r="C185" s="20" t="s">
        <v>816</v>
      </c>
      <c r="D185" s="138">
        <v>2600000</v>
      </c>
      <c r="E185" s="20" t="s">
        <v>550</v>
      </c>
      <c r="F185" s="20" t="s">
        <v>523</v>
      </c>
      <c r="G185" s="8" t="str">
        <f t="shared" si="4"/>
        <v>DAVIDSON DAVID</v>
      </c>
      <c r="H185" s="20" t="str">
        <f t="shared" si="5"/>
        <v>4064</v>
      </c>
    </row>
    <row r="186" spans="1:8" x14ac:dyDescent="0.3">
      <c r="A186" s="8">
        <v>43028.744027777779</v>
      </c>
      <c r="B186" s="20" t="s">
        <v>459</v>
      </c>
      <c r="C186" s="20" t="s">
        <v>817</v>
      </c>
      <c r="D186" s="138">
        <v>1180000</v>
      </c>
      <c r="E186" s="20" t="s">
        <v>427</v>
      </c>
      <c r="F186" s="20" t="s">
        <v>428</v>
      </c>
      <c r="G186" s="8" t="str">
        <f t="shared" si="4"/>
        <v>LEVERE CRAIG</v>
      </c>
      <c r="H186" s="20" t="str">
        <f t="shared" si="5"/>
        <v>4039</v>
      </c>
    </row>
    <row r="187" spans="1:8" x14ac:dyDescent="0.3">
      <c r="A187" s="8">
        <v>43028.744039351855</v>
      </c>
      <c r="B187" s="20" t="s">
        <v>505</v>
      </c>
      <c r="C187" s="20" t="s">
        <v>818</v>
      </c>
      <c r="D187" s="138">
        <v>3490000</v>
      </c>
      <c r="E187" s="20" t="s">
        <v>819</v>
      </c>
      <c r="F187" s="20" t="s">
        <v>820</v>
      </c>
      <c r="G187" s="8" t="str">
        <f t="shared" si="4"/>
        <v>WEST BRYAN</v>
      </c>
      <c r="H187" s="20" t="str">
        <f t="shared" si="5"/>
        <v>4023</v>
      </c>
    </row>
    <row r="188" spans="1:8" x14ac:dyDescent="0.3">
      <c r="A188" s="8">
        <v>43028.74622685185</v>
      </c>
      <c r="B188" s="20" t="s">
        <v>524</v>
      </c>
      <c r="C188" s="20" t="s">
        <v>821</v>
      </c>
      <c r="D188" s="138">
        <v>2420000</v>
      </c>
      <c r="E188" s="20" t="s">
        <v>475</v>
      </c>
      <c r="F188" s="20" t="s">
        <v>476</v>
      </c>
      <c r="G188" s="8" t="str">
        <f t="shared" si="4"/>
        <v>HOLCOMB KAMDEN</v>
      </c>
      <c r="H188" s="20" t="str">
        <f t="shared" si="5"/>
        <v>4032</v>
      </c>
    </row>
    <row r="189" spans="1:8" x14ac:dyDescent="0.3">
      <c r="A189" s="8">
        <v>43028.746574074074</v>
      </c>
      <c r="B189" s="20" t="s">
        <v>384</v>
      </c>
      <c r="C189" s="20" t="s">
        <v>822</v>
      </c>
      <c r="D189" s="138">
        <v>3000000</v>
      </c>
      <c r="E189" s="20" t="s">
        <v>464</v>
      </c>
      <c r="F189" s="20" t="s">
        <v>465</v>
      </c>
      <c r="G189" s="8" t="str">
        <f t="shared" si="4"/>
        <v>FORTUNATO FRANK</v>
      </c>
      <c r="H189" s="20" t="str">
        <f t="shared" si="5"/>
        <v>4055</v>
      </c>
    </row>
    <row r="190" spans="1:8" x14ac:dyDescent="0.3">
      <c r="A190" s="8">
        <v>43028.748749999999</v>
      </c>
      <c r="B190" s="20" t="s">
        <v>460</v>
      </c>
      <c r="C190" s="20" t="s">
        <v>815</v>
      </c>
      <c r="D190" s="138">
        <v>1770000</v>
      </c>
      <c r="E190" s="20" t="s">
        <v>444</v>
      </c>
      <c r="F190" s="20" t="s">
        <v>445</v>
      </c>
      <c r="G190" s="8" t="str">
        <f t="shared" si="4"/>
        <v>BRUDER RICHARD</v>
      </c>
      <c r="H190" s="20" t="str">
        <f t="shared" si="5"/>
        <v>4043</v>
      </c>
    </row>
    <row r="191" spans="1:8" x14ac:dyDescent="0.3">
      <c r="A191" s="8">
        <v>43028.750034722223</v>
      </c>
      <c r="B191" s="20" t="s">
        <v>398</v>
      </c>
      <c r="C191" s="20" t="s">
        <v>650</v>
      </c>
      <c r="D191" s="138">
        <v>2230000</v>
      </c>
      <c r="E191" s="20" t="s">
        <v>787</v>
      </c>
      <c r="F191" s="20" t="s">
        <v>385</v>
      </c>
      <c r="G191" s="8" t="str">
        <f t="shared" si="4"/>
        <v>SMITH MICHAEL</v>
      </c>
      <c r="H191" s="20" t="str">
        <f t="shared" si="5"/>
        <v>4051</v>
      </c>
    </row>
    <row r="192" spans="1:8" x14ac:dyDescent="0.3">
      <c r="A192" s="8">
        <v>43028.754895833335</v>
      </c>
      <c r="B192" s="20" t="s">
        <v>421</v>
      </c>
      <c r="C192" s="20" t="s">
        <v>651</v>
      </c>
      <c r="D192" s="138">
        <v>2350000</v>
      </c>
      <c r="E192" s="20" t="s">
        <v>473</v>
      </c>
      <c r="F192" s="20" t="s">
        <v>474</v>
      </c>
      <c r="G192" s="8" t="str">
        <f t="shared" si="4"/>
        <v>BERLING GARY</v>
      </c>
      <c r="H192" s="20" t="str">
        <f t="shared" si="5"/>
        <v>4060</v>
      </c>
    </row>
    <row r="193" spans="1:8" x14ac:dyDescent="0.3">
      <c r="A193" s="8">
        <v>43028.757268518515</v>
      </c>
      <c r="B193" s="20" t="s">
        <v>664</v>
      </c>
      <c r="C193" s="20" t="s">
        <v>823</v>
      </c>
      <c r="D193" s="138">
        <v>3320000</v>
      </c>
      <c r="E193" s="20" t="s">
        <v>529</v>
      </c>
      <c r="F193" s="20" t="s">
        <v>530</v>
      </c>
      <c r="G193" s="8" t="str">
        <f t="shared" si="4"/>
        <v>NICHOLSON WESLEY</v>
      </c>
      <c r="H193" s="20" t="str">
        <f t="shared" si="5"/>
        <v>4026</v>
      </c>
    </row>
    <row r="194" spans="1:8" x14ac:dyDescent="0.3">
      <c r="A194" s="8">
        <v>43028.760833333334</v>
      </c>
      <c r="B194" s="20" t="s">
        <v>502</v>
      </c>
      <c r="C194" s="20" t="s">
        <v>824</v>
      </c>
      <c r="D194" s="138">
        <v>1300000</v>
      </c>
      <c r="E194" s="20" t="s">
        <v>429</v>
      </c>
      <c r="F194" s="20" t="s">
        <v>430</v>
      </c>
      <c r="G194" s="8" t="str">
        <f t="shared" si="4"/>
        <v>LEVIN SCOTT</v>
      </c>
      <c r="H194" s="20" t="str">
        <f t="shared" si="5"/>
        <v>4015</v>
      </c>
    </row>
    <row r="195" spans="1:8" x14ac:dyDescent="0.3">
      <c r="A195" s="8">
        <v>43028.768923611111</v>
      </c>
      <c r="B195" s="20" t="s">
        <v>632</v>
      </c>
      <c r="C195" s="20" t="s">
        <v>825</v>
      </c>
      <c r="D195" s="138">
        <v>2600000</v>
      </c>
      <c r="E195" s="20" t="s">
        <v>550</v>
      </c>
      <c r="F195" s="20" t="s">
        <v>523</v>
      </c>
      <c r="G195" s="8" t="str">
        <f t="shared" ref="G195:G258" si="6">E195&amp;" "&amp;F195</f>
        <v>DAVIDSON DAVID</v>
      </c>
      <c r="H195" s="20" t="str">
        <f t="shared" ref="H195:H258" si="7">MID(B195,13,4)</f>
        <v>4063</v>
      </c>
    </row>
    <row r="196" spans="1:8" x14ac:dyDescent="0.3">
      <c r="A196" s="8">
        <v>43028.76903935185</v>
      </c>
      <c r="B196" s="20" t="s">
        <v>461</v>
      </c>
      <c r="C196" s="20" t="s">
        <v>826</v>
      </c>
      <c r="D196" s="138">
        <v>3130000</v>
      </c>
      <c r="E196" s="20" t="s">
        <v>479</v>
      </c>
      <c r="F196" s="20" t="s">
        <v>480</v>
      </c>
      <c r="G196" s="8" t="str">
        <f t="shared" si="6"/>
        <v>ZEWDU DEREJE</v>
      </c>
      <c r="H196" s="20" t="str">
        <f t="shared" si="7"/>
        <v>4044</v>
      </c>
    </row>
    <row r="197" spans="1:8" x14ac:dyDescent="0.3">
      <c r="A197" s="8">
        <v>43028.769814814812</v>
      </c>
      <c r="B197" s="20" t="s">
        <v>397</v>
      </c>
      <c r="C197" s="20" t="s">
        <v>827</v>
      </c>
      <c r="D197" s="138">
        <v>2230000</v>
      </c>
      <c r="E197" s="20" t="s">
        <v>787</v>
      </c>
      <c r="F197" s="20" t="s">
        <v>385</v>
      </c>
      <c r="G197" s="8" t="str">
        <f t="shared" si="6"/>
        <v>SMITH MICHAEL</v>
      </c>
      <c r="H197" s="20" t="str">
        <f t="shared" si="7"/>
        <v>4052</v>
      </c>
    </row>
    <row r="198" spans="1:8" x14ac:dyDescent="0.3">
      <c r="A198" s="8">
        <v>43028.769814814812</v>
      </c>
      <c r="B198" s="20" t="s">
        <v>422</v>
      </c>
      <c r="C198" s="20" t="s">
        <v>828</v>
      </c>
      <c r="D198" s="138">
        <v>2350000</v>
      </c>
      <c r="E198" s="20" t="s">
        <v>473</v>
      </c>
      <c r="F198" s="20" t="s">
        <v>474</v>
      </c>
      <c r="G198" s="8" t="str">
        <f t="shared" si="6"/>
        <v>BERLING GARY</v>
      </c>
      <c r="H198" s="20" t="str">
        <f t="shared" si="7"/>
        <v>4059</v>
      </c>
    </row>
    <row r="199" spans="1:8" x14ac:dyDescent="0.3">
      <c r="A199" s="8">
        <v>43028.778020833335</v>
      </c>
      <c r="B199" s="20" t="s">
        <v>376</v>
      </c>
      <c r="C199" s="20" t="s">
        <v>829</v>
      </c>
      <c r="D199" s="138">
        <v>1180000</v>
      </c>
      <c r="E199" s="20" t="s">
        <v>427</v>
      </c>
      <c r="F199" s="20" t="s">
        <v>428</v>
      </c>
      <c r="G199" s="8" t="str">
        <f t="shared" si="6"/>
        <v>LEVERE CRAIG</v>
      </c>
      <c r="H199" s="20" t="str">
        <f t="shared" si="7"/>
        <v>4040</v>
      </c>
    </row>
    <row r="200" spans="1:8" x14ac:dyDescent="0.3">
      <c r="A200" s="8">
        <v>43028.787314814814</v>
      </c>
      <c r="B200" s="20" t="s">
        <v>507</v>
      </c>
      <c r="C200" s="20" t="s">
        <v>830</v>
      </c>
      <c r="D200" s="138">
        <v>2420000</v>
      </c>
      <c r="E200" s="20" t="s">
        <v>475</v>
      </c>
      <c r="F200" s="20" t="s">
        <v>476</v>
      </c>
      <c r="G200" s="8" t="str">
        <f t="shared" si="6"/>
        <v>HOLCOMB KAMDEN</v>
      </c>
      <c r="H200" s="20" t="str">
        <f t="shared" si="7"/>
        <v>4031</v>
      </c>
    </row>
    <row r="201" spans="1:8" x14ac:dyDescent="0.3">
      <c r="A201" s="8">
        <v>43028.788287037038</v>
      </c>
      <c r="B201" s="20" t="s">
        <v>640</v>
      </c>
      <c r="C201" s="20" t="s">
        <v>652</v>
      </c>
      <c r="D201" s="138">
        <v>3500000</v>
      </c>
      <c r="E201" s="20" t="s">
        <v>831</v>
      </c>
      <c r="F201" s="20" t="s">
        <v>832</v>
      </c>
      <c r="G201" s="8" t="str">
        <f t="shared" si="6"/>
        <v>GUNTHIER ERIC</v>
      </c>
      <c r="H201" s="20" t="str">
        <f t="shared" si="7"/>
        <v>4056</v>
      </c>
    </row>
    <row r="202" spans="1:8" x14ac:dyDescent="0.3">
      <c r="A202" s="26">
        <v>43028.789351851854</v>
      </c>
      <c r="B202" s="20" t="s">
        <v>398</v>
      </c>
      <c r="C202" s="20" t="s">
        <v>833</v>
      </c>
      <c r="D202" s="138">
        <v>2230000</v>
      </c>
      <c r="E202" s="20" t="s">
        <v>787</v>
      </c>
      <c r="F202" s="20" t="s">
        <v>385</v>
      </c>
      <c r="G202" s="8" t="str">
        <f t="shared" si="6"/>
        <v>SMITH MICHAEL</v>
      </c>
      <c r="H202" s="20" t="str">
        <f t="shared" si="7"/>
        <v>4051</v>
      </c>
    </row>
    <row r="203" spans="1:8" x14ac:dyDescent="0.3">
      <c r="A203" s="8">
        <v>43028.789409722223</v>
      </c>
      <c r="B203" s="20" t="s">
        <v>502</v>
      </c>
      <c r="C203" s="20" t="s">
        <v>824</v>
      </c>
      <c r="D203" s="138">
        <v>1300000</v>
      </c>
      <c r="E203" s="20" t="s">
        <v>429</v>
      </c>
      <c r="F203" s="20" t="s">
        <v>430</v>
      </c>
      <c r="G203" s="8" t="str">
        <f t="shared" si="6"/>
        <v>LEVIN SCOTT</v>
      </c>
      <c r="H203" s="20" t="str">
        <f t="shared" si="7"/>
        <v>4015</v>
      </c>
    </row>
    <row r="204" spans="1:8" x14ac:dyDescent="0.3">
      <c r="A204" s="8">
        <v>43028.792303240742</v>
      </c>
      <c r="B204" s="20" t="s">
        <v>646</v>
      </c>
      <c r="C204" s="20" t="s">
        <v>834</v>
      </c>
      <c r="D204" s="138">
        <v>3320000</v>
      </c>
      <c r="E204" s="20" t="s">
        <v>529</v>
      </c>
      <c r="F204" s="20" t="s">
        <v>530</v>
      </c>
      <c r="G204" s="8" t="str">
        <f t="shared" si="6"/>
        <v>NICHOLSON WESLEY</v>
      </c>
      <c r="H204" s="20" t="str">
        <f t="shared" si="7"/>
        <v>4025</v>
      </c>
    </row>
    <row r="205" spans="1:8" x14ac:dyDescent="0.3">
      <c r="A205" s="8">
        <v>43028.796469907407</v>
      </c>
      <c r="B205" s="20" t="s">
        <v>421</v>
      </c>
      <c r="C205" s="20" t="s">
        <v>835</v>
      </c>
      <c r="D205" s="138">
        <v>2350000</v>
      </c>
      <c r="E205" s="20" t="s">
        <v>473</v>
      </c>
      <c r="F205" s="20" t="s">
        <v>474</v>
      </c>
      <c r="G205" s="8" t="str">
        <f t="shared" si="6"/>
        <v>BERLING GARY</v>
      </c>
      <c r="H205" s="20" t="str">
        <f t="shared" si="7"/>
        <v>4060</v>
      </c>
    </row>
    <row r="206" spans="1:8" x14ac:dyDescent="0.3">
      <c r="A206" s="8">
        <v>43028.802546296298</v>
      </c>
      <c r="B206" s="20" t="s">
        <v>516</v>
      </c>
      <c r="C206" s="20" t="s">
        <v>836</v>
      </c>
      <c r="D206" s="138">
        <v>1300000</v>
      </c>
      <c r="E206" s="20" t="s">
        <v>429</v>
      </c>
      <c r="F206" s="20" t="s">
        <v>430</v>
      </c>
      <c r="G206" s="8" t="str">
        <f t="shared" si="6"/>
        <v>LEVIN SCOTT</v>
      </c>
      <c r="H206" s="20" t="str">
        <f t="shared" si="7"/>
        <v>4016</v>
      </c>
    </row>
    <row r="207" spans="1:8" x14ac:dyDescent="0.3">
      <c r="A207" s="8">
        <v>43028.806817129633</v>
      </c>
      <c r="B207" s="20" t="s">
        <v>460</v>
      </c>
      <c r="C207" s="20" t="s">
        <v>837</v>
      </c>
      <c r="D207" s="138">
        <v>3130000</v>
      </c>
      <c r="E207" s="20" t="s">
        <v>479</v>
      </c>
      <c r="F207" s="20" t="s">
        <v>480</v>
      </c>
      <c r="G207" s="8" t="str">
        <f t="shared" si="6"/>
        <v>ZEWDU DEREJE</v>
      </c>
      <c r="H207" s="20" t="str">
        <f t="shared" si="7"/>
        <v>4043</v>
      </c>
    </row>
    <row r="208" spans="1:8" x14ac:dyDescent="0.3">
      <c r="A208" s="8">
        <v>43028.809606481482</v>
      </c>
      <c r="B208" s="20" t="s">
        <v>659</v>
      </c>
      <c r="C208" s="20" t="s">
        <v>838</v>
      </c>
      <c r="D208" s="138">
        <v>2600000</v>
      </c>
      <c r="E208" s="20" t="s">
        <v>550</v>
      </c>
      <c r="F208" s="20" t="s">
        <v>523</v>
      </c>
      <c r="G208" s="8" t="str">
        <f t="shared" si="6"/>
        <v>DAVIDSON DAVID</v>
      </c>
      <c r="H208" s="20" t="str">
        <f t="shared" si="7"/>
        <v>4064</v>
      </c>
    </row>
    <row r="209" spans="1:8" x14ac:dyDescent="0.3">
      <c r="A209" s="8">
        <v>43028.8125</v>
      </c>
      <c r="B209" s="20" t="s">
        <v>422</v>
      </c>
      <c r="C209" s="20" t="s">
        <v>839</v>
      </c>
      <c r="D209" s="138">
        <v>2350000</v>
      </c>
      <c r="E209" s="20" t="s">
        <v>473</v>
      </c>
      <c r="F209" s="20" t="s">
        <v>474</v>
      </c>
      <c r="G209" s="8" t="str">
        <f t="shared" si="6"/>
        <v>BERLING GARY</v>
      </c>
      <c r="H209" s="20" t="str">
        <f t="shared" si="7"/>
        <v>4059</v>
      </c>
    </row>
    <row r="210" spans="1:8" x14ac:dyDescent="0.3">
      <c r="A210" s="8">
        <v>43028.823750000003</v>
      </c>
      <c r="B210" s="20" t="s">
        <v>524</v>
      </c>
      <c r="C210" s="20" t="s">
        <v>840</v>
      </c>
      <c r="D210" s="138">
        <v>2420000</v>
      </c>
      <c r="E210" s="20" t="s">
        <v>475</v>
      </c>
      <c r="F210" s="20" t="s">
        <v>476</v>
      </c>
      <c r="G210" s="8" t="str">
        <f t="shared" si="6"/>
        <v>HOLCOMB KAMDEN</v>
      </c>
      <c r="H210" s="20" t="str">
        <f t="shared" si="7"/>
        <v>4032</v>
      </c>
    </row>
    <row r="211" spans="1:8" x14ac:dyDescent="0.3">
      <c r="A211" s="8">
        <v>43028.829270833332</v>
      </c>
      <c r="B211" s="20" t="s">
        <v>384</v>
      </c>
      <c r="C211" s="20" t="s">
        <v>841</v>
      </c>
      <c r="D211" s="138">
        <v>3500000</v>
      </c>
      <c r="E211" s="20" t="s">
        <v>831</v>
      </c>
      <c r="F211" s="20" t="s">
        <v>832</v>
      </c>
      <c r="G211" s="8" t="str">
        <f t="shared" si="6"/>
        <v>GUNTHIER ERIC</v>
      </c>
      <c r="H211" s="20" t="str">
        <f t="shared" si="7"/>
        <v>4055</v>
      </c>
    </row>
    <row r="212" spans="1:8" x14ac:dyDescent="0.3">
      <c r="A212" s="8">
        <v>43028.83116898148</v>
      </c>
      <c r="B212" s="20" t="s">
        <v>664</v>
      </c>
      <c r="C212" s="20" t="s">
        <v>842</v>
      </c>
      <c r="D212" s="138">
        <v>3320000</v>
      </c>
      <c r="E212" s="20" t="s">
        <v>529</v>
      </c>
      <c r="F212" s="20" t="s">
        <v>530</v>
      </c>
      <c r="G212" s="8" t="str">
        <f t="shared" si="6"/>
        <v>NICHOLSON WESLEY</v>
      </c>
      <c r="H212" s="20" t="str">
        <f t="shared" si="7"/>
        <v>4026</v>
      </c>
    </row>
    <row r="213" spans="1:8" x14ac:dyDescent="0.3">
      <c r="A213" s="8">
        <v>43028.83457175926</v>
      </c>
      <c r="B213" s="20" t="s">
        <v>421</v>
      </c>
      <c r="C213" s="20" t="s">
        <v>653</v>
      </c>
      <c r="D213" s="138">
        <v>2350000</v>
      </c>
      <c r="E213" s="20" t="s">
        <v>473</v>
      </c>
      <c r="F213" s="20" t="s">
        <v>474</v>
      </c>
      <c r="G213" s="8" t="str">
        <f t="shared" si="6"/>
        <v>BERLING GARY</v>
      </c>
      <c r="H213" s="20" t="str">
        <f t="shared" si="7"/>
        <v>4060</v>
      </c>
    </row>
    <row r="214" spans="1:8" x14ac:dyDescent="0.3">
      <c r="A214" s="8">
        <v>43028.83971064815</v>
      </c>
      <c r="B214" s="20" t="s">
        <v>461</v>
      </c>
      <c r="C214" s="20" t="s">
        <v>843</v>
      </c>
      <c r="D214" s="138">
        <v>3340000</v>
      </c>
      <c r="E214" s="20" t="s">
        <v>536</v>
      </c>
      <c r="F214" s="20" t="s">
        <v>537</v>
      </c>
      <c r="G214" s="8" t="str">
        <f t="shared" si="6"/>
        <v>ELBAUM MIKE</v>
      </c>
      <c r="H214" s="20" t="str">
        <f t="shared" si="7"/>
        <v>4044</v>
      </c>
    </row>
    <row r="215" spans="1:8" x14ac:dyDescent="0.3">
      <c r="A215" s="8">
        <v>43028.840462962966</v>
      </c>
      <c r="B215" s="20" t="s">
        <v>632</v>
      </c>
      <c r="C215" s="20" t="s">
        <v>844</v>
      </c>
      <c r="D215" s="138">
        <v>2600000</v>
      </c>
      <c r="E215" s="20" t="s">
        <v>550</v>
      </c>
      <c r="F215" s="20" t="s">
        <v>523</v>
      </c>
      <c r="G215" s="8" t="str">
        <f t="shared" si="6"/>
        <v>DAVIDSON DAVID</v>
      </c>
      <c r="H215" s="20" t="str">
        <f t="shared" si="7"/>
        <v>4063</v>
      </c>
    </row>
    <row r="216" spans="1:8" x14ac:dyDescent="0.3">
      <c r="A216" s="8">
        <v>43028.851412037038</v>
      </c>
      <c r="B216" s="20" t="s">
        <v>422</v>
      </c>
      <c r="C216" s="20" t="s">
        <v>845</v>
      </c>
      <c r="D216" s="138">
        <v>2350000</v>
      </c>
      <c r="E216" s="20" t="s">
        <v>473</v>
      </c>
      <c r="F216" s="20" t="s">
        <v>474</v>
      </c>
      <c r="G216" s="8" t="str">
        <f t="shared" si="6"/>
        <v>BERLING GARY</v>
      </c>
      <c r="H216" s="20" t="str">
        <f t="shared" si="7"/>
        <v>4059</v>
      </c>
    </row>
    <row r="217" spans="1:8" x14ac:dyDescent="0.3">
      <c r="A217" s="8">
        <v>43028.868668981479</v>
      </c>
      <c r="B217" s="20" t="s">
        <v>646</v>
      </c>
      <c r="C217" s="20" t="s">
        <v>846</v>
      </c>
      <c r="D217" s="138">
        <v>3320000</v>
      </c>
      <c r="E217" s="20" t="s">
        <v>529</v>
      </c>
      <c r="F217" s="20" t="s">
        <v>530</v>
      </c>
      <c r="G217" s="8" t="str">
        <f t="shared" si="6"/>
        <v>NICHOLSON WESLEY</v>
      </c>
      <c r="H217" s="20" t="str">
        <f t="shared" si="7"/>
        <v>4025</v>
      </c>
    </row>
    <row r="218" spans="1:8" x14ac:dyDescent="0.3">
      <c r="A218" s="8">
        <v>43028.872534722221</v>
      </c>
      <c r="B218" s="20" t="s">
        <v>640</v>
      </c>
      <c r="C218" s="20" t="s">
        <v>847</v>
      </c>
      <c r="D218" s="138">
        <v>3310000</v>
      </c>
      <c r="E218" s="20" t="s">
        <v>379</v>
      </c>
      <c r="F218" s="20" t="s">
        <v>380</v>
      </c>
      <c r="G218" s="8" t="str">
        <f t="shared" si="6"/>
        <v>ANDERS STEVEN</v>
      </c>
      <c r="H218" s="20" t="str">
        <f t="shared" si="7"/>
        <v>4056</v>
      </c>
    </row>
    <row r="219" spans="1:8" x14ac:dyDescent="0.3">
      <c r="A219" s="8">
        <v>43028.876134259262</v>
      </c>
      <c r="B219" s="20" t="s">
        <v>421</v>
      </c>
      <c r="C219" s="20" t="s">
        <v>848</v>
      </c>
      <c r="D219" s="138">
        <v>2230000</v>
      </c>
      <c r="E219" s="20" t="s">
        <v>787</v>
      </c>
      <c r="F219" s="20" t="s">
        <v>385</v>
      </c>
      <c r="G219" s="8" t="str">
        <f t="shared" si="6"/>
        <v>SMITH MICHAEL</v>
      </c>
      <c r="H219" s="20" t="str">
        <f t="shared" si="7"/>
        <v>4060</v>
      </c>
    </row>
    <row r="220" spans="1:8" x14ac:dyDescent="0.3">
      <c r="A220" s="8">
        <v>43028.88077546296</v>
      </c>
      <c r="B220" s="20" t="s">
        <v>460</v>
      </c>
      <c r="C220" s="20" t="s">
        <v>849</v>
      </c>
      <c r="D220" s="138">
        <v>3340000</v>
      </c>
      <c r="E220" s="20" t="s">
        <v>536</v>
      </c>
      <c r="F220" s="20" t="s">
        <v>537</v>
      </c>
      <c r="G220" s="8" t="str">
        <f t="shared" si="6"/>
        <v>ELBAUM MIKE</v>
      </c>
      <c r="H220" s="20" t="str">
        <f t="shared" si="7"/>
        <v>4043</v>
      </c>
    </row>
    <row r="221" spans="1:8" x14ac:dyDescent="0.3">
      <c r="A221" s="8">
        <v>43028.882361111115</v>
      </c>
      <c r="B221" s="20" t="s">
        <v>659</v>
      </c>
      <c r="C221" s="20" t="s">
        <v>850</v>
      </c>
      <c r="D221" s="138">
        <v>2600000</v>
      </c>
      <c r="E221" s="20" t="s">
        <v>550</v>
      </c>
      <c r="F221" s="20" t="s">
        <v>523</v>
      </c>
      <c r="G221" s="8" t="str">
        <f t="shared" si="6"/>
        <v>DAVIDSON DAVID</v>
      </c>
      <c r="H221" s="20" t="str">
        <f t="shared" si="7"/>
        <v>4064</v>
      </c>
    </row>
    <row r="222" spans="1:8" x14ac:dyDescent="0.3">
      <c r="A222" s="8">
        <v>43028.895405092589</v>
      </c>
      <c r="B222" s="20" t="s">
        <v>422</v>
      </c>
      <c r="C222" s="20" t="s">
        <v>851</v>
      </c>
      <c r="D222" s="138">
        <v>2230000</v>
      </c>
      <c r="E222" s="20" t="s">
        <v>787</v>
      </c>
      <c r="F222" s="20" t="s">
        <v>385</v>
      </c>
      <c r="G222" s="8" t="str">
        <f t="shared" si="6"/>
        <v>SMITH MICHAEL</v>
      </c>
      <c r="H222" s="20" t="str">
        <f t="shared" si="7"/>
        <v>4059</v>
      </c>
    </row>
    <row r="223" spans="1:8" x14ac:dyDescent="0.3">
      <c r="A223" s="8">
        <v>43028.903773148151</v>
      </c>
      <c r="B223" s="20" t="s">
        <v>384</v>
      </c>
      <c r="C223" s="20" t="s">
        <v>852</v>
      </c>
      <c r="D223" s="138">
        <v>3310000</v>
      </c>
      <c r="E223" s="20" t="s">
        <v>379</v>
      </c>
      <c r="F223" s="20" t="s">
        <v>380</v>
      </c>
      <c r="G223" s="8" t="str">
        <f t="shared" si="6"/>
        <v>ANDERS STEVEN</v>
      </c>
      <c r="H223" s="20" t="str">
        <f t="shared" si="7"/>
        <v>4055</v>
      </c>
    </row>
    <row r="224" spans="1:8" x14ac:dyDescent="0.3">
      <c r="A224" s="8">
        <v>43028.904305555552</v>
      </c>
      <c r="B224" t="s">
        <v>664</v>
      </c>
      <c r="C224" t="s">
        <v>853</v>
      </c>
      <c r="D224" s="138">
        <v>3320000</v>
      </c>
      <c r="E224" t="s">
        <v>529</v>
      </c>
      <c r="F224" s="20" t="s">
        <v>530</v>
      </c>
      <c r="G224" s="8" t="str">
        <f t="shared" si="6"/>
        <v>NICHOLSON WESLEY</v>
      </c>
      <c r="H224" s="20" t="str">
        <f t="shared" si="7"/>
        <v>4026</v>
      </c>
    </row>
    <row r="225" spans="1:8" x14ac:dyDescent="0.3">
      <c r="A225" s="8">
        <v>43028.916122685187</v>
      </c>
      <c r="B225" t="s">
        <v>421</v>
      </c>
      <c r="C225" t="s">
        <v>854</v>
      </c>
      <c r="D225" s="138">
        <v>2230000</v>
      </c>
      <c r="E225" t="s">
        <v>787</v>
      </c>
      <c r="F225" s="20" t="s">
        <v>385</v>
      </c>
      <c r="G225" s="8" t="str">
        <f t="shared" si="6"/>
        <v>SMITH MICHAEL</v>
      </c>
      <c r="H225" s="20" t="str">
        <f t="shared" si="7"/>
        <v>4060</v>
      </c>
    </row>
    <row r="226" spans="1:8" x14ac:dyDescent="0.3">
      <c r="A226" s="8">
        <v>43028.921712962961</v>
      </c>
      <c r="B226" t="s">
        <v>461</v>
      </c>
      <c r="C226" t="s">
        <v>855</v>
      </c>
      <c r="D226" s="138">
        <v>3340000</v>
      </c>
      <c r="E226" t="s">
        <v>536</v>
      </c>
      <c r="F226" s="20" t="s">
        <v>537</v>
      </c>
      <c r="G226" s="8" t="str">
        <f t="shared" si="6"/>
        <v>ELBAUM MIKE</v>
      </c>
      <c r="H226" s="20" t="str">
        <f t="shared" si="7"/>
        <v>4044</v>
      </c>
    </row>
    <row r="227" spans="1:8" x14ac:dyDescent="0.3">
      <c r="A227" s="8">
        <v>43028.931354166663</v>
      </c>
      <c r="B227" t="s">
        <v>632</v>
      </c>
      <c r="C227" t="s">
        <v>856</v>
      </c>
      <c r="D227" s="138">
        <v>2600000</v>
      </c>
      <c r="E227" t="s">
        <v>550</v>
      </c>
      <c r="F227" s="20" t="s">
        <v>523</v>
      </c>
      <c r="G227" s="8" t="str">
        <f t="shared" si="6"/>
        <v>DAVIDSON DAVID</v>
      </c>
      <c r="H227" s="20" t="str">
        <f t="shared" si="7"/>
        <v>4063</v>
      </c>
    </row>
    <row r="228" spans="1:8" x14ac:dyDescent="0.3">
      <c r="A228" s="8">
        <v>43028.93787037037</v>
      </c>
      <c r="B228" t="s">
        <v>422</v>
      </c>
      <c r="C228" t="s">
        <v>654</v>
      </c>
      <c r="D228" s="138">
        <v>2230000</v>
      </c>
      <c r="E228" t="s">
        <v>787</v>
      </c>
      <c r="F228" s="20" t="s">
        <v>385</v>
      </c>
      <c r="G228" s="8" t="str">
        <f t="shared" si="6"/>
        <v>SMITH MICHAEL</v>
      </c>
      <c r="H228" s="20" t="str">
        <f t="shared" si="7"/>
        <v>4059</v>
      </c>
    </row>
    <row r="229" spans="1:8" x14ac:dyDescent="0.3">
      <c r="A229" s="8">
        <v>43028.944895833331</v>
      </c>
      <c r="B229" t="s">
        <v>640</v>
      </c>
      <c r="C229" t="s">
        <v>655</v>
      </c>
      <c r="D229" s="138">
        <v>3310000</v>
      </c>
      <c r="E229" t="s">
        <v>379</v>
      </c>
      <c r="F229" s="20" t="s">
        <v>380</v>
      </c>
      <c r="G229" s="8" t="str">
        <f t="shared" si="6"/>
        <v>ANDERS STEVEN</v>
      </c>
      <c r="H229" s="20" t="str">
        <f t="shared" si="7"/>
        <v>4056</v>
      </c>
    </row>
    <row r="230" spans="1:8" x14ac:dyDescent="0.3">
      <c r="A230" s="8">
        <v>43028.95076388889</v>
      </c>
      <c r="B230" t="s">
        <v>646</v>
      </c>
      <c r="C230" t="s">
        <v>857</v>
      </c>
      <c r="D230" s="138">
        <v>3320000</v>
      </c>
      <c r="E230" t="s">
        <v>529</v>
      </c>
      <c r="F230" s="20" t="s">
        <v>530</v>
      </c>
      <c r="G230" s="8" t="str">
        <f t="shared" si="6"/>
        <v>NICHOLSON WESLEY</v>
      </c>
      <c r="H230" s="20" t="str">
        <f t="shared" si="7"/>
        <v>4025</v>
      </c>
    </row>
    <row r="231" spans="1:8" x14ac:dyDescent="0.3">
      <c r="A231" s="8">
        <v>43028.959374999999</v>
      </c>
      <c r="B231" t="s">
        <v>421</v>
      </c>
      <c r="C231" t="s">
        <v>858</v>
      </c>
      <c r="D231" s="138">
        <v>2230000</v>
      </c>
      <c r="E231" t="s">
        <v>787</v>
      </c>
      <c r="F231" s="20" t="s">
        <v>385</v>
      </c>
      <c r="G231" s="8" t="str">
        <f t="shared" si="6"/>
        <v>SMITH MICHAEL</v>
      </c>
      <c r="H231" s="20" t="str">
        <f t="shared" si="7"/>
        <v>4060</v>
      </c>
    </row>
    <row r="232" spans="1:8" x14ac:dyDescent="0.3">
      <c r="A232" s="8">
        <v>43028.965787037036</v>
      </c>
      <c r="B232" t="s">
        <v>460</v>
      </c>
      <c r="C232" t="s">
        <v>859</v>
      </c>
      <c r="D232" s="138">
        <v>3340000</v>
      </c>
      <c r="E232" t="s">
        <v>536</v>
      </c>
      <c r="F232" s="20" t="s">
        <v>537</v>
      </c>
      <c r="G232" s="8" t="str">
        <f t="shared" si="6"/>
        <v>ELBAUM MIKE</v>
      </c>
      <c r="H232" s="20" t="str">
        <f t="shared" si="7"/>
        <v>4043</v>
      </c>
    </row>
    <row r="233" spans="1:8" x14ac:dyDescent="0.3">
      <c r="A233" s="8">
        <v>43028.97115740741</v>
      </c>
      <c r="B233" t="s">
        <v>659</v>
      </c>
      <c r="C233" t="s">
        <v>860</v>
      </c>
      <c r="D233" s="138">
        <v>2600000</v>
      </c>
      <c r="E233" t="s">
        <v>550</v>
      </c>
      <c r="F233" s="20" t="s">
        <v>523</v>
      </c>
      <c r="G233" s="8" t="str">
        <f t="shared" si="6"/>
        <v>DAVIDSON DAVID</v>
      </c>
      <c r="H233" s="20" t="str">
        <f t="shared" si="7"/>
        <v>4064</v>
      </c>
    </row>
    <row r="234" spans="1:8" x14ac:dyDescent="0.3">
      <c r="A234" s="8">
        <v>43028.977997685186</v>
      </c>
      <c r="B234" t="s">
        <v>422</v>
      </c>
      <c r="C234" t="s">
        <v>861</v>
      </c>
      <c r="D234" s="138">
        <v>2230000</v>
      </c>
      <c r="E234" t="s">
        <v>787</v>
      </c>
      <c r="F234" s="20" t="s">
        <v>385</v>
      </c>
      <c r="G234" s="8" t="str">
        <f t="shared" si="6"/>
        <v>SMITH MICHAEL</v>
      </c>
      <c r="H234" s="20" t="str">
        <f t="shared" si="7"/>
        <v>4059</v>
      </c>
    </row>
    <row r="235" spans="1:8" x14ac:dyDescent="0.3">
      <c r="A235" s="8">
        <v>43028.990995370368</v>
      </c>
      <c r="B235" t="s">
        <v>664</v>
      </c>
      <c r="C235" t="s">
        <v>862</v>
      </c>
      <c r="D235" s="138">
        <v>3320000</v>
      </c>
      <c r="E235" t="s">
        <v>529</v>
      </c>
      <c r="F235" s="20" t="s">
        <v>530</v>
      </c>
      <c r="G235" s="8" t="str">
        <f t="shared" si="6"/>
        <v>NICHOLSON WESLEY</v>
      </c>
      <c r="H235" s="20" t="str">
        <f t="shared" si="7"/>
        <v>4026</v>
      </c>
    </row>
    <row r="236" spans="1:8" x14ac:dyDescent="0.3">
      <c r="A236" s="8">
        <v>43029.008206018516</v>
      </c>
      <c r="B236" t="s">
        <v>632</v>
      </c>
      <c r="C236" t="s">
        <v>863</v>
      </c>
      <c r="D236" s="138">
        <v>2600000</v>
      </c>
      <c r="E236" t="s">
        <v>550</v>
      </c>
      <c r="F236" s="20" t="s">
        <v>523</v>
      </c>
      <c r="G236" s="8" t="str">
        <f t="shared" si="6"/>
        <v>DAVIDSON DAVID</v>
      </c>
      <c r="H236" s="20" t="str">
        <f t="shared" si="7"/>
        <v>4063</v>
      </c>
    </row>
    <row r="237" spans="1:8" x14ac:dyDescent="0.3">
      <c r="A237" s="8">
        <v>43029.010347222225</v>
      </c>
      <c r="B237" t="s">
        <v>461</v>
      </c>
      <c r="C237" t="s">
        <v>864</v>
      </c>
      <c r="D237" s="138">
        <v>3340000</v>
      </c>
      <c r="E237" t="s">
        <v>536</v>
      </c>
      <c r="F237" s="20" t="s">
        <v>537</v>
      </c>
      <c r="G237" s="8" t="str">
        <f t="shared" si="6"/>
        <v>ELBAUM MIKE</v>
      </c>
      <c r="H237" s="20" t="str">
        <f t="shared" si="7"/>
        <v>4044</v>
      </c>
    </row>
    <row r="238" spans="1:8" x14ac:dyDescent="0.3">
      <c r="A238" s="8">
        <v>43029.031226851854</v>
      </c>
      <c r="B238" t="s">
        <v>646</v>
      </c>
      <c r="C238" t="s">
        <v>865</v>
      </c>
      <c r="D238" s="138">
        <v>3320000</v>
      </c>
      <c r="E238" t="s">
        <v>529</v>
      </c>
      <c r="F238" s="20" t="s">
        <v>530</v>
      </c>
      <c r="G238" s="8" t="str">
        <f t="shared" si="6"/>
        <v>NICHOLSON WESLEY</v>
      </c>
      <c r="H238" s="20" t="str">
        <f t="shared" si="7"/>
        <v>4025</v>
      </c>
    </row>
    <row r="239" spans="1:8" x14ac:dyDescent="0.3">
      <c r="A239" s="8">
        <v>43029.039004629631</v>
      </c>
      <c r="B239" t="s">
        <v>504</v>
      </c>
      <c r="C239" t="s">
        <v>866</v>
      </c>
      <c r="D239" s="138">
        <v>3310000</v>
      </c>
      <c r="E239" t="s">
        <v>379</v>
      </c>
      <c r="F239" s="20" t="s">
        <v>380</v>
      </c>
      <c r="G239" s="8" t="str">
        <f t="shared" si="6"/>
        <v>ANDERS STEVEN</v>
      </c>
      <c r="H239" s="20" t="str">
        <f t="shared" si="7"/>
        <v>4024</v>
      </c>
    </row>
    <row r="240" spans="1:8" x14ac:dyDescent="0.3">
      <c r="A240" s="8">
        <v>43029.045729166668</v>
      </c>
      <c r="B240" t="s">
        <v>640</v>
      </c>
      <c r="C240" t="s">
        <v>867</v>
      </c>
      <c r="D240" s="138">
        <v>3500000</v>
      </c>
      <c r="E240" t="s">
        <v>831</v>
      </c>
      <c r="F240" s="20" t="s">
        <v>832</v>
      </c>
      <c r="G240" s="8" t="str">
        <f t="shared" si="6"/>
        <v>GUNTHIER ERIC</v>
      </c>
      <c r="H240" s="20" t="str">
        <f t="shared" si="7"/>
        <v>4056</v>
      </c>
    </row>
    <row r="241" spans="1:8" x14ac:dyDescent="0.3">
      <c r="A241" s="8">
        <v>43029.046238425923</v>
      </c>
      <c r="B241" t="s">
        <v>460</v>
      </c>
      <c r="C241" t="s">
        <v>868</v>
      </c>
      <c r="D241" s="138">
        <v>3340000</v>
      </c>
      <c r="E241" t="s">
        <v>536</v>
      </c>
      <c r="F241" s="20" t="s">
        <v>537</v>
      </c>
      <c r="G241" s="8" t="str">
        <f t="shared" si="6"/>
        <v>ELBAUM MIKE</v>
      </c>
      <c r="H241" s="20" t="str">
        <f t="shared" si="7"/>
        <v>4043</v>
      </c>
    </row>
    <row r="242" spans="1:8" x14ac:dyDescent="0.3">
      <c r="A242" s="8">
        <v>43029.049201388887</v>
      </c>
      <c r="B242" t="s">
        <v>659</v>
      </c>
      <c r="C242" t="s">
        <v>869</v>
      </c>
      <c r="D242" s="138">
        <v>2600000</v>
      </c>
      <c r="E242" t="s">
        <v>550</v>
      </c>
      <c r="F242" s="20" t="s">
        <v>523</v>
      </c>
      <c r="G242" s="8" t="str">
        <f t="shared" si="6"/>
        <v>DAVIDSON DAVID</v>
      </c>
      <c r="H242" s="20" t="str">
        <f t="shared" si="7"/>
        <v>4064</v>
      </c>
    </row>
    <row r="243" spans="1:8" x14ac:dyDescent="0.3">
      <c r="A243" s="8">
        <v>43029.072430555556</v>
      </c>
      <c r="B243" t="s">
        <v>664</v>
      </c>
      <c r="C243" t="s">
        <v>870</v>
      </c>
      <c r="D243" s="138">
        <v>3320000</v>
      </c>
      <c r="E243" t="s">
        <v>529</v>
      </c>
      <c r="F243" s="20" t="s">
        <v>530</v>
      </c>
      <c r="G243" s="8" t="str">
        <f t="shared" si="6"/>
        <v>NICHOLSON WESLEY</v>
      </c>
      <c r="H243" s="20" t="str">
        <f t="shared" si="7"/>
        <v>4026</v>
      </c>
    </row>
    <row r="244" spans="1:8" x14ac:dyDescent="0.3">
      <c r="A244" s="8">
        <v>43029.080370370371</v>
      </c>
      <c r="B244" t="s">
        <v>505</v>
      </c>
      <c r="C244" t="s">
        <v>656</v>
      </c>
      <c r="D244" s="138">
        <v>3310000</v>
      </c>
      <c r="E244" t="s">
        <v>379</v>
      </c>
      <c r="F244" s="20" t="s">
        <v>380</v>
      </c>
      <c r="G244" s="8" t="str">
        <f t="shared" si="6"/>
        <v>ANDERS STEVEN</v>
      </c>
      <c r="H244" s="20" t="str">
        <f t="shared" si="7"/>
        <v>4023</v>
      </c>
    </row>
    <row r="245" spans="1:8" x14ac:dyDescent="0.3">
      <c r="A245" s="8">
        <v>43029.08761574074</v>
      </c>
      <c r="B245" t="s">
        <v>461</v>
      </c>
      <c r="C245" t="s">
        <v>871</v>
      </c>
      <c r="D245" s="138">
        <v>3340000</v>
      </c>
      <c r="E245" t="s">
        <v>536</v>
      </c>
      <c r="F245" s="20" t="s">
        <v>537</v>
      </c>
      <c r="G245" s="8" t="str">
        <f t="shared" si="6"/>
        <v>ELBAUM MIKE</v>
      </c>
      <c r="H245" s="20" t="str">
        <f t="shared" si="7"/>
        <v>4044</v>
      </c>
    </row>
    <row r="246" spans="1:8" x14ac:dyDescent="0.3">
      <c r="A246" s="8">
        <v>43029.09746527778</v>
      </c>
      <c r="B246" t="s">
        <v>460</v>
      </c>
      <c r="C246" t="s">
        <v>871</v>
      </c>
      <c r="D246" s="138">
        <v>3340000</v>
      </c>
      <c r="E246" t="s">
        <v>536</v>
      </c>
      <c r="F246" s="20" t="s">
        <v>537</v>
      </c>
      <c r="G246" s="8" t="str">
        <f t="shared" si="6"/>
        <v>ELBAUM MIKE</v>
      </c>
      <c r="H246" s="20" t="str">
        <f t="shared" si="7"/>
        <v>4043</v>
      </c>
    </row>
    <row r="247" spans="1:8" x14ac:dyDescent="0.3">
      <c r="A247" s="8">
        <v>43027.733668981484</v>
      </c>
      <c r="B247" t="s">
        <v>457</v>
      </c>
      <c r="C247" t="s">
        <v>526</v>
      </c>
      <c r="D247" s="138">
        <v>880000</v>
      </c>
      <c r="E247" t="s">
        <v>399</v>
      </c>
      <c r="F247" s="20" t="s">
        <v>385</v>
      </c>
      <c r="G247" s="8" t="str">
        <f t="shared" si="6"/>
        <v>STEWART MICHAEL</v>
      </c>
      <c r="H247" s="20" t="str">
        <f t="shared" si="7"/>
        <v>4017</v>
      </c>
    </row>
    <row r="248" spans="1:8" x14ac:dyDescent="0.3">
      <c r="A248" s="8">
        <v>43027.737650462965</v>
      </c>
      <c r="B248" t="s">
        <v>472</v>
      </c>
      <c r="C248" t="s">
        <v>527</v>
      </c>
      <c r="D248" s="138">
        <v>890000</v>
      </c>
      <c r="E248" t="s">
        <v>358</v>
      </c>
      <c r="F248" s="20" t="s">
        <v>359</v>
      </c>
      <c r="G248" s="8" t="str">
        <f t="shared" si="6"/>
        <v>LOZA FIDEL</v>
      </c>
      <c r="H248" s="20" t="str">
        <f t="shared" si="7"/>
        <v>4006</v>
      </c>
    </row>
    <row r="249" spans="1:8" x14ac:dyDescent="0.3">
      <c r="A249" s="8">
        <v>43027.742488425924</v>
      </c>
      <c r="B249" t="s">
        <v>423</v>
      </c>
      <c r="C249" t="s">
        <v>528</v>
      </c>
      <c r="D249" s="138">
        <v>3320000</v>
      </c>
      <c r="E249" t="s">
        <v>529</v>
      </c>
      <c r="F249" s="20" t="s">
        <v>530</v>
      </c>
      <c r="G249" s="8" t="str">
        <f t="shared" si="6"/>
        <v>NICHOLSON WESLEY</v>
      </c>
      <c r="H249" s="20" t="str">
        <f t="shared" si="7"/>
        <v>4009</v>
      </c>
    </row>
    <row r="250" spans="1:8" x14ac:dyDescent="0.3">
      <c r="A250" s="8">
        <v>43027.746655092589</v>
      </c>
      <c r="B250" t="s">
        <v>502</v>
      </c>
      <c r="C250" t="s">
        <v>531</v>
      </c>
      <c r="D250" s="138">
        <v>1300000</v>
      </c>
      <c r="E250" t="s">
        <v>429</v>
      </c>
      <c r="F250" s="20" t="s">
        <v>430</v>
      </c>
      <c r="G250" s="8" t="str">
        <f t="shared" si="6"/>
        <v>LEVIN SCOTT</v>
      </c>
      <c r="H250" s="20" t="str">
        <f t="shared" si="7"/>
        <v>4015</v>
      </c>
    </row>
    <row r="251" spans="1:8" x14ac:dyDescent="0.3">
      <c r="A251" s="8">
        <v>43027.748310185183</v>
      </c>
      <c r="B251" t="s">
        <v>389</v>
      </c>
      <c r="C251" t="s">
        <v>532</v>
      </c>
      <c r="D251" s="138">
        <v>2420000</v>
      </c>
      <c r="E251" t="s">
        <v>475</v>
      </c>
      <c r="F251" s="20" t="s">
        <v>476</v>
      </c>
      <c r="G251" s="8" t="str">
        <f t="shared" si="6"/>
        <v>HOLCOMB KAMDEN</v>
      </c>
      <c r="H251" s="20" t="str">
        <f t="shared" si="7"/>
        <v>4066</v>
      </c>
    </row>
    <row r="252" spans="1:8" x14ac:dyDescent="0.3">
      <c r="A252" s="8">
        <v>43027.749768518515</v>
      </c>
      <c r="B252" t="s">
        <v>505</v>
      </c>
      <c r="C252" t="s">
        <v>533</v>
      </c>
      <c r="D252" s="138">
        <v>3280000</v>
      </c>
      <c r="E252" t="s">
        <v>448</v>
      </c>
      <c r="F252" s="20" t="s">
        <v>449</v>
      </c>
      <c r="G252" s="8" t="str">
        <f t="shared" si="6"/>
        <v>BIRKHOLZ NADINE</v>
      </c>
      <c r="H252" s="20" t="str">
        <f t="shared" si="7"/>
        <v>4023</v>
      </c>
    </row>
    <row r="253" spans="1:8" x14ac:dyDescent="0.3">
      <c r="A253" s="8">
        <v>43027.753298611111</v>
      </c>
      <c r="B253" t="s">
        <v>455</v>
      </c>
      <c r="C253" t="s">
        <v>534</v>
      </c>
      <c r="D253" s="138">
        <v>2350000</v>
      </c>
      <c r="E253" t="s">
        <v>473</v>
      </c>
      <c r="F253" s="20" t="s">
        <v>474</v>
      </c>
      <c r="G253" s="8" t="str">
        <f t="shared" si="6"/>
        <v>BERLING GARY</v>
      </c>
      <c r="H253" s="20" t="str">
        <f t="shared" si="7"/>
        <v>4007</v>
      </c>
    </row>
    <row r="254" spans="1:8" x14ac:dyDescent="0.3">
      <c r="A254" s="8">
        <v>43027.754791666666</v>
      </c>
      <c r="B254" t="s">
        <v>461</v>
      </c>
      <c r="C254" t="s">
        <v>508</v>
      </c>
      <c r="D254" s="138">
        <v>2000000</v>
      </c>
      <c r="E254" t="s">
        <v>367</v>
      </c>
      <c r="F254" s="20" t="s">
        <v>360</v>
      </c>
      <c r="G254" s="8" t="str">
        <f t="shared" si="6"/>
        <v>STAMBAUGH JAMES</v>
      </c>
      <c r="H254" s="20" t="str">
        <f t="shared" si="7"/>
        <v>4044</v>
      </c>
    </row>
    <row r="255" spans="1:8" x14ac:dyDescent="0.3">
      <c r="A255" s="8">
        <v>43027.756620370368</v>
      </c>
      <c r="B255" t="s">
        <v>503</v>
      </c>
      <c r="C255" t="s">
        <v>535</v>
      </c>
      <c r="D255" s="138">
        <v>3340000</v>
      </c>
      <c r="E255" t="s">
        <v>536</v>
      </c>
      <c r="F255" s="20" t="s">
        <v>537</v>
      </c>
      <c r="G255" s="8" t="str">
        <f t="shared" si="6"/>
        <v>ELBAUM MIKE</v>
      </c>
      <c r="H255" s="20" t="str">
        <f t="shared" si="7"/>
        <v>4058</v>
      </c>
    </row>
    <row r="256" spans="1:8" x14ac:dyDescent="0.3">
      <c r="A256" s="8">
        <v>43027.762291666666</v>
      </c>
      <c r="B256" t="s">
        <v>517</v>
      </c>
      <c r="C256" t="s">
        <v>538</v>
      </c>
      <c r="D256" s="138">
        <v>1180000</v>
      </c>
      <c r="E256" t="s">
        <v>427</v>
      </c>
      <c r="F256" s="20" t="s">
        <v>428</v>
      </c>
      <c r="G256" s="8" t="str">
        <f t="shared" si="6"/>
        <v>LEVERE CRAIG</v>
      </c>
      <c r="H256" s="20" t="str">
        <f t="shared" si="7"/>
        <v>4013</v>
      </c>
    </row>
    <row r="257" spans="1:8" x14ac:dyDescent="0.3">
      <c r="A257" s="8">
        <v>43027.767002314817</v>
      </c>
      <c r="B257" t="s">
        <v>453</v>
      </c>
      <c r="C257" t="s">
        <v>539</v>
      </c>
      <c r="D257" s="138">
        <v>2540000</v>
      </c>
      <c r="E257" t="s">
        <v>391</v>
      </c>
      <c r="F257" s="20" t="s">
        <v>392</v>
      </c>
      <c r="G257" s="8" t="str">
        <f t="shared" si="6"/>
        <v>MCREYNOLDS KYLE</v>
      </c>
      <c r="H257" s="20" t="str">
        <f t="shared" si="7"/>
        <v>4018</v>
      </c>
    </row>
    <row r="258" spans="1:8" x14ac:dyDescent="0.3">
      <c r="A258" s="8">
        <v>43027.768379629626</v>
      </c>
      <c r="B258" t="s">
        <v>460</v>
      </c>
      <c r="C258" t="s">
        <v>540</v>
      </c>
      <c r="D258" s="138">
        <v>2000000</v>
      </c>
      <c r="E258" t="s">
        <v>367</v>
      </c>
      <c r="F258" s="20" t="s">
        <v>360</v>
      </c>
      <c r="G258" s="8" t="str">
        <f t="shared" si="6"/>
        <v>STAMBAUGH JAMES</v>
      </c>
      <c r="H258" s="20" t="str">
        <f t="shared" si="7"/>
        <v>4043</v>
      </c>
    </row>
    <row r="259" spans="1:8" x14ac:dyDescent="0.3">
      <c r="A259" s="8">
        <v>43027.773113425923</v>
      </c>
      <c r="B259" t="s">
        <v>504</v>
      </c>
      <c r="C259" t="s">
        <v>541</v>
      </c>
      <c r="D259" s="138">
        <v>3280000</v>
      </c>
      <c r="E259" t="s">
        <v>448</v>
      </c>
      <c r="F259" s="20" t="s">
        <v>449</v>
      </c>
      <c r="G259" s="8" t="str">
        <f t="shared" ref="G259:G313" si="8">E259&amp;" "&amp;F259</f>
        <v>BIRKHOLZ NADINE</v>
      </c>
      <c r="H259" s="20" t="str">
        <f t="shared" ref="H259:H313" si="9">MID(B259,13,4)</f>
        <v>4024</v>
      </c>
    </row>
    <row r="260" spans="1:8" x14ac:dyDescent="0.3">
      <c r="A260" s="8">
        <v>43027.773506944446</v>
      </c>
      <c r="B260" t="s">
        <v>454</v>
      </c>
      <c r="C260" t="s">
        <v>542</v>
      </c>
      <c r="D260" s="138">
        <v>890000</v>
      </c>
      <c r="E260" t="s">
        <v>358</v>
      </c>
      <c r="F260" s="20" t="s">
        <v>359</v>
      </c>
      <c r="G260" s="8" t="str">
        <f t="shared" si="8"/>
        <v>LOZA FIDEL</v>
      </c>
      <c r="H260" s="20" t="str">
        <f t="shared" si="9"/>
        <v>4005</v>
      </c>
    </row>
    <row r="261" spans="1:8" x14ac:dyDescent="0.3">
      <c r="A261" s="8">
        <v>43027.776759259257</v>
      </c>
      <c r="B261" t="s">
        <v>516</v>
      </c>
      <c r="C261" t="s">
        <v>543</v>
      </c>
      <c r="D261" s="138">
        <v>1300000</v>
      </c>
      <c r="E261" t="s">
        <v>429</v>
      </c>
      <c r="F261" s="20" t="s">
        <v>430</v>
      </c>
      <c r="G261" s="8" t="str">
        <f t="shared" si="8"/>
        <v>LEVIN SCOTT</v>
      </c>
      <c r="H261" s="20" t="str">
        <f t="shared" si="9"/>
        <v>4016</v>
      </c>
    </row>
    <row r="262" spans="1:8" x14ac:dyDescent="0.3">
      <c r="A262" s="8">
        <v>43027.785277777781</v>
      </c>
      <c r="B262" t="s">
        <v>390</v>
      </c>
      <c r="C262" t="s">
        <v>509</v>
      </c>
      <c r="D262" s="138">
        <v>2420000</v>
      </c>
      <c r="E262" t="s">
        <v>475</v>
      </c>
      <c r="F262" s="20" t="s">
        <v>476</v>
      </c>
      <c r="G262" s="8" t="str">
        <f t="shared" si="8"/>
        <v>HOLCOMB KAMDEN</v>
      </c>
      <c r="H262" s="20" t="str">
        <f t="shared" si="9"/>
        <v>4065</v>
      </c>
    </row>
    <row r="263" spans="1:8" x14ac:dyDescent="0.3">
      <c r="A263" s="8">
        <v>43027.787210648145</v>
      </c>
      <c r="B263" t="s">
        <v>506</v>
      </c>
      <c r="C263" t="s">
        <v>544</v>
      </c>
      <c r="D263" s="138">
        <v>3340000</v>
      </c>
      <c r="E263" t="s">
        <v>536</v>
      </c>
      <c r="F263" s="20" t="s">
        <v>537</v>
      </c>
      <c r="G263" s="8" t="str">
        <f t="shared" si="8"/>
        <v>ELBAUM MIKE</v>
      </c>
      <c r="H263" s="20" t="str">
        <f t="shared" si="9"/>
        <v>4057</v>
      </c>
    </row>
    <row r="264" spans="1:8" x14ac:dyDescent="0.3">
      <c r="A264" s="8">
        <v>43027.787766203706</v>
      </c>
      <c r="B264" t="s">
        <v>417</v>
      </c>
      <c r="C264" t="s">
        <v>545</v>
      </c>
      <c r="D264" s="138">
        <v>1360000</v>
      </c>
      <c r="E264" t="s">
        <v>546</v>
      </c>
      <c r="F264" s="20" t="s">
        <v>547</v>
      </c>
      <c r="G264" s="8" t="str">
        <f t="shared" si="8"/>
        <v>SANTIZO D. EDY</v>
      </c>
      <c r="H264" s="20" t="str">
        <f t="shared" si="9"/>
        <v>4008</v>
      </c>
    </row>
    <row r="265" spans="1:8" x14ac:dyDescent="0.3">
      <c r="A265" s="8">
        <v>43027.789629629631</v>
      </c>
      <c r="B265" t="s">
        <v>505</v>
      </c>
      <c r="C265" t="s">
        <v>548</v>
      </c>
      <c r="D265" s="138">
        <v>3280000</v>
      </c>
      <c r="E265" t="s">
        <v>448</v>
      </c>
      <c r="F265" s="20" t="s">
        <v>449</v>
      </c>
      <c r="G265" s="8" t="str">
        <f t="shared" si="8"/>
        <v>BIRKHOLZ NADINE</v>
      </c>
      <c r="H265" s="20" t="str">
        <f t="shared" si="9"/>
        <v>4023</v>
      </c>
    </row>
    <row r="266" spans="1:8" x14ac:dyDescent="0.3">
      <c r="A266" s="8">
        <v>43027.793182870373</v>
      </c>
      <c r="B266" t="s">
        <v>461</v>
      </c>
      <c r="C266" t="s">
        <v>549</v>
      </c>
      <c r="D266" s="138">
        <v>2600000</v>
      </c>
      <c r="E266" t="s">
        <v>550</v>
      </c>
      <c r="F266" s="20" t="s">
        <v>523</v>
      </c>
      <c r="G266" s="8" t="str">
        <f t="shared" si="8"/>
        <v>DAVIDSON DAVID</v>
      </c>
      <c r="H266" s="20" t="str">
        <f t="shared" si="9"/>
        <v>4044</v>
      </c>
    </row>
    <row r="267" spans="1:8" x14ac:dyDescent="0.3">
      <c r="A267" s="8">
        <v>43027.794131944444</v>
      </c>
      <c r="B267" t="s">
        <v>461</v>
      </c>
      <c r="C267" t="s">
        <v>549</v>
      </c>
      <c r="D267" s="138">
        <v>2600000</v>
      </c>
      <c r="E267" t="s">
        <v>550</v>
      </c>
      <c r="F267" s="20" t="s">
        <v>523</v>
      </c>
      <c r="G267" s="8" t="str">
        <f t="shared" si="8"/>
        <v>DAVIDSON DAVID</v>
      </c>
      <c r="H267" s="20" t="str">
        <f t="shared" si="9"/>
        <v>4044</v>
      </c>
    </row>
    <row r="268" spans="1:8" x14ac:dyDescent="0.3">
      <c r="A268" s="8">
        <v>43027.795173611114</v>
      </c>
      <c r="B268" t="s">
        <v>461</v>
      </c>
      <c r="C268" t="s">
        <v>551</v>
      </c>
      <c r="D268" s="138">
        <v>2600000</v>
      </c>
      <c r="E268" t="s">
        <v>550</v>
      </c>
      <c r="F268" s="20" t="s">
        <v>523</v>
      </c>
      <c r="G268" s="8" t="str">
        <f t="shared" si="8"/>
        <v>DAVIDSON DAVID</v>
      </c>
      <c r="H268" s="20" t="str">
        <f t="shared" si="9"/>
        <v>4044</v>
      </c>
    </row>
    <row r="269" spans="1:8" x14ac:dyDescent="0.3">
      <c r="A269" s="8">
        <v>43027.799062500002</v>
      </c>
      <c r="B269" t="s">
        <v>518</v>
      </c>
      <c r="C269" t="s">
        <v>552</v>
      </c>
      <c r="D269" s="138">
        <v>1180000</v>
      </c>
      <c r="E269" t="s">
        <v>427</v>
      </c>
      <c r="F269" s="20" t="s">
        <v>428</v>
      </c>
      <c r="G269" s="8" t="str">
        <f t="shared" si="8"/>
        <v>LEVERE CRAIG</v>
      </c>
      <c r="H269" s="20" t="str">
        <f t="shared" si="9"/>
        <v>4014</v>
      </c>
    </row>
    <row r="270" spans="1:8" x14ac:dyDescent="0.3">
      <c r="A270" s="8">
        <v>43027.800520833334</v>
      </c>
      <c r="B270" t="s">
        <v>390</v>
      </c>
      <c r="C270" t="s">
        <v>509</v>
      </c>
      <c r="D270" s="138">
        <v>2420000</v>
      </c>
      <c r="E270" t="s">
        <v>475</v>
      </c>
      <c r="F270" s="20" t="s">
        <v>476</v>
      </c>
      <c r="G270" s="8" t="str">
        <f t="shared" si="8"/>
        <v>HOLCOMB KAMDEN</v>
      </c>
      <c r="H270" s="20" t="str">
        <f t="shared" si="9"/>
        <v>4065</v>
      </c>
    </row>
    <row r="271" spans="1:8" x14ac:dyDescent="0.3">
      <c r="A271" s="8">
        <v>43027.804224537038</v>
      </c>
      <c r="B271" t="s">
        <v>457</v>
      </c>
      <c r="C271" t="s">
        <v>553</v>
      </c>
      <c r="D271" s="138">
        <v>2540000</v>
      </c>
      <c r="E271" t="s">
        <v>391</v>
      </c>
      <c r="F271" s="20" t="s">
        <v>392</v>
      </c>
      <c r="G271" s="8" t="str">
        <f t="shared" si="8"/>
        <v>MCREYNOLDS KYLE</v>
      </c>
      <c r="H271" s="20" t="str">
        <f t="shared" si="9"/>
        <v>4017</v>
      </c>
    </row>
    <row r="272" spans="1:8" x14ac:dyDescent="0.3">
      <c r="A272" s="8">
        <v>43027.810300925928</v>
      </c>
      <c r="B272" t="s">
        <v>460</v>
      </c>
      <c r="C272" t="s">
        <v>549</v>
      </c>
      <c r="D272" s="138">
        <v>2600000</v>
      </c>
      <c r="E272" t="s">
        <v>550</v>
      </c>
      <c r="F272" s="20" t="s">
        <v>523</v>
      </c>
      <c r="G272" s="8" t="str">
        <f t="shared" si="8"/>
        <v>DAVIDSON DAVID</v>
      </c>
      <c r="H272" s="20" t="str">
        <f t="shared" si="9"/>
        <v>4043</v>
      </c>
    </row>
    <row r="273" spans="1:8" x14ac:dyDescent="0.3">
      <c r="A273" s="8">
        <v>43027.810370370367</v>
      </c>
      <c r="B273" t="s">
        <v>472</v>
      </c>
      <c r="C273" t="s">
        <v>554</v>
      </c>
      <c r="D273" s="138">
        <v>890000</v>
      </c>
      <c r="E273" t="s">
        <v>358</v>
      </c>
      <c r="F273" s="20" t="s">
        <v>359</v>
      </c>
      <c r="G273" s="8" t="str">
        <f t="shared" si="8"/>
        <v>LOZA FIDEL</v>
      </c>
      <c r="H273" s="20" t="str">
        <f t="shared" si="9"/>
        <v>4006</v>
      </c>
    </row>
    <row r="274" spans="1:8" x14ac:dyDescent="0.3">
      <c r="A274" s="8">
        <v>43027.819351851853</v>
      </c>
      <c r="B274" t="s">
        <v>455</v>
      </c>
      <c r="C274" t="s">
        <v>555</v>
      </c>
      <c r="D274" s="138">
        <v>1360000</v>
      </c>
      <c r="E274" t="s">
        <v>546</v>
      </c>
      <c r="F274" s="20" t="s">
        <v>547</v>
      </c>
      <c r="G274" s="8" t="str">
        <f t="shared" si="8"/>
        <v>SANTIZO D. EDY</v>
      </c>
      <c r="H274" s="20" t="str">
        <f t="shared" si="9"/>
        <v>4007</v>
      </c>
    </row>
    <row r="275" spans="1:8" x14ac:dyDescent="0.3">
      <c r="A275" s="8">
        <v>43027.82068287037</v>
      </c>
      <c r="B275" t="s">
        <v>389</v>
      </c>
      <c r="C275" t="s">
        <v>556</v>
      </c>
      <c r="D275" s="138">
        <v>2420000</v>
      </c>
      <c r="E275" t="s">
        <v>475</v>
      </c>
      <c r="F275" s="20" t="s">
        <v>476</v>
      </c>
      <c r="G275" s="8" t="str">
        <f t="shared" si="8"/>
        <v>HOLCOMB KAMDEN</v>
      </c>
      <c r="H275" s="20" t="str">
        <f t="shared" si="9"/>
        <v>4066</v>
      </c>
    </row>
    <row r="276" spans="1:8" x14ac:dyDescent="0.3">
      <c r="A276" s="8">
        <v>43027.825115740743</v>
      </c>
      <c r="B276" t="s">
        <v>424</v>
      </c>
      <c r="C276" t="s">
        <v>525</v>
      </c>
      <c r="D276" s="138">
        <v>3320000</v>
      </c>
      <c r="E276" t="s">
        <v>529</v>
      </c>
      <c r="F276" s="20" t="s">
        <v>530</v>
      </c>
      <c r="G276" s="8" t="str">
        <f t="shared" si="8"/>
        <v>NICHOLSON WESLEY</v>
      </c>
      <c r="H276" s="20" t="str">
        <f t="shared" si="9"/>
        <v>4010</v>
      </c>
    </row>
    <row r="277" spans="1:8" x14ac:dyDescent="0.3">
      <c r="A277" s="8">
        <v>43027.827708333331</v>
      </c>
      <c r="B277" t="s">
        <v>503</v>
      </c>
      <c r="C277" t="s">
        <v>557</v>
      </c>
      <c r="D277" s="138">
        <v>3340000</v>
      </c>
      <c r="E277" t="s">
        <v>536</v>
      </c>
      <c r="F277" s="20" t="s">
        <v>537</v>
      </c>
      <c r="G277" s="8" t="str">
        <f t="shared" si="8"/>
        <v>ELBAUM MIKE</v>
      </c>
      <c r="H277" s="20" t="str">
        <f t="shared" si="9"/>
        <v>4058</v>
      </c>
    </row>
    <row r="278" spans="1:8" x14ac:dyDescent="0.3">
      <c r="A278" s="8">
        <v>43027.830347222225</v>
      </c>
      <c r="B278" t="s">
        <v>423</v>
      </c>
      <c r="C278" t="s">
        <v>525</v>
      </c>
      <c r="D278" s="138">
        <v>3320000</v>
      </c>
      <c r="E278" t="s">
        <v>529</v>
      </c>
      <c r="F278" s="20" t="s">
        <v>530</v>
      </c>
      <c r="G278" s="8" t="str">
        <f t="shared" si="8"/>
        <v>NICHOLSON WESLEY</v>
      </c>
      <c r="H278" s="20" t="str">
        <f t="shared" si="9"/>
        <v>4009</v>
      </c>
    </row>
    <row r="279" spans="1:8" x14ac:dyDescent="0.3">
      <c r="A279" s="8">
        <v>43027.836145833331</v>
      </c>
      <c r="B279" t="s">
        <v>461</v>
      </c>
      <c r="C279" t="s">
        <v>558</v>
      </c>
      <c r="D279" s="138">
        <v>3130000</v>
      </c>
      <c r="E279" t="s">
        <v>479</v>
      </c>
      <c r="F279" s="20" t="s">
        <v>480</v>
      </c>
      <c r="G279" s="8" t="str">
        <f t="shared" si="8"/>
        <v>ZEWDU DEREJE</v>
      </c>
      <c r="H279" s="20" t="str">
        <f t="shared" si="9"/>
        <v>4044</v>
      </c>
    </row>
    <row r="280" spans="1:8" x14ac:dyDescent="0.3">
      <c r="A280" s="8">
        <v>43027.849907407406</v>
      </c>
      <c r="B280" t="s">
        <v>454</v>
      </c>
      <c r="C280" t="s">
        <v>559</v>
      </c>
      <c r="D280" s="138">
        <v>890000</v>
      </c>
      <c r="E280" t="s">
        <v>358</v>
      </c>
      <c r="F280" s="20" t="s">
        <v>359</v>
      </c>
      <c r="G280" s="8" t="str">
        <f t="shared" si="8"/>
        <v>LOZA FIDEL</v>
      </c>
      <c r="H280" s="20" t="str">
        <f t="shared" si="9"/>
        <v>4005</v>
      </c>
    </row>
    <row r="281" spans="1:8" x14ac:dyDescent="0.3">
      <c r="A281" s="8">
        <v>43027.850057870368</v>
      </c>
      <c r="B281" t="s">
        <v>424</v>
      </c>
      <c r="C281" t="s">
        <v>560</v>
      </c>
      <c r="D281" s="138">
        <v>2540000</v>
      </c>
      <c r="E281" t="s">
        <v>391</v>
      </c>
      <c r="F281" s="20" t="s">
        <v>392</v>
      </c>
      <c r="G281" s="8" t="str">
        <f t="shared" si="8"/>
        <v>MCREYNOLDS KYLE</v>
      </c>
      <c r="H281" s="20" t="str">
        <f t="shared" si="9"/>
        <v>4010</v>
      </c>
    </row>
    <row r="282" spans="1:8" x14ac:dyDescent="0.3">
      <c r="A282" s="8">
        <v>43027.851134259261</v>
      </c>
      <c r="B282" t="s">
        <v>460</v>
      </c>
      <c r="C282" t="s">
        <v>561</v>
      </c>
      <c r="D282" s="138">
        <v>3130000</v>
      </c>
      <c r="E282" t="s">
        <v>479</v>
      </c>
      <c r="F282" s="20" t="s">
        <v>480</v>
      </c>
      <c r="G282" s="8" t="str">
        <f t="shared" si="8"/>
        <v>ZEWDU DEREJE</v>
      </c>
      <c r="H282" s="20" t="str">
        <f t="shared" si="9"/>
        <v>4043</v>
      </c>
    </row>
    <row r="283" spans="1:8" x14ac:dyDescent="0.3">
      <c r="A283" s="8">
        <v>43027.859826388885</v>
      </c>
      <c r="B283" t="s">
        <v>506</v>
      </c>
      <c r="C283" t="s">
        <v>510</v>
      </c>
      <c r="D283" s="138">
        <v>3340000</v>
      </c>
      <c r="E283" t="s">
        <v>536</v>
      </c>
      <c r="F283" s="20" t="s">
        <v>537</v>
      </c>
      <c r="G283" s="8" t="str">
        <f t="shared" si="8"/>
        <v>ELBAUM MIKE</v>
      </c>
      <c r="H283" s="20" t="str">
        <f t="shared" si="9"/>
        <v>4057</v>
      </c>
    </row>
    <row r="284" spans="1:8" x14ac:dyDescent="0.3">
      <c r="A284" s="8">
        <v>43027.871770833335</v>
      </c>
      <c r="B284" t="s">
        <v>417</v>
      </c>
      <c r="C284" t="s">
        <v>562</v>
      </c>
      <c r="D284" s="138">
        <v>3310000</v>
      </c>
      <c r="E284" t="s">
        <v>379</v>
      </c>
      <c r="F284" s="20" t="s">
        <v>380</v>
      </c>
      <c r="G284" s="8" t="str">
        <f t="shared" si="8"/>
        <v>ANDERS STEVEN</v>
      </c>
      <c r="H284" s="20" t="str">
        <f t="shared" si="9"/>
        <v>4008</v>
      </c>
    </row>
    <row r="285" spans="1:8" x14ac:dyDescent="0.3">
      <c r="A285" s="8">
        <v>43027.874143518522</v>
      </c>
      <c r="B285" t="s">
        <v>461</v>
      </c>
      <c r="C285" t="s">
        <v>563</v>
      </c>
      <c r="D285" s="138">
        <v>2440000</v>
      </c>
      <c r="E285" t="s">
        <v>564</v>
      </c>
      <c r="F285" s="20" t="s">
        <v>565</v>
      </c>
      <c r="G285" s="8" t="str">
        <f t="shared" si="8"/>
        <v>LOPES KIMBERLY</v>
      </c>
      <c r="H285" s="20" t="str">
        <f t="shared" si="9"/>
        <v>4044</v>
      </c>
    </row>
    <row r="286" spans="1:8" x14ac:dyDescent="0.3">
      <c r="A286" s="8">
        <v>43027.888333333336</v>
      </c>
      <c r="B286" t="s">
        <v>472</v>
      </c>
      <c r="C286" t="s">
        <v>566</v>
      </c>
      <c r="D286" s="138">
        <v>3320000</v>
      </c>
      <c r="E286" t="s">
        <v>529</v>
      </c>
      <c r="F286" s="20" t="s">
        <v>530</v>
      </c>
      <c r="G286" s="8" t="str">
        <f t="shared" si="8"/>
        <v>NICHOLSON WESLEY</v>
      </c>
      <c r="H286" s="20" t="str">
        <f t="shared" si="9"/>
        <v>4006</v>
      </c>
    </row>
    <row r="287" spans="1:8" x14ac:dyDescent="0.3">
      <c r="A287" s="8">
        <v>43027.888518518521</v>
      </c>
      <c r="B287" t="s">
        <v>423</v>
      </c>
      <c r="C287" t="s">
        <v>567</v>
      </c>
      <c r="D287" s="138">
        <v>2540000</v>
      </c>
      <c r="E287" t="s">
        <v>391</v>
      </c>
      <c r="F287" s="20" t="s">
        <v>392</v>
      </c>
      <c r="G287" s="8" t="str">
        <f t="shared" si="8"/>
        <v>MCREYNOLDS KYLE</v>
      </c>
      <c r="H287" s="20" t="str">
        <f t="shared" si="9"/>
        <v>4009</v>
      </c>
    </row>
    <row r="288" spans="1:8" x14ac:dyDescent="0.3">
      <c r="A288" s="8">
        <v>43027.893078703702</v>
      </c>
      <c r="B288" t="s">
        <v>460</v>
      </c>
      <c r="C288" t="s">
        <v>568</v>
      </c>
      <c r="D288" s="138">
        <v>2440000</v>
      </c>
      <c r="E288" t="s">
        <v>564</v>
      </c>
      <c r="F288" s="20" t="s">
        <v>565</v>
      </c>
      <c r="G288" s="8" t="str">
        <f t="shared" si="8"/>
        <v>LOPES KIMBERLY</v>
      </c>
      <c r="H288" s="20" t="str">
        <f t="shared" si="9"/>
        <v>4043</v>
      </c>
    </row>
    <row r="289" spans="1:8" x14ac:dyDescent="0.3">
      <c r="A289" s="8">
        <v>43027.900636574072</v>
      </c>
      <c r="B289" t="s">
        <v>503</v>
      </c>
      <c r="C289" t="s">
        <v>569</v>
      </c>
      <c r="D289" s="138">
        <v>3340000</v>
      </c>
      <c r="E289" t="s">
        <v>536</v>
      </c>
      <c r="F289" s="20" t="s">
        <v>537</v>
      </c>
      <c r="G289" s="8" t="str">
        <f t="shared" si="8"/>
        <v>ELBAUM MIKE</v>
      </c>
      <c r="H289" s="20" t="str">
        <f t="shared" si="9"/>
        <v>4058</v>
      </c>
    </row>
    <row r="290" spans="1:8" x14ac:dyDescent="0.3">
      <c r="A290" s="8">
        <v>43027.90148148148</v>
      </c>
      <c r="B290" t="s">
        <v>453</v>
      </c>
      <c r="C290" t="s">
        <v>525</v>
      </c>
      <c r="D290" s="138">
        <v>2600000</v>
      </c>
      <c r="E290" t="s">
        <v>550</v>
      </c>
      <c r="F290" s="20" t="s">
        <v>523</v>
      </c>
      <c r="G290" s="8" t="str">
        <f t="shared" si="8"/>
        <v>DAVIDSON DAVID</v>
      </c>
      <c r="H290" s="20" t="str">
        <f t="shared" si="9"/>
        <v>4018</v>
      </c>
    </row>
    <row r="291" spans="1:8" x14ac:dyDescent="0.3">
      <c r="A291" s="8">
        <v>43027.905092592591</v>
      </c>
      <c r="B291" t="s">
        <v>457</v>
      </c>
      <c r="C291" t="s">
        <v>525</v>
      </c>
      <c r="D291" s="138">
        <v>2600000</v>
      </c>
      <c r="E291" t="s">
        <v>550</v>
      </c>
      <c r="F291" s="20" t="s">
        <v>523</v>
      </c>
      <c r="G291" s="8" t="str">
        <f t="shared" si="8"/>
        <v>DAVIDSON DAVID</v>
      </c>
      <c r="H291" s="20" t="str">
        <f t="shared" si="9"/>
        <v>4017</v>
      </c>
    </row>
    <row r="292" spans="1:8" x14ac:dyDescent="0.3">
      <c r="A292" s="8">
        <v>43027.912083333336</v>
      </c>
      <c r="B292" t="s">
        <v>455</v>
      </c>
      <c r="C292" t="s">
        <v>570</v>
      </c>
      <c r="D292" s="138">
        <v>3310000</v>
      </c>
      <c r="E292" t="s">
        <v>379</v>
      </c>
      <c r="F292" s="20" t="s">
        <v>380</v>
      </c>
      <c r="G292" s="8" t="str">
        <f t="shared" si="8"/>
        <v>ANDERS STEVEN</v>
      </c>
      <c r="H292" s="20" t="str">
        <f t="shared" si="9"/>
        <v>4007</v>
      </c>
    </row>
    <row r="293" spans="1:8" x14ac:dyDescent="0.3">
      <c r="A293" s="8">
        <v>43027.919351851851</v>
      </c>
      <c r="B293" t="s">
        <v>461</v>
      </c>
      <c r="C293" t="s">
        <v>571</v>
      </c>
      <c r="D293" s="138">
        <v>3280000</v>
      </c>
      <c r="E293" t="s">
        <v>448</v>
      </c>
      <c r="F293" s="20" t="s">
        <v>449</v>
      </c>
      <c r="G293" s="8" t="str">
        <f t="shared" si="8"/>
        <v>BIRKHOLZ NADINE</v>
      </c>
      <c r="H293" s="20" t="str">
        <f t="shared" si="9"/>
        <v>4044</v>
      </c>
    </row>
    <row r="294" spans="1:8" x14ac:dyDescent="0.3">
      <c r="A294" s="8">
        <v>43027.926724537036</v>
      </c>
      <c r="B294" t="s">
        <v>454</v>
      </c>
      <c r="C294" t="s">
        <v>572</v>
      </c>
      <c r="D294" s="138">
        <v>3320000</v>
      </c>
      <c r="E294" t="s">
        <v>529</v>
      </c>
      <c r="F294" s="20" t="s">
        <v>530</v>
      </c>
      <c r="G294" s="8" t="str">
        <f t="shared" si="8"/>
        <v>NICHOLSON WESLEY</v>
      </c>
      <c r="H294" s="20" t="str">
        <f t="shared" si="9"/>
        <v>4005</v>
      </c>
    </row>
    <row r="295" spans="1:8" x14ac:dyDescent="0.3">
      <c r="A295" s="8">
        <v>43027.933495370373</v>
      </c>
      <c r="B295" t="s">
        <v>453</v>
      </c>
      <c r="C295" t="s">
        <v>573</v>
      </c>
      <c r="D295" s="138">
        <v>2540000</v>
      </c>
      <c r="E295" t="s">
        <v>391</v>
      </c>
      <c r="F295" s="20" t="s">
        <v>392</v>
      </c>
      <c r="G295" s="8" t="str">
        <f t="shared" si="8"/>
        <v>MCREYNOLDS KYLE</v>
      </c>
      <c r="H295" s="20" t="str">
        <f t="shared" si="9"/>
        <v>4018</v>
      </c>
    </row>
    <row r="296" spans="1:8" x14ac:dyDescent="0.3">
      <c r="A296" s="8">
        <v>43027.935891203706</v>
      </c>
      <c r="B296" t="s">
        <v>460</v>
      </c>
      <c r="C296" t="s">
        <v>574</v>
      </c>
      <c r="D296" s="138">
        <v>3280000</v>
      </c>
      <c r="E296" t="s">
        <v>448</v>
      </c>
      <c r="F296" s="20" t="s">
        <v>449</v>
      </c>
      <c r="G296" s="8" t="str">
        <f t="shared" si="8"/>
        <v>BIRKHOLZ NADINE</v>
      </c>
      <c r="H296" s="20" t="str">
        <f t="shared" si="9"/>
        <v>4043</v>
      </c>
    </row>
    <row r="297" spans="1:8" x14ac:dyDescent="0.3">
      <c r="A297" s="8">
        <v>43027.94259259259</v>
      </c>
      <c r="B297" t="s">
        <v>506</v>
      </c>
      <c r="C297" t="s">
        <v>575</v>
      </c>
      <c r="D297" s="138">
        <v>3340000</v>
      </c>
      <c r="E297" t="s">
        <v>536</v>
      </c>
      <c r="F297" s="20" t="s">
        <v>537</v>
      </c>
      <c r="G297" s="8" t="str">
        <f t="shared" si="8"/>
        <v>ELBAUM MIKE</v>
      </c>
      <c r="H297" s="20" t="str">
        <f t="shared" si="9"/>
        <v>4057</v>
      </c>
    </row>
    <row r="298" spans="1:8" x14ac:dyDescent="0.3">
      <c r="A298" s="8">
        <v>43027.956400462965</v>
      </c>
      <c r="B298" t="s">
        <v>417</v>
      </c>
      <c r="C298" t="s">
        <v>576</v>
      </c>
      <c r="D298" s="138">
        <v>3310000</v>
      </c>
      <c r="E298" t="s">
        <v>379</v>
      </c>
      <c r="F298" s="20" t="s">
        <v>380</v>
      </c>
      <c r="G298" s="8" t="str">
        <f t="shared" si="8"/>
        <v>ANDERS STEVEN</v>
      </c>
      <c r="H298" s="20" t="str">
        <f t="shared" si="9"/>
        <v>4008</v>
      </c>
    </row>
    <row r="299" spans="1:8" x14ac:dyDescent="0.3">
      <c r="A299" s="8">
        <v>43027.960833333331</v>
      </c>
      <c r="B299" t="s">
        <v>461</v>
      </c>
      <c r="C299" t="s">
        <v>577</v>
      </c>
      <c r="D299" s="138">
        <v>3280000</v>
      </c>
      <c r="E299" t="s">
        <v>448</v>
      </c>
      <c r="F299" s="20" t="s">
        <v>449</v>
      </c>
      <c r="G299" s="8" t="str">
        <f t="shared" si="8"/>
        <v>BIRKHOLZ NADINE</v>
      </c>
      <c r="H299" s="20" t="str">
        <f t="shared" si="9"/>
        <v>4044</v>
      </c>
    </row>
    <row r="300" spans="1:8" x14ac:dyDescent="0.3">
      <c r="A300" s="8">
        <v>43027.97184027778</v>
      </c>
      <c r="B300" t="s">
        <v>457</v>
      </c>
      <c r="C300" t="s">
        <v>578</v>
      </c>
      <c r="D300" s="138">
        <v>2540000</v>
      </c>
      <c r="E300" t="s">
        <v>391</v>
      </c>
      <c r="F300" s="20" t="s">
        <v>392</v>
      </c>
      <c r="G300" s="8" t="str">
        <f t="shared" si="8"/>
        <v>MCREYNOLDS KYLE</v>
      </c>
      <c r="H300" s="20" t="str">
        <f t="shared" si="9"/>
        <v>4017</v>
      </c>
    </row>
    <row r="301" spans="1:8" x14ac:dyDescent="0.3">
      <c r="A301" s="8">
        <v>43027.976574074077</v>
      </c>
      <c r="B301" t="s">
        <v>460</v>
      </c>
      <c r="C301" t="s">
        <v>579</v>
      </c>
      <c r="D301" s="138">
        <v>3280000</v>
      </c>
      <c r="E301" t="s">
        <v>448</v>
      </c>
      <c r="F301" s="20" t="s">
        <v>449</v>
      </c>
      <c r="G301" s="8" t="str">
        <f t="shared" si="8"/>
        <v>BIRKHOLZ NADINE</v>
      </c>
      <c r="H301" s="20" t="str">
        <f t="shared" si="9"/>
        <v>4043</v>
      </c>
    </row>
    <row r="302" spans="1:8" x14ac:dyDescent="0.3">
      <c r="A302" s="8">
        <v>43027.978032407409</v>
      </c>
      <c r="B302" t="s">
        <v>472</v>
      </c>
      <c r="C302" t="s">
        <v>580</v>
      </c>
      <c r="D302" s="138">
        <v>890000</v>
      </c>
      <c r="E302" t="s">
        <v>358</v>
      </c>
      <c r="F302" s="20" t="s">
        <v>359</v>
      </c>
      <c r="G302" s="8" t="str">
        <f t="shared" si="8"/>
        <v>LOZA FIDEL</v>
      </c>
      <c r="H302" s="20" t="str">
        <f t="shared" si="9"/>
        <v>4006</v>
      </c>
    </row>
    <row r="303" spans="1:8" x14ac:dyDescent="0.3">
      <c r="A303" s="8">
        <v>43027.984525462962</v>
      </c>
      <c r="B303" t="s">
        <v>503</v>
      </c>
      <c r="C303" t="s">
        <v>581</v>
      </c>
      <c r="D303" s="138">
        <v>3340000</v>
      </c>
      <c r="E303" t="s">
        <v>536</v>
      </c>
      <c r="F303" s="20" t="s">
        <v>537</v>
      </c>
      <c r="G303" s="8" t="str">
        <f t="shared" si="8"/>
        <v>ELBAUM MIKE</v>
      </c>
      <c r="H303" s="20" t="str">
        <f t="shared" si="9"/>
        <v>4058</v>
      </c>
    </row>
    <row r="304" spans="1:8" x14ac:dyDescent="0.3">
      <c r="A304" s="8">
        <v>43027.994988425926</v>
      </c>
      <c r="B304" t="s">
        <v>455</v>
      </c>
      <c r="C304" t="s">
        <v>582</v>
      </c>
      <c r="D304" s="138">
        <v>3310000</v>
      </c>
      <c r="E304" t="s">
        <v>379</v>
      </c>
      <c r="F304" s="20" t="s">
        <v>380</v>
      </c>
      <c r="G304" s="8" t="str">
        <f t="shared" si="8"/>
        <v>ANDERS STEVEN</v>
      </c>
      <c r="H304" s="20" t="str">
        <f t="shared" si="9"/>
        <v>4007</v>
      </c>
    </row>
    <row r="305" spans="1:8" x14ac:dyDescent="0.3">
      <c r="A305" s="8">
        <v>43028.010069444441</v>
      </c>
      <c r="B305" t="s">
        <v>453</v>
      </c>
      <c r="C305" t="s">
        <v>583</v>
      </c>
      <c r="D305" s="138">
        <v>2540000</v>
      </c>
      <c r="E305" t="s">
        <v>391</v>
      </c>
      <c r="F305" s="20" t="s">
        <v>392</v>
      </c>
      <c r="G305" s="8" t="str">
        <f t="shared" si="8"/>
        <v>MCREYNOLDS KYLE</v>
      </c>
      <c r="H305" s="20" t="str">
        <f t="shared" si="9"/>
        <v>4018</v>
      </c>
    </row>
    <row r="306" spans="1:8" x14ac:dyDescent="0.3">
      <c r="A306" s="8">
        <v>43028.014560185184</v>
      </c>
      <c r="B306" t="s">
        <v>454</v>
      </c>
      <c r="C306" t="s">
        <v>584</v>
      </c>
      <c r="D306" s="138">
        <v>890000</v>
      </c>
      <c r="E306" t="s">
        <v>358</v>
      </c>
      <c r="F306" s="20" t="s">
        <v>359</v>
      </c>
      <c r="G306" s="8" t="str">
        <f t="shared" si="8"/>
        <v>LOZA FIDEL</v>
      </c>
      <c r="H306" s="20" t="str">
        <f t="shared" si="9"/>
        <v>4005</v>
      </c>
    </row>
    <row r="307" spans="1:8" x14ac:dyDescent="0.3">
      <c r="A307" s="8">
        <v>43028.031365740739</v>
      </c>
      <c r="B307" t="s">
        <v>417</v>
      </c>
      <c r="C307" t="s">
        <v>585</v>
      </c>
      <c r="D307" s="138">
        <v>3310000</v>
      </c>
      <c r="E307" t="s">
        <v>379</v>
      </c>
      <c r="F307" s="20" t="s">
        <v>380</v>
      </c>
      <c r="G307" s="8" t="str">
        <f t="shared" si="8"/>
        <v>ANDERS STEVEN</v>
      </c>
      <c r="H307" s="20" t="str">
        <f t="shared" si="9"/>
        <v>4008</v>
      </c>
    </row>
    <row r="308" spans="1:8" x14ac:dyDescent="0.3">
      <c r="A308" s="8">
        <v>43028.038553240738</v>
      </c>
      <c r="B308" t="s">
        <v>506</v>
      </c>
      <c r="C308" t="s">
        <v>586</v>
      </c>
      <c r="D308" s="138">
        <v>3340000</v>
      </c>
      <c r="E308" t="s">
        <v>536</v>
      </c>
      <c r="F308" s="20" t="s">
        <v>537</v>
      </c>
      <c r="G308" s="8" t="str">
        <f t="shared" si="8"/>
        <v>ELBAUM MIKE</v>
      </c>
      <c r="H308" s="20" t="str">
        <f t="shared" si="9"/>
        <v>4057</v>
      </c>
    </row>
    <row r="309" spans="1:8" x14ac:dyDescent="0.3">
      <c r="A309" s="8">
        <v>43028.047349537039</v>
      </c>
      <c r="B309" t="s">
        <v>472</v>
      </c>
      <c r="C309" t="s">
        <v>587</v>
      </c>
      <c r="D309" s="138">
        <v>890000</v>
      </c>
      <c r="E309" t="s">
        <v>358</v>
      </c>
      <c r="F309" s="20" t="s">
        <v>359</v>
      </c>
      <c r="G309" s="8" t="str">
        <f t="shared" si="8"/>
        <v>LOZA FIDEL</v>
      </c>
      <c r="H309" s="20" t="str">
        <f t="shared" si="9"/>
        <v>4006</v>
      </c>
    </row>
    <row r="310" spans="1:8" x14ac:dyDescent="0.3">
      <c r="A310" s="8">
        <v>43028.053391203706</v>
      </c>
      <c r="B310" t="s">
        <v>457</v>
      </c>
      <c r="C310" t="s">
        <v>588</v>
      </c>
      <c r="D310" s="138">
        <v>2540000</v>
      </c>
      <c r="E310" t="s">
        <v>391</v>
      </c>
      <c r="F310" s="20" t="s">
        <v>392</v>
      </c>
      <c r="G310" s="8" t="str">
        <f t="shared" si="8"/>
        <v>MCREYNOLDS KYLE</v>
      </c>
      <c r="H310" s="20" t="str">
        <f t="shared" si="9"/>
        <v>4017</v>
      </c>
    </row>
    <row r="311" spans="1:8" x14ac:dyDescent="0.3">
      <c r="A311" s="8">
        <v>43028.068229166667</v>
      </c>
      <c r="B311" t="s">
        <v>503</v>
      </c>
      <c r="C311" t="s">
        <v>589</v>
      </c>
      <c r="D311" s="138">
        <v>3340000</v>
      </c>
      <c r="E311" t="s">
        <v>536</v>
      </c>
      <c r="F311" s="20" t="s">
        <v>537</v>
      </c>
      <c r="G311" s="8" t="str">
        <f t="shared" si="8"/>
        <v>ELBAUM MIKE</v>
      </c>
      <c r="H311" s="20" t="str">
        <f t="shared" si="9"/>
        <v>4058</v>
      </c>
    </row>
    <row r="312" spans="1:8" x14ac:dyDescent="0.3">
      <c r="A312" s="8">
        <v>43028.089571759258</v>
      </c>
      <c r="B312" t="s">
        <v>453</v>
      </c>
      <c r="C312" t="s">
        <v>590</v>
      </c>
      <c r="D312" s="138">
        <v>2540000</v>
      </c>
      <c r="E312" t="s">
        <v>391</v>
      </c>
      <c r="F312" s="20" t="s">
        <v>392</v>
      </c>
      <c r="G312" s="8" t="str">
        <f t="shared" si="8"/>
        <v>MCREYNOLDS KYLE</v>
      </c>
      <c r="H312" s="20" t="str">
        <f t="shared" si="9"/>
        <v>4018</v>
      </c>
    </row>
    <row r="313" spans="1:8" x14ac:dyDescent="0.3">
      <c r="A313" s="8">
        <v>43028.111273148148</v>
      </c>
      <c r="B313" t="s">
        <v>384</v>
      </c>
      <c r="C313" t="s">
        <v>591</v>
      </c>
      <c r="D313" s="138">
        <v>1830000</v>
      </c>
      <c r="E313" t="s">
        <v>370</v>
      </c>
      <c r="F313" s="20" t="s">
        <v>371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342</v>
      </c>
      <c r="O1" s="218" t="s">
        <v>154</v>
      </c>
      <c r="P1" s="218" t="s">
        <v>161</v>
      </c>
      <c r="Q1" s="218" t="s">
        <v>343</v>
      </c>
      <c r="R1" s="218" t="s">
        <v>158</v>
      </c>
      <c r="S1"/>
      <c r="T1"/>
    </row>
    <row r="2" spans="1:20" x14ac:dyDescent="0.3">
      <c r="A2" s="196">
        <v>49.48</v>
      </c>
      <c r="B2" s="196">
        <v>0.04</v>
      </c>
      <c r="C2" s="196">
        <v>32.130000000000003</v>
      </c>
      <c r="D2" s="8">
        <v>43028</v>
      </c>
      <c r="E2" s="196">
        <v>0.51</v>
      </c>
      <c r="F2" s="196" t="s">
        <v>387</v>
      </c>
      <c r="G2" s="196">
        <v>271.18</v>
      </c>
      <c r="H2" s="196">
        <v>0</v>
      </c>
      <c r="I2" s="196">
        <v>0</v>
      </c>
      <c r="J2" s="196">
        <v>1006.24</v>
      </c>
      <c r="K2" s="196" t="s">
        <v>388</v>
      </c>
      <c r="L2" s="196">
        <v>49.48</v>
      </c>
      <c r="M2" s="196">
        <v>1508479200</v>
      </c>
      <c r="N2" s="196">
        <v>0</v>
      </c>
      <c r="O2" s="196">
        <v>3.02</v>
      </c>
      <c r="P2" s="196">
        <v>189</v>
      </c>
      <c r="Q2" s="196">
        <v>2.85</v>
      </c>
      <c r="R2" s="196">
        <v>1.1399999999999999</v>
      </c>
      <c r="S2"/>
      <c r="T2"/>
    </row>
    <row r="3" spans="1:20" x14ac:dyDescent="0.3">
      <c r="A3" s="196">
        <v>48.32</v>
      </c>
      <c r="B3" s="196">
        <v>0.05</v>
      </c>
      <c r="C3" s="196">
        <v>31.98</v>
      </c>
      <c r="D3" s="8">
        <v>43028.041666666664</v>
      </c>
      <c r="E3" s="196">
        <v>0.53</v>
      </c>
      <c r="F3" s="196" t="s">
        <v>387</v>
      </c>
      <c r="G3" s="196">
        <v>270.82</v>
      </c>
      <c r="H3" s="196">
        <v>0</v>
      </c>
      <c r="I3" s="196">
        <v>0</v>
      </c>
      <c r="J3" s="196">
        <v>1005.31</v>
      </c>
      <c r="K3" s="196" t="s">
        <v>388</v>
      </c>
      <c r="L3" s="196">
        <v>48.32</v>
      </c>
      <c r="M3" s="196">
        <v>1508482800</v>
      </c>
      <c r="N3" s="196">
        <v>0</v>
      </c>
      <c r="O3" s="196">
        <v>2.5499999999999998</v>
      </c>
      <c r="P3" s="196">
        <v>188</v>
      </c>
      <c r="Q3" s="196">
        <v>3</v>
      </c>
      <c r="R3" s="196">
        <v>0.88</v>
      </c>
      <c r="S3"/>
      <c r="T3"/>
    </row>
    <row r="4" spans="1:20" x14ac:dyDescent="0.3">
      <c r="A4" s="196">
        <v>47.61</v>
      </c>
      <c r="B4" s="196">
        <v>0.02</v>
      </c>
      <c r="C4" s="196">
        <v>31.66</v>
      </c>
      <c r="D4" s="8">
        <v>43028.083333333336</v>
      </c>
      <c r="E4" s="196">
        <v>0.54</v>
      </c>
      <c r="F4" s="196" t="s">
        <v>387</v>
      </c>
      <c r="G4" s="196">
        <v>270.45999999999998</v>
      </c>
      <c r="H4" s="196">
        <v>0</v>
      </c>
      <c r="I4" s="196">
        <v>0</v>
      </c>
      <c r="J4" s="196">
        <v>1005.01</v>
      </c>
      <c r="K4" s="196" t="s">
        <v>388</v>
      </c>
      <c r="L4" s="196">
        <v>47.61</v>
      </c>
      <c r="M4" s="196">
        <v>1508486400</v>
      </c>
      <c r="N4" s="196">
        <v>0</v>
      </c>
      <c r="O4" s="196">
        <v>3.31</v>
      </c>
      <c r="P4" s="196">
        <v>176</v>
      </c>
      <c r="Q4" s="196">
        <v>2.84</v>
      </c>
      <c r="R4" s="196">
        <v>0.88</v>
      </c>
      <c r="S4"/>
      <c r="T4"/>
    </row>
    <row r="5" spans="1:20" x14ac:dyDescent="0.3">
      <c r="A5" s="196">
        <v>46.68</v>
      </c>
      <c r="B5" s="196">
        <v>0.02</v>
      </c>
      <c r="C5" s="196">
        <v>31.44</v>
      </c>
      <c r="D5" s="8">
        <v>43028.125</v>
      </c>
      <c r="E5" s="196">
        <v>0.55000000000000004</v>
      </c>
      <c r="F5" s="196" t="s">
        <v>387</v>
      </c>
      <c r="G5" s="196">
        <v>269.97000000000003</v>
      </c>
      <c r="H5" s="196">
        <v>0</v>
      </c>
      <c r="I5" s="196">
        <v>0</v>
      </c>
      <c r="J5" s="196">
        <v>1004.56</v>
      </c>
      <c r="K5" s="196" t="s">
        <v>388</v>
      </c>
      <c r="L5" s="196">
        <v>46.68</v>
      </c>
      <c r="M5" s="196">
        <v>1508490000</v>
      </c>
      <c r="N5" s="196">
        <v>0</v>
      </c>
      <c r="O5" s="196">
        <v>3.34</v>
      </c>
      <c r="P5" s="196">
        <v>181</v>
      </c>
      <c r="Q5" s="196">
        <v>3.15</v>
      </c>
      <c r="R5" s="196">
        <v>1.02</v>
      </c>
      <c r="S5"/>
      <c r="T5"/>
    </row>
    <row r="6" spans="1:20" x14ac:dyDescent="0.3">
      <c r="A6" s="196">
        <v>45.74</v>
      </c>
      <c r="B6" s="196">
        <v>0.02</v>
      </c>
      <c r="C6" s="196">
        <v>31.45</v>
      </c>
      <c r="D6" s="8">
        <v>43028.166666666664</v>
      </c>
      <c r="E6" s="196">
        <v>0.56999999999999995</v>
      </c>
      <c r="F6" s="196" t="s">
        <v>387</v>
      </c>
      <c r="G6" s="196">
        <v>268.86</v>
      </c>
      <c r="H6" s="196">
        <v>0</v>
      </c>
      <c r="I6" s="196">
        <v>0</v>
      </c>
      <c r="J6" s="196">
        <v>1004.31</v>
      </c>
      <c r="K6" s="196" t="s">
        <v>388</v>
      </c>
      <c r="L6" s="196">
        <v>45.74</v>
      </c>
      <c r="M6" s="196">
        <v>1508493600</v>
      </c>
      <c r="N6" s="196">
        <v>0</v>
      </c>
      <c r="O6" s="196">
        <v>3.66</v>
      </c>
      <c r="P6" s="196">
        <v>202</v>
      </c>
      <c r="Q6" s="196">
        <v>3.01</v>
      </c>
      <c r="R6" s="196">
        <v>1.24</v>
      </c>
      <c r="S6"/>
      <c r="T6"/>
    </row>
    <row r="7" spans="1:20" x14ac:dyDescent="0.3">
      <c r="A7" s="196">
        <v>45.47</v>
      </c>
      <c r="B7" s="196">
        <v>0.02</v>
      </c>
      <c r="C7" s="196">
        <v>31.2</v>
      </c>
      <c r="D7" s="8">
        <v>43028.208333333336</v>
      </c>
      <c r="E7" s="196">
        <v>0.56999999999999995</v>
      </c>
      <c r="F7" s="196" t="s">
        <v>387</v>
      </c>
      <c r="G7" s="196">
        <v>267.86</v>
      </c>
      <c r="H7" s="196">
        <v>0</v>
      </c>
      <c r="I7" s="196">
        <v>0</v>
      </c>
      <c r="J7" s="196">
        <v>1004.33</v>
      </c>
      <c r="K7" s="196" t="s">
        <v>388</v>
      </c>
      <c r="L7" s="196">
        <v>45.47</v>
      </c>
      <c r="M7" s="196">
        <v>1508497200</v>
      </c>
      <c r="N7" s="196">
        <v>0</v>
      </c>
      <c r="O7" s="196">
        <v>3.64</v>
      </c>
      <c r="P7" s="196">
        <v>200</v>
      </c>
      <c r="Q7" s="196">
        <v>3.34</v>
      </c>
      <c r="R7" s="196">
        <v>1.47</v>
      </c>
      <c r="S7"/>
      <c r="T7"/>
    </row>
    <row r="8" spans="1:20" x14ac:dyDescent="0.3">
      <c r="A8" s="196">
        <v>46.35</v>
      </c>
      <c r="B8" s="196">
        <v>0.02</v>
      </c>
      <c r="C8" s="196">
        <v>30.43</v>
      </c>
      <c r="D8" s="8">
        <v>43028.25</v>
      </c>
      <c r="E8" s="196">
        <v>0.54</v>
      </c>
      <c r="F8" s="196" t="s">
        <v>387</v>
      </c>
      <c r="G8" s="196">
        <v>265.36</v>
      </c>
      <c r="H8" s="196">
        <v>0</v>
      </c>
      <c r="I8" s="196">
        <v>0</v>
      </c>
      <c r="J8" s="196">
        <v>1004.03</v>
      </c>
      <c r="K8" s="196" t="s">
        <v>388</v>
      </c>
      <c r="L8" s="196">
        <v>46.35</v>
      </c>
      <c r="M8" s="196">
        <v>1508500800</v>
      </c>
      <c r="N8" s="196">
        <v>0</v>
      </c>
      <c r="O8" s="196">
        <v>3.31</v>
      </c>
      <c r="P8" s="196">
        <v>173</v>
      </c>
      <c r="Q8" s="196">
        <v>4.4800000000000004</v>
      </c>
      <c r="R8" s="196">
        <v>1.99</v>
      </c>
      <c r="S8"/>
      <c r="T8"/>
    </row>
    <row r="9" spans="1:20" x14ac:dyDescent="0.3">
      <c r="A9" s="196">
        <v>47.26</v>
      </c>
      <c r="B9" s="196">
        <v>0.03</v>
      </c>
      <c r="C9" s="196">
        <v>30.25</v>
      </c>
      <c r="D9" s="8">
        <v>43028.291666666664</v>
      </c>
      <c r="E9" s="196">
        <v>0.51</v>
      </c>
      <c r="F9" s="196" t="s">
        <v>387</v>
      </c>
      <c r="G9" s="196">
        <v>265.23</v>
      </c>
      <c r="H9" s="196">
        <v>0</v>
      </c>
      <c r="I9" s="196">
        <v>0</v>
      </c>
      <c r="J9" s="196">
        <v>1003.89</v>
      </c>
      <c r="K9" s="196" t="s">
        <v>388</v>
      </c>
      <c r="L9" s="196">
        <v>47.26</v>
      </c>
      <c r="M9" s="196">
        <v>1508504400</v>
      </c>
      <c r="N9" s="196">
        <v>0</v>
      </c>
      <c r="O9" s="196">
        <v>2.68</v>
      </c>
      <c r="P9" s="196">
        <v>189</v>
      </c>
      <c r="Q9" s="196">
        <v>4.8600000000000003</v>
      </c>
      <c r="R9" s="196">
        <v>2.36</v>
      </c>
      <c r="S9"/>
      <c r="T9"/>
    </row>
    <row r="10" spans="1:20" x14ac:dyDescent="0.3">
      <c r="A10" s="196">
        <v>48.53</v>
      </c>
      <c r="B10" s="196">
        <v>0.08</v>
      </c>
      <c r="C10" s="196">
        <v>30.73</v>
      </c>
      <c r="D10" s="8">
        <v>43028.333333333336</v>
      </c>
      <c r="E10" s="196">
        <v>0.5</v>
      </c>
      <c r="F10" s="196" t="s">
        <v>401</v>
      </c>
      <c r="G10" s="196">
        <v>265.61</v>
      </c>
      <c r="H10" s="196">
        <v>0</v>
      </c>
      <c r="I10" s="196">
        <v>0</v>
      </c>
      <c r="J10" s="196">
        <v>1003.95</v>
      </c>
      <c r="K10" s="196" t="s">
        <v>388</v>
      </c>
      <c r="L10" s="196">
        <v>48.53</v>
      </c>
      <c r="M10" s="196">
        <v>1508508000</v>
      </c>
      <c r="N10" s="196">
        <v>0</v>
      </c>
      <c r="O10" s="196">
        <v>3.84</v>
      </c>
      <c r="P10" s="196">
        <v>194</v>
      </c>
      <c r="Q10" s="196">
        <v>5.0199999999999996</v>
      </c>
      <c r="R10" s="196">
        <v>2.2400000000000002</v>
      </c>
      <c r="S10"/>
      <c r="T10"/>
    </row>
    <row r="11" spans="1:20" x14ac:dyDescent="0.3">
      <c r="A11" s="196">
        <v>55.84</v>
      </c>
      <c r="B11" s="196">
        <v>0.05</v>
      </c>
      <c r="C11" s="196">
        <v>32.770000000000003</v>
      </c>
      <c r="D11" s="8">
        <v>43028.375</v>
      </c>
      <c r="E11" s="196">
        <v>0.41</v>
      </c>
      <c r="F11" s="196" t="s">
        <v>401</v>
      </c>
      <c r="G11" s="196">
        <v>265.85000000000002</v>
      </c>
      <c r="H11" s="196">
        <v>0</v>
      </c>
      <c r="I11" s="196">
        <v>0</v>
      </c>
      <c r="J11" s="196">
        <v>1003.25</v>
      </c>
      <c r="K11" s="196" t="s">
        <v>388</v>
      </c>
      <c r="L11" s="196">
        <v>55.84</v>
      </c>
      <c r="M11" s="196">
        <v>1508511600</v>
      </c>
      <c r="N11" s="196">
        <v>1</v>
      </c>
      <c r="O11" s="196">
        <v>3.01</v>
      </c>
      <c r="P11" s="196">
        <v>195</v>
      </c>
      <c r="Q11" s="196">
        <v>6.34</v>
      </c>
      <c r="R11" s="196">
        <v>2.92</v>
      </c>
      <c r="S11"/>
      <c r="T11"/>
    </row>
    <row r="12" spans="1:20" x14ac:dyDescent="0.3">
      <c r="A12" s="196">
        <v>63.23</v>
      </c>
      <c r="B12" s="196">
        <v>0.06</v>
      </c>
      <c r="C12" s="196">
        <v>34.04</v>
      </c>
      <c r="D12" s="8">
        <v>43028.416666666664</v>
      </c>
      <c r="E12" s="196">
        <v>0.34</v>
      </c>
      <c r="F12" s="196" t="s">
        <v>401</v>
      </c>
      <c r="G12" s="196">
        <v>265.22000000000003</v>
      </c>
      <c r="H12" s="196">
        <v>0</v>
      </c>
      <c r="I12" s="196">
        <v>0</v>
      </c>
      <c r="J12" s="196">
        <v>1001.62</v>
      </c>
      <c r="K12" s="196" t="s">
        <v>388</v>
      </c>
      <c r="L12" s="196">
        <v>63.23</v>
      </c>
      <c r="M12" s="196">
        <v>1508515200</v>
      </c>
      <c r="N12" s="196">
        <v>2</v>
      </c>
      <c r="O12" s="196">
        <v>3.67</v>
      </c>
      <c r="P12" s="196">
        <v>177</v>
      </c>
      <c r="Q12" s="196">
        <v>7.32</v>
      </c>
      <c r="R12" s="196">
        <v>2.4</v>
      </c>
      <c r="S12"/>
      <c r="T12"/>
    </row>
    <row r="13" spans="1:20" x14ac:dyDescent="0.3">
      <c r="A13" s="196">
        <v>69.5</v>
      </c>
      <c r="B13" s="196">
        <v>0.05</v>
      </c>
      <c r="C13" s="196">
        <v>34.409999999999997</v>
      </c>
      <c r="D13" s="8">
        <v>43028.458333333336</v>
      </c>
      <c r="E13" s="196">
        <v>0.27</v>
      </c>
      <c r="F13" s="196" t="s">
        <v>401</v>
      </c>
      <c r="G13" s="196">
        <v>264.35000000000002</v>
      </c>
      <c r="H13" s="196">
        <v>0</v>
      </c>
      <c r="I13" s="196">
        <v>0</v>
      </c>
      <c r="J13" s="196">
        <v>1000.38</v>
      </c>
      <c r="K13" s="196" t="s">
        <v>388</v>
      </c>
      <c r="L13" s="196">
        <v>69.5</v>
      </c>
      <c r="M13" s="196">
        <v>1508518800</v>
      </c>
      <c r="N13" s="196">
        <v>3</v>
      </c>
      <c r="O13" s="196">
        <v>3.74</v>
      </c>
      <c r="P13" s="196">
        <v>183</v>
      </c>
      <c r="Q13" s="196">
        <v>9.5</v>
      </c>
      <c r="R13" s="196">
        <v>3.07</v>
      </c>
      <c r="S13"/>
      <c r="T13"/>
    </row>
    <row r="14" spans="1:20" x14ac:dyDescent="0.3">
      <c r="A14" s="196">
        <v>73.06</v>
      </c>
      <c r="B14" s="196">
        <v>7.0000000000000007E-2</v>
      </c>
      <c r="C14" s="196">
        <v>34.15</v>
      </c>
      <c r="D14" s="8">
        <v>43028.5</v>
      </c>
      <c r="E14" s="196">
        <v>0.24</v>
      </c>
      <c r="F14" s="196" t="s">
        <v>401</v>
      </c>
      <c r="G14" s="196">
        <v>266.35000000000002</v>
      </c>
      <c r="H14" s="196">
        <v>0</v>
      </c>
      <c r="I14" s="196">
        <v>0</v>
      </c>
      <c r="J14" s="196">
        <v>998.85</v>
      </c>
      <c r="K14" s="196" t="s">
        <v>388</v>
      </c>
      <c r="L14" s="196">
        <v>73.06</v>
      </c>
      <c r="M14" s="196">
        <v>1508522400</v>
      </c>
      <c r="N14" s="196">
        <v>4</v>
      </c>
      <c r="O14" s="196">
        <v>3.84</v>
      </c>
      <c r="P14" s="196">
        <v>152</v>
      </c>
      <c r="Q14" s="196">
        <v>11.35</v>
      </c>
      <c r="R14" s="196">
        <v>3.78</v>
      </c>
      <c r="S14"/>
      <c r="T14"/>
    </row>
    <row r="15" spans="1:20" x14ac:dyDescent="0.3">
      <c r="A15" s="196">
        <v>75.349999999999994</v>
      </c>
      <c r="B15" s="196">
        <v>7.0000000000000007E-2</v>
      </c>
      <c r="C15" s="196">
        <v>33.39</v>
      </c>
      <c r="D15" s="8">
        <v>43028.541666666664</v>
      </c>
      <c r="E15" s="196">
        <v>0.22</v>
      </c>
      <c r="F15" s="196" t="s">
        <v>401</v>
      </c>
      <c r="G15" s="196">
        <v>266.60000000000002</v>
      </c>
      <c r="H15" s="196">
        <v>0</v>
      </c>
      <c r="I15" s="196">
        <v>0</v>
      </c>
      <c r="J15" s="196">
        <v>997.09</v>
      </c>
      <c r="K15" s="196" t="s">
        <v>388</v>
      </c>
      <c r="L15" s="196">
        <v>75.349999999999994</v>
      </c>
      <c r="M15" s="196">
        <v>1508526000</v>
      </c>
      <c r="N15" s="196">
        <v>4</v>
      </c>
      <c r="O15" s="196">
        <v>4.16</v>
      </c>
      <c r="P15" s="196">
        <v>146</v>
      </c>
      <c r="Q15" s="196">
        <v>10.62</v>
      </c>
      <c r="R15" s="196">
        <v>3.46</v>
      </c>
      <c r="S15"/>
      <c r="T15"/>
    </row>
    <row r="16" spans="1:20" x14ac:dyDescent="0.3">
      <c r="A16" s="196">
        <v>76.680000000000007</v>
      </c>
      <c r="B16" s="196">
        <v>0.08</v>
      </c>
      <c r="C16" s="196">
        <v>32.479999999999997</v>
      </c>
      <c r="D16" s="8">
        <v>43028.583333333336</v>
      </c>
      <c r="E16" s="196">
        <v>0.2</v>
      </c>
      <c r="F16" s="196" t="s">
        <v>401</v>
      </c>
      <c r="G16" s="196">
        <v>266.83999999999997</v>
      </c>
      <c r="H16" s="196">
        <v>0</v>
      </c>
      <c r="I16" s="196">
        <v>0</v>
      </c>
      <c r="J16" s="196">
        <v>995.75</v>
      </c>
      <c r="K16" s="196" t="s">
        <v>388</v>
      </c>
      <c r="L16" s="196">
        <v>76.680000000000007</v>
      </c>
      <c r="M16" s="196">
        <v>1508529600</v>
      </c>
      <c r="N16" s="196">
        <v>4</v>
      </c>
      <c r="O16" s="196">
        <v>4.16</v>
      </c>
      <c r="P16" s="196">
        <v>144</v>
      </c>
      <c r="Q16" s="196">
        <v>11.67</v>
      </c>
      <c r="R16" s="196">
        <v>4.5199999999999996</v>
      </c>
      <c r="S16"/>
      <c r="T16"/>
    </row>
    <row r="17" spans="1:20" x14ac:dyDescent="0.3">
      <c r="A17" s="196">
        <v>76.150000000000006</v>
      </c>
      <c r="B17" s="196">
        <v>0.08</v>
      </c>
      <c r="C17" s="196">
        <v>31.09</v>
      </c>
      <c r="D17" s="8">
        <v>43028.625</v>
      </c>
      <c r="E17" s="196">
        <v>0.19</v>
      </c>
      <c r="F17" s="196" t="s">
        <v>401</v>
      </c>
      <c r="G17" s="196">
        <v>267.45999999999998</v>
      </c>
      <c r="H17" s="196">
        <v>0</v>
      </c>
      <c r="I17" s="196">
        <v>0</v>
      </c>
      <c r="J17" s="196">
        <v>995.07</v>
      </c>
      <c r="K17" s="196" t="s">
        <v>388</v>
      </c>
      <c r="L17" s="196">
        <v>76.150000000000006</v>
      </c>
      <c r="M17" s="196">
        <v>1508533200</v>
      </c>
      <c r="N17" s="196">
        <v>3</v>
      </c>
      <c r="O17" s="196">
        <v>4.47</v>
      </c>
      <c r="P17" s="196">
        <v>137</v>
      </c>
      <c r="Q17" s="196">
        <v>11.19</v>
      </c>
      <c r="R17" s="196">
        <v>3.99</v>
      </c>
      <c r="S17"/>
      <c r="T17"/>
    </row>
    <row r="18" spans="1:20" x14ac:dyDescent="0.3">
      <c r="A18" s="196">
        <v>77.03</v>
      </c>
      <c r="B18" s="196">
        <v>0.21</v>
      </c>
      <c r="C18" s="196">
        <v>29.98</v>
      </c>
      <c r="D18" s="8">
        <v>43028.666666666664</v>
      </c>
      <c r="E18" s="196">
        <v>0.18</v>
      </c>
      <c r="F18" s="196" t="s">
        <v>401</v>
      </c>
      <c r="G18" s="196">
        <v>268.82</v>
      </c>
      <c r="H18" s="196">
        <v>0</v>
      </c>
      <c r="I18" s="196">
        <v>0</v>
      </c>
      <c r="J18" s="196">
        <v>994.66</v>
      </c>
      <c r="K18" s="196" t="s">
        <v>388</v>
      </c>
      <c r="L18" s="196">
        <v>77.03</v>
      </c>
      <c r="M18" s="196">
        <v>1508536800</v>
      </c>
      <c r="N18" s="196">
        <v>1</v>
      </c>
      <c r="O18" s="196">
        <v>4.47</v>
      </c>
      <c r="P18" s="196">
        <v>140</v>
      </c>
      <c r="Q18" s="196">
        <v>9.06</v>
      </c>
      <c r="R18" s="196">
        <v>2.48</v>
      </c>
      <c r="S18"/>
      <c r="T18"/>
    </row>
    <row r="19" spans="1:20" x14ac:dyDescent="0.3">
      <c r="A19" s="196">
        <v>76.08</v>
      </c>
      <c r="B19" s="196">
        <v>0.16</v>
      </c>
      <c r="C19" s="196">
        <v>29.91</v>
      </c>
      <c r="D19" s="8">
        <v>43028.708333333336</v>
      </c>
      <c r="E19" s="196">
        <v>0.18</v>
      </c>
      <c r="F19" s="196" t="s">
        <v>401</v>
      </c>
      <c r="G19" s="196">
        <v>270.55</v>
      </c>
      <c r="H19" s="196">
        <v>0</v>
      </c>
      <c r="I19" s="196">
        <v>0</v>
      </c>
      <c r="J19" s="196">
        <v>993.83</v>
      </c>
      <c r="K19" s="196" t="s">
        <v>388</v>
      </c>
      <c r="L19" s="196">
        <v>76.08</v>
      </c>
      <c r="M19" s="196">
        <v>1508540400</v>
      </c>
      <c r="N19" s="196">
        <v>1</v>
      </c>
      <c r="O19" s="196">
        <v>4.3499999999999996</v>
      </c>
      <c r="P19" s="196">
        <v>287</v>
      </c>
      <c r="Q19" s="196">
        <v>10.5</v>
      </c>
      <c r="R19" s="196">
        <v>1.64</v>
      </c>
      <c r="S19"/>
      <c r="T19"/>
    </row>
    <row r="20" spans="1:20" x14ac:dyDescent="0.3">
      <c r="A20" s="196">
        <v>72.040000000000006</v>
      </c>
      <c r="B20" s="196">
        <v>0.08</v>
      </c>
      <c r="C20" s="196">
        <v>31.83</v>
      </c>
      <c r="D20" s="8">
        <v>43028.75</v>
      </c>
      <c r="E20" s="196">
        <v>0.23</v>
      </c>
      <c r="F20" s="196" t="s">
        <v>401</v>
      </c>
      <c r="G20" s="196">
        <v>269.92</v>
      </c>
      <c r="H20" s="196">
        <v>0</v>
      </c>
      <c r="I20" s="196">
        <v>0</v>
      </c>
      <c r="J20" s="196">
        <v>993.92</v>
      </c>
      <c r="K20" s="196" t="s">
        <v>388</v>
      </c>
      <c r="L20" s="196">
        <v>72.040000000000006</v>
      </c>
      <c r="M20" s="196">
        <v>1508544000</v>
      </c>
      <c r="N20" s="196">
        <v>0</v>
      </c>
      <c r="O20" s="196">
        <v>4.82</v>
      </c>
      <c r="P20" s="196">
        <v>324</v>
      </c>
      <c r="Q20" s="196">
        <v>4.0199999999999996</v>
      </c>
      <c r="R20" s="196">
        <v>0.81</v>
      </c>
      <c r="S20"/>
      <c r="T20"/>
    </row>
    <row r="21" spans="1:20" x14ac:dyDescent="0.3">
      <c r="A21" s="196">
        <v>64.47</v>
      </c>
      <c r="B21" s="196">
        <v>0.05</v>
      </c>
      <c r="C21" s="196">
        <v>32.92</v>
      </c>
      <c r="D21" s="8">
        <v>43028.791666666664</v>
      </c>
      <c r="E21" s="196">
        <v>0.31</v>
      </c>
      <c r="F21" s="196" t="s">
        <v>387</v>
      </c>
      <c r="G21" s="196">
        <v>272.61</v>
      </c>
      <c r="H21" s="196">
        <v>0</v>
      </c>
      <c r="I21" s="196">
        <v>0</v>
      </c>
      <c r="J21" s="196">
        <v>994.43</v>
      </c>
      <c r="K21" s="196" t="s">
        <v>388</v>
      </c>
      <c r="L21" s="196">
        <v>64.47</v>
      </c>
      <c r="M21" s="196">
        <v>1508547600</v>
      </c>
      <c r="N21" s="196">
        <v>0</v>
      </c>
      <c r="O21" s="196">
        <v>2.9</v>
      </c>
      <c r="P21" s="196">
        <v>244</v>
      </c>
      <c r="Q21" s="196">
        <v>3.11</v>
      </c>
      <c r="R21" s="196">
        <v>1.04</v>
      </c>
      <c r="S21"/>
      <c r="T21"/>
    </row>
    <row r="22" spans="1:20" x14ac:dyDescent="0.3">
      <c r="A22" s="196">
        <v>60.95</v>
      </c>
      <c r="B22" s="196">
        <v>0.23</v>
      </c>
      <c r="C22" s="196">
        <v>31.96</v>
      </c>
      <c r="D22" s="8">
        <v>43028.833333333336</v>
      </c>
      <c r="E22" s="196">
        <v>0.33</v>
      </c>
      <c r="F22" s="196" t="s">
        <v>387</v>
      </c>
      <c r="G22" s="196">
        <v>276</v>
      </c>
      <c r="H22" s="196">
        <v>0</v>
      </c>
      <c r="I22" s="196">
        <v>0</v>
      </c>
      <c r="J22" s="196">
        <v>995.16</v>
      </c>
      <c r="K22" s="196" t="s">
        <v>388</v>
      </c>
      <c r="L22" s="196">
        <v>60.95</v>
      </c>
      <c r="M22" s="196">
        <v>1508551200</v>
      </c>
      <c r="N22" s="196">
        <v>0</v>
      </c>
      <c r="O22" s="196">
        <v>6.7</v>
      </c>
      <c r="P22" s="196">
        <v>250</v>
      </c>
      <c r="Q22" s="196">
        <v>3.74</v>
      </c>
      <c r="R22" s="196">
        <v>1.0900000000000001</v>
      </c>
      <c r="S22"/>
      <c r="T22"/>
    </row>
    <row r="23" spans="1:20" x14ac:dyDescent="0.3">
      <c r="A23" s="196">
        <v>59.9</v>
      </c>
      <c r="B23" s="196">
        <v>0.14000000000000001</v>
      </c>
      <c r="C23" s="196">
        <v>29.4</v>
      </c>
      <c r="D23" s="8">
        <v>43028.875</v>
      </c>
      <c r="E23" s="196">
        <v>0.31</v>
      </c>
      <c r="F23" s="196" t="s">
        <v>387</v>
      </c>
      <c r="G23" s="196">
        <v>279.10000000000002</v>
      </c>
      <c r="H23" s="196">
        <v>0</v>
      </c>
      <c r="I23" s="196">
        <v>0</v>
      </c>
      <c r="J23" s="196">
        <v>995.22</v>
      </c>
      <c r="K23" s="196" t="s">
        <v>388</v>
      </c>
      <c r="L23" s="196">
        <v>59.9</v>
      </c>
      <c r="M23" s="196">
        <v>1508554800</v>
      </c>
      <c r="N23" s="196">
        <v>0</v>
      </c>
      <c r="O23" s="196">
        <v>4.92</v>
      </c>
      <c r="P23" s="196">
        <v>201</v>
      </c>
      <c r="Q23" s="196">
        <v>5.19</v>
      </c>
      <c r="R23" s="196">
        <v>1.1299999999999999</v>
      </c>
      <c r="S23"/>
      <c r="T23"/>
    </row>
    <row r="24" spans="1:20" x14ac:dyDescent="0.3">
      <c r="A24" s="196">
        <v>57.58</v>
      </c>
      <c r="B24" s="196">
        <v>0.08</v>
      </c>
      <c r="C24" s="196">
        <v>28.07</v>
      </c>
      <c r="D24" s="8">
        <v>43028.916666666664</v>
      </c>
      <c r="E24" s="196">
        <v>0.32</v>
      </c>
      <c r="F24" s="196" t="s">
        <v>387</v>
      </c>
      <c r="G24" s="196">
        <v>281.35000000000002</v>
      </c>
      <c r="H24" s="196">
        <v>0</v>
      </c>
      <c r="I24" s="196">
        <v>0</v>
      </c>
      <c r="J24" s="196">
        <v>995.03</v>
      </c>
      <c r="K24" s="196" t="s">
        <v>388</v>
      </c>
      <c r="L24" s="196">
        <v>57.58</v>
      </c>
      <c r="M24" s="196">
        <v>1508558400</v>
      </c>
      <c r="N24" s="196">
        <v>0</v>
      </c>
      <c r="O24" s="196">
        <v>3.83</v>
      </c>
      <c r="P24" s="196">
        <v>202</v>
      </c>
      <c r="Q24" s="196">
        <v>4.55</v>
      </c>
      <c r="R24" s="196">
        <v>2.2200000000000002</v>
      </c>
      <c r="S24"/>
      <c r="T24"/>
    </row>
    <row r="25" spans="1:20" x14ac:dyDescent="0.3">
      <c r="A25" s="196">
        <v>57.04</v>
      </c>
      <c r="B25" s="196">
        <v>7.0000000000000007E-2</v>
      </c>
      <c r="C25" s="196">
        <v>27.35</v>
      </c>
      <c r="D25" s="8">
        <v>43028.958333333336</v>
      </c>
      <c r="E25" s="196">
        <v>0.32</v>
      </c>
      <c r="F25" s="196" t="s">
        <v>387</v>
      </c>
      <c r="G25" s="196">
        <v>283.22000000000003</v>
      </c>
      <c r="H25" s="196">
        <v>0</v>
      </c>
      <c r="I25" s="196">
        <v>0</v>
      </c>
      <c r="J25" s="196">
        <v>994.28</v>
      </c>
      <c r="K25" s="196" t="s">
        <v>388</v>
      </c>
      <c r="L25" s="196">
        <v>57.04</v>
      </c>
      <c r="M25" s="196">
        <v>1508562000</v>
      </c>
      <c r="N25" s="196">
        <v>0</v>
      </c>
      <c r="O25" s="196">
        <v>3.52</v>
      </c>
      <c r="P25" s="196">
        <v>211</v>
      </c>
      <c r="Q25" s="196">
        <v>5.85</v>
      </c>
      <c r="R25" s="196">
        <v>2.56</v>
      </c>
      <c r="S25"/>
      <c r="T25"/>
    </row>
    <row r="26" spans="1:20" x14ac:dyDescent="0.3">
      <c r="A26" s="196">
        <v>57.83</v>
      </c>
      <c r="B26" s="196">
        <v>7.0000000000000007E-2</v>
      </c>
      <c r="C26" s="196">
        <v>28.86</v>
      </c>
      <c r="D26" s="8">
        <v>43029</v>
      </c>
      <c r="E26" s="196">
        <v>0.33</v>
      </c>
      <c r="F26" s="196" t="s">
        <v>387</v>
      </c>
      <c r="G26" s="196">
        <v>285.31</v>
      </c>
      <c r="H26" s="196">
        <v>0</v>
      </c>
      <c r="I26" s="196">
        <v>0</v>
      </c>
      <c r="J26" s="196">
        <v>994.37</v>
      </c>
      <c r="K26" s="196" t="s">
        <v>388</v>
      </c>
      <c r="L26" s="196">
        <v>57.83</v>
      </c>
      <c r="M26" s="196">
        <v>1508565600</v>
      </c>
      <c r="N26" s="196">
        <v>0</v>
      </c>
      <c r="O26" s="196">
        <v>3.52</v>
      </c>
      <c r="P26" s="196">
        <v>258</v>
      </c>
      <c r="Q26" s="196">
        <v>9.6300000000000008</v>
      </c>
      <c r="R26" s="196">
        <v>2.17</v>
      </c>
      <c r="S26"/>
      <c r="T26"/>
    </row>
    <row r="27" spans="1:20" x14ac:dyDescent="0.3">
      <c r="A27" s="196">
        <v>55.94</v>
      </c>
      <c r="B27" s="196">
        <v>0.08</v>
      </c>
      <c r="C27" s="196">
        <v>30.69</v>
      </c>
      <c r="D27" s="8">
        <v>43029.041666666664</v>
      </c>
      <c r="E27" s="196">
        <v>0.38</v>
      </c>
      <c r="F27" s="196" t="s">
        <v>387</v>
      </c>
      <c r="G27" s="196">
        <v>287.38</v>
      </c>
      <c r="H27" s="196">
        <v>0</v>
      </c>
      <c r="I27" s="196">
        <v>0</v>
      </c>
      <c r="J27" s="196">
        <v>995.48</v>
      </c>
      <c r="K27" s="196" t="s">
        <v>388</v>
      </c>
      <c r="L27" s="196">
        <v>55.94</v>
      </c>
      <c r="M27" s="196">
        <v>1508569200</v>
      </c>
      <c r="N27" s="196">
        <v>0</v>
      </c>
      <c r="O27" s="196">
        <v>3.52</v>
      </c>
      <c r="P27" s="196">
        <v>334</v>
      </c>
      <c r="Q27" s="196">
        <v>6.88</v>
      </c>
      <c r="R27" s="196">
        <v>0.64</v>
      </c>
      <c r="S27"/>
      <c r="T27"/>
    </row>
    <row r="28" spans="1:20" x14ac:dyDescent="0.3">
      <c r="A28" s="196">
        <v>53.75</v>
      </c>
      <c r="B28" s="196">
        <v>0.56999999999999995</v>
      </c>
      <c r="C28" s="196">
        <v>31.15</v>
      </c>
      <c r="D28" s="8">
        <v>43029.083333333336</v>
      </c>
      <c r="E28" s="196">
        <v>0.42</v>
      </c>
      <c r="F28" s="196" t="s">
        <v>593</v>
      </c>
      <c r="G28" s="196">
        <v>289.45</v>
      </c>
      <c r="H28" s="196">
        <v>0</v>
      </c>
      <c r="I28" s="196">
        <v>0</v>
      </c>
      <c r="J28" s="196">
        <v>998.65</v>
      </c>
      <c r="K28" s="196" t="s">
        <v>592</v>
      </c>
      <c r="L28" s="196">
        <v>53.75</v>
      </c>
      <c r="M28" s="196">
        <v>1508572800</v>
      </c>
      <c r="N28" s="196">
        <v>0</v>
      </c>
      <c r="O28" s="196">
        <v>3.29</v>
      </c>
      <c r="P28" s="196">
        <v>275</v>
      </c>
      <c r="Q28" s="196">
        <v>16.89</v>
      </c>
      <c r="R28" s="196">
        <v>5.39</v>
      </c>
      <c r="S28"/>
      <c r="T28"/>
    </row>
    <row r="29" spans="1:20" x14ac:dyDescent="0.3">
      <c r="A29" s="196">
        <v>53.26</v>
      </c>
      <c r="B29" s="196">
        <v>0.63</v>
      </c>
      <c r="C29" s="196">
        <v>28.21</v>
      </c>
      <c r="D29" s="8">
        <v>43029.125</v>
      </c>
      <c r="E29" s="196">
        <v>0.38</v>
      </c>
      <c r="F29" s="196" t="s">
        <v>593</v>
      </c>
      <c r="G29" s="196">
        <v>291.95</v>
      </c>
      <c r="H29" s="196">
        <v>0</v>
      </c>
      <c r="I29" s="196">
        <v>0</v>
      </c>
      <c r="J29" s="196">
        <v>1000.5</v>
      </c>
      <c r="K29" s="196" t="s">
        <v>872</v>
      </c>
      <c r="L29" s="196">
        <v>53.26</v>
      </c>
      <c r="M29" s="196">
        <v>1508576400</v>
      </c>
      <c r="N29" s="196">
        <v>0</v>
      </c>
      <c r="O29" s="196">
        <v>3.52</v>
      </c>
      <c r="P29" s="196">
        <v>258</v>
      </c>
      <c r="Q29" s="196">
        <v>13.26</v>
      </c>
      <c r="R29" s="196">
        <v>4.88</v>
      </c>
      <c r="S29"/>
      <c r="T29"/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43028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346</v>
      </c>
      <c r="AE2" s="56" t="s">
        <v>349</v>
      </c>
      <c r="AF2" s="56" t="s">
        <v>350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341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374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351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1031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1032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1033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1034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1035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1036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1037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1038</v>
      </c>
      <c r="J25" s="140" t="s">
        <v>144</v>
      </c>
      <c r="M25" s="154" t="b">
        <v>1</v>
      </c>
    </row>
    <row r="26" spans="3:24" x14ac:dyDescent="0.3">
      <c r="C26" t="s">
        <v>1039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%USERPROFILE%\Documents\GitHub\eaglep3-reporting\EC\2017-10-20-refined-times.txt</v>
      </c>
    </row>
    <row r="27" spans="3:24" x14ac:dyDescent="0.3">
      <c r="C27" t="s">
        <v>1040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%USERPROFILE%\Documents\GitHub\eaglep3-reporting\EC\2017-10-20-Enforcements.txt</v>
      </c>
    </row>
    <row r="28" spans="3:24" x14ac:dyDescent="0.3">
      <c r="C28" t="s">
        <v>1041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%USERPROFILE%\Documents\GitHub\eaglep3-reporting\EC\2017-10-20-Runs-refined.txt</v>
      </c>
    </row>
    <row r="29" spans="3:24" x14ac:dyDescent="0.3">
      <c r="C29" t="s">
        <v>1042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%USERPROFILE%\Documents\GitHub\eaglep3-reporting\EC\2017-10-20-Trips.txt</v>
      </c>
    </row>
    <row r="30" spans="3:24" x14ac:dyDescent="0.3">
      <c r="C30" t="s">
        <v>1043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%USERPROFILE%\Documents\GitHub\eaglep3-reporting\EC\2017-10-20-Weather.txt</v>
      </c>
    </row>
    <row r="31" spans="3:24" x14ac:dyDescent="0.3">
      <c r="C31" t="s">
        <v>1044</v>
      </c>
      <c r="J31" s="140" t="s">
        <v>190</v>
      </c>
      <c r="M31" s="154" t="s">
        <v>191</v>
      </c>
    </row>
    <row r="32" spans="3:24" x14ac:dyDescent="0.3">
      <c r="C32" t="s">
        <v>1045</v>
      </c>
    </row>
    <row r="33" spans="3:3" x14ac:dyDescent="0.3">
      <c r="C33" t="s">
        <v>1046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394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2017-10-23T15:19:34Z</dcterms:modified>
</cp:coreProperties>
</file>