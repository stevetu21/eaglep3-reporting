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Enforcements!$A$6:$AC$50</definedName>
    <definedName name="_xlnm._FilterDatabase" localSheetId="2" hidden="1">'Missing Trips'!$A$2:$J$120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2" i="1" l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P6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G16" i="1"/>
  <c r="AH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G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AA36" i="1" s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I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X48" i="1"/>
  <c r="Y48" i="1"/>
  <c r="Z48" i="1"/>
  <c r="AB48" i="1"/>
  <c r="AC48" i="1"/>
  <c r="AD48" i="1"/>
  <c r="T48" i="1" s="1"/>
  <c r="AE48" i="1"/>
  <c r="AF48" i="1"/>
  <c r="AG48" i="1"/>
  <c r="AI48" i="1" s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P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S11" i="3" s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2" i="3" s="1"/>
  <c r="Y60" i="1"/>
  <c r="Z60" i="1"/>
  <c r="AA60" i="1" s="1"/>
  <c r="AB60" i="1"/>
  <c r="AC60" i="1"/>
  <c r="AD60" i="1"/>
  <c r="T60" i="1" s="1"/>
  <c r="AE60" i="1"/>
  <c r="R13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S18" i="3" s="1"/>
  <c r="Y68" i="1"/>
  <c r="Z68" i="1"/>
  <c r="AB68" i="1"/>
  <c r="AC68" i="1"/>
  <c r="AD68" i="1"/>
  <c r="AE68" i="1"/>
  <c r="R19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I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W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G95" i="1"/>
  <c r="AH95" i="1"/>
  <c r="AM95" i="1"/>
  <c r="AN95" i="1"/>
  <c r="K96" i="1"/>
  <c r="L96" i="1"/>
  <c r="M96" i="1"/>
  <c r="N96" i="1" s="1"/>
  <c r="V96" i="1"/>
  <c r="S21" i="3" s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S14" i="3" s="1"/>
  <c r="Y101" i="1"/>
  <c r="Z101" i="1"/>
  <c r="AB101" i="1"/>
  <c r="AC101" i="1"/>
  <c r="AD101" i="1"/>
  <c r="T101" i="1" s="1"/>
  <c r="AE101" i="1"/>
  <c r="R14" i="3" s="1"/>
  <c r="AF101" i="1"/>
  <c r="AH101" i="1"/>
  <c r="AM101" i="1"/>
  <c r="AN101" i="1"/>
  <c r="K102" i="1"/>
  <c r="L102" i="1"/>
  <c r="M102" i="1"/>
  <c r="P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I119" i="1" s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I120" i="1" s="1"/>
  <c r="AB120" i="1"/>
  <c r="AC120" i="1"/>
  <c r="AD120" i="1"/>
  <c r="AG120" i="1" s="1"/>
  <c r="AE120" i="1"/>
  <c r="R16" i="3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S10" i="3" s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15" i="3" s="1"/>
  <c r="Y131" i="1"/>
  <c r="Z131" i="1"/>
  <c r="AB131" i="1"/>
  <c r="AC131" i="1"/>
  <c r="AD131" i="1"/>
  <c r="AE131" i="1"/>
  <c r="R22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S7" i="3" s="1"/>
  <c r="Y142" i="1"/>
  <c r="Z142" i="1"/>
  <c r="AB142" i="1"/>
  <c r="AC142" i="1"/>
  <c r="AD142" i="1"/>
  <c r="T142" i="1" s="1"/>
  <c r="AE142" i="1"/>
  <c r="R7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G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X150" i="1"/>
  <c r="Y150" i="1"/>
  <c r="Z150" i="1"/>
  <c r="AB150" i="1"/>
  <c r="AC150" i="1"/>
  <c r="AD150" i="1"/>
  <c r="T150" i="1" s="1"/>
  <c r="AE150" i="1"/>
  <c r="AF150" i="1"/>
  <c r="AG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S24" i="3" s="1"/>
  <c r="Y155" i="1"/>
  <c r="Z155" i="1"/>
  <c r="AB155" i="1"/>
  <c r="AC155" i="1"/>
  <c r="AD155" i="1"/>
  <c r="T155" i="1" s="1"/>
  <c r="AE155" i="1"/>
  <c r="R24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5" i="1"/>
  <c r="AM165" i="1"/>
  <c r="AN165" i="1"/>
  <c r="K157" i="1"/>
  <c r="L157" i="1"/>
  <c r="M157" i="1"/>
  <c r="N157" i="1" s="1"/>
  <c r="V157" i="1"/>
  <c r="S29" i="3" s="1"/>
  <c r="Y157" i="1"/>
  <c r="Z157" i="1"/>
  <c r="AB157" i="1"/>
  <c r="AC157" i="1"/>
  <c r="AD157" i="1"/>
  <c r="AG157" i="1" s="1"/>
  <c r="AE157" i="1"/>
  <c r="R29" i="3" s="1"/>
  <c r="AF157" i="1"/>
  <c r="AH166" i="1"/>
  <c r="AM166" i="1"/>
  <c r="AN166" i="1"/>
  <c r="K158" i="1"/>
  <c r="L158" i="1"/>
  <c r="M158" i="1"/>
  <c r="N158" i="1" s="1"/>
  <c r="T158" i="1"/>
  <c r="V158" i="1"/>
  <c r="X158" i="1"/>
  <c r="Y158" i="1"/>
  <c r="Z158" i="1"/>
  <c r="AB158" i="1"/>
  <c r="AC158" i="1"/>
  <c r="AD158" i="1"/>
  <c r="AE158" i="1"/>
  <c r="AF158" i="1"/>
  <c r="AG158" i="1"/>
  <c r="AH167" i="1"/>
  <c r="AM167" i="1"/>
  <c r="AN16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68" i="1"/>
  <c r="AM168" i="1"/>
  <c r="AN16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9" i="1"/>
  <c r="AM169" i="1"/>
  <c r="AN169" i="1"/>
  <c r="K161" i="1"/>
  <c r="L161" i="1"/>
  <c r="M161" i="1"/>
  <c r="N161" i="1" s="1"/>
  <c r="V161" i="1"/>
  <c r="Y161" i="1"/>
  <c r="AA161" i="1" s="1"/>
  <c r="Z161" i="1"/>
  <c r="AB161" i="1"/>
  <c r="AC161" i="1"/>
  <c r="AD161" i="1"/>
  <c r="AG161" i="1" s="1"/>
  <c r="AE161" i="1"/>
  <c r="AF161" i="1"/>
  <c r="AH170" i="1"/>
  <c r="AM170" i="1"/>
  <c r="AN17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1" i="1"/>
  <c r="AM171" i="1"/>
  <c r="AN17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2" i="1"/>
  <c r="AM172" i="1"/>
  <c r="AN17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3" i="1"/>
  <c r="AM173" i="1"/>
  <c r="AN17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74" i="1"/>
  <c r="AM174" i="1"/>
  <c r="AN17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5" i="1"/>
  <c r="AM175" i="1"/>
  <c r="AN17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R27" i="3" s="1"/>
  <c r="AF167" i="1"/>
  <c r="AH176" i="1"/>
  <c r="AM176" i="1"/>
  <c r="AN17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77" i="1"/>
  <c r="AM177" i="1"/>
  <c r="AN17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78" i="1"/>
  <c r="AM178" i="1"/>
  <c r="AN178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79" i="1"/>
  <c r="AM179" i="1"/>
  <c r="AN17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0" i="1"/>
  <c r="AM180" i="1"/>
  <c r="AN18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1" i="1"/>
  <c r="AM181" i="1"/>
  <c r="AN18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2" i="1"/>
  <c r="AM182" i="1"/>
  <c r="AN18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3" i="1"/>
  <c r="AM183" i="1"/>
  <c r="AN18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84" i="1"/>
  <c r="AM184" i="1"/>
  <c r="AN18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85" i="1"/>
  <c r="AM185" i="1"/>
  <c r="AN18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86" i="1"/>
  <c r="AM186" i="1"/>
  <c r="AN18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87" i="1"/>
  <c r="AM187" i="1"/>
  <c r="AN18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88" i="1"/>
  <c r="AM188" i="1"/>
  <c r="AN188" i="1"/>
  <c r="K180" i="1"/>
  <c r="L180" i="1"/>
  <c r="M180" i="1"/>
  <c r="N180" i="1" s="1"/>
  <c r="V180" i="1"/>
  <c r="S30" i="3" s="1"/>
  <c r="Y180" i="1"/>
  <c r="Z180" i="1"/>
  <c r="AB180" i="1"/>
  <c r="AC180" i="1"/>
  <c r="AD180" i="1"/>
  <c r="T180" i="1" s="1"/>
  <c r="AE180" i="1"/>
  <c r="AF180" i="1"/>
  <c r="AH189" i="1"/>
  <c r="AM189" i="1"/>
  <c r="AN18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0" i="1"/>
  <c r="AM190" i="1"/>
  <c r="AN19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1" i="1"/>
  <c r="AM191" i="1"/>
  <c r="AN19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2" i="1"/>
  <c r="AM192" i="1"/>
  <c r="AN19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3" i="1"/>
  <c r="AM193" i="1"/>
  <c r="AN19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94" i="1"/>
  <c r="AM194" i="1"/>
  <c r="AN19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95" i="1"/>
  <c r="AM195" i="1"/>
  <c r="AN19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96" i="1"/>
  <c r="AM196" i="1"/>
  <c r="AN19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97" i="1"/>
  <c r="AM197" i="1"/>
  <c r="AN19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98" i="1"/>
  <c r="AM198" i="1"/>
  <c r="AN19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99" i="1"/>
  <c r="AM199" i="1"/>
  <c r="AN19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0" i="1"/>
  <c r="AM200" i="1"/>
  <c r="AN20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1" i="1"/>
  <c r="AM201" i="1"/>
  <c r="AN20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2" i="1"/>
  <c r="AM202" i="1"/>
  <c r="AN20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03" i="1"/>
  <c r="AM203" i="1"/>
  <c r="AN20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4" i="1"/>
  <c r="AM204" i="1"/>
  <c r="AN20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05" i="1"/>
  <c r="AM205" i="1"/>
  <c r="AN205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06" i="1"/>
  <c r="AM206" i="1"/>
  <c r="AN20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7" i="1"/>
  <c r="AM207" i="1"/>
  <c r="AN20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8" i="1"/>
  <c r="AM208" i="1"/>
  <c r="AN20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9" i="1"/>
  <c r="AM209" i="1"/>
  <c r="AN20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0" i="1"/>
  <c r="AM210" i="1"/>
  <c r="AN210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1" i="1"/>
  <c r="AM211" i="1"/>
  <c r="AN21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2" i="1"/>
  <c r="AM212" i="1"/>
  <c r="AN21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3" i="1"/>
  <c r="AM213" i="1"/>
  <c r="AN213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4" i="1"/>
  <c r="AM214" i="1"/>
  <c r="AN21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5" i="1"/>
  <c r="AM215" i="1"/>
  <c r="AN21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6" i="1"/>
  <c r="AM216" i="1"/>
  <c r="AN216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7" i="1"/>
  <c r="AM217" i="1"/>
  <c r="AN217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8" i="1"/>
  <c r="AM218" i="1"/>
  <c r="AN218" i="1"/>
  <c r="M29" i="3"/>
  <c r="U29" i="3"/>
  <c r="T29" i="3" s="1"/>
  <c r="V29" i="3"/>
  <c r="W29" i="3"/>
  <c r="X29" i="3"/>
  <c r="AC29" i="3"/>
  <c r="M27" i="3"/>
  <c r="S27" i="3"/>
  <c r="U27" i="3"/>
  <c r="AD27" i="3" s="1"/>
  <c r="V27" i="3"/>
  <c r="W27" i="3"/>
  <c r="X27" i="3"/>
  <c r="AC27" i="3"/>
  <c r="M28" i="3"/>
  <c r="S28" i="3"/>
  <c r="U28" i="3"/>
  <c r="AC28" i="3" s="1"/>
  <c r="V28" i="3"/>
  <c r="W28" i="3"/>
  <c r="X28" i="3"/>
  <c r="M17" i="3"/>
  <c r="R17" i="3"/>
  <c r="S17" i="3"/>
  <c r="U17" i="3"/>
  <c r="AC17" i="3" s="1"/>
  <c r="V17" i="3"/>
  <c r="W17" i="3"/>
  <c r="X17" i="3"/>
  <c r="M11" i="3"/>
  <c r="R11" i="3"/>
  <c r="U11" i="3"/>
  <c r="V11" i="3"/>
  <c r="W11" i="3"/>
  <c r="X11" i="3"/>
  <c r="M12" i="3"/>
  <c r="R12" i="3"/>
  <c r="U12" i="3"/>
  <c r="AC12" i="3" s="1"/>
  <c r="V12" i="3"/>
  <c r="W12" i="3"/>
  <c r="X12" i="3"/>
  <c r="M13" i="3"/>
  <c r="S13" i="3"/>
  <c r="U13" i="3"/>
  <c r="AC13" i="3" s="1"/>
  <c r="V13" i="3"/>
  <c r="W13" i="3"/>
  <c r="X13" i="3"/>
  <c r="M18" i="3"/>
  <c r="U18" i="3"/>
  <c r="T18" i="3" s="1"/>
  <c r="V18" i="3"/>
  <c r="W18" i="3"/>
  <c r="X18" i="3"/>
  <c r="AC18" i="3"/>
  <c r="M19" i="3"/>
  <c r="U19" i="3"/>
  <c r="AD17" i="3" s="1"/>
  <c r="V19" i="3"/>
  <c r="W19" i="3"/>
  <c r="X19" i="3"/>
  <c r="AC19" i="3"/>
  <c r="M20" i="3"/>
  <c r="R20" i="3"/>
  <c r="S20" i="3"/>
  <c r="U20" i="3"/>
  <c r="AC20" i="3" s="1"/>
  <c r="V20" i="3"/>
  <c r="W20" i="3"/>
  <c r="X20" i="3"/>
  <c r="M8" i="3"/>
  <c r="R8" i="3"/>
  <c r="S8" i="3"/>
  <c r="U8" i="3"/>
  <c r="AC8" i="3" s="1"/>
  <c r="V8" i="3"/>
  <c r="W8" i="3"/>
  <c r="X8" i="3"/>
  <c r="M30" i="3"/>
  <c r="R30" i="3"/>
  <c r="U30" i="3"/>
  <c r="V30" i="3"/>
  <c r="AE30" i="3" s="1"/>
  <c r="W30" i="3"/>
  <c r="X30" i="3"/>
  <c r="AC30" i="3"/>
  <c r="M14" i="3"/>
  <c r="U14" i="3"/>
  <c r="V14" i="3"/>
  <c r="W14" i="3"/>
  <c r="X14" i="3"/>
  <c r="AC14" i="3"/>
  <c r="M21" i="3"/>
  <c r="R21" i="3"/>
  <c r="U21" i="3"/>
  <c r="AC21" i="3" s="1"/>
  <c r="V21" i="3"/>
  <c r="W21" i="3"/>
  <c r="X21" i="3"/>
  <c r="M32" i="3"/>
  <c r="R32" i="3"/>
  <c r="S32" i="3"/>
  <c r="U32" i="3"/>
  <c r="AC32" i="3" s="1"/>
  <c r="V32" i="3"/>
  <c r="W32" i="3"/>
  <c r="X32" i="3"/>
  <c r="M16" i="3"/>
  <c r="S16" i="3"/>
  <c r="U16" i="3"/>
  <c r="T16" i="3" s="1"/>
  <c r="V16" i="3"/>
  <c r="W16" i="3"/>
  <c r="X16" i="3"/>
  <c r="AC16" i="3"/>
  <c r="M15" i="3"/>
  <c r="U15" i="3"/>
  <c r="V15" i="3"/>
  <c r="W15" i="3"/>
  <c r="X15" i="3"/>
  <c r="AC15" i="3"/>
  <c r="M22" i="3"/>
  <c r="U22" i="3"/>
  <c r="AC22" i="3" s="1"/>
  <c r="V22" i="3"/>
  <c r="W22" i="3"/>
  <c r="X22" i="3"/>
  <c r="M10" i="3"/>
  <c r="R10" i="3"/>
  <c r="U10" i="3"/>
  <c r="AC10" i="3" s="1"/>
  <c r="V10" i="3"/>
  <c r="W10" i="3"/>
  <c r="X10" i="3"/>
  <c r="M9" i="3"/>
  <c r="R9" i="3"/>
  <c r="S9" i="3"/>
  <c r="U9" i="3"/>
  <c r="T9" i="3" s="1"/>
  <c r="V9" i="3"/>
  <c r="W9" i="3"/>
  <c r="X9" i="3"/>
  <c r="AC9" i="3"/>
  <c r="M7" i="3"/>
  <c r="U7" i="3"/>
  <c r="T7" i="3" s="1"/>
  <c r="V7" i="3"/>
  <c r="W7" i="3"/>
  <c r="X7" i="3"/>
  <c r="AC7" i="3"/>
  <c r="M23" i="3"/>
  <c r="U23" i="3"/>
  <c r="AC23" i="3" s="1"/>
  <c r="V23" i="3"/>
  <c r="W23" i="3"/>
  <c r="X23" i="3"/>
  <c r="M24" i="3"/>
  <c r="T24" i="3"/>
  <c r="U24" i="3"/>
  <c r="AC24" i="3" s="1"/>
  <c r="V24" i="3"/>
  <c r="W24" i="3"/>
  <c r="X24" i="3"/>
  <c r="M25" i="3"/>
  <c r="S25" i="3"/>
  <c r="U25" i="3"/>
  <c r="V25" i="3"/>
  <c r="W25" i="3"/>
  <c r="X25" i="3"/>
  <c r="AC25" i="3"/>
  <c r="M26" i="3"/>
  <c r="U26" i="3"/>
  <c r="T26" i="3" s="1"/>
  <c r="V26" i="3"/>
  <c r="W26" i="3"/>
  <c r="X26" i="3"/>
  <c r="AC26" i="3"/>
  <c r="AD32" i="3"/>
  <c r="S26" i="3" l="1"/>
  <c r="S23" i="3"/>
  <c r="AA149" i="1"/>
  <c r="W149" i="1" s="1"/>
  <c r="AA125" i="1"/>
  <c r="AA123" i="1"/>
  <c r="AA121" i="1"/>
  <c r="AG103" i="1"/>
  <c r="T94" i="1"/>
  <c r="AA93" i="1"/>
  <c r="W93" i="1" s="1"/>
  <c r="AG65" i="1"/>
  <c r="AA61" i="1"/>
  <c r="AG57" i="1"/>
  <c r="AI57" i="1" s="1"/>
  <c r="AG28" i="1"/>
  <c r="U28" i="1" s="1"/>
  <c r="S28" i="1" s="1"/>
  <c r="AG21" i="1"/>
  <c r="X21" i="1"/>
  <c r="T20" i="1"/>
  <c r="AG14" i="1"/>
  <c r="U14" i="1" s="1"/>
  <c r="S14" i="1" s="1"/>
  <c r="AA152" i="1"/>
  <c r="T70" i="1"/>
  <c r="T33" i="1"/>
  <c r="AI24" i="1"/>
  <c r="W16" i="1"/>
  <c r="AA197" i="1"/>
  <c r="AA191" i="1"/>
  <c r="AA189" i="1"/>
  <c r="AA185" i="1"/>
  <c r="AA183" i="1"/>
  <c r="AA181" i="1"/>
  <c r="W181" i="1" s="1"/>
  <c r="X143" i="1"/>
  <c r="AG142" i="1"/>
  <c r="AA141" i="1"/>
  <c r="W141" i="1" s="1"/>
  <c r="AA139" i="1"/>
  <c r="AA117" i="1"/>
  <c r="W117" i="1" s="1"/>
  <c r="AA97" i="1"/>
  <c r="AI76" i="1"/>
  <c r="AA72" i="1"/>
  <c r="AA70" i="1"/>
  <c r="W70" i="1" s="1"/>
  <c r="AA28" i="1"/>
  <c r="AA26" i="1"/>
  <c r="AA14" i="1"/>
  <c r="X83" i="1"/>
  <c r="AG152" i="1"/>
  <c r="X153" i="1"/>
  <c r="W152" i="1"/>
  <c r="U152" i="1"/>
  <c r="S152" i="1" s="1"/>
  <c r="X152" i="1"/>
  <c r="AI152" i="1"/>
  <c r="Y9" i="3"/>
  <c r="R15" i="3"/>
  <c r="R18" i="3"/>
  <c r="Y11" i="3"/>
  <c r="AE27" i="3"/>
  <c r="R28" i="3"/>
  <c r="Y21" i="3"/>
  <c r="Y27" i="3"/>
  <c r="Y29" i="3"/>
  <c r="AI216" i="1"/>
  <c r="AG203" i="1"/>
  <c r="AA169" i="1"/>
  <c r="AG210" i="1"/>
  <c r="AI210" i="1" s="1"/>
  <c r="X210" i="1"/>
  <c r="X142" i="1"/>
  <c r="AA129" i="1"/>
  <c r="W129" i="1" s="1"/>
  <c r="AA119" i="1"/>
  <c r="T89" i="1"/>
  <c r="U89" i="1" s="1"/>
  <c r="S89" i="1" s="1"/>
  <c r="AA88" i="1"/>
  <c r="T81" i="1"/>
  <c r="AI16" i="1"/>
  <c r="X81" i="1"/>
  <c r="AD28" i="3"/>
  <c r="Y15" i="3"/>
  <c r="Y12" i="3"/>
  <c r="X194" i="1"/>
  <c r="X186" i="1"/>
  <c r="X178" i="1"/>
  <c r="AG175" i="1"/>
  <c r="U175" i="1" s="1"/>
  <c r="S175" i="1" s="1"/>
  <c r="AG206" i="1"/>
  <c r="AI206" i="1" s="1"/>
  <c r="X206" i="1"/>
  <c r="AA155" i="1"/>
  <c r="AA146" i="1"/>
  <c r="AG138" i="1"/>
  <c r="X138" i="1"/>
  <c r="AG115" i="1"/>
  <c r="AI115" i="1" s="1"/>
  <c r="AA89" i="1"/>
  <c r="W89" i="1" s="1"/>
  <c r="AG63" i="1"/>
  <c r="AI63" i="1" s="1"/>
  <c r="AG53" i="1"/>
  <c r="AG22" i="1"/>
  <c r="U22" i="1" s="1"/>
  <c r="S22" i="1" s="1"/>
  <c r="Y14" i="3"/>
  <c r="X162" i="1"/>
  <c r="AI137" i="1"/>
  <c r="AG113" i="1"/>
  <c r="AI113" i="1" s="1"/>
  <c r="AI97" i="1"/>
  <c r="X94" i="1"/>
  <c r="T86" i="1"/>
  <c r="X77" i="1"/>
  <c r="AA77" i="1"/>
  <c r="X70" i="1"/>
  <c r="AG37" i="1"/>
  <c r="X37" i="1"/>
  <c r="W24" i="1"/>
  <c r="AA20" i="1"/>
  <c r="X82" i="1"/>
  <c r="R26" i="3"/>
  <c r="R25" i="3"/>
  <c r="Y23" i="3"/>
  <c r="R23" i="3"/>
  <c r="AD23" i="3"/>
  <c r="AD20" i="3"/>
  <c r="AD18" i="3"/>
  <c r="S19" i="3"/>
  <c r="AA217" i="1"/>
  <c r="W217" i="1" s="1"/>
  <c r="AG215" i="1"/>
  <c r="U215" i="1" s="1"/>
  <c r="S215" i="1" s="1"/>
  <c r="X215" i="1"/>
  <c r="AA213" i="1"/>
  <c r="W213" i="1" s="1"/>
  <c r="AA200" i="1"/>
  <c r="AG193" i="1"/>
  <c r="U193" i="1" s="1"/>
  <c r="S193" i="1" s="1"/>
  <c r="T177" i="1"/>
  <c r="AA176" i="1"/>
  <c r="AG174" i="1"/>
  <c r="AI174" i="1" s="1"/>
  <c r="X170" i="1"/>
  <c r="AA157" i="1"/>
  <c r="W157" i="1" s="1"/>
  <c r="AG211" i="1"/>
  <c r="AA205" i="1"/>
  <c r="W205" i="1" s="1"/>
  <c r="AA148" i="1"/>
  <c r="AA142" i="1"/>
  <c r="AI141" i="1"/>
  <c r="AA115" i="1"/>
  <c r="W115" i="1" s="1"/>
  <c r="AG105" i="1"/>
  <c r="U105" i="1" s="1"/>
  <c r="S105" i="1" s="1"/>
  <c r="AA91" i="1"/>
  <c r="AG87" i="1"/>
  <c r="AA81" i="1"/>
  <c r="W81" i="1" s="1"/>
  <c r="X80" i="1"/>
  <c r="AA75" i="1"/>
  <c r="AG74" i="1"/>
  <c r="X74" i="1"/>
  <c r="AG67" i="1"/>
  <c r="AI67" i="1" s="1"/>
  <c r="X60" i="1"/>
  <c r="AG55" i="1"/>
  <c r="AI55" i="1" s="1"/>
  <c r="AA54" i="1"/>
  <c r="AA51" i="1"/>
  <c r="W51" i="1" s="1"/>
  <c r="AI46" i="1"/>
  <c r="AA46" i="1"/>
  <c r="AG45" i="1"/>
  <c r="U45" i="1" s="1"/>
  <c r="S45" i="1" s="1"/>
  <c r="X45" i="1"/>
  <c r="AG34" i="1"/>
  <c r="U34" i="1" s="1"/>
  <c r="AA21" i="1"/>
  <c r="W21" i="1" s="1"/>
  <c r="AE26" i="3"/>
  <c r="AD26" i="3"/>
  <c r="S22" i="3"/>
  <c r="Y20" i="3"/>
  <c r="AD13" i="3"/>
  <c r="AD12" i="3"/>
  <c r="AE12" i="3"/>
  <c r="AA203" i="1"/>
  <c r="T194" i="1"/>
  <c r="AA192" i="1"/>
  <c r="T186" i="1"/>
  <c r="T185" i="1"/>
  <c r="AA184" i="1"/>
  <c r="T178" i="1"/>
  <c r="T169" i="1"/>
  <c r="AA168" i="1"/>
  <c r="AA209" i="1"/>
  <c r="W209" i="1" s="1"/>
  <c r="AA112" i="1"/>
  <c r="T102" i="1"/>
  <c r="AA76" i="1"/>
  <c r="W76" i="1" s="1"/>
  <c r="AI65" i="1"/>
  <c r="AA44" i="1"/>
  <c r="AA40" i="1"/>
  <c r="AA37" i="1"/>
  <c r="W37" i="1" s="1"/>
  <c r="AA27" i="1"/>
  <c r="AA23" i="1"/>
  <c r="AA22" i="1"/>
  <c r="W22" i="1" s="1"/>
  <c r="U20" i="1"/>
  <c r="S20" i="1" s="1"/>
  <c r="AA15" i="1"/>
  <c r="AA199" i="1"/>
  <c r="AA194" i="1"/>
  <c r="AA186" i="1"/>
  <c r="U177" i="1"/>
  <c r="S177" i="1" s="1"/>
  <c r="AA160" i="1"/>
  <c r="AA204" i="1"/>
  <c r="AA127" i="1"/>
  <c r="AA102" i="1"/>
  <c r="W102" i="1" s="1"/>
  <c r="T97" i="1"/>
  <c r="AA80" i="1"/>
  <c r="W80" i="1" s="1"/>
  <c r="AA79" i="1"/>
  <c r="X68" i="1"/>
  <c r="AA212" i="1"/>
  <c r="AA201" i="1"/>
  <c r="AG194" i="1"/>
  <c r="AI194" i="1" s="1"/>
  <c r="AA193" i="1"/>
  <c r="X190" i="1"/>
  <c r="AA175" i="1"/>
  <c r="AA174" i="1"/>
  <c r="AA166" i="1"/>
  <c r="X209" i="1"/>
  <c r="AG139" i="1"/>
  <c r="AI139" i="1" s="1"/>
  <c r="X139" i="1"/>
  <c r="AA138" i="1"/>
  <c r="W138" i="1" s="1"/>
  <c r="X134" i="1"/>
  <c r="AA134" i="1"/>
  <c r="T117" i="1"/>
  <c r="AA116" i="1"/>
  <c r="W116" i="1" s="1"/>
  <c r="AG111" i="1"/>
  <c r="AA110" i="1"/>
  <c r="W110" i="1" s="1"/>
  <c r="T110" i="1"/>
  <c r="AA109" i="1"/>
  <c r="W109" i="1" s="1"/>
  <c r="AA105" i="1"/>
  <c r="AA99" i="1"/>
  <c r="AA74" i="1"/>
  <c r="AA69" i="1"/>
  <c r="W69" i="1" s="1"/>
  <c r="AA66" i="1"/>
  <c r="AA63" i="1"/>
  <c r="W63" i="1" s="1"/>
  <c r="AA56" i="1"/>
  <c r="AG44" i="1"/>
  <c r="AI44" i="1" s="1"/>
  <c r="AA42" i="1"/>
  <c r="AG40" i="1"/>
  <c r="AI40" i="1" s="1"/>
  <c r="AG38" i="1"/>
  <c r="U38" i="1" s="1"/>
  <c r="AG36" i="1"/>
  <c r="U36" i="1" s="1"/>
  <c r="S36" i="1" s="1"/>
  <c r="AA33" i="1"/>
  <c r="AG29" i="1"/>
  <c r="AI29" i="1" s="1"/>
  <c r="X29" i="1"/>
  <c r="W20" i="1"/>
  <c r="AG18" i="1"/>
  <c r="U18" i="1" s="1"/>
  <c r="AA173" i="1"/>
  <c r="T170" i="1"/>
  <c r="AA167" i="1"/>
  <c r="AA165" i="1"/>
  <c r="W165" i="1" s="1"/>
  <c r="T162" i="1"/>
  <c r="AA156" i="1"/>
  <c r="AA154" i="1"/>
  <c r="W154" i="1" s="1"/>
  <c r="T145" i="1"/>
  <c r="AA143" i="1"/>
  <c r="AA133" i="1"/>
  <c r="AA130" i="1"/>
  <c r="AA126" i="1"/>
  <c r="X122" i="1"/>
  <c r="AA120" i="1"/>
  <c r="W120" i="1" s="1"/>
  <c r="W119" i="1"/>
  <c r="AA85" i="1"/>
  <c r="AA17" i="1"/>
  <c r="X202" i="1"/>
  <c r="W185" i="1"/>
  <c r="W169" i="1"/>
  <c r="X110" i="1"/>
  <c r="AA107" i="1"/>
  <c r="AA104" i="1"/>
  <c r="AA101" i="1"/>
  <c r="W97" i="1"/>
  <c r="AA96" i="1"/>
  <c r="AA86" i="1"/>
  <c r="W86" i="1" s="1"/>
  <c r="AA57" i="1"/>
  <c r="W57" i="1" s="1"/>
  <c r="AA47" i="1"/>
  <c r="W47" i="1" s="1"/>
  <c r="AA43" i="1"/>
  <c r="AA39" i="1"/>
  <c r="AA38" i="1"/>
  <c r="X213" i="1"/>
  <c r="AG199" i="1"/>
  <c r="W199" i="1" s="1"/>
  <c r="AG191" i="1"/>
  <c r="W191" i="1" s="1"/>
  <c r="AG186" i="1"/>
  <c r="AI186" i="1" s="1"/>
  <c r="AG183" i="1"/>
  <c r="W183" i="1" s="1"/>
  <c r="AG178" i="1"/>
  <c r="AI178" i="1" s="1"/>
  <c r="AA177" i="1"/>
  <c r="W177" i="1" s="1"/>
  <c r="AG170" i="1"/>
  <c r="AG167" i="1"/>
  <c r="U167" i="1" s="1"/>
  <c r="S167" i="1" s="1"/>
  <c r="AG162" i="1"/>
  <c r="AI162" i="1" s="1"/>
  <c r="AG156" i="1"/>
  <c r="AI156" i="1" s="1"/>
  <c r="AA144" i="1"/>
  <c r="AA137" i="1"/>
  <c r="W137" i="1" s="1"/>
  <c r="AA132" i="1"/>
  <c r="AG126" i="1"/>
  <c r="W126" i="1" s="1"/>
  <c r="X126" i="1"/>
  <c r="AA124" i="1"/>
  <c r="X121" i="1"/>
  <c r="AA83" i="1"/>
  <c r="AG77" i="1"/>
  <c r="AI77" i="1" s="1"/>
  <c r="X76" i="1"/>
  <c r="AG71" i="1"/>
  <c r="AI71" i="1" s="1"/>
  <c r="AA59" i="1"/>
  <c r="U57" i="1"/>
  <c r="S57" i="1" s="1"/>
  <c r="X53" i="1"/>
  <c r="W46" i="1"/>
  <c r="W197" i="1"/>
  <c r="T217" i="1"/>
  <c r="U217" i="1" s="1"/>
  <c r="S217" i="1" s="1"/>
  <c r="AA216" i="1"/>
  <c r="W216" i="1" s="1"/>
  <c r="AG214" i="1"/>
  <c r="X214" i="1"/>
  <c r="AA202" i="1"/>
  <c r="T202" i="1"/>
  <c r="AG201" i="1"/>
  <c r="U201" i="1" s="1"/>
  <c r="S201" i="1" s="1"/>
  <c r="AG198" i="1"/>
  <c r="AI198" i="1" s="1"/>
  <c r="X198" i="1"/>
  <c r="T197" i="1"/>
  <c r="U197" i="1" s="1"/>
  <c r="S197" i="1" s="1"/>
  <c r="AA196" i="1"/>
  <c r="AA195" i="1"/>
  <c r="AA190" i="1"/>
  <c r="T190" i="1"/>
  <c r="AG189" i="1"/>
  <c r="U189" i="1" s="1"/>
  <c r="S189" i="1" s="1"/>
  <c r="AG187" i="1"/>
  <c r="AI187" i="1" s="1"/>
  <c r="AG182" i="1"/>
  <c r="AI182" i="1" s="1"/>
  <c r="X182" i="1"/>
  <c r="T181" i="1"/>
  <c r="U181" i="1" s="1"/>
  <c r="S181" i="1" s="1"/>
  <c r="AA180" i="1"/>
  <c r="AA179" i="1"/>
  <c r="AA178" i="1"/>
  <c r="AG173" i="1"/>
  <c r="U173" i="1" s="1"/>
  <c r="S173" i="1" s="1"/>
  <c r="AG171" i="1"/>
  <c r="AI171" i="1" s="1"/>
  <c r="AG166" i="1"/>
  <c r="W166" i="1" s="1"/>
  <c r="X166" i="1"/>
  <c r="AG163" i="1"/>
  <c r="X161" i="1"/>
  <c r="AA159" i="1"/>
  <c r="AA158" i="1"/>
  <c r="W158" i="1" s="1"/>
  <c r="T157" i="1"/>
  <c r="AG207" i="1"/>
  <c r="U207" i="1" s="1"/>
  <c r="S207" i="1" s="1"/>
  <c r="X205" i="1"/>
  <c r="AG155" i="1"/>
  <c r="U155" i="1" s="1"/>
  <c r="S155" i="1" s="1"/>
  <c r="X155" i="1"/>
  <c r="AA153" i="1"/>
  <c r="AA151" i="1"/>
  <c r="AA150" i="1"/>
  <c r="W150" i="1" s="1"/>
  <c r="T149" i="1"/>
  <c r="U149" i="1" s="1"/>
  <c r="S149" i="1" s="1"/>
  <c r="X146" i="1"/>
  <c r="AG146" i="1"/>
  <c r="W146" i="1" s="1"/>
  <c r="AI93" i="1"/>
  <c r="AI69" i="1"/>
  <c r="T213" i="1"/>
  <c r="U213" i="1" s="1"/>
  <c r="S213" i="1" s="1"/>
  <c r="U185" i="1"/>
  <c r="S185" i="1" s="1"/>
  <c r="U169" i="1"/>
  <c r="S169" i="1" s="1"/>
  <c r="AA218" i="1"/>
  <c r="AA211" i="1"/>
  <c r="W211" i="1" s="1"/>
  <c r="AA210" i="1"/>
  <c r="W210" i="1" s="1"/>
  <c r="T209" i="1"/>
  <c r="X154" i="1"/>
  <c r="W147" i="1"/>
  <c r="W142" i="1"/>
  <c r="AI109" i="1"/>
  <c r="AA215" i="1"/>
  <c r="AG202" i="1"/>
  <c r="AI202" i="1" s="1"/>
  <c r="AA198" i="1"/>
  <c r="AG195" i="1"/>
  <c r="AG190" i="1"/>
  <c r="AI190" i="1" s="1"/>
  <c r="AA188" i="1"/>
  <c r="AA187" i="1"/>
  <c r="AA182" i="1"/>
  <c r="AG179" i="1"/>
  <c r="X174" i="1"/>
  <c r="AA172" i="1"/>
  <c r="AA171" i="1"/>
  <c r="AA170" i="1"/>
  <c r="T165" i="1"/>
  <c r="U165" i="1" s="1"/>
  <c r="S165" i="1" s="1"/>
  <c r="AA164" i="1"/>
  <c r="AA163" i="1"/>
  <c r="AA162" i="1"/>
  <c r="T161" i="1"/>
  <c r="U161" i="1" s="1"/>
  <c r="S161" i="1" s="1"/>
  <c r="AG159" i="1"/>
  <c r="U159" i="1" s="1"/>
  <c r="S159" i="1" s="1"/>
  <c r="X157" i="1"/>
  <c r="AA208" i="1"/>
  <c r="AA207" i="1"/>
  <c r="W207" i="1" s="1"/>
  <c r="AA206" i="1"/>
  <c r="W206" i="1" s="1"/>
  <c r="T205" i="1"/>
  <c r="AG151" i="1"/>
  <c r="X149" i="1"/>
  <c r="T146" i="1"/>
  <c r="AA145" i="1"/>
  <c r="W145" i="1" s="1"/>
  <c r="AI145" i="1"/>
  <c r="U142" i="1"/>
  <c r="S142" i="1" s="1"/>
  <c r="AI142" i="1"/>
  <c r="T154" i="1"/>
  <c r="U138" i="1"/>
  <c r="S138" i="1" s="1"/>
  <c r="AA136" i="1"/>
  <c r="AA135" i="1"/>
  <c r="W135" i="1" s="1"/>
  <c r="T134" i="1"/>
  <c r="AG130" i="1"/>
  <c r="U130" i="1" s="1"/>
  <c r="S130" i="1" s="1"/>
  <c r="X130" i="1"/>
  <c r="T129" i="1"/>
  <c r="U129" i="1" s="1"/>
  <c r="S129" i="1" s="1"/>
  <c r="AG125" i="1"/>
  <c r="W125" i="1" s="1"/>
  <c r="AA122" i="1"/>
  <c r="AA118" i="1"/>
  <c r="W118" i="1" s="1"/>
  <c r="AA114" i="1"/>
  <c r="W114" i="1" s="1"/>
  <c r="T114" i="1"/>
  <c r="U114" i="1" s="1"/>
  <c r="S114" i="1" s="1"/>
  <c r="AA111" i="1"/>
  <c r="T109" i="1"/>
  <c r="U109" i="1" s="1"/>
  <c r="S109" i="1" s="1"/>
  <c r="AA108" i="1"/>
  <c r="X106" i="1"/>
  <c r="AG101" i="1"/>
  <c r="W101" i="1" s="1"/>
  <c r="AG99" i="1"/>
  <c r="AI99" i="1" s="1"/>
  <c r="AA98" i="1"/>
  <c r="W98" i="1" s="1"/>
  <c r="T98" i="1"/>
  <c r="U98" i="1" s="1"/>
  <c r="S98" i="1" s="1"/>
  <c r="AA95" i="1"/>
  <c r="T93" i="1"/>
  <c r="U93" i="1" s="1"/>
  <c r="S93" i="1" s="1"/>
  <c r="AA92" i="1"/>
  <c r="X90" i="1"/>
  <c r="AG85" i="1"/>
  <c r="AG83" i="1"/>
  <c r="AI83" i="1" s="1"/>
  <c r="AA82" i="1"/>
  <c r="W82" i="1" s="1"/>
  <c r="T82" i="1"/>
  <c r="U82" i="1" s="1"/>
  <c r="S82" i="1" s="1"/>
  <c r="AI80" i="1"/>
  <c r="T77" i="1"/>
  <c r="AA71" i="1"/>
  <c r="T69" i="1"/>
  <c r="U69" i="1" s="1"/>
  <c r="S69" i="1" s="1"/>
  <c r="AA68" i="1"/>
  <c r="T68" i="1"/>
  <c r="AA67" i="1"/>
  <c r="AA64" i="1"/>
  <c r="AA62" i="1"/>
  <c r="W62" i="1" s="1"/>
  <c r="T62" i="1"/>
  <c r="AG61" i="1"/>
  <c r="W61" i="1" s="1"/>
  <c r="AG59" i="1"/>
  <c r="AI59" i="1" s="1"/>
  <c r="AA58" i="1"/>
  <c r="W58" i="1" s="1"/>
  <c r="AA53" i="1"/>
  <c r="W53" i="1" s="1"/>
  <c r="X52" i="1"/>
  <c r="X44" i="1"/>
  <c r="AG41" i="1"/>
  <c r="AI41" i="1" s="1"/>
  <c r="X41" i="1"/>
  <c r="W38" i="1"/>
  <c r="W33" i="1"/>
  <c r="AG32" i="1"/>
  <c r="W32" i="1" s="1"/>
  <c r="AG30" i="1"/>
  <c r="U30" i="1" s="1"/>
  <c r="S30" i="1" s="1"/>
  <c r="AG25" i="1"/>
  <c r="AI25" i="1" s="1"/>
  <c r="X25" i="1"/>
  <c r="W17" i="1"/>
  <c r="U16" i="1"/>
  <c r="S16" i="1" s="1"/>
  <c r="T141" i="1"/>
  <c r="T133" i="1"/>
  <c r="U133" i="1" s="1"/>
  <c r="S133" i="1" s="1"/>
  <c r="T121" i="1"/>
  <c r="U121" i="1" s="1"/>
  <c r="S121" i="1" s="1"/>
  <c r="X120" i="1"/>
  <c r="X102" i="1"/>
  <c r="U97" i="1"/>
  <c r="S97" i="1" s="1"/>
  <c r="AI89" i="1"/>
  <c r="X86" i="1"/>
  <c r="U81" i="1"/>
  <c r="S81" i="1" s="1"/>
  <c r="W75" i="1"/>
  <c r="AA45" i="1"/>
  <c r="U44" i="1"/>
  <c r="S44" i="1" s="1"/>
  <c r="AG42" i="1"/>
  <c r="U42" i="1" s="1"/>
  <c r="S42" i="1" s="1"/>
  <c r="AA35" i="1"/>
  <c r="AA34" i="1"/>
  <c r="W34" i="1" s="1"/>
  <c r="AA29" i="1"/>
  <c r="AG26" i="1"/>
  <c r="U26" i="1" s="1"/>
  <c r="AI20" i="1"/>
  <c r="AA19" i="1"/>
  <c r="AA18" i="1"/>
  <c r="W18" i="1" s="1"/>
  <c r="AA140" i="1"/>
  <c r="AG134" i="1"/>
  <c r="AI134" i="1" s="1"/>
  <c r="AA131" i="1"/>
  <c r="X129" i="1"/>
  <c r="AG121" i="1"/>
  <c r="AI121" i="1" s="1"/>
  <c r="X114" i="1"/>
  <c r="AG107" i="1"/>
  <c r="AI107" i="1" s="1"/>
  <c r="AA106" i="1"/>
  <c r="W106" i="1" s="1"/>
  <c r="T106" i="1"/>
  <c r="AA103" i="1"/>
  <c r="W103" i="1" s="1"/>
  <c r="AA100" i="1"/>
  <c r="X98" i="1"/>
  <c r="AG91" i="1"/>
  <c r="AA90" i="1"/>
  <c r="W90" i="1" s="1"/>
  <c r="T90" i="1"/>
  <c r="U90" i="1" s="1"/>
  <c r="S90" i="1" s="1"/>
  <c r="AA87" i="1"/>
  <c r="AA84" i="1"/>
  <c r="T76" i="1"/>
  <c r="U76" i="1" s="1"/>
  <c r="S76" i="1" s="1"/>
  <c r="AG73" i="1"/>
  <c r="U73" i="1" s="1"/>
  <c r="AA65" i="1"/>
  <c r="W65" i="1" s="1"/>
  <c r="X62" i="1"/>
  <c r="AA55" i="1"/>
  <c r="W55" i="1" s="1"/>
  <c r="AA52" i="1"/>
  <c r="T52" i="1"/>
  <c r="AA50" i="1"/>
  <c r="W50" i="1" s="1"/>
  <c r="AA48" i="1"/>
  <c r="W48" i="1" s="1"/>
  <c r="T47" i="1"/>
  <c r="U47" i="1" s="1"/>
  <c r="S47" i="1" s="1"/>
  <c r="AA41" i="1"/>
  <c r="X33" i="1"/>
  <c r="AA31" i="1"/>
  <c r="AA30" i="1"/>
  <c r="AA25" i="1"/>
  <c r="U24" i="1"/>
  <c r="S24" i="1" s="1"/>
  <c r="W14" i="1"/>
  <c r="X141" i="1"/>
  <c r="T137" i="1"/>
  <c r="U137" i="1" s="1"/>
  <c r="S137" i="1" s="1"/>
  <c r="X133" i="1"/>
  <c r="T120" i="1"/>
  <c r="U120" i="1" s="1"/>
  <c r="S120" i="1" s="1"/>
  <c r="W26" i="1"/>
  <c r="AI217" i="1"/>
  <c r="X216" i="1"/>
  <c r="T216" i="1"/>
  <c r="U216" i="1" s="1"/>
  <c r="S216" i="1" s="1"/>
  <c r="W203" i="1"/>
  <c r="U154" i="1"/>
  <c r="S154" i="1" s="1"/>
  <c r="AI154" i="1"/>
  <c r="X217" i="1"/>
  <c r="AA214" i="1"/>
  <c r="W214" i="1" s="1"/>
  <c r="T212" i="1"/>
  <c r="X212" i="1"/>
  <c r="AG212" i="1"/>
  <c r="W212" i="1" s="1"/>
  <c r="U157" i="1"/>
  <c r="S157" i="1" s="1"/>
  <c r="AI166" i="1"/>
  <c r="AI149" i="1"/>
  <c r="W161" i="1"/>
  <c r="U209" i="1"/>
  <c r="S209" i="1" s="1"/>
  <c r="U203" i="1"/>
  <c r="S203" i="1" s="1"/>
  <c r="AI170" i="1"/>
  <c r="U205" i="1"/>
  <c r="S205" i="1" s="1"/>
  <c r="AI158" i="1"/>
  <c r="X201" i="1"/>
  <c r="X197" i="1"/>
  <c r="X193" i="1"/>
  <c r="X189" i="1"/>
  <c r="U186" i="1"/>
  <c r="S186" i="1" s="1"/>
  <c r="X185" i="1"/>
  <c r="X181" i="1"/>
  <c r="U178" i="1"/>
  <c r="S178" i="1" s="1"/>
  <c r="X177" i="1"/>
  <c r="X173" i="1"/>
  <c r="U170" i="1"/>
  <c r="S170" i="1" s="1"/>
  <c r="X169" i="1"/>
  <c r="X165" i="1"/>
  <c r="U158" i="1"/>
  <c r="S158" i="1" s="1"/>
  <c r="U210" i="1"/>
  <c r="S210" i="1" s="1"/>
  <c r="U206" i="1"/>
  <c r="S206" i="1" s="1"/>
  <c r="U150" i="1"/>
  <c r="S150" i="1" s="1"/>
  <c r="U145" i="1"/>
  <c r="S145" i="1" s="1"/>
  <c r="AI138" i="1"/>
  <c r="T136" i="1"/>
  <c r="X136" i="1"/>
  <c r="AG136" i="1"/>
  <c r="W136" i="1" s="1"/>
  <c r="AI135" i="1"/>
  <c r="AI133" i="1"/>
  <c r="AI126" i="1"/>
  <c r="U195" i="1"/>
  <c r="S195" i="1" s="1"/>
  <c r="U191" i="1"/>
  <c r="S191" i="1" s="1"/>
  <c r="U187" i="1"/>
  <c r="S187" i="1" s="1"/>
  <c r="U179" i="1"/>
  <c r="S179" i="1" s="1"/>
  <c r="U171" i="1"/>
  <c r="S171" i="1" s="1"/>
  <c r="U163" i="1"/>
  <c r="S163" i="1" s="1"/>
  <c r="U211" i="1"/>
  <c r="S211" i="1" s="1"/>
  <c r="U156" i="1"/>
  <c r="S156" i="1" s="1"/>
  <c r="U151" i="1"/>
  <c r="S151" i="1" s="1"/>
  <c r="U147" i="1"/>
  <c r="S147" i="1" s="1"/>
  <c r="T140" i="1"/>
  <c r="X140" i="1"/>
  <c r="X137" i="1"/>
  <c r="AG131" i="1"/>
  <c r="T131" i="1"/>
  <c r="X131" i="1"/>
  <c r="AG124" i="1"/>
  <c r="T124" i="1"/>
  <c r="X125" i="1"/>
  <c r="X124" i="1"/>
  <c r="AG118" i="1"/>
  <c r="X118" i="1"/>
  <c r="T118" i="1"/>
  <c r="AI111" i="1"/>
  <c r="U111" i="1"/>
  <c r="S111" i="1" s="1"/>
  <c r="X203" i="1"/>
  <c r="AI211" i="1"/>
  <c r="AG200" i="1"/>
  <c r="AI200" i="1" s="1"/>
  <c r="X199" i="1"/>
  <c r="AG196" i="1"/>
  <c r="W196" i="1" s="1"/>
  <c r="X195" i="1"/>
  <c r="AI203" i="1"/>
  <c r="AG192" i="1"/>
  <c r="X191" i="1"/>
  <c r="AG188" i="1"/>
  <c r="AI188" i="1" s="1"/>
  <c r="X187" i="1"/>
  <c r="AI195" i="1"/>
  <c r="AG184" i="1"/>
  <c r="X183" i="1"/>
  <c r="AG180" i="1"/>
  <c r="AI180" i="1" s="1"/>
  <c r="X179" i="1"/>
  <c r="AG176" i="1"/>
  <c r="X175" i="1"/>
  <c r="AI183" i="1"/>
  <c r="AG172" i="1"/>
  <c r="AI172" i="1" s="1"/>
  <c r="X171" i="1"/>
  <c r="AI179" i="1"/>
  <c r="AG168" i="1"/>
  <c r="W168" i="1" s="1"/>
  <c r="X167" i="1"/>
  <c r="AG164" i="1"/>
  <c r="X163" i="1"/>
  <c r="AG160" i="1"/>
  <c r="AI160" i="1" s="1"/>
  <c r="X159" i="1"/>
  <c r="AI167" i="1"/>
  <c r="AG218" i="1"/>
  <c r="AI218" i="1" s="1"/>
  <c r="X211" i="1"/>
  <c r="AI163" i="1"/>
  <c r="AG208" i="1"/>
  <c r="AI208" i="1" s="1"/>
  <c r="X207" i="1"/>
  <c r="AG204" i="1"/>
  <c r="X156" i="1"/>
  <c r="AI155" i="1"/>
  <c r="AG153" i="1"/>
  <c r="X151" i="1"/>
  <c r="AI150" i="1"/>
  <c r="AG148" i="1"/>
  <c r="X147" i="1"/>
  <c r="X145" i="1"/>
  <c r="T144" i="1"/>
  <c r="X144" i="1"/>
  <c r="T143" i="1"/>
  <c r="AG140" i="1"/>
  <c r="AI130" i="1"/>
  <c r="AI129" i="1"/>
  <c r="U117" i="1"/>
  <c r="S117" i="1" s="1"/>
  <c r="AI117" i="1"/>
  <c r="U107" i="1"/>
  <c r="S107" i="1" s="1"/>
  <c r="X200" i="1"/>
  <c r="X196" i="1"/>
  <c r="AI204" i="1"/>
  <c r="X192" i="1"/>
  <c r="X188" i="1"/>
  <c r="X184" i="1"/>
  <c r="AI192" i="1"/>
  <c r="X180" i="1"/>
  <c r="X176" i="1"/>
  <c r="X172" i="1"/>
  <c r="X168" i="1"/>
  <c r="AI176" i="1"/>
  <c r="X164" i="1"/>
  <c r="X160" i="1"/>
  <c r="X218" i="1"/>
  <c r="X208" i="1"/>
  <c r="X204" i="1"/>
  <c r="AI151" i="1"/>
  <c r="X148" i="1"/>
  <c r="AI147" i="1"/>
  <c r="AG144" i="1"/>
  <c r="AG143" i="1"/>
  <c r="U141" i="1"/>
  <c r="S141" i="1" s="1"/>
  <c r="T135" i="1"/>
  <c r="U135" i="1" s="1"/>
  <c r="S135" i="1" s="1"/>
  <c r="X135" i="1"/>
  <c r="W133" i="1"/>
  <c r="AG127" i="1"/>
  <c r="W127" i="1" s="1"/>
  <c r="T127" i="1"/>
  <c r="X127" i="1"/>
  <c r="AG132" i="1"/>
  <c r="AG128" i="1"/>
  <c r="W128" i="1" s="1"/>
  <c r="T123" i="1"/>
  <c r="X123" i="1"/>
  <c r="T122" i="1"/>
  <c r="AG116" i="1"/>
  <c r="X117" i="1"/>
  <c r="AI114" i="1"/>
  <c r="AI110" i="1"/>
  <c r="U110" i="1"/>
  <c r="S110" i="1" s="1"/>
  <c r="AI106" i="1"/>
  <c r="U106" i="1"/>
  <c r="S106" i="1" s="1"/>
  <c r="AI102" i="1"/>
  <c r="U102" i="1"/>
  <c r="S102" i="1" s="1"/>
  <c r="AI98" i="1"/>
  <c r="AI94" i="1"/>
  <c r="U94" i="1"/>
  <c r="S94" i="1" s="1"/>
  <c r="AI90" i="1"/>
  <c r="AI86" i="1"/>
  <c r="U86" i="1"/>
  <c r="S86" i="1" s="1"/>
  <c r="AI82" i="1"/>
  <c r="X132" i="1"/>
  <c r="X128" i="1"/>
  <c r="AG123" i="1"/>
  <c r="AG122" i="1"/>
  <c r="W122" i="1" s="1"/>
  <c r="X116" i="1"/>
  <c r="T112" i="1"/>
  <c r="X112" i="1"/>
  <c r="AG112" i="1"/>
  <c r="X113" i="1"/>
  <c r="W111" i="1"/>
  <c r="T108" i="1"/>
  <c r="X108" i="1"/>
  <c r="AG108" i="1"/>
  <c r="W108" i="1" s="1"/>
  <c r="X109" i="1"/>
  <c r="T104" i="1"/>
  <c r="X104" i="1"/>
  <c r="AG104" i="1"/>
  <c r="X105" i="1"/>
  <c r="T100" i="1"/>
  <c r="X100" i="1"/>
  <c r="AG100" i="1"/>
  <c r="X101" i="1"/>
  <c r="T96" i="1"/>
  <c r="X96" i="1"/>
  <c r="AG96" i="1"/>
  <c r="X97" i="1"/>
  <c r="W95" i="1"/>
  <c r="T92" i="1"/>
  <c r="X92" i="1"/>
  <c r="AG92" i="1"/>
  <c r="W92" i="1" s="1"/>
  <c r="X93" i="1"/>
  <c r="W91" i="1"/>
  <c r="T88" i="1"/>
  <c r="X88" i="1"/>
  <c r="AG88" i="1"/>
  <c r="W88" i="1" s="1"/>
  <c r="X89" i="1"/>
  <c r="W87" i="1"/>
  <c r="T84" i="1"/>
  <c r="AG84" i="1"/>
  <c r="X85" i="1"/>
  <c r="AI103" i="1"/>
  <c r="AI95" i="1"/>
  <c r="AI91" i="1"/>
  <c r="AI87" i="1"/>
  <c r="T79" i="1"/>
  <c r="X79" i="1"/>
  <c r="AG79" i="1"/>
  <c r="X78" i="1"/>
  <c r="AG78" i="1"/>
  <c r="AI75" i="1"/>
  <c r="AI74" i="1"/>
  <c r="U74" i="1"/>
  <c r="S74" i="1" s="1"/>
  <c r="T119" i="1"/>
  <c r="U119" i="1" s="1"/>
  <c r="S119" i="1" s="1"/>
  <c r="X119" i="1"/>
  <c r="U103" i="1"/>
  <c r="S103" i="1" s="1"/>
  <c r="U95" i="1"/>
  <c r="S95" i="1" s="1"/>
  <c r="U91" i="1"/>
  <c r="S91" i="1" s="1"/>
  <c r="U87" i="1"/>
  <c r="S87" i="1" s="1"/>
  <c r="S73" i="1"/>
  <c r="AI73" i="1"/>
  <c r="AG72" i="1"/>
  <c r="X72" i="1"/>
  <c r="X73" i="1"/>
  <c r="T72" i="1"/>
  <c r="T80" i="1"/>
  <c r="U80" i="1" s="1"/>
  <c r="S80" i="1" s="1"/>
  <c r="AA78" i="1"/>
  <c r="T75" i="1"/>
  <c r="U75" i="1" s="1"/>
  <c r="S75" i="1" s="1"/>
  <c r="X75" i="1"/>
  <c r="W72" i="1"/>
  <c r="X69" i="1"/>
  <c r="AG68" i="1"/>
  <c r="W66" i="1"/>
  <c r="T66" i="1"/>
  <c r="U66" i="1" s="1"/>
  <c r="S66" i="1" s="1"/>
  <c r="U65" i="1"/>
  <c r="X64" i="1"/>
  <c r="U62" i="1"/>
  <c r="S62" i="1" s="1"/>
  <c r="AI62" i="1"/>
  <c r="X58" i="1"/>
  <c r="U55" i="1"/>
  <c r="S55" i="1" s="1"/>
  <c r="U53" i="1"/>
  <c r="S53" i="1" s="1"/>
  <c r="AG51" i="1"/>
  <c r="X51" i="1"/>
  <c r="T51" i="1"/>
  <c r="AI66" i="1"/>
  <c r="X57" i="1"/>
  <c r="AG56" i="1"/>
  <c r="X115" i="1"/>
  <c r="X111" i="1"/>
  <c r="X107" i="1"/>
  <c r="X103" i="1"/>
  <c r="X99" i="1"/>
  <c r="X95" i="1"/>
  <c r="X91" i="1"/>
  <c r="X87" i="1"/>
  <c r="U70" i="1"/>
  <c r="S70" i="1" s="1"/>
  <c r="AI70" i="1"/>
  <c r="X66" i="1"/>
  <c r="S65" i="1"/>
  <c r="U63" i="1"/>
  <c r="S63" i="1" s="1"/>
  <c r="X61" i="1"/>
  <c r="AG60" i="1"/>
  <c r="T58" i="1"/>
  <c r="U58" i="1" s="1"/>
  <c r="S58" i="1" s="1"/>
  <c r="X56" i="1"/>
  <c r="T54" i="1"/>
  <c r="X54" i="1"/>
  <c r="AG54" i="1"/>
  <c r="W74" i="1"/>
  <c r="X65" i="1"/>
  <c r="AG64" i="1"/>
  <c r="AI58" i="1"/>
  <c r="AI53" i="1"/>
  <c r="AI50" i="1"/>
  <c r="X71" i="1"/>
  <c r="X67" i="1"/>
  <c r="X63" i="1"/>
  <c r="X59" i="1"/>
  <c r="X55" i="1"/>
  <c r="AG52" i="1"/>
  <c r="AG49" i="1"/>
  <c r="X49" i="1"/>
  <c r="U48" i="1"/>
  <c r="S48" i="1" s="1"/>
  <c r="AA49" i="1"/>
  <c r="W49" i="1" s="1"/>
  <c r="X47" i="1"/>
  <c r="T46" i="1"/>
  <c r="U46" i="1" s="1"/>
  <c r="S46" i="1" s="1"/>
  <c r="X46" i="1"/>
  <c r="T39" i="1"/>
  <c r="X39" i="1"/>
  <c r="AG39" i="1"/>
  <c r="X40" i="1"/>
  <c r="T35" i="1"/>
  <c r="X35" i="1"/>
  <c r="AG35" i="1"/>
  <c r="W35" i="1" s="1"/>
  <c r="X36" i="1"/>
  <c r="T31" i="1"/>
  <c r="X31" i="1"/>
  <c r="AG31" i="1"/>
  <c r="X32" i="1"/>
  <c r="T27" i="1"/>
  <c r="X27" i="1"/>
  <c r="AG27" i="1"/>
  <c r="X28" i="1"/>
  <c r="T23" i="1"/>
  <c r="X23" i="1"/>
  <c r="AG23" i="1"/>
  <c r="X24" i="1"/>
  <c r="T19" i="1"/>
  <c r="X19" i="1"/>
  <c r="AG19" i="1"/>
  <c r="X20" i="1"/>
  <c r="T15" i="1"/>
  <c r="X15" i="1"/>
  <c r="AG15" i="1"/>
  <c r="X16" i="1"/>
  <c r="T50" i="1"/>
  <c r="U50" i="1" s="1"/>
  <c r="S50" i="1" s="1"/>
  <c r="X50" i="1"/>
  <c r="T43" i="1"/>
  <c r="X43" i="1"/>
  <c r="AG43" i="1"/>
  <c r="S38" i="1"/>
  <c r="AI38" i="1"/>
  <c r="S34" i="1"/>
  <c r="AI34" i="1"/>
  <c r="S26" i="1"/>
  <c r="AI26" i="1"/>
  <c r="S18" i="1"/>
  <c r="AI18" i="1"/>
  <c r="U41" i="1"/>
  <c r="S41" i="1" s="1"/>
  <c r="U37" i="1"/>
  <c r="S37" i="1" s="1"/>
  <c r="U33" i="1"/>
  <c r="S33" i="1" s="1"/>
  <c r="U21" i="1"/>
  <c r="S21" i="1" s="1"/>
  <c r="U17" i="1"/>
  <c r="S17" i="1" s="1"/>
  <c r="X42" i="1"/>
  <c r="X38" i="1"/>
  <c r="AI37" i="1"/>
  <c r="X34" i="1"/>
  <c r="AI33" i="1"/>
  <c r="X30" i="1"/>
  <c r="X26" i="1"/>
  <c r="X22" i="1"/>
  <c r="AI21" i="1"/>
  <c r="X18" i="1"/>
  <c r="AI17" i="1"/>
  <c r="Y7" i="3"/>
  <c r="T8" i="3"/>
  <c r="Y19" i="3"/>
  <c r="Y28" i="3"/>
  <c r="AD9" i="3"/>
  <c r="AD16" i="3"/>
  <c r="AE16" i="3"/>
  <c r="Y24" i="3"/>
  <c r="Y32" i="3"/>
  <c r="Y22" i="3"/>
  <c r="AD24" i="3"/>
  <c r="Y16" i="3"/>
  <c r="AE22" i="3"/>
  <c r="AD19" i="3"/>
  <c r="Y8" i="3"/>
  <c r="AD15" i="3"/>
  <c r="AE11" i="3"/>
  <c r="AD8" i="3"/>
  <c r="AE23" i="3"/>
  <c r="AD22" i="3"/>
  <c r="AE18" i="3"/>
  <c r="AD11" i="3"/>
  <c r="T30" i="3"/>
  <c r="T13" i="3"/>
  <c r="T10" i="3"/>
  <c r="Y30" i="3"/>
  <c r="Y13" i="3"/>
  <c r="T17" i="3"/>
  <c r="T25" i="3"/>
  <c r="Y25" i="3"/>
  <c r="Y26" i="3"/>
  <c r="Y10" i="3"/>
  <c r="T32" i="3"/>
  <c r="AE19" i="3"/>
  <c r="Y18" i="3"/>
  <c r="AE15" i="3"/>
  <c r="AC11" i="3"/>
  <c r="Y17" i="3"/>
  <c r="AD30" i="3"/>
  <c r="AE25" i="3"/>
  <c r="T22" i="3"/>
  <c r="AE21" i="3"/>
  <c r="T21" i="3"/>
  <c r="T20" i="3"/>
  <c r="AE10" i="3"/>
  <c r="T28" i="3"/>
  <c r="AE29" i="3"/>
  <c r="T23" i="3"/>
  <c r="AE14" i="3"/>
  <c r="T12" i="3"/>
  <c r="AE32" i="3"/>
  <c r="AD29" i="3"/>
  <c r="AE28" i="3"/>
  <c r="AD25" i="3"/>
  <c r="AE24" i="3"/>
  <c r="T15" i="3"/>
  <c r="AD21" i="3"/>
  <c r="AE20" i="3"/>
  <c r="T14" i="3"/>
  <c r="AE17" i="3"/>
  <c r="T19" i="3"/>
  <c r="AD14" i="3"/>
  <c r="AE13" i="3"/>
  <c r="T11" i="3"/>
  <c r="AD10" i="3"/>
  <c r="AE9" i="3"/>
  <c r="T27" i="3"/>
  <c r="AE8" i="3"/>
  <c r="R31" i="3"/>
  <c r="M31" i="3"/>
  <c r="S31" i="3"/>
  <c r="U31" i="3"/>
  <c r="T31" i="3" s="1"/>
  <c r="V31" i="3"/>
  <c r="W31" i="3"/>
  <c r="X31" i="3"/>
  <c r="AI14" i="1" l="1"/>
  <c r="W15" i="1"/>
  <c r="W31" i="1"/>
  <c r="U83" i="1"/>
  <c r="S83" i="1" s="1"/>
  <c r="U99" i="1"/>
  <c r="S99" i="1" s="1"/>
  <c r="W112" i="1"/>
  <c r="W164" i="1"/>
  <c r="U146" i="1"/>
  <c r="S146" i="1" s="1"/>
  <c r="AI105" i="1"/>
  <c r="U194" i="1"/>
  <c r="S194" i="1" s="1"/>
  <c r="W155" i="1"/>
  <c r="AI28" i="1"/>
  <c r="AI164" i="1"/>
  <c r="AI146" i="1"/>
  <c r="AI175" i="1"/>
  <c r="AI199" i="1"/>
  <c r="U182" i="1"/>
  <c r="S182" i="1" s="1"/>
  <c r="AI215" i="1"/>
  <c r="U59" i="1"/>
  <c r="S59" i="1" s="1"/>
  <c r="W41" i="1"/>
  <c r="AI36" i="1"/>
  <c r="W67" i="1"/>
  <c r="U134" i="1"/>
  <c r="S134" i="1" s="1"/>
  <c r="W215" i="1"/>
  <c r="W36" i="1"/>
  <c r="W59" i="1"/>
  <c r="W83" i="1"/>
  <c r="U162" i="1"/>
  <c r="S162" i="1" s="1"/>
  <c r="W99" i="1"/>
  <c r="W134" i="1"/>
  <c r="W175" i="1"/>
  <c r="W194" i="1"/>
  <c r="W96" i="1"/>
  <c r="AI159" i="1"/>
  <c r="U199" i="1"/>
  <c r="S199" i="1" s="1"/>
  <c r="U166" i="1"/>
  <c r="S166" i="1" s="1"/>
  <c r="U67" i="1"/>
  <c r="S67" i="1" s="1"/>
  <c r="U190" i="1"/>
  <c r="S190" i="1" s="1"/>
  <c r="W105" i="1"/>
  <c r="W28" i="1"/>
  <c r="U25" i="1"/>
  <c r="S25" i="1" s="1"/>
  <c r="U71" i="1"/>
  <c r="S71" i="1" s="1"/>
  <c r="AI196" i="1"/>
  <c r="AI191" i="1"/>
  <c r="W131" i="1"/>
  <c r="U126" i="1"/>
  <c r="S126" i="1" s="1"/>
  <c r="W42" i="1"/>
  <c r="U139" i="1"/>
  <c r="S139" i="1" s="1"/>
  <c r="W25" i="1"/>
  <c r="U40" i="1"/>
  <c r="S40" i="1" s="1"/>
  <c r="W84" i="1"/>
  <c r="U115" i="1"/>
  <c r="S115" i="1" s="1"/>
  <c r="W71" i="1"/>
  <c r="W170" i="1"/>
  <c r="U29" i="1"/>
  <c r="S29" i="1" s="1"/>
  <c r="AI22" i="1"/>
  <c r="AI42" i="1"/>
  <c r="W73" i="1"/>
  <c r="W104" i="1"/>
  <c r="AI125" i="1"/>
  <c r="W130" i="1"/>
  <c r="W163" i="1"/>
  <c r="W193" i="1"/>
  <c r="AI45" i="1"/>
  <c r="W19" i="1"/>
  <c r="U125" i="1"/>
  <c r="S125" i="1" s="1"/>
  <c r="W184" i="1"/>
  <c r="U113" i="1"/>
  <c r="S113" i="1" s="1"/>
  <c r="W186" i="1"/>
  <c r="W113" i="1"/>
  <c r="W107" i="1"/>
  <c r="AI207" i="1"/>
  <c r="U77" i="1"/>
  <c r="S77" i="1" s="1"/>
  <c r="W85" i="1"/>
  <c r="W171" i="1"/>
  <c r="W182" i="1"/>
  <c r="W178" i="1"/>
  <c r="W143" i="1"/>
  <c r="AI168" i="1"/>
  <c r="AI184" i="1"/>
  <c r="W188" i="1"/>
  <c r="W124" i="1"/>
  <c r="U183" i="1"/>
  <c r="S183" i="1" s="1"/>
  <c r="W139" i="1"/>
  <c r="U202" i="1"/>
  <c r="S202" i="1" s="1"/>
  <c r="W45" i="1"/>
  <c r="W187" i="1"/>
  <c r="W198" i="1"/>
  <c r="W174" i="1"/>
  <c r="AI30" i="1"/>
  <c r="W54" i="1"/>
  <c r="W204" i="1"/>
  <c r="W180" i="1"/>
  <c r="U174" i="1"/>
  <c r="S174" i="1" s="1"/>
  <c r="U198" i="1"/>
  <c r="S198" i="1" s="1"/>
  <c r="W30" i="1"/>
  <c r="W29" i="1"/>
  <c r="W162" i="1"/>
  <c r="W167" i="1"/>
  <c r="W156" i="1"/>
  <c r="W77" i="1"/>
  <c r="W40" i="1"/>
  <c r="W44" i="1"/>
  <c r="W195" i="1"/>
  <c r="AI212" i="1"/>
  <c r="U32" i="1"/>
  <c r="S32" i="1" s="1"/>
  <c r="AI32" i="1"/>
  <c r="W121" i="1"/>
  <c r="U214" i="1"/>
  <c r="S214" i="1" s="1"/>
  <c r="AI214" i="1"/>
  <c r="W173" i="1"/>
  <c r="U85" i="1"/>
  <c r="S85" i="1" s="1"/>
  <c r="AI85" i="1"/>
  <c r="U101" i="1"/>
  <c r="S101" i="1" s="1"/>
  <c r="AI101" i="1"/>
  <c r="W201" i="1"/>
  <c r="AI61" i="1"/>
  <c r="U61" i="1"/>
  <c r="S61" i="1" s="1"/>
  <c r="W151" i="1"/>
  <c r="W159" i="1"/>
  <c r="W179" i="1"/>
  <c r="W190" i="1"/>
  <c r="W202" i="1"/>
  <c r="W189" i="1"/>
  <c r="AI60" i="1"/>
  <c r="U60" i="1"/>
  <c r="S60" i="1" s="1"/>
  <c r="W60" i="1"/>
  <c r="AI68" i="1"/>
  <c r="U68" i="1"/>
  <c r="S68" i="1" s="1"/>
  <c r="AI79" i="1"/>
  <c r="U79" i="1"/>
  <c r="S79" i="1" s="1"/>
  <c r="U84" i="1"/>
  <c r="S84" i="1" s="1"/>
  <c r="AI84" i="1"/>
  <c r="U100" i="1"/>
  <c r="S100" i="1" s="1"/>
  <c r="AI100" i="1"/>
  <c r="W100" i="1"/>
  <c r="U132" i="1"/>
  <c r="S132" i="1" s="1"/>
  <c r="AI132" i="1"/>
  <c r="W132" i="1"/>
  <c r="U153" i="1"/>
  <c r="S153" i="1" s="1"/>
  <c r="AI153" i="1"/>
  <c r="U160" i="1"/>
  <c r="S160" i="1" s="1"/>
  <c r="AI169" i="1"/>
  <c r="U176" i="1"/>
  <c r="S176" i="1" s="1"/>
  <c r="AI185" i="1"/>
  <c r="U192" i="1"/>
  <c r="S192" i="1" s="1"/>
  <c r="AI201" i="1"/>
  <c r="W153" i="1"/>
  <c r="W160" i="1"/>
  <c r="U43" i="1"/>
  <c r="S43" i="1" s="1"/>
  <c r="AI43" i="1"/>
  <c r="W43" i="1"/>
  <c r="U15" i="1"/>
  <c r="S15" i="1" s="1"/>
  <c r="AI15" i="1"/>
  <c r="U19" i="1"/>
  <c r="S19" i="1" s="1"/>
  <c r="AI19" i="1"/>
  <c r="U23" i="1"/>
  <c r="S23" i="1" s="1"/>
  <c r="AI23" i="1"/>
  <c r="U27" i="1"/>
  <c r="S27" i="1" s="1"/>
  <c r="AI27" i="1"/>
  <c r="U31" i="1"/>
  <c r="S31" i="1" s="1"/>
  <c r="AI31" i="1"/>
  <c r="U35" i="1"/>
  <c r="S35" i="1" s="1"/>
  <c r="AI35" i="1"/>
  <c r="U39" i="1"/>
  <c r="S39" i="1" s="1"/>
  <c r="AI39" i="1"/>
  <c r="AI49" i="1"/>
  <c r="U49" i="1"/>
  <c r="S49" i="1" s="1"/>
  <c r="AI64" i="1"/>
  <c r="U64" i="1"/>
  <c r="S64" i="1" s="1"/>
  <c r="W39" i="1"/>
  <c r="W27" i="1"/>
  <c r="W78" i="1"/>
  <c r="W79" i="1"/>
  <c r="U88" i="1"/>
  <c r="S88" i="1" s="1"/>
  <c r="AI88" i="1"/>
  <c r="U104" i="1"/>
  <c r="S104" i="1" s="1"/>
  <c r="AI104" i="1"/>
  <c r="AI122" i="1"/>
  <c r="U122" i="1"/>
  <c r="S122" i="1" s="1"/>
  <c r="U140" i="1"/>
  <c r="S140" i="1" s="1"/>
  <c r="AI140" i="1"/>
  <c r="U148" i="1"/>
  <c r="S148" i="1" s="1"/>
  <c r="AI148" i="1"/>
  <c r="U218" i="1"/>
  <c r="S218" i="1" s="1"/>
  <c r="AI165" i="1"/>
  <c r="U172" i="1"/>
  <c r="S172" i="1" s="1"/>
  <c r="AI181" i="1"/>
  <c r="U188" i="1"/>
  <c r="S188" i="1" s="1"/>
  <c r="AI197" i="1"/>
  <c r="W172" i="1"/>
  <c r="W192" i="1"/>
  <c r="U54" i="1"/>
  <c r="S54" i="1" s="1"/>
  <c r="AI54" i="1"/>
  <c r="U92" i="1"/>
  <c r="S92" i="1" s="1"/>
  <c r="AI92" i="1"/>
  <c r="U108" i="1"/>
  <c r="S108" i="1" s="1"/>
  <c r="AI108" i="1"/>
  <c r="U116" i="1"/>
  <c r="S116" i="1" s="1"/>
  <c r="AI116" i="1"/>
  <c r="AI143" i="1"/>
  <c r="U143" i="1"/>
  <c r="S143" i="1" s="1"/>
  <c r="U208" i="1"/>
  <c r="S208" i="1" s="1"/>
  <c r="AI161" i="1"/>
  <c r="U168" i="1"/>
  <c r="S168" i="1" s="1"/>
  <c r="AI177" i="1"/>
  <c r="U184" i="1"/>
  <c r="S184" i="1" s="1"/>
  <c r="AI193" i="1"/>
  <c r="U200" i="1"/>
  <c r="S200" i="1" s="1"/>
  <c r="AI209" i="1"/>
  <c r="AI118" i="1"/>
  <c r="U118" i="1"/>
  <c r="S118" i="1" s="1"/>
  <c r="U124" i="1"/>
  <c r="S124" i="1" s="1"/>
  <c r="AI124" i="1"/>
  <c r="W208" i="1"/>
  <c r="W140" i="1"/>
  <c r="W218" i="1"/>
  <c r="W176" i="1"/>
  <c r="AI52" i="1"/>
  <c r="U52" i="1"/>
  <c r="S52" i="1" s="1"/>
  <c r="AI56" i="1"/>
  <c r="U56" i="1"/>
  <c r="S56" i="1" s="1"/>
  <c r="W56" i="1"/>
  <c r="AI78" i="1"/>
  <c r="U78" i="1"/>
  <c r="S78" i="1" s="1"/>
  <c r="AI123" i="1"/>
  <c r="U123" i="1"/>
  <c r="S123" i="1" s="1"/>
  <c r="W123" i="1"/>
  <c r="W68" i="1"/>
  <c r="W23" i="1"/>
  <c r="W64" i="1"/>
  <c r="W52" i="1"/>
  <c r="U51" i="1"/>
  <c r="S51" i="1" s="1"/>
  <c r="AI51" i="1"/>
  <c r="U72" i="1"/>
  <c r="S72" i="1" s="1"/>
  <c r="AI72" i="1"/>
  <c r="U96" i="1"/>
  <c r="S96" i="1" s="1"/>
  <c r="AI96" i="1"/>
  <c r="U112" i="1"/>
  <c r="S112" i="1" s="1"/>
  <c r="AI112" i="1"/>
  <c r="U128" i="1"/>
  <c r="S128" i="1" s="1"/>
  <c r="AI128" i="1"/>
  <c r="U127" i="1"/>
  <c r="S127" i="1" s="1"/>
  <c r="AI127" i="1"/>
  <c r="U144" i="1"/>
  <c r="S144" i="1" s="1"/>
  <c r="AI144" i="1"/>
  <c r="W144" i="1"/>
  <c r="U204" i="1"/>
  <c r="S204" i="1" s="1"/>
  <c r="AI157" i="1"/>
  <c r="U164" i="1"/>
  <c r="S164" i="1" s="1"/>
  <c r="AI173" i="1"/>
  <c r="U180" i="1"/>
  <c r="S180" i="1" s="1"/>
  <c r="AI189" i="1"/>
  <c r="U196" i="1"/>
  <c r="S196" i="1" s="1"/>
  <c r="AI205" i="1"/>
  <c r="U131" i="1"/>
  <c r="S131" i="1" s="1"/>
  <c r="AI131" i="1"/>
  <c r="U136" i="1"/>
  <c r="S136" i="1" s="1"/>
  <c r="AI136" i="1"/>
  <c r="W148" i="1"/>
  <c r="U212" i="1"/>
  <c r="S212" i="1" s="1"/>
  <c r="AI213" i="1"/>
  <c r="W200" i="1"/>
  <c r="AC31" i="3"/>
  <c r="AE31" i="3"/>
  <c r="AD31" i="3"/>
  <c r="Y31" i="3"/>
  <c r="B4" i="6"/>
  <c r="G4" i="6" s="1"/>
  <c r="F4" i="6" l="1"/>
  <c r="J4" i="6"/>
  <c r="I4" i="6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29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11" i="3" s="1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20" i="3" s="1"/>
  <c r="G112" i="4"/>
  <c r="G113" i="4"/>
  <c r="G114" i="4"/>
  <c r="G115" i="4"/>
  <c r="G116" i="4"/>
  <c r="N8" i="3" s="1"/>
  <c r="G117" i="4"/>
  <c r="G118" i="4"/>
  <c r="G119" i="4"/>
  <c r="G120" i="4"/>
  <c r="G121" i="4"/>
  <c r="G122" i="4"/>
  <c r="G123" i="4"/>
  <c r="N30" i="3" s="1"/>
  <c r="G124" i="4"/>
  <c r="G125" i="4"/>
  <c r="G126" i="4"/>
  <c r="H4" i="6" s="1"/>
  <c r="G127" i="4"/>
  <c r="G128" i="4"/>
  <c r="N14" i="3" s="1"/>
  <c r="G129" i="4"/>
  <c r="N21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16" i="3" s="1"/>
  <c r="G168" i="4"/>
  <c r="G169" i="4"/>
  <c r="N32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10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N9" i="3" s="1"/>
  <c r="G196" i="4"/>
  <c r="G197" i="4"/>
  <c r="G198" i="4"/>
  <c r="G199" i="4"/>
  <c r="G200" i="4"/>
  <c r="G201" i="4"/>
  <c r="G202" i="4"/>
  <c r="G203" i="4"/>
  <c r="N7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7" i="3" l="1"/>
  <c r="N28" i="3"/>
  <c r="N18" i="3"/>
  <c r="N19" i="3"/>
  <c r="N12" i="3"/>
  <c r="N13" i="3"/>
  <c r="N26" i="3"/>
  <c r="N23" i="3"/>
  <c r="N24" i="3"/>
  <c r="N25" i="3"/>
  <c r="N15" i="3"/>
  <c r="N22" i="3"/>
  <c r="N17" i="3"/>
  <c r="N31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3" i="6" l="1"/>
  <c r="I3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3" i="6"/>
  <c r="F3" i="6"/>
  <c r="J3" i="6"/>
  <c r="H3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<sst xmlns="http://schemas.openxmlformats.org/spreadsheetml/2006/main" count="2470" uniqueCount="910">
  <si>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</si>
  <si>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</si>
  <si>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</si>
  <si>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</si>
  <si>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</si>
  <si>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</si>
  <si>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</si>
  <si>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</si>
  <si>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</si>
  <si>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</si>
  <si>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</si>
  <si>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</si>
  <si>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</si>
  <si>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</si>
  <si>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</si>
  <si>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</si>
  <si>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</si>
  <si>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</si>
  <si>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</si>
  <si>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</si>
  <si>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</si>
  <si>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</si>
  <si>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</si>
  <si>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</si>
  <si>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</si>
  <si>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</si>
  <si>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</si>
  <si>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</si>
  <si>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</si>
  <si>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</si>
  <si>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</si>
  <si>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</si>
  <si>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</si>
  <si>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</si>
  <si>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</si>
  <si>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</si>
  <si>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</si>
  <si>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</si>
  <si>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</si>
  <si>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</si>
  <si>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</si>
  <si>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</si>
  <si>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</si>
  <si>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</si>
  <si>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</si>
  <si>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</si>
  <si>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</si>
  <si>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</si>
  <si>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</si>
  <si>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</si>
  <si>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</si>
  <si>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</si>
  <si>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</si>
  <si>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</si>
  <si>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</si>
  <si>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</si>
  <si>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</si>
  <si>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</si>
  <si>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</si>
  <si>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</si>
  <si>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</si>
  <si>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</si>
  <si>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</si>
  <si>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</si>
  <si>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</si>
  <si>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</si>
  <si>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</si>
  <si>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</si>
  <si>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</si>
  <si>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</si>
  <si>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</si>
  <si>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</si>
  <si>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</si>
  <si>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</si>
  <si>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</si>
  <si>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</si>
  <si>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</si>
  <si>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</si>
  <si>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</si>
  <si>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</si>
  <si>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</si>
  <si>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</si>
  <si>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</si>
  <si>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</si>
  <si>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</si>
  <si>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</si>
  <si>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</si>
  <si>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</si>
  <si>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</si>
  <si>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</si>
  <si>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</si>
  <si>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</si>
  <si>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</si>
  <si>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</si>
  <si>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</si>
  <si>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</si>
  <si>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</si>
  <si>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</si>
  <si>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</si>
  <si>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</si>
  <si>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</si>
  <si>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</si>
  <si>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</si>
  <si>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</si>
  <si>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</si>
  <si>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</si>
  <si>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</si>
  <si>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</si>
  <si>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</si>
  <si>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</si>
  <si>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</si>
  <si>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</si>
  <si>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</si>
  <si>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</si>
  <si>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</si>
  <si>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</si>
  <si>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</si>
  <si>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</si>
  <si>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</si>
  <si>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</si>
  <si>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</si>
  <si>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</si>
  <si>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</si>
  <si>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</si>
  <si>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</si>
  <si>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</si>
  <si>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</si>
  <si>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</si>
  <si>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</si>
  <si>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</si>
  <si>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</si>
  <si>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</si>
  <si>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</si>
  <si>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</si>
  <si>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</si>
  <si>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</si>
  <si>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</si>
  <si>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</si>
  <si>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</si>
  <si>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</si>
  <si>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</si>
  <si>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</si>
  <si>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</si>
  <si>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</si>
  <si>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</si>
  <si>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</si>
  <si>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</si>
  <si>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</si>
  <si>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</si>
  <si>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</si>
  <si>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</si>
  <si>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</si>
  <si>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</si>
  <si>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</si>
  <si>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</si>
  <si>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</si>
  <si>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</si>
  <si>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</si>
  <si>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</si>
  <si>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</si>
  <si>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</si>
  <si>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</si>
  <si>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</si>
  <si>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</si>
  <si>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</si>
  <si>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</si>
  <si>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</si>
  <si>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</si>
  <si>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</si>
  <si>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</si>
  <si>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</si>
  <si>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</si>
  <si>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</si>
  <si>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</si>
  <si>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</si>
  <si>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</si>
  <si>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</si>
  <si>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</si>
  <si>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</si>
  <si>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</si>
  <si>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</si>
  <si>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</si>
  <si>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</si>
  <si>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</si>
  <si>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</si>
  <si>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</si>
  <si>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</si>
  <si>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</si>
  <si>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</si>
  <si>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</si>
  <si>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</si>
  <si>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</si>
  <si>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</si>
  <si>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</si>
  <si>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</si>
  <si>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</si>
  <si>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</si>
  <si>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</si>
  <si>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</si>
  <si>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</si>
  <si>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</si>
  <si>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</si>
  <si>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</si>
  <si>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</si>
  <si>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</si>
  <si>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</si>
  <si>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</si>
  <si>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</si>
  <si>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</si>
  <si>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</si>
  <si>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</si>
  <si>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</si>
  <si>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</si>
  <si>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</si>
  <si>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</si>
  <si>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</si>
  <si>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</si>
  <si>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</si>
  <si>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</si>
  <si>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</si>
  <si>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</si>
  <si>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</si>
  <si>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</si>
  <si>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</si>
  <si>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</si>
  <si>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</si>
  <si>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</si>
  <si>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</si>
  <si>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</si>
  <si>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</si>
  <si>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</si>
  <si>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</si>
  <si>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</si>
  <si>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</si>
  <si>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</si>
  <si>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</si>
  <si>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</si>
  <si>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</si>
  <si>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</si>
  <si>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</si>
  <si>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</si>
  <si>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</si>
  <si>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</si>
  <si>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</si>
  <si>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</si>
  <si>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</si>
  <si>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</si>
  <si>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</si>
  <si>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</si>
  <si>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</si>
  <si>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</si>
  <si>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</si>
  <si>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</si>
  <si>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</si>
  <si>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</si>
  <si>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</si>
  <si>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</si>
  <si>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</si>
  <si>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</si>
  <si>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</si>
  <si>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</si>
  <si>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</si>
  <si>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</si>
  <si>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</si>
  <si>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</si>
  <si>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</si>
  <si>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</si>
  <si>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</si>
  <si>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</si>
  <si>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</si>
  <si>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</si>
  <si>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</si>
  <si>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</si>
  <si>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</si>
  <si>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</si>
  <si>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</si>
  <si>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</si>
  <si>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204:232994</t>
  </si>
  <si>
    <t>204:467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</si>
  <si>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</si>
  <si>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</si>
  <si>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</si>
  <si>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</si>
  <si>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</si>
  <si>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</si>
  <si>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</si>
  <si>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</si>
  <si>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</si>
  <si>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</si>
  <si>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</si>
  <si>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</si>
  <si>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</si>
  <si>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</si>
  <si>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</si>
  <si>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</si>
  <si>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</si>
  <si>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204:437</t>
  </si>
  <si>
    <t>204:233304</t>
  </si>
  <si>
    <t>204:232976</t>
  </si>
  <si>
    <t>rtdc.l.rtdc.4016:itc</t>
  </si>
  <si>
    <t>204:447</t>
  </si>
  <si>
    <t>204:232993</t>
  </si>
  <si>
    <t>204:233291</t>
  </si>
  <si>
    <t>rtdc.l.rtdc.4009:itc</t>
  </si>
  <si>
    <t>204:232977</t>
  </si>
  <si>
    <t>204:233309</t>
  </si>
  <si>
    <t>204:233303</t>
  </si>
  <si>
    <t>rtdc.l.rtdc.4055:itc</t>
  </si>
  <si>
    <t>rtdc.l.rtdc.4057:itc</t>
  </si>
  <si>
    <t>311-01</t>
  </si>
  <si>
    <t>313-01</t>
  </si>
  <si>
    <t>315-01</t>
  </si>
  <si>
    <t>204:232978</t>
  </si>
  <si>
    <t>204:232991</t>
  </si>
  <si>
    <t>204:233293</t>
  </si>
  <si>
    <t>204:442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</si>
  <si>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</si>
  <si>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</si>
  <si>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</si>
  <si>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</si>
  <si>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</si>
  <si>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</si>
  <si>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</si>
  <si>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</si>
  <si>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</si>
  <si>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</si>
  <si>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</si>
  <si>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</si>
  <si>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204:165</t>
  </si>
  <si>
    <t>204:169</t>
  </si>
  <si>
    <t>rtdc.l.rtdc.4031:itc</t>
  </si>
  <si>
    <t>SAFIEF</t>
  </si>
  <si>
    <t>AEIMEN</t>
  </si>
  <si>
    <t>rtdc.l.rtdc.4037:itc</t>
  </si>
  <si>
    <t>rtdc.l.rtdc.4032:itc</t>
  </si>
  <si>
    <t>rtdc.l.rtdc.4039:itc</t>
  </si>
  <si>
    <t>204:233297</t>
  </si>
  <si>
    <t>204:161</t>
  </si>
  <si>
    <t>204:163</t>
  </si>
  <si>
    <t>204:233295</t>
  </si>
  <si>
    <t>204:232989</t>
  </si>
  <si>
    <t>rtdc.l.rtdc.4020:itc</t>
  </si>
  <si>
    <t>STARKS</t>
  </si>
  <si>
    <t>ANGELINA</t>
  </si>
  <si>
    <t>ROCHA</t>
  </si>
  <si>
    <t>YAOTL</t>
  </si>
  <si>
    <t>CLARK</t>
  </si>
  <si>
    <t>KATHLEEN</t>
  </si>
  <si>
    <t>LEVERE</t>
  </si>
  <si>
    <t>CRAIG</t>
  </si>
  <si>
    <t>rtdc.l.rtdc.4044:itc</t>
  </si>
  <si>
    <t>204:141</t>
  </si>
  <si>
    <t>204:232987</t>
  </si>
  <si>
    <t>204:473</t>
  </si>
  <si>
    <t>204:233287</t>
  </si>
  <si>
    <t>204:232983</t>
  </si>
  <si>
    <t>Early arrival</t>
  </si>
  <si>
    <t>244-07</t>
  </si>
  <si>
    <t>BONDS</t>
  </si>
  <si>
    <t>REYNALDO</t>
  </si>
  <si>
    <t>LOZA</t>
  </si>
  <si>
    <t>FIDEL</t>
  </si>
  <si>
    <t>rtdc.l.rtdc.4002:itc</t>
  </si>
  <si>
    <t>BRANNON</t>
  </si>
  <si>
    <t>JEFFREY</t>
  </si>
  <si>
    <t>240-07</t>
  </si>
  <si>
    <t>242-07</t>
  </si>
  <si>
    <t>315-07</t>
  </si>
  <si>
    <t>309-07</t>
  </si>
  <si>
    <t>204:232996</t>
  </si>
  <si>
    <t>204:233312</t>
  </si>
  <si>
    <t>204:233276</t>
  </si>
  <si>
    <t>204:233323</t>
  </si>
  <si>
    <t>204:232980</t>
  </si>
  <si>
    <t>204:427</t>
  </si>
  <si>
    <t>204:440</t>
  </si>
  <si>
    <t>204:232986</t>
  </si>
  <si>
    <t>204:233318</t>
  </si>
  <si>
    <t>204:232984</t>
  </si>
  <si>
    <t>300:58960</t>
  </si>
  <si>
    <t>204:691</t>
  </si>
  <si>
    <t>Onboard in-route failure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</si>
  <si>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</si>
  <si>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</si>
  <si>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</si>
  <si>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</si>
  <si>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</si>
  <si>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</si>
  <si>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</si>
  <si>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</si>
  <si>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</si>
  <si>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</si>
  <si>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</si>
  <si>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</si>
  <si>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</si>
  <si>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</si>
  <si>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</si>
  <si>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</si>
  <si>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</si>
  <si>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</si>
  <si>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</si>
  <si>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</si>
  <si>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</si>
  <si>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</si>
  <si>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</si>
  <si>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</si>
  <si>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</si>
  <si>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</si>
  <si>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</si>
  <si>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</si>
  <si>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</si>
  <si>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</si>
  <si>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</si>
  <si>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</si>
  <si>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</si>
  <si>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</si>
  <si>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</si>
  <si>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</si>
  <si>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</si>
  <si>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</si>
  <si>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</si>
  <si>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</si>
  <si>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</si>
  <si>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</si>
  <si>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</si>
  <si>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</si>
  <si>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</si>
  <si>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</si>
  <si>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</si>
  <si>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</si>
  <si>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</si>
  <si>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</si>
  <si>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</si>
  <si>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</si>
  <si>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</si>
  <si>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</si>
  <si>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</si>
  <si>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</si>
  <si>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</si>
  <si>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</si>
  <si>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</si>
  <si>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</si>
  <si>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</si>
  <si>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</si>
  <si>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rtdc.l.rtdc.4008:itc</t>
  </si>
  <si>
    <t>rtdc.l.rtdc.4018:itc</t>
  </si>
  <si>
    <t>rtdc.l.rtdc.4017:itc</t>
  </si>
  <si>
    <t>BADERTSCHER</t>
  </si>
  <si>
    <t>DIANE</t>
  </si>
  <si>
    <t>GEBRETEKLE</t>
  </si>
  <si>
    <t>DAGNEW</t>
  </si>
  <si>
    <t>rtdc.l.rtdc.4010:itc</t>
  </si>
  <si>
    <t>HELVIE</t>
  </si>
  <si>
    <t>ADAM</t>
  </si>
  <si>
    <t>BRUDER</t>
  </si>
  <si>
    <t>RICHARD</t>
  </si>
  <si>
    <t>DELGADO</t>
  </si>
  <si>
    <t>DIANAH</t>
  </si>
  <si>
    <t>204:233325</t>
  </si>
  <si>
    <t>204:233288</t>
  </si>
  <si>
    <t>204:233285</t>
  </si>
  <si>
    <t>204:232975</t>
  </si>
  <si>
    <t>204:232988</t>
  </si>
  <si>
    <t>204:233329</t>
  </si>
  <si>
    <t>204:232961</t>
  </si>
  <si>
    <t>204:475</t>
  </si>
  <si>
    <t>204:233000</t>
  </si>
  <si>
    <t>204:233306</t>
  </si>
  <si>
    <t>300:23310</t>
  </si>
  <si>
    <t>204:687</t>
  </si>
  <si>
    <t>300:58628</t>
  </si>
  <si>
    <t>204:692</t>
  </si>
  <si>
    <t>204:978</t>
  </si>
  <si>
    <t>204:988</t>
  </si>
  <si>
    <t>204:684</t>
  </si>
  <si>
    <t>204:972</t>
  </si>
  <si>
    <t>PTC Test Train</t>
  </si>
  <si>
    <t>242-09</t>
  </si>
  <si>
    <t>ROBINSON</t>
  </si>
  <si>
    <t>KADDIBA</t>
  </si>
  <si>
    <t>SHOOK</t>
  </si>
  <si>
    <t>JOHN</t>
  </si>
  <si>
    <t>KILLION</t>
  </si>
  <si>
    <t>DAVID</t>
  </si>
  <si>
    <t>SMITH</t>
  </si>
  <si>
    <t>WHITED</t>
  </si>
  <si>
    <t>315-09</t>
  </si>
  <si>
    <t>309-09</t>
  </si>
  <si>
    <t>244-09</t>
  </si>
  <si>
    <t>311-09</t>
  </si>
  <si>
    <t>313-09</t>
  </si>
  <si>
    <t>Mostly Cloudy</t>
  </si>
  <si>
    <t>204:755</t>
  </si>
  <si>
    <t>204:129</t>
  </si>
  <si>
    <t>204:156</t>
  </si>
  <si>
    <t>204:748</t>
  </si>
  <si>
    <t>204:232985</t>
  </si>
  <si>
    <t>204:233310</t>
  </si>
  <si>
    <t>204:232965</t>
  </si>
  <si>
    <t>204:444</t>
  </si>
  <si>
    <t>204:233305</t>
  </si>
  <si>
    <t>204:233301</t>
  </si>
  <si>
    <t>204:233015</t>
  </si>
  <si>
    <t>204:233300</t>
  </si>
  <si>
    <t>204:233322</t>
  </si>
  <si>
    <t>204:233019</t>
  </si>
  <si>
    <t>204:478</t>
  </si>
  <si>
    <t>204:233289</t>
  </si>
  <si>
    <t>204:232970</t>
  </si>
  <si>
    <t>204:466</t>
  </si>
  <si>
    <t>204:147</t>
  </si>
  <si>
    <t>204:233100</t>
  </si>
  <si>
    <t>204:493</t>
  </si>
  <si>
    <t>204:416</t>
  </si>
  <si>
    <t>204:233328</t>
  </si>
  <si>
    <t>300:23346</t>
  </si>
  <si>
    <t>204:1481</t>
  </si>
  <si>
    <t>204:1007</t>
  </si>
  <si>
    <t>300:58679</t>
  </si>
  <si>
    <t>300:58999</t>
  </si>
  <si>
    <t>300:58958</t>
  </si>
  <si>
    <t>300:58990</t>
  </si>
  <si>
    <t>204:971</t>
  </si>
  <si>
    <t>300:58948</t>
  </si>
  <si>
    <t>300:58641</t>
  </si>
  <si>
    <t>300:58645</t>
  </si>
  <si>
    <t>204:981</t>
  </si>
  <si>
    <t>204:965</t>
  </si>
  <si>
    <t>300:58653</t>
  </si>
  <si>
    <t>300:58975</t>
  </si>
  <si>
    <t>204:985</t>
  </si>
  <si>
    <t>204:703</t>
  </si>
  <si>
    <t>204:696</t>
  </si>
  <si>
    <t>300:58963</t>
  </si>
  <si>
    <t>300:58992</t>
  </si>
  <si>
    <t>300:58993</t>
  </si>
  <si>
    <t>300:58685</t>
  </si>
  <si>
    <t>start /low /b %USERPROFILE%\Documents\GitHub\eaglep3\Utilities\DownloadLogsFromS3.py --loco 4031 --day 2017-02-10</t>
  </si>
  <si>
    <t>start /low /b %USERPROFILE%\Documents\GitHub\eaglep3\Utilities\DownloadLogsFromS3.py --loco 4019 --day 2017-02-10</t>
  </si>
  <si>
    <t>start /low /b %USERPROFILE%\Documents\GitHub\eaglep3\Utilities\DownloadLogsFromS3.py --loco 4015 --day 2017-02-10</t>
  </si>
  <si>
    <t>308-10</t>
  </si>
  <si>
    <t>800-10</t>
  </si>
  <si>
    <t>810-10</t>
  </si>
  <si>
    <t>145-10</t>
  </si>
  <si>
    <t>146-10</t>
  </si>
  <si>
    <t>148-10</t>
  </si>
  <si>
    <t>156-10</t>
  </si>
  <si>
    <t>170-10</t>
  </si>
  <si>
    <t>174-10</t>
  </si>
  <si>
    <t>823-10</t>
  </si>
  <si>
    <t>189-10</t>
  </si>
  <si>
    <t>184-10</t>
  </si>
  <si>
    <t>72-10</t>
  </si>
  <si>
    <t>208-10</t>
  </si>
  <si>
    <t>219-10</t>
  </si>
  <si>
    <t>218-10</t>
  </si>
  <si>
    <t>224-10</t>
  </si>
  <si>
    <t>230-10</t>
  </si>
  <si>
    <t>243-10</t>
  </si>
  <si>
    <t>302-10</t>
  </si>
  <si>
    <t>101-10</t>
  </si>
  <si>
    <t>103-10</t>
  </si>
  <si>
    <t>DAVIS</t>
  </si>
  <si>
    <t>WENDY</t>
  </si>
  <si>
    <t>102-10</t>
  </si>
  <si>
    <t>306-10</t>
  </si>
  <si>
    <t>107-10</t>
  </si>
  <si>
    <t>105-10</t>
  </si>
  <si>
    <t>104-10</t>
  </si>
  <si>
    <t>109-10</t>
  </si>
  <si>
    <t>901-10</t>
  </si>
  <si>
    <t>111-10</t>
  </si>
  <si>
    <t>113-10</t>
  </si>
  <si>
    <t>106-10</t>
  </si>
  <si>
    <t>108-10</t>
  </si>
  <si>
    <t>115-10</t>
  </si>
  <si>
    <t>801-10</t>
  </si>
  <si>
    <t>110-10</t>
  </si>
  <si>
    <t>117-10</t>
  </si>
  <si>
    <t>112-10</t>
  </si>
  <si>
    <t>119-10</t>
  </si>
  <si>
    <t>902-10</t>
  </si>
  <si>
    <t>114-10</t>
  </si>
  <si>
    <t>802-10</t>
  </si>
  <si>
    <t>803-10</t>
  </si>
  <si>
    <t>121-10</t>
  </si>
  <si>
    <t>116-10</t>
  </si>
  <si>
    <t>123-10</t>
  </si>
  <si>
    <t>805-10</t>
  </si>
  <si>
    <t>118-10</t>
  </si>
  <si>
    <t>804-10</t>
  </si>
  <si>
    <t>125-10</t>
  </si>
  <si>
    <t>120-10</t>
  </si>
  <si>
    <t>127-10</t>
  </si>
  <si>
    <t>807-10</t>
  </si>
  <si>
    <t>129-10</t>
  </si>
  <si>
    <t>806-10</t>
  </si>
  <si>
    <t>122-10</t>
  </si>
  <si>
    <t>131-10</t>
  </si>
  <si>
    <t>124-10</t>
  </si>
  <si>
    <t>809-10</t>
  </si>
  <si>
    <t>126-10</t>
  </si>
  <si>
    <t>808-10</t>
  </si>
  <si>
    <t>133-10</t>
  </si>
  <si>
    <t>128-10</t>
  </si>
  <si>
    <t>135-10</t>
  </si>
  <si>
    <t>811-10</t>
  </si>
  <si>
    <t>130-10</t>
  </si>
  <si>
    <t>137-10</t>
  </si>
  <si>
    <t>132-10</t>
  </si>
  <si>
    <t>139-10</t>
  </si>
  <si>
    <t>903-10</t>
  </si>
  <si>
    <t>134-10</t>
  </si>
  <si>
    <t>812-10</t>
  </si>
  <si>
    <t>141-10</t>
  </si>
  <si>
    <t>136-10</t>
  </si>
  <si>
    <t>143-10</t>
  </si>
  <si>
    <t>813-10</t>
  </si>
  <si>
    <t>138-10</t>
  </si>
  <si>
    <t>140-10</t>
  </si>
  <si>
    <t>147-10</t>
  </si>
  <si>
    <t>142-10</t>
  </si>
  <si>
    <t>814-10</t>
  </si>
  <si>
    <t>149-10</t>
  </si>
  <si>
    <t>144-10</t>
  </si>
  <si>
    <t>151-10</t>
  </si>
  <si>
    <t>815-10</t>
  </si>
  <si>
    <t>153-10</t>
  </si>
  <si>
    <t>155-10</t>
  </si>
  <si>
    <t>STRICKLAND</t>
  </si>
  <si>
    <t>EVAN</t>
  </si>
  <si>
    <t>816-10</t>
  </si>
  <si>
    <t>150-10</t>
  </si>
  <si>
    <t>157-10</t>
  </si>
  <si>
    <t>152-10</t>
  </si>
  <si>
    <t>817-10</t>
  </si>
  <si>
    <t>154-10</t>
  </si>
  <si>
    <t>rtdc.l.rtdc.4040:itc</t>
  </si>
  <si>
    <t>159-10</t>
  </si>
  <si>
    <t>STEWART</t>
  </si>
  <si>
    <t>161-10</t>
  </si>
  <si>
    <t>ROMERO</t>
  </si>
  <si>
    <t>CHAD</t>
  </si>
  <si>
    <t>163-10</t>
  </si>
  <si>
    <t>158-10</t>
  </si>
  <si>
    <t>818-10</t>
  </si>
  <si>
    <t>165-10</t>
  </si>
  <si>
    <t>160-10</t>
  </si>
  <si>
    <t>167-10</t>
  </si>
  <si>
    <t>162-10</t>
  </si>
  <si>
    <t>819-10</t>
  </si>
  <si>
    <t>169-10</t>
  </si>
  <si>
    <t>171-10</t>
  </si>
  <si>
    <t>164-10</t>
  </si>
  <si>
    <t>166-10</t>
  </si>
  <si>
    <t>820-10</t>
  </si>
  <si>
    <t>173-10</t>
  </si>
  <si>
    <t>168-10</t>
  </si>
  <si>
    <t>175-10</t>
  </si>
  <si>
    <t>821-10</t>
  </si>
  <si>
    <t>177-10</t>
  </si>
  <si>
    <t>172-10</t>
  </si>
  <si>
    <t>179-10</t>
  </si>
  <si>
    <t>822-10</t>
  </si>
  <si>
    <t>181-10</t>
  </si>
  <si>
    <t>176-10</t>
  </si>
  <si>
    <t>183-10</t>
  </si>
  <si>
    <t>178-10</t>
  </si>
  <si>
    <t>185-10</t>
  </si>
  <si>
    <t>180-10</t>
  </si>
  <si>
    <t>187-10</t>
  </si>
  <si>
    <t>182-10</t>
  </si>
  <si>
    <t>824-10</t>
  </si>
  <si>
    <t>191-10</t>
  </si>
  <si>
    <t>186-10</t>
  </si>
  <si>
    <t>193-10</t>
  </si>
  <si>
    <t>825-10</t>
  </si>
  <si>
    <t>904-10</t>
  </si>
  <si>
    <t>188-10</t>
  </si>
  <si>
    <t>190-10</t>
  </si>
  <si>
    <t>195-10</t>
  </si>
  <si>
    <t>827-10</t>
  </si>
  <si>
    <t>826-10</t>
  </si>
  <si>
    <t>197-10</t>
  </si>
  <si>
    <t>192-10</t>
  </si>
  <si>
    <t>199-10</t>
  </si>
  <si>
    <t>194-10</t>
  </si>
  <si>
    <t>828-10</t>
  </si>
  <si>
    <t>201-10</t>
  </si>
  <si>
    <t>829-10</t>
  </si>
  <si>
    <t>209-10</t>
  </si>
  <si>
    <t>196-10</t>
  </si>
  <si>
    <t>203-10</t>
  </si>
  <si>
    <t>198-10</t>
  </si>
  <si>
    <t>831-10</t>
  </si>
  <si>
    <t>830-10</t>
  </si>
  <si>
    <t>205-10</t>
  </si>
  <si>
    <t>200-10</t>
  </si>
  <si>
    <t>207-10</t>
  </si>
  <si>
    <t>202-10</t>
  </si>
  <si>
    <t>832-10</t>
  </si>
  <si>
    <t>204-10</t>
  </si>
  <si>
    <t>833-10</t>
  </si>
  <si>
    <t>73-10</t>
  </si>
  <si>
    <t>ARVIDSON</t>
  </si>
  <si>
    <t>DANIEL</t>
  </si>
  <si>
    <t>211-10</t>
  </si>
  <si>
    <t>835-10</t>
  </si>
  <si>
    <t>206-10</t>
  </si>
  <si>
    <t>834-10</t>
  </si>
  <si>
    <t>213-10</t>
  </si>
  <si>
    <t>215-10</t>
  </si>
  <si>
    <t>PERKINS</t>
  </si>
  <si>
    <t>DARREN</t>
  </si>
  <si>
    <t>217-10</t>
  </si>
  <si>
    <t>210-10</t>
  </si>
  <si>
    <t>836-10</t>
  </si>
  <si>
    <t>837-10</t>
  </si>
  <si>
    <t>212-10</t>
  </si>
  <si>
    <t>214-10</t>
  </si>
  <si>
    <t>838-10</t>
  </si>
  <si>
    <t>303-10</t>
  </si>
  <si>
    <t>839-10</t>
  </si>
  <si>
    <t>216-10</t>
  </si>
  <si>
    <t>221-10</t>
  </si>
  <si>
    <t>906-10</t>
  </si>
  <si>
    <t>841-10</t>
  </si>
  <si>
    <t>305-10</t>
  </si>
  <si>
    <t>220-10</t>
  </si>
  <si>
    <t>223-10</t>
  </si>
  <si>
    <t>307-10</t>
  </si>
  <si>
    <t>840-10</t>
  </si>
  <si>
    <t>222-10</t>
  </si>
  <si>
    <t>225-10</t>
  </si>
  <si>
    <t>227-10</t>
  </si>
  <si>
    <t>843-10</t>
  </si>
  <si>
    <t>842-10</t>
  </si>
  <si>
    <t>226-10</t>
  </si>
  <si>
    <t>229-10</t>
  </si>
  <si>
    <t>845-10</t>
  </si>
  <si>
    <t>228-10</t>
  </si>
  <si>
    <t>231-10</t>
  </si>
  <si>
    <t>844-10</t>
  </si>
  <si>
    <t>233-10</t>
  </si>
  <si>
    <t>847-10</t>
  </si>
  <si>
    <t>235-10</t>
  </si>
  <si>
    <t>232-10</t>
  </si>
  <si>
    <t>908-10</t>
  </si>
  <si>
    <t>234-10</t>
  </si>
  <si>
    <t>237-10</t>
  </si>
  <si>
    <t>239-10</t>
  </si>
  <si>
    <t>236-10</t>
  </si>
  <si>
    <t>241-10</t>
  </si>
  <si>
    <t>238-10</t>
  </si>
  <si>
    <t>240-10</t>
  </si>
  <si>
    <t>242-10</t>
  </si>
  <si>
    <t>245-10</t>
  </si>
  <si>
    <t>Coats</t>
  </si>
  <si>
    <t>Theron</t>
  </si>
  <si>
    <t>309-10</t>
  </si>
  <si>
    <t>311-10</t>
  </si>
  <si>
    <t>204:761</t>
  </si>
  <si>
    <t>204:232655</t>
  </si>
  <si>
    <t>204:232692</t>
  </si>
  <si>
    <t>204:132</t>
  </si>
  <si>
    <t>204:693</t>
  </si>
  <si>
    <t>204:233444</t>
  </si>
  <si>
    <t>204:232806</t>
  </si>
  <si>
    <t>204:303</t>
  </si>
  <si>
    <t>204:785</t>
  </si>
  <si>
    <t>204:232981</t>
  </si>
  <si>
    <t>204:170</t>
  </si>
  <si>
    <t>204:766</t>
  </si>
  <si>
    <t>204:233302</t>
  </si>
  <si>
    <t>204:734</t>
  </si>
  <si>
    <t>204:232955</t>
  </si>
  <si>
    <t>204:233298</t>
  </si>
  <si>
    <t>204:232979</t>
  </si>
  <si>
    <t>204:233307</t>
  </si>
  <si>
    <t>204:233278</t>
  </si>
  <si>
    <t>204:232948</t>
  </si>
  <si>
    <t>204:233286</t>
  </si>
  <si>
    <t>204:233321</t>
  </si>
  <si>
    <t>204:138</t>
  </si>
  <si>
    <t>204:232982</t>
  </si>
  <si>
    <t>204:127692</t>
  </si>
  <si>
    <t>204:1162</t>
  </si>
  <si>
    <t>204:8689</t>
  </si>
  <si>
    <t>204:233314</t>
  </si>
  <si>
    <t>204:233010</t>
  </si>
  <si>
    <t>204:435</t>
  </si>
  <si>
    <t>204:233317</t>
  </si>
  <si>
    <t>204:232959</t>
  </si>
  <si>
    <t>204:398</t>
  </si>
  <si>
    <t>204:196</t>
  </si>
  <si>
    <t>204:233355</t>
  </si>
  <si>
    <t>204:233043</t>
  </si>
  <si>
    <t>204:127</t>
  </si>
  <si>
    <t>204:495</t>
  </si>
  <si>
    <t>204:233005</t>
  </si>
  <si>
    <t>204:194</t>
  </si>
  <si>
    <t>204:233340</t>
  </si>
  <si>
    <t>204:233025</t>
  </si>
  <si>
    <t>204:233341</t>
  </si>
  <si>
    <t>204:488</t>
  </si>
  <si>
    <t>204:20752</t>
  </si>
  <si>
    <t>204:233259</t>
  </si>
  <si>
    <t>204:243</t>
  </si>
  <si>
    <t>204:233330</t>
  </si>
  <si>
    <t>204:233002</t>
  </si>
  <si>
    <t>204:134</t>
  </si>
  <si>
    <t>204:233013</t>
  </si>
  <si>
    <t>204:546</t>
  </si>
  <si>
    <t>204:233264</t>
  </si>
  <si>
    <t>204:232940</t>
  </si>
  <si>
    <t>204:212</t>
  </si>
  <si>
    <t>204:232998</t>
  </si>
  <si>
    <t>204:502</t>
  </si>
  <si>
    <t>204:233419</t>
  </si>
  <si>
    <t>204:125</t>
  </si>
  <si>
    <t>204:233353</t>
  </si>
  <si>
    <t>204:233036</t>
  </si>
  <si>
    <t>204:233397</t>
  </si>
  <si>
    <t>204:233071</t>
  </si>
  <si>
    <t>204:116</t>
  </si>
  <si>
    <t>204:233344</t>
  </si>
  <si>
    <t>204:233064</t>
  </si>
  <si>
    <t>204:233342</t>
  </si>
  <si>
    <t>204:385</t>
  </si>
  <si>
    <t>204:233391</t>
  </si>
  <si>
    <t>204:233102</t>
  </si>
  <si>
    <t>204:233349</t>
  </si>
  <si>
    <t>204:233378</t>
  </si>
  <si>
    <t>204:233159</t>
  </si>
  <si>
    <t>300:23059</t>
  </si>
  <si>
    <t>300:23563</t>
  </si>
  <si>
    <t>300:23318</t>
  </si>
  <si>
    <t>300:13301</t>
  </si>
  <si>
    <t>300:23304</t>
  </si>
  <si>
    <t>300:23121</t>
  </si>
  <si>
    <t>300:58677</t>
  </si>
  <si>
    <t>204:724</t>
  </si>
  <si>
    <t>300:59005</t>
  </si>
  <si>
    <t>300:58683</t>
  </si>
  <si>
    <t>204:1018</t>
  </si>
  <si>
    <t>300:58673</t>
  </si>
  <si>
    <t>204:741</t>
  </si>
  <si>
    <t>204:990</t>
  </si>
  <si>
    <t>300:58995</t>
  </si>
  <si>
    <t>204:736</t>
  </si>
  <si>
    <t>300:58687</t>
  </si>
  <si>
    <t>204:126</t>
  </si>
  <si>
    <t>204:1034</t>
  </si>
  <si>
    <t>204:1028</t>
  </si>
  <si>
    <t>204:1035</t>
  </si>
  <si>
    <t>300:58997</t>
  </si>
  <si>
    <t>300:58692</t>
  </si>
  <si>
    <t>204:733</t>
  </si>
  <si>
    <t>204:1032</t>
  </si>
  <si>
    <t>300:59003</t>
  </si>
  <si>
    <t>204:1021</t>
  </si>
  <si>
    <t>300:58672</t>
  </si>
  <si>
    <t>204:726</t>
  </si>
  <si>
    <t>204:1023</t>
  </si>
  <si>
    <t>300:58935</t>
  </si>
  <si>
    <t>300:58623</t>
  </si>
  <si>
    <t>204:680</t>
  </si>
  <si>
    <t>300:58636</t>
  </si>
  <si>
    <t>300:58613</t>
  </si>
  <si>
    <t>300:58638</t>
  </si>
  <si>
    <t>204:958</t>
  </si>
  <si>
    <t>300:58941</t>
  </si>
  <si>
    <t>204:677</t>
  </si>
  <si>
    <t>204:974</t>
  </si>
  <si>
    <t>300:58649</t>
  </si>
  <si>
    <t>204:685</t>
  </si>
  <si>
    <t>204:967</t>
  </si>
  <si>
    <t>300:58933</t>
  </si>
  <si>
    <t>300:58619</t>
  </si>
  <si>
    <t>204:673</t>
  </si>
  <si>
    <t>204:962</t>
  </si>
  <si>
    <t>300:58939</t>
  </si>
  <si>
    <t>300:58926</t>
  </si>
  <si>
    <t>204:969</t>
  </si>
  <si>
    <t>300:58929</t>
  </si>
  <si>
    <t>300:29735</t>
  </si>
  <si>
    <t>300:22130</t>
  </si>
  <si>
    <t>204:722</t>
  </si>
  <si>
    <t>300:24216</t>
  </si>
  <si>
    <t>300:23300</t>
  </si>
  <si>
    <t>204:656</t>
  </si>
  <si>
    <t>300:58632</t>
  </si>
  <si>
    <t>300:28793</t>
  </si>
  <si>
    <t>300:58606</t>
  </si>
  <si>
    <t>300:21574</t>
  </si>
  <si>
    <t>start /low /b %USERPROFILE%\Documents\GitHub\eaglep3\Utilities\DownloadLogsFromS3.py --loco 4018 --day 2017-02-10</t>
  </si>
  <si>
    <t>start /low /b %USERPROFILE%\Documents\GitHub\eaglep3\Utilities\DownloadLogsFromS3.py --loco 4027 --day 2017-02-10</t>
  </si>
  <si>
    <t>start /low /b %USERPROFILE%\Documents\GitHub\eaglep3\Utilities\DownloadLogsFromS3.py --loco 4017 --day 2017-02-10</t>
  </si>
  <si>
    <t>start /low /b %USERPROFILE%\Documents\GitHub\eaglep3\Utilities\DownloadLogsFromS3.py --loco 4037 --day 2017-02-11</t>
  </si>
  <si>
    <t>start /low /b %USERPROFILE%\Documents\GitHub\eaglep3\Utilities\DownloadLogsFromS3.py --loco 4039 --day 2017-02-10</t>
  </si>
  <si>
    <t>start /low /b %USERPROFILE%\Documents\GitHub\eaglep3\Utilities\DownloadLogsFromS3.py --loco 4010 --day 2017-02-11</t>
  </si>
  <si>
    <t>start /low /b %USERPROFILE%\Documents\GitHub\eaglep3\Utilities\DownloadLogsFromS3.py --loco 4017 --day 2017-02-11</t>
  </si>
  <si>
    <t>start /low /b %USERPROFILE%\Documents\GitHub\eaglep3\Utilities\DownloadLogsFromS3.py --loco 4008 --day 2017-02-10</t>
  </si>
  <si>
    <t>start /low /b %USERPROFILE%\Documents\GitHub\eaglep3\Utilities\DownloadLogsFromS3.py --loco 4046 --day 2017-02-11</t>
  </si>
  <si>
    <t>start /low /b %USERPROFILE%\Documents\GitHub\eaglep3\Utilities\DownloadLogsFromS3.py --loco 4008 --day 2017-02-11</t>
  </si>
  <si>
    <t>start /low /b %USERPROFILE%\Documents\GitHub\eaglep3\Utilities\DownloadLogsFromS3.py --loco 4028 --day 2017-02-10</t>
  </si>
  <si>
    <t>Premature downgrade at 40th 2N</t>
  </si>
  <si>
    <t>At 09:36:34, 40th 2N dropped from PROCEED CAB to STOP while train was still approaching the signal, do logs tell of anything unusual?</t>
  </si>
  <si>
    <t>DUS 4S was RESTRICTING, red fence confused driver (stopped &gt;3000 ft away, needed to pull up &lt;1500 ft)</t>
  </si>
  <si>
    <t>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</si>
</sst>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zoomScaleNormal="100" workbookViewId="0">
      <selection activeCell="R13" sqref="R1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42776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COUNTIFS($N$13:$N$9346,"&gt;0",$AG$13:$AG$9346,I1)</f>
        <v>141</v>
      </c>
      <c r="K5" s="40"/>
      <c r="L5" s="40"/>
      <c r="M5" s="41">
        <f>AVERAGEIFS($N$13:$N$9346,$AG$13:$AG$9346,I1)</f>
        <v>38.146335697569391</v>
      </c>
      <c r="N5" s="39">
        <f t="array" ref="N5">MIN(IF($AG$13:$AG$9346=I1,IF(ISNUMBER($N$13:$N$9346),IF($N$13:$N$9346&gt;0,$N$13:$N$9346))))</f>
        <v>34.716666672611609</v>
      </c>
      <c r="O5" s="3">
        <f t="array" ref="O5">MAX(IF($AG$13:$AG$9346=I1,IF(ISNUMBER($N$13:$N$9346),IF($N$13:$N$9346&gt;0,$N$13:$N$9346))))</f>
        <v>52.816666670842096</v>
      </c>
      <c r="P5" s="2"/>
      <c r="R5" s="74" t="s">
        <v>17</v>
      </c>
      <c r="S5" s="50">
        <f>COUNTIFS($N$13:$N$9346,"&gt;0",$AG$13:$AG$9346,R1)</f>
        <v>47</v>
      </c>
      <c r="T5" s="40"/>
      <c r="U5" s="178"/>
      <c r="V5" s="175">
        <f>AVERAGEIFS($N$13:$N$9346,$AG$13:$AG$9346,R1)</f>
        <v>15.141489361412823</v>
      </c>
      <c r="W5" s="176">
        <f t="array" ref="W5">MIN(IF($AG$13:$AG$9346=R1,IF(ISNUMBER($N$13:$N$9346),IF($N$13:$N$9346&gt;0,$N$13:$N$9346))))</f>
        <v>12.650000002468005</v>
      </c>
      <c r="X5" s="177">
        <f t="array" ref="X5">MAX(IF($AG$13:$AG$9346=R1,IF(ISNUMBER($N$13:$N$9346),IF($N$13:$N$9346&gt;0,$N$13:$N$9346))))</f>
        <v>21.483333336655051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8"/>
      <c r="V6" s="175">
        <f>IFERROR(AVERAGE($O$13:$O$111),0)</f>
        <v>0</v>
      </c>
      <c r="W6" s="176">
        <f>MIN($O$13:$O$111)</f>
        <v>0</v>
      </c>
      <c r="X6" s="177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COUNTIFS($P$13:$P$9346,"&gt;0",$AG$13:$AG$9346,I1)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COUNTIFS($P$13:$P$9346,"&gt;0",$AG$13:$AG$9346,R1)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38.146335697569391</v>
      </c>
      <c r="N8" s="39">
        <f>N5</f>
        <v>34.716666672611609</v>
      </c>
      <c r="O8" s="3">
        <f>O5</f>
        <v>52.816666670842096</v>
      </c>
      <c r="P8" s="2"/>
      <c r="R8" s="74" t="s">
        <v>16</v>
      </c>
      <c r="S8" s="50">
        <f>S5</f>
        <v>47</v>
      </c>
      <c r="T8" s="40"/>
      <c r="U8" s="178"/>
      <c r="V8" s="175">
        <f>V5</f>
        <v>15.141489361412823</v>
      </c>
      <c r="W8" s="176">
        <f>W5</f>
        <v>12.650000002468005</v>
      </c>
      <c r="X8" s="177">
        <f>X5</f>
        <v>21.483333336655051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- 2017-02-10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AVERAGE(S13:S80)</f>
        <v>1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211</v>
      </c>
      <c r="AN12" s="47" t="s">
        <v>226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560</v>
      </c>
      <c r="B13" s="7">
        <v>4038</v>
      </c>
      <c r="C13" s="21" t="s">
        <v>193</v>
      </c>
      <c r="D13" s="21" t="s">
        <v>761</v>
      </c>
      <c r="E13" s="13">
        <v>42776.129363425927</v>
      </c>
      <c r="F13" s="13">
        <v>42776.135648148149</v>
      </c>
      <c r="G13" s="7">
        <v>2</v>
      </c>
      <c r="H13" s="21" t="s">
        <v>460</v>
      </c>
      <c r="I13" s="13">
        <v>42776.162789351853</v>
      </c>
      <c r="J13" s="7">
        <v>0</v>
      </c>
      <c r="K13" s="98" t="str">
        <f t="shared" ref="K13:K76" si="0">IF(ISEVEN(B13),(B13-1)&amp;"/"&amp;B13,B13&amp;"/"&amp;(B13+1))</f>
        <v>4037/4038</v>
      </c>
      <c r="L13" s="21" t="str">
        <f>VLOOKUP(A13,'Trips&amp;Operators'!$C$1:$G$99999,5,FALSE)</f>
        <v>BADERTSCHER DIANE</v>
      </c>
      <c r="M13" s="6">
        <f t="shared" ref="M13:M76" si="1">I13-F13</f>
        <v>2.7141203703649808E-2</v>
      </c>
      <c r="N13" s="7">
        <f t="shared" ref="N13:N56" si="2">24*60*SUM($M13:$M13)</f>
        <v>39.083333333255723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-10T02:06:17-0700',mode:absolute,to:'2017-02-10T04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" s="188" t="str">
        <f t="shared" ref="W13:W44" si="6">IF(AA13&lt;IF(AG13="EC",23,5.65),"Y","N")</f>
        <v>N</v>
      </c>
      <c r="X13" s="188" t="e">
        <f t="shared" ref="X13:X44" si="7">VALUE(LEFT(AD13,4))-VALUE(LEFT(AD12,4))</f>
        <v>#VALUE!</v>
      </c>
      <c r="Y13" s="62">
        <f t="shared" ref="Y13:Y76" si="8">RIGHT(D13,LEN(D13)-4)/10000</f>
        <v>7.6100000000000001E-2</v>
      </c>
      <c r="Z13" s="62">
        <f t="shared" ref="Z13:Z76" si="9">RIGHT(H13,LEN(H13)-4)/10000</f>
        <v>23.328499999999998</v>
      </c>
      <c r="AA13" s="62">
        <f t="shared" ref="AA13:AA76" si="10">ABS(Z13-Y13)</f>
        <v>23.252399999999998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 t="shared" ref="AD13:AD76" si="11">IF(LEN(A13)=6,"0"&amp;A13,A13)</f>
        <v>0101-10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/stypes="app*4038*20170210*"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4038 --swversion DE.1.0.8.0 --startMP 204:761 --initTime 2017-02-10T03:06:17 --startdatetime 2017-02-10T03:15:20 --delay 2 --endMP 204:233285 --enddatetime 2017-02-10T03:54:25 --enforcementcount 0 &gt;&gt;C:\Users\stu\Documents\GitHub\eaglep3-reporting\EC\2017-02-10-refined-times.txt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{"issue":{"subject":"","project_id":79,"tracker_id":40,"status_id":1,"priority_id":2,"assigned_to_id":23,"start_date":"2017-02-10","description":"","custom_fields":[{"id":1,"name":"Subdivision","value":"EC"},{"id":4,"name":"Milepost","value":"23.3285"},{"id":17,"name":"Train ID","value":"101-10"},{"id":16,"name":"Locomotive ID","value":"4038"},{"id":130,"name":"Impact","value":""},{"id":150,"name":"Time of Event (Mountain Time)","value":"03:54:25"},{"id":151,"name":"Denver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4038 --day 2017-02-10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564</v>
      </c>
      <c r="B14" s="7">
        <v>4028</v>
      </c>
      <c r="C14" s="21" t="s">
        <v>193</v>
      </c>
      <c r="D14" s="21" t="s">
        <v>762</v>
      </c>
      <c r="E14" s="13">
        <v>42776.164988425924</v>
      </c>
      <c r="F14" s="13">
        <v>42776.174525462964</v>
      </c>
      <c r="G14" s="7">
        <v>1</v>
      </c>
      <c r="H14" s="21" t="s">
        <v>209</v>
      </c>
      <c r="I14" s="13">
        <v>42776.202615740738</v>
      </c>
      <c r="J14" s="7">
        <v>0</v>
      </c>
      <c r="K14" s="98" t="str">
        <f t="shared" si="0"/>
        <v>4027/4028</v>
      </c>
      <c r="L14" s="21" t="str">
        <f>VLOOKUP(A14,'Trips&amp;Operators'!$C$1:$G$99999,5,FALSE)</f>
        <v>BADERTSCHER DIANE</v>
      </c>
      <c r="M14" s="6">
        <f t="shared" si="1"/>
        <v>2.8090277774026617E-2</v>
      </c>
      <c r="N14" s="7">
        <f t="shared" si="2"/>
        <v>40.449999994598329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-10T02:57:35-0700',mode:absolute,to:'2017-02-10T05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23.265499999999999</v>
      </c>
      <c r="Z14" s="62">
        <f t="shared" si="9"/>
        <v>1.5800000000000002E-2</v>
      </c>
      <c r="AA14" s="62">
        <f t="shared" si="10"/>
        <v>23.249700000000001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 t="shared" si="11"/>
        <v>0102-10</v>
      </c>
      <c r="AE14" s="85" t="str">
        <f t="shared" si="12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14" s="82" t="str">
        <f t="shared" si="13"/>
        <v>"C:\Program Files (x86)\AstroGrep\AstroGrep.exe" /spath="%USERPROFILE%\AppData\Local\Temp\OnboardLogs" /stypes="app*4028*20170210*"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4028 --swversion DE.1.0.8.0 --startMP 204:232655 --initTime 2017-02-10T03:57:35 --startdatetime 2017-02-10T04:11:19 --delay 1 --endMP 204:158 --enddatetime 2017-02-10T04:51:46 --enforcementcount 0 &gt;&gt;C:\Users\stu\Documents\GitHub\eaglep3-reporting\EC\2017-02-10-refined-times.txt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{"issue":{"subject":"","project_id":79,"tracker_id":40,"status_id":1,"priority_id":2,"assigned_to_id":23,"start_date":"2017-02-10","description":"","custom_fields":[{"id":1,"name":"Subdivision","value":"EC"},{"id":4,"name":"Milepost","value":"0.0158"},{"id":17,"name":"Train ID","value":"102-10"},{"id":16,"name":"Locomotive ID","value":"4028"},{"id":130,"name":"Impact","value":""},{"id":150,"name":"Time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4028 --day 2017-02-10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561</v>
      </c>
      <c r="B15" s="7">
        <v>4009</v>
      </c>
      <c r="C15" s="21" t="s">
        <v>193</v>
      </c>
      <c r="D15" s="21" t="s">
        <v>492</v>
      </c>
      <c r="E15" s="13">
        <v>42776.152939814812</v>
      </c>
      <c r="F15" s="13">
        <v>42776.156423611108</v>
      </c>
      <c r="G15" s="7">
        <v>1</v>
      </c>
      <c r="H15" s="21" t="s">
        <v>294</v>
      </c>
      <c r="I15" s="13">
        <v>42776.182824074072</v>
      </c>
      <c r="J15" s="7">
        <v>0</v>
      </c>
      <c r="K15" s="98" t="str">
        <f t="shared" si="0"/>
        <v>4009/4010</v>
      </c>
      <c r="L15" s="21" t="str">
        <f>VLOOKUP(A15,'Trips&amp;Operators'!$C$1:$G$99999,5,FALSE)</f>
        <v>DAVIS WENDY</v>
      </c>
      <c r="M15" s="6">
        <f t="shared" si="1"/>
        <v>2.6400462964375038E-2</v>
      </c>
      <c r="N15" s="7">
        <f t="shared" si="2"/>
        <v>38.016666668700054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-10T02:40:14-0700',mode:absolute,to:'2017-02-10T05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7.5499999999999998E-2</v>
      </c>
      <c r="Z15" s="62">
        <f t="shared" si="9"/>
        <v>23.3308</v>
      </c>
      <c r="AA15" s="62">
        <f t="shared" si="10"/>
        <v>23.255299999999998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 t="shared" si="11"/>
        <v>0103-10</v>
      </c>
      <c r="AE15" s="85" t="str">
        <f t="shared" si="12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15" s="82" t="str">
        <f t="shared" si="13"/>
        <v>"C:\Program Files (x86)\AstroGrep\AstroGrep.exe" /spath="%USERPROFILE%\AppData\Local\Temp\OnboardLogs" /stypes="app*4009*20170210*"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103-10 --locoid 4009 --swversion DE.1.0.8.0 --startMP 204:755 --initTime 2017-02-10T03:40:14 --startdatetime 2017-02-10T03:45:15 --delay 1 --endMP 204:233308 --enddatetime 2017-02-10T04:23:16 --enforcementcount 0 &gt;&gt;C:\Users\stu\Documents\GitHub\eaglep3-reporting\EC\2017-02-10-refined-times.txt</v>
      </c>
      <c r="AI1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{"issue":{"subject":"","project_id":79,"tracker_id":40,"status_id":1,"priority_id":2,"assigned_to_id":23,"start_date":"2017-02-10","description":"","custom_fields":[{"id":1,"name":"Subdivision","value":"EC"},{"id":4,"name":"Milepost","value":"23.3308"},{"id":17,"name":"Train ID","value":"103-10"},{"id":16,"name":"Locomotive ID","value":"4009"},{"id":130,"name":"Impact","value":""},{"id":150,"name":"Time of Event (Mountain Time)","value":"04:23:16"},{"id":151,"name":"Denver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4009 --day 2017-02-10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568</v>
      </c>
      <c r="B16" s="7">
        <v>4017</v>
      </c>
      <c r="C16" s="21" t="s">
        <v>193</v>
      </c>
      <c r="D16" s="21" t="s">
        <v>763</v>
      </c>
      <c r="E16" s="13">
        <v>42776.192974537036</v>
      </c>
      <c r="F16" s="13">
        <v>42776.195324074077</v>
      </c>
      <c r="G16" s="7">
        <v>1</v>
      </c>
      <c r="H16" s="21" t="s">
        <v>764</v>
      </c>
      <c r="I16" s="13">
        <v>42776.223657407405</v>
      </c>
      <c r="J16" s="7">
        <v>0</v>
      </c>
      <c r="K16" s="98" t="str">
        <f t="shared" si="0"/>
        <v>4017/4018</v>
      </c>
      <c r="L16" s="21" t="str">
        <f>VLOOKUP(A16,'Trips&amp;Operators'!$C$1:$G$99999,5,FALSE)</f>
        <v>DAVIS WENDY</v>
      </c>
      <c r="M16" s="6">
        <f t="shared" si="1"/>
        <v>2.8333333328191657E-2</v>
      </c>
      <c r="N16" s="7">
        <f t="shared" si="2"/>
        <v>40.799999992595986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-10T03:37:53-0700',mode:absolute,to:'2017-02-10T06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23.269200000000001</v>
      </c>
      <c r="Z16" s="62">
        <f t="shared" si="9"/>
        <v>1.32E-2</v>
      </c>
      <c r="AA16" s="62">
        <f t="shared" si="10"/>
        <v>23.256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 t="shared" si="11"/>
        <v>0104-10</v>
      </c>
      <c r="AE16" s="85" t="str">
        <f t="shared" si="12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16" s="82" t="str">
        <f t="shared" si="13"/>
        <v>"C:\Program Files (x86)\AstroGrep\AstroGrep.exe" /spath="%USERPROFILE%\AppData\Local\Temp\OnboardLogs" /stypes="app*4017*20170210*"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104-10 --locoid 4017 --swversion DE.1.0.8.0 --startMP 204:232692 --initTime 2017-02-10T04:37:53 --startdatetime 2017-02-10T04:41:16 --delay 1 --endMP 204:132 --enddatetime 2017-02-10T05:22:04 --enforcementcount 0 &gt;&gt;C:\Users\stu\Documents\GitHub\eaglep3-reporting\EC\2017-02-10-refined-times.txt</v>
      </c>
      <c r="AI1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{"issue":{"subject":"","project_id":79,"tracker_id":40,"status_id":1,"priority_id":2,"assigned_to_id":23,"start_date":"2017-02-10","description":"","custom_fields":[{"id":1,"name":"Subdivision","value":"EC"},{"id":4,"name":"Milepost","value":"0.0132"},{"id":17,"name":"Train ID","value":"104-10"},{"id":16,"name":"Locomotive ID","value":"4017"},{"id":130,"name":"Impact","value":""},{"id":150,"name":"Time of Event (Mountain Time)","value":"05:22:04"},{"id":151,"name":"Denver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4017 --day 2017-02-10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567</v>
      </c>
      <c r="B17" s="7">
        <v>4007</v>
      </c>
      <c r="C17" s="21" t="s">
        <v>193</v>
      </c>
      <c r="D17" s="21" t="s">
        <v>765</v>
      </c>
      <c r="E17" s="13">
        <v>42776.174502314818</v>
      </c>
      <c r="F17" s="13">
        <v>42776.177245370367</v>
      </c>
      <c r="G17" s="7">
        <v>1</v>
      </c>
      <c r="H17" s="21" t="s">
        <v>766</v>
      </c>
      <c r="I17" s="13">
        <v>42776.203541666669</v>
      </c>
      <c r="J17" s="7">
        <v>0</v>
      </c>
      <c r="K17" s="98" t="str">
        <f t="shared" si="0"/>
        <v>4007/4008</v>
      </c>
      <c r="L17" s="21" t="str">
        <f>VLOOKUP(A17,'Trips&amp;Operators'!$C$1:$G$99999,5,FALSE)</f>
        <v>ROBINSON KADDIBA</v>
      </c>
      <c r="M17" s="6">
        <f t="shared" si="1"/>
        <v>2.6296296302461997E-2</v>
      </c>
      <c r="N17" s="7">
        <f t="shared" si="2"/>
        <v>37.866666675545275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-10T03:11:17-0700',mode:absolute,to:'2017-02-10T05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6.93E-2</v>
      </c>
      <c r="Z17" s="62">
        <f t="shared" si="9"/>
        <v>23.3444</v>
      </c>
      <c r="AA17" s="62">
        <f t="shared" si="10"/>
        <v>23.275100000000002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 t="shared" si="11"/>
        <v>0105-10</v>
      </c>
      <c r="AE17" s="85" t="str">
        <f t="shared" si="12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17" s="82" t="str">
        <f t="shared" si="13"/>
        <v>"C:\Program Files (x86)\AstroGrep\AstroGrep.exe" /spath="%USERPROFILE%\AppData\Local\Temp\OnboardLogs" /stypes="app*4007*20170210*"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105-10 --locoid 4007 --swversion DE.1.0.8.0 --startMP 204:693 --initTime 2017-02-10T04:11:17 --startdatetime 2017-02-10T04:15:14 --delay 1 --endMP 204:233444 --enddatetime 2017-02-10T04:53:06 --enforcementcount 0 &gt;&gt;C:\Users\stu\Documents\GitHub\eaglep3-reporting\EC\2017-02-10-refined-times.txt</v>
      </c>
      <c r="AI17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{"issue":{"subject":"","project_id":79,"tracker_id":40,"status_id":1,"priority_id":2,"assigned_to_id":23,"start_date":"2017-02-10","description":"","custom_fields":[{"id":1,"name":"Subdivision","value":"EC"},{"id":4,"name":"Milepost","value":"23.3444"},{"id":17,"name":"Train ID","value":"105-10"},{"id":16,"name":"Locomotive ID","value":"4007"},{"id":130,"name":"Impact","value":""},{"id":150,"name":"Time of Event (Mountain Time)","value":"04:53:06"},{"id":151,"name":"Denver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4007 --day 2017-02-10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573</v>
      </c>
      <c r="B18" s="7">
        <v>4039</v>
      </c>
      <c r="C18" s="21" t="s">
        <v>193</v>
      </c>
      <c r="D18" s="21" t="s">
        <v>767</v>
      </c>
      <c r="E18" s="13">
        <v>42776.213680555556</v>
      </c>
      <c r="F18" s="13">
        <v>42776.216168981482</v>
      </c>
      <c r="G18" s="7">
        <v>1</v>
      </c>
      <c r="H18" s="21" t="s">
        <v>768</v>
      </c>
      <c r="I18" s="13">
        <v>42776.24324074074</v>
      </c>
      <c r="J18" s="7">
        <v>0</v>
      </c>
      <c r="K18" s="98" t="str">
        <f t="shared" si="0"/>
        <v>4039/4040</v>
      </c>
      <c r="L18" s="21" t="str">
        <f>VLOOKUP(A18,'Trips&amp;Operators'!$C$1:$G$99999,5,FALSE)</f>
        <v>ROBINSON KADDIBA</v>
      </c>
      <c r="M18" s="6">
        <f t="shared" si="1"/>
        <v>2.7071759257523809E-2</v>
      </c>
      <c r="N18" s="7">
        <f t="shared" si="2"/>
        <v>38.983333330834284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-10T04:07:42-0700',mode:absolute,to:'2017-02-10T06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23.2806</v>
      </c>
      <c r="Z18" s="62">
        <f t="shared" si="9"/>
        <v>3.0300000000000001E-2</v>
      </c>
      <c r="AA18" s="62">
        <f t="shared" si="10"/>
        <v>23.250299999999999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 t="shared" si="11"/>
        <v>0106-10</v>
      </c>
      <c r="AE18" s="85" t="str">
        <f t="shared" si="12"/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AF18" s="82" t="str">
        <f t="shared" si="13"/>
        <v>"C:\Program Files (x86)\AstroGrep\AstroGrep.exe" /spath="%USERPROFILE%\AppData\Local\Temp\OnboardLogs" /stypes="app*4039*20170210*"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106-10 --locoid 4039 --swversion DE.1.0.8.0 --startMP 204:232806 --initTime 2017-02-10T05:07:42 --startdatetime 2017-02-10T05:11:17 --delay 1 --endMP 204:303 --enddatetime 2017-02-10T05:50:16 --enforcementcount 0 &gt;&gt;C:\Users\stu\Documents\GitHub\eaglep3-reporting\EC\2017-02-10-refined-times.txt</v>
      </c>
      <c r="AI18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{"issue":{"subject":"","project_id":79,"tracker_id":40,"status_id":1,"priority_id":2,"assigned_to_id":23,"start_date":"2017-02-10","description":"","custom_fields":[{"id":1,"name":"Subdivision","value":"EC"},{"id":4,"name":"Milepost","value":"0.0303"},{"id":17,"name":"Train ID","value":"106-10"},{"id":16,"name":"Locomotive ID","value":"4039"},{"id":130,"name":"Impact","value":""},{"id":150,"name":"Time of Event (Mountain Time)","value":"05:50:16"},{"id":151,"name":"Denver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4039 --day 2017-02-10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"%USERPROFILE%\AppData\Local\Temp\OnboardLogs"\RTDC4039\*4039*20170210* | grep -SE "(Enforcement Action)|(\[TIMEOUT)|(CHR.+\|PRM\|1\|D.+(SWITCH|SIGNAL).+UNKNOWN)" - &gt;&gt; 2017-02-10-UncaughtWiMAX.txt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566</v>
      </c>
      <c r="B19" s="7">
        <v>4046</v>
      </c>
      <c r="C19" s="21" t="s">
        <v>193</v>
      </c>
      <c r="D19" s="21" t="s">
        <v>327</v>
      </c>
      <c r="E19" s="13">
        <v>42776.187858796293</v>
      </c>
      <c r="F19" s="13">
        <v>42776.188958333332</v>
      </c>
      <c r="G19" s="7">
        <v>0</v>
      </c>
      <c r="H19" s="21" t="s">
        <v>306</v>
      </c>
      <c r="I19" s="13">
        <v>42776.213495370372</v>
      </c>
      <c r="J19" s="7">
        <v>0</v>
      </c>
      <c r="K19" s="98" t="str">
        <f t="shared" si="0"/>
        <v>4045/4046</v>
      </c>
      <c r="L19" s="21" t="str">
        <f>VLOOKUP(A19,'Trips&amp;Operators'!$C$1:$G$99999,5,FALSE)</f>
        <v>STARKS ANGELINA</v>
      </c>
      <c r="M19" s="6">
        <f t="shared" si="1"/>
        <v>2.453703703940846E-2</v>
      </c>
      <c r="N19" s="7">
        <f t="shared" si="2"/>
        <v>35.333333336748183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-10T03:30:31-0700',mode:absolute,to:'2017-02-10T06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4.6399999999999997E-2</v>
      </c>
      <c r="Z19" s="62">
        <f t="shared" si="9"/>
        <v>23.330300000000001</v>
      </c>
      <c r="AA19" s="62">
        <f t="shared" si="10"/>
        <v>23.283900000000003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 t="shared" si="11"/>
        <v>0107-10</v>
      </c>
      <c r="AE19" s="85" t="str">
        <f t="shared" si="12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19" s="82" t="str">
        <f t="shared" si="13"/>
        <v>"C:\Program Files (x86)\AstroGrep\AstroGrep.exe" /spath="%USERPROFILE%\AppData\Local\Temp\OnboardLogs" /stypes="app*4046*20170210*"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107-10 --locoid 4046 --swversion DE.1.0.8.0 --startMP 204:464 --initTime 2017-02-10T04:30:31 --startdatetime 2017-02-10T04:32:06 --delay 0 --endMP 204:233303 --enddatetime 2017-02-10T05:07:26 --enforcementcount 0 &gt;&gt;C:\Users\stu\Documents\GitHub\eaglep3-reporting\EC\2017-02-10-refined-times.txt</v>
      </c>
      <c r="AI19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{"issue":{"subject":"","project_id":79,"tracker_id":40,"status_id":1,"priority_id":2,"assigned_to_id":23,"start_date":"2017-02-10","description":"","custom_fields":[{"id":1,"name":"Subdivision","value":"EC"},{"id":4,"name":"Milepost","value":"23.3303"},{"id":17,"name":"Train ID","value":"107-10"},{"id":16,"name":"Locomotive ID","value":"4046"},{"id":130,"name":"Impact","value":""},{"id":150,"name":"Time of Event (Mountain Time)","value":"05:07:26"},{"id":151,"name":"Denver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4046 --day 2017-02-10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574</v>
      </c>
      <c r="B20" s="7">
        <v>4045</v>
      </c>
      <c r="C20" s="21" t="s">
        <v>193</v>
      </c>
      <c r="D20" s="21" t="s">
        <v>373</v>
      </c>
      <c r="E20" s="13">
        <v>42776.221932870372</v>
      </c>
      <c r="F20" s="13">
        <v>42776.226574074077</v>
      </c>
      <c r="G20" s="7">
        <v>1</v>
      </c>
      <c r="H20" s="21" t="s">
        <v>198</v>
      </c>
      <c r="I20" s="13">
        <v>42776.254560185182</v>
      </c>
      <c r="J20" s="7">
        <v>0</v>
      </c>
      <c r="K20" s="98" t="str">
        <f t="shared" si="0"/>
        <v>4045/4046</v>
      </c>
      <c r="L20" s="21" t="str">
        <f>VLOOKUP(A20,'Trips&amp;Operators'!$C$1:$G$99999,5,FALSE)</f>
        <v>STARKS ANGELINA</v>
      </c>
      <c r="M20" s="6">
        <f t="shared" si="1"/>
        <v>2.7986111104837619E-2</v>
      </c>
      <c r="N20" s="7">
        <f t="shared" si="2"/>
        <v>40.299999990966171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-10T04:19:35-0700',mode:absolute,to:'2017-02-10T07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23.297999999999998</v>
      </c>
      <c r="Z20" s="62">
        <f t="shared" si="9"/>
        <v>1.4500000000000001E-2</v>
      </c>
      <c r="AA20" s="62">
        <f t="shared" si="10"/>
        <v>23.283499999999997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 t="shared" si="11"/>
        <v>0108-10</v>
      </c>
      <c r="AE20" s="85" t="str">
        <f t="shared" si="12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20" s="82" t="str">
        <f t="shared" si="13"/>
        <v>"C:\Program Files (x86)\AstroGrep\AstroGrep.exe" /spath="%USERPROFILE%\AppData\Local\Temp\OnboardLogs" /stypes="app*4045*20170210*"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108-10 --locoid 4045 --swversion DE.1.0.8.0 --startMP 204:232980 --initTime 2017-02-10T05:19:35 --startdatetime 2017-02-10T05:26:16 --delay 1 --endMP 204:145 --enddatetime 2017-02-10T06:06:34 --enforcementcount 0 &gt;&gt;C:\Users\stu\Documents\GitHub\eaglep3-reporting\EC\2017-02-10-refined-times.txt</v>
      </c>
      <c r="AI20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ID","value":"108-10"},{"id":16,"name":"Locomotive ID","value":"4045"},{"id":130,"name":"Impact","value":""},{"id":150,"name":"Time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4045 --day 2017-02-10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569</v>
      </c>
      <c r="B21" s="7">
        <v>4020</v>
      </c>
      <c r="C21" s="21" t="s">
        <v>193</v>
      </c>
      <c r="D21" s="21" t="s">
        <v>300</v>
      </c>
      <c r="E21" s="13">
        <v>42776.195023148146</v>
      </c>
      <c r="F21" s="13">
        <v>42776.198229166665</v>
      </c>
      <c r="G21" s="7">
        <v>2</v>
      </c>
      <c r="H21" s="21" t="s">
        <v>497</v>
      </c>
      <c r="I21" s="13">
        <v>42776.223796296297</v>
      </c>
      <c r="J21" s="7">
        <v>0</v>
      </c>
      <c r="K21" s="98" t="str">
        <f t="shared" si="0"/>
        <v>4019/4020</v>
      </c>
      <c r="L21" s="21" t="str">
        <f>VLOOKUP(A21,'Trips&amp;Operators'!$C$1:$G$99999,5,FALSE)</f>
        <v>LOZA FIDEL</v>
      </c>
      <c r="M21" s="6">
        <f t="shared" si="1"/>
        <v>2.5567129632690921E-2</v>
      </c>
      <c r="N21" s="7">
        <f t="shared" si="2"/>
        <v>36.816666671074927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-10T03:40:50-0700',mode:absolute,to:'2017-02-10T06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4.4699999999999997E-2</v>
      </c>
      <c r="Z21" s="62">
        <f t="shared" si="9"/>
        <v>23.331</v>
      </c>
      <c r="AA21" s="62">
        <f t="shared" si="10"/>
        <v>23.286300000000001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 t="shared" si="11"/>
        <v>0109-10</v>
      </c>
      <c r="AE21" s="85" t="str">
        <f t="shared" si="12"/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21" s="82" t="str">
        <f t="shared" si="13"/>
        <v>"C:\Program Files (x86)\AstroGrep\AstroGrep.exe" /spath="%USERPROFILE%\AppData\Local\Temp\OnboardLogs" /stypes="app*4020*20170210*"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109-10 --locoid 4020 --swversion DE.1.0.8.0 --startMP 204:447 --initTime 2017-02-10T04:40:50 --startdatetime 2017-02-10T04:45:27 --delay 2 --endMP 204:233310 --enddatetime 2017-02-10T05:22:16 --enforcementcount 0 &gt;&gt;C:\Users\stu\Documents\GitHub\eaglep3-reporting\EC\2017-02-10-refined-times.txt</v>
      </c>
      <c r="AI21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{"issue":{"subject":"","project_id":79,"tracker_id":40,"status_id":1,"priority_id":2,"assigned_to_id":23,"start_date":"2017-02-10","description":"","custom_fields":[{"id":1,"name":"Subdivision","value":"EC"},{"id":4,"name":"Milepost","value":"23.331"},{"id":17,"name":"Train ID","value":"109-10"},{"id":16,"name":"Locomotive ID","value":"4020"},{"id":130,"name":"Impact","value":""},{"id":150,"name":"Time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4020 --day 2017-02-10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2017-02-10-UncaughtWiMAX.txt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577</v>
      </c>
      <c r="B22" s="7">
        <v>4019</v>
      </c>
      <c r="C22" s="21" t="s">
        <v>193</v>
      </c>
      <c r="D22" s="21" t="s">
        <v>277</v>
      </c>
      <c r="E22" s="13">
        <v>42776.230949074074</v>
      </c>
      <c r="F22" s="13">
        <v>42776.237187500003</v>
      </c>
      <c r="G22" s="7">
        <v>1</v>
      </c>
      <c r="H22" s="21" t="s">
        <v>208</v>
      </c>
      <c r="I22" s="13">
        <v>42776.26390046296</v>
      </c>
      <c r="J22" s="7">
        <v>0</v>
      </c>
      <c r="K22" s="98" t="str">
        <f t="shared" si="0"/>
        <v>4019/4020</v>
      </c>
      <c r="L22" s="21" t="str">
        <f>VLOOKUP(A22,'Trips&amp;Operators'!$C$1:$G$99999,5,FALSE)</f>
        <v>LOZA FIDEL</v>
      </c>
      <c r="M22" s="6">
        <f t="shared" si="1"/>
        <v>2.6712962957390118E-2</v>
      </c>
      <c r="N22" s="7">
        <f t="shared" si="2"/>
        <v>38.46666665864177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-10T04:32:34-0700',mode:absolute,to:'2017-02-10T07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23.299399999999999</v>
      </c>
      <c r="Z22" s="62">
        <f t="shared" si="9"/>
        <v>1.52E-2</v>
      </c>
      <c r="AA22" s="62">
        <f t="shared" si="10"/>
        <v>23.284199999999998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 t="shared" si="11"/>
        <v>0110-10</v>
      </c>
      <c r="AE22" s="85" t="str">
        <f t="shared" si="12"/>
        <v>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 &amp; 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</v>
      </c>
      <c r="AF22" s="82" t="str">
        <f t="shared" si="13"/>
        <v>"C:\Program Files (x86)\AstroGrep\AstroGrep.exe" /spath="%USERPROFILE%\AppData\Local\Temp\OnboardLogs" /stypes="app*4019*20170210*"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110-10 --locoid 4019 --swversion DE.1.0.8.0 --startMP 204:232994 --initTime 2017-02-10T05:32:34 --startdatetime 2017-02-10T05:41:33 --delay 1 --endMP 204:152 --enddatetime 2017-02-10T06:20:01 --enforcementcount 0 &gt;&gt;C:\Users\stu\Documents\GitHub\eaglep3-reporting\EC\2017-02-10-refined-times.txt</v>
      </c>
      <c r="AI22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{"issue":{"subject":"","project_id":79,"tracker_id":40,"status_id":1,"priority_id":2,"assigned_to_id":23,"start_date":"2017-02-10","description":"","custom_fields":[{"id":1,"name":"Subdivision","value":"EC"},{"id":4,"name":"Milepost","value":"0.0152"},{"id":17,"name":"Train ID","value":"110-10"},{"id":16,"name":"Locomotive ID","value":"4019"},{"id":130,"name":"Impact","value":""},{"id":150,"name":"Time of Event (Mountain Time)","value":"06:20:01"},{"id":151,"name":"Denver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4019 --day 2017-02-10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2017-02-10-UncaughtWiMAX.txt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571</v>
      </c>
      <c r="B23" s="7">
        <v>4038</v>
      </c>
      <c r="C23" s="21" t="s">
        <v>193</v>
      </c>
      <c r="D23" s="21" t="s">
        <v>769</v>
      </c>
      <c r="E23" s="13">
        <v>42776.204641203702</v>
      </c>
      <c r="F23" s="13">
        <v>42776.208657407406</v>
      </c>
      <c r="G23" s="7">
        <v>3</v>
      </c>
      <c r="H23" s="21" t="s">
        <v>500</v>
      </c>
      <c r="I23" s="13">
        <v>42776.234710648147</v>
      </c>
      <c r="J23" s="7">
        <v>0</v>
      </c>
      <c r="K23" s="98" t="str">
        <f t="shared" si="0"/>
        <v>4037/4038</v>
      </c>
      <c r="L23" s="21" t="str">
        <f>VLOOKUP(A23,'Trips&amp;Operators'!$C$1:$G$99999,5,FALSE)</f>
        <v>BONDS REYNALDO</v>
      </c>
      <c r="M23" s="6">
        <f t="shared" si="1"/>
        <v>2.6053240741021E-2</v>
      </c>
      <c r="N23" s="7">
        <f t="shared" si="2"/>
        <v>37.51666666707024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-10T03:54:41-0700',mode:absolute,to:'2017-02-10T06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3" s="188" t="str">
        <f t="shared" si="6"/>
        <v>N</v>
      </c>
      <c r="X23" s="188">
        <f t="shared" si="7"/>
        <v>1</v>
      </c>
      <c r="Y23" s="62">
        <f t="shared" si="8"/>
        <v>7.85E-2</v>
      </c>
      <c r="Z23" s="62">
        <f t="shared" si="9"/>
        <v>23.330500000000001</v>
      </c>
      <c r="AA23" s="62">
        <f t="shared" si="10"/>
        <v>23.252000000000002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 t="shared" si="11"/>
        <v>0111-10</v>
      </c>
      <c r="AE23" s="85" t="str">
        <f t="shared" si="12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23" s="82" t="str">
        <f t="shared" si="13"/>
        <v>"C:\Program Files (x86)\AstroGrep\AstroGrep.exe" /spath="%USERPROFILE%\AppData\Local\Temp\OnboardLogs" /stypes="app*4038*20170210*"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111-10 --locoid 4038 --swversion DE.1.0.8.0 --startMP 204:785 --initTime 2017-02-10T04:54:41 --startdatetime 2017-02-10T05:00:28 --delay 3 --endMP 204:233305 --enddatetime 2017-02-10T05:37:59 --enforcementcount 0 &gt;&gt;C:\Users\stu\Documents\GitHub\eaglep3-reporting\EC\2017-02-10-refined-times.txt</v>
      </c>
      <c r="AI23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{"issue":{"subject":"","project_id":79,"tracker_id":40,"status_id":1,"priority_id":2,"assigned_to_id":23,"start_date":"2017-02-10","description":"","custom_fields":[{"id":1,"name":"Subdivision","value":"EC"},{"id":4,"name":"Milepost","value":"23.3305"},{"id":17,"name":"Train ID","value":"111-10"},{"id":16,"name":"Locomotive ID","value":"4038"},{"id":130,"name":"Impact","value":""},{"id":150,"name":"Time of Event (Mountain Time)","value":"05:37:59"},{"id":151,"name":"Denver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4038 --day 2017-02-10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579</v>
      </c>
      <c r="B24" s="7">
        <v>4037</v>
      </c>
      <c r="C24" s="21" t="s">
        <v>193</v>
      </c>
      <c r="D24" s="21" t="s">
        <v>464</v>
      </c>
      <c r="E24" s="13">
        <v>42776.239675925928</v>
      </c>
      <c r="F24" s="13">
        <v>42776.247395833336</v>
      </c>
      <c r="G24" s="7">
        <v>1</v>
      </c>
      <c r="H24" s="21" t="s">
        <v>337</v>
      </c>
      <c r="I24" s="13">
        <v>42776.275335648148</v>
      </c>
      <c r="J24" s="7">
        <v>0</v>
      </c>
      <c r="K24" s="98" t="str">
        <f t="shared" si="0"/>
        <v>4037/4038</v>
      </c>
      <c r="L24" s="21" t="str">
        <f>VLOOKUP(A24,'Trips&amp;Operators'!$C$1:$G$99999,5,FALSE)</f>
        <v>BONDS REYNALDO</v>
      </c>
      <c r="M24" s="6">
        <f t="shared" si="1"/>
        <v>2.7939814812270924E-2</v>
      </c>
      <c r="N24" s="7">
        <f t="shared" si="2"/>
        <v>40.233333329670131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-10T04:45:08-0700',mode:absolute,to:'2017-02-10T07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4" s="188" t="str">
        <f t="shared" si="6"/>
        <v>N</v>
      </c>
      <c r="X24" s="188">
        <f t="shared" si="7"/>
        <v>1</v>
      </c>
      <c r="Y24" s="62">
        <f t="shared" si="8"/>
        <v>23.296099999999999</v>
      </c>
      <c r="Z24" s="62">
        <f t="shared" si="9"/>
        <v>1.61E-2</v>
      </c>
      <c r="AA24" s="62">
        <f t="shared" si="10"/>
        <v>23.279999999999998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 t="shared" si="11"/>
        <v>0112-10</v>
      </c>
      <c r="AE24" s="85" t="str">
        <f t="shared" si="12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24" s="82" t="str">
        <f t="shared" si="13"/>
        <v>"C:\Program Files (x86)\AstroGrep\AstroGrep.exe" /spath="%USERPROFILE%\AppData\Local\Temp\OnboardLogs" /stypes="app*4037*20170210*"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112-10 --locoid 4037 --swversion DE.1.0.8.0 --startMP 204:232961 --initTime 2017-02-10T05:45:08 --startdatetime 2017-02-10T05:56:15 --delay 1 --endMP 204:161 --enddatetime 2017-02-10T06:36:29 --enforcementcount 0 &gt;&gt;C:\Users\stu\Documents\GitHub\eaglep3-reporting\EC\2017-02-10-refined-times.txt</v>
      </c>
      <c r="AI24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{"issue":{"subject":"","project_id":79,"tracker_id":40,"status_id":1,"priority_id":2,"assigned_to_id":23,"start_date":"2017-02-10","description":"","custom_fields":[{"id":1,"name":"Subdivision","value":"EC"},{"id":4,"name":"Milepost","value":"0.0161"},{"id":17,"name":"Train ID","value":"112-10"},{"id":16,"name":"Locomotive ID","value":"4037"},{"id":130,"name":"Impact","value":""},{"id":150,"name":"Time of Event (Mountain Time)","value":"06:36:29"},{"id":151,"name":"Denver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4037 --day 2017-02-10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572</v>
      </c>
      <c r="B25" s="7">
        <v>4027</v>
      </c>
      <c r="C25" s="21" t="s">
        <v>193</v>
      </c>
      <c r="D25" s="21" t="s">
        <v>506</v>
      </c>
      <c r="E25" s="13">
        <v>42776.210335648146</v>
      </c>
      <c r="F25" s="13">
        <v>42776.218923611108</v>
      </c>
      <c r="G25" s="7">
        <v>1</v>
      </c>
      <c r="H25" s="21" t="s">
        <v>467</v>
      </c>
      <c r="I25" s="13">
        <v>42776.246192129627</v>
      </c>
      <c r="J25" s="7">
        <v>0</v>
      </c>
      <c r="K25" s="98" t="str">
        <f t="shared" si="0"/>
        <v>4027/4028</v>
      </c>
      <c r="L25" s="21" t="str">
        <f>VLOOKUP(A25,'Trips&amp;Operators'!$C$1:$G$99999,5,FALSE)</f>
        <v>BADERTSCHER DIANE</v>
      </c>
      <c r="M25" s="6">
        <f t="shared" si="1"/>
        <v>2.7268518519122154E-2</v>
      </c>
      <c r="N25" s="7">
        <f t="shared" si="2"/>
        <v>39.266666667535901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-10T04:02:53-0700',mode:absolute,to:'2017-02-10T06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5" s="188" t="str">
        <f t="shared" si="6"/>
        <v>N</v>
      </c>
      <c r="X25" s="188">
        <f t="shared" si="7"/>
        <v>1</v>
      </c>
      <c r="Y25" s="62">
        <f t="shared" si="8"/>
        <v>4.7800000000000002E-2</v>
      </c>
      <c r="Z25" s="62">
        <f t="shared" si="9"/>
        <v>23.3306</v>
      </c>
      <c r="AA25" s="62">
        <f t="shared" si="10"/>
        <v>23.282800000000002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 t="shared" si="11"/>
        <v>0113-10</v>
      </c>
      <c r="AE25" s="85" t="str">
        <f t="shared" si="12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25" s="82" t="str">
        <f t="shared" si="13"/>
        <v>"C:\Program Files (x86)\AstroGrep\AstroGrep.exe" /spath="%USERPROFILE%\AppData\Local\Temp\OnboardLogs" /stypes="app*4027*20170210*"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113-10 --locoid 4027 --swversion DE.1.0.8.0 --startMP 204:478 --initTime 2017-02-10T05:02:53 --startdatetime 2017-02-10T05:15:15 --delay 1 --endMP 204:233306 --enddatetime 2017-02-10T05:54:31 --enforcementcount 0 &gt;&gt;C:\Users\stu\Documents\GitHub\eaglep3-reporting\EC\2017-02-10-refined-times.txt</v>
      </c>
      <c r="AI2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{"issue":{"subject":"","project_id":79,"tracker_id":40,"status_id":1,"priority_id":2,"assigned_to_id":23,"start_date":"2017-02-10","description":"","custom_fields":[{"id":1,"name":"Subdivision","value":"EC"},{"id":4,"name":"Milepost","value":"23.3306"},{"id":17,"name":"Train ID","value":"113-10"},{"id":16,"name":"Locomotive ID","value":"4027"},{"id":130,"name":"Impact","value":""},{"id":150,"name":"Time of Event (Mountain Time)","value":"05:54:31"},{"id":151,"name":"Denver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4027 --day 2017-02-10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582</v>
      </c>
      <c r="B26" s="7">
        <v>4028</v>
      </c>
      <c r="C26" s="21" t="s">
        <v>193</v>
      </c>
      <c r="D26" s="21" t="s">
        <v>770</v>
      </c>
      <c r="E26" s="13">
        <v>42776.25204861111</v>
      </c>
      <c r="F26" s="13">
        <v>42776.2578125</v>
      </c>
      <c r="G26" s="7">
        <v>1</v>
      </c>
      <c r="H26" s="21" t="s">
        <v>771</v>
      </c>
      <c r="I26" s="13">
        <v>42776.285856481481</v>
      </c>
      <c r="J26" s="7">
        <v>0</v>
      </c>
      <c r="K26" s="98" t="str">
        <f t="shared" si="0"/>
        <v>4027/4028</v>
      </c>
      <c r="L26" s="21" t="str">
        <f>VLOOKUP(A26,'Trips&amp;Operators'!$C$1:$G$99999,5,FALSE)</f>
        <v>BADERTSCHER DIANE</v>
      </c>
      <c r="M26" s="6">
        <f t="shared" si="1"/>
        <v>2.8043981481459923E-2</v>
      </c>
      <c r="N26" s="7">
        <f t="shared" si="2"/>
        <v>40.383333333302289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-10T05:02:57-0700',mode:absolute,to:'2017-02-10T07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6" s="188" t="str">
        <f t="shared" si="6"/>
        <v>N</v>
      </c>
      <c r="X26" s="188">
        <f t="shared" si="7"/>
        <v>1</v>
      </c>
      <c r="Y26" s="62">
        <f t="shared" si="8"/>
        <v>23.298100000000002</v>
      </c>
      <c r="Z26" s="62">
        <f t="shared" si="9"/>
        <v>1.7000000000000001E-2</v>
      </c>
      <c r="AA26" s="62">
        <f t="shared" si="10"/>
        <v>23.281100000000002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 t="shared" si="11"/>
        <v>0114-10</v>
      </c>
      <c r="AE26" s="85" t="str">
        <f t="shared" si="12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26" s="82" t="str">
        <f t="shared" si="13"/>
        <v>"C:\Program Files (x86)\AstroGrep\AstroGrep.exe" /spath="%USERPROFILE%\AppData\Local\Temp\OnboardLogs" /stypes="app*4028*20170210*"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114-10 --locoid 4028 --swversion DE.1.0.8.0 --startMP 204:232981 --initTime 2017-02-10T06:02:57 --startdatetime 2017-02-10T06:11:15 --delay 1 --endMP 204:170 --enddatetime 2017-02-10T06:51:38 --enforcementcount 0 &gt;&gt;C:\Users\stu\Documents\GitHub\eaglep3-reporting\EC\2017-02-10-refined-times.txt</v>
      </c>
      <c r="AI2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{"issue":{"subject":"","project_id":79,"tracker_id":40,"status_id":1,"priority_id":2,"assigned_to_id":23,"start_date":"2017-02-10","description":"","custom_fields":[{"id":1,"name":"Subdivision","value":"EC"},{"id":4,"name":"Milepost","value":"0.017"},{"id":17,"name":"Train ID","value":"114-10"},{"id":16,"name":"Locomotive ID","value":"4028"},{"id":130,"name":"Impact","value":""},{"id":150,"name":"Time of Event (Mountain Time)","value":"06:51:38"},{"id":151,"name":"Denver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4028 --day 2017-02-10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575</v>
      </c>
      <c r="B27" s="7">
        <v>4009</v>
      </c>
      <c r="C27" s="21" t="s">
        <v>193</v>
      </c>
      <c r="D27" s="21" t="s">
        <v>772</v>
      </c>
      <c r="E27" s="13">
        <v>42776.226307870369</v>
      </c>
      <c r="F27" s="13">
        <v>42776.229375000003</v>
      </c>
      <c r="G27" s="7">
        <v>1</v>
      </c>
      <c r="H27" s="21" t="s">
        <v>371</v>
      </c>
      <c r="I27" s="13">
        <v>42776.254016203704</v>
      </c>
      <c r="J27" s="7">
        <v>0</v>
      </c>
      <c r="K27" s="98" t="str">
        <f t="shared" si="0"/>
        <v>4009/4010</v>
      </c>
      <c r="L27" s="21" t="str">
        <f>VLOOKUP(A27,'Trips&amp;Operators'!$C$1:$G$99999,5,FALSE)</f>
        <v>ROCHA YAOTL</v>
      </c>
      <c r="M27" s="6">
        <f t="shared" si="1"/>
        <v>2.4641203701321501E-2</v>
      </c>
      <c r="N27" s="7">
        <f t="shared" si="2"/>
        <v>35.483333329902962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-10T04:25:53-0700',mode:absolute,to:'2017-02-10T07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7" s="188" t="str">
        <f t="shared" si="6"/>
        <v>N</v>
      </c>
      <c r="X27" s="188">
        <f t="shared" si="7"/>
        <v>1</v>
      </c>
      <c r="Y27" s="62">
        <f t="shared" si="8"/>
        <v>7.6600000000000001E-2</v>
      </c>
      <c r="Z27" s="62">
        <f t="shared" si="9"/>
        <v>23.3276</v>
      </c>
      <c r="AA27" s="62">
        <f t="shared" si="10"/>
        <v>23.251000000000001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 t="shared" si="11"/>
        <v>0115-10</v>
      </c>
      <c r="AE27" s="85" t="str">
        <f t="shared" si="12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27" s="82" t="str">
        <f t="shared" si="13"/>
        <v>"C:\Program Files (x86)\AstroGrep\AstroGrep.exe" /spath="%USERPROFILE%\AppData\Local\Temp\OnboardLogs" /stypes="app*4009*20170210*"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115-10 --locoid 4009 --swversion DE.1.0.8.0 --startMP 204:766 --initTime 2017-02-10T05:25:53 --startdatetime 2017-02-10T05:30:18 --delay 1 --endMP 204:233276 --enddatetime 2017-02-10T06:05:47 --enforcementcount 0 &gt;&gt;C:\Users\stu\Documents\GitHub\eaglep3-reporting\EC\2017-02-10-refined-times.txt</v>
      </c>
      <c r="AI27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{"issue":{"subject":"","project_id":79,"tracker_id":40,"status_id":1,"priority_id":2,"assigned_to_id":23,"start_date":"2017-02-10","description":"","custom_fields":[{"id":1,"name":"Subdivision","value":"EC"},{"id":4,"name":"Milepost","value":"23.3276"},{"id":17,"name":"Train ID","value":"115-10"},{"id":16,"name":"Locomotive ID","value":"4009"},{"id":130,"name":"Impact","value":""},{"id":150,"name":"Time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4009 --day 2017-02-10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586</v>
      </c>
      <c r="B28" s="7">
        <v>4010</v>
      </c>
      <c r="C28" s="21" t="s">
        <v>193</v>
      </c>
      <c r="D28" s="21" t="s">
        <v>464</v>
      </c>
      <c r="E28" s="13">
        <v>42776.267175925925</v>
      </c>
      <c r="F28" s="13">
        <v>42776.26835648148</v>
      </c>
      <c r="G28" s="7">
        <v>1</v>
      </c>
      <c r="H28" s="21" t="s">
        <v>231</v>
      </c>
      <c r="I28" s="13">
        <v>42776.293854166666</v>
      </c>
      <c r="J28" s="7">
        <v>0</v>
      </c>
      <c r="K28" s="98" t="str">
        <f t="shared" si="0"/>
        <v>4009/4010</v>
      </c>
      <c r="L28" s="21" t="str">
        <f>VLOOKUP(A28,'Trips&amp;Operators'!$C$1:$G$99999,5,FALSE)</f>
        <v>ROCHA YAOTL</v>
      </c>
      <c r="M28" s="6">
        <f t="shared" si="1"/>
        <v>2.5497685186564922E-2</v>
      </c>
      <c r="N28" s="7">
        <f t="shared" si="2"/>
        <v>36.716666668653488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-10T05:24:44-0700',mode:absolute,to:'2017-02-10T08:03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188" t="str">
        <f t="shared" si="6"/>
        <v>N</v>
      </c>
      <c r="X28" s="188">
        <f t="shared" si="7"/>
        <v>1</v>
      </c>
      <c r="Y28" s="62">
        <f t="shared" si="8"/>
        <v>23.296099999999999</v>
      </c>
      <c r="Z28" s="62">
        <f t="shared" si="9"/>
        <v>1.43E-2</v>
      </c>
      <c r="AA28" s="62">
        <f t="shared" si="10"/>
        <v>23.2818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 t="shared" si="11"/>
        <v>0116-10</v>
      </c>
      <c r="AE28" s="85" t="str">
        <f t="shared" si="12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28" s="82" t="str">
        <f t="shared" si="13"/>
        <v>"C:\Program Files (x86)\AstroGrep\AstroGrep.exe" /spath="%USERPROFILE%\AppData\Local\Temp\OnboardLogs" /stypes="app*4010*20170210*"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116-10 --locoid 4010 --swversion DE.1.0.8.0 --startMP 204:232961 --initTime 2017-02-10T06:24:44 --startdatetime 2017-02-10T06:26:26 --delay 1 --endMP 204:143 --enddatetime 2017-02-10T07:03:09 --enforcementcount 0 &gt;&gt;C:\Users\stu\Documents\GitHub\eaglep3-reporting\EC\2017-02-10-refined-times.txt</v>
      </c>
      <c r="AI28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{"issue":{"subject":"","project_id":79,"tracker_id":40,"status_id":1,"priority_id":2,"assigned_to_id":23,"start_date":"2017-02-10","description":"","custom_fields":[{"id":1,"name":"Subdivision","value":"EC"},{"id":4,"name":"Milepost","value":"0.0143"},{"id":17,"name":"Train ID","value":"116-10"},{"id":16,"name":"Locomotive ID","value":"4010"},{"id":130,"name":"Impact","value":""},{"id":150,"name":"Time of Event (Mountain Time)","value":"07:03:09"},{"id":151,"name":"Denver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4010 --day 2017-02-10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2017-02-10-UncaughtWiMAX.txt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578</v>
      </c>
      <c r="B29" s="7">
        <v>4018</v>
      </c>
      <c r="C29" s="21" t="s">
        <v>193</v>
      </c>
      <c r="D29" s="21" t="s">
        <v>279</v>
      </c>
      <c r="E29" s="13">
        <v>42776.232997685183</v>
      </c>
      <c r="F29" s="13">
        <v>42776.239745370367</v>
      </c>
      <c r="G29" s="7">
        <v>1</v>
      </c>
      <c r="H29" s="21" t="s">
        <v>773</v>
      </c>
      <c r="I29" s="13">
        <v>42776.265277777777</v>
      </c>
      <c r="J29" s="7">
        <v>0</v>
      </c>
      <c r="K29" s="98" t="str">
        <f t="shared" si="0"/>
        <v>4017/4018</v>
      </c>
      <c r="L29" s="21" t="str">
        <f>VLOOKUP(A29,'Trips&amp;Operators'!$C$1:$G$99999,5,FALSE)</f>
        <v>DAVIS WENDY</v>
      </c>
      <c r="M29" s="6">
        <f t="shared" si="1"/>
        <v>2.5532407409627922E-2</v>
      </c>
      <c r="N29" s="7">
        <f t="shared" si="2"/>
        <v>36.766666669864208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-10T04:35:31-0700',mode:absolute,to:'2017-02-10T07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8" t="str">
        <f t="shared" si="6"/>
        <v>N</v>
      </c>
      <c r="X29" s="188">
        <f t="shared" si="7"/>
        <v>1</v>
      </c>
      <c r="Y29" s="62">
        <f t="shared" si="8"/>
        <v>4.4600000000000001E-2</v>
      </c>
      <c r="Z29" s="62">
        <f t="shared" si="9"/>
        <v>23.330200000000001</v>
      </c>
      <c r="AA29" s="62">
        <f t="shared" si="10"/>
        <v>23.285600000000002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 t="shared" si="11"/>
        <v>0117-10</v>
      </c>
      <c r="AE29" s="85" t="str">
        <f t="shared" si="12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29" s="82" t="str">
        <f t="shared" si="13"/>
        <v>"C:\Program Files (x86)\AstroGrep\AstroGrep.exe" /spath="%USERPROFILE%\AppData\Local\Temp\OnboardLogs" /stypes="app*4018*20170210*"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117-10 --locoid 4018 --swversion DE.1.0.8.0 --startMP 204:446 --initTime 2017-02-10T05:35:31 --startdatetime 2017-02-10T05:45:14 --delay 1 --endMP 204:233302 --enddatetime 2017-02-10T06:22:00 --enforcementcount 0 &gt;&gt;C:\Users\stu\Documents\GitHub\eaglep3-reporting\EC\2017-02-10-refined-times.txt</v>
      </c>
      <c r="AI29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{"issue":{"subject":"","project_id":79,"tracker_id":40,"status_id":1,"priority_id":2,"assigned_to_id":23,"start_date":"2017-02-10","description":"","custom_fields":[{"id":1,"name":"Subdivision","value":"EC"},{"id":4,"name":"Milepost","value":"23.3302"},{"id":17,"name":"Train ID","value":"117-10"},{"id":16,"name":"Locomotive ID","value":"4018"},{"id":130,"name":"Impact","value":""},{"id":150,"name":"Time of Event (Mountain Time)","value":"06:22:00"},{"id":151,"name":"Denver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4018 --day 2017-02-10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589</v>
      </c>
      <c r="B30" s="7">
        <v>4017</v>
      </c>
      <c r="C30" s="21" t="s">
        <v>193</v>
      </c>
      <c r="D30" s="21" t="s">
        <v>313</v>
      </c>
      <c r="E30" s="13">
        <v>42776.276689814818</v>
      </c>
      <c r="F30" s="13">
        <v>42776.278680555559</v>
      </c>
      <c r="G30" s="7">
        <v>1</v>
      </c>
      <c r="H30" s="21" t="s">
        <v>351</v>
      </c>
      <c r="I30" s="13">
        <v>42776.306111111109</v>
      </c>
      <c r="J30" s="7">
        <v>0</v>
      </c>
      <c r="K30" s="98" t="str">
        <f t="shared" si="0"/>
        <v>4017/4018</v>
      </c>
      <c r="L30" s="21" t="str">
        <f>VLOOKUP(A30,'Trips&amp;Operators'!$C$1:$G$99999,5,FALSE)</f>
        <v>DAVIS WENDY</v>
      </c>
      <c r="M30" s="6">
        <f t="shared" si="1"/>
        <v>2.7430555550381541E-2</v>
      </c>
      <c r="N30" s="7">
        <f t="shared" si="2"/>
        <v>39.499999992549419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-10T05:38:26-0700',mode:absolute,to:'2017-02-10T08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8" t="str">
        <f t="shared" si="6"/>
        <v>N</v>
      </c>
      <c r="X30" s="188">
        <f t="shared" si="7"/>
        <v>1</v>
      </c>
      <c r="Y30" s="62">
        <f t="shared" si="8"/>
        <v>23.299099999999999</v>
      </c>
      <c r="Z30" s="62">
        <f t="shared" si="9"/>
        <v>1.41E-2</v>
      </c>
      <c r="AA30" s="62">
        <f t="shared" si="10"/>
        <v>23.285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 t="shared" si="11"/>
        <v>0118-10</v>
      </c>
      <c r="AE30" s="85" t="str">
        <f t="shared" si="12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30" s="82" t="str">
        <f t="shared" si="13"/>
        <v>"C:\Program Files (x86)\AstroGrep\AstroGrep.exe" /spath="%USERPROFILE%\AppData\Local\Temp\OnboardLogs" /stypes="app*4017*20170210*"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118-10 --locoid 4017 --swversion DE.1.0.8.0 --startMP 204:232991 --initTime 2017-02-10T06:38:26 --startdatetime 2017-02-10T06:41:18 --delay 1 --endMP 204:141 --enddatetime 2017-02-10T07:20:48 --enforcementcount 0 &gt;&gt;C:\Users\stu\Documents\GitHub\eaglep3-reporting\EC\2017-02-10-refined-times.txt</v>
      </c>
      <c r="AI30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{"issue":{"subject":"","project_id":79,"tracker_id":40,"status_id":1,"priority_id":2,"assigned_to_id":23,"start_date":"2017-02-10","description":"","custom_fields":[{"id":1,"name":"Subdivision","value":"EC"},{"id":4,"name":"Milepost","value":"0.0141"},{"id":17,"name":"Train ID","value":"118-10"},{"id":16,"name":"Locomotive ID","value":"4017"},{"id":130,"name":"Impact","value":""},{"id":150,"name":"Time of Event (Mountain Time)","value":"07:20:48"},{"id":151,"name":"Denver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4017 --day 2017-02-10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580</v>
      </c>
      <c r="B31" s="7">
        <v>4007</v>
      </c>
      <c r="C31" s="21" t="s">
        <v>193</v>
      </c>
      <c r="D31" s="21" t="s">
        <v>774</v>
      </c>
      <c r="E31" s="13">
        <v>42776.245810185188</v>
      </c>
      <c r="F31" s="13">
        <v>42776.250138888892</v>
      </c>
      <c r="G31" s="7">
        <v>1</v>
      </c>
      <c r="H31" s="21" t="s">
        <v>377</v>
      </c>
      <c r="I31" s="13">
        <v>42776.274780092594</v>
      </c>
      <c r="J31" s="7">
        <v>0</v>
      </c>
      <c r="K31" s="98" t="str">
        <f t="shared" si="0"/>
        <v>4007/4008</v>
      </c>
      <c r="L31" s="21" t="str">
        <f>VLOOKUP(A31,'Trips&amp;Operators'!$C$1:$G$99999,5,FALSE)</f>
        <v>ROBINSON KADDIBA</v>
      </c>
      <c r="M31" s="6">
        <f t="shared" si="1"/>
        <v>2.4641203701321501E-2</v>
      </c>
      <c r="N31" s="7">
        <f t="shared" si="2"/>
        <v>35.483333329902962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-10T04:53:58-0700',mode:absolute,to:'2017-02-10T07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1" s="188" t="str">
        <f t="shared" si="6"/>
        <v>N</v>
      </c>
      <c r="X31" s="188">
        <f t="shared" si="7"/>
        <v>1</v>
      </c>
      <c r="Y31" s="62">
        <f t="shared" si="8"/>
        <v>7.3400000000000007E-2</v>
      </c>
      <c r="Z31" s="62">
        <f t="shared" si="9"/>
        <v>23.331800000000001</v>
      </c>
      <c r="AA31" s="62">
        <f t="shared" si="10"/>
        <v>23.258400000000002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 t="shared" si="11"/>
        <v>0119-10</v>
      </c>
      <c r="AE31" s="85" t="str">
        <f t="shared" si="12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31" s="82" t="str">
        <f t="shared" si="13"/>
        <v>"C:\Program Files (x86)\AstroGrep\AstroGrep.exe" /spath="%USERPROFILE%\AppData\Local\Temp\OnboardLogs" /stypes="app*4007*20170210*"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119-10 --locoid 4007 --swversion DE.1.0.8.0 --startMP 204:734 --initTime 2017-02-10T05:53:58 --startdatetime 2017-02-10T06:00:12 --delay 1 --endMP 204:233318 --enddatetime 2017-02-10T06:35:41 --enforcementcount 0 &gt;&gt;C:\Users\stu\Documents\GitHub\eaglep3-reporting\EC\2017-02-10-refined-times.txt</v>
      </c>
      <c r="AI31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{"issue":{"subject":"","project_id":79,"tracker_id":40,"status_id":1,"priority_id":2,"assigned_to_id":23,"start_date":"2017-02-10","description":"","custom_fields":[{"id":1,"name":"Subdivision","value":"EC"},{"id":4,"name":"Milepost","value":"23.3318"},{"id":17,"name":"Train ID","value":"119-10"},{"id":16,"name":"Locomotive ID","value":"4007"},{"id":130,"name":"Impact","value":""},{"id":150,"name":"Time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4007 --day 2017-02-10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592</v>
      </c>
      <c r="B32" s="7">
        <v>4008</v>
      </c>
      <c r="C32" s="21" t="s">
        <v>193</v>
      </c>
      <c r="D32" s="21" t="s">
        <v>775</v>
      </c>
      <c r="E32" s="13">
        <v>42776.286724537036</v>
      </c>
      <c r="F32" s="13">
        <v>42776.289039351854</v>
      </c>
      <c r="G32" s="7">
        <v>1</v>
      </c>
      <c r="H32" s="21" t="s">
        <v>208</v>
      </c>
      <c r="I32" s="13">
        <v>42776.316053240742</v>
      </c>
      <c r="J32" s="7">
        <v>0</v>
      </c>
      <c r="K32" s="98" t="str">
        <f t="shared" si="0"/>
        <v>4007/4008</v>
      </c>
      <c r="L32" s="21" t="str">
        <f>VLOOKUP(A32,'Trips&amp;Operators'!$C$1:$G$99999,5,FALSE)</f>
        <v>ROBINSON KADDIBA</v>
      </c>
      <c r="M32" s="6">
        <f t="shared" si="1"/>
        <v>2.7013888888177462E-2</v>
      </c>
      <c r="N32" s="7">
        <f t="shared" si="2"/>
        <v>38.899999998975545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-10T05:52:53-0700',mode:absolute,to:'2017-02-10T08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2" s="188" t="str">
        <f t="shared" si="6"/>
        <v>N</v>
      </c>
      <c r="X32" s="188">
        <f t="shared" si="7"/>
        <v>1</v>
      </c>
      <c r="Y32" s="62">
        <f t="shared" si="8"/>
        <v>23.295500000000001</v>
      </c>
      <c r="Z32" s="62">
        <f t="shared" si="9"/>
        <v>1.52E-2</v>
      </c>
      <c r="AA32" s="62">
        <f t="shared" si="10"/>
        <v>23.2803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 t="shared" si="11"/>
        <v>0120-10</v>
      </c>
      <c r="AE32" s="85" t="str">
        <f t="shared" si="12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32" s="82" t="str">
        <f t="shared" si="13"/>
        <v>"C:\Program Files (x86)\AstroGrep\AstroGrep.exe" /spath="%USERPROFILE%\AppData\Local\Temp\OnboardLogs" /stypes="app*4008*20170210*"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120-10 --locoid 4008 --swversion DE.1.0.8.0 --startMP 204:232955 --initTime 2017-02-10T06:52:53 --startdatetime 2017-02-10T06:56:13 --delay 1 --endMP 204:152 --enddatetime 2017-02-10T07:35:07 --enforcementcount 0 &gt;&gt;C:\Users\stu\Documents\GitHub\eaglep3-reporting\EC\2017-02-10-refined-times.txt</v>
      </c>
      <c r="AI32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{"issue":{"subject":"","project_id":79,"tracker_id":40,"status_id":1,"priority_id":2,"assigned_to_id":23,"start_date":"2017-02-10","description":"","custom_fields":[{"id":1,"name":"Subdivision","value":"EC"},{"id":4,"name":"Milepost","value":"0.0152"},{"id":17,"name":"Train ID","value":"120-10"},{"id":16,"name":"Locomotive ID","value":"4008"},{"id":130,"name":"Impact","value":""},{"id":150,"name":"Time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4008 --day 2017-02-10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2017-02-10-UncaughtWiMAX.txt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585</v>
      </c>
      <c r="B33" s="7">
        <v>4046</v>
      </c>
      <c r="C33" s="21" t="s">
        <v>193</v>
      </c>
      <c r="D33" s="21" t="s">
        <v>235</v>
      </c>
      <c r="E33" s="13">
        <v>42776.257650462961</v>
      </c>
      <c r="F33" s="13">
        <v>42776.26059027778</v>
      </c>
      <c r="G33" s="7">
        <v>1</v>
      </c>
      <c r="H33" s="21" t="s">
        <v>354</v>
      </c>
      <c r="I33" s="13">
        <v>42776.285995370374</v>
      </c>
      <c r="J33" s="7">
        <v>0</v>
      </c>
      <c r="K33" s="98" t="str">
        <f t="shared" si="0"/>
        <v>4045/4046</v>
      </c>
      <c r="L33" s="21" t="str">
        <f>VLOOKUP(A33,'Trips&amp;Operators'!$C$1:$G$99999,5,FALSE)</f>
        <v>STARKS ANGELINA</v>
      </c>
      <c r="M33" s="6">
        <f t="shared" si="1"/>
        <v>2.5405092594155576E-2</v>
      </c>
      <c r="N33" s="7">
        <f t="shared" si="2"/>
        <v>36.58333333558403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-10T05:11:01-0700',mode:absolute,to:'2017-02-10T07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8" t="str">
        <f t="shared" si="6"/>
        <v>N</v>
      </c>
      <c r="X33" s="188">
        <f t="shared" si="7"/>
        <v>1</v>
      </c>
      <c r="Y33" s="62">
        <f t="shared" si="8"/>
        <v>4.5699999999999998E-2</v>
      </c>
      <c r="Z33" s="62">
        <f t="shared" si="9"/>
        <v>23.328700000000001</v>
      </c>
      <c r="AA33" s="62">
        <f t="shared" si="10"/>
        <v>23.283000000000001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 t="shared" si="11"/>
        <v>0121-10</v>
      </c>
      <c r="AE33" s="85" t="str">
        <f t="shared" si="12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33" s="82" t="str">
        <f t="shared" si="13"/>
        <v>"C:\Program Files (x86)\AstroGrep\AstroGrep.exe" /spath="%USERPROFILE%\AppData\Local\Temp\OnboardLogs" /stypes="app*4046*20170210*"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121-10 --locoid 4046 --swversion DE.1.0.8.0 --startMP 204:457 --initTime 2017-02-10T06:11:01 --startdatetime 2017-02-10T06:15:15 --delay 1 --endMP 204:233287 --enddatetime 2017-02-10T06:51:50 --enforcementcount 0 &gt;&gt;C:\Users\stu\Documents\GitHub\eaglep3-reporting\EC\2017-02-10-refined-times.txt</v>
      </c>
      <c r="AI33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{"issue":{"subject":"","project_id":79,"tracker_id":40,"status_id":1,"priority_id":2,"assigned_to_id":23,"start_date":"2017-02-10","description":"","custom_fields":[{"id":1,"name":"Subdivision","value":"EC"},{"id":4,"name":"Milepost","value":"23.3287"},{"id":17,"name":"Train ID","value":"121-10"},{"id":16,"name":"Locomotive ID","value":"4046"},{"id":130,"name":"Impact","value":""},{"id":150,"name":"Time of Event (Mountain Time)","value":"06:51:50"},{"id":151,"name":"Denver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4046 --day 2017-02-10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597</v>
      </c>
      <c r="B34" s="7">
        <v>4045</v>
      </c>
      <c r="C34" s="21" t="s">
        <v>193</v>
      </c>
      <c r="D34" s="21" t="s">
        <v>304</v>
      </c>
      <c r="E34" s="13">
        <v>42776.297314814816</v>
      </c>
      <c r="F34" s="13">
        <v>42776.299502314818</v>
      </c>
      <c r="G34" s="7">
        <v>1</v>
      </c>
      <c r="H34" s="21" t="s">
        <v>184</v>
      </c>
      <c r="I34" s="13">
        <v>42776.325949074075</v>
      </c>
      <c r="J34" s="7">
        <v>0</v>
      </c>
      <c r="K34" s="98" t="str">
        <f t="shared" si="0"/>
        <v>4045/4046</v>
      </c>
      <c r="L34" s="21" t="str">
        <f>VLOOKUP(A34,'Trips&amp;Operators'!$C$1:$G$99999,5,FALSE)</f>
        <v>STARKS ANGELINA</v>
      </c>
      <c r="M34" s="6">
        <f t="shared" si="1"/>
        <v>2.6446759256941732E-2</v>
      </c>
      <c r="N34" s="7">
        <f t="shared" si="2"/>
        <v>38.083333329996094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-10T06:08:08-0700',mode:absolute,to:'2017-02-10T08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8" t="str">
        <f t="shared" si="6"/>
        <v>N</v>
      </c>
      <c r="X34" s="188">
        <f t="shared" si="7"/>
        <v>1</v>
      </c>
      <c r="Y34" s="62">
        <f t="shared" si="8"/>
        <v>23.297699999999999</v>
      </c>
      <c r="Z34" s="62">
        <f t="shared" si="9"/>
        <v>1.49E-2</v>
      </c>
      <c r="AA34" s="62">
        <f t="shared" si="10"/>
        <v>23.282799999999998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 t="shared" si="11"/>
        <v>0122-10</v>
      </c>
      <c r="AE34" s="85" t="str">
        <f t="shared" si="12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34" s="82" t="str">
        <f t="shared" si="13"/>
        <v>"C:\Program Files (x86)\AstroGrep\AstroGrep.exe" /spath="%USERPROFILE%\AppData\Local\Temp\OnboardLogs" /stypes="app*4045*20170210*"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122-10 --locoid 4045 --swversion DE.1.0.8.0 --startMP 204:232977 --initTime 2017-02-10T07:08:08 --startdatetime 2017-02-10T07:11:17 --delay 1 --endMP 204:149 --enddatetime 2017-02-10T07:49:22 --enforcementcount 0 &gt;&gt;C:\Users\stu\Documents\GitHub\eaglep3-reporting\EC\2017-02-10-refined-times.txt</v>
      </c>
      <c r="AI34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{"issue":{"subject":"","project_id":79,"tracker_id":40,"status_id":1,"priority_id":2,"assigned_to_id":23,"start_date":"2017-02-10","description":"","custom_fields":[{"id":1,"name":"Subdivision","value":"EC"},{"id":4,"name":"Milepost","value":"0.0149"},{"id":17,"name":"Train ID","value":"122-10"},{"id":16,"name":"Locomotive ID","value":"4045"},{"id":130,"name":"Impact","value":""},{"id":150,"name":"Time of Event (Mountain Time)","value":"07:49:22"},{"id":151,"name":"Denver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4045 --day 2017-02-10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587</v>
      </c>
      <c r="B35" s="7">
        <v>4020</v>
      </c>
      <c r="C35" s="21" t="s">
        <v>193</v>
      </c>
      <c r="D35" s="21" t="s">
        <v>315</v>
      </c>
      <c r="E35" s="13">
        <v>42776.266898148147</v>
      </c>
      <c r="F35" s="13">
        <v>42776.271099537036</v>
      </c>
      <c r="G35" s="7">
        <v>2</v>
      </c>
      <c r="H35" s="21" t="s">
        <v>501</v>
      </c>
      <c r="I35" s="13">
        <v>42776.295891203707</v>
      </c>
      <c r="J35" s="7">
        <v>0</v>
      </c>
      <c r="K35" s="98" t="str">
        <f t="shared" si="0"/>
        <v>4019/4020</v>
      </c>
      <c r="L35" s="21" t="str">
        <f>VLOOKUP(A35,'Trips&amp;Operators'!$C$1:$G$99999,5,FALSE)</f>
        <v>LOZA FIDEL</v>
      </c>
      <c r="M35" s="6">
        <f t="shared" si="1"/>
        <v>2.4791666670353152E-2</v>
      </c>
      <c r="N35" s="7">
        <f t="shared" si="2"/>
        <v>35.700000005308539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-10T05:24:20-0700',mode:absolute,to:'2017-02-10T08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8" t="str">
        <f t="shared" si="6"/>
        <v>N</v>
      </c>
      <c r="X35" s="188">
        <f t="shared" si="7"/>
        <v>1</v>
      </c>
      <c r="Y35" s="62">
        <f t="shared" si="8"/>
        <v>4.4200000000000003E-2</v>
      </c>
      <c r="Z35" s="62">
        <f t="shared" si="9"/>
        <v>23.330100000000002</v>
      </c>
      <c r="AA35" s="62">
        <f t="shared" si="10"/>
        <v>23.285900000000002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 t="shared" si="11"/>
        <v>0123-10</v>
      </c>
      <c r="AE35" s="85" t="str">
        <f t="shared" si="12"/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35" s="82" t="str">
        <f t="shared" si="13"/>
        <v>"C:\Program Files (x86)\AstroGrep\AstroGrep.exe" /spath="%USERPROFILE%\AppData\Local\Temp\OnboardLogs" /stypes="app*4020*20170210*"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123-10 --locoid 4020 --swversion DE.1.0.8.0 --startMP 204:442 --initTime 2017-02-10T06:24:20 --startdatetime 2017-02-10T06:30:23 --delay 2 --endMP 204:233301 --enddatetime 2017-02-10T07:06:05 --enforcementcount 0 &gt;&gt;C:\Users\stu\Documents\GitHub\eaglep3-reporting\EC\2017-02-10-refined-times.txt</v>
      </c>
      <c r="AI3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{"issue":{"subject":"","project_id":79,"tracker_id":40,"status_id":1,"priority_id":2,"assigned_to_id":23,"start_date":"2017-02-10","description":"","custom_fields":[{"id":1,"name":"Subdivision","value":"EC"},{"id":4,"name":"Milepost","value":"23.3301"},{"id":17,"name":"Train ID","value":"123-10"},{"id":16,"name":"Locomotive ID","value":"4020"},{"id":130,"name":"Impact","value":""},{"id":150,"name":"Time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4020 --day 2017-02-10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2017-02-10-UncaughtWiMAX.txt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599</v>
      </c>
      <c r="B36" s="7">
        <v>4019</v>
      </c>
      <c r="C36" s="21" t="s">
        <v>193</v>
      </c>
      <c r="D36" s="21" t="s">
        <v>312</v>
      </c>
      <c r="E36" s="13">
        <v>42776.307974537034</v>
      </c>
      <c r="F36" s="13">
        <v>42776.310011574074</v>
      </c>
      <c r="G36" s="7">
        <v>1</v>
      </c>
      <c r="H36" s="21" t="s">
        <v>494</v>
      </c>
      <c r="I36" s="13">
        <v>42776.336168981485</v>
      </c>
      <c r="J36" s="7">
        <v>0</v>
      </c>
      <c r="K36" s="98" t="str">
        <f t="shared" si="0"/>
        <v>4019/4020</v>
      </c>
      <c r="L36" s="21" t="str">
        <f>VLOOKUP(A36,'Trips&amp;Operators'!$C$1:$G$99999,5,FALSE)</f>
        <v>LOZA FIDEL</v>
      </c>
      <c r="M36" s="6">
        <f t="shared" si="1"/>
        <v>2.6157407410209998E-2</v>
      </c>
      <c r="N36" s="7">
        <f t="shared" si="2"/>
        <v>37.666666670702398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-10T06:23:29-0700',mode:absolute,to:'2017-02-10T09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8" t="str">
        <f t="shared" si="6"/>
        <v>N</v>
      </c>
      <c r="X36" s="188">
        <f t="shared" si="7"/>
        <v>1</v>
      </c>
      <c r="Y36" s="62">
        <f t="shared" si="8"/>
        <v>23.297799999999999</v>
      </c>
      <c r="Z36" s="62">
        <f t="shared" si="9"/>
        <v>1.5599999999999999E-2</v>
      </c>
      <c r="AA36" s="62">
        <f t="shared" si="10"/>
        <v>23.2822</v>
      </c>
      <c r="AB36" s="59" t="e">
        <f>VLOOKUP(A36,Enforcements!$C$7:$K$14,8,0)</f>
        <v>#N/A</v>
      </c>
      <c r="AC36" s="55" t="e">
        <f>VLOOKUP(A36,Enforcements!$C$7:$E$14,3,0)</f>
        <v>#N/A</v>
      </c>
      <c r="AD36" s="56" t="str">
        <f t="shared" si="11"/>
        <v>0124-10</v>
      </c>
      <c r="AE36" s="85" t="str">
        <f t="shared" si="12"/>
        <v>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 &amp; 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</v>
      </c>
      <c r="AF36" s="82" t="str">
        <f t="shared" si="13"/>
        <v>"C:\Program Files (x86)\AstroGrep\AstroGrep.exe" /spath="%USERPROFILE%\AppData\Local\Temp\OnboardLogs" /stypes="app*4019*20170210*"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124-10 --locoid 4019 --swversion DE.1.0.8.0 --startMP 204:232978 --initTime 2017-02-10T07:23:29 --startdatetime 2017-02-10T07:26:25 --delay 1 --endMP 204:156 --enddatetime 2017-02-10T08:04:05 --enforcementcount 0 &gt;&gt;C:\Users\stu\Documents\GitHub\eaglep3-reporting\EC\2017-02-10-refined-times.txt</v>
      </c>
      <c r="AI3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{"issue":{"subject":"","project_id":79,"tracker_id":40,"status_id":1,"priority_id":2,"assigned_to_id":23,"start_date":"2017-02-10","description":"","custom_fields":[{"id":1,"name":"Subdivision","value":"EC"},{"id":4,"name":"Milepost","value":"0.0156"},{"id":17,"name":"Train ID","value":"124-10"},{"id":16,"name":"Locomotive ID","value":"4019"},{"id":130,"name":"Impact","value":""},{"id":150,"name":"Time of Event (Mountain Time)","value":"08:04:05"},{"id":151,"name":"Denver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4019 --day 2017-02-10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2017-02-10-UncaughtWiMAX.txt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591</v>
      </c>
      <c r="B37" s="7">
        <v>4038</v>
      </c>
      <c r="C37" s="21" t="s">
        <v>193</v>
      </c>
      <c r="D37" s="21" t="s">
        <v>218</v>
      </c>
      <c r="E37" s="13">
        <v>42776.277268518519</v>
      </c>
      <c r="F37" s="13">
        <v>42776.281446759262</v>
      </c>
      <c r="G37" s="7">
        <v>1</v>
      </c>
      <c r="H37" s="21" t="s">
        <v>776</v>
      </c>
      <c r="I37" s="13">
        <v>42776.307488425926</v>
      </c>
      <c r="J37" s="7">
        <v>0</v>
      </c>
      <c r="K37" s="98" t="str">
        <f t="shared" si="0"/>
        <v>4037/4038</v>
      </c>
      <c r="L37" s="21" t="str">
        <f>VLOOKUP(A37,'Trips&amp;Operators'!$C$1:$G$99999,5,FALSE)</f>
        <v>BONDS REYNALDO</v>
      </c>
      <c r="M37" s="6">
        <f t="shared" si="1"/>
        <v>2.6041666664241347E-2</v>
      </c>
      <c r="N37" s="7">
        <f t="shared" si="2"/>
        <v>37.49999999650754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-10T05:39:16-0700',mode:absolute,to:'2017-02-10T08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7" s="188" t="str">
        <f t="shared" si="6"/>
        <v>N</v>
      </c>
      <c r="X37" s="188">
        <f t="shared" si="7"/>
        <v>1</v>
      </c>
      <c r="Y37" s="62">
        <f t="shared" si="8"/>
        <v>4.6899999999999997E-2</v>
      </c>
      <c r="Z37" s="62">
        <f t="shared" si="9"/>
        <v>23.329799999999999</v>
      </c>
      <c r="AA37" s="62">
        <f t="shared" si="10"/>
        <v>23.282899999999998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 t="shared" si="11"/>
        <v>0125-10</v>
      </c>
      <c r="AE37" s="85" t="str">
        <f t="shared" si="12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37" s="82" t="str">
        <f t="shared" si="13"/>
        <v>"C:\Program Files (x86)\AstroGrep\AstroGrep.exe" /spath="%USERPROFILE%\AppData\Local\Temp\OnboardLogs" /stypes="app*4038*20170210*"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125-10 --locoid 4038 --swversion DE.1.0.8.0 --startMP 204:469 --initTime 2017-02-10T06:39:16 --startdatetime 2017-02-10T06:45:17 --delay 1 --endMP 204:233298 --enddatetime 2017-02-10T07:22:47 --enforcementcount 0 &gt;&gt;C:\Users\stu\Documents\GitHub\eaglep3-reporting\EC\2017-02-10-refined-times.txt</v>
      </c>
      <c r="AI37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{"issue":{"subject":"","project_id":79,"tracker_id":40,"status_id":1,"priority_id":2,"assigned_to_id":23,"start_date":"2017-02-10","description":"","custom_fields":[{"id":1,"name":"Subdivision","value":"EC"},{"id":4,"name":"Milepost","value":"23.3298"},{"id":17,"name":"Train ID","value":"125-10"},{"id":16,"name":"Locomotive ID","value":"4038"},{"id":130,"name":"Impact","value":""},{"id":150,"name":"Time of Event (Mountain Time)","value":"07:22:47"},{"id":151,"name":"Denver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4038 --day 2017-02-10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601</v>
      </c>
      <c r="B38" s="7">
        <v>4037</v>
      </c>
      <c r="C38" s="21" t="s">
        <v>193</v>
      </c>
      <c r="D38" s="21" t="s">
        <v>298</v>
      </c>
      <c r="E38" s="13">
        <v>42776.31490740741</v>
      </c>
      <c r="F38" s="13">
        <v>42776.320335648146</v>
      </c>
      <c r="G38" s="7">
        <v>1</v>
      </c>
      <c r="H38" s="21" t="s">
        <v>351</v>
      </c>
      <c r="I38" s="13">
        <v>42776.347453703704</v>
      </c>
      <c r="J38" s="7">
        <v>0</v>
      </c>
      <c r="K38" s="98" t="str">
        <f t="shared" si="0"/>
        <v>4037/4038</v>
      </c>
      <c r="L38" s="21" t="str">
        <f>VLOOKUP(A38,'Trips&amp;Operators'!$C$1:$G$99999,5,FALSE)</f>
        <v>BONDS REYNALDO</v>
      </c>
      <c r="M38" s="6">
        <f t="shared" si="1"/>
        <v>2.7118055557366461E-2</v>
      </c>
      <c r="N38" s="7">
        <f t="shared" si="2"/>
        <v>39.050000002607703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-10T06:33:28-0700',mode:absolute,to:'2017-02-10T09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38" s="188" t="str">
        <f t="shared" si="6"/>
        <v>N</v>
      </c>
      <c r="X38" s="188">
        <f t="shared" si="7"/>
        <v>1</v>
      </c>
      <c r="Y38" s="62">
        <f t="shared" si="8"/>
        <v>23.297599999999999</v>
      </c>
      <c r="Z38" s="62">
        <f t="shared" si="9"/>
        <v>1.41E-2</v>
      </c>
      <c r="AA38" s="62">
        <f t="shared" si="10"/>
        <v>23.2835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 t="shared" si="11"/>
        <v>0126-10</v>
      </c>
      <c r="AE38" s="85" t="str">
        <f t="shared" si="12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38" s="82" t="str">
        <f t="shared" si="13"/>
        <v>"C:\Program Files (x86)\AstroGrep\AstroGrep.exe" /spath="%USERPROFILE%\AppData\Local\Temp\OnboardLogs" /stypes="app*4037*20170210*"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126-10 --locoid 4037 --swversion DE.1.0.8.0 --startMP 204:232976 --initTime 2017-02-10T07:33:28 --startdatetime 2017-02-10T07:41:17 --delay 1 --endMP 204:141 --enddatetime 2017-02-10T08:20:20 --enforcementcount 0 &gt;&gt;C:\Users\stu\Documents\GitHub\eaglep3-reporting\EC\2017-02-10-refined-times.txt</v>
      </c>
      <c r="AI38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{"issue":{"subject":"","project_id":79,"tracker_id":40,"status_id":1,"priority_id":2,"assigned_to_id":23,"start_date":"2017-02-10","description":"","custom_fields":[{"id":1,"name":"Subdivision","value":"EC"},{"id":4,"name":"Milepost","value":"0.0141"},{"id":17,"name":"Train ID","value":"126-10"},{"id":16,"name":"Locomotive ID","value":"4037"},{"id":130,"name":"Impact","value":""},{"id":150,"name":"Time of Event (Mountain Time)","value":"08:20:20"},{"id":151,"name":"Denver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4037 --day 2017-02-10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593</v>
      </c>
      <c r="B39" s="7">
        <v>4027</v>
      </c>
      <c r="C39" s="21" t="s">
        <v>193</v>
      </c>
      <c r="D39" s="21" t="s">
        <v>465</v>
      </c>
      <c r="E39" s="13">
        <v>42776.287928240738</v>
      </c>
      <c r="F39" s="13">
        <v>42776.29184027778</v>
      </c>
      <c r="G39" s="7">
        <v>1</v>
      </c>
      <c r="H39" s="21" t="s">
        <v>314</v>
      </c>
      <c r="I39" s="13">
        <v>42776.316851851851</v>
      </c>
      <c r="J39" s="7">
        <v>0</v>
      </c>
      <c r="K39" s="98" t="str">
        <f t="shared" si="0"/>
        <v>4027/4028</v>
      </c>
      <c r="L39" s="21" t="str">
        <f>VLOOKUP(A39,'Trips&amp;Operators'!$C$1:$G$99999,5,FALSE)</f>
        <v>BADERTSCHER DIANE</v>
      </c>
      <c r="M39" s="6">
        <f t="shared" si="1"/>
        <v>2.5011574070958886E-2</v>
      </c>
      <c r="N39" s="7">
        <f t="shared" si="2"/>
        <v>36.016666662180796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-10T05:54:37-0700',mode:absolute,to:'2017-02-10T08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188" t="str">
        <f t="shared" si="6"/>
        <v>N</v>
      </c>
      <c r="X39" s="188">
        <f t="shared" si="7"/>
        <v>1</v>
      </c>
      <c r="Y39" s="62">
        <f t="shared" si="8"/>
        <v>4.7500000000000001E-2</v>
      </c>
      <c r="Z39" s="62">
        <f t="shared" si="9"/>
        <v>23.3293</v>
      </c>
      <c r="AA39" s="62">
        <f t="shared" si="10"/>
        <v>23.2818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 t="shared" si="11"/>
        <v>0127-10</v>
      </c>
      <c r="AE39" s="85" t="str">
        <f t="shared" si="12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39" s="82" t="str">
        <f t="shared" si="13"/>
        <v>"C:\Program Files (x86)\AstroGrep\AstroGrep.exe" /spath="%USERPROFILE%\AppData\Local\Temp\OnboardLogs" /stypes="app*4027*20170210*"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127-10 --locoid 4027 --swversion DE.1.0.8.0 --startMP 204:475 --initTime 2017-02-10T06:54:37 --startdatetime 2017-02-10T07:00:15 --delay 1 --endMP 204:233293 --enddatetime 2017-02-10T07:36:16 --enforcementcount 0 &gt;&gt;C:\Users\stu\Documents\GitHub\eaglep3-reporting\EC\2017-02-10-refined-times.txt</v>
      </c>
      <c r="AI39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{"issue":{"subject":"","project_id":79,"tracker_id":40,"status_id":1,"priority_id":2,"assigned_to_id":23,"start_date":"2017-02-10","description":"","custom_fields":[{"id":1,"name":"Subdivision","value":"EC"},{"id":4,"name":"Milepost","value":"23.3293"},{"id":17,"name":"Train ID","value":"127-10"},{"id":16,"name":"Locomotive ID","value":"4027"},{"id":130,"name":"Impact","value":""},{"id":150,"name":"Time of Event (Mountain Time)","value":"07:36:16"},{"id":151,"name":"Denver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4027 --day 2017-02-10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604</v>
      </c>
      <c r="B40" s="7">
        <v>4028</v>
      </c>
      <c r="C40" s="21" t="s">
        <v>193</v>
      </c>
      <c r="D40" s="21" t="s">
        <v>498</v>
      </c>
      <c r="E40" s="13">
        <v>42776.322384259256</v>
      </c>
      <c r="F40" s="13">
        <v>42776.330752314818</v>
      </c>
      <c r="G40" s="7">
        <v>1</v>
      </c>
      <c r="H40" s="21" t="s">
        <v>771</v>
      </c>
      <c r="I40" s="13">
        <v>42776.358206018522</v>
      </c>
      <c r="J40" s="7">
        <v>0</v>
      </c>
      <c r="K40" s="98" t="str">
        <f t="shared" si="0"/>
        <v>4027/4028</v>
      </c>
      <c r="L40" s="21" t="str">
        <f>VLOOKUP(A40,'Trips&amp;Operators'!$C$1:$G$99999,5,FALSE)</f>
        <v>BADERTSCHER DIANE</v>
      </c>
      <c r="M40" s="6">
        <f t="shared" si="1"/>
        <v>2.7453703703940846E-2</v>
      </c>
      <c r="N40" s="7">
        <f t="shared" si="2"/>
        <v>39.533333333674818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-10T06:44:14-0700',mode:absolute,to:'2017-02-10T09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0" s="188" t="str">
        <f t="shared" si="6"/>
        <v>N</v>
      </c>
      <c r="X40" s="188">
        <f t="shared" si="7"/>
        <v>1</v>
      </c>
      <c r="Y40" s="62">
        <f t="shared" si="8"/>
        <v>23.296500000000002</v>
      </c>
      <c r="Z40" s="62">
        <f t="shared" si="9"/>
        <v>1.7000000000000001E-2</v>
      </c>
      <c r="AA40" s="62">
        <f t="shared" si="10"/>
        <v>23.279500000000002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 t="shared" si="11"/>
        <v>0128-10</v>
      </c>
      <c r="AE40" s="85" t="str">
        <f t="shared" si="12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40" s="82" t="str">
        <f t="shared" si="13"/>
        <v>"C:\Program Files (x86)\AstroGrep\AstroGrep.exe" /spath="%USERPROFILE%\AppData\Local\Temp\OnboardLogs" /stypes="app*4028*20170210*"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128-10 --locoid 4028 --swversion DE.1.0.8.0 --startMP 204:232965 --initTime 2017-02-10T07:44:14 --startdatetime 2017-02-10T07:56:17 --delay 1 --endMP 204:170 --enddatetime 2017-02-10T08:35:49 --enforcementcount 0 &gt;&gt;C:\Users\stu\Documents\GitHub\eaglep3-reporting\EC\2017-02-10-refined-times.txt</v>
      </c>
      <c r="AI40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{"issue":{"subject":"","project_id":79,"tracker_id":40,"status_id":1,"priority_id":2,"assigned_to_id":23,"start_date":"2017-02-10","description":"","custom_fields":[{"id":1,"name":"Subdivision","value":"EC"},{"id":4,"name":"Milepost","value":"0.017"},{"id":17,"name":"Train ID","value":"128-10"},{"id":16,"name":"Locomotive ID","value":"4028"},{"id":130,"name":"Impact","value":""},{"id":150,"name":"Time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4028 --day 2017-02-10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595</v>
      </c>
      <c r="B41" s="7">
        <v>4009</v>
      </c>
      <c r="C41" s="21" t="s">
        <v>193</v>
      </c>
      <c r="D41" s="21" t="s">
        <v>234</v>
      </c>
      <c r="E41" s="13">
        <v>42776.296388888892</v>
      </c>
      <c r="F41" s="13">
        <v>42776.302268518521</v>
      </c>
      <c r="G41" s="7">
        <v>1</v>
      </c>
      <c r="H41" s="21" t="s">
        <v>336</v>
      </c>
      <c r="I41" s="13">
        <v>42776.327094907407</v>
      </c>
      <c r="J41" s="7">
        <v>0</v>
      </c>
      <c r="K41" s="98" t="str">
        <f t="shared" si="0"/>
        <v>4009/4010</v>
      </c>
      <c r="L41" s="21" t="str">
        <f>VLOOKUP(A41,'Trips&amp;Operators'!$C$1:$G$99999,5,FALSE)</f>
        <v>ROCHA YAOTL</v>
      </c>
      <c r="M41" s="6">
        <f t="shared" si="1"/>
        <v>2.4826388886140194E-2</v>
      </c>
      <c r="N41" s="7">
        <f t="shared" si="2"/>
        <v>35.749999996041879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-10T06:06:48-0700',mode:absolute,to:'2017-02-10T08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1" s="188" t="str">
        <f t="shared" si="6"/>
        <v>N</v>
      </c>
      <c r="X41" s="188">
        <f t="shared" si="7"/>
        <v>1</v>
      </c>
      <c r="Y41" s="62">
        <f t="shared" si="8"/>
        <v>4.5100000000000001E-2</v>
      </c>
      <c r="Z41" s="62">
        <f t="shared" si="9"/>
        <v>23.329699999999999</v>
      </c>
      <c r="AA41" s="62">
        <f t="shared" si="10"/>
        <v>23.284599999999998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 t="shared" si="11"/>
        <v>0129-10</v>
      </c>
      <c r="AE41" s="85" t="str">
        <f t="shared" si="12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41" s="82" t="str">
        <f t="shared" si="13"/>
        <v>"C:\Program Files (x86)\AstroGrep\AstroGrep.exe" /spath="%USERPROFILE%\AppData\Local\Temp\OnboardLogs" /stypes="app*4009*20170210*"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129-10 --locoid 4009 --swversion DE.1.0.8.0 --startMP 204:451 --initTime 2017-02-10T07:06:48 --startdatetime 2017-02-10T07:15:16 --delay 1 --endMP 204:233297 --enddatetime 2017-02-10T07:51:01 --enforcementcount 0 &gt;&gt;C:\Users\stu\Documents\GitHub\eaglep3-reporting\EC\2017-02-10-refined-times.txt</v>
      </c>
      <c r="AI41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{"issue":{"subject":"","project_id":79,"tracker_id":40,"status_id":1,"priority_id":2,"assigned_to_id":23,"start_date":"2017-02-10","description":"","custom_fields":[{"id":1,"name":"Subdivision","value":"EC"},{"id":4,"name":"Milepost","value":"23.3297"},{"id":17,"name":"Train ID","value":"129-10"},{"id":16,"name":"Locomotive ID","value":"4009"},{"id":130,"name":"Impact","value":""},{"id":150,"name":"Time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4009 --day 2017-02-10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607</v>
      </c>
      <c r="B42" s="7">
        <v>4010</v>
      </c>
      <c r="C42" s="21" t="s">
        <v>193</v>
      </c>
      <c r="D42" s="21" t="s">
        <v>777</v>
      </c>
      <c r="E42" s="13">
        <v>42776.340266203704</v>
      </c>
      <c r="F42" s="13">
        <v>42776.341446759259</v>
      </c>
      <c r="G42" s="7">
        <v>0</v>
      </c>
      <c r="H42" s="21" t="s">
        <v>510</v>
      </c>
      <c r="I42" s="13">
        <v>42776.366643518515</v>
      </c>
      <c r="J42" s="7">
        <v>0</v>
      </c>
      <c r="K42" s="98" t="str">
        <f t="shared" si="0"/>
        <v>4009/4010</v>
      </c>
      <c r="L42" s="21" t="str">
        <f>VLOOKUP(A42,'Trips&amp;Operators'!$C$1:$G$99999,5,FALSE)</f>
        <v>ROCHA YAOTL</v>
      </c>
      <c r="M42" s="6">
        <f t="shared" si="1"/>
        <v>2.5196759255777579E-2</v>
      </c>
      <c r="N42" s="7">
        <f t="shared" si="2"/>
        <v>36.283333328319713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-10T07:09:59-0700',mode:absolute,to:'2017-02-10T09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188" t="str">
        <f t="shared" si="6"/>
        <v>N</v>
      </c>
      <c r="X42" s="188">
        <f t="shared" si="7"/>
        <v>1</v>
      </c>
      <c r="Y42" s="62">
        <f t="shared" si="8"/>
        <v>23.297899999999998</v>
      </c>
      <c r="Z42" s="62">
        <f t="shared" si="9"/>
        <v>1.47E-2</v>
      </c>
      <c r="AA42" s="62">
        <f t="shared" si="10"/>
        <v>23.283199999999997</v>
      </c>
      <c r="AB42" s="59" t="e">
        <f>VLOOKUP(A42,Enforcements!$C$7:$K$14,8,0)</f>
        <v>#N/A</v>
      </c>
      <c r="AC42" s="55" t="e">
        <f>VLOOKUP(A42,Enforcements!$C$7:$E$14,3,0)</f>
        <v>#N/A</v>
      </c>
      <c r="AD42" s="56" t="str">
        <f t="shared" si="11"/>
        <v>0130-10</v>
      </c>
      <c r="AE42" s="85" t="str">
        <f t="shared" si="12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42" s="82" t="str">
        <f t="shared" si="13"/>
        <v>"C:\Program Files (x86)\AstroGrep\AstroGrep.exe" /spath="%USERPROFILE%\AppData\Local\Temp\OnboardLogs" /stypes="app*4010*20170210*"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130-10 --locoid 4010 --swversion DE.1.0.8.0 --startMP 204:232979 --initTime 2017-02-10T08:09:59 --startdatetime 2017-02-10T08:11:41 --delay 0 --endMP 204:147 --enddatetime 2017-02-10T08:47:58 --enforcementcount 0 &gt;&gt;C:\Users\stu\Documents\GitHub\eaglep3-reporting\EC\2017-02-10-refined-times.txt</v>
      </c>
      <c r="AI42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{"issue":{"subject":"","project_id":79,"tracker_id":40,"status_id":1,"priority_id":2,"assigned_to_id":23,"start_date":"2017-02-10","description":"","custom_fields":[{"id":1,"name":"Subdivision","value":"EC"},{"id":4,"name":"Milepost","value":"0.0147"},{"id":17,"name":"Train ID","value":"130-10"},{"id":16,"name":"Locomotive ID","value":"4010"},{"id":130,"name":"Impact","value":""},{"id":150,"name":"Time of Event (Mountain Time)","value":"08:47:58"},{"id":151,"name":"Denver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4010 --day 2017-02-10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2017-02-10-UncaughtWiMAX.txt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598</v>
      </c>
      <c r="B43" s="7">
        <v>4018</v>
      </c>
      <c r="C43" s="21" t="s">
        <v>193</v>
      </c>
      <c r="D43" s="21" t="s">
        <v>375</v>
      </c>
      <c r="E43" s="13">
        <v>42776.307800925926</v>
      </c>
      <c r="F43" s="13">
        <v>42776.312650462962</v>
      </c>
      <c r="G43" s="7">
        <v>1</v>
      </c>
      <c r="H43" s="21" t="s">
        <v>778</v>
      </c>
      <c r="I43" s="13">
        <v>42776.337314814817</v>
      </c>
      <c r="J43" s="7">
        <v>0</v>
      </c>
      <c r="K43" s="98" t="str">
        <f t="shared" si="0"/>
        <v>4017/4018</v>
      </c>
      <c r="L43" s="21" t="str">
        <f>VLOOKUP(A43,'Trips&amp;Operators'!$C$1:$G$99999,5,FALSE)</f>
        <v>DAVIS WENDY</v>
      </c>
      <c r="M43" s="6">
        <f t="shared" si="1"/>
        <v>2.4664351854880806E-2</v>
      </c>
      <c r="N43" s="7">
        <f t="shared" si="2"/>
        <v>35.516666671028361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-10T06:23:14-0700',mode:absolute,to:'2017-02-10T09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8" t="str">
        <f t="shared" si="6"/>
        <v>N</v>
      </c>
      <c r="X43" s="188">
        <f t="shared" si="7"/>
        <v>1</v>
      </c>
      <c r="Y43" s="62">
        <f t="shared" si="8"/>
        <v>4.3999999999999997E-2</v>
      </c>
      <c r="Z43" s="62">
        <f t="shared" si="9"/>
        <v>23.3307</v>
      </c>
      <c r="AA43" s="62">
        <f t="shared" si="10"/>
        <v>23.2867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 t="shared" si="11"/>
        <v>0131-10</v>
      </c>
      <c r="AE43" s="85" t="str">
        <f t="shared" si="12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43" s="82" t="str">
        <f t="shared" si="13"/>
        <v>"C:\Program Files (x86)\AstroGrep\AstroGrep.exe" /spath="%USERPROFILE%\AppData\Local\Temp\OnboardLogs" /stypes="app*4018*20170210*"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131-10 --locoid 4018 --swversion DE.1.0.8.0 --startMP 204:440 --initTime 2017-02-10T07:23:14 --startdatetime 2017-02-10T07:30:13 --delay 1 --endMP 204:233307 --enddatetime 2017-02-10T08:05:44 --enforcementcount 0 &gt;&gt;C:\Users\stu\Documents\GitHub\eaglep3-reporting\EC\2017-02-10-refined-times.txt</v>
      </c>
      <c r="AI43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{"issue":{"subject":"","project_id":79,"tracker_id":40,"status_id":1,"priority_id":2,"assigned_to_id":23,"start_date":"2017-02-10","description":"","custom_fields":[{"id":1,"name":"Subdivision","value":"EC"},{"id":4,"name":"Milepost","value":"23.3307"},{"id":17,"name":"Train ID","value":"131-10"},{"id":16,"name":"Locomotive ID","value":"4018"},{"id":130,"name":"Impact","value":""},{"id":150,"name":"Time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4018 --day 2017-02-10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609</v>
      </c>
      <c r="B44" s="7">
        <v>4017</v>
      </c>
      <c r="C44" s="21" t="s">
        <v>193</v>
      </c>
      <c r="D44" s="21" t="s">
        <v>373</v>
      </c>
      <c r="E44" s="13">
        <v>42776.348819444444</v>
      </c>
      <c r="F44" s="13">
        <v>42776.351585648146</v>
      </c>
      <c r="G44" s="7">
        <v>1</v>
      </c>
      <c r="H44" s="21" t="s">
        <v>493</v>
      </c>
      <c r="I44" s="13">
        <v>42776.379328703704</v>
      </c>
      <c r="J44" s="7">
        <v>0</v>
      </c>
      <c r="K44" s="98" t="str">
        <f t="shared" si="0"/>
        <v>4017/4018</v>
      </c>
      <c r="L44" s="21" t="str">
        <f>VLOOKUP(A44,'Trips&amp;Operators'!$C$1:$G$99999,5,FALSE)</f>
        <v>DAVIS WENDY</v>
      </c>
      <c r="M44" s="6">
        <f t="shared" si="1"/>
        <v>2.7743055557948537E-2</v>
      </c>
      <c r="N44" s="7">
        <f t="shared" si="2"/>
        <v>39.950000003445894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-10T07:22:18-0700',mode:absolute,to:'2017-02-10T10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8" t="str">
        <f t="shared" si="6"/>
        <v>N</v>
      </c>
      <c r="X44" s="188">
        <f t="shared" si="7"/>
        <v>1</v>
      </c>
      <c r="Y44" s="62">
        <f t="shared" si="8"/>
        <v>23.297999999999998</v>
      </c>
      <c r="Z44" s="62">
        <f t="shared" si="9"/>
        <v>1.29E-2</v>
      </c>
      <c r="AA44" s="62">
        <f t="shared" si="10"/>
        <v>23.2851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 t="shared" si="11"/>
        <v>0132-10</v>
      </c>
      <c r="AE44" s="85" t="str">
        <f t="shared" si="12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44" s="82" t="str">
        <f t="shared" si="13"/>
        <v>"C:\Program Files (x86)\AstroGrep\AstroGrep.exe" /spath="%USERPROFILE%\AppData\Local\Temp\OnboardLogs" /stypes="app*4017*20170210*"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132-10 --locoid 4017 --swversion DE.1.0.8.0 --startMP 204:232980 --initTime 2017-02-10T08:22:18 --startdatetime 2017-02-10T08:26:17 --delay 1 --endMP 204:129 --enddatetime 2017-02-10T09:06:14 --enforcementcount 0 &gt;&gt;C:\Users\stu\Documents\GitHub\eaglep3-reporting\EC\2017-02-10-refined-times.txt</v>
      </c>
      <c r="AI44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{"issue":{"subject":"","project_id":79,"tracker_id":40,"status_id":1,"priority_id":2,"assigned_to_id":23,"start_date":"2017-02-10","description":"","custom_fields":[{"id":1,"name":"Subdivision","value":"EC"},{"id":4,"name":"Milepost","value":"0.0129"},{"id":17,"name":"Train ID","value":"132-10"},{"id":16,"name":"Locomotive ID","value":"4017"},{"id":130,"name":"Impact","value":""},{"id":150,"name":"Time of Event (Mountain Time)","value":"09:06:14"},{"id":151,"name":"Denver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4017 --day 2017-02-10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603</v>
      </c>
      <c r="B45" s="7">
        <v>4007</v>
      </c>
      <c r="C45" s="21" t="s">
        <v>193</v>
      </c>
      <c r="D45" s="21" t="s">
        <v>234</v>
      </c>
      <c r="E45" s="13">
        <v>42776.31858796296</v>
      </c>
      <c r="F45" s="13">
        <v>42776.32309027778</v>
      </c>
      <c r="G45" s="7">
        <v>1</v>
      </c>
      <c r="H45" s="21" t="s">
        <v>339</v>
      </c>
      <c r="I45" s="13">
        <v>42776.348124999997</v>
      </c>
      <c r="J45" s="7">
        <v>0</v>
      </c>
      <c r="K45" s="98" t="str">
        <f t="shared" si="0"/>
        <v>4007/4008</v>
      </c>
      <c r="L45" s="21" t="str">
        <f>VLOOKUP(A45,'Trips&amp;Operators'!$C$1:$G$99999,5,FALSE)</f>
        <v>ROBINSON KADDIBA</v>
      </c>
      <c r="M45" s="6">
        <f t="shared" si="1"/>
        <v>2.5034722217242233E-2</v>
      </c>
      <c r="N45" s="7">
        <f t="shared" si="2"/>
        <v>36.049999992828816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5"/>
        <v>https://d0f6bd738d7f1b3e5a7ca70fe4ff75f0.us-east-1.aws.found.io/app/kibana#/discover/Steve-Slow-Train-Analysis-(2080s-and-2083s)?_g=(refreshInterval:(display:Off,pause:!f,section:0,value:0),time:(from:'2017-02-10T06:38:46-0700',mode:absolute,to:'2017-02-10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188" t="str">
        <f t="shared" ref="W45:W80" si="21">IF(AA45&lt;IF(AG45="EC",23,5.65),"Y","N")</f>
        <v>N</v>
      </c>
      <c r="X45" s="188">
        <f t="shared" ref="X45:X80" si="22">VALUE(LEFT(AD45,4))-VALUE(LEFT(AD44,4))</f>
        <v>1</v>
      </c>
      <c r="Y45" s="62">
        <f t="shared" si="8"/>
        <v>4.5100000000000001E-2</v>
      </c>
      <c r="Z45" s="62">
        <f t="shared" si="9"/>
        <v>23.329499999999999</v>
      </c>
      <c r="AA45" s="62">
        <f t="shared" si="10"/>
        <v>23.284399999999998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 t="shared" si="11"/>
        <v>0133-10</v>
      </c>
      <c r="AE45" s="85" t="str">
        <f t="shared" si="12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45" s="82" t="str">
        <f t="shared" si="13"/>
        <v>"C:\Program Files (x86)\AstroGrep\AstroGrep.exe" /spath="%USERPROFILE%\AppData\Local\Temp\OnboardLogs" /stypes="app*4007*20170210*"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133-10 --locoid 4007 --swversion DE.1.0.8.0 --startMP 204:451 --initTime 2017-02-10T07:38:46 --startdatetime 2017-02-10T07:45:15 --delay 1 --endMP 204:233295 --enddatetime 2017-02-10T08:21:18 --enforcementcount 0 &gt;&gt;C:\Users\stu\Documents\GitHub\eaglep3-reporting\EC\2017-02-10-refined-times.txt</v>
      </c>
      <c r="AI4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{"issue":{"subject":"","project_id":79,"tracker_id":40,"status_id":1,"priority_id":2,"assigned_to_id":23,"start_date":"2017-02-10","description":"","custom_fields":[{"id":1,"name":"Subdivision","value":"EC"},{"id":4,"name":"Milepost","value":"23.3295"},{"id":17,"name":"Train ID","value":"133-10"},{"id":16,"name":"Locomotive ID","value":"4007"},{"id":130,"name":"Impact","value":""},{"id":150,"name":"Time of Event (Mountain Time)","value":"08:21:18"},{"id":151,"name":"Denver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4007 --day 2017-02-10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612</v>
      </c>
      <c r="B46" s="7">
        <v>4008</v>
      </c>
      <c r="C46" s="21" t="s">
        <v>193</v>
      </c>
      <c r="D46" s="21" t="s">
        <v>496</v>
      </c>
      <c r="E46" s="13">
        <v>42776.358275462961</v>
      </c>
      <c r="F46" s="13">
        <v>42776.361979166664</v>
      </c>
      <c r="G46" s="7">
        <v>1</v>
      </c>
      <c r="H46" s="21" t="s">
        <v>195</v>
      </c>
      <c r="I46" s="13">
        <v>42776.389189814814</v>
      </c>
      <c r="J46" s="7">
        <v>0</v>
      </c>
      <c r="K46" s="98" t="str">
        <f t="shared" si="0"/>
        <v>4007/4008</v>
      </c>
      <c r="L46" s="21" t="str">
        <f>VLOOKUP(A46,'Trips&amp;Operators'!$C$1:$G$99999,5,FALSE)</f>
        <v>ROBINSON KADDIBA</v>
      </c>
      <c r="M46" s="6">
        <f t="shared" si="1"/>
        <v>2.7210648149775807E-2</v>
      </c>
      <c r="N46" s="7">
        <f t="shared" si="2"/>
        <v>39.183333335677162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5"/>
        <v>https://d0f6bd738d7f1b3e5a7ca70fe4ff75f0.us-east-1.aws.found.io/app/kibana#/discover/Steve-Slow-Train-Analysis-(2080s-and-2083s)?_g=(refreshInterval:(display:Off,pause:!f,section:0,value:0),time:(from:'2017-02-10T07:35:55-0700',mode:absolute,to:'2017-02-10T10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188" t="str">
        <f t="shared" si="21"/>
        <v>N</v>
      </c>
      <c r="X46" s="188">
        <f t="shared" si="22"/>
        <v>1</v>
      </c>
      <c r="Y46" s="62">
        <f t="shared" si="8"/>
        <v>23.298500000000001</v>
      </c>
      <c r="Z46" s="62">
        <f t="shared" si="9"/>
        <v>1.4999999999999999E-2</v>
      </c>
      <c r="AA46" s="62">
        <f t="shared" si="10"/>
        <v>23.2835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 t="shared" si="11"/>
        <v>0134-10</v>
      </c>
      <c r="AE46" s="85" t="str">
        <f t="shared" si="12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46" s="82" t="str">
        <f t="shared" si="13"/>
        <v>"C:\Program Files (x86)\AstroGrep\AstroGrep.exe" /spath="%USERPROFILE%\AppData\Local\Temp\OnboardLogs" /stypes="app*4008*20170210*"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134-10 --locoid 4008 --swversion DE.1.0.8.0 --startMP 204:232985 --initTime 2017-02-10T08:35:55 --startdatetime 2017-02-10T08:41:15 --delay 1 --endMP 204:150 --enddatetime 2017-02-10T09:20:26 --enforcementcount 0 &gt;&gt;C:\Users\stu\Documents\GitHub\eaglep3-reporting\EC\2017-02-10-refined-times.txt</v>
      </c>
      <c r="AI4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{"issue":{"subject":"","project_id":79,"tracker_id":40,"status_id":1,"priority_id":2,"assigned_to_id":23,"start_date":"2017-02-10","description":"","custom_fields":[{"id":1,"name":"Subdivision","value":"EC"},{"id":4,"name":"Milepost","value":"0.015"},{"id":17,"name":"Train ID","value":"134-10"},{"id":16,"name":"Locomotive ID","value":"4008"},{"id":130,"name":"Impact","value":""},{"id":150,"name":"Time of Event (Mountain Time)","value":"09:20:26"},{"id":151,"name":"Denver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4008 --day 2017-02-10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2017-02-10-UncaughtWiMAX.txt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605</v>
      </c>
      <c r="B47" s="7">
        <v>4046</v>
      </c>
      <c r="C47" s="21" t="s">
        <v>193</v>
      </c>
      <c r="D47" s="21" t="s">
        <v>278</v>
      </c>
      <c r="E47" s="13">
        <v>42776.329571759263</v>
      </c>
      <c r="F47" s="13">
        <v>42776.333726851852</v>
      </c>
      <c r="G47" s="7">
        <v>1</v>
      </c>
      <c r="H47" s="21" t="s">
        <v>779</v>
      </c>
      <c r="I47" s="13">
        <v>42776.358541666668</v>
      </c>
      <c r="J47" s="7">
        <v>0</v>
      </c>
      <c r="K47" s="98" t="str">
        <f t="shared" si="0"/>
        <v>4045/4046</v>
      </c>
      <c r="L47" s="21" t="str">
        <f>VLOOKUP(A47,'Trips&amp;Operators'!$C$1:$G$99999,5,FALSE)</f>
        <v>STARKS ANGELINA</v>
      </c>
      <c r="M47" s="6">
        <f t="shared" si="1"/>
        <v>2.4814814816636499E-2</v>
      </c>
      <c r="N47" s="7">
        <f t="shared" si="2"/>
        <v>35.733333335956559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5"/>
        <v>https://d0f6bd738d7f1b3e5a7ca70fe4ff75f0.us-east-1.aws.found.io/app/kibana#/discover/Steve-Slow-Train-Analysis-(2080s-and-2083s)?_g=(refreshInterval:(display:Off,pause:!f,section:0,value:0),time:(from:'2017-02-10T06:54:35-0700',mode:absolute,to:'2017-02-10T09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8" t="str">
        <f t="shared" si="21"/>
        <v>N</v>
      </c>
      <c r="X47" s="188">
        <f t="shared" si="22"/>
        <v>1</v>
      </c>
      <c r="Y47" s="62">
        <f t="shared" si="8"/>
        <v>4.6699999999999998E-2</v>
      </c>
      <c r="Z47" s="62">
        <f t="shared" si="9"/>
        <v>23.3278</v>
      </c>
      <c r="AA47" s="62">
        <f t="shared" si="10"/>
        <v>23.281099999999999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 t="shared" si="11"/>
        <v>0135-10</v>
      </c>
      <c r="AE47" s="85" t="str">
        <f t="shared" si="12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47" s="82" t="str">
        <f t="shared" si="13"/>
        <v>"C:\Program Files (x86)\AstroGrep\AstroGrep.exe" /spath="%USERPROFILE%\AppData\Local\Temp\OnboardLogs" /stypes="app*4046*20170210*"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135-10 --locoid 4046 --swversion DE.1.0.8.0 --startMP 204:467 --initTime 2017-02-10T07:54:35 --startdatetime 2017-02-10T08:00:34 --delay 1 --endMP 204:233278 --enddatetime 2017-02-10T08:36:18 --enforcementcount 0 &gt;&gt;C:\Users\stu\Documents\GitHub\eaglep3-reporting\EC\2017-02-10-refined-times.txt</v>
      </c>
      <c r="AI47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{"issue":{"subject":"","project_id":79,"tracker_id":40,"status_id":1,"priority_id":2,"assigned_to_id":23,"start_date":"2017-02-10","description":"","custom_fields":[{"id":1,"name":"Subdivision","value":"EC"},{"id":4,"name":"Milepost","value":"23.3278"},{"id":17,"name":"Train ID","value":"135-10"},{"id":16,"name":"Locomotive ID","value":"4046"},{"id":130,"name":"Impact","value":""},{"id":150,"name":"Time of Event (Mountain Time)","value":"08:36:18"},{"id":151,"name":"Denver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4046 --day 2017-02-10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615</v>
      </c>
      <c r="B48" s="7">
        <v>4045</v>
      </c>
      <c r="C48" s="21" t="s">
        <v>193</v>
      </c>
      <c r="D48" s="21" t="s">
        <v>780</v>
      </c>
      <c r="E48" s="13">
        <v>42776.367291666669</v>
      </c>
      <c r="F48" s="13">
        <v>42776.372476851851</v>
      </c>
      <c r="G48" s="7">
        <v>2</v>
      </c>
      <c r="H48" s="21" t="s">
        <v>184</v>
      </c>
      <c r="I48" s="13">
        <v>42776.400289351855</v>
      </c>
      <c r="J48" s="7">
        <v>0</v>
      </c>
      <c r="K48" s="98" t="str">
        <f t="shared" si="0"/>
        <v>4045/4046</v>
      </c>
      <c r="L48" s="21" t="str">
        <f>VLOOKUP(A48,'Trips&amp;Operators'!$C$1:$G$99999,5,FALSE)</f>
        <v>STARKS ANGELINA</v>
      </c>
      <c r="M48" s="6">
        <f t="shared" si="1"/>
        <v>2.7812500004074536E-2</v>
      </c>
      <c r="N48" s="7">
        <f t="shared" si="2"/>
        <v>40.050000005867332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5"/>
        <v>https://d0f6bd738d7f1b3e5a7ca70fe4ff75f0.us-east-1.aws.found.io/app/kibana#/discover/Steve-Slow-Train-Analysis-(2080s-and-2083s)?_g=(refreshInterval:(display:Off,pause:!f,section:0,value:0),time:(from:'2017-02-10T07:48:54-0700',mode:absolute,to:'2017-02-10T10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8" t="str">
        <f t="shared" si="21"/>
        <v>N</v>
      </c>
      <c r="X48" s="188">
        <f t="shared" si="22"/>
        <v>1</v>
      </c>
      <c r="Y48" s="62">
        <f t="shared" si="8"/>
        <v>23.294799999999999</v>
      </c>
      <c r="Z48" s="62">
        <f t="shared" si="9"/>
        <v>1.49E-2</v>
      </c>
      <c r="AA48" s="62">
        <f t="shared" si="10"/>
        <v>23.279899999999998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 t="shared" si="11"/>
        <v>0136-10</v>
      </c>
      <c r="AE48" s="85" t="str">
        <f t="shared" si="12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48" s="82" t="str">
        <f t="shared" si="13"/>
        <v>"C:\Program Files (x86)\AstroGrep\AstroGrep.exe" /spath="%USERPROFILE%\AppData\Local\Temp\OnboardLogs" /stypes="app*4045*20170210*"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136-10 --locoid 4045 --swversion DE.1.0.8.0 --startMP 204:232948 --initTime 2017-02-10T08:48:54 --startdatetime 2017-02-10T08:56:22 --delay 2 --endMP 204:149 --enddatetime 2017-02-10T09:36:25 --enforcementcount 0 &gt;&gt;C:\Users\stu\Documents\GitHub\eaglep3-reporting\EC\2017-02-10-refined-times.txt</v>
      </c>
      <c r="AI48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{"issue":{"subject":"","project_id":79,"tracker_id":40,"status_id":1,"priority_id":2,"assigned_to_id":23,"start_date":"2017-02-10","description":"","custom_fields":[{"id":1,"name":"Subdivision","value":"EC"},{"id":4,"name":"Milepost","value":"0.0149"},{"id":17,"name":"Train ID","value":"136-10"},{"id":16,"name":"Locomotive ID","value":"4045"},{"id":130,"name":"Impact","value":""},{"id":150,"name":"Time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4045 --day 2017-02-10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608</v>
      </c>
      <c r="B49" s="7">
        <v>4020</v>
      </c>
      <c r="C49" s="21" t="s">
        <v>193</v>
      </c>
      <c r="D49" s="21" t="s">
        <v>205</v>
      </c>
      <c r="E49" s="13">
        <v>42776.340208333335</v>
      </c>
      <c r="F49" s="13">
        <v>42776.344074074077</v>
      </c>
      <c r="G49" s="7">
        <v>1</v>
      </c>
      <c r="H49" s="21" t="s">
        <v>336</v>
      </c>
      <c r="I49" s="13">
        <v>42776.368726851855</v>
      </c>
      <c r="J49" s="7">
        <v>0</v>
      </c>
      <c r="K49" s="98" t="str">
        <f t="shared" si="0"/>
        <v>4019/4020</v>
      </c>
      <c r="L49" s="21" t="str">
        <f>VLOOKUP(A49,'Trips&amp;Operators'!$C$1:$G$99999,5,FALSE)</f>
        <v>LOZA FIDEL</v>
      </c>
      <c r="M49" s="6">
        <f t="shared" si="1"/>
        <v>2.4652777778101154E-2</v>
      </c>
      <c r="N49" s="7">
        <f t="shared" si="2"/>
        <v>35.500000000465661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5"/>
        <v>https://d0f6bd738d7f1b3e5a7ca70fe4ff75f0.us-east-1.aws.found.io/app/kibana#/discover/Steve-Slow-Train-Analysis-(2080s-and-2083s)?_g=(refreshInterval:(display:Off,pause:!f,section:0,value:0),time:(from:'2017-02-10T07:09:54-0700',mode:absolute,to:'2017-02-10T09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8" t="str">
        <f t="shared" si="21"/>
        <v>N</v>
      </c>
      <c r="X49" s="188">
        <f t="shared" si="22"/>
        <v>1</v>
      </c>
      <c r="Y49" s="62">
        <f t="shared" si="8"/>
        <v>4.6199999999999998E-2</v>
      </c>
      <c r="Z49" s="62">
        <f t="shared" si="9"/>
        <v>23.329699999999999</v>
      </c>
      <c r="AA49" s="62">
        <f t="shared" si="10"/>
        <v>23.2835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 t="shared" si="11"/>
        <v>0137-10</v>
      </c>
      <c r="AE49" s="85" t="str">
        <f t="shared" si="12"/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49" s="82" t="str">
        <f t="shared" si="13"/>
        <v>"C:\Program Files (x86)\AstroGrep\AstroGrep.exe" /spath="%USERPROFILE%\AppData\Local\Temp\OnboardLogs" /stypes="app*4020*20170210*"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137-10 --locoid 4020 --swversion DE.1.0.8.0 --startMP 204:462 --initTime 2017-02-10T08:09:54 --startdatetime 2017-02-10T08:15:28 --delay 1 --endMP 204:233297 --enddatetime 2017-02-10T08:50:58 --enforcementcount 0 &gt;&gt;C:\Users\stu\Documents\GitHub\eaglep3-reporting\EC\2017-02-10-refined-times.txt</v>
      </c>
      <c r="AI49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{"issue":{"subject":"","project_id":79,"tracker_id":40,"status_id":1,"priority_id":2,"assigned_to_id":23,"start_date":"2017-02-10","description":"","custom_fields":[{"id":1,"name":"Subdivision","value":"EC"},{"id":4,"name":"Milepost","value":"23.3297"},{"id":17,"name":"Train ID","value":"137-10"},{"id":16,"name":"Locomotive ID","value":"4020"},{"id":130,"name":"Impact","value":""},{"id":150,"name":"Time of Event (Mountain Time)","value":"08:50:58"},{"id":151,"name":"Denver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4020 --day 2017-02-10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2017-02-10-UncaughtWiMAX.txt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618</v>
      </c>
      <c r="B50" s="7">
        <v>4019</v>
      </c>
      <c r="C50" s="21" t="s">
        <v>193</v>
      </c>
      <c r="D50" s="21" t="s">
        <v>352</v>
      </c>
      <c r="E50" s="13">
        <v>42776.379826388889</v>
      </c>
      <c r="F50" s="13">
        <v>42776.382986111108</v>
      </c>
      <c r="G50" s="7">
        <v>1</v>
      </c>
      <c r="H50" s="21" t="s">
        <v>338</v>
      </c>
      <c r="I50" s="13">
        <v>42776.408773148149</v>
      </c>
      <c r="J50" s="7">
        <v>0</v>
      </c>
      <c r="K50" s="98" t="str">
        <f t="shared" si="0"/>
        <v>4019/4020</v>
      </c>
      <c r="L50" s="21" t="str">
        <f>VLOOKUP(A50,'Trips&amp;Operators'!$C$1:$G$99999,5,FALSE)</f>
        <v>LOZA FIDEL</v>
      </c>
      <c r="M50" s="6">
        <f t="shared" si="1"/>
        <v>2.5787037040572613E-2</v>
      </c>
      <c r="N50" s="7">
        <f t="shared" si="2"/>
        <v>37.133333338424563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5"/>
        <v>https://d0f6bd738d7f1b3e5a7ca70fe4ff75f0.us-east-1.aws.found.io/app/kibana#/discover/Steve-Slow-Train-Analysis-(2080s-and-2083s)?_g=(refreshInterval:(display:Off,pause:!f,section:0,value:0),time:(from:'2017-02-10T08:06:57-0700',mode:absolute,to:'2017-02-10T10:48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8" t="str">
        <f t="shared" si="21"/>
        <v>N</v>
      </c>
      <c r="X50" s="188">
        <f t="shared" si="22"/>
        <v>1</v>
      </c>
      <c r="Y50" s="62">
        <f t="shared" si="8"/>
        <v>23.2987</v>
      </c>
      <c r="Z50" s="62">
        <f t="shared" si="9"/>
        <v>1.6299999999999999E-2</v>
      </c>
      <c r="AA50" s="62">
        <f t="shared" si="10"/>
        <v>23.282399999999999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 t="shared" si="11"/>
        <v>0138-10</v>
      </c>
      <c r="AE50" s="85" t="str">
        <f t="shared" si="12"/>
        <v>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 &amp; 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</v>
      </c>
      <c r="AF50" s="82" t="str">
        <f t="shared" si="13"/>
        <v>"C:\Program Files (x86)\AstroGrep\AstroGrep.exe" /spath="%USERPROFILE%\AppData\Local\Temp\OnboardLogs" /stypes="app*4019*20170210*"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138-10 --locoid 4019 --swversion DE.1.0.8.0 --startMP 204:232987 --initTime 2017-02-10T09:06:57 --startdatetime 2017-02-10T09:11:30 --delay 1 --endMP 204:163 --enddatetime 2017-02-10T09:48:38 --enforcementcount 0 &gt;&gt;C:\Users\stu\Documents\GitHub\eaglep3-reporting\EC\2017-02-10-refined-times.txt</v>
      </c>
      <c r="AI50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{"issue":{"subject":"","project_id":79,"tracker_id":40,"status_id":1,"priority_id":2,"assigned_to_id":23,"start_date":"2017-02-10","description":"","custom_fields":[{"id":1,"name":"Subdivision","value":"EC"},{"id":4,"name":"Milepost","value":"0.0163"},{"id":17,"name":"Train ID","value":"138-10"},{"id":16,"name":"Locomotive ID","value":"4019"},{"id":130,"name":"Impact","value":""},{"id":150,"name":"Time of Event (Mountain Time)","value":"09:48:38"},{"id":151,"name":"Denver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4019 --day 2017-02-10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2017-02-10-UncaughtWiMAX.txt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610</v>
      </c>
      <c r="B51" s="7">
        <v>4038</v>
      </c>
      <c r="C51" s="21" t="s">
        <v>193</v>
      </c>
      <c r="D51" s="21" t="s">
        <v>327</v>
      </c>
      <c r="E51" s="13">
        <v>42776.349074074074</v>
      </c>
      <c r="F51" s="13">
        <v>42776.35596064815</v>
      </c>
      <c r="G51" s="7">
        <v>1</v>
      </c>
      <c r="H51" s="21" t="s">
        <v>781</v>
      </c>
      <c r="I51" s="13">
        <v>42776.381064814814</v>
      </c>
      <c r="J51" s="7">
        <v>0</v>
      </c>
      <c r="K51" s="98" t="str">
        <f t="shared" si="0"/>
        <v>4037/4038</v>
      </c>
      <c r="L51" s="21" t="str">
        <f>VLOOKUP(A51,'Trips&amp;Operators'!$C$1:$G$99999,5,FALSE)</f>
        <v>BONDS REYNALDO</v>
      </c>
      <c r="M51" s="6">
        <f t="shared" si="1"/>
        <v>2.5104166663368233E-2</v>
      </c>
      <c r="N51" s="7">
        <f t="shared" si="2"/>
        <v>36.149999995250255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5"/>
        <v>https://d0f6bd738d7f1b3e5a7ca70fe4ff75f0.us-east-1.aws.found.io/app/kibana#/discover/Steve-Slow-Train-Analysis-(2080s-and-2083s)?_g=(refreshInterval:(display:Off,pause:!f,section:0,value:0),time:(from:'2017-02-10T07:22:40-0700',mode:absolute,to:'2017-02-10T10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1" s="188" t="str">
        <f t="shared" si="21"/>
        <v>N</v>
      </c>
      <c r="X51" s="188">
        <f t="shared" si="22"/>
        <v>1</v>
      </c>
      <c r="Y51" s="62">
        <f t="shared" si="8"/>
        <v>4.6399999999999997E-2</v>
      </c>
      <c r="Z51" s="62">
        <f t="shared" si="9"/>
        <v>23.328600000000002</v>
      </c>
      <c r="AA51" s="62">
        <f t="shared" si="10"/>
        <v>23.282200000000003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 t="shared" si="11"/>
        <v>0139-10</v>
      </c>
      <c r="AE51" s="85" t="str">
        <f t="shared" si="12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51" s="82" t="str">
        <f t="shared" si="13"/>
        <v>"C:\Program Files (x86)\AstroGrep\AstroGrep.exe" /spath="%USERPROFILE%\AppData\Local\Temp\OnboardLogs" /stypes="app*4038*20170210*"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139-10 --locoid 4038 --swversion DE.1.0.8.0 --startMP 204:464 --initTime 2017-02-10T08:22:40 --startdatetime 2017-02-10T08:32:35 --delay 1 --endMP 204:233286 --enddatetime 2017-02-10T09:08:44 --enforcementcount 0 &gt;&gt;C:\Users\stu\Documents\GitHub\eaglep3-reporting\EC\2017-02-10-refined-times.txt</v>
      </c>
      <c r="AI51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{"issue":{"subject":"","project_id":79,"tracker_id":40,"status_id":1,"priority_id":2,"assigned_to_id":23,"start_date":"2017-02-10","description":"","custom_fields":[{"id":1,"name":"Subdivision","value":"EC"},{"id":4,"name":"Milepost","value":"23.3286"},{"id":17,"name":"Train ID","value":"139-10"},{"id":16,"name":"Locomotive ID","value":"4038"},{"id":130,"name":"Impact","value":""},{"id":150,"name":"Time of Event (Mountain Time)","value":"09:08:44"},{"id":151,"name":"Denver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4038 --day 2017-02-10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619</v>
      </c>
      <c r="B52" s="7">
        <v>4037</v>
      </c>
      <c r="C52" s="21" t="s">
        <v>193</v>
      </c>
      <c r="D52" s="21" t="s">
        <v>462</v>
      </c>
      <c r="E52" s="13">
        <v>42776.389768518522</v>
      </c>
      <c r="F52" s="13">
        <v>42776.393229166664</v>
      </c>
      <c r="G52" s="7">
        <v>1</v>
      </c>
      <c r="H52" s="21" t="s">
        <v>494</v>
      </c>
      <c r="I52" s="13">
        <v>42776.420729166668</v>
      </c>
      <c r="J52" s="7">
        <v>0</v>
      </c>
      <c r="K52" s="98" t="str">
        <f t="shared" si="0"/>
        <v>4037/4038</v>
      </c>
      <c r="L52" s="21" t="str">
        <f>VLOOKUP(A52,'Trips&amp;Operators'!$C$1:$G$99999,5,FALSE)</f>
        <v>BONDS REYNALDO</v>
      </c>
      <c r="M52" s="6">
        <f t="shared" si="1"/>
        <v>2.7500000003783498E-2</v>
      </c>
      <c r="N52" s="7">
        <f t="shared" si="2"/>
        <v>39.600000005448237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5"/>
        <v>https://d0f6bd738d7f1b3e5a7ca70fe4ff75f0.us-east-1.aws.found.io/app/kibana#/discover/Steve-Slow-Train-Analysis-(2080s-and-2083s)?_g=(refreshInterval:(display:Off,pause:!f,section:0,value:0),time:(from:'2017-02-10T08:21:16-0700',mode:absolute,to:'2017-02-10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2" s="188" t="str">
        <f t="shared" si="21"/>
        <v>N</v>
      </c>
      <c r="X52" s="188">
        <f t="shared" si="22"/>
        <v>1</v>
      </c>
      <c r="Y52" s="62">
        <f t="shared" si="8"/>
        <v>23.2988</v>
      </c>
      <c r="Z52" s="62">
        <f t="shared" si="9"/>
        <v>1.5599999999999999E-2</v>
      </c>
      <c r="AA52" s="62">
        <f t="shared" si="10"/>
        <v>23.283200000000001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 t="shared" si="11"/>
        <v>0140-10</v>
      </c>
      <c r="AE52" s="85" t="str">
        <f t="shared" si="12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52" s="82" t="str">
        <f t="shared" si="13"/>
        <v>"C:\Program Files (x86)\AstroGrep\AstroGrep.exe" /spath="%USERPROFILE%\AppData\Local\Temp\OnboardLogs" /stypes="app*4037*20170210*"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140-10 --locoid 4037 --swversion DE.1.0.8.0 --startMP 204:232988 --initTime 2017-02-10T09:21:16 --startdatetime 2017-02-10T09:26:15 --delay 1 --endMP 204:156 --enddatetime 2017-02-10T10:05:51 --enforcementcount 0 &gt;&gt;C:\Users\stu\Documents\GitHub\eaglep3-reporting\EC\2017-02-10-refined-times.txt</v>
      </c>
      <c r="AI52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{"issue":{"subject":"","project_id":79,"tracker_id":40,"status_id":1,"priority_id":2,"assigned_to_id":23,"start_date":"2017-02-10","description":"","custom_fields":[{"id":1,"name":"Subdivision","value":"EC"},{"id":4,"name":"Milepost","value":"0.0156"},{"id":17,"name":"Train ID","value":"140-10"},{"id":16,"name":"Locomotive ID","value":"4037"},{"id":130,"name":"Impact","value":""},{"id":150,"name":"Time of Event (Mountain Time)","value":"10:05:51"},{"id":151,"name":"Denver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4037 --day 2017-02-10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614</v>
      </c>
      <c r="B53" s="7">
        <v>4027</v>
      </c>
      <c r="C53" s="21" t="s">
        <v>193</v>
      </c>
      <c r="D53" s="21" t="s">
        <v>506</v>
      </c>
      <c r="E53" s="13">
        <v>42776.36041666667</v>
      </c>
      <c r="F53" s="13">
        <v>42776.364999999998</v>
      </c>
      <c r="G53" s="7">
        <v>1</v>
      </c>
      <c r="H53" s="21" t="s">
        <v>782</v>
      </c>
      <c r="I53" s="13">
        <v>42776.390324074076</v>
      </c>
      <c r="J53" s="7">
        <v>0</v>
      </c>
      <c r="K53" s="98" t="str">
        <f t="shared" si="0"/>
        <v>4027/4028</v>
      </c>
      <c r="L53" s="21" t="str">
        <f>VLOOKUP(A53,'Trips&amp;Operators'!$C$1:$G$99999,5,FALSE)</f>
        <v>BADERTSCHER DIANE</v>
      </c>
      <c r="M53" s="6">
        <f t="shared" si="1"/>
        <v>2.5324074078525882E-2</v>
      </c>
      <c r="N53" s="7">
        <f t="shared" si="2"/>
        <v>36.46666667307727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5"/>
        <v>https://d0f6bd738d7f1b3e5a7ca70fe4ff75f0.us-east-1.aws.found.io/app/kibana#/discover/Steve-Slow-Train-Analysis-(2080s-and-2083s)?_g=(refreshInterval:(display:Off,pause:!f,section:0,value:0),time:(from:'2017-02-10T07:39:00-0700',mode:absolute,to:'2017-02-10T10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188" t="str">
        <f t="shared" si="21"/>
        <v>N</v>
      </c>
      <c r="X53" s="188">
        <f t="shared" si="22"/>
        <v>1</v>
      </c>
      <c r="Y53" s="62">
        <f t="shared" si="8"/>
        <v>4.7800000000000002E-2</v>
      </c>
      <c r="Z53" s="62">
        <f t="shared" si="9"/>
        <v>23.332100000000001</v>
      </c>
      <c r="AA53" s="62">
        <f t="shared" si="10"/>
        <v>23.284300000000002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 t="shared" si="11"/>
        <v>0141-10</v>
      </c>
      <c r="AE53" s="85" t="str">
        <f t="shared" si="12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53" s="82" t="str">
        <f t="shared" si="13"/>
        <v>"C:\Program Files (x86)\AstroGrep\AstroGrep.exe" /spath="%USERPROFILE%\AppData\Local\Temp\OnboardLogs" /stypes="app*4027*20170210*"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141-10 --locoid 4027 --swversion DE.1.0.8.0 --startMP 204:478 --initTime 2017-02-10T08:39:00 --startdatetime 2017-02-10T08:45:36 --delay 1 --endMP 204:233321 --enddatetime 2017-02-10T09:22:04 --enforcementcount 0 &gt;&gt;C:\Users\stu\Documents\GitHub\eaglep3-reporting\EC\2017-02-10-refined-times.txt</v>
      </c>
      <c r="AI53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{"issue":{"subject":"","project_id":79,"tracker_id":40,"status_id":1,"priority_id":2,"assigned_to_id":23,"start_date":"2017-02-10","description":"","custom_fields":[{"id":1,"name":"Subdivision","value":"EC"},{"id":4,"name":"Milepost","value":"23.3321"},{"id":17,"name":"Train ID","value":"141-10"},{"id":16,"name":"Locomotive ID","value":"4027"},{"id":130,"name":"Impact","value":""},{"id":150,"name":"Time of Event (Mountain Time)","value":"09:22:04"},{"id":151,"name":"Denver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4027 --day 2017-02-10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621</v>
      </c>
      <c r="B54" s="7">
        <v>4028</v>
      </c>
      <c r="C54" s="21" t="s">
        <v>193</v>
      </c>
      <c r="D54" s="21" t="s">
        <v>502</v>
      </c>
      <c r="E54" s="13">
        <v>42776.397685185184</v>
      </c>
      <c r="F54" s="13">
        <v>42776.403958333336</v>
      </c>
      <c r="G54" s="7">
        <v>1</v>
      </c>
      <c r="H54" s="21" t="s">
        <v>783</v>
      </c>
      <c r="I54" s="13">
        <v>42776.431516203702</v>
      </c>
      <c r="J54" s="7">
        <v>0</v>
      </c>
      <c r="K54" s="98" t="str">
        <f t="shared" si="0"/>
        <v>4027/4028</v>
      </c>
      <c r="L54" s="21" t="str">
        <f>VLOOKUP(A54,'Trips&amp;Operators'!$C$1:$G$99999,5,FALSE)</f>
        <v>BADERTSCHER DIANE</v>
      </c>
      <c r="M54" s="6">
        <f t="shared" si="1"/>
        <v>2.7557870365853887E-2</v>
      </c>
      <c r="N54" s="7">
        <f t="shared" si="2"/>
        <v>39.683333326829597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5"/>
        <v>https://d0f6bd738d7f1b3e5a7ca70fe4ff75f0.us-east-1.aws.found.io/app/kibana#/discover/Steve-Slow-Train-Analysis-(2080s-and-2083s)?_g=(refreshInterval:(display:Off,pause:!f,section:0,value:0),time:(from:'2017-02-10T08:32:40-0700',mode:absolute,to:'2017-02-10T11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4" s="188" t="str">
        <f t="shared" si="21"/>
        <v>N</v>
      </c>
      <c r="X54" s="188">
        <f t="shared" si="22"/>
        <v>1</v>
      </c>
      <c r="Y54" s="62">
        <f t="shared" si="8"/>
        <v>23.301500000000001</v>
      </c>
      <c r="Z54" s="62">
        <f t="shared" si="9"/>
        <v>1.38E-2</v>
      </c>
      <c r="AA54" s="62">
        <f t="shared" si="10"/>
        <v>23.287700000000001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 t="shared" si="11"/>
        <v>0142-10</v>
      </c>
      <c r="AE54" s="85" t="str">
        <f t="shared" si="12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54" s="82" t="str">
        <f t="shared" si="13"/>
        <v>"C:\Program Files (x86)\AstroGrep\AstroGrep.exe" /spath="%USERPROFILE%\AppData\Local\Temp\OnboardLogs" /stypes="app*4028*20170210*"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142-10 --locoid 4028 --swversion DE.1.0.8.0 --startMP 204:233015 --initTime 2017-02-10T09:32:40 --startdatetime 2017-02-10T09:41:42 --delay 1 --endMP 204:138 --enddatetime 2017-02-10T10:21:23 --enforcementcount 0 &gt;&gt;C:\Users\stu\Documents\GitHub\eaglep3-reporting\EC\2017-02-10-refined-times.txt</v>
      </c>
      <c r="AI54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{"issue":{"subject":"","project_id":79,"tracker_id":40,"status_id":1,"priority_id":2,"assigned_to_id":23,"start_date":"2017-02-10","description":"","custom_fields":[{"id":1,"name":"Subdivision","value":"EC"},{"id":4,"name":"Milepost","value":"0.0138"},{"id":17,"name":"Train ID","value":"142-10"},{"id":16,"name":"Locomotive ID","value":"4028"},{"id":130,"name":"Impact","value":""},{"id":150,"name":"Time of Event (Mountain Time)","value":"10:21:23"},{"id":151,"name":"Denver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4028 --day 2017-02-10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616</v>
      </c>
      <c r="B55" s="7">
        <v>4009</v>
      </c>
      <c r="C55" s="21" t="s">
        <v>193</v>
      </c>
      <c r="D55" s="21" t="s">
        <v>300</v>
      </c>
      <c r="E55" s="13">
        <v>42776.372569444444</v>
      </c>
      <c r="F55" s="13">
        <v>42776.375208333331</v>
      </c>
      <c r="G55" s="7">
        <v>1</v>
      </c>
      <c r="H55" s="21" t="s">
        <v>302</v>
      </c>
      <c r="I55" s="13">
        <v>42776.39980324074</v>
      </c>
      <c r="J55" s="7">
        <v>0</v>
      </c>
      <c r="K55" s="98" t="str">
        <f t="shared" si="0"/>
        <v>4009/4010</v>
      </c>
      <c r="L55" s="21" t="str">
        <f>VLOOKUP(A55,'Trips&amp;Operators'!$C$1:$G$99999,5,FALSE)</f>
        <v>ROCHA YAOTL</v>
      </c>
      <c r="M55" s="6">
        <f t="shared" si="1"/>
        <v>2.4594907408754807E-2</v>
      </c>
      <c r="N55" s="7">
        <f t="shared" si="2"/>
        <v>35.416666668606922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5"/>
        <v>https://d0f6bd738d7f1b3e5a7ca70fe4ff75f0.us-east-1.aws.found.io/app/kibana#/discover/Steve-Slow-Train-Analysis-(2080s-and-2083s)?_g=(refreshInterval:(display:Off,pause:!f,section:0,value:0),time:(from:'2017-02-10T07:56:30-0700',mode:absolute,to:'2017-02-10T10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5" s="188" t="str">
        <f t="shared" si="21"/>
        <v>N</v>
      </c>
      <c r="X55" s="188">
        <f t="shared" si="22"/>
        <v>1</v>
      </c>
      <c r="Y55" s="62">
        <f t="shared" si="8"/>
        <v>4.4699999999999997E-2</v>
      </c>
      <c r="Z55" s="62">
        <f t="shared" si="9"/>
        <v>23.3291</v>
      </c>
      <c r="AA55" s="62">
        <f t="shared" si="10"/>
        <v>23.284400000000002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 t="shared" si="11"/>
        <v>0143-10</v>
      </c>
      <c r="AE55" s="85" t="str">
        <f t="shared" si="12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55" s="82" t="str">
        <f t="shared" si="13"/>
        <v>"C:\Program Files (x86)\AstroGrep\AstroGrep.exe" /spath="%USERPROFILE%\AppData\Local\Temp\OnboardLogs" /stypes="app*4009*20170210*"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143-10 --locoid 4009 --swversion DE.1.0.8.0 --startMP 204:447 --initTime 2017-02-10T08:56:30 --startdatetime 2017-02-10T09:00:18 --delay 1 --endMP 204:233291 --enddatetime 2017-02-10T09:35:43 --enforcementcount 0 &gt;&gt;C:\Users\stu\Documents\GitHub\eaglep3-reporting\EC\2017-02-10-refined-times.txt</v>
      </c>
      <c r="AI5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{"issue":{"subject":"","project_id":79,"tracker_id":40,"status_id":1,"priority_id":2,"assigned_to_id":23,"start_date":"2017-02-10","description":"","custom_fields":[{"id":1,"name":"Subdivision","value":"EC"},{"id":4,"name":"Milepost","value":"23.3291"},{"id":17,"name":"Train ID","value":"143-10"},{"id":16,"name":"Locomotive ID","value":"4009"},{"id":130,"name":"Impact","value":""},{"id":150,"name":"Time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4009 --day 2017-02-10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624</v>
      </c>
      <c r="B56" s="7">
        <v>4010</v>
      </c>
      <c r="C56" s="21" t="s">
        <v>193</v>
      </c>
      <c r="D56" s="21" t="s">
        <v>784</v>
      </c>
      <c r="E56" s="13">
        <v>42776.412094907406</v>
      </c>
      <c r="F56" s="13">
        <v>42776.414074074077</v>
      </c>
      <c r="G56" s="7">
        <v>1</v>
      </c>
      <c r="H56" s="21" t="s">
        <v>195</v>
      </c>
      <c r="I56" s="13">
        <v>42776.440115740741</v>
      </c>
      <c r="J56" s="7">
        <v>0</v>
      </c>
      <c r="K56" s="98" t="str">
        <f t="shared" si="0"/>
        <v>4009/4010</v>
      </c>
      <c r="L56" s="21" t="str">
        <f>VLOOKUP(A56,'Trips&amp;Operators'!$C$1:$G$99999,5,FALSE)</f>
        <v>ROCHA YAOTL</v>
      </c>
      <c r="M56" s="6">
        <f t="shared" si="1"/>
        <v>2.6041666664241347E-2</v>
      </c>
      <c r="N56" s="7">
        <f t="shared" si="2"/>
        <v>37.49999999650754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5"/>
        <v>https://d0f6bd738d7f1b3e5a7ca70fe4ff75f0.us-east-1.aws.found.io/app/kibana#/discover/Steve-Slow-Train-Analysis-(2080s-and-2083s)?_g=(refreshInterval:(display:Off,pause:!f,section:0,value:0),time:(from:'2017-02-10T08:53:25-0700',mode:absolute,to:'2017-02-10T11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188" t="str">
        <f t="shared" si="21"/>
        <v>N</v>
      </c>
      <c r="X56" s="188">
        <f t="shared" si="22"/>
        <v>1</v>
      </c>
      <c r="Y56" s="62">
        <f t="shared" si="8"/>
        <v>23.298200000000001</v>
      </c>
      <c r="Z56" s="62">
        <f t="shared" si="9"/>
        <v>1.4999999999999999E-2</v>
      </c>
      <c r="AA56" s="62">
        <f t="shared" si="10"/>
        <v>23.283200000000001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 t="shared" si="11"/>
        <v>0144-10</v>
      </c>
      <c r="AE56" s="85" t="str">
        <f t="shared" si="12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56" s="82" t="str">
        <f t="shared" si="13"/>
        <v>"C:\Program Files (x86)\AstroGrep\AstroGrep.exe" /spath="%USERPROFILE%\AppData\Local\Temp\OnboardLogs" /stypes="app*4010*20170210*"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144-10 --locoid 4010 --swversion DE.1.0.8.0 --startMP 204:232982 --initTime 2017-02-10T09:53:25 --startdatetime 2017-02-10T09:56:16 --delay 1 --endMP 204:150 --enddatetime 2017-02-10T10:33:46 --enforcementcount 0 &gt;&gt;C:\Users\stu\Documents\GitHub\eaglep3-reporting\EC\2017-02-10-refined-times.txt</v>
      </c>
      <c r="AI5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{"issue":{"subject":"","project_id":79,"tracker_id":40,"status_id":1,"priority_id":2,"assigned_to_id":23,"start_date":"2017-02-10","description":"","custom_fields":[{"id":1,"name":"Subdivision","value":"EC"},{"id":4,"name":"Milepost","value":"0.015"},{"id":17,"name":"Train ID","value":"144-10"},{"id":16,"name":"Locomotive ID","value":"4010"},{"id":130,"name":"Impact","value":""},{"id":150,"name":"Time of Event (Mountain Time)","value":"10:33:46"},{"id":151,"name":"Denver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4010 --day 2017-02-10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2017-02-10-UncaughtWiMAX.txt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543</v>
      </c>
      <c r="B57" s="7">
        <v>4018</v>
      </c>
      <c r="C57" s="21" t="s">
        <v>193</v>
      </c>
      <c r="D57" s="21" t="s">
        <v>221</v>
      </c>
      <c r="E57" s="13">
        <v>42776.380729166667</v>
      </c>
      <c r="F57" s="13">
        <v>42776.38559027778</v>
      </c>
      <c r="G57" s="7">
        <v>1</v>
      </c>
      <c r="H57" s="21" t="s">
        <v>785</v>
      </c>
      <c r="I57" s="13">
        <v>42776.400601851848</v>
      </c>
      <c r="J57" s="7">
        <v>0</v>
      </c>
      <c r="K57" s="98" t="str">
        <f t="shared" si="0"/>
        <v>4017/4018</v>
      </c>
      <c r="L57" s="21" t="str">
        <f>VLOOKUP(A57,'Trips&amp;Operators'!$C$1:$G$99999,5,FALSE)</f>
        <v>DAVIS WENDY</v>
      </c>
      <c r="M57" s="6">
        <f t="shared" si="1"/>
        <v>1.5011574068921618E-2</v>
      </c>
      <c r="N57" s="7"/>
      <c r="O57" s="7"/>
      <c r="P57" s="7">
        <f>24*60*SUM($M57:$M57)</f>
        <v>21.61666665924713</v>
      </c>
      <c r="Q57" s="22"/>
      <c r="R57" s="22" t="s">
        <v>906</v>
      </c>
      <c r="S57" s="31">
        <f t="shared" si="3"/>
        <v>1</v>
      </c>
      <c r="T57" s="46" t="str">
        <f t="shared" si="4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5"/>
        <v>https://d0f6bd738d7f1b3e5a7ca70fe4ff75f0.us-east-1.aws.found.io/app/kibana#/discover/Steve-Slow-Train-Analysis-(2080s-and-2083s)?_g=(refreshInterval:(display:Off,pause:!f,section:0,value:0),time:(from:'2017-02-10T08:08:15-0700',mode:absolute,to:'2017-02-10T10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88" t="str">
        <f t="shared" si="21"/>
        <v>Y</v>
      </c>
      <c r="X57" s="188">
        <f t="shared" si="22"/>
        <v>1</v>
      </c>
      <c r="Y57" s="62">
        <f t="shared" si="8"/>
        <v>4.58E-2</v>
      </c>
      <c r="Z57" s="62">
        <f t="shared" si="9"/>
        <v>12.7692</v>
      </c>
      <c r="AA57" s="62">
        <f t="shared" si="10"/>
        <v>12.7234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 t="shared" si="11"/>
        <v>0145-10</v>
      </c>
      <c r="AE57" s="85" t="str">
        <f t="shared" si="12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57" s="82" t="str">
        <f t="shared" si="13"/>
        <v>"C:\Program Files (x86)\AstroGrep\AstroGrep.exe" /spath="%USERPROFILE%\AppData\Local\Temp\OnboardLogs" /stypes="app*4018*20170210*"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145-10 --locoid 4018 --swversion DE.1.0.8.0 --startMP 204:458 --initTime 2017-02-10T09:08:15 --startdatetime 2017-02-10T09:15:15 --delay 1 --endMP 204:127692 --enddatetime 2017-02-10T09:36:52 --enforcementcount 0 &gt;&gt;C:\Users\stu\Documents\GitHub\eaglep3-reporting\EC\2017-02-10-refined-times.txt</v>
      </c>
      <c r="AI57" s="108" t="str">
        <f t="shared" si="19"/>
        <v>echo {"issue":{"subject":"Premature downgrade at 40th 2N","project_id":79,"tracker_id":40,"status_id":1,"priority_id":2,"assigned_to_id":23,"start_date":"2017-02-10","description":"At 09:36:34, 40th 2N dropped from PROCEED CAB to STOP while train was still approaching the signal, do logs tell of anything unusual?","custom_fields":[{"id":1,"name":"Subdivision","value":"EC"},{"id":4,"name":"Milepost","value":"12.7692"},{"id":17,"name":"Train ID","value":"145-10"},{"id":16,"name":"Locomotive ID","value":"4018"},{"id":130,"name":"Impact","value":"Enforcement"},{"id":150,"name":"Time of Event (Mountain Time)","value":"09:36:52"},{"id":151,"name":"Denver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57" s="48" t="s">
        <v>907</v>
      </c>
      <c r="AK57" s="48" t="s">
        <v>124</v>
      </c>
      <c r="AL57" s="48" t="s">
        <v>129</v>
      </c>
      <c r="AM57" s="154" t="str">
        <f t="shared" si="20"/>
        <v>start /low /b %USERPROFILE%\Documents\GitHub\eaglep3\Utilities\DownloadLogsFromS3.py --loco 4018 --day 2017-02-10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544</v>
      </c>
      <c r="B58" s="7">
        <v>4017</v>
      </c>
      <c r="C58" s="21" t="s">
        <v>193</v>
      </c>
      <c r="D58" s="21" t="s">
        <v>369</v>
      </c>
      <c r="E58" s="13">
        <v>42776.422395833331</v>
      </c>
      <c r="F58" s="13">
        <v>42776.424490740741</v>
      </c>
      <c r="G58" s="7">
        <v>1</v>
      </c>
      <c r="H58" s="21" t="s">
        <v>195</v>
      </c>
      <c r="I58" s="13">
        <v>42776.461168981485</v>
      </c>
      <c r="J58" s="7">
        <v>0</v>
      </c>
      <c r="K58" s="98" t="str">
        <f t="shared" si="0"/>
        <v>4017/4018</v>
      </c>
      <c r="L58" s="21" t="str">
        <f>VLOOKUP(A58,'Trips&amp;Operators'!$C$1:$G$99999,5,FALSE)</f>
        <v>DAVIS WENDY</v>
      </c>
      <c r="M58" s="6">
        <f t="shared" si="1"/>
        <v>3.6678240743640345E-2</v>
      </c>
      <c r="N58" s="7">
        <f t="shared" ref="N58:N63" si="23">24*60*SUM($M58:$M58)</f>
        <v>52.816666670842096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5"/>
        <v>https://d0f6bd738d7f1b3e5a7ca70fe4ff75f0.us-east-1.aws.found.io/app/kibana#/discover/Steve-Slow-Train-Analysis-(2080s-and-2083s)?_g=(refreshInterval:(display:Off,pause:!f,section:0,value:0),time:(from:'2017-02-10T09:08:15-0700',mode:absolute,to:'2017-02-10T12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88" t="str">
        <f t="shared" si="21"/>
        <v>N</v>
      </c>
      <c r="X58" s="188">
        <f t="shared" si="22"/>
        <v>1</v>
      </c>
      <c r="Y58" s="62">
        <f t="shared" si="8"/>
        <v>23.299600000000002</v>
      </c>
      <c r="Z58" s="62">
        <f t="shared" si="9"/>
        <v>1.4999999999999999E-2</v>
      </c>
      <c r="AA58" s="62">
        <f t="shared" si="10"/>
        <v>23.284600000000001</v>
      </c>
      <c r="AB58" s="59" t="str">
        <f>VLOOKUP(A58,Enforcements!$C$7:$K$14,8,0)</f>
        <v>Bulletin (2)</v>
      </c>
      <c r="AC58" s="55" t="str">
        <f>VLOOKUP(A58,Enforcements!$C$7:$E$14,3,0)</f>
        <v>GRADE CROSSING</v>
      </c>
      <c r="AD58" s="56" t="str">
        <f t="shared" si="11"/>
        <v>0146-10</v>
      </c>
      <c r="AE58" s="85" t="str">
        <f t="shared" si="12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58" s="82" t="str">
        <f t="shared" si="13"/>
        <v>"C:\Program Files (x86)\AstroGrep\AstroGrep.exe" /spath="%USERPROFILE%\AppData\Local\Temp\OnboardLogs" /stypes="app*4017*20170210*" /stext=" 18:.+((SYSTEM_STATE.+slice.+state.+changed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146-10 --locoid 4017 --swversion DE.1.0.8.0 --startMP 204:232996 --initTime 2017-02-10T10:08:15 --startdatetime 2017-02-10T10:11:16 --delay 1 --endMP 204:150 --enddatetime 2017-02-10T11:04:05 --enforcementcount 0 &gt;&gt;C:\Users\stu\Documents\GitHub\eaglep3-reporting\EC\2017-02-10-refined-times.txt</v>
      </c>
      <c r="AI58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{"issue":{"subject":"","project_id":79,"tracker_id":40,"status_id":1,"priority_id":2,"assigned_to_id":23,"start_date":"2017-02-10","description":"","custom_fields":[{"id":1,"name":"Subdivision","value":"EC"},{"id":4,"name":"Milepost","value":"0.015"},{"id":17,"name":"Train ID","value":"146-10"},{"id":16,"name":"Locomotive ID","value":"4017"},{"id":130,"name":"Impact","value":""},{"id":150,"name":"Time of Event (Mountain Time)","value":"11:04:05"},{"id":151,"name":"Denver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4017 --day 2017-02-10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620</v>
      </c>
      <c r="B59" s="7">
        <v>4007</v>
      </c>
      <c r="C59" s="21" t="s">
        <v>193</v>
      </c>
      <c r="D59" s="21" t="s">
        <v>205</v>
      </c>
      <c r="E59" s="13">
        <v>42776.39130787037</v>
      </c>
      <c r="F59" s="13">
        <v>42776.395983796298</v>
      </c>
      <c r="G59" s="7">
        <v>1</v>
      </c>
      <c r="H59" s="21" t="s">
        <v>778</v>
      </c>
      <c r="I59" s="13">
        <v>42776.42050925926</v>
      </c>
      <c r="J59" s="7">
        <v>0</v>
      </c>
      <c r="K59" s="98" t="str">
        <f t="shared" si="0"/>
        <v>4007/4008</v>
      </c>
      <c r="L59" s="21" t="str">
        <f>VLOOKUP(A59,'Trips&amp;Operators'!$C$1:$G$99999,5,FALSE)</f>
        <v>ROBINSON KADDIBA</v>
      </c>
      <c r="M59" s="6">
        <f t="shared" si="1"/>
        <v>2.4525462962628808E-2</v>
      </c>
      <c r="N59" s="7">
        <f t="shared" si="23"/>
        <v>35.316666666185483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5"/>
        <v>https://d0f6bd738d7f1b3e5a7ca70fe4ff75f0.us-east-1.aws.found.io/app/kibana#/discover/Steve-Slow-Train-Analysis-(2080s-and-2083s)?_g=(refreshInterval:(display:Off,pause:!f,section:0,value:0),time:(from:'2017-02-10T08:23:29-0700',mode:absolute,to:'2017-02-10T11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188" t="str">
        <f t="shared" si="21"/>
        <v>N</v>
      </c>
      <c r="X59" s="188">
        <f t="shared" si="22"/>
        <v>1</v>
      </c>
      <c r="Y59" s="62">
        <f t="shared" si="8"/>
        <v>4.6199999999999998E-2</v>
      </c>
      <c r="Z59" s="62">
        <f t="shared" si="9"/>
        <v>23.3307</v>
      </c>
      <c r="AA59" s="62">
        <f t="shared" si="10"/>
        <v>23.284500000000001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 t="shared" si="11"/>
        <v>0147-10</v>
      </c>
      <c r="AE59" s="85" t="str">
        <f t="shared" si="12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59" s="82" t="str">
        <f t="shared" si="13"/>
        <v>"C:\Program Files (x86)\AstroGrep\AstroGrep.exe" /spath="%USERPROFILE%\AppData\Local\Temp\OnboardLogs" /stypes="app*4007*20170210*"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147-10 --locoid 4007 --swversion DE.1.0.8.0 --startMP 204:462 --initTime 2017-02-10T09:23:29 --startdatetime 2017-02-10T09:30:13 --delay 1 --endMP 204:233307 --enddatetime 2017-02-10T10:05:32 --enforcementcount 0 &gt;&gt;C:\Users\stu\Documents\GitHub\eaglep3-reporting\EC\2017-02-10-refined-times.txt</v>
      </c>
      <c r="AI59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{"issue":{"subject":"","project_id":79,"tracker_id":40,"status_id":1,"priority_id":2,"assigned_to_id":23,"start_date":"2017-02-10","description":"","custom_fields":[{"id":1,"name":"Subdivision","value":"EC"},{"id":4,"name":"Milepost","value":"23.3307"},{"id":17,"name":"Train ID","value":"147-10"},{"id":16,"name":"Locomotive ID","value":"4007"},{"id":130,"name":"Impact","value":""},{"id":150,"name":"Time of Event (Mountain Time)","value":"10:05:32"},{"id":151,"name":"Denver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4007 --day 2017-02-10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545</v>
      </c>
      <c r="B60" s="7">
        <v>4008</v>
      </c>
      <c r="C60" s="21" t="s">
        <v>193</v>
      </c>
      <c r="D60" s="21" t="s">
        <v>277</v>
      </c>
      <c r="E60" s="13">
        <v>42776.432199074072</v>
      </c>
      <c r="F60" s="13">
        <v>42776.434930555559</v>
      </c>
      <c r="G60" s="7">
        <v>1</v>
      </c>
      <c r="H60" s="21" t="s">
        <v>786</v>
      </c>
      <c r="I60" s="13">
        <v>42776.468078703707</v>
      </c>
      <c r="J60" s="7">
        <v>0</v>
      </c>
      <c r="K60" s="98" t="str">
        <f t="shared" si="0"/>
        <v>4007/4008</v>
      </c>
      <c r="L60" s="21" t="str">
        <f>VLOOKUP(A60,'Trips&amp;Operators'!$C$1:$G$99999,5,FALSE)</f>
        <v>ROBINSON KADDIBA</v>
      </c>
      <c r="M60" s="6">
        <f t="shared" si="1"/>
        <v>3.3148148148029577E-2</v>
      </c>
      <c r="N60" s="7">
        <f t="shared" si="23"/>
        <v>47.733333333162591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5"/>
        <v>https://d0f6bd738d7f1b3e5a7ca70fe4ff75f0.us-east-1.aws.found.io/app/kibana#/discover/Steve-Slow-Train-Analysis-(2080s-and-2083s)?_g=(refreshInterval:(display:Off,pause:!f,section:0,value:0),time:(from:'2017-02-10T09:22:22-0700',mode:absolute,to:'2017-02-10T12:14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188" t="str">
        <f t="shared" si="21"/>
        <v>N</v>
      </c>
      <c r="X60" s="188">
        <f t="shared" si="22"/>
        <v>1</v>
      </c>
      <c r="Y60" s="62">
        <f t="shared" si="8"/>
        <v>23.299399999999999</v>
      </c>
      <c r="Z60" s="62">
        <f t="shared" si="9"/>
        <v>0.1162</v>
      </c>
      <c r="AA60" s="62">
        <f t="shared" si="10"/>
        <v>23.183199999999999</v>
      </c>
      <c r="AB60" s="59" t="str">
        <f>VLOOKUP(A60,Enforcements!$C$7:$K$14,8,0)</f>
        <v>Bulletin (2)</v>
      </c>
      <c r="AC60" s="55" t="str">
        <f>VLOOKUP(A60,Enforcements!$C$7:$E$14,3,0)</f>
        <v>GRADE CROSSING</v>
      </c>
      <c r="AD60" s="56" t="str">
        <f t="shared" si="11"/>
        <v>0148-10</v>
      </c>
      <c r="AE60" s="85" t="str">
        <f t="shared" si="12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60" s="82" t="str">
        <f t="shared" si="13"/>
        <v>"C:\Program Files (x86)\AstroGrep\AstroGrep.exe" /spath="%USERPROFILE%\AppData\Local\Temp\OnboardLogs" /stypes="app*4008*20170210*"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148-10 --locoid 4008 --swversion DE.1.0.8.0 --startMP 204:232994 --initTime 2017-02-10T10:22:22 --startdatetime 2017-02-10T10:26:18 --delay 1 --endMP 204:1162 --enddatetime 2017-02-10T11:14:02 --enforcementcount 0 &gt;&gt;C:\Users\stu\Documents\GitHub\eaglep3-reporting\EC\2017-02-10-refined-times.txt</v>
      </c>
      <c r="AI60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{"issue":{"subject":"","project_id":79,"tracker_id":40,"status_id":1,"priority_id":2,"assigned_to_id":23,"start_date":"2017-02-10","description":"","custom_fields":[{"id":1,"name":"Subdivision","value":"EC"},{"id":4,"name":"Milepost","value":"0.1162"},{"id":17,"name":"Train ID","value":"148-10"},{"id":16,"name":"Locomotive ID","value":"4008"},{"id":130,"name":"Impact","value":""},{"id":150,"name":"Time of Event (Mountain Time)","value":"11:14:02"},{"id":151,"name":"Denver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4008 --day 2017-02-10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2017-02-10-UncaughtWiMAX.txt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623</v>
      </c>
      <c r="B61" s="7">
        <v>4046</v>
      </c>
      <c r="C61" s="21" t="s">
        <v>193</v>
      </c>
      <c r="D61" s="21" t="s">
        <v>315</v>
      </c>
      <c r="E61" s="13">
        <v>42776.402129629627</v>
      </c>
      <c r="F61" s="13">
        <v>42776.406550925924</v>
      </c>
      <c r="G61" s="7">
        <v>1</v>
      </c>
      <c r="H61" s="21" t="s">
        <v>297</v>
      </c>
      <c r="I61" s="13">
        <v>42776.431956018518</v>
      </c>
      <c r="J61" s="7">
        <v>0</v>
      </c>
      <c r="K61" s="98" t="str">
        <f t="shared" si="0"/>
        <v>4045/4046</v>
      </c>
      <c r="L61" s="21" t="str">
        <f>VLOOKUP(A61,'Trips&amp;Operators'!$C$1:$G$99999,5,FALSE)</f>
        <v>STARKS ANGELINA</v>
      </c>
      <c r="M61" s="6">
        <f t="shared" si="1"/>
        <v>2.5405092594155576E-2</v>
      </c>
      <c r="N61" s="7">
        <f t="shared" si="23"/>
        <v>36.58333333558403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5"/>
        <v>https://d0f6bd738d7f1b3e5a7ca70fe4ff75f0.us-east-1.aws.found.io/app/kibana#/discover/Steve-Slow-Train-Analysis-(2080s-and-2083s)?_g=(refreshInterval:(display:Off,pause:!f,section:0,value:0),time:(from:'2017-02-10T08:39:04-0700',mode:absolute,to:'2017-02-10T11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8" t="str">
        <f t="shared" si="21"/>
        <v>N</v>
      </c>
      <c r="X61" s="188">
        <f t="shared" si="22"/>
        <v>1</v>
      </c>
      <c r="Y61" s="62">
        <f t="shared" si="8"/>
        <v>4.4200000000000003E-2</v>
      </c>
      <c r="Z61" s="62">
        <f t="shared" si="9"/>
        <v>23.330400000000001</v>
      </c>
      <c r="AA61" s="62">
        <f t="shared" si="10"/>
        <v>23.286200000000001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 t="shared" si="11"/>
        <v>0149-10</v>
      </c>
      <c r="AE61" s="85" t="str">
        <f t="shared" si="12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61" s="82" t="str">
        <f t="shared" si="13"/>
        <v>"C:\Program Files (x86)\AstroGrep\AstroGrep.exe" /spath="%USERPROFILE%\AppData\Local\Temp\OnboardLogs" /stypes="app*4046*20170210*"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149-10 --locoid 4046 --swversion DE.1.0.8.0 --startMP 204:442 --initTime 2017-02-10T09:39:04 --startdatetime 2017-02-10T09:45:26 --delay 1 --endMP 204:233304 --enddatetime 2017-02-10T10:22:01 --enforcementcount 0 &gt;&gt;C:\Users\stu\Documents\GitHub\eaglep3-reporting\EC\2017-02-10-refined-times.txt</v>
      </c>
      <c r="AI61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{"issue":{"subject":"","project_id":79,"tracker_id":40,"status_id":1,"priority_id":2,"assigned_to_id":23,"start_date":"2017-02-10","description":"","custom_fields":[{"id":1,"name":"Subdivision","value":"EC"},{"id":4,"name":"Milepost","value":"23.3304"},{"id":17,"name":"Train ID","value":"149-10"},{"id":16,"name":"Locomotive ID","value":"4046"},{"id":130,"name":"Impact","value":""},{"id":150,"name":"Time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4046 --day 2017-02-10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632</v>
      </c>
      <c r="B62" s="7">
        <v>4045</v>
      </c>
      <c r="C62" s="21" t="s">
        <v>193</v>
      </c>
      <c r="D62" s="21" t="s">
        <v>496</v>
      </c>
      <c r="E62" s="13">
        <v>42776.443206018521</v>
      </c>
      <c r="F62" s="13">
        <v>42776.445324074077</v>
      </c>
      <c r="G62" s="7">
        <v>1</v>
      </c>
      <c r="H62" s="21" t="s">
        <v>328</v>
      </c>
      <c r="I62" s="13">
        <v>42776.479618055557</v>
      </c>
      <c r="J62" s="7">
        <v>0</v>
      </c>
      <c r="K62" s="98" t="str">
        <f t="shared" si="0"/>
        <v>4045/4046</v>
      </c>
      <c r="L62" s="21" t="str">
        <f>VLOOKUP(A62,'Trips&amp;Operators'!$C$1:$G$99999,5,FALSE)</f>
        <v>STARKS ANGELINA</v>
      </c>
      <c r="M62" s="6">
        <f t="shared" si="1"/>
        <v>3.4293981480004732E-2</v>
      </c>
      <c r="N62" s="7">
        <f t="shared" si="23"/>
        <v>49.383333331206813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5"/>
        <v>https://d0f6bd738d7f1b3e5a7ca70fe4ff75f0.us-east-1.aws.found.io/app/kibana#/discover/Steve-Slow-Train-Analysis-(2080s-and-2083s)?_g=(refreshInterval:(display:Off,pause:!f,section:0,value:0),time:(from:'2017-02-10T09:38:13-0700',mode:absolute,to:'2017-02-10T12:30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8" t="str">
        <f t="shared" si="21"/>
        <v>N</v>
      </c>
      <c r="X62" s="188">
        <f t="shared" si="22"/>
        <v>1</v>
      </c>
      <c r="Y62" s="62">
        <f t="shared" si="8"/>
        <v>23.298500000000001</v>
      </c>
      <c r="Z62" s="62">
        <f t="shared" si="9"/>
        <v>1.6500000000000001E-2</v>
      </c>
      <c r="AA62" s="62">
        <f t="shared" si="10"/>
        <v>23.282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 t="shared" si="11"/>
        <v>0150-10</v>
      </c>
      <c r="AE62" s="85" t="str">
        <f t="shared" si="12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62" s="82" t="str">
        <f t="shared" si="13"/>
        <v>"C:\Program Files (x86)\AstroGrep\AstroGrep.exe" /spath="%USERPROFILE%\AppData\Local\Temp\OnboardLogs" /stypes="app*4045*20170210*"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150-10 --locoid 4045 --swversion DE.1.0.8.0 --startMP 204:232985 --initTime 2017-02-10T10:38:13 --startdatetime 2017-02-10T10:41:16 --delay 1 --endMP 204:165 --enddatetime 2017-02-10T11:30:39 --enforcementcount 0 &gt;&gt;C:\Users\stu\Documents\GitHub\eaglep3-reporting\EC\2017-02-10-refined-times.txt</v>
      </c>
      <c r="AI62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{"issue":{"subject":"","project_id":79,"tracker_id":40,"status_id":1,"priority_id":2,"assigned_to_id":23,"start_date":"2017-02-10","description":"","custom_fields":[{"id":1,"name":"Subdivision","value":"EC"},{"id":4,"name":"Milepost","value":"0.0165"},{"id":17,"name":"Train ID","value":"150-10"},{"id":16,"name":"Locomotive ID","value":"4045"},{"id":130,"name":"Impact","value":""},{"id":150,"name":"Time of Event (Mountain Time)","value":"11:30:39"},{"id":151,"name":"Denver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4045 --day 2017-02-10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625</v>
      </c>
      <c r="B63" s="7">
        <v>4020</v>
      </c>
      <c r="C63" s="21" t="s">
        <v>193</v>
      </c>
      <c r="D63" s="21" t="s">
        <v>218</v>
      </c>
      <c r="E63" s="13">
        <v>42776.412152777775</v>
      </c>
      <c r="F63" s="13">
        <v>42776.417025462964</v>
      </c>
      <c r="G63" s="7">
        <v>2</v>
      </c>
      <c r="H63" s="21" t="s">
        <v>501</v>
      </c>
      <c r="I63" s="13">
        <v>42776.449247685188</v>
      </c>
      <c r="J63" s="7">
        <v>0</v>
      </c>
      <c r="K63" s="98" t="str">
        <f t="shared" si="0"/>
        <v>4019/4020</v>
      </c>
      <c r="L63" s="21" t="str">
        <f>VLOOKUP(A63,'Trips&amp;Operators'!$C$1:$G$99999,5,FALSE)</f>
        <v>LOZA FIDEL</v>
      </c>
      <c r="M63" s="6">
        <f t="shared" si="1"/>
        <v>3.2222222223936114E-2</v>
      </c>
      <c r="N63" s="7">
        <f t="shared" si="23"/>
        <v>46.400000002468005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5"/>
        <v>https://d0f6bd738d7f1b3e5a7ca70fe4ff75f0.us-east-1.aws.found.io/app/kibana#/discover/Steve-Slow-Train-Analysis-(2080s-and-2083s)?_g=(refreshInterval:(display:Off,pause:!f,section:0,value:0),time:(from:'2017-02-10T08:53:30-0700',mode:absolute,to:'2017-02-10T11:46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8" t="str">
        <f t="shared" si="21"/>
        <v>N</v>
      </c>
      <c r="X63" s="188">
        <f t="shared" si="22"/>
        <v>1</v>
      </c>
      <c r="Y63" s="62">
        <f t="shared" si="8"/>
        <v>4.6899999999999997E-2</v>
      </c>
      <c r="Z63" s="62">
        <f t="shared" si="9"/>
        <v>23.330100000000002</v>
      </c>
      <c r="AA63" s="62">
        <f t="shared" si="10"/>
        <v>23.283200000000001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 t="shared" si="11"/>
        <v>0151-10</v>
      </c>
      <c r="AE63" s="85" t="str">
        <f t="shared" si="12"/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63" s="82" t="str">
        <f t="shared" si="13"/>
        <v>"C:\Program Files (x86)\AstroGrep\AstroGrep.exe" /spath="%USERPROFILE%\AppData\Local\Temp\OnboardLogs" /stypes="app*4020*20170210*"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151-10 --locoid 4020 --swversion DE.1.0.8.0 --startMP 204:469 --initTime 2017-02-10T09:53:30 --startdatetime 2017-02-10T10:00:31 --delay 2 --endMP 204:233301 --enddatetime 2017-02-10T10:46:55 --enforcementcount 0 &gt;&gt;C:\Users\stu\Documents\GitHub\eaglep3-reporting\EC\2017-02-10-refined-times.txt</v>
      </c>
      <c r="AI63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{"issue":{"subject":"","project_id":79,"tracker_id":40,"status_id":1,"priority_id":2,"assigned_to_id":23,"start_date":"2017-02-10","description":"","custom_fields":[{"id":1,"name":"Subdivision","value":"EC"},{"id":4,"name":"Milepost","value":"23.3301"},{"id":17,"name":"Train ID","value":"151-10"},{"id":16,"name":"Locomotive ID","value":"4020"},{"id":130,"name":"Impact","value":""},{"id":150,"name":"Time of Event (Mountain Time)","value":"10:46:55"},{"id":151,"name":"Denver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4020 --day 2017-02-10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"%USERPROFILE%\AppData\Local\Temp\OnboardLogs"\RTDC4020\*4020*20170210* | grep -SE "(Enforcement Action)|(\[TIMEOUT)|(CHR.+\|PRM\|1\|D.+(SWITCH|SIGNAL).+UNKNOWN)" - &gt;&gt; 2017-02-10-UncaughtWiMAX.txt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634</v>
      </c>
      <c r="B64" s="7">
        <v>4019</v>
      </c>
      <c r="C64" s="21" t="s">
        <v>193</v>
      </c>
      <c r="D64" s="21" t="s">
        <v>376</v>
      </c>
      <c r="E64" s="13">
        <v>42776.454722222225</v>
      </c>
      <c r="F64" s="13">
        <v>42776.456608796296</v>
      </c>
      <c r="G64" s="7">
        <v>1</v>
      </c>
      <c r="H64" s="21" t="s">
        <v>787</v>
      </c>
      <c r="I64" s="13">
        <v>42776.488796296297</v>
      </c>
      <c r="J64" s="7">
        <v>0</v>
      </c>
      <c r="K64" s="98" t="str">
        <f t="shared" si="0"/>
        <v>4019/4020</v>
      </c>
      <c r="L64" s="21" t="str">
        <f>VLOOKUP(A64,'Trips&amp;Operators'!$C$1:$G$99999,5,FALSE)</f>
        <v>LOZA FIDEL</v>
      </c>
      <c r="M64" s="6">
        <f t="shared" si="1"/>
        <v>3.2187500000873115E-2</v>
      </c>
      <c r="N64" s="7"/>
      <c r="O64" s="7"/>
      <c r="P64" s="7">
        <f>24*60*SUM($M64:$M64)</f>
        <v>46.350000001257285</v>
      </c>
      <c r="Q64" s="22"/>
      <c r="R64" s="22" t="s">
        <v>908</v>
      </c>
      <c r="S64" s="31">
        <f t="shared" si="3"/>
        <v>1</v>
      </c>
      <c r="T64" s="46" t="str">
        <f t="shared" si="4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5"/>
        <v>https://d0f6bd738d7f1b3e5a7ca70fe4ff75f0.us-east-1.aws.found.io/app/kibana#/discover/Steve-Slow-Train-Analysis-(2080s-and-2083s)?_g=(refreshInterval:(display:Off,pause:!f,section:0,value:0),time:(from:'2017-02-10T09:54:48-0700',mode:absolute,to:'2017-02-10T12:43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8" t="str">
        <f t="shared" si="21"/>
        <v>Y</v>
      </c>
      <c r="X64" s="188">
        <f t="shared" si="22"/>
        <v>1</v>
      </c>
      <c r="Y64" s="62">
        <f t="shared" si="8"/>
        <v>23.2986</v>
      </c>
      <c r="Z64" s="62">
        <f t="shared" si="9"/>
        <v>0.86890000000000001</v>
      </c>
      <c r="AA64" s="62">
        <f t="shared" si="10"/>
        <v>22.4297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 t="shared" si="11"/>
        <v>0152-10</v>
      </c>
      <c r="AE64" s="85" t="str">
        <f t="shared" si="12"/>
        <v>aws s3 cp s3://rtdc.mdm.uploadarchive.raw/RTDC4019/ "%USERPROFILE%\AppData\Local\Temp\OnboardLogs"\RTDC4019\2017-02-10 --exclude "*" --recursive --include "*20170210*" &amp; "%USERPROFILE%\Documents\GitHub\mrs-test-scripts\Headless Mode &amp; Sideloading\WalkAndUnGZ.bat" "%USERPROFILE%\AppData\Local\Temp\OnboardLogs"\RTDC4019\2017-02-10 &amp; aws s3 cp s3://rtdc.mdm.uploadarchive.raw/RTDC4019/ "%USERPROFILE%\AppData\Local\Temp\OnboardLogs"\RTDC4019\2017-02-11 --exclude "*" --recursive --include "*20170211*" &amp; "%USERPROFILE%\Documents\GitHub\mrs-test-scripts\Headless Mode &amp; Sideloading\WalkAndUnGZ.bat" "%USERPROFILE%\AppData\Local\Temp\OnboardLogs"\RTDC4019\2017-02-11</v>
      </c>
      <c r="AF64" s="82" t="str">
        <f t="shared" si="13"/>
        <v>"C:\Program Files (x86)\AstroGrep\AstroGrep.exe" /spath="%USERPROFILE%\AppData\Local\Temp\OnboardLogs" /stypes="app*4019*20170210*"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152-10 --locoid 4019 --swversion DE.1.0.8.0 --startMP 204:232986 --initTime 2017-02-10T10:54:48 --startdatetime 2017-02-10T10:57:31 --delay 1 --endMP 204:8689 --enddatetime 2017-02-10T11:43:52 --enforcementcount 0 &gt;&gt;C:\Users\stu\Documents\GitHub\eaglep3-reporting\EC\2017-02-10-refined-times.txt</v>
      </c>
      <c r="AI64" s="108" t="str">
        <f t="shared" si="19"/>
        <v>echo {"issue":{"subject":"DUS 4S was RESTRICTING, red fence confused driver (stopped &gt;3000 ft away, needed to pull up &lt;1500 ft)","project_id":79,"tracker_id":40,"status_id":1,"priority_id":2,"assigned_to_id":23,"start_date":"2017-02-10","description":"","custom_fields":[{"id":1,"name":"Subdivision","value":"EC"},{"id":4,"name":"Milepost","value":"0.8689"},{"id":17,"name":"Train ID","value":"152-10"},{"id":16,"name":"Locomotive ID","value":"4019"},{"id":130,"name":"Impact","value":""},{"id":150,"name":"Time of Event (Mountain Time)","value":"11:43:52"},{"id":151,"name":"Denver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4019 --day 2017-02-10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"%USERPROFILE%\AppData\Local\Temp\OnboardLogs"\RTDC4019\*4019*20170210* | grep -SE "(Enforcement Action)|(\[TIMEOUT)|(CHR.+\|PRM\|1\|D.+(SWITCH|SIGNAL).+UNKNOWN)" - &gt;&gt; 2017-02-10-UncaughtWiMAX.txt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627</v>
      </c>
      <c r="B65" s="7">
        <v>4038</v>
      </c>
      <c r="C65" s="21" t="s">
        <v>193</v>
      </c>
      <c r="D65" s="21" t="s">
        <v>207</v>
      </c>
      <c r="E65" s="13">
        <v>42776.42255787037</v>
      </c>
      <c r="F65" s="13">
        <v>42776.427303240744</v>
      </c>
      <c r="G65" s="7">
        <v>2</v>
      </c>
      <c r="H65" s="21" t="s">
        <v>305</v>
      </c>
      <c r="I65" s="13">
        <v>42776.460358796299</v>
      </c>
      <c r="J65" s="7">
        <v>0</v>
      </c>
      <c r="K65" s="98" t="str">
        <f t="shared" si="0"/>
        <v>4037/4038</v>
      </c>
      <c r="L65" s="21" t="str">
        <f>VLOOKUP(A65,'Trips&amp;Operators'!$C$1:$G$99999,5,FALSE)</f>
        <v>BONDS REYNALDO</v>
      </c>
      <c r="M65" s="6">
        <f t="shared" si="1"/>
        <v>3.3055555555620231E-2</v>
      </c>
      <c r="N65" s="7">
        <f t="shared" ref="N65:N101" si="24">24*60*SUM($M65:$M65)</f>
        <v>47.600000000093132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5"/>
        <v>https://d0f6bd738d7f1b3e5a7ca70fe4ff75f0.us-east-1.aws.found.io/app/kibana#/discover/Steve-Slow-Train-Analysis-(2080s-and-2083s)?_g=(refreshInterval:(display:Off,pause:!f,section:0,value:0),time:(from:'2017-02-10T09:08:29-0700',mode:absolute,to:'2017-02-10T12:02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5" s="188" t="str">
        <f t="shared" si="21"/>
        <v>N</v>
      </c>
      <c r="X65" s="188">
        <f t="shared" si="22"/>
        <v>1</v>
      </c>
      <c r="Y65" s="62">
        <f t="shared" si="8"/>
        <v>4.4900000000000002E-2</v>
      </c>
      <c r="Z65" s="62">
        <f t="shared" si="9"/>
        <v>23.3309</v>
      </c>
      <c r="AA65" s="62">
        <f t="shared" si="10"/>
        <v>23.286000000000001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 t="shared" si="11"/>
        <v>0153-10</v>
      </c>
      <c r="AE65" s="85" t="str">
        <f t="shared" si="12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65" s="82" t="str">
        <f t="shared" si="13"/>
        <v>"C:\Program Files (x86)\AstroGrep\AstroGrep.exe" /spath="%USERPROFILE%\AppData\Local\Temp\OnboardLogs" /stypes="app*4038*20170210*"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153-10 --locoid 4038 --swversion DE.1.0.8.0 --startMP 204:449 --initTime 2017-02-10T10:08:29 --startdatetime 2017-02-10T10:15:19 --delay 2 --endMP 204:233309 --enddatetime 2017-02-10T11:02:55 --enforcementcount 0 &gt;&gt;C:\Users\stu\Documents\GitHub\eaglep3-reporting\EC\2017-02-10-refined-times.txt</v>
      </c>
      <c r="AI6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{"issue":{"subject":"","project_id":79,"tracker_id":40,"status_id":1,"priority_id":2,"assigned_to_id":23,"start_date":"2017-02-10","description":"","custom_fields":[{"id":1,"name":"Subdivision","value":"EC"},{"id":4,"name":"Milepost","value":"23.3309"},{"id":17,"name":"Train ID","value":"153-10"},{"id":16,"name":"Locomotive ID","value":"4038"},{"id":130,"name":"Impact","value":""},{"id":150,"name":"Time of Event (Mountain Time)","value":"11:02:55"},{"id":151,"name":"Denver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4038 --day 2017-02-10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636</v>
      </c>
      <c r="B66" s="7">
        <v>4037</v>
      </c>
      <c r="C66" s="21" t="s">
        <v>193</v>
      </c>
      <c r="D66" s="21" t="s">
        <v>304</v>
      </c>
      <c r="E66" s="13">
        <v>42776.462199074071</v>
      </c>
      <c r="F66" s="13">
        <v>42776.466192129628</v>
      </c>
      <c r="G66" s="7">
        <v>1</v>
      </c>
      <c r="H66" s="21" t="s">
        <v>195</v>
      </c>
      <c r="I66" s="13">
        <v>42776.494768518518</v>
      </c>
      <c r="J66" s="7">
        <v>0</v>
      </c>
      <c r="K66" s="98" t="str">
        <f t="shared" si="0"/>
        <v>4037/4038</v>
      </c>
      <c r="L66" s="21" t="str">
        <f>VLOOKUP(A66,'Trips&amp;Operators'!$C$1:$G$99999,5,FALSE)</f>
        <v>BONDS REYNALDO</v>
      </c>
      <c r="M66" s="6">
        <f t="shared" si="1"/>
        <v>2.8576388889632653E-2</v>
      </c>
      <c r="N66" s="7">
        <f t="shared" si="24"/>
        <v>41.150000001071021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5"/>
        <v>https://d0f6bd738d7f1b3e5a7ca70fe4ff75f0.us-east-1.aws.found.io/app/kibana#/discover/Steve-Slow-Train-Analysis-(2080s-and-2083s)?_g=(refreshInterval:(display:Off,pause:!f,section:0,value:0),time:(from:'2017-02-10T10:05:34-0700',mode:absolute,to:'2017-02-10T12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6" s="188" t="str">
        <f t="shared" si="21"/>
        <v>N</v>
      </c>
      <c r="X66" s="188">
        <f t="shared" si="22"/>
        <v>1</v>
      </c>
      <c r="Y66" s="62">
        <f t="shared" si="8"/>
        <v>23.297699999999999</v>
      </c>
      <c r="Z66" s="62">
        <f t="shared" si="9"/>
        <v>1.4999999999999999E-2</v>
      </c>
      <c r="AA66" s="62">
        <f t="shared" si="10"/>
        <v>23.282699999999998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 t="shared" si="11"/>
        <v>0154-10</v>
      </c>
      <c r="AE66" s="85" t="str">
        <f t="shared" si="12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66" s="82" t="str">
        <f t="shared" si="13"/>
        <v>"C:\Program Files (x86)\AstroGrep\AstroGrep.exe" /spath="%USERPROFILE%\AppData\Local\Temp\OnboardLogs" /stypes="app*4037*20170210*"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154-10 --locoid 4037 --swversion DE.1.0.8.0 --startMP 204:232977 --initTime 2017-02-10T11:05:34 --startdatetime 2017-02-10T11:11:19 --delay 1 --endMP 204:150 --enddatetime 2017-02-10T11:52:28 --enforcementcount 0 &gt;&gt;C:\Users\stu\Documents\GitHub\eaglep3-reporting\EC\2017-02-10-refined-times.txt</v>
      </c>
      <c r="AI6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{"issue":{"subject":"","project_id":79,"tracker_id":40,"status_id":1,"priority_id":2,"assigned_to_id":23,"start_date":"2017-02-10","description":"","custom_fields":[{"id":1,"name":"Subdivision","value":"EC"},{"id":4,"name":"Milepost","value":"0.015"},{"id":17,"name":"Train ID","value":"154-10"},{"id":16,"name":"Locomotive ID","value":"4037"},{"id":130,"name":"Impact","value":""},{"id":150,"name":"Time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4037 --day 2017-02-10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628</v>
      </c>
      <c r="B67" s="7">
        <v>4027</v>
      </c>
      <c r="C67" s="21" t="s">
        <v>193</v>
      </c>
      <c r="D67" s="21" t="s">
        <v>375</v>
      </c>
      <c r="E67" s="13">
        <v>42776.433229166665</v>
      </c>
      <c r="F67" s="13">
        <v>42776.437662037039</v>
      </c>
      <c r="G67" s="7">
        <v>1</v>
      </c>
      <c r="H67" s="21" t="s">
        <v>788</v>
      </c>
      <c r="I67" s="13">
        <v>42776.467604166668</v>
      </c>
      <c r="J67" s="7">
        <v>0</v>
      </c>
      <c r="K67" s="98" t="str">
        <f t="shared" si="0"/>
        <v>4027/4028</v>
      </c>
      <c r="L67" s="21" t="str">
        <f>VLOOKUP(A67,'Trips&amp;Operators'!$C$1:$G$99999,5,FALSE)</f>
        <v>STRICKLAND EVAN</v>
      </c>
      <c r="M67" s="6">
        <f t="shared" si="1"/>
        <v>2.99421296294895E-2</v>
      </c>
      <c r="N67" s="7">
        <f t="shared" si="24"/>
        <v>43.11666666646488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5"/>
        <v>https://d0f6bd738d7f1b3e5a7ca70fe4ff75f0.us-east-1.aws.found.io/app/kibana#/discover/Steve-Slow-Train-Analysis-(2080s-and-2083s)?_g=(refreshInterval:(display:Off,pause:!f,section:0,value:0),time:(from:'2017-02-10T09:23:51-0700',mode:absolute,to:'2017-02-10T12:13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88" t="str">
        <f t="shared" si="21"/>
        <v>N</v>
      </c>
      <c r="X67" s="188">
        <f t="shared" si="22"/>
        <v>1</v>
      </c>
      <c r="Y67" s="62">
        <f t="shared" si="8"/>
        <v>4.3999999999999997E-2</v>
      </c>
      <c r="Z67" s="62">
        <f t="shared" si="9"/>
        <v>23.331399999999999</v>
      </c>
      <c r="AA67" s="62">
        <f t="shared" si="10"/>
        <v>23.287399999999998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 t="shared" si="11"/>
        <v>0155-10</v>
      </c>
      <c r="AE67" s="85" t="str">
        <f t="shared" si="12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67" s="82" t="str">
        <f t="shared" si="13"/>
        <v>"C:\Program Files (x86)\AstroGrep\AstroGrep.exe" /spath="%USERPROFILE%\AppData\Local\Temp\OnboardLogs" /stypes="app*4027*20170210*"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155-10 --locoid 4027 --swversion DE.1.0.8.0 --startMP 204:440 --initTime 2017-02-10T10:23:51 --startdatetime 2017-02-10T10:30:14 --delay 1 --endMP 204:233314 --enddatetime 2017-02-10T11:13:21 --enforcementcount 0 &gt;&gt;C:\Users\stu\Documents\GitHub\eaglep3-reporting\EC\2017-02-10-refined-times.txt</v>
      </c>
      <c r="AI67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{"issue":{"subject":"","project_id":79,"tracker_id":40,"status_id":1,"priority_id":2,"assigned_to_id":23,"start_date":"2017-02-10","description":"","custom_fields":[{"id":1,"name":"Subdivision","value":"EC"},{"id":4,"name":"Milepost","value":"23.3314"},{"id":17,"name":"Train ID","value":"155-10"},{"id":16,"name":"Locomotive ID","value":"4027"},{"id":130,"name":"Impact","value":""},{"id":150,"name":"Time of Event (Mountain Time)","value":"11:13:21"},{"id":151,"name":"Denver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4027 --day 2017-02-10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546</v>
      </c>
      <c r="B68" s="7">
        <v>4028</v>
      </c>
      <c r="C68" s="21" t="s">
        <v>193</v>
      </c>
      <c r="D68" s="21" t="s">
        <v>789</v>
      </c>
      <c r="E68" s="13">
        <v>42776.473182870373</v>
      </c>
      <c r="F68" s="13">
        <v>42776.476736111108</v>
      </c>
      <c r="G68" s="7">
        <v>2</v>
      </c>
      <c r="H68" s="21" t="s">
        <v>209</v>
      </c>
      <c r="I68" s="13">
        <v>42776.502615740741</v>
      </c>
      <c r="J68" s="7">
        <v>0</v>
      </c>
      <c r="K68" s="98" t="str">
        <f t="shared" si="0"/>
        <v>4027/4028</v>
      </c>
      <c r="L68" s="21" t="str">
        <f>VLOOKUP(A68,'Trips&amp;Operators'!$C$1:$G$99999,5,FALSE)</f>
        <v>STRICKLAND EVAN</v>
      </c>
      <c r="M68" s="6">
        <f t="shared" si="1"/>
        <v>2.587962963298196E-2</v>
      </c>
      <c r="N68" s="7">
        <f t="shared" si="24"/>
        <v>37.266666671494022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5"/>
        <v>https://d0f6bd738d7f1b3e5a7ca70fe4ff75f0.us-east-1.aws.found.io/app/kibana#/discover/Steve-Slow-Train-Analysis-(2080s-and-2083s)?_g=(refreshInterval:(display:Off,pause:!f,section:0,value:0),time:(from:'2017-02-10T10:21:23-0700',mode:absolute,to:'2017-02-10T13:03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188" t="str">
        <f t="shared" si="21"/>
        <v>N</v>
      </c>
      <c r="X68" s="188">
        <f t="shared" si="22"/>
        <v>1</v>
      </c>
      <c r="Y68" s="62">
        <f t="shared" si="8"/>
        <v>23.300999999999998</v>
      </c>
      <c r="Z68" s="62">
        <f t="shared" si="9"/>
        <v>1.5800000000000002E-2</v>
      </c>
      <c r="AA68" s="62">
        <f t="shared" si="10"/>
        <v>23.2852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 t="shared" si="11"/>
        <v>0156-10</v>
      </c>
      <c r="AE68" s="85" t="str">
        <f t="shared" si="12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68" s="82" t="str">
        <f t="shared" si="13"/>
        <v>"C:\Program Files (x86)\AstroGrep\AstroGrep.exe" /spath="%USERPROFILE%\AppData\Local\Temp\OnboardLogs" /stypes="app*4028*20170210*"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156-10 --locoid 4028 --swversion DE.1.0.8.0 --startMP 204:233010 --initTime 2017-02-10T11:21:23 --startdatetime 2017-02-10T11:26:30 --delay 2 --endMP 204:158 --enddatetime 2017-02-10T12:03:46 --enforcementcount 0 &gt;&gt;C:\Users\stu\Documents\GitHub\eaglep3-reporting\EC\2017-02-10-refined-times.txt</v>
      </c>
      <c r="AI68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{"issue":{"subject":"","project_id":79,"tracker_id":40,"status_id":1,"priority_id":2,"assigned_to_id":23,"start_date":"2017-02-10","description":"","custom_fields":[{"id":1,"name":"Subdivision","value":"EC"},{"id":4,"name":"Milepost","value":"0.0158"},{"id":17,"name":"Train ID","value":"156-10"},{"id":16,"name":"Locomotive ID","value":"4028"},{"id":130,"name":"Impact","value":""},{"id":150,"name":"Time of Event (Mountain Time)","value":"12:03:46"},{"id":151,"name":"Denver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4028 --day 2017-02-10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633</v>
      </c>
      <c r="B69" s="7">
        <v>4009</v>
      </c>
      <c r="C69" s="21" t="s">
        <v>193</v>
      </c>
      <c r="D69" s="21" t="s">
        <v>790</v>
      </c>
      <c r="E69" s="13">
        <v>42776.445486111108</v>
      </c>
      <c r="F69" s="13">
        <v>42776.448113425926</v>
      </c>
      <c r="G69" s="7">
        <v>1</v>
      </c>
      <c r="H69" s="21" t="s">
        <v>302</v>
      </c>
      <c r="I69" s="13">
        <v>42776.479826388888</v>
      </c>
      <c r="J69" s="7">
        <v>0</v>
      </c>
      <c r="K69" s="98" t="str">
        <f t="shared" si="0"/>
        <v>4009/4010</v>
      </c>
      <c r="L69" s="21" t="str">
        <f>VLOOKUP(A69,'Trips&amp;Operators'!$C$1:$G$99999,5,FALSE)</f>
        <v>ROCHA YAOTL</v>
      </c>
      <c r="M69" s="6">
        <f t="shared" si="1"/>
        <v>3.1712962962046731E-2</v>
      </c>
      <c r="N69" s="7">
        <f t="shared" si="24"/>
        <v>45.666666665347293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5"/>
        <v>https://d0f6bd738d7f1b3e5a7ca70fe4ff75f0.us-east-1.aws.found.io/app/kibana#/discover/Steve-Slow-Train-Analysis-(2080s-and-2083s)?_g=(refreshInterval:(display:Off,pause:!f,section:0,value:0),time:(from:'2017-02-10T09:41:30-0700',mode:absolute,to:'2017-02-10T12:30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9" s="188" t="str">
        <f t="shared" si="21"/>
        <v>N</v>
      </c>
      <c r="X69" s="188">
        <f t="shared" si="22"/>
        <v>1</v>
      </c>
      <c r="Y69" s="62">
        <f t="shared" si="8"/>
        <v>4.3499999999999997E-2</v>
      </c>
      <c r="Z69" s="62">
        <f t="shared" si="9"/>
        <v>23.3291</v>
      </c>
      <c r="AA69" s="62">
        <f t="shared" si="10"/>
        <v>23.285599999999999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 t="shared" si="11"/>
        <v>0157-10</v>
      </c>
      <c r="AE69" s="85" t="str">
        <f t="shared" si="12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69" s="82" t="str">
        <f t="shared" si="13"/>
        <v>"C:\Program Files (x86)\AstroGrep\AstroGrep.exe" /spath="%USERPROFILE%\AppData\Local\Temp\OnboardLogs" /stypes="app*4009*20170210*"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157-10 --locoid 4009 --swversion DE.1.0.8.0 --startMP 204:435 --initTime 2017-02-10T10:41:30 --startdatetime 2017-02-10T10:45:17 --delay 1 --endMP 204:233291 --enddatetime 2017-02-10T11:30:57 --enforcementcount 0 &gt;&gt;C:\Users\stu\Documents\GitHub\eaglep3-reporting\EC\2017-02-10-refined-times.txt</v>
      </c>
      <c r="AI69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{"issue":{"subject":"","project_id":79,"tracker_id":40,"status_id":1,"priority_id":2,"assigned_to_id":23,"start_date":"2017-02-10","description":"","custom_fields":[{"id":1,"name":"Subdivision","value":"EC"},{"id":4,"name":"Milepost","value":"23.3291"},{"id":17,"name":"Train ID","value":"157-10"},{"id":16,"name":"Locomotive ID","value":"4009"},{"id":130,"name":"Impact","value":""},{"id":150,"name":"Time of Event (Mountain Time)","value":"11:30:57"},{"id":151,"name":"Denver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4009 --day 2017-02-10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644</v>
      </c>
      <c r="B70" s="7">
        <v>4010</v>
      </c>
      <c r="C70" s="21" t="s">
        <v>193</v>
      </c>
      <c r="D70" s="21" t="s">
        <v>376</v>
      </c>
      <c r="E70" s="13">
        <v>42776.482939814814</v>
      </c>
      <c r="F70" s="13">
        <v>42776.48709490741</v>
      </c>
      <c r="G70" s="7">
        <v>1</v>
      </c>
      <c r="H70" s="21" t="s">
        <v>195</v>
      </c>
      <c r="I70" s="13">
        <v>42776.512349537035</v>
      </c>
      <c r="J70" s="7">
        <v>0</v>
      </c>
      <c r="K70" s="98" t="str">
        <f t="shared" si="0"/>
        <v>4009/4010</v>
      </c>
      <c r="L70" s="21" t="str">
        <f>VLOOKUP(A70,'Trips&amp;Operators'!$C$1:$G$99999,5,FALSE)</f>
        <v>ROCHA YAOTL</v>
      </c>
      <c r="M70" s="6">
        <f t="shared" si="1"/>
        <v>2.5254629625123926E-2</v>
      </c>
      <c r="N70" s="7">
        <f t="shared" si="24"/>
        <v>36.366666660178453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5"/>
        <v>https://d0f6bd738d7f1b3e5a7ca70fe4ff75f0.us-east-1.aws.found.io/app/kibana#/discover/Steve-Slow-Train-Analysis-(2080s-and-2083s)?_g=(refreshInterval:(display:Off,pause:!f,section:0,value:0),time:(from:'2017-02-10T10:35:26-0700',mode:absolute,to:'2017-02-10T13:17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188" t="str">
        <f t="shared" si="21"/>
        <v>N</v>
      </c>
      <c r="X70" s="188">
        <f t="shared" si="22"/>
        <v>1</v>
      </c>
      <c r="Y70" s="62">
        <f t="shared" si="8"/>
        <v>23.2986</v>
      </c>
      <c r="Z70" s="62">
        <f t="shared" si="9"/>
        <v>1.4999999999999999E-2</v>
      </c>
      <c r="AA70" s="62">
        <f t="shared" si="10"/>
        <v>23.2836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 t="shared" si="11"/>
        <v>0158-10</v>
      </c>
      <c r="AE70" s="85" t="str">
        <f t="shared" si="12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70" s="82" t="str">
        <f t="shared" si="13"/>
        <v>"C:\Program Files (x86)\AstroGrep\AstroGrep.exe" /spath="%USERPROFILE%\AppData\Local\Temp\OnboardLogs" /stypes="app*4010*20170210*"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158-10 --locoid 4010 --swversion DE.1.0.8.0 --startMP 204:232986 --initTime 2017-02-10T11:35:26 --startdatetime 2017-02-10T11:41:25 --delay 1 --endMP 204:150 --enddatetime 2017-02-10T12:17:47 --enforcementcount 0 &gt;&gt;C:\Users\stu\Documents\GitHub\eaglep3-reporting\EC\2017-02-10-refined-times.txt</v>
      </c>
      <c r="AI70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{"issue":{"subject":"","project_id":79,"tracker_id":40,"status_id":1,"priority_id":2,"assigned_to_id":23,"start_date":"2017-02-10","description":"","custom_fields":[{"id":1,"name":"Subdivision","value":"EC"},{"id":4,"name":"Milepost","value":"0.015"},{"id":17,"name":"Train ID","value":"158-10"},{"id":16,"name":"Locomotive ID","value":"4010"},{"id":130,"name":"Impact","value":""},{"id":150,"name":"Time of Event (Mountain Time)","value":"12:17:47"},{"id":151,"name":"Denver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4010 --day 2017-02-10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2017-02-10-UncaughtWiMAX.txt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638</v>
      </c>
      <c r="B71" s="7">
        <v>4040</v>
      </c>
      <c r="C71" s="21" t="s">
        <v>193</v>
      </c>
      <c r="D71" s="21" t="s">
        <v>296</v>
      </c>
      <c r="E71" s="13">
        <v>42776.463067129633</v>
      </c>
      <c r="F71" s="13">
        <v>42776.465092592596</v>
      </c>
      <c r="G71" s="7">
        <v>1</v>
      </c>
      <c r="H71" s="21" t="s">
        <v>791</v>
      </c>
      <c r="I71" s="13">
        <v>42776.491400462961</v>
      </c>
      <c r="J71" s="7">
        <v>0</v>
      </c>
      <c r="K71" s="98" t="str">
        <f t="shared" si="0"/>
        <v>4039/4040</v>
      </c>
      <c r="L71" s="21" t="str">
        <f>VLOOKUP(A71,'Trips&amp;Operators'!$C$1:$G$99999,5,FALSE)</f>
        <v>STEWART MICHAEL</v>
      </c>
      <c r="M71" s="6">
        <f t="shared" si="1"/>
        <v>2.6307870364689734E-2</v>
      </c>
      <c r="N71" s="7">
        <f t="shared" si="24"/>
        <v>37.883333325153217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5"/>
        <v>https://d0f6bd738d7f1b3e5a7ca70fe4ff75f0.us-east-1.aws.found.io/app/kibana#/discover/Steve-Slow-Train-Analysis-(2080s-and-2083s)?_g=(refreshInterval:(display:Off,pause:!f,section:0,value:0),time:(from:'2017-02-10T10:06:49-0700',mode:absolute,to:'2017-02-10T12:47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188" t="str">
        <f t="shared" si="21"/>
        <v>N</v>
      </c>
      <c r="X71" s="188">
        <f t="shared" si="22"/>
        <v>1</v>
      </c>
      <c r="Y71" s="62">
        <f t="shared" si="8"/>
        <v>4.3700000000000003E-2</v>
      </c>
      <c r="Z71" s="62">
        <f t="shared" si="9"/>
        <v>23.331700000000001</v>
      </c>
      <c r="AA71" s="62">
        <f t="shared" si="10"/>
        <v>23.288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 t="shared" si="11"/>
        <v>0159-10</v>
      </c>
      <c r="AE71" s="85" t="str">
        <f t="shared" si="12"/>
        <v>aws s3 cp s3://rtdc.mdm.uploadarchive.raw/RTDC4040/ "%USERPROFILE%\AppData\Local\Temp\OnboardLogs"\RTDC4040\2017-02-10 --exclude "*" --recursive --include "*20170210*" &amp; "%USERPROFILE%\Documents\GitHub\mrs-test-scripts\Headless Mode &amp; Sideloading\WalkAndUnGZ.bat" "%USERPROFILE%\AppData\Local\Temp\OnboardLogs"\RTDC4040\2017-02-10 &amp; 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</v>
      </c>
      <c r="AF71" s="82" t="str">
        <f t="shared" si="13"/>
        <v>"C:\Program Files (x86)\AstroGrep\AstroGrep.exe" /spath="%USERPROFILE%\AppData\Local\Temp\OnboardLogs" /stypes="app*4040*20170210*"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159-10 --locoid 4040 --swversion DE.1.0.8.0 --startMP 204:437 --initTime 2017-02-10T11:06:49 --startdatetime 2017-02-10T11:09:44 --delay 1 --endMP 204:233317 --enddatetime 2017-02-10T11:47:37 --enforcementcount 0 &gt;&gt;C:\Users\stu\Documents\GitHub\eaglep3-reporting\EC\2017-02-10-refined-times.txt</v>
      </c>
      <c r="AI71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{"issue":{"subject":"","project_id":79,"tracker_id":40,"status_id":1,"priority_id":2,"assigned_to_id":23,"start_date":"2017-02-10","description":"","custom_fields":[{"id":1,"name":"Subdivision","value":"EC"},{"id":4,"name":"Milepost","value":"23.3317"},{"id":17,"name":"Train ID","value":"159-10"},{"id":16,"name":"Locomotive ID","value":"4040"},{"id":130,"name":"Impact","value":""},{"id":150,"name":"Time of Event (Mountain Time)","value":"11:47:37"},{"id":151,"name":"Denver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4040 --day 2017-02-10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"%USERPROFILE%\AppData\Local\Temp\OnboardLogs"\RTDC4040\*4040*20170210* | grep -SE "(Enforcement Action)|(\[TIMEOUT)|(CHR.+\|PRM\|1\|D.+(SWITCH|SIGNAL).+UNKNOWN)" - &gt;&gt; 2017-02-10-UncaughtWiMAX.txt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647</v>
      </c>
      <c r="B72" s="7">
        <v>4039</v>
      </c>
      <c r="C72" s="21" t="s">
        <v>193</v>
      </c>
      <c r="D72" s="21" t="s">
        <v>301</v>
      </c>
      <c r="E72" s="13">
        <v>42776.496203703704</v>
      </c>
      <c r="F72" s="13">
        <v>42776.497870370367</v>
      </c>
      <c r="G72" s="7">
        <v>1</v>
      </c>
      <c r="H72" s="21" t="s">
        <v>220</v>
      </c>
      <c r="I72" s="13">
        <v>42776.525081018517</v>
      </c>
      <c r="J72" s="7">
        <v>0</v>
      </c>
      <c r="K72" s="98" t="str">
        <f t="shared" si="0"/>
        <v>4039/4040</v>
      </c>
      <c r="L72" s="21" t="str">
        <f>VLOOKUP(A72,'Trips&amp;Operators'!$C$1:$G$99999,5,FALSE)</f>
        <v>STEWART MICHAEL</v>
      </c>
      <c r="M72" s="6">
        <f t="shared" si="1"/>
        <v>2.7210648149775807E-2</v>
      </c>
      <c r="N72" s="7">
        <f t="shared" si="24"/>
        <v>39.183333335677162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5"/>
        <v>https://d0f6bd738d7f1b3e5a7ca70fe4ff75f0.us-east-1.aws.found.io/app/kibana#/discover/Steve-Slow-Train-Analysis-(2080s-and-2083s)?_g=(refreshInterval:(display:Off,pause:!f,section:0,value:0),time:(from:'2017-02-10T10:54:32-0700',mode:absolute,to:'2017-02-10T13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188" t="str">
        <f t="shared" si="21"/>
        <v>N</v>
      </c>
      <c r="X72" s="188">
        <f t="shared" si="22"/>
        <v>1</v>
      </c>
      <c r="Y72" s="62">
        <f t="shared" si="8"/>
        <v>23.299299999999999</v>
      </c>
      <c r="Z72" s="62">
        <f t="shared" si="9"/>
        <v>1.54E-2</v>
      </c>
      <c r="AA72" s="62">
        <f t="shared" si="10"/>
        <v>23.283899999999999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 t="shared" si="11"/>
        <v>0160-10</v>
      </c>
      <c r="AE72" s="85" t="str">
        <f t="shared" si="12"/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AF72" s="82" t="str">
        <f t="shared" si="13"/>
        <v>"C:\Program Files (x86)\AstroGrep\AstroGrep.exe" /spath="%USERPROFILE%\AppData\Local\Temp\OnboardLogs" /stypes="app*4039*20170210*"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160-10 --locoid 4039 --swversion DE.1.0.8.0 --startMP 204:232993 --initTime 2017-02-10T11:54:32 --startdatetime 2017-02-10T11:56:56 --delay 1 --endMP 204:154 --enddatetime 2017-02-10T12:36:07 --enforcementcount 0 &gt;&gt;C:\Users\stu\Documents\GitHub\eaglep3-reporting\EC\2017-02-10-refined-times.txt</v>
      </c>
      <c r="AI72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{"issue":{"subject":"","project_id":79,"tracker_id":40,"status_id":1,"priority_id":2,"assigned_to_id":23,"start_date":"2017-02-10","description":"","custom_fields":[{"id":1,"name":"Subdivision","value":"EC"},{"id":4,"name":"Milepost","value":"0.0154"},{"id":17,"name":"Train ID","value":"160-10"},{"id":16,"name":"Locomotive ID","value":"4039"},{"id":130,"name":"Impact","value":""},{"id":150,"name":"Time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4039 --day 2017-02-10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"%USERPROFILE%\AppData\Local\Temp\OnboardLogs"\RTDC4039\*4039*20170210* | grep -SE "(Enforcement Action)|(\[TIMEOUT)|(CHR.+\|PRM\|1\|D.+(SWITCH|SIGNAL).+UNKNOWN)" - &gt;&gt; 2017-02-10-UncaughtWiMAX.txt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640</v>
      </c>
      <c r="B73" s="7">
        <v>4018</v>
      </c>
      <c r="C73" s="21" t="s">
        <v>193</v>
      </c>
      <c r="D73" s="21" t="s">
        <v>327</v>
      </c>
      <c r="E73" s="13">
        <v>42776.464444444442</v>
      </c>
      <c r="F73" s="13">
        <v>42776.469108796293</v>
      </c>
      <c r="G73" s="7">
        <v>3</v>
      </c>
      <c r="H73" s="21" t="s">
        <v>459</v>
      </c>
      <c r="I73" s="13">
        <v>42776.494976851849</v>
      </c>
      <c r="J73" s="7">
        <v>0</v>
      </c>
      <c r="K73" s="98" t="str">
        <f t="shared" si="0"/>
        <v>4017/4018</v>
      </c>
      <c r="L73" s="21" t="str">
        <f>VLOOKUP(A73,'Trips&amp;Operators'!$C$1:$G$99999,5,FALSE)</f>
        <v>ROMERO CHAD</v>
      </c>
      <c r="M73" s="6">
        <f t="shared" si="1"/>
        <v>2.5868055556202307E-2</v>
      </c>
      <c r="N73" s="7">
        <f t="shared" si="24"/>
        <v>37.250000000931323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5"/>
        <v>https://d0f6bd738d7f1b3e5a7ca70fe4ff75f0.us-east-1.aws.found.io/app/kibana#/discover/Steve-Slow-Train-Analysis-(2080s-and-2083s)?_g=(refreshInterval:(display:Off,pause:!f,section:0,value:0),time:(from:'2017-02-10T10:08:48-0700',mode:absolute,to:'2017-02-10T12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88" t="str">
        <f t="shared" si="21"/>
        <v>N</v>
      </c>
      <c r="X73" s="188">
        <f t="shared" si="22"/>
        <v>1</v>
      </c>
      <c r="Y73" s="62">
        <f t="shared" si="8"/>
        <v>4.6399999999999997E-2</v>
      </c>
      <c r="Z73" s="62">
        <f t="shared" si="9"/>
        <v>23.328800000000001</v>
      </c>
      <c r="AA73" s="62">
        <f t="shared" si="10"/>
        <v>23.282400000000003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 t="shared" si="11"/>
        <v>0161-10</v>
      </c>
      <c r="AE73" s="85" t="str">
        <f t="shared" si="12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73" s="82" t="str">
        <f t="shared" si="13"/>
        <v>"C:\Program Files (x86)\AstroGrep\AstroGrep.exe" /spath="%USERPROFILE%\AppData\Local\Temp\OnboardLogs" /stypes="app*4018*20170210*"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161-10 --locoid 4018 --swversion DE.1.0.8.0 --startMP 204:464 --initTime 2017-02-10T11:08:48 --startdatetime 2017-02-10T11:15:31 --delay 3 --endMP 204:233288 --enddatetime 2017-02-10T11:52:46 --enforcementcount 0 &gt;&gt;C:\Users\stu\Documents\GitHub\eaglep3-reporting\EC\2017-02-10-refined-times.txt</v>
      </c>
      <c r="AI73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{"issue":{"subject":"","project_id":79,"tracker_id":40,"status_id":1,"priority_id":2,"assigned_to_id":23,"start_date":"2017-02-10","description":"","custom_fields":[{"id":1,"name":"Subdivision","value":"EC"},{"id":4,"name":"Milepost","value":"23.3288"},{"id":17,"name":"Train ID","value":"161-10"},{"id":16,"name":"Locomotive ID","value":"4018"},{"id":130,"name":"Impact","value":""},{"id":150,"name":"Time of Event (Mountain Time)","value":"11:52:46"},{"id":151,"name":"Denver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4018 --day 2017-02-10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649</v>
      </c>
      <c r="B74" s="7">
        <v>4017</v>
      </c>
      <c r="C74" s="21" t="s">
        <v>193</v>
      </c>
      <c r="D74" s="21" t="s">
        <v>792</v>
      </c>
      <c r="E74" s="13">
        <v>42776.498368055552</v>
      </c>
      <c r="F74" s="13">
        <v>42776.507928240739</v>
      </c>
      <c r="G74" s="7">
        <v>1</v>
      </c>
      <c r="H74" s="21" t="s">
        <v>510</v>
      </c>
      <c r="I74" s="13">
        <v>42776.534988425927</v>
      </c>
      <c r="J74" s="7">
        <v>0</v>
      </c>
      <c r="K74" s="98" t="str">
        <f t="shared" si="0"/>
        <v>4017/4018</v>
      </c>
      <c r="L74" s="21" t="str">
        <f>VLOOKUP(A74,'Trips&amp;Operators'!$C$1:$G$99999,5,FALSE)</f>
        <v>ROMERO CHAD</v>
      </c>
      <c r="M74" s="6">
        <f t="shared" si="1"/>
        <v>2.7060185188020114E-2</v>
      </c>
      <c r="N74" s="7">
        <f t="shared" si="24"/>
        <v>38.966666670748964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5"/>
        <v>https://d0f6bd738d7f1b3e5a7ca70fe4ff75f0.us-east-1.aws.found.io/app/kibana#/discover/Steve-Slow-Train-Analysis-(2080s-and-2083s)?_g=(refreshInterval:(display:Off,pause:!f,section:0,value:0),time:(from:'2017-02-10T10:57:39-0700',mode:absolute,to:'2017-02-10T13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188" t="str">
        <f t="shared" si="21"/>
        <v>N</v>
      </c>
      <c r="X74" s="188">
        <f t="shared" si="22"/>
        <v>1</v>
      </c>
      <c r="Y74" s="62">
        <f t="shared" si="8"/>
        <v>23.2959</v>
      </c>
      <c r="Z74" s="62">
        <f t="shared" si="9"/>
        <v>1.47E-2</v>
      </c>
      <c r="AA74" s="62">
        <f t="shared" si="10"/>
        <v>23.281199999999998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 t="shared" si="11"/>
        <v>0162-10</v>
      </c>
      <c r="AE74" s="85" t="str">
        <f t="shared" si="12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74" s="82" t="str">
        <f t="shared" si="13"/>
        <v>"C:\Program Files (x86)\AstroGrep\AstroGrep.exe" /spath="%USERPROFILE%\AppData\Local\Temp\OnboardLogs" /stypes="app*4017*20170210*"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162-10 --locoid 4017 --swversion DE.1.0.8.0 --startMP 204:232959 --initTime 2017-02-10T11:57:39 --startdatetime 2017-02-10T12:11:25 --delay 1 --endMP 204:147 --enddatetime 2017-02-10T12:50:23 --enforcementcount 0 &gt;&gt;C:\Users\stu\Documents\GitHub\eaglep3-reporting\EC\2017-02-10-refined-times.txt</v>
      </c>
      <c r="AI74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{"issue":{"subject":"","project_id":79,"tracker_id":40,"status_id":1,"priority_id":2,"assigned_to_id":23,"start_date":"2017-02-10","description":"","custom_fields":[{"id":1,"name":"Subdivision","value":"EC"},{"id":4,"name":"Milepost","value":"0.0147"},{"id":17,"name":"Train ID","value":"162-10"},{"id":16,"name":"Locomotive ID","value":"4017"},{"id":130,"name":"Impact","value":""},{"id":150,"name":"Time of Event (Mountain Time)","value":"12:50:23"},{"id":151,"name":"Denver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4017 --day 2017-02-10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643</v>
      </c>
      <c r="B75" s="7">
        <v>4046</v>
      </c>
      <c r="C75" s="21" t="s">
        <v>193</v>
      </c>
      <c r="D75" s="21" t="s">
        <v>205</v>
      </c>
      <c r="E75" s="13">
        <v>42776.480740740742</v>
      </c>
      <c r="F75" s="13">
        <v>42776.482476851852</v>
      </c>
      <c r="G75" s="7">
        <v>1</v>
      </c>
      <c r="H75" s="21" t="s">
        <v>339</v>
      </c>
      <c r="I75" s="13">
        <v>42776.513506944444</v>
      </c>
      <c r="J75" s="7">
        <v>0</v>
      </c>
      <c r="K75" s="98" t="str">
        <f t="shared" si="0"/>
        <v>4045/4046</v>
      </c>
      <c r="L75" s="21" t="str">
        <f>VLOOKUP(A75,'Trips&amp;Operators'!$C$1:$G$99999,5,FALSE)</f>
        <v>CLARK KATHLEEN</v>
      </c>
      <c r="M75" s="6">
        <f t="shared" si="1"/>
        <v>3.1030092592118308E-2</v>
      </c>
      <c r="N75" s="7">
        <f t="shared" si="24"/>
        <v>44.683333332650363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5"/>
        <v>https://d0f6bd738d7f1b3e5a7ca70fe4ff75f0.us-east-1.aws.found.io/app/kibana#/discover/Steve-Slow-Train-Analysis-(2080s-and-2083s)?_g=(refreshInterval:(display:Off,pause:!f,section:0,value:0),time:(from:'2017-02-10T10:32:16-0700',mode:absolute,to:'2017-02-10T13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188" t="str">
        <f t="shared" si="21"/>
        <v>N</v>
      </c>
      <c r="X75" s="188">
        <f t="shared" si="22"/>
        <v>1</v>
      </c>
      <c r="Y75" s="62">
        <f t="shared" si="8"/>
        <v>4.6199999999999998E-2</v>
      </c>
      <c r="Z75" s="62">
        <f t="shared" si="9"/>
        <v>23.329499999999999</v>
      </c>
      <c r="AA75" s="62">
        <f t="shared" si="10"/>
        <v>23.283300000000001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 t="shared" si="11"/>
        <v>0163-10</v>
      </c>
      <c r="AE75" s="85" t="str">
        <f t="shared" si="12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75" s="82" t="str">
        <f t="shared" si="13"/>
        <v>"C:\Program Files (x86)\AstroGrep\AstroGrep.exe" /spath="%USERPROFILE%\AppData\Local\Temp\OnboardLogs" /stypes="app*4046*20170210*"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163-10 --locoid 4046 --swversion DE.1.0.8.0 --startMP 204:462 --initTime 2017-02-10T11:32:16 --startdatetime 2017-02-10T11:34:46 --delay 1 --endMP 204:233295 --enddatetime 2017-02-10T12:19:27 --enforcementcount 0 &gt;&gt;C:\Users\stu\Documents\GitHub\eaglep3-reporting\EC\2017-02-10-refined-times.txt</v>
      </c>
      <c r="AI75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{"issue":{"subject":"","project_id":79,"tracker_id":40,"status_id":1,"priority_id":2,"assigned_to_id":23,"start_date":"2017-02-10","description":"","custom_fields":[{"id":1,"name":"Subdivision","value":"EC"},{"id":4,"name":"Milepost","value":"23.3295"},{"id":17,"name":"Train ID","value":"163-10"},{"id":16,"name":"Locomotive ID","value":"4046"},{"id":130,"name":"Impact","value":""},{"id":150,"name":"Time of Event (Mountain Time)","value":"12:19:27"},{"id":151,"name":"Denver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4046 --day 2017-02-10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653</v>
      </c>
      <c r="B76" s="7">
        <v>4045</v>
      </c>
      <c r="C76" s="21" t="s">
        <v>193</v>
      </c>
      <c r="D76" s="21" t="s">
        <v>508</v>
      </c>
      <c r="E76" s="13">
        <v>42776.516087962962</v>
      </c>
      <c r="F76" s="13">
        <v>42776.518240740741</v>
      </c>
      <c r="G76" s="7">
        <v>1</v>
      </c>
      <c r="H76" s="21" t="s">
        <v>328</v>
      </c>
      <c r="I76" s="13">
        <v>42776.546134259261</v>
      </c>
      <c r="J76" s="7">
        <v>0</v>
      </c>
      <c r="K76" s="98" t="str">
        <f t="shared" si="0"/>
        <v>4045/4046</v>
      </c>
      <c r="L76" s="21" t="str">
        <f>VLOOKUP(A76,'Trips&amp;Operators'!$C$1:$G$99999,5,FALSE)</f>
        <v>CLARK KATHLEEN</v>
      </c>
      <c r="M76" s="6">
        <f t="shared" si="1"/>
        <v>2.789351851970423E-2</v>
      </c>
      <c r="N76" s="7">
        <f t="shared" si="24"/>
        <v>40.166666668374091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5"/>
        <v>https://d0f6bd738d7f1b3e5a7ca70fe4ff75f0.us-east-1.aws.found.io/app/kibana#/discover/Steve-Slow-Train-Analysis-(2080s-and-2083s)?_g=(refreshInterval:(display:Off,pause:!f,section:0,value:0),time:(from:'2017-02-10T11:23:10-0700',mode:absolute,to:'2017-02-10T14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188" t="str">
        <f t="shared" si="21"/>
        <v>N</v>
      </c>
      <c r="X76" s="188">
        <f t="shared" si="22"/>
        <v>1</v>
      </c>
      <c r="Y76" s="62">
        <f t="shared" si="8"/>
        <v>23.297000000000001</v>
      </c>
      <c r="Z76" s="62">
        <f t="shared" si="9"/>
        <v>1.6500000000000001E-2</v>
      </c>
      <c r="AA76" s="62">
        <f t="shared" si="10"/>
        <v>23.2805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 t="shared" si="11"/>
        <v>0164-10</v>
      </c>
      <c r="AE76" s="85" t="str">
        <f t="shared" si="12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76" s="82" t="str">
        <f t="shared" si="13"/>
        <v>"C:\Program Files (x86)\AstroGrep\AstroGrep.exe" /spath="%USERPROFILE%\AppData\Local\Temp\OnboardLogs" /stypes="app*4045*20170210*"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164-10 --locoid 4045 --swversion DE.1.0.8.0 --startMP 204:232970 --initTime 2017-02-10T12:23:10 --startdatetime 2017-02-10T12:26:16 --delay 1 --endMP 204:165 --enddatetime 2017-02-10T13:06:26 --enforcementcount 0 &gt;&gt;C:\Users\stu\Documents\GitHub\eaglep3-reporting\EC\2017-02-10-refined-times.txt</v>
      </c>
      <c r="AI76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{"issue":{"subject":"","project_id":79,"tracker_id":40,"status_id":1,"priority_id":2,"assigned_to_id":23,"start_date":"2017-02-10","description":"","custom_fields":[{"id":1,"name":"Subdivision","value":"EC"},{"id":4,"name":"Milepost","value":"0.0165"},{"id":17,"name":"Train ID","value":"164-10"},{"id":16,"name":"Locomotive ID","value":"4045"},{"id":130,"name":"Impact","value":""},{"id":150,"name":"Time of Event (Mountain Time)","value":"13:06:26"},{"id":151,"name":"Denver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4045 --day 2017-02-10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646</v>
      </c>
      <c r="B77" s="7">
        <v>4007</v>
      </c>
      <c r="C77" s="21" t="s">
        <v>193</v>
      </c>
      <c r="D77" s="21" t="s">
        <v>793</v>
      </c>
      <c r="E77" s="13">
        <v>42776.48746527778</v>
      </c>
      <c r="F77" s="13">
        <v>42776.491956018515</v>
      </c>
      <c r="G77" s="7">
        <v>1</v>
      </c>
      <c r="H77" s="21" t="s">
        <v>314</v>
      </c>
      <c r="I77" s="13">
        <v>42776.516909722224</v>
      </c>
      <c r="J77" s="7">
        <v>0</v>
      </c>
      <c r="K77" s="98" t="str">
        <f t="shared" ref="K77:K140" si="25">IF(ISEVEN(B77),(B77-1)&amp;"/"&amp;B77,B77&amp;"/"&amp;(B77+1))</f>
        <v>4007/4008</v>
      </c>
      <c r="L77" s="21" t="str">
        <f>VLOOKUP(A77,'Trips&amp;Operators'!$C$1:$G$99999,5,FALSE)</f>
        <v>BRUDER RICHARD</v>
      </c>
      <c r="M77" s="6">
        <f t="shared" ref="M77:M140" si="26">I77-F77</f>
        <v>2.4953703708888497E-2</v>
      </c>
      <c r="N77" s="7">
        <f t="shared" si="24"/>
        <v>35.933333340799436</v>
      </c>
      <c r="O77" s="7"/>
      <c r="P77" s="7"/>
      <c r="Q77" s="22"/>
      <c r="R77" s="22"/>
      <c r="S77" s="31">
        <f t="shared" ref="S77:S140" si="27">SUM(U77:U77)/IF(AG77="EC",12,1)</f>
        <v>1</v>
      </c>
      <c r="T77" s="46" t="str">
        <f t="shared" ref="T77:T140" si="28">IF(ISEVEN(LEFT(AD77,4)),"Southbound","NorthBound")</f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-10T10:41:57-0700',mode:absolute,to:'2017-02-10T13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188" t="str">
        <f t="shared" si="21"/>
        <v>N</v>
      </c>
      <c r="X77" s="188">
        <f t="shared" si="22"/>
        <v>1</v>
      </c>
      <c r="Y77" s="62">
        <f t="shared" ref="Y77:Y140" si="30">RIGHT(D77,LEN(D77)-4)/10000</f>
        <v>3.9800000000000002E-2</v>
      </c>
      <c r="Z77" s="62">
        <f t="shared" ref="Z77:Z140" si="31">RIGHT(H77,LEN(H77)-4)/10000</f>
        <v>23.3293</v>
      </c>
      <c r="AA77" s="62">
        <f t="shared" ref="AA77:AA140" si="32">ABS(Z77-Y77)</f>
        <v>23.2895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 t="shared" ref="AD77:AD140" si="33">IF(LEN(A77)=6,"0"&amp;A77,A77)</f>
        <v>0165-10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77" s="82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/stypes="app*4007*20170210*" /stext=" 19:.+((SYSTEM_STATE.+slice.+state.+changed )|(ment ac)|(multiple cpu faults)|(system.+state.+changed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165-10 --locoid 4007 --swversion DE.1.0.8.0 --startMP 204:398 --initTime 2017-02-10T11:41:57 --startdatetime 2017-02-10T11:48:25 --delay 1 --endMP 204:233293 --enddatetime 2017-02-10T12:24:21 --enforcementcount 0 &gt;&gt;C:\Users\stu\Documents\GitHub\eaglep3-reporting\EC\2017-02-10-refined-times.txt</v>
      </c>
      <c r="AI77" s="108" t="str">
        <f t="shared" si="19"/>
        <v>echo {"issue":{"subject":"","project_id":79,"tracker_id":40,"status_id":1,"priority_id":2,"assigned_to_id":23,"start_date":"2017-02-10","description":"","custom_fields":[{"id":1,"name":"Subdivision","value":"EC"},{"id":4,"name":"Milepost","value":"23.3293"},{"id":17,"name":"Train ID","value":"165-10"},{"id":16,"name":"Locomotive ID","value":"4007"},{"id":130,"name":"Impact","value":""},{"id":150,"name":"Time of Event (Mountain Time)","value":"12:24:21"},{"id":151,"name":"Denver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4007 --day 2017-02-10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654</v>
      </c>
      <c r="B78" s="7">
        <v>4008</v>
      </c>
      <c r="C78" s="21" t="s">
        <v>193</v>
      </c>
      <c r="D78" s="21" t="s">
        <v>461</v>
      </c>
      <c r="E78" s="13">
        <v>42776.5233912037</v>
      </c>
      <c r="F78" s="13">
        <v>42776.528703703705</v>
      </c>
      <c r="G78" s="7">
        <v>2</v>
      </c>
      <c r="H78" s="21" t="s">
        <v>295</v>
      </c>
      <c r="I78" s="13">
        <v>42776.554930555554</v>
      </c>
      <c r="J78" s="7">
        <v>0</v>
      </c>
      <c r="K78" s="98" t="str">
        <f t="shared" si="25"/>
        <v>4007/4008</v>
      </c>
      <c r="L78" s="21" t="str">
        <f>VLOOKUP(A78,'Trips&amp;Operators'!$C$1:$G$99999,5,FALSE)</f>
        <v>BRUDER RICHARD</v>
      </c>
      <c r="M78" s="6">
        <f t="shared" si="26"/>
        <v>2.622685184906004E-2</v>
      </c>
      <c r="N78" s="7">
        <f t="shared" si="24"/>
        <v>37.766666662646458</v>
      </c>
      <c r="O78" s="7"/>
      <c r="P78" s="7"/>
      <c r="Q78" s="22"/>
      <c r="R78" s="22"/>
      <c r="S78" s="31">
        <f t="shared" si="27"/>
        <v>1</v>
      </c>
      <c r="T78" s="46" t="str">
        <f t="shared" si="28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29"/>
        <v>https://d0f6bd738d7f1b3e5a7ca70fe4ff75f0.us-east-1.aws.found.io/app/kibana#/discover/Steve-Slow-Train-Analysis-(2080s-and-2083s)?_g=(refreshInterval:(display:Off,pause:!f,section:0,value:0),time:(from:'2017-02-10T11:33:41-0700',mode:absolute,to:'2017-02-10T14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188" t="str">
        <f t="shared" si="21"/>
        <v>N</v>
      </c>
      <c r="X78" s="188">
        <f t="shared" si="22"/>
        <v>1</v>
      </c>
      <c r="Y78" s="62">
        <f t="shared" si="30"/>
        <v>23.297499999999999</v>
      </c>
      <c r="Z78" s="62">
        <f t="shared" si="31"/>
        <v>1.3899999999999999E-2</v>
      </c>
      <c r="AA78" s="62">
        <f t="shared" si="32"/>
        <v>23.2836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 t="shared" si="33"/>
        <v>0166-10</v>
      </c>
      <c r="AE78" s="85" t="str">
        <f t="shared" si="34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78" s="82" t="str">
        <f t="shared" si="35"/>
        <v>"C:\Program Files (x86)\AstroGrep\AstroGrep.exe" /spath="%USERPROFILE%\AppData\Local\Temp\OnboardLogs" /stypes="app*4008*20170210*" /stext=" 20:.+((SYSTEM_STATE.+slice.+state.+changed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86" t="str">
        <f t="shared" ref="AH78:AH140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166-10 --locoid 4008 --swversion DE.1.0.8.0 --startMP 204:232975 --initTime 2017-02-10T12:33:41 --startdatetime 2017-02-10T12:41:20 --delay 2 --endMP 204:139 --enddatetime 2017-02-10T13:19:06 --enforcementcount 0 &gt;&gt;C:\Users\stu\Documents\GitHub\eaglep3-reporting\EC\2017-02-10-refined-times.txt</v>
      </c>
      <c r="AI78" s="108" t="str">
        <f t="shared" ref="AI78:AI140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{"issue":{"subject":"","project_id":79,"tracker_id":40,"status_id":1,"priority_id":2,"assigned_to_id":23,"start_date":"2017-02-10","description":"","custom_fields":[{"id":1,"name":"Subdivision","value":"EC"},{"id":4,"name":"Milepost","value":"0.0139"},{"id":17,"name":"Train ID","value":"166-10"},{"id":16,"name":"Locomotive ID","value":"4008"},{"id":130,"name":"Impact","value":""},{"id":150,"name":"Time of Event (Mountain Time)","value":"13:19:06"},{"id":151,"name":"Denver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39">"start /low /b "&amp;dls3logs&amp;" --loco "&amp;B78&amp;" --day "&amp;TEXT(F78,"YYYY-MM-DD")</f>
        <v>start /low /b %USERPROFILE%\Documents\GitHub\eaglep3\Utilities\DownloadLogsFromS3.py --loco 4008 --day 2017-02-10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2017-02-10-UncaughtWiMAX.txt</v>
      </c>
    </row>
    <row r="79" spans="1:91" x14ac:dyDescent="0.25">
      <c r="A79" s="33" t="s">
        <v>648</v>
      </c>
      <c r="B79" s="7">
        <v>4038</v>
      </c>
      <c r="C79" s="21" t="s">
        <v>193</v>
      </c>
      <c r="D79" s="21" t="s">
        <v>205</v>
      </c>
      <c r="E79" s="13">
        <v>42776.496840277781</v>
      </c>
      <c r="F79" s="13">
        <v>42776.500277777777</v>
      </c>
      <c r="G79" s="7">
        <v>2</v>
      </c>
      <c r="H79" s="21" t="s">
        <v>297</v>
      </c>
      <c r="I79" s="13">
        <v>42776.52542824074</v>
      </c>
      <c r="J79" s="7">
        <v>0</v>
      </c>
      <c r="K79" s="98" t="str">
        <f t="shared" si="25"/>
        <v>4037/4038</v>
      </c>
      <c r="L79" s="21" t="str">
        <f>VLOOKUP(A79,'Trips&amp;Operators'!$C$1:$G$99999,5,FALSE)</f>
        <v>HELVIE ADAM</v>
      </c>
      <c r="M79" s="6">
        <f t="shared" si="26"/>
        <v>2.5150462963210884E-2</v>
      </c>
      <c r="N79" s="7">
        <f t="shared" si="24"/>
        <v>36.216666667023674</v>
      </c>
      <c r="O79" s="7"/>
      <c r="P79" s="7"/>
      <c r="Q79" s="22"/>
      <c r="R79" s="22"/>
      <c r="S79" s="31">
        <f t="shared" si="27"/>
        <v>1</v>
      </c>
      <c r="T79" s="46" t="str">
        <f t="shared" si="28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29"/>
        <v>https://d0f6bd738d7f1b3e5a7ca70fe4ff75f0.us-east-1.aws.found.io/app/kibana#/discover/Steve-Slow-Train-Analysis-(2080s-and-2083s)?_g=(refreshInterval:(display:Off,pause:!f,section:0,value:0),time:(from:'2017-02-10T10:55:27-0700',mode:absolute,to:'2017-02-10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9" s="188" t="str">
        <f t="shared" si="21"/>
        <v>N</v>
      </c>
      <c r="X79" s="188">
        <f t="shared" si="22"/>
        <v>1</v>
      </c>
      <c r="Y79" s="62">
        <f t="shared" si="30"/>
        <v>4.6199999999999998E-2</v>
      </c>
      <c r="Z79" s="62">
        <f t="shared" si="31"/>
        <v>23.330400000000001</v>
      </c>
      <c r="AA79" s="62">
        <f t="shared" si="32"/>
        <v>23.284200000000002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 t="shared" si="33"/>
        <v>0167-10</v>
      </c>
      <c r="AE79" s="85" t="str">
        <f t="shared" si="34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79" s="82" t="str">
        <f t="shared" si="35"/>
        <v>"C:\Program Files (x86)\AstroGrep\AstroGrep.exe" /spath="%USERPROFILE%\AppData\Local\Temp\OnboardLogs" /stypes="app*4038*20170210*" /stext=" 19:.+((SYSTEM_STATE.+slice.+state.+changed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86" t="str">
        <f t="shared" si="37"/>
        <v>"%USERPROFILE%\Documents\GitHub\eaglep3\Utilities\RefineRTDCRunTimes.py" --tripid 167-10 --locoid 4038 --swversion DE.1.0.8.0 --startMP 204:462 --initTime 2017-02-10T11:55:27 --startdatetime 2017-02-10T12:00:24 --delay 2 --endMP 204:233304 --enddatetime 2017-02-10T12:36:37 --enforcementcount 0 &gt;&gt;C:\Users\stu\Documents\GitHub\eaglep3-reporting\EC\2017-02-10-refined-times.txt</v>
      </c>
      <c r="AI7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{"issue":{"subject":"","project_id":79,"tracker_id":40,"status_id":1,"priority_id":2,"assigned_to_id":23,"start_date":"2017-02-10","description":"","custom_fields":[{"id":1,"name":"Subdivision","value":"EC"},{"id":4,"name":"Milepost","value":"23.3304"},{"id":17,"name":"Train ID","value":"167-10"},{"id":16,"name":"Locomotive ID","value":"4038"},{"id":130,"name":"Impact","value":""},{"id":150,"name":"Time of Event (Mountain Time)","value":"12:36:37"},{"id":151,"name":"Denver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4038 --day 2017-02-10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</row>
    <row r="80" spans="1:91" s="20" customFormat="1" x14ac:dyDescent="0.25">
      <c r="A80" s="33" t="s">
        <v>657</v>
      </c>
      <c r="B80" s="7">
        <v>4037</v>
      </c>
      <c r="C80" s="21" t="s">
        <v>193</v>
      </c>
      <c r="D80" s="21" t="s">
        <v>301</v>
      </c>
      <c r="E80" s="13">
        <v>42776.535949074074</v>
      </c>
      <c r="F80" s="13">
        <v>42776.539351851854</v>
      </c>
      <c r="G80" s="7">
        <v>1</v>
      </c>
      <c r="H80" s="21" t="s">
        <v>198</v>
      </c>
      <c r="I80" s="13">
        <v>42776.564837962964</v>
      </c>
      <c r="J80" s="7">
        <v>0</v>
      </c>
      <c r="K80" s="98" t="str">
        <f t="shared" si="25"/>
        <v>4037/4038</v>
      </c>
      <c r="L80" s="21" t="str">
        <f>VLOOKUP(A80,'Trips&amp;Operators'!$C$1:$G$99999,5,FALSE)</f>
        <v>HELVIE ADAM</v>
      </c>
      <c r="M80" s="6">
        <f t="shared" si="26"/>
        <v>2.548611110978527E-2</v>
      </c>
      <c r="N80" s="7">
        <f t="shared" si="24"/>
        <v>36.699999998090789</v>
      </c>
      <c r="O80" s="7"/>
      <c r="P80" s="7"/>
      <c r="Q80" s="22"/>
      <c r="R80" s="22"/>
      <c r="S80" s="31">
        <f t="shared" si="27"/>
        <v>1</v>
      </c>
      <c r="T80" s="46" t="str">
        <f t="shared" si="28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29"/>
        <v>https://d0f6bd738d7f1b3e5a7ca70fe4ff75f0.us-east-1.aws.found.io/app/kibana#/discover/Steve-Slow-Train-Analysis-(2080s-and-2083s)?_g=(refreshInterval:(display:Off,pause:!f,section:0,value:0),time:(from:'2017-02-10T11:51:46-0700',mode:absolute,to:'2017-02-10T14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0" s="188" t="str">
        <f t="shared" si="21"/>
        <v>N</v>
      </c>
      <c r="X80" s="188">
        <f t="shared" si="22"/>
        <v>1</v>
      </c>
      <c r="Y80" s="62">
        <f t="shared" si="30"/>
        <v>23.299299999999999</v>
      </c>
      <c r="Z80" s="62">
        <f t="shared" si="31"/>
        <v>1.4500000000000001E-2</v>
      </c>
      <c r="AA80" s="62">
        <f t="shared" si="32"/>
        <v>23.284799999999997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 t="shared" si="33"/>
        <v>0168-10</v>
      </c>
      <c r="AE80" s="85" t="str">
        <f t="shared" si="34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80" s="82" t="str">
        <f t="shared" si="35"/>
        <v>"C:\Program Files (x86)\AstroGrep\AstroGrep.exe" /spath="%USERPROFILE%\AppData\Local\Temp\OnboardLogs" /stypes="app*4037*20170210*" /stext=" 20:.+((SYSTEM_STATE.+slice.+state.+changed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86" t="str">
        <f t="shared" si="37"/>
        <v>"%USERPROFILE%\Documents\GitHub\eaglep3\Utilities\RefineRTDCRunTimes.py" --tripid 168-10 --locoid 4037 --swversion DE.1.0.8.0 --startMP 204:232993 --initTime 2017-02-10T12:51:46 --startdatetime 2017-02-10T12:56:40 --delay 1 --endMP 204:145 --enddatetime 2017-02-10T13:33:22 --enforcementcount 0 &gt;&gt;C:\Users\stu\Documents\GitHub\eaglep3-reporting\EC\2017-02-10-refined-times.txt</v>
      </c>
      <c r="AI8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ID","value":"168-10"},{"id":16,"name":"Locomotive ID","value":"4037"},{"id":130,"name":"Impact","value":""},{"id":150,"name":"Time of Event (Mountain Time)","value":"13:33:22"},{"id":151,"name":"Denver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4037 --day 2017-02-10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651</v>
      </c>
      <c r="B81" s="7">
        <v>4027</v>
      </c>
      <c r="C81" s="21" t="s">
        <v>193</v>
      </c>
      <c r="D81" s="21" t="s">
        <v>353</v>
      </c>
      <c r="E81" s="13">
        <v>42776.509768518517</v>
      </c>
      <c r="F81" s="13">
        <v>42776.511041666665</v>
      </c>
      <c r="G81" s="7">
        <v>1</v>
      </c>
      <c r="H81" s="21" t="s">
        <v>302</v>
      </c>
      <c r="I81" s="13">
        <v>42776.53534722222</v>
      </c>
      <c r="J81" s="7">
        <v>0</v>
      </c>
      <c r="K81" s="98" t="str">
        <f t="shared" si="25"/>
        <v>4027/4028</v>
      </c>
      <c r="L81" s="21" t="str">
        <f>VLOOKUP(A81,'Trips&amp;Operators'!$C$1:$G$99999,5,FALSE)</f>
        <v>KILLION DAVID</v>
      </c>
      <c r="M81" s="6">
        <f t="shared" si="26"/>
        <v>2.4305555554747116E-2</v>
      </c>
      <c r="N81" s="7">
        <f t="shared" si="24"/>
        <v>34.999999998835847</v>
      </c>
      <c r="O81" s="7"/>
      <c r="P81" s="7"/>
      <c r="Q81" s="22"/>
      <c r="R81" s="22"/>
      <c r="S81" s="31">
        <f t="shared" si="27"/>
        <v>1</v>
      </c>
      <c r="T81" s="46" t="str">
        <f t="shared" si="28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29"/>
        <v>https://d0f6bd738d7f1b3e5a7ca70fe4ff75f0.us-east-1.aws.found.io/app/kibana#/discover/Steve-Slow-Train-Analysis-(2080s-and-2083s)?_g=(refreshInterval:(display:Off,pause:!f,section:0,value:0),time:(from:'2017-02-10T11:14:04-0700',mode:absolute,to:'2017-02-10T13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1" s="188" t="str">
        <f t="shared" ref="W81:W84" si="40">IF(AA81&lt;IF(AG81="EC",23,5.65),"Y","N")</f>
        <v>N</v>
      </c>
      <c r="X81" s="188">
        <f t="shared" ref="X81:X84" si="41">VALUE(LEFT(AD81,4))-VALUE(LEFT(AD80,4))</f>
        <v>1</v>
      </c>
      <c r="Y81" s="62">
        <f t="shared" si="30"/>
        <v>4.7300000000000002E-2</v>
      </c>
      <c r="Z81" s="62">
        <f t="shared" si="31"/>
        <v>23.3291</v>
      </c>
      <c r="AA81" s="62">
        <f t="shared" si="32"/>
        <v>23.2818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 t="shared" si="33"/>
        <v>0169-10</v>
      </c>
      <c r="AE81" s="85" t="str">
        <f t="shared" si="34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81" s="82" t="str">
        <f t="shared" si="35"/>
        <v>"C:\Program Files (x86)\AstroGrep\AstroGrep.exe" /spath="%USERPROFILE%\AppData\Local\Temp\OnboardLogs" /stypes="app*4027*20170210*" /stext=" 19:.+((SYSTEM_STATE.+slice.+state.+changed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86" t="str">
        <f t="shared" si="37"/>
        <v>"%USERPROFILE%\Documents\GitHub\eaglep3\Utilities\RefineRTDCRunTimes.py" --tripid 169-10 --locoid 4027 --swversion DE.1.0.8.0 --startMP 204:473 --initTime 2017-02-10T12:14:04 --startdatetime 2017-02-10T12:15:54 --delay 1 --endMP 204:233291 --enddatetime 2017-02-10T12:50:54 --enforcementcount 0 &gt;&gt;C:\Users\stu\Documents\GitHub\eaglep3-reporting\EC\2017-02-10-refined-times.txt</v>
      </c>
      <c r="AI81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{"issue":{"subject":"","project_id":79,"tracker_id":40,"status_id":1,"priority_id":2,"assigned_to_id":23,"start_date":"2017-02-10","description":"","custom_fields":[{"id":1,"name":"Subdivision","value":"EC"},{"id":4,"name":"Milepost","value":"23.3291"},{"id":17,"name":"Train ID","value":"169-10"},{"id":16,"name":"Locomotive ID","value":"4027"},{"id":130,"name":"Impact","value":""},{"id":150,"name":"Time of Event (Mountain Time)","value":"12:50:54"},{"id":151,"name":"Denver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4027 --day 2017-02-10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547</v>
      </c>
      <c r="B82" s="7">
        <v>4028</v>
      </c>
      <c r="C82" s="21" t="s">
        <v>193</v>
      </c>
      <c r="D82" s="21" t="s">
        <v>373</v>
      </c>
      <c r="E82" s="13">
        <v>42776.541724537034</v>
      </c>
      <c r="F82" s="13">
        <v>42776.549664351849</v>
      </c>
      <c r="G82" s="7">
        <v>1</v>
      </c>
      <c r="H82" s="21" t="s">
        <v>794</v>
      </c>
      <c r="I82" s="13">
        <v>42776.576192129629</v>
      </c>
      <c r="J82" s="7">
        <v>0</v>
      </c>
      <c r="K82" s="98" t="str">
        <f t="shared" si="25"/>
        <v>4027/4028</v>
      </c>
      <c r="L82" s="21" t="str">
        <f>VLOOKUP(A82,'Trips&amp;Operators'!$C$1:$G$99999,5,FALSE)</f>
        <v>KILLION DAVID</v>
      </c>
      <c r="M82" s="6">
        <f t="shared" si="26"/>
        <v>2.6527777779847383E-2</v>
      </c>
      <c r="N82" s="7">
        <f t="shared" si="24"/>
        <v>38.200000002980232</v>
      </c>
      <c r="O82" s="7"/>
      <c r="P82" s="7"/>
      <c r="Q82" s="22"/>
      <c r="R82" s="22"/>
      <c r="S82" s="31">
        <f t="shared" si="27"/>
        <v>1</v>
      </c>
      <c r="T82" s="46" t="str">
        <f t="shared" si="28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29"/>
        <v>https://d0f6bd738d7f1b3e5a7ca70fe4ff75f0.us-east-1.aws.found.io/app/kibana#/discover/Steve-Slow-Train-Analysis-(2080s-and-2083s)?_g=(refreshInterval:(display:Off,pause:!f,section:0,value:0),time:(from:'2017-02-10T12:00:05-0700',mode:absolute,to:'2017-02-10T14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188" t="str">
        <f t="shared" si="40"/>
        <v>N</v>
      </c>
      <c r="X82" s="188">
        <f t="shared" si="41"/>
        <v>1</v>
      </c>
      <c r="Y82" s="62">
        <f t="shared" si="30"/>
        <v>23.297999999999998</v>
      </c>
      <c r="Z82" s="62">
        <f t="shared" si="31"/>
        <v>1.9599999999999999E-2</v>
      </c>
      <c r="AA82" s="62">
        <f t="shared" si="32"/>
        <v>23.278399999999998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 t="shared" si="33"/>
        <v>0170-10</v>
      </c>
      <c r="AE82" s="85" t="str">
        <f t="shared" si="34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82" s="82" t="str">
        <f t="shared" si="35"/>
        <v>"C:\Program Files (x86)\AstroGrep\AstroGrep.exe" /spath="%USERPROFILE%\AppData\Local\Temp\OnboardLogs" /stypes="app*4028*20170210*" /stext=" 20:.+((SYSTEM_STATE.+slice.+state.+changed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86" t="str">
        <f t="shared" si="37"/>
        <v>"%USERPROFILE%\Documents\GitHub\eaglep3\Utilities\RefineRTDCRunTimes.py" --tripid 170-10 --locoid 4028 --swversion DE.1.0.8.0 --startMP 204:232980 --initTime 2017-02-10T13:00:05 --startdatetime 2017-02-10T13:11:31 --delay 1 --endMP 204:196 --enddatetime 2017-02-10T13:49:43 --enforcementcount 0 &gt;&gt;C:\Users\stu\Documents\GitHub\eaglep3-reporting\EC\2017-02-10-refined-times.txt</v>
      </c>
      <c r="AI82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{"issue":{"subject":"","project_id":79,"tracker_id":40,"status_id":1,"priority_id":2,"assigned_to_id":23,"start_date":"2017-02-10","description":"","custom_fields":[{"id":1,"name":"Subdivision","value":"EC"},{"id":4,"name":"Milepost","value":"0.0196"},{"id":17,"name":"Train ID","value":"170-10"},{"id":16,"name":"Locomotive ID","value":"4028"},{"id":130,"name":"Impact","value":""},{"id":150,"name":"Time of Event (Mountain Time)","value":"13:49:43"},{"id":151,"name":"Denver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4028 --day 2017-02-10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652</v>
      </c>
      <c r="B83" s="7">
        <v>4009</v>
      </c>
      <c r="C83" s="21" t="s">
        <v>193</v>
      </c>
      <c r="D83" s="21" t="s">
        <v>280</v>
      </c>
      <c r="E83" s="13">
        <v>42776.515787037039</v>
      </c>
      <c r="F83" s="13">
        <v>42776.520983796298</v>
      </c>
      <c r="G83" s="7">
        <v>1</v>
      </c>
      <c r="H83" s="21" t="s">
        <v>339</v>
      </c>
      <c r="I83" s="13">
        <v>42776.545925925922</v>
      </c>
      <c r="J83" s="7">
        <v>0</v>
      </c>
      <c r="K83" s="98" t="str">
        <f t="shared" si="25"/>
        <v>4009/4010</v>
      </c>
      <c r="L83" s="21" t="str">
        <f>VLOOKUP(A83,'Trips&amp;Operators'!$C$1:$G$99999,5,FALSE)</f>
        <v>BRANNON JEFFREY</v>
      </c>
      <c r="M83" s="6">
        <f t="shared" si="26"/>
        <v>2.4942129624832887E-2</v>
      </c>
      <c r="N83" s="7">
        <f t="shared" si="24"/>
        <v>35.916666659759358</v>
      </c>
      <c r="O83" s="7"/>
      <c r="P83" s="7"/>
      <c r="Q83" s="22"/>
      <c r="R83" s="22"/>
      <c r="S83" s="31">
        <f t="shared" si="27"/>
        <v>1</v>
      </c>
      <c r="T83" s="46" t="str">
        <f t="shared" si="28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29"/>
        <v>https://d0f6bd738d7f1b3e5a7ca70fe4ff75f0.us-east-1.aws.found.io/app/kibana#/discover/Steve-Slow-Train-Analysis-(2080s-and-2083s)?_g=(refreshInterval:(display:Off,pause:!f,section:0,value:0),time:(from:'2017-02-10T11:22:44-0700',mode:absolute,to:'2017-02-10T14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188" t="str">
        <f t="shared" si="40"/>
        <v>N</v>
      </c>
      <c r="X83" s="188">
        <f t="shared" si="41"/>
        <v>1</v>
      </c>
      <c r="Y83" s="62">
        <f t="shared" si="30"/>
        <v>4.5499999999999999E-2</v>
      </c>
      <c r="Z83" s="62">
        <f t="shared" si="31"/>
        <v>23.329499999999999</v>
      </c>
      <c r="AA83" s="62">
        <f t="shared" si="32"/>
        <v>23.283999999999999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 t="shared" si="33"/>
        <v>0171-10</v>
      </c>
      <c r="AE83" s="85" t="str">
        <f t="shared" si="34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83" s="82" t="str">
        <f t="shared" si="35"/>
        <v>"C:\Program Files (x86)\AstroGrep\AstroGrep.exe" /spath="%USERPROFILE%\AppData\Local\Temp\OnboardLogs" /stypes="app*4009*20170210*" /stext=" 20:.+((SYSTEM_STATE.+slice.+state.+changed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86" t="str">
        <f t="shared" si="37"/>
        <v>"%USERPROFILE%\Documents\GitHub\eaglep3\Utilities\RefineRTDCRunTimes.py" --tripid 171-10 --locoid 4009 --swversion DE.1.0.8.0 --startMP 204:455 --initTime 2017-02-10T12:22:44 --startdatetime 2017-02-10T12:30:13 --delay 1 --endMP 204:233295 --enddatetime 2017-02-10T13:06:08 --enforcementcount 0 &gt;&gt;C:\Users\stu\Documents\GitHub\eaglep3-reporting\EC\2017-02-10-refined-times.txt</v>
      </c>
      <c r="AI83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{"issue":{"subject":"","project_id":79,"tracker_id":40,"status_id":1,"priority_id":2,"assigned_to_id":23,"start_date":"2017-02-10","description":"","custom_fields":[{"id":1,"name":"Subdivision","value":"EC"},{"id":4,"name":"Milepost","value":"23.3295"},{"id":17,"name":"Train ID","value":"171-10"},{"id":16,"name":"Locomotive ID","value":"4009"},{"id":130,"name":"Impact","value":""},{"id":150,"name":"Time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4009 --day 2017-02-10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661</v>
      </c>
      <c r="B84" s="7">
        <v>4010</v>
      </c>
      <c r="C84" s="21" t="s">
        <v>193</v>
      </c>
      <c r="D84" s="21" t="s">
        <v>313</v>
      </c>
      <c r="E84" s="13">
        <v>42776.556631944448</v>
      </c>
      <c r="F84" s="13">
        <v>42776.559907407405</v>
      </c>
      <c r="G84" s="7">
        <v>1</v>
      </c>
      <c r="H84" s="21" t="s">
        <v>220</v>
      </c>
      <c r="I84" s="13">
        <v>42776.585833333331</v>
      </c>
      <c r="J84" s="7">
        <v>0</v>
      </c>
      <c r="K84" s="98" t="str">
        <f t="shared" si="25"/>
        <v>4009/4010</v>
      </c>
      <c r="L84" s="21" t="str">
        <f>VLOOKUP(A84,'Trips&amp;Operators'!$C$1:$G$99999,5,FALSE)</f>
        <v>BRANNON JEFFREY</v>
      </c>
      <c r="M84" s="6">
        <f t="shared" si="26"/>
        <v>2.5925925925548654E-2</v>
      </c>
      <c r="N84" s="7">
        <f t="shared" si="24"/>
        <v>37.333333332790062</v>
      </c>
      <c r="O84" s="7"/>
      <c r="P84" s="7"/>
      <c r="Q84" s="22"/>
      <c r="R84" s="22"/>
      <c r="S84" s="31">
        <f t="shared" si="27"/>
        <v>1</v>
      </c>
      <c r="T84" s="46" t="str">
        <f t="shared" si="28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29"/>
        <v>https://d0f6bd738d7f1b3e5a7ca70fe4ff75f0.us-east-1.aws.found.io/app/kibana#/discover/Steve-Slow-Train-Analysis-(2080s-and-2083s)?_g=(refreshInterval:(display:Off,pause:!f,section:0,value:0),time:(from:'2017-02-10T12:21:33-0700',mode:absolute,to:'2017-02-10T15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4" s="188" t="str">
        <f t="shared" si="40"/>
        <v>N</v>
      </c>
      <c r="X84" s="188">
        <f t="shared" si="41"/>
        <v>1</v>
      </c>
      <c r="Y84" s="62">
        <f t="shared" si="30"/>
        <v>23.299099999999999</v>
      </c>
      <c r="Z84" s="62">
        <f t="shared" si="31"/>
        <v>1.54E-2</v>
      </c>
      <c r="AA84" s="62">
        <f t="shared" si="32"/>
        <v>23.2837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 t="shared" si="33"/>
        <v>0172-10</v>
      </c>
      <c r="AE84" s="85" t="str">
        <f t="shared" si="34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84" s="82" t="str">
        <f t="shared" si="35"/>
        <v>"C:\Program Files (x86)\AstroGrep\AstroGrep.exe" /spath="%USERPROFILE%\AppData\Local\Temp\OnboardLogs" /stypes="app*4010*20170210*" /stext=" 21:.+((SYSTEM_STATE.+slice.+state.+changed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86" t="str">
        <f t="shared" si="37"/>
        <v>"%USERPROFILE%\Documents\GitHub\eaglep3\Utilities\RefineRTDCRunTimes.py" --tripid 172-10 --locoid 4010 --swversion DE.1.0.8.0 --startMP 204:232991 --initTime 2017-02-10T13:21:33 --startdatetime 2017-02-10T13:26:16 --delay 1 --endMP 204:154 --enddatetime 2017-02-10T14:03:36 --enforcementcount 0 &gt;&gt;C:\Users\stu\Documents\GitHub\eaglep3-reporting\EC\2017-02-10-refined-times.txt</v>
      </c>
      <c r="AI84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{"issue":{"subject":"","project_id":79,"tracker_id":40,"status_id":1,"priority_id":2,"assigned_to_id":23,"start_date":"2017-02-10","description":"","custom_fields":[{"id":1,"name":"Subdivision","value":"EC"},{"id":4,"name":"Milepost","value":"0.0154"},{"id":17,"name":"Train ID","value":"172-10"},{"id":16,"name":"Locomotive ID","value":"4010"},{"id":130,"name":"Impact","value":""},{"id":150,"name":"Time of Event (Mountain Time)","value":"14:03:36"},{"id":151,"name":"Denver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4010 --day 2017-02-10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2017-02-10-UncaughtWiMAX.txt</v>
      </c>
    </row>
    <row r="85" spans="1:91" s="20" customFormat="1" x14ac:dyDescent="0.25">
      <c r="A85" s="33" t="s">
        <v>656</v>
      </c>
      <c r="B85" s="7">
        <v>4040</v>
      </c>
      <c r="C85" s="21" t="s">
        <v>193</v>
      </c>
      <c r="D85" s="21" t="s">
        <v>238</v>
      </c>
      <c r="E85" s="13">
        <v>42776.526828703703</v>
      </c>
      <c r="F85" s="13">
        <v>42776.531550925924</v>
      </c>
      <c r="G85" s="7">
        <v>1</v>
      </c>
      <c r="H85" s="21" t="s">
        <v>500</v>
      </c>
      <c r="I85" s="13">
        <v>42776.555659722224</v>
      </c>
      <c r="J85" s="7">
        <v>0</v>
      </c>
      <c r="K85" s="98" t="str">
        <f t="shared" si="25"/>
        <v>4039/4040</v>
      </c>
      <c r="L85" s="21" t="str">
        <f>VLOOKUP(A85,'Trips&amp;Operators'!$C$1:$G$99999,5,FALSE)</f>
        <v>STEWART MICHAEL</v>
      </c>
      <c r="M85" s="6">
        <f t="shared" si="26"/>
        <v>2.4108796300424729E-2</v>
      </c>
      <c r="N85" s="7">
        <f t="shared" si="24"/>
        <v>34.716666672611609</v>
      </c>
      <c r="O85" s="7"/>
      <c r="P85" s="7"/>
      <c r="Q85" s="22"/>
      <c r="R85" s="22"/>
      <c r="S85" s="31">
        <f t="shared" si="27"/>
        <v>1</v>
      </c>
      <c r="T85" s="46" t="str">
        <f t="shared" si="28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29"/>
        <v>https://d0f6bd738d7f1b3e5a7ca70fe4ff75f0.us-east-1.aws.found.io/app/kibana#/discover/Steve-Slow-Train-Analysis-(2080s-and-2083s)?_g=(refreshInterval:(display:Off,pause:!f,section:0,value:0),time:(from:'2017-02-10T11:38:38-0700',mode:absolute,to:'2017-02-10T14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88" t="str">
        <f t="shared" ref="W85:W116" si="42">IF(AA85&lt;IF(AG85="EC",23,5.65),"Y","N")</f>
        <v>N</v>
      </c>
      <c r="X85" s="188">
        <f t="shared" ref="X85:X116" si="43">VALUE(LEFT(AD85,4))-VALUE(LEFT(AD84,4))</f>
        <v>1</v>
      </c>
      <c r="Y85" s="62">
        <f t="shared" si="30"/>
        <v>4.5999999999999999E-2</v>
      </c>
      <c r="Z85" s="62">
        <f t="shared" si="31"/>
        <v>23.330500000000001</v>
      </c>
      <c r="AA85" s="62">
        <f t="shared" si="32"/>
        <v>23.284500000000001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 t="shared" si="33"/>
        <v>0173-10</v>
      </c>
      <c r="AE85" s="85" t="str">
        <f t="shared" si="34"/>
        <v>aws s3 cp s3://rtdc.mdm.uploadarchive.raw/RTDC4040/ "%USERPROFILE%\AppData\Local\Temp\OnboardLogs"\RTDC4040\2017-02-10 --exclude "*" --recursive --include "*20170210*" &amp; "%USERPROFILE%\Documents\GitHub\mrs-test-scripts\Headless Mode &amp; Sideloading\WalkAndUnGZ.bat" "%USERPROFILE%\AppData\Local\Temp\OnboardLogs"\RTDC4040\2017-02-10 &amp; 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</v>
      </c>
      <c r="AF85" s="82" t="str">
        <f t="shared" si="35"/>
        <v>"C:\Program Files (x86)\AstroGrep\AstroGrep.exe" /spath="%USERPROFILE%\AppData\Local\Temp\OnboardLogs" /stypes="app*4040*20170210*" /stext=" 20:.+((SYSTEM_STATE.+slice.+state.+changed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86" t="str">
        <f t="shared" si="37"/>
        <v>"%USERPROFILE%\Documents\GitHub\eaglep3\Utilities\RefineRTDCRunTimes.py" --tripid 173-10 --locoid 4040 --swversion DE.1.0.8.0 --startMP 204:460 --initTime 2017-02-10T12:38:38 --startdatetime 2017-02-10T12:45:26 --delay 1 --endMP 204:233305 --enddatetime 2017-02-10T13:20:09 --enforcementcount 0 &gt;&gt;C:\Users\stu\Documents\GitHub\eaglep3-reporting\EC\2017-02-10-refined-times.txt</v>
      </c>
      <c r="AI85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{"issue":{"subject":"","project_id":79,"tracker_id":40,"status_id":1,"priority_id":2,"assigned_to_id":23,"start_date":"2017-02-10","description":"","custom_fields":[{"id":1,"name":"Subdivision","value":"EC"},{"id":4,"name":"Milepost","value":"23.3305"},{"id":17,"name":"Train ID","value":"173-10"},{"id":16,"name":"Locomotive ID","value":"4040"},{"id":130,"name":"Impact","value":""},{"id":150,"name":"Time of Event (Mountain Time)","value":"13:20:09"},{"id":151,"name":"Denver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4040 --day 2017-02-10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"%USERPROFILE%\AppData\Local\Temp\OnboardLogs"\RTDC4040\*4040*20170210* | grep -SE "(Enforcement Action)|(\[TIMEOUT)|(CHR.+\|PRM\|1\|D.+(SWITCH|SIGNAL).+UNKNOWN)" - &gt;&gt; 2017-02-10-UncaughtWiMAX.txt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548</v>
      </c>
      <c r="B86" s="7">
        <v>4039</v>
      </c>
      <c r="C86" s="21" t="s">
        <v>193</v>
      </c>
      <c r="D86" s="21" t="s">
        <v>373</v>
      </c>
      <c r="E86" s="13">
        <v>42776.56490740741</v>
      </c>
      <c r="F86" s="13">
        <v>42776.570393518516</v>
      </c>
      <c r="G86" s="7">
        <v>1</v>
      </c>
      <c r="H86" s="21" t="s">
        <v>783</v>
      </c>
      <c r="I86" s="13">
        <v>42776.598090277781</v>
      </c>
      <c r="J86" s="7">
        <v>0</v>
      </c>
      <c r="K86" s="98" t="str">
        <f t="shared" si="25"/>
        <v>4039/4040</v>
      </c>
      <c r="L86" s="21" t="str">
        <f>VLOOKUP(A86,'Trips&amp;Operators'!$C$1:$G$99999,5,FALSE)</f>
        <v>STEWART MICHAEL</v>
      </c>
      <c r="M86" s="6">
        <f t="shared" si="26"/>
        <v>2.7696759265381843E-2</v>
      </c>
      <c r="N86" s="7">
        <f t="shared" si="24"/>
        <v>39.883333342149854</v>
      </c>
      <c r="O86" s="7"/>
      <c r="P86" s="7"/>
      <c r="Q86" s="22"/>
      <c r="R86" s="22"/>
      <c r="S86" s="31">
        <f t="shared" si="27"/>
        <v>1</v>
      </c>
      <c r="T86" s="46" t="str">
        <f t="shared" si="28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29"/>
        <v>https://d0f6bd738d7f1b3e5a7ca70fe4ff75f0.us-east-1.aws.found.io/app/kibana#/discover/Steve-Slow-Train-Analysis-(2080s-and-2083s)?_g=(refreshInterval:(display:Off,pause:!f,section:0,value:0),time:(from:'2017-02-10T12:33:28-0700',mode:absolute,to:'2017-02-10T15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88" t="str">
        <f t="shared" si="42"/>
        <v>N</v>
      </c>
      <c r="X86" s="188">
        <f t="shared" si="43"/>
        <v>1</v>
      </c>
      <c r="Y86" s="62">
        <f t="shared" si="30"/>
        <v>23.297999999999998</v>
      </c>
      <c r="Z86" s="62">
        <f t="shared" si="31"/>
        <v>1.38E-2</v>
      </c>
      <c r="AA86" s="62">
        <f t="shared" si="32"/>
        <v>23.284199999999998</v>
      </c>
      <c r="AB86" s="59" t="str">
        <f>VLOOKUP(A86,Enforcements!$C$7:$K$14,8,0)</f>
        <v>Bulletin (2)</v>
      </c>
      <c r="AC86" s="55" t="str">
        <f>VLOOKUP(A86,Enforcements!$C$7:$E$14,3,0)</f>
        <v>GRADE CROSSING</v>
      </c>
      <c r="AD86" s="56" t="str">
        <f t="shared" si="33"/>
        <v>0174-10</v>
      </c>
      <c r="AE86" s="85" t="str">
        <f t="shared" si="34"/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AF86" s="82" t="str">
        <f t="shared" si="35"/>
        <v>"C:\Program Files (x86)\AstroGrep\AstroGrep.exe" /spath="%USERPROFILE%\AppData\Local\Temp\OnboardLogs" /stypes="app*4039*20170210*" /stext=" 21:.+((SYSTEM_STATE.+slice.+state.+changed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86" t="str">
        <f t="shared" si="37"/>
        <v>"%USERPROFILE%\Documents\GitHub\eaglep3\Utilities\RefineRTDCRunTimes.py" --tripid 174-10 --locoid 4039 --swversion DE.1.0.8.0 --startMP 204:232980 --initTime 2017-02-10T13:33:28 --startdatetime 2017-02-10T13:41:22 --delay 1 --endMP 204:138 --enddatetime 2017-02-10T14:21:15 --enforcementcount 0 &gt;&gt;C:\Users\stu\Documents\GitHub\eaglep3-reporting\EC\2017-02-10-refined-times.txt</v>
      </c>
      <c r="AI86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{"issue":{"subject":"","project_id":79,"tracker_id":40,"status_id":1,"priority_id":2,"assigned_to_id":23,"start_date":"2017-02-10","description":"","custom_fields":[{"id":1,"name":"Subdivision","value":"EC"},{"id":4,"name":"Milepost","value":"0.0138"},{"id":17,"name":"Train ID","value":"174-10"},{"id":16,"name":"Locomotive ID","value":"4039"},{"id":130,"name":"Impact","value":""},{"id":150,"name":"Time of Event (Mountain Time)","value":"14:21:15"},{"id":151,"name":"Denver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4039 --day 2017-02-10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"%USERPROFILE%\AppData\Local\Temp\OnboardLogs"\RTDC4039\*4039*20170210* | grep -SE "(Enforcement Action)|(\[TIMEOUT)|(CHR.+\|PRM\|1\|D.+(SWITCH|SIGNAL).+UNKNOWN)" - &gt;&gt; 2017-02-10-UncaughtWiMAX.txt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658</v>
      </c>
      <c r="B87" s="7">
        <v>4018</v>
      </c>
      <c r="C87" s="21" t="s">
        <v>193</v>
      </c>
      <c r="D87" s="21" t="s">
        <v>280</v>
      </c>
      <c r="E87" s="13">
        <v>42776.537094907406</v>
      </c>
      <c r="F87" s="13">
        <v>42776.541828703703</v>
      </c>
      <c r="G87" s="7">
        <v>2</v>
      </c>
      <c r="H87" s="21" t="s">
        <v>795</v>
      </c>
      <c r="I87" s="13">
        <v>42776.566550925927</v>
      </c>
      <c r="J87" s="7">
        <v>0</v>
      </c>
      <c r="K87" s="98" t="str">
        <f t="shared" si="25"/>
        <v>4017/4018</v>
      </c>
      <c r="L87" s="21" t="str">
        <f>VLOOKUP(A87,'Trips&amp;Operators'!$C$1:$G$99999,5,FALSE)</f>
        <v>ROMERO CHAD</v>
      </c>
      <c r="M87" s="6">
        <f t="shared" si="26"/>
        <v>2.4722222224227153E-2</v>
      </c>
      <c r="N87" s="7">
        <f t="shared" si="24"/>
        <v>35.6000000028871</v>
      </c>
      <c r="O87" s="7"/>
      <c r="P87" s="7"/>
      <c r="Q87" s="22"/>
      <c r="R87" s="22"/>
      <c r="S87" s="31">
        <f t="shared" si="27"/>
        <v>1</v>
      </c>
      <c r="T87" s="46" t="str">
        <f t="shared" si="28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29"/>
        <v>https://d0f6bd738d7f1b3e5a7ca70fe4ff75f0.us-east-1.aws.found.io/app/kibana#/discover/Steve-Slow-Train-Analysis-(2080s-and-2083s)?_g=(refreshInterval:(display:Off,pause:!f,section:0,value:0),time:(from:'2017-02-10T11:53:25-0700',mode:absolute,to:'2017-02-10T14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8" t="str">
        <f t="shared" si="42"/>
        <v>N</v>
      </c>
      <c r="X87" s="188">
        <f t="shared" si="43"/>
        <v>1</v>
      </c>
      <c r="Y87" s="62">
        <f t="shared" si="30"/>
        <v>4.5499999999999999E-2</v>
      </c>
      <c r="Z87" s="62">
        <f t="shared" si="31"/>
        <v>23.3355</v>
      </c>
      <c r="AA87" s="62">
        <f t="shared" si="32"/>
        <v>23.29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 t="shared" si="33"/>
        <v>0175-10</v>
      </c>
      <c r="AE87" s="85" t="str">
        <f t="shared" si="34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87" s="82" t="str">
        <f t="shared" si="35"/>
        <v>"C:\Program Files (x86)\AstroGrep\AstroGrep.exe" /spath="%USERPROFILE%\AppData\Local\Temp\OnboardLogs" /stypes="app*4018*20170210*" /stext=" 20:.+((SYSTEM_STATE.+slice.+state.+changed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86" t="str">
        <f t="shared" si="37"/>
        <v>"%USERPROFILE%\Documents\GitHub\eaglep3\Utilities\RefineRTDCRunTimes.py" --tripid 175-10 --locoid 4018 --swversion DE.1.0.8.0 --startMP 204:455 --initTime 2017-02-10T12:53:25 --startdatetime 2017-02-10T13:00:14 --delay 2 --endMP 204:233355 --enddatetime 2017-02-10T13:35:50 --enforcementcount 0 &gt;&gt;C:\Users\stu\Documents\GitHub\eaglep3-reporting\EC\2017-02-10-refined-times.txt</v>
      </c>
      <c r="AI87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{"issue":{"subject":"","project_id":79,"tracker_id":40,"status_id":1,"priority_id":2,"assigned_to_id":23,"start_date":"2017-02-10","description":"","custom_fields":[{"id":1,"name":"Subdivision","value":"EC"},{"id":4,"name":"Milepost","value":"23.3355"},{"id":17,"name":"Train ID","value":"175-10"},{"id":16,"name":"Locomotive ID","value":"4018"},{"id":130,"name":"Impact","value":""},{"id":150,"name":"Time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4018 --day 2017-02-10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665</v>
      </c>
      <c r="B88" s="7">
        <v>4017</v>
      </c>
      <c r="C88" s="21" t="s">
        <v>193</v>
      </c>
      <c r="D88" s="21" t="s">
        <v>796</v>
      </c>
      <c r="E88" s="13">
        <v>42776.578125</v>
      </c>
      <c r="F88" s="13">
        <v>42776.580729166664</v>
      </c>
      <c r="G88" s="7">
        <v>1</v>
      </c>
      <c r="H88" s="21" t="s">
        <v>797</v>
      </c>
      <c r="I88" s="13">
        <v>42776.606388888889</v>
      </c>
      <c r="J88" s="7">
        <v>0</v>
      </c>
      <c r="K88" s="98" t="str">
        <f t="shared" si="25"/>
        <v>4017/4018</v>
      </c>
      <c r="L88" s="21" t="str">
        <f>VLOOKUP(A88,'Trips&amp;Operators'!$C$1:$G$99999,5,FALSE)</f>
        <v>ROMERO CHAD</v>
      </c>
      <c r="M88" s="6">
        <f t="shared" si="26"/>
        <v>2.5659722225100268E-2</v>
      </c>
      <c r="N88" s="7">
        <f t="shared" si="24"/>
        <v>36.950000004144385</v>
      </c>
      <c r="O88" s="7"/>
      <c r="P88" s="7"/>
      <c r="Q88" s="22"/>
      <c r="R88" s="22"/>
      <c r="S88" s="31">
        <f t="shared" si="27"/>
        <v>1</v>
      </c>
      <c r="T88" s="46" t="str">
        <f t="shared" si="28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29"/>
        <v>https://d0f6bd738d7f1b3e5a7ca70fe4ff75f0.us-east-1.aws.found.io/app/kibana#/discover/Steve-Slow-Train-Analysis-(2080s-and-2083s)?_g=(refreshInterval:(display:Off,pause:!f,section:0,value:0),time:(from:'2017-02-10T12:52:30-0700',mode:absolute,to:'2017-02-10T15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8" t="str">
        <f t="shared" si="42"/>
        <v>N</v>
      </c>
      <c r="X88" s="188">
        <f t="shared" si="43"/>
        <v>1</v>
      </c>
      <c r="Y88" s="62">
        <f t="shared" si="30"/>
        <v>23.304300000000001</v>
      </c>
      <c r="Z88" s="62">
        <f t="shared" si="31"/>
        <v>1.2699999999999999E-2</v>
      </c>
      <c r="AA88" s="62">
        <f t="shared" si="32"/>
        <v>23.291600000000003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 t="shared" si="33"/>
        <v>0176-10</v>
      </c>
      <c r="AE88" s="85" t="str">
        <f t="shared" si="34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88" s="82" t="str">
        <f t="shared" si="35"/>
        <v>"C:\Program Files (x86)\AstroGrep\AstroGrep.exe" /spath="%USERPROFILE%\AppData\Local\Temp\OnboardLogs" /stypes="app*4017*20170210*" /stext=" 21:.+((SYSTEM_STATE.+slice.+state.+changed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86" t="str">
        <f t="shared" si="37"/>
        <v>"%USERPROFILE%\Documents\GitHub\eaglep3\Utilities\RefineRTDCRunTimes.py" --tripid 176-10 --locoid 4017 --swversion DE.1.0.8.0 --startMP 204:233043 --initTime 2017-02-10T13:52:30 --startdatetime 2017-02-10T13:56:15 --delay 1 --endMP 204:127 --enddatetime 2017-02-10T14:33:12 --enforcementcount 0 &gt;&gt;C:\Users\stu\Documents\GitHub\eaglep3-reporting\EC\2017-02-10-refined-times.txt</v>
      </c>
      <c r="AI88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{"issue":{"subject":"","project_id":79,"tracker_id":40,"status_id":1,"priority_id":2,"assigned_to_id":23,"start_date":"2017-02-10","description":"","custom_fields":[{"id":1,"name":"Subdivision","value":"EC"},{"id":4,"name":"Milepost","value":"0.0127"},{"id":17,"name":"Train ID","value":"176-10"},{"id":16,"name":"Locomotive ID","value":"4017"},{"id":130,"name":"Impact","value":""},{"id":150,"name":"Time of Event (Mountain Time)","value":"14:33:12"},{"id":151,"name":"Denver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4017 --day 2017-02-10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660</v>
      </c>
      <c r="B89" s="7">
        <v>4046</v>
      </c>
      <c r="C89" s="21" t="s">
        <v>193</v>
      </c>
      <c r="D89" s="21" t="s">
        <v>798</v>
      </c>
      <c r="E89" s="13">
        <v>42776.54760416667</v>
      </c>
      <c r="F89" s="13">
        <v>42776.552268518521</v>
      </c>
      <c r="G89" s="7">
        <v>1</v>
      </c>
      <c r="H89" s="21" t="s">
        <v>514</v>
      </c>
      <c r="I89" s="13">
        <v>42776.578055555554</v>
      </c>
      <c r="J89" s="7">
        <v>0</v>
      </c>
      <c r="K89" s="98" t="str">
        <f t="shared" si="25"/>
        <v>4045/4046</v>
      </c>
      <c r="L89" s="21" t="str">
        <f>VLOOKUP(A89,'Trips&amp;Operators'!$C$1:$G$99999,5,FALSE)</f>
        <v>CLARK KATHLEEN</v>
      </c>
      <c r="M89" s="6">
        <f t="shared" si="26"/>
        <v>2.5787037033296656E-2</v>
      </c>
      <c r="N89" s="7">
        <f t="shared" si="24"/>
        <v>37.133333327947184</v>
      </c>
      <c r="O89" s="7"/>
      <c r="P89" s="7"/>
      <c r="Q89" s="22"/>
      <c r="R89" s="22"/>
      <c r="S89" s="31">
        <f t="shared" si="27"/>
        <v>1</v>
      </c>
      <c r="T89" s="46" t="str">
        <f t="shared" si="28"/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29"/>
        <v>https://d0f6bd738d7f1b3e5a7ca70fe4ff75f0.us-east-1.aws.found.io/app/kibana#/discover/Steve-Slow-Train-Analysis-(2080s-and-2083s)?_g=(refreshInterval:(display:Off,pause:!f,section:0,value:0),time:(from:'2017-02-10T12:08:33-0700',mode:absolute,to:'2017-02-10T14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9" s="188" t="str">
        <f t="shared" si="42"/>
        <v>N</v>
      </c>
      <c r="X89" s="188">
        <f t="shared" si="43"/>
        <v>1</v>
      </c>
      <c r="Y89" s="62">
        <f t="shared" si="30"/>
        <v>4.9500000000000002E-2</v>
      </c>
      <c r="Z89" s="62">
        <f t="shared" si="31"/>
        <v>23.332799999999999</v>
      </c>
      <c r="AA89" s="62">
        <f t="shared" si="32"/>
        <v>23.283300000000001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 t="shared" si="33"/>
        <v>0177-10</v>
      </c>
      <c r="AE89" s="85" t="str">
        <f t="shared" si="34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89" s="82" t="str">
        <f t="shared" si="35"/>
        <v>"C:\Program Files (x86)\AstroGrep\AstroGrep.exe" /spath="%USERPROFILE%\AppData\Local\Temp\OnboardLogs" /stypes="app*4046*20170210*" /stext=" 20:.+((SYSTEM_STATE.+slice.+state.+changed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86" t="str">
        <f t="shared" si="37"/>
        <v>"%USERPROFILE%\Documents\GitHub\eaglep3\Utilities\RefineRTDCRunTimes.py" --tripid 177-10 --locoid 4046 --swversion DE.1.0.8.0 --startMP 204:495 --initTime 2017-02-10T13:08:33 --startdatetime 2017-02-10T13:15:16 --delay 1 --endMP 204:233328 --enddatetime 2017-02-10T13:52:24 --enforcementcount 0 &gt;&gt;C:\Users\stu\Documents\GitHub\eaglep3-reporting\EC\2017-02-10-refined-times.txt</v>
      </c>
      <c r="AI8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{"issue":{"subject":"","project_id":79,"tracker_id":40,"status_id":1,"priority_id":2,"assigned_to_id":23,"start_date":"2017-02-10","description":"","custom_fields":[{"id":1,"name":"Subdivision","value":"EC"},{"id":4,"name":"Milepost","value":"23.3328"},{"id":17,"name":"Train ID","value":"177-10"},{"id":16,"name":"Locomotive ID","value":"4046"},{"id":130,"name":"Impact","value":""},{"id":150,"name":"Time of Event (Mountain Time)","value":"13:52:24"},{"id":151,"name":"Denver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4046 --day 2017-02-10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667</v>
      </c>
      <c r="B90" s="7">
        <v>4045</v>
      </c>
      <c r="C90" s="21" t="s">
        <v>193</v>
      </c>
      <c r="D90" s="21" t="s">
        <v>799</v>
      </c>
      <c r="E90" s="13">
        <v>42776.585752314815</v>
      </c>
      <c r="F90" s="13">
        <v>42776.591157407405</v>
      </c>
      <c r="G90" s="7">
        <v>1</v>
      </c>
      <c r="H90" s="21" t="s">
        <v>800</v>
      </c>
      <c r="I90" s="13">
        <v>42776.618888888886</v>
      </c>
      <c r="J90" s="7">
        <v>0</v>
      </c>
      <c r="K90" s="98" t="str">
        <f t="shared" si="25"/>
        <v>4045/4046</v>
      </c>
      <c r="L90" s="21" t="str">
        <f>VLOOKUP(A90,'Trips&amp;Operators'!$C$1:$G$99999,5,FALSE)</f>
        <v>CLARK KATHLEEN</v>
      </c>
      <c r="M90" s="6">
        <f t="shared" si="26"/>
        <v>2.7731481481168885E-2</v>
      </c>
      <c r="N90" s="7">
        <f t="shared" si="24"/>
        <v>39.933333332883194</v>
      </c>
      <c r="O90" s="7"/>
      <c r="P90" s="7"/>
      <c r="Q90" s="22"/>
      <c r="R90" s="22"/>
      <c r="S90" s="31">
        <f t="shared" si="27"/>
        <v>1</v>
      </c>
      <c r="T90" s="46" t="str">
        <f t="shared" si="28"/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29"/>
        <v>https://d0f6bd738d7f1b3e5a7ca70fe4ff75f0.us-east-1.aws.found.io/app/kibana#/discover/Steve-Slow-Train-Analysis-(2080s-and-2083s)?_g=(refreshInterval:(display:Off,pause:!f,section:0,value:0),time:(from:'2017-02-10T13:03:29-0700',mode:absolute,to:'2017-02-10T15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0" s="188" t="str">
        <f t="shared" si="42"/>
        <v>N</v>
      </c>
      <c r="X90" s="188">
        <f t="shared" si="43"/>
        <v>1</v>
      </c>
      <c r="Y90" s="62">
        <f t="shared" si="30"/>
        <v>23.3005</v>
      </c>
      <c r="Z90" s="62">
        <f t="shared" si="31"/>
        <v>1.9400000000000001E-2</v>
      </c>
      <c r="AA90" s="62">
        <f t="shared" si="32"/>
        <v>23.281099999999999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 t="shared" si="33"/>
        <v>0178-10</v>
      </c>
      <c r="AE90" s="85" t="str">
        <f t="shared" si="34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90" s="82" t="str">
        <f t="shared" si="35"/>
        <v>"C:\Program Files (x86)\AstroGrep\AstroGrep.exe" /spath="%USERPROFILE%\AppData\Local\Temp\OnboardLogs" /stypes="app*4045*20170210*" /stext=" 21:.+((SYSTEM_STATE.+slice.+state.+changed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86" t="str">
        <f t="shared" si="37"/>
        <v>"%USERPROFILE%\Documents\GitHub\eaglep3\Utilities\RefineRTDCRunTimes.py" --tripid 178-10 --locoid 4045 --swversion DE.1.0.8.0 --startMP 204:233005 --initTime 2017-02-10T14:03:29 --startdatetime 2017-02-10T14:11:16 --delay 1 --endMP 204:194 --enddatetime 2017-02-10T14:51:12 --enforcementcount 0 &gt;&gt;C:\Users\stu\Documents\GitHub\eaglep3-reporting\EC\2017-02-10-refined-times.txt</v>
      </c>
      <c r="AI9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{"issue":{"subject":"","project_id":79,"tracker_id":40,"status_id":1,"priority_id":2,"assigned_to_id":23,"start_date":"2017-02-10","description":"","custom_fields":[{"id":1,"name":"Subdivision","value":"EC"},{"id":4,"name":"Milepost","value":"0.0194"},{"id":17,"name":"Train ID","value":"178-10"},{"id":16,"name":"Locomotive ID","value":"4045"},{"id":130,"name":"Impact","value":""},{"id":150,"name":"Time of Event (Mountain Time)","value":"14:51:12"},{"id":151,"name":"Denver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4045 --day 2017-02-10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662</v>
      </c>
      <c r="B91" s="7">
        <v>4007</v>
      </c>
      <c r="C91" s="21" t="s">
        <v>193</v>
      </c>
      <c r="D91" s="21" t="s">
        <v>509</v>
      </c>
      <c r="E91" s="13">
        <v>42776.557025462964</v>
      </c>
      <c r="F91" s="13">
        <v>42776.562789351854</v>
      </c>
      <c r="G91" s="7">
        <v>1</v>
      </c>
      <c r="H91" s="21" t="s">
        <v>801</v>
      </c>
      <c r="I91" s="13">
        <v>42776.587696759256</v>
      </c>
      <c r="J91" s="7">
        <v>0</v>
      </c>
      <c r="K91" s="98" t="str">
        <f t="shared" si="25"/>
        <v>4007/4008</v>
      </c>
      <c r="L91" s="21" t="str">
        <f>VLOOKUP(A91,'Trips&amp;Operators'!$C$1:$G$99999,5,FALSE)</f>
        <v>DELGADO DIANAH</v>
      </c>
      <c r="M91" s="6">
        <f t="shared" si="26"/>
        <v>2.4907407401769888E-2</v>
      </c>
      <c r="N91" s="7">
        <f t="shared" si="24"/>
        <v>35.866666658548638</v>
      </c>
      <c r="O91" s="7"/>
      <c r="P91" s="7"/>
      <c r="Q91" s="22"/>
      <c r="R91" s="22"/>
      <c r="S91" s="31">
        <f t="shared" si="27"/>
        <v>1</v>
      </c>
      <c r="T91" s="46" t="str">
        <f t="shared" si="28"/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29"/>
        <v>https://d0f6bd738d7f1b3e5a7ca70fe4ff75f0.us-east-1.aws.found.io/app/kibana#/discover/Steve-Slow-Train-Analysis-(2080s-and-2083s)?_g=(refreshInterval:(display:Off,pause:!f,section:0,value:0),time:(from:'2017-02-10T12:22:07-0700',mode:absolute,to:'2017-02-10T15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1" s="188" t="str">
        <f t="shared" si="42"/>
        <v>N</v>
      </c>
      <c r="X91" s="188">
        <f t="shared" si="43"/>
        <v>1</v>
      </c>
      <c r="Y91" s="62">
        <f t="shared" si="30"/>
        <v>4.6600000000000003E-2</v>
      </c>
      <c r="Z91" s="62">
        <f t="shared" si="31"/>
        <v>23.334</v>
      </c>
      <c r="AA91" s="62">
        <f t="shared" si="32"/>
        <v>23.287399999999998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 t="shared" si="33"/>
        <v>0179-10</v>
      </c>
      <c r="AE91" s="85" t="str">
        <f t="shared" si="34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91" s="82" t="str">
        <f t="shared" si="35"/>
        <v>"C:\Program Files (x86)\AstroGrep\AstroGrep.exe" /spath="%USERPROFILE%\AppData\Local\Temp\OnboardLogs" /stypes="app*4007*20170210*" /stext=" 21:.+((SYSTEM_STATE.+slice.+state.+changed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86" t="str">
        <f t="shared" si="37"/>
        <v>"%USERPROFILE%\Documents\GitHub\eaglep3\Utilities\RefineRTDCRunTimes.py" --tripid 179-10 --locoid 4007 --swversion DE.1.0.8.0 --startMP 204:466 --initTime 2017-02-10T13:22:07 --startdatetime 2017-02-10T13:30:25 --delay 1 --endMP 204:233340 --enddatetime 2017-02-10T14:06:17 --enforcementcount 0 &gt;&gt;C:\Users\stu\Documents\GitHub\eaglep3-reporting\EC\2017-02-10-refined-times.txt</v>
      </c>
      <c r="AI91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{"issue":{"subject":"","project_id":79,"tracker_id":40,"status_id":1,"priority_id":2,"assigned_to_id":23,"start_date":"2017-02-10","description":"","custom_fields":[{"id":1,"name":"Subdivision","value":"EC"},{"id":4,"name":"Milepost","value":"23.334"},{"id":17,"name":"Train ID","value":"179-10"},{"id":16,"name":"Locomotive ID","value":"4007"},{"id":130,"name":"Impact","value":""},{"id":150,"name":"Time of Event (Mountain Time)","value":"14:06:17"},{"id":151,"name":"Denver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4007 --day 2017-02-10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669</v>
      </c>
      <c r="B92" s="7">
        <v>4008</v>
      </c>
      <c r="C92" s="21" t="s">
        <v>193</v>
      </c>
      <c r="D92" s="21" t="s">
        <v>802</v>
      </c>
      <c r="E92" s="13">
        <v>42776.593113425923</v>
      </c>
      <c r="F92" s="13">
        <v>42776.601585648146</v>
      </c>
      <c r="G92" s="7">
        <v>1</v>
      </c>
      <c r="H92" s="21" t="s">
        <v>351</v>
      </c>
      <c r="I92" s="13">
        <v>42776.627743055556</v>
      </c>
      <c r="J92" s="7">
        <v>0</v>
      </c>
      <c r="K92" s="98" t="str">
        <f t="shared" si="25"/>
        <v>4007/4008</v>
      </c>
      <c r="L92" s="21" t="str">
        <f>VLOOKUP(A92,'Trips&amp;Operators'!$C$1:$G$99999,5,FALSE)</f>
        <v>DELGADO DIANAH</v>
      </c>
      <c r="M92" s="6">
        <f t="shared" si="26"/>
        <v>2.6157407410209998E-2</v>
      </c>
      <c r="N92" s="7">
        <f t="shared" si="24"/>
        <v>37.666666670702398</v>
      </c>
      <c r="O92" s="7"/>
      <c r="P92" s="7"/>
      <c r="Q92" s="22"/>
      <c r="R92" s="22"/>
      <c r="S92" s="31">
        <f t="shared" si="27"/>
        <v>1</v>
      </c>
      <c r="T92" s="46" t="str">
        <f t="shared" si="28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29"/>
        <v>https://d0f6bd738d7f1b3e5a7ca70fe4ff75f0.us-east-1.aws.found.io/app/kibana#/discover/Steve-Slow-Train-Analysis-(2080s-and-2083s)?_g=(refreshInterval:(display:Off,pause:!f,section:0,value:0),time:(from:'2017-02-10T13:14:05-0700',mode:absolute,to:'2017-02-10T16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188" t="str">
        <f t="shared" si="42"/>
        <v>N</v>
      </c>
      <c r="X92" s="188">
        <f t="shared" si="43"/>
        <v>1</v>
      </c>
      <c r="Y92" s="62">
        <f t="shared" si="30"/>
        <v>23.302499999999998</v>
      </c>
      <c r="Z92" s="62">
        <f t="shared" si="31"/>
        <v>1.41E-2</v>
      </c>
      <c r="AA92" s="62">
        <f t="shared" si="32"/>
        <v>23.288399999999999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 t="shared" si="33"/>
        <v>0180-10</v>
      </c>
      <c r="AE92" s="85" t="str">
        <f t="shared" si="34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92" s="82" t="str">
        <f t="shared" si="35"/>
        <v>"C:\Program Files (x86)\AstroGrep\AstroGrep.exe" /spath="%USERPROFILE%\AppData\Local\Temp\OnboardLogs" /stypes="app*4008*20170210*" /stext=" 22:.+((SYSTEM_STATE.+slice.+state.+changed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86" t="str">
        <f t="shared" si="37"/>
        <v>"%USERPROFILE%\Documents\GitHub\eaglep3\Utilities\RefineRTDCRunTimes.py" --tripid 180-10 --locoid 4008 --swversion DE.1.0.8.0 --startMP 204:233025 --initTime 2017-02-10T14:14:05 --startdatetime 2017-02-10T14:26:17 --delay 1 --endMP 204:141 --enddatetime 2017-02-10T15:03:57 --enforcementcount 0 &gt;&gt;C:\Users\stu\Documents\GitHub\eaglep3-reporting\EC\2017-02-10-refined-times.txt</v>
      </c>
      <c r="AI92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{"issue":{"subject":"","project_id":79,"tracker_id":40,"status_id":1,"priority_id":2,"assigned_to_id":23,"start_date":"2017-02-10","description":"","custom_fields":[{"id":1,"name":"Subdivision","value":"EC"},{"id":4,"name":"Milepost","value":"0.0141"},{"id":17,"name":"Train ID","value":"180-10"},{"id":16,"name":"Locomotive ID","value":"4008"},{"id":130,"name":"Impact","value":""},{"id":150,"name":"Time of Event (Mountain Time)","value":"15:03:57"},{"id":151,"name":"Denver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4008 --day 2017-02-10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2017-02-10-UncaughtWiMAX.txt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664</v>
      </c>
      <c r="B93" s="7">
        <v>4038</v>
      </c>
      <c r="C93" s="21" t="s">
        <v>193</v>
      </c>
      <c r="D93" s="21" t="s">
        <v>270</v>
      </c>
      <c r="E93" s="13">
        <v>42776.570636574077</v>
      </c>
      <c r="F93" s="13">
        <v>42776.573182870372</v>
      </c>
      <c r="G93" s="7">
        <v>1</v>
      </c>
      <c r="H93" s="21" t="s">
        <v>803</v>
      </c>
      <c r="I93" s="13">
        <v>42776.598425925928</v>
      </c>
      <c r="J93" s="7">
        <v>0</v>
      </c>
      <c r="K93" s="98" t="str">
        <f t="shared" si="25"/>
        <v>4037/4038</v>
      </c>
      <c r="L93" s="21" t="str">
        <f>VLOOKUP(A93,'Trips&amp;Operators'!$C$1:$G$99999,5,FALSE)</f>
        <v>HELVIE ADAM</v>
      </c>
      <c r="M93" s="6">
        <f t="shared" si="26"/>
        <v>2.5243055555620231E-2</v>
      </c>
      <c r="N93" s="7">
        <f t="shared" si="24"/>
        <v>36.350000000093132</v>
      </c>
      <c r="O93" s="7"/>
      <c r="P93" s="7"/>
      <c r="Q93" s="22"/>
      <c r="R93" s="22"/>
      <c r="S93" s="31">
        <f t="shared" si="27"/>
        <v>1</v>
      </c>
      <c r="T93" s="46" t="str">
        <f t="shared" si="28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29"/>
        <v>https://d0f6bd738d7f1b3e5a7ca70fe4ff75f0.us-east-1.aws.found.io/app/kibana#/discover/Steve-Slow-Train-Analysis-(2080s-and-2083s)?_g=(refreshInterval:(display:Off,pause:!f,section:0,value:0),time:(from:'2017-02-10T12:41:43-0700',mode:absolute,to:'2017-02-10T15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3" s="188" t="str">
        <f t="shared" si="42"/>
        <v>N</v>
      </c>
      <c r="X93" s="188">
        <f t="shared" si="43"/>
        <v>1</v>
      </c>
      <c r="Y93" s="62">
        <f t="shared" si="30"/>
        <v>4.7100000000000003E-2</v>
      </c>
      <c r="Z93" s="62">
        <f t="shared" si="31"/>
        <v>23.334099999999999</v>
      </c>
      <c r="AA93" s="62">
        <f t="shared" si="32"/>
        <v>23.286999999999999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 t="shared" si="33"/>
        <v>0181-10</v>
      </c>
      <c r="AE93" s="85" t="str">
        <f t="shared" si="34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93" s="82" t="str">
        <f t="shared" si="35"/>
        <v>"C:\Program Files (x86)\AstroGrep\AstroGrep.exe" /spath="%USERPROFILE%\AppData\Local\Temp\OnboardLogs" /stypes="app*4038*20170210*" /stext=" 21:.+((SYSTEM_STATE.+slice.+state.+changed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86" t="str">
        <f t="shared" si="37"/>
        <v>"%USERPROFILE%\Documents\GitHub\eaglep3\Utilities\RefineRTDCRunTimes.py" --tripid 181-10 --locoid 4038 --swversion DE.1.0.8.0 --startMP 204:471 --initTime 2017-02-10T13:41:43 --startdatetime 2017-02-10T13:45:23 --delay 1 --endMP 204:233341 --enddatetime 2017-02-10T14:21:44 --enforcementcount 0 &gt;&gt;C:\Users\stu\Documents\GitHub\eaglep3-reporting\EC\2017-02-10-refined-times.txt</v>
      </c>
      <c r="AI93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{"issue":{"subject":"","project_id":79,"tracker_id":40,"status_id":1,"priority_id":2,"assigned_to_id":23,"start_date":"2017-02-10","description":"","custom_fields":[{"id":1,"name":"Subdivision","value":"EC"},{"id":4,"name":"Milepost","value":"23.3341"},{"id":17,"name":"Train ID","value":"181-10"},{"id":16,"name":"Locomotive ID","value":"4038"},{"id":130,"name":"Impact","value":""},{"id":150,"name":"Time of Event (Mountain Time)","value":"14:21:44"},{"id":151,"name":"Denver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4038 --day 2017-02-10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</row>
    <row r="94" spans="1:91" s="20" customFormat="1" x14ac:dyDescent="0.25">
      <c r="A94" s="33" t="s">
        <v>671</v>
      </c>
      <c r="B94" s="7">
        <v>4037</v>
      </c>
      <c r="C94" s="21" t="s">
        <v>193</v>
      </c>
      <c r="D94" s="21" t="s">
        <v>277</v>
      </c>
      <c r="E94" s="13">
        <v>42776.608287037037</v>
      </c>
      <c r="F94" s="13">
        <v>42776.612164351849</v>
      </c>
      <c r="G94" s="7">
        <v>1</v>
      </c>
      <c r="H94" s="21" t="s">
        <v>328</v>
      </c>
      <c r="I94" s="13">
        <v>42776.638159722221</v>
      </c>
      <c r="J94" s="7">
        <v>0</v>
      </c>
      <c r="K94" s="98" t="str">
        <f t="shared" si="25"/>
        <v>4037/4038</v>
      </c>
      <c r="L94" s="21" t="str">
        <f>VLOOKUP(A94,'Trips&amp;Operators'!$C$1:$G$99999,5,FALSE)</f>
        <v>HELVIE ADAM</v>
      </c>
      <c r="M94" s="6">
        <f t="shared" si="26"/>
        <v>2.5995370371674653E-2</v>
      </c>
      <c r="N94" s="7">
        <f t="shared" si="24"/>
        <v>37.433333335211501</v>
      </c>
      <c r="O94" s="7"/>
      <c r="P94" s="7"/>
      <c r="Q94" s="22"/>
      <c r="R94" s="22"/>
      <c r="S94" s="31">
        <f t="shared" si="27"/>
        <v>1</v>
      </c>
      <c r="T94" s="46" t="str">
        <f t="shared" si="28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29"/>
        <v>https://d0f6bd738d7f1b3e5a7ca70fe4ff75f0.us-east-1.aws.found.io/app/kibana#/discover/Steve-Slow-Train-Analysis-(2080s-and-2083s)?_g=(refreshInterval:(display:Off,pause:!f,section:0,value:0),time:(from:'2017-02-10T13:35:56-0700',mode:absolute,to:'2017-02-10T16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4" s="188" t="str">
        <f t="shared" si="42"/>
        <v>N</v>
      </c>
      <c r="X94" s="188">
        <f t="shared" si="43"/>
        <v>1</v>
      </c>
      <c r="Y94" s="62">
        <f t="shared" si="30"/>
        <v>23.299399999999999</v>
      </c>
      <c r="Z94" s="62">
        <f t="shared" si="31"/>
        <v>1.6500000000000001E-2</v>
      </c>
      <c r="AA94" s="62">
        <f t="shared" si="32"/>
        <v>23.282899999999998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 t="shared" si="33"/>
        <v>0182-10</v>
      </c>
      <c r="AE94" s="85" t="str">
        <f t="shared" si="34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94" s="82" t="str">
        <f t="shared" si="35"/>
        <v>"C:\Program Files (x86)\AstroGrep\AstroGrep.exe" /spath="%USERPROFILE%\AppData\Local\Temp\OnboardLogs" /stypes="app*4037*20170210*" /stext=" 22:.+((SYSTEM_STATE.+slice.+state.+changed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86" t="str">
        <f t="shared" si="37"/>
        <v>"%USERPROFILE%\Documents\GitHub\eaglep3\Utilities\RefineRTDCRunTimes.py" --tripid 182-10 --locoid 4037 --swversion DE.1.0.8.0 --startMP 204:232994 --initTime 2017-02-10T14:35:56 --startdatetime 2017-02-10T14:41:31 --delay 1 --endMP 204:165 --enddatetime 2017-02-10T15:18:57 --enforcementcount 0 &gt;&gt;C:\Users\stu\Documents\GitHub\eaglep3-reporting\EC\2017-02-10-refined-times.txt</v>
      </c>
      <c r="AI94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{"issue":{"subject":"","project_id":79,"tracker_id":40,"status_id":1,"priority_id":2,"assigned_to_id":23,"start_date":"2017-02-10","description":"","custom_fields":[{"id":1,"name":"Subdivision","value":"EC"},{"id":4,"name":"Milepost","value":"0.0165"},{"id":17,"name":"Train ID","value":"182-10"},{"id":16,"name":"Locomotive ID","value":"4037"},{"id":130,"name":"Impact","value":""},{"id":150,"name":"Time of Event (Mountain Time)","value":"15:18:57"},{"id":151,"name":"Denver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4037 --day 2017-02-10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666</v>
      </c>
      <c r="B95" s="7">
        <v>4027</v>
      </c>
      <c r="C95" s="21" t="s">
        <v>193</v>
      </c>
      <c r="D95" s="21" t="s">
        <v>804</v>
      </c>
      <c r="E95" s="13">
        <v>42776.580034722225</v>
      </c>
      <c r="F95" s="13">
        <v>42776.583553240744</v>
      </c>
      <c r="G95" s="7">
        <v>1</v>
      </c>
      <c r="H95" s="21" t="s">
        <v>336</v>
      </c>
      <c r="I95" s="13">
        <v>42776.608287037037</v>
      </c>
      <c r="J95" s="7">
        <v>0</v>
      </c>
      <c r="K95" s="98" t="str">
        <f t="shared" si="25"/>
        <v>4027/4028</v>
      </c>
      <c r="L95" s="21" t="str">
        <f>VLOOKUP(A95,'Trips&amp;Operators'!$C$1:$G$99999,5,FALSE)</f>
        <v>KILLION DAVID</v>
      </c>
      <c r="M95" s="6">
        <f t="shared" si="26"/>
        <v>2.4733796293730848E-2</v>
      </c>
      <c r="N95" s="7">
        <f t="shared" si="24"/>
        <v>35.61666666297242</v>
      </c>
      <c r="O95" s="7"/>
      <c r="P95" s="7"/>
      <c r="Q95" s="22"/>
      <c r="R95" s="22"/>
      <c r="S95" s="31">
        <f t="shared" si="27"/>
        <v>1</v>
      </c>
      <c r="T95" s="46" t="str">
        <f t="shared" si="28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29"/>
        <v>https://d0f6bd738d7f1b3e5a7ca70fe4ff75f0.us-east-1.aws.found.io/app/kibana#/discover/Steve-Slow-Train-Analysis-(2080s-and-2083s)?_g=(refreshInterval:(display:Off,pause:!f,section:0,value:0),time:(from:'2017-02-10T12:55:15-0700',mode:absolute,to:'2017-02-10T15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5" s="188" t="str">
        <f t="shared" si="42"/>
        <v>N</v>
      </c>
      <c r="X95" s="188">
        <f t="shared" si="43"/>
        <v>1</v>
      </c>
      <c r="Y95" s="62">
        <f t="shared" si="30"/>
        <v>4.8800000000000003E-2</v>
      </c>
      <c r="Z95" s="62">
        <f t="shared" si="31"/>
        <v>23.329699999999999</v>
      </c>
      <c r="AA95" s="62">
        <f t="shared" si="32"/>
        <v>23.280899999999999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 t="shared" si="33"/>
        <v>0183-10</v>
      </c>
      <c r="AE95" s="85" t="str">
        <f t="shared" si="34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95" s="82" t="str">
        <f t="shared" si="35"/>
        <v>"C:\Program Files (x86)\AstroGrep\AstroGrep.exe" /spath="%USERPROFILE%\AppData\Local\Temp\OnboardLogs" /stypes="app*4027*20170210*" /stext=" 21:.+((SYSTEM_STATE.+slice.+state.+changed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86" t="str">
        <f t="shared" si="37"/>
        <v>"%USERPROFILE%\Documents\GitHub\eaglep3\Utilities\RefineRTDCRunTimes.py" --tripid 183-10 --locoid 4027 --swversion DE.1.0.8.0 --startMP 204:488 --initTime 2017-02-10T13:55:15 --startdatetime 2017-02-10T14:00:19 --delay 1 --endMP 204:233297 --enddatetime 2017-02-10T14:35:56 --enforcementcount 0 &gt;&gt;C:\Users\stu\Documents\GitHub\eaglep3-reporting\EC\2017-02-10-refined-times.txt</v>
      </c>
      <c r="AI95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{"issue":{"subject":"","project_id":79,"tracker_id":40,"status_id":1,"priority_id":2,"assigned_to_id":23,"start_date":"2017-02-10","description":"","custom_fields":[{"id":1,"name":"Subdivision","value":"EC"},{"id":4,"name":"Milepost","value":"23.3297"},{"id":17,"name":"Train ID","value":"183-10"},{"id":16,"name":"Locomotive ID","value":"4027"},{"id":130,"name":"Impact","value":""},{"id":150,"name":"Time of Event (Mountain Time)","value":"14:35:56"},{"id":151,"name":"Denver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4027 --day 2017-02-10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551</v>
      </c>
      <c r="B96" s="7">
        <v>4028</v>
      </c>
      <c r="C96" s="21" t="s">
        <v>193</v>
      </c>
      <c r="D96" s="21" t="s">
        <v>777</v>
      </c>
      <c r="E96" s="13">
        <v>42776.616377314815</v>
      </c>
      <c r="F96" s="13">
        <v>42776.622604166667</v>
      </c>
      <c r="G96" s="7">
        <v>1</v>
      </c>
      <c r="H96" s="21" t="s">
        <v>209</v>
      </c>
      <c r="I96" s="13">
        <v>42776.649386574078</v>
      </c>
      <c r="J96" s="7">
        <v>0</v>
      </c>
      <c r="K96" s="98" t="str">
        <f t="shared" si="25"/>
        <v>4027/4028</v>
      </c>
      <c r="L96" s="21" t="str">
        <f>VLOOKUP(A96,'Trips&amp;Operators'!$C$1:$G$99999,5,FALSE)</f>
        <v>KILLION DAVID</v>
      </c>
      <c r="M96" s="6">
        <f t="shared" si="26"/>
        <v>2.6782407410792075E-2</v>
      </c>
      <c r="N96" s="7">
        <f t="shared" si="24"/>
        <v>38.566666671540588</v>
      </c>
      <c r="O96" s="7"/>
      <c r="P96" s="7"/>
      <c r="Q96" s="22"/>
      <c r="R96" s="22"/>
      <c r="S96" s="31">
        <f t="shared" si="27"/>
        <v>1</v>
      </c>
      <c r="T96" s="46" t="str">
        <f t="shared" si="28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29"/>
        <v>https://d0f6bd738d7f1b3e5a7ca70fe4ff75f0.us-east-1.aws.found.io/app/kibana#/discover/Steve-Slow-Train-Analysis-(2080s-and-2083s)?_g=(refreshInterval:(display:Off,pause:!f,section:0,value:0),time:(from:'2017-02-10T13:47:35-0700',mode:absolute,to:'2017-02-10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188" t="str">
        <f t="shared" si="42"/>
        <v>N</v>
      </c>
      <c r="X96" s="188">
        <f t="shared" si="43"/>
        <v>1</v>
      </c>
      <c r="Y96" s="62">
        <f t="shared" si="30"/>
        <v>23.297899999999998</v>
      </c>
      <c r="Z96" s="62">
        <f t="shared" si="31"/>
        <v>1.5800000000000002E-2</v>
      </c>
      <c r="AA96" s="62">
        <f t="shared" si="32"/>
        <v>23.2821</v>
      </c>
      <c r="AB96" s="59" t="e">
        <f>VLOOKUP(A96,Enforcements!$C$7:$K$14,8,0)</f>
        <v>#N/A</v>
      </c>
      <c r="AC96" s="55" t="e">
        <f>VLOOKUP(A96,Enforcements!$C$7:$E$14,3,0)</f>
        <v>#N/A</v>
      </c>
      <c r="AD96" s="56" t="str">
        <f t="shared" si="33"/>
        <v>0184-10</v>
      </c>
      <c r="AE96" s="85" t="str">
        <f t="shared" si="34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96" s="82" t="str">
        <f t="shared" si="35"/>
        <v>"C:\Program Files (x86)\AstroGrep\AstroGrep.exe" /spath="%USERPROFILE%\AppData\Local\Temp\OnboardLogs" /stypes="app*4028*20170210*" /stext=" 22:.+((SYSTEM_STATE.+slice.+state.+changed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86" t="str">
        <f t="shared" si="37"/>
        <v>"%USERPROFILE%\Documents\GitHub\eaglep3\Utilities\RefineRTDCRunTimes.py" --tripid 184-10 --locoid 4028 --swversion DE.1.0.8.0 --startMP 204:232979 --initTime 2017-02-10T14:47:35 --startdatetime 2017-02-10T14:56:33 --delay 1 --endMP 204:158 --enddatetime 2017-02-10T15:35:07 --enforcementcount 0 &gt;&gt;C:\Users\stu\Documents\GitHub\eaglep3-reporting\EC\2017-02-10-refined-times.txt</v>
      </c>
      <c r="AI96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{"issue":{"subject":"","project_id":79,"tracker_id":40,"status_id":1,"priority_id":2,"assigned_to_id":23,"start_date":"2017-02-10","description":"","custom_fields":[{"id":1,"name":"Subdivision","value":"EC"},{"id":4,"name":"Milepost","value":"0.0158"},{"id":17,"name":"Train ID","value":"184-10"},{"id":16,"name":"Locomotive ID","value":"4028"},{"id":130,"name":"Impact","value":""},{"id":150,"name":"Time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4028 --day 2017-02-10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668</v>
      </c>
      <c r="B97" s="7">
        <v>4009</v>
      </c>
      <c r="C97" s="21" t="s">
        <v>193</v>
      </c>
      <c r="D97" s="21" t="s">
        <v>221</v>
      </c>
      <c r="E97" s="13">
        <v>42776.587060185186</v>
      </c>
      <c r="F97" s="13">
        <v>42776.593923611108</v>
      </c>
      <c r="G97" s="7">
        <v>1</v>
      </c>
      <c r="H97" s="21" t="s">
        <v>788</v>
      </c>
      <c r="I97" s="13">
        <v>42776.619502314818</v>
      </c>
      <c r="J97" s="7">
        <v>0</v>
      </c>
      <c r="K97" s="98" t="str">
        <f t="shared" si="25"/>
        <v>4009/4010</v>
      </c>
      <c r="L97" s="21" t="str">
        <f>VLOOKUP(A97,'Trips&amp;Operators'!$C$1:$G$99999,5,FALSE)</f>
        <v>BRANNON JEFFREY</v>
      </c>
      <c r="M97" s="6">
        <f t="shared" si="26"/>
        <v>2.5578703709470574E-2</v>
      </c>
      <c r="N97" s="7">
        <f t="shared" si="24"/>
        <v>36.833333341637626</v>
      </c>
      <c r="O97" s="7"/>
      <c r="P97" s="7"/>
      <c r="Q97" s="22"/>
      <c r="R97" s="22"/>
      <c r="S97" s="31">
        <f t="shared" si="27"/>
        <v>1</v>
      </c>
      <c r="T97" s="46" t="str">
        <f t="shared" si="28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29"/>
        <v>https://d0f6bd738d7f1b3e5a7ca70fe4ff75f0.us-east-1.aws.found.io/app/kibana#/discover/Steve-Slow-Train-Analysis-(2080s-and-2083s)?_g=(refreshInterval:(display:Off,pause:!f,section:0,value:0),time:(from:'2017-02-10T13:05:22-0700',mode:absolute,to:'2017-02-10T15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188" t="str">
        <f t="shared" si="42"/>
        <v>N</v>
      </c>
      <c r="X97" s="188">
        <f t="shared" si="43"/>
        <v>1</v>
      </c>
      <c r="Y97" s="62">
        <f t="shared" si="30"/>
        <v>4.58E-2</v>
      </c>
      <c r="Z97" s="62">
        <f t="shared" si="31"/>
        <v>23.331399999999999</v>
      </c>
      <c r="AA97" s="62">
        <f t="shared" si="32"/>
        <v>23.285599999999999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 t="shared" si="33"/>
        <v>0185-10</v>
      </c>
      <c r="AE97" s="85" t="str">
        <f t="shared" si="34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97" s="82" t="str">
        <f t="shared" si="35"/>
        <v>"C:\Program Files (x86)\AstroGrep\AstroGrep.exe" /spath="%USERPROFILE%\AppData\Local\Temp\OnboardLogs" /stypes="app*4009*20170210*" /stext=" 21:.+((SYSTEM_STATE.+slice.+state.+changed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86" t="str">
        <f t="shared" si="37"/>
        <v>"%USERPROFILE%\Documents\GitHub\eaglep3\Utilities\RefineRTDCRunTimes.py" --tripid 185-10 --locoid 4009 --swversion DE.1.0.8.0 --startMP 204:458 --initTime 2017-02-10T14:05:22 --startdatetime 2017-02-10T14:15:15 --delay 1 --endMP 204:233314 --enddatetime 2017-02-10T14:52:05 --enforcementcount 0 &gt;&gt;C:\Users\stu\Documents\GitHub\eaglep3-reporting\EC\2017-02-10-refined-times.txt</v>
      </c>
      <c r="AI97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{"issue":{"subject":"","project_id":79,"tracker_id":40,"status_id":1,"priority_id":2,"assigned_to_id":23,"start_date":"2017-02-10","description":"","custom_fields":[{"id":1,"name":"Subdivision","value":"EC"},{"id":4,"name":"Milepost","value":"23.3314"},{"id":17,"name":"Train ID","value":"185-10"},{"id":16,"name":"Locomotive ID","value":"4009"},{"id":130,"name":"Impact","value":""},{"id":150,"name":"Time of Event (Mountain Time)","value":"14:52:05"},{"id":151,"name":"Denver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4009 --day 2017-02-10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674</v>
      </c>
      <c r="B98" s="7">
        <v>4010</v>
      </c>
      <c r="C98" s="21" t="s">
        <v>193</v>
      </c>
      <c r="D98" s="21" t="s">
        <v>373</v>
      </c>
      <c r="E98" s="13">
        <v>42776.627534722225</v>
      </c>
      <c r="F98" s="13">
        <v>42776.6328125</v>
      </c>
      <c r="G98" s="7">
        <v>2</v>
      </c>
      <c r="H98" s="21" t="s">
        <v>198</v>
      </c>
      <c r="I98" s="13">
        <v>42776.658946759257</v>
      </c>
      <c r="J98" s="7">
        <v>0</v>
      </c>
      <c r="K98" s="98" t="str">
        <f t="shared" si="25"/>
        <v>4009/4010</v>
      </c>
      <c r="L98" s="21" t="str">
        <f>VLOOKUP(A98,'Trips&amp;Operators'!$C$1:$G$99999,5,FALSE)</f>
        <v>BRANNON JEFFREY</v>
      </c>
      <c r="M98" s="6">
        <f t="shared" si="26"/>
        <v>2.6134259256650694E-2</v>
      </c>
      <c r="N98" s="7">
        <f t="shared" si="24"/>
        <v>37.633333329576999</v>
      </c>
      <c r="O98" s="7"/>
      <c r="P98" s="7"/>
      <c r="Q98" s="22"/>
      <c r="R98" s="22"/>
      <c r="S98" s="31">
        <f t="shared" si="27"/>
        <v>1</v>
      </c>
      <c r="T98" s="46" t="str">
        <f t="shared" si="28"/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29"/>
        <v>https://d0f6bd738d7f1b3e5a7ca70fe4ff75f0.us-east-1.aws.found.io/app/kibana#/discover/Steve-Slow-Train-Analysis-(2080s-and-2083s)?_g=(refreshInterval:(display:Off,pause:!f,section:0,value:0),time:(from:'2017-02-10T14:03:39-0700',mode:absolute,to:'2017-02-10T16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188" t="str">
        <f t="shared" si="42"/>
        <v>N</v>
      </c>
      <c r="X98" s="188">
        <f t="shared" si="43"/>
        <v>1</v>
      </c>
      <c r="Y98" s="62">
        <f t="shared" si="30"/>
        <v>23.297999999999998</v>
      </c>
      <c r="Z98" s="62">
        <f t="shared" si="31"/>
        <v>1.4500000000000001E-2</v>
      </c>
      <c r="AA98" s="62">
        <f t="shared" si="32"/>
        <v>23.283499999999997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 t="shared" si="33"/>
        <v>0186-10</v>
      </c>
      <c r="AE98" s="85" t="str">
        <f t="shared" si="34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98" s="82" t="str">
        <f t="shared" si="35"/>
        <v>"C:\Program Files (x86)\AstroGrep\AstroGrep.exe" /spath="%USERPROFILE%\AppData\Local\Temp\OnboardLogs" /stypes="app*4010*20170210*" /stext=" 22:.+((SYSTEM_STATE.+slice.+state.+changed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86" t="str">
        <f t="shared" si="37"/>
        <v>"%USERPROFILE%\Documents\GitHub\eaglep3\Utilities\RefineRTDCRunTimes.py" --tripid 186-10 --locoid 4010 --swversion DE.1.0.8.0 --startMP 204:232980 --initTime 2017-02-10T15:03:39 --startdatetime 2017-02-10T15:11:15 --delay 2 --endMP 204:145 --enddatetime 2017-02-10T15:48:53 --enforcementcount 0 &gt;&gt;C:\Users\stu\Documents\GitHub\eaglep3-reporting\EC\2017-02-10-refined-times.txt</v>
      </c>
      <c r="AI98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ID","value":"186-10"},{"id":16,"name":"Locomotive ID","value":"4010"},{"id":130,"name":"Impact","value":""},{"id":150,"name":"Time of Event (Mountain Time)","value":"15:48:53"},{"id":151,"name":"Denver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4010 --day 2017-02-10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"%USERPROFILE%\AppData\Local\Temp\OnboardLogs"\RTDC4010\*4010*20170210* | grep -SE "(Enforcement Action)|(\[TIMEOUT)|(CHR.+\|PRM\|1\|D.+(SWITCH|SIGNAL).+UNKNOWN)" - &gt;&gt; 2017-02-10-UncaughtWiMAX.txt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670</v>
      </c>
      <c r="B99" s="7">
        <v>4040</v>
      </c>
      <c r="C99" s="21" t="s">
        <v>193</v>
      </c>
      <c r="D99" s="21" t="s">
        <v>270</v>
      </c>
      <c r="E99" s="13">
        <v>42776.600370370368</v>
      </c>
      <c r="F99" s="13">
        <v>42776.604398148149</v>
      </c>
      <c r="G99" s="7">
        <v>1</v>
      </c>
      <c r="H99" s="21" t="s">
        <v>507</v>
      </c>
      <c r="I99" s="13">
        <v>42776.629004629627</v>
      </c>
      <c r="J99" s="7">
        <v>0</v>
      </c>
      <c r="K99" s="98" t="str">
        <f t="shared" si="25"/>
        <v>4039/4040</v>
      </c>
      <c r="L99" s="21" t="str">
        <f>VLOOKUP(A99,'Trips&amp;Operators'!$C$1:$G$99999,5,FALSE)</f>
        <v>STEWART MICHAEL</v>
      </c>
      <c r="M99" s="6">
        <f t="shared" si="26"/>
        <v>2.4606481478258502E-2</v>
      </c>
      <c r="N99" s="7">
        <f t="shared" si="24"/>
        <v>35.433333328692243</v>
      </c>
      <c r="O99" s="7"/>
      <c r="P99" s="7"/>
      <c r="Q99" s="22"/>
      <c r="R99" s="22"/>
      <c r="S99" s="31">
        <f t="shared" si="27"/>
        <v>1</v>
      </c>
      <c r="T99" s="46" t="str">
        <f t="shared" si="28"/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29"/>
        <v>https://d0f6bd738d7f1b3e5a7ca70fe4ff75f0.us-east-1.aws.found.io/app/kibana#/discover/Steve-Slow-Train-Analysis-(2080s-and-2083s)?_g=(refreshInterval:(display:Off,pause:!f,section:0,value:0),time:(from:'2017-02-10T13:24:32-0700',mode:absolute,to:'2017-02-10T16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188" t="str">
        <f t="shared" si="42"/>
        <v>N</v>
      </c>
      <c r="X99" s="188">
        <f t="shared" si="43"/>
        <v>1</v>
      </c>
      <c r="Y99" s="62">
        <f t="shared" si="30"/>
        <v>4.7100000000000003E-2</v>
      </c>
      <c r="Z99" s="62">
        <f t="shared" si="31"/>
        <v>23.328900000000001</v>
      </c>
      <c r="AA99" s="62">
        <f t="shared" si="32"/>
        <v>23.2818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 t="shared" si="33"/>
        <v>0187-10</v>
      </c>
      <c r="AE99" s="85" t="str">
        <f t="shared" si="34"/>
        <v>aws s3 cp s3://rtdc.mdm.uploadarchive.raw/RTDC4040/ "%USERPROFILE%\AppData\Local\Temp\OnboardLogs"\RTDC4040\2017-02-10 --exclude "*" --recursive --include "*20170210*" &amp; "%USERPROFILE%\Documents\GitHub\mrs-test-scripts\Headless Mode &amp; Sideloading\WalkAndUnGZ.bat" "%USERPROFILE%\AppData\Local\Temp\OnboardLogs"\RTDC4040\2017-02-10 &amp; 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</v>
      </c>
      <c r="AF99" s="82" t="str">
        <f t="shared" si="35"/>
        <v>"C:\Program Files (x86)\AstroGrep\AstroGrep.exe" /spath="%USERPROFILE%\AppData\Local\Temp\OnboardLogs" /stypes="app*4040*20170210*" /stext=" 22:.+((SYSTEM_STATE.+slice.+state.+changed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86" t="str">
        <f t="shared" si="37"/>
        <v>"%USERPROFILE%\Documents\GitHub\eaglep3\Utilities\RefineRTDCRunTimes.py" --tripid 187-10 --locoid 4040 --swversion DE.1.0.8.0 --startMP 204:471 --initTime 2017-02-10T14:24:32 --startdatetime 2017-02-10T14:30:20 --delay 1 --endMP 204:233289 --enddatetime 2017-02-10T15:05:46 --enforcementcount 0 &gt;&gt;C:\Users\stu\Documents\GitHub\eaglep3-reporting\EC\2017-02-10-refined-times.txt</v>
      </c>
      <c r="AI9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{"issue":{"subject":"","project_id":79,"tracker_id":40,"status_id":1,"priority_id":2,"assigned_to_id":23,"start_date":"2017-02-10","description":"","custom_fields":[{"id":1,"name":"Subdivision","value":"EC"},{"id":4,"name":"Milepost","value":"23.3289"},{"id":17,"name":"Train ID","value":"187-10"},{"id":16,"name":"Locomotive ID","value":"4040"},{"id":130,"name":"Impact","value":""},{"id":150,"name":"Time of Event (Mountain Time)","value":"15:05:46"},{"id":151,"name":"Denver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4040 --day 2017-02-10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"%USERPROFILE%\AppData\Local\Temp\OnboardLogs"\RTDC4040\*4040*20170210* | grep -SE "(Enforcement Action)|(\[TIMEOUT)|(CHR.+\|PRM\|1\|D.+(SWITCH|SIGNAL).+UNKNOWN)" - &gt;&gt; 2017-02-10-UncaughtWiMAX.txt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678</v>
      </c>
      <c r="B100" s="7">
        <v>4039</v>
      </c>
      <c r="C100" s="21" t="s">
        <v>193</v>
      </c>
      <c r="D100" s="21" t="s">
        <v>770</v>
      </c>
      <c r="E100" s="13">
        <v>42776.639618055553</v>
      </c>
      <c r="F100" s="13">
        <v>42776.643460648149</v>
      </c>
      <c r="G100" s="7">
        <v>1</v>
      </c>
      <c r="H100" s="21" t="s">
        <v>209</v>
      </c>
      <c r="I100" s="13">
        <v>42776.670497685183</v>
      </c>
      <c r="J100" s="7">
        <v>0</v>
      </c>
      <c r="K100" s="98" t="str">
        <f t="shared" si="25"/>
        <v>4039/4040</v>
      </c>
      <c r="L100" s="21" t="str">
        <f>VLOOKUP(A100,'Trips&amp;Operators'!$C$1:$G$99999,5,FALSE)</f>
        <v>STEWART MICHAEL</v>
      </c>
      <c r="M100" s="6">
        <f t="shared" si="26"/>
        <v>2.7037037034460809E-2</v>
      </c>
      <c r="N100" s="7">
        <f t="shared" si="24"/>
        <v>38.933333329623565</v>
      </c>
      <c r="O100" s="7"/>
      <c r="P100" s="7"/>
      <c r="Q100" s="22"/>
      <c r="R100" s="22"/>
      <c r="S100" s="31">
        <f t="shared" si="27"/>
        <v>1</v>
      </c>
      <c r="T100" s="46" t="str">
        <f t="shared" si="28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29"/>
        <v>https://d0f6bd738d7f1b3e5a7ca70fe4ff75f0.us-east-1.aws.found.io/app/kibana#/discover/Steve-Slow-Train-Analysis-(2080s-and-2083s)?_g=(refreshInterval:(display:Off,pause:!f,section:0,value:0),time:(from:'2017-02-10T14:21:03-0700',mode:absolute,to:'2017-02-10T17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188" t="str">
        <f t="shared" si="42"/>
        <v>N</v>
      </c>
      <c r="X100" s="188">
        <f t="shared" si="43"/>
        <v>1</v>
      </c>
      <c r="Y100" s="62">
        <f t="shared" si="30"/>
        <v>23.298100000000002</v>
      </c>
      <c r="Z100" s="62">
        <f t="shared" si="31"/>
        <v>1.5800000000000002E-2</v>
      </c>
      <c r="AA100" s="62">
        <f t="shared" si="32"/>
        <v>23.282300000000003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 t="shared" si="33"/>
        <v>0188-10</v>
      </c>
      <c r="AE100" s="85" t="str">
        <f t="shared" si="34"/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AF100" s="82" t="str">
        <f t="shared" si="35"/>
        <v>"C:\Program Files (x86)\AstroGrep\AstroGrep.exe" /spath="%USERPROFILE%\AppData\Local\Temp\OnboardLogs" /stypes="app*4039*20170210*" /stext=" 23:.+((SYSTEM_STATE.+slice.+state.+changed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86" t="str">
        <f t="shared" si="37"/>
        <v>"%USERPROFILE%\Documents\GitHub\eaglep3\Utilities\RefineRTDCRunTimes.py" --tripid 188-10 --locoid 4039 --swversion DE.1.0.8.0 --startMP 204:232981 --initTime 2017-02-10T15:21:03 --startdatetime 2017-02-10T15:26:35 --delay 1 --endMP 204:158 --enddatetime 2017-02-10T16:05:31 --enforcementcount 0 &gt;&gt;C:\Users\stu\Documents\GitHub\eaglep3-reporting\EC\2017-02-10-refined-times.txt</v>
      </c>
      <c r="AI10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{"issue":{"subject":"","project_id":79,"tracker_id":40,"status_id":1,"priority_id":2,"assigned_to_id":23,"start_date":"2017-02-10","description":"","custom_fields":[{"id":1,"name":"Subdivision","value":"EC"},{"id":4,"name":"Milepost","value":"0.0158"},{"id":17,"name":"Train ID","value":"188-10"},{"id":16,"name":"Locomotive ID","value":"4039"},{"id":130,"name":"Impact","value":""},{"id":150,"name":"Time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4039 --day 2017-02-10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"%USERPROFILE%\AppData\Local\Temp\OnboardLogs"\RTDC4039\*4039*20170210* | grep -SE "(Enforcement Action)|(\[TIMEOUT)|(CHR.+\|PRM\|1\|D.+(SWITCH|SIGNAL).+UNKNOWN)" - &gt;&gt; 2017-02-10-UncaughtWiMAX.txt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550</v>
      </c>
      <c r="B101" s="7">
        <v>4018</v>
      </c>
      <c r="C101" s="21" t="s">
        <v>193</v>
      </c>
      <c r="D101" s="21" t="s">
        <v>513</v>
      </c>
      <c r="E101" s="13">
        <v>42776.60900462963</v>
      </c>
      <c r="F101" s="13">
        <v>42776.614814814813</v>
      </c>
      <c r="G101" s="7">
        <v>1</v>
      </c>
      <c r="H101" s="21" t="s">
        <v>370</v>
      </c>
      <c r="I101" s="13">
        <v>42776.640173611115</v>
      </c>
      <c r="J101" s="7">
        <v>0</v>
      </c>
      <c r="K101" s="98" t="str">
        <f t="shared" si="25"/>
        <v>4017/4018</v>
      </c>
      <c r="L101" s="21" t="str">
        <f>VLOOKUP(A101,'Trips&amp;Operators'!$C$1:$G$99999,5,FALSE)</f>
        <v>ROMERO CHAD</v>
      </c>
      <c r="M101" s="6">
        <f t="shared" si="26"/>
        <v>2.5358796301588882E-2</v>
      </c>
      <c r="N101" s="7">
        <f t="shared" si="24"/>
        <v>36.51666667428799</v>
      </c>
      <c r="O101" s="7"/>
      <c r="P101" s="7"/>
      <c r="Q101" s="22"/>
      <c r="R101" s="22"/>
      <c r="S101" s="31">
        <f t="shared" si="27"/>
        <v>1</v>
      </c>
      <c r="T101" s="46" t="str">
        <f t="shared" si="28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29"/>
        <v>https://d0f6bd738d7f1b3e5a7ca70fe4ff75f0.us-east-1.aws.found.io/app/kibana#/discover/Steve-Slow-Train-Analysis-(2080s-and-2083s)?_g=(refreshInterval:(display:Off,pause:!f,section:0,value:0),time:(from:'2017-02-10T13:36:58-0700',mode:absolute,to:'2017-02-10T16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8" t="str">
        <f t="shared" si="42"/>
        <v>N</v>
      </c>
      <c r="X101" s="188">
        <f t="shared" si="43"/>
        <v>1</v>
      </c>
      <c r="Y101" s="62">
        <f t="shared" si="30"/>
        <v>4.1599999999999998E-2</v>
      </c>
      <c r="Z101" s="62">
        <f t="shared" si="31"/>
        <v>23.331199999999999</v>
      </c>
      <c r="AA101" s="62">
        <f t="shared" si="32"/>
        <v>23.2896</v>
      </c>
      <c r="AB101" s="59" t="str">
        <f>VLOOKUP(A101,Enforcements!$C$7:$K$14,8,0)</f>
        <v>Speed (6)</v>
      </c>
      <c r="AC101" s="55" t="str">
        <f>VLOOKUP(A101,Enforcements!$C$7:$E$14,3,0)</f>
        <v>PERMANENT SPEED RESTRICTION</v>
      </c>
      <c r="AD101" s="56" t="str">
        <f t="shared" si="33"/>
        <v>0189-10</v>
      </c>
      <c r="AE101" s="85" t="str">
        <f t="shared" si="34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101" s="82" t="str">
        <f t="shared" si="35"/>
        <v>"C:\Program Files (x86)\AstroGrep\AstroGrep.exe" /spath="%USERPROFILE%\AppData\Local\Temp\OnboardLogs" /stypes="app*4018*20170210*" /stext=" 22:.+((SYSTEM_STATE.+slice.+state.+changed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86" t="str">
        <f t="shared" si="37"/>
        <v>"%USERPROFILE%\Documents\GitHub\eaglep3\Utilities\RefineRTDCRunTimes.py" --tripid 189-10 --locoid 4018 --swversion DE.1.0.8.0 --startMP 204:416 --initTime 2017-02-10T14:36:58 --startdatetime 2017-02-10T14:45:20 --delay 1 --endMP 204:233312 --enddatetime 2017-02-10T15:21:51 --enforcementcount 0 &gt;&gt;C:\Users\stu\Documents\GitHub\eaglep3-reporting\EC\2017-02-10-refined-times.txt</v>
      </c>
      <c r="AI101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{"issue":{"subject":"","project_id":79,"tracker_id":40,"status_id":1,"priority_id":2,"assigned_to_id":23,"start_date":"2017-02-10","description":"","custom_fields":[{"id":1,"name":"Subdivision","value":"EC"},{"id":4,"name":"Milepost","value":"23.3312"},{"id":17,"name":"Train ID","value":"189-10"},{"id":16,"name":"Locomotive ID","value":"4018"},{"id":130,"name":"Impact","value":""},{"id":150,"name":"Time of Event (Mountain Time)","value":"15:21:51"},{"id":151,"name":"Denver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4018 --day 2017-02-10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679</v>
      </c>
      <c r="B102" s="7">
        <v>4017</v>
      </c>
      <c r="C102" s="21" t="s">
        <v>193</v>
      </c>
      <c r="D102" s="21" t="s">
        <v>376</v>
      </c>
      <c r="E102" s="13">
        <v>42776.641446759262</v>
      </c>
      <c r="F102" s="13">
        <v>42776.653761574074</v>
      </c>
      <c r="G102" s="7">
        <v>1</v>
      </c>
      <c r="H102" s="21" t="s">
        <v>805</v>
      </c>
      <c r="I102" s="13">
        <v>42776.677025462966</v>
      </c>
      <c r="J102" s="7">
        <v>0</v>
      </c>
      <c r="K102" s="98" t="str">
        <f t="shared" si="25"/>
        <v>4017/4018</v>
      </c>
      <c r="L102" s="21" t="str">
        <f>VLOOKUP(A102,'Trips&amp;Operators'!$C$1:$G$99999,5,FALSE)</f>
        <v>ROMERO CHAD</v>
      </c>
      <c r="M102" s="6">
        <f t="shared" si="26"/>
        <v>2.326388889196096E-2</v>
      </c>
      <c r="N102" s="7"/>
      <c r="O102" s="7"/>
      <c r="P102" s="7">
        <f>24*60*SUM($M102:$M102)</f>
        <v>33.500000004423782</v>
      </c>
      <c r="Q102" s="22"/>
      <c r="R102" s="22" t="s">
        <v>381</v>
      </c>
      <c r="S102" s="31">
        <f t="shared" si="27"/>
        <v>1</v>
      </c>
      <c r="T102" s="46" t="str">
        <f t="shared" si="28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29"/>
        <v>https://d0f6bd738d7f1b3e5a7ca70fe4ff75f0.us-east-1.aws.found.io/app/kibana#/discover/Steve-Slow-Train-Analysis-(2080s-and-2083s)?_g=(refreshInterval:(display:Off,pause:!f,section:0,value:0),time:(from:'2017-02-10T14:23:41-0700',mode:absolute,to:'2017-02-10T17:14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8" t="str">
        <f t="shared" si="42"/>
        <v>Y</v>
      </c>
      <c r="X102" s="188">
        <f t="shared" si="43"/>
        <v>1</v>
      </c>
      <c r="Y102" s="62">
        <f t="shared" si="30"/>
        <v>23.2986</v>
      </c>
      <c r="Z102" s="62">
        <f t="shared" si="31"/>
        <v>2.0752000000000002</v>
      </c>
      <c r="AA102" s="62">
        <f t="shared" si="32"/>
        <v>21.223400000000002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 t="shared" si="33"/>
        <v>0190-10</v>
      </c>
      <c r="AE102" s="85" t="str">
        <f t="shared" si="34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102" s="82" t="str">
        <f t="shared" si="35"/>
        <v>"C:\Program Files (x86)\AstroGrep\AstroGrep.exe" /spath="%USERPROFILE%\AppData\Local\Temp\OnboardLogs" /stypes="app*4017*20170210*" /stext=" 23:.+((SYSTEM_STATE.+slice.+state.+changed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86" t="str">
        <f t="shared" si="37"/>
        <v>"%USERPROFILE%\Documents\GitHub\eaglep3\Utilities\RefineRTDCRunTimes.py" --tripid 190-10 --locoid 4017 --swversion DE.1.0.8.0 --startMP 204:232986 --initTime 2017-02-10T15:23:41 --startdatetime 2017-02-10T15:41:25 --delay 1 --endMP 204:20752 --enddatetime 2017-02-10T16:14:55 --enforcementcount 0 &gt;&gt;C:\Users\stu\Documents\GitHub\eaglep3-reporting\EC\2017-02-10-refined-times.txt</v>
      </c>
      <c r="AI102" s="108" t="str">
        <f t="shared" si="38"/>
        <v>echo {"issue":{"subject":"Onboard in-route failure","project_id":79,"tracker_id":40,"status_id":1,"priority_id":2,"assigned_to_id":23,"start_date":"2017-02-10","description":"","custom_fields":[{"id":1,"name":"Subdivision","value":"EC"},{"id":4,"name":"Milepost","value":"2.0752"},{"id":17,"name":"Train ID","value":"190-10"},{"id":16,"name":"Locomotive ID","value":"4017"},{"id":130,"name":"Impact","value":""},{"id":150,"name":"Time of Event (Mountain Time)","value":"16:14:55"},{"id":151,"name":"Denver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4017 --day 2017-02-10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"%USERPROFILE%\AppData\Local\Temp\OnboardLogs"\RTDC4017\*4017*20170210* | grep -SE "(Enforcement Action)|(\[TIMEOUT)|(CHR.+\|PRM\|1\|D.+(SWITCH|SIGNAL).+UNKNOWN)" - &gt;&gt; 2017-02-10-UncaughtWiMAX.txt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673</v>
      </c>
      <c r="B103" s="7">
        <v>4046</v>
      </c>
      <c r="C103" s="21" t="s">
        <v>193</v>
      </c>
      <c r="D103" s="21" t="s">
        <v>512</v>
      </c>
      <c r="E103" s="13">
        <v>42776.620300925926</v>
      </c>
      <c r="F103" s="13">
        <v>42776.625243055554</v>
      </c>
      <c r="G103" s="7">
        <v>1</v>
      </c>
      <c r="H103" s="21" t="s">
        <v>806</v>
      </c>
      <c r="I103" s="13">
        <v>42776.65185185185</v>
      </c>
      <c r="J103" s="7">
        <v>0</v>
      </c>
      <c r="K103" s="98" t="str">
        <f t="shared" si="25"/>
        <v>4045/4046</v>
      </c>
      <c r="L103" s="21" t="str">
        <f>VLOOKUP(A103,'Trips&amp;Operators'!$C$1:$G$99999,5,FALSE)</f>
        <v>CLARK KATHLEEN</v>
      </c>
      <c r="M103" s="6">
        <f t="shared" si="26"/>
        <v>2.6608796295477077E-2</v>
      </c>
      <c r="N103" s="7">
        <f t="shared" ref="N103:N134" si="44">24*60*SUM($M103:$M103)</f>
        <v>38.316666665486991</v>
      </c>
      <c r="O103" s="7"/>
      <c r="P103" s="7"/>
      <c r="Q103" s="22"/>
      <c r="R103" s="22"/>
      <c r="S103" s="31">
        <f t="shared" si="27"/>
        <v>1</v>
      </c>
      <c r="T103" s="46" t="str">
        <f t="shared" si="28"/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29"/>
        <v>https://d0f6bd738d7f1b3e5a7ca70fe4ff75f0.us-east-1.aws.found.io/app/kibana#/discover/Steve-Slow-Train-Analysis-(2080s-and-2083s)?_g=(refreshInterval:(display:Off,pause:!f,section:0,value:0),time:(from:'2017-02-10T13:53:14-0700',mode:absolute,to:'2017-02-10T16:38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3" s="188" t="str">
        <f t="shared" si="42"/>
        <v>N</v>
      </c>
      <c r="X103" s="188">
        <f t="shared" si="43"/>
        <v>1</v>
      </c>
      <c r="Y103" s="62">
        <f t="shared" si="30"/>
        <v>4.9299999999999997E-2</v>
      </c>
      <c r="Z103" s="62">
        <f t="shared" si="31"/>
        <v>23.325900000000001</v>
      </c>
      <c r="AA103" s="62">
        <f t="shared" si="32"/>
        <v>23.276600000000002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 t="shared" si="33"/>
        <v>0191-10</v>
      </c>
      <c r="AE103" s="85" t="str">
        <f t="shared" si="34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103" s="82" t="str">
        <f t="shared" si="35"/>
        <v>"C:\Program Files (x86)\AstroGrep\AstroGrep.exe" /spath="%USERPROFILE%\AppData\Local\Temp\OnboardLogs" /stypes="app*4046*20170210*" /stext=" 22:.+((SYSTEM_STATE.+slice.+state.+changed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86" t="str">
        <f t="shared" si="37"/>
        <v>"%USERPROFILE%\Documents\GitHub\eaglep3\Utilities\RefineRTDCRunTimes.py" --tripid 191-10 --locoid 4046 --swversion DE.1.0.8.0 --startMP 204:493 --initTime 2017-02-10T14:53:14 --startdatetime 2017-02-10T15:00:21 --delay 1 --endMP 204:233259 --enddatetime 2017-02-10T15:38:40 --enforcementcount 0 &gt;&gt;C:\Users\stu\Documents\GitHub\eaglep3-reporting\EC\2017-02-10-refined-times.txt</v>
      </c>
      <c r="AI103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{"issue":{"subject":"","project_id":79,"tracker_id":40,"status_id":1,"priority_id":2,"assigned_to_id":23,"start_date":"2017-02-10","description":"","custom_fields":[{"id":1,"name":"Subdivision","value":"EC"},{"id":4,"name":"Milepost","value":"23.3259"},{"id":17,"name":"Train ID","value":"191-10"},{"id":16,"name":"Locomotive ID","value":"4046"},{"id":130,"name":"Impact","value":""},{"id":150,"name":"Time of Event (Mountain Time)","value":"15:38:40"},{"id":151,"name":"Denver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4046 --day 2017-02-10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"%USERPROFILE%\AppData\Local\Temp\OnboardLogs"\RTDC4046\*4046*20170210* | grep -SE "(Enforcement Action)|(\[TIMEOUT)|(CHR.+\|PRM\|1\|D.+(SWITCH|SIGNAL).+UNKNOWN)" - &gt;&gt; 2017-02-10-UncaughtWiMAX.txt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684</v>
      </c>
      <c r="B104" s="7">
        <v>4045</v>
      </c>
      <c r="C104" s="21" t="s">
        <v>193</v>
      </c>
      <c r="D104" s="21" t="s">
        <v>775</v>
      </c>
      <c r="E104" s="13">
        <v>42776.659861111111</v>
      </c>
      <c r="F104" s="13">
        <v>42776.664143518516</v>
      </c>
      <c r="G104" s="7">
        <v>0</v>
      </c>
      <c r="H104" s="21" t="s">
        <v>807</v>
      </c>
      <c r="I104" s="13">
        <v>42776.692453703705</v>
      </c>
      <c r="J104" s="7">
        <v>0</v>
      </c>
      <c r="K104" s="98" t="str">
        <f t="shared" si="25"/>
        <v>4045/4046</v>
      </c>
      <c r="L104" s="21" t="str">
        <f>VLOOKUP(A104,'Trips&amp;Operators'!$C$1:$G$99999,5,FALSE)</f>
        <v>CLARK KATHLEEN</v>
      </c>
      <c r="M104" s="6">
        <f t="shared" si="26"/>
        <v>2.8310185189184267E-2</v>
      </c>
      <c r="N104" s="7">
        <f t="shared" si="44"/>
        <v>40.766666672425345</v>
      </c>
      <c r="O104" s="7"/>
      <c r="P104" s="7"/>
      <c r="Q104" s="22"/>
      <c r="R104" s="22"/>
      <c r="S104" s="31">
        <f t="shared" si="27"/>
        <v>1</v>
      </c>
      <c r="T104" s="46" t="str">
        <f t="shared" si="28"/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29"/>
        <v>https://d0f6bd738d7f1b3e5a7ca70fe4ff75f0.us-east-1.aws.found.io/app/kibana#/discover/Steve-Slow-Train-Analysis-(2080s-and-2083s)?_g=(refreshInterval:(display:Off,pause:!f,section:0,value:0),time:(from:'2017-02-10T14:50:12-0700',mode:absolute,to:'2017-02-10T17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4" s="188" t="str">
        <f t="shared" si="42"/>
        <v>N</v>
      </c>
      <c r="X104" s="188">
        <f t="shared" si="43"/>
        <v>1</v>
      </c>
      <c r="Y104" s="62">
        <f t="shared" si="30"/>
        <v>23.295500000000001</v>
      </c>
      <c r="Z104" s="62">
        <f t="shared" si="31"/>
        <v>2.4299999999999999E-2</v>
      </c>
      <c r="AA104" s="62">
        <f t="shared" si="32"/>
        <v>23.2712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 t="shared" si="33"/>
        <v>0192-10</v>
      </c>
      <c r="AE104" s="85" t="str">
        <f t="shared" si="34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104" s="82" t="str">
        <f t="shared" si="35"/>
        <v>"C:\Program Files (x86)\AstroGrep\AstroGrep.exe" /spath="%USERPROFILE%\AppData\Local\Temp\OnboardLogs" /stypes="app*4045*20170210*" /stext=" 23:.+((SYSTEM_STATE.+slice.+state.+changed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86" t="str">
        <f t="shared" si="37"/>
        <v>"%USERPROFILE%\Documents\GitHub\eaglep3\Utilities\RefineRTDCRunTimes.py" --tripid 192-10 --locoid 4045 --swversion DE.1.0.8.0 --startMP 204:232955 --initTime 2017-02-10T15:50:12 --startdatetime 2017-02-10T15:56:22 --delay 0 --endMP 204:243 --enddatetime 2017-02-10T16:37:08 --enforcementcount 0 &gt;&gt;C:\Users\stu\Documents\GitHub\eaglep3-reporting\EC\2017-02-10-refined-times.txt</v>
      </c>
      <c r="AI104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{"issue":{"subject":"","project_id":79,"tracker_id":40,"status_id":1,"priority_id":2,"assigned_to_id":23,"start_date":"2017-02-10","description":"","custom_fields":[{"id":1,"name":"Subdivision","value":"EC"},{"id":4,"name":"Milepost","value":"0.0243"},{"id":17,"name":"Train ID","value":"192-10"},{"id":16,"name":"Locomotive ID","value":"4045"},{"id":130,"name":"Impact","value":""},{"id":150,"name":"Time of Event (Mountain Time)","value":"16:37:08"},{"id":151,"name":"Denver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4045 --day 2017-02-10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675</v>
      </c>
      <c r="B105" s="7">
        <v>4007</v>
      </c>
      <c r="C105" s="21" t="s">
        <v>193</v>
      </c>
      <c r="D105" s="21" t="s">
        <v>269</v>
      </c>
      <c r="E105" s="13">
        <v>42776.629826388889</v>
      </c>
      <c r="F105" s="13">
        <v>42776.63559027778</v>
      </c>
      <c r="G105" s="7">
        <v>1</v>
      </c>
      <c r="H105" s="21" t="s">
        <v>808</v>
      </c>
      <c r="I105" s="13">
        <v>42776.660787037035</v>
      </c>
      <c r="J105" s="7">
        <v>0</v>
      </c>
      <c r="K105" s="98" t="str">
        <f t="shared" si="25"/>
        <v>4007/4008</v>
      </c>
      <c r="L105" s="21" t="str">
        <f>VLOOKUP(A105,'Trips&amp;Operators'!$C$1:$G$99999,5,FALSE)</f>
        <v>BRUDER RICHARD</v>
      </c>
      <c r="M105" s="6">
        <f t="shared" si="26"/>
        <v>2.5196759255777579E-2</v>
      </c>
      <c r="N105" s="7">
        <f t="shared" si="44"/>
        <v>36.283333328319713</v>
      </c>
      <c r="O105" s="7"/>
      <c r="P105" s="7"/>
      <c r="Q105" s="22"/>
      <c r="R105" s="22"/>
      <c r="S105" s="31">
        <f t="shared" si="27"/>
        <v>1</v>
      </c>
      <c r="T105" s="46" t="str">
        <f t="shared" si="28"/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29"/>
        <v>https://d0f6bd738d7f1b3e5a7ca70fe4ff75f0.us-east-1.aws.found.io/app/kibana#/discover/Steve-Slow-Train-Analysis-(2080s-and-2083s)?_g=(refreshInterval:(display:Off,pause:!f,section:0,value:0),time:(from:'2017-02-10T14:06:57-0700',mode:absolute,to:'2017-02-10T16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188" t="str">
        <f t="shared" si="42"/>
        <v>N</v>
      </c>
      <c r="X105" s="188">
        <f t="shared" si="43"/>
        <v>1</v>
      </c>
      <c r="Y105" s="62">
        <f t="shared" si="30"/>
        <v>4.53E-2</v>
      </c>
      <c r="Z105" s="62">
        <f t="shared" si="31"/>
        <v>23.332999999999998</v>
      </c>
      <c r="AA105" s="62">
        <f t="shared" si="32"/>
        <v>23.287699999999997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 t="shared" si="33"/>
        <v>0193-10</v>
      </c>
      <c r="AE105" s="85" t="str">
        <f t="shared" si="34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105" s="82" t="str">
        <f t="shared" si="35"/>
        <v>"C:\Program Files (x86)\AstroGrep\AstroGrep.exe" /spath="%USERPROFILE%\AppData\Local\Temp\OnboardLogs" /stypes="app*4007*20170210*" /stext=" 22:.+((SYSTEM_STATE.+slice.+state.+changed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86" t="str">
        <f t="shared" si="37"/>
        <v>"%USERPROFILE%\Documents\GitHub\eaglep3\Utilities\RefineRTDCRunTimes.py" --tripid 193-10 --locoid 4007 --swversion DE.1.0.8.0 --startMP 204:453 --initTime 2017-02-10T15:06:57 --startdatetime 2017-02-10T15:15:15 --delay 1 --endMP 204:233330 --enddatetime 2017-02-10T15:51:32 --enforcementcount 0 &gt;&gt;C:\Users\stu\Documents\GitHub\eaglep3-reporting\EC\2017-02-10-refined-times.txt</v>
      </c>
      <c r="AI105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{"issue":{"subject":"","project_id":79,"tracker_id":40,"status_id":1,"priority_id":2,"assigned_to_id":23,"start_date":"2017-02-10","description":"","custom_fields":[{"id":1,"name":"Subdivision","value":"EC"},{"id":4,"name":"Milepost","value":"23.333"},{"id":17,"name":"Train ID","value":"193-10"},{"id":16,"name":"Locomotive ID","value":"4007"},{"id":130,"name":"Impact","value":""},{"id":150,"name":"Time of Event (Mountain Time)","value":"15:51:32"},{"id":151,"name":"Denver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4007 --day 2017-02-10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"%USERPROFILE%\AppData\Local\Temp\OnboardLogs"\RTDC4007\*4007*20170210* | grep -SE "(Enforcement Action)|(\[TIMEOUT)|(CHR.+\|PRM\|1\|D.+(SWITCH|SIGNAL).+UNKNOWN)" - &gt;&gt; 2017-02-10-UncaughtWiMAX.txt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686</v>
      </c>
      <c r="B106" s="7">
        <v>4008</v>
      </c>
      <c r="C106" s="21" t="s">
        <v>193</v>
      </c>
      <c r="D106" s="21" t="s">
        <v>378</v>
      </c>
      <c r="E106" s="13">
        <v>42776.66920138889</v>
      </c>
      <c r="F106" s="13">
        <v>42776.674479166664</v>
      </c>
      <c r="G106" s="7">
        <v>1</v>
      </c>
      <c r="H106" s="21" t="s">
        <v>295</v>
      </c>
      <c r="I106" s="13">
        <v>42776.700706018521</v>
      </c>
      <c r="J106" s="7">
        <v>0</v>
      </c>
      <c r="K106" s="98" t="str">
        <f t="shared" si="25"/>
        <v>4007/4008</v>
      </c>
      <c r="L106" s="21" t="str">
        <f>VLOOKUP(A106,'Trips&amp;Operators'!$C$1:$G$99999,5,FALSE)</f>
        <v>BRUDER RICHARD</v>
      </c>
      <c r="M106" s="6">
        <f t="shared" si="26"/>
        <v>2.6226851856335998E-2</v>
      </c>
      <c r="N106" s="7">
        <f t="shared" si="44"/>
        <v>37.766666673123837</v>
      </c>
      <c r="O106" s="7"/>
      <c r="P106" s="7"/>
      <c r="Q106" s="22"/>
      <c r="R106" s="22"/>
      <c r="S106" s="31">
        <f t="shared" si="27"/>
        <v>1</v>
      </c>
      <c r="T106" s="46" t="str">
        <f t="shared" si="28"/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29"/>
        <v>https://d0f6bd738d7f1b3e5a7ca70fe4ff75f0.us-east-1.aws.found.io/app/kibana#/discover/Steve-Slow-Train-Analysis-(2080s-and-2083s)?_g=(refreshInterval:(display:Off,pause:!f,section:0,value:0),time:(from:'2017-02-10T15:03:39-0700',mode:absolute,to:'2017-02-10T17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8" t="str">
        <f t="shared" si="42"/>
        <v>N</v>
      </c>
      <c r="X106" s="188">
        <f t="shared" si="43"/>
        <v>1</v>
      </c>
      <c r="Y106" s="62">
        <f t="shared" si="30"/>
        <v>23.298400000000001</v>
      </c>
      <c r="Z106" s="62">
        <f t="shared" si="31"/>
        <v>1.3899999999999999E-2</v>
      </c>
      <c r="AA106" s="62">
        <f t="shared" si="32"/>
        <v>23.284500000000001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 t="shared" si="33"/>
        <v>0194-10</v>
      </c>
      <c r="AE106" s="85" t="str">
        <f t="shared" si="34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106" s="82" t="str">
        <f t="shared" si="35"/>
        <v>"C:\Program Files (x86)\AstroGrep\AstroGrep.exe" /spath="%USERPROFILE%\AppData\Local\Temp\OnboardLogs" /stypes="app*4008*20170210*" /stext=" 23:.+((SYSTEM_STATE.+slice.+state.+changed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86" t="str">
        <f t="shared" si="37"/>
        <v>"%USERPROFILE%\Documents\GitHub\eaglep3\Utilities\RefineRTDCRunTimes.py" --tripid 194-10 --locoid 4008 --swversion DE.1.0.8.0 --startMP 204:232984 --initTime 2017-02-10T16:03:39 --startdatetime 2017-02-10T16:11:15 --delay 1 --endMP 204:139 --enddatetime 2017-02-10T16:49:01 --enforcementcount 0 &gt;&gt;C:\Users\stu\Documents\GitHub\eaglep3-reporting\EC\2017-02-10-refined-times.txt</v>
      </c>
      <c r="AI106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{"issue":{"subject":"","project_id":79,"tracker_id":40,"status_id":1,"priority_id":2,"assigned_to_id":23,"start_date":"2017-02-10","description":"","custom_fields":[{"id":1,"name":"Subdivision","value":"EC"},{"id":4,"name":"Milepost","value":"0.0139"},{"id":17,"name":"Train ID","value":"194-10"},{"id":16,"name":"Locomotive ID","value":"4008"},{"id":130,"name":"Impact","value":""},{"id":150,"name":"Time of Event (Mountain Time)","value":"16:49:01"},{"id":151,"name":"Denver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4008 --day 2017-02-10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"%USERPROFILE%\AppData\Local\Temp\OnboardLogs"\RTDC4008\*4008*20170210* | grep -SE "(Enforcement Action)|(\[TIMEOUT)|(CHR.+\|PRM\|1\|D.+(SWITCH|SIGNAL).+UNKNOWN)" - &gt;&gt; 2017-02-10-UncaughtWiMAX.txt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680</v>
      </c>
      <c r="B107" s="7">
        <v>4038</v>
      </c>
      <c r="C107" s="21" t="s">
        <v>193</v>
      </c>
      <c r="D107" s="21" t="s">
        <v>238</v>
      </c>
      <c r="E107" s="13">
        <v>42776.64166666667</v>
      </c>
      <c r="F107" s="13">
        <v>42776.64603009259</v>
      </c>
      <c r="G107" s="7">
        <v>2</v>
      </c>
      <c r="H107" s="21" t="s">
        <v>339</v>
      </c>
      <c r="I107" s="13">
        <v>42776.67083333333</v>
      </c>
      <c r="J107" s="7">
        <v>0</v>
      </c>
      <c r="K107" s="98" t="str">
        <f t="shared" si="25"/>
        <v>4037/4038</v>
      </c>
      <c r="L107" s="21" t="str">
        <f>VLOOKUP(A107,'Trips&amp;Operators'!$C$1:$G$99999,5,FALSE)</f>
        <v>HELVIE ADAM</v>
      </c>
      <c r="M107" s="6">
        <f t="shared" si="26"/>
        <v>2.4803240739856847E-2</v>
      </c>
      <c r="N107" s="7">
        <f t="shared" si="44"/>
        <v>35.716666665393859</v>
      </c>
      <c r="O107" s="7"/>
      <c r="P107" s="7"/>
      <c r="Q107" s="22"/>
      <c r="R107" s="22"/>
      <c r="S107" s="31">
        <f t="shared" si="27"/>
        <v>1</v>
      </c>
      <c r="T107" s="46" t="str">
        <f t="shared" si="28"/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29"/>
        <v>https://d0f6bd738d7f1b3e5a7ca70fe4ff75f0.us-east-1.aws.found.io/app/kibana#/discover/Steve-Slow-Train-Analysis-(2080s-and-2083s)?_g=(refreshInterval:(display:Off,pause:!f,section:0,value:0),time:(from:'2017-02-10T14:24:00-0700',mode:absolute,to:'2017-02-10T17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7" s="188" t="str">
        <f t="shared" si="42"/>
        <v>N</v>
      </c>
      <c r="X107" s="188">
        <f t="shared" si="43"/>
        <v>1</v>
      </c>
      <c r="Y107" s="62">
        <f t="shared" si="30"/>
        <v>4.5999999999999999E-2</v>
      </c>
      <c r="Z107" s="62">
        <f t="shared" si="31"/>
        <v>23.329499999999999</v>
      </c>
      <c r="AA107" s="62">
        <f t="shared" si="32"/>
        <v>23.2835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 t="shared" si="33"/>
        <v>0195-10</v>
      </c>
      <c r="AE107" s="85" t="str">
        <f t="shared" si="34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107" s="82" t="str">
        <f t="shared" si="35"/>
        <v>"C:\Program Files (x86)\AstroGrep\AstroGrep.exe" /spath="%USERPROFILE%\AppData\Local\Temp\OnboardLogs" /stypes="app*4038*20170210*" /stext=" 23:.+((SYSTEM_STATE.+slice.+state.+changed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86" t="str">
        <f t="shared" si="37"/>
        <v>"%USERPROFILE%\Documents\GitHub\eaglep3\Utilities\RefineRTDCRunTimes.py" --tripid 195-10 --locoid 4038 --swversion DE.1.0.8.0 --startMP 204:460 --initTime 2017-02-10T15:24:00 --startdatetime 2017-02-10T15:30:17 --delay 2 --endMP 204:233295 --enddatetime 2017-02-10T16:06:00 --enforcementcount 0 &gt;&gt;C:\Users\stu\Documents\GitHub\eaglep3-reporting\EC\2017-02-10-refined-times.txt</v>
      </c>
      <c r="AI107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{"issue":{"subject":"","project_id":79,"tracker_id":40,"status_id":1,"priority_id":2,"assigned_to_id":23,"start_date":"2017-02-10","description":"","custom_fields":[{"id":1,"name":"Subdivision","value":"EC"},{"id":4,"name":"Milepost","value":"23.3295"},{"id":17,"name":"Train ID","value":"195-10"},{"id":16,"name":"Locomotive ID","value":"4038"},{"id":130,"name":"Impact","value":""},{"id":150,"name":"Time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4038 --day 2017-02-10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"%USERPROFILE%\AppData\Local\Temp\OnboardLogs"\RTDC4038\*4038*20170210* | grep -SE "(Enforcement Action)|(\[TIMEOUT)|(CHR.+\|PRM\|1\|D.+(SWITCH|SIGNAL).+UNKNOWN)" - &gt;&gt; 2017-02-10-UncaughtWiMAX.txt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691</v>
      </c>
      <c r="B108" s="7">
        <v>4037</v>
      </c>
      <c r="C108" s="21" t="s">
        <v>193</v>
      </c>
      <c r="D108" s="21" t="s">
        <v>770</v>
      </c>
      <c r="E108" s="13">
        <v>42776.683171296296</v>
      </c>
      <c r="F108" s="13">
        <v>42776.685046296298</v>
      </c>
      <c r="G108" s="7">
        <v>1</v>
      </c>
      <c r="H108" s="21" t="s">
        <v>208</v>
      </c>
      <c r="I108" s="13">
        <v>42776.711296296293</v>
      </c>
      <c r="J108" s="7">
        <v>0</v>
      </c>
      <c r="K108" s="98" t="str">
        <f t="shared" si="25"/>
        <v>4037/4038</v>
      </c>
      <c r="L108" s="21" t="str">
        <f>VLOOKUP(A108,'Trips&amp;Operators'!$C$1:$G$99999,5,FALSE)</f>
        <v>HELVIE ADAM</v>
      </c>
      <c r="M108" s="6">
        <f t="shared" si="26"/>
        <v>2.6249999995343387E-2</v>
      </c>
      <c r="N108" s="7">
        <f t="shared" si="44"/>
        <v>37.799999993294477</v>
      </c>
      <c r="O108" s="7"/>
      <c r="P108" s="7"/>
      <c r="Q108" s="22"/>
      <c r="R108" s="22"/>
      <c r="S108" s="31">
        <f t="shared" si="27"/>
        <v>1</v>
      </c>
      <c r="T108" s="46" t="str">
        <f t="shared" si="28"/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29"/>
        <v>https://d0f6bd738d7f1b3e5a7ca70fe4ff75f0.us-east-1.aws.found.io/app/kibana#/discover/Steve-Slow-Train-Analysis-(2080s-and-2083s)?_g=(refreshInterval:(display:Off,pause:!f,section:0,value:0),time:(from:'2017-02-10T15:23:46-0700',mode:absolute,to:'2017-02-10T18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08" s="188" t="str">
        <f t="shared" si="42"/>
        <v>N</v>
      </c>
      <c r="X108" s="188">
        <f t="shared" si="43"/>
        <v>1</v>
      </c>
      <c r="Y108" s="62">
        <f t="shared" si="30"/>
        <v>23.298100000000002</v>
      </c>
      <c r="Z108" s="62">
        <f t="shared" si="31"/>
        <v>1.52E-2</v>
      </c>
      <c r="AA108" s="62">
        <f t="shared" si="32"/>
        <v>23.282900000000001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 t="shared" si="33"/>
        <v>0196-10</v>
      </c>
      <c r="AE108" s="85" t="str">
        <f t="shared" si="34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108" s="82" t="str">
        <f t="shared" si="35"/>
        <v>"C:\Program Files (x86)\AstroGrep\AstroGrep.exe" /spath="%USERPROFILE%\AppData\Local\Temp\OnboardLogs" /stypes="app*4037*20170211*" /stext=" 00:.+((SYSTEM_STATE.+slice.+state.+changed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86" t="str">
        <f t="shared" si="37"/>
        <v>"%USERPROFILE%\Documents\GitHub\eaglep3\Utilities\RefineRTDCRunTimes.py" --tripid 196-10 --locoid 4037 --swversion DE.1.0.8.0 --startMP 204:232981 --initTime 2017-02-10T16:23:46 --startdatetime 2017-02-10T16:26:28 --delay 1 --endMP 204:152 --enddatetime 2017-02-10T17:04:16 --enforcementcount 0 &gt;&gt;C:\Users\stu\Documents\GitHub\eaglep3-reporting\EC\2017-02-10-refined-times.txt</v>
      </c>
      <c r="AI108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{"issue":{"subject":"","project_id":79,"tracker_id":40,"status_id":1,"priority_id":2,"assigned_to_id":23,"start_date":"2017-02-10","description":"","custom_fields":[{"id":1,"name":"Subdivision","value":"EC"},{"id":4,"name":"Milepost","value":"0.0152"},{"id":17,"name":"Train ID","value":"196-10"},{"id":16,"name":"Locomotive ID","value":"4037"},{"id":130,"name":"Impact","value":""},{"id":150,"name":"Time of Event (Mountain Time)","value":"17:04:16"},{"id":151,"name":"Denver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4037 --day 2017-02-10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"%USERPROFILE%\AppData\Local\Temp\OnboardLogs"\RTDC4037\*4037*20170210* | grep -SE "(Enforcement Action)|(\[TIMEOUT)|(CHR.+\|PRM\|1\|D.+(SWITCH|SIGNAL).+UNKNOWN)" - &gt;&gt; 2017-02-10-UncaughtWiMAX.txt</v>
      </c>
    </row>
    <row r="109" spans="1:91" s="20" customFormat="1" x14ac:dyDescent="0.25">
      <c r="A109" s="33" t="s">
        <v>683</v>
      </c>
      <c r="B109" s="7">
        <v>4027</v>
      </c>
      <c r="C109" s="21" t="s">
        <v>193</v>
      </c>
      <c r="D109" s="21" t="s">
        <v>270</v>
      </c>
      <c r="E109" s="13">
        <v>42776.650868055556</v>
      </c>
      <c r="F109" s="13">
        <v>42776.656539351854</v>
      </c>
      <c r="G109" s="7">
        <v>1</v>
      </c>
      <c r="H109" s="21" t="s">
        <v>306</v>
      </c>
      <c r="I109" s="13">
        <v>42776.681805555556</v>
      </c>
      <c r="J109" s="7">
        <v>0</v>
      </c>
      <c r="K109" s="98" t="str">
        <f t="shared" si="25"/>
        <v>4027/4028</v>
      </c>
      <c r="L109" s="21" t="str">
        <f>VLOOKUP(A109,'Trips&amp;Operators'!$C$1:$G$99999,5,FALSE)</f>
        <v>KILLION DAVID</v>
      </c>
      <c r="M109" s="6">
        <f t="shared" si="26"/>
        <v>2.5266203701903578E-2</v>
      </c>
      <c r="N109" s="7">
        <f t="shared" si="44"/>
        <v>36.383333330741152</v>
      </c>
      <c r="O109" s="7"/>
      <c r="P109" s="7"/>
      <c r="Q109" s="22"/>
      <c r="R109" s="22"/>
      <c r="S109" s="31">
        <f t="shared" si="27"/>
        <v>1</v>
      </c>
      <c r="T109" s="46" t="str">
        <f t="shared" si="28"/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29"/>
        <v>https://d0f6bd738d7f1b3e5a7ca70fe4ff75f0.us-east-1.aws.found.io/app/kibana#/discover/Steve-Slow-Train-Analysis-(2080s-and-2083s)?_g=(refreshInterval:(display:Off,pause:!f,section:0,value:0),time:(from:'2017-02-10T14:37:15-0700',mode:absolute,to:'2017-02-10T17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188" t="str">
        <f t="shared" si="42"/>
        <v>N</v>
      </c>
      <c r="X109" s="188">
        <f t="shared" si="43"/>
        <v>1</v>
      </c>
      <c r="Y109" s="62">
        <f t="shared" si="30"/>
        <v>4.7100000000000003E-2</v>
      </c>
      <c r="Z109" s="62">
        <f t="shared" si="31"/>
        <v>23.330300000000001</v>
      </c>
      <c r="AA109" s="62">
        <f t="shared" si="32"/>
        <v>23.283200000000001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 t="shared" si="33"/>
        <v>0197-10</v>
      </c>
      <c r="AE109" s="85" t="str">
        <f t="shared" si="34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109" s="82" t="str">
        <f t="shared" si="35"/>
        <v>"C:\Program Files (x86)\AstroGrep\AstroGrep.exe" /spath="%USERPROFILE%\AppData\Local\Temp\OnboardLogs" /stypes="app*4027*20170210*" /stext=" 23:.+((SYSTEM_STATE.+slice.+state.+changed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86" t="str">
        <f t="shared" si="37"/>
        <v>"%USERPROFILE%\Documents\GitHub\eaglep3\Utilities\RefineRTDCRunTimes.py" --tripid 197-10 --locoid 4027 --swversion DE.1.0.8.0 --startMP 204:471 --initTime 2017-02-10T15:37:15 --startdatetime 2017-02-10T15:45:25 --delay 1 --endMP 204:233303 --enddatetime 2017-02-10T16:21:48 --enforcementcount 0 &gt;&gt;C:\Users\stu\Documents\GitHub\eaglep3-reporting\EC\2017-02-10-refined-times.txt</v>
      </c>
      <c r="AI10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{"issue":{"subject":"","project_id":79,"tracker_id":40,"status_id":1,"priority_id":2,"assigned_to_id":23,"start_date":"2017-02-10","description":"","custom_fields":[{"id":1,"name":"Subdivision","value":"EC"},{"id":4,"name":"Milepost","value":"23.3303"},{"id":17,"name":"Train ID","value":"197-10"},{"id":16,"name":"Locomotive ID","value":"4027"},{"id":130,"name":"Impact","value":""},{"id":150,"name":"Time of Event (Mountain Time)","value":"16:21:48"},{"id":151,"name":"Denver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4027 --day 2017-02-10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"%USERPROFILE%\AppData\Local\Temp\OnboardLogs"\RTDC4027\*4027*20170210* | grep -SE "(Enforcement Action)|(\[TIMEOUT)|(CHR.+\|PRM\|1\|D.+(SWITCH|SIGNAL).+UNKNOWN)" - &gt;&gt; 2017-02-10-UncaughtWiMAX.txt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693</v>
      </c>
      <c r="B110" s="7">
        <v>4028</v>
      </c>
      <c r="C110" s="21" t="s">
        <v>193</v>
      </c>
      <c r="D110" s="21" t="s">
        <v>304</v>
      </c>
      <c r="E110" s="13">
        <v>42776.688414351855</v>
      </c>
      <c r="F110" s="13">
        <v>42776.6953125</v>
      </c>
      <c r="G110" s="7">
        <v>1</v>
      </c>
      <c r="H110" s="21" t="s">
        <v>494</v>
      </c>
      <c r="I110" s="13">
        <v>42776.722974537035</v>
      </c>
      <c r="J110" s="7">
        <v>0</v>
      </c>
      <c r="K110" s="98" t="str">
        <f t="shared" si="25"/>
        <v>4027/4028</v>
      </c>
      <c r="L110" s="21" t="str">
        <f>VLOOKUP(A110,'Trips&amp;Operators'!$C$1:$G$99999,5,FALSE)</f>
        <v>KILLION DAVID</v>
      </c>
      <c r="M110" s="6">
        <f t="shared" si="26"/>
        <v>2.7662037035042886E-2</v>
      </c>
      <c r="N110" s="7">
        <f t="shared" si="44"/>
        <v>39.833333330461755</v>
      </c>
      <c r="O110" s="7"/>
      <c r="P110" s="7"/>
      <c r="Q110" s="22"/>
      <c r="R110" s="22"/>
      <c r="S110" s="31">
        <f t="shared" si="27"/>
        <v>1</v>
      </c>
      <c r="T110" s="46" t="str">
        <f t="shared" si="28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29"/>
        <v>https://d0f6bd738d7f1b3e5a7ca70fe4ff75f0.us-east-1.aws.found.io/app/kibana#/discover/Steve-Slow-Train-Analysis-(2080s-and-2083s)?_g=(refreshInterval:(display:Off,pause:!f,section:0,value:0),time:(from:'2017-02-10T15:31:19-0700',mode:absolute,to:'2017-02-10T18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188" t="str">
        <f t="shared" si="42"/>
        <v>N</v>
      </c>
      <c r="X110" s="188">
        <f t="shared" si="43"/>
        <v>1</v>
      </c>
      <c r="Y110" s="62">
        <f t="shared" si="30"/>
        <v>23.297699999999999</v>
      </c>
      <c r="Z110" s="62">
        <f t="shared" si="31"/>
        <v>1.5599999999999999E-2</v>
      </c>
      <c r="AA110" s="62">
        <f t="shared" si="32"/>
        <v>23.2821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 t="shared" si="33"/>
        <v>0198-10</v>
      </c>
      <c r="AE110" s="85" t="str">
        <f t="shared" si="34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110" s="82" t="str">
        <f t="shared" si="35"/>
        <v>"C:\Program Files (x86)\AstroGrep\AstroGrep.exe" /spath="%USERPROFILE%\AppData\Local\Temp\OnboardLogs" /stypes="app*4028*20170211*" /stext=" 00:.+((SYSTEM_STATE.+slice.+state.+changed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86" t="str">
        <f t="shared" si="37"/>
        <v>"%USERPROFILE%\Documents\GitHub\eaglep3\Utilities\RefineRTDCRunTimes.py" --tripid 198-10 --locoid 4028 --swversion DE.1.0.8.0 --startMP 204:232977 --initTime 2017-02-10T16:31:19 --startdatetime 2017-02-10T16:41:15 --delay 1 --endMP 204:156 --enddatetime 2017-02-10T17:21:05 --enforcementcount 0 &gt;&gt;C:\Users\stu\Documents\GitHub\eaglep3-reporting\EC\2017-02-10-refined-times.txt</v>
      </c>
      <c r="AI11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{"issue":{"subject":"","project_id":79,"tracker_id":40,"status_id":1,"priority_id":2,"assigned_to_id":23,"start_date":"2017-02-10","description":"","custom_fields":[{"id":1,"name":"Subdivision","value":"EC"},{"id":4,"name":"Milepost","value":"0.0156"},{"id":17,"name":"Train ID","value":"198-10"},{"id":16,"name":"Locomotive ID","value":"4028"},{"id":130,"name":"Impact","value":""},{"id":150,"name":"Time of Event (Mountain Time)","value":"17:21:05"},{"id":151,"name":"Denver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4028 --day 2017-02-10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2017-02-10-UncaughtWiMAX.txt</v>
      </c>
    </row>
    <row r="111" spans="1:91" s="20" customFormat="1" x14ac:dyDescent="0.25">
      <c r="A111" s="33" t="s">
        <v>685</v>
      </c>
      <c r="B111" s="7">
        <v>4009</v>
      </c>
      <c r="C111" s="21" t="s">
        <v>193</v>
      </c>
      <c r="D111" s="21" t="s">
        <v>270</v>
      </c>
      <c r="E111" s="13">
        <v>42776.660266203704</v>
      </c>
      <c r="F111" s="13">
        <v>42776.666828703703</v>
      </c>
      <c r="G111" s="7">
        <v>1</v>
      </c>
      <c r="H111" s="21" t="s">
        <v>788</v>
      </c>
      <c r="I111" s="13">
        <v>42776.691481481481</v>
      </c>
      <c r="J111" s="7">
        <v>0</v>
      </c>
      <c r="K111" s="98" t="str">
        <f t="shared" si="25"/>
        <v>4009/4010</v>
      </c>
      <c r="L111" s="21" t="str">
        <f>VLOOKUP(A111,'Trips&amp;Operators'!$C$1:$G$99999,5,FALSE)</f>
        <v>BRANNON JEFFREY</v>
      </c>
      <c r="M111" s="6">
        <f t="shared" si="26"/>
        <v>2.4652777778101154E-2</v>
      </c>
      <c r="N111" s="7">
        <f t="shared" si="44"/>
        <v>35.500000000465661</v>
      </c>
      <c r="O111" s="7"/>
      <c r="P111" s="7"/>
      <c r="Q111" s="22"/>
      <c r="R111" s="22"/>
      <c r="S111" s="31">
        <f t="shared" si="27"/>
        <v>1</v>
      </c>
      <c r="T111" s="46" t="str">
        <f t="shared" si="28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29"/>
        <v>https://d0f6bd738d7f1b3e5a7ca70fe4ff75f0.us-east-1.aws.found.io/app/kibana#/discover/Steve-Slow-Train-Analysis-(2080s-and-2083s)?_g=(refreshInterval:(display:Off,pause:!f,section:0,value:0),time:(from:'2017-02-10T14:50:47-0700',mode:absolute,to:'2017-02-10T17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188" t="str">
        <f t="shared" si="42"/>
        <v>N</v>
      </c>
      <c r="X111" s="188">
        <f t="shared" si="43"/>
        <v>1</v>
      </c>
      <c r="Y111" s="62">
        <f t="shared" si="30"/>
        <v>4.7100000000000003E-2</v>
      </c>
      <c r="Z111" s="62">
        <f t="shared" si="31"/>
        <v>23.331399999999999</v>
      </c>
      <c r="AA111" s="62">
        <f t="shared" si="32"/>
        <v>23.284299999999998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 t="shared" si="33"/>
        <v>0199-10</v>
      </c>
      <c r="AE111" s="85" t="str">
        <f t="shared" si="34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111" s="82" t="str">
        <f t="shared" si="35"/>
        <v>"C:\Program Files (x86)\AstroGrep\AstroGrep.exe" /spath="%USERPROFILE%\AppData\Local\Temp\OnboardLogs" /stypes="app*4009*20170210*" /stext=" 23:.+((SYSTEM_STATE.+slice.+state.+changed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86" t="str">
        <f t="shared" si="37"/>
        <v>"%USERPROFILE%\Documents\GitHub\eaglep3\Utilities\RefineRTDCRunTimes.py" --tripid 199-10 --locoid 4009 --swversion DE.1.0.8.0 --startMP 204:471 --initTime 2017-02-10T15:50:47 --startdatetime 2017-02-10T16:00:14 --delay 1 --endMP 204:233314 --enddatetime 2017-02-10T16:35:44 --enforcementcount 0 &gt;&gt;C:\Users\stu\Documents\GitHub\eaglep3-reporting\EC\2017-02-10-refined-times.txt</v>
      </c>
      <c r="AI111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{"issue":{"subject":"","project_id":79,"tracker_id":40,"status_id":1,"priority_id":2,"assigned_to_id":23,"start_date":"2017-02-10","description":"","custom_fields":[{"id":1,"name":"Subdivision","value":"EC"},{"id":4,"name":"Milepost","value":"23.3314"},{"id":17,"name":"Train ID","value":"199-10"},{"id":16,"name":"Locomotive ID","value":"4009"},{"id":130,"name":"Impact","value":""},{"id":150,"name":"Time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4009 --day 2017-02-10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"%USERPROFILE%\AppData\Local\Temp\OnboardLogs"\RTDC4009\*4009*20170210* | grep -SE "(Enforcement Action)|(\[TIMEOUT)|(CHR.+\|PRM\|1\|D.+(SWITCH|SIGNAL).+UNKNOWN)" - &gt;&gt; 2017-02-10-UncaughtWiMAX.txt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697</v>
      </c>
      <c r="B112" s="7">
        <v>4010</v>
      </c>
      <c r="C112" s="21" t="s">
        <v>193</v>
      </c>
      <c r="D112" s="21" t="s">
        <v>809</v>
      </c>
      <c r="E112" s="13">
        <v>42776.702986111108</v>
      </c>
      <c r="F112" s="13">
        <v>42776.705717592595</v>
      </c>
      <c r="G112" s="7">
        <v>1</v>
      </c>
      <c r="H112" s="21" t="s">
        <v>810</v>
      </c>
      <c r="I112" s="13">
        <v>42776.731759259259</v>
      </c>
      <c r="J112" s="7">
        <v>0</v>
      </c>
      <c r="K112" s="98" t="str">
        <f t="shared" si="25"/>
        <v>4009/4010</v>
      </c>
      <c r="L112" s="21" t="str">
        <f>VLOOKUP(A112,'Trips&amp;Operators'!$C$1:$G$99999,5,FALSE)</f>
        <v>BRANNON JEFFREY</v>
      </c>
      <c r="M112" s="6">
        <f t="shared" si="26"/>
        <v>2.6041666664241347E-2</v>
      </c>
      <c r="N112" s="7">
        <f t="shared" si="44"/>
        <v>37.49999999650754</v>
      </c>
      <c r="O112" s="7"/>
      <c r="P112" s="7"/>
      <c r="Q112" s="22"/>
      <c r="R112" s="22"/>
      <c r="S112" s="31">
        <f t="shared" si="27"/>
        <v>1</v>
      </c>
      <c r="T112" s="46" t="str">
        <f t="shared" si="28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29"/>
        <v>https://d0f6bd738d7f1b3e5a7ca70fe4ff75f0.us-east-1.aws.found.io/app/kibana#/discover/Steve-Slow-Train-Analysis-(2080s-and-2083s)?_g=(refreshInterval:(display:Off,pause:!f,section:0,value:0),time:(from:'2017-02-10T15:52:18-0700',mode:absolute,to:'2017-02-10T18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188" t="str">
        <f t="shared" si="42"/>
        <v>N</v>
      </c>
      <c r="X112" s="188">
        <f t="shared" si="43"/>
        <v>1</v>
      </c>
      <c r="Y112" s="62">
        <f t="shared" si="30"/>
        <v>23.3002</v>
      </c>
      <c r="Z112" s="62">
        <f t="shared" si="31"/>
        <v>1.34E-2</v>
      </c>
      <c r="AA112" s="62">
        <f t="shared" si="32"/>
        <v>23.286799999999999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 t="shared" si="33"/>
        <v>0200-10</v>
      </c>
      <c r="AE112" s="85" t="str">
        <f t="shared" si="34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112" s="82" t="str">
        <f t="shared" si="35"/>
        <v>"C:\Program Files (x86)\AstroGrep\AstroGrep.exe" /spath="%USERPROFILE%\AppData\Local\Temp\OnboardLogs" /stypes="app*4010*20170211*" /stext=" 00:.+((SYSTEM_STATE.+slice.+state.+changed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86" t="str">
        <f t="shared" si="37"/>
        <v>"%USERPROFILE%\Documents\GitHub\eaglep3\Utilities\RefineRTDCRunTimes.py" --tripid 200-10 --locoid 4010 --swversion DE.1.0.8.0 --startMP 204:233002 --initTime 2017-02-10T16:52:18 --startdatetime 2017-02-10T16:56:14 --delay 1 --endMP 204:134 --enddatetime 2017-02-10T17:33:44 --enforcementcount 0 &gt;&gt;C:\Users\stu\Documents\GitHub\eaglep3-reporting\EC\2017-02-10-refined-times.txt</v>
      </c>
      <c r="AI112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{"issue":{"subject":"","project_id":79,"tracker_id":40,"status_id":1,"priority_id":2,"assigned_to_id":23,"start_date":"2017-02-10","description":"","custom_fields":[{"id":1,"name":"Subdivision","value":"EC"},{"id":4,"name":"Milepost","value":"0.0134"},{"id":17,"name":"Train ID","value":"200-10"},{"id":16,"name":"Locomotive ID","value":"4010"},{"id":130,"name":"Impact","value":""},{"id":150,"name":"Time of Event (Mountain Time)","value":"17:33:44"},{"id":151,"name":"Denver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4010 --day 2017-02-10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688</v>
      </c>
      <c r="B113" s="7">
        <v>4040</v>
      </c>
      <c r="C113" s="21" t="s">
        <v>193</v>
      </c>
      <c r="D113" s="21" t="s">
        <v>279</v>
      </c>
      <c r="E113" s="13">
        <v>42776.673090277778</v>
      </c>
      <c r="F113" s="13">
        <v>42776.677465277775</v>
      </c>
      <c r="G113" s="7">
        <v>1</v>
      </c>
      <c r="H113" s="21" t="s">
        <v>305</v>
      </c>
      <c r="I113" s="13">
        <v>42776.70385416667</v>
      </c>
      <c r="J113" s="7">
        <v>0</v>
      </c>
      <c r="K113" s="98" t="str">
        <f t="shared" si="25"/>
        <v>4039/4040</v>
      </c>
      <c r="L113" s="21" t="str">
        <f>VLOOKUP(A113,'Trips&amp;Operators'!$C$1:$G$99999,5,FALSE)</f>
        <v>STEWART MICHAEL</v>
      </c>
      <c r="M113" s="6">
        <f t="shared" si="26"/>
        <v>2.6388888894871343E-2</v>
      </c>
      <c r="N113" s="7">
        <f t="shared" si="44"/>
        <v>38.000000008614734</v>
      </c>
      <c r="O113" s="7"/>
      <c r="P113" s="7"/>
      <c r="Q113" s="22"/>
      <c r="R113" s="22"/>
      <c r="S113" s="31">
        <f t="shared" si="27"/>
        <v>1</v>
      </c>
      <c r="T113" s="46" t="str">
        <f t="shared" si="28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29"/>
        <v>https://d0f6bd738d7f1b3e5a7ca70fe4ff75f0.us-east-1.aws.found.io/app/kibana#/discover/Steve-Slow-Train-Analysis-(2080s-and-2083s)?_g=(refreshInterval:(display:Off,pause:!f,section:0,value:0),time:(from:'2017-02-10T15:09:15-0700',mode:absolute,to:'2017-02-10T17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188" t="str">
        <f t="shared" si="42"/>
        <v>N</v>
      </c>
      <c r="X113" s="188">
        <f t="shared" si="43"/>
        <v>1</v>
      </c>
      <c r="Y113" s="62">
        <f t="shared" si="30"/>
        <v>4.4600000000000001E-2</v>
      </c>
      <c r="Z113" s="62">
        <f t="shared" si="31"/>
        <v>23.3309</v>
      </c>
      <c r="AA113" s="62">
        <f t="shared" si="32"/>
        <v>23.286300000000001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 t="shared" si="33"/>
        <v>0201-10</v>
      </c>
      <c r="AE113" s="85" t="str">
        <f t="shared" si="34"/>
        <v>aws s3 cp s3://rtdc.mdm.uploadarchive.raw/RTDC4040/ "%USERPROFILE%\AppData\Local\Temp\OnboardLogs"\RTDC4040\2017-02-10 --exclude "*" --recursive --include "*20170210*" &amp; "%USERPROFILE%\Documents\GitHub\mrs-test-scripts\Headless Mode &amp; Sideloading\WalkAndUnGZ.bat" "%USERPROFILE%\AppData\Local\Temp\OnboardLogs"\RTDC4040\2017-02-10 &amp; 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</v>
      </c>
      <c r="AF113" s="82" t="str">
        <f t="shared" si="35"/>
        <v>"C:\Program Files (x86)\AstroGrep\AstroGrep.exe" /spath="%USERPROFILE%\AppData\Local\Temp\OnboardLogs" /stypes="app*4040*20170210*" /stext=" 23:.+((SYSTEM_STATE.+slice.+state.+changed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86" t="str">
        <f t="shared" si="37"/>
        <v>"%USERPROFILE%\Documents\GitHub\eaglep3\Utilities\RefineRTDCRunTimes.py" --tripid 201-10 --locoid 4040 --swversion DE.1.0.8.0 --startMP 204:446 --initTime 2017-02-10T16:09:15 --startdatetime 2017-02-10T16:15:33 --delay 1 --endMP 204:233309 --enddatetime 2017-02-10T16:53:33 --enforcementcount 0 &gt;&gt;C:\Users\stu\Documents\GitHub\eaglep3-reporting\EC\2017-02-10-refined-times.txt</v>
      </c>
      <c r="AI113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{"issue":{"subject":"","project_id":79,"tracker_id":40,"status_id":1,"priority_id":2,"assigned_to_id":23,"start_date":"2017-02-10","description":"","custom_fields":[{"id":1,"name":"Subdivision","value":"EC"},{"id":4,"name":"Milepost","value":"23.3309"},{"id":17,"name":"Train ID","value":"201-10"},{"id":16,"name":"Locomotive ID","value":"4040"},{"id":130,"name":"Impact","value":""},{"id":150,"name":"Time of Event (Mountain Time)","value":"16:53:33"},{"id":151,"name":"Denver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4040 --day 2017-02-10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"%USERPROFILE%\AppData\Local\Temp\OnboardLogs"\RTDC4040\*4040*20170210* | grep -SE "(Enforcement Action)|(\[TIMEOUT)|(CHR.+\|PRM\|1\|D.+(SWITCH|SIGNAL).+UNKNOWN)" - &gt;&gt; 2017-02-10-UncaughtWiMAX.txt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699</v>
      </c>
      <c r="B114" s="7">
        <v>4039</v>
      </c>
      <c r="C114" s="21" t="s">
        <v>193</v>
      </c>
      <c r="D114" s="21" t="s">
        <v>373</v>
      </c>
      <c r="E114" s="13">
        <v>42776.712291666663</v>
      </c>
      <c r="F114" s="13">
        <v>42776.716157407405</v>
      </c>
      <c r="G114" s="7">
        <v>1</v>
      </c>
      <c r="H114" s="21" t="s">
        <v>337</v>
      </c>
      <c r="I114" s="13">
        <v>42776.744004629632</v>
      </c>
      <c r="J114" s="7">
        <v>0</v>
      </c>
      <c r="K114" s="98" t="str">
        <f t="shared" si="25"/>
        <v>4039/4040</v>
      </c>
      <c r="L114" s="21" t="str">
        <f>VLOOKUP(A114,'Trips&amp;Operators'!$C$1:$G$99999,5,FALSE)</f>
        <v>STEWART MICHAEL</v>
      </c>
      <c r="M114" s="6">
        <f t="shared" si="26"/>
        <v>2.7847222227137536E-2</v>
      </c>
      <c r="N114" s="7">
        <f t="shared" si="44"/>
        <v>40.100000007078052</v>
      </c>
      <c r="O114" s="7"/>
      <c r="P114" s="7"/>
      <c r="Q114" s="22"/>
      <c r="R114" s="22"/>
      <c r="S114" s="31">
        <f t="shared" si="27"/>
        <v>1</v>
      </c>
      <c r="T114" s="46" t="str">
        <f t="shared" si="28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29"/>
        <v>https://d0f6bd738d7f1b3e5a7ca70fe4ff75f0.us-east-1.aws.found.io/app/kibana#/discover/Steve-Slow-Train-Analysis-(2080s-and-2083s)?_g=(refreshInterval:(display:Off,pause:!f,section:0,value:0),time:(from:'2017-02-10T16:05:42-0700',mode:absolute,to:'2017-02-10T18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188" t="str">
        <f t="shared" si="42"/>
        <v>N</v>
      </c>
      <c r="X114" s="188">
        <f t="shared" si="43"/>
        <v>1</v>
      </c>
      <c r="Y114" s="62">
        <f t="shared" si="30"/>
        <v>23.297999999999998</v>
      </c>
      <c r="Z114" s="62">
        <f t="shared" si="31"/>
        <v>1.61E-2</v>
      </c>
      <c r="AA114" s="62">
        <f t="shared" si="32"/>
        <v>23.281899999999997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 t="shared" si="33"/>
        <v>0202-10</v>
      </c>
      <c r="AE114" s="85" t="str">
        <f t="shared" si="34"/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AF114" s="82" t="str">
        <f t="shared" si="35"/>
        <v>"C:\Program Files (x86)\AstroGrep\AstroGrep.exe" /spath="%USERPROFILE%\AppData\Local\Temp\OnboardLogs" /stypes="app*4039*20170211*" /stext=" 00:.+((SYSTEM_STATE.+slice.+state.+changed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86" t="str">
        <f t="shared" si="37"/>
        <v>"%USERPROFILE%\Documents\GitHub\eaglep3\Utilities\RefineRTDCRunTimes.py" --tripid 202-10 --locoid 4039 --swversion DE.1.0.8.0 --startMP 204:232980 --initTime 2017-02-10T17:05:42 --startdatetime 2017-02-10T17:11:16 --delay 1 --endMP 204:161 --enddatetime 2017-02-10T17:51:22 --enforcementcount 0 &gt;&gt;C:\Users\stu\Documents\GitHub\eaglep3-reporting\EC\2017-02-10-refined-times.txt</v>
      </c>
      <c r="AI114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{"issue":{"subject":"","project_id":79,"tracker_id":40,"status_id":1,"priority_id":2,"assigned_to_id":23,"start_date":"2017-02-10","description":"","custom_fields":[{"id":1,"name":"Subdivision","value":"EC"},{"id":4,"name":"Milepost","value":"0.0161"},{"id":17,"name":"Train ID","value":"202-10"},{"id":16,"name":"Locomotive ID","value":"4039"},{"id":130,"name":"Impact","value":""},{"id":150,"name":"Time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4039 --day 2017-02-10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692</v>
      </c>
      <c r="B115" s="7">
        <v>4018</v>
      </c>
      <c r="C115" s="21" t="s">
        <v>193</v>
      </c>
      <c r="D115" s="21" t="s">
        <v>375</v>
      </c>
      <c r="E115" s="13">
        <v>42776.683634259258</v>
      </c>
      <c r="F115" s="13">
        <v>42776.687708333331</v>
      </c>
      <c r="G115" s="7">
        <v>1</v>
      </c>
      <c r="H115" s="21" t="s">
        <v>458</v>
      </c>
      <c r="I115" s="13">
        <v>42776.712523148148</v>
      </c>
      <c r="J115" s="7">
        <v>0</v>
      </c>
      <c r="K115" s="98" t="str">
        <f t="shared" si="25"/>
        <v>4017/4018</v>
      </c>
      <c r="L115" s="21" t="str">
        <f>VLOOKUP(A115,'Trips&amp;Operators'!$C$1:$G$99999,5,FALSE)</f>
        <v>DELGADO DIANAH</v>
      </c>
      <c r="M115" s="6">
        <f t="shared" si="26"/>
        <v>2.4814814816636499E-2</v>
      </c>
      <c r="N115" s="7">
        <f t="shared" si="44"/>
        <v>35.733333335956559</v>
      </c>
      <c r="O115" s="7"/>
      <c r="P115" s="7"/>
      <c r="Q115" s="22"/>
      <c r="R115" s="22"/>
      <c r="S115" s="31">
        <f t="shared" si="27"/>
        <v>1</v>
      </c>
      <c r="T115" s="46" t="str">
        <f t="shared" si="28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29"/>
        <v>https://d0f6bd738d7f1b3e5a7ca70fe4ff75f0.us-east-1.aws.found.io/app/kibana#/discover/Steve-Slow-Train-Analysis-(2080s-and-2083s)?_g=(refreshInterval:(display:Off,pause:!f,section:0,value:0),time:(from:'2017-02-10T15:24:26-0700',mode:absolute,to:'2017-02-10T18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8" t="str">
        <f t="shared" si="42"/>
        <v>N</v>
      </c>
      <c r="X115" s="188">
        <f t="shared" si="43"/>
        <v>1</v>
      </c>
      <c r="Y115" s="62">
        <f t="shared" si="30"/>
        <v>4.3999999999999997E-2</v>
      </c>
      <c r="Z115" s="62">
        <f t="shared" si="31"/>
        <v>23.3325</v>
      </c>
      <c r="AA115" s="62">
        <f t="shared" si="32"/>
        <v>23.288499999999999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 t="shared" si="33"/>
        <v>0203-10</v>
      </c>
      <c r="AE115" s="85" t="str">
        <f t="shared" si="34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115" s="82" t="str">
        <f t="shared" si="35"/>
        <v>"C:\Program Files (x86)\AstroGrep\AstroGrep.exe" /spath="%USERPROFILE%\AppData\Local\Temp\OnboardLogs" /stypes="app*4018*20170211*" /stext=" 00:.+((SYSTEM_STATE.+slice.+state.+changed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86" t="str">
        <f t="shared" si="37"/>
        <v>"%USERPROFILE%\Documents\GitHub\eaglep3\Utilities\RefineRTDCRunTimes.py" --tripid 203-10 --locoid 4018 --swversion DE.1.0.8.0 --startMP 204:440 --initTime 2017-02-10T16:24:26 --startdatetime 2017-02-10T16:30:18 --delay 1 --endMP 204:233325 --enddatetime 2017-02-10T17:06:02 --enforcementcount 0 &gt;&gt;C:\Users\stu\Documents\GitHub\eaglep3-reporting\EC\2017-02-10-refined-times.txt</v>
      </c>
      <c r="AI115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{"issue":{"subject":"","project_id":79,"tracker_id":40,"status_id":1,"priority_id":2,"assigned_to_id":23,"start_date":"2017-02-10","description":"","custom_fields":[{"id":1,"name":"Subdivision","value":"EC"},{"id":4,"name":"Milepost","value":"23.3325"},{"id":17,"name":"Train ID","value":"203-10"},{"id":16,"name":"Locomotive ID","value":"4018"},{"id":130,"name":"Impact","value":""},{"id":150,"name":"Time of Event (Mountain Time)","value":"17:06:02"},{"id":151,"name":"Denver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4018 --day 2017-02-10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"%USERPROFILE%\AppData\Local\Temp\OnboardLogs"\RTDC4018\*4018*20170210* | grep -SE "(Enforcement Action)|(\[TIMEOUT)|(CHR.+\|PRM\|1\|D.+(SWITCH|SIGNAL).+UNKNOWN)" - &gt;&gt; 2017-02-10-UncaughtWiMAX.txt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701</v>
      </c>
      <c r="B116" s="7">
        <v>4017</v>
      </c>
      <c r="C116" s="21" t="s">
        <v>193</v>
      </c>
      <c r="D116" s="21" t="s">
        <v>811</v>
      </c>
      <c r="E116" s="13">
        <v>42776.71398148148</v>
      </c>
      <c r="F116" s="13">
        <v>42776.7265625</v>
      </c>
      <c r="G116" s="7">
        <v>1</v>
      </c>
      <c r="H116" s="21" t="s">
        <v>220</v>
      </c>
      <c r="I116" s="13">
        <v>42776.752696759257</v>
      </c>
      <c r="J116" s="7">
        <v>0</v>
      </c>
      <c r="K116" s="98" t="str">
        <f t="shared" si="25"/>
        <v>4017/4018</v>
      </c>
      <c r="L116" s="21" t="str">
        <f>VLOOKUP(A116,'Trips&amp;Operators'!$C$1:$G$99999,5,FALSE)</f>
        <v>DELGADO DIANAH</v>
      </c>
      <c r="M116" s="6">
        <f t="shared" si="26"/>
        <v>2.6134259256650694E-2</v>
      </c>
      <c r="N116" s="7">
        <f t="shared" si="44"/>
        <v>37.633333329576999</v>
      </c>
      <c r="O116" s="7"/>
      <c r="P116" s="7"/>
      <c r="Q116" s="22"/>
      <c r="R116" s="22"/>
      <c r="S116" s="31">
        <f t="shared" si="27"/>
        <v>1</v>
      </c>
      <c r="T116" s="46" t="str">
        <f t="shared" si="28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29"/>
        <v>https://d0f6bd738d7f1b3e5a7ca70fe4ff75f0.us-east-1.aws.found.io/app/kibana#/discover/Steve-Slow-Train-Analysis-(2080s-and-2083s)?_g=(refreshInterval:(display:Off,pause:!f,section:0,value:0),time:(from:'2017-02-10T16:08:08-0700',mode:absolute,to:'2017-02-10T19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8" t="str">
        <f t="shared" si="42"/>
        <v>N</v>
      </c>
      <c r="X116" s="188">
        <f t="shared" si="43"/>
        <v>1</v>
      </c>
      <c r="Y116" s="62">
        <f t="shared" si="30"/>
        <v>23.301300000000001</v>
      </c>
      <c r="Z116" s="62">
        <f t="shared" si="31"/>
        <v>1.54E-2</v>
      </c>
      <c r="AA116" s="62">
        <f t="shared" si="32"/>
        <v>23.285900000000002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 t="shared" si="33"/>
        <v>0204-10</v>
      </c>
      <c r="AE116" s="85" t="str">
        <f t="shared" si="34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116" s="82" t="str">
        <f t="shared" si="35"/>
        <v>"C:\Program Files (x86)\AstroGrep\AstroGrep.exe" /spath="%USERPROFILE%\AppData\Local\Temp\OnboardLogs" /stypes="app*4017*20170211*" /stext=" 01:.+((SYSTEM_STATE.+slice.+state.+changed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86" t="str">
        <f t="shared" si="37"/>
        <v>"%USERPROFILE%\Documents\GitHub\eaglep3\Utilities\RefineRTDCRunTimes.py" --tripid 204-10 --locoid 4017 --swversion DE.1.0.8.0 --startMP 204:233013 --initTime 2017-02-10T17:08:08 --startdatetime 2017-02-10T17:26:15 --delay 1 --endMP 204:154 --enddatetime 2017-02-10T18:03:53 --enforcementcount 0 &gt;&gt;C:\Users\stu\Documents\GitHub\eaglep3-reporting\EC\2017-02-10-refined-times.txt</v>
      </c>
      <c r="AI116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{"issue":{"subject":"","project_id":79,"tracker_id":40,"status_id":1,"priority_id":2,"assigned_to_id":23,"start_date":"2017-02-10","description":"","custom_fields":[{"id":1,"name":"Subdivision","value":"EC"},{"id":4,"name":"Milepost","value":"0.0154"},{"id":17,"name":"Train ID","value":"204-10"},{"id":16,"name":"Locomotive ID","value":"4017"},{"id":130,"name":"Impact","value":""},{"id":150,"name":"Time of Event (Mountain Time)","value":"18:03:53"},{"id":151,"name":"Denver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4017 --day 2017-02-10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"%USERPROFILE%\AppData\Local\Temp\OnboardLogs"\RTDC4017\*4017*20170211* | grep -SE "(Enforcement Action)|(\[TIMEOUT)|(CHR.+\|PRM\|1\|D.+(SWITCH|SIGNAL).+UNKNOWN)" - &gt;&gt; 2017-02-10-UncaughtWiMAX.txt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696</v>
      </c>
      <c r="B117" s="7">
        <v>4046</v>
      </c>
      <c r="C117" s="21" t="s">
        <v>193</v>
      </c>
      <c r="D117" s="21" t="s">
        <v>812</v>
      </c>
      <c r="E117" s="13">
        <v>42776.69363425926</v>
      </c>
      <c r="F117" s="13">
        <v>42776.69809027778</v>
      </c>
      <c r="G117" s="7">
        <v>1</v>
      </c>
      <c r="H117" s="21" t="s">
        <v>813</v>
      </c>
      <c r="I117" s="13">
        <v>42776.725787037038</v>
      </c>
      <c r="J117" s="7">
        <v>0</v>
      </c>
      <c r="K117" s="98" t="str">
        <f t="shared" si="25"/>
        <v>4045/4046</v>
      </c>
      <c r="L117" s="21" t="str">
        <f>VLOOKUP(A117,'Trips&amp;Operators'!$C$1:$G$99999,5,FALSE)</f>
        <v>CLARK KATHLEEN</v>
      </c>
      <c r="M117" s="6">
        <f t="shared" si="26"/>
        <v>2.7696759258105885E-2</v>
      </c>
      <c r="N117" s="7">
        <f t="shared" si="44"/>
        <v>39.883333331672475</v>
      </c>
      <c r="O117" s="7"/>
      <c r="P117" s="7"/>
      <c r="Q117" s="22"/>
      <c r="R117" s="22"/>
      <c r="S117" s="31">
        <f t="shared" si="27"/>
        <v>1</v>
      </c>
      <c r="T117" s="46" t="str">
        <f t="shared" si="28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29"/>
        <v>https://d0f6bd738d7f1b3e5a7ca70fe4ff75f0.us-east-1.aws.found.io/app/kibana#/discover/Steve-Slow-Train-Analysis-(2080s-and-2083s)?_g=(refreshInterval:(display:Off,pause:!f,section:0,value:0),time:(from:'2017-02-10T15:38:50-0700',mode:absolute,to:'2017-02-10T18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7" s="188" t="str">
        <f t="shared" ref="W117:W148" si="45">IF(AA117&lt;IF(AG117="EC",23,5.65),"Y","N")</f>
        <v>N</v>
      </c>
      <c r="X117" s="188">
        <f t="shared" ref="X117:X148" si="46">VALUE(LEFT(AD117,4))-VALUE(LEFT(AD116,4))</f>
        <v>1</v>
      </c>
      <c r="Y117" s="62">
        <f t="shared" si="30"/>
        <v>5.4600000000000003E-2</v>
      </c>
      <c r="Z117" s="62">
        <f t="shared" si="31"/>
        <v>23.3264</v>
      </c>
      <c r="AA117" s="62">
        <f t="shared" si="32"/>
        <v>23.271799999999999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 t="shared" si="33"/>
        <v>0205-10</v>
      </c>
      <c r="AE117" s="85" t="str">
        <f t="shared" si="34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117" s="82" t="str">
        <f t="shared" si="35"/>
        <v>"C:\Program Files (x86)\AstroGrep\AstroGrep.exe" /spath="%USERPROFILE%\AppData\Local\Temp\OnboardLogs" /stypes="app*4046*20170211*" /stext=" 00:.+((SYSTEM_STATE.+slice.+state.+changed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86" t="str">
        <f t="shared" si="37"/>
        <v>"%USERPROFILE%\Documents\GitHub\eaglep3\Utilities\RefineRTDCRunTimes.py" --tripid 205-10 --locoid 4046 --swversion DE.1.0.8.0 --startMP 204:546 --initTime 2017-02-10T16:38:50 --startdatetime 2017-02-10T16:45:15 --delay 1 --endMP 204:233264 --enddatetime 2017-02-10T17:25:08 --enforcementcount 0 &gt;&gt;C:\Users\stu\Documents\GitHub\eaglep3-reporting\EC\2017-02-10-refined-times.txt</v>
      </c>
      <c r="AI117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{"issue":{"subject":"","project_id":79,"tracker_id":40,"status_id":1,"priority_id":2,"assigned_to_id":23,"start_date":"2017-02-10","description":"","custom_fields":[{"id":1,"name":"Subdivision","value":"EC"},{"id":4,"name":"Milepost","value":"23.3264"},{"id":17,"name":"Train ID","value":"205-10"},{"id":16,"name":"Locomotive ID","value":"4046"},{"id":130,"name":"Impact","value":""},{"id":150,"name":"Time of Event (Mountain Time)","value":"17:25:08"},{"id":151,"name":"Denver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4046 --day 2017-02-10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"%USERPROFILE%\AppData\Local\Temp\OnboardLogs"\RTDC4046\*4046*20170211* | grep -SE "(Enforcement Action)|(\[TIMEOUT)|(CHR.+\|PRM\|1\|D.+(SWITCH|SIGNAL).+UNKNOWN)" - &gt;&gt; 2017-02-10-UncaughtWiMAX.txt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708</v>
      </c>
      <c r="B118" s="7">
        <v>4045</v>
      </c>
      <c r="C118" s="21" t="s">
        <v>193</v>
      </c>
      <c r="D118" s="21" t="s">
        <v>814</v>
      </c>
      <c r="E118" s="13">
        <v>42776.732557870368</v>
      </c>
      <c r="F118" s="13">
        <v>42776.736979166664</v>
      </c>
      <c r="G118" s="7">
        <v>1</v>
      </c>
      <c r="H118" s="21" t="s">
        <v>815</v>
      </c>
      <c r="I118" s="13">
        <v>42776.765231481484</v>
      </c>
      <c r="J118" s="7">
        <v>0</v>
      </c>
      <c r="K118" s="98" t="str">
        <f t="shared" si="25"/>
        <v>4045/4046</v>
      </c>
      <c r="L118" s="21" t="str">
        <f>VLOOKUP(A118,'Trips&amp;Operators'!$C$1:$G$99999,5,FALSE)</f>
        <v>CLARK KATHLEEN</v>
      </c>
      <c r="M118" s="6">
        <f t="shared" si="26"/>
        <v>2.825231481983792E-2</v>
      </c>
      <c r="N118" s="7">
        <f t="shared" si="44"/>
        <v>40.683333340566605</v>
      </c>
      <c r="O118" s="7"/>
      <c r="P118" s="7"/>
      <c r="Q118" s="22"/>
      <c r="R118" s="22"/>
      <c r="S118" s="31">
        <f t="shared" si="27"/>
        <v>1</v>
      </c>
      <c r="T118" s="46" t="str">
        <f t="shared" si="28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29"/>
        <v>https://d0f6bd738d7f1b3e5a7ca70fe4ff75f0.us-east-1.aws.found.io/app/kibana#/discover/Steve-Slow-Train-Analysis-(2080s-and-2083s)?_g=(refreshInterval:(display:Off,pause:!f,section:0,value:0),time:(from:'2017-02-10T16:34:53-0700',mode:absolute,to:'2017-02-10T19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8" s="188" t="str">
        <f t="shared" si="45"/>
        <v>N</v>
      </c>
      <c r="X118" s="188">
        <f t="shared" si="46"/>
        <v>1</v>
      </c>
      <c r="Y118" s="62">
        <f t="shared" si="30"/>
        <v>23.294</v>
      </c>
      <c r="Z118" s="62">
        <f t="shared" si="31"/>
        <v>2.12E-2</v>
      </c>
      <c r="AA118" s="62">
        <f t="shared" si="32"/>
        <v>23.2728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 t="shared" si="33"/>
        <v>0206-10</v>
      </c>
      <c r="AE118" s="85" t="str">
        <f t="shared" si="34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118" s="82" t="str">
        <f t="shared" si="35"/>
        <v>"C:\Program Files (x86)\AstroGrep\AstroGrep.exe" /spath="%USERPROFILE%\AppData\Local\Temp\OnboardLogs" /stypes="app*4045*20170211*" /stext=" 01:.+((SYSTEM_STATE.+slice.+state.+changed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86" t="str">
        <f t="shared" si="37"/>
        <v>"%USERPROFILE%\Documents\GitHub\eaglep3\Utilities\RefineRTDCRunTimes.py" --tripid 206-10 --locoid 4045 --swversion DE.1.0.8.0 --startMP 204:232940 --initTime 2017-02-10T17:34:53 --startdatetime 2017-02-10T17:41:15 --delay 1 --endMP 204:212 --enddatetime 2017-02-10T18:21:56 --enforcementcount 0 &gt;&gt;C:\Users\stu\Documents\GitHub\eaglep3-reporting\EC\2017-02-10-refined-times.txt</v>
      </c>
      <c r="AI118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{"issue":{"subject":"","project_id":79,"tracker_id":40,"status_id":1,"priority_id":2,"assigned_to_id":23,"start_date":"2017-02-10","description":"","custom_fields":[{"id":1,"name":"Subdivision","value":"EC"},{"id":4,"name":"Milepost","value":"0.0212"},{"id":17,"name":"Train ID","value":"206-10"},{"id":16,"name":"Locomotive ID","value":"4045"},{"id":130,"name":"Impact","value":""},{"id":150,"name":"Time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4045 --day 2017-02-10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"%USERPROFILE%\AppData\Local\Temp\OnboardLogs"\RTDC4045\*4045*20170211* | grep -SE "(Enforcement Action)|(\[TIMEOUT)|(CHR.+\|PRM\|1\|D.+(SWITCH|SIGNAL).+UNKNOWN)" - &gt;&gt; 2017-02-10-UncaughtWiMAX.txt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698</v>
      </c>
      <c r="B119" s="7">
        <v>4007</v>
      </c>
      <c r="C119" s="21" t="s">
        <v>193</v>
      </c>
      <c r="D119" s="21" t="s">
        <v>221</v>
      </c>
      <c r="E119" s="13">
        <v>42776.703842592593</v>
      </c>
      <c r="F119" s="13">
        <v>42776.708518518521</v>
      </c>
      <c r="G119" s="7">
        <v>1</v>
      </c>
      <c r="H119" s="21" t="s">
        <v>370</v>
      </c>
      <c r="I119" s="13">
        <v>42776.733831018515</v>
      </c>
      <c r="J119" s="7">
        <v>0</v>
      </c>
      <c r="K119" s="98" t="str">
        <f t="shared" si="25"/>
        <v>4007/4008</v>
      </c>
      <c r="L119" s="21" t="str">
        <f>VLOOKUP(A119,'Trips&amp;Operators'!$C$1:$G$99999,5,FALSE)</f>
        <v>BRUDER RICHARD</v>
      </c>
      <c r="M119" s="6">
        <f t="shared" si="26"/>
        <v>2.5312499994470272E-2</v>
      </c>
      <c r="N119" s="7">
        <f t="shared" si="44"/>
        <v>36.449999992037192</v>
      </c>
      <c r="O119" s="7"/>
      <c r="P119" s="7"/>
      <c r="Q119" s="22"/>
      <c r="R119" s="22"/>
      <c r="S119" s="31">
        <f t="shared" si="27"/>
        <v>1</v>
      </c>
      <c r="T119" s="46" t="str">
        <f t="shared" si="28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29"/>
        <v>https://d0f6bd738d7f1b3e5a7ca70fe4ff75f0.us-east-1.aws.found.io/app/kibana#/discover/Steve-Slow-Train-Analysis-(2080s-and-2083s)?_g=(refreshInterval:(display:Off,pause:!f,section:0,value:0),time:(from:'2017-02-10T15:53:32-0700',mode:absolute,to:'2017-02-10T18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188" t="str">
        <f t="shared" si="45"/>
        <v>N</v>
      </c>
      <c r="X119" s="188">
        <f t="shared" si="46"/>
        <v>1</v>
      </c>
      <c r="Y119" s="62">
        <f t="shared" si="30"/>
        <v>4.58E-2</v>
      </c>
      <c r="Z119" s="62">
        <f t="shared" si="31"/>
        <v>23.331199999999999</v>
      </c>
      <c r="AA119" s="62">
        <f t="shared" si="32"/>
        <v>23.285399999999999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 t="shared" si="33"/>
        <v>0207-10</v>
      </c>
      <c r="AE119" s="85" t="str">
        <f t="shared" si="34"/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119" s="82" t="str">
        <f t="shared" si="35"/>
        <v>"C:\Program Files (x86)\AstroGrep\AstroGrep.exe" /spath="%USERPROFILE%\AppData\Local\Temp\OnboardLogs" /stypes="app*4007*20170211*" /stext=" 00:.+((SYSTEM_STATE.+slice.+state.+changed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86" t="str">
        <f t="shared" si="37"/>
        <v>"%USERPROFILE%\Documents\GitHub\eaglep3\Utilities\RefineRTDCRunTimes.py" --tripid 207-10 --locoid 4007 --swversion DE.1.0.8.0 --startMP 204:458 --initTime 2017-02-10T16:53:32 --startdatetime 2017-02-10T17:00:16 --delay 1 --endMP 204:233312 --enddatetime 2017-02-10T17:36:43 --enforcementcount 0 &gt;&gt;C:\Users\stu\Documents\GitHub\eaglep3-reporting\EC\2017-02-10-refined-times.txt</v>
      </c>
      <c r="AI11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{"issue":{"subject":"","project_id":79,"tracker_id":40,"status_id":1,"priority_id":2,"assigned_to_id":23,"start_date":"2017-02-10","description":"","custom_fields":[{"id":1,"name":"Subdivision","value":"EC"},{"id":4,"name":"Milepost","value":"23.3312"},{"id":17,"name":"Train ID","value":"207-10"},{"id":16,"name":"Locomotive ID","value":"4007"},{"id":130,"name":"Impact","value":""},{"id":150,"name":"Time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4007 --day 2017-02-10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"%USERPROFILE%\AppData\Local\Temp\OnboardLogs"\RTDC4007\*4007*20170211* | grep -SE "(Enforcement Action)|(\[TIMEOUT)|(CHR.+\|PRM\|1\|D.+(SWITCH|SIGNAL).+UNKNOWN)" - &gt;&gt; 2017-02-10-UncaughtWiMAX.txt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553</v>
      </c>
      <c r="B120" s="7">
        <v>4008</v>
      </c>
      <c r="C120" s="21" t="s">
        <v>193</v>
      </c>
      <c r="D120" s="21" t="s">
        <v>355</v>
      </c>
      <c r="E120" s="13">
        <v>42776.741111111114</v>
      </c>
      <c r="F120" s="13">
        <v>42776.747476851851</v>
      </c>
      <c r="G120" s="7">
        <v>1</v>
      </c>
      <c r="H120" s="21" t="s">
        <v>494</v>
      </c>
      <c r="I120" s="13">
        <v>42776.774074074077</v>
      </c>
      <c r="J120" s="7">
        <v>0</v>
      </c>
      <c r="K120" s="98" t="str">
        <f t="shared" si="25"/>
        <v>4007/4008</v>
      </c>
      <c r="L120" s="21" t="str">
        <f>VLOOKUP(A120,'Trips&amp;Operators'!$C$1:$G$99999,5,FALSE)</f>
        <v>BRUDER RICHARD</v>
      </c>
      <c r="M120" s="6">
        <f t="shared" si="26"/>
        <v>2.6597222225973383E-2</v>
      </c>
      <c r="N120" s="7">
        <f t="shared" si="44"/>
        <v>38.300000005401671</v>
      </c>
      <c r="O120" s="7"/>
      <c r="P120" s="7"/>
      <c r="Q120" s="22"/>
      <c r="R120" s="22"/>
      <c r="S120" s="31">
        <f t="shared" si="27"/>
        <v>1</v>
      </c>
      <c r="T120" s="46" t="str">
        <f t="shared" si="28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29"/>
        <v>https://d0f6bd738d7f1b3e5a7ca70fe4ff75f0.us-east-1.aws.found.io/app/kibana#/discover/Steve-Slow-Train-Analysis-(2080s-and-2083s)?_g=(refreshInterval:(display:Off,pause:!f,section:0,value:0),time:(from:'2017-02-10T16:47:12-0700',mode:absolute,to:'2017-02-10T19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88" t="str">
        <f t="shared" si="45"/>
        <v>N</v>
      </c>
      <c r="X120" s="188">
        <f t="shared" si="46"/>
        <v>1</v>
      </c>
      <c r="Y120" s="62">
        <f t="shared" si="30"/>
        <v>23.298300000000001</v>
      </c>
      <c r="Z120" s="62">
        <f t="shared" si="31"/>
        <v>1.5599999999999999E-2</v>
      </c>
      <c r="AA120" s="62">
        <f t="shared" si="32"/>
        <v>23.282700000000002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 t="shared" si="33"/>
        <v>0208-10</v>
      </c>
      <c r="AE120" s="85" t="str">
        <f t="shared" si="34"/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AF120" s="82" t="str">
        <f t="shared" si="35"/>
        <v>"C:\Program Files (x86)\AstroGrep\AstroGrep.exe" /spath="%USERPROFILE%\AppData\Local\Temp\OnboardLogs" /stypes="app*4008*20170211*" /stext=" 01:.+((SYSTEM_STATE.+slice.+state.+changed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86" t="str">
        <f t="shared" si="37"/>
        <v>"%USERPROFILE%\Documents\GitHub\eaglep3\Utilities\RefineRTDCRunTimes.py" --tripid 208-10 --locoid 4008 --swversion DE.1.0.8.0 --startMP 204:232983 --initTime 2017-02-10T17:47:12 --startdatetime 2017-02-10T17:56:22 --delay 1 --endMP 204:156 --enddatetime 2017-02-10T18:34:40 --enforcementcount 0 &gt;&gt;C:\Users\stu\Documents\GitHub\eaglep3-reporting\EC\2017-02-10-refined-times.txt</v>
      </c>
      <c r="AI12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{"issue":{"subject":"","project_id":79,"tracker_id":40,"status_id":1,"priority_id":2,"assigned_to_id":23,"start_date":"2017-02-10","description":"","custom_fields":[{"id":1,"name":"Subdivision","value":"EC"},{"id":4,"name":"Milepost","value":"0.0156"},{"id":17,"name":"Train ID","value":"208-10"},{"id":16,"name":"Locomotive ID","value":"4008"},{"id":130,"name":"Impact","value":""},{"id":150,"name":"Time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4008 --day 2017-02-10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"%USERPROFILE%\AppData\Local\Temp\OnboardLogs"\RTDC4008\*4008*20170211* | grep -SE "(Enforcement Action)|(\[TIMEOUT)|(CHR.+\|PRM\|1\|D.+(SWITCH|SIGNAL).+UNKNOWN)" - &gt;&gt; 2017-02-10-UncaughtWiMAX.txt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690</v>
      </c>
      <c r="B121" s="7">
        <v>4038</v>
      </c>
      <c r="C121" s="21" t="s">
        <v>193</v>
      </c>
      <c r="D121" s="21" t="s">
        <v>353</v>
      </c>
      <c r="E121" s="13">
        <v>42776.715266203704</v>
      </c>
      <c r="F121" s="13">
        <v>42776.718946759262</v>
      </c>
      <c r="G121" s="7">
        <v>1</v>
      </c>
      <c r="H121" s="21" t="s">
        <v>339</v>
      </c>
      <c r="I121" s="13">
        <v>42776.744432870371</v>
      </c>
      <c r="J121" s="7">
        <v>0</v>
      </c>
      <c r="K121" s="98" t="str">
        <f t="shared" si="25"/>
        <v>4037/4038</v>
      </c>
      <c r="L121" s="21" t="str">
        <f>VLOOKUP(A121,'Trips&amp;Operators'!$C$1:$G$99999,5,FALSE)</f>
        <v>HELVIE ADAM</v>
      </c>
      <c r="M121" s="6">
        <f t="shared" si="26"/>
        <v>2.548611110978527E-2</v>
      </c>
      <c r="N121" s="7">
        <f t="shared" si="44"/>
        <v>36.699999998090789</v>
      </c>
      <c r="O121" s="7"/>
      <c r="P121" s="7"/>
      <c r="Q121" s="22"/>
      <c r="R121" s="22"/>
      <c r="S121" s="31">
        <f t="shared" si="27"/>
        <v>1</v>
      </c>
      <c r="T121" s="46" t="str">
        <f t="shared" si="28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29"/>
        <v>https://d0f6bd738d7f1b3e5a7ca70fe4ff75f0.us-east-1.aws.found.io/app/kibana#/discover/Steve-Slow-Train-Analysis-(2080s-and-2083s)?_g=(refreshInterval:(display:Off,pause:!f,section:0,value:0),time:(from:'2017-02-10T16:09:59-0700',mode:absolute,to:'2017-02-10T18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1" s="188" t="str">
        <f t="shared" si="45"/>
        <v>N</v>
      </c>
      <c r="X121" s="188">
        <f t="shared" si="46"/>
        <v>1</v>
      </c>
      <c r="Y121" s="62">
        <f t="shared" si="30"/>
        <v>4.7300000000000002E-2</v>
      </c>
      <c r="Z121" s="62">
        <f t="shared" si="31"/>
        <v>23.329499999999999</v>
      </c>
      <c r="AA121" s="62">
        <f t="shared" si="32"/>
        <v>23.2822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 t="shared" si="33"/>
        <v>0209-10</v>
      </c>
      <c r="AE121" s="85" t="str">
        <f t="shared" si="34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121" s="82" t="str">
        <f t="shared" si="35"/>
        <v>"C:\Program Files (x86)\AstroGrep\AstroGrep.exe" /spath="%USERPROFILE%\AppData\Local\Temp\OnboardLogs" /stypes="app*4038*20170211*" /stext=" 00:.+((SYSTEM_STATE.+slice.+state.+changed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86" t="str">
        <f t="shared" si="37"/>
        <v>"%USERPROFILE%\Documents\GitHub\eaglep3\Utilities\RefineRTDCRunTimes.py" --tripid 209-10 --locoid 4038 --swversion DE.1.0.8.0 --startMP 204:473 --initTime 2017-02-10T17:09:59 --startdatetime 2017-02-10T17:15:17 --delay 1 --endMP 204:233295 --enddatetime 2017-02-10T17:51:59 --enforcementcount 0 &gt;&gt;C:\Users\stu\Documents\GitHub\eaglep3-reporting\EC\2017-02-10-refined-times.txt</v>
      </c>
      <c r="AI121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{"issue":{"subject":"","project_id":79,"tracker_id":40,"status_id":1,"priority_id":2,"assigned_to_id":23,"start_date":"2017-02-10","description":"","custom_fields":[{"id":1,"name":"Subdivision","value":"EC"},{"id":4,"name":"Milepost","value":"23.3295"},{"id":17,"name":"Train ID","value":"209-10"},{"id":16,"name":"Locomotive ID","value":"4038"},{"id":130,"name":"Impact","value":""},{"id":150,"name":"Time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4038 --day 2017-02-10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"%USERPROFILE%\AppData\Local\Temp\OnboardLogs"\RTDC4038\*4038*20170211* | grep -SE "(Enforcement Action)|(\[TIMEOUT)|(CHR.+\|PRM\|1\|D.+(SWITCH|SIGNAL).+UNKNOWN)" - &gt;&gt; 2017-02-10-UncaughtWiMAX.txt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715</v>
      </c>
      <c r="B122" s="7">
        <v>4037</v>
      </c>
      <c r="C122" s="21" t="s">
        <v>193</v>
      </c>
      <c r="D122" s="21" t="s">
        <v>498</v>
      </c>
      <c r="E122" s="13">
        <v>42776.755393518521</v>
      </c>
      <c r="F122" s="13">
        <v>42776.757951388892</v>
      </c>
      <c r="G122" s="7">
        <v>1</v>
      </c>
      <c r="H122" s="21" t="s">
        <v>220</v>
      </c>
      <c r="I122" s="13">
        <v>42776.784328703703</v>
      </c>
      <c r="J122" s="7">
        <v>0</v>
      </c>
      <c r="K122" s="98" t="str">
        <f t="shared" si="25"/>
        <v>4037/4038</v>
      </c>
      <c r="L122" s="21" t="str">
        <f>VLOOKUP(A122,'Trips&amp;Operators'!$C$1:$G$99999,5,FALSE)</f>
        <v>HELVIE ADAM</v>
      </c>
      <c r="M122" s="6">
        <f t="shared" si="26"/>
        <v>2.6377314810815733E-2</v>
      </c>
      <c r="N122" s="7">
        <f t="shared" si="44"/>
        <v>37.983333327574655</v>
      </c>
      <c r="O122" s="7"/>
      <c r="P122" s="7"/>
      <c r="Q122" s="22"/>
      <c r="R122" s="22"/>
      <c r="S122" s="31">
        <f t="shared" si="27"/>
        <v>1</v>
      </c>
      <c r="T122" s="46" t="str">
        <f t="shared" si="28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29"/>
        <v>https://d0f6bd738d7f1b3e5a7ca70fe4ff75f0.us-east-1.aws.found.io/app/kibana#/discover/Steve-Slow-Train-Analysis-(2080s-and-2083s)?_g=(refreshInterval:(display:Off,pause:!f,section:0,value:0),time:(from:'2017-02-10T17:07:46-0700',mode:absolute,to:'2017-02-10T19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2" s="188" t="str">
        <f t="shared" si="45"/>
        <v>N</v>
      </c>
      <c r="X122" s="188">
        <f t="shared" si="46"/>
        <v>1</v>
      </c>
      <c r="Y122" s="62">
        <f t="shared" si="30"/>
        <v>23.296500000000002</v>
      </c>
      <c r="Z122" s="62">
        <f t="shared" si="31"/>
        <v>1.54E-2</v>
      </c>
      <c r="AA122" s="62">
        <f t="shared" si="32"/>
        <v>23.281100000000002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 t="shared" si="33"/>
        <v>0210-10</v>
      </c>
      <c r="AE122" s="85" t="str">
        <f t="shared" si="34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122" s="82" t="str">
        <f t="shared" si="35"/>
        <v>"C:\Program Files (x86)\AstroGrep\AstroGrep.exe" /spath="%USERPROFILE%\AppData\Local\Temp\OnboardLogs" /stypes="app*4037*20170211*" /stext=" 01:.+((SYSTEM_STATE.+slice.+state.+changed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86" t="str">
        <f t="shared" si="37"/>
        <v>"%USERPROFILE%\Documents\GitHub\eaglep3\Utilities\RefineRTDCRunTimes.py" --tripid 210-10 --locoid 4037 --swversion DE.1.0.8.0 --startMP 204:232965 --initTime 2017-02-10T18:07:46 --startdatetime 2017-02-10T18:11:27 --delay 1 --endMP 204:154 --enddatetime 2017-02-10T18:49:26 --enforcementcount 0 &gt;&gt;C:\Users\stu\Documents\GitHub\eaglep3-reporting\EC\2017-02-10-refined-times.txt</v>
      </c>
      <c r="AI122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{"issue":{"subject":"","project_id":79,"tracker_id":40,"status_id":1,"priority_id":2,"assigned_to_id":23,"start_date":"2017-02-10","description":"","custom_fields":[{"id":1,"name":"Subdivision","value":"EC"},{"id":4,"name":"Milepost","value":"0.0154"},{"id":17,"name":"Train ID","value":"210-10"},{"id":16,"name":"Locomotive ID","value":"4037"},{"id":130,"name":"Impact","value":""},{"id":150,"name":"Time of Event (Mountain Time)","value":"18:49:26"},{"id":151,"name":"Denver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4037 --day 2017-02-10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"%USERPROFILE%\AppData\Local\Temp\OnboardLogs"\RTDC4037\*4037*20170211* | grep -SE "(Enforcement Action)|(\[TIMEOUT)|(CHR.+\|PRM\|1\|D.+(SWITCH|SIGNAL).+UNKNOWN)" - &gt;&gt; 2017-02-10-UncaughtWiMAX.txt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706</v>
      </c>
      <c r="B123" s="7">
        <v>4027</v>
      </c>
      <c r="C123" s="21" t="s">
        <v>193</v>
      </c>
      <c r="D123" s="21" t="s">
        <v>238</v>
      </c>
      <c r="E123" s="13">
        <v>42776.726203703707</v>
      </c>
      <c r="F123" s="13">
        <v>42776.729467592595</v>
      </c>
      <c r="G123" s="7">
        <v>1</v>
      </c>
      <c r="H123" s="21" t="s">
        <v>314</v>
      </c>
      <c r="I123" s="13">
        <v>42776.754594907405</v>
      </c>
      <c r="J123" s="7">
        <v>0</v>
      </c>
      <c r="K123" s="98" t="str">
        <f t="shared" si="25"/>
        <v>4027/4028</v>
      </c>
      <c r="L123" s="21" t="str">
        <f>VLOOKUP(A123,'Trips&amp;Operators'!$C$1:$G$99999,5,FALSE)</f>
        <v>KILLION DAVID</v>
      </c>
      <c r="M123" s="6">
        <f t="shared" si="26"/>
        <v>2.512731480965158E-2</v>
      </c>
      <c r="N123" s="7">
        <f t="shared" si="44"/>
        <v>36.183333325898275</v>
      </c>
      <c r="O123" s="7"/>
      <c r="P123" s="7"/>
      <c r="Q123" s="22"/>
      <c r="R123" s="22"/>
      <c r="S123" s="31">
        <f t="shared" si="27"/>
        <v>1</v>
      </c>
      <c r="T123" s="46" t="str">
        <f t="shared" si="28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29"/>
        <v>https://d0f6bd738d7f1b3e5a7ca70fe4ff75f0.us-east-1.aws.found.io/app/kibana#/discover/Steve-Slow-Train-Analysis-(2080s-and-2083s)?_g=(refreshInterval:(display:Off,pause:!f,section:0,value:0),time:(from:'2017-02-10T16:25:44-0700',mode:absolute,to:'2017-02-10T19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188" t="str">
        <f t="shared" si="45"/>
        <v>N</v>
      </c>
      <c r="X123" s="188">
        <f t="shared" si="46"/>
        <v>1</v>
      </c>
      <c r="Y123" s="62">
        <f t="shared" si="30"/>
        <v>4.5999999999999999E-2</v>
      </c>
      <c r="Z123" s="62">
        <f t="shared" si="31"/>
        <v>23.3293</v>
      </c>
      <c r="AA123" s="62">
        <f t="shared" si="32"/>
        <v>23.283300000000001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 t="shared" si="33"/>
        <v>0211-10</v>
      </c>
      <c r="AE123" s="85" t="str">
        <f t="shared" si="34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123" s="82" t="str">
        <f t="shared" si="35"/>
        <v>"C:\Program Files (x86)\AstroGrep\AstroGrep.exe" /spath="%USERPROFILE%\AppData\Local\Temp\OnboardLogs" /stypes="app*4027*20170211*" /stext=" 01:.+((SYSTEM_STATE.+slice.+state.+changed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86" t="str">
        <f t="shared" si="37"/>
        <v>"%USERPROFILE%\Documents\GitHub\eaglep3\Utilities\RefineRTDCRunTimes.py" --tripid 211-10 --locoid 4027 --swversion DE.1.0.8.0 --startMP 204:460 --initTime 2017-02-10T17:25:44 --startdatetime 2017-02-10T17:30:26 --delay 1 --endMP 204:233293 --enddatetime 2017-02-10T18:06:37 --enforcementcount 0 &gt;&gt;C:\Users\stu\Documents\GitHub\eaglep3-reporting\EC\2017-02-10-refined-times.txt</v>
      </c>
      <c r="AI123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{"issue":{"subject":"","project_id":79,"tracker_id":40,"status_id":1,"priority_id":2,"assigned_to_id":23,"start_date":"2017-02-10","description":"","custom_fields":[{"id":1,"name":"Subdivision","value":"EC"},{"id":4,"name":"Milepost","value":"23.3293"},{"id":17,"name":"Train ID","value":"211-10"},{"id":16,"name":"Locomotive ID","value":"4027"},{"id":130,"name":"Impact","value":""},{"id":150,"name":"Time of Event (Mountain Time)","value":"18:06:37"},{"id":151,"name":"Denver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4027 --day 2017-02-10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"%USERPROFILE%\AppData\Local\Temp\OnboardLogs"\RTDC4027\*4027*20170211* | grep -SE "(Enforcement Action)|(\[TIMEOUT)|(CHR.+\|PRM\|1\|D.+(SWITCH|SIGNAL).+UNKNOWN)" - &gt;&gt; 2017-02-10-UncaughtWiMAX.txt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718</v>
      </c>
      <c r="B124" s="7">
        <v>4028</v>
      </c>
      <c r="C124" s="21" t="s">
        <v>193</v>
      </c>
      <c r="D124" s="21" t="s">
        <v>313</v>
      </c>
      <c r="E124" s="13">
        <v>42776.761921296296</v>
      </c>
      <c r="F124" s="13">
        <v>42776.768287037034</v>
      </c>
      <c r="G124" s="7">
        <v>1</v>
      </c>
      <c r="H124" s="21" t="s">
        <v>198</v>
      </c>
      <c r="I124" s="13">
        <v>42776.794861111113</v>
      </c>
      <c r="J124" s="7">
        <v>0</v>
      </c>
      <c r="K124" s="98" t="str">
        <f t="shared" si="25"/>
        <v>4027/4028</v>
      </c>
      <c r="L124" s="21" t="str">
        <f>VLOOKUP(A124,'Trips&amp;Operators'!$C$1:$G$99999,5,FALSE)</f>
        <v>KILLION DAVID</v>
      </c>
      <c r="M124" s="6">
        <f t="shared" si="26"/>
        <v>2.6574074079690035E-2</v>
      </c>
      <c r="N124" s="7">
        <f t="shared" si="44"/>
        <v>38.266666674753651</v>
      </c>
      <c r="O124" s="7"/>
      <c r="P124" s="7"/>
      <c r="Q124" s="22"/>
      <c r="R124" s="22"/>
      <c r="S124" s="31">
        <f t="shared" si="27"/>
        <v>1</v>
      </c>
      <c r="T124" s="46" t="str">
        <f t="shared" si="28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29"/>
        <v>https://d0f6bd738d7f1b3e5a7ca70fe4ff75f0.us-east-1.aws.found.io/app/kibana#/discover/Steve-Slow-Train-Analysis-(2080s-and-2083s)?_g=(refreshInterval:(display:Off,pause:!f,section:0,value:0),time:(from:'2017-02-10T17:17:10-0700',mode:absolute,to:'2017-02-10T20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188" t="str">
        <f t="shared" si="45"/>
        <v>N</v>
      </c>
      <c r="X124" s="188">
        <f t="shared" si="46"/>
        <v>1</v>
      </c>
      <c r="Y124" s="62">
        <f t="shared" si="30"/>
        <v>23.299099999999999</v>
      </c>
      <c r="Z124" s="62">
        <f t="shared" si="31"/>
        <v>1.4500000000000001E-2</v>
      </c>
      <c r="AA124" s="62">
        <f t="shared" si="32"/>
        <v>23.284599999999998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 t="shared" si="33"/>
        <v>0212-10</v>
      </c>
      <c r="AE124" s="85" t="str">
        <f t="shared" si="34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124" s="82" t="str">
        <f t="shared" si="35"/>
        <v>"C:\Program Files (x86)\AstroGrep\AstroGrep.exe" /spath="%USERPROFILE%\AppData\Local\Temp\OnboardLogs" /stypes="app*4028*20170211*" /stext=" 02:.+((SYSTEM_STATE.+slice.+state.+changed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86" t="str">
        <f t="shared" si="37"/>
        <v>"%USERPROFILE%\Documents\GitHub\eaglep3\Utilities\RefineRTDCRunTimes.py" --tripid 212-10 --locoid 4028 --swversion DE.1.0.8.0 --startMP 204:232991 --initTime 2017-02-10T18:17:10 --startdatetime 2017-02-10T18:26:20 --delay 1 --endMP 204:145 --enddatetime 2017-02-10T19:04:36 --enforcementcount 0 &gt;&gt;C:\Users\stu\Documents\GitHub\eaglep3-reporting\EC\2017-02-10-refined-times.txt</v>
      </c>
      <c r="AI124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ID","value":"212-10"},{"id":16,"name":"Locomotive ID","value":"4028"},{"id":130,"name":"Impact","value":""},{"id":150,"name":"Time of Event (Mountain Time)","value":"19:04:36"},{"id":151,"name":"Denver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4028 --day 2017-02-10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"%USERPROFILE%\AppData\Local\Temp\OnboardLogs"\RTDC4028\*4028*20170211* | grep -SE "(Enforcement Action)|(\[TIMEOUT)|(CHR.+\|PRM\|1\|D.+(SWITCH|SIGNAL).+UNKNOWN)" - &gt;&gt; 2017-02-10-UncaughtWiMAX.txt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710</v>
      </c>
      <c r="B125" s="7">
        <v>4009</v>
      </c>
      <c r="C125" s="21" t="s">
        <v>193</v>
      </c>
      <c r="D125" s="21" t="s">
        <v>221</v>
      </c>
      <c r="E125" s="13">
        <v>42776.734618055554</v>
      </c>
      <c r="F125" s="13">
        <v>42776.739756944444</v>
      </c>
      <c r="G125" s="7">
        <v>2</v>
      </c>
      <c r="H125" s="21" t="s">
        <v>501</v>
      </c>
      <c r="I125" s="13">
        <v>42776.765219907407</v>
      </c>
      <c r="J125" s="7">
        <v>0</v>
      </c>
      <c r="K125" s="98" t="str">
        <f t="shared" si="25"/>
        <v>4009/4010</v>
      </c>
      <c r="L125" s="21" t="str">
        <f>VLOOKUP(A125,'Trips&amp;Operators'!$C$1:$G$99999,5,FALSE)</f>
        <v>STORY SAMANTHA</v>
      </c>
      <c r="M125" s="6">
        <f t="shared" si="26"/>
        <v>2.5462962963501923E-2</v>
      </c>
      <c r="N125" s="7">
        <f t="shared" si="44"/>
        <v>36.666666667442769</v>
      </c>
      <c r="O125" s="7"/>
      <c r="P125" s="7"/>
      <c r="Q125" s="22"/>
      <c r="R125" s="22"/>
      <c r="S125" s="31">
        <f t="shared" si="27"/>
        <v>1</v>
      </c>
      <c r="T125" s="46" t="str">
        <f t="shared" si="28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29"/>
        <v>https://d0f6bd738d7f1b3e5a7ca70fe4ff75f0.us-east-1.aws.found.io/app/kibana#/discover/Steve-Slow-Train-Analysis-(2080s-and-2083s)?_g=(refreshInterval:(display:Off,pause:!f,section:0,value:0),time:(from:'2017-02-10T16:37:51-0700',mode:absolute,to:'2017-02-10T19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188" t="str">
        <f t="shared" si="45"/>
        <v>N</v>
      </c>
      <c r="X125" s="188">
        <f t="shared" si="46"/>
        <v>1</v>
      </c>
      <c r="Y125" s="62">
        <f t="shared" si="30"/>
        <v>4.58E-2</v>
      </c>
      <c r="Z125" s="62">
        <f t="shared" si="31"/>
        <v>23.330100000000002</v>
      </c>
      <c r="AA125" s="62">
        <f t="shared" si="32"/>
        <v>23.284300000000002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 t="shared" si="33"/>
        <v>0213-10</v>
      </c>
      <c r="AE125" s="85" t="str">
        <f t="shared" si="34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125" s="82" t="str">
        <f t="shared" si="35"/>
        <v>"C:\Program Files (x86)\AstroGrep\AstroGrep.exe" /spath="%USERPROFILE%\AppData\Local\Temp\OnboardLogs" /stypes="app*4009*20170211*" /stext=" 01:.+((SYSTEM_STATE.+slice.+state.+changed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86" t="str">
        <f t="shared" si="37"/>
        <v>"%USERPROFILE%\Documents\GitHub\eaglep3\Utilities\RefineRTDCRunTimes.py" --tripid 213-10 --locoid 4009 --swversion DE.1.0.8.0 --startMP 204:458 --initTime 2017-02-10T17:37:51 --startdatetime 2017-02-10T17:45:15 --delay 2 --endMP 204:233301 --enddatetime 2017-02-10T18:21:55 --enforcementcount 0 &gt;&gt;C:\Users\stu\Documents\GitHub\eaglep3-reporting\EC\2017-02-10-refined-times.txt</v>
      </c>
      <c r="AI125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{"issue":{"subject":"","project_id":79,"tracker_id":40,"status_id":1,"priority_id":2,"assigned_to_id":23,"start_date":"2017-02-10","description":"","custom_fields":[{"id":1,"name":"Subdivision","value":"EC"},{"id":4,"name":"Milepost","value":"23.3301"},{"id":17,"name":"Train ID","value":"213-10"},{"id":16,"name":"Locomotive ID","value":"4009"},{"id":130,"name":"Impact","value":""},{"id":150,"name":"Time of Event (Mountain Time)","value":"18:21:55"},{"id":151,"name":"Denver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4009 --day 2017-02-10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719</v>
      </c>
      <c r="B126" s="7">
        <v>4010</v>
      </c>
      <c r="C126" s="21" t="s">
        <v>193</v>
      </c>
      <c r="D126" s="21" t="s">
        <v>816</v>
      </c>
      <c r="E126" s="13">
        <v>42776.774351851855</v>
      </c>
      <c r="F126" s="13">
        <v>42776.778726851851</v>
      </c>
      <c r="G126" s="7">
        <v>1</v>
      </c>
      <c r="H126" s="21" t="s">
        <v>510</v>
      </c>
      <c r="I126" s="13">
        <v>42776.805995370371</v>
      </c>
      <c r="J126" s="7">
        <v>0</v>
      </c>
      <c r="K126" s="98" t="str">
        <f t="shared" si="25"/>
        <v>4009/4010</v>
      </c>
      <c r="L126" s="21" t="str">
        <f>VLOOKUP(A126,'Trips&amp;Operators'!$C$1:$G$99999,5,FALSE)</f>
        <v>STORY SAMANTHA</v>
      </c>
      <c r="M126" s="6">
        <f t="shared" si="26"/>
        <v>2.7268518519122154E-2</v>
      </c>
      <c r="N126" s="7">
        <f t="shared" si="44"/>
        <v>39.266666667535901</v>
      </c>
      <c r="O126" s="7"/>
      <c r="P126" s="7"/>
      <c r="Q126" s="22"/>
      <c r="R126" s="22"/>
      <c r="S126" s="31">
        <f t="shared" si="27"/>
        <v>1</v>
      </c>
      <c r="T126" s="46" t="str">
        <f t="shared" si="28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29"/>
        <v>https://d0f6bd738d7f1b3e5a7ca70fe4ff75f0.us-east-1.aws.found.io/app/kibana#/discover/Steve-Slow-Train-Analysis-(2080s-and-2083s)?_g=(refreshInterval:(display:Off,pause:!f,section:0,value:0),time:(from:'2017-02-10T17:35:04-0700',mode:absolute,to:'2017-02-10T20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188" t="str">
        <f t="shared" si="45"/>
        <v>N</v>
      </c>
      <c r="X126" s="188">
        <f t="shared" si="46"/>
        <v>1</v>
      </c>
      <c r="Y126" s="62">
        <f t="shared" si="30"/>
        <v>23.299800000000001</v>
      </c>
      <c r="Z126" s="62">
        <f t="shared" si="31"/>
        <v>1.47E-2</v>
      </c>
      <c r="AA126" s="62">
        <f t="shared" si="32"/>
        <v>23.2851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 t="shared" si="33"/>
        <v>0214-10</v>
      </c>
      <c r="AE126" s="85" t="str">
        <f t="shared" si="34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126" s="82" t="str">
        <f t="shared" si="35"/>
        <v>"C:\Program Files (x86)\AstroGrep\AstroGrep.exe" /spath="%USERPROFILE%\AppData\Local\Temp\OnboardLogs" /stypes="app*4010*20170211*" /stext=" 02:.+((SYSTEM_STATE.+slice.+state.+changed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86" t="str">
        <f t="shared" si="37"/>
        <v>"%USERPROFILE%\Documents\GitHub\eaglep3\Utilities\RefineRTDCRunTimes.py" --tripid 214-10 --locoid 4010 --swversion DE.1.0.8.0 --startMP 204:232998 --initTime 2017-02-10T18:35:04 --startdatetime 2017-02-10T18:41:22 --delay 1 --endMP 204:147 --enddatetime 2017-02-10T19:20:38 --enforcementcount 0 &gt;&gt;C:\Users\stu\Documents\GitHub\eaglep3-reporting\EC\2017-02-10-refined-times.txt</v>
      </c>
      <c r="AI126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{"issue":{"subject":"","project_id":79,"tracker_id":40,"status_id":1,"priority_id":2,"assigned_to_id":23,"start_date":"2017-02-10","description":"","custom_fields":[{"id":1,"name":"Subdivision","value":"EC"},{"id":4,"name":"Milepost","value":"0.0147"},{"id":17,"name":"Train ID","value":"214-10"},{"id":16,"name":"Locomotive ID","value":"4010"},{"id":130,"name":"Impact","value":""},{"id":150,"name":"Time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4010 --day 2017-02-10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711</v>
      </c>
      <c r="B127" s="7">
        <v>4040</v>
      </c>
      <c r="C127" s="21" t="s">
        <v>193</v>
      </c>
      <c r="D127" s="21" t="s">
        <v>278</v>
      </c>
      <c r="E127" s="13">
        <v>42776.745393518519</v>
      </c>
      <c r="F127" s="13">
        <v>42776.750173611108</v>
      </c>
      <c r="G127" s="7">
        <v>1</v>
      </c>
      <c r="H127" s="21" t="s">
        <v>503</v>
      </c>
      <c r="I127" s="13">
        <v>42776.77484953704</v>
      </c>
      <c r="J127" s="7">
        <v>0</v>
      </c>
      <c r="K127" s="98" t="str">
        <f t="shared" si="25"/>
        <v>4039/4040</v>
      </c>
      <c r="L127" s="21" t="str">
        <f>VLOOKUP(A127,'Trips&amp;Operators'!$C$1:$G$99999,5,FALSE)</f>
        <v>BRANNON JEFFREY</v>
      </c>
      <c r="M127" s="6">
        <f t="shared" si="26"/>
        <v>2.4675925931660458E-2</v>
      </c>
      <c r="N127" s="7">
        <f t="shared" si="44"/>
        <v>35.53333334159106</v>
      </c>
      <c r="O127" s="7"/>
      <c r="P127" s="7"/>
      <c r="Q127" s="22"/>
      <c r="R127" s="22"/>
      <c r="S127" s="31">
        <f t="shared" si="27"/>
        <v>1</v>
      </c>
      <c r="T127" s="46" t="str">
        <f t="shared" si="28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29"/>
        <v>https://d0f6bd738d7f1b3e5a7ca70fe4ff75f0.us-east-1.aws.found.io/app/kibana#/discover/Steve-Slow-Train-Analysis-(2080s-and-2083s)?_g=(refreshInterval:(display:Off,pause:!f,section:0,value:0),time:(from:'2017-02-10T16:53:22-0700',mode:absolute,to:'2017-02-10T19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188" t="str">
        <f t="shared" si="45"/>
        <v>N</v>
      </c>
      <c r="X127" s="188">
        <f t="shared" si="46"/>
        <v>1</v>
      </c>
      <c r="Y127" s="62">
        <f t="shared" si="30"/>
        <v>4.6699999999999998E-2</v>
      </c>
      <c r="Z127" s="62">
        <f t="shared" si="31"/>
        <v>23.33</v>
      </c>
      <c r="AA127" s="62">
        <f t="shared" si="32"/>
        <v>23.283299999999997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 t="shared" si="33"/>
        <v>0215-10</v>
      </c>
      <c r="AE127" s="85" t="str">
        <f t="shared" si="34"/>
        <v>aws s3 cp s3://rtdc.mdm.uploadarchive.raw/RTDC4040/ "%USERPROFILE%\AppData\Local\Temp\OnboardLogs"\RTDC4040\2017-02-10 --exclude "*" --recursive --include "*20170210*" &amp; "%USERPROFILE%\Documents\GitHub\mrs-test-scripts\Headless Mode &amp; Sideloading\WalkAndUnGZ.bat" "%USERPROFILE%\AppData\Local\Temp\OnboardLogs"\RTDC4040\2017-02-10 &amp; 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</v>
      </c>
      <c r="AF127" s="82" t="str">
        <f t="shared" si="35"/>
        <v>"C:\Program Files (x86)\AstroGrep\AstroGrep.exe" /spath="%USERPROFILE%\AppData\Local\Temp\OnboardLogs" /stypes="app*4040*20170211*" /stext=" 01:.+((SYSTEM_STATE.+slice.+state.+changed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86" t="str">
        <f t="shared" si="37"/>
        <v>"%USERPROFILE%\Documents\GitHub\eaglep3\Utilities\RefineRTDCRunTimes.py" --tripid 215-10 --locoid 4040 --swversion DE.1.0.8.0 --startMP 204:467 --initTime 2017-02-10T17:53:22 --startdatetime 2017-02-10T18:00:15 --delay 1 --endMP 204:233300 --enddatetime 2017-02-10T18:35:47 --enforcementcount 0 &gt;&gt;C:\Users\stu\Documents\GitHub\eaglep3-reporting\EC\2017-02-10-refined-times.txt</v>
      </c>
      <c r="AI127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{"issue":{"subject":"","project_id":79,"tracker_id":40,"status_id":1,"priority_id":2,"assigned_to_id":23,"start_date":"2017-02-10","description":"","custom_fields":[{"id":1,"name":"Subdivision","value":"EC"},{"id":4,"name":"Milepost","value":"23.33"},{"id":17,"name":"Train ID","value":"215-10"},{"id":16,"name":"Locomotive ID","value":"4040"},{"id":130,"name":"Impact","value":""},{"id":150,"name":"Time of Event (Mountain Time)","value":"18:35:47"},{"id":151,"name":"Denver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4040 --day 2017-02-10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723</v>
      </c>
      <c r="B128" s="7">
        <v>4039</v>
      </c>
      <c r="C128" s="21" t="s">
        <v>193</v>
      </c>
      <c r="D128" s="21" t="s">
        <v>340</v>
      </c>
      <c r="E128" s="13">
        <v>42776.782453703701</v>
      </c>
      <c r="F128" s="13">
        <v>42776.789085648146</v>
      </c>
      <c r="G128" s="7">
        <v>1</v>
      </c>
      <c r="H128" s="21" t="s">
        <v>198</v>
      </c>
      <c r="I128" s="13">
        <v>42776.814745370371</v>
      </c>
      <c r="J128" s="7">
        <v>0</v>
      </c>
      <c r="K128" s="98" t="str">
        <f t="shared" si="25"/>
        <v>4039/4040</v>
      </c>
      <c r="L128" s="21" t="str">
        <f>VLOOKUP(A128,'Trips&amp;Operators'!$C$1:$G$99999,5,FALSE)</f>
        <v>BRANNON JEFFREY</v>
      </c>
      <c r="M128" s="6">
        <f t="shared" si="26"/>
        <v>2.5659722225100268E-2</v>
      </c>
      <c r="N128" s="7">
        <f t="shared" si="44"/>
        <v>36.950000004144385</v>
      </c>
      <c r="O128" s="7"/>
      <c r="P128" s="7"/>
      <c r="Q128" s="22"/>
      <c r="R128" s="22"/>
      <c r="S128" s="31">
        <f t="shared" si="27"/>
        <v>1</v>
      </c>
      <c r="T128" s="46" t="str">
        <f t="shared" si="28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29"/>
        <v>https://d0f6bd738d7f1b3e5a7ca70fe4ff75f0.us-east-1.aws.found.io/app/kibana#/discover/Steve-Slow-Train-Analysis-(2080s-and-2083s)?_g=(refreshInterval:(display:Off,pause:!f,section:0,value:0),time:(from:'2017-02-10T17:46:44-0700',mode:absolute,to:'2017-02-10T20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188" t="str">
        <f t="shared" si="45"/>
        <v>N</v>
      </c>
      <c r="X128" s="188">
        <f t="shared" si="46"/>
        <v>1</v>
      </c>
      <c r="Y128" s="62">
        <f t="shared" si="30"/>
        <v>23.2989</v>
      </c>
      <c r="Z128" s="62">
        <f t="shared" si="31"/>
        <v>1.4500000000000001E-2</v>
      </c>
      <c r="AA128" s="62">
        <f t="shared" si="32"/>
        <v>23.284399999999998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 t="shared" si="33"/>
        <v>0216-10</v>
      </c>
      <c r="AE128" s="85" t="str">
        <f t="shared" si="34"/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AF128" s="82" t="str">
        <f t="shared" si="35"/>
        <v>"C:\Program Files (x86)\AstroGrep\AstroGrep.exe" /spath="%USERPROFILE%\AppData\Local\Temp\OnboardLogs" /stypes="app*4039*20170211*" /stext=" 02:.+((SYSTEM_STATE.+slice.+state.+changed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86" t="str">
        <f t="shared" si="37"/>
        <v>"%USERPROFILE%\Documents\GitHub\eaglep3\Utilities\RefineRTDCRunTimes.py" --tripid 216-10 --locoid 4039 --swversion DE.1.0.8.0 --startMP 204:232989 --initTime 2017-02-10T18:46:44 --startdatetime 2017-02-10T18:56:17 --delay 1 --endMP 204:145 --enddatetime 2017-02-10T19:33:14 --enforcementcount 0 &gt;&gt;C:\Users\stu\Documents\GitHub\eaglep3-reporting\EC\2017-02-10-refined-times.txt</v>
      </c>
      <c r="AI128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ID","value":"216-10"},{"id":16,"name":"Locomotive ID","value":"4039"},{"id":130,"name":"Impact","value":""},{"id":150,"name":"Time of Event (Mountain Time)","value":"19:33:14"},{"id":151,"name":"Denver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4039 --day 2017-02-10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"%USERPROFILE%\AppData\Local\Temp\OnboardLogs"\RTDC4039\*4039*20170211* | grep -SE "(Enforcement Action)|(\[TIMEOUT)|(CHR.+\|PRM\|1\|D.+(SWITCH|SIGNAL).+UNKNOWN)" - &gt;&gt; 2017-02-10-UncaughtWiMAX.txt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714</v>
      </c>
      <c r="B129" s="7">
        <v>4018</v>
      </c>
      <c r="C129" s="21" t="s">
        <v>193</v>
      </c>
      <c r="D129" s="21" t="s">
        <v>327</v>
      </c>
      <c r="E129" s="13">
        <v>42776.754641203705</v>
      </c>
      <c r="F129" s="13">
        <v>42776.760601851849</v>
      </c>
      <c r="G129" s="7">
        <v>1</v>
      </c>
      <c r="H129" s="21" t="s">
        <v>504</v>
      </c>
      <c r="I129" s="13">
        <v>42776.787141203706</v>
      </c>
      <c r="J129" s="7">
        <v>0</v>
      </c>
      <c r="K129" s="98" t="str">
        <f t="shared" si="25"/>
        <v>4017/4018</v>
      </c>
      <c r="L129" s="21" t="str">
        <f>VLOOKUP(A129,'Trips&amp;Operators'!$C$1:$G$99999,5,FALSE)</f>
        <v>WHITED DUSTIN</v>
      </c>
      <c r="M129" s="6">
        <f t="shared" si="26"/>
        <v>2.6539351856627036E-2</v>
      </c>
      <c r="N129" s="7">
        <f t="shared" si="44"/>
        <v>38.216666673542932</v>
      </c>
      <c r="O129" s="7"/>
      <c r="P129" s="7"/>
      <c r="Q129" s="22"/>
      <c r="R129" s="22"/>
      <c r="S129" s="31">
        <f t="shared" si="27"/>
        <v>1</v>
      </c>
      <c r="T129" s="46" t="str">
        <f t="shared" si="28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29"/>
        <v>https://d0f6bd738d7f1b3e5a7ca70fe4ff75f0.us-east-1.aws.found.io/app/kibana#/discover/Steve-Slow-Train-Analysis-(2080s-and-2083s)?_g=(refreshInterval:(display:Off,pause:!f,section:0,value:0),time:(from:'2017-02-10T17:06:41-0700',mode:absolute,to:'2017-02-10T19:53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8" t="str">
        <f t="shared" si="45"/>
        <v>N</v>
      </c>
      <c r="X129" s="188">
        <f t="shared" si="46"/>
        <v>1</v>
      </c>
      <c r="Y129" s="62">
        <f t="shared" si="30"/>
        <v>4.6399999999999997E-2</v>
      </c>
      <c r="Z129" s="62">
        <f t="shared" si="31"/>
        <v>23.3322</v>
      </c>
      <c r="AA129" s="62">
        <f t="shared" si="32"/>
        <v>23.285800000000002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 t="shared" si="33"/>
        <v>0217-10</v>
      </c>
      <c r="AE129" s="85" t="str">
        <f t="shared" si="34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129" s="82" t="str">
        <f t="shared" si="35"/>
        <v>"C:\Program Files (x86)\AstroGrep\AstroGrep.exe" /spath="%USERPROFILE%\AppData\Local\Temp\OnboardLogs" /stypes="app*4018*20170211*" /stext=" 01:.+((SYSTEM_STATE.+slice.+state.+changed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86" t="str">
        <f t="shared" si="37"/>
        <v>"%USERPROFILE%\Documents\GitHub\eaglep3\Utilities\RefineRTDCRunTimes.py" --tripid 217-10 --locoid 4018 --swversion DE.1.0.8.0 --startMP 204:464 --initTime 2017-02-10T18:06:41 --startdatetime 2017-02-10T18:15:16 --delay 1 --endMP 204:233322 --enddatetime 2017-02-10T18:53:29 --enforcementcount 0 &gt;&gt;C:\Users\stu\Documents\GitHub\eaglep3-reporting\EC\2017-02-10-refined-times.txt</v>
      </c>
      <c r="AI12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{"issue":{"subject":"","project_id":79,"tracker_id":40,"status_id":1,"priority_id":2,"assigned_to_id":23,"start_date":"2017-02-10","description":"","custom_fields":[{"id":1,"name":"Subdivision","value":"EC"},{"id":4,"name":"Milepost","value":"23.3322"},{"id":17,"name":"Train ID","value":"217-10"},{"id":16,"name":"Locomotive ID","value":"4018"},{"id":130,"name":"Impact","value":""},{"id":150,"name":"Time of Event (Mountain Time)","value":"18:53:29"},{"id":151,"name":"Denver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4018 --day 2017-02-10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"%USERPROFILE%\AppData\Local\Temp\OnboardLogs"\RTDC4018\*4018*20170211* | grep -SE "(Enforcement Action)|(\[TIMEOUT)|(CHR.+\|PRM\|1\|D.+(SWITCH|SIGNAL).+UNKNOWN)" - &gt;&gt; 2017-02-10-UncaughtWiMAX.txt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555</v>
      </c>
      <c r="B130" s="7">
        <v>4017</v>
      </c>
      <c r="C130" s="21" t="s">
        <v>193</v>
      </c>
      <c r="D130" s="21" t="s">
        <v>505</v>
      </c>
      <c r="E130" s="13">
        <v>42776.794849537036</v>
      </c>
      <c r="F130" s="13">
        <v>42776.799513888887</v>
      </c>
      <c r="G130" s="7">
        <v>1</v>
      </c>
      <c r="H130" s="21" t="s">
        <v>184</v>
      </c>
      <c r="I130" s="13">
        <v>42776.82613425926</v>
      </c>
      <c r="J130" s="7">
        <v>0</v>
      </c>
      <c r="K130" s="98" t="str">
        <f t="shared" si="25"/>
        <v>4017/4018</v>
      </c>
      <c r="L130" s="21" t="str">
        <f>VLOOKUP(A130,'Trips&amp;Operators'!$C$1:$G$99999,5,FALSE)</f>
        <v>WHITED DUSTIN</v>
      </c>
      <c r="M130" s="6">
        <f t="shared" si="26"/>
        <v>2.662037037225673E-2</v>
      </c>
      <c r="N130" s="7">
        <f t="shared" si="44"/>
        <v>38.333333336049691</v>
      </c>
      <c r="O130" s="7"/>
      <c r="P130" s="7"/>
      <c r="Q130" s="22"/>
      <c r="R130" s="22"/>
      <c r="S130" s="31">
        <f t="shared" si="27"/>
        <v>1</v>
      </c>
      <c r="T130" s="46" t="str">
        <f t="shared" si="28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29"/>
        <v>https://d0f6bd738d7f1b3e5a7ca70fe4ff75f0.us-east-1.aws.found.io/app/kibana#/discover/Steve-Slow-Train-Analysis-(2080s-and-2083s)?_g=(refreshInterval:(display:Off,pause:!f,section:0,value:0),time:(from:'2017-02-10T18:04:35-0700',mode:absolute,to:'2017-02-10T20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8" t="str">
        <f t="shared" si="45"/>
        <v>N</v>
      </c>
      <c r="X130" s="188">
        <f t="shared" si="46"/>
        <v>1</v>
      </c>
      <c r="Y130" s="62">
        <f t="shared" si="30"/>
        <v>23.3019</v>
      </c>
      <c r="Z130" s="62">
        <f t="shared" si="31"/>
        <v>1.49E-2</v>
      </c>
      <c r="AA130" s="62">
        <f t="shared" si="32"/>
        <v>23.286999999999999</v>
      </c>
      <c r="AB130" s="59" t="str">
        <f>VLOOKUP(A130,Enforcements!$C$7:$K$14,8,0)</f>
        <v>Bulletin (2)</v>
      </c>
      <c r="AC130" s="55" t="str">
        <f>VLOOKUP(A130,Enforcements!$C$7:$E$14,3,0)</f>
        <v>GRADE CROSSING</v>
      </c>
      <c r="AD130" s="56" t="str">
        <f t="shared" si="33"/>
        <v>0218-10</v>
      </c>
      <c r="AE130" s="85" t="str">
        <f t="shared" si="34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130" s="82" t="str">
        <f t="shared" si="35"/>
        <v>"C:\Program Files (x86)\AstroGrep\AstroGrep.exe" /spath="%USERPROFILE%\AppData\Local\Temp\OnboardLogs" /stypes="app*4017*20170211*" /stext=" 02:.+((SYSTEM_STATE.+slice.+state.+changed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86" t="str">
        <f t="shared" si="37"/>
        <v>"%USERPROFILE%\Documents\GitHub\eaglep3\Utilities\RefineRTDCRunTimes.py" --tripid 218-10 --locoid 4017 --swversion DE.1.0.8.0 --startMP 204:233019 --initTime 2017-02-10T19:04:35 --startdatetime 2017-02-10T19:11:18 --delay 1 --endMP 204:149 --enddatetime 2017-02-10T19:49:38 --enforcementcount 0 &gt;&gt;C:\Users\stu\Documents\GitHub\eaglep3-reporting\EC\2017-02-10-refined-times.txt</v>
      </c>
      <c r="AI13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{"issue":{"subject":"","project_id":79,"tracker_id":40,"status_id":1,"priority_id":2,"assigned_to_id":23,"start_date":"2017-02-10","description":"","custom_fields":[{"id":1,"name":"Subdivision","value":"EC"},{"id":4,"name":"Milepost","value":"0.0149"},{"id":17,"name":"Train ID","value":"218-10"},{"id":16,"name":"Locomotive ID","value":"4017"},{"id":130,"name":"Impact","value":""},{"id":150,"name":"Time of Event (Mountain Time)","value":"19:49:38"},{"id":151,"name":"Denver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4017 --day 2017-02-10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"%USERPROFILE%\AppData\Local\Temp\OnboardLogs"\RTDC4017\*4017*20170211* | grep -SE "(Enforcement Action)|(\[TIMEOUT)|(CHR.+\|PRM\|1\|D.+(SWITCH|SIGNAL).+UNKNOWN)" - &gt;&gt; 2017-02-10-UncaughtWiMAX.txt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554</v>
      </c>
      <c r="B131" s="7">
        <v>4046</v>
      </c>
      <c r="C131" s="21" t="s">
        <v>193</v>
      </c>
      <c r="D131" s="21" t="s">
        <v>817</v>
      </c>
      <c r="E131" s="13">
        <v>42776.768935185188</v>
      </c>
      <c r="F131" s="13">
        <v>42776.771006944444</v>
      </c>
      <c r="G131" s="7">
        <v>1</v>
      </c>
      <c r="H131" s="21" t="s">
        <v>818</v>
      </c>
      <c r="I131" s="13">
        <v>42776.795520833337</v>
      </c>
      <c r="J131" s="7">
        <v>0</v>
      </c>
      <c r="K131" s="98" t="str">
        <f t="shared" si="25"/>
        <v>4045/4046</v>
      </c>
      <c r="L131" s="21" t="str">
        <f>VLOOKUP(A131,'Trips&amp;Operators'!$C$1:$G$99999,5,FALSE)</f>
        <v>HILLS DUSTIN</v>
      </c>
      <c r="M131" s="6">
        <f t="shared" si="26"/>
        <v>2.4513888893125113E-2</v>
      </c>
      <c r="N131" s="7">
        <f t="shared" si="44"/>
        <v>35.300000006100163</v>
      </c>
      <c r="O131" s="7"/>
      <c r="P131" s="7"/>
      <c r="Q131" s="22"/>
      <c r="R131" s="22"/>
      <c r="S131" s="31">
        <f t="shared" si="27"/>
        <v>1</v>
      </c>
      <c r="T131" s="46" t="str">
        <f t="shared" si="28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29"/>
        <v>https://d0f6bd738d7f1b3e5a7ca70fe4ff75f0.us-east-1.aws.found.io/app/kibana#/discover/Steve-Slow-Train-Analysis-(2080s-and-2083s)?_g=(refreshInterval:(display:Off,pause:!f,section:0,value:0),time:(from:'2017-02-10T17:27:16-0700',mode:absolute,to:'2017-02-10T20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1" s="188" t="str">
        <f t="shared" si="45"/>
        <v>N</v>
      </c>
      <c r="X131" s="188">
        <f t="shared" si="46"/>
        <v>1</v>
      </c>
      <c r="Y131" s="62">
        <f t="shared" si="30"/>
        <v>5.0200000000000002E-2</v>
      </c>
      <c r="Z131" s="62">
        <f t="shared" si="31"/>
        <v>23.341899999999999</v>
      </c>
      <c r="AA131" s="62">
        <f t="shared" si="32"/>
        <v>23.291699999999999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 t="shared" si="33"/>
        <v>0219-10</v>
      </c>
      <c r="AE131" s="85" t="str">
        <f t="shared" si="34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131" s="82" t="str">
        <f t="shared" si="35"/>
        <v>"C:\Program Files (x86)\AstroGrep\AstroGrep.exe" /spath="%USERPROFILE%\AppData\Local\Temp\OnboardLogs" /stypes="app*4046*20170211*" /stext=" 02:.+((SYSTEM_STATE.+slice.+state.+changed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86" t="str">
        <f t="shared" si="37"/>
        <v>"%USERPROFILE%\Documents\GitHub\eaglep3\Utilities\RefineRTDCRunTimes.py" --tripid 219-10 --locoid 4046 --swversion DE.1.0.8.0 --startMP 204:502 --initTime 2017-02-10T18:27:16 --startdatetime 2017-02-10T18:30:15 --delay 1 --endMP 204:233419 --enddatetime 2017-02-10T19:05:33 --enforcementcount 0 &gt;&gt;C:\Users\stu\Documents\GitHub\eaglep3-reporting\EC\2017-02-10-refined-times.txt</v>
      </c>
      <c r="AI131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{"issue":{"subject":"","project_id":79,"tracker_id":40,"status_id":1,"priority_id":2,"assigned_to_id":23,"start_date":"2017-02-10","description":"","custom_fields":[{"id":1,"name":"Subdivision","value":"EC"},{"id":4,"name":"Milepost","value":"23.3419"},{"id":17,"name":"Train ID","value":"219-10"},{"id":16,"name":"Locomotive ID","value":"4046"},{"id":130,"name":"Impact","value":""},{"id":150,"name":"Time of Event (Mountain Time)","value":"19:05:33"},{"id":151,"name":"Denver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4046 --day 2017-02-10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"%USERPROFILE%\AppData\Local\Temp\OnboardLogs"\RTDC4046\*4046*20170211* | grep -SE "(Enforcement Action)|(\[TIMEOUT)|(CHR.+\|PRM\|1\|D.+(SWITCH|SIGNAL).+UNKNOWN)" - &gt;&gt; 2017-02-10-UncaughtWiMAX.txt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728</v>
      </c>
      <c r="B132" s="7">
        <v>4045</v>
      </c>
      <c r="C132" s="21" t="s">
        <v>193</v>
      </c>
      <c r="D132" s="21" t="s">
        <v>511</v>
      </c>
      <c r="E132" s="13">
        <v>42776.80023148148</v>
      </c>
      <c r="F132" s="13">
        <v>42776.809930555559</v>
      </c>
      <c r="G132" s="7">
        <v>1</v>
      </c>
      <c r="H132" s="21" t="s">
        <v>819</v>
      </c>
      <c r="I132" s="13">
        <v>42776.835625</v>
      </c>
      <c r="J132" s="7">
        <v>0</v>
      </c>
      <c r="K132" s="98" t="str">
        <f t="shared" si="25"/>
        <v>4045/4046</v>
      </c>
      <c r="L132" s="21" t="str">
        <f>VLOOKUP(A132,'Trips&amp;Operators'!$C$1:$G$99999,5,FALSE)</f>
        <v>HILLS DUSTIN</v>
      </c>
      <c r="M132" s="6">
        <f t="shared" si="26"/>
        <v>2.569444444088731E-2</v>
      </c>
      <c r="N132" s="7">
        <f t="shared" si="44"/>
        <v>36.999999994877726</v>
      </c>
      <c r="O132" s="7"/>
      <c r="P132" s="7"/>
      <c r="Q132" s="22"/>
      <c r="R132" s="22"/>
      <c r="S132" s="31">
        <f t="shared" si="27"/>
        <v>1</v>
      </c>
      <c r="T132" s="46" t="str">
        <f t="shared" si="28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29"/>
        <v>https://d0f6bd738d7f1b3e5a7ca70fe4ff75f0.us-east-1.aws.found.io/app/kibana#/discover/Steve-Slow-Train-Analysis-(2080s-and-2083s)?_g=(refreshInterval:(display:Off,pause:!f,section:0,value:0),time:(from:'2017-02-10T18:12:20-0700',mode:absolute,to:'2017-02-10T21:03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2" s="188" t="str">
        <f t="shared" si="45"/>
        <v>N</v>
      </c>
      <c r="X132" s="188">
        <f t="shared" si="46"/>
        <v>1</v>
      </c>
      <c r="Y132" s="62">
        <f t="shared" si="30"/>
        <v>23.31</v>
      </c>
      <c r="Z132" s="62">
        <f t="shared" si="31"/>
        <v>1.2500000000000001E-2</v>
      </c>
      <c r="AA132" s="62">
        <f t="shared" si="32"/>
        <v>23.297499999999999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 t="shared" si="33"/>
        <v>0220-10</v>
      </c>
      <c r="AE132" s="85" t="str">
        <f t="shared" si="34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132" s="82" t="str">
        <f t="shared" si="35"/>
        <v>"C:\Program Files (x86)\AstroGrep\AstroGrep.exe" /spath="%USERPROFILE%\AppData\Local\Temp\OnboardLogs" /stypes="app*4045*20170211*" /stext=" 03:.+((SYSTEM_STATE.+slice.+state.+changed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86" t="str">
        <f t="shared" si="37"/>
        <v>"%USERPROFILE%\Documents\GitHub\eaglep3\Utilities\RefineRTDCRunTimes.py" --tripid 220-10 --locoid 4045 --swversion DE.1.0.8.0 --startMP 204:233100 --initTime 2017-02-10T19:12:20 --startdatetime 2017-02-10T19:26:18 --delay 1 --endMP 204:125 --enddatetime 2017-02-10T20:03:18 --enforcementcount 0 &gt;&gt;C:\Users\stu\Documents\GitHub\eaglep3-reporting\EC\2017-02-10-refined-times.txt</v>
      </c>
      <c r="AI132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{"issue":{"subject":"","project_id":79,"tracker_id":40,"status_id":1,"priority_id":2,"assigned_to_id":23,"start_date":"2017-02-10","description":"","custom_fields":[{"id":1,"name":"Subdivision","value":"EC"},{"id":4,"name":"Milepost","value":"0.0125"},{"id":17,"name":"Train ID","value":"220-10"},{"id":16,"name":"Locomotive ID","value":"4045"},{"id":130,"name":"Impact","value":""},{"id":150,"name":"Time of Event (Mountain Time)","value":"20:03:18"},{"id":151,"name":"Denver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4045 --day 2017-02-10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"%USERPROFILE%\AppData\Local\Temp\OnboardLogs"\RTDC4045\*4045*20170211* | grep -SE "(Enforcement Action)|(\[TIMEOUT)|(CHR.+\|PRM\|1\|D.+(SWITCH|SIGNAL).+UNKNOWN)" - &gt;&gt; 2017-02-10-UncaughtWiMAX.txt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724</v>
      </c>
      <c r="B133" s="7">
        <v>4038</v>
      </c>
      <c r="C133" s="21" t="s">
        <v>193</v>
      </c>
      <c r="D133" s="21" t="s">
        <v>506</v>
      </c>
      <c r="E133" s="13">
        <v>42776.787094907406</v>
      </c>
      <c r="F133" s="13">
        <v>42776.791817129626</v>
      </c>
      <c r="G133" s="7">
        <v>2</v>
      </c>
      <c r="H133" s="21" t="s">
        <v>372</v>
      </c>
      <c r="I133" s="13">
        <v>42776.817418981482</v>
      </c>
      <c r="J133" s="7">
        <v>0</v>
      </c>
      <c r="K133" s="98" t="str">
        <f t="shared" si="25"/>
        <v>4037/4038</v>
      </c>
      <c r="L133" s="21" t="str">
        <f>VLOOKUP(A133,'Trips&amp;Operators'!$C$1:$G$99999,5,FALSE)</f>
        <v>BROWN JACOB</v>
      </c>
      <c r="M133" s="6">
        <f t="shared" si="26"/>
        <v>2.5601851855753921E-2</v>
      </c>
      <c r="N133" s="7">
        <f t="shared" si="44"/>
        <v>36.866666672285646</v>
      </c>
      <c r="O133" s="7"/>
      <c r="P133" s="7"/>
      <c r="Q133" s="22"/>
      <c r="R133" s="22"/>
      <c r="S133" s="31">
        <f t="shared" si="27"/>
        <v>1</v>
      </c>
      <c r="T133" s="46" t="str">
        <f t="shared" si="28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29"/>
        <v>https://d0f6bd738d7f1b3e5a7ca70fe4ff75f0.us-east-1.aws.found.io/app/kibana#/discover/Steve-Slow-Train-Analysis-(2080s-and-2083s)?_g=(refreshInterval:(display:Off,pause:!f,section:0,value:0),time:(from:'2017-02-10T17:53:25-0700',mode:absolute,to:'2017-02-10T20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3" s="188" t="str">
        <f t="shared" si="45"/>
        <v>N</v>
      </c>
      <c r="X133" s="188">
        <f t="shared" si="46"/>
        <v>1</v>
      </c>
      <c r="Y133" s="62">
        <f t="shared" si="30"/>
        <v>4.7800000000000002E-2</v>
      </c>
      <c r="Z133" s="62">
        <f t="shared" si="31"/>
        <v>23.3323</v>
      </c>
      <c r="AA133" s="62">
        <f t="shared" si="32"/>
        <v>23.284500000000001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 t="shared" si="33"/>
        <v>0221-10</v>
      </c>
      <c r="AE133" s="85" t="str">
        <f t="shared" si="34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133" s="82" t="str">
        <f t="shared" si="35"/>
        <v>"C:\Program Files (x86)\AstroGrep\AstroGrep.exe" /spath="%USERPROFILE%\AppData\Local\Temp\OnboardLogs" /stypes="app*4038*20170211*" /stext=" 02:.+((SYSTEM_STATE.+slice.+state.+changed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86" t="str">
        <f t="shared" si="37"/>
        <v>"%USERPROFILE%\Documents\GitHub\eaglep3\Utilities\RefineRTDCRunTimes.py" --tripid 221-10 --locoid 4038 --swversion DE.1.0.8.0 --startMP 204:478 --initTime 2017-02-10T18:53:25 --startdatetime 2017-02-10T19:00:13 --delay 2 --endMP 204:233323 --enddatetime 2017-02-10T19:37:05 --enforcementcount 0 &gt;&gt;C:\Users\stu\Documents\GitHub\eaglep3-reporting\EC\2017-02-10-refined-times.txt</v>
      </c>
      <c r="AI133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{"issue":{"subject":"","project_id":79,"tracker_id":40,"status_id":1,"priority_id":2,"assigned_to_id":23,"start_date":"2017-02-10","description":"","custom_fields":[{"id":1,"name":"Subdivision","value":"EC"},{"id":4,"name":"Milepost","value":"23.3323"},{"id":17,"name":"Train ID","value":"221-10"},{"id":16,"name":"Locomotive ID","value":"4038"},{"id":130,"name":"Impact","value":""},{"id":150,"name":"Time of Event (Mountain Time)","value":"19:37:05"},{"id":151,"name":"Denver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4038 --day 2017-02-10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"%USERPROFILE%\AppData\Local\Temp\OnboardLogs"\RTDC4038\*4038*20170211* | grep -SE "(Enforcement Action)|(\[TIMEOUT)|(CHR.+\|PRM\|1\|D.+(SWITCH|SIGNAL).+UNKNOWN)" - &gt;&gt; 2017-02-10-UncaughtWiMAX.txt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732</v>
      </c>
      <c r="B134" s="7">
        <v>4037</v>
      </c>
      <c r="C134" s="21" t="s">
        <v>193</v>
      </c>
      <c r="D134" s="21" t="s">
        <v>301</v>
      </c>
      <c r="E134" s="13">
        <v>42776.826168981483</v>
      </c>
      <c r="F134" s="13">
        <v>42776.830706018518</v>
      </c>
      <c r="G134" s="7">
        <v>1</v>
      </c>
      <c r="H134" s="21" t="s">
        <v>295</v>
      </c>
      <c r="I134" s="13">
        <v>42776.857951388891</v>
      </c>
      <c r="J134" s="7">
        <v>0</v>
      </c>
      <c r="K134" s="98" t="str">
        <f t="shared" si="25"/>
        <v>4037/4038</v>
      </c>
      <c r="L134" s="21" t="str">
        <f>VLOOKUP(A134,'Trips&amp;Operators'!$C$1:$G$99999,5,FALSE)</f>
        <v>BROWN JACOB</v>
      </c>
      <c r="M134" s="6">
        <f t="shared" si="26"/>
        <v>2.7245370372838806E-2</v>
      </c>
      <c r="N134" s="7">
        <f t="shared" si="44"/>
        <v>39.233333336887881</v>
      </c>
      <c r="O134" s="7"/>
      <c r="P134" s="7"/>
      <c r="Q134" s="22"/>
      <c r="R134" s="22"/>
      <c r="S134" s="31">
        <f t="shared" si="27"/>
        <v>1</v>
      </c>
      <c r="T134" s="46" t="str">
        <f t="shared" si="28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29"/>
        <v>https://d0f6bd738d7f1b3e5a7ca70fe4ff75f0.us-east-1.aws.found.io/app/kibana#/discover/Steve-Slow-Train-Analysis-(2080s-and-2083s)?_g=(refreshInterval:(display:Off,pause:!f,section:0,value:0),time:(from:'2017-02-10T18:49:41-0700',mode:absolute,to:'2017-02-10T21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34" s="188" t="str">
        <f t="shared" si="45"/>
        <v>N</v>
      </c>
      <c r="X134" s="188">
        <f t="shared" si="46"/>
        <v>1</v>
      </c>
      <c r="Y134" s="62">
        <f t="shared" si="30"/>
        <v>23.299299999999999</v>
      </c>
      <c r="Z134" s="62">
        <f t="shared" si="31"/>
        <v>1.3899999999999999E-2</v>
      </c>
      <c r="AA134" s="62">
        <f t="shared" si="32"/>
        <v>23.285399999999999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 t="shared" si="33"/>
        <v>0222-10</v>
      </c>
      <c r="AE134" s="85" t="str">
        <f t="shared" si="34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134" s="82" t="str">
        <f t="shared" si="35"/>
        <v>"C:\Program Files (x86)\AstroGrep\AstroGrep.exe" /spath="%USERPROFILE%\AppData\Local\Temp\OnboardLogs" /stypes="app*4037*20170211*" /stext=" 03:.+((SYSTEM_STATE.+slice.+state.+changed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86" t="str">
        <f t="shared" si="37"/>
        <v>"%USERPROFILE%\Documents\GitHub\eaglep3\Utilities\RefineRTDCRunTimes.py" --tripid 222-10 --locoid 4037 --swversion DE.1.0.8.0 --startMP 204:232993 --initTime 2017-02-10T19:49:41 --startdatetime 2017-02-10T19:56:13 --delay 1 --endMP 204:139 --enddatetime 2017-02-10T20:35:27 --enforcementcount 0 &gt;&gt;C:\Users\stu\Documents\GitHub\eaglep3-reporting\EC\2017-02-10-refined-times.txt</v>
      </c>
      <c r="AI134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{"issue":{"subject":"","project_id":79,"tracker_id":40,"status_id":1,"priority_id":2,"assigned_to_id":23,"start_date":"2017-02-10","description":"","custom_fields":[{"id":1,"name":"Subdivision","value":"EC"},{"id":4,"name":"Milepost","value":"0.0139"},{"id":17,"name":"Train ID","value":"222-10"},{"id":16,"name":"Locomotive ID","value":"4037"},{"id":130,"name":"Impact","value":""},{"id":150,"name":"Time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4037 --day 2017-02-10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"%USERPROFILE%\AppData\Local\Temp\OnboardLogs"\RTDC4037\*4037*20170211* | grep -SE "(Enforcement Action)|(\[TIMEOUT)|(CHR.+\|PRM\|1\|D.+(SWITCH|SIGNAL).+UNKNOWN)" - &gt;&gt; 2017-02-10-UncaughtWiMAX.txt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729</v>
      </c>
      <c r="B135" s="7">
        <v>4009</v>
      </c>
      <c r="C135" s="21" t="s">
        <v>193</v>
      </c>
      <c r="D135" s="21" t="s">
        <v>279</v>
      </c>
      <c r="E135" s="13">
        <v>42776.807245370372</v>
      </c>
      <c r="F135" s="13">
        <v>42776.812662037039</v>
      </c>
      <c r="G135" s="7">
        <v>1</v>
      </c>
      <c r="H135" s="21" t="s">
        <v>820</v>
      </c>
      <c r="I135" s="13">
        <v>42776.837534722225</v>
      </c>
      <c r="J135" s="7">
        <v>0</v>
      </c>
      <c r="K135" s="98" t="str">
        <f t="shared" si="25"/>
        <v>4009/4010</v>
      </c>
      <c r="L135" s="21" t="str">
        <f>VLOOKUP(A135,'Trips&amp;Operators'!$C$1:$G$99999,5,FALSE)</f>
        <v>STORY SAMANTHA</v>
      </c>
      <c r="M135" s="6">
        <f t="shared" si="26"/>
        <v>2.4872685185982846E-2</v>
      </c>
      <c r="N135" s="7">
        <f t="shared" ref="N135:N166" si="47">24*60*SUM($M135:$M135)</f>
        <v>35.816666667815298</v>
      </c>
      <c r="O135" s="7"/>
      <c r="P135" s="7"/>
      <c r="Q135" s="22"/>
      <c r="R135" s="22"/>
      <c r="S135" s="31">
        <f t="shared" si="27"/>
        <v>1</v>
      </c>
      <c r="T135" s="46" t="str">
        <f t="shared" si="28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29"/>
        <v>https://d0f6bd738d7f1b3e5a7ca70fe4ff75f0.us-east-1.aws.found.io/app/kibana#/discover/Steve-Slow-Train-Analysis-(2080s-and-2083s)?_g=(refreshInterval:(display:Off,pause:!f,section:0,value:0),time:(from:'2017-02-10T18:22:26-0700',mode:absolute,to:'2017-02-10T21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88" t="str">
        <f t="shared" si="45"/>
        <v>N</v>
      </c>
      <c r="X135" s="188">
        <f t="shared" si="46"/>
        <v>1</v>
      </c>
      <c r="Y135" s="62">
        <f t="shared" si="30"/>
        <v>4.4600000000000001E-2</v>
      </c>
      <c r="Z135" s="62">
        <f t="shared" si="31"/>
        <v>23.3353</v>
      </c>
      <c r="AA135" s="62">
        <f t="shared" si="32"/>
        <v>23.290700000000001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 t="shared" si="33"/>
        <v>0223-10</v>
      </c>
      <c r="AE135" s="85" t="str">
        <f t="shared" si="34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135" s="82" t="str">
        <f t="shared" si="35"/>
        <v>"C:\Program Files (x86)\AstroGrep\AstroGrep.exe" /spath="%USERPROFILE%\AppData\Local\Temp\OnboardLogs" /stypes="app*4009*20170211*" /stext=" 03:.+((SYSTEM_STATE.+slice.+state.+changed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86" t="str">
        <f t="shared" si="37"/>
        <v>"%USERPROFILE%\Documents\GitHub\eaglep3\Utilities\RefineRTDCRunTimes.py" --tripid 223-10 --locoid 4009 --swversion DE.1.0.8.0 --startMP 204:446 --initTime 2017-02-10T19:22:26 --startdatetime 2017-02-10T19:30:14 --delay 1 --endMP 204:233353 --enddatetime 2017-02-10T20:06:03 --enforcementcount 0 &gt;&gt;C:\Users\stu\Documents\GitHub\eaglep3-reporting\EC\2017-02-10-refined-times.txt</v>
      </c>
      <c r="AI135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{"issue":{"subject":"","project_id":79,"tracker_id":40,"status_id":1,"priority_id":2,"assigned_to_id":23,"start_date":"2017-02-10","description":"","custom_fields":[{"id":1,"name":"Subdivision","value":"EC"},{"id":4,"name":"Milepost","value":"23.3353"},{"id":17,"name":"Train ID","value":"223-10"},{"id":16,"name":"Locomotive ID","value":"4009"},{"id":130,"name":"Impact","value":""},{"id":150,"name":"Time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4009 --day 2017-02-10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556</v>
      </c>
      <c r="B136" s="7">
        <v>4010</v>
      </c>
      <c r="C136" s="21" t="s">
        <v>193</v>
      </c>
      <c r="D136" s="21" t="s">
        <v>821</v>
      </c>
      <c r="E136" s="13">
        <v>42776.845694444448</v>
      </c>
      <c r="F136" s="13">
        <v>42776.852083333331</v>
      </c>
      <c r="G136" s="7">
        <v>1</v>
      </c>
      <c r="H136" s="21" t="s">
        <v>295</v>
      </c>
      <c r="I136" s="13">
        <v>42776.878564814811</v>
      </c>
      <c r="J136" s="7">
        <v>0</v>
      </c>
      <c r="K136" s="98" t="str">
        <f t="shared" si="25"/>
        <v>4009/4010</v>
      </c>
      <c r="L136" s="21" t="str">
        <f>VLOOKUP(A136,'Trips&amp;Operators'!$C$1:$G$99999,5,FALSE)</f>
        <v>STORY SAMANTHA</v>
      </c>
      <c r="M136" s="6">
        <f t="shared" si="26"/>
        <v>2.6481481480004732E-2</v>
      </c>
      <c r="N136" s="7">
        <f t="shared" si="47"/>
        <v>38.133333331206813</v>
      </c>
      <c r="O136" s="7"/>
      <c r="P136" s="7"/>
      <c r="Q136" s="22"/>
      <c r="R136" s="22"/>
      <c r="S136" s="31">
        <f t="shared" si="27"/>
        <v>1</v>
      </c>
      <c r="T136" s="46" t="str">
        <f t="shared" si="28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29"/>
        <v>https://d0f6bd738d7f1b3e5a7ca70fe4ff75f0.us-east-1.aws.found.io/app/kibana#/discover/Steve-Slow-Train-Analysis-(2080s-and-2083s)?_g=(refreshInterval:(display:Off,pause:!f,section:0,value:0),time:(from:'2017-02-10T19:17:48-0700',mode:absolute,to:'2017-02-10T22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88" t="str">
        <f t="shared" si="45"/>
        <v>N</v>
      </c>
      <c r="X136" s="188">
        <f t="shared" si="46"/>
        <v>1</v>
      </c>
      <c r="Y136" s="62">
        <f t="shared" si="30"/>
        <v>23.303599999999999</v>
      </c>
      <c r="Z136" s="62">
        <f t="shared" si="31"/>
        <v>1.3899999999999999E-2</v>
      </c>
      <c r="AA136" s="62">
        <f t="shared" si="32"/>
        <v>23.2897</v>
      </c>
      <c r="AB136" s="59" t="str">
        <f>VLOOKUP(A136,Enforcements!$C$7:$K$14,8,0)</f>
        <v>Bulletin (2)</v>
      </c>
      <c r="AC136" s="55" t="str">
        <f>VLOOKUP(A136,Enforcements!$C$7:$E$14,3,0)</f>
        <v>GRADE CROSSING</v>
      </c>
      <c r="AD136" s="56" t="str">
        <f t="shared" si="33"/>
        <v>0224-10</v>
      </c>
      <c r="AE136" s="85" t="str">
        <f t="shared" si="34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136" s="82" t="str">
        <f t="shared" si="35"/>
        <v>"C:\Program Files (x86)\AstroGrep\AstroGrep.exe" /spath="%USERPROFILE%\AppData\Local\Temp\OnboardLogs" /stypes="app*4010*20170211*" /stext=" 04:.+((SYSTEM_STATE.+slice.+state.+changed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86" t="str">
        <f t="shared" si="37"/>
        <v>"%USERPROFILE%\Documents\GitHub\eaglep3\Utilities\RefineRTDCRunTimes.py" --tripid 224-10 --locoid 4010 --swversion DE.1.0.8.0 --startMP 204:233036 --initTime 2017-02-10T20:17:48 --startdatetime 2017-02-10T20:27:00 --delay 1 --endMP 204:139 --enddatetime 2017-02-10T21:05:08 --enforcementcount 0 &gt;&gt;C:\Users\stu\Documents\GitHub\eaglep3-reporting\EC\2017-02-10-refined-times.txt</v>
      </c>
      <c r="AI136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{"issue":{"subject":"","project_id":79,"tracker_id":40,"status_id":1,"priority_id":2,"assigned_to_id":23,"start_date":"2017-02-10","description":"","custom_fields":[{"id":1,"name":"Subdivision","value":"EC"},{"id":4,"name":"Milepost","value":"0.0139"},{"id":17,"name":"Train ID","value":"224-10"},{"id":16,"name":"Locomotive ID","value":"4010"},{"id":130,"name":"Impact","value":""},{"id":150,"name":"Time of Event (Mountain Time)","value":"21:05:08"},{"id":151,"name":"Denver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4010 --day 2017-02-10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733</v>
      </c>
      <c r="B137" s="7">
        <v>4018</v>
      </c>
      <c r="C137" s="21" t="s">
        <v>193</v>
      </c>
      <c r="D137" s="21" t="s">
        <v>300</v>
      </c>
      <c r="E137" s="13">
        <v>42776.829027777778</v>
      </c>
      <c r="F137" s="13">
        <v>42776.833657407406</v>
      </c>
      <c r="G137" s="7">
        <v>1</v>
      </c>
      <c r="H137" s="21" t="s">
        <v>467</v>
      </c>
      <c r="I137" s="13">
        <v>42776.858414351853</v>
      </c>
      <c r="J137" s="7">
        <v>0</v>
      </c>
      <c r="K137" s="98" t="str">
        <f t="shared" si="25"/>
        <v>4017/4018</v>
      </c>
      <c r="L137" s="21" t="str">
        <f>VLOOKUP(A137,'Trips&amp;Operators'!$C$1:$G$99999,5,FALSE)</f>
        <v>MCREYNOLDS KYLE</v>
      </c>
      <c r="M137" s="6">
        <f t="shared" si="26"/>
        <v>2.4756944447290152E-2</v>
      </c>
      <c r="N137" s="7">
        <f t="shared" si="47"/>
        <v>35.650000004097819</v>
      </c>
      <c r="O137" s="7"/>
      <c r="P137" s="7"/>
      <c r="Q137" s="22"/>
      <c r="R137" s="22"/>
      <c r="S137" s="31">
        <f t="shared" si="27"/>
        <v>1</v>
      </c>
      <c r="T137" s="46" t="str">
        <f t="shared" si="28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29"/>
        <v>https://d0f6bd738d7f1b3e5a7ca70fe4ff75f0.us-east-1.aws.found.io/app/kibana#/discover/Steve-Slow-Train-Analysis-(2080s-and-2083s)?_g=(refreshInterval:(display:Off,pause:!f,section:0,value:0),time:(from:'2017-02-10T18:53:48-0700',mode:absolute,to:'2017-02-10T21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88" t="str">
        <f t="shared" si="45"/>
        <v>N</v>
      </c>
      <c r="X137" s="188">
        <f t="shared" si="46"/>
        <v>1</v>
      </c>
      <c r="Y137" s="62">
        <f t="shared" si="30"/>
        <v>4.4699999999999997E-2</v>
      </c>
      <c r="Z137" s="62">
        <f t="shared" si="31"/>
        <v>23.3306</v>
      </c>
      <c r="AA137" s="62">
        <f t="shared" si="32"/>
        <v>23.285900000000002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 t="shared" si="33"/>
        <v>0225-10</v>
      </c>
      <c r="AE137" s="85" t="str">
        <f t="shared" si="34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137" s="82" t="str">
        <f t="shared" si="35"/>
        <v>"C:\Program Files (x86)\AstroGrep\AstroGrep.exe" /spath="%USERPROFILE%\AppData\Local\Temp\OnboardLogs" /stypes="app*4018*20170211*" /stext=" 03:.+((SYSTEM_STATE.+slice.+state.+changed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86" t="str">
        <f t="shared" si="37"/>
        <v>"%USERPROFILE%\Documents\GitHub\eaglep3\Utilities\RefineRTDCRunTimes.py" --tripid 225-10 --locoid 4018 --swversion DE.1.0.8.0 --startMP 204:447 --initTime 2017-02-10T19:53:48 --startdatetime 2017-02-10T20:00:28 --delay 1 --endMP 204:233306 --enddatetime 2017-02-10T20:36:07 --enforcementcount 0 &gt;&gt;C:\Users\stu\Documents\GitHub\eaglep3-reporting\EC\2017-02-10-refined-times.txt</v>
      </c>
      <c r="AI137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{"issue":{"subject":"","project_id":79,"tracker_id":40,"status_id":1,"priority_id":2,"assigned_to_id":23,"start_date":"2017-02-10","description":"","custom_fields":[{"id":1,"name":"Subdivision","value":"EC"},{"id":4,"name":"Milepost","value":"23.3306"},{"id":17,"name":"Train ID","value":"225-10"},{"id":16,"name":"Locomotive ID","value":"4018"},{"id":130,"name":"Impact","value":""},{"id":150,"name":"Time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4018 --day 2017-02-10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"%USERPROFILE%\AppData\Local\Temp\OnboardLogs"\RTDC4018\*4018*20170211* | grep -SE "(Enforcement Action)|(\[TIMEOUT)|(CHR.+\|PRM\|1\|D.+(SWITCH|SIGNAL).+UNKNOWN)" - &gt;&gt; 2017-02-10-UncaughtWiMAX.txt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737</v>
      </c>
      <c r="B138" s="7">
        <v>4017</v>
      </c>
      <c r="C138" s="21" t="s">
        <v>193</v>
      </c>
      <c r="D138" s="21" t="s">
        <v>809</v>
      </c>
      <c r="E138" s="13">
        <v>42776.862372685187</v>
      </c>
      <c r="F138" s="13">
        <v>42776.873240740744</v>
      </c>
      <c r="G138" s="7">
        <v>1</v>
      </c>
      <c r="H138" s="21" t="s">
        <v>771</v>
      </c>
      <c r="I138" s="13">
        <v>42776.899560185186</v>
      </c>
      <c r="J138" s="7">
        <v>0</v>
      </c>
      <c r="K138" s="98" t="str">
        <f t="shared" si="25"/>
        <v>4017/4018</v>
      </c>
      <c r="L138" s="21" t="str">
        <f>VLOOKUP(A138,'Trips&amp;Operators'!$C$1:$G$99999,5,FALSE)</f>
        <v>MCREYNOLDS KYLE</v>
      </c>
      <c r="M138" s="6">
        <f t="shared" si="26"/>
        <v>2.6319444441469386E-2</v>
      </c>
      <c r="N138" s="7">
        <f t="shared" si="47"/>
        <v>37.899999995715916</v>
      </c>
      <c r="O138" s="7"/>
      <c r="P138" s="7"/>
      <c r="Q138" s="22"/>
      <c r="R138" s="22"/>
      <c r="S138" s="31">
        <f t="shared" si="27"/>
        <v>1</v>
      </c>
      <c r="T138" s="46" t="str">
        <f t="shared" si="28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29"/>
        <v>https://d0f6bd738d7f1b3e5a7ca70fe4ff75f0.us-east-1.aws.found.io/app/kibana#/discover/Steve-Slow-Train-Analysis-(2080s-and-2083s)?_g=(refreshInterval:(display:Off,pause:!f,section:0,value:0),time:(from:'2017-02-10T19:41:49-0700',mode:absolute,to:'2017-02-10T22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88" t="str">
        <f t="shared" si="45"/>
        <v>N</v>
      </c>
      <c r="X138" s="188">
        <f t="shared" si="46"/>
        <v>1</v>
      </c>
      <c r="Y138" s="62">
        <f t="shared" si="30"/>
        <v>23.3002</v>
      </c>
      <c r="Z138" s="62">
        <f t="shared" si="31"/>
        <v>1.7000000000000001E-2</v>
      </c>
      <c r="AA138" s="62">
        <f t="shared" si="32"/>
        <v>23.283200000000001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 t="shared" si="33"/>
        <v>0226-10</v>
      </c>
      <c r="AE138" s="85" t="str">
        <f t="shared" si="34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138" s="82" t="str">
        <f t="shared" si="35"/>
        <v>"C:\Program Files (x86)\AstroGrep\AstroGrep.exe" /spath="%USERPROFILE%\AppData\Local\Temp\OnboardLogs" /stypes="app*4017*20170211*" /stext=" 04:.+((SYSTEM_STATE.+slice.+state.+changed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86" t="str">
        <f t="shared" si="37"/>
        <v>"%USERPROFILE%\Documents\GitHub\eaglep3\Utilities\RefineRTDCRunTimes.py" --tripid 226-10 --locoid 4017 --swversion DE.1.0.8.0 --startMP 204:233002 --initTime 2017-02-10T20:41:49 --startdatetime 2017-02-10T20:57:28 --delay 1 --endMP 204:170 --enddatetime 2017-02-10T21:35:22 --enforcementcount 0 &gt;&gt;C:\Users\stu\Documents\GitHub\eaglep3-reporting\EC\2017-02-10-refined-times.txt</v>
      </c>
      <c r="AI138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{"issue":{"subject":"","project_id":79,"tracker_id":40,"status_id":1,"priority_id":2,"assigned_to_id":23,"start_date":"2017-02-10","description":"","custom_fields":[{"id":1,"name":"Subdivision","value":"EC"},{"id":4,"name":"Milepost","value":"0.017"},{"id":17,"name":"Train ID","value":"226-10"},{"id":16,"name":"Locomotive ID","value":"4017"},{"id":130,"name":"Impact","value":""},{"id":150,"name":"Time of Event (Mountain Time)","value":"21:35:22"},{"id":151,"name":"Denver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4017 --day 2017-02-10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"%USERPROFILE%\AppData\Local\Temp\OnboardLogs"\RTDC4017\*4017*20170211* | grep -SE "(Enforcement Action)|(\[TIMEOUT)|(CHR.+\|PRM\|1\|D.+(SWITCH|SIGNAL).+UNKNOWN)" - &gt;&gt; 2017-02-10-UncaughtWiMAX.txt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734</v>
      </c>
      <c r="B139" s="7">
        <v>4046</v>
      </c>
      <c r="C139" s="21" t="s">
        <v>193</v>
      </c>
      <c r="D139" s="21" t="s">
        <v>315</v>
      </c>
      <c r="E139" s="13">
        <v>42776.838356481479</v>
      </c>
      <c r="F139" s="13">
        <v>42776.854375000003</v>
      </c>
      <c r="G139" s="7">
        <v>1</v>
      </c>
      <c r="H139" s="21" t="s">
        <v>822</v>
      </c>
      <c r="I139" s="13">
        <v>42776.879814814813</v>
      </c>
      <c r="J139" s="7">
        <v>0</v>
      </c>
      <c r="K139" s="98" t="str">
        <f t="shared" si="25"/>
        <v>4045/4046</v>
      </c>
      <c r="L139" s="21" t="str">
        <f>VLOOKUP(A139,'Trips&amp;Operators'!$C$1:$G$99999,5,FALSE)</f>
        <v>HILLS DUSTIN</v>
      </c>
      <c r="M139" s="6">
        <f t="shared" si="26"/>
        <v>2.5439814809942618E-2</v>
      </c>
      <c r="N139" s="7">
        <f t="shared" si="47"/>
        <v>36.63333332631737</v>
      </c>
      <c r="O139" s="7"/>
      <c r="P139" s="7"/>
      <c r="Q139" s="22"/>
      <c r="R139" s="22"/>
      <c r="S139" s="31">
        <f t="shared" si="27"/>
        <v>1</v>
      </c>
      <c r="T139" s="46" t="str">
        <f t="shared" si="28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29"/>
        <v>https://d0f6bd738d7f1b3e5a7ca70fe4ff75f0.us-east-1.aws.found.io/app/kibana#/discover/Steve-Slow-Train-Analysis-(2080s-and-2083s)?_g=(refreshInterval:(display:Off,pause:!f,section:0,value:0),time:(from:'2017-02-10T19:07:14-0700',mode:absolute,to:'2017-02-10T22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188" t="str">
        <f t="shared" si="45"/>
        <v>N</v>
      </c>
      <c r="X139" s="188">
        <f t="shared" si="46"/>
        <v>1</v>
      </c>
      <c r="Y139" s="62">
        <f t="shared" si="30"/>
        <v>4.4200000000000003E-2</v>
      </c>
      <c r="Z139" s="62">
        <f t="shared" si="31"/>
        <v>23.339700000000001</v>
      </c>
      <c r="AA139" s="62">
        <f t="shared" si="32"/>
        <v>23.295500000000001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 t="shared" si="33"/>
        <v>0227-10</v>
      </c>
      <c r="AE139" s="85" t="str">
        <f t="shared" si="34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139" s="82" t="str">
        <f t="shared" si="35"/>
        <v>"C:\Program Files (x86)\AstroGrep\AstroGrep.exe" /spath="%USERPROFILE%\AppData\Local\Temp\OnboardLogs" /stypes="app*4046*20170211*" /stext=" 04:.+((SYSTEM_STATE.+slice.+state.+changed )|(ment ac)|(multiple cpu faults)|(system.+state.+changed )|(\[timeout)|(PRM\|1\|D)|(kpr)|(kdp)|(\|lc)|(penalty))" /e /r /s</v>
      </c>
      <c r="AG139" s="1" t="str">
        <f t="shared" si="36"/>
        <v>EC</v>
      </c>
      <c r="AH139" s="86" t="str">
        <f t="shared" si="37"/>
        <v>"%USERPROFILE%\Documents\GitHub\eaglep3\Utilities\RefineRTDCRunTimes.py" --tripid 227-10 --locoid 4046 --swversion DE.1.0.8.0 --startMP 204:442 --initTime 2017-02-10T20:07:14 --startdatetime 2017-02-10T20:30:18 --delay 1 --endMP 204:233397 --enddatetime 2017-02-10T21:06:56 --enforcementcount 0 &gt;&gt;C:\Users\stu\Documents\GitHub\eaglep3-reporting\EC\2017-02-10-refined-times.txt</v>
      </c>
      <c r="AI139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{"issue":{"subject":"","project_id":79,"tracker_id":40,"status_id":1,"priority_id":2,"assigned_to_id":23,"start_date":"2017-02-10","description":"","custom_fields":[{"id":1,"name":"Subdivision","value":"EC"},{"id":4,"name":"Milepost","value":"23.3397"},{"id":17,"name":"Train ID","value":"227-10"},{"id":16,"name":"Locomotive ID","value":"4046"},{"id":130,"name":"Impact","value":""},{"id":150,"name":"Time of Event (Mountain Time)","value":"21:06:56"},{"id":151,"name":"Denver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4046 --day 2017-02-10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"%USERPROFILE%\AppData\Local\Temp\OnboardLogs"\RTDC4046\*4046*20170211* | grep -SE "(Enforcement Action)|(\[TIMEOUT)|(CHR.+\|PRM\|1\|D.+(SWITCH|SIGNAL).+UNKNOWN)" - &gt;&gt; 2017-02-10-UncaughtWiMAX.txt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740</v>
      </c>
      <c r="B140" s="7">
        <v>4045</v>
      </c>
      <c r="C140" s="21" t="s">
        <v>193</v>
      </c>
      <c r="D140" s="21" t="s">
        <v>823</v>
      </c>
      <c r="E140" s="13">
        <v>42776.881412037037</v>
      </c>
      <c r="F140" s="13">
        <v>42776.893761574072</v>
      </c>
      <c r="G140" s="7">
        <v>2</v>
      </c>
      <c r="H140" s="21" t="s">
        <v>824</v>
      </c>
      <c r="I140" s="13">
        <v>42776.919861111113</v>
      </c>
      <c r="J140" s="7">
        <v>0</v>
      </c>
      <c r="K140" s="98" t="str">
        <f t="shared" si="25"/>
        <v>4045/4046</v>
      </c>
      <c r="L140" s="21" t="str">
        <f>VLOOKUP(A140,'Trips&amp;Operators'!$C$1:$G$99999,5,FALSE)</f>
        <v>HILLS DUSTIN</v>
      </c>
      <c r="M140" s="6">
        <f t="shared" si="26"/>
        <v>2.6099537040863652E-2</v>
      </c>
      <c r="N140" s="7">
        <f t="shared" si="47"/>
        <v>37.583333338843659</v>
      </c>
      <c r="O140" s="7"/>
      <c r="P140" s="7"/>
      <c r="Q140" s="22"/>
      <c r="R140" s="22"/>
      <c r="S140" s="31">
        <f t="shared" si="27"/>
        <v>1</v>
      </c>
      <c r="T140" s="46" t="str">
        <f t="shared" si="28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29"/>
        <v>https://d0f6bd738d7f1b3e5a7ca70fe4ff75f0.us-east-1.aws.found.io/app/kibana#/discover/Steve-Slow-Train-Analysis-(2080s-and-2083s)?_g=(refreshInterval:(display:Off,pause:!f,section:0,value:0),time:(from:'2017-02-10T20:09:14-0700',mode:absolute,to:'2017-02-10T23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0" s="188" t="str">
        <f t="shared" si="45"/>
        <v>N</v>
      </c>
      <c r="X140" s="188">
        <f t="shared" si="46"/>
        <v>1</v>
      </c>
      <c r="Y140" s="62">
        <f t="shared" si="30"/>
        <v>23.307099999999998</v>
      </c>
      <c r="Z140" s="62">
        <f t="shared" si="31"/>
        <v>1.1599999999999999E-2</v>
      </c>
      <c r="AA140" s="62">
        <f t="shared" si="32"/>
        <v>23.295499999999997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 t="shared" si="33"/>
        <v>0228-10</v>
      </c>
      <c r="AE140" s="85" t="str">
        <f t="shared" si="34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140" s="82" t="str">
        <f t="shared" si="35"/>
        <v>"C:\Program Files (x86)\AstroGrep\AstroGrep.exe" /spath="%USERPROFILE%\AppData\Local\Temp\OnboardLogs" /stypes="app*4045*20170211*" /stext=" 05:.+((SYSTEM_STATE.+slice.+state.+changed )|(ment ac)|(multiple cpu faults)|(system.+state.+changed )|(\[timeout)|(PRM\|1\|D)|(kpr)|(kdp)|(\|lc)|(penalty))" /e /r /s</v>
      </c>
      <c r="AG140" s="1" t="str">
        <f t="shared" si="36"/>
        <v>EC</v>
      </c>
      <c r="AH140" s="86" t="str">
        <f t="shared" si="37"/>
        <v>"%USERPROFILE%\Documents\GitHub\eaglep3\Utilities\RefineRTDCRunTimes.py" --tripid 228-10 --locoid 4045 --swversion DE.1.0.8.0 --startMP 204:233071 --initTime 2017-02-10T21:09:14 --startdatetime 2017-02-10T21:27:01 --delay 2 --endMP 204:116 --enddatetime 2017-02-10T22:04:36 --enforcementcount 0 &gt;&gt;C:\Users\stu\Documents\GitHub\eaglep3-reporting\EC\2017-02-10-refined-times.txt</v>
      </c>
      <c r="AI140" s="108" t="str">
        <f t="shared" si="38"/>
        <v>echo {"issue":{"subject":"","project_id":79,"tracker_id":40,"status_id":1,"priority_id":2,"assigned_to_id":23,"start_date":"2017-02-10","description":"","custom_fields":[{"id":1,"name":"Subdivision","value":"EC"},{"id":4,"name":"Milepost","value":"0.0116"},{"id":17,"name":"Train ID","value":"228-10"},{"id":16,"name":"Locomotive ID","value":"4045"},{"id":130,"name":"Impact","value":""},{"id":150,"name":"Time of Event (Mountain Time)","value":"22:04:36"},{"id":151,"name":"Denver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4045 --day 2017-02-10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"%USERPROFILE%\AppData\Local\Temp\OnboardLogs"\RTDC4045\*4045*20170211* | grep -SE "(Enforcement Action)|(\[TIMEOUT)|(CHR.+\|PRM\|1\|D.+(SWITCH|SIGNAL).+UNKNOWN)" - &gt;&gt; 2017-02-10-UncaughtWiMAX.txt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738</v>
      </c>
      <c r="B141" s="7">
        <v>4038</v>
      </c>
      <c r="C141" s="21" t="s">
        <v>193</v>
      </c>
      <c r="D141" s="21" t="s">
        <v>509</v>
      </c>
      <c r="E141" s="13">
        <v>42776.872210648151</v>
      </c>
      <c r="F141" s="13">
        <v>42776.875150462962</v>
      </c>
      <c r="G141" s="7">
        <v>1</v>
      </c>
      <c r="H141" s="21" t="s">
        <v>788</v>
      </c>
      <c r="I141" s="13">
        <v>42776.901585648149</v>
      </c>
      <c r="J141" s="7">
        <v>0</v>
      </c>
      <c r="K141" s="98" t="str">
        <f t="shared" ref="K141:K204" si="48">IF(ISEVEN(B141),(B141-1)&amp;"/"&amp;B141,B141&amp;"/"&amp;(B141+1))</f>
        <v>4037/4038</v>
      </c>
      <c r="L141" s="21" t="str">
        <f>VLOOKUP(A141,'Trips&amp;Operators'!$C$1:$G$99999,5,FALSE)</f>
        <v>BROWN JACOB</v>
      </c>
      <c r="M141" s="6">
        <f t="shared" ref="M141:M204" si="49">I141-F141</f>
        <v>2.6435185187438037E-2</v>
      </c>
      <c r="N141" s="7">
        <f t="shared" si="47"/>
        <v>38.066666669910774</v>
      </c>
      <c r="O141" s="7"/>
      <c r="P141" s="7"/>
      <c r="Q141" s="22"/>
      <c r="R141" s="22"/>
      <c r="S141" s="31">
        <f t="shared" ref="S141:S204" si="50">SUM(U141:U141)/IF(AG141="EC",12,1)</f>
        <v>1</v>
      </c>
      <c r="T141" s="46" t="str">
        <f t="shared" ref="T141:T204" si="51">IF(ISEVEN(LEFT(AD141,4)),"Southbound","NorthBound")</f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-10T19:55:59-0700',mode:absolute,to:'2017-02-10T22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1" s="188" t="str">
        <f t="shared" si="45"/>
        <v>N</v>
      </c>
      <c r="X141" s="188">
        <f t="shared" si="46"/>
        <v>1</v>
      </c>
      <c r="Y141" s="62">
        <f t="shared" ref="Y141:Y204" si="53">RIGHT(D141,LEN(D141)-4)/10000</f>
        <v>4.6600000000000003E-2</v>
      </c>
      <c r="Z141" s="62">
        <f t="shared" ref="Z141:Z204" si="54">RIGHT(H141,LEN(H141)-4)/10000</f>
        <v>23.331399999999999</v>
      </c>
      <c r="AA141" s="62">
        <f t="shared" ref="AA141:AA204" si="55">ABS(Z141-Y141)</f>
        <v>23.284799999999997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 t="shared" ref="AD141:AD204" si="56">IF(LEN(A141)=6,"0"&amp;A141,A141)</f>
        <v>0229-10</v>
      </c>
      <c r="AE141" s="85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141" s="82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/stypes="app*4038*20170211*" /stext=" 04:.+((SYSTEM_STATE.+slice.+state.+changed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86" t="str">
        <f t="shared" ref="AH141:AH205" si="6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229-10 --locoid 4038 --swversion DE.1.0.8.0 --startMP 204:466 --initTime 2017-02-10T20:55:59 --startdatetime 2017-02-10T21:00:13 --delay 1 --endMP 204:233314 --enddatetime 2017-02-10T21:38:17 --enforcementcount 0 &gt;&gt;C:\Users\stu\Documents\GitHub\eaglep3-reporting\EC\2017-02-10-refined-times.txt</v>
      </c>
      <c r="AI141" s="108" t="str">
        <f t="shared" ref="AI141:AI205" si="6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{"issue":{"subject":"","project_id":79,"tracker_id":40,"status_id":1,"priority_id":2,"assigned_to_id":23,"start_date":"2017-02-10","description":"","custom_fields":[{"id":1,"name":"Subdivision","value":"EC"},{"id":4,"name":"Milepost","value":"23.3314"},{"id":17,"name":"Train ID","value":"229-10"},{"id":16,"name":"Locomotive ID","value":"4038"},{"id":130,"name":"Impact","value":""},{"id":150,"name":"Time of Event (Mountain Time)","value":"21:38:17"},{"id":151,"name":"Denver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5" si="62">"start /low /b "&amp;dls3logs&amp;" --loco "&amp;B141&amp;" --day "&amp;TEXT(F141,"YYYY-MM-DD")</f>
        <v>start /low /b %USERPROFILE%\Documents\GitHub\eaglep3\Utilities\DownloadLogsFromS3.py --loco 4038 --day 2017-02-10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"%USERPROFILE%\AppData\Local\Temp\OnboardLogs"\RTDC4038\*4038*20170211* | grep -SE "(Enforcement Action)|(\[TIMEOUT)|(CHR.+\|PRM\|1\|D.+(SWITCH|SIGNAL).+UNKNOWN)" - &gt;&gt; 2017-02-10-UncaughtWiMAX.txt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557</v>
      </c>
      <c r="B142" s="7">
        <v>4037</v>
      </c>
      <c r="C142" s="21" t="s">
        <v>193</v>
      </c>
      <c r="D142" s="21" t="s">
        <v>313</v>
      </c>
      <c r="E142" s="13">
        <v>42776.906967592593</v>
      </c>
      <c r="F142" s="13">
        <v>42776.9140625</v>
      </c>
      <c r="G142" s="7">
        <v>1</v>
      </c>
      <c r="H142" s="21" t="s">
        <v>198</v>
      </c>
      <c r="I142" s="13">
        <v>42776.941724537035</v>
      </c>
      <c r="J142" s="7">
        <v>0</v>
      </c>
      <c r="K142" s="98" t="str">
        <f t="shared" si="48"/>
        <v>4037/4038</v>
      </c>
      <c r="L142" s="21" t="str">
        <f>VLOOKUP(A142,'Trips&amp;Operators'!$C$1:$G$99999,5,FALSE)</f>
        <v>BROWN JACOB</v>
      </c>
      <c r="M142" s="6">
        <f t="shared" si="49"/>
        <v>2.7662037035042886E-2</v>
      </c>
      <c r="N142" s="7">
        <f t="shared" si="47"/>
        <v>39.833333330461755</v>
      </c>
      <c r="O142" s="7"/>
      <c r="P142" s="7"/>
      <c r="Q142" s="22"/>
      <c r="R142" s="22"/>
      <c r="S142" s="31">
        <f t="shared" si="50"/>
        <v>1</v>
      </c>
      <c r="T142" s="46" t="str">
        <f t="shared" si="51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52"/>
        <v>https://d0f6bd738d7f1b3e5a7ca70fe4ff75f0.us-east-1.aws.found.io/app/kibana#/discover/Steve-Slow-Train-Analysis-(2080s-and-2083s)?_g=(refreshInterval:(display:Off,pause:!f,section:0,value:0),time:(from:'2017-02-10T20:46:02-0700',mode:absolute,to:'2017-02-10T23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2" s="188" t="str">
        <f t="shared" si="45"/>
        <v>N</v>
      </c>
      <c r="X142" s="188">
        <f t="shared" si="46"/>
        <v>1</v>
      </c>
      <c r="Y142" s="62">
        <f t="shared" si="53"/>
        <v>23.299099999999999</v>
      </c>
      <c r="Z142" s="62">
        <f t="shared" si="54"/>
        <v>1.4500000000000001E-2</v>
      </c>
      <c r="AA142" s="62">
        <f t="shared" si="55"/>
        <v>23.284599999999998</v>
      </c>
      <c r="AB142" s="59" t="str">
        <f>VLOOKUP(A142,Enforcements!$C$7:$K$14,8,0)</f>
        <v>Bulletin (2)</v>
      </c>
      <c r="AC142" s="55" t="str">
        <f>VLOOKUP(A142,Enforcements!$C$7:$E$14,3,0)</f>
        <v>GRADE CROSSING</v>
      </c>
      <c r="AD142" s="56" t="str">
        <f t="shared" si="56"/>
        <v>0230-10</v>
      </c>
      <c r="AE142" s="85" t="str">
        <f t="shared" si="57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142" s="82" t="str">
        <f t="shared" si="58"/>
        <v>"C:\Program Files (x86)\AstroGrep\AstroGrep.exe" /spath="%USERPROFILE%\AppData\Local\Temp\OnboardLogs" /stypes="app*4037*20170211*" /stext=" 05:.+((SYSTEM_STATE.+slice.+state.+changed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86" t="str">
        <f t="shared" si="60"/>
        <v>"%USERPROFILE%\Documents\GitHub\eaglep3\Utilities\RefineRTDCRunTimes.py" --tripid 230-10 --locoid 4037 --swversion DE.1.0.8.0 --startMP 204:232991 --initTime 2017-02-10T21:46:02 --startdatetime 2017-02-10T21:56:15 --delay 1 --endMP 204:145 --enddatetime 2017-02-10T22:36:05 --enforcementcount 0 &gt;&gt;C:\Users\stu\Documents\GitHub\eaglep3-reporting\EC\2017-02-10-refined-times.txt</v>
      </c>
      <c r="AI142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{"issue":{"subject":"","project_id":79,"tracker_id":40,"status_id":1,"priority_id":2,"assigned_to_id":23,"start_date":"2017-02-10","description":"","custom_fields":[{"id":1,"name":"Subdivision","value":"EC"},{"id":4,"name":"Milepost","value":"0.0145"},{"id":17,"name":"Train ID","value":"230-10"},{"id":16,"name":"Locomotive ID","value":"4037"},{"id":130,"name":"Impact","value":""},{"id":150,"name":"Time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2"/>
        <v>start /low /b %USERPROFILE%\Documents\GitHub\eaglep3\Utilities\DownloadLogsFromS3.py --loco 4037 --day 2017-02-10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"%USERPROFILE%\AppData\Local\Temp\OnboardLogs"\RTDC4037\*4037*20170211* | grep -SE "(Enforcement Action)|(\[TIMEOUT)|(CHR.+\|PRM\|1\|D.+(SWITCH|SIGNAL).+UNKNOWN)" - &gt;&gt; 2017-02-10-UncaughtWiMAX.txt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741</v>
      </c>
      <c r="B143" s="7">
        <v>4009</v>
      </c>
      <c r="C143" s="21" t="s">
        <v>193</v>
      </c>
      <c r="D143" s="21" t="s">
        <v>270</v>
      </c>
      <c r="E143" s="13">
        <v>42776.888993055552</v>
      </c>
      <c r="F143" s="13">
        <v>42776.895983796298</v>
      </c>
      <c r="G143" s="7">
        <v>1</v>
      </c>
      <c r="H143" s="21" t="s">
        <v>825</v>
      </c>
      <c r="I143" s="13">
        <v>42776.921238425923</v>
      </c>
      <c r="J143" s="7">
        <v>0</v>
      </c>
      <c r="K143" s="98" t="str">
        <f t="shared" si="48"/>
        <v>4009/4010</v>
      </c>
      <c r="L143" s="21" t="str">
        <f>VLOOKUP(A143,'Trips&amp;Operators'!$C$1:$G$99999,5,FALSE)</f>
        <v>STORY SAMANTHA</v>
      </c>
      <c r="M143" s="6">
        <f t="shared" si="49"/>
        <v>2.5254629625123926E-2</v>
      </c>
      <c r="N143" s="7">
        <f t="shared" si="47"/>
        <v>36.366666660178453</v>
      </c>
      <c r="O143" s="7"/>
      <c r="P143" s="7"/>
      <c r="Q143" s="22"/>
      <c r="R143" s="22"/>
      <c r="S143" s="31">
        <f t="shared" si="50"/>
        <v>1</v>
      </c>
      <c r="T143" s="46" t="str">
        <f t="shared" si="51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52"/>
        <v>https://d0f6bd738d7f1b3e5a7ca70fe4ff75f0.us-east-1.aws.found.io/app/kibana#/discover/Steve-Slow-Train-Analysis-(2080s-and-2083s)?_g=(refreshInterval:(display:Off,pause:!f,section:0,value:0),time:(from:'2017-02-10T20:20:09-0700',mode:absolute,to:'2017-02-10T23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188" t="str">
        <f t="shared" si="45"/>
        <v>N</v>
      </c>
      <c r="X143" s="188">
        <f t="shared" si="46"/>
        <v>1</v>
      </c>
      <c r="Y143" s="62">
        <f t="shared" si="53"/>
        <v>4.7100000000000003E-2</v>
      </c>
      <c r="Z143" s="62">
        <f t="shared" si="54"/>
        <v>23.334399999999999</v>
      </c>
      <c r="AA143" s="62">
        <f t="shared" si="55"/>
        <v>23.287299999999998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 t="shared" si="56"/>
        <v>0231-10</v>
      </c>
      <c r="AE143" s="85" t="str">
        <f t="shared" si="57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143" s="82" t="str">
        <f t="shared" si="58"/>
        <v>"C:\Program Files (x86)\AstroGrep\AstroGrep.exe" /spath="%USERPROFILE%\AppData\Local\Temp\OnboardLogs" /stypes="app*4009*20170211*" /stext=" 05:.+((SYSTEM_STATE.+slice.+state.+changed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86" t="str">
        <f t="shared" si="60"/>
        <v>"%USERPROFILE%\Documents\GitHub\eaglep3\Utilities\RefineRTDCRunTimes.py" --tripid 231-10 --locoid 4009 --swversion DE.1.0.8.0 --startMP 204:471 --initTime 2017-02-10T21:20:09 --startdatetime 2017-02-10T21:30:13 --delay 1 --endMP 204:233344 --enddatetime 2017-02-10T22:06:35 --enforcementcount 0 &gt;&gt;C:\Users\stu\Documents\GitHub\eaglep3-reporting\EC\2017-02-10-refined-times.txt</v>
      </c>
      <c r="AI143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{"issue":{"subject":"","project_id":79,"tracker_id":40,"status_id":1,"priority_id":2,"assigned_to_id":23,"start_date":"2017-02-10","description":"","custom_fields":[{"id":1,"name":"Subdivision","value":"EC"},{"id":4,"name":"Milepost","value":"23.3344"},{"id":17,"name":"Train ID","value":"231-10"},{"id":16,"name":"Locomotive ID","value":"4009"},{"id":130,"name":"Impact","value":""},{"id":150,"name":"Time of Event (Mountain Time)","value":"22:06:35"},{"id":151,"name":"Denver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2"/>
        <v>start /low /b %USERPROFILE%\Documents\GitHub\eaglep3\Utilities\DownloadLogsFromS3.py --loco 4009 --day 2017-02-10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2017-02-10-UncaughtWiMAX.txt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746</v>
      </c>
      <c r="B144" s="7">
        <v>4010</v>
      </c>
      <c r="C144" s="21" t="s">
        <v>193</v>
      </c>
      <c r="D144" s="21" t="s">
        <v>826</v>
      </c>
      <c r="E144" s="13">
        <v>42776.931655092594</v>
      </c>
      <c r="F144" s="13">
        <v>42776.935219907406</v>
      </c>
      <c r="G144" s="7">
        <v>1</v>
      </c>
      <c r="H144" s="21" t="s">
        <v>208</v>
      </c>
      <c r="I144" s="13">
        <v>42776.962314814817</v>
      </c>
      <c r="J144" s="7">
        <v>0</v>
      </c>
      <c r="K144" s="98" t="str">
        <f t="shared" si="48"/>
        <v>4009/4010</v>
      </c>
      <c r="L144" s="21" t="str">
        <f>VLOOKUP(A144,'Trips&amp;Operators'!$C$1:$G$99999,5,FALSE)</f>
        <v>STORY SAMANTHA</v>
      </c>
      <c r="M144" s="6">
        <f t="shared" si="49"/>
        <v>2.7094907411083113E-2</v>
      </c>
      <c r="N144" s="7">
        <f t="shared" si="47"/>
        <v>39.016666671959683</v>
      </c>
      <c r="O144" s="7"/>
      <c r="P144" s="7"/>
      <c r="Q144" s="22"/>
      <c r="R144" s="22"/>
      <c r="S144" s="31">
        <f t="shared" si="50"/>
        <v>1</v>
      </c>
      <c r="T144" s="46" t="str">
        <f t="shared" si="51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52"/>
        <v>https://d0f6bd738d7f1b3e5a7ca70fe4ff75f0.us-east-1.aws.found.io/app/kibana#/discover/Steve-Slow-Train-Analysis-(2080s-and-2083s)?_g=(refreshInterval:(display:Off,pause:!f,section:0,value:0),time:(from:'2017-02-10T21:21:35-0700',mode:absolute,to:'2017-02-11T00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188" t="str">
        <f t="shared" si="45"/>
        <v>N</v>
      </c>
      <c r="X144" s="188">
        <f t="shared" si="46"/>
        <v>1</v>
      </c>
      <c r="Y144" s="62">
        <f t="shared" si="53"/>
        <v>23.3064</v>
      </c>
      <c r="Z144" s="62">
        <f t="shared" si="54"/>
        <v>1.52E-2</v>
      </c>
      <c r="AA144" s="62">
        <f t="shared" si="55"/>
        <v>23.2912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 t="shared" si="56"/>
        <v>0232-10</v>
      </c>
      <c r="AE144" s="85" t="str">
        <f t="shared" si="57"/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AF144" s="82" t="str">
        <f t="shared" si="58"/>
        <v>"C:\Program Files (x86)\AstroGrep\AstroGrep.exe" /spath="%USERPROFILE%\AppData\Local\Temp\OnboardLogs" /stypes="app*4010*20170211*" /stext=" 06:.+((SYSTEM_STATE.+slice.+state.+changed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86" t="str">
        <f t="shared" si="60"/>
        <v>"%USERPROFILE%\Documents\GitHub\eaglep3\Utilities\RefineRTDCRunTimes.py" --tripid 232-10 --locoid 4010 --swversion DE.1.0.8.0 --startMP 204:233064 --initTime 2017-02-10T22:21:35 --startdatetime 2017-02-10T22:26:43 --delay 1 --endMP 204:152 --enddatetime 2017-02-10T23:05:44 --enforcementcount 0 &gt;&gt;C:\Users\stu\Documents\GitHub\eaglep3-reporting\EC\2017-02-10-refined-times.txt</v>
      </c>
      <c r="AI144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{"issue":{"subject":"","project_id":79,"tracker_id":40,"status_id":1,"priority_id":2,"assigned_to_id":23,"start_date":"2017-02-10","description":"","custom_fields":[{"id":1,"name":"Subdivision","value":"EC"},{"id":4,"name":"Milepost","value":"0.0152"},{"id":17,"name":"Train ID","value":"232-10"},{"id":16,"name":"Locomotive ID","value":"4010"},{"id":130,"name":"Impact","value":""},{"id":150,"name":"Time of Event (Mountain Time)","value":"23:05:44"},{"id":151,"name":"Denver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2"/>
        <v>start /low /b %USERPROFILE%\Documents\GitHub\eaglep3\Utilities\DownloadLogsFromS3.py --loco 4010 --day 2017-02-10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743</v>
      </c>
      <c r="B145" s="7">
        <v>4018</v>
      </c>
      <c r="C145" s="21" t="s">
        <v>193</v>
      </c>
      <c r="D145" s="21" t="s">
        <v>238</v>
      </c>
      <c r="E145" s="13">
        <v>42776.908136574071</v>
      </c>
      <c r="F145" s="13">
        <v>42776.917118055557</v>
      </c>
      <c r="G145" s="7">
        <v>1</v>
      </c>
      <c r="H145" s="21" t="s">
        <v>827</v>
      </c>
      <c r="I145" s="13">
        <v>42776.942303240743</v>
      </c>
      <c r="J145" s="7">
        <v>0</v>
      </c>
      <c r="K145" s="98" t="str">
        <f t="shared" si="48"/>
        <v>4017/4018</v>
      </c>
      <c r="L145" s="21" t="str">
        <f>VLOOKUP(A145,'Trips&amp;Operators'!$C$1:$G$99999,5,FALSE)</f>
        <v>WHITED DUSTIN</v>
      </c>
      <c r="M145" s="6">
        <f t="shared" si="49"/>
        <v>2.5185185186273884E-2</v>
      </c>
      <c r="N145" s="7">
        <f t="shared" si="47"/>
        <v>36.266666668234393</v>
      </c>
      <c r="O145" s="7"/>
      <c r="P145" s="7"/>
      <c r="Q145" s="22"/>
      <c r="R145" s="22"/>
      <c r="S145" s="31">
        <f t="shared" si="50"/>
        <v>1</v>
      </c>
      <c r="T145" s="46" t="str">
        <f t="shared" si="51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52"/>
        <v>https://d0f6bd738d7f1b3e5a7ca70fe4ff75f0.us-east-1.aws.found.io/app/kibana#/discover/Steve-Slow-Train-Analysis-(2080s-and-2083s)?_g=(refreshInterval:(display:Off,pause:!f,section:0,value:0),time:(from:'2017-02-10T20:47:43-0700',mode:absolute,to:'2017-02-10T23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88" t="str">
        <f t="shared" si="45"/>
        <v>N</v>
      </c>
      <c r="X145" s="188">
        <f t="shared" si="46"/>
        <v>1</v>
      </c>
      <c r="Y145" s="62">
        <f t="shared" si="53"/>
        <v>4.5999999999999999E-2</v>
      </c>
      <c r="Z145" s="62">
        <f t="shared" si="54"/>
        <v>23.334199999999999</v>
      </c>
      <c r="AA145" s="62">
        <f t="shared" si="55"/>
        <v>23.2882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 t="shared" si="56"/>
        <v>0233-10</v>
      </c>
      <c r="AE145" s="85" t="str">
        <f t="shared" si="57"/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AF145" s="82" t="str">
        <f t="shared" si="58"/>
        <v>"C:\Program Files (x86)\AstroGrep\AstroGrep.exe" /spath="%USERPROFILE%\AppData\Local\Temp\OnboardLogs" /stypes="app*4018*20170211*" /stext=" 05:.+((SYSTEM_STATE.+slice.+state.+changed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86" t="str">
        <f t="shared" si="60"/>
        <v>"%USERPROFILE%\Documents\GitHub\eaglep3\Utilities\RefineRTDCRunTimes.py" --tripid 233-10 --locoid 4018 --swversion DE.1.0.8.0 --startMP 204:460 --initTime 2017-02-10T21:47:43 --startdatetime 2017-02-10T22:00:39 --delay 1 --endMP 204:233342 --enddatetime 2017-02-10T22:36:55 --enforcementcount 0 &gt;&gt;C:\Users\stu\Documents\GitHub\eaglep3-reporting\EC\2017-02-10-refined-times.txt</v>
      </c>
      <c r="AI145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{"issue":{"subject":"","project_id":79,"tracker_id":40,"status_id":1,"priority_id":2,"assigned_to_id":23,"start_date":"2017-02-10","description":"","custom_fields":[{"id":1,"name":"Subdivision","value":"EC"},{"id":4,"name":"Milepost","value":"23.3342"},{"id":17,"name":"Train ID","value":"233-10"},{"id":16,"name":"Locomotive ID","value":"4018"},{"id":130,"name":"Impact","value":""},{"id":150,"name":"Time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2"/>
        <v>start /low /b %USERPROFILE%\Documents\GitHub\eaglep3\Utilities\DownloadLogsFromS3.py --loco 4018 --day 2017-02-10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"%USERPROFILE%\AppData\Local\Temp\OnboardLogs"\RTDC4018\*4018*20170211* | grep -SE "(Enforcement Action)|(\[TIMEOUT)|(CHR.+\|PRM\|1\|D.+(SWITCH|SIGNAL).+UNKNOWN)" - &gt;&gt; 2017-02-10-UncaughtWiMAX.txt</v>
      </c>
    </row>
    <row r="146" spans="1:91" s="20" customFormat="1" x14ac:dyDescent="0.25">
      <c r="A146" s="33" t="s">
        <v>748</v>
      </c>
      <c r="B146" s="7">
        <v>4017</v>
      </c>
      <c r="C146" s="21" t="s">
        <v>193</v>
      </c>
      <c r="D146" s="21" t="s">
        <v>505</v>
      </c>
      <c r="E146" s="13">
        <v>42776.944513888891</v>
      </c>
      <c r="F146" s="13">
        <v>42776.955787037034</v>
      </c>
      <c r="G146" s="7">
        <v>1</v>
      </c>
      <c r="H146" s="21" t="s">
        <v>195</v>
      </c>
      <c r="I146" s="13">
        <v>42776.98228009259</v>
      </c>
      <c r="J146" s="7">
        <v>0</v>
      </c>
      <c r="K146" s="98" t="str">
        <f t="shared" si="48"/>
        <v>4017/4018</v>
      </c>
      <c r="L146" s="21" t="str">
        <f>VLOOKUP(A146,'Trips&amp;Operators'!$C$1:$G$99999,5,FALSE)</f>
        <v>WHITED DUSTIN</v>
      </c>
      <c r="M146" s="6">
        <f t="shared" si="49"/>
        <v>2.6493055556784384E-2</v>
      </c>
      <c r="N146" s="7">
        <f t="shared" si="47"/>
        <v>38.150000001769513</v>
      </c>
      <c r="O146" s="7"/>
      <c r="P146" s="7"/>
      <c r="Q146" s="22"/>
      <c r="R146" s="22"/>
      <c r="S146" s="31">
        <f t="shared" si="50"/>
        <v>1</v>
      </c>
      <c r="T146" s="46" t="str">
        <f t="shared" si="51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52"/>
        <v>https://d0f6bd738d7f1b3e5a7ca70fe4ff75f0.us-east-1.aws.found.io/app/kibana#/discover/Steve-Slow-Train-Analysis-(2080s-and-2083s)?_g=(refreshInterval:(display:Off,pause:!f,section:0,value:0),time:(from:'2017-02-10T21:40:06-0700',mode:absolute,to:'2017-02-11T00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88" t="str">
        <f t="shared" si="45"/>
        <v>N</v>
      </c>
      <c r="X146" s="188">
        <f t="shared" si="46"/>
        <v>1</v>
      </c>
      <c r="Y146" s="62">
        <f t="shared" si="53"/>
        <v>23.3019</v>
      </c>
      <c r="Z146" s="62">
        <f t="shared" si="54"/>
        <v>1.4999999999999999E-2</v>
      </c>
      <c r="AA146" s="62">
        <f t="shared" si="55"/>
        <v>23.286899999999999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 t="shared" si="56"/>
        <v>0234-10</v>
      </c>
      <c r="AE146" s="85" t="str">
        <f t="shared" si="57"/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AF146" s="82" t="str">
        <f t="shared" si="58"/>
        <v>"C:\Program Files (x86)\AstroGrep\AstroGrep.exe" /spath="%USERPROFILE%\AppData\Local\Temp\OnboardLogs" /stypes="app*4017*20170211*" /stext=" 06:.+((SYSTEM_STATE.+slice.+state.+changed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86" t="str">
        <f t="shared" si="60"/>
        <v>"%USERPROFILE%\Documents\GitHub\eaglep3\Utilities\RefineRTDCRunTimes.py" --tripid 234-10 --locoid 4017 --swversion DE.1.0.8.0 --startMP 204:233019 --initTime 2017-02-10T22:40:06 --startdatetime 2017-02-10T22:56:20 --delay 1 --endMP 204:150 --enddatetime 2017-02-10T23:34:29 --enforcementcount 0 &gt;&gt;C:\Users\stu\Documents\GitHub\eaglep3-reporting\EC\2017-02-10-refined-times.txt</v>
      </c>
      <c r="AI146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{"issue":{"subject":"","project_id":79,"tracker_id":40,"status_id":1,"priority_id":2,"assigned_to_id":23,"start_date":"2017-02-10","description":"","custom_fields":[{"id":1,"name":"Subdivision","value":"EC"},{"id":4,"name":"Milepost","value":"0.015"},{"id":17,"name":"Train ID","value":"234-10"},{"id":16,"name":"Locomotive ID","value":"4017"},{"id":130,"name":"Impact","value":""},{"id":150,"name":"Time of Event (Mountain Time)","value":"23:34:29"},{"id":151,"name":"Denver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2"/>
        <v>start /low /b %USERPROFILE%\Documents\GitHub\eaglep3\Utilities\DownloadLogsFromS3.py --loco 4017 --day 2017-02-10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"%USERPROFILE%\AppData\Local\Temp\OnboardLogs"\RTDC4017\*4017*20170211* | grep -SE "(Enforcement Action)|(\[TIMEOUT)|(CHR.+\|PRM\|1\|D.+(SWITCH|SIGNAL).+UNKNOWN)" - &gt;&gt; 2017-02-10-UncaughtWiMAX.txt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745</v>
      </c>
      <c r="B147" s="7">
        <v>4046</v>
      </c>
      <c r="C147" s="21" t="s">
        <v>193</v>
      </c>
      <c r="D147" s="21" t="s">
        <v>828</v>
      </c>
      <c r="E147" s="13">
        <v>42776.921041666668</v>
      </c>
      <c r="F147" s="13">
        <v>42776.937951388885</v>
      </c>
      <c r="G147" s="7">
        <v>1</v>
      </c>
      <c r="H147" s="21" t="s">
        <v>829</v>
      </c>
      <c r="I147" s="13">
        <v>42776.963321759256</v>
      </c>
      <c r="J147" s="7">
        <v>0</v>
      </c>
      <c r="K147" s="98" t="str">
        <f t="shared" si="48"/>
        <v>4045/4046</v>
      </c>
      <c r="L147" s="21" t="str">
        <f>VLOOKUP(A147,'Trips&amp;Operators'!$C$1:$G$99999,5,FALSE)</f>
        <v>HILLS DUSTIN</v>
      </c>
      <c r="M147" s="6">
        <f t="shared" si="49"/>
        <v>2.5370370371092577E-2</v>
      </c>
      <c r="N147" s="7">
        <f t="shared" si="47"/>
        <v>36.53333333437331</v>
      </c>
      <c r="O147" s="7"/>
      <c r="P147" s="7"/>
      <c r="Q147" s="22"/>
      <c r="R147" s="22"/>
      <c r="S147" s="31">
        <f t="shared" si="50"/>
        <v>1</v>
      </c>
      <c r="T147" s="46" t="str">
        <f t="shared" si="51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52"/>
        <v>https://d0f6bd738d7f1b3e5a7ca70fe4ff75f0.us-east-1.aws.found.io/app/kibana#/discover/Steve-Slow-Train-Analysis-(2080s-and-2083s)?_g=(refreshInterval:(display:Off,pause:!f,section:0,value:0),time:(from:'2017-02-10T21:06:18-0700',mode:absolute,to:'2017-02-11T00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188" t="str">
        <f t="shared" si="45"/>
        <v>N</v>
      </c>
      <c r="X147" s="188">
        <f t="shared" si="46"/>
        <v>1</v>
      </c>
      <c r="Y147" s="62">
        <f t="shared" si="53"/>
        <v>3.85E-2</v>
      </c>
      <c r="Z147" s="62">
        <f t="shared" si="54"/>
        <v>23.339099999999998</v>
      </c>
      <c r="AA147" s="62">
        <f t="shared" si="55"/>
        <v>23.300599999999999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 t="shared" si="56"/>
        <v>0235-10</v>
      </c>
      <c r="AE147" s="85" t="str">
        <f t="shared" si="57"/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AF147" s="82" t="str">
        <f t="shared" si="58"/>
        <v>"C:\Program Files (x86)\AstroGrep\AstroGrep.exe" /spath="%USERPROFILE%\AppData\Local\Temp\OnboardLogs" /stypes="app*4046*20170211*" /stext=" 06:.+((SYSTEM_STATE.+slice.+state.+changed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86" t="str">
        <f t="shared" si="60"/>
        <v>"%USERPROFILE%\Documents\GitHub\eaglep3\Utilities\RefineRTDCRunTimes.py" --tripid 235-10 --locoid 4046 --swversion DE.1.0.8.0 --startMP 204:385 --initTime 2017-02-10T22:06:18 --startdatetime 2017-02-10T22:30:39 --delay 1 --endMP 204:233391 --enddatetime 2017-02-10T23:07:11 --enforcementcount 0 &gt;&gt;C:\Users\stu\Documents\GitHub\eaglep3-reporting\EC\2017-02-10-refined-times.txt</v>
      </c>
      <c r="AI147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{"issue":{"subject":"","project_id":79,"tracker_id":40,"status_id":1,"priority_id":2,"assigned_to_id":23,"start_date":"2017-02-10","description":"","custom_fields":[{"id":1,"name":"Subdivision","value":"EC"},{"id":4,"name":"Milepost","value":"23.3391"},{"id":17,"name":"Train ID","value":"235-10"},{"id":16,"name":"Locomotive ID","value":"4046"},{"id":130,"name":"Impact","value":""},{"id":150,"name":"Time of Event (Mountain Time)","value":"23:07:11"},{"id":151,"name":"Denver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2"/>
        <v>start /low /b %USERPROFILE%\Documents\GitHub\eaglep3\Utilities\DownloadLogsFromS3.py --loco 4046 --day 2017-02-10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"%USERPROFILE%\AppData\Local\Temp\OnboardLogs"\RTDC4046\*4046*20170211* | grep -SE "(Enforcement Action)|(\[TIMEOUT)|(CHR.+\|PRM\|1\|D.+(SWITCH|SIGNAL).+UNKNOWN)" - &gt;&gt; 2017-02-10-UncaughtWiMAX.txt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751</v>
      </c>
      <c r="B148" s="7">
        <v>4045</v>
      </c>
      <c r="C148" s="21" t="s">
        <v>193</v>
      </c>
      <c r="D148" s="21" t="s">
        <v>830</v>
      </c>
      <c r="E148" s="13">
        <v>42776.96607638889</v>
      </c>
      <c r="F148" s="13">
        <v>42776.976539351854</v>
      </c>
      <c r="G148" s="7">
        <v>0</v>
      </c>
      <c r="H148" s="21" t="s">
        <v>783</v>
      </c>
      <c r="I148" s="13">
        <v>42777.004444444443</v>
      </c>
      <c r="J148" s="7">
        <v>0</v>
      </c>
      <c r="K148" s="98" t="str">
        <f t="shared" si="48"/>
        <v>4045/4046</v>
      </c>
      <c r="L148" s="21" t="str">
        <f>VLOOKUP(A148,'Trips&amp;Operators'!$C$1:$G$99999,5,FALSE)</f>
        <v>HILLS DUSTIN</v>
      </c>
      <c r="M148" s="6">
        <f t="shared" si="49"/>
        <v>2.7905092589207925E-2</v>
      </c>
      <c r="N148" s="7">
        <f t="shared" si="47"/>
        <v>40.183333328459412</v>
      </c>
      <c r="O148" s="7"/>
      <c r="P148" s="7"/>
      <c r="Q148" s="22"/>
      <c r="R148" s="22"/>
      <c r="S148" s="31">
        <f t="shared" si="50"/>
        <v>1</v>
      </c>
      <c r="T148" s="46" t="str">
        <f t="shared" si="51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52"/>
        <v>https://d0f6bd738d7f1b3e5a7ca70fe4ff75f0.us-east-1.aws.found.io/app/kibana#/discover/Steve-Slow-Train-Analysis-(2080s-and-2083s)?_g=(refreshInterval:(display:Off,pause:!f,section:0,value:0),time:(from:'2017-02-10T22:11:09-0700',mode:absolute,to:'2017-02-11T01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188" t="str">
        <f t="shared" si="45"/>
        <v>N</v>
      </c>
      <c r="X148" s="188">
        <f t="shared" si="46"/>
        <v>1</v>
      </c>
      <c r="Y148" s="62">
        <f t="shared" si="53"/>
        <v>23.310199999999998</v>
      </c>
      <c r="Z148" s="62">
        <f t="shared" si="54"/>
        <v>1.38E-2</v>
      </c>
      <c r="AA148" s="62">
        <f t="shared" si="55"/>
        <v>23.296399999999998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 t="shared" si="56"/>
        <v>0236-10</v>
      </c>
      <c r="AE148" s="85" t="str">
        <f t="shared" si="57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148" s="82" t="str">
        <f t="shared" si="58"/>
        <v>"C:\Program Files (x86)\AstroGrep\AstroGrep.exe" /spath="%USERPROFILE%\AppData\Local\Temp\OnboardLogs" /stypes="app*4045*20170211*" /stext=" 07:.+((SYSTEM_STATE.+slice.+state.+changed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86" t="str">
        <f t="shared" si="60"/>
        <v>"%USERPROFILE%\Documents\GitHub\eaglep3\Utilities\RefineRTDCRunTimes.py" --tripid 236-10 --locoid 4045 --swversion DE.1.0.8.0 --startMP 204:233102 --initTime 2017-02-10T23:11:09 --startdatetime 2017-02-10T23:26:13 --delay 0 --endMP 204:138 --enddatetime 2017-02-11T00:06:24 --enforcementcount 0 &gt;&gt;C:\Users\stu\Documents\GitHub\eaglep3-reporting\EC\2017-02-10-refined-times.txt</v>
      </c>
      <c r="AI148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{"issue":{"subject":"","project_id":79,"tracker_id":40,"status_id":1,"priority_id":2,"assigned_to_id":23,"start_date":"2017-02-11","description":"","custom_fields":[{"id":1,"name":"Subdivision","value":"EC"},{"id":4,"name":"Milepost","value":"0.0138"},{"id":17,"name":"Train ID","value":"236-10"},{"id":16,"name":"Locomotive ID","value":"4045"},{"id":130,"name":"Impact","value":""},{"id":150,"name":"Time of Event (Mountain Time)","value":"00:06:24"},{"id":151,"name":"Denver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2"/>
        <v>start /low /b %USERPROFILE%\Documents\GitHub\eaglep3\Utilities\DownloadLogsFromS3.py --loco 4045 --day 2017-02-10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"%USERPROFILE%\AppData\Local\Temp\OnboardLogs"\RTDC4045\*4045*20170211* | grep -SE "(Enforcement Action)|(\[TIMEOUT)|(CHR.+\|PRM\|1\|D.+(SWITCH|SIGNAL).+UNKNOWN)" - &gt;&gt; 2017-02-10-UncaughtWiMAX.txt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749</v>
      </c>
      <c r="B149" s="7">
        <v>4038</v>
      </c>
      <c r="C149" s="21" t="s">
        <v>193</v>
      </c>
      <c r="D149" s="21" t="s">
        <v>465</v>
      </c>
      <c r="E149" s="13">
        <v>42776.954085648147</v>
      </c>
      <c r="F149" s="13">
        <v>42776.958506944444</v>
      </c>
      <c r="G149" s="7">
        <v>1</v>
      </c>
      <c r="H149" s="21" t="s">
        <v>463</v>
      </c>
      <c r="I149" s="13">
        <v>42776.984803240739</v>
      </c>
      <c r="J149" s="7">
        <v>0</v>
      </c>
      <c r="K149" s="98" t="str">
        <f t="shared" si="48"/>
        <v>4037/4038</v>
      </c>
      <c r="L149" s="21" t="str">
        <f>VLOOKUP(A149,'Trips&amp;Operators'!$C$1:$G$99999,5,FALSE)</f>
        <v>BROWN JACOB</v>
      </c>
      <c r="M149" s="6">
        <f t="shared" si="49"/>
        <v>2.6296296295186039E-2</v>
      </c>
      <c r="N149" s="7">
        <f t="shared" si="47"/>
        <v>37.866666665067896</v>
      </c>
      <c r="O149" s="7"/>
      <c r="P149" s="7"/>
      <c r="Q149" s="22"/>
      <c r="R149" s="22"/>
      <c r="S149" s="31">
        <f t="shared" si="50"/>
        <v>1</v>
      </c>
      <c r="T149" s="46" t="str">
        <f t="shared" si="51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52"/>
        <v>https://d0f6bd738d7f1b3e5a7ca70fe4ff75f0.us-east-1.aws.found.io/app/kibana#/discover/Steve-Slow-Train-Analysis-(2080s-and-2083s)?_g=(refreshInterval:(display:Off,pause:!f,section:0,value:0),time:(from:'2017-02-10T21:53:53-0700',mode:absolute,to:'2017-02-11T00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49" s="188" t="str">
        <f t="shared" ref="W149:W180" si="63">IF(AA149&lt;IF(AG149="EC",23,5.65),"Y","N")</f>
        <v>N</v>
      </c>
      <c r="X149" s="188">
        <f t="shared" ref="X149:X180" si="64">VALUE(LEFT(AD149,4))-VALUE(LEFT(AD148,4))</f>
        <v>1</v>
      </c>
      <c r="Y149" s="62">
        <f t="shared" si="53"/>
        <v>4.7500000000000001E-2</v>
      </c>
      <c r="Z149" s="62">
        <f t="shared" si="54"/>
        <v>23.332899999999999</v>
      </c>
      <c r="AA149" s="62">
        <f t="shared" si="55"/>
        <v>23.285399999999999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 t="shared" si="56"/>
        <v>0237-10</v>
      </c>
      <c r="AE149" s="85" t="str">
        <f t="shared" si="57"/>
        <v>aws s3 cp s3://rtdc.mdm.uploadarchive.raw/RTDC4038/ "%USERPROFILE%\AppData\Local\Temp\OnboardLogs"\RTDC4038\2017-02-10 --exclude "*" --recursive --include "*20170210*" &amp; "%USERPROFILE%\Documents\GitHub\mrs-test-scripts\Headless Mode &amp; Sideloading\WalkAndUnGZ.bat" "%USERPROFILE%\AppData\Local\Temp\OnboardLogs"\RTDC4038\2017-02-10 &amp; 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</v>
      </c>
      <c r="AF149" s="82" t="str">
        <f t="shared" si="58"/>
        <v>"C:\Program Files (x86)\AstroGrep\AstroGrep.exe" /spath="%USERPROFILE%\AppData\Local\Temp\OnboardLogs" /stypes="app*4038*20170211*" /stext=" 06:.+((SYSTEM_STATE.+slice.+state.+changed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86" t="str">
        <f t="shared" si="60"/>
        <v>"%USERPROFILE%\Documents\GitHub\eaglep3\Utilities\RefineRTDCRunTimes.py" --tripid 237-10 --locoid 4038 --swversion DE.1.0.8.0 --startMP 204:475 --initTime 2017-02-10T22:53:53 --startdatetime 2017-02-10T23:00:15 --delay 1 --endMP 204:233329 --enddatetime 2017-02-10T23:38:07 --enforcementcount 0 &gt;&gt;C:\Users\stu\Documents\GitHub\eaglep3-reporting\EC\2017-02-10-refined-times.txt</v>
      </c>
      <c r="AI149" s="108" t="str">
        <f t="shared" si="61"/>
        <v>echo {"issue":{"subject":"","project_id":79,"tracker_id":40,"status_id":1,"priority_id":2,"assigned_to_id":23,"start_date":"2017-02-10","description":"","custom_fields":[{"id":1,"name":"Subdivision","value":"EC"},{"id":4,"name":"Milepost","value":"23.3329"},{"id":17,"name":"Train ID","value":"237-10"},{"id":16,"name":"Locomotive ID","value":"4038"},{"id":130,"name":"Impact","value":""},{"id":150,"name":"Time of Event (Mountain Time)","value":"23:38:07"},{"id":151,"name":"Denver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2"/>
        <v>start /low /b %USERPROFILE%\Documents\GitHub\eaglep3\Utilities\DownloadLogsFromS3.py --loco 4038 --day 2017-02-10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"%USERPROFILE%\AppData\Local\Temp\OnboardLogs"\RTDC4038\*4038*20170211* | grep -SE "(Enforcement Action)|(\[TIMEOUT)|(CHR.+\|PRM\|1\|D.+(SWITCH|SIGNAL).+UNKNOWN)" - &gt;&gt; 2017-02-10-UncaughtWiMAX.txt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753</v>
      </c>
      <c r="B150" s="7">
        <v>4037</v>
      </c>
      <c r="C150" s="21" t="s">
        <v>193</v>
      </c>
      <c r="D150" s="21" t="s">
        <v>466</v>
      </c>
      <c r="E150" s="13">
        <v>42776.993379629632</v>
      </c>
      <c r="F150" s="13">
        <v>42776.997476851851</v>
      </c>
      <c r="G150" s="7">
        <v>1</v>
      </c>
      <c r="H150" s="21" t="s">
        <v>208</v>
      </c>
      <c r="I150" s="13">
        <v>42777.024537037039</v>
      </c>
      <c r="J150" s="7">
        <v>0</v>
      </c>
      <c r="K150" s="98" t="str">
        <f t="shared" si="48"/>
        <v>4037/4038</v>
      </c>
      <c r="L150" s="21" t="str">
        <f>VLOOKUP(A150,'Trips&amp;Operators'!$C$1:$G$99999,5,FALSE)</f>
        <v>BROWN JACOB</v>
      </c>
      <c r="M150" s="6">
        <f t="shared" si="49"/>
        <v>2.7060185188020114E-2</v>
      </c>
      <c r="N150" s="7">
        <f t="shared" si="47"/>
        <v>38.966666670748964</v>
      </c>
      <c r="O150" s="7"/>
      <c r="P150" s="7"/>
      <c r="Q150" s="22"/>
      <c r="R150" s="22"/>
      <c r="S150" s="31">
        <f t="shared" si="50"/>
        <v>1</v>
      </c>
      <c r="T150" s="46" t="str">
        <f t="shared" si="51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52"/>
        <v>https://d0f6bd738d7f1b3e5a7ca70fe4ff75f0.us-east-1.aws.found.io/app/kibana#/discover/Steve-Slow-Train-Analysis-(2080s-and-2083s)?_g=(refreshInterval:(display:Off,pause:!f,section:0,value:0),time:(from:'2017-02-10T22:50:28-0700',mode:absolute,to:'2017-02-11T01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50" s="188" t="str">
        <f t="shared" si="63"/>
        <v>N</v>
      </c>
      <c r="X150" s="188">
        <f t="shared" si="64"/>
        <v>1</v>
      </c>
      <c r="Y150" s="62">
        <f t="shared" si="53"/>
        <v>23.3</v>
      </c>
      <c r="Z150" s="62">
        <f t="shared" si="54"/>
        <v>1.52E-2</v>
      </c>
      <c r="AA150" s="62">
        <f t="shared" si="55"/>
        <v>23.284800000000001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 t="shared" si="56"/>
        <v>0238-10</v>
      </c>
      <c r="AE150" s="85" t="str">
        <f t="shared" si="57"/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AF150" s="82" t="str">
        <f t="shared" si="58"/>
        <v>"C:\Program Files (x86)\AstroGrep\AstroGrep.exe" /spath="%USERPROFILE%\AppData\Local\Temp\OnboardLogs" /stypes="app*4037*20170211*" /stext=" 07:.+((SYSTEM_STATE.+slice.+state.+changed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86" t="str">
        <f t="shared" si="60"/>
        <v>"%USERPROFILE%\Documents\GitHub\eaglep3\Utilities\RefineRTDCRunTimes.py" --tripid 238-10 --locoid 4037 --swversion DE.1.0.8.0 --startMP 204:233000 --initTime 2017-02-10T23:50:28 --startdatetime 2017-02-10T23:56:22 --delay 1 --endMP 204:152 --enddatetime 2017-02-11T00:35:20 --enforcementcount 0 &gt;&gt;C:\Users\stu\Documents\GitHub\eaglep3-reporting\EC\2017-02-10-refined-times.txt</v>
      </c>
      <c r="AI150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{"issue":{"subject":"","project_id":79,"tracker_id":40,"status_id":1,"priority_id":2,"assigned_to_id":23,"start_date":"2017-02-11","description":"","custom_fields":[{"id":1,"name":"Subdivision","value":"EC"},{"id":4,"name":"Milepost","value":"0.0152"},{"id":17,"name":"Train ID","value":"238-10"},{"id":16,"name":"Locomotive ID","value":"4037"},{"id":130,"name":"Impact","value":""},{"id":150,"name":"Time of Event (Mountain Time)","value":"00:35:20"},{"id":151,"name":"Denver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2"/>
        <v>start /low /b %USERPROFILE%\Documents\GitHub\eaglep3\Utilities\DownloadLogsFromS3.py --loco 4037 --day 2017-02-10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"%USERPROFILE%\AppData\Local\Temp\OnboardLogs"\RTDC4037\*4037*20170211* | grep -SE "(Enforcement Action)|(\[TIMEOUT)|(CHR.+\|PRM\|1\|D.+(SWITCH|SIGNAL).+UNKNOWN)" - &gt;&gt; 2017-02-10-UncaughtWiMAX.txt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750</v>
      </c>
      <c r="B151" s="7">
        <v>4009</v>
      </c>
      <c r="C151" s="21" t="s">
        <v>193</v>
      </c>
      <c r="D151" s="21" t="s">
        <v>353</v>
      </c>
      <c r="E151" s="13">
        <v>42776.963900462964</v>
      </c>
      <c r="F151" s="13">
        <v>42776.979421296295</v>
      </c>
      <c r="G151" s="7">
        <v>3</v>
      </c>
      <c r="H151" s="21" t="s">
        <v>831</v>
      </c>
      <c r="I151" s="13">
        <v>42777.00545138889</v>
      </c>
      <c r="J151" s="7">
        <v>0</v>
      </c>
      <c r="K151" s="98" t="str">
        <f t="shared" si="48"/>
        <v>4009/4010</v>
      </c>
      <c r="L151" s="21" t="str">
        <f>VLOOKUP(A151,'Trips&amp;Operators'!$C$1:$G$99999,5,FALSE)</f>
        <v>STORY SAMANTHA</v>
      </c>
      <c r="M151" s="6">
        <f t="shared" si="49"/>
        <v>2.6030092594737653E-2</v>
      </c>
      <c r="N151" s="7">
        <f t="shared" si="47"/>
        <v>37.48333333642222</v>
      </c>
      <c r="O151" s="7"/>
      <c r="P151" s="7"/>
      <c r="Q151" s="22"/>
      <c r="R151" s="22"/>
      <c r="S151" s="31">
        <f t="shared" si="50"/>
        <v>1</v>
      </c>
      <c r="T151" s="46" t="str">
        <f t="shared" si="51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52"/>
        <v>https://d0f6bd738d7f1b3e5a7ca70fe4ff75f0.us-east-1.aws.found.io/app/kibana#/discover/Steve-Slow-Train-Analysis-(2080s-and-2083s)?_g=(refreshInterval:(display:Off,pause:!f,section:0,value:0),time:(from:'2017-02-10T22:08:01-0700',mode:absolute,to:'2017-02-11T01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188" t="str">
        <f t="shared" si="63"/>
        <v>N</v>
      </c>
      <c r="X151" s="188">
        <f t="shared" si="64"/>
        <v>1</v>
      </c>
      <c r="Y151" s="62">
        <f t="shared" si="53"/>
        <v>4.7300000000000002E-2</v>
      </c>
      <c r="Z151" s="62">
        <f t="shared" si="54"/>
        <v>23.334900000000001</v>
      </c>
      <c r="AA151" s="62">
        <f t="shared" si="55"/>
        <v>23.287600000000001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 t="shared" si="56"/>
        <v>0239-10</v>
      </c>
      <c r="AE151" s="85" t="str">
        <f t="shared" si="57"/>
        <v>aws s3 cp s3://rtdc.mdm.uploadarchive.raw/RTDC4009/ "%USERPROFILE%\AppData\Local\Temp\OnboardLogs"\RTDC4009\2017-02-10 --exclude "*" --recursive --include "*20170210*" &amp; "%USERPROFILE%\Documents\GitHub\mrs-test-scripts\Headless Mode &amp; Sideloading\WalkAndUnGZ.bat" "%USERPROFILE%\AppData\Local\Temp\OnboardLogs"\RTDC4009\2017-02-10 &amp; 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</v>
      </c>
      <c r="AF151" s="82" t="str">
        <f t="shared" si="58"/>
        <v>"C:\Program Files (x86)\AstroGrep\AstroGrep.exe" /spath="%USERPROFILE%\AppData\Local\Temp\OnboardLogs" /stypes="app*4009*20170211*" /stext=" 07:.+((SYSTEM_STATE.+slice.+state.+changed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86" t="str">
        <f t="shared" si="60"/>
        <v>"%USERPROFILE%\Documents\GitHub\eaglep3\Utilities\RefineRTDCRunTimes.py" --tripid 239-10 --locoid 4009 --swversion DE.1.0.8.0 --startMP 204:473 --initTime 2017-02-10T23:08:01 --startdatetime 2017-02-10T23:30:22 --delay 3 --endMP 204:233349 --enddatetime 2017-02-11T00:07:51 --enforcementcount 0 &gt;&gt;C:\Users\stu\Documents\GitHub\eaglep3-reporting\EC\2017-02-10-refined-times.txt</v>
      </c>
      <c r="AI151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{"issue":{"subject":"","project_id":79,"tracker_id":40,"status_id":1,"priority_id":2,"assigned_to_id":23,"start_date":"2017-02-11","description":"","custom_fields":[{"id":1,"name":"Subdivision","value":"EC"},{"id":4,"name":"Milepost","value":"23.3349"},{"id":17,"name":"Train ID","value":"239-10"},{"id":16,"name":"Locomotive ID","value":"4009"},{"id":130,"name":"Impact","value":""},{"id":150,"name":"Time of Event (Mountain Time)","value":"00:07:51"},{"id":151,"name":"Denver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2"/>
        <v>start /low /b %USERPROFILE%\Documents\GitHub\eaglep3\Utilities\DownloadLogsFromS3.py --loco 4009 --day 2017-02-10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2017-02-10-UncaughtWiMAX.txt</v>
      </c>
    </row>
    <row r="152" spans="1:91" s="20" customFormat="1" x14ac:dyDescent="0.25">
      <c r="A152" s="33" t="s">
        <v>754</v>
      </c>
      <c r="B152" s="7">
        <v>4010</v>
      </c>
      <c r="C152" s="21" t="s">
        <v>193</v>
      </c>
      <c r="D152" s="21" t="s">
        <v>353</v>
      </c>
      <c r="E152" s="13">
        <v>42776.963900462964</v>
      </c>
      <c r="F152" s="13">
        <v>42777.01834490741</v>
      </c>
      <c r="G152" s="7">
        <v>3</v>
      </c>
      <c r="H152" s="21" t="s">
        <v>831</v>
      </c>
      <c r="I152" s="13">
        <v>42777.044976851852</v>
      </c>
      <c r="J152" s="7">
        <v>0</v>
      </c>
      <c r="K152" s="98" t="str">
        <f t="shared" si="48"/>
        <v>4009/4010</v>
      </c>
      <c r="L152" s="21" t="str">
        <f>VLOOKUP(A152,'Trips&amp;Operators'!$C$1:$G$99999,5,FALSE)</f>
        <v>STORY SAMANTHA</v>
      </c>
      <c r="M152" s="6">
        <f t="shared" si="49"/>
        <v>2.6631944441760425E-2</v>
      </c>
      <c r="N152" s="7">
        <f t="shared" si="47"/>
        <v>38.349999996135011</v>
      </c>
      <c r="O152" s="7"/>
      <c r="P152" s="7"/>
      <c r="Q152" s="22"/>
      <c r="R152" s="22"/>
      <c r="S152" s="31">
        <f t="shared" si="50"/>
        <v>0</v>
      </c>
      <c r="T152" s="46" t="str">
        <f t="shared" si="51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187" t="str">
        <f t="shared" si="52"/>
        <v>https://d0f6bd738d7f1b3e5a7ca70fe4ff75f0.us-east-1.aws.found.io/app/kibana#/discover/Steve-Slow-Train-Analysis-(2080s-and-2083s)?_g=(refreshInterval:(display:Off,pause:!f,section:0,value:0),time:(from:'2017-02-10T22:08:01-0700',mode:absolute,to:'2017-02-11T02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2" s="188" t="str">
        <f t="shared" si="63"/>
        <v>N</v>
      </c>
      <c r="X152" s="188">
        <f t="shared" si="64"/>
        <v>1</v>
      </c>
      <c r="Y152" s="62">
        <f t="shared" si="53"/>
        <v>4.7300000000000002E-2</v>
      </c>
      <c r="Z152" s="62">
        <f t="shared" si="54"/>
        <v>23.334900000000001</v>
      </c>
      <c r="AA152" s="62">
        <f t="shared" si="55"/>
        <v>23.287600000000001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 t="shared" si="56"/>
        <v>0240-10</v>
      </c>
      <c r="AE152" s="85" t="str">
        <f t="shared" si="57"/>
        <v>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 &amp; aws s3 cp s3://rtdc.mdm.uploadarchive.raw/RTDC4010/ "%USERPROFILE%\AppData\Local\Temp\OnboardLogs"\RTDC4010\2017-02-12 --exclude "*" --recursive --include "*20170212*" &amp; "%USERPROFILE%\Documents\GitHub\mrs-test-scripts\Headless Mode &amp; Sideloading\WalkAndUnGZ.bat" "%USERPROFILE%\AppData\Local\Temp\OnboardLogs"\RTDC4010\2017-02-12</v>
      </c>
      <c r="AF152" s="82" t="str">
        <f t="shared" si="58"/>
        <v>"C:\Program Files (x86)\AstroGrep\AstroGrep.exe" /spath="%USERPROFILE%\AppData\Local\Temp\OnboardLogs" /stypes="app*4010*20170211*" /stext=" 08:.+((SYSTEM_STATE.+slice.+state.+changed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86" t="str">
        <f t="shared" ref="AH152" si="65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240-10 --locoid 4010 --swversion DE.1.0.8.0 --startMP 204:473 --initTime 2017-02-10T23:08:01 --startdatetime 2017-02-11T00:26:25 --delay 3 --endMP 204:233349 --enddatetime 2017-02-11T01:04:46 --enforcementcount 0 &gt;&gt;C:\Users\stu\Documents\GitHub\eaglep3-reporting\EC\2017-02-10-refined-times.txt</v>
      </c>
      <c r="AI152" s="108" t="str">
        <f t="shared" ref="AI152" si="66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{"issue":{"subject":"","project_id":79,"tracker_id":40,"status_id":1,"priority_id":2,"assigned_to_id":23,"start_date":"2017-02-11","description":"","custom_fields":[{"id":1,"name":"Subdivision","value":"EC"},{"id":4,"name":"Milepost","value":"23.3349"},{"id":17,"name":"Train ID","value":"240-10"},{"id":16,"name":"Locomotive ID","value":"4010"},{"id":130,"name":"Impact","value":""},{"id":150,"name":"Time of Event (Mountain Time)","value":"01:04:46"},{"id":151,"name":"Denver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ref="AM152" si="67">"start /low /b "&amp;dls3logs&amp;" --loco "&amp;B152&amp;" --day "&amp;TEXT(F152,"YYYY-MM-DD")</f>
        <v>start /low /b %USERPROFILE%\Documents\GitHub\eaglep3\Utilities\DownloadLogsFromS3.py --loco 4010 --day 2017-02-11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"%USERPROFILE%\AppData\Local\Temp\OnboardLogs"\RTDC4010\*4010*20170211* | grep -SE "(Enforcement Action)|(\[TIMEOUT)|(CHR.+\|PRM\|1\|D.+(SWITCH|SIGNAL).+UNKNOWN)" - &gt;&gt; 2017-02-10-UncaughtWiMAX.txt</v>
      </c>
    </row>
    <row r="153" spans="1:91" s="20" customFormat="1" x14ac:dyDescent="0.25">
      <c r="A153" s="33" t="s">
        <v>752</v>
      </c>
      <c r="B153" s="7">
        <v>4018</v>
      </c>
      <c r="C153" s="21" t="s">
        <v>193</v>
      </c>
      <c r="D153" s="21" t="s">
        <v>300</v>
      </c>
      <c r="E153" s="13">
        <v>42776.991597222222</v>
      </c>
      <c r="F153" s="13">
        <v>42777.000219907408</v>
      </c>
      <c r="G153" s="7">
        <v>1</v>
      </c>
      <c r="H153" s="21" t="s">
        <v>776</v>
      </c>
      <c r="I153" s="13">
        <v>42777.026261574072</v>
      </c>
      <c r="J153" s="7">
        <v>0</v>
      </c>
      <c r="K153" s="98" t="str">
        <f t="shared" si="48"/>
        <v>4017/4018</v>
      </c>
      <c r="L153" s="21" t="str">
        <f>VLOOKUP(A153,'Trips&amp;Operators'!$C$1:$G$99999,5,FALSE)</f>
        <v>MCREYNOLDS KYLE</v>
      </c>
      <c r="M153" s="6">
        <f t="shared" si="49"/>
        <v>2.6041666664241347E-2</v>
      </c>
      <c r="N153" s="7">
        <f t="shared" si="47"/>
        <v>37.49999999650754</v>
      </c>
      <c r="O153" s="7"/>
      <c r="P153" s="7"/>
      <c r="Q153" s="22"/>
      <c r="R153" s="22"/>
      <c r="S153" s="31">
        <f t="shared" si="50"/>
        <v>1</v>
      </c>
      <c r="T153" s="46" t="str">
        <f t="shared" si="51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52"/>
        <v>https://d0f6bd738d7f1b3e5a7ca70fe4ff75f0.us-east-1.aws.found.io/app/kibana#/discover/Steve-Slow-Train-Analysis-(2080s-and-2083s)?_g=(refreshInterval:(display:Off,pause:!f,section:0,value:0),time:(from:'2017-02-10T22:47:54-0700',mode:absolute,to:'2017-02-11T01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88" t="str">
        <f t="shared" si="63"/>
        <v>N</v>
      </c>
      <c r="X153" s="188">
        <f t="shared" si="64"/>
        <v>1</v>
      </c>
      <c r="Y153" s="62">
        <f t="shared" si="53"/>
        <v>4.4699999999999997E-2</v>
      </c>
      <c r="Z153" s="62">
        <f t="shared" si="54"/>
        <v>23.329799999999999</v>
      </c>
      <c r="AA153" s="62">
        <f t="shared" si="55"/>
        <v>23.2851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 t="shared" si="56"/>
        <v>0241-10</v>
      </c>
      <c r="AE153" s="85" t="str">
        <f t="shared" si="57"/>
        <v>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 &amp; 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</v>
      </c>
      <c r="AF153" s="82" t="str">
        <f t="shared" si="58"/>
        <v>"C:\Program Files (x86)\AstroGrep\AstroGrep.exe" /spath="%USERPROFILE%\AppData\Local\Temp\OnboardLogs" /stypes="app*4018*20170211*" /stext=" 07:.+((SYSTEM_STATE.+slice.+state.+changed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86" t="str">
        <f t="shared" si="60"/>
        <v>"%USERPROFILE%\Documents\GitHub\eaglep3\Utilities\RefineRTDCRunTimes.py" --tripid 241-10 --locoid 4018 --swversion DE.1.0.8.0 --startMP 204:447 --initTime 2017-02-10T23:47:54 --startdatetime 2017-02-11T00:00:19 --delay 1 --endMP 204:233298 --enddatetime 2017-02-11T00:37:49 --enforcementcount 0 &gt;&gt;C:\Users\stu\Documents\GitHub\eaglep3-reporting\EC\2017-02-10-refined-times.txt</v>
      </c>
      <c r="AI153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{"issue":{"subject":"","project_id":79,"tracker_id":40,"status_id":1,"priority_id":2,"assigned_to_id":23,"start_date":"2017-02-11","description":"","custom_fields":[{"id":1,"name":"Subdivision","value":"EC"},{"id":4,"name":"Milepost","value":"23.3298"},{"id":17,"name":"Train ID","value":"241-10"},{"id":16,"name":"Locomotive ID","value":"4018"},{"id":130,"name":"Impact","value":""},{"id":150,"name":"Time of Event (Mountain Time)","value":"00:37:49"},{"id":151,"name":"Denver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2"/>
        <v>start /low /b %USERPROFILE%\Documents\GitHub\eaglep3\Utilities\DownloadLogsFromS3.py --loco 4018 --day 2017-02-11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"%USERPROFILE%\AppData\Local\Temp\OnboardLogs"\RTDC4018\*4018*20170211* | grep -SE "(Enforcement Action)|(\[TIMEOUT)|(CHR.+\|PRM\|1\|D.+(SWITCH|SIGNAL).+UNKNOWN)" - &gt;&gt; 2017-02-10-UncaughtWiMAX.txt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755</v>
      </c>
      <c r="B154" s="7">
        <v>4017</v>
      </c>
      <c r="C154" s="21" t="s">
        <v>193</v>
      </c>
      <c r="D154" s="21" t="s">
        <v>304</v>
      </c>
      <c r="E154" s="13">
        <v>42777.030960648146</v>
      </c>
      <c r="F154" s="13">
        <v>42777.039131944446</v>
      </c>
      <c r="G154" s="7">
        <v>1</v>
      </c>
      <c r="H154" s="21" t="s">
        <v>329</v>
      </c>
      <c r="I154" s="13">
        <v>42777.066041666665</v>
      </c>
      <c r="J154" s="7">
        <v>0</v>
      </c>
      <c r="K154" s="98" t="str">
        <f t="shared" si="48"/>
        <v>4017/4018</v>
      </c>
      <c r="L154" s="21" t="str">
        <f>VLOOKUP(A154,'Trips&amp;Operators'!$C$1:$G$99999,5,FALSE)</f>
        <v>MCREYNOLDS KYLE</v>
      </c>
      <c r="M154" s="6">
        <f t="shared" si="49"/>
        <v>2.6909722218988463E-2</v>
      </c>
      <c r="N154" s="7">
        <f t="shared" si="47"/>
        <v>38.749999995343387</v>
      </c>
      <c r="O154" s="7"/>
      <c r="P154" s="7"/>
      <c r="Q154" s="22"/>
      <c r="R154" s="22"/>
      <c r="S154" s="31">
        <f t="shared" si="50"/>
        <v>1</v>
      </c>
      <c r="T154" s="46" t="str">
        <f t="shared" si="51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52"/>
        <v>https://d0f6bd738d7f1b3e5a7ca70fe4ff75f0.us-east-1.aws.found.io/app/kibana#/discover/Steve-Slow-Train-Analysis-(2080s-and-2083s)?_g=(refreshInterval:(display:Off,pause:!f,section:0,value:0),time:(from:'2017-02-10T23:44:35-0700',mode:absolute,to:'2017-02-11T02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88" t="str">
        <f t="shared" si="63"/>
        <v>N</v>
      </c>
      <c r="X154" s="188">
        <f t="shared" si="64"/>
        <v>1</v>
      </c>
      <c r="Y154" s="62">
        <f t="shared" si="53"/>
        <v>23.297699999999999</v>
      </c>
      <c r="Z154" s="62">
        <f t="shared" si="54"/>
        <v>1.6899999999999998E-2</v>
      </c>
      <c r="AA154" s="62">
        <f t="shared" si="55"/>
        <v>23.280799999999999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 t="shared" si="56"/>
        <v>0242-10</v>
      </c>
      <c r="AE154" s="85" t="str">
        <f t="shared" si="57"/>
        <v>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 &amp; aws s3 cp s3://rtdc.mdm.uploadarchive.raw/RTDC4017/ "%USERPROFILE%\AppData\Local\Temp\OnboardLogs"\RTDC4017\2017-02-12 --exclude "*" --recursive --include "*20170212*" &amp; "%USERPROFILE%\Documents\GitHub\mrs-test-scripts\Headless Mode &amp; Sideloading\WalkAndUnGZ.bat" "%USERPROFILE%\AppData\Local\Temp\OnboardLogs"\RTDC4017\2017-02-12</v>
      </c>
      <c r="AF154" s="82" t="str">
        <f t="shared" si="58"/>
        <v>"C:\Program Files (x86)\AstroGrep\AstroGrep.exe" /spath="%USERPROFILE%\AppData\Local\Temp\OnboardLogs" /stypes="app*4017*20170211*" /stext=" 08:.+((SYSTEM_STATE.+slice.+state.+changed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86" t="str">
        <f t="shared" si="60"/>
        <v>"%USERPROFILE%\Documents\GitHub\eaglep3\Utilities\RefineRTDCRunTimes.py" --tripid 242-10 --locoid 4017 --swversion DE.1.0.8.0 --startMP 204:232977 --initTime 2017-02-11T00:44:35 --startdatetime 2017-02-11T00:56:21 --delay 1 --endMP 204:169 --enddatetime 2017-02-11T01:35:06 --enforcementcount 0 &gt;&gt;C:\Users\stu\Documents\GitHub\eaglep3-reporting\EC\2017-02-10-refined-times.txt</v>
      </c>
      <c r="AI154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{"issue":{"subject":"","project_id":79,"tracker_id":40,"status_id":1,"priority_id":2,"assigned_to_id":23,"start_date":"2017-02-11","description":"","custom_fields":[{"id":1,"name":"Subdivision","value":"EC"},{"id":4,"name":"Milepost","value":"0.0169"},{"id":17,"name":"Train ID","value":"242-10"},{"id":16,"name":"Locomotive ID","value":"4017"},{"id":130,"name":"Impact","value":""},{"id":150,"name":"Time of Event (Mountain Time)","value":"01:35:06"},{"id":151,"name":"Denver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2"/>
        <v>start /low /b %USERPROFILE%\Documents\GitHub\eaglep3\Utilities\DownloadLogsFromS3.py --loco 4017 --day 2017-02-11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"%USERPROFILE%\AppData\Local\Temp\OnboardLogs"\RTDC4017\*4017*20170211* | grep -SE "(Enforcement Action)|(\[TIMEOUT)|(CHR.+\|PRM\|1\|D.+(SWITCH|SIGNAL).+UNKNOWN)" - &gt;&gt; 2017-02-10-UncaughtWiMAX.txt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558</v>
      </c>
      <c r="B155" s="7">
        <v>4046</v>
      </c>
      <c r="C155" s="21" t="s">
        <v>193</v>
      </c>
      <c r="D155" s="21" t="s">
        <v>790</v>
      </c>
      <c r="E155" s="13">
        <v>42777.011006944442</v>
      </c>
      <c r="F155" s="13">
        <v>42777.021041666667</v>
      </c>
      <c r="G155" s="7">
        <v>1</v>
      </c>
      <c r="H155" s="21" t="s">
        <v>832</v>
      </c>
      <c r="I155" s="13">
        <v>42777.046215277776</v>
      </c>
      <c r="J155" s="7">
        <v>0</v>
      </c>
      <c r="K155" s="98" t="str">
        <f t="shared" si="48"/>
        <v>4045/4046</v>
      </c>
      <c r="L155" s="21" t="str">
        <f>VLOOKUP(A155,'Trips&amp;Operators'!$C$1:$G$99999,5,FALSE)</f>
        <v>HILLS DUSTIN</v>
      </c>
      <c r="M155" s="6">
        <f t="shared" si="49"/>
        <v>2.5173611109494232E-2</v>
      </c>
      <c r="N155" s="7">
        <f t="shared" si="47"/>
        <v>36.249999997671694</v>
      </c>
      <c r="O155" s="7"/>
      <c r="P155" s="7"/>
      <c r="Q155" s="22"/>
      <c r="R155" s="22"/>
      <c r="S155" s="31">
        <f t="shared" si="50"/>
        <v>1</v>
      </c>
      <c r="T155" s="46" t="str">
        <f t="shared" si="51"/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52"/>
        <v>https://d0f6bd738d7f1b3e5a7ca70fe4ff75f0.us-east-1.aws.found.io/app/kibana#/discover/Steve-Slow-Train-Analysis-(2080s-and-2083s)?_g=(refreshInterval:(display:Off,pause:!f,section:0,value:0),time:(from:'2017-02-10T23:15:51-0700',mode:absolute,to:'2017-02-11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5" s="188" t="str">
        <f t="shared" si="63"/>
        <v>N</v>
      </c>
      <c r="X155" s="188">
        <f t="shared" si="64"/>
        <v>1</v>
      </c>
      <c r="Y155" s="62">
        <f t="shared" si="53"/>
        <v>4.3499999999999997E-2</v>
      </c>
      <c r="Z155" s="62">
        <f t="shared" si="54"/>
        <v>23.337800000000001</v>
      </c>
      <c r="AA155" s="62">
        <f t="shared" si="55"/>
        <v>23.2943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 t="shared" si="56"/>
        <v>0243-10</v>
      </c>
      <c r="AE155" s="85" t="str">
        <f t="shared" si="57"/>
        <v>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 &amp; 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</v>
      </c>
      <c r="AF155" s="82" t="str">
        <f t="shared" si="58"/>
        <v>"C:\Program Files (x86)\AstroGrep\AstroGrep.exe" /spath="%USERPROFILE%\AppData\Local\Temp\OnboardLogs" /stypes="app*4046*20170211*" /stext=" 08:.+((SYSTEM_STATE.+slice.+state.+changed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86" t="str">
        <f t="shared" si="60"/>
        <v>"%USERPROFILE%\Documents\GitHub\eaglep3\Utilities\RefineRTDCRunTimes.py" --tripid 243-10 --locoid 4046 --swversion DE.1.0.8.0 --startMP 204:435 --initTime 2017-02-11T00:15:51 --startdatetime 2017-02-11T00:30:18 --delay 1 --endMP 204:233378 --enddatetime 2017-02-11T01:06:33 --enforcementcount 0 &gt;&gt;C:\Users\stu\Documents\GitHub\eaglep3-reporting\EC\2017-02-10-refined-times.txt</v>
      </c>
      <c r="AI155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{"issue":{"subject":"","project_id":79,"tracker_id":40,"status_id":1,"priority_id":2,"assigned_to_id":23,"start_date":"2017-02-11","description":"","custom_fields":[{"id":1,"name":"Subdivision","value":"EC"},{"id":4,"name":"Milepost","value":"23.3378"},{"id":17,"name":"Train ID","value":"243-10"},{"id":16,"name":"Locomotive ID","value":"4046"},{"id":130,"name":"Impact","value":""},{"id":150,"name":"Time of Event (Mountain Time)","value":"01:06:33"},{"id":151,"name":"Denver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2"/>
        <v>start /low /b %USERPROFILE%\Documents\GitHub\eaglep3\Utilities\DownloadLogsFromS3.py --loco 4046 --day 2017-02-11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"%USERPROFILE%\AppData\Local\Temp\OnboardLogs"\RTDC4046\*4046*20170211* | grep -SE "(Enforcement Action)|(\[TIMEOUT)|(CHR.+\|PRM\|1\|D.+(SWITCH|SIGNAL).+UNKNOWN)" - &gt;&gt; 2017-02-10-UncaughtWiMAX.txt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756</v>
      </c>
      <c r="B156" s="7">
        <v>4038</v>
      </c>
      <c r="C156" s="21" t="s">
        <v>193</v>
      </c>
      <c r="D156" s="21" t="s">
        <v>269</v>
      </c>
      <c r="E156" s="13">
        <v>42777.034791666665</v>
      </c>
      <c r="F156" s="13">
        <v>42777.042037037034</v>
      </c>
      <c r="G156" s="7">
        <v>3</v>
      </c>
      <c r="H156" s="21" t="s">
        <v>833</v>
      </c>
      <c r="I156" s="13">
        <v>42777.068460648145</v>
      </c>
      <c r="J156" s="7">
        <v>0</v>
      </c>
      <c r="K156" s="98" t="str">
        <f t="shared" si="48"/>
        <v>4037/4038</v>
      </c>
      <c r="L156" s="21" t="str">
        <f>VLOOKUP(A156,'Trips&amp;Operators'!$C$1:$G$99999,5,FALSE)</f>
        <v>BROWN JACOB</v>
      </c>
      <c r="M156" s="6">
        <f t="shared" si="49"/>
        <v>2.6423611110658385E-2</v>
      </c>
      <c r="N156" s="7">
        <f t="shared" si="47"/>
        <v>38.049999999348074</v>
      </c>
      <c r="O156" s="7"/>
      <c r="P156" s="7"/>
      <c r="Q156" s="22"/>
      <c r="R156" s="22"/>
      <c r="S156" s="31">
        <f t="shared" si="50"/>
        <v>1</v>
      </c>
      <c r="T156" s="46" t="str">
        <f t="shared" si="51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52"/>
        <v>https://d0f6bd738d7f1b3e5a7ca70fe4ff75f0.us-east-1.aws.found.io/app/kibana#/discover/Steve-Slow-Train-Analysis-(2080s-and-2083s)?_g=(refreshInterval:(display:Off,pause:!f,section:0,value:0),time:(from:'2017-02-10T23:50:06-0700',mode:absolute,to:'2017-02-11T02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6" s="188" t="str">
        <f t="shared" si="63"/>
        <v>N</v>
      </c>
      <c r="X156" s="188">
        <f t="shared" si="64"/>
        <v>2</v>
      </c>
      <c r="Y156" s="62">
        <f t="shared" si="53"/>
        <v>4.53E-2</v>
      </c>
      <c r="Z156" s="62">
        <f t="shared" si="54"/>
        <v>23.315899999999999</v>
      </c>
      <c r="AA156" s="62">
        <f t="shared" si="55"/>
        <v>23.270599999999998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 t="shared" si="56"/>
        <v>0245-10</v>
      </c>
      <c r="AE156" s="85" t="str">
        <f t="shared" si="57"/>
        <v>aws s3 cp s3://rtdc.mdm.uploadarchive.raw/RTDC4038/ "%USERPROFILE%\AppData\Local\Temp\OnboardLogs"\RTDC4038\2017-02-11 --exclude "*" --recursive --include "*20170211*" &amp; "%USERPROFILE%\Documents\GitHub\mrs-test-scripts\Headless Mode &amp; Sideloading\WalkAndUnGZ.bat" "%USERPROFILE%\AppData\Local\Temp\OnboardLogs"\RTDC4038\2017-02-11 &amp; aws s3 cp s3://rtdc.mdm.uploadarchive.raw/RTDC4038/ "%USERPROFILE%\AppData\Local\Temp\OnboardLogs"\RTDC4038\2017-02-12 --exclude "*" --recursive --include "*20170212*" &amp; "%USERPROFILE%\Documents\GitHub\mrs-test-scripts\Headless Mode &amp; Sideloading\WalkAndUnGZ.bat" "%USERPROFILE%\AppData\Local\Temp\OnboardLogs"\RTDC4038\2017-02-12</v>
      </c>
      <c r="AF156" s="82" t="str">
        <f t="shared" si="58"/>
        <v>"C:\Program Files (x86)\AstroGrep\AstroGrep.exe" /spath="%USERPROFILE%\AppData\Local\Temp\OnboardLogs" /stypes="app*4038*20170211*" /stext=" 08:.+((SYSTEM_STATE.+slice.+state.+changed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86" t="str">
        <f t="shared" si="60"/>
        <v>"%USERPROFILE%\Documents\GitHub\eaglep3\Utilities\RefineRTDCRunTimes.py" --tripid 245-10 --locoid 4038 --swversion DE.1.0.8.0 --startMP 204:453 --initTime 2017-02-11T00:50:06 --startdatetime 2017-02-11T01:00:32 --delay 3 --endMP 204:233159 --enddatetime 2017-02-11T01:38:35 --enforcementcount 0 &gt;&gt;C:\Users\stu\Documents\GitHub\eaglep3-reporting\EC\2017-02-10-refined-times.txt</v>
      </c>
      <c r="AI156" s="108" t="str">
        <f t="shared" si="61"/>
        <v>echo {"issue":{"subject":"","project_id":79,"tracker_id":40,"status_id":1,"priority_id":2,"assigned_to_id":23,"start_date":"2017-02-11","description":"","custom_fields":[{"id":1,"name":"Subdivision","value":"EC"},{"id":4,"name":"Milepost","value":"23.3159"},{"id":17,"name":"Train ID","value":"245-10"},{"id":16,"name":"Locomotive ID","value":"4038"},{"id":130,"name":"Impact","value":""},{"id":150,"name":"Time of Event (Mountain Time)","value":"01:38:35"},{"id":151,"name":"Denver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2"/>
        <v>start /low /b %USERPROFILE%\Documents\GitHub\eaglep3\Utilities\DownloadLogsFromS3.py --loco 4038 --day 2017-02-11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"%USERPROFILE%\AppData\Local\Temp\OnboardLogs"\RTDC4038\*4038*20170211* | grep -SE "(Enforcement Action)|(\[TIMEOUT)|(CHR.+\|PRM\|1\|D.+(SWITCH|SIGNAL).+UNKNOWN)" - &gt;&gt; 2017-02-10-UncaughtWiMAX.txt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541</v>
      </c>
      <c r="B157" s="7">
        <v>4015</v>
      </c>
      <c r="C157" s="21" t="s">
        <v>193</v>
      </c>
      <c r="D157" s="21" t="s">
        <v>840</v>
      </c>
      <c r="E157" s="13">
        <v>42776.208483796298</v>
      </c>
      <c r="F157" s="13">
        <v>42776.210277777776</v>
      </c>
      <c r="G157" s="7">
        <v>1</v>
      </c>
      <c r="H157" s="21" t="s">
        <v>841</v>
      </c>
      <c r="I157" s="13">
        <v>42776.22519675926</v>
      </c>
      <c r="J157" s="7">
        <v>0</v>
      </c>
      <c r="K157" s="98" t="str">
        <f t="shared" si="48"/>
        <v>4015/4016</v>
      </c>
      <c r="L157" s="21" t="str">
        <f>VLOOKUP(A157,'Trips&amp;Operators'!$C$1:$G$99999,5,FALSE)</f>
        <v>GEBRETEKLE DAGNEW</v>
      </c>
      <c r="M157" s="6">
        <f t="shared" si="49"/>
        <v>1.491898148378823E-2</v>
      </c>
      <c r="N157" s="7">
        <f t="shared" si="47"/>
        <v>21.483333336655051</v>
      </c>
      <c r="O157" s="7"/>
      <c r="P157" s="7"/>
      <c r="Q157" s="22"/>
      <c r="R157" s="22"/>
      <c r="S157" s="31">
        <f t="shared" si="50"/>
        <v>1</v>
      </c>
      <c r="T157" s="46" t="str">
        <f t="shared" si="51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 t="shared" si="52"/>
        <v>https://d0f6bd738d7f1b3e5a7ca70fe4ff75f0.us-east-1.aws.found.io/app/kibana#/discover/Steve-Slow-Train-Analysis-(2080s-and-2083s)?_g=(refreshInterval:(display:Off,pause:!f,section:0,value:0),time:(from:'2017-02-10T04:00:13-0700',mode:absolute,to:'2017-02-10T06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188" t="str">
        <f t="shared" si="63"/>
        <v>N</v>
      </c>
      <c r="X157" s="188">
        <f t="shared" si="64"/>
        <v>555</v>
      </c>
      <c r="Y157" s="62">
        <f t="shared" si="53"/>
        <v>5.8677000000000001</v>
      </c>
      <c r="Z157" s="62">
        <f t="shared" si="54"/>
        <v>7.2400000000000006E-2</v>
      </c>
      <c r="AA157" s="62">
        <f t="shared" si="55"/>
        <v>5.7953000000000001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 t="shared" si="56"/>
        <v>0800-10</v>
      </c>
      <c r="AE157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57" s="82" t="str">
        <f t="shared" si="58"/>
        <v>"C:\Program Files (x86)\AstroGrep\AstroGrep.exe" /spath="%USERPROFILE%\AppData\Local\Temp\OnboardLogs" /stypes="app*4015*20170210*" /stext=" 12:.+((SYSTEM_STATE.+slice.+state.+changed )|(ment ac)|(multiple cpu faults)|(system.+state.+changed )|(\[timeout)|(PRM\|1\|D)|(kpr)|(kdp)|(\|lc)|(penalty))" /e /r /s</v>
      </c>
      <c r="AG157" s="1" t="str">
        <f t="shared" si="59"/>
        <v>NW</v>
      </c>
      <c r="AH157" s="86" t="str">
        <f t="shared" si="60"/>
        <v>"%USERPROFILE%\Documents\GitHub\eaglep3\Utilities\RefineRTDCRunTimes.py" --tripid 800-10 --locoid 4015 --swversion DE.1.0.8.0 --startMP 300:58677 --initTime 2017-02-10T05:00:13 --startdatetime 2017-02-10T05:02:48 --delay 1 --endMP 204:724 --enddatetime 2017-02-10T05:24:17 --enforcementcount 0 &gt;&gt;C:\Users\stu\Documents\GitHub\eaglep3-reporting\EC\2017-02-10-refined-times.txt</v>
      </c>
      <c r="AI157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{"issue":{"subject":"","project_id":79,"tracker_id":40,"status_id":1,"priority_id":2,"assigned_to_id":23,"start_date":"2017-02-10","description":"","custom_fields":[{"id":1,"name":"Subdivision","value":"NW"},{"id":4,"name":"Milepost","value":"0.0724"},{"id":17,"name":"Train ID","value":"800-10"},{"id":16,"name":"Locomotive ID","value":"4015"},{"id":130,"name":"Impact","value":""},{"id":150,"name":"Time of Event (Mountain Time)","value":"05:24:17"},{"id":151,"name":"Denver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2"/>
        <v>start /low /b %USERPROFILE%\Documents\GitHub\eaglep3\Utilities\DownloadLogsFromS3.py --loco 4015 --day 2017-02-10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2017-02-10-UncaughtWiMAX.txt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576</v>
      </c>
      <c r="B158" s="7">
        <v>4016</v>
      </c>
      <c r="C158" s="21" t="s">
        <v>193</v>
      </c>
      <c r="D158" s="21" t="s">
        <v>517</v>
      </c>
      <c r="E158" s="13">
        <v>42776.228136574071</v>
      </c>
      <c r="F158" s="13">
        <v>42776.243946759256</v>
      </c>
      <c r="G158" s="7">
        <v>1</v>
      </c>
      <c r="H158" s="21" t="s">
        <v>842</v>
      </c>
      <c r="I158" s="13">
        <v>42776.25273148148</v>
      </c>
      <c r="J158" s="7">
        <v>0</v>
      </c>
      <c r="K158" s="98" t="str">
        <f t="shared" si="48"/>
        <v>4015/4016</v>
      </c>
      <c r="L158" s="21" t="str">
        <f>VLOOKUP(A158,'Trips&amp;Operators'!$C$1:$G$99999,5,FALSE)</f>
        <v>GEBRETEKLE DAGNEW</v>
      </c>
      <c r="M158" s="6">
        <f t="shared" si="49"/>
        <v>8.7847222239361145E-3</v>
      </c>
      <c r="N158" s="7">
        <f t="shared" si="47"/>
        <v>12.650000002468005</v>
      </c>
      <c r="O158" s="7"/>
      <c r="P158" s="7"/>
      <c r="Q158" s="22"/>
      <c r="R158" s="22"/>
      <c r="S158" s="31">
        <f t="shared" si="50"/>
        <v>1</v>
      </c>
      <c r="T158" s="46" t="str">
        <f t="shared" si="51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 t="shared" si="52"/>
        <v>https://d0f6bd738d7f1b3e5a7ca70fe4ff75f0.us-east-1.aws.found.io/app/kibana#/discover/Steve-Slow-Train-Analysis-(2080s-and-2083s)?_g=(refreshInterval:(display:Off,pause:!f,section:0,value:0),time:(from:'2017-02-10T04:28:31-0700',mode:absolute,to:'2017-02-10T07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88" t="str">
        <f t="shared" si="63"/>
        <v>N</v>
      </c>
      <c r="X158" s="188">
        <f t="shared" si="64"/>
        <v>1</v>
      </c>
      <c r="Y158" s="62">
        <f t="shared" si="53"/>
        <v>0.1007</v>
      </c>
      <c r="Z158" s="62">
        <f t="shared" si="54"/>
        <v>5.9005000000000001</v>
      </c>
      <c r="AA158" s="62">
        <f t="shared" si="55"/>
        <v>5.7998000000000003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 t="shared" si="56"/>
        <v>0801-10</v>
      </c>
      <c r="AE158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58" s="82" t="str">
        <f t="shared" si="58"/>
        <v>"C:\Program Files (x86)\AstroGrep\AstroGrep.exe" /spath="%USERPROFILE%\AppData\Local\Temp\OnboardLogs" /stypes="app*4016*20170210*" /stext=" 13:.+((SYSTEM_STATE.+slice.+state.+changed )|(ment ac)|(multiple cpu faults)|(system.+state.+changed )|(\[timeout)|(PRM\|1\|D)|(kpr)|(kdp)|(\|lc)|(penalty))" /e /r /s</v>
      </c>
      <c r="AG158" s="1" t="str">
        <f t="shared" si="59"/>
        <v>NW</v>
      </c>
      <c r="AH158" s="86" t="str">
        <f t="shared" si="60"/>
        <v>"%USERPROFILE%\Documents\GitHub\eaglep3\Utilities\RefineRTDCRunTimes.py" --tripid 801-10 --locoid 4016 --swversion DE.1.0.8.0 --startMP 204:1007 --initTime 2017-02-10T05:28:31 --startdatetime 2017-02-10T05:51:17 --delay 1 --endMP 300:59005 --enddatetime 2017-02-10T06:03:56 --enforcementcount 0 &gt;&gt;C:\Users\stu\Documents\GitHub\eaglep3-reporting\EC\2017-02-10-refined-times.txt</v>
      </c>
      <c r="AI158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{"issue":{"subject":"","project_id":79,"tracker_id":40,"status_id":1,"priority_id":2,"assigned_to_id":23,"start_date":"2017-02-10","description":"","custom_fields":[{"id":1,"name":"Subdivision","value":"NW"},{"id":4,"name":"Milepost","value":"5.9005"},{"id":17,"name":"Train ID","value":"801-10"},{"id":16,"name":"Locomotive ID","value":"4016"},{"id":130,"name":"Impact","value":""},{"id":150,"name":"Time of Event (Mountain Time)","value":"06:03:56"},{"id":151,"name":"Denver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2"/>
        <v>start /low /b %USERPROFILE%\Documents\GitHub\eaglep3\Utilities\DownloadLogsFromS3.py --loco 4016 --day 2017-02-10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583</v>
      </c>
      <c r="B159" s="7">
        <v>4015</v>
      </c>
      <c r="C159" s="21" t="s">
        <v>193</v>
      </c>
      <c r="D159" s="21" t="s">
        <v>843</v>
      </c>
      <c r="E159" s="13">
        <v>42776.254189814812</v>
      </c>
      <c r="F159" s="13">
        <v>42776.255694444444</v>
      </c>
      <c r="G159" s="7">
        <v>1</v>
      </c>
      <c r="H159" s="21" t="s">
        <v>474</v>
      </c>
      <c r="I159" s="13">
        <v>42776.267534722225</v>
      </c>
      <c r="J159" s="7">
        <v>0</v>
      </c>
      <c r="K159" s="98" t="str">
        <f t="shared" si="48"/>
        <v>4015/4016</v>
      </c>
      <c r="L159" s="21" t="str">
        <f>VLOOKUP(A159,'Trips&amp;Operators'!$C$1:$G$99999,5,FALSE)</f>
        <v>GEBRETEKLE DAGNEW</v>
      </c>
      <c r="M159" s="6">
        <f t="shared" si="49"/>
        <v>1.1840277780720498E-2</v>
      </c>
      <c r="N159" s="7">
        <f t="shared" si="47"/>
        <v>17.050000004237518</v>
      </c>
      <c r="O159" s="7"/>
      <c r="P159" s="7"/>
      <c r="Q159" s="22"/>
      <c r="R159" s="22"/>
      <c r="S159" s="31">
        <f t="shared" si="50"/>
        <v>1</v>
      </c>
      <c r="T159" s="46" t="str">
        <f t="shared" si="51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 t="shared" si="52"/>
        <v>https://d0f6bd738d7f1b3e5a7ca70fe4ff75f0.us-east-1.aws.found.io/app/kibana#/discover/Steve-Slow-Train-Analysis-(2080s-and-2083s)?_g=(refreshInterval:(display:Off,pause:!f,section:0,value:0),time:(from:'2017-02-10T05:06:02-0700',mode:absolute,to:'2017-02-10T07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88" t="str">
        <f t="shared" si="63"/>
        <v>N</v>
      </c>
      <c r="X159" s="188">
        <f t="shared" si="64"/>
        <v>1</v>
      </c>
      <c r="Y159" s="62">
        <f t="shared" si="53"/>
        <v>5.8682999999999996</v>
      </c>
      <c r="Z159" s="62">
        <f t="shared" si="54"/>
        <v>6.8400000000000002E-2</v>
      </c>
      <c r="AA159" s="62">
        <f t="shared" si="55"/>
        <v>5.7999000000000001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 t="shared" si="56"/>
        <v>0802-10</v>
      </c>
      <c r="AE159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59" s="82" t="str">
        <f t="shared" si="58"/>
        <v>"C:\Program Files (x86)\AstroGrep\AstroGrep.exe" /spath="%USERPROFILE%\AppData\Local\Temp\OnboardLogs" /stypes="app*4015*20170210*" /stext=" 13:.+((SYSTEM_STATE.+slice.+state.+changed )|(ment ac)|(multiple cpu faults)|(system.+state.+changed )|(\[timeout)|(PRM\|1\|D)|(kpr)|(kdp)|(\|lc)|(penalty))" /e /r /s</v>
      </c>
      <c r="AG159" s="1" t="str">
        <f t="shared" si="59"/>
        <v>NW</v>
      </c>
      <c r="AH159" s="86" t="str">
        <f t="shared" si="60"/>
        <v>"%USERPROFILE%\Documents\GitHub\eaglep3\Utilities\RefineRTDCRunTimes.py" --tripid 802-10 --locoid 4015 --swversion DE.1.0.8.0 --startMP 300:58683 --initTime 2017-02-10T06:06:02 --startdatetime 2017-02-10T06:08:12 --delay 1 --endMP 204:684 --enddatetime 2017-02-10T06:25:15 --enforcementcount 0 &gt;&gt;C:\Users\stu\Documents\GitHub\eaglep3-reporting\EC\2017-02-10-refined-times.txt</v>
      </c>
      <c r="AI159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{"issue":{"subject":"","project_id":79,"tracker_id":40,"status_id":1,"priority_id":2,"assigned_to_id":23,"start_date":"2017-02-10","description":"","custom_fields":[{"id":1,"name":"Subdivision","value":"NW"},{"id":4,"name":"Milepost","value":"0.0684"},{"id":17,"name":"Train ID","value":"802-10"},{"id":16,"name":"Locomotive ID","value":"4015"},{"id":130,"name":"Impact","value":""},{"id":150,"name":"Time of Event (Mountain Time)","value":"06:25:15"},{"id":151,"name":"Denver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2"/>
        <v>start /low /b %USERPROFILE%\Documents\GitHub\eaglep3\Utilities\DownloadLogsFromS3.py --loco 4015 --day 2017-02-10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2017-02-10-UncaughtWiMAX.txt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584</v>
      </c>
      <c r="B160" s="7">
        <v>4031</v>
      </c>
      <c r="C160" s="21" t="s">
        <v>193</v>
      </c>
      <c r="D160" s="21" t="s">
        <v>844</v>
      </c>
      <c r="E160" s="13">
        <v>42776.256157407406</v>
      </c>
      <c r="F160" s="13">
        <v>42776.264803240738</v>
      </c>
      <c r="G160" s="7">
        <v>1</v>
      </c>
      <c r="H160" s="21" t="s">
        <v>534</v>
      </c>
      <c r="I160" s="13">
        <v>42776.274918981479</v>
      </c>
      <c r="J160" s="7">
        <v>0</v>
      </c>
      <c r="K160" s="98" t="str">
        <f t="shared" si="48"/>
        <v>4031/4032</v>
      </c>
      <c r="L160" s="21" t="str">
        <f>VLOOKUP(A160,'Trips&amp;Operators'!$C$1:$G$99999,5,FALSE)</f>
        <v>SHOOK JOHN</v>
      </c>
      <c r="M160" s="6">
        <f t="shared" si="49"/>
        <v>1.0115740740729962E-2</v>
      </c>
      <c r="N160" s="7">
        <f t="shared" si="47"/>
        <v>14.566666666651145</v>
      </c>
      <c r="O160" s="7"/>
      <c r="P160" s="7"/>
      <c r="Q160" s="22"/>
      <c r="R160" s="22"/>
      <c r="S160" s="31">
        <f t="shared" si="50"/>
        <v>1</v>
      </c>
      <c r="T160" s="46" t="str">
        <f t="shared" si="51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 t="shared" si="52"/>
        <v>https://d0f6bd738d7f1b3e5a7ca70fe4ff75f0.us-east-1.aws.found.io/app/kibana#/discover/Steve-Slow-Train-Analysis-(2080s-and-2083s)?_g=(refreshInterval:(display:Off,pause:!f,section:0,value:0),time:(from:'2017-02-10T05:08:52-0700',mode:absolute,to:'2017-02-10T07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88" t="str">
        <f t="shared" si="63"/>
        <v>N</v>
      </c>
      <c r="X160" s="188">
        <f t="shared" si="64"/>
        <v>1</v>
      </c>
      <c r="Y160" s="62">
        <f t="shared" si="53"/>
        <v>0.1018</v>
      </c>
      <c r="Z160" s="62">
        <f t="shared" si="54"/>
        <v>5.8992000000000004</v>
      </c>
      <c r="AA160" s="62">
        <f t="shared" si="55"/>
        <v>5.7974000000000006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 t="shared" si="56"/>
        <v>0803-10</v>
      </c>
      <c r="AE160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60" s="82" t="str">
        <f t="shared" si="58"/>
        <v>"C:\Program Files (x86)\AstroGrep\AstroGrep.exe" /spath="%USERPROFILE%\AppData\Local\Temp\OnboardLogs" /stypes="app*4031*20170210*" /stext=" 13:.+((SYSTEM_STATE.+slice.+state.+changed )|(ment ac)|(multiple cpu faults)|(system.+state.+changed )|(\[timeout)|(PRM\|1\|D)|(kpr)|(kdp)|(\|lc)|(penalty))" /e /r /s</v>
      </c>
      <c r="AG160" s="1" t="str">
        <f t="shared" si="59"/>
        <v>NW</v>
      </c>
      <c r="AH160" s="86" t="str">
        <f t="shared" si="60"/>
        <v>"%USERPROFILE%\Documents\GitHub\eaglep3\Utilities\RefineRTDCRunTimes.py" --tripid 803-10 --locoid 4031 --swversion DE.1.0.8.0 --startMP 204:1018 --initTime 2017-02-10T06:08:52 --startdatetime 2017-02-10T06:21:19 --delay 1 --endMP 300:58992 --enddatetime 2017-02-10T06:35:53 --enforcementcount 0 &gt;&gt;C:\Users\stu\Documents\GitHub\eaglep3-reporting\EC\2017-02-10-refined-times.txt</v>
      </c>
      <c r="AI160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{"issue":{"subject":"","project_id":79,"tracker_id":40,"status_id":1,"priority_id":2,"assigned_to_id":23,"start_date":"2017-02-10","description":"","custom_fields":[{"id":1,"name":"Subdivision","value":"NW"},{"id":4,"name":"Milepost","value":"5.8992"},{"id":17,"name":"Train ID","value":"803-10"},{"id":16,"name":"Locomotive ID","value":"4031"},{"id":130,"name":"Impact","value":""},{"id":150,"name":"Time of Event (Mountain Time)","value":"06:35:53"},{"id":151,"name":"Denver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2"/>
        <v>start /low /b %USERPROFILE%\Documents\GitHub\eaglep3\Utilities\DownloadLogsFromS3.py --loco 4031 --day 2017-02-10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</row>
    <row r="161" spans="1:91" x14ac:dyDescent="0.25">
      <c r="A161" s="33" t="s">
        <v>590</v>
      </c>
      <c r="B161" s="7">
        <v>4032</v>
      </c>
      <c r="C161" s="21" t="s">
        <v>193</v>
      </c>
      <c r="D161" s="21" t="s">
        <v>845</v>
      </c>
      <c r="E161" s="13">
        <v>42776.276701388888</v>
      </c>
      <c r="F161" s="13">
        <v>42776.278634259259</v>
      </c>
      <c r="G161" s="7">
        <v>1</v>
      </c>
      <c r="H161" s="21" t="s">
        <v>846</v>
      </c>
      <c r="I161" s="13">
        <v>42776.288645833331</v>
      </c>
      <c r="J161" s="7">
        <v>0</v>
      </c>
      <c r="K161" s="98" t="str">
        <f t="shared" si="48"/>
        <v>4031/4032</v>
      </c>
      <c r="L161" s="21" t="str">
        <f>VLOOKUP(A161,'Trips&amp;Operators'!$C$1:$G$99999,5,FALSE)</f>
        <v>SHOOK JOHN</v>
      </c>
      <c r="M161" s="6">
        <f t="shared" si="49"/>
        <v>1.0011574071540963E-2</v>
      </c>
      <c r="N161" s="7">
        <f t="shared" si="47"/>
        <v>14.416666663018987</v>
      </c>
      <c r="O161" s="7"/>
      <c r="P161" s="7"/>
      <c r="Q161" s="22"/>
      <c r="R161" s="22"/>
      <c r="S161" s="31">
        <f t="shared" si="50"/>
        <v>1</v>
      </c>
      <c r="T161" s="46" t="str">
        <f t="shared" si="51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52"/>
        <v>https://d0f6bd738d7f1b3e5a7ca70fe4ff75f0.us-east-1.aws.found.io/app/kibana#/discover/Steve-Slow-Train-Analysis-(2080s-and-2083s)?_g=(refreshInterval:(display:Off,pause:!f,section:0,value:0),time:(from:'2017-02-10T05:38:27-0700',mode:absolute,to:'2017-02-10T07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8" t="str">
        <f t="shared" si="63"/>
        <v>N</v>
      </c>
      <c r="X161" s="188">
        <f t="shared" si="64"/>
        <v>1</v>
      </c>
      <c r="Y161" s="62">
        <f t="shared" si="53"/>
        <v>5.8673000000000002</v>
      </c>
      <c r="Z161" s="62">
        <f t="shared" si="54"/>
        <v>7.4099999999999999E-2</v>
      </c>
      <c r="AA161" s="62">
        <f t="shared" si="55"/>
        <v>5.7932000000000006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 t="shared" si="56"/>
        <v>0804-10</v>
      </c>
      <c r="AE161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61" s="82" t="str">
        <f t="shared" si="58"/>
        <v>"C:\Program Files (x86)\AstroGrep\AstroGrep.exe" /spath="%USERPROFILE%\AppData\Local\Temp\OnboardLogs" /stypes="app*4032*20170210*" /stext=" 13:.+((SYSTEM_STATE.+slice.+state.+changed )|(ment ac)|(multiple cpu faults)|(system.+state.+changed )|(\[timeout)|(PRM\|1\|D)|(kpr)|(kdp)|(\|lc)|(penalty))" /e /r /s</v>
      </c>
      <c r="AG161" s="1" t="str">
        <f t="shared" si="59"/>
        <v>NW</v>
      </c>
      <c r="AH161" s="86" t="str">
        <f t="shared" si="60"/>
        <v>"%USERPROFILE%\Documents\GitHub\eaglep3\Utilities\RefineRTDCRunTimes.py" --tripid 804-10 --locoid 4032 --swversion DE.1.0.8.0 --startMP 300:58673 --initTime 2017-02-10T06:38:27 --startdatetime 2017-02-10T06:41:14 --delay 1 --endMP 204:741 --enddatetime 2017-02-10T06:55:39 --enforcementcount 0 &gt;&gt;C:\Users\stu\Documents\GitHub\eaglep3-reporting\EC\2017-02-10-refined-times.txt</v>
      </c>
      <c r="AI161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{"issue":{"subject":"","project_id":79,"tracker_id":40,"status_id":1,"priority_id":2,"assigned_to_id":23,"start_date":"2017-02-10","description":"","custom_fields":[{"id":1,"name":"Subdivision","value":"NW"},{"id":4,"name":"Milepost","value":"0.0741"},{"id":17,"name":"Train ID","value":"804-10"},{"id":16,"name":"Locomotive ID","value":"4032"},{"id":130,"name":"Impact","value":""},{"id":150,"name":"Time of Event (Mountain Time)","value":"06:55:39"},{"id":151,"name":"Denver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2"/>
        <v>start /low /b %USERPROFILE%\Documents\GitHub\eaglep3\Utilities\DownloadLogsFromS3.py --loco 4032 --day 2017-02-10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62" spans="1:91" x14ac:dyDescent="0.25">
      <c r="A162" s="33" t="s">
        <v>588</v>
      </c>
      <c r="B162" s="7">
        <v>4016</v>
      </c>
      <c r="C162" s="21" t="s">
        <v>193</v>
      </c>
      <c r="D162" s="21" t="s">
        <v>847</v>
      </c>
      <c r="E162" s="13">
        <v>42776.269814814812</v>
      </c>
      <c r="F162" s="13">
        <v>42776.285624999997</v>
      </c>
      <c r="G162" s="7">
        <v>1</v>
      </c>
      <c r="H162" s="21" t="s">
        <v>519</v>
      </c>
      <c r="I162" s="13">
        <v>42776.295601851853</v>
      </c>
      <c r="J162" s="7">
        <v>0</v>
      </c>
      <c r="K162" s="98" t="str">
        <f t="shared" si="48"/>
        <v>4015/4016</v>
      </c>
      <c r="L162" s="21" t="str">
        <f>VLOOKUP(A162,'Trips&amp;Operators'!$C$1:$G$99999,5,FALSE)</f>
        <v>GEBRETEKLE DAGNEW</v>
      </c>
      <c r="M162" s="6">
        <f t="shared" si="49"/>
        <v>9.976851855753921E-3</v>
      </c>
      <c r="N162" s="7">
        <f t="shared" si="47"/>
        <v>14.366666672285646</v>
      </c>
      <c r="O162" s="7"/>
      <c r="P162" s="7"/>
      <c r="Q162" s="22"/>
      <c r="R162" s="22"/>
      <c r="S162" s="31">
        <f t="shared" si="50"/>
        <v>1</v>
      </c>
      <c r="T162" s="46" t="str">
        <f t="shared" si="51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52"/>
        <v>https://d0f6bd738d7f1b3e5a7ca70fe4ff75f0.us-east-1.aws.found.io/app/kibana#/discover/Steve-Slow-Train-Analysis-(2080s-and-2083s)?_g=(refreshInterval:(display:Off,pause:!f,section:0,value:0),time:(from:'2017-02-10T05:28:32-0700',mode:absolute,to:'2017-02-10T08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88" t="str">
        <f t="shared" si="63"/>
        <v>N</v>
      </c>
      <c r="X162" s="188">
        <f t="shared" si="64"/>
        <v>1</v>
      </c>
      <c r="Y162" s="62">
        <f t="shared" si="53"/>
        <v>9.9000000000000005E-2</v>
      </c>
      <c r="Z162" s="62">
        <f t="shared" si="54"/>
        <v>5.8998999999999997</v>
      </c>
      <c r="AA162" s="62">
        <f t="shared" si="55"/>
        <v>5.8008999999999995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 t="shared" si="56"/>
        <v>0805-10</v>
      </c>
      <c r="AE162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62" s="82" t="str">
        <f t="shared" si="58"/>
        <v>"C:\Program Files (x86)\AstroGrep\AstroGrep.exe" /spath="%USERPROFILE%\AppData\Local\Temp\OnboardLogs" /stypes="app*4016*20170210*" /stext=" 14:.+((SYSTEM_STATE.+slice.+state.+changed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86" t="str">
        <f t="shared" si="60"/>
        <v>"%USERPROFILE%\Documents\GitHub\eaglep3\Utilities\RefineRTDCRunTimes.py" --tripid 805-10 --locoid 4016 --swversion DE.1.0.8.0 --startMP 204:990 --initTime 2017-02-10T06:28:32 --startdatetime 2017-02-10T06:51:18 --delay 1 --endMP 300:58999 --enddatetime 2017-02-10T07:05:40 --enforcementcount 0 &gt;&gt;C:\Users\stu\Documents\GitHub\eaglep3-reporting\EC\2017-02-10-refined-times.txt</v>
      </c>
      <c r="AI162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{"issue":{"subject":"","project_id":79,"tracker_id":40,"status_id":1,"priority_id":2,"assigned_to_id":23,"start_date":"2017-02-10","description":"","custom_fields":[{"id":1,"name":"Subdivision","value":"NW"},{"id":4,"name":"Milepost","value":"5.8999"},{"id":17,"name":"Train ID","value":"805-10"},{"id":16,"name":"Locomotive ID","value":"4016"},{"id":130,"name":"Impact","value":""},{"id":150,"name":"Time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2"/>
        <v>start /low /b %USERPROFILE%\Documents\GitHub\eaglep3\Utilities\DownloadLogsFromS3.py --loco 4016 --day 2017-02-10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</row>
    <row r="163" spans="1:91" x14ac:dyDescent="0.25">
      <c r="A163" s="33" t="s">
        <v>596</v>
      </c>
      <c r="B163" s="7">
        <v>4015</v>
      </c>
      <c r="C163" s="21" t="s">
        <v>193</v>
      </c>
      <c r="D163" s="21" t="s">
        <v>843</v>
      </c>
      <c r="E163" s="13">
        <v>42776.296782407408</v>
      </c>
      <c r="F163" s="13">
        <v>42776.29828703704</v>
      </c>
      <c r="G163" s="7">
        <v>1</v>
      </c>
      <c r="H163" s="21" t="s">
        <v>531</v>
      </c>
      <c r="I163" s="13">
        <v>42776.309039351851</v>
      </c>
      <c r="J163" s="7">
        <v>0</v>
      </c>
      <c r="K163" s="98" t="str">
        <f t="shared" si="48"/>
        <v>4015/4016</v>
      </c>
      <c r="L163" s="21" t="str">
        <f>VLOOKUP(A163,'Trips&amp;Operators'!$C$1:$G$99999,5,FALSE)</f>
        <v>GEBRETEKLE DAGNEW</v>
      </c>
      <c r="M163" s="6">
        <f t="shared" si="49"/>
        <v>1.0752314810815733E-2</v>
      </c>
      <c r="N163" s="7">
        <f t="shared" si="47"/>
        <v>15.483333327574655</v>
      </c>
      <c r="O163" s="7"/>
      <c r="P163" s="7"/>
      <c r="Q163" s="22"/>
      <c r="R163" s="22"/>
      <c r="S163" s="31">
        <f t="shared" si="50"/>
        <v>1</v>
      </c>
      <c r="T163" s="46" t="str">
        <f t="shared" si="51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52"/>
        <v>https://d0f6bd738d7f1b3e5a7ca70fe4ff75f0.us-east-1.aws.found.io/app/kibana#/discover/Steve-Slow-Train-Analysis-(2080s-and-2083s)?_g=(refreshInterval:(display:Off,pause:!f,section:0,value:0),time:(from:'2017-02-10T06:07:22-0700',mode:absolute,to:'2017-02-10T08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88" t="str">
        <f t="shared" si="63"/>
        <v>N</v>
      </c>
      <c r="X163" s="188">
        <f t="shared" si="64"/>
        <v>1</v>
      </c>
      <c r="Y163" s="62">
        <f t="shared" si="53"/>
        <v>5.8682999999999996</v>
      </c>
      <c r="Z163" s="62">
        <f t="shared" si="54"/>
        <v>7.0300000000000001E-2</v>
      </c>
      <c r="AA163" s="62">
        <f t="shared" si="55"/>
        <v>5.798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 t="shared" si="56"/>
        <v>0806-10</v>
      </c>
      <c r="AE163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63" s="82" t="str">
        <f t="shared" si="58"/>
        <v>"C:\Program Files (x86)\AstroGrep\AstroGrep.exe" /spath="%USERPROFILE%\AppData\Local\Temp\OnboardLogs" /stypes="app*4015*20170210*" /stext=" 14:.+((SYSTEM_STATE.+slice.+state.+changed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86" t="str">
        <f t="shared" si="60"/>
        <v>"%USERPROFILE%\Documents\GitHub\eaglep3\Utilities\RefineRTDCRunTimes.py" --tripid 806-10 --locoid 4015 --swversion DE.1.0.8.0 --startMP 300:58683 --initTime 2017-02-10T07:07:22 --startdatetime 2017-02-10T07:09:32 --delay 1 --endMP 204:703 --enddatetime 2017-02-10T07:25:01 --enforcementcount 0 &gt;&gt;C:\Users\stu\Documents\GitHub\eaglep3-reporting\EC\2017-02-10-refined-times.txt</v>
      </c>
      <c r="AI163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{"issue":{"subject":"","project_id":79,"tracker_id":40,"status_id":1,"priority_id":2,"assigned_to_id":23,"start_date":"2017-02-10","description":"","custom_fields":[{"id":1,"name":"Subdivision","value":"NW"},{"id":4,"name":"Milepost","value":"0.0703"},{"id":17,"name":"Train ID","value":"806-10"},{"id":16,"name":"Locomotive ID","value":"4015"},{"id":130,"name":"Impact","value":""},{"id":150,"name":"Time of Event (Mountain Time)","value":"07:25:01"},{"id":151,"name":"Denver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2"/>
        <v>start /low /b %USERPROFILE%\Documents\GitHub\eaglep3\Utilities\DownloadLogsFromS3.py --loco 4015 --day 2017-02-10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2017-02-10-UncaughtWiMAX.txt</v>
      </c>
    </row>
    <row r="164" spans="1:91" s="20" customFormat="1" x14ac:dyDescent="0.25">
      <c r="A164" s="33" t="s">
        <v>594</v>
      </c>
      <c r="B164" s="7">
        <v>4031</v>
      </c>
      <c r="C164" s="21" t="s">
        <v>193</v>
      </c>
      <c r="D164" s="21" t="s">
        <v>844</v>
      </c>
      <c r="E164" s="13">
        <v>42776.290486111109</v>
      </c>
      <c r="F164" s="13">
        <v>42776.30641203704</v>
      </c>
      <c r="G164" s="7">
        <v>1</v>
      </c>
      <c r="H164" s="21" t="s">
        <v>848</v>
      </c>
      <c r="I164" s="13">
        <v>42776.315810185188</v>
      </c>
      <c r="J164" s="7">
        <v>0</v>
      </c>
      <c r="K164" s="98" t="str">
        <f t="shared" si="48"/>
        <v>4031/4032</v>
      </c>
      <c r="L164" s="21" t="str">
        <f>VLOOKUP(A164,'Trips&amp;Operators'!$C$1:$G$99999,5,FALSE)</f>
        <v>SHOOK JOHN</v>
      </c>
      <c r="M164" s="6">
        <f t="shared" si="49"/>
        <v>9.3981481477385387E-3</v>
      </c>
      <c r="N164" s="7">
        <f t="shared" si="47"/>
        <v>13.533333332743496</v>
      </c>
      <c r="O164" s="7"/>
      <c r="P164" s="7"/>
      <c r="Q164" s="22"/>
      <c r="R164" s="22"/>
      <c r="S164" s="31">
        <f t="shared" si="50"/>
        <v>1</v>
      </c>
      <c r="T164" s="46" t="str">
        <f t="shared" si="51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52"/>
        <v>https://d0f6bd738d7f1b3e5a7ca70fe4ff75f0.us-east-1.aws.found.io/app/kibana#/discover/Steve-Slow-Train-Analysis-(2080s-and-2083s)?_g=(refreshInterval:(display:Off,pause:!f,section:0,value:0),time:(from:'2017-02-10T05:58:18-0700',mode:absolute,to:'2017-02-10T08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8" t="str">
        <f t="shared" si="63"/>
        <v>N</v>
      </c>
      <c r="X164" s="188">
        <f t="shared" si="64"/>
        <v>1</v>
      </c>
      <c r="Y164" s="62">
        <f t="shared" si="53"/>
        <v>0.1018</v>
      </c>
      <c r="Z164" s="62">
        <f t="shared" si="54"/>
        <v>5.8994999999999997</v>
      </c>
      <c r="AA164" s="62">
        <f t="shared" si="55"/>
        <v>5.7976999999999999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 t="shared" si="56"/>
        <v>0807-10</v>
      </c>
      <c r="AE164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64" s="82" t="str">
        <f t="shared" si="58"/>
        <v>"C:\Program Files (x86)\AstroGrep\AstroGrep.exe" /spath="%USERPROFILE%\AppData\Local\Temp\OnboardLogs" /stypes="app*4031*20170210*" /stext=" 14:.+((SYSTEM_STATE.+slice.+state.+changed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86" t="str">
        <f t="shared" si="60"/>
        <v>"%USERPROFILE%\Documents\GitHub\eaglep3\Utilities\RefineRTDCRunTimes.py" --tripid 807-10 --locoid 4031 --swversion DE.1.0.8.0 --startMP 204:1018 --initTime 2017-02-10T06:58:18 --startdatetime 2017-02-10T07:21:14 --delay 1 --endMP 300:58995 --enddatetime 2017-02-10T07:34:46 --enforcementcount 0 &gt;&gt;C:\Users\stu\Documents\GitHub\eaglep3-reporting\EC\2017-02-10-refined-times.txt</v>
      </c>
      <c r="AI164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{"issue":{"subject":"","project_id":79,"tracker_id":40,"status_id":1,"priority_id":2,"assigned_to_id":23,"start_date":"2017-02-10","description":"","custom_fields":[{"id":1,"name":"Subdivision","value":"NW"},{"id":4,"name":"Milepost","value":"5.8995"},{"id":17,"name":"Train ID","value":"807-10"},{"id":16,"name":"Locomotive ID","value":"4031"},{"id":130,"name":"Impact","value":""},{"id":150,"name":"Time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2"/>
        <v>start /low /b %USERPROFILE%\Documents\GitHub\eaglep3\Utilities\DownloadLogsFromS3.py --loco 4031 --day 2017-02-10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602</v>
      </c>
      <c r="B165" s="7">
        <v>4032</v>
      </c>
      <c r="C165" s="21" t="s">
        <v>193</v>
      </c>
      <c r="D165" s="21" t="s">
        <v>518</v>
      </c>
      <c r="E165" s="13">
        <v>42776.317418981482</v>
      </c>
      <c r="F165" s="13">
        <v>42776.320243055554</v>
      </c>
      <c r="G165" s="7">
        <v>1</v>
      </c>
      <c r="H165" s="21" t="s">
        <v>849</v>
      </c>
      <c r="I165" s="13">
        <v>42776.330520833333</v>
      </c>
      <c r="J165" s="7">
        <v>0</v>
      </c>
      <c r="K165" s="98" t="str">
        <f t="shared" si="48"/>
        <v>4031/4032</v>
      </c>
      <c r="L165" s="21" t="str">
        <f>VLOOKUP(A165,'Trips&amp;Operators'!$C$1:$G$99999,5,FALSE)</f>
        <v>SHOOK JOHN</v>
      </c>
      <c r="M165" s="6">
        <f t="shared" si="49"/>
        <v>1.0277777779265307E-2</v>
      </c>
      <c r="N165" s="7">
        <f t="shared" si="47"/>
        <v>14.800000002142042</v>
      </c>
      <c r="O165" s="7"/>
      <c r="P165" s="7"/>
      <c r="Q165" s="22"/>
      <c r="R165" s="22"/>
      <c r="S165" s="31">
        <f t="shared" si="50"/>
        <v>1</v>
      </c>
      <c r="T165" s="46" t="str">
        <f t="shared" si="51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52"/>
        <v>https://d0f6bd738d7f1b3e5a7ca70fe4ff75f0.us-east-1.aws.found.io/app/kibana#/discover/Steve-Slow-Train-Analysis-(2080s-and-2083s)?_g=(refreshInterval:(display:Off,pause:!f,section:0,value:0),time:(from:'2017-02-10T06:37:05-0700',mode:absolute,to:'2017-02-10T08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8" t="str">
        <f t="shared" si="63"/>
        <v>N</v>
      </c>
      <c r="X165" s="188">
        <f t="shared" si="64"/>
        <v>1</v>
      </c>
      <c r="Y165" s="62">
        <f t="shared" si="53"/>
        <v>5.8678999999999997</v>
      </c>
      <c r="Z165" s="62">
        <f t="shared" si="54"/>
        <v>7.3599999999999999E-2</v>
      </c>
      <c r="AA165" s="62">
        <f t="shared" si="55"/>
        <v>5.7942999999999998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 t="shared" si="56"/>
        <v>0808-10</v>
      </c>
      <c r="AE165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65" s="82" t="str">
        <f t="shared" si="58"/>
        <v>"C:\Program Files (x86)\AstroGrep\AstroGrep.exe" /spath="%USERPROFILE%\AppData\Local\Temp\OnboardLogs" /stypes="app*4032*20170210*" /stext=" 14:.+((SYSTEM_STATE.+slice.+state.+changed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86" t="str">
        <f t="shared" si="60"/>
        <v>"%USERPROFILE%\Documents\GitHub\eaglep3\Utilities\RefineRTDCRunTimes.py" --tripid 808-10 --locoid 4032 --swversion DE.1.0.8.0 --startMP 300:58679 --initTime 2017-02-10T07:37:05 --startdatetime 2017-02-10T07:41:09 --delay 1 --endMP 204:736 --enddatetime 2017-02-10T07:55:57 --enforcementcount 0 &gt;&gt;C:\Users\stu\Documents\GitHub\eaglep3-reporting\EC\2017-02-10-refined-times.txt</v>
      </c>
      <c r="AI165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{"issue":{"subject":"","project_id":79,"tracker_id":40,"status_id":1,"priority_id":2,"assigned_to_id":23,"start_date":"2017-02-10","description":"","custom_fields":[{"id":1,"name":"Subdivision","value":"NW"},{"id":4,"name":"Milepost","value":"0.0736"},{"id":17,"name":"Train ID","value":"808-10"},{"id":16,"name":"Locomotive ID","value":"4032"},{"id":130,"name":"Impact","value":""},{"id":150,"name":"Time of Event (Mountain Time)","value":"07:55:57"},{"id":151,"name":"Denver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2"/>
        <v>start /low /b %USERPROFILE%\Documents\GitHub\eaglep3\Utilities\DownloadLogsFromS3.py --loco 4032 --day 2017-02-10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66" spans="1:91" x14ac:dyDescent="0.25">
      <c r="A166" s="33" t="s">
        <v>600</v>
      </c>
      <c r="B166" s="7">
        <v>4016</v>
      </c>
      <c r="C166" s="21" t="s">
        <v>193</v>
      </c>
      <c r="D166" s="21" t="s">
        <v>526</v>
      </c>
      <c r="E166" s="13">
        <v>42776.311238425929</v>
      </c>
      <c r="F166" s="13">
        <v>42776.327245370368</v>
      </c>
      <c r="G166" s="7">
        <v>1</v>
      </c>
      <c r="H166" s="21" t="s">
        <v>535</v>
      </c>
      <c r="I166" s="13">
        <v>42776.336099537039</v>
      </c>
      <c r="J166" s="7">
        <v>0</v>
      </c>
      <c r="K166" s="98" t="str">
        <f t="shared" si="48"/>
        <v>4015/4016</v>
      </c>
      <c r="L166" s="21" t="str">
        <f>VLOOKUP(A166,'Trips&amp;Operators'!$C$1:$G$99999,5,FALSE)</f>
        <v>GEBRETEKLE DAGNEW</v>
      </c>
      <c r="M166" s="6">
        <f t="shared" si="49"/>
        <v>8.8541666700621136E-3</v>
      </c>
      <c r="N166" s="7">
        <f t="shared" si="47"/>
        <v>12.750000004889444</v>
      </c>
      <c r="O166" s="7"/>
      <c r="P166" s="7"/>
      <c r="Q166" s="22"/>
      <c r="R166" s="22"/>
      <c r="S166" s="31">
        <f t="shared" si="50"/>
        <v>1</v>
      </c>
      <c r="T166" s="46" t="str">
        <f t="shared" si="51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52"/>
        <v>https://d0f6bd738d7f1b3e5a7ca70fe4ff75f0.us-east-1.aws.found.io/app/kibana#/discover/Steve-Slow-Train-Analysis-(2080s-and-2083s)?_g=(refreshInterval:(display:Off,pause:!f,section:0,value:0),time:(from:'2017-02-10T06:28:11-0700',mode:absolute,to:'2017-02-10T09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88" t="str">
        <f t="shared" si="63"/>
        <v>N</v>
      </c>
      <c r="X166" s="188">
        <f t="shared" si="64"/>
        <v>1</v>
      </c>
      <c r="Y166" s="62">
        <f t="shared" si="53"/>
        <v>9.8100000000000007E-2</v>
      </c>
      <c r="Z166" s="62">
        <f t="shared" si="54"/>
        <v>5.8993000000000002</v>
      </c>
      <c r="AA166" s="62">
        <f t="shared" si="55"/>
        <v>5.8012000000000006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 t="shared" si="56"/>
        <v>0809-10</v>
      </c>
      <c r="AE166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66" s="82" t="str">
        <f t="shared" si="58"/>
        <v>"C:\Program Files (x86)\AstroGrep\AstroGrep.exe" /spath="%USERPROFILE%\AppData\Local\Temp\OnboardLogs" /stypes="app*4016*20170210*" /stext=" 15:.+((SYSTEM_STATE.+slice.+state.+changed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86" t="str">
        <f t="shared" si="60"/>
        <v>"%USERPROFILE%\Documents\GitHub\eaglep3\Utilities\RefineRTDCRunTimes.py" --tripid 809-10 --locoid 4016 --swversion DE.1.0.8.0 --startMP 204:981 --initTime 2017-02-10T07:28:11 --startdatetime 2017-02-10T07:51:14 --delay 1 --endMP 300:58993 --enddatetime 2017-02-10T08:03:59 --enforcementcount 0 &gt;&gt;C:\Users\stu\Documents\GitHub\eaglep3-reporting\EC\2017-02-10-refined-times.txt</v>
      </c>
      <c r="AI166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{"issue":{"subject":"","project_id":79,"tracker_id":40,"status_id":1,"priority_id":2,"assigned_to_id":23,"start_date":"2017-02-10","description":"","custom_fields":[{"id":1,"name":"Subdivision","value":"NW"},{"id":4,"name":"Milepost","value":"5.8993"},{"id":17,"name":"Train ID","value":"809-10"},{"id":16,"name":"Locomotive ID","value":"4016"},{"id":130,"name":"Impact","value":""},{"id":150,"name":"Time of Event (Mountain Time)","value":"08:03:59"},{"id":151,"name":"Denver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2"/>
        <v>start /low /b %USERPROFILE%\Documents\GitHub\eaglep3\Utilities\DownloadLogsFromS3.py --loco 4016 --day 2017-02-10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</row>
    <row r="167" spans="1:91" x14ac:dyDescent="0.25">
      <c r="A167" s="33" t="s">
        <v>542</v>
      </c>
      <c r="B167" s="7">
        <v>4015</v>
      </c>
      <c r="C167" s="21" t="s">
        <v>193</v>
      </c>
      <c r="D167" s="21" t="s">
        <v>850</v>
      </c>
      <c r="E167" s="13">
        <v>42776.337372685186</v>
      </c>
      <c r="F167" s="13">
        <v>42776.338773148149</v>
      </c>
      <c r="G167" s="7">
        <v>1</v>
      </c>
      <c r="H167" s="21" t="s">
        <v>851</v>
      </c>
      <c r="I167" s="13">
        <v>42776.349976851852</v>
      </c>
      <c r="J167" s="7">
        <v>0</v>
      </c>
      <c r="K167" s="98" t="str">
        <f t="shared" si="48"/>
        <v>4015/4016</v>
      </c>
      <c r="L167" s="21" t="str">
        <f>VLOOKUP(A167,'Trips&amp;Operators'!$C$1:$G$99999,5,FALSE)</f>
        <v>GEBRETEKLE DAGNEW</v>
      </c>
      <c r="M167" s="6">
        <f t="shared" si="49"/>
        <v>1.1203703703358769E-2</v>
      </c>
      <c r="N167" s="7">
        <f t="shared" ref="N167:N198" si="68">24*60*SUM($M167:$M167)</f>
        <v>16.133333332836628</v>
      </c>
      <c r="O167" s="7"/>
      <c r="P167" s="7"/>
      <c r="Q167" s="22"/>
      <c r="R167" s="22"/>
      <c r="S167" s="31">
        <f t="shared" si="50"/>
        <v>1</v>
      </c>
      <c r="T167" s="46" t="str">
        <f t="shared" si="51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52"/>
        <v>https://d0f6bd738d7f1b3e5a7ca70fe4ff75f0.us-east-1.aws.found.io/app/kibana#/discover/Steve-Slow-Train-Analysis-(2080s-and-2083s)?_g=(refreshInterval:(display:Off,pause:!f,section:0,value:0),time:(from:'2017-02-10T07:05:49-0700',mode:absolute,to:'2017-02-10T09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88" t="str">
        <f t="shared" si="63"/>
        <v>N</v>
      </c>
      <c r="X167" s="188">
        <f t="shared" si="64"/>
        <v>1</v>
      </c>
      <c r="Y167" s="62">
        <f t="shared" si="53"/>
        <v>5.8686999999999996</v>
      </c>
      <c r="Z167" s="62">
        <f t="shared" si="54"/>
        <v>1.26E-2</v>
      </c>
      <c r="AA167" s="62">
        <f t="shared" si="55"/>
        <v>5.8560999999999996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 t="shared" si="56"/>
        <v>0810-10</v>
      </c>
      <c r="AE167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67" s="82" t="str">
        <f t="shared" si="58"/>
        <v>"C:\Program Files (x86)\AstroGrep\AstroGrep.exe" /spath="%USERPROFILE%\AppData\Local\Temp\OnboardLogs" /stypes="app*4015*20170210*" /stext=" 15:.+((SYSTEM_STATE.+slice.+state.+changed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86" t="str">
        <f t="shared" si="60"/>
        <v>"%USERPROFILE%\Documents\GitHub\eaglep3\Utilities\RefineRTDCRunTimes.py" --tripid 810-10 --locoid 4015 --swversion DE.1.0.8.0 --startMP 300:58687 --initTime 2017-02-10T08:05:49 --startdatetime 2017-02-10T08:07:50 --delay 1 --endMP 204:126 --enddatetime 2017-02-10T08:23:58 --enforcementcount 0 &gt;&gt;C:\Users\stu\Documents\GitHub\eaglep3-reporting\EC\2017-02-10-refined-times.txt</v>
      </c>
      <c r="AI167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{"issue":{"subject":"","project_id":79,"tracker_id":40,"status_id":1,"priority_id":2,"assigned_to_id":23,"start_date":"2017-02-10","description":"","custom_fields":[{"id":1,"name":"Subdivision","value":"NW"},{"id":4,"name":"Milepost","value":"0.0126"},{"id":17,"name":"Train ID","value":"810-10"},{"id":16,"name":"Locomotive ID","value":"4015"},{"id":130,"name":"Impact","value":""},{"id":150,"name":"Time of Event (Mountain Time)","value":"08:23:58"},{"id":151,"name":"Denver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2"/>
        <v>start /low /b %USERPROFILE%\Documents\GitHub\eaglep3\Utilities\DownloadLogsFromS3.py --loco 4015 --day 2017-02-10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2017-02-10-UncaughtWiMAX.txt</v>
      </c>
    </row>
    <row r="168" spans="1:91" x14ac:dyDescent="0.25">
      <c r="A168" s="33" t="s">
        <v>606</v>
      </c>
      <c r="B168" s="7">
        <v>4031</v>
      </c>
      <c r="C168" s="21" t="s">
        <v>193</v>
      </c>
      <c r="D168" s="21" t="s">
        <v>852</v>
      </c>
      <c r="E168" s="13">
        <v>42776.332592592589</v>
      </c>
      <c r="F168" s="13">
        <v>42776.348090277781</v>
      </c>
      <c r="G168" s="7">
        <v>1</v>
      </c>
      <c r="H168" s="21" t="s">
        <v>521</v>
      </c>
      <c r="I168" s="13">
        <v>42776.357546296298</v>
      </c>
      <c r="J168" s="7">
        <v>0</v>
      </c>
      <c r="K168" s="98" t="str">
        <f t="shared" si="48"/>
        <v>4031/4032</v>
      </c>
      <c r="L168" s="21" t="str">
        <f>VLOOKUP(A168,'Trips&amp;Operators'!$C$1:$G$99999,5,FALSE)</f>
        <v>SHOOK JOHN</v>
      </c>
      <c r="M168" s="6">
        <f t="shared" si="49"/>
        <v>9.4560185170848854E-3</v>
      </c>
      <c r="N168" s="7">
        <f t="shared" si="68"/>
        <v>13.616666664602235</v>
      </c>
      <c r="O168" s="7"/>
      <c r="P168" s="7"/>
      <c r="Q168" s="22"/>
      <c r="R168" s="22"/>
      <c r="S168" s="31">
        <f t="shared" si="50"/>
        <v>1</v>
      </c>
      <c r="T168" s="46" t="str">
        <f t="shared" si="51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52"/>
        <v>https://d0f6bd738d7f1b3e5a7ca70fe4ff75f0.us-east-1.aws.found.io/app/kibana#/discover/Steve-Slow-Train-Analysis-(2080s-and-2083s)?_g=(refreshInterval:(display:Off,pause:!f,section:0,value:0),time:(from:'2017-02-10T06:58:56-0700',mode:absolute,to:'2017-02-10T09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8" t="str">
        <f t="shared" si="63"/>
        <v>N</v>
      </c>
      <c r="X168" s="188">
        <f t="shared" si="64"/>
        <v>1</v>
      </c>
      <c r="Y168" s="62">
        <f t="shared" si="53"/>
        <v>0.10340000000000001</v>
      </c>
      <c r="Z168" s="62">
        <f t="shared" si="54"/>
        <v>5.899</v>
      </c>
      <c r="AA168" s="62">
        <f t="shared" si="55"/>
        <v>5.7956000000000003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 t="shared" si="56"/>
        <v>0811-10</v>
      </c>
      <c r="AE168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68" s="82" t="str">
        <f t="shared" si="58"/>
        <v>"C:\Program Files (x86)\AstroGrep\AstroGrep.exe" /spath="%USERPROFILE%\AppData\Local\Temp\OnboardLogs" /stypes="app*4031*20170210*" /stext=" 15:.+((SYSTEM_STATE.+slice.+state.+changed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86" t="str">
        <f t="shared" si="60"/>
        <v>"%USERPROFILE%\Documents\GitHub\eaglep3\Utilities\RefineRTDCRunTimes.py" --tripid 811-10 --locoid 4031 --swversion DE.1.0.8.0 --startMP 204:1034 --initTime 2017-02-10T07:58:56 --startdatetime 2017-02-10T08:21:15 --delay 1 --endMP 300:58990 --enddatetime 2017-02-10T08:34:52 --enforcementcount 0 &gt;&gt;C:\Users\stu\Documents\GitHub\eaglep3-reporting\EC\2017-02-10-refined-times.txt</v>
      </c>
      <c r="AI168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{"issue":{"subject":"","project_id":79,"tracker_id":40,"status_id":1,"priority_id":2,"assigned_to_id":23,"start_date":"2017-02-10","description":"","custom_fields":[{"id":1,"name":"Subdivision","value":"NW"},{"id":4,"name":"Milepost","value":"5.899"},{"id":17,"name":"Train ID","value":"811-10"},{"id":16,"name":"Locomotive ID","value":"4031"},{"id":130,"name":"Impact","value":""},{"id":150,"name":"Time of Event (Mountain Time)","value":"08:34:52"},{"id":151,"name":"Denver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2"/>
        <v>start /low /b %USERPROFILE%\Documents\GitHub\eaglep3\Utilities\DownloadLogsFromS3.py --loco 4031 --day 2017-02-10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</row>
    <row r="169" spans="1:91" x14ac:dyDescent="0.25">
      <c r="A169" s="33" t="s">
        <v>613</v>
      </c>
      <c r="B169" s="7">
        <v>4032</v>
      </c>
      <c r="C169" s="21" t="s">
        <v>193</v>
      </c>
      <c r="D169" s="21" t="s">
        <v>518</v>
      </c>
      <c r="E169" s="13">
        <v>42776.359027777777</v>
      </c>
      <c r="F169" s="13">
        <v>42776.361851851849</v>
      </c>
      <c r="G169" s="7">
        <v>1</v>
      </c>
      <c r="H169" s="21" t="s">
        <v>849</v>
      </c>
      <c r="I169" s="13">
        <v>42776.371701388889</v>
      </c>
      <c r="J169" s="7">
        <v>0</v>
      </c>
      <c r="K169" s="98" t="str">
        <f t="shared" si="48"/>
        <v>4031/4032</v>
      </c>
      <c r="L169" s="21" t="str">
        <f>VLOOKUP(A169,'Trips&amp;Operators'!$C$1:$G$99999,5,FALSE)</f>
        <v>SHOOK JOHN</v>
      </c>
      <c r="M169" s="6">
        <f t="shared" si="49"/>
        <v>9.8495370402815752E-3</v>
      </c>
      <c r="N169" s="7">
        <f t="shared" si="68"/>
        <v>14.183333338005468</v>
      </c>
      <c r="O169" s="7"/>
      <c r="P169" s="7"/>
      <c r="Q169" s="22"/>
      <c r="R169" s="22"/>
      <c r="S169" s="31">
        <f t="shared" si="50"/>
        <v>1</v>
      </c>
      <c r="T169" s="46" t="str">
        <f t="shared" si="51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52"/>
        <v>https://d0f6bd738d7f1b3e5a7ca70fe4ff75f0.us-east-1.aws.found.io/app/kibana#/discover/Steve-Slow-Train-Analysis-(2080s-and-2083s)?_g=(refreshInterval:(display:Off,pause:!f,section:0,value:0),time:(from:'2017-02-10T07:37:00-0700',mode:absolute,to:'2017-02-10T09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8" t="str">
        <f t="shared" si="63"/>
        <v>N</v>
      </c>
      <c r="X169" s="188">
        <f t="shared" si="64"/>
        <v>1</v>
      </c>
      <c r="Y169" s="62">
        <f t="shared" si="53"/>
        <v>5.8678999999999997</v>
      </c>
      <c r="Z169" s="62">
        <f t="shared" si="54"/>
        <v>7.3599999999999999E-2</v>
      </c>
      <c r="AA169" s="62">
        <f t="shared" si="55"/>
        <v>5.7942999999999998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 t="shared" si="56"/>
        <v>0812-10</v>
      </c>
      <c r="AE169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69" s="82" t="str">
        <f t="shared" si="58"/>
        <v>"C:\Program Files (x86)\AstroGrep\AstroGrep.exe" /spath="%USERPROFILE%\AppData\Local\Temp\OnboardLogs" /stypes="app*4032*20170210*" /stext=" 15:.+((SYSTEM_STATE.+slice.+state.+changed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86" t="str">
        <f t="shared" si="60"/>
        <v>"%USERPROFILE%\Documents\GitHub\eaglep3\Utilities\RefineRTDCRunTimes.py" --tripid 812-10 --locoid 4032 --swversion DE.1.0.8.0 --startMP 300:58679 --initTime 2017-02-10T08:37:00 --startdatetime 2017-02-10T08:41:04 --delay 1 --endMP 204:736 --enddatetime 2017-02-10T08:55:15 --enforcementcount 0 &gt;&gt;C:\Users\stu\Documents\GitHub\eaglep3-reporting\EC\2017-02-10-refined-times.txt</v>
      </c>
      <c r="AI169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{"issue":{"subject":"","project_id":79,"tracker_id":40,"status_id":1,"priority_id":2,"assigned_to_id":23,"start_date":"2017-02-10","description":"","custom_fields":[{"id":1,"name":"Subdivision","value":"NW"},{"id":4,"name":"Milepost","value":"0.0736"},{"id":17,"name":"Train ID","value":"812-10"},{"id":16,"name":"Locomotive ID","value":"4032"},{"id":130,"name":"Impact","value":""},{"id":150,"name":"Time of Event (Mountain Time)","value":"08:55:15"},{"id":151,"name":"Denver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2"/>
        <v>start /low /b %USERPROFILE%\Documents\GitHub\eaglep3\Utilities\DownloadLogsFromS3.py --loco 4032 --day 2017-02-10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70" spans="1:91" s="20" customFormat="1" x14ac:dyDescent="0.25">
      <c r="A170" s="33" t="s">
        <v>617</v>
      </c>
      <c r="B170" s="7">
        <v>4031</v>
      </c>
      <c r="C170" s="21" t="s">
        <v>193</v>
      </c>
      <c r="D170" s="21" t="s">
        <v>853</v>
      </c>
      <c r="E170" s="13">
        <v>42776.373506944445</v>
      </c>
      <c r="F170" s="13">
        <v>42776.389780092592</v>
      </c>
      <c r="G170" s="7">
        <v>1</v>
      </c>
      <c r="H170" s="21" t="s">
        <v>519</v>
      </c>
      <c r="I170" s="13">
        <v>42776.39916666667</v>
      </c>
      <c r="J170" s="7">
        <v>0</v>
      </c>
      <c r="K170" s="98" t="str">
        <f t="shared" si="48"/>
        <v>4031/4032</v>
      </c>
      <c r="L170" s="21" t="str">
        <f>VLOOKUP(A170,'Trips&amp;Operators'!$C$1:$G$99999,5,FALSE)</f>
        <v>SHOOK JOHN</v>
      </c>
      <c r="M170" s="6">
        <f t="shared" si="49"/>
        <v>9.3865740782348439E-3</v>
      </c>
      <c r="N170" s="7">
        <f t="shared" si="68"/>
        <v>13.516666672658175</v>
      </c>
      <c r="O170" s="7"/>
      <c r="P170" s="7"/>
      <c r="Q170" s="22"/>
      <c r="R170" s="22"/>
      <c r="S170" s="31">
        <f t="shared" si="50"/>
        <v>1</v>
      </c>
      <c r="T170" s="46" t="str">
        <f t="shared" si="51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52"/>
        <v>https://d0f6bd738d7f1b3e5a7ca70fe4ff75f0.us-east-1.aws.found.io/app/kibana#/discover/Steve-Slow-Train-Analysis-(2080s-and-2083s)?_g=(refreshInterval:(display:Off,pause:!f,section:0,value:0),time:(from:'2017-02-10T07:57:51-0700',mode:absolute,to:'2017-02-10T10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8" t="str">
        <f t="shared" si="63"/>
        <v>N</v>
      </c>
      <c r="X170" s="188">
        <f t="shared" si="64"/>
        <v>1</v>
      </c>
      <c r="Y170" s="62">
        <f t="shared" si="53"/>
        <v>0.1028</v>
      </c>
      <c r="Z170" s="62">
        <f t="shared" si="54"/>
        <v>5.8998999999999997</v>
      </c>
      <c r="AA170" s="62">
        <f t="shared" si="55"/>
        <v>5.7970999999999995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 t="shared" si="56"/>
        <v>0813-10</v>
      </c>
      <c r="AE170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70" s="82" t="str">
        <f t="shared" si="58"/>
        <v>"C:\Program Files (x86)\AstroGrep\AstroGrep.exe" /spath="%USERPROFILE%\AppData\Local\Temp\OnboardLogs" /stypes="app*4031*20170210*" /stext=" 16:.+((SYSTEM_STATE.+slice.+state.+changed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86" t="str">
        <f t="shared" si="60"/>
        <v>"%USERPROFILE%\Documents\GitHub\eaglep3\Utilities\RefineRTDCRunTimes.py" --tripid 813-10 --locoid 4031 --swversion DE.1.0.8.0 --startMP 204:1028 --initTime 2017-02-10T08:57:51 --startdatetime 2017-02-10T09:21:17 --delay 1 --endMP 300:58999 --enddatetime 2017-02-10T09:34:48 --enforcementcount 0 &gt;&gt;C:\Users\stu\Documents\GitHub\eaglep3-reporting\EC\2017-02-10-refined-times.txt</v>
      </c>
      <c r="AI170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{"issue":{"subject":"","project_id":79,"tracker_id":40,"status_id":1,"priority_id":2,"assigned_to_id":23,"start_date":"2017-02-10","description":"","custom_fields":[{"id":1,"name":"Subdivision","value":"NW"},{"id":4,"name":"Milepost","value":"5.8999"},{"id":17,"name":"Train ID","value":"813-10"},{"id":16,"name":"Locomotive ID","value":"4031"},{"id":130,"name":"Impact","value":""},{"id":150,"name":"Time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2"/>
        <v>start /low /b %USERPROFILE%\Documents\GitHub\eaglep3\Utilities\DownloadLogsFromS3.py --loco 4031 --day 2017-02-10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622</v>
      </c>
      <c r="B171" s="7">
        <v>4032</v>
      </c>
      <c r="C171" s="21" t="s">
        <v>193</v>
      </c>
      <c r="D171" s="21" t="s">
        <v>840</v>
      </c>
      <c r="E171" s="13">
        <v>42776.400856481479</v>
      </c>
      <c r="F171" s="13">
        <v>42776.403449074074</v>
      </c>
      <c r="G171" s="7">
        <v>1</v>
      </c>
      <c r="H171" s="21" t="s">
        <v>495</v>
      </c>
      <c r="I171" s="13">
        <v>42776.413310185184</v>
      </c>
      <c r="J171" s="7">
        <v>0</v>
      </c>
      <c r="K171" s="98" t="str">
        <f t="shared" si="48"/>
        <v>4031/4032</v>
      </c>
      <c r="L171" s="21" t="str">
        <f>VLOOKUP(A171,'Trips&amp;Operators'!$C$1:$G$99999,5,FALSE)</f>
        <v>SHOOK JOHN</v>
      </c>
      <c r="M171" s="6">
        <f t="shared" si="49"/>
        <v>9.8611111097852699E-3</v>
      </c>
      <c r="N171" s="7">
        <f t="shared" si="68"/>
        <v>14.199999998090789</v>
      </c>
      <c r="O171" s="7"/>
      <c r="P171" s="7"/>
      <c r="Q171" s="22"/>
      <c r="R171" s="22"/>
      <c r="S171" s="31">
        <f t="shared" si="50"/>
        <v>1</v>
      </c>
      <c r="T171" s="46" t="str">
        <f t="shared" si="51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52"/>
        <v>https://d0f6bd738d7f1b3e5a7ca70fe4ff75f0.us-east-1.aws.found.io/app/kibana#/discover/Steve-Slow-Train-Analysis-(2080s-and-2083s)?_g=(refreshInterval:(display:Off,pause:!f,section:0,value:0),time:(from:'2017-02-10T08:37:14-0700',mode:absolute,to:'2017-02-10T10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8" t="str">
        <f t="shared" si="63"/>
        <v>N</v>
      </c>
      <c r="X171" s="188">
        <f t="shared" si="64"/>
        <v>1</v>
      </c>
      <c r="Y171" s="62">
        <f t="shared" si="53"/>
        <v>5.8677000000000001</v>
      </c>
      <c r="Z171" s="62">
        <f t="shared" si="54"/>
        <v>7.4800000000000005E-2</v>
      </c>
      <c r="AA171" s="62">
        <f t="shared" si="55"/>
        <v>5.7929000000000004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 t="shared" si="56"/>
        <v>0814-10</v>
      </c>
      <c r="AE171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71" s="82" t="str">
        <f t="shared" si="58"/>
        <v>"C:\Program Files (x86)\AstroGrep\AstroGrep.exe" /spath="%USERPROFILE%\AppData\Local\Temp\OnboardLogs" /stypes="app*4032*20170210*" /stext=" 16:.+((SYSTEM_STATE.+slice.+state.+changed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86" t="str">
        <f t="shared" si="60"/>
        <v>"%USERPROFILE%\Documents\GitHub\eaglep3\Utilities\RefineRTDCRunTimes.py" --tripid 814-10 --locoid 4032 --swversion DE.1.0.8.0 --startMP 300:58677 --initTime 2017-02-10T09:37:14 --startdatetime 2017-02-10T09:40:58 --delay 1 --endMP 204:748 --enddatetime 2017-02-10T09:55:10 --enforcementcount 0 &gt;&gt;C:\Users\stu\Documents\GitHub\eaglep3-reporting\EC\2017-02-10-refined-times.txt</v>
      </c>
      <c r="AI171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{"issue":{"subject":"","project_id":79,"tracker_id":40,"status_id":1,"priority_id":2,"assigned_to_id":23,"start_date":"2017-02-10","description":"","custom_fields":[{"id":1,"name":"Subdivision","value":"NW"},{"id":4,"name":"Milepost","value":"0.0748"},{"id":17,"name":"Train ID","value":"814-10"},{"id":16,"name":"Locomotive ID","value":"4032"},{"id":130,"name":"Impact","value":""},{"id":150,"name":"Time of Event (Mountain Time)","value":"09:55:10"},{"id":151,"name":"Denver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2"/>
        <v>start /low /b %USERPROFILE%\Documents\GitHub\eaglep3\Utilities\DownloadLogsFromS3.py --loco 4032 --day 2017-02-10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72" spans="1:91" x14ac:dyDescent="0.25">
      <c r="A172" s="33" t="s">
        <v>626</v>
      </c>
      <c r="B172" s="7">
        <v>4031</v>
      </c>
      <c r="C172" s="21" t="s">
        <v>193</v>
      </c>
      <c r="D172" s="21" t="s">
        <v>854</v>
      </c>
      <c r="E172" s="13">
        <v>42776.415023148147</v>
      </c>
      <c r="F172" s="13">
        <v>42776.431469907409</v>
      </c>
      <c r="G172" s="7">
        <v>1</v>
      </c>
      <c r="H172" s="21" t="s">
        <v>855</v>
      </c>
      <c r="I172" s="13">
        <v>42776.440763888888</v>
      </c>
      <c r="J172" s="7">
        <v>0</v>
      </c>
      <c r="K172" s="98" t="str">
        <f t="shared" si="48"/>
        <v>4031/4032</v>
      </c>
      <c r="L172" s="21" t="str">
        <f>VLOOKUP(A172,'Trips&amp;Operators'!$C$1:$G$99999,5,FALSE)</f>
        <v>SHOOK JOHN</v>
      </c>
      <c r="M172" s="6">
        <f t="shared" si="49"/>
        <v>9.29398147854954E-3</v>
      </c>
      <c r="N172" s="7">
        <f t="shared" si="68"/>
        <v>13.383333329111338</v>
      </c>
      <c r="O172" s="7"/>
      <c r="P172" s="7"/>
      <c r="Q172" s="22"/>
      <c r="R172" s="22"/>
      <c r="S172" s="31">
        <f t="shared" si="50"/>
        <v>1</v>
      </c>
      <c r="T172" s="46" t="str">
        <f t="shared" si="51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52"/>
        <v>https://d0f6bd738d7f1b3e5a7ca70fe4ff75f0.us-east-1.aws.found.io/app/kibana#/discover/Steve-Slow-Train-Analysis-(2080s-and-2083s)?_g=(refreshInterval:(display:Off,pause:!f,section:0,value:0),time:(from:'2017-02-10T08:57:38-0700',mode:absolute,to:'2017-02-10T11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8" t="str">
        <f t="shared" si="63"/>
        <v>N</v>
      </c>
      <c r="X172" s="188">
        <f t="shared" si="64"/>
        <v>1</v>
      </c>
      <c r="Y172" s="62">
        <f t="shared" si="53"/>
        <v>0.10349999999999999</v>
      </c>
      <c r="Z172" s="62">
        <f t="shared" si="54"/>
        <v>5.8997000000000002</v>
      </c>
      <c r="AA172" s="62">
        <f t="shared" si="55"/>
        <v>5.7961999999999998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 t="shared" si="56"/>
        <v>0815-10</v>
      </c>
      <c r="AE172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72" s="82" t="str">
        <f t="shared" si="58"/>
        <v>"C:\Program Files (x86)\AstroGrep\AstroGrep.exe" /spath="%USERPROFILE%\AppData\Local\Temp\OnboardLogs" /stypes="app*4031*20170210*" /stext=" 17:.+((SYSTEM_STATE.+slice.+state.+changed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86" t="str">
        <f t="shared" si="60"/>
        <v>"%USERPROFILE%\Documents\GitHub\eaglep3\Utilities\RefineRTDCRunTimes.py" --tripid 815-10 --locoid 4031 --swversion DE.1.0.8.0 --startMP 204:1035 --initTime 2017-02-10T09:57:38 --startdatetime 2017-02-10T10:21:19 --delay 1 --endMP 300:58997 --enddatetime 2017-02-10T10:34:42 --enforcementcount 0 &gt;&gt;C:\Users\stu\Documents\GitHub\eaglep3-reporting\EC\2017-02-10-refined-times.txt</v>
      </c>
      <c r="AI172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{"issue":{"subject":"","project_id":79,"tracker_id":40,"status_id":1,"priority_id":2,"assigned_to_id":23,"start_date":"2017-02-10","description":"","custom_fields":[{"id":1,"name":"Subdivision","value":"NW"},{"id":4,"name":"Milepost","value":"5.8997"},{"id":17,"name":"Train ID","value":"815-10"},{"id":16,"name":"Locomotive ID","value":"4031"},{"id":130,"name":"Impact","value":""},{"id":150,"name":"Time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2"/>
        <v>start /low /b %USERPROFILE%\Documents\GitHub\eaglep3\Utilities\DownloadLogsFromS3.py --loco 4031 --day 2017-02-10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</row>
    <row r="173" spans="1:91" x14ac:dyDescent="0.25">
      <c r="A173" s="33" t="s">
        <v>631</v>
      </c>
      <c r="B173" s="7">
        <v>4032</v>
      </c>
      <c r="C173" s="21" t="s">
        <v>193</v>
      </c>
      <c r="D173" s="21" t="s">
        <v>856</v>
      </c>
      <c r="E173" s="13">
        <v>42776.44263888889</v>
      </c>
      <c r="F173" s="13">
        <v>42776.4450462963</v>
      </c>
      <c r="G173" s="7">
        <v>1</v>
      </c>
      <c r="H173" s="21" t="s">
        <v>857</v>
      </c>
      <c r="I173" s="13">
        <v>42776.455092592594</v>
      </c>
      <c r="J173" s="7">
        <v>0</v>
      </c>
      <c r="K173" s="98" t="str">
        <f t="shared" si="48"/>
        <v>4031/4032</v>
      </c>
      <c r="L173" s="21" t="str">
        <f>VLOOKUP(A173,'Trips&amp;Operators'!$C$1:$G$99999,5,FALSE)</f>
        <v>SHOOK JOHN</v>
      </c>
      <c r="M173" s="6">
        <f t="shared" si="49"/>
        <v>1.0046296294603962E-2</v>
      </c>
      <c r="N173" s="7">
        <f t="shared" si="68"/>
        <v>14.466666664229706</v>
      </c>
      <c r="O173" s="7"/>
      <c r="P173" s="7"/>
      <c r="Q173" s="22"/>
      <c r="R173" s="22"/>
      <c r="S173" s="31">
        <f t="shared" si="50"/>
        <v>1</v>
      </c>
      <c r="T173" s="46" t="str">
        <f t="shared" si="51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52"/>
        <v>https://d0f6bd738d7f1b3e5a7ca70fe4ff75f0.us-east-1.aws.found.io/app/kibana#/discover/Steve-Slow-Train-Analysis-(2080s-and-2083s)?_g=(refreshInterval:(display:Off,pause:!f,section:0,value:0),time:(from:'2017-02-10T09:37:24-0700',mode:absolute,to:'2017-02-10T11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8" t="str">
        <f t="shared" si="63"/>
        <v>N</v>
      </c>
      <c r="X173" s="188">
        <f t="shared" si="64"/>
        <v>1</v>
      </c>
      <c r="Y173" s="62">
        <f t="shared" si="53"/>
        <v>5.8692000000000002</v>
      </c>
      <c r="Z173" s="62">
        <f t="shared" si="54"/>
        <v>7.3300000000000004E-2</v>
      </c>
      <c r="AA173" s="62">
        <f t="shared" si="55"/>
        <v>5.7959000000000005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 t="shared" si="56"/>
        <v>0816-10</v>
      </c>
      <c r="AE173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73" s="82" t="str">
        <f t="shared" si="58"/>
        <v>"C:\Program Files (x86)\AstroGrep\AstroGrep.exe" /spath="%USERPROFILE%\AppData\Local\Temp\OnboardLogs" /stypes="app*4032*20170210*" /stext=" 17:.+((SYSTEM_STATE.+slice.+state.+changed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86" t="str">
        <f t="shared" si="60"/>
        <v>"%USERPROFILE%\Documents\GitHub\eaglep3\Utilities\RefineRTDCRunTimes.py" --tripid 816-10 --locoid 4032 --swversion DE.1.0.8.0 --startMP 300:58692 --initTime 2017-02-10T10:37:24 --startdatetime 2017-02-10T10:40:52 --delay 1 --endMP 204:733 --enddatetime 2017-02-10T10:55:20 --enforcementcount 0 &gt;&gt;C:\Users\stu\Documents\GitHub\eaglep3-reporting\EC\2017-02-10-refined-times.txt</v>
      </c>
      <c r="AI173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{"issue":{"subject":"","project_id":79,"tracker_id":40,"status_id":1,"priority_id":2,"assigned_to_id":23,"start_date":"2017-02-10","description":"","custom_fields":[{"id":1,"name":"Subdivision","value":"NW"},{"id":4,"name":"Milepost","value":"0.0733"},{"id":17,"name":"Train ID","value":"816-10"},{"id":16,"name":"Locomotive ID","value":"4032"},{"id":130,"name":"Impact","value":""},{"id":150,"name":"Time of Event (Mountain Time)","value":"10:55:20"},{"id":151,"name":"Denver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2"/>
        <v>start /low /b %USERPROFILE%\Documents\GitHub\eaglep3\Utilities\DownloadLogsFromS3.py --loco 4032 --day 2017-02-10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74" spans="1:91" s="20" customFormat="1" x14ac:dyDescent="0.25">
      <c r="A174" s="33" t="s">
        <v>635</v>
      </c>
      <c r="B174" s="7">
        <v>4031</v>
      </c>
      <c r="C174" s="21" t="s">
        <v>193</v>
      </c>
      <c r="D174" s="21" t="s">
        <v>858</v>
      </c>
      <c r="E174" s="13">
        <v>42776.456828703704</v>
      </c>
      <c r="F174" s="13">
        <v>42776.473101851851</v>
      </c>
      <c r="G174" s="7">
        <v>1</v>
      </c>
      <c r="H174" s="21" t="s">
        <v>859</v>
      </c>
      <c r="I174" s="13">
        <v>42776.482847222222</v>
      </c>
      <c r="J174" s="7">
        <v>0</v>
      </c>
      <c r="K174" s="98" t="str">
        <f t="shared" si="48"/>
        <v>4031/4032</v>
      </c>
      <c r="L174" s="21" t="str">
        <f>VLOOKUP(A174,'Trips&amp;Operators'!$C$1:$G$99999,5,FALSE)</f>
        <v>SHOOK JOHN</v>
      </c>
      <c r="M174" s="6">
        <f t="shared" si="49"/>
        <v>9.7453703710925765E-3</v>
      </c>
      <c r="N174" s="7">
        <f t="shared" si="68"/>
        <v>14.03333333437331</v>
      </c>
      <c r="O174" s="7"/>
      <c r="P174" s="7"/>
      <c r="Q174" s="22"/>
      <c r="R174" s="22"/>
      <c r="S174" s="31">
        <f t="shared" si="50"/>
        <v>1</v>
      </c>
      <c r="T174" s="46" t="str">
        <f t="shared" si="51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52"/>
        <v>https://d0f6bd738d7f1b3e5a7ca70fe4ff75f0.us-east-1.aws.found.io/app/kibana#/discover/Steve-Slow-Train-Analysis-(2080s-and-2083s)?_g=(refreshInterval:(display:Off,pause:!f,section:0,value:0),time:(from:'2017-02-10T09:57:50-0700',mode:absolute,to:'2017-02-10T12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8" t="str">
        <f t="shared" si="63"/>
        <v>N</v>
      </c>
      <c r="X174" s="188">
        <f t="shared" si="64"/>
        <v>1</v>
      </c>
      <c r="Y174" s="62">
        <f t="shared" si="53"/>
        <v>0.1032</v>
      </c>
      <c r="Z174" s="62">
        <f t="shared" si="54"/>
        <v>5.9002999999999997</v>
      </c>
      <c r="AA174" s="62">
        <f t="shared" si="55"/>
        <v>5.7970999999999995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 t="shared" si="56"/>
        <v>0817-10</v>
      </c>
      <c r="AE174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74" s="82" t="str">
        <f t="shared" si="58"/>
        <v>"C:\Program Files (x86)\AstroGrep\AstroGrep.exe" /spath="%USERPROFILE%\AppData\Local\Temp\OnboardLogs" /stypes="app*4031*20170210*" /stext=" 18:.+((SYSTEM_STATE.+slice.+state.+changed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86" t="str">
        <f t="shared" si="60"/>
        <v>"%USERPROFILE%\Documents\GitHub\eaglep3\Utilities\RefineRTDCRunTimes.py" --tripid 817-10 --locoid 4031 --swversion DE.1.0.8.0 --startMP 204:1032 --initTime 2017-02-10T10:57:50 --startdatetime 2017-02-10T11:21:16 --delay 1 --endMP 300:59003 --enddatetime 2017-02-10T11:35:18 --enforcementcount 0 &gt;&gt;C:\Users\stu\Documents\GitHub\eaglep3-reporting\EC\2017-02-10-refined-times.txt</v>
      </c>
      <c r="AI174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{"issue":{"subject":"","project_id":79,"tracker_id":40,"status_id":1,"priority_id":2,"assigned_to_id":23,"start_date":"2017-02-10","description":"","custom_fields":[{"id":1,"name":"Subdivision","value":"NW"},{"id":4,"name":"Milepost","value":"5.9003"},{"id":17,"name":"Train ID","value":"817-10"},{"id":16,"name":"Locomotive ID","value":"4031"},{"id":130,"name":"Impact","value":""},{"id":150,"name":"Time of Event (Mountain Time)","value":"11:35:18"},{"id":151,"name":"Denver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2"/>
        <v>start /low /b %USERPROFILE%\Documents\GitHub\eaglep3\Utilities\DownloadLogsFromS3.py --loco 4031 --day 2017-02-10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645</v>
      </c>
      <c r="B175" s="7">
        <v>4032</v>
      </c>
      <c r="C175" s="21" t="s">
        <v>193</v>
      </c>
      <c r="D175" s="21" t="s">
        <v>536</v>
      </c>
      <c r="E175" s="13">
        <v>42776.484907407408</v>
      </c>
      <c r="F175" s="13">
        <v>42776.486840277779</v>
      </c>
      <c r="G175" s="7">
        <v>1</v>
      </c>
      <c r="H175" s="21" t="s">
        <v>495</v>
      </c>
      <c r="I175" s="13">
        <v>42776.497418981482</v>
      </c>
      <c r="J175" s="7">
        <v>0</v>
      </c>
      <c r="K175" s="98" t="str">
        <f t="shared" si="48"/>
        <v>4031/4032</v>
      </c>
      <c r="L175" s="21" t="str">
        <f>VLOOKUP(A175,'Trips&amp;Operators'!$C$1:$G$99999,5,FALSE)</f>
        <v>SHOOK JOHN</v>
      </c>
      <c r="M175" s="6">
        <f t="shared" si="49"/>
        <v>1.0578703702776693E-2</v>
      </c>
      <c r="N175" s="7">
        <f t="shared" si="68"/>
        <v>15.233333331998438</v>
      </c>
      <c r="O175" s="7"/>
      <c r="P175" s="7"/>
      <c r="Q175" s="22"/>
      <c r="R175" s="22"/>
      <c r="S175" s="31">
        <f t="shared" si="50"/>
        <v>1</v>
      </c>
      <c r="T175" s="46" t="str">
        <f t="shared" si="51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52"/>
        <v>https://d0f6bd738d7f1b3e5a7ca70fe4ff75f0.us-east-1.aws.found.io/app/kibana#/discover/Steve-Slow-Train-Analysis-(2080s-and-2083s)?_g=(refreshInterval:(display:Off,pause:!f,section:0,value:0),time:(from:'2017-02-10T10:38:16-0700',mode:absolute,to:'2017-02-10T12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8" t="str">
        <f t="shared" si="63"/>
        <v>N</v>
      </c>
      <c r="X175" s="188">
        <f t="shared" si="64"/>
        <v>1</v>
      </c>
      <c r="Y175" s="62">
        <f t="shared" si="53"/>
        <v>5.8685</v>
      </c>
      <c r="Z175" s="62">
        <f t="shared" si="54"/>
        <v>7.4800000000000005E-2</v>
      </c>
      <c r="AA175" s="62">
        <f t="shared" si="55"/>
        <v>5.7937000000000003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 t="shared" si="56"/>
        <v>0818-10</v>
      </c>
      <c r="AE175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75" s="82" t="str">
        <f t="shared" si="58"/>
        <v>"C:\Program Files (x86)\AstroGrep\AstroGrep.exe" /spath="%USERPROFILE%\AppData\Local\Temp\OnboardLogs" /stypes="app*4032*20170210*" /stext=" 18:.+((SYSTEM_STATE.+slice.+state.+changed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86" t="str">
        <f t="shared" si="60"/>
        <v>"%USERPROFILE%\Documents\GitHub\eaglep3\Utilities\RefineRTDCRunTimes.py" --tripid 818-10 --locoid 4032 --swversion DE.1.0.8.0 --startMP 300:58685 --initTime 2017-02-10T11:38:16 --startdatetime 2017-02-10T11:41:03 --delay 1 --endMP 204:748 --enddatetime 2017-02-10T11:56:17 --enforcementcount 0 &gt;&gt;C:\Users\stu\Documents\GitHub\eaglep3-reporting\EC\2017-02-10-refined-times.txt</v>
      </c>
      <c r="AI175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{"issue":{"subject":"","project_id":79,"tracker_id":40,"status_id":1,"priority_id":2,"assigned_to_id":23,"start_date":"2017-02-10","description":"","custom_fields":[{"id":1,"name":"Subdivision","value":"NW"},{"id":4,"name":"Milepost","value":"0.0748"},{"id":17,"name":"Train ID","value":"818-10"},{"id":16,"name":"Locomotive ID","value":"4032"},{"id":130,"name":"Impact","value":""},{"id":150,"name":"Time of Event (Mountain Time)","value":"11:56:17"},{"id":151,"name":"Denver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2"/>
        <v>start /low /b %USERPROFILE%\Documents\GitHub\eaglep3\Utilities\DownloadLogsFromS3.py --loco 4032 --day 2017-02-10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76" spans="1:91" x14ac:dyDescent="0.25">
      <c r="A176" s="33" t="s">
        <v>650</v>
      </c>
      <c r="B176" s="7">
        <v>4031</v>
      </c>
      <c r="C176" s="21" t="s">
        <v>193</v>
      </c>
      <c r="D176" s="21" t="s">
        <v>860</v>
      </c>
      <c r="E176" s="13">
        <v>42776.499166666668</v>
      </c>
      <c r="F176" s="13">
        <v>42776.514780092592</v>
      </c>
      <c r="G176" s="7">
        <v>1</v>
      </c>
      <c r="H176" s="21" t="s">
        <v>521</v>
      </c>
      <c r="I176" s="13">
        <v>42776.524675925924</v>
      </c>
      <c r="J176" s="7">
        <v>0</v>
      </c>
      <c r="K176" s="98" t="str">
        <f t="shared" si="48"/>
        <v>4031/4032</v>
      </c>
      <c r="L176" s="21" t="str">
        <f>VLOOKUP(A176,'Trips&amp;Operators'!$C$1:$G$99999,5,FALSE)</f>
        <v>SHOOK JOHN</v>
      </c>
      <c r="M176" s="6">
        <f t="shared" si="49"/>
        <v>9.8958333328482695E-3</v>
      </c>
      <c r="N176" s="7">
        <f t="shared" si="68"/>
        <v>14.249999999301508</v>
      </c>
      <c r="O176" s="7"/>
      <c r="P176" s="7"/>
      <c r="Q176" s="22"/>
      <c r="R176" s="22"/>
      <c r="S176" s="31">
        <f t="shared" si="50"/>
        <v>1</v>
      </c>
      <c r="T176" s="46" t="str">
        <f t="shared" si="51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52"/>
        <v>https://d0f6bd738d7f1b3e5a7ca70fe4ff75f0.us-east-1.aws.found.io/app/kibana#/discover/Steve-Slow-Train-Analysis-(2080s-and-2083s)?_g=(refreshInterval:(display:Off,pause:!f,section:0,value:0),time:(from:'2017-02-10T10:58:48-0700',mode:absolute,to:'2017-02-10T13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8" t="str">
        <f t="shared" si="63"/>
        <v>N</v>
      </c>
      <c r="X176" s="188">
        <f t="shared" si="64"/>
        <v>1</v>
      </c>
      <c r="Y176" s="62">
        <f t="shared" si="53"/>
        <v>0.1021</v>
      </c>
      <c r="Z176" s="62">
        <f t="shared" si="54"/>
        <v>5.899</v>
      </c>
      <c r="AA176" s="62">
        <f t="shared" si="55"/>
        <v>5.7968999999999999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 t="shared" si="56"/>
        <v>0819-10</v>
      </c>
      <c r="AE176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76" s="82" t="str">
        <f t="shared" si="58"/>
        <v>"C:\Program Files (x86)\AstroGrep\AstroGrep.exe" /spath="%USERPROFILE%\AppData\Local\Temp\OnboardLogs" /stypes="app*4031*20170210*" /stext=" 19:.+((SYSTEM_STATE.+slice.+state.+changed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86" t="str">
        <f t="shared" si="60"/>
        <v>"%USERPROFILE%\Documents\GitHub\eaglep3\Utilities\RefineRTDCRunTimes.py" --tripid 819-10 --locoid 4031 --swversion DE.1.0.8.0 --startMP 204:1021 --initTime 2017-02-10T11:58:48 --startdatetime 2017-02-10T12:21:17 --delay 1 --endMP 300:58990 --enddatetime 2017-02-10T12:35:32 --enforcementcount 0 &gt;&gt;C:\Users\stu\Documents\GitHub\eaglep3-reporting\EC\2017-02-10-refined-times.txt</v>
      </c>
      <c r="AI176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{"issue":{"subject":"","project_id":79,"tracker_id":40,"status_id":1,"priority_id":2,"assigned_to_id":23,"start_date":"2017-02-10","description":"","custom_fields":[{"id":1,"name":"Subdivision","value":"NW"},{"id":4,"name":"Milepost","value":"5.899"},{"id":17,"name":"Train ID","value":"819-10"},{"id":16,"name":"Locomotive ID","value":"4031"},{"id":130,"name":"Impact","value":""},{"id":150,"name":"Time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2"/>
        <v>start /low /b %USERPROFILE%\Documents\GitHub\eaglep3\Utilities\DownloadLogsFromS3.py --loco 4031 --day 2017-02-10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</row>
    <row r="177" spans="1:91" x14ac:dyDescent="0.25">
      <c r="A177" s="33" t="s">
        <v>655</v>
      </c>
      <c r="B177" s="7">
        <v>4032</v>
      </c>
      <c r="C177" s="21" t="s">
        <v>193</v>
      </c>
      <c r="D177" s="21" t="s">
        <v>861</v>
      </c>
      <c r="E177" s="13">
        <v>42776.526192129626</v>
      </c>
      <c r="F177" s="13">
        <v>42776.528460648151</v>
      </c>
      <c r="G177" s="7">
        <v>1</v>
      </c>
      <c r="H177" s="21" t="s">
        <v>862</v>
      </c>
      <c r="I177" s="13">
        <v>42776.538240740738</v>
      </c>
      <c r="J177" s="7">
        <v>0</v>
      </c>
      <c r="K177" s="98" t="str">
        <f t="shared" si="48"/>
        <v>4031/4032</v>
      </c>
      <c r="L177" s="21" t="str">
        <f>VLOOKUP(A177,'Trips&amp;Operators'!$C$1:$G$99999,5,FALSE)</f>
        <v>SHOOK JOHN</v>
      </c>
      <c r="M177" s="6">
        <f t="shared" si="49"/>
        <v>9.7800925868796185E-3</v>
      </c>
      <c r="N177" s="7">
        <f t="shared" si="68"/>
        <v>14.083333325106651</v>
      </c>
      <c r="O177" s="7"/>
      <c r="P177" s="7"/>
      <c r="Q177" s="22"/>
      <c r="R177" s="22"/>
      <c r="S177" s="31">
        <f t="shared" si="50"/>
        <v>1</v>
      </c>
      <c r="T177" s="46" t="str">
        <f t="shared" si="51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52"/>
        <v>https://d0f6bd738d7f1b3e5a7ca70fe4ff75f0.us-east-1.aws.found.io/app/kibana#/discover/Steve-Slow-Train-Analysis-(2080s-and-2083s)?_g=(refreshInterval:(display:Off,pause:!f,section:0,value:0),time:(from:'2017-02-10T11:37:43-0700',mode:absolute,to:'2017-02-10T13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8" t="str">
        <f t="shared" si="63"/>
        <v>N</v>
      </c>
      <c r="X177" s="188">
        <f t="shared" si="64"/>
        <v>1</v>
      </c>
      <c r="Y177" s="62">
        <f t="shared" si="53"/>
        <v>5.8672000000000004</v>
      </c>
      <c r="Z177" s="62">
        <f t="shared" si="54"/>
        <v>7.2599999999999998E-2</v>
      </c>
      <c r="AA177" s="62">
        <f t="shared" si="55"/>
        <v>5.7946000000000009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 t="shared" si="56"/>
        <v>0820-10</v>
      </c>
      <c r="AE177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77" s="82" t="str">
        <f t="shared" si="58"/>
        <v>"C:\Program Files (x86)\AstroGrep\AstroGrep.exe" /spath="%USERPROFILE%\AppData\Local\Temp\OnboardLogs" /stypes="app*4032*20170210*" /stext=" 19:.+((SYSTEM_STATE.+slice.+state.+changed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86" t="str">
        <f t="shared" si="60"/>
        <v>"%USERPROFILE%\Documents\GitHub\eaglep3\Utilities\RefineRTDCRunTimes.py" --tripid 820-10 --locoid 4032 --swversion DE.1.0.8.0 --startMP 300:58672 --initTime 2017-02-10T12:37:43 --startdatetime 2017-02-10T12:40:59 --delay 1 --endMP 204:726 --enddatetime 2017-02-10T12:55:04 --enforcementcount 0 &gt;&gt;C:\Users\stu\Documents\GitHub\eaglep3-reporting\EC\2017-02-10-refined-times.txt</v>
      </c>
      <c r="AI177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{"issue":{"subject":"","project_id":79,"tracker_id":40,"status_id":1,"priority_id":2,"assigned_to_id":23,"start_date":"2017-02-10","description":"","custom_fields":[{"id":1,"name":"Subdivision","value":"NW"},{"id":4,"name":"Milepost","value":"0.0726"},{"id":17,"name":"Train ID","value":"820-10"},{"id":16,"name":"Locomotive ID","value":"4032"},{"id":130,"name":"Impact","value":""},{"id":150,"name":"Time of Event (Mountain Time)","value":"12:55:04"},{"id":151,"name":"Denver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2"/>
        <v>start /low /b %USERPROFILE%\Documents\GitHub\eaglep3\Utilities\DownloadLogsFromS3.py --loco 4032 --day 2017-02-10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78" spans="1:91" s="20" customFormat="1" x14ac:dyDescent="0.25">
      <c r="A178" s="33" t="s">
        <v>659</v>
      </c>
      <c r="B178" s="7">
        <v>4031</v>
      </c>
      <c r="C178" s="21" t="s">
        <v>193</v>
      </c>
      <c r="D178" s="21" t="s">
        <v>863</v>
      </c>
      <c r="E178" s="13">
        <v>42776.542662037034</v>
      </c>
      <c r="F178" s="13">
        <v>42776.556446759256</v>
      </c>
      <c r="G178" s="7">
        <v>1</v>
      </c>
      <c r="H178" s="21" t="s">
        <v>533</v>
      </c>
      <c r="I178" s="13">
        <v>42776.56590277778</v>
      </c>
      <c r="J178" s="7">
        <v>0</v>
      </c>
      <c r="K178" s="98" t="str">
        <f t="shared" si="48"/>
        <v>4031/4032</v>
      </c>
      <c r="L178" s="21" t="str">
        <f>VLOOKUP(A178,'Trips&amp;Operators'!$C$1:$G$99999,5,FALSE)</f>
        <v>LEVERE CRAIG</v>
      </c>
      <c r="M178" s="6">
        <f t="shared" si="49"/>
        <v>9.456018524360843E-3</v>
      </c>
      <c r="N178" s="7">
        <f t="shared" si="68"/>
        <v>13.616666675079614</v>
      </c>
      <c r="O178" s="7"/>
      <c r="P178" s="7"/>
      <c r="Q178" s="22"/>
      <c r="R178" s="22"/>
      <c r="S178" s="31">
        <f t="shared" si="50"/>
        <v>1</v>
      </c>
      <c r="T178" s="46" t="str">
        <f t="shared" si="51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52"/>
        <v>https://d0f6bd738d7f1b3e5a7ca70fe4ff75f0.us-east-1.aws.found.io/app/kibana#/discover/Steve-Slow-Train-Analysis-(2080s-and-2083s)?_g=(refreshInterval:(display:Off,pause:!f,section:0,value:0),time:(from:'2017-02-10T12:01:26-0700',mode:absolute,to:'2017-02-10T14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8" t="str">
        <f t="shared" si="63"/>
        <v>N</v>
      </c>
      <c r="X178" s="188">
        <f t="shared" si="64"/>
        <v>1</v>
      </c>
      <c r="Y178" s="62">
        <f t="shared" si="53"/>
        <v>0.1023</v>
      </c>
      <c r="Z178" s="62">
        <f t="shared" si="54"/>
        <v>5.8963000000000001</v>
      </c>
      <c r="AA178" s="62">
        <f t="shared" si="55"/>
        <v>5.7940000000000005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 t="shared" si="56"/>
        <v>0821-10</v>
      </c>
      <c r="AE178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78" s="82" t="str">
        <f t="shared" si="58"/>
        <v>"C:\Program Files (x86)\AstroGrep\AstroGrep.exe" /spath="%USERPROFILE%\AppData\Local\Temp\OnboardLogs" /stypes="app*4031*20170210*" /stext=" 20:.+((SYSTEM_STATE.+slice.+state.+changed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86" t="str">
        <f t="shared" si="60"/>
        <v>"%USERPROFILE%\Documents\GitHub\eaglep3\Utilities\RefineRTDCRunTimes.py" --tripid 821-10 --locoid 4031 --swversion DE.1.0.8.0 --startMP 204:1023 --initTime 2017-02-10T13:01:26 --startdatetime 2017-02-10T13:21:17 --delay 1 --endMP 300:58963 --enddatetime 2017-02-10T13:34:54 --enforcementcount 0 &gt;&gt;C:\Users\stu\Documents\GitHub\eaglep3-reporting\EC\2017-02-10-refined-times.txt</v>
      </c>
      <c r="AI178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{"issue":{"subject":"","project_id":79,"tracker_id":40,"status_id":1,"priority_id":2,"assigned_to_id":23,"start_date":"2017-02-10","description":"","custom_fields":[{"id":1,"name":"Subdivision","value":"NW"},{"id":4,"name":"Milepost","value":"5.8963"},{"id":17,"name":"Train ID","value":"821-10"},{"id":16,"name":"Locomotive ID","value":"4031"},{"id":130,"name":"Impact","value":""},{"id":150,"name":"Time of Event (Mountain Time)","value":"13:34:54"},{"id":151,"name":"Denver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2"/>
        <v>start /low /b %USERPROFILE%\Documents\GitHub\eaglep3\Utilities\DownloadLogsFromS3.py --loco 4031 --day 2017-02-10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663</v>
      </c>
      <c r="B179" s="7">
        <v>4032</v>
      </c>
      <c r="C179" s="21" t="s">
        <v>193</v>
      </c>
      <c r="D179" s="21" t="s">
        <v>525</v>
      </c>
      <c r="E179" s="13">
        <v>42776.566863425927</v>
      </c>
      <c r="F179" s="13">
        <v>42776.568333333336</v>
      </c>
      <c r="G179" s="7">
        <v>1</v>
      </c>
      <c r="H179" s="21" t="s">
        <v>471</v>
      </c>
      <c r="I179" s="13">
        <v>42776.580034722225</v>
      </c>
      <c r="J179" s="7">
        <v>0</v>
      </c>
      <c r="K179" s="98" t="str">
        <f t="shared" si="48"/>
        <v>4031/4032</v>
      </c>
      <c r="L179" s="21" t="str">
        <f>VLOOKUP(A179,'Trips&amp;Operators'!$C$1:$G$99999,5,FALSE)</f>
        <v>LEVERE CRAIG</v>
      </c>
      <c r="M179" s="6">
        <f t="shared" si="49"/>
        <v>1.17013888884685E-2</v>
      </c>
      <c r="N179" s="7">
        <f t="shared" si="68"/>
        <v>16.84999999939464</v>
      </c>
      <c r="O179" s="7"/>
      <c r="P179" s="7"/>
      <c r="Q179" s="22"/>
      <c r="R179" s="22"/>
      <c r="S179" s="31">
        <f t="shared" si="50"/>
        <v>1</v>
      </c>
      <c r="T179" s="46" t="str">
        <f t="shared" si="51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52"/>
        <v>https://d0f6bd738d7f1b3e5a7ca70fe4ff75f0.us-east-1.aws.found.io/app/kibana#/discover/Steve-Slow-Train-Analysis-(2080s-and-2083s)?_g=(refreshInterval:(display:Off,pause:!f,section:0,value:0),time:(from:'2017-02-10T12:36:17-0700',mode:absolute,to:'2017-02-10T14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8" t="str">
        <f t="shared" si="63"/>
        <v>N</v>
      </c>
      <c r="X179" s="188">
        <f t="shared" si="64"/>
        <v>1</v>
      </c>
      <c r="Y179" s="62">
        <f t="shared" si="53"/>
        <v>5.8644999999999996</v>
      </c>
      <c r="Z179" s="62">
        <f t="shared" si="54"/>
        <v>6.9199999999999998E-2</v>
      </c>
      <c r="AA179" s="62">
        <f t="shared" si="55"/>
        <v>5.7952999999999992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 t="shared" si="56"/>
        <v>0822-10</v>
      </c>
      <c r="AE179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79" s="82" t="str">
        <f t="shared" si="58"/>
        <v>"C:\Program Files (x86)\AstroGrep\AstroGrep.exe" /spath="%USERPROFILE%\AppData\Local\Temp\OnboardLogs" /stypes="app*4032*20170210*" /stext=" 20:.+((SYSTEM_STATE.+slice.+state.+changed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86" t="str">
        <f t="shared" si="60"/>
        <v>"%USERPROFILE%\Documents\GitHub\eaglep3\Utilities\RefineRTDCRunTimes.py" --tripid 822-10 --locoid 4032 --swversion DE.1.0.8.0 --startMP 300:58645 --initTime 2017-02-10T13:36:17 --startdatetime 2017-02-10T13:38:24 --delay 1 --endMP 204:692 --enddatetime 2017-02-10T13:55:15 --enforcementcount 0 &gt;&gt;C:\Users\stu\Documents\GitHub\eaglep3-reporting\EC\2017-02-10-refined-times.txt</v>
      </c>
      <c r="AI179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{"issue":{"subject":"","project_id":79,"tracker_id":40,"status_id":1,"priority_id":2,"assigned_to_id":23,"start_date":"2017-02-10","description":"","custom_fields":[{"id":1,"name":"Subdivision","value":"NW"},{"id":4,"name":"Milepost","value":"0.0692"},{"id":17,"name":"Train ID","value":"822-10"},{"id":16,"name":"Locomotive ID","value":"4032"},{"id":130,"name":"Impact","value":""},{"id":150,"name":"Time of Event (Mountain Time)","value":"13:55:15"},{"id":151,"name":"Denver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2"/>
        <v>start /low /b %USERPROFILE%\Documents\GitHub\eaglep3\Utilities\DownloadLogsFromS3.py --loco 4032 --day 2017-02-10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80" spans="1:91" s="20" customFormat="1" x14ac:dyDescent="0.25">
      <c r="A180" s="33" t="s">
        <v>549</v>
      </c>
      <c r="B180" s="7">
        <v>4031</v>
      </c>
      <c r="C180" s="21" t="s">
        <v>193</v>
      </c>
      <c r="D180" s="21" t="s">
        <v>475</v>
      </c>
      <c r="E180" s="13">
        <v>42776.592534722222</v>
      </c>
      <c r="F180" s="13">
        <v>42776.598090277781</v>
      </c>
      <c r="G180" s="7">
        <v>1</v>
      </c>
      <c r="H180" s="21" t="s">
        <v>864</v>
      </c>
      <c r="I180" s="13">
        <v>42776.607592592591</v>
      </c>
      <c r="J180" s="7">
        <v>0</v>
      </c>
      <c r="K180" s="98" t="str">
        <f t="shared" si="48"/>
        <v>4031/4032</v>
      </c>
      <c r="L180" s="21" t="str">
        <f>VLOOKUP(A180,'Trips&amp;Operators'!$C$1:$G$99999,5,FALSE)</f>
        <v>LEVERE CRAIG</v>
      </c>
      <c r="M180" s="6">
        <f t="shared" si="49"/>
        <v>9.5023148096515797E-3</v>
      </c>
      <c r="N180" s="7">
        <f t="shared" si="68"/>
        <v>13.683333325898275</v>
      </c>
      <c r="O180" s="7"/>
      <c r="P180" s="7"/>
      <c r="Q180" s="22"/>
      <c r="R180" s="22"/>
      <c r="S180" s="31">
        <f t="shared" si="50"/>
        <v>1</v>
      </c>
      <c r="T180" s="46" t="str">
        <f t="shared" si="51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52"/>
        <v>https://d0f6bd738d7f1b3e5a7ca70fe4ff75f0.us-east-1.aws.found.io/app/kibana#/discover/Steve-Slow-Train-Analysis-(2080s-and-2083s)?_g=(refreshInterval:(display:Off,pause:!f,section:0,value:0),time:(from:'2017-02-10T13:13:15-0700',mode:absolute,to:'2017-02-10T15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8" t="str">
        <f t="shared" si="63"/>
        <v>N</v>
      </c>
      <c r="X180" s="188">
        <f t="shared" si="64"/>
        <v>1</v>
      </c>
      <c r="Y180" s="62">
        <f t="shared" si="53"/>
        <v>9.7199999999999995E-2</v>
      </c>
      <c r="Z180" s="62">
        <f t="shared" si="54"/>
        <v>5.8935000000000004</v>
      </c>
      <c r="AA180" s="62">
        <f t="shared" si="55"/>
        <v>5.7963000000000005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 t="shared" si="56"/>
        <v>0823-10</v>
      </c>
      <c r="AE180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80" s="82" t="str">
        <f t="shared" si="58"/>
        <v>"C:\Program Files (x86)\AstroGrep\AstroGrep.exe" /spath="%USERPROFILE%\AppData\Local\Temp\OnboardLogs" /stypes="app*4031*20170210*" /stext=" 21:.+((SYSTEM_STATE.+slice.+state.+changed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86" t="str">
        <f t="shared" si="60"/>
        <v>"%USERPROFILE%\Documents\GitHub\eaglep3\Utilities\RefineRTDCRunTimes.py" --tripid 823-10 --locoid 4031 --swversion DE.1.0.8.0 --startMP 204:972 --initTime 2017-02-10T14:13:15 --startdatetime 2017-02-10T14:21:15 --delay 1 --endMP 300:58935 --enddatetime 2017-02-10T14:34:56 --enforcementcount 0 &gt;&gt;C:\Users\stu\Documents\GitHub\eaglep3-reporting\EC\2017-02-10-refined-times.txt</v>
      </c>
      <c r="AI180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{"issue":{"subject":"","project_id":79,"tracker_id":40,"status_id":1,"priority_id":2,"assigned_to_id":23,"start_date":"2017-02-10","description":"","custom_fields":[{"id":1,"name":"Subdivision","value":"NW"},{"id":4,"name":"Milepost","value":"5.8935"},{"id":17,"name":"Train ID","value":"823-10"},{"id":16,"name":"Locomotive ID","value":"4031"},{"id":130,"name":"Impact","value":""},{"id":150,"name":"Time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2"/>
        <v>start /low /b %USERPROFILE%\Documents\GitHub\eaglep3\Utilities\DownloadLogsFromS3.py --loco 4031 --day 2017-02-10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672</v>
      </c>
      <c r="B181" s="7">
        <v>4032</v>
      </c>
      <c r="C181" s="21" t="s">
        <v>193</v>
      </c>
      <c r="D181" s="21" t="s">
        <v>865</v>
      </c>
      <c r="E181" s="13">
        <v>42776.608668981484</v>
      </c>
      <c r="F181" s="13">
        <v>42776.609953703701</v>
      </c>
      <c r="G181" s="7">
        <v>1</v>
      </c>
      <c r="H181" s="21" t="s">
        <v>866</v>
      </c>
      <c r="I181" s="13">
        <v>42776.621793981481</v>
      </c>
      <c r="J181" s="7">
        <v>0</v>
      </c>
      <c r="K181" s="98" t="str">
        <f t="shared" si="48"/>
        <v>4031/4032</v>
      </c>
      <c r="L181" s="21" t="str">
        <f>VLOOKUP(A181,'Trips&amp;Operators'!$C$1:$G$99999,5,FALSE)</f>
        <v>LEVERE CRAIG</v>
      </c>
      <c r="M181" s="6">
        <f t="shared" si="49"/>
        <v>1.1840277780720498E-2</v>
      </c>
      <c r="N181" s="7">
        <f t="shared" si="68"/>
        <v>17.050000004237518</v>
      </c>
      <c r="O181" s="7"/>
      <c r="P181" s="7"/>
      <c r="Q181" s="22"/>
      <c r="R181" s="22"/>
      <c r="S181" s="31">
        <f t="shared" si="50"/>
        <v>1</v>
      </c>
      <c r="T181" s="46" t="str">
        <f t="shared" si="51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52"/>
        <v>https://d0f6bd738d7f1b3e5a7ca70fe4ff75f0.us-east-1.aws.found.io/app/kibana#/discover/Steve-Slow-Train-Analysis-(2080s-and-2083s)?_g=(refreshInterval:(display:Off,pause:!f,section:0,value:0),time:(from:'2017-02-10T13:36:29-0700',mode:absolute,to:'2017-02-10T15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8" t="str">
        <f t="shared" ref="W181:W212" si="69">IF(AA181&lt;IF(AG181="EC",23,5.65),"Y","N")</f>
        <v>N</v>
      </c>
      <c r="X181" s="188">
        <f t="shared" ref="X181:X212" si="70">VALUE(LEFT(AD181,4))-VALUE(LEFT(AD180,4))</f>
        <v>1</v>
      </c>
      <c r="Y181" s="62">
        <f t="shared" si="53"/>
        <v>5.8623000000000003</v>
      </c>
      <c r="Z181" s="62">
        <f t="shared" si="54"/>
        <v>6.8000000000000005E-2</v>
      </c>
      <c r="AA181" s="62">
        <f t="shared" si="55"/>
        <v>5.7943000000000007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 t="shared" si="56"/>
        <v>0824-10</v>
      </c>
      <c r="AE181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81" s="82" t="str">
        <f t="shared" si="58"/>
        <v>"C:\Program Files (x86)\AstroGrep\AstroGrep.exe" /spath="%USERPROFILE%\AppData\Local\Temp\OnboardLogs" /stypes="app*4032*20170210*" /stext=" 21:.+((SYSTEM_STATE.+slice.+state.+changed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86" t="str">
        <f t="shared" si="60"/>
        <v>"%USERPROFILE%\Documents\GitHub\eaglep3\Utilities\RefineRTDCRunTimes.py" --tripid 824-10 --locoid 4032 --swversion DE.1.0.8.0 --startMP 300:58623 --initTime 2017-02-10T14:36:29 --startdatetime 2017-02-10T14:38:20 --delay 1 --endMP 204:680 --enddatetime 2017-02-10T14:55:23 --enforcementcount 0 &gt;&gt;C:\Users\stu\Documents\GitHub\eaglep3-reporting\EC\2017-02-10-refined-times.txt</v>
      </c>
      <c r="AI181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{"issue":{"subject":"","project_id":79,"tracker_id":40,"status_id":1,"priority_id":2,"assigned_to_id":23,"start_date":"2017-02-10","description":"","custom_fields":[{"id":1,"name":"Subdivision","value":"NW"},{"id":4,"name":"Milepost","value":"0.068"},{"id":17,"name":"Train ID","value":"824-10"},{"id":16,"name":"Locomotive ID","value":"4032"},{"id":130,"name":"Impact","value":""},{"id":150,"name":"Time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2"/>
        <v>start /low /b %USERPROFILE%\Documents\GitHub\eaglep3\Utilities\DownloadLogsFromS3.py --loco 4032 --day 2017-02-10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82" spans="1:91" x14ac:dyDescent="0.25">
      <c r="A182" s="33" t="s">
        <v>676</v>
      </c>
      <c r="B182" s="7">
        <v>4031</v>
      </c>
      <c r="C182" s="21" t="s">
        <v>193</v>
      </c>
      <c r="D182" s="21" t="s">
        <v>522</v>
      </c>
      <c r="E182" s="13">
        <v>42776.63181712963</v>
      </c>
      <c r="F182" s="13">
        <v>42776.639768518522</v>
      </c>
      <c r="G182" s="7">
        <v>1</v>
      </c>
      <c r="H182" s="21" t="s">
        <v>520</v>
      </c>
      <c r="I182" s="13">
        <v>42776.649791666663</v>
      </c>
      <c r="J182" s="7">
        <v>0</v>
      </c>
      <c r="K182" s="98" t="str">
        <f t="shared" si="48"/>
        <v>4031/4032</v>
      </c>
      <c r="L182" s="21" t="str">
        <f>VLOOKUP(A182,'Trips&amp;Operators'!$C$1:$G$99999,5,FALSE)</f>
        <v>LEVERE CRAIG</v>
      </c>
      <c r="M182" s="6">
        <f t="shared" si="49"/>
        <v>1.0023148141044658E-2</v>
      </c>
      <c r="N182" s="7">
        <f t="shared" si="68"/>
        <v>14.433333323104307</v>
      </c>
      <c r="O182" s="7"/>
      <c r="P182" s="7"/>
      <c r="Q182" s="22"/>
      <c r="R182" s="22"/>
      <c r="S182" s="31">
        <f t="shared" si="50"/>
        <v>1</v>
      </c>
      <c r="T182" s="46" t="str">
        <f t="shared" si="51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52"/>
        <v>https://d0f6bd738d7f1b3e5a7ca70fe4ff75f0.us-east-1.aws.found.io/app/kibana#/discover/Steve-Slow-Train-Analysis-(2080s-and-2083s)?_g=(refreshInterval:(display:Off,pause:!f,section:0,value:0),time:(from:'2017-02-10T14:09:49-0700',mode:absolute,to:'2017-02-10T16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8" t="str">
        <f t="shared" si="69"/>
        <v>N</v>
      </c>
      <c r="X182" s="188">
        <f t="shared" si="70"/>
        <v>1</v>
      </c>
      <c r="Y182" s="62">
        <f t="shared" si="53"/>
        <v>9.7100000000000006E-2</v>
      </c>
      <c r="Z182" s="62">
        <f t="shared" si="54"/>
        <v>5.8958000000000004</v>
      </c>
      <c r="AA182" s="62">
        <f t="shared" si="55"/>
        <v>5.7987000000000002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 t="shared" si="56"/>
        <v>0825-10</v>
      </c>
      <c r="AE182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82" s="82" t="str">
        <f t="shared" si="58"/>
        <v>"C:\Program Files (x86)\AstroGrep\AstroGrep.exe" /spath="%USERPROFILE%\AppData\Local\Temp\OnboardLogs" /stypes="app*4031*20170210*" /stext=" 22:.+((SYSTEM_STATE.+slice.+state.+changed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86" t="str">
        <f t="shared" si="60"/>
        <v>"%USERPROFILE%\Documents\GitHub\eaglep3\Utilities\RefineRTDCRunTimes.py" --tripid 825-10 --locoid 4031 --swversion DE.1.0.8.0 --startMP 204:971 --initTime 2017-02-10T15:09:49 --startdatetime 2017-02-10T15:21:16 --delay 1 --endMP 300:58958 --enddatetime 2017-02-10T15:35:42 --enforcementcount 0 &gt;&gt;C:\Users\stu\Documents\GitHub\eaglep3-reporting\EC\2017-02-10-refined-times.txt</v>
      </c>
      <c r="AI182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{"issue":{"subject":"","project_id":79,"tracker_id":40,"status_id":1,"priority_id":2,"assigned_to_id":23,"start_date":"2017-02-10","description":"","custom_fields":[{"id":1,"name":"Subdivision","value":"NW"},{"id":4,"name":"Milepost","value":"5.8958"},{"id":17,"name":"Train ID","value":"825-10"},{"id":16,"name":"Locomotive ID","value":"4031"},{"id":130,"name":"Impact","value":""},{"id":150,"name":"Time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2"/>
        <v>start /low /b %USERPROFILE%\Documents\GitHub\eaglep3\Utilities\DownloadLogsFromS3.py --loco 4031 --day 2017-02-10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</row>
    <row r="183" spans="1:91" s="20" customFormat="1" x14ac:dyDescent="0.25">
      <c r="A183" s="33" t="s">
        <v>682</v>
      </c>
      <c r="B183" s="7">
        <v>4032</v>
      </c>
      <c r="C183" s="21" t="s">
        <v>193</v>
      </c>
      <c r="D183" s="21" t="s">
        <v>867</v>
      </c>
      <c r="E183" s="13">
        <v>42776.650775462964</v>
      </c>
      <c r="F183" s="13">
        <v>42776.652129629627</v>
      </c>
      <c r="G183" s="7">
        <v>1</v>
      </c>
      <c r="H183" s="21" t="s">
        <v>474</v>
      </c>
      <c r="I183" s="13">
        <v>42776.664050925923</v>
      </c>
      <c r="J183" s="7">
        <v>0</v>
      </c>
      <c r="K183" s="98" t="str">
        <f t="shared" si="48"/>
        <v>4031/4032</v>
      </c>
      <c r="L183" s="21" t="str">
        <f>VLOOKUP(A183,'Trips&amp;Operators'!$C$1:$G$99999,5,FALSE)</f>
        <v>LEVERE CRAIG</v>
      </c>
      <c r="M183" s="6">
        <f t="shared" si="49"/>
        <v>1.1921296296350192E-2</v>
      </c>
      <c r="N183" s="7">
        <f t="shared" si="68"/>
        <v>17.166666666744277</v>
      </c>
      <c r="O183" s="7"/>
      <c r="P183" s="7"/>
      <c r="Q183" s="22"/>
      <c r="R183" s="22"/>
      <c r="S183" s="31">
        <f t="shared" si="50"/>
        <v>1</v>
      </c>
      <c r="T183" s="46" t="str">
        <f t="shared" si="51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52"/>
        <v>https://d0f6bd738d7f1b3e5a7ca70fe4ff75f0.us-east-1.aws.found.io/app/kibana#/discover/Steve-Slow-Train-Analysis-(2080s-and-2083s)?_g=(refreshInterval:(display:Off,pause:!f,section:0,value:0),time:(from:'2017-02-10T14:37:07-0700',mode:absolute,to:'2017-02-10T16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8" t="str">
        <f t="shared" si="69"/>
        <v>N</v>
      </c>
      <c r="X183" s="188">
        <f t="shared" si="70"/>
        <v>1</v>
      </c>
      <c r="Y183" s="62">
        <f t="shared" si="53"/>
        <v>5.8635999999999999</v>
      </c>
      <c r="Z183" s="62">
        <f t="shared" si="54"/>
        <v>6.8400000000000002E-2</v>
      </c>
      <c r="AA183" s="62">
        <f t="shared" si="55"/>
        <v>5.7952000000000004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 t="shared" si="56"/>
        <v>0826-10</v>
      </c>
      <c r="AE183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83" s="82" t="str">
        <f t="shared" si="58"/>
        <v>"C:\Program Files (x86)\AstroGrep\AstroGrep.exe" /spath="%USERPROFILE%\AppData\Local\Temp\OnboardLogs" /stypes="app*4032*20170210*" /stext=" 22:.+((SYSTEM_STATE.+slice.+state.+changed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86" t="str">
        <f t="shared" si="60"/>
        <v>"%USERPROFILE%\Documents\GitHub\eaglep3\Utilities\RefineRTDCRunTimes.py" --tripid 826-10 --locoid 4032 --swversion DE.1.0.8.0 --startMP 300:58636 --initTime 2017-02-10T15:37:07 --startdatetime 2017-02-10T15:39:04 --delay 1 --endMP 204:684 --enddatetime 2017-02-10T15:56:14 --enforcementcount 0 &gt;&gt;C:\Users\stu\Documents\GitHub\eaglep3-reporting\EC\2017-02-10-refined-times.txt</v>
      </c>
      <c r="AI183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{"issue":{"subject":"","project_id":79,"tracker_id":40,"status_id":1,"priority_id":2,"assigned_to_id":23,"start_date":"2017-02-10","description":"","custom_fields":[{"id":1,"name":"Subdivision","value":"NW"},{"id":4,"name":"Milepost","value":"0.0684"},{"id":17,"name":"Train ID","value":"826-10"},{"id":16,"name":"Locomotive ID","value":"4032"},{"id":130,"name":"Impact","value":""},{"id":150,"name":"Time of Event (Mountain Time)","value":"15:56:14"},{"id":151,"name":"Denver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2"/>
        <v>start /low /b %USERPROFILE%\Documents\GitHub\eaglep3\Utilities\DownloadLogsFromS3.py --loco 4032 --day 2017-02-10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681</v>
      </c>
      <c r="B184" s="7">
        <v>4016</v>
      </c>
      <c r="C184" s="21" t="s">
        <v>193</v>
      </c>
      <c r="D184" s="21" t="s">
        <v>527</v>
      </c>
      <c r="E184" s="13">
        <v>42776.649155092593</v>
      </c>
      <c r="F184" s="13">
        <v>42776.660590277781</v>
      </c>
      <c r="G184" s="7">
        <v>1</v>
      </c>
      <c r="H184" s="21" t="s">
        <v>864</v>
      </c>
      <c r="I184" s="13">
        <v>42776.670393518521</v>
      </c>
      <c r="J184" s="7">
        <v>0</v>
      </c>
      <c r="K184" s="98" t="str">
        <f t="shared" si="48"/>
        <v>4015/4016</v>
      </c>
      <c r="L184" s="21" t="str">
        <f>VLOOKUP(A184,'Trips&amp;Operators'!$C$1:$G$99999,5,FALSE)</f>
        <v>SMITH MICHAEL</v>
      </c>
      <c r="M184" s="6">
        <f t="shared" si="49"/>
        <v>9.8032407404389232E-3</v>
      </c>
      <c r="N184" s="7">
        <f t="shared" si="68"/>
        <v>14.116666666232049</v>
      </c>
      <c r="O184" s="7"/>
      <c r="P184" s="7"/>
      <c r="Q184" s="22"/>
      <c r="R184" s="22"/>
      <c r="S184" s="31">
        <f t="shared" si="50"/>
        <v>1</v>
      </c>
      <c r="T184" s="46" t="str">
        <f t="shared" si="51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52"/>
        <v>https://d0f6bd738d7f1b3e5a7ca70fe4ff75f0.us-east-1.aws.found.io/app/kibana#/discover/Steve-Slow-Train-Analysis-(2080s-and-2083s)?_g=(refreshInterval:(display:Off,pause:!f,section:0,value:0),time:(from:'2017-02-10T14:34:47-0700',mode:absolute,to:'2017-02-10T17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188" t="str">
        <f t="shared" si="69"/>
        <v>N</v>
      </c>
      <c r="X184" s="188">
        <f t="shared" si="70"/>
        <v>1</v>
      </c>
      <c r="Y184" s="62">
        <f t="shared" si="53"/>
        <v>9.6500000000000002E-2</v>
      </c>
      <c r="Z184" s="62">
        <f t="shared" si="54"/>
        <v>5.8935000000000004</v>
      </c>
      <c r="AA184" s="62">
        <f t="shared" si="55"/>
        <v>5.7970000000000006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 t="shared" si="56"/>
        <v>0827-10</v>
      </c>
      <c r="AE184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84" s="82" t="str">
        <f t="shared" si="58"/>
        <v>"C:\Program Files (x86)\AstroGrep\AstroGrep.exe" /spath="%USERPROFILE%\AppData\Local\Temp\OnboardLogs" /stypes="app*4016*20170210*" /stext=" 23:.+((SYSTEM_STATE.+slice.+state.+changed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86" t="str">
        <f t="shared" si="60"/>
        <v>"%USERPROFILE%\Documents\GitHub\eaglep3\Utilities\RefineRTDCRunTimes.py" --tripid 827-10 --locoid 4016 --swversion DE.1.0.8.0 --startMP 204:965 --initTime 2017-02-10T15:34:47 --startdatetime 2017-02-10T15:51:15 --delay 1 --endMP 300:58935 --enddatetime 2017-02-10T16:05:22 --enforcementcount 0 &gt;&gt;C:\Users\stu\Documents\GitHub\eaglep3-reporting\EC\2017-02-10-refined-times.txt</v>
      </c>
      <c r="AI184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{"issue":{"subject":"","project_id":79,"tracker_id":40,"status_id":1,"priority_id":2,"assigned_to_id":23,"start_date":"2017-02-10","description":"","custom_fields":[{"id":1,"name":"Subdivision","value":"NW"},{"id":4,"name":"Milepost","value":"5.8935"},{"id":17,"name":"Train ID","value":"827-10"},{"id":16,"name":"Locomotive ID","value":"4016"},{"id":130,"name":"Impact","value":""},{"id":150,"name":"Time of Event (Mountain Time)","value":"16:05:22"},{"id":151,"name":"Denver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2"/>
        <v>start /low /b %USERPROFILE%\Documents\GitHub\eaglep3\Utilities\DownloadLogsFromS3.py --loco 4016 --day 2017-02-10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</row>
    <row r="185" spans="1:91" s="20" customFormat="1" x14ac:dyDescent="0.25">
      <c r="A185" s="33" t="s">
        <v>687</v>
      </c>
      <c r="B185" s="7">
        <v>4015</v>
      </c>
      <c r="C185" s="21" t="s">
        <v>193</v>
      </c>
      <c r="D185" s="21" t="s">
        <v>868</v>
      </c>
      <c r="E185" s="13">
        <v>42776.671365740738</v>
      </c>
      <c r="F185" s="13">
        <v>42776.672812500001</v>
      </c>
      <c r="G185" s="7">
        <v>1</v>
      </c>
      <c r="H185" s="21" t="s">
        <v>532</v>
      </c>
      <c r="I185" s="13">
        <v>42776.685162037036</v>
      </c>
      <c r="J185" s="7">
        <v>0</v>
      </c>
      <c r="K185" s="98" t="str">
        <f t="shared" si="48"/>
        <v>4015/4016</v>
      </c>
      <c r="L185" s="21" t="str">
        <f>VLOOKUP(A185,'Trips&amp;Operators'!$C$1:$G$99999,5,FALSE)</f>
        <v>SMITH MICHAEL</v>
      </c>
      <c r="M185" s="6">
        <f t="shared" si="49"/>
        <v>1.2349537035333924E-2</v>
      </c>
      <c r="N185" s="7">
        <f t="shared" si="68"/>
        <v>17.783333330880851</v>
      </c>
      <c r="O185" s="7"/>
      <c r="P185" s="7"/>
      <c r="Q185" s="22"/>
      <c r="R185" s="22"/>
      <c r="S185" s="31">
        <f t="shared" si="50"/>
        <v>1</v>
      </c>
      <c r="T185" s="46" t="str">
        <f t="shared" si="51"/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52"/>
        <v>https://d0f6bd738d7f1b3e5a7ca70fe4ff75f0.us-east-1.aws.found.io/app/kibana#/discover/Steve-Slow-Train-Analysis-(2080s-and-2083s)?_g=(refreshInterval:(display:Off,pause:!f,section:0,value:0),time:(from:'2017-02-10T15:06:46-0700',mode:absolute,to:'2017-02-10T17:26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188" t="str">
        <f t="shared" si="69"/>
        <v>N</v>
      </c>
      <c r="X185" s="188">
        <f t="shared" si="70"/>
        <v>1</v>
      </c>
      <c r="Y185" s="62">
        <f t="shared" si="53"/>
        <v>5.8613</v>
      </c>
      <c r="Z185" s="62">
        <f t="shared" si="54"/>
        <v>6.9599999999999995E-2</v>
      </c>
      <c r="AA185" s="62">
        <f t="shared" si="55"/>
        <v>5.7916999999999996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 t="shared" si="56"/>
        <v>0828-10</v>
      </c>
      <c r="AE185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85" s="82" t="str">
        <f t="shared" si="58"/>
        <v>"C:\Program Files (x86)\AstroGrep\AstroGrep.exe" /spath="%USERPROFILE%\AppData\Local\Temp\OnboardLogs" /stypes="app*4015*20170210*" /stext=" 23:.+((SYSTEM_STATE.+slice.+state.+changed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86" t="str">
        <f t="shared" si="60"/>
        <v>"%USERPROFILE%\Documents\GitHub\eaglep3\Utilities\RefineRTDCRunTimes.py" --tripid 828-10 --locoid 4015 --swversion DE.1.0.8.0 --startMP 300:58613 --initTime 2017-02-10T16:06:46 --startdatetime 2017-02-10T16:08:51 --delay 1 --endMP 204:696 --enddatetime 2017-02-10T16:26:38 --enforcementcount 0 &gt;&gt;C:\Users\stu\Documents\GitHub\eaglep3-reporting\EC\2017-02-10-refined-times.txt</v>
      </c>
      <c r="AI185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{"issue":{"subject":"","project_id":79,"tracker_id":40,"status_id":1,"priority_id":2,"assigned_to_id":23,"start_date":"2017-02-10","description":"","custom_fields":[{"id":1,"name":"Subdivision","value":"NW"},{"id":4,"name":"Milepost","value":"0.0696"},{"id":17,"name":"Train ID","value":"828-10"},{"id":16,"name":"Locomotive ID","value":"4015"},{"id":130,"name":"Impact","value":""},{"id":150,"name":"Time of Event (Mountain Time)","value":"16:26:38"},{"id":151,"name":"Denver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2"/>
        <v>start /low /b %USERPROFILE%\Documents\GitHub\eaglep3\Utilities\DownloadLogsFromS3.py --loco 4015 --day 2017-02-10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2017-02-10-UncaughtWiMAX.txt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689</v>
      </c>
      <c r="B186" s="7">
        <v>4031</v>
      </c>
      <c r="C186" s="21" t="s">
        <v>193</v>
      </c>
      <c r="D186" s="21" t="s">
        <v>530</v>
      </c>
      <c r="E186" s="13">
        <v>42776.675520833334</v>
      </c>
      <c r="F186" s="13">
        <v>42776.681458333333</v>
      </c>
      <c r="G186" s="7">
        <v>1</v>
      </c>
      <c r="H186" s="21" t="s">
        <v>520</v>
      </c>
      <c r="I186" s="13">
        <v>42776.691423611112</v>
      </c>
      <c r="J186" s="7">
        <v>0</v>
      </c>
      <c r="K186" s="98" t="str">
        <f t="shared" si="48"/>
        <v>4031/4032</v>
      </c>
      <c r="L186" s="21" t="str">
        <f>VLOOKUP(A186,'Trips&amp;Operators'!$C$1:$G$99999,5,FALSE)</f>
        <v>LEVERE CRAIG</v>
      </c>
      <c r="M186" s="6">
        <f t="shared" si="49"/>
        <v>9.9652777789742686E-3</v>
      </c>
      <c r="N186" s="7">
        <f t="shared" si="68"/>
        <v>14.350000001722947</v>
      </c>
      <c r="O186" s="7"/>
      <c r="P186" s="7"/>
      <c r="Q186" s="22"/>
      <c r="R186" s="22"/>
      <c r="S186" s="31">
        <f t="shared" si="50"/>
        <v>1</v>
      </c>
      <c r="T186" s="46" t="str">
        <f t="shared" si="51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52"/>
        <v>https://d0f6bd738d7f1b3e5a7ca70fe4ff75f0.us-east-1.aws.found.io/app/kibana#/discover/Steve-Slow-Train-Analysis-(2080s-and-2083s)?_g=(refreshInterval:(display:Off,pause:!f,section:0,value:0),time:(from:'2017-02-10T15:12:45-0700',mode:absolute,to:'2017-02-10T17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8" t="str">
        <f t="shared" si="69"/>
        <v>N</v>
      </c>
      <c r="X186" s="188">
        <f t="shared" si="70"/>
        <v>1</v>
      </c>
      <c r="Y186" s="62">
        <f t="shared" si="53"/>
        <v>9.8500000000000004E-2</v>
      </c>
      <c r="Z186" s="62">
        <f t="shared" si="54"/>
        <v>5.8958000000000004</v>
      </c>
      <c r="AA186" s="62">
        <f t="shared" si="55"/>
        <v>5.7973000000000008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 t="shared" si="56"/>
        <v>0829-10</v>
      </c>
      <c r="AE186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86" s="82" t="str">
        <f t="shared" si="58"/>
        <v>"C:\Program Files (x86)\AstroGrep\AstroGrep.exe" /spath="%USERPROFILE%\AppData\Local\Temp\OnboardLogs" /stypes="app*4031*20170210*" /stext=" 23:.+((SYSTEM_STATE.+slice.+state.+changed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86" t="str">
        <f t="shared" si="60"/>
        <v>"%USERPROFILE%\Documents\GitHub\eaglep3\Utilities\RefineRTDCRunTimes.py" --tripid 829-10 --locoid 4031 --swversion DE.1.0.8.0 --startMP 204:985 --initTime 2017-02-10T16:12:45 --startdatetime 2017-02-10T16:21:18 --delay 1 --endMP 300:58958 --enddatetime 2017-02-10T16:35:39 --enforcementcount 0 &gt;&gt;C:\Users\stu\Documents\GitHub\eaglep3-reporting\EC\2017-02-10-refined-times.txt</v>
      </c>
      <c r="AI186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{"issue":{"subject":"","project_id":79,"tracker_id":40,"status_id":1,"priority_id":2,"assigned_to_id":23,"start_date":"2017-02-10","description":"","custom_fields":[{"id":1,"name":"Subdivision","value":"NW"},{"id":4,"name":"Milepost","value":"5.8958"},{"id":17,"name":"Train ID","value":"829-10"},{"id":16,"name":"Locomotive ID","value":"4031"},{"id":130,"name":"Impact","value":""},{"id":150,"name":"Time of Event (Mountain Time)","value":"16:35:39"},{"id":151,"name":"Denver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2"/>
        <v>start /low /b %USERPROFILE%\Documents\GitHub\eaglep3\Utilities\DownloadLogsFromS3.py --loco 4031 --day 2017-02-10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"%USERPROFILE%\AppData\Local\Temp\OnboardLogs"\RTDC4031\*4031*20170210* | grep -SE "(Enforcement Action)|(\[TIMEOUT)|(CHR.+\|PRM\|1\|D.+(SWITCH|SIGNAL).+UNKNOWN)" - &gt;&gt; 2017-02-10-UncaughtWiMAX.txt</v>
      </c>
    </row>
    <row r="187" spans="1:91" x14ac:dyDescent="0.25">
      <c r="A187" s="33" t="s">
        <v>695</v>
      </c>
      <c r="B187" s="7">
        <v>4032</v>
      </c>
      <c r="C187" s="21" t="s">
        <v>193</v>
      </c>
      <c r="D187" s="21" t="s">
        <v>869</v>
      </c>
      <c r="E187" s="13">
        <v>42776.692453703705</v>
      </c>
      <c r="F187" s="13">
        <v>42776.693738425929</v>
      </c>
      <c r="G187" s="7">
        <v>1</v>
      </c>
      <c r="H187" s="21" t="s">
        <v>474</v>
      </c>
      <c r="I187" s="13">
        <v>42776.706331018519</v>
      </c>
      <c r="J187" s="7">
        <v>0</v>
      </c>
      <c r="K187" s="98" t="str">
        <f t="shared" si="48"/>
        <v>4031/4032</v>
      </c>
      <c r="L187" s="21" t="str">
        <f>VLOOKUP(A187,'Trips&amp;Operators'!$C$1:$G$99999,5,FALSE)</f>
        <v>LEVERE CRAIG</v>
      </c>
      <c r="M187" s="6">
        <f t="shared" si="49"/>
        <v>1.2592592589498963E-2</v>
      </c>
      <c r="N187" s="7">
        <f t="shared" si="68"/>
        <v>18.133333328878507</v>
      </c>
      <c r="O187" s="7"/>
      <c r="P187" s="7"/>
      <c r="Q187" s="22"/>
      <c r="R187" s="22"/>
      <c r="S187" s="31">
        <f t="shared" si="50"/>
        <v>1</v>
      </c>
      <c r="T187" s="46" t="str">
        <f t="shared" si="51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52"/>
        <v>https://d0f6bd738d7f1b3e5a7ca70fe4ff75f0.us-east-1.aws.found.io/app/kibana#/discover/Steve-Slow-Train-Analysis-(2080s-and-2083s)?_g=(refreshInterval:(display:Off,pause:!f,section:0,value:0),time:(from:'2017-02-10T15:37:08-0700',mode:absolute,to:'2017-02-10T17:57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8" t="str">
        <f t="shared" si="69"/>
        <v>N</v>
      </c>
      <c r="X187" s="188">
        <f t="shared" si="70"/>
        <v>1</v>
      </c>
      <c r="Y187" s="62">
        <f t="shared" si="53"/>
        <v>5.8638000000000003</v>
      </c>
      <c r="Z187" s="62">
        <f t="shared" si="54"/>
        <v>6.8400000000000002E-2</v>
      </c>
      <c r="AA187" s="62">
        <f t="shared" si="55"/>
        <v>5.7954000000000008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 t="shared" si="56"/>
        <v>0830-10</v>
      </c>
      <c r="AE187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87" s="82" t="str">
        <f t="shared" si="58"/>
        <v>"C:\Program Files (x86)\AstroGrep\AstroGrep.exe" /spath="%USERPROFILE%\AppData\Local\Temp\OnboardLogs" /stypes="app*4032*20170210*" /stext=" 23:.+((SYSTEM_STATE.+slice.+state.+changed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86" t="str">
        <f t="shared" si="60"/>
        <v>"%USERPROFILE%\Documents\GitHub\eaglep3\Utilities\RefineRTDCRunTimes.py" --tripid 830-10 --locoid 4032 --swversion DE.1.0.8.0 --startMP 300:58638 --initTime 2017-02-10T16:37:08 --startdatetime 2017-02-10T16:38:59 --delay 1 --endMP 204:684 --enddatetime 2017-02-10T16:57:07 --enforcementcount 0 &gt;&gt;C:\Users\stu\Documents\GitHub\eaglep3-reporting\EC\2017-02-10-refined-times.txt</v>
      </c>
      <c r="AI187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{"issue":{"subject":"","project_id":79,"tracker_id":40,"status_id":1,"priority_id":2,"assigned_to_id":23,"start_date":"2017-02-10","description":"","custom_fields":[{"id":1,"name":"Subdivision","value":"NW"},{"id":4,"name":"Milepost","value":"0.0684"},{"id":17,"name":"Train ID","value":"830-10"},{"id":16,"name":"Locomotive ID","value":"4032"},{"id":130,"name":"Impact","value":""},{"id":150,"name":"Time of Event (Mountain Time)","value":"16:57:07"},{"id":151,"name":"Denver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2"/>
        <v>start /low /b %USERPROFILE%\Documents\GitHub\eaglep3\Utilities\DownloadLogsFromS3.py --loco 4032 --day 2017-02-10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188" spans="1:91" x14ac:dyDescent="0.25">
      <c r="A188" s="33" t="s">
        <v>694</v>
      </c>
      <c r="B188" s="7">
        <v>4016</v>
      </c>
      <c r="C188" s="21" t="s">
        <v>193</v>
      </c>
      <c r="D188" s="21" t="s">
        <v>870</v>
      </c>
      <c r="E188" s="13">
        <v>42776.690532407411</v>
      </c>
      <c r="F188" s="13">
        <v>42776.702511574076</v>
      </c>
      <c r="G188" s="7">
        <v>1</v>
      </c>
      <c r="H188" s="21" t="s">
        <v>871</v>
      </c>
      <c r="I188" s="13">
        <v>42776.712407407409</v>
      </c>
      <c r="J188" s="7">
        <v>0</v>
      </c>
      <c r="K188" s="98" t="str">
        <f t="shared" si="48"/>
        <v>4015/4016</v>
      </c>
      <c r="L188" s="21" t="str">
        <f>VLOOKUP(A188,'Trips&amp;Operators'!$C$1:$G$99999,5,FALSE)</f>
        <v>SMITH MICHAEL</v>
      </c>
      <c r="M188" s="6">
        <f t="shared" si="49"/>
        <v>9.8958333328482695E-3</v>
      </c>
      <c r="N188" s="7">
        <f t="shared" si="68"/>
        <v>14.249999999301508</v>
      </c>
      <c r="O188" s="7"/>
      <c r="P188" s="7"/>
      <c r="Q188" s="22"/>
      <c r="R188" s="22"/>
      <c r="S188" s="31">
        <f t="shared" si="50"/>
        <v>1</v>
      </c>
      <c r="T188" s="46" t="str">
        <f t="shared" si="51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52"/>
        <v>https://d0f6bd738d7f1b3e5a7ca70fe4ff75f0.us-east-1.aws.found.io/app/kibana#/discover/Steve-Slow-Train-Analysis-(2080s-and-2083s)?_g=(refreshInterval:(display:Off,pause:!f,section:0,value:0),time:(from:'2017-02-10T15:34:22-0700',mode:absolute,to:'2017-02-10T18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88" t="str">
        <f t="shared" si="69"/>
        <v>N</v>
      </c>
      <c r="X188" s="188">
        <f t="shared" si="70"/>
        <v>1</v>
      </c>
      <c r="Y188" s="62">
        <f t="shared" si="53"/>
        <v>9.5799999999999996E-2</v>
      </c>
      <c r="Z188" s="62">
        <f t="shared" si="54"/>
        <v>5.8940999999999999</v>
      </c>
      <c r="AA188" s="62">
        <f t="shared" si="55"/>
        <v>5.7983000000000002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 t="shared" si="56"/>
        <v>0831-10</v>
      </c>
      <c r="AE188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88" s="82" t="str">
        <f t="shared" si="58"/>
        <v>"C:\Program Files (x86)\AstroGrep\AstroGrep.exe" /spath="%USERPROFILE%\AppData\Local\Temp\OnboardLogs" /stypes="app*4016*20170211*" /stext=" 00:.+((SYSTEM_STATE.+slice.+state.+changed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86" t="str">
        <f t="shared" si="60"/>
        <v>"%USERPROFILE%\Documents\GitHub\eaglep3\Utilities\RefineRTDCRunTimes.py" --tripid 831-10 --locoid 4016 --swversion DE.1.0.8.0 --startMP 204:958 --initTime 2017-02-10T16:34:22 --startdatetime 2017-02-10T16:51:37 --delay 1 --endMP 300:58941 --enddatetime 2017-02-10T17:05:52 --enforcementcount 0 &gt;&gt;C:\Users\stu\Documents\GitHub\eaglep3-reporting\EC\2017-02-10-refined-times.txt</v>
      </c>
      <c r="AI188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{"issue":{"subject":"","project_id":79,"tracker_id":40,"status_id":1,"priority_id":2,"assigned_to_id":23,"start_date":"2017-02-10","description":"","custom_fields":[{"id":1,"name":"Subdivision","value":"NW"},{"id":4,"name":"Milepost","value":"5.8941"},{"id":17,"name":"Train ID","value":"831-10"},{"id":16,"name":"Locomotive ID","value":"4016"},{"id":130,"name":"Impact","value":""},{"id":150,"name":"Time of Event (Mountain Time)","value":"17:05:52"},{"id":151,"name":"Denver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2"/>
        <v>start /low /b %USERPROFILE%\Documents\GitHub\eaglep3\Utilities\DownloadLogsFromS3.py --loco 4016 --day 2017-02-10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</row>
    <row r="189" spans="1:91" s="20" customFormat="1" x14ac:dyDescent="0.25">
      <c r="A189" s="33" t="s">
        <v>700</v>
      </c>
      <c r="B189" s="7">
        <v>4015</v>
      </c>
      <c r="C189" s="21" t="s">
        <v>193</v>
      </c>
      <c r="D189" s="21" t="s">
        <v>524</v>
      </c>
      <c r="E189" s="13">
        <v>42776.713437500002</v>
      </c>
      <c r="F189" s="13">
        <v>42776.714953703704</v>
      </c>
      <c r="G189" s="7">
        <v>1</v>
      </c>
      <c r="H189" s="21" t="s">
        <v>872</v>
      </c>
      <c r="I189" s="13">
        <v>42776.726111111115</v>
      </c>
      <c r="J189" s="7">
        <v>0</v>
      </c>
      <c r="K189" s="98" t="str">
        <f t="shared" si="48"/>
        <v>4015/4016</v>
      </c>
      <c r="L189" s="21" t="str">
        <f>VLOOKUP(A189,'Trips&amp;Operators'!$C$1:$G$99999,5,FALSE)</f>
        <v>SMITH MICHAEL</v>
      </c>
      <c r="M189" s="6">
        <f t="shared" si="49"/>
        <v>1.1157407410792075E-2</v>
      </c>
      <c r="N189" s="7">
        <f t="shared" si="68"/>
        <v>16.066666671540588</v>
      </c>
      <c r="O189" s="7"/>
      <c r="P189" s="7"/>
      <c r="Q189" s="22"/>
      <c r="R189" s="22"/>
      <c r="S189" s="31">
        <f t="shared" si="50"/>
        <v>1</v>
      </c>
      <c r="T189" s="46" t="str">
        <f t="shared" si="51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52"/>
        <v>https://d0f6bd738d7f1b3e5a7ca70fe4ff75f0.us-east-1.aws.found.io/app/kibana#/discover/Steve-Slow-Train-Analysis-(2080s-and-2083s)?_g=(refreshInterval:(display:Off,pause:!f,section:0,value:0),time:(from:'2017-02-10T16:07:21-0700',mode:absolute,to:'2017-02-10T18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88" t="str">
        <f t="shared" si="69"/>
        <v>N</v>
      </c>
      <c r="X189" s="188">
        <f t="shared" si="70"/>
        <v>1</v>
      </c>
      <c r="Y189" s="62">
        <f t="shared" si="53"/>
        <v>5.8640999999999996</v>
      </c>
      <c r="Z189" s="62">
        <f t="shared" si="54"/>
        <v>6.7699999999999996E-2</v>
      </c>
      <c r="AA189" s="62">
        <f t="shared" si="55"/>
        <v>5.7963999999999993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 t="shared" si="56"/>
        <v>0832-10</v>
      </c>
      <c r="AE189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89" s="82" t="str">
        <f t="shared" si="58"/>
        <v>"C:\Program Files (x86)\AstroGrep\AstroGrep.exe" /spath="%USERPROFILE%\AppData\Local\Temp\OnboardLogs" /stypes="app*4015*20170211*" /stext=" 00:.+((SYSTEM_STATE.+slice.+state.+changed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86" t="str">
        <f t="shared" si="60"/>
        <v>"%USERPROFILE%\Documents\GitHub\eaglep3\Utilities\RefineRTDCRunTimes.py" --tripid 832-10 --locoid 4015 --swversion DE.1.0.8.0 --startMP 300:58641 --initTime 2017-02-10T17:07:21 --startdatetime 2017-02-10T17:09:32 --delay 1 --endMP 204:677 --enddatetime 2017-02-10T17:25:36 --enforcementcount 0 &gt;&gt;C:\Users\stu\Documents\GitHub\eaglep3-reporting\EC\2017-02-10-refined-times.txt</v>
      </c>
      <c r="AI189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{"issue":{"subject":"","project_id":79,"tracker_id":40,"status_id":1,"priority_id":2,"assigned_to_id":23,"start_date":"2017-02-10","description":"","custom_fields":[{"id":1,"name":"Subdivision","value":"NW"},{"id":4,"name":"Milepost","value":"0.0677"},{"id":17,"name":"Train ID","value":"832-10"},{"id":16,"name":"Locomotive ID","value":"4015"},{"id":130,"name":"Impact","value":""},{"id":150,"name":"Time of Event (Mountain Time)","value":"17:25:36"},{"id":151,"name":"Denver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2"/>
        <v>start /low /b %USERPROFILE%\Documents\GitHub\eaglep3\Utilities\DownloadLogsFromS3.py --loco 4015 --day 2017-02-10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"%USERPROFILE%\AppData\Local\Temp\OnboardLogs"\RTDC4015\*4015*20170211* | grep -SE "(Enforcement Action)|(\[TIMEOUT)|(CHR.+\|PRM\|1\|D.+(SWITCH|SIGNAL).+UNKNOWN)" - &gt;&gt; 2017-02-10-UncaughtWiMAX.txt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702</v>
      </c>
      <c r="B190" s="7">
        <v>4031</v>
      </c>
      <c r="C190" s="21" t="s">
        <v>193</v>
      </c>
      <c r="D190" s="21" t="s">
        <v>873</v>
      </c>
      <c r="E190" s="13">
        <v>42776.716689814813</v>
      </c>
      <c r="F190" s="13">
        <v>42776.723124999997</v>
      </c>
      <c r="G190" s="7">
        <v>1</v>
      </c>
      <c r="H190" s="21" t="s">
        <v>533</v>
      </c>
      <c r="I190" s="13">
        <v>42776.732824074075</v>
      </c>
      <c r="J190" s="7">
        <v>0</v>
      </c>
      <c r="K190" s="98" t="str">
        <f t="shared" si="48"/>
        <v>4031/4032</v>
      </c>
      <c r="L190" s="21" t="str">
        <f>VLOOKUP(A190,'Trips&amp;Operators'!$C$1:$G$99999,5,FALSE)</f>
        <v>LEVERE CRAIG</v>
      </c>
      <c r="M190" s="6">
        <f t="shared" si="49"/>
        <v>9.6990740785258822E-3</v>
      </c>
      <c r="N190" s="7">
        <f t="shared" si="68"/>
        <v>13.96666667307727</v>
      </c>
      <c r="O190" s="7"/>
      <c r="P190" s="7"/>
      <c r="Q190" s="22"/>
      <c r="R190" s="22"/>
      <c r="S190" s="31">
        <f t="shared" si="50"/>
        <v>1</v>
      </c>
      <c r="T190" s="46" t="str">
        <f t="shared" si="51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52"/>
        <v>https://d0f6bd738d7f1b3e5a7ca70fe4ff75f0.us-east-1.aws.found.io/app/kibana#/discover/Steve-Slow-Train-Analysis-(2080s-and-2083s)?_g=(refreshInterval:(display:Off,pause:!f,section:0,value:0),time:(from:'2017-02-10T16:12:02-0700',mode:absolute,to:'2017-02-10T18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8" t="str">
        <f t="shared" si="69"/>
        <v>N</v>
      </c>
      <c r="X190" s="188">
        <f t="shared" si="70"/>
        <v>1</v>
      </c>
      <c r="Y190" s="62">
        <f t="shared" si="53"/>
        <v>9.74E-2</v>
      </c>
      <c r="Z190" s="62">
        <f t="shared" si="54"/>
        <v>5.8963000000000001</v>
      </c>
      <c r="AA190" s="62">
        <f t="shared" si="55"/>
        <v>5.7988999999999997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 t="shared" si="56"/>
        <v>0833-10</v>
      </c>
      <c r="AE190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90" s="82" t="str">
        <f t="shared" si="58"/>
        <v>"C:\Program Files (x86)\AstroGrep\AstroGrep.exe" /spath="%USERPROFILE%\AppData\Local\Temp\OnboardLogs" /stypes="app*4031*20170211*" /stext=" 00:.+((SYSTEM_STATE.+slice.+state.+changed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86" t="str">
        <f t="shared" si="60"/>
        <v>"%USERPROFILE%\Documents\GitHub\eaglep3\Utilities\RefineRTDCRunTimes.py" --tripid 833-10 --locoid 4031 --swversion DE.1.0.8.0 --startMP 204:974 --initTime 2017-02-10T17:12:02 --startdatetime 2017-02-10T17:21:18 --delay 1 --endMP 300:58963 --enddatetime 2017-02-10T17:35:16 --enforcementcount 0 &gt;&gt;C:\Users\stu\Documents\GitHub\eaglep3-reporting\EC\2017-02-10-refined-times.txt</v>
      </c>
      <c r="AI190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{"issue":{"subject":"","project_id":79,"tracker_id":40,"status_id":1,"priority_id":2,"assigned_to_id":23,"start_date":"2017-02-10","description":"","custom_fields":[{"id":1,"name":"Subdivision","value":"NW"},{"id":4,"name":"Milepost","value":"5.8963"},{"id":17,"name":"Train ID","value":"833-10"},{"id":16,"name":"Locomotive ID","value":"4031"},{"id":130,"name":"Impact","value":""},{"id":150,"name":"Time of Event (Mountain Time)","value":"17:35:16"},{"id":151,"name":"Denver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2"/>
        <v>start /low /b %USERPROFILE%\Documents\GitHub\eaglep3\Utilities\DownloadLogsFromS3.py --loco 4031 --day 2017-02-10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2017-02-10-UncaughtWiMAX.txt</v>
      </c>
    </row>
    <row r="191" spans="1:91" s="20" customFormat="1" x14ac:dyDescent="0.25">
      <c r="A191" s="33" t="s">
        <v>709</v>
      </c>
      <c r="B191" s="7">
        <v>4032</v>
      </c>
      <c r="C191" s="21" t="s">
        <v>193</v>
      </c>
      <c r="D191" s="21" t="s">
        <v>874</v>
      </c>
      <c r="E191" s="13">
        <v>42776.733935185184</v>
      </c>
      <c r="F191" s="13">
        <v>42776.735300925924</v>
      </c>
      <c r="G191" s="7">
        <v>1</v>
      </c>
      <c r="H191" s="21" t="s">
        <v>875</v>
      </c>
      <c r="I191" s="13">
        <v>42776.747719907406</v>
      </c>
      <c r="J191" s="7">
        <v>0</v>
      </c>
      <c r="K191" s="98" t="str">
        <f t="shared" si="48"/>
        <v>4031/4032</v>
      </c>
      <c r="L191" s="21" t="str">
        <f>VLOOKUP(A191,'Trips&amp;Operators'!$C$1:$G$99999,5,FALSE)</f>
        <v>LEVERE CRAIG</v>
      </c>
      <c r="M191" s="6">
        <f t="shared" si="49"/>
        <v>1.2418981481459923E-2</v>
      </c>
      <c r="N191" s="7">
        <f t="shared" si="68"/>
        <v>17.883333333302289</v>
      </c>
      <c r="O191" s="7"/>
      <c r="P191" s="7"/>
      <c r="Q191" s="22"/>
      <c r="R191" s="22"/>
      <c r="S191" s="31">
        <f t="shared" si="50"/>
        <v>1</v>
      </c>
      <c r="T191" s="46" t="str">
        <f t="shared" si="51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52"/>
        <v>https://d0f6bd738d7f1b3e5a7ca70fe4ff75f0.us-east-1.aws.found.io/app/kibana#/discover/Steve-Slow-Train-Analysis-(2080s-and-2083s)?_g=(refreshInterval:(display:Off,pause:!f,section:0,value:0),time:(from:'2017-02-10T16:36:52-0700',mode:absolute,to:'2017-02-10T18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8" t="str">
        <f t="shared" si="69"/>
        <v>N</v>
      </c>
      <c r="X191" s="188">
        <f t="shared" si="70"/>
        <v>1</v>
      </c>
      <c r="Y191" s="62">
        <f t="shared" si="53"/>
        <v>5.8648999999999996</v>
      </c>
      <c r="Z191" s="62">
        <f t="shared" si="54"/>
        <v>6.8500000000000005E-2</v>
      </c>
      <c r="AA191" s="62">
        <f t="shared" si="55"/>
        <v>5.7963999999999993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 t="shared" si="56"/>
        <v>0834-10</v>
      </c>
      <c r="AE191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91" s="82" t="str">
        <f t="shared" si="58"/>
        <v>"C:\Program Files (x86)\AstroGrep\AstroGrep.exe" /spath="%USERPROFILE%\AppData\Local\Temp\OnboardLogs" /stypes="app*4032*20170211*" /stext=" 00:.+((SYSTEM_STATE.+slice.+state.+changed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86" t="str">
        <f t="shared" si="60"/>
        <v>"%USERPROFILE%\Documents\GitHub\eaglep3\Utilities\RefineRTDCRunTimes.py" --tripid 834-10 --locoid 4032 --swversion DE.1.0.8.0 --startMP 300:58649 --initTime 2017-02-10T17:36:52 --startdatetime 2017-02-10T17:38:50 --delay 1 --endMP 204:685 --enddatetime 2017-02-10T17:56:43 --enforcementcount 0 &gt;&gt;C:\Users\stu\Documents\GitHub\eaglep3-reporting\EC\2017-02-10-refined-times.txt</v>
      </c>
      <c r="AI191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{"issue":{"subject":"","project_id":79,"tracker_id":40,"status_id":1,"priority_id":2,"assigned_to_id":23,"start_date":"2017-02-10","description":"","custom_fields":[{"id":1,"name":"Subdivision","value":"NW"},{"id":4,"name":"Milepost","value":"0.0685"},{"id":17,"name":"Train ID","value":"834-10"},{"id":16,"name":"Locomotive ID","value":"4032"},{"id":130,"name":"Impact","value":""},{"id":150,"name":"Time of Event (Mountain Time)","value":"17:56:43"},{"id":151,"name":"Denver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2"/>
        <v>start /low /b %USERPROFILE%\Documents\GitHub\eaglep3\Utilities\DownloadLogsFromS3.py --loco 4032 --day 2017-02-10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2017-02-10-UncaughtWiMAX.txt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3" t="s">
        <v>707</v>
      </c>
      <c r="B192" s="7">
        <v>4016</v>
      </c>
      <c r="C192" s="21" t="s">
        <v>193</v>
      </c>
      <c r="D192" s="21" t="s">
        <v>876</v>
      </c>
      <c r="E192" s="13">
        <v>42776.731168981481</v>
      </c>
      <c r="F192" s="13">
        <v>42776.743935185186</v>
      </c>
      <c r="G192" s="7">
        <v>1</v>
      </c>
      <c r="H192" s="21" t="s">
        <v>877</v>
      </c>
      <c r="I192" s="13">
        <v>42776.754120370373</v>
      </c>
      <c r="J192" s="7">
        <v>0</v>
      </c>
      <c r="K192" s="98" t="str">
        <f t="shared" si="48"/>
        <v>4015/4016</v>
      </c>
      <c r="L192" s="21" t="str">
        <f>VLOOKUP(A192,'Trips&amp;Operators'!$C$1:$G$99999,5,FALSE)</f>
        <v>SMITH MICHAEL</v>
      </c>
      <c r="M192" s="6">
        <f t="shared" si="49"/>
        <v>1.0185185186855961E-2</v>
      </c>
      <c r="N192" s="7">
        <f t="shared" si="68"/>
        <v>14.666666669072583</v>
      </c>
      <c r="O192" s="7"/>
      <c r="P192" s="7"/>
      <c r="Q192" s="22"/>
      <c r="R192" s="22"/>
      <c r="S192" s="31">
        <f t="shared" si="50"/>
        <v>1</v>
      </c>
      <c r="T192" s="46" t="str">
        <f t="shared" si="51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52"/>
        <v>https://d0f6bd738d7f1b3e5a7ca70fe4ff75f0.us-east-1.aws.found.io/app/kibana#/discover/Steve-Slow-Train-Analysis-(2080s-and-2083s)?_g=(refreshInterval:(display:Off,pause:!f,section:0,value:0),time:(from:'2017-02-10T16:32:53-0700',mode:absolute,to:'2017-02-10T19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88" t="str">
        <f t="shared" si="69"/>
        <v>N</v>
      </c>
      <c r="X192" s="188">
        <f t="shared" si="70"/>
        <v>1</v>
      </c>
      <c r="Y192" s="62">
        <f t="shared" si="53"/>
        <v>9.6699999999999994E-2</v>
      </c>
      <c r="Z192" s="62">
        <f t="shared" si="54"/>
        <v>5.8933</v>
      </c>
      <c r="AA192" s="62">
        <f t="shared" si="55"/>
        <v>5.7965999999999998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 t="shared" si="56"/>
        <v>0835-10</v>
      </c>
      <c r="AE192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92" s="82" t="str">
        <f t="shared" si="58"/>
        <v>"C:\Program Files (x86)\AstroGrep\AstroGrep.exe" /spath="%USERPROFILE%\AppData\Local\Temp\OnboardLogs" /stypes="app*4016*20170211*" /stext=" 01:.+((SYSTEM_STATE.+slice.+state.+changed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86" t="str">
        <f t="shared" si="60"/>
        <v>"%USERPROFILE%\Documents\GitHub\eaglep3\Utilities\RefineRTDCRunTimes.py" --tripid 835-10 --locoid 4016 --swversion DE.1.0.8.0 --startMP 204:967 --initTime 2017-02-10T17:32:53 --startdatetime 2017-02-10T17:51:16 --delay 1 --endMP 300:58933 --enddatetime 2017-02-10T18:05:56 --enforcementcount 0 &gt;&gt;C:\Users\stu\Documents\GitHub\eaglep3-reporting\EC\2017-02-10-refined-times.txt</v>
      </c>
      <c r="AI192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{"issue":{"subject":"","project_id":79,"tracker_id":40,"status_id":1,"priority_id":2,"assigned_to_id":23,"start_date":"2017-02-10","description":"","custom_fields":[{"id":1,"name":"Subdivision","value":"NW"},{"id":4,"name":"Milepost","value":"5.8933"},{"id":17,"name":"Train ID","value":"835-10"},{"id":16,"name":"Locomotive ID","value":"4016"},{"id":130,"name":"Impact","value":""},{"id":150,"name":"Time of Event (Mountain Time)","value":"18:05:56"},{"id":151,"name":"Denver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2"/>
        <v>start /low /b %USERPROFILE%\Documents\GitHub\eaglep3\Utilities\DownloadLogsFromS3.py --loco 4016 --day 2017-02-10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"%USERPROFILE%\AppData\Local\Temp\OnboardLogs"\RTDC4016\*4016*20170211* | grep -SE "(Enforcement Action)|(\[TIMEOUT)|(CHR.+\|PRM\|1\|D.+(SWITCH|SIGNAL).+UNKNOWN)" - &gt;&gt; 2017-02-10-UncaughtWiMAX.txt</v>
      </c>
    </row>
    <row r="193" spans="1:40" x14ac:dyDescent="0.25">
      <c r="A193" s="33" t="s">
        <v>716</v>
      </c>
      <c r="B193" s="7">
        <v>4015</v>
      </c>
      <c r="C193" s="21" t="s">
        <v>193</v>
      </c>
      <c r="D193" s="21" t="s">
        <v>878</v>
      </c>
      <c r="E193" s="13">
        <v>42776.755370370367</v>
      </c>
      <c r="F193" s="13">
        <v>42776.756886574076</v>
      </c>
      <c r="G193" s="7">
        <v>1</v>
      </c>
      <c r="H193" s="21" t="s">
        <v>879</v>
      </c>
      <c r="I193" s="13">
        <v>42776.767696759256</v>
      </c>
      <c r="J193" s="7">
        <v>0</v>
      </c>
      <c r="K193" s="98" t="str">
        <f t="shared" si="48"/>
        <v>4015/4016</v>
      </c>
      <c r="L193" s="21" t="str">
        <f>VLOOKUP(A193,'Trips&amp;Operators'!$C$1:$G$99999,5,FALSE)</f>
        <v>SMITH MICHAEL</v>
      </c>
      <c r="M193" s="6">
        <f t="shared" si="49"/>
        <v>1.081018518016208E-2</v>
      </c>
      <c r="N193" s="7">
        <f t="shared" si="68"/>
        <v>15.566666659433395</v>
      </c>
      <c r="O193" s="7"/>
      <c r="P193" s="7"/>
      <c r="Q193" s="22"/>
      <c r="R193" s="22"/>
      <c r="S193" s="31">
        <f t="shared" si="50"/>
        <v>1</v>
      </c>
      <c r="T193" s="46" t="str">
        <f t="shared" si="51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52"/>
        <v>https://d0f6bd738d7f1b3e5a7ca70fe4ff75f0.us-east-1.aws.found.io/app/kibana#/discover/Steve-Slow-Train-Analysis-(2080s-and-2083s)?_g=(refreshInterval:(display:Off,pause:!f,section:0,value:0),time:(from:'2017-02-10T17:07:44-0700',mode:absolute,to:'2017-02-10T19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88" t="str">
        <f t="shared" si="69"/>
        <v>N</v>
      </c>
      <c r="X193" s="188">
        <f t="shared" si="70"/>
        <v>1</v>
      </c>
      <c r="Y193" s="62">
        <f t="shared" si="53"/>
        <v>5.8619000000000003</v>
      </c>
      <c r="Z193" s="62">
        <f t="shared" si="54"/>
        <v>6.7299999999999999E-2</v>
      </c>
      <c r="AA193" s="62">
        <f t="shared" si="55"/>
        <v>5.7946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 t="shared" si="56"/>
        <v>0836-10</v>
      </c>
      <c r="AE193" s="85" t="str">
        <f t="shared" si="57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193" s="82" t="str">
        <f t="shared" si="58"/>
        <v>"C:\Program Files (x86)\AstroGrep\AstroGrep.exe" /spath="%USERPROFILE%\AppData\Local\Temp\OnboardLogs" /stypes="app*4015*20170211*" /stext=" 01:.+((SYSTEM_STATE.+slice.+state.+changed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86" t="str">
        <f t="shared" si="60"/>
        <v>"%USERPROFILE%\Documents\GitHub\eaglep3\Utilities\RefineRTDCRunTimes.py" --tripid 836-10 --locoid 4015 --swversion DE.1.0.8.0 --startMP 300:58619 --initTime 2017-02-10T18:07:44 --startdatetime 2017-02-10T18:09:55 --delay 1 --endMP 204:673 --enddatetime 2017-02-10T18:25:29 --enforcementcount 0 &gt;&gt;C:\Users\stu\Documents\GitHub\eaglep3-reporting\EC\2017-02-10-refined-times.txt</v>
      </c>
      <c r="AI193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{"issue":{"subject":"","project_id":79,"tracker_id":40,"status_id":1,"priority_id":2,"assigned_to_id":23,"start_date":"2017-02-10","description":"","custom_fields":[{"id":1,"name":"Subdivision","value":"NW"},{"id":4,"name":"Milepost","value":"0.0673"},{"id":17,"name":"Train ID","value":"836-10"},{"id":16,"name":"Locomotive ID","value":"4015"},{"id":130,"name":"Impact","value":""},{"id":150,"name":"Time of Event (Mountain Time)","value":"18:25:29"},{"id":151,"name":"Denver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2"/>
        <v>start /low /b %USERPROFILE%\Documents\GitHub\eaglep3\Utilities\DownloadLogsFromS3.py --loco 4015 --day 2017-02-10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"%USERPROFILE%\AppData\Local\Temp\OnboardLogs"\RTDC4015\*4015*20170211* | grep -SE "(Enforcement Action)|(\[TIMEOUT)|(CHR.+\|PRM\|1\|D.+(SWITCH|SIGNAL).+UNKNOWN)" - &gt;&gt; 2017-02-10-UncaughtWiMAX.txt</v>
      </c>
    </row>
    <row r="194" spans="1:40" x14ac:dyDescent="0.25">
      <c r="A194" s="33" t="s">
        <v>717</v>
      </c>
      <c r="B194" s="7">
        <v>4031</v>
      </c>
      <c r="C194" s="21" t="s">
        <v>193</v>
      </c>
      <c r="D194" s="21" t="s">
        <v>473</v>
      </c>
      <c r="E194" s="13">
        <v>42776.759189814817</v>
      </c>
      <c r="F194" s="13">
        <v>42776.764768518522</v>
      </c>
      <c r="G194" s="7">
        <v>1</v>
      </c>
      <c r="H194" s="21" t="s">
        <v>529</v>
      </c>
      <c r="I194" s="13">
        <v>42776.774699074071</v>
      </c>
      <c r="J194" s="7">
        <v>0</v>
      </c>
      <c r="K194" s="98" t="str">
        <f t="shared" si="48"/>
        <v>4031/4032</v>
      </c>
      <c r="L194" s="21" t="str">
        <f>VLOOKUP(A194,'Trips&amp;Operators'!$C$1:$G$99999,5,FALSE)</f>
        <v>LEVERE CRAIG</v>
      </c>
      <c r="M194" s="6">
        <f t="shared" si="49"/>
        <v>9.9305555486353114E-3</v>
      </c>
      <c r="N194" s="7">
        <f t="shared" si="68"/>
        <v>14.299999990034848</v>
      </c>
      <c r="O194" s="7"/>
      <c r="P194" s="7"/>
      <c r="Q194" s="22"/>
      <c r="R194" s="22"/>
      <c r="S194" s="31">
        <f t="shared" si="50"/>
        <v>1</v>
      </c>
      <c r="T194" s="46" t="str">
        <f t="shared" si="51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52"/>
        <v>https://d0f6bd738d7f1b3e5a7ca70fe4ff75f0.us-east-1.aws.found.io/app/kibana#/discover/Steve-Slow-Train-Analysis-(2080s-and-2083s)?_g=(refreshInterval:(display:Off,pause:!f,section:0,value:0),time:(from:'2017-02-10T17:13:14-0700',mode:absolute,to:'2017-02-10T19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4" s="188" t="str">
        <f t="shared" si="69"/>
        <v>N</v>
      </c>
      <c r="X194" s="188">
        <f t="shared" si="70"/>
        <v>1</v>
      </c>
      <c r="Y194" s="62">
        <f t="shared" si="53"/>
        <v>9.8799999999999999E-2</v>
      </c>
      <c r="Z194" s="62">
        <f t="shared" si="54"/>
        <v>5.8975</v>
      </c>
      <c r="AA194" s="62">
        <f t="shared" si="55"/>
        <v>5.7987000000000002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 t="shared" si="56"/>
        <v>0837-10</v>
      </c>
      <c r="AE194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94" s="82" t="str">
        <f t="shared" si="58"/>
        <v>"C:\Program Files (x86)\AstroGrep\AstroGrep.exe" /spath="%USERPROFILE%\AppData\Local\Temp\OnboardLogs" /stypes="app*4031*20170211*" /stext=" 01:.+((SYSTEM_STATE.+slice.+state.+changed )|(ment ac)|(multiple cpu faults)|(system.+state.+changed )|(\[timeout)|(PRM\|1\|D)|(kpr)|(kdp)|(\|lc)|(penalty))" /e /r /s</v>
      </c>
      <c r="AG194" s="1" t="str">
        <f t="shared" si="59"/>
        <v>NW</v>
      </c>
      <c r="AH194" s="86" t="str">
        <f t="shared" si="60"/>
        <v>"%USERPROFILE%\Documents\GitHub\eaglep3\Utilities\RefineRTDCRunTimes.py" --tripid 837-10 --locoid 4031 --swversion DE.1.0.8.0 --startMP 204:988 --initTime 2017-02-10T18:13:14 --startdatetime 2017-02-10T18:21:16 --delay 1 --endMP 300:58975 --enddatetime 2017-02-10T18:35:34 --enforcementcount 0 &gt;&gt;C:\Users\stu\Documents\GitHub\eaglep3-reporting\EC\2017-02-10-refined-times.txt</v>
      </c>
      <c r="AI194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{"issue":{"subject":"","project_id":79,"tracker_id":40,"status_id":1,"priority_id":2,"assigned_to_id":23,"start_date":"2017-02-10","description":"","custom_fields":[{"id":1,"name":"Subdivision","value":"NW"},{"id":4,"name":"Milepost","value":"5.8975"},{"id":17,"name":"Train ID","value":"837-10"},{"id":16,"name":"Locomotive ID","value":"4031"},{"id":130,"name":"Impact","value":""},{"id":150,"name":"Time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2"/>
        <v>start /low /b %USERPROFILE%\Documents\GitHub\eaglep3\Utilities\DownloadLogsFromS3.py --loco 4031 --day 2017-02-10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2017-02-10-UncaughtWiMAX.txt</v>
      </c>
    </row>
    <row r="195" spans="1:40" x14ac:dyDescent="0.25">
      <c r="A195" s="33" t="s">
        <v>720</v>
      </c>
      <c r="B195" s="7">
        <v>4032</v>
      </c>
      <c r="C195" s="21" t="s">
        <v>193</v>
      </c>
      <c r="D195" s="21" t="s">
        <v>528</v>
      </c>
      <c r="E195" s="13">
        <v>42776.775694444441</v>
      </c>
      <c r="F195" s="13">
        <v>42776.777106481481</v>
      </c>
      <c r="G195" s="7">
        <v>1</v>
      </c>
      <c r="H195" s="21" t="s">
        <v>469</v>
      </c>
      <c r="I195" s="13">
        <v>42776.789259259262</v>
      </c>
      <c r="J195" s="7">
        <v>0</v>
      </c>
      <c r="K195" s="98" t="str">
        <f t="shared" si="48"/>
        <v>4031/4032</v>
      </c>
      <c r="L195" s="21" t="str">
        <f>VLOOKUP(A195,'Trips&amp;Operators'!$C$1:$G$99999,5,FALSE)</f>
        <v>LEVERE CRAIG</v>
      </c>
      <c r="M195" s="6">
        <f t="shared" si="49"/>
        <v>1.2152777781011537E-2</v>
      </c>
      <c r="N195" s="7">
        <f t="shared" si="68"/>
        <v>17.500000004656613</v>
      </c>
      <c r="O195" s="7"/>
      <c r="P195" s="7"/>
      <c r="Q195" s="22"/>
      <c r="R195" s="22"/>
      <c r="S195" s="31">
        <f t="shared" si="50"/>
        <v>1</v>
      </c>
      <c r="T195" s="46" t="str">
        <f t="shared" si="51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52"/>
        <v>https://d0f6bd738d7f1b3e5a7ca70fe4ff75f0.us-east-1.aws.found.io/app/kibana#/discover/Steve-Slow-Train-Analysis-(2080s-and-2083s)?_g=(refreshInterval:(display:Off,pause:!f,section:0,value:0),time:(from:'2017-02-10T17:37:00-0700',mode:absolute,to:'2017-02-10T19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88" t="str">
        <f t="shared" si="69"/>
        <v>N</v>
      </c>
      <c r="X195" s="188">
        <f t="shared" si="70"/>
        <v>1</v>
      </c>
      <c r="Y195" s="62">
        <f t="shared" si="53"/>
        <v>5.8653000000000004</v>
      </c>
      <c r="Z195" s="62">
        <f t="shared" si="54"/>
        <v>6.8699999999999997E-2</v>
      </c>
      <c r="AA195" s="62">
        <f t="shared" si="55"/>
        <v>5.7966000000000006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 t="shared" si="56"/>
        <v>0838-10</v>
      </c>
      <c r="AE195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95" s="82" t="str">
        <f t="shared" si="58"/>
        <v>"C:\Program Files (x86)\AstroGrep\AstroGrep.exe" /spath="%USERPROFILE%\AppData\Local\Temp\OnboardLogs" /stypes="app*4032*20170211*" /stext=" 01:.+((SYSTEM_STATE.+slice.+state.+changed )|(ment ac)|(multiple cpu faults)|(system.+state.+changed )|(\[timeout)|(PRM\|1\|D)|(kpr)|(kdp)|(\|lc)|(penalty))" /e /r /s</v>
      </c>
      <c r="AG195" s="1" t="str">
        <f t="shared" si="59"/>
        <v>NW</v>
      </c>
      <c r="AH195" s="86" t="str">
        <f t="shared" si="60"/>
        <v>"%USERPROFILE%\Documents\GitHub\eaglep3\Utilities\RefineRTDCRunTimes.py" --tripid 838-10 --locoid 4032 --swversion DE.1.0.8.0 --startMP 300:58653 --initTime 2017-02-10T18:37:00 --startdatetime 2017-02-10T18:39:02 --delay 1 --endMP 204:687 --enddatetime 2017-02-10T18:56:32 --enforcementcount 0 &gt;&gt;C:\Users\stu\Documents\GitHub\eaglep3-reporting\EC\2017-02-10-refined-times.txt</v>
      </c>
      <c r="AI195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{"issue":{"subject":"","project_id":79,"tracker_id":40,"status_id":1,"priority_id":2,"assigned_to_id":23,"start_date":"2017-02-10","description":"","custom_fields":[{"id":1,"name":"Subdivision","value":"NW"},{"id":4,"name":"Milepost","value":"0.0687"},{"id":17,"name":"Train ID","value":"838-10"},{"id":16,"name":"Locomotive ID","value":"4032"},{"id":130,"name":"Impact","value":""},{"id":150,"name":"Time of Event (Mountain Time)","value":"18:56:32"},{"id":151,"name":"Denver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2"/>
        <v>start /low /b %USERPROFILE%\Documents\GitHub\eaglep3\Utilities\DownloadLogsFromS3.py --loco 4032 --day 2017-02-10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2017-02-10-UncaughtWiMAX.txt</v>
      </c>
    </row>
    <row r="196" spans="1:40" x14ac:dyDescent="0.25">
      <c r="A196" s="33" t="s">
        <v>722</v>
      </c>
      <c r="B196" s="7">
        <v>4016</v>
      </c>
      <c r="C196" s="21" t="s">
        <v>193</v>
      </c>
      <c r="D196" s="21" t="s">
        <v>880</v>
      </c>
      <c r="E196" s="13">
        <v>42776.777824074074</v>
      </c>
      <c r="F196" s="13">
        <v>42776.785601851851</v>
      </c>
      <c r="G196" s="7">
        <v>1</v>
      </c>
      <c r="H196" s="21" t="s">
        <v>881</v>
      </c>
      <c r="I196" s="13">
        <v>42776.795138888891</v>
      </c>
      <c r="J196" s="7">
        <v>0</v>
      </c>
      <c r="K196" s="98" t="str">
        <f t="shared" si="48"/>
        <v>4015/4016</v>
      </c>
      <c r="L196" s="21" t="str">
        <f>VLOOKUP(A196,'Trips&amp;Operators'!$C$1:$G$99999,5,FALSE)</f>
        <v>SMITH MICHAEL</v>
      </c>
      <c r="M196" s="6">
        <f t="shared" si="49"/>
        <v>9.5370370399905369E-3</v>
      </c>
      <c r="N196" s="7">
        <f t="shared" si="68"/>
        <v>13.733333337586373</v>
      </c>
      <c r="O196" s="7"/>
      <c r="P196" s="7"/>
      <c r="Q196" s="22"/>
      <c r="R196" s="22"/>
      <c r="S196" s="31">
        <f t="shared" si="50"/>
        <v>1</v>
      </c>
      <c r="T196" s="46" t="str">
        <f t="shared" si="51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52"/>
        <v>https://d0f6bd738d7f1b3e5a7ca70fe4ff75f0.us-east-1.aws.found.io/app/kibana#/discover/Steve-Slow-Train-Analysis-(2080s-and-2083s)?_g=(refreshInterval:(display:Off,pause:!f,section:0,value:0),time:(from:'2017-02-10T17:40:04-0700',mode:absolute,to:'2017-02-10T20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8" t="str">
        <f t="shared" si="69"/>
        <v>N</v>
      </c>
      <c r="X196" s="188">
        <f t="shared" si="70"/>
        <v>1</v>
      </c>
      <c r="Y196" s="62">
        <f t="shared" si="53"/>
        <v>9.6199999999999994E-2</v>
      </c>
      <c r="Z196" s="62">
        <f t="shared" si="54"/>
        <v>5.8939000000000004</v>
      </c>
      <c r="AA196" s="62">
        <f t="shared" si="55"/>
        <v>5.7977000000000007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 t="shared" si="56"/>
        <v>0839-10</v>
      </c>
      <c r="AE196" s="85" t="str">
        <f t="shared" si="57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196" s="82" t="str">
        <f t="shared" si="58"/>
        <v>"C:\Program Files (x86)\AstroGrep\AstroGrep.exe" /spath="%USERPROFILE%\AppData\Local\Temp\OnboardLogs" /stypes="app*4016*20170211*" /stext=" 02:.+((SYSTEM_STATE.+slice.+state.+changed )|(ment ac)|(multiple cpu faults)|(system.+state.+changed )|(\[timeout)|(PRM\|1\|D)|(kpr)|(kdp)|(\|lc)|(penalty))" /e /r /s</v>
      </c>
      <c r="AG196" s="1" t="str">
        <f t="shared" si="59"/>
        <v>NW</v>
      </c>
      <c r="AH196" s="86" t="str">
        <f t="shared" si="60"/>
        <v>"%USERPROFILE%\Documents\GitHub\eaglep3\Utilities\RefineRTDCRunTimes.py" --tripid 839-10 --locoid 4016 --swversion DE.1.0.8.0 --startMP 204:962 --initTime 2017-02-10T18:40:04 --startdatetime 2017-02-10T18:51:16 --delay 1 --endMP 300:58939 --enddatetime 2017-02-10T19:05:00 --enforcementcount 0 &gt;&gt;C:\Users\stu\Documents\GitHub\eaglep3-reporting\EC\2017-02-10-refined-times.txt</v>
      </c>
      <c r="AI196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{"issue":{"subject":"","project_id":79,"tracker_id":40,"status_id":1,"priority_id":2,"assigned_to_id":23,"start_date":"2017-02-10","description":"","custom_fields":[{"id":1,"name":"Subdivision","value":"NW"},{"id":4,"name":"Milepost","value":"5.8939"},{"id":17,"name":"Train ID","value":"839-10"},{"id":16,"name":"Locomotive ID","value":"4016"},{"id":130,"name":"Impact","value":""},{"id":150,"name":"Time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2"/>
        <v>start /low /b %USERPROFILE%\Documents\GitHub\eaglep3\Utilities\DownloadLogsFromS3.py --loco 4016 --day 2017-02-10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"%USERPROFILE%\AppData\Local\Temp\OnboardLogs"\RTDC4016\*4016*20170211* | grep -SE "(Enforcement Action)|(\[TIMEOUT)|(CHR.+\|PRM\|1\|D.+(SWITCH|SIGNAL).+UNKNOWN)" - &gt;&gt; 2017-02-10-UncaughtWiMAX.txt</v>
      </c>
    </row>
    <row r="197" spans="1:40" x14ac:dyDescent="0.25">
      <c r="A197" s="33" t="s">
        <v>731</v>
      </c>
      <c r="B197" s="7">
        <v>4032</v>
      </c>
      <c r="C197" s="21" t="s">
        <v>193</v>
      </c>
      <c r="D197" s="21" t="s">
        <v>470</v>
      </c>
      <c r="E197" s="13">
        <v>42776.817870370367</v>
      </c>
      <c r="F197" s="13">
        <v>42776.819641203707</v>
      </c>
      <c r="G197" s="7">
        <v>1</v>
      </c>
      <c r="H197" s="21" t="s">
        <v>380</v>
      </c>
      <c r="I197" s="13">
        <v>42776.832754629628</v>
      </c>
      <c r="J197" s="7">
        <v>0</v>
      </c>
      <c r="K197" s="98" t="str">
        <f t="shared" si="48"/>
        <v>4031/4032</v>
      </c>
      <c r="L197" s="21" t="str">
        <f>VLOOKUP(A197,'Trips&amp;Operators'!$C$1:$G$99999,5,FALSE)</f>
        <v>LEVERE CRAIG</v>
      </c>
      <c r="M197" s="6">
        <f t="shared" si="49"/>
        <v>1.3113425920892041E-2</v>
      </c>
      <c r="N197" s="7">
        <f t="shared" si="68"/>
        <v>18.883333326084539</v>
      </c>
      <c r="O197" s="7"/>
      <c r="P197" s="7"/>
      <c r="Q197" s="22"/>
      <c r="R197" s="22"/>
      <c r="S197" s="31">
        <f t="shared" si="50"/>
        <v>1</v>
      </c>
      <c r="T197" s="46" t="str">
        <f t="shared" si="51"/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52"/>
        <v>https://d0f6bd738d7f1b3e5a7ca70fe4ff75f0.us-east-1.aws.found.io/app/kibana#/discover/Steve-Slow-Train-Analysis-(2080s-and-2083s)?_g=(refreshInterval:(display:Off,pause:!f,section:0,value:0),time:(from:'2017-02-10T18:37:44-0700',mode:absolute,to:'2017-02-10T20:59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7" s="188" t="str">
        <f t="shared" si="69"/>
        <v>N</v>
      </c>
      <c r="X197" s="188">
        <f t="shared" si="70"/>
        <v>1</v>
      </c>
      <c r="Y197" s="62">
        <f t="shared" si="53"/>
        <v>5.8628</v>
      </c>
      <c r="Z197" s="62">
        <f t="shared" si="54"/>
        <v>6.9099999999999995E-2</v>
      </c>
      <c r="AA197" s="62">
        <f t="shared" si="55"/>
        <v>5.7937000000000003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 t="shared" si="56"/>
        <v>0840-10</v>
      </c>
      <c r="AE197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97" s="82" t="str">
        <f t="shared" si="58"/>
        <v>"C:\Program Files (x86)\AstroGrep\AstroGrep.exe" /spath="%USERPROFILE%\AppData\Local\Temp\OnboardLogs" /stypes="app*4032*20170211*" /stext=" 02:.+((SYSTEM_STATE.+slice.+state.+changed )|(ment ac)|(multiple cpu faults)|(system.+state.+changed )|(\[timeout)|(PRM\|1\|D)|(kpr)|(kdp)|(\|lc)|(penalty))" /e /r /s</v>
      </c>
      <c r="AG197" s="1" t="str">
        <f t="shared" si="59"/>
        <v>NW</v>
      </c>
      <c r="AH197" s="86" t="str">
        <f t="shared" si="60"/>
        <v>"%USERPROFILE%\Documents\GitHub\eaglep3\Utilities\RefineRTDCRunTimes.py" --tripid 840-10 --locoid 4032 --swversion DE.1.0.8.0 --startMP 300:58628 --initTime 2017-02-10T19:37:44 --startdatetime 2017-02-10T19:40:17 --delay 1 --endMP 204:691 --enddatetime 2017-02-10T19:59:10 --enforcementcount 0 &gt;&gt;C:\Users\stu\Documents\GitHub\eaglep3-reporting\EC\2017-02-10-refined-times.txt</v>
      </c>
      <c r="AI197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{"issue":{"subject":"","project_id":79,"tracker_id":40,"status_id":1,"priority_id":2,"assigned_to_id":23,"start_date":"2017-02-10","description":"","custom_fields":[{"id":1,"name":"Subdivision","value":"NW"},{"id":4,"name":"Milepost","value":"0.0691"},{"id":17,"name":"Train ID","value":"840-10"},{"id":16,"name":"Locomotive ID","value":"4032"},{"id":130,"name":"Impact","value":""},{"id":150,"name":"Time of Event (Mountain Time)","value":"19:59:10"},{"id":151,"name":"Denver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2"/>
        <v>start /low /b %USERPROFILE%\Documents\GitHub\eaglep3\Utilities\DownloadLogsFromS3.py --loco 4032 --day 2017-02-10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2017-02-10-UncaughtWiMAX.txt</v>
      </c>
    </row>
    <row r="198" spans="1:40" x14ac:dyDescent="0.25">
      <c r="A198" s="33" t="s">
        <v>726</v>
      </c>
      <c r="B198" s="7">
        <v>4031</v>
      </c>
      <c r="C198" s="21" t="s">
        <v>193</v>
      </c>
      <c r="D198" s="21" t="s">
        <v>526</v>
      </c>
      <c r="E198" s="13">
        <v>42776.796469907407</v>
      </c>
      <c r="F198" s="13">
        <v>42776.806562500002</v>
      </c>
      <c r="G198" s="7">
        <v>1</v>
      </c>
      <c r="H198" s="21" t="s">
        <v>523</v>
      </c>
      <c r="I198" s="13">
        <v>42776.816550925927</v>
      </c>
      <c r="J198" s="7">
        <v>0</v>
      </c>
      <c r="K198" s="98" t="str">
        <f t="shared" si="48"/>
        <v>4031/4032</v>
      </c>
      <c r="L198" s="21" t="str">
        <f>VLOOKUP(A198,'Trips&amp;Operators'!$C$1:$G$99999,5,FALSE)</f>
        <v>LEVERE CRAIG</v>
      </c>
      <c r="M198" s="6">
        <f t="shared" si="49"/>
        <v>9.9884259252576157E-3</v>
      </c>
      <c r="N198" s="7">
        <f t="shared" si="68"/>
        <v>14.383333332370967</v>
      </c>
      <c r="O198" s="7"/>
      <c r="P198" s="7"/>
      <c r="Q198" s="22"/>
      <c r="R198" s="22"/>
      <c r="S198" s="31">
        <f t="shared" si="50"/>
        <v>1</v>
      </c>
      <c r="T198" s="46" t="str">
        <f t="shared" si="51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52"/>
        <v>https://d0f6bd738d7f1b3e5a7ca70fe4ff75f0.us-east-1.aws.found.io/app/kibana#/discover/Steve-Slow-Train-Analysis-(2080s-and-2083s)?_g=(refreshInterval:(display:Off,pause:!f,section:0,value:0),time:(from:'2017-02-10T18:06:55-0700',mode:absolute,to:'2017-02-10T20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8" s="188" t="str">
        <f t="shared" si="69"/>
        <v>N</v>
      </c>
      <c r="X198" s="188">
        <f t="shared" si="70"/>
        <v>1</v>
      </c>
      <c r="Y198" s="62">
        <f t="shared" si="53"/>
        <v>9.8100000000000007E-2</v>
      </c>
      <c r="Z198" s="62">
        <f t="shared" si="54"/>
        <v>5.8948</v>
      </c>
      <c r="AA198" s="62">
        <f t="shared" si="55"/>
        <v>5.7967000000000004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 t="shared" si="56"/>
        <v>0841-10</v>
      </c>
      <c r="AE198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198" s="82" t="str">
        <f t="shared" si="58"/>
        <v>"C:\Program Files (x86)\AstroGrep\AstroGrep.exe" /spath="%USERPROFILE%\AppData\Local\Temp\OnboardLogs" /stypes="app*4031*20170211*" /stext=" 02:.+((SYSTEM_STATE.+slice.+state.+changed )|(ment ac)|(multiple cpu faults)|(system.+state.+changed )|(\[timeout)|(PRM\|1\|D)|(kpr)|(kdp)|(\|lc)|(penalty))" /e /r /s</v>
      </c>
      <c r="AG198" s="1" t="str">
        <f t="shared" si="59"/>
        <v>NW</v>
      </c>
      <c r="AH198" s="86" t="str">
        <f t="shared" si="60"/>
        <v>"%USERPROFILE%\Documents\GitHub\eaglep3\Utilities\RefineRTDCRunTimes.py" --tripid 841-10 --locoid 4031 --swversion DE.1.0.8.0 --startMP 204:981 --initTime 2017-02-10T19:06:55 --startdatetime 2017-02-10T19:21:27 --delay 1 --endMP 300:58948 --enddatetime 2017-02-10T19:35:50 --enforcementcount 0 &gt;&gt;C:\Users\stu\Documents\GitHub\eaglep3-reporting\EC\2017-02-10-refined-times.txt</v>
      </c>
      <c r="AI198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{"issue":{"subject":"","project_id":79,"tracker_id":40,"status_id":1,"priority_id":2,"assigned_to_id":23,"start_date":"2017-02-10","description":"","custom_fields":[{"id":1,"name":"Subdivision","value":"NW"},{"id":4,"name":"Milepost","value":"5.8948"},{"id":17,"name":"Train ID","value":"841-10"},{"id":16,"name":"Locomotive ID","value":"4031"},{"id":130,"name":"Impact","value":""},{"id":150,"name":"Time of Event (Mountain Time)","value":"19:35:50"},{"id":151,"name":"Denver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2"/>
        <v>start /low /b %USERPROFILE%\Documents\GitHub\eaglep3\Utilities\DownloadLogsFromS3.py --loco 4031 --day 2017-02-10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2017-02-10-UncaughtWiMAX.txt</v>
      </c>
    </row>
    <row r="199" spans="1:40" x14ac:dyDescent="0.25">
      <c r="A199" s="33" t="s">
        <v>736</v>
      </c>
      <c r="B199" s="7">
        <v>4032</v>
      </c>
      <c r="C199" s="21" t="s">
        <v>193</v>
      </c>
      <c r="D199" s="21" t="s">
        <v>874</v>
      </c>
      <c r="E199" s="13">
        <v>42776.859537037039</v>
      </c>
      <c r="F199" s="13">
        <v>42776.861620370371</v>
      </c>
      <c r="G199" s="7">
        <v>1</v>
      </c>
      <c r="H199" s="21" t="s">
        <v>469</v>
      </c>
      <c r="I199" s="13">
        <v>42776.873182870368</v>
      </c>
      <c r="J199" s="7">
        <v>0</v>
      </c>
      <c r="K199" s="98" t="str">
        <f t="shared" si="48"/>
        <v>4031/4032</v>
      </c>
      <c r="L199" s="21" t="str">
        <f>VLOOKUP(A199,'Trips&amp;Operators'!$C$1:$G$99999,5,FALSE)</f>
        <v>LEVERE CRAIG</v>
      </c>
      <c r="M199" s="6">
        <f t="shared" si="49"/>
        <v>1.1562499996216502E-2</v>
      </c>
      <c r="N199" s="7">
        <f t="shared" ref="N199:N218" si="71">24*60*SUM($M199:$M199)</f>
        <v>16.649999994551763</v>
      </c>
      <c r="O199" s="7"/>
      <c r="P199" s="7"/>
      <c r="Q199" s="22"/>
      <c r="R199" s="22"/>
      <c r="S199" s="31">
        <f t="shared" si="50"/>
        <v>1</v>
      </c>
      <c r="T199" s="46" t="str">
        <f t="shared" si="51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52"/>
        <v>https://d0f6bd738d7f1b3e5a7ca70fe4ff75f0.us-east-1.aws.found.io/app/kibana#/discover/Steve-Slow-Train-Analysis-(2080s-and-2083s)?_g=(refreshInterval:(display:Off,pause:!f,section:0,value:0),time:(from:'2017-02-10T19:37:44-0700',mode:absolute,to:'2017-02-10T21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188" t="str">
        <f t="shared" si="69"/>
        <v>N</v>
      </c>
      <c r="X199" s="188">
        <f t="shared" si="70"/>
        <v>1</v>
      </c>
      <c r="Y199" s="62">
        <f t="shared" si="53"/>
        <v>5.8648999999999996</v>
      </c>
      <c r="Z199" s="62">
        <f t="shared" si="54"/>
        <v>6.8699999999999997E-2</v>
      </c>
      <c r="AA199" s="62">
        <f t="shared" si="55"/>
        <v>5.7961999999999998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 t="shared" si="56"/>
        <v>0842-10</v>
      </c>
      <c r="AE199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199" s="82" t="str">
        <f t="shared" si="58"/>
        <v>"C:\Program Files (x86)\AstroGrep\AstroGrep.exe" /spath="%USERPROFILE%\AppData\Local\Temp\OnboardLogs" /stypes="app*4032*20170211*" /stext=" 03:.+((SYSTEM_STATE.+slice.+state.+changed )|(ment ac)|(multiple cpu faults)|(system.+state.+changed )|(\[timeout)|(PRM\|1\|D)|(kpr)|(kdp)|(\|lc)|(penalty))" /e /r /s</v>
      </c>
      <c r="AG199" s="1" t="str">
        <f t="shared" si="59"/>
        <v>NW</v>
      </c>
      <c r="AH199" s="86" t="str">
        <f t="shared" si="60"/>
        <v>"%USERPROFILE%\Documents\GitHub\eaglep3\Utilities\RefineRTDCRunTimes.py" --tripid 842-10 --locoid 4032 --swversion DE.1.0.8.0 --startMP 300:58649 --initTime 2017-02-10T20:37:44 --startdatetime 2017-02-10T20:40:44 --delay 1 --endMP 204:687 --enddatetime 2017-02-10T20:57:23 --enforcementcount 0 &gt;&gt;C:\Users\stu\Documents\GitHub\eaglep3-reporting\EC\2017-02-10-refined-times.txt</v>
      </c>
      <c r="AI199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{"issue":{"subject":"","project_id":79,"tracker_id":40,"status_id":1,"priority_id":2,"assigned_to_id":23,"start_date":"2017-02-10","description":"","custom_fields":[{"id":1,"name":"Subdivision","value":"NW"},{"id":4,"name":"Milepost","value":"0.0687"},{"id":17,"name":"Train ID","value":"842-10"},{"id":16,"name":"Locomotive ID","value":"4032"},{"id":130,"name":"Impact","value":""},{"id":150,"name":"Time of Event (Mountain Time)","value":"20:57:23"},{"id":151,"name":"Denver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2"/>
        <v>start /low /b %USERPROFILE%\Documents\GitHub\eaglep3\Utilities\DownloadLogsFromS3.py --loco 4032 --day 2017-02-10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2017-02-10-UncaughtWiMAX.txt</v>
      </c>
    </row>
    <row r="200" spans="1:40" x14ac:dyDescent="0.25">
      <c r="A200" s="33" t="s">
        <v>735</v>
      </c>
      <c r="B200" s="7">
        <v>4031</v>
      </c>
      <c r="C200" s="21" t="s">
        <v>193</v>
      </c>
      <c r="D200" s="21" t="s">
        <v>472</v>
      </c>
      <c r="E200" s="13">
        <v>42776.84447916667</v>
      </c>
      <c r="F200" s="13">
        <v>42776.848101851851</v>
      </c>
      <c r="G200" s="7">
        <v>1</v>
      </c>
      <c r="H200" s="21" t="s">
        <v>379</v>
      </c>
      <c r="I200" s="13">
        <v>42776.858240740738</v>
      </c>
      <c r="J200" s="7">
        <v>0</v>
      </c>
      <c r="K200" s="98" t="str">
        <f t="shared" si="48"/>
        <v>4031/4032</v>
      </c>
      <c r="L200" s="21" t="str">
        <f>VLOOKUP(A200,'Trips&amp;Operators'!$C$1:$G$99999,5,FALSE)</f>
        <v>LEVERE CRAIG</v>
      </c>
      <c r="M200" s="6">
        <f t="shared" si="49"/>
        <v>1.0138888887013309E-2</v>
      </c>
      <c r="N200" s="7">
        <f t="shared" si="71"/>
        <v>14.599999997299165</v>
      </c>
      <c r="O200" s="7"/>
      <c r="P200" s="7"/>
      <c r="Q200" s="22"/>
      <c r="R200" s="22"/>
      <c r="S200" s="31">
        <f t="shared" si="50"/>
        <v>1</v>
      </c>
      <c r="T200" s="46" t="str">
        <f t="shared" si="51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52"/>
        <v>https://d0f6bd738d7f1b3e5a7ca70fe4ff75f0.us-east-1.aws.found.io/app/kibana#/discover/Steve-Slow-Train-Analysis-(2080s-and-2083s)?_g=(refreshInterval:(display:Off,pause:!f,section:0,value:0),time:(from:'2017-02-10T19:16:03-0700',mode:absolute,to:'2017-02-10T21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0" s="188" t="str">
        <f t="shared" si="69"/>
        <v>N</v>
      </c>
      <c r="X200" s="188">
        <f t="shared" si="70"/>
        <v>1</v>
      </c>
      <c r="Y200" s="62">
        <f t="shared" si="53"/>
        <v>9.7799999999999998E-2</v>
      </c>
      <c r="Z200" s="62">
        <f t="shared" si="54"/>
        <v>5.8959999999999999</v>
      </c>
      <c r="AA200" s="62">
        <f t="shared" si="55"/>
        <v>5.7981999999999996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 t="shared" si="56"/>
        <v>0843-10</v>
      </c>
      <c r="AE200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200" s="82" t="str">
        <f t="shared" si="58"/>
        <v>"C:\Program Files (x86)\AstroGrep\AstroGrep.exe" /spath="%USERPROFILE%\AppData\Local\Temp\OnboardLogs" /stypes="app*4031*20170211*" /stext=" 03:.+((SYSTEM_STATE.+slice.+state.+changed )|(ment ac)|(multiple cpu faults)|(system.+state.+changed )|(\[timeout)|(PRM\|1\|D)|(kpr)|(kdp)|(\|lc)|(penalty))" /e /r /s</v>
      </c>
      <c r="AG200" s="1" t="str">
        <f t="shared" si="59"/>
        <v>NW</v>
      </c>
      <c r="AH200" s="86" t="str">
        <f t="shared" si="60"/>
        <v>"%USERPROFILE%\Documents\GitHub\eaglep3\Utilities\RefineRTDCRunTimes.py" --tripid 843-10 --locoid 4031 --swversion DE.1.0.8.0 --startMP 204:978 --initTime 2017-02-10T20:16:03 --startdatetime 2017-02-10T20:21:16 --delay 1 --endMP 300:58960 --enddatetime 2017-02-10T20:35:52 --enforcementcount 0 &gt;&gt;C:\Users\stu\Documents\GitHub\eaglep3-reporting\EC\2017-02-10-refined-times.txt</v>
      </c>
      <c r="AI200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{"issue":{"subject":"","project_id":79,"tracker_id":40,"status_id":1,"priority_id":2,"assigned_to_id":23,"start_date":"2017-02-10","description":"","custom_fields":[{"id":1,"name":"Subdivision","value":"NW"},{"id":4,"name":"Milepost","value":"5.896"},{"id":17,"name":"Train ID","value":"843-10"},{"id":16,"name":"Locomotive ID","value":"4031"},{"id":130,"name":"Impact","value":""},{"id":150,"name":"Time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2"/>
        <v>start /low /b %USERPROFILE%\Documents\GitHub\eaglep3\Utilities\DownloadLogsFromS3.py --loco 4031 --day 2017-02-10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2017-02-10-UncaughtWiMAX.txt</v>
      </c>
    </row>
    <row r="201" spans="1:40" x14ac:dyDescent="0.25">
      <c r="A201" s="33" t="s">
        <v>742</v>
      </c>
      <c r="B201" s="7">
        <v>4032</v>
      </c>
      <c r="C201" s="21" t="s">
        <v>193</v>
      </c>
      <c r="D201" s="21" t="s">
        <v>868</v>
      </c>
      <c r="E201" s="13">
        <v>42776.902268518519</v>
      </c>
      <c r="F201" s="13">
        <v>42776.904432870368</v>
      </c>
      <c r="G201" s="7">
        <v>1</v>
      </c>
      <c r="H201" s="21" t="s">
        <v>875</v>
      </c>
      <c r="I201" s="13">
        <v>42776.913888888892</v>
      </c>
      <c r="J201" s="7">
        <v>0</v>
      </c>
      <c r="K201" s="98" t="str">
        <f t="shared" si="48"/>
        <v>4031/4032</v>
      </c>
      <c r="L201" s="21" t="str">
        <f>VLOOKUP(A201,'Trips&amp;Operators'!$C$1:$G$99999,5,FALSE)</f>
        <v>SMITH MICHAEL</v>
      </c>
      <c r="M201" s="6">
        <f t="shared" si="49"/>
        <v>9.456018524360843E-3</v>
      </c>
      <c r="N201" s="7">
        <f t="shared" si="71"/>
        <v>13.616666675079614</v>
      </c>
      <c r="O201" s="7"/>
      <c r="P201" s="7"/>
      <c r="Q201" s="22"/>
      <c r="R201" s="22"/>
      <c r="S201" s="31">
        <f t="shared" si="50"/>
        <v>1</v>
      </c>
      <c r="T201" s="46" t="str">
        <f t="shared" si="51"/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52"/>
        <v>https://d0f6bd738d7f1b3e5a7ca70fe4ff75f0.us-east-1.aws.found.io/app/kibana#/discover/Steve-Slow-Train-Analysis-(2080s-and-2083s)?_g=(refreshInterval:(display:Off,pause:!f,section:0,value:0),time:(from:'2017-02-10T20:39:16-0700',mode:absolute,to:'2017-02-10T22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1" s="188" t="str">
        <f t="shared" si="69"/>
        <v>N</v>
      </c>
      <c r="X201" s="188">
        <f t="shared" si="70"/>
        <v>1</v>
      </c>
      <c r="Y201" s="62">
        <f t="shared" si="53"/>
        <v>5.8613</v>
      </c>
      <c r="Z201" s="62">
        <f t="shared" si="54"/>
        <v>6.8500000000000005E-2</v>
      </c>
      <c r="AA201" s="62">
        <f t="shared" si="55"/>
        <v>5.7927999999999997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 t="shared" si="56"/>
        <v>0844-10</v>
      </c>
      <c r="AE201" s="85" t="str">
        <f t="shared" si="57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201" s="82" t="str">
        <f t="shared" si="58"/>
        <v>"C:\Program Files (x86)\AstroGrep\AstroGrep.exe" /spath="%USERPROFILE%\AppData\Local\Temp\OnboardLogs" /stypes="app*4032*20170211*" /stext=" 04:.+((SYSTEM_STATE.+slice.+state.+changed )|(ment ac)|(multiple cpu faults)|(system.+state.+changed )|(\[timeout)|(PRM\|1\|D)|(kpr)|(kdp)|(\|lc)|(penalty))" /e /r /s</v>
      </c>
      <c r="AG201" s="1" t="str">
        <f t="shared" si="59"/>
        <v>NW</v>
      </c>
      <c r="AH201" s="86" t="str">
        <f t="shared" si="60"/>
        <v>"%USERPROFILE%\Documents\GitHub\eaglep3\Utilities\RefineRTDCRunTimes.py" --tripid 844-10 --locoid 4032 --swversion DE.1.0.8.0 --startMP 300:58613 --initTime 2017-02-10T21:39:16 --startdatetime 2017-02-10T21:42:23 --delay 1 --endMP 204:685 --enddatetime 2017-02-10T21:56:00 --enforcementcount 0 &gt;&gt;C:\Users\stu\Documents\GitHub\eaglep3-reporting\EC\2017-02-10-refined-times.txt</v>
      </c>
      <c r="AI201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{"issue":{"subject":"","project_id":79,"tracker_id":40,"status_id":1,"priority_id":2,"assigned_to_id":23,"start_date":"2017-02-10","description":"","custom_fields":[{"id":1,"name":"Subdivision","value":"NW"},{"id":4,"name":"Milepost","value":"0.0685"},{"id":17,"name":"Train ID","value":"844-10"},{"id":16,"name":"Locomotive ID","value":"4032"},{"id":130,"name":"Impact","value":""},{"id":150,"name":"Time of Event (Mountain Time)","value":"21:56:00"},{"id":151,"name":"Denver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2"/>
        <v>start /low /b %USERPROFILE%\Documents\GitHub\eaglep3\Utilities\DownloadLogsFromS3.py --loco 4032 --day 2017-02-10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2017-02-10-UncaughtWiMAX.txt</v>
      </c>
    </row>
    <row r="202" spans="1:40" x14ac:dyDescent="0.25">
      <c r="A202" s="33" t="s">
        <v>739</v>
      </c>
      <c r="B202" s="7">
        <v>4031</v>
      </c>
      <c r="C202" s="21" t="s">
        <v>193</v>
      </c>
      <c r="D202" s="21" t="s">
        <v>472</v>
      </c>
      <c r="E202" s="13">
        <v>42776.875613425924</v>
      </c>
      <c r="F202" s="13">
        <v>42776.889826388891</v>
      </c>
      <c r="G202" s="7">
        <v>1</v>
      </c>
      <c r="H202" s="21" t="s">
        <v>882</v>
      </c>
      <c r="I202" s="13">
        <v>42776.90121527778</v>
      </c>
      <c r="J202" s="7">
        <v>0</v>
      </c>
      <c r="K202" s="98" t="str">
        <f t="shared" si="48"/>
        <v>4031/4032</v>
      </c>
      <c r="L202" s="21" t="str">
        <f>VLOOKUP(A202,'Trips&amp;Operators'!$C$1:$G$99999,5,FALSE)</f>
        <v>SMITH MICHAEL</v>
      </c>
      <c r="M202" s="6">
        <f t="shared" si="49"/>
        <v>1.1388888888177462E-2</v>
      </c>
      <c r="N202" s="7">
        <f t="shared" si="71"/>
        <v>16.399999998975545</v>
      </c>
      <c r="O202" s="7"/>
      <c r="P202" s="7"/>
      <c r="Q202" s="22"/>
      <c r="R202" s="22"/>
      <c r="S202" s="31">
        <f t="shared" si="50"/>
        <v>1</v>
      </c>
      <c r="T202" s="46" t="str">
        <f t="shared" si="51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52"/>
        <v>https://d0f6bd738d7f1b3e5a7ca70fe4ff75f0.us-east-1.aws.found.io/app/kibana#/discover/Steve-Slow-Train-Analysis-(2080s-and-2083s)?_g=(refreshInterval:(display:Off,pause:!f,section:0,value:0),time:(from:'2017-02-10T20:00:53-0700',mode:absolute,to:'2017-02-10T22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188" t="str">
        <f t="shared" si="69"/>
        <v>N</v>
      </c>
      <c r="X202" s="188">
        <f t="shared" si="70"/>
        <v>1</v>
      </c>
      <c r="Y202" s="62">
        <f t="shared" si="53"/>
        <v>9.7799999999999998E-2</v>
      </c>
      <c r="Z202" s="62">
        <f t="shared" si="54"/>
        <v>5.8925999999999998</v>
      </c>
      <c r="AA202" s="62">
        <f t="shared" si="55"/>
        <v>5.7947999999999995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 t="shared" si="56"/>
        <v>0845-10</v>
      </c>
      <c r="AE202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202" s="82" t="str">
        <f t="shared" si="58"/>
        <v>"C:\Program Files (x86)\AstroGrep\AstroGrep.exe" /spath="%USERPROFILE%\AppData\Local\Temp\OnboardLogs" /stypes="app*4031*20170211*" /stext=" 04:.+((SYSTEM_STATE.+slice.+state.+changed )|(ment ac)|(multiple cpu faults)|(system.+state.+changed )|(\[timeout)|(PRM\|1\|D)|(kpr)|(kdp)|(\|lc)|(penalty))" /e /r /s</v>
      </c>
      <c r="AG202" s="1" t="str">
        <f t="shared" si="59"/>
        <v>NW</v>
      </c>
      <c r="AH202" s="86" t="str">
        <f t="shared" si="60"/>
        <v>"%USERPROFILE%\Documents\GitHub\eaglep3\Utilities\RefineRTDCRunTimes.py" --tripid 845-10 --locoid 4031 --swversion DE.1.0.8.0 --startMP 204:978 --initTime 2017-02-10T21:00:53 --startdatetime 2017-02-10T21:21:21 --delay 1 --endMP 300:58926 --enddatetime 2017-02-10T21:37:45 --enforcementcount 0 &gt;&gt;C:\Users\stu\Documents\GitHub\eaglep3-reporting\EC\2017-02-10-refined-times.txt</v>
      </c>
      <c r="AI202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{"issue":{"subject":"","project_id":79,"tracker_id":40,"status_id":1,"priority_id":2,"assigned_to_id":23,"start_date":"2017-02-10","description":"","custom_fields":[{"id":1,"name":"Subdivision","value":"NW"},{"id":4,"name":"Milepost","value":"5.8926"},{"id":17,"name":"Train ID","value":"845-10"},{"id":16,"name":"Locomotive ID","value":"4031"},{"id":130,"name":"Impact","value":""},{"id":150,"name":"Time of Event (Mountain Time)","value":"21:37:45"},{"id":151,"name":"Denver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2"/>
        <v>start /low /b %USERPROFILE%\Documents\GitHub\eaglep3\Utilities\DownloadLogsFromS3.py --loco 4031 --day 2017-02-10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2017-02-10-UncaughtWiMAX.txt</v>
      </c>
    </row>
    <row r="203" spans="1:40" x14ac:dyDescent="0.25">
      <c r="A203" s="33" t="s">
        <v>744</v>
      </c>
      <c r="B203" s="7">
        <v>4031</v>
      </c>
      <c r="C203" s="21" t="s">
        <v>193</v>
      </c>
      <c r="D203" s="21" t="s">
        <v>883</v>
      </c>
      <c r="E203" s="13">
        <v>42776.920023148145</v>
      </c>
      <c r="F203" s="13">
        <v>42776.931747685187</v>
      </c>
      <c r="G203" s="7">
        <v>1</v>
      </c>
      <c r="H203" s="21" t="s">
        <v>884</v>
      </c>
      <c r="I203" s="13">
        <v>42776.941331018519</v>
      </c>
      <c r="J203" s="7">
        <v>0</v>
      </c>
      <c r="K203" s="98" t="str">
        <f t="shared" si="48"/>
        <v>4031/4032</v>
      </c>
      <c r="L203" s="21" t="str">
        <f>VLOOKUP(A203,'Trips&amp;Operators'!$C$1:$G$99999,5,FALSE)</f>
        <v>SMITH MICHAEL</v>
      </c>
      <c r="M203" s="6">
        <f t="shared" si="49"/>
        <v>9.5833333325572312E-3</v>
      </c>
      <c r="N203" s="7">
        <f t="shared" si="71"/>
        <v>13.799999998882413</v>
      </c>
      <c r="O203" s="7"/>
      <c r="P203" s="7"/>
      <c r="Q203" s="22"/>
      <c r="R203" s="22"/>
      <c r="S203" s="31">
        <f t="shared" si="50"/>
        <v>1</v>
      </c>
      <c r="T203" s="46" t="str">
        <f t="shared" si="51"/>
        <v>NorthBound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52"/>
        <v>https://d0f6bd738d7f1b3e5a7ca70fe4ff75f0.us-east-1.aws.found.io/app/kibana#/discover/Steve-Slow-Train-Analysis-(2080s-and-2083s)?_g=(refreshInterval:(display:Off,pause:!f,section:0,value:0),time:(from:'2017-02-10T21:04:50-0700',mode:absolute,to:'2017-02-10T23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88" t="str">
        <f t="shared" si="69"/>
        <v>N</v>
      </c>
      <c r="X203" s="188">
        <f t="shared" si="70"/>
        <v>2</v>
      </c>
      <c r="Y203" s="62">
        <f t="shared" si="53"/>
        <v>9.69E-2</v>
      </c>
      <c r="Z203" s="62">
        <f t="shared" si="54"/>
        <v>5.8929</v>
      </c>
      <c r="AA203" s="62">
        <f t="shared" si="55"/>
        <v>5.7960000000000003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 t="shared" si="56"/>
        <v>0847-10</v>
      </c>
      <c r="AE203" s="85" t="str">
        <f t="shared" si="57"/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AF203" s="82" t="str">
        <f t="shared" si="58"/>
        <v>"C:\Program Files (x86)\AstroGrep\AstroGrep.exe" /spath="%USERPROFILE%\AppData\Local\Temp\OnboardLogs" /stypes="app*4031*20170211*" /stext=" 05:.+((SYSTEM_STATE.+slice.+state.+changed )|(ment ac)|(multiple cpu faults)|(system.+state.+changed )|(\[timeout)|(PRM\|1\|D)|(kpr)|(kdp)|(\|lc)|(penalty))" /e /r /s</v>
      </c>
      <c r="AG203" s="1" t="str">
        <f t="shared" si="59"/>
        <v>NW</v>
      </c>
      <c r="AH203" s="86" t="str">
        <f t="shared" si="60"/>
        <v>"%USERPROFILE%\Documents\GitHub\eaglep3\Utilities\RefineRTDCRunTimes.py" --tripid 847-10 --locoid 4031 --swversion DE.1.0.8.0 --startMP 204:969 --initTime 2017-02-10T22:04:50 --startdatetime 2017-02-10T22:21:43 --delay 1 --endMP 300:58929 --enddatetime 2017-02-10T22:35:31 --enforcementcount 0 &gt;&gt;C:\Users\stu\Documents\GitHub\eaglep3-reporting\EC\2017-02-10-refined-times.txt</v>
      </c>
      <c r="AI203" s="108" t="str">
        <f t="shared" si="61"/>
        <v>echo {"issue":{"subject":"","project_id":79,"tracker_id":40,"status_id":1,"priority_id":2,"assigned_to_id":23,"start_date":"2017-02-10","description":"","custom_fields":[{"id":1,"name":"Subdivision","value":"NW"},{"id":4,"name":"Milepost","value":"5.8929"},{"id":17,"name":"Train ID","value":"847-10"},{"id":16,"name":"Locomotive ID","value":"4031"},{"id":130,"name":"Impact","value":""},{"id":150,"name":"Time of Event (Mountain Time)","value":"22:35:31"},{"id":151,"name":"Denver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2"/>
        <v>start /low /b %USERPROFILE%\Documents\GitHub\eaglep3\Utilities\DownloadLogsFromS3.py --loco 4031 --day 2017-02-10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"%USERPROFILE%\AppData\Local\Temp\OnboardLogs"\RTDC4031\*4031*20170211* | grep -SE "(Enforcement Action)|(\[TIMEOUT)|(CHR.+\|PRM\|1\|D.+(SWITCH|SIGNAL).+UNKNOWN)" - &gt;&gt; 2017-02-10-UncaughtWiMAX.txt</v>
      </c>
    </row>
    <row r="204" spans="1:40" x14ac:dyDescent="0.25">
      <c r="A204" s="33" t="s">
        <v>559</v>
      </c>
      <c r="B204" s="7">
        <v>4028</v>
      </c>
      <c r="C204" s="21" t="s">
        <v>193</v>
      </c>
      <c r="D204" s="21" t="s">
        <v>834</v>
      </c>
      <c r="E204" s="13">
        <v>42776.116805555554</v>
      </c>
      <c r="F204" s="13">
        <v>42776.118078703701</v>
      </c>
      <c r="G204" s="7">
        <v>1</v>
      </c>
      <c r="H204" s="21" t="s">
        <v>198</v>
      </c>
      <c r="I204" s="13">
        <v>42776.126875000002</v>
      </c>
      <c r="J204" s="7">
        <v>0</v>
      </c>
      <c r="K204" s="98" t="str">
        <f t="shared" si="48"/>
        <v>4027/4028</v>
      </c>
      <c r="L204" s="21" t="str">
        <f>VLOOKUP(A204,'Trips&amp;Operators'!$C$1:$G$99999,5,FALSE)</f>
        <v>BADERTSCHER DIANE</v>
      </c>
      <c r="M204" s="6">
        <f t="shared" si="49"/>
        <v>8.7962963007157668E-3</v>
      </c>
      <c r="N204" s="7">
        <f t="shared" si="71"/>
        <v>12.666666673030704</v>
      </c>
      <c r="O204" s="7"/>
      <c r="P204" s="7"/>
      <c r="Q204" s="22"/>
      <c r="R204" s="22"/>
      <c r="S204" s="31">
        <f t="shared" si="50"/>
        <v>1</v>
      </c>
      <c r="T204" s="46" t="str">
        <f t="shared" si="51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 t="shared" si="52"/>
        <v>https://d0f6bd738d7f1b3e5a7ca70fe4ff75f0.us-east-1.aws.found.io/app/kibana#/discover/Steve-Slow-Train-Analysis-(2080s-and-2083s)?_g=(refreshInterval:(display:Off,pause:!f,section:0,value:0),time:(from:'2017-02-10T01:48:12-0700',mode:absolute,to:'2017-02-10T04:02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188" t="str">
        <f t="shared" si="69"/>
        <v>Y</v>
      </c>
      <c r="X204" s="188">
        <f t="shared" si="70"/>
        <v>-545</v>
      </c>
      <c r="Y204" s="62">
        <f t="shared" si="53"/>
        <v>2.3058999999999998</v>
      </c>
      <c r="Z204" s="62">
        <f t="shared" si="54"/>
        <v>1.4500000000000001E-2</v>
      </c>
      <c r="AA204" s="62">
        <f t="shared" si="55"/>
        <v>2.2913999999999999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 t="shared" si="56"/>
        <v>0302-10</v>
      </c>
      <c r="AE204" s="85" t="str">
        <f t="shared" si="57"/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AF204" s="82" t="str">
        <f t="shared" si="58"/>
        <v>"C:\Program Files (x86)\AstroGrep\AstroGrep.exe" /spath="%USERPROFILE%\AppData\Local\Temp\OnboardLogs" /stypes="app*4028*20170210*" /stext=" 10:.+((SYSTEM_STATE.+slice.+state.+changed )|(ment ac)|(multiple cpu faults)|(system.+state.+changed )|(\[timeout)|(PRM\|1\|D)|(kpr)|(kdp)|(\|lc)|(penalty))" /e /r /s</v>
      </c>
      <c r="AG204" s="1" t="str">
        <f t="shared" si="59"/>
        <v>Other</v>
      </c>
      <c r="AH204" s="86" t="str">
        <f t="shared" si="60"/>
        <v>"%USERPROFILE%\Documents\GitHub\eaglep3\Utilities\RefineRTDCRunTimes.py" --tripid 302-10 --locoid 4028 --swversion DE.1.0.8.0 --startMP 300:23059 --initTime 2017-02-10T02:48:12 --startdatetime 2017-02-10T02:50:02 --delay 1 --endMP 204:145 --enddatetime 2017-02-10T03:02:42 --enforcementcount 0 &gt;&gt;C:\Users\stu\Documents\GitHub\eaglep3-reporting\EC\2017-02-10-refined-times.txt</v>
      </c>
      <c r="AI204" s="108" t="str">
        <f t="shared" si="61"/>
        <v>echo {"issue":{"subject":"","project_id":79,"tracker_id":40,"status_id":1,"priority_id":2,"assigned_to_id":23,"start_date":"2017-02-10","description":"","custom_fields":[{"id":1,"name":"Subdivision","value":"Other"},{"id":4,"name":"Milepost","value":"0.0145"},{"id":17,"name":"Train ID","value":"302-10"},{"id":16,"name":"Locomotive ID","value":"4028"},{"id":130,"name":"Impact","value":""},{"id":150,"name":"Time of Event (Mountain Time)","value":"03:02:42"},{"id":151,"name":"Denver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2"/>
        <v>start /low /b %USERPROFILE%\Documents\GitHub\eaglep3\Utilities\DownloadLogsFromS3.py --loco 4028 --day 2017-02-10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"%USERPROFILE%\AppData\Local\Temp\OnboardLogs"\RTDC4028\*4028*20170210* | grep -SE "(Enforcement Action)|(\[TIMEOUT)|(CHR.+\|PRM\|1\|D.+(SWITCH|SIGNAL).+UNKNOWN)" - &gt;&gt; 2017-02-10-UncaughtWiMAX.txt</v>
      </c>
    </row>
    <row r="205" spans="1:40" x14ac:dyDescent="0.25">
      <c r="A205" s="33" t="s">
        <v>721</v>
      </c>
      <c r="B205" s="7">
        <v>4007</v>
      </c>
      <c r="C205" s="21" t="s">
        <v>193</v>
      </c>
      <c r="D205" s="21" t="s">
        <v>234</v>
      </c>
      <c r="E205" s="13">
        <v>42776.775902777779</v>
      </c>
      <c r="F205" s="13">
        <v>42776.777673611112</v>
      </c>
      <c r="G205" s="7">
        <v>1</v>
      </c>
      <c r="H205" s="21" t="s">
        <v>468</v>
      </c>
      <c r="I205" s="13">
        <v>42776.787187499998</v>
      </c>
      <c r="J205" s="7">
        <v>0</v>
      </c>
      <c r="K205" s="98" t="str">
        <f t="shared" ref="K205:K218" si="72">IF(ISEVEN(B205),(B205-1)&amp;"/"&amp;B205,B205&amp;"/"&amp;(B205+1))</f>
        <v>4007/4008</v>
      </c>
      <c r="L205" s="21" t="str">
        <f>VLOOKUP(A205,'Trips&amp;Operators'!$C$1:$G$99999,5,FALSE)</f>
        <v>BRUDER RICHARD</v>
      </c>
      <c r="M205" s="6">
        <f t="shared" ref="M205:M218" si="73">I205-F205</f>
        <v>9.5138888864312321E-3</v>
      </c>
      <c r="N205" s="7">
        <f t="shared" si="71"/>
        <v>13.699999996460974</v>
      </c>
      <c r="O205" s="7"/>
      <c r="P205" s="7"/>
      <c r="Q205" s="22"/>
      <c r="R205" s="22"/>
      <c r="S205" s="31">
        <f t="shared" ref="S205:S218" si="74">SUM(U205:U205)/IF(AG205="EC",12,1)</f>
        <v>1</v>
      </c>
      <c r="T205" s="46" t="str">
        <f t="shared" ref="T205:T218" si="75">IF(ISEVEN(LEFT(AD205,4)),"Southbound","NorthBound")</f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18" si="7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-10T17:37:18-0700',mode:absolute,to:'2017-02-10T19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188" t="str">
        <f t="shared" si="69"/>
        <v>Y</v>
      </c>
      <c r="X205" s="188">
        <f t="shared" si="70"/>
        <v>1</v>
      </c>
      <c r="Y205" s="62">
        <f t="shared" ref="Y205:Y218" si="77">RIGHT(D205,LEN(D205)-4)/10000</f>
        <v>4.5100000000000001E-2</v>
      </c>
      <c r="Z205" s="62">
        <f t="shared" ref="Z205:Z218" si="78">RIGHT(H205,LEN(H205)-4)/10000</f>
        <v>2.331</v>
      </c>
      <c r="AA205" s="62">
        <f t="shared" ref="AA205:AA268" si="79">ABS(Z205-Y205)</f>
        <v>2.2858999999999998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 t="shared" ref="AD205:AD218" si="80">IF(LEN(A205)=6,"0"&amp;A205,A205)</f>
        <v>0303-10</v>
      </c>
      <c r="AE205" s="85" t="str">
        <f t="shared" ref="AE205:AE218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"%USERPROFILE%\AppData\Local\Temp\OnboardLogs"\RTDC4007\2017-02-10 --exclude "*" --recursive --include "*20170210*" &amp; "%USERPROFILE%\Documents\GitHub\mrs-test-scripts\Headless Mode &amp; Sideloading\WalkAndUnGZ.bat" "%USERPROFILE%\AppData\Local\Temp\OnboardLogs"\RTDC4007\2017-02-10 &amp; aws s3 cp s3://rtdc.mdm.uploadarchive.raw/RTDC4007/ "%USERPROFILE%\AppData\Local\Temp\OnboardLogs"\RTDC4007\2017-02-11 --exclude "*" --recursive --include "*20170211*" &amp; "%USERPROFILE%\Documents\GitHub\mrs-test-scripts\Headless Mode &amp; Sideloading\WalkAndUnGZ.bat" "%USERPROFILE%\AppData\Local\Temp\OnboardLogs"\RTDC4007\2017-02-11</v>
      </c>
      <c r="AF205" s="82" t="str">
        <f t="shared" ref="AF205:AF218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/stypes="app*4007*20170211*" /stext=" 01:.+((SYSTEM_STATE.+slice.+state.+changed )|(ment ac)|(multiple cpu faults)|(system.+state.+changed )|(\[timeout)|(PRM\|1\|D)|(kpr)|(kdp)|(\|lc)|(penalty))" /e /r /s</v>
      </c>
      <c r="AG205" s="1" t="str">
        <f t="shared" ref="AG205:AG218" si="83">IFERROR(IF(VALUE(LEFT(AD205,2))&lt;=2,"EC",IF(OR(VALUE(LEFT(AD205,2))=8,VALUE(LEFT(AD205,2))=18),"NW","Other")),"Other")</f>
        <v>Other</v>
      </c>
      <c r="AH205" s="86" t="str">
        <f t="shared" si="60"/>
        <v>"%USERPROFILE%\Documents\GitHub\eaglep3\Utilities\RefineRTDCRunTimes.py" --tripid 303-10 --locoid 4007 --swversion DE.1.0.8.0 --startMP 204:451 --initTime 2017-02-10T18:37:18 --startdatetime 2017-02-10T18:39:51 --delay 1 --endMP 300:23310 --enddatetime 2017-02-10T18:53:33 --enforcementcount 0 &gt;&gt;C:\Users\stu\Documents\GitHub\eaglep3-reporting\EC\2017-02-10-refined-times.txt</v>
      </c>
      <c r="AI205" s="108" t="str">
        <f t="shared" si="61"/>
        <v>echo {"issue":{"subject":"","project_id":79,"tracker_id":40,"status_id":1,"priority_id":2,"assigned_to_id":23,"start_date":"2017-02-10","description":"","custom_fields":[{"id":1,"name":"Subdivision","value":"Other"},{"id":4,"name":"Milepost","value":"2.331"},{"id":17,"name":"Train ID","value":"303-10"},{"id":16,"name":"Locomotive ID","value":"4007"},{"id":130,"name":"Impact","value":""},{"id":150,"name":"Time of Event (Mountain Time)","value":"18:53:33"},{"id":151,"name":"Denver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2"/>
        <v>start /low /b %USERPROFILE%\Documents\GitHub\eaglep3\Utilities\DownloadLogsFromS3.py --loco 4007 --day 2017-02-10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"%USERPROFILE%\AppData\Local\Temp\OnboardLogs"\RTDC4007\*4007*20170211* | grep -SE "(Enforcement Action)|(\[TIMEOUT)|(CHR.+\|PRM\|1\|D.+(SWITCH|SIGNAL).+UNKNOWN)" - &gt;&gt; 2017-02-10-UncaughtWiMAX.txt</v>
      </c>
    </row>
    <row r="206" spans="1:40" x14ac:dyDescent="0.25">
      <c r="A206" s="33" t="s">
        <v>727</v>
      </c>
      <c r="B206" s="7">
        <v>4027</v>
      </c>
      <c r="C206" s="21" t="s">
        <v>193</v>
      </c>
      <c r="D206" s="21" t="s">
        <v>269</v>
      </c>
      <c r="E206" s="13">
        <v>42776.796805555554</v>
      </c>
      <c r="F206" s="13">
        <v>42776.798182870371</v>
      </c>
      <c r="G206" s="7">
        <v>1</v>
      </c>
      <c r="H206" s="21" t="s">
        <v>515</v>
      </c>
      <c r="I206" s="13">
        <v>42776.817962962959</v>
      </c>
      <c r="J206" s="7">
        <v>0</v>
      </c>
      <c r="K206" s="98" t="str">
        <f t="shared" si="72"/>
        <v>4027/4028</v>
      </c>
      <c r="L206" s="21" t="str">
        <f>VLOOKUP(A206,'Trips&amp;Operators'!$C$1:$G$99999,5,FALSE)</f>
        <v>KILLION DAVID</v>
      </c>
      <c r="M206" s="6">
        <f t="shared" si="73"/>
        <v>1.9780092588916887E-2</v>
      </c>
      <c r="N206" s="7">
        <f t="shared" si="71"/>
        <v>28.483333328040317</v>
      </c>
      <c r="O206" s="7"/>
      <c r="P206" s="7"/>
      <c r="Q206" s="22"/>
      <c r="R206" s="22"/>
      <c r="S206" s="31">
        <f t="shared" si="74"/>
        <v>1</v>
      </c>
      <c r="T206" s="46" t="str">
        <f t="shared" si="75"/>
        <v>NorthBound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76"/>
        <v>https://d0f6bd738d7f1b3e5a7ca70fe4ff75f0.us-east-1.aws.found.io/app/kibana#/discover/Steve-Slow-Train-Analysis-(2080s-and-2083s)?_g=(refreshInterval:(display:Off,pause:!f,section:0,value:0),time:(from:'2017-02-10T18:07:24-0700',mode:absolute,to:'2017-02-10T20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6" s="188" t="str">
        <f t="shared" si="69"/>
        <v>Y</v>
      </c>
      <c r="X206" s="188">
        <f t="shared" si="70"/>
        <v>2</v>
      </c>
      <c r="Y206" s="62">
        <f t="shared" si="77"/>
        <v>4.53E-2</v>
      </c>
      <c r="Z206" s="62">
        <f t="shared" si="78"/>
        <v>2.3346</v>
      </c>
      <c r="AA206" s="62">
        <f t="shared" si="79"/>
        <v>2.2892999999999999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 t="shared" si="80"/>
        <v>0305-10</v>
      </c>
      <c r="AE206" s="85" t="str">
        <f t="shared" si="81"/>
        <v>aws s3 cp s3://rtdc.mdm.uploadarchive.raw/RTDC4027/ "%USERPROFILE%\AppData\Local\Temp\OnboardLogs"\RTDC4027\2017-02-10 --exclude "*" --recursive --include "*20170210*" &amp; "%USERPROFILE%\Documents\GitHub\mrs-test-scripts\Headless Mode &amp; Sideloading\WalkAndUnGZ.bat" "%USERPROFILE%\AppData\Local\Temp\OnboardLogs"\RTDC4027\2017-02-10 &amp; aws s3 cp s3://rtdc.mdm.uploadarchive.raw/RTDC4027/ "%USERPROFILE%\AppData\Local\Temp\OnboardLogs"\RTDC4027\2017-02-11 --exclude "*" --recursive --include "*20170211*" &amp; "%USERPROFILE%\Documents\GitHub\mrs-test-scripts\Headless Mode &amp; Sideloading\WalkAndUnGZ.bat" "%USERPROFILE%\AppData\Local\Temp\OnboardLogs"\RTDC4027\2017-02-11</v>
      </c>
      <c r="AF206" s="82" t="str">
        <f t="shared" si="82"/>
        <v>"C:\Program Files (x86)\AstroGrep\AstroGrep.exe" /spath="%USERPROFILE%\AppData\Local\Temp\OnboardLogs" /stypes="app*4027*20170211*" /stext=" 02:.+((SYSTEM_STATE.+slice.+state.+changed )|(ment ac)|(multiple cpu faults)|(system.+state.+changed )|(\[timeout)|(PRM\|1\|D)|(kpr)|(kdp)|(\|lc)|(penalty))" /e /r /s</v>
      </c>
      <c r="AG206" s="1" t="str">
        <f t="shared" si="83"/>
        <v>Other</v>
      </c>
      <c r="AH206" s="86" t="str">
        <f t="shared" ref="AH206:AH218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305-10 --locoid 4027 --swversion DE.1.0.8.0 --startMP 204:453 --initTime 2017-02-10T19:07:24 --startdatetime 2017-02-10T19:09:23 --delay 1 --endMP 300:23346 --enddatetime 2017-02-10T19:37:52 --enforcementcount 0 &gt;&gt;C:\Users\stu\Documents\GitHub\eaglep3-reporting\EC\2017-02-10-refined-times.txt</v>
      </c>
      <c r="AI206" s="108" t="str">
        <f t="shared" ref="AI206:AI218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{"issue":{"subject":"","project_id":79,"tracker_id":40,"status_id":1,"priority_id":2,"assigned_to_id":23,"start_date":"2017-02-10","description":"","custom_fields":[{"id":1,"name":"Subdivision","value":"Other"},{"id":4,"name":"Milepost","value":"2.3346"},{"id":17,"name":"Train ID","value":"305-10"},{"id":16,"name":"Locomotive ID","value":"4027"},{"id":130,"name":"Impact","value":""},{"id":150,"name":"Time of Event (Mountain Time)","value":"19:37:52"},{"id":151,"name":"Denver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18" si="86">"start /low /b "&amp;dls3logs&amp;" --loco "&amp;B206&amp;" --day "&amp;TEXT(F206,"YYYY-MM-DD")</f>
        <v>start /low /b %USERPROFILE%\Documents\GitHub\eaglep3\Utilities\DownloadLogsFromS3.py --loco 4027 --day 2017-02-10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"%USERPROFILE%\AppData\Local\Temp\OnboardLogs"\RTDC4027\*4027*20170211* | grep -SE "(Enforcement Action)|(\[TIMEOUT)|(CHR.+\|PRM\|1\|D.+(SWITCH|SIGNAL).+UNKNOWN)" - &gt;&gt; 2017-02-10-UncaughtWiMAX.txt</v>
      </c>
    </row>
    <row r="207" spans="1:40" x14ac:dyDescent="0.25">
      <c r="A207" s="33" t="s">
        <v>730</v>
      </c>
      <c r="B207" s="7">
        <v>4040</v>
      </c>
      <c r="C207" s="21" t="s">
        <v>193</v>
      </c>
      <c r="D207" s="21" t="s">
        <v>205</v>
      </c>
      <c r="E207" s="13">
        <v>42776.816284722219</v>
      </c>
      <c r="F207" s="13">
        <v>42776.821192129632</v>
      </c>
      <c r="G207" s="7">
        <v>1</v>
      </c>
      <c r="H207" s="21" t="s">
        <v>515</v>
      </c>
      <c r="I207" s="13">
        <v>42776.828298611108</v>
      </c>
      <c r="J207" s="7">
        <v>0</v>
      </c>
      <c r="K207" s="98" t="str">
        <f t="shared" si="72"/>
        <v>4039/4040</v>
      </c>
      <c r="L207" s="21" t="str">
        <f>VLOOKUP(A207,'Trips&amp;Operators'!$C$1:$G$99999,5,FALSE)</f>
        <v>BRANNON JEFFREY</v>
      </c>
      <c r="M207" s="6">
        <f t="shared" si="73"/>
        <v>7.1064814765122719E-3</v>
      </c>
      <c r="N207" s="7">
        <f t="shared" si="71"/>
        <v>10.233333326177672</v>
      </c>
      <c r="O207" s="7"/>
      <c r="P207" s="7"/>
      <c r="Q207" s="22"/>
      <c r="R207" s="22"/>
      <c r="S207" s="31">
        <f t="shared" si="74"/>
        <v>1</v>
      </c>
      <c r="T207" s="46" t="str">
        <f t="shared" si="75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76"/>
        <v>https://d0f6bd738d7f1b3e5a7ca70fe4ff75f0.us-east-1.aws.found.io/app/kibana#/discover/Steve-Slow-Train-Analysis-(2080s-and-2083s)?_g=(refreshInterval:(display:Off,pause:!f,section:0,value:0),time:(from:'2017-02-10T18:35:27-0700',mode:absolute,to:'2017-02-10T20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88" t="str">
        <f t="shared" si="69"/>
        <v>Y</v>
      </c>
      <c r="X207" s="188">
        <f t="shared" si="70"/>
        <v>2</v>
      </c>
      <c r="Y207" s="62">
        <f t="shared" si="77"/>
        <v>4.6199999999999998E-2</v>
      </c>
      <c r="Z207" s="62">
        <f t="shared" si="78"/>
        <v>2.3346</v>
      </c>
      <c r="AA207" s="62">
        <f t="shared" si="79"/>
        <v>2.2884000000000002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 t="shared" si="80"/>
        <v>0307-10</v>
      </c>
      <c r="AE207" s="85" t="str">
        <f t="shared" si="81"/>
        <v>aws s3 cp s3://rtdc.mdm.uploadarchive.raw/RTDC4040/ "%USERPROFILE%\AppData\Local\Temp\OnboardLogs"\RTDC4040\2017-02-10 --exclude "*" --recursive --include "*20170210*" &amp; "%USERPROFILE%\Documents\GitHub\mrs-test-scripts\Headless Mode &amp; Sideloading\WalkAndUnGZ.bat" "%USERPROFILE%\AppData\Local\Temp\OnboardLogs"\RTDC4040\2017-02-10 &amp; aws s3 cp s3://rtdc.mdm.uploadarchive.raw/RTDC4040/ "%USERPROFILE%\AppData\Local\Temp\OnboardLogs"\RTDC4040\2017-02-11 --exclude "*" --recursive --include "*20170211*" &amp; "%USERPROFILE%\Documents\GitHub\mrs-test-scripts\Headless Mode &amp; Sideloading\WalkAndUnGZ.bat" "%USERPROFILE%\AppData\Local\Temp\OnboardLogs"\RTDC4040\2017-02-11</v>
      </c>
      <c r="AF207" s="82" t="str">
        <f t="shared" si="82"/>
        <v>"C:\Program Files (x86)\AstroGrep\AstroGrep.exe" /spath="%USERPROFILE%\AppData\Local\Temp\OnboardLogs" /stypes="app*4040*20170211*" /stext=" 02:.+((SYSTEM_STATE.+slice.+state.+changed )|(ment ac)|(multiple cpu faults)|(system.+state.+changed )|(\[timeout)|(PRM\|1\|D)|(kpr)|(kdp)|(\|lc)|(penalty))" /e /r /s</v>
      </c>
      <c r="AG207" s="1" t="str">
        <f t="shared" si="83"/>
        <v>Other</v>
      </c>
      <c r="AH207" s="86" t="str">
        <f t="shared" si="84"/>
        <v>"%USERPROFILE%\Documents\GitHub\eaglep3\Utilities\RefineRTDCRunTimes.py" --tripid 307-10 --locoid 4040 --swversion DE.1.0.8.0 --startMP 204:462 --initTime 2017-02-10T19:35:27 --startdatetime 2017-02-10T19:42:31 --delay 1 --endMP 300:23346 --enddatetime 2017-02-10T19:52:45 --enforcementcount 0 &gt;&gt;C:\Users\stu\Documents\GitHub\eaglep3-reporting\EC\2017-02-10-refined-times.txt</v>
      </c>
      <c r="AI207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{"issue":{"subject":"","project_id":79,"tracker_id":40,"status_id":1,"priority_id":2,"assigned_to_id":23,"start_date":"2017-02-10","description":"","custom_fields":[{"id":1,"name":"Subdivision","value":"Other"},{"id":4,"name":"Milepost","value":"2.3346"},{"id":17,"name":"Train ID","value":"307-10"},{"id":16,"name":"Locomotive ID","value":"4040"},{"id":130,"name":"Impact","value":""},{"id":150,"name":"Time of Event (Mountain Time)","value":"19:52:45"},{"id":151,"name":"Denver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6"/>
        <v>start /low /b %USERPROFILE%\Documents\GitHub\eaglep3\Utilities\DownloadLogsFromS3.py --loco 4040 --day 2017-02-10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"%USERPROFILE%\AppData\Local\Temp\OnboardLogs"\RTDC4040\*4040*20170211* | grep -SE "(Enforcement Action)|(\[TIMEOUT)|(CHR.+\|PRM\|1\|D.+(SWITCH|SIGNAL).+UNKNOWN)" - &gt;&gt; 2017-02-10-UncaughtWiMAX.txt</v>
      </c>
    </row>
    <row r="208" spans="1:40" x14ac:dyDescent="0.25">
      <c r="A208" s="33" t="s">
        <v>540</v>
      </c>
      <c r="B208" s="7">
        <v>4045</v>
      </c>
      <c r="C208" s="21" t="s">
        <v>193</v>
      </c>
      <c r="D208" s="21" t="s">
        <v>835</v>
      </c>
      <c r="E208" s="13">
        <v>42776.1721412037</v>
      </c>
      <c r="F208" s="13">
        <v>42776.178263888891</v>
      </c>
      <c r="G208" s="7">
        <v>8</v>
      </c>
      <c r="H208" s="21" t="s">
        <v>494</v>
      </c>
      <c r="I208" s="13">
        <v>42776.185972222222</v>
      </c>
      <c r="J208" s="7">
        <v>0</v>
      </c>
      <c r="K208" s="98" t="str">
        <f t="shared" si="72"/>
        <v>4045/4046</v>
      </c>
      <c r="L208" s="21" t="str">
        <f>VLOOKUP(A208,'Trips&amp;Operators'!$C$1:$G$99999,5,FALSE)</f>
        <v>STARKS ANGELINA</v>
      </c>
      <c r="M208" s="6">
        <f t="shared" si="73"/>
        <v>7.7083333308110014E-3</v>
      </c>
      <c r="N208" s="7">
        <f t="shared" si="71"/>
        <v>11.099999996367842</v>
      </c>
      <c r="O208" s="7"/>
      <c r="P208" s="7"/>
      <c r="Q208" s="22"/>
      <c r="R208" s="22"/>
      <c r="S208" s="31">
        <f t="shared" si="74"/>
        <v>1</v>
      </c>
      <c r="T208" s="46" t="str">
        <f t="shared" si="75"/>
        <v>Southbound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76"/>
        <v>https://d0f6bd738d7f1b3e5a7ca70fe4ff75f0.us-east-1.aws.found.io/app/kibana#/discover/Steve-Slow-Train-Analysis-(2080s-and-2083s)?_g=(refreshInterval:(display:Off,pause:!f,section:0,value:0),time:(from:'2017-02-10T03:07:53-0700',mode:absolute,to:'2017-02-10T05:27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188" t="str">
        <f t="shared" si="69"/>
        <v>Y</v>
      </c>
      <c r="X208" s="188">
        <f t="shared" si="70"/>
        <v>1</v>
      </c>
      <c r="Y208" s="62">
        <f t="shared" si="77"/>
        <v>2.3563000000000001</v>
      </c>
      <c r="Z208" s="62">
        <f t="shared" si="78"/>
        <v>1.5599999999999999E-2</v>
      </c>
      <c r="AA208" s="62">
        <f t="shared" si="79"/>
        <v>2.3407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 t="shared" si="80"/>
        <v>0308-10</v>
      </c>
      <c r="AE208" s="85" t="str">
        <f t="shared" si="81"/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AF208" s="82" t="str">
        <f t="shared" si="82"/>
        <v>"C:\Program Files (x86)\AstroGrep\AstroGrep.exe" /spath="%USERPROFILE%\AppData\Local\Temp\OnboardLogs" /stypes="app*4045*20170210*" /stext=" 11:.+((SYSTEM_STATE.+slice.+state.+changed )|(ment ac)|(multiple cpu faults)|(system.+state.+changed )|(\[timeout)|(PRM\|1\|D)|(kpr)|(kdp)|(\|lc)|(penalty))" /e /r /s</v>
      </c>
      <c r="AG208" s="1" t="str">
        <f t="shared" si="83"/>
        <v>Other</v>
      </c>
      <c r="AH208" s="86" t="str">
        <f t="shared" si="84"/>
        <v>"%USERPROFILE%\Documents\GitHub\eaglep3\Utilities\RefineRTDCRunTimes.py" --tripid 308-10 --locoid 4045 --swversion DE.1.0.8.0 --startMP 300:23563 --initTime 2017-02-10T04:07:53 --startdatetime 2017-02-10T04:16:42 --delay 8 --endMP 204:156 --enddatetime 2017-02-10T04:27:48 --enforcementcount 0 &gt;&gt;C:\Users\stu\Documents\GitHub\eaglep3-reporting\EC\2017-02-10-refined-times.txt</v>
      </c>
      <c r="AI208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{"issue":{"subject":"","project_id":79,"tracker_id":40,"status_id":1,"priority_id":2,"assigned_to_id":23,"start_date":"2017-02-10","description":"","custom_fields":[{"id":1,"name":"Subdivision","value":"Other"},{"id":4,"name":"Milepost","value":"0.0156"},{"id":17,"name":"Train ID","value":"308-10"},{"id":16,"name":"Locomotive ID","value":"4045"},{"id":130,"name":"Impact","value":""},{"id":150,"name":"Time of Event (Mountain Time)","value":"04:27:48"},{"id":151,"name":"Denver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6"/>
        <v>start /low /b %USERPROFILE%\Documents\GitHub\eaglep3\Utilities\DownloadLogsFromS3.py --loco 4045 --day 2017-02-10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"%USERPROFILE%\AppData\Local\Temp\OnboardLogs"\RTDC4045\*4045*20170210* | grep -SE "(Enforcement Action)|(\[TIMEOUT)|(CHR.+\|PRM\|1\|D.+(SWITCH|SIGNAL).+UNKNOWN)" - &gt;&gt; 2017-02-10-UncaughtWiMAX.txt</v>
      </c>
    </row>
    <row r="209" spans="1:40" x14ac:dyDescent="0.25">
      <c r="A209" s="33" t="s">
        <v>759</v>
      </c>
      <c r="B209" s="7">
        <v>4009</v>
      </c>
      <c r="C209" s="21" t="s">
        <v>193</v>
      </c>
      <c r="D209" s="21" t="s">
        <v>278</v>
      </c>
      <c r="E209" s="13">
        <v>42777.0466087963</v>
      </c>
      <c r="F209" s="13">
        <v>42777.052303240744</v>
      </c>
      <c r="G209" s="7">
        <v>1</v>
      </c>
      <c r="H209" s="21" t="s">
        <v>836</v>
      </c>
      <c r="I209" s="13">
        <v>42777.059374999997</v>
      </c>
      <c r="J209" s="7">
        <v>0</v>
      </c>
      <c r="K209" s="98" t="str">
        <f t="shared" si="72"/>
        <v>4009/4010</v>
      </c>
      <c r="L209" s="21" t="str">
        <f>VLOOKUP(A209,'Trips&amp;Operators'!$C$1:$G$99999,5,FALSE)</f>
        <v>STORY SAMANTHA</v>
      </c>
      <c r="M209" s="6">
        <f t="shared" si="73"/>
        <v>7.0717592534492724E-3</v>
      </c>
      <c r="N209" s="7">
        <f t="shared" si="71"/>
        <v>10.183333324966952</v>
      </c>
      <c r="O209" s="7"/>
      <c r="P209" s="7"/>
      <c r="Q209" s="22"/>
      <c r="R209" s="22"/>
      <c r="S209" s="31">
        <f t="shared" si="74"/>
        <v>1</v>
      </c>
      <c r="T209" s="46" t="str">
        <f t="shared" si="75"/>
        <v>NorthBound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76"/>
        <v>https://d0f6bd738d7f1b3e5a7ca70fe4ff75f0.us-east-1.aws.found.io/app/kibana#/discover/Steve-Slow-Train-Analysis-(2080s-and-2083s)?_g=(refreshInterval:(display:Off,pause:!f,section:0,value:0),time:(from:'2017-02-11T00:07:07-0700',mode:absolute,to:'2017-02-11T02:25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8" t="str">
        <f t="shared" si="69"/>
        <v>Y</v>
      </c>
      <c r="X209" s="188">
        <f t="shared" si="70"/>
        <v>1</v>
      </c>
      <c r="Y209" s="62">
        <f t="shared" si="77"/>
        <v>4.6699999999999998E-2</v>
      </c>
      <c r="Z209" s="62">
        <f t="shared" si="78"/>
        <v>2.3317999999999999</v>
      </c>
      <c r="AA209" s="62">
        <f t="shared" si="79"/>
        <v>2.2850999999999999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 t="shared" si="80"/>
        <v>0309-10</v>
      </c>
      <c r="AE209" s="85" t="str">
        <f t="shared" si="81"/>
        <v>aws s3 cp s3://rtdc.mdm.uploadarchive.raw/RTDC4009/ "%USERPROFILE%\AppData\Local\Temp\OnboardLogs"\RTDC4009\2017-02-11 --exclude "*" --recursive --include "*20170211*" &amp; "%USERPROFILE%\Documents\GitHub\mrs-test-scripts\Headless Mode &amp; Sideloading\WalkAndUnGZ.bat" "%USERPROFILE%\AppData\Local\Temp\OnboardLogs"\RTDC4009\2017-02-11 &amp; aws s3 cp s3://rtdc.mdm.uploadarchive.raw/RTDC4009/ "%USERPROFILE%\AppData\Local\Temp\OnboardLogs"\RTDC4009\2017-02-12 --exclude "*" --recursive --include "*20170212*" &amp; "%USERPROFILE%\Documents\GitHub\mrs-test-scripts\Headless Mode &amp; Sideloading\WalkAndUnGZ.bat" "%USERPROFILE%\AppData\Local\Temp\OnboardLogs"\RTDC4009\2017-02-12</v>
      </c>
      <c r="AF209" s="82" t="str">
        <f t="shared" si="82"/>
        <v>"C:\Program Files (x86)\AstroGrep\AstroGrep.exe" /spath="%USERPROFILE%\AppData\Local\Temp\OnboardLogs" /stypes="app*4009*20170211*" /stext=" 08:.+((SYSTEM_STATE.+slice.+state.+changed )|(ment ac)|(multiple cpu faults)|(system.+state.+changed )|(\[timeout)|(PRM\|1\|D)|(kpr)|(kdp)|(\|lc)|(penalty))" /e /r /s</v>
      </c>
      <c r="AG209" s="1" t="str">
        <f t="shared" si="83"/>
        <v>Other</v>
      </c>
      <c r="AH209" s="86" t="str">
        <f t="shared" si="84"/>
        <v>"%USERPROFILE%\Documents\GitHub\eaglep3\Utilities\RefineRTDCRunTimes.py" --tripid 309-10 --locoid 4009 --swversion DE.1.0.8.0 --startMP 204:467 --initTime 2017-02-11T01:07:07 --startdatetime 2017-02-11T01:15:19 --delay 1 --endMP 300:23318 --enddatetime 2017-02-11T01:25:30 --enforcementcount 0 &gt;&gt;C:\Users\stu\Documents\GitHub\eaglep3-reporting\EC\2017-02-10-refined-times.txt</v>
      </c>
      <c r="AI209" s="108" t="str">
        <f t="shared" si="85"/>
        <v>echo {"issue":{"subject":"","project_id":79,"tracker_id":40,"status_id":1,"priority_id":2,"assigned_to_id":23,"start_date":"2017-02-11","description":"","custom_fields":[{"id":1,"name":"Subdivision","value":"Other"},{"id":4,"name":"Milepost","value":"2.3318"},{"id":17,"name":"Train ID","value":"309-10"},{"id":16,"name":"Locomotive ID","value":"4009"},{"id":130,"name":"Impact","value":""},{"id":150,"name":"Time of Event (Mountain Time)","value":"01:25:30"},{"id":151,"name":"Denver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6"/>
        <v>start /low /b %USERPROFILE%\Documents\GitHub\eaglep3\Utilities\DownloadLogsFromS3.py --loco 4009 --day 2017-02-11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"%USERPROFILE%\AppData\Local\Temp\OnboardLogs"\RTDC4009\*4009*20170211* | grep -SE "(Enforcement Action)|(\[TIMEOUT)|(CHR.+\|PRM\|1\|D.+(SWITCH|SIGNAL).+UNKNOWN)" - &gt;&gt; 2017-02-10-UncaughtWiMAX.txt</v>
      </c>
    </row>
    <row r="210" spans="1:40" x14ac:dyDescent="0.25">
      <c r="A210" s="33" t="s">
        <v>760</v>
      </c>
      <c r="B210" s="7">
        <v>4018</v>
      </c>
      <c r="C210" s="21" t="s">
        <v>193</v>
      </c>
      <c r="D210" s="21" t="s">
        <v>280</v>
      </c>
      <c r="E210" s="13">
        <v>42777.068379629629</v>
      </c>
      <c r="F210" s="13">
        <v>42777.070150462961</v>
      </c>
      <c r="G210" s="7">
        <v>1</v>
      </c>
      <c r="H210" s="21" t="s">
        <v>837</v>
      </c>
      <c r="I210" s="13">
        <v>42777.074155092596</v>
      </c>
      <c r="J210" s="7">
        <v>0</v>
      </c>
      <c r="K210" s="98" t="str">
        <f t="shared" si="72"/>
        <v>4017/4018</v>
      </c>
      <c r="L210" s="21" t="str">
        <f>VLOOKUP(A210,'Trips&amp;Operators'!$C$1:$G$99999,5,FALSE)</f>
        <v>MCREYNOLDS KYLE</v>
      </c>
      <c r="M210" s="6">
        <f t="shared" si="73"/>
        <v>4.0046296344371513E-3</v>
      </c>
      <c r="N210" s="7">
        <f t="shared" si="71"/>
        <v>5.7666666735894978</v>
      </c>
      <c r="O210" s="7"/>
      <c r="P210" s="7"/>
      <c r="Q210" s="22"/>
      <c r="R210" s="22"/>
      <c r="S210" s="31">
        <f t="shared" si="74"/>
        <v>1</v>
      </c>
      <c r="T210" s="46" t="str">
        <f t="shared" si="75"/>
        <v>NorthBound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7" t="str">
        <f t="shared" si="76"/>
        <v>https://d0f6bd738d7f1b3e5a7ca70fe4ff75f0.us-east-1.aws.found.io/app/kibana#/discover/Steve-Slow-Train-Analysis-(2080s-and-2083s)?_g=(refreshInterval:(display:Off,pause:!f,section:0,value:0),time:(from:'2017-02-11T00:38:28-0700',mode:absolute,to:'2017-02-11T02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88" t="str">
        <f t="shared" si="69"/>
        <v>Y</v>
      </c>
      <c r="X210" s="188">
        <f t="shared" si="70"/>
        <v>2</v>
      </c>
      <c r="Y210" s="62">
        <f t="shared" si="77"/>
        <v>4.5499999999999999E-2</v>
      </c>
      <c r="Z210" s="62">
        <f t="shared" si="78"/>
        <v>1.3301000000000001</v>
      </c>
      <c r="AA210" s="62">
        <f t="shared" si="79"/>
        <v>1.2846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 t="shared" si="80"/>
        <v>0311-10</v>
      </c>
      <c r="AE210" s="85" t="str">
        <f t="shared" si="81"/>
        <v>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 &amp; aws s3 cp s3://rtdc.mdm.uploadarchive.raw/RTDC4018/ "%USERPROFILE%\AppData\Local\Temp\OnboardLogs"\RTDC4018\2017-02-12 --exclude "*" --recursive --include "*20170212*" &amp; "%USERPROFILE%\Documents\GitHub\mrs-test-scripts\Headless Mode &amp; Sideloading\WalkAndUnGZ.bat" "%USERPROFILE%\AppData\Local\Temp\OnboardLogs"\RTDC4018\2017-02-12</v>
      </c>
      <c r="AF210" s="82" t="str">
        <f t="shared" si="82"/>
        <v>"C:\Program Files (x86)\AstroGrep\AstroGrep.exe" /spath="%USERPROFILE%\AppData\Local\Temp\OnboardLogs" /stypes="app*4018*20170211*" /stext=" 08:.+((SYSTEM_STATE.+slice.+state.+changed )|(ment ac)|(multiple cpu faults)|(system.+state.+changed )|(\[timeout)|(PRM\|1\|D)|(kpr)|(kdp)|(\|lc)|(penalty))" /e /r /s</v>
      </c>
      <c r="AG210" s="1" t="str">
        <f t="shared" si="83"/>
        <v>Other</v>
      </c>
      <c r="AH210" s="86" t="str">
        <f t="shared" si="84"/>
        <v>"%USERPROFILE%\Documents\GitHub\eaglep3\Utilities\RefineRTDCRunTimes.py" --tripid 311-10 --locoid 4018 --swversion DE.1.0.8.0 --startMP 204:455 --initTime 2017-02-11T01:38:28 --startdatetime 2017-02-11T01:41:01 --delay 1 --endMP 300:13301 --enddatetime 2017-02-11T01:46:47 --enforcementcount 0 &gt;&gt;C:\Users\stu\Documents\GitHub\eaglep3-reporting\EC\2017-02-10-refined-times.txt</v>
      </c>
      <c r="AI210" s="108" t="str">
        <f t="shared" si="85"/>
        <v>echo {"issue":{"subject":"","project_id":79,"tracker_id":40,"status_id":1,"priority_id":2,"assigned_to_id":23,"start_date":"2017-02-11","description":"","custom_fields":[{"id":1,"name":"Subdivision","value":"Other"},{"id":4,"name":"Milepost","value":"1.3301"},{"id":17,"name":"Train ID","value":"311-10"},{"id":16,"name":"Locomotive ID","value":"4018"},{"id":130,"name":"Impact","value":""},{"id":150,"name":"Time of Event (Mountain Time)","value":"01:46:47"},{"id":151,"name":"Denver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6"/>
        <v>start /low /b %USERPROFILE%\Documents\GitHub\eaglep3\Utilities\DownloadLogsFromS3.py --loco 4018 --day 2017-02-11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"%USERPROFILE%\AppData\Local\Temp\OnboardLogs"\RTDC4018\*4018*20170211* | grep -SE "(Enforcement Action)|(\[TIMEOUT)|(CHR.+\|PRM\|1\|D.+(SWITCH|SIGNAL).+UNKNOWN)" - &gt;&gt; 2017-02-10-UncaughtWiMAX.txt</v>
      </c>
    </row>
    <row r="211" spans="1:40" x14ac:dyDescent="0.25">
      <c r="A211" s="33" t="s">
        <v>490</v>
      </c>
      <c r="B211" s="7">
        <v>4044</v>
      </c>
      <c r="C211" s="21" t="s">
        <v>193</v>
      </c>
      <c r="D211" s="21" t="s">
        <v>374</v>
      </c>
      <c r="E211" s="13">
        <v>42776.086828703701</v>
      </c>
      <c r="F211" s="13">
        <v>42776.088240740741</v>
      </c>
      <c r="G211" s="7">
        <v>1</v>
      </c>
      <c r="H211" s="21" t="s">
        <v>838</v>
      </c>
      <c r="I211" s="13">
        <v>42776.095625000002</v>
      </c>
      <c r="J211" s="7">
        <v>0</v>
      </c>
      <c r="K211" s="98" t="str">
        <f t="shared" si="72"/>
        <v>4043/4044</v>
      </c>
      <c r="L211" s="21" t="str">
        <f>VLOOKUP(A211,'Trips&amp;Operators'!$C$1:$G$99999,5,FALSE)</f>
        <v>HILLS DUSTIN</v>
      </c>
      <c r="M211" s="6">
        <f t="shared" si="73"/>
        <v>7.3842592610162683E-3</v>
      </c>
      <c r="N211" s="7">
        <f t="shared" si="71"/>
        <v>10.633333335863426</v>
      </c>
      <c r="O211" s="7"/>
      <c r="P211" s="7"/>
      <c r="Q211" s="22"/>
      <c r="R211" s="22"/>
      <c r="S211" s="31">
        <f t="shared" si="74"/>
        <v>1</v>
      </c>
      <c r="T211" s="46" t="str">
        <f t="shared" si="75"/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76"/>
        <v>https://d0f6bd738d7f1b3e5a7ca70fe4ff75f0.us-east-1.aws.found.io/app/kibana#/discover/Steve-Slow-Train-Analysis-(2080s-and-2083s)?_g=(refreshInterval:(display:Off,pause:!f,section:0,value:0),time:(from:'2017-02-10T01:05:02-0700',mode:absolute,to:'2017-02-10T03:17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88" t="str">
        <f t="shared" si="69"/>
        <v>Y</v>
      </c>
      <c r="X211" s="188">
        <f t="shared" si="70"/>
        <v>2</v>
      </c>
      <c r="Y211" s="62">
        <f t="shared" si="77"/>
        <v>4.2700000000000002E-2</v>
      </c>
      <c r="Z211" s="62">
        <f t="shared" si="78"/>
        <v>2.3304</v>
      </c>
      <c r="AA211" s="62">
        <f t="shared" si="79"/>
        <v>2.2877000000000001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 t="shared" si="80"/>
        <v>0313-09</v>
      </c>
      <c r="AE211" s="85" t="str">
        <f t="shared" si="81"/>
        <v>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 &amp; aws s3 cp s3://rtdc.mdm.uploadarchive.raw/RTDC4044/ "%USERPROFILE%\AppData\Local\Temp\OnboardLogs"\RTDC4044\2017-02-11 --exclude "*" --recursive --include "*20170211*" &amp; "%USERPROFILE%\Documents\GitHub\mrs-test-scripts\Headless Mode &amp; Sideloading\WalkAndUnGZ.bat" "%USERPROFILE%\AppData\Local\Temp\OnboardLogs"\RTDC4044\2017-02-11</v>
      </c>
      <c r="AF211" s="82" t="str">
        <f t="shared" si="82"/>
        <v>"C:\Program Files (x86)\AstroGrep\AstroGrep.exe" /spath="%USERPROFILE%\AppData\Local\Temp\OnboardLogs" /stypes="app*4044*20170210*" /stext=" 09:.+((SYSTEM_STATE.+slice.+state.+changed )|(ment ac)|(multiple cpu faults)|(system.+state.+changed )|(\[timeout)|(PRM\|1\|D)|(kpr)|(kdp)|(\|lc)|(penalty))" /e /r /s</v>
      </c>
      <c r="AG211" s="1" t="str">
        <f t="shared" si="83"/>
        <v>Other</v>
      </c>
      <c r="AH211" s="86" t="str">
        <f t="shared" si="84"/>
        <v>"%USERPROFILE%\Documents\GitHub\eaglep3\Utilities\RefineRTDCRunTimes.py" --tripid 313-09 --locoid 4044 --swversion DE.1.0.8.0 --startMP 204:427 --initTime 2017-02-10T02:05:02 --startdatetime 2017-02-10T02:07:04 --delay 1 --endMP 300:23304 --enddatetime 2017-02-10T02:17:42 --enforcementcount 0 &gt;&gt;C:\Users\stu\Documents\GitHub\eaglep3-reporting\EC\2017-02-10-refined-times.txt</v>
      </c>
      <c r="AI211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{"issue":{"subject":"","project_id":79,"tracker_id":40,"status_id":1,"priority_id":2,"assigned_to_id":23,"start_date":"2017-02-10","description":"","custom_fields":[{"id":1,"name":"Subdivision","value":"Other"},{"id":4,"name":"Milepost","value":"2.3304"},{"id":17,"name":"Train ID","value":"313-09"},{"id":16,"name":"Locomotive ID","value":"4044"},{"id":130,"name":"Impact","value":""},{"id":150,"name":"Time of Event (Mountain Time)","value":"02:17:42"},{"id":151,"name":"Denver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6"/>
        <v>start /low /b %USERPROFILE%\Documents\GitHub\eaglep3\Utilities\DownloadLogsFromS3.py --loco 4044 --day 2017-02-10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"%USERPROFILE%\AppData\Local\Temp\OnboardLogs"\RTDC4044\*4044*20170210* | grep -SE "(Enforcement Action)|(\[TIMEOUT)|(CHR.+\|PRM\|1\|D.+(SWITCH|SIGNAL).+UNKNOWN)" - &gt;&gt; 2017-02-10-UncaughtWiMAX.txt</v>
      </c>
    </row>
    <row r="212" spans="1:40" x14ac:dyDescent="0.25">
      <c r="A212" s="33" t="s">
        <v>570</v>
      </c>
      <c r="B212" s="7">
        <v>4016</v>
      </c>
      <c r="C212" s="21" t="s">
        <v>193</v>
      </c>
      <c r="D212" s="21" t="s">
        <v>885</v>
      </c>
      <c r="E212" s="13">
        <v>42776.196527777778</v>
      </c>
      <c r="F212" s="13">
        <v>42776.201643518521</v>
      </c>
      <c r="G212" s="7">
        <v>7</v>
      </c>
      <c r="H212" s="21" t="s">
        <v>535</v>
      </c>
      <c r="I212" s="13">
        <v>42776.206875000003</v>
      </c>
      <c r="J212" s="7">
        <v>0</v>
      </c>
      <c r="K212" s="98" t="str">
        <f t="shared" si="72"/>
        <v>4015/4016</v>
      </c>
      <c r="L212" s="21" t="str">
        <f>VLOOKUP(A212,'Trips&amp;Operators'!$C$1:$G$99999,5,FALSE)</f>
        <v>GEBRETEKLE DAGNEW</v>
      </c>
      <c r="M212" s="6">
        <f t="shared" si="73"/>
        <v>5.2314814820419997E-3</v>
      </c>
      <c r="N212" s="7">
        <f t="shared" si="71"/>
        <v>7.5333333341404796</v>
      </c>
      <c r="O212" s="7"/>
      <c r="P212" s="7"/>
      <c r="Q212" s="22"/>
      <c r="R212" s="22"/>
      <c r="S212" s="31">
        <f t="shared" si="74"/>
        <v>0</v>
      </c>
      <c r="T212" s="46" t="str">
        <f t="shared" si="75"/>
        <v>NorthBound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 t="shared" si="76"/>
        <v>https://d0f6bd738d7f1b3e5a7ca70fe4ff75f0.us-east-1.aws.found.io/app/kibana#/discover/Steve-Slow-Train-Analysis-(2080s-and-2083s)?_g=(refreshInterval:(display:Off,pause:!f,section:0,value:0),time:(from:'2017-02-10T03:43:00-0700',mode:absolute,to:'2017-02-10T05:57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188" t="str">
        <f t="shared" si="69"/>
        <v>Y</v>
      </c>
      <c r="X212" s="188">
        <f t="shared" si="70"/>
        <v>588</v>
      </c>
      <c r="Y212" s="62">
        <f t="shared" si="77"/>
        <v>2.9735</v>
      </c>
      <c r="Z212" s="62">
        <f t="shared" si="78"/>
        <v>5.8993000000000002</v>
      </c>
      <c r="AA212" s="62">
        <f t="shared" si="79"/>
        <v>2.9258000000000002</v>
      </c>
      <c r="AB212" s="59" t="e">
        <f>VLOOKUP(A212,Enforcements!$C$7:$K$14,8,0)</f>
        <v>#N/A</v>
      </c>
      <c r="AC212" s="55" t="e">
        <f>VLOOKUP(A212,Enforcements!$C$7:$E$14,3,0)</f>
        <v>#N/A</v>
      </c>
      <c r="AD212" s="56" t="str">
        <f t="shared" si="80"/>
        <v>0901-10</v>
      </c>
      <c r="AE212" s="85" t="str">
        <f t="shared" si="81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212" s="82" t="str">
        <f t="shared" si="82"/>
        <v>"C:\Program Files (x86)\AstroGrep\AstroGrep.exe" /spath="%USERPROFILE%\AppData\Local\Temp\OnboardLogs" /stypes="app*4016*20170210*" /stext=" 11:.+((SYSTEM_STATE.+slice.+state.+changed )|(ment ac)|(multiple cpu faults)|(system.+state.+changed )|(\[timeout)|(PRM\|1\|D)|(kpr)|(kdp)|(\|lc)|(penalty))" /e /r /s</v>
      </c>
      <c r="AG212" s="1" t="str">
        <f t="shared" si="83"/>
        <v>Other</v>
      </c>
      <c r="AH212" s="86" t="str">
        <f t="shared" si="84"/>
        <v>"%USERPROFILE%\Documents\GitHub\eaglep3\Utilities\RefineRTDCRunTimes.py" --tripid 901-10 --locoid 4016 --swversion DE.1.0.8.0 --startMP 300:29735 --initTime 2017-02-10T04:43:00 --startdatetime 2017-02-10T04:50:22 --delay 7 --endMP 300:58993 --enddatetime 2017-02-10T04:57:54 --enforcementcount 0 &gt;&gt;C:\Users\stu\Documents\GitHub\eaglep3-reporting\EC\2017-02-10-refined-times.txt</v>
      </c>
      <c r="AI212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{"issue":{"subject":"","project_id":79,"tracker_id":40,"status_id":1,"priority_id":2,"assigned_to_id":23,"start_date":"2017-02-10","description":"","custom_fields":[{"id":1,"name":"Subdivision","value":"Other"},{"id":4,"name":"Milepost","value":"5.8993"},{"id":17,"name":"Train ID","value":"901-10"},{"id":16,"name":"Locomotive ID","value":"4016"},{"id":130,"name":"Impact","value":""},{"id":150,"name":"Time of Event (Mountain Time)","value":"04:57:54"},{"id":151,"name":"Denver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6"/>
        <v>start /low /b %USERPROFILE%\Documents\GitHub\eaglep3\Utilities\DownloadLogsFromS3.py --loco 4016 --day 2017-02-10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</row>
    <row r="213" spans="1:40" x14ac:dyDescent="0.25">
      <c r="A213" s="33" t="s">
        <v>581</v>
      </c>
      <c r="B213" s="7">
        <v>4032</v>
      </c>
      <c r="C213" s="21" t="s">
        <v>193</v>
      </c>
      <c r="D213" s="21" t="s">
        <v>886</v>
      </c>
      <c r="E213" s="13">
        <v>42776.246990740743</v>
      </c>
      <c r="F213" s="13">
        <v>42776.248240740744</v>
      </c>
      <c r="G213" s="7">
        <v>1</v>
      </c>
      <c r="H213" s="21" t="s">
        <v>887</v>
      </c>
      <c r="I213" s="13">
        <v>42776.253495370373</v>
      </c>
      <c r="J213" s="7">
        <v>0</v>
      </c>
      <c r="K213" s="98" t="str">
        <f t="shared" si="72"/>
        <v>4031/4032</v>
      </c>
      <c r="L213" s="21" t="str">
        <f>VLOOKUP(A213,'Trips&amp;Operators'!$C$1:$G$99999,5,FALSE)</f>
        <v>SHOOK JOHN</v>
      </c>
      <c r="M213" s="6">
        <f t="shared" si="73"/>
        <v>5.2546296283253469E-3</v>
      </c>
      <c r="N213" s="7">
        <f t="shared" si="71"/>
        <v>7.5666666647884995</v>
      </c>
      <c r="O213" s="7"/>
      <c r="P213" s="7"/>
      <c r="Q213" s="22"/>
      <c r="R213" s="22"/>
      <c r="S213" s="31">
        <f t="shared" si="74"/>
        <v>1</v>
      </c>
      <c r="T213" s="46" t="str">
        <f t="shared" si="75"/>
        <v>Southbound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76"/>
        <v>https://d0f6bd738d7f1b3e5a7ca70fe4ff75f0.us-east-1.aws.found.io/app/kibana#/discover/Steve-Slow-Train-Analysis-(2080s-and-2083s)?_g=(refreshInterval:(display:Off,pause:!f,section:0,value:0),time:(from:'2017-02-10T04:55:40-0700',mode:absolute,to:'2017-02-10T07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3" s="188" t="str">
        <f t="shared" ref="W213:W218" si="87">IF(AA213&lt;IF(AG213="EC",23,5.65),"Y","N")</f>
        <v>Y</v>
      </c>
      <c r="X213" s="188">
        <f t="shared" ref="X213:X218" si="88">VALUE(LEFT(AD213,4))-VALUE(LEFT(AD212,4))</f>
        <v>1</v>
      </c>
      <c r="Y213" s="62">
        <f t="shared" si="77"/>
        <v>2.2130000000000001</v>
      </c>
      <c r="Z213" s="62">
        <f t="shared" si="78"/>
        <v>7.22E-2</v>
      </c>
      <c r="AA213" s="62">
        <f t="shared" si="79"/>
        <v>2.1408</v>
      </c>
      <c r="AB213" s="59" t="e">
        <f>VLOOKUP(A213,Enforcements!$C$7:$K$14,8,0)</f>
        <v>#N/A</v>
      </c>
      <c r="AC213" s="55" t="e">
        <f>VLOOKUP(A213,Enforcements!$C$7:$E$14,3,0)</f>
        <v>#N/A</v>
      </c>
      <c r="AD213" s="56" t="str">
        <f t="shared" si="80"/>
        <v>0902-10</v>
      </c>
      <c r="AE213" s="85" t="str">
        <f t="shared" si="81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213" s="82" t="str">
        <f t="shared" si="82"/>
        <v>"C:\Program Files (x86)\AstroGrep\AstroGrep.exe" /spath="%USERPROFILE%\AppData\Local\Temp\OnboardLogs" /stypes="app*4032*20170210*" /stext=" 13:.+((SYSTEM_STATE.+slice.+state.+changed )|(ment ac)|(multiple cpu faults)|(system.+state.+changed )|(\[timeout)|(PRM\|1\|D)|(kpr)|(kdp)|(\|lc)|(penalty))" /e /r /s</v>
      </c>
      <c r="AG213" s="1" t="str">
        <f t="shared" si="83"/>
        <v>Other</v>
      </c>
      <c r="AH213" s="86" t="str">
        <f t="shared" si="84"/>
        <v>"%USERPROFILE%\Documents\GitHub\eaglep3\Utilities\RefineRTDCRunTimes.py" --tripid 902-10 --locoid 4032 --swversion DE.1.0.8.0 --startMP 300:22130 --initTime 2017-02-10T05:55:40 --startdatetime 2017-02-10T05:57:28 --delay 1 --endMP 204:722 --enddatetime 2017-02-10T06:05:02 --enforcementcount 0 &gt;&gt;C:\Users\stu\Documents\GitHub\eaglep3-reporting\EC\2017-02-10-refined-times.txt</v>
      </c>
      <c r="AI213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{"issue":{"subject":"","project_id":79,"tracker_id":40,"status_id":1,"priority_id":2,"assigned_to_id":23,"start_date":"2017-02-10","description":"","custom_fields":[{"id":1,"name":"Subdivision","value":"Other"},{"id":4,"name":"Milepost","value":"0.0722"},{"id":17,"name":"Train ID","value":"902-10"},{"id":16,"name":"Locomotive ID","value":"4032"},{"id":130,"name":"Impact","value":""},{"id":150,"name":"Time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6"/>
        <v>start /low /b %USERPROFILE%\Documents\GitHub\eaglep3\Utilities\DownloadLogsFromS3.py --loco 4032 --day 2017-02-10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"%USERPROFILE%\AppData\Local\Temp\OnboardLogs"\RTDC4032\*4032*20170210* | grep -SE "(Enforcement Action)|(\[TIMEOUT)|(CHR.+\|PRM\|1\|D.+(SWITCH|SIGNAL).+UNKNOWN)" - &gt;&gt; 2017-02-10-UncaughtWiMAX.txt</v>
      </c>
    </row>
    <row r="214" spans="1:40" x14ac:dyDescent="0.25">
      <c r="A214" s="33" t="s">
        <v>611</v>
      </c>
      <c r="B214" s="7">
        <v>4016</v>
      </c>
      <c r="C214" s="21" t="s">
        <v>193</v>
      </c>
      <c r="D214" s="21" t="s">
        <v>499</v>
      </c>
      <c r="E214" s="13">
        <v>42776.352754629632</v>
      </c>
      <c r="F214" s="13">
        <v>42776.35423611111</v>
      </c>
      <c r="G214" s="7">
        <v>1</v>
      </c>
      <c r="H214" s="21" t="s">
        <v>888</v>
      </c>
      <c r="I214" s="13">
        <v>42776.359097222223</v>
      </c>
      <c r="J214" s="7">
        <v>0</v>
      </c>
      <c r="K214" s="98" t="str">
        <f t="shared" si="72"/>
        <v>4015/4016</v>
      </c>
      <c r="L214" s="21" t="str">
        <f>VLOOKUP(A214,'Trips&amp;Operators'!$C$1:$G$99999,5,FALSE)</f>
        <v>GEBRETEKLE DAGNEW</v>
      </c>
      <c r="M214" s="6">
        <f t="shared" si="73"/>
        <v>4.8611111124046147E-3</v>
      </c>
      <c r="N214" s="7">
        <f t="shared" si="71"/>
        <v>7.0000000018626451</v>
      </c>
      <c r="O214" s="7"/>
      <c r="P214" s="7"/>
      <c r="Q214" s="22"/>
      <c r="R214" s="22"/>
      <c r="S214" s="31">
        <f t="shared" si="74"/>
        <v>1</v>
      </c>
      <c r="T214" s="46" t="str">
        <f t="shared" si="75"/>
        <v>NorthBound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76"/>
        <v>https://d0f6bd738d7f1b3e5a7ca70fe4ff75f0.us-east-1.aws.found.io/app/kibana#/discover/Steve-Slow-Train-Analysis-(2080s-and-2083s)?_g=(refreshInterval:(display:Off,pause:!f,section:0,value:0),time:(from:'2017-02-10T07:27:58-0700',mode:absolute,to:'2017-02-10T09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188" t="str">
        <f t="shared" si="87"/>
        <v>Y</v>
      </c>
      <c r="X214" s="188">
        <f t="shared" si="88"/>
        <v>1</v>
      </c>
      <c r="Y214" s="62">
        <f t="shared" si="77"/>
        <v>4.4400000000000002E-2</v>
      </c>
      <c r="Z214" s="62">
        <f t="shared" si="78"/>
        <v>2.4216000000000002</v>
      </c>
      <c r="AA214" s="62">
        <f t="shared" si="79"/>
        <v>2.3772000000000002</v>
      </c>
      <c r="AB214" s="59" t="e">
        <f>VLOOKUP(A214,Enforcements!$C$7:$K$14,8,0)</f>
        <v>#N/A</v>
      </c>
      <c r="AC214" s="55" t="e">
        <f>VLOOKUP(A214,Enforcements!$C$7:$E$14,3,0)</f>
        <v>#N/A</v>
      </c>
      <c r="AD214" s="56" t="str">
        <f t="shared" si="80"/>
        <v>0903-10</v>
      </c>
      <c r="AE214" s="85" t="str">
        <f t="shared" si="81"/>
        <v>aws s3 cp s3://rtdc.mdm.uploadarchive.raw/RTDC4016/ "%USERPROFILE%\AppData\Local\Temp\OnboardLogs"\RTDC4016\2017-02-10 --exclude "*" --recursive --include "*20170210*" &amp; "%USERPROFILE%\Documents\GitHub\mrs-test-scripts\Headless Mode &amp; Sideloading\WalkAndUnGZ.bat" "%USERPROFILE%\AppData\Local\Temp\OnboardLogs"\RTDC4016\2017-02-10 &amp; aws s3 cp s3://rtdc.mdm.uploadarchive.raw/RTDC4016/ "%USERPROFILE%\AppData\Local\Temp\OnboardLogs"\RTDC4016\2017-02-11 --exclude "*" --recursive --include "*20170211*" &amp; "%USERPROFILE%\Documents\GitHub\mrs-test-scripts\Headless Mode &amp; Sideloading\WalkAndUnGZ.bat" "%USERPROFILE%\AppData\Local\Temp\OnboardLogs"\RTDC4016\2017-02-11</v>
      </c>
      <c r="AF214" s="82" t="str">
        <f t="shared" si="82"/>
        <v>"C:\Program Files (x86)\AstroGrep\AstroGrep.exe" /spath="%USERPROFILE%\AppData\Local\Temp\OnboardLogs" /stypes="app*4016*20170210*" /stext=" 15:.+((SYSTEM_STATE.+slice.+state.+changed )|(ment ac)|(multiple cpu faults)|(system.+state.+changed )|(\[timeout)|(PRM\|1\|D)|(kpr)|(kdp)|(\|lc)|(penalty))" /e /r /s</v>
      </c>
      <c r="AG214" s="1" t="str">
        <f t="shared" si="83"/>
        <v>Other</v>
      </c>
      <c r="AH214" s="86" t="str">
        <f t="shared" si="84"/>
        <v>"%USERPROFILE%\Documents\GitHub\eaglep3\Utilities\RefineRTDCRunTimes.py" --tripid 903-10 --locoid 4016 --swversion DE.1.0.8.0 --startMP 204:444 --initTime 2017-02-10T08:27:58 --startdatetime 2017-02-10T08:30:06 --delay 1 --endMP 300:24216 --enddatetime 2017-02-10T08:37:06 --enforcementcount 0 &gt;&gt;C:\Users\stu\Documents\GitHub\eaglep3-reporting\EC\2017-02-10-refined-times.txt</v>
      </c>
      <c r="AI214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{"issue":{"subject":"","project_id":79,"tracker_id":40,"status_id":1,"priority_id":2,"assigned_to_id":23,"start_date":"2017-02-10","description":"","custom_fields":[{"id":1,"name":"Subdivision","value":"Other"},{"id":4,"name":"Milepost","value":"2.4216"},{"id":17,"name":"Train ID","value":"903-10"},{"id":16,"name":"Locomotive ID","value":"4016"},{"id":130,"name":"Impact","value":""},{"id":150,"name":"Time of Event (Mountain Time)","value":"08:37:06"},{"id":151,"name":"Denver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6"/>
        <v>start /low /b %USERPROFILE%\Documents\GitHub\eaglep3\Utilities\DownloadLogsFromS3.py --loco 4016 --day 2017-02-10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"%USERPROFILE%\AppData\Local\Temp\OnboardLogs"\RTDC4016\*4016*20170210* | grep -SE "(Enforcement Action)|(\[TIMEOUT)|(CHR.+\|PRM\|1\|D.+(SWITCH|SIGNAL).+UNKNOWN)" - &gt;&gt; 2017-02-10-UncaughtWiMAX.txt</v>
      </c>
    </row>
    <row r="215" spans="1:40" x14ac:dyDescent="0.25">
      <c r="A215" s="33" t="s">
        <v>677</v>
      </c>
      <c r="B215" s="7">
        <v>4015</v>
      </c>
      <c r="C215" s="21" t="s">
        <v>193</v>
      </c>
      <c r="D215" s="21" t="s">
        <v>889</v>
      </c>
      <c r="E215" s="13">
        <v>42776.636793981481</v>
      </c>
      <c r="F215" s="13">
        <v>42776.639780092592</v>
      </c>
      <c r="G215" s="7">
        <v>3</v>
      </c>
      <c r="H215" s="21" t="s">
        <v>890</v>
      </c>
      <c r="I215" s="13">
        <v>42776.646053240744</v>
      </c>
      <c r="J215" s="7">
        <v>0</v>
      </c>
      <c r="K215" s="98" t="str">
        <f t="shared" si="72"/>
        <v>4015/4016</v>
      </c>
      <c r="L215" s="21" t="str">
        <f>VLOOKUP(A215,'Trips&amp;Operators'!$C$1:$G$99999,5,FALSE)</f>
        <v>SMITH MICHAEL</v>
      </c>
      <c r="M215" s="6">
        <f t="shared" si="73"/>
        <v>6.2731481521041133E-3</v>
      </c>
      <c r="N215" s="7">
        <f t="shared" si="71"/>
        <v>9.0333333390299231</v>
      </c>
      <c r="O215" s="7"/>
      <c r="P215" s="7"/>
      <c r="Q215" s="22"/>
      <c r="R215" s="22"/>
      <c r="S215" s="31">
        <f t="shared" si="74"/>
        <v>1</v>
      </c>
      <c r="T215" s="46" t="str">
        <f t="shared" si="75"/>
        <v>Southbound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7" t="str">
        <f t="shared" si="76"/>
        <v>https://d0f6bd738d7f1b3e5a7ca70fe4ff75f0.us-east-1.aws.found.io/app/kibana#/discover/Steve-Slow-Train-Analysis-(2080s-and-2083s)?_g=(refreshInterval:(display:Off,pause:!f,section:0,value:0),time:(from:'2017-02-10T14:16:59-0700',mode:absolute,to:'2017-02-10T16:30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188" t="str">
        <f t="shared" si="87"/>
        <v>Y</v>
      </c>
      <c r="X215" s="188">
        <f t="shared" si="88"/>
        <v>1</v>
      </c>
      <c r="Y215" s="62">
        <f t="shared" si="77"/>
        <v>2.33</v>
      </c>
      <c r="Z215" s="62">
        <f t="shared" si="78"/>
        <v>6.5600000000000006E-2</v>
      </c>
      <c r="AA215" s="62">
        <f t="shared" si="79"/>
        <v>2.2644000000000002</v>
      </c>
      <c r="AB215" s="59" t="e">
        <f>VLOOKUP(A215,Enforcements!$C$7:$K$14,8,0)</f>
        <v>#N/A</v>
      </c>
      <c r="AC215" s="55" t="e">
        <f>VLOOKUP(A215,Enforcements!$C$7:$E$14,3,0)</f>
        <v>#N/A</v>
      </c>
      <c r="AD215" s="56" t="str">
        <f t="shared" si="80"/>
        <v>0904-10</v>
      </c>
      <c r="AE215" s="85" t="str">
        <f t="shared" si="81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215" s="82" t="str">
        <f t="shared" si="82"/>
        <v>"C:\Program Files (x86)\AstroGrep\AstroGrep.exe" /spath="%USERPROFILE%\AppData\Local\Temp\OnboardLogs" /stypes="app*4015*20170210*" /stext=" 22:.+((SYSTEM_STATE.+slice.+state.+changed )|(ment ac)|(multiple cpu faults)|(system.+state.+changed )|(\[timeout)|(PRM\|1\|D)|(kpr)|(kdp)|(\|lc)|(penalty))" /e /r /s</v>
      </c>
      <c r="AG215" s="1" t="str">
        <f t="shared" si="83"/>
        <v>Other</v>
      </c>
      <c r="AH215" s="86" t="str">
        <f t="shared" si="84"/>
        <v>"%USERPROFILE%\Documents\GitHub\eaglep3\Utilities\RefineRTDCRunTimes.py" --tripid 904-10 --locoid 4015 --swversion DE.1.0.8.0 --startMP 300:23300 --initTime 2017-02-10T15:16:59 --startdatetime 2017-02-10T15:21:17 --delay 3 --endMP 204:656 --enddatetime 2017-02-10T15:30:19 --enforcementcount 0 &gt;&gt;C:\Users\stu\Documents\GitHub\eaglep3-reporting\EC\2017-02-10-refined-times.txt</v>
      </c>
      <c r="AI215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{"issue":{"subject":"","project_id":79,"tracker_id":40,"status_id":1,"priority_id":2,"assigned_to_id":23,"start_date":"2017-02-10","description":"","custom_fields":[{"id":1,"name":"Subdivision","value":"Other"},{"id":4,"name":"Milepost","value":"0.0656"},{"id":17,"name":"Train ID","value":"904-10"},{"id":16,"name":"Locomotive ID","value":"4015"},{"id":130,"name":"Impact","value":""},{"id":150,"name":"Time of Event (Mountain Time)","value":"15:30:19"},{"id":151,"name":"Denver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6"/>
        <v>start /low /b %USERPROFILE%\Documents\GitHub\eaglep3\Utilities\DownloadLogsFromS3.py --loco 4015 --day 2017-02-10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"%USERPROFILE%\AppData\Local\Temp\OnboardLogs"\RTDC4015\*4015*20170210* | grep -SE "(Enforcement Action)|(\[TIMEOUT)|(CHR.+\|PRM\|1\|D.+(SWITCH|SIGNAL).+UNKNOWN)" - &gt;&gt; 2017-02-10-UncaughtWiMAX.txt</v>
      </c>
    </row>
    <row r="216" spans="1:40" x14ac:dyDescent="0.25">
      <c r="A216" s="33" t="s">
        <v>725</v>
      </c>
      <c r="B216" s="7">
        <v>4015</v>
      </c>
      <c r="C216" s="21" t="s">
        <v>193</v>
      </c>
      <c r="D216" s="21" t="s">
        <v>891</v>
      </c>
      <c r="E216" s="13">
        <v>42776.796203703707</v>
      </c>
      <c r="F216" s="13">
        <v>42776.797881944447</v>
      </c>
      <c r="G216" s="7">
        <v>1</v>
      </c>
      <c r="H216" s="21" t="s">
        <v>892</v>
      </c>
      <c r="I216" s="13">
        <v>42776.808541666665</v>
      </c>
      <c r="J216" s="7">
        <v>0</v>
      </c>
      <c r="K216" s="98" t="str">
        <f t="shared" si="72"/>
        <v>4015/4016</v>
      </c>
      <c r="L216" s="21" t="str">
        <f>VLOOKUP(A216,'Trips&amp;Operators'!$C$1:$G$99999,5,FALSE)</f>
        <v>SMITH MICHAEL</v>
      </c>
      <c r="M216" s="6">
        <f t="shared" si="73"/>
        <v>1.0659722218406387E-2</v>
      </c>
      <c r="N216" s="7">
        <f t="shared" si="71"/>
        <v>15.349999994505197</v>
      </c>
      <c r="O216" s="7"/>
      <c r="P216" s="7"/>
      <c r="Q216" s="22"/>
      <c r="R216" s="22"/>
      <c r="S216" s="31">
        <f t="shared" si="74"/>
        <v>0</v>
      </c>
      <c r="T216" s="46" t="str">
        <f t="shared" si="75"/>
        <v>Southbound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7" t="str">
        <f t="shared" si="76"/>
        <v>https://d0f6bd738d7f1b3e5a7ca70fe4ff75f0.us-east-1.aws.found.io/app/kibana#/discover/Steve-Slow-Train-Analysis-(2080s-and-2083s)?_g=(refreshInterval:(display:Off,pause:!f,section:0,value:0),time:(from:'2017-02-10T18:06:32-0700',mode:absolute,to:'2017-02-10T20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188" t="str">
        <f t="shared" si="87"/>
        <v>Y</v>
      </c>
      <c r="X216" s="188">
        <f t="shared" si="88"/>
        <v>2</v>
      </c>
      <c r="Y216" s="62">
        <f t="shared" si="77"/>
        <v>5.8632</v>
      </c>
      <c r="Z216" s="62">
        <f t="shared" si="78"/>
        <v>2.8793000000000002</v>
      </c>
      <c r="AA216" s="62">
        <f t="shared" si="79"/>
        <v>2.9838999999999998</v>
      </c>
      <c r="AB216" s="59" t="e">
        <f>VLOOKUP(A216,Enforcements!$C$7:$K$14,8,0)</f>
        <v>#N/A</v>
      </c>
      <c r="AC216" s="55" t="e">
        <f>VLOOKUP(A216,Enforcements!$C$7:$E$14,3,0)</f>
        <v>#N/A</v>
      </c>
      <c r="AD216" s="56" t="str">
        <f t="shared" si="80"/>
        <v>0906-10</v>
      </c>
      <c r="AE216" s="85" t="str">
        <f t="shared" si="81"/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AF216" s="82" t="str">
        <f t="shared" si="82"/>
        <v>"C:\Program Files (x86)\AstroGrep\AstroGrep.exe" /spath="%USERPROFILE%\AppData\Local\Temp\OnboardLogs" /stypes="app*4015*20170211*" /stext=" 02:.+((SYSTEM_STATE.+slice.+state.+changed )|(ment ac)|(multiple cpu faults)|(system.+state.+changed )|(\[timeout)|(PRM\|1\|D)|(kpr)|(kdp)|(\|lc)|(penalty))" /e /r /s</v>
      </c>
      <c r="AG216" s="1" t="str">
        <f t="shared" si="83"/>
        <v>Other</v>
      </c>
      <c r="AH216" s="86" t="str">
        <f t="shared" si="84"/>
        <v>"%USERPROFILE%\Documents\GitHub\eaglep3\Utilities\RefineRTDCRunTimes.py" --tripid 906-10 --locoid 4015 --swversion DE.1.0.8.0 --startMP 300:58632 --initTime 2017-02-10T19:06:32 --startdatetime 2017-02-10T19:08:57 --delay 1 --endMP 300:28793 --enddatetime 2017-02-10T19:24:18 --enforcementcount 0 &gt;&gt;C:\Users\stu\Documents\GitHub\eaglep3-reporting\EC\2017-02-10-refined-times.txt</v>
      </c>
      <c r="AI216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{"issue":{"subject":"","project_id":79,"tracker_id":40,"status_id":1,"priority_id":2,"assigned_to_id":23,"start_date":"2017-02-10","description":"","custom_fields":[{"id":1,"name":"Subdivision","value":"Other"},{"id":4,"name":"Milepost","value":"2.8793"},{"id":17,"name":"Train ID","value":"906-10"},{"id":16,"name":"Locomotive ID","value":"4015"},{"id":130,"name":"Impact","value":""},{"id":150,"name":"Time of Event (Mountain Time)","value":"19:24:18"},{"id":151,"name":"Denver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6"/>
        <v>start /low /b %USERPROFILE%\Documents\GitHub\eaglep3\Utilities\DownloadLogsFromS3.py --loco 4015 --day 2017-02-10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"%USERPROFILE%\AppData\Local\Temp\OnboardLogs"\RTDC4015\*4015*20170211* | grep -SE "(Enforcement Action)|(\[TIMEOUT)|(CHR.+\|PRM\|1\|D.+(SWITCH|SIGNAL).+UNKNOWN)" - &gt;&gt; 2017-02-10-UncaughtWiMAX.txt</v>
      </c>
    </row>
    <row r="217" spans="1:40" x14ac:dyDescent="0.25">
      <c r="A217" s="33" t="s">
        <v>747</v>
      </c>
      <c r="B217" s="7">
        <v>4032</v>
      </c>
      <c r="C217" s="21" t="s">
        <v>193</v>
      </c>
      <c r="D217" s="21" t="s">
        <v>893</v>
      </c>
      <c r="E217" s="13">
        <v>42776.942430555559</v>
      </c>
      <c r="F217" s="13">
        <v>42776.945486111108</v>
      </c>
      <c r="G217" s="7">
        <v>1</v>
      </c>
      <c r="H217" s="21" t="s">
        <v>894</v>
      </c>
      <c r="I217" s="13">
        <v>42776.950486111113</v>
      </c>
      <c r="J217" s="7">
        <v>0</v>
      </c>
      <c r="K217" s="98" t="str">
        <f t="shared" si="72"/>
        <v>4031/4032</v>
      </c>
      <c r="L217" s="21" t="str">
        <f>VLOOKUP(A217,'Trips&amp;Operators'!$C$1:$G$99999,5,FALSE)</f>
        <v>SMITH MICHAEL</v>
      </c>
      <c r="M217" s="6">
        <f t="shared" si="73"/>
        <v>5.0000000046566129E-3</v>
      </c>
      <c r="N217" s="7">
        <f t="shared" si="71"/>
        <v>7.2000000067055225</v>
      </c>
      <c r="O217" s="7"/>
      <c r="P217" s="7"/>
      <c r="Q217" s="22"/>
      <c r="R217" s="22"/>
      <c r="S217" s="31">
        <f t="shared" si="74"/>
        <v>0</v>
      </c>
      <c r="T217" s="46" t="str">
        <f t="shared" si="75"/>
        <v>Southbound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7" t="str">
        <f t="shared" si="76"/>
        <v>https://d0f6bd738d7f1b3e5a7ca70fe4ff75f0.us-east-1.aws.found.io/app/kibana#/discover/Steve-Slow-Train-Analysis-(2080s-and-2083s)?_g=(refreshInterval:(display:Off,pause:!f,section:0,value:0),time:(from:'2017-02-10T21:37:06-0700',mode:absolute,to:'2017-02-10T23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188" t="str">
        <f t="shared" si="87"/>
        <v>Y</v>
      </c>
      <c r="X217" s="188">
        <f t="shared" si="88"/>
        <v>2</v>
      </c>
      <c r="Y217" s="62">
        <f t="shared" si="77"/>
        <v>5.8605999999999998</v>
      </c>
      <c r="Z217" s="62">
        <f t="shared" si="78"/>
        <v>2.1574</v>
      </c>
      <c r="AA217" s="62">
        <f t="shared" si="79"/>
        <v>3.7031999999999998</v>
      </c>
      <c r="AB217" s="59" t="e">
        <f>VLOOKUP(A217,Enforcements!$C$7:$K$14,8,0)</f>
        <v>#N/A</v>
      </c>
      <c r="AC217" s="55" t="e">
        <f>VLOOKUP(A217,Enforcements!$C$7:$E$14,3,0)</f>
        <v>#N/A</v>
      </c>
      <c r="AD217" s="56" t="str">
        <f t="shared" si="80"/>
        <v>0908-10</v>
      </c>
      <c r="AE217" s="85" t="str">
        <f t="shared" si="81"/>
        <v>aws s3 cp s3://rtdc.mdm.uploadarchive.raw/RTDC4032/ "%USERPROFILE%\AppData\Local\Temp\OnboardLogs"\RTDC4032\2017-02-10 --exclude "*" --recursive --include "*20170210*" &amp; "%USERPROFILE%\Documents\GitHub\mrs-test-scripts\Headless Mode &amp; Sideloading\WalkAndUnGZ.bat" "%USERPROFILE%\AppData\Local\Temp\OnboardLogs"\RTDC4032\2017-02-10 &amp; aws s3 cp s3://rtdc.mdm.uploadarchive.raw/RTDC4032/ "%USERPROFILE%\AppData\Local\Temp\OnboardLogs"\RTDC4032\2017-02-11 --exclude "*" --recursive --include "*20170211*" &amp; "%USERPROFILE%\Documents\GitHub\mrs-test-scripts\Headless Mode &amp; Sideloading\WalkAndUnGZ.bat" "%USERPROFILE%\AppData\Local\Temp\OnboardLogs"\RTDC4032\2017-02-11</v>
      </c>
      <c r="AF217" s="82" t="str">
        <f t="shared" si="82"/>
        <v>"C:\Program Files (x86)\AstroGrep\AstroGrep.exe" /spath="%USERPROFILE%\AppData\Local\Temp\OnboardLogs" /stypes="app*4032*20170211*" /stext=" 05:.+((SYSTEM_STATE.+slice.+state.+changed )|(ment ac)|(multiple cpu faults)|(system.+state.+changed )|(\[timeout)|(PRM\|1\|D)|(kpr)|(kdp)|(\|lc)|(penalty))" /e /r /s</v>
      </c>
      <c r="AG217" s="1" t="str">
        <f t="shared" si="83"/>
        <v>Other</v>
      </c>
      <c r="AH217" s="86" t="str">
        <f t="shared" si="84"/>
        <v>"%USERPROFILE%\Documents\GitHub\eaglep3\Utilities\RefineRTDCRunTimes.py" --tripid 908-10 --locoid 4032 --swversion DE.1.0.8.0 --startMP 300:58606 --initTime 2017-02-10T22:37:06 --startdatetime 2017-02-10T22:41:30 --delay 1 --endMP 300:21574 --enddatetime 2017-02-10T22:48:42 --enforcementcount 0 &gt;&gt;C:\Users\stu\Documents\GitHub\eaglep3-reporting\EC\2017-02-10-refined-times.txt</v>
      </c>
      <c r="AI217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{"issue":{"subject":"","project_id":79,"tracker_id":40,"status_id":1,"priority_id":2,"assigned_to_id":23,"start_date":"2017-02-10","description":"","custom_fields":[{"id":1,"name":"Subdivision","value":"Other"},{"id":4,"name":"Milepost","value":"2.1574"},{"id":17,"name":"Train ID","value":"908-10"},{"id":16,"name":"Locomotive ID","value":"4032"},{"id":130,"name":"Impact","value":""},{"id":150,"name":"Time of Event (Mountain Time)","value":"22:48:42"},{"id":151,"name":"Denver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6"/>
        <v>start /low /b %USERPROFILE%\Documents\GitHub\eaglep3\Utilities\DownloadLogsFromS3.py --loco 4032 --day 2017-02-10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"%USERPROFILE%\AppData\Local\Temp\OnboardLogs"\RTDC4032\*4032*20170211* | grep -SE "(Enforcement Action)|(\[TIMEOUT)|(CHR.+\|PRM\|1\|D.+(SWITCH|SIGNAL).+UNKNOWN)" - &gt;&gt; 2017-02-10-UncaughtWiMAX.txt</v>
      </c>
    </row>
    <row r="218" spans="1:40" x14ac:dyDescent="0.25">
      <c r="A218" s="33" t="s">
        <v>703</v>
      </c>
      <c r="B218" s="7">
        <v>4020</v>
      </c>
      <c r="C218" s="21" t="s">
        <v>193</v>
      </c>
      <c r="D218" s="21" t="s">
        <v>516</v>
      </c>
      <c r="E218" s="13">
        <v>42776.720891203702</v>
      </c>
      <c r="F218" s="13">
        <v>42776.734803240739</v>
      </c>
      <c r="G218" s="7">
        <v>1</v>
      </c>
      <c r="H218" s="21" t="s">
        <v>839</v>
      </c>
      <c r="I218" s="13">
        <v>42776.74009259259</v>
      </c>
      <c r="J218" s="7">
        <v>0</v>
      </c>
      <c r="K218" s="98" t="str">
        <f t="shared" si="72"/>
        <v>4019/4020</v>
      </c>
      <c r="L218" s="21" t="str">
        <f>VLOOKUP(A218,'Trips&amp;Operators'!$C$1:$G$99999,5,FALSE)</f>
        <v>ARVIDSON DANIEL</v>
      </c>
      <c r="M218" s="6">
        <f t="shared" si="73"/>
        <v>5.2893518513883464E-3</v>
      </c>
      <c r="N218" s="7">
        <f t="shared" si="71"/>
        <v>7.6166666659992188</v>
      </c>
      <c r="O218" s="7"/>
      <c r="P218" s="7"/>
      <c r="Q218" s="22"/>
      <c r="R218" s="22"/>
      <c r="S218" s="31">
        <f t="shared" si="74"/>
        <v>0</v>
      </c>
      <c r="T218" s="46" t="e">
        <f t="shared" si="75"/>
        <v>#VALUE!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 t="shared" si="76"/>
        <v>https://d0f6bd738d7f1b3e5a7ca70fe4ff75f0.us-east-1.aws.found.io/app/kibana#/discover/Steve-Slow-Train-Analysis-(2080s-and-2083s)?_g=(refreshInterval:(display:Off,pause:!f,section:0,value:0),time:(from:'2017-02-10T16:18:05-0700',mode:absolute,to:'2017-02-10T18:45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188" t="str">
        <f t="shared" si="87"/>
        <v>Y</v>
      </c>
      <c r="X218" s="188" t="e">
        <f t="shared" si="88"/>
        <v>#VALUE!</v>
      </c>
      <c r="Y218" s="62">
        <f t="shared" si="77"/>
        <v>0.14810000000000001</v>
      </c>
      <c r="Z218" s="62">
        <f t="shared" si="78"/>
        <v>2.3121</v>
      </c>
      <c r="AA218" s="62">
        <f t="shared" si="79"/>
        <v>2.1640000000000001</v>
      </c>
      <c r="AB218" s="59" t="e">
        <f>VLOOKUP(A218,Enforcements!$C$7:$K$14,8,0)</f>
        <v>#N/A</v>
      </c>
      <c r="AC218" s="55" t="e">
        <f>VLOOKUP(A218,Enforcements!$C$7:$E$14,3,0)</f>
        <v>#N/A</v>
      </c>
      <c r="AD218" s="56" t="str">
        <f t="shared" si="80"/>
        <v>73-10</v>
      </c>
      <c r="AE218" s="85" t="str">
        <f t="shared" si="81"/>
        <v>aws s3 cp s3://rtdc.mdm.uploadarchive.raw/RTDC4020/ "%USERPROFILE%\AppData\Local\Temp\OnboardLogs"\RTDC4020\2017-02-10 --exclude "*" --recursive --include "*20170210*" &amp; "%USERPROFILE%\Documents\GitHub\mrs-test-scripts\Headless Mode &amp; Sideloading\WalkAndUnGZ.bat" "%USERPROFILE%\AppData\Local\Temp\OnboardLogs"\RTDC4020\2017-02-10 &amp; aws s3 cp s3://rtdc.mdm.uploadarchive.raw/RTDC4020/ "%USERPROFILE%\AppData\Local\Temp\OnboardLogs"\RTDC4020\2017-02-11 --exclude "*" --recursive --include "*20170211*" &amp; "%USERPROFILE%\Documents\GitHub\mrs-test-scripts\Headless Mode &amp; Sideloading\WalkAndUnGZ.bat" "%USERPROFILE%\AppData\Local\Temp\OnboardLogs"\RTDC4020\2017-02-11</v>
      </c>
      <c r="AF218" s="82" t="str">
        <f t="shared" si="82"/>
        <v>"C:\Program Files (x86)\AstroGrep\AstroGrep.exe" /spath="%USERPROFILE%\AppData\Local\Temp\OnboardLogs" /stypes="app*4020*20170211*" /stext=" 00:.+((SYSTEM_STATE.+slice.+state.+changed )|(ment ac)|(multiple cpu faults)|(system.+state.+changed )|(\[timeout)|(PRM\|1\|D)|(kpr)|(kdp)|(\|lc)|(penalty))" /e /r /s</v>
      </c>
      <c r="AG218" s="1" t="str">
        <f t="shared" si="83"/>
        <v>Other</v>
      </c>
      <c r="AH218" s="86" t="str">
        <f t="shared" si="84"/>
        <v>"%USERPROFILE%\Documents\GitHub\eaglep3\Utilities\RefineRTDCRunTimes.py" --tripid 73-10 --locoid 4020 --swversion DE.1.0.8.0 --startMP 204:1481 --initTime 2017-02-10T17:18:05 --startdatetime 2017-02-10T17:38:07 --delay 1 --endMP 300:23121 --enddatetime 2017-02-10T17:45:44 --enforcementcount 0 &gt;&gt;C:\Users\stu\Documents\GitHub\eaglep3-reporting\EC\2017-02-10-refined-times.txt</v>
      </c>
      <c r="AI218" s="108" t="str">
        <f t="shared" si="85"/>
        <v>echo {"issue":{"subject":"","project_id":79,"tracker_id":40,"status_id":1,"priority_id":2,"assigned_to_id":23,"start_date":"2017-02-10","description":"","custom_fields":[{"id":1,"name":"Subdivision","value":"Other"},{"id":4,"name":"Milepost","value":"2.3121"},{"id":17,"name":"Train ID","value":"73-10"},{"id":16,"name":"Locomotive ID","value":"4020"},{"id":130,"name":"Impact","value":""},{"id":150,"name":"Time of Event (Mountain Time)","value":"17:45:44"},{"id":151,"name":"Denver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6"/>
        <v>start /low /b %USERPROFILE%\Documents\GitHub\eaglep3\Utilities\DownloadLogsFromS3.py --loco 4020 --day 2017-02-10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"%USERPROFILE%\AppData\Local\Temp\OnboardLogs"\RTDC4020\*4020*20170211* | grep -SE "(Enforcement Action)|(\[TIMEOUT)|(CHR.+\|PRM\|1\|D.+(SWITCH|SIGNAL).+UNKNOWN)" - &gt;&gt; 2017-02-10-UncaughtWiMAX.txt</v>
      </c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</sheetData>
  <autoFilter ref="A12:AG229">
    <sortState ref="A13:AG229">
      <sortCondition ref="AG13:AG218"/>
      <sortCondition ref="AD13:AD218"/>
    </sortState>
  </autoFilter>
  <sortState ref="A13:AH200">
    <sortCondition ref="AG13:AG200"/>
    <sortCondition ref="AD13:AD200"/>
  </sortState>
  <mergeCells count="1">
    <mergeCell ref="A11:P11"/>
  </mergeCells>
  <conditionalFormatting sqref="W11:W12 W253:X1048576 W13:X218">
    <cfRule type="cellIs" dxfId="10" priority="356" operator="equal">
      <formula>"Y"</formula>
    </cfRule>
  </conditionalFormatting>
  <conditionalFormatting sqref="X253:X1048576 X13:X218">
    <cfRule type="cellIs" dxfId="9" priority="339" operator="greaterThan">
      <formula>1</formula>
    </cfRule>
  </conditionalFormatting>
  <conditionalFormatting sqref="X253:X1048576 X12:X218">
    <cfRule type="cellIs" dxfId="8" priority="336" operator="equal">
      <formula>0</formula>
    </cfRule>
  </conditionalFormatting>
  <conditionalFormatting sqref="A13:S218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8"/>
  <sheetViews>
    <sheetView tabSelected="1" topLeftCell="A2" zoomScaleNormal="100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COUNTIF($O$7:$O$317,"=Y")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COUNTA($O$7:$O$317)-O2</f>
        <v>25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- 2017-02-10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197</v>
      </c>
      <c r="AE6" s="155" t="s">
        <v>211</v>
      </c>
    </row>
    <row r="7" spans="1:32" s="1" customFormat="1" x14ac:dyDescent="0.25">
      <c r="A7" s="32">
        <v>42776.935891203706</v>
      </c>
      <c r="B7" s="30" t="s">
        <v>333</v>
      </c>
      <c r="C7" s="30" t="s">
        <v>557</v>
      </c>
      <c r="D7" s="30" t="s">
        <v>98</v>
      </c>
      <c r="E7" s="30" t="s">
        <v>199</v>
      </c>
      <c r="F7" s="43">
        <v>150</v>
      </c>
      <c r="G7" s="43">
        <v>202</v>
      </c>
      <c r="H7" s="43">
        <v>27039</v>
      </c>
      <c r="I7" s="43">
        <v>26579</v>
      </c>
      <c r="J7" s="30" t="s">
        <v>200</v>
      </c>
      <c r="K7" s="43">
        <v>27350</v>
      </c>
      <c r="L7" s="143" t="s">
        <v>51</v>
      </c>
      <c r="M7" s="144">
        <f t="shared" ref="M7:M32" si="0">CONVERT((I7-K7)/10000,"mi","ft")*IF(L7="Increasing Mileposts (1)",-1,1)</f>
        <v>-407.08800000000002</v>
      </c>
      <c r="N7" s="145" t="str">
        <f>VLOOKUP(C7,'Trips&amp;Operators'!$C$1:$G$99999,5,FALSE)</f>
        <v>BROWN JACOB</v>
      </c>
      <c r="O7" s="194" t="s">
        <v>185</v>
      </c>
      <c r="P7" s="146" t="s">
        <v>356</v>
      </c>
      <c r="Q7" s="30"/>
      <c r="R7" s="89" t="str">
        <f>VLOOKUP(C7,'Train Runs'!$A$13:$AE$9957,31,0)</f>
        <v>aws s3 cp s3://rtdc.mdm.uploadarchive.raw/RTDC4037/ "%USERPROFILE%\AppData\Local\Temp\OnboardLogs"\RTDC4037\2017-02-10 --exclude "*" --recursive --include "*20170210*" &amp; "%USERPROFILE%\Documents\GitHub\mrs-test-scripts\Headless Mode &amp; Sideloading\WalkAndUnGZ.bat" "%USERPROFILE%\AppData\Local\Temp\OnboardLogs"\RTDC4037\2017-02-10 &amp; aws s3 cp s3://rtdc.mdm.uploadarchive.raw/RTDC4037/ "%USERPROFILE%\AppData\Local\Temp\OnboardLogs"\RTDC4037\2017-02-11 --exclude "*" --recursive --include "*20170211*" &amp; "%USERPROFILE%\Documents\GitHub\mrs-test-scripts\Headless Mode &amp; Sideloading\WalkAndUnGZ.bat" "%USERPROFILE%\AppData\Local\Temp\OnboardLogs"\RTDC4037\2017-02-11</v>
      </c>
      <c r="S7" s="92" t="str">
        <f>VLOOKUP(C7,'Train Runs'!$A$13:$AE$9957,22,0)</f>
        <v>https://d0f6bd738d7f1b3e5a7ca70fe4ff75f0.us-east-1.aws.found.io/app/kibana#/discover/Steve-Slow-Train-Analysis-(2080s-and-2083s)?_g=(refreshInterval:(display:Off,pause:!f,section:0,value:0),time:(from:'2017-02-10T20:46:02-0700',mode:absolute,to:'2017-02-10T23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7" s="94" t="str">
        <f t="shared" ref="T7:T3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/stypes="*4037*201702110*" /stext=" 05:.+((SYSTEM_STATE.+slice.+state.+changed )|(ment ac)|(multiple cpu faults)|(system.+state.+changed )|(\[timeout)|(PRM\|1\|D)|(kpr)|(kdp)|(\|lc)|(penalty))" /e /r /s</v>
      </c>
      <c r="U7" s="9" t="str">
        <f t="shared" ref="U7:U32" si="2">MID(B7,13,4)</f>
        <v>4037</v>
      </c>
      <c r="V7" s="32">
        <f t="shared" ref="V7:V32" si="3">A7-utc_offset/24</f>
        <v>42777.22755787037</v>
      </c>
      <c r="W7" s="46" t="str">
        <f t="shared" ref="W7:W3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2" si="5">IF(AND(E7="TRACK WARRANT AUTHORITY",G7&lt;10),"OMIT","KEEP")</f>
        <v>KEEP</v>
      </c>
      <c r="Y7" s="108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arrival","project_id":79,"tracker_id":40,"status_id":1,"priority_id":2,"assigned_to_id":23,"start_date":"2017-02-10","description":"","custom_fields":[{"id":1,"name":"Subdivision","value":"EC"},{"id":4,"name":"Milepost","value":"2.735"},{"id":17,"name":"Train ID","value":"230-10"},{"id":16,"name":"Locomotive ID","value":"4037"},{"id":130,"name":"Impact","value":""},{"id":150,"name":"Time of Event (Mountain Time)","value":"22:27:41"},{"id":151,"name":"Denver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"%USERPROFILE%\AppData\Local\Temp\OnboardLogs"\RTDC4037\*4037*201702110*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"%USERPROFILE%\AppData\Local\Temp\OnboardLogs"\RTDC4037\*4037*201702110* &gt;&gt; 2017-02-10-SliceDisagreementCheck.txt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4037 --day 2017-02-11</v>
      </c>
    </row>
    <row r="8" spans="1:32" s="1" customFormat="1" x14ac:dyDescent="0.25">
      <c r="A8" s="32">
        <v>42776.591134259259</v>
      </c>
      <c r="B8" s="30" t="s">
        <v>335</v>
      </c>
      <c r="C8" s="30" t="s">
        <v>548</v>
      </c>
      <c r="D8" s="30" t="s">
        <v>49</v>
      </c>
      <c r="E8" s="30" t="s">
        <v>199</v>
      </c>
      <c r="F8" s="43">
        <v>0</v>
      </c>
      <c r="G8" s="43">
        <v>196</v>
      </c>
      <c r="H8" s="43">
        <v>33333</v>
      </c>
      <c r="I8" s="43">
        <v>33073</v>
      </c>
      <c r="J8" s="30" t="s">
        <v>200</v>
      </c>
      <c r="K8" s="43">
        <v>33257</v>
      </c>
      <c r="L8" s="143" t="s">
        <v>51</v>
      </c>
      <c r="M8" s="144">
        <f t="shared" si="0"/>
        <v>-97.152000000000001</v>
      </c>
      <c r="N8" s="145" t="str">
        <f>VLOOKUP(C8,'Trips&amp;Operators'!$C$1:$G$99999,5,FALSE)</f>
        <v>STEWART MICHAEL</v>
      </c>
      <c r="O8" s="194" t="s">
        <v>185</v>
      </c>
      <c r="P8" s="146" t="s">
        <v>356</v>
      </c>
      <c r="Q8" s="30"/>
      <c r="R8" s="89" t="str">
        <f>VLOOKUP(C8,'Train Runs'!$A$13:$AE$9957,31,0)</f>
        <v>aws s3 cp s3://rtdc.mdm.uploadarchive.raw/RTDC4039/ "%USERPROFILE%\AppData\Local\Temp\OnboardLogs"\RTDC4039\2017-02-10 --exclude "*" --recursive --include "*20170210*" &amp; "%USERPROFILE%\Documents\GitHub\mrs-test-scripts\Headless Mode &amp; Sideloading\WalkAndUnGZ.bat" "%USERPROFILE%\AppData\Local\Temp\OnboardLogs"\RTDC4039\2017-02-10 &amp; aws s3 cp s3://rtdc.mdm.uploadarchive.raw/RTDC4039/ "%USERPROFILE%\AppData\Local\Temp\OnboardLogs"\RTDC4039\2017-02-11 --exclude "*" --recursive --include "*20170211*" &amp; "%USERPROFILE%\Documents\GitHub\mrs-test-scripts\Headless Mode &amp; Sideloading\WalkAndUnGZ.bat" "%USERPROFILE%\AppData\Local\Temp\OnboardLogs"\RTDC4039\2017-02-11</v>
      </c>
      <c r="S8" s="92" t="str">
        <f>VLOOKUP(C8,'Train Runs'!$A$13:$AE$9957,22,0)</f>
        <v>https://d0f6bd738d7f1b3e5a7ca70fe4ff75f0.us-east-1.aws.found.io/app/kibana#/discover/Steve-Slow-Train-Analysis-(2080s-and-2083s)?_g=(refreshInterval:(display:Off,pause:!f,section:0,value:0),time:(from:'2017-02-10T12:33:28-0700',mode:absolute,to:'2017-02-10T15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94" t="str">
        <f t="shared" si="1"/>
        <v>"C:\Program Files (x86)\AstroGrep\AstroGrep.exe" /spath="%USERPROFILE%\AppData\Local\Temp\OnboardLogs" /stypes="*4039*201702102*" /stext=" 21:.+((SYSTEM_STATE.+slice.+state.+changed )|(ment ac)|(multiple cpu faults)|(system.+state.+changed )|(\[timeout)|(PRM\|1\|D)|(kpr)|(kdp)|(\|lc)|(penalty))" /e /r /s</v>
      </c>
      <c r="U8" s="9" t="str">
        <f t="shared" si="2"/>
        <v>4039</v>
      </c>
      <c r="V8" s="32">
        <f t="shared" si="3"/>
        <v>42776.882800925923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arrival","project_id":79,"tracker_id":40,"status_id":1,"priority_id":2,"assigned_to_id":23,"start_date":"2017-02-10","description":"","custom_fields":[{"id":1,"name":"Subdivision","value":"EC"},{"id":4,"name":"Milepost","value":"3.3257"},{"id":17,"name":"Train ID","value":"174-10"},{"id":16,"name":"Locomotive ID","value":"4039"},{"id":130,"name":"Impact","value":""},{"id":150,"name":"Time of Event (Mountain Time)","value":"14:11:14"},{"id":151,"name":"Denver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"%USERPROFILE%\AppData\Local\Temp\OnboardLogs"\RTDC4039\*4039*201702102*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"%USERPROFILE%\AppData\Local\Temp\OnboardLogs"\RTDC4039\*4039*201702102* &gt;&gt; 2017-02-10-SliceDisagreementCheck.txt</v>
      </c>
      <c r="AE8" s="157" t="str">
        <f t="shared" ref="AE8:AE32" si="9">"start /low /b "&amp;dls3logs&amp;" --loco "&amp;U8&amp;" --day "&amp;TEXT(V8,"YYYY-MM-DD")</f>
        <v>start /low /b %USERPROFILE%\Documents\GitHub\eaglep3\Utilities\DownloadLogsFromS3.py --loco 4039 --day 2017-02-10</v>
      </c>
    </row>
    <row r="9" spans="1:32" s="1" customFormat="1" x14ac:dyDescent="0.25">
      <c r="A9" s="32">
        <v>42776.871655092589</v>
      </c>
      <c r="B9" s="30" t="s">
        <v>451</v>
      </c>
      <c r="C9" s="30" t="s">
        <v>556</v>
      </c>
      <c r="D9" s="30" t="s">
        <v>49</v>
      </c>
      <c r="E9" s="30" t="s">
        <v>199</v>
      </c>
      <c r="F9" s="43">
        <v>150</v>
      </c>
      <c r="G9" s="43">
        <v>260</v>
      </c>
      <c r="H9" s="43">
        <v>33824</v>
      </c>
      <c r="I9" s="43">
        <v>33337</v>
      </c>
      <c r="J9" s="30" t="s">
        <v>200</v>
      </c>
      <c r="K9" s="43">
        <v>33257</v>
      </c>
      <c r="L9" s="143" t="s">
        <v>51</v>
      </c>
      <c r="M9" s="144">
        <f t="shared" si="0"/>
        <v>42.24</v>
      </c>
      <c r="N9" s="145" t="str">
        <f>VLOOKUP(C9,'Trips&amp;Operators'!$C$1:$G$99999,5,FALSE)</f>
        <v>STORY SAMANTHA</v>
      </c>
      <c r="O9" s="194" t="s">
        <v>185</v>
      </c>
      <c r="P9" s="146" t="s">
        <v>356</v>
      </c>
      <c r="Q9" s="30"/>
      <c r="R9" s="89" t="str">
        <f>VLOOKUP(C9,'Train Runs'!$A$13:$AE$9957,31,0)</f>
        <v>aws s3 cp s3://rtdc.mdm.uploadarchive.raw/RTDC4010/ "%USERPROFILE%\AppData\Local\Temp\OnboardLogs"\RTDC4010\2017-02-10 --exclude "*" --recursive --include "*20170210*" &amp; "%USERPROFILE%\Documents\GitHub\mrs-test-scripts\Headless Mode &amp; Sideloading\WalkAndUnGZ.bat" "%USERPROFILE%\AppData\Local\Temp\OnboardLogs"\RTDC4010\2017-02-10 &amp; aws s3 cp s3://rtdc.mdm.uploadarchive.raw/RTDC4010/ "%USERPROFILE%\AppData\Local\Temp\OnboardLogs"\RTDC4010\2017-02-11 --exclude "*" --recursive --include "*20170211*" &amp; "%USERPROFILE%\Documents\GitHub\mrs-test-scripts\Headless Mode &amp; Sideloading\WalkAndUnGZ.bat" "%USERPROFILE%\AppData\Local\Temp\OnboardLogs"\RTDC4010\2017-02-11</v>
      </c>
      <c r="S9" s="92" t="str">
        <f>VLOOKUP(C9,'Train Runs'!$A$13:$AE$9957,22,0)</f>
        <v>https://d0f6bd738d7f1b3e5a7ca70fe4ff75f0.us-east-1.aws.found.io/app/kibana#/discover/Steve-Slow-Train-Analysis-(2080s-and-2083s)?_g=(refreshInterval:(display:Off,pause:!f,section:0,value:0),time:(from:'2017-02-10T19:17:48-0700',mode:absolute,to:'2017-02-10T22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9" s="94" t="str">
        <f t="shared" si="1"/>
        <v>"C:\Program Files (x86)\AstroGrep\AstroGrep.exe" /spath="%USERPROFILE%\AppData\Local\Temp\OnboardLogs" /stypes="*4010*201702110*" /stext=" 03:.+((SYSTEM_STATE.+slice.+state.+changed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2">
        <f t="shared" si="3"/>
        <v>42777.163321759253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arrival","project_id":79,"tracker_id":40,"status_id":1,"priority_id":2,"assigned_to_id":23,"start_date":"2017-02-10","description":"","custom_fields":[{"id":1,"name":"Subdivision","value":"EC"},{"id":4,"name":"Milepost","value":"3.3257"},{"id":17,"name":"Train ID","value":"224-10"},{"id":16,"name":"Locomotive ID","value":"4010"},{"id":130,"name":"Impact","value":""},{"id":150,"name":"Time of Event (Mountain Time)","value":"20:55:11"},{"id":151,"name":"Denver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"%USERPROFILE%\AppData\Local\Temp\OnboardLogs"\RTDC4010\*4010*201702110*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"%USERPROFILE%\AppData\Local\Temp\OnboardLogs"\RTDC4010\*4010*201702110* &gt;&gt; 2017-02-10-SliceDisagreementCheck.txt</v>
      </c>
      <c r="AE9" s="157" t="str">
        <f t="shared" si="9"/>
        <v>start /low /b %USERPROFILE%\Documents\GitHub\eaglep3\Utilities\DownloadLogsFromS3.py --loco 4010 --day 2017-02-11</v>
      </c>
    </row>
    <row r="10" spans="1:32" s="1" customFormat="1" x14ac:dyDescent="0.25">
      <c r="A10" s="32">
        <v>42776.817569444444</v>
      </c>
      <c r="B10" s="30" t="s">
        <v>446</v>
      </c>
      <c r="C10" s="30" t="s">
        <v>555</v>
      </c>
      <c r="D10" s="30" t="s">
        <v>49</v>
      </c>
      <c r="E10" s="30" t="s">
        <v>199</v>
      </c>
      <c r="F10" s="43">
        <v>0</v>
      </c>
      <c r="G10" s="43">
        <v>616</v>
      </c>
      <c r="H10" s="43">
        <v>48588</v>
      </c>
      <c r="I10" s="43">
        <v>46094</v>
      </c>
      <c r="J10" s="30" t="s">
        <v>200</v>
      </c>
      <c r="K10" s="43">
        <v>48048</v>
      </c>
      <c r="L10" s="143" t="s">
        <v>51</v>
      </c>
      <c r="M10" s="144">
        <f t="shared" si="0"/>
        <v>-1031.712</v>
      </c>
      <c r="N10" s="145" t="str">
        <f>VLOOKUP(C10,'Trips&amp;Operators'!$C$1:$G$99999,5,FALSE)</f>
        <v>WHITED DUSTIN</v>
      </c>
      <c r="O10" s="194" t="s">
        <v>185</v>
      </c>
      <c r="P10" s="146" t="s">
        <v>356</v>
      </c>
      <c r="Q10" s="30"/>
      <c r="R10" s="89" t="str">
        <f>VLOOKUP(C10,'Train Runs'!$A$13:$AE$9957,31,0)</f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S10" s="92" t="str">
        <f>VLOOKUP(C10,'Train Runs'!$A$13:$AE$9957,22,0)</f>
        <v>https://d0f6bd738d7f1b3e5a7ca70fe4ff75f0.us-east-1.aws.found.io/app/kibana#/discover/Steve-Slow-Train-Analysis-(2080s-and-2083s)?_g=(refreshInterval:(display:Off,pause:!f,section:0,value:0),time:(from:'2017-02-10T18:04:35-0700',mode:absolute,to:'2017-02-10T20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94" t="str">
        <f t="shared" si="1"/>
        <v>"C:\Program Files (x86)\AstroGrep\AstroGrep.exe" /spath="%USERPROFILE%\AppData\Local\Temp\OnboardLogs" /stypes="*4017*201702110*" /stext=" 02:.+((SYSTEM_STATE.+slice.+state.+changed )|(ment ac)|(multiple cpu faults)|(system.+state.+changed )|(\[timeout)|(PRM\|1\|D)|(kpr)|(kdp)|(\|lc)|(penalty))" /e /r /s</v>
      </c>
      <c r="U10" s="9" t="str">
        <f t="shared" si="2"/>
        <v>4017</v>
      </c>
      <c r="V10" s="32">
        <f t="shared" si="3"/>
        <v>42777.109236111108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arrival","project_id":79,"tracker_id":40,"status_id":1,"priority_id":2,"assigned_to_id":23,"start_date":"2017-02-10","description":"","custom_fields":[{"id":1,"name":"Subdivision","value":"EC"},{"id":4,"name":"Milepost","value":"4.8048"},{"id":17,"name":"Train ID","value":"218-10"},{"id":16,"name":"Locomotive ID","value":"4017"},{"id":130,"name":"Impact","value":""},{"id":150,"name":"Time of Event (Mountain Time)","value":"19:37:18"},{"id":151,"name":"Denver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"%USERPROFILE%\AppData\Local\Temp\OnboardLogs"\RTDC4017\*4017*201702110*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"%USERPROFILE%\AppData\Local\Temp\OnboardLogs"\RTDC4017\*4017*201702110* &gt;&gt; 2017-02-10-SliceDisagreementCheck.txt</v>
      </c>
      <c r="AE10" s="157" t="str">
        <f t="shared" si="9"/>
        <v>start /low /b %USERPROFILE%\Documents\GitHub\eaglep3\Utilities\DownloadLogsFromS3.py --loco 4017 --day 2017-02-11</v>
      </c>
    </row>
    <row r="11" spans="1:32" s="1" customFormat="1" x14ac:dyDescent="0.25">
      <c r="A11" s="32">
        <v>42776.451145833336</v>
      </c>
      <c r="B11" s="30" t="s">
        <v>446</v>
      </c>
      <c r="C11" s="30" t="s">
        <v>544</v>
      </c>
      <c r="D11" s="30" t="s">
        <v>98</v>
      </c>
      <c r="E11" s="30" t="s">
        <v>199</v>
      </c>
      <c r="F11" s="43">
        <v>0</v>
      </c>
      <c r="G11" s="43">
        <v>430</v>
      </c>
      <c r="H11" s="43">
        <v>53272</v>
      </c>
      <c r="I11" s="43">
        <v>52080</v>
      </c>
      <c r="J11" s="30" t="s">
        <v>200</v>
      </c>
      <c r="K11" s="43">
        <v>53277</v>
      </c>
      <c r="L11" s="143" t="s">
        <v>51</v>
      </c>
      <c r="M11" s="144">
        <f t="shared" si="0"/>
        <v>-632.01599999999996</v>
      </c>
      <c r="N11" s="145" t="str">
        <f>VLOOKUP(C11,'Trips&amp;Operators'!$C$1:$G$99999,5,FALSE)</f>
        <v>DAVIS WENDY</v>
      </c>
      <c r="O11" s="194" t="s">
        <v>185</v>
      </c>
      <c r="P11" s="146" t="s">
        <v>356</v>
      </c>
      <c r="Q11" s="30"/>
      <c r="R11" s="89" t="str">
        <f>VLOOKUP(C11,'Train Runs'!$A$13:$AE$9957,31,0)</f>
        <v>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 &amp; aws s3 cp s3://rtdc.mdm.uploadarchive.raw/RTDC4017/ "%USERPROFILE%\AppData\Local\Temp\OnboardLogs"\RTDC4017\2017-02-11 --exclude "*" --recursive --include "*20170211*" &amp; "%USERPROFILE%\Documents\GitHub\mrs-test-scripts\Headless Mode &amp; Sideloading\WalkAndUnGZ.bat" "%USERPROFILE%\AppData\Local\Temp\OnboardLogs"\RTDC4017\2017-02-11</v>
      </c>
      <c r="S11" s="92" t="str">
        <f>VLOOKUP(C11,'Train Runs'!$A$13:$AE$9957,22,0)</f>
        <v>https://d0f6bd738d7f1b3e5a7ca70fe4ff75f0.us-east-1.aws.found.io/app/kibana#/discover/Steve-Slow-Train-Analysis-(2080s-and-2083s)?_g=(refreshInterval:(display:Off,pause:!f,section:0,value:0),time:(from:'2017-02-10T09:08:15-0700',mode:absolute,to:'2017-02-10T12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94" t="str">
        <f t="shared" si="1"/>
        <v>"C:\Program Files (x86)\AstroGrep\AstroGrep.exe" /spath="%USERPROFILE%\AppData\Local\Temp\OnboardLogs" /stypes="*4017*201702101*" /stext=" 17:.+((SYSTEM_STATE.+slice.+state.+changed )|(ment ac)|(multiple cpu faults)|(system.+state.+changed )|(\[timeout)|(PRM\|1\|D)|(kpr)|(kdp)|(\|lc)|(penalty))" /e /r /s</v>
      </c>
      <c r="U11" s="9" t="str">
        <f t="shared" si="2"/>
        <v>4017</v>
      </c>
      <c r="V11" s="32">
        <f t="shared" si="3"/>
        <v>42776.742812500001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arrival","project_id":79,"tracker_id":40,"status_id":1,"priority_id":2,"assigned_to_id":23,"start_date":"2017-02-10","description":"","custom_fields":[{"id":1,"name":"Subdivision","value":"EC"},{"id":4,"name":"Milepost","value":"5.3277"},{"id":17,"name":"Train ID","value":"146-10"},{"id":16,"name":"Locomotive ID","value":"4017"},{"id":130,"name":"Impact","value":""},{"id":150,"name":"Time of Event (Mountain Time)","value":"10:49:39"},{"id":151,"name":"Denver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"%USERPROFILE%\AppData\Local\Temp\OnboardLogs"\RTDC4017\*4017*201702101*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"%USERPROFILE%\AppData\Local\Temp\OnboardLogs"\RTDC4017\*4017*201702101* &gt;&gt; 2017-02-10-SliceDisagreementCheck.txt</v>
      </c>
      <c r="AE11" s="157" t="str">
        <f t="shared" si="9"/>
        <v>start /low /b %USERPROFILE%\Documents\GitHub\eaglep3\Utilities\DownloadLogsFromS3.py --loco 4017 --day 2017-02-10</v>
      </c>
    </row>
    <row r="12" spans="1:32" s="1" customFormat="1" x14ac:dyDescent="0.25">
      <c r="A12" s="32">
        <v>42776.457129629627</v>
      </c>
      <c r="B12" s="30" t="s">
        <v>444</v>
      </c>
      <c r="C12" s="30" t="s">
        <v>545</v>
      </c>
      <c r="D12" s="30" t="s">
        <v>49</v>
      </c>
      <c r="E12" s="30" t="s">
        <v>199</v>
      </c>
      <c r="F12" s="43">
        <v>160</v>
      </c>
      <c r="G12" s="43">
        <v>213</v>
      </c>
      <c r="H12" s="43">
        <v>63798</v>
      </c>
      <c r="I12" s="43">
        <v>63434</v>
      </c>
      <c r="J12" s="30" t="s">
        <v>200</v>
      </c>
      <c r="K12" s="43">
        <v>63309</v>
      </c>
      <c r="L12" s="143" t="s">
        <v>51</v>
      </c>
      <c r="M12" s="144">
        <f t="shared" si="0"/>
        <v>66</v>
      </c>
      <c r="N12" s="145" t="str">
        <f>VLOOKUP(C12,'Trips&amp;Operators'!$C$1:$G$99999,5,FALSE)</f>
        <v>ROBINSON KADDIBA</v>
      </c>
      <c r="O12" s="194" t="s">
        <v>185</v>
      </c>
      <c r="P12" s="146" t="s">
        <v>356</v>
      </c>
      <c r="Q12" s="30"/>
      <c r="R12" s="89" t="str">
        <f>VLOOKUP(C12,'Train Runs'!$A$13:$AE$9957,31,0)</f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S12" s="92" t="str">
        <f>VLOOKUP(C12,'Train Runs'!$A$13:$AE$9957,22,0)</f>
        <v>https://d0f6bd738d7f1b3e5a7ca70fe4ff75f0.us-east-1.aws.found.io/app/kibana#/discover/Steve-Slow-Train-Analysis-(2080s-and-2083s)?_g=(refreshInterval:(display:Off,pause:!f,section:0,value:0),time:(from:'2017-02-10T09:22:22-0700',mode:absolute,to:'2017-02-10T12:14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2" s="94" t="str">
        <f t="shared" si="1"/>
        <v>"C:\Program Files (x86)\AstroGrep\AstroGrep.exe" /spath="%USERPROFILE%\AppData\Local\Temp\OnboardLogs" /stypes="*4008*201702101*" /stext=" 17:.+((SYSTEM_STATE.+slice.+state.+changed )|(ment ac)|(multiple cpu faults)|(system.+state.+changed )|(\[timeout)|(PRM\|1\|D)|(kpr)|(kdp)|(\|lc)|(penalty))" /e /r /s</v>
      </c>
      <c r="U12" s="9" t="str">
        <f t="shared" si="2"/>
        <v>4008</v>
      </c>
      <c r="V12" s="32">
        <f t="shared" si="3"/>
        <v>42776.748796296291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arrival","project_id":79,"tracker_id":40,"status_id":1,"priority_id":2,"assigned_to_id":23,"start_date":"2017-02-10","description":"","custom_fields":[{"id":1,"name":"Subdivision","value":"EC"},{"id":4,"name":"Milepost","value":"6.3309"},{"id":17,"name":"Train ID","value":"148-10"},{"id":16,"name":"Locomotive ID","value":"4008"},{"id":130,"name":"Impact","value":""},{"id":150,"name":"Time of Event (Mountain Time)","value":"10:58:16"},{"id":151,"name":"Denver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"%USERPROFILE%\AppData\Local\Temp\OnboardLogs"\RTDC4008\*4008*201702101*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"%USERPROFILE%\AppData\Local\Temp\OnboardLogs"\RTDC4008\*4008*201702101* &gt;&gt; 2017-02-10-SliceDisagreementCheck.txt</v>
      </c>
      <c r="AE12" s="157" t="str">
        <f t="shared" si="9"/>
        <v>start /low /b %USERPROFILE%\Documents\GitHub\eaglep3\Utilities\DownloadLogsFromS3.py --loco 4008 --day 2017-02-10</v>
      </c>
    </row>
    <row r="13" spans="1:32" s="1" customFormat="1" x14ac:dyDescent="0.25">
      <c r="A13" s="32">
        <v>42776.463043981479</v>
      </c>
      <c r="B13" s="30" t="s">
        <v>444</v>
      </c>
      <c r="C13" s="30" t="s">
        <v>545</v>
      </c>
      <c r="D13" s="30" t="s">
        <v>49</v>
      </c>
      <c r="E13" s="30" t="s">
        <v>215</v>
      </c>
      <c r="F13" s="43">
        <v>300</v>
      </c>
      <c r="G13" s="43">
        <v>374</v>
      </c>
      <c r="H13" s="43">
        <v>22937</v>
      </c>
      <c r="I13" s="43">
        <v>21909</v>
      </c>
      <c r="J13" s="30" t="s">
        <v>216</v>
      </c>
      <c r="K13" s="43">
        <v>21848</v>
      </c>
      <c r="L13" s="143" t="s">
        <v>51</v>
      </c>
      <c r="M13" s="144">
        <f t="shared" si="0"/>
        <v>32.207999999999998</v>
      </c>
      <c r="N13" s="145" t="str">
        <f>VLOOKUP(C13,'Trips&amp;Operators'!$C$1:$G$99999,5,FALSE)</f>
        <v>ROBINSON KADDIBA</v>
      </c>
      <c r="O13" s="194" t="s">
        <v>185</v>
      </c>
      <c r="P13" s="146"/>
      <c r="Q13" s="30"/>
      <c r="R13" s="89" t="str">
        <f>VLOOKUP(C13,'Train Runs'!$A$13:$AE$9957,31,0)</f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S13" s="92" t="str">
        <f>VLOOKUP(C13,'Train Runs'!$A$13:$AE$9957,22,0)</f>
        <v>https://d0f6bd738d7f1b3e5a7ca70fe4ff75f0.us-east-1.aws.found.io/app/kibana#/discover/Steve-Slow-Train-Analysis-(2080s-and-2083s)?_g=(refreshInterval:(display:Off,pause:!f,section:0,value:0),time:(from:'2017-02-10T09:22:22-0700',mode:absolute,to:'2017-02-10T12:14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3" s="94" t="str">
        <f t="shared" si="1"/>
        <v>"C:\Program Files (x86)\AstroGrep\AstroGrep.exe" /spath="%USERPROFILE%\AppData\Local\Temp\OnboardLogs" /stypes="*4008*201702101*" /stext=" 18:.+((SYSTEM_STATE.+slice.+state.+changed )|(ment ac)|(multiple cpu faults)|(system.+state.+changed )|(\[timeout)|(PRM\|1\|D)|(kpr)|(kdp)|(\|lc)|(penalty))" /e /r /s</v>
      </c>
      <c r="U13" s="9" t="str">
        <f t="shared" si="2"/>
        <v>4008</v>
      </c>
      <c r="V13" s="32">
        <f t="shared" si="3"/>
        <v>42776.754710648143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{"issue":{"subject":"","project_id":79,"tracker_id":40,"status_id":1,"priority_id":2,"assigned_to_id":23,"start_date":"2017-02-10","description":"","custom_fields":[{"id":1,"name":"Subdivision","value":"EC"},{"id":4,"name":"Milepost","value":"2.1848"},{"id":17,"name":"Train ID","value":"148-10"},{"id":16,"name":"Locomotive ID","value":"4008"},{"id":130,"name":"Impact","value":""},{"id":150,"name":"Time of Event (Mountain Time)","value":"11:06:47"},{"id":151,"name":"Denver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"%USERPROFILE%\AppData\Local\Temp\OnboardLogs"\RTDC4008\*4008*201702101*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"%USERPROFILE%\AppData\Local\Temp\OnboardLogs"\RTDC4008\*4008*201702101* &gt;&gt; 2017-02-10-SliceDisagreementCheck.txt</v>
      </c>
      <c r="AE13" s="157" t="str">
        <f t="shared" si="9"/>
        <v>start /low /b %USERPROFILE%\Documents\GitHub\eaglep3\Utilities\DownloadLogsFromS3.py --loco 4008 --day 2017-02-10</v>
      </c>
    </row>
    <row r="14" spans="1:32" s="1" customFormat="1" x14ac:dyDescent="0.25">
      <c r="A14" s="32">
        <v>42776.628668981481</v>
      </c>
      <c r="B14" s="30" t="s">
        <v>445</v>
      </c>
      <c r="C14" s="30" t="s">
        <v>550</v>
      </c>
      <c r="D14" s="30" t="s">
        <v>49</v>
      </c>
      <c r="E14" s="30" t="s">
        <v>215</v>
      </c>
      <c r="F14" s="43">
        <v>400</v>
      </c>
      <c r="G14" s="43">
        <v>514</v>
      </c>
      <c r="H14" s="43">
        <v>115628</v>
      </c>
      <c r="I14" s="43">
        <v>117190</v>
      </c>
      <c r="J14" s="30" t="s">
        <v>216</v>
      </c>
      <c r="K14" s="43">
        <v>116838</v>
      </c>
      <c r="L14" s="143" t="s">
        <v>50</v>
      </c>
      <c r="M14" s="144">
        <f t="shared" si="0"/>
        <v>-185.85599999999999</v>
      </c>
      <c r="N14" s="145" t="str">
        <f>VLOOKUP(C14,'Trips&amp;Operators'!$C$1:$G$99999,5,FALSE)</f>
        <v>ROMERO CHAD</v>
      </c>
      <c r="O14" s="194" t="s">
        <v>185</v>
      </c>
      <c r="P14" s="146"/>
      <c r="Q14" s="30"/>
      <c r="R14" s="89" t="str">
        <f>VLOOKUP(C14,'Train Runs'!$A$13:$AE$9957,31,0)</f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S14" s="92" t="str">
        <f>VLOOKUP(C14,'Train Runs'!$A$13:$AE$9957,22,0)</f>
        <v>https://d0f6bd738d7f1b3e5a7ca70fe4ff75f0.us-east-1.aws.found.io/app/kibana#/discover/Steve-Slow-Train-Analysis-(2080s-and-2083s)?_g=(refreshInterval:(display:Off,pause:!f,section:0,value:0),time:(from:'2017-02-10T13:36:58-0700',mode:absolute,to:'2017-02-10T16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4" s="94" t="str">
        <f t="shared" si="1"/>
        <v>"C:\Program Files (x86)\AstroGrep\AstroGrep.exe" /spath="%USERPROFILE%\AppData\Local\Temp\OnboardLogs" /stypes="*4018*201702102*" /stext=" 22:.+((SYSTEM_STATE.+slice.+state.+changed )|(ment ac)|(multiple cpu faults)|(system.+state.+changed )|(\[timeout)|(PRM\|1\|D)|(kpr)|(kdp)|(\|lc)|(penalty))" /e /r /s</v>
      </c>
      <c r="U14" s="9" t="str">
        <f t="shared" si="2"/>
        <v>4018</v>
      </c>
      <c r="V14" s="32">
        <f t="shared" si="3"/>
        <v>42776.920335648145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{"issue":{"subject":"","project_id":79,"tracker_id":40,"status_id":1,"priority_id":2,"assigned_to_id":23,"start_date":"2017-02-10","description":"","custom_fields":[{"id":1,"name":"Subdivision","value":"EC"},{"id":4,"name":"Milepost","value":"11.6838"},{"id":17,"name":"Train ID","value":"189-10"},{"id":16,"name":"Locomotive ID","value":"4018"},{"id":130,"name":"Impact","value":""},{"id":150,"name":"Time of Event (Mountain Time)","value":"15:05:17"},{"id":151,"name":"Denver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"%USERPROFILE%\AppData\Local\Temp\OnboardLogs"\RTDC4018\*4018*201702102*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"%USERPROFILE%\AppData\Local\Temp\OnboardLogs"\RTDC4018\*4018*201702102* &gt;&gt; 2017-02-10-SliceDisagreementCheck.txt</v>
      </c>
      <c r="AE14" s="157" t="str">
        <f t="shared" si="9"/>
        <v>start /low /b %USERPROFILE%\Documents\GitHub\eaglep3\Utilities\DownloadLogsFromS3.py --loco 4018 --day 2017-02-10</v>
      </c>
    </row>
    <row r="15" spans="1:32" x14ac:dyDescent="0.25">
      <c r="A15" s="32">
        <v>42776.784861111111</v>
      </c>
      <c r="B15" s="30" t="s">
        <v>224</v>
      </c>
      <c r="C15" s="30" t="s">
        <v>554</v>
      </c>
      <c r="D15" s="30" t="s">
        <v>98</v>
      </c>
      <c r="E15" s="30" t="s">
        <v>215</v>
      </c>
      <c r="F15" s="43">
        <v>400</v>
      </c>
      <c r="G15" s="43">
        <v>451</v>
      </c>
      <c r="H15" s="43">
        <v>118700</v>
      </c>
      <c r="I15" s="43">
        <v>119788</v>
      </c>
      <c r="J15" s="30" t="s">
        <v>216</v>
      </c>
      <c r="K15" s="43">
        <v>116838</v>
      </c>
      <c r="L15" s="143" t="s">
        <v>50</v>
      </c>
      <c r="M15" s="144">
        <f t="shared" si="0"/>
        <v>-1557.6</v>
      </c>
      <c r="N15" s="145" t="str">
        <f>VLOOKUP(C15,'Trips&amp;Operators'!$C$1:$G$99999,5,FALSE)</f>
        <v>HILLS DUSTIN</v>
      </c>
      <c r="O15" s="194" t="s">
        <v>185</v>
      </c>
      <c r="P15" s="146"/>
      <c r="Q15" s="30"/>
      <c r="R15" s="89" t="str">
        <f>VLOOKUP(C15,'Train Runs'!$A$13:$AE$9957,31,0)</f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S15" s="92" t="str">
        <f>VLOOKUP(C15,'Train Runs'!$A$13:$AE$9957,22,0)</f>
        <v>https://d0f6bd738d7f1b3e5a7ca70fe4ff75f0.us-east-1.aws.found.io/app/kibana#/discover/Steve-Slow-Train-Analysis-(2080s-and-2083s)?_g=(refreshInterval:(display:Off,pause:!f,section:0,value:0),time:(from:'2017-02-10T17:27:16-0700',mode:absolute,to:'2017-02-10T20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5" s="94" t="str">
        <f t="shared" si="1"/>
        <v>"C:\Program Files (x86)\AstroGrep\AstroGrep.exe" /spath="%USERPROFILE%\AppData\Local\Temp\OnboardLogs" /stypes="*4046*201702110*" /stext=" 01:.+((SYSTEM_STATE.+slice.+state.+changed )|(ment ac)|(multiple cpu faults)|(system.+state.+changed )|(\[timeout)|(PRM\|1\|D)|(kpr)|(kdp)|(\|lc)|(penalty))" /e /r /s</v>
      </c>
      <c r="U15" s="9" t="str">
        <f t="shared" si="2"/>
        <v>4046</v>
      </c>
      <c r="V15" s="32">
        <f t="shared" si="3"/>
        <v>42777.076527777775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{"issue":{"subject":"","project_id":79,"tracker_id":40,"status_id":1,"priority_id":2,"assigned_to_id":23,"start_date":"2017-02-10","description":"","custom_fields":[{"id":1,"name":"Subdivision","value":"EC"},{"id":4,"name":"Milepost","value":"11.6838"},{"id":17,"name":"Train ID","value":"219-10"},{"id":16,"name":"Locomotive ID","value":"4046"},{"id":130,"name":"Impact","value":""},{"id":150,"name":"Time of Event (Mountain Time)","value":"18:50:12"},{"id":151,"name":"Denver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"%USERPROFILE%\AppData\Local\Temp\OnboardLogs"\RTDC4046\*4046*201702110*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"%USERPROFILE%\AppData\Local\Temp\OnboardLogs"\RTDC4046\*4046*201702110* &gt;&gt; 2017-02-10-SliceDisagreementCheck.txt</v>
      </c>
      <c r="AE15" s="157" t="str">
        <f t="shared" si="9"/>
        <v>start /low /b %USERPROFILE%\Documents\GitHub\eaglep3\Utilities\DownloadLogsFromS3.py --loco 4046 --day 2017-02-11</v>
      </c>
      <c r="AF15" s="1"/>
    </row>
    <row r="16" spans="1:32" x14ac:dyDescent="0.25">
      <c r="A16" s="32">
        <v>42776.758252314816</v>
      </c>
      <c r="B16" s="30" t="s">
        <v>444</v>
      </c>
      <c r="C16" s="30" t="s">
        <v>553</v>
      </c>
      <c r="D16" s="30" t="s">
        <v>49</v>
      </c>
      <c r="E16" s="30" t="s">
        <v>215</v>
      </c>
      <c r="F16" s="43">
        <v>400</v>
      </c>
      <c r="G16" s="43">
        <v>483</v>
      </c>
      <c r="H16" s="43">
        <v>120873</v>
      </c>
      <c r="I16" s="43">
        <v>119453</v>
      </c>
      <c r="J16" s="30" t="s">
        <v>216</v>
      </c>
      <c r="K16" s="43">
        <v>119716</v>
      </c>
      <c r="L16" s="143" t="s">
        <v>51</v>
      </c>
      <c r="M16" s="144">
        <f t="shared" si="0"/>
        <v>-138.864</v>
      </c>
      <c r="N16" s="145" t="str">
        <f>VLOOKUP(C16,'Trips&amp;Operators'!$C$1:$G$99999,5,FALSE)</f>
        <v>BRUDER RICHARD</v>
      </c>
      <c r="O16" s="194" t="s">
        <v>185</v>
      </c>
      <c r="P16" s="146"/>
      <c r="Q16" s="30"/>
      <c r="R16" s="89" t="str">
        <f>VLOOKUP(C16,'Train Runs'!$A$13:$AE$9957,31,0)</f>
        <v>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 &amp; aws s3 cp s3://rtdc.mdm.uploadarchive.raw/RTDC4008/ "%USERPROFILE%\AppData\Local\Temp\OnboardLogs"\RTDC4008\2017-02-11 --exclude "*" --recursive --include "*20170211*" &amp; "%USERPROFILE%\Documents\GitHub\mrs-test-scripts\Headless Mode &amp; Sideloading\WalkAndUnGZ.bat" "%USERPROFILE%\AppData\Local\Temp\OnboardLogs"\RTDC4008\2017-02-11</v>
      </c>
      <c r="S16" s="92" t="str">
        <f>VLOOKUP(C16,'Train Runs'!$A$13:$AE$9957,22,0)</f>
        <v>https://d0f6bd738d7f1b3e5a7ca70fe4ff75f0.us-east-1.aws.found.io/app/kibana#/discover/Steve-Slow-Train-Analysis-(2080s-and-2083s)?_g=(refreshInterval:(display:Off,pause:!f,section:0,value:0),time:(from:'2017-02-10T16:47:12-0700',mode:absolute,to:'2017-02-10T19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6" s="94" t="str">
        <f t="shared" si="1"/>
        <v>"C:\Program Files (x86)\AstroGrep\AstroGrep.exe" /spath="%USERPROFILE%\AppData\Local\Temp\OnboardLogs" /stypes="*4008*201702110*" /stext=" 01:.+((SYSTEM_STATE.+slice.+state.+changed )|(ment ac)|(multiple cpu faults)|(system.+state.+changed )|(\[timeout)|(PRM\|1\|D)|(kpr)|(kdp)|(\|lc)|(penalty))" /e /r /s</v>
      </c>
      <c r="U16" s="9" t="str">
        <f t="shared" si="2"/>
        <v>4008</v>
      </c>
      <c r="V16" s="32">
        <f t="shared" si="3"/>
        <v>42777.04991898148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{"issue":{"subject":"","project_id":79,"tracker_id":40,"status_id":1,"priority_id":2,"assigned_to_id":23,"start_date":"2017-02-10","description":"","custom_fields":[{"id":1,"name":"Subdivision","value":"EC"},{"id":4,"name":"Milepost","value":"11.9716"},{"id":17,"name":"Train ID","value":"208-10"},{"id":16,"name":"Locomotive ID","value":"4008"},{"id":130,"name":"Impact","value":""},{"id":150,"name":"Time of Event (Mountain Time)","value":"18:11:53"},{"id":151,"name":"Denver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"%USERPROFILE%\AppData\Local\Temp\OnboardLogs"\RTDC4008\*4008*201702110*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"%USERPROFILE%\AppData\Local\Temp\OnboardLogs"\RTDC4008\*4008*201702110* &gt;&gt; 2017-02-10-SliceDisagreementCheck.txt</v>
      </c>
      <c r="AE16" s="157" t="str">
        <f t="shared" si="9"/>
        <v>start /low /b %USERPROFILE%\Documents\GitHub\eaglep3\Utilities\DownloadLogsFromS3.py --loco 4008 --day 2017-02-11</v>
      </c>
      <c r="AF16" s="1"/>
    </row>
    <row r="17" spans="1:32" x14ac:dyDescent="0.25">
      <c r="A17" s="32">
        <v>42776.400601851848</v>
      </c>
      <c r="B17" s="30" t="s">
        <v>445</v>
      </c>
      <c r="C17" s="30" t="s">
        <v>543</v>
      </c>
      <c r="D17" s="30" t="s">
        <v>49</v>
      </c>
      <c r="E17" s="30" t="s">
        <v>186</v>
      </c>
      <c r="F17" s="43">
        <v>0</v>
      </c>
      <c r="G17" s="43">
        <v>351</v>
      </c>
      <c r="H17" s="43">
        <v>126388</v>
      </c>
      <c r="I17" s="43">
        <v>127701</v>
      </c>
      <c r="J17" s="30" t="s">
        <v>187</v>
      </c>
      <c r="K17" s="43">
        <v>126585</v>
      </c>
      <c r="L17" s="143" t="s">
        <v>50</v>
      </c>
      <c r="M17" s="144">
        <f t="shared" si="0"/>
        <v>-589.24800000000005</v>
      </c>
      <c r="N17" s="145" t="str">
        <f>VLOOKUP(C17,'Trips&amp;Operators'!$C$1:$G$99999,5,FALSE)</f>
        <v>DAVIS WENDY</v>
      </c>
      <c r="O17" s="194" t="s">
        <v>217</v>
      </c>
      <c r="P17" s="146" t="s">
        <v>906</v>
      </c>
      <c r="Q17" s="30"/>
      <c r="R17" s="89" t="str">
        <f>VLOOKUP(C17,'Train Runs'!$A$13:$AE$9957,31,0)</f>
        <v>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 &amp; aws s3 cp s3://rtdc.mdm.uploadarchive.raw/RTDC4018/ "%USERPROFILE%\AppData\Local\Temp\OnboardLogs"\RTDC4018\2017-02-11 --exclude "*" --recursive --include "*20170211*" &amp; "%USERPROFILE%\Documents\GitHub\mrs-test-scripts\Headless Mode &amp; Sideloading\WalkAndUnGZ.bat" "%USERPROFILE%\AppData\Local\Temp\OnboardLogs"\RTDC4018\2017-02-11</v>
      </c>
      <c r="S17" s="92" t="str">
        <f>VLOOKUP(C17,'Train Runs'!$A$13:$AE$9957,22,0)</f>
        <v>https://d0f6bd738d7f1b3e5a7ca70fe4ff75f0.us-east-1.aws.found.io/app/kibana#/discover/Steve-Slow-Train-Analysis-(2080s-and-2083s)?_g=(refreshInterval:(display:Off,pause:!f,section:0,value:0),time:(from:'2017-02-10T08:08:15-0700',mode:absolute,to:'2017-02-10T10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94" t="str">
        <f t="shared" si="1"/>
        <v>"C:\Program Files (x86)\AstroGrep\AstroGrep.exe" /spath="%USERPROFILE%\AppData\Local\Temp\OnboardLogs" /stypes="*4018*201702101*" /stext=" 16:.+((SYSTEM_STATE.+slice.+state.+changed )|(ment ac)|(multiple cpu faults)|(system.+state.+changed )|(\[timeout)|(PRM\|1\|D)|(kpr)|(kdp)|(\|lc)|(penalty))" /e /r /s</v>
      </c>
      <c r="U17" s="9" t="str">
        <f t="shared" si="2"/>
        <v>4018</v>
      </c>
      <c r="V17" s="32">
        <f t="shared" si="3"/>
        <v>42776.692268518513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{"issue":{"subject":"Premature downgrade at 40th 2N","project_id":79,"tracker_id":40,"status_id":1,"priority_id":2,"assigned_to_id":23,"start_date":"2017-02-10","description":"","custom_fields":[{"id":1,"name":"Subdivision","value":"EC"},{"id":4,"name":"Milepost","value":"12.6585"},{"id":17,"name":"Train ID","value":"145-10"},{"id":16,"name":"Locomotive ID","value":"4018"},{"id":130,"name":"Impact","value":""},{"id":150,"name":"Time of Event (Mountain Time)","value":"09:36:52"},{"id":151,"name":"Denver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"%USERPROFILE%\AppData\Local\Temp\OnboardLogs"\RTDC4018\*4018*201702101*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"%USERPROFILE%\AppData\Local\Temp\OnboardLogs"\RTDC4018\*4018*201702101* &gt;&gt; 2017-02-10-SliceDisagreementCheck.txt</v>
      </c>
      <c r="AE17" s="157" t="str">
        <f t="shared" si="9"/>
        <v>start /low /b %USERPROFILE%\Documents\GitHub\eaglep3\Utilities\DownloadLogsFromS3.py --loco 4018 --day 2017-02-10</v>
      </c>
      <c r="AF17" s="1"/>
    </row>
    <row r="18" spans="1:32" ht="15" customHeight="1" x14ac:dyDescent="0.25">
      <c r="A18" s="32">
        <v>42776.502604166664</v>
      </c>
      <c r="B18" s="30" t="s">
        <v>227</v>
      </c>
      <c r="C18" s="30" t="s">
        <v>546</v>
      </c>
      <c r="D18" s="30" t="s">
        <v>49</v>
      </c>
      <c r="E18" s="30" t="s">
        <v>188</v>
      </c>
      <c r="F18" s="43">
        <v>0</v>
      </c>
      <c r="G18" s="43">
        <v>89</v>
      </c>
      <c r="H18" s="43">
        <v>351</v>
      </c>
      <c r="I18" s="43">
        <v>256</v>
      </c>
      <c r="J18" s="30" t="s">
        <v>189</v>
      </c>
      <c r="K18" s="43">
        <v>1</v>
      </c>
      <c r="L18" s="143" t="s">
        <v>51</v>
      </c>
      <c r="M18" s="144">
        <f t="shared" si="0"/>
        <v>134.63999999999999</v>
      </c>
      <c r="N18" s="145" t="str">
        <f>VLOOKUP(C18,'Trips&amp;Operators'!$C$1:$G$99999,5,FALSE)</f>
        <v>STRICKLAND EVAN</v>
      </c>
      <c r="O18" s="194" t="s">
        <v>185</v>
      </c>
      <c r="P18" s="146"/>
      <c r="Q18" s="30"/>
      <c r="R18" s="89" t="str">
        <f>VLOOKUP(C18,'Train Runs'!$A$13:$AE$9957,31,0)</f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S18" s="92" t="str">
        <f>VLOOKUP(C18,'Train Runs'!$A$13:$AE$9957,22,0)</f>
        <v>https://d0f6bd738d7f1b3e5a7ca70fe4ff75f0.us-east-1.aws.found.io/app/kibana#/discover/Steve-Slow-Train-Analysis-(2080s-and-2083s)?_g=(refreshInterval:(display:Off,pause:!f,section:0,value:0),time:(from:'2017-02-10T10:21:23-0700',mode:absolute,to:'2017-02-10T13:03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94" t="str">
        <f t="shared" si="1"/>
        <v>"C:\Program Files (x86)\AstroGrep\AstroGrep.exe" /spath="%USERPROFILE%\AppData\Local\Temp\OnboardLogs" /stypes="*4028*201702101*" /stext=" 19:.+((SYSTEM_STATE.+slice.+state.+changed )|(ment ac)|(multiple cpu faults)|(system.+state.+changed )|(\[timeout)|(PRM\|1\|D)|(kpr)|(kdp)|(\|lc)|(penalty))" /e /r /s</v>
      </c>
      <c r="U18" s="9" t="str">
        <f t="shared" si="2"/>
        <v>4028</v>
      </c>
      <c r="V18" s="32">
        <f t="shared" si="3"/>
        <v>42776.794270833328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{"issue":{"subject":"","project_id":79,"tracker_id":40,"status_id":1,"priority_id":2,"assigned_to_id":23,"start_date":"2017-02-10","description":"","custom_fields":[{"id":1,"name":"Subdivision","value":"EC"},{"id":4,"name":"Milepost","value":"0.0001"},{"id":17,"name":"Train ID","value":"156-10"},{"id":16,"name":"Locomotive ID","value":"4028"},{"id":130,"name":"Impact","value":""},{"id":150,"name":"Time of Event (Mountain Time)","value":"12:03:45"},{"id":151,"name":"Denver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"%USERPROFILE%\AppData\Local\Temp\OnboardLogs"\RTDC4028\*4028*201702101*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"%USERPROFILE%\AppData\Local\Temp\OnboardLogs"\RTDC4028\*4028*201702101* &gt;&gt; 2017-02-10-SliceDisagreementCheck.txt</v>
      </c>
      <c r="AE18" s="157" t="str">
        <f t="shared" si="9"/>
        <v>start /low /b %USERPROFILE%\Documents\GitHub\eaglep3\Utilities\DownloadLogsFromS3.py --loco 4028 --day 2017-02-10</v>
      </c>
      <c r="AF18" s="1"/>
    </row>
    <row r="19" spans="1:32" x14ac:dyDescent="0.25">
      <c r="A19" s="32">
        <v>42776.503032407411</v>
      </c>
      <c r="B19" s="30" t="s">
        <v>227</v>
      </c>
      <c r="C19" s="30" t="s">
        <v>546</v>
      </c>
      <c r="D19" s="30" t="s">
        <v>49</v>
      </c>
      <c r="E19" s="30" t="s">
        <v>188</v>
      </c>
      <c r="F19" s="43">
        <v>0</v>
      </c>
      <c r="G19" s="43">
        <v>38</v>
      </c>
      <c r="H19" s="43">
        <v>143</v>
      </c>
      <c r="I19" s="43">
        <v>127</v>
      </c>
      <c r="J19" s="30" t="s">
        <v>189</v>
      </c>
      <c r="K19" s="43">
        <v>1</v>
      </c>
      <c r="L19" s="143" t="s">
        <v>51</v>
      </c>
      <c r="M19" s="144">
        <f t="shared" si="0"/>
        <v>66.528000000000006</v>
      </c>
      <c r="N19" s="145" t="str">
        <f>VLOOKUP(C19,'Trips&amp;Operators'!$C$1:$G$99999,5,FALSE)</f>
        <v>STRICKLAND EVAN</v>
      </c>
      <c r="O19" s="194" t="s">
        <v>185</v>
      </c>
      <c r="P19" s="146"/>
      <c r="Q19" s="30"/>
      <c r="R19" s="89" t="str">
        <f>VLOOKUP(C19,'Train Runs'!$A$13:$AE$9957,31,0)</f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S19" s="92" t="str">
        <f>VLOOKUP(C19,'Train Runs'!$A$13:$AE$9957,22,0)</f>
        <v>https://d0f6bd738d7f1b3e5a7ca70fe4ff75f0.us-east-1.aws.found.io/app/kibana#/discover/Steve-Slow-Train-Analysis-(2080s-and-2083s)?_g=(refreshInterval:(display:Off,pause:!f,section:0,value:0),time:(from:'2017-02-10T10:21:23-0700',mode:absolute,to:'2017-02-10T13:03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94" t="str">
        <f t="shared" si="1"/>
        <v>"C:\Program Files (x86)\AstroGrep\AstroGrep.exe" /spath="%USERPROFILE%\AppData\Local\Temp\OnboardLogs" /stypes="*4028*201702101*" /stext=" 19:.+((SYSTEM_STATE.+slice.+state.+changed )|(ment ac)|(multiple cpu faults)|(system.+state.+changed )|(\[timeout)|(PRM\|1\|D)|(kpr)|(kdp)|(\|lc)|(penalty))" /e /r /s</v>
      </c>
      <c r="U19" s="9" t="str">
        <f t="shared" si="2"/>
        <v>4028</v>
      </c>
      <c r="V19" s="32">
        <f t="shared" si="3"/>
        <v>42776.794699074075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{"issue":{"subject":"","project_id":79,"tracker_id":40,"status_id":1,"priority_id":2,"assigned_to_id":23,"start_date":"2017-02-10","description":"","custom_fields":[{"id":1,"name":"Subdivision","value":"EC"},{"id":4,"name":"Milepost","value":"0.0001"},{"id":17,"name":"Train ID","value":"156-10"},{"id":16,"name":"Locomotive ID","value":"4028"},{"id":130,"name":"Impact","value":""},{"id":150,"name":"Time of Event (Mountain Time)","value":"12:04:22"},{"id":151,"name":"Denver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"%USERPROFILE%\AppData\Local\Temp\OnboardLogs"\RTDC4028\*4028*201702101*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"%USERPROFILE%\AppData\Local\Temp\OnboardLogs"\RTDC4028\*4028*201702101* &gt;&gt; 2017-02-10-SliceDisagreementCheck.txt</v>
      </c>
      <c r="AE19" s="157" t="str">
        <f t="shared" si="9"/>
        <v>start /low /b %USERPROFILE%\Documents\GitHub\eaglep3\Utilities\DownloadLogsFromS3.py --loco 4028 --day 2017-02-10</v>
      </c>
      <c r="AF19" s="1"/>
    </row>
    <row r="20" spans="1:32" x14ac:dyDescent="0.25">
      <c r="A20" s="32">
        <v>42776.576180555552</v>
      </c>
      <c r="B20" s="30" t="s">
        <v>227</v>
      </c>
      <c r="C20" s="30" t="s">
        <v>547</v>
      </c>
      <c r="D20" s="30" t="s">
        <v>49</v>
      </c>
      <c r="E20" s="30" t="s">
        <v>188</v>
      </c>
      <c r="F20" s="43">
        <v>0</v>
      </c>
      <c r="G20" s="43">
        <v>60</v>
      </c>
      <c r="H20" s="43">
        <v>225</v>
      </c>
      <c r="I20" s="43">
        <v>165</v>
      </c>
      <c r="J20" s="30" t="s">
        <v>189</v>
      </c>
      <c r="K20" s="43">
        <v>1</v>
      </c>
      <c r="L20" s="143" t="s">
        <v>51</v>
      </c>
      <c r="M20" s="144">
        <f t="shared" si="0"/>
        <v>86.592000000000013</v>
      </c>
      <c r="N20" s="145" t="str">
        <f>VLOOKUP(C20,'Trips&amp;Operators'!$C$1:$G$99999,5,FALSE)</f>
        <v>KILLION DAVID</v>
      </c>
      <c r="O20" s="194" t="s">
        <v>185</v>
      </c>
      <c r="P20" s="146"/>
      <c r="Q20" s="30"/>
      <c r="R20" s="89" t="str">
        <f>VLOOKUP(C20,'Train Runs'!$A$13:$AE$9957,31,0)</f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S20" s="92" t="str">
        <f>VLOOKUP(C20,'Train Runs'!$A$13:$AE$9957,22,0)</f>
        <v>https://d0f6bd738d7f1b3e5a7ca70fe4ff75f0.us-east-1.aws.found.io/app/kibana#/discover/Steve-Slow-Train-Analysis-(2080s-and-2083s)?_g=(refreshInterval:(display:Off,pause:!f,section:0,value:0),time:(from:'2017-02-10T12:00:05-0700',mode:absolute,to:'2017-02-10T14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94" t="str">
        <f t="shared" si="1"/>
        <v>"C:\Program Files (x86)\AstroGrep\AstroGrep.exe" /spath="%USERPROFILE%\AppData\Local\Temp\OnboardLogs" /stypes="*4028*201702102*" /stext=" 20:.+((SYSTEM_STATE.+slice.+state.+changed )|(ment ac)|(multiple cpu faults)|(system.+state.+changed )|(\[timeout)|(PRM\|1\|D)|(kpr)|(kdp)|(\|lc)|(penalty))" /e /r /s</v>
      </c>
      <c r="U20" s="9" t="str">
        <f t="shared" si="2"/>
        <v>4028</v>
      </c>
      <c r="V20" s="32">
        <f t="shared" si="3"/>
        <v>42776.867847222216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{"issue":{"subject":"","project_id":79,"tracker_id":40,"status_id":1,"priority_id":2,"assigned_to_id":23,"start_date":"2017-02-10","description":"","custom_fields":[{"id":1,"name":"Subdivision","value":"EC"},{"id":4,"name":"Milepost","value":"0.0001"},{"id":17,"name":"Train ID","value":"170-10"},{"id":16,"name":"Locomotive ID","value":"4028"},{"id":130,"name":"Impact","value":""},{"id":150,"name":"Time of Event (Mountain Time)","value":"13:49:42"},{"id":151,"name":"Denver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"%USERPROFILE%\AppData\Local\Temp\OnboardLogs"\RTDC4028\*4028*201702102*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"%USERPROFILE%\AppData\Local\Temp\OnboardLogs"\RTDC4028\*4028*201702102* &gt;&gt; 2017-02-10-SliceDisagreementCheck.txt</v>
      </c>
      <c r="AE20" s="157" t="str">
        <f t="shared" si="9"/>
        <v>start /low /b %USERPROFILE%\Documents\GitHub\eaglep3\Utilities\DownloadLogsFromS3.py --loco 4028 --day 2017-02-10</v>
      </c>
      <c r="AF20" s="1"/>
    </row>
    <row r="21" spans="1:32" x14ac:dyDescent="0.25">
      <c r="A21" s="32">
        <v>42776.649375000001</v>
      </c>
      <c r="B21" s="30" t="s">
        <v>227</v>
      </c>
      <c r="C21" s="30" t="s">
        <v>551</v>
      </c>
      <c r="D21" s="30" t="s">
        <v>49</v>
      </c>
      <c r="E21" s="30" t="s">
        <v>188</v>
      </c>
      <c r="F21" s="43">
        <v>0</v>
      </c>
      <c r="G21" s="43">
        <v>43</v>
      </c>
      <c r="H21" s="43">
        <v>163</v>
      </c>
      <c r="I21" s="43">
        <v>127</v>
      </c>
      <c r="J21" s="30" t="s">
        <v>189</v>
      </c>
      <c r="K21" s="43">
        <v>1</v>
      </c>
      <c r="L21" s="143" t="s">
        <v>51</v>
      </c>
      <c r="M21" s="144">
        <f t="shared" si="0"/>
        <v>66.528000000000006</v>
      </c>
      <c r="N21" s="145" t="str">
        <f>VLOOKUP(C21,'Trips&amp;Operators'!$C$1:$G$99999,5,FALSE)</f>
        <v>KILLION DAVID</v>
      </c>
      <c r="O21" s="194" t="s">
        <v>185</v>
      </c>
      <c r="P21" s="146"/>
      <c r="Q21" s="30"/>
      <c r="R21" s="89" t="str">
        <f>VLOOKUP(C21,'Train Runs'!$A$13:$AE$9957,31,0)</f>
        <v>aws s3 cp s3://rtdc.mdm.uploadarchive.raw/RTDC4028/ "%USERPROFILE%\AppData\Local\Temp\OnboardLogs"\RTDC4028\2017-02-10 --exclude "*" --recursive --include "*20170210*" &amp; "%USERPROFILE%\Documents\GitHub\mrs-test-scripts\Headless Mode &amp; Sideloading\WalkAndUnGZ.bat" "%USERPROFILE%\AppData\Local\Temp\OnboardLogs"\RTDC4028\2017-02-10 &amp; aws s3 cp s3://rtdc.mdm.uploadarchive.raw/RTDC4028/ "%USERPROFILE%\AppData\Local\Temp\OnboardLogs"\RTDC4028\2017-02-11 --exclude "*" --recursive --include "*20170211*" &amp; "%USERPROFILE%\Documents\GitHub\mrs-test-scripts\Headless Mode &amp; Sideloading\WalkAndUnGZ.bat" "%USERPROFILE%\AppData\Local\Temp\OnboardLogs"\RTDC4028\2017-02-11</v>
      </c>
      <c r="S21" s="92" t="str">
        <f>VLOOKUP(C21,'Train Runs'!$A$13:$AE$9957,22,0)</f>
        <v>https://d0f6bd738d7f1b3e5a7ca70fe4ff75f0.us-east-1.aws.found.io/app/kibana#/discover/Steve-Slow-Train-Analysis-(2080s-and-2083s)?_g=(refreshInterval:(display:Off,pause:!f,section:0,value:0),time:(from:'2017-02-10T13:47:35-0700',mode:absolute,to:'2017-02-10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94" t="str">
        <f t="shared" si="1"/>
        <v>"C:\Program Files (x86)\AstroGrep\AstroGrep.exe" /spath="%USERPROFILE%\AppData\Local\Temp\OnboardLogs" /stypes="*4028*201702102*" /stext=" 22:.+((SYSTEM_STATE.+slice.+state.+changed )|(ment ac)|(multiple cpu faults)|(system.+state.+changed )|(\[timeout)|(PRM\|1\|D)|(kpr)|(kdp)|(\|lc)|(penalty))" /e /r /s</v>
      </c>
      <c r="U21" s="9" t="str">
        <f t="shared" si="2"/>
        <v>4028</v>
      </c>
      <c r="V21" s="32">
        <f t="shared" si="3"/>
        <v>42776.941041666665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{"issue":{"subject":"","project_id":79,"tracker_id":40,"status_id":1,"priority_id":2,"assigned_to_id":23,"start_date":"2017-02-10","description":"","custom_fields":[{"id":1,"name":"Subdivision","value":"EC"},{"id":4,"name":"Milepost","value":"0.0001"},{"id":17,"name":"Train ID","value":"184-10"},{"id":16,"name":"Locomotive ID","value":"4028"},{"id":130,"name":"Impact","value":""},{"id":150,"name":"Time of Event (Mountain Time)","value":"15:35:06"},{"id":151,"name":"Denver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"%USERPROFILE%\AppData\Local\Temp\OnboardLogs"\RTDC4028\*4028*201702102*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"%USERPROFILE%\AppData\Local\Temp\OnboardLogs"\RTDC4028\*4028*201702102* &gt;&gt; 2017-02-10-SliceDisagreementCheck.txt</v>
      </c>
      <c r="AE21" s="157" t="str">
        <f t="shared" si="9"/>
        <v>start /low /b %USERPROFILE%\Documents\GitHub\eaglep3\Utilities\DownloadLogsFromS3.py --loco 4028 --day 2017-02-10</v>
      </c>
      <c r="AF21" s="1"/>
    </row>
    <row r="22" spans="1:32" x14ac:dyDescent="0.25">
      <c r="A22" s="32">
        <v>42776.795532407406</v>
      </c>
      <c r="B22" s="30" t="s">
        <v>224</v>
      </c>
      <c r="C22" s="30" t="s">
        <v>554</v>
      </c>
      <c r="D22" s="30" t="s">
        <v>49</v>
      </c>
      <c r="E22" s="30" t="s">
        <v>188</v>
      </c>
      <c r="F22" s="43">
        <v>0</v>
      </c>
      <c r="G22" s="43">
        <v>52</v>
      </c>
      <c r="H22" s="43">
        <v>233404</v>
      </c>
      <c r="I22" s="43">
        <v>233442</v>
      </c>
      <c r="J22" s="30" t="s">
        <v>189</v>
      </c>
      <c r="K22" s="43">
        <v>233491</v>
      </c>
      <c r="L22" s="143" t="s">
        <v>50</v>
      </c>
      <c r="M22" s="144">
        <f t="shared" si="0"/>
        <v>25.872</v>
      </c>
      <c r="N22" s="145" t="str">
        <f>VLOOKUP(C22,'Trips&amp;Operators'!$C$1:$G$99999,5,FALSE)</f>
        <v>HILLS DUSTIN</v>
      </c>
      <c r="O22" s="194" t="s">
        <v>185</v>
      </c>
      <c r="P22" s="146"/>
      <c r="Q22" s="30"/>
      <c r="R22" s="89" t="str">
        <f>VLOOKUP(C22,'Train Runs'!$A$13:$AE$9957,31,0)</f>
        <v>aws s3 cp s3://rtdc.mdm.uploadarchive.raw/RTDC4046/ "%USERPROFILE%\AppData\Local\Temp\OnboardLogs"\RTDC4046\2017-02-10 --exclude "*" --recursive --include "*20170210*" &amp; "%USERPROFILE%\Documents\GitHub\mrs-test-scripts\Headless Mode &amp; Sideloading\WalkAndUnGZ.bat" "%USERPROFILE%\AppData\Local\Temp\OnboardLogs"\RTDC4046\2017-02-10 &amp; 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</v>
      </c>
      <c r="S22" s="92" t="str">
        <f>VLOOKUP(C22,'Train Runs'!$A$13:$AE$9957,22,0)</f>
        <v>https://d0f6bd738d7f1b3e5a7ca70fe4ff75f0.us-east-1.aws.found.io/app/kibana#/discover/Steve-Slow-Train-Analysis-(2080s-and-2083s)?_g=(refreshInterval:(display:Off,pause:!f,section:0,value:0),time:(from:'2017-02-10T17:27:16-0700',mode:absolute,to:'2017-02-10T20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2" s="94" t="str">
        <f t="shared" si="1"/>
        <v>"C:\Program Files (x86)\AstroGrep\AstroGrep.exe" /spath="%USERPROFILE%\AppData\Local\Temp\OnboardLogs" /stypes="*4046*201702110*" /stext=" 02:.+((SYSTEM_STATE.+slice.+state.+changed )|(ment ac)|(multiple cpu faults)|(system.+state.+changed )|(\[timeout)|(PRM\|1\|D)|(kpr)|(kdp)|(\|lc)|(penalty))" /e /r /s</v>
      </c>
      <c r="U22" s="9" t="str">
        <f t="shared" si="2"/>
        <v>4046</v>
      </c>
      <c r="V22" s="32">
        <f t="shared" si="3"/>
        <v>42777.087199074071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{"issue":{"subject":"","project_id":79,"tracker_id":40,"status_id":1,"priority_id":2,"assigned_to_id":23,"start_date":"2017-02-10","description":"","custom_fields":[{"id":1,"name":"Subdivision","value":"EC"},{"id":4,"name":"Milepost","value":"23.3491"},{"id":17,"name":"Train ID","value":"219-10"},{"id":16,"name":"Locomotive ID","value":"4046"},{"id":130,"name":"Impact","value":""},{"id":150,"name":"Time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"%USERPROFILE%\AppData\Local\Temp\OnboardLogs"\RTDC4046\*4046*201702110*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"%USERPROFILE%\AppData\Local\Temp\OnboardLogs"\RTDC4046\*4046*201702110* &gt;&gt; 2017-02-10-SliceDisagreementCheck.txt</v>
      </c>
      <c r="AE22" s="157" t="str">
        <f t="shared" si="9"/>
        <v>start /low /b %USERPROFILE%\Documents\GitHub\eaglep3\Utilities\DownloadLogsFromS3.py --loco 4046 --day 2017-02-11</v>
      </c>
      <c r="AF22" s="1"/>
    </row>
    <row r="23" spans="1:32" x14ac:dyDescent="0.25">
      <c r="A23" s="32">
        <v>42777.044641203705</v>
      </c>
      <c r="B23" s="30" t="s">
        <v>224</v>
      </c>
      <c r="C23" s="30" t="s">
        <v>558</v>
      </c>
      <c r="D23" s="30" t="s">
        <v>49</v>
      </c>
      <c r="E23" s="30" t="s">
        <v>188</v>
      </c>
      <c r="F23" s="43">
        <v>0</v>
      </c>
      <c r="G23" s="43">
        <v>70</v>
      </c>
      <c r="H23" s="43">
        <v>233316</v>
      </c>
      <c r="I23" s="43">
        <v>233370</v>
      </c>
      <c r="J23" s="30" t="s">
        <v>189</v>
      </c>
      <c r="K23" s="43">
        <v>233491</v>
      </c>
      <c r="L23" s="143" t="s">
        <v>50</v>
      </c>
      <c r="M23" s="144">
        <f t="shared" si="0"/>
        <v>63.887999999999998</v>
      </c>
      <c r="N23" s="145" t="str">
        <f>VLOOKUP(C23,'Trips&amp;Operators'!$C$1:$G$99999,5,FALSE)</f>
        <v>HILLS DUSTIN</v>
      </c>
      <c r="O23" s="194" t="s">
        <v>185</v>
      </c>
      <c r="P23" s="146"/>
      <c r="Q23" s="30"/>
      <c r="R23" s="89" t="str">
        <f>VLOOKUP(C23,'Train Runs'!$A$13:$AE$9957,31,0)</f>
        <v>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 &amp; 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</v>
      </c>
      <c r="S23" s="92" t="str">
        <f>VLOOKUP(C23,'Train Runs'!$A$13:$AE$9957,22,0)</f>
        <v>https://d0f6bd738d7f1b3e5a7ca70fe4ff75f0.us-east-1.aws.found.io/app/kibana#/discover/Steve-Slow-Train-Analysis-(2080s-and-2083s)?_g=(refreshInterval:(display:Off,pause:!f,section:0,value:0),time:(from:'2017-02-10T23:15:51-0700',mode:absolute,to:'2017-02-11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94" t="str">
        <f t="shared" si="1"/>
        <v>"C:\Program Files (x86)\AstroGrep\AstroGrep.exe" /spath="%USERPROFILE%\AppData\Local\Temp\OnboardLogs" /stypes="*4046*201702110*" /stext=" 08:.+((SYSTEM_STATE.+slice.+state.+changed )|(ment ac)|(multiple cpu faults)|(system.+state.+changed )|(\[timeout)|(PRM\|1\|D)|(kpr)|(kdp)|(\|lc)|(penalty))" /e /r /s</v>
      </c>
      <c r="U23" s="9" t="str">
        <f t="shared" si="2"/>
        <v>4046</v>
      </c>
      <c r="V23" s="32">
        <f t="shared" si="3"/>
        <v>42777.33630787037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{"issue":{"subject":"","project_id":79,"tracker_id":40,"status_id":1,"priority_id":2,"assigned_to_id":23,"start_date":"2017-02-11","description":"","custom_fields":[{"id":1,"name":"Subdivision","value":"EC"},{"id":4,"name":"Milepost","value":"23.3491"},{"id":17,"name":"Train ID","value":"243-10"},{"id":16,"name":"Locomotive ID","value":"4046"},{"id":130,"name":"Impact","value":""},{"id":150,"name":"Time of Event (Mountain Time)","value":"01:04:17"},{"id":151,"name":"Denver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"%USERPROFILE%\AppData\Local\Temp\OnboardLogs"\RTDC4046\*4046*201702110*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"%USERPROFILE%\AppData\Local\Temp\OnboardLogs"\RTDC4046\*4046*201702110* &gt;&gt; 2017-02-10-SliceDisagreementCheck.txt</v>
      </c>
      <c r="AE23" s="157" t="str">
        <f t="shared" si="9"/>
        <v>start /low /b %USERPROFILE%\Documents\GitHub\eaglep3\Utilities\DownloadLogsFromS3.py --loco 4046 --day 2017-02-11</v>
      </c>
      <c r="AF23" s="1"/>
    </row>
    <row r="24" spans="1:32" x14ac:dyDescent="0.25">
      <c r="A24" s="32">
        <v>42777.045844907407</v>
      </c>
      <c r="B24" s="30" t="s">
        <v>224</v>
      </c>
      <c r="C24" s="30" t="s">
        <v>558</v>
      </c>
      <c r="D24" s="30" t="s">
        <v>49</v>
      </c>
      <c r="E24" s="30" t="s">
        <v>188</v>
      </c>
      <c r="F24" s="43">
        <v>0</v>
      </c>
      <c r="G24" s="43">
        <v>15</v>
      </c>
      <c r="H24" s="43">
        <v>233449</v>
      </c>
      <c r="I24" s="43">
        <v>233464</v>
      </c>
      <c r="J24" s="30" t="s">
        <v>189</v>
      </c>
      <c r="K24" s="43">
        <v>233491</v>
      </c>
      <c r="L24" s="143" t="s">
        <v>50</v>
      </c>
      <c r="M24" s="144">
        <f t="shared" si="0"/>
        <v>14.256</v>
      </c>
      <c r="N24" s="145" t="str">
        <f>VLOOKUP(C24,'Trips&amp;Operators'!$C$1:$G$99999,5,FALSE)</f>
        <v>HILLS DUSTIN</v>
      </c>
      <c r="O24" s="194" t="s">
        <v>185</v>
      </c>
      <c r="P24" s="146"/>
      <c r="Q24" s="30"/>
      <c r="R24" s="89" t="str">
        <f>VLOOKUP(C24,'Train Runs'!$A$13:$AE$9957,31,0)</f>
        <v>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 &amp; 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</v>
      </c>
      <c r="S24" s="92" t="str">
        <f>VLOOKUP(C24,'Train Runs'!$A$13:$AE$9957,22,0)</f>
        <v>https://d0f6bd738d7f1b3e5a7ca70fe4ff75f0.us-east-1.aws.found.io/app/kibana#/discover/Steve-Slow-Train-Analysis-(2080s-and-2083s)?_g=(refreshInterval:(display:Off,pause:!f,section:0,value:0),time:(from:'2017-02-10T23:15:51-0700',mode:absolute,to:'2017-02-11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4" s="94" t="str">
        <f t="shared" si="1"/>
        <v>"C:\Program Files (x86)\AstroGrep\AstroGrep.exe" /spath="%USERPROFILE%\AppData\Local\Temp\OnboardLogs" /stypes="*4046*201702110*" /stext=" 08:.+((SYSTEM_STATE.+slice.+state.+changed )|(ment ac)|(multiple cpu faults)|(system.+state.+changed )|(\[timeout)|(PRM\|1\|D)|(kpr)|(kdp)|(\|lc)|(penalty))" /e /r /s</v>
      </c>
      <c r="U24" s="9" t="str">
        <f t="shared" si="2"/>
        <v>4046</v>
      </c>
      <c r="V24" s="32">
        <f t="shared" si="3"/>
        <v>42777.337511574071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{"issue":{"subject":"","project_id":79,"tracker_id":40,"status_id":1,"priority_id":2,"assigned_to_id":23,"start_date":"2017-02-11","description":"","custom_fields":[{"id":1,"name":"Subdivision","value":"EC"},{"id":4,"name":"Milepost","value":"23.3491"},{"id":17,"name":"Train ID","value":"243-10"},{"id":16,"name":"Locomotive ID","value":"4046"},{"id":130,"name":"Impact","value":""},{"id":150,"name":"Time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"%USERPROFILE%\AppData\Local\Temp\OnboardLogs"\RTDC4046\*4046*201702110*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"%USERPROFILE%\AppData\Local\Temp\OnboardLogs"\RTDC4046\*4046*201702110* &gt;&gt; 2017-02-10-SliceDisagreementCheck.txt</v>
      </c>
      <c r="AE24" s="157" t="str">
        <f t="shared" si="9"/>
        <v>start /low /b %USERPROFILE%\Documents\GitHub\eaglep3\Utilities\DownloadLogsFromS3.py --loco 4046 --day 2017-02-11</v>
      </c>
      <c r="AF24" s="1"/>
    </row>
    <row r="25" spans="1:32" x14ac:dyDescent="0.25">
      <c r="A25" s="32">
        <v>42777.046203703707</v>
      </c>
      <c r="B25" s="30" t="s">
        <v>224</v>
      </c>
      <c r="C25" s="30" t="s">
        <v>558</v>
      </c>
      <c r="D25" s="30" t="s">
        <v>49</v>
      </c>
      <c r="E25" s="30" t="s">
        <v>188</v>
      </c>
      <c r="F25" s="43">
        <v>0</v>
      </c>
      <c r="G25" s="43">
        <v>20</v>
      </c>
      <c r="H25" s="43">
        <v>233439</v>
      </c>
      <c r="I25" s="43">
        <v>233453</v>
      </c>
      <c r="J25" s="30" t="s">
        <v>189</v>
      </c>
      <c r="K25" s="43">
        <v>233491</v>
      </c>
      <c r="L25" s="143" t="s">
        <v>50</v>
      </c>
      <c r="M25" s="144">
        <f t="shared" si="0"/>
        <v>20.064</v>
      </c>
      <c r="N25" s="145" t="str">
        <f>VLOOKUP(C25,'Trips&amp;Operators'!$C$1:$G$99999,5,FALSE)</f>
        <v>HILLS DUSTIN</v>
      </c>
      <c r="O25" s="194" t="s">
        <v>185</v>
      </c>
      <c r="P25" s="146"/>
      <c r="Q25" s="30"/>
      <c r="R25" s="89" t="str">
        <f>VLOOKUP(C25,'Train Runs'!$A$13:$AE$9957,31,0)</f>
        <v>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 &amp; 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</v>
      </c>
      <c r="S25" s="92" t="str">
        <f>VLOOKUP(C25,'Train Runs'!$A$13:$AE$9957,22,0)</f>
        <v>https://d0f6bd738d7f1b3e5a7ca70fe4ff75f0.us-east-1.aws.found.io/app/kibana#/discover/Steve-Slow-Train-Analysis-(2080s-and-2083s)?_g=(refreshInterval:(display:Off,pause:!f,section:0,value:0),time:(from:'2017-02-10T23:15:51-0700',mode:absolute,to:'2017-02-11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5" s="94" t="str">
        <f t="shared" si="1"/>
        <v>"C:\Program Files (x86)\AstroGrep\AstroGrep.exe" /spath="%USERPROFILE%\AppData\Local\Temp\OnboardLogs" /stypes="*4046*201702110*" /stext=" 08:.+((SYSTEM_STATE.+slice.+state.+changed )|(ment ac)|(multiple cpu faults)|(system.+state.+changed )|(\[timeout)|(PRM\|1\|D)|(kpr)|(kdp)|(\|lc)|(penalty))" /e /r /s</v>
      </c>
      <c r="U25" s="9" t="str">
        <f t="shared" si="2"/>
        <v>4046</v>
      </c>
      <c r="V25" s="32">
        <f t="shared" si="3"/>
        <v>42777.337870370371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{"issue":{"subject":"","project_id":79,"tracker_id":40,"status_id":1,"priority_id":2,"assigned_to_id":23,"start_date":"2017-02-11","description":"","custom_fields":[{"id":1,"name":"Subdivision","value":"EC"},{"id":4,"name":"Milepost","value":"23.3491"},{"id":17,"name":"Train ID","value":"243-10"},{"id":16,"name":"Locomotive ID","value":"4046"},{"id":130,"name":"Impact","value":""},{"id":150,"name":"Time of Event (Mountain Time)","value":"01:06:32"},{"id":151,"name":"Denver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"%USERPROFILE%\AppData\Local\Temp\OnboardLogs"\RTDC4046\*4046*201702110*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"%USERPROFILE%\AppData\Local\Temp\OnboardLogs"\RTDC4046\*4046*201702110* &gt;&gt; 2017-02-10-SliceDisagreementCheck.txt</v>
      </c>
      <c r="AE25" s="157" t="str">
        <f t="shared" si="9"/>
        <v>start /low /b %USERPROFILE%\Documents\GitHub\eaglep3\Utilities\DownloadLogsFromS3.py --loco 4046 --day 2017-02-11</v>
      </c>
      <c r="AF25" s="1"/>
    </row>
    <row r="26" spans="1:32" x14ac:dyDescent="0.25">
      <c r="A26" s="32">
        <v>42777.046909722223</v>
      </c>
      <c r="B26" s="30" t="s">
        <v>224</v>
      </c>
      <c r="C26" s="30" t="s">
        <v>558</v>
      </c>
      <c r="D26" s="30" t="s">
        <v>98</v>
      </c>
      <c r="E26" s="30" t="s">
        <v>188</v>
      </c>
      <c r="F26" s="43">
        <v>0</v>
      </c>
      <c r="G26" s="43">
        <v>4</v>
      </c>
      <c r="H26" s="43">
        <v>233491</v>
      </c>
      <c r="I26" s="43">
        <v>0</v>
      </c>
      <c r="J26" s="30" t="s">
        <v>189</v>
      </c>
      <c r="K26" s="43">
        <v>233491</v>
      </c>
      <c r="L26" s="143" t="s">
        <v>50</v>
      </c>
      <c r="M26" s="144">
        <f t="shared" si="0"/>
        <v>123283.24800000001</v>
      </c>
      <c r="N26" s="145" t="str">
        <f>VLOOKUP(C26,'Trips&amp;Operators'!$C$1:$G$99999,5,FALSE)</f>
        <v>HILLS DUSTIN</v>
      </c>
      <c r="O26" s="194" t="s">
        <v>185</v>
      </c>
      <c r="P26" s="146"/>
      <c r="Q26" s="30"/>
      <c r="R26" s="89" t="str">
        <f>VLOOKUP(C26,'Train Runs'!$A$13:$AE$9957,31,0)</f>
        <v>aws s3 cp s3://rtdc.mdm.uploadarchive.raw/RTDC4046/ "%USERPROFILE%\AppData\Local\Temp\OnboardLogs"\RTDC4046\2017-02-11 --exclude "*" --recursive --include "*20170211*" &amp; "%USERPROFILE%\Documents\GitHub\mrs-test-scripts\Headless Mode &amp; Sideloading\WalkAndUnGZ.bat" "%USERPROFILE%\AppData\Local\Temp\OnboardLogs"\RTDC4046\2017-02-11 &amp; aws s3 cp s3://rtdc.mdm.uploadarchive.raw/RTDC4046/ "%USERPROFILE%\AppData\Local\Temp\OnboardLogs"\RTDC4046\2017-02-12 --exclude "*" --recursive --include "*20170212*" &amp; "%USERPROFILE%\Documents\GitHub\mrs-test-scripts\Headless Mode &amp; Sideloading\WalkAndUnGZ.bat" "%USERPROFILE%\AppData\Local\Temp\OnboardLogs"\RTDC4046\2017-02-12</v>
      </c>
      <c r="S26" s="92" t="str">
        <f>VLOOKUP(C26,'Train Runs'!$A$13:$AE$9957,22,0)</f>
        <v>https://d0f6bd738d7f1b3e5a7ca70fe4ff75f0.us-east-1.aws.found.io/app/kibana#/discover/Steve-Slow-Train-Analysis-(2080s-and-2083s)?_g=(refreshInterval:(display:Off,pause:!f,section:0,value:0),time:(from:'2017-02-10T23:15:51-0700',mode:absolute,to:'2017-02-11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6" s="94" t="str">
        <f t="shared" si="1"/>
        <v>"C:\Program Files (x86)\AstroGrep\AstroGrep.exe" /spath="%USERPROFILE%\AppData\Local\Temp\OnboardLogs" /stypes="*4046*201702110*" /stext=" 08:.+((SYSTEM_STATE.+slice.+state.+changed )|(ment ac)|(multiple cpu faults)|(system.+state.+changed )|(\[timeout)|(PRM\|1\|D)|(kpr)|(kdp)|(\|lc)|(penalty))" /e /r /s</v>
      </c>
      <c r="U26" s="9" t="str">
        <f t="shared" si="2"/>
        <v>4046</v>
      </c>
      <c r="V26" s="32">
        <f t="shared" si="3"/>
        <v>42777.338576388887</v>
      </c>
      <c r="W26" s="46" t="str">
        <f t="shared" si="4"/>
        <v>EC</v>
      </c>
      <c r="X26" s="46" t="str">
        <f t="shared" si="5"/>
        <v>OMIT</v>
      </c>
      <c r="Y26" s="108" t="str">
        <f t="shared" si="6"/>
        <v>echo {"issue":{"subject":"","project_id":79,"tracker_id":40,"status_id":1,"priority_id":2,"assigned_to_id":23,"start_date":"2017-02-11","description":"","custom_fields":[{"id":1,"name":"Subdivision","value":"EC"},{"id":4,"name":"Milepost","value":"23.3491"},{"id":17,"name":"Train ID","value":"243-10"},{"id":16,"name":"Locomotive ID","value":"4046"},{"id":130,"name":"Impact","value":""},{"id":150,"name":"Time of Event (Mountain Time)","value":"01:07:33"},{"id":151,"name":"Denver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"%USERPROFILE%\AppData\Local\Temp\OnboardLogs"\RTDC4046\*4046*201702110*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"%USERPROFILE%\AppData\Local\Temp\OnboardLogs"\RTDC4046\*4046*201702110* &gt;&gt; 2017-02-10-SliceDisagreementCheck.txt</v>
      </c>
      <c r="AE26" s="157" t="str">
        <f t="shared" si="9"/>
        <v>start /low /b %USERPROFILE%\Documents\GitHub\eaglep3\Utilities\DownloadLogsFromS3.py --loco 4046 --day 2017-02-11</v>
      </c>
      <c r="AF26" s="1"/>
    </row>
    <row r="27" spans="1:32" x14ac:dyDescent="0.25">
      <c r="A27" s="32">
        <v>42776.349976851852</v>
      </c>
      <c r="B27" s="30" t="s">
        <v>232</v>
      </c>
      <c r="C27" s="30" t="s">
        <v>542</v>
      </c>
      <c r="D27" s="30" t="s">
        <v>49</v>
      </c>
      <c r="E27" s="30" t="s">
        <v>188</v>
      </c>
      <c r="F27" s="43">
        <v>0</v>
      </c>
      <c r="G27" s="43">
        <v>105</v>
      </c>
      <c r="H27" s="43">
        <v>421</v>
      </c>
      <c r="I27" s="43">
        <v>312</v>
      </c>
      <c r="J27" s="30" t="s">
        <v>189</v>
      </c>
      <c r="K27" s="43">
        <v>1</v>
      </c>
      <c r="L27" s="143" t="s">
        <v>51</v>
      </c>
      <c r="M27" s="144">
        <f t="shared" si="0"/>
        <v>164.208</v>
      </c>
      <c r="N27" s="145" t="str">
        <f>VLOOKUP(C27,'Trips&amp;Operators'!$C$1:$G$99999,5,FALSE)</f>
        <v>GEBRETEKLE DAGNEW</v>
      </c>
      <c r="O27" s="194" t="s">
        <v>185</v>
      </c>
      <c r="P27" s="146"/>
      <c r="Q27" s="30"/>
      <c r="R27" s="89" t="str">
        <f>VLOOKUP(C27,'Train Runs'!$A$13:$AE$9957,31,0)</f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S27" s="92" t="str">
        <f>VLOOKUP(C27,'Train Runs'!$A$13:$AE$9957,22,0)</f>
        <v>https://d0f6bd738d7f1b3e5a7ca70fe4ff75f0.us-east-1.aws.found.io/app/kibana#/discover/Steve-Slow-Train-Analysis-(2080s-and-2083s)?_g=(refreshInterval:(display:Off,pause:!f,section:0,value:0),time:(from:'2017-02-10T07:05:49-0700',mode:absolute,to:'2017-02-10T09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94" t="str">
        <f t="shared" si="1"/>
        <v>"C:\Program Files (x86)\AstroGrep\AstroGrep.exe" /spath="%USERPROFILE%\AppData\Local\Temp\OnboardLogs" /stypes="*4015*201702101*" /stext=" 15:.+((SYSTEM_STATE.+slice.+state.+changed )|(ment ac)|(multiple cpu faults)|(system.+state.+changed )|(\[timeout)|(PRM\|1\|D)|(kpr)|(kdp)|(\|lc)|(penalty))" /e /r /s</v>
      </c>
      <c r="U27" s="9" t="str">
        <f t="shared" si="2"/>
        <v>4015</v>
      </c>
      <c r="V27" s="32">
        <f t="shared" si="3"/>
        <v>42776.641643518517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{"issue":{"subject":"","project_id":79,"tracker_id":40,"status_id":1,"priority_id":2,"assigned_to_id":23,"start_date":"2017-02-10","description":"","custom_fields":[{"id":1,"name":"Subdivision","value":"NW"},{"id":4,"name":"Milepost","value":"0.0001"},{"id":17,"name":"Train ID","value":"810-10"},{"id":16,"name":"Locomotive ID","value":"4015"},{"id":130,"name":"Impact","value":""},{"id":150,"name":"Time of Event (Mountain Time)","value":"08:23:58"},{"id":151,"name":"Denver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"%USERPROFILE%\AppData\Local\Temp\OnboardLogs"\RTDC4015\*4015*201702101*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"%USERPROFILE%\AppData\Local\Temp\OnboardLogs"\RTDC4015\*4015*201702101* &gt;&gt; 2017-02-10-SliceDisagreementCheck.txt</v>
      </c>
      <c r="AE27" s="157" t="str">
        <f t="shared" si="9"/>
        <v>start /low /b %USERPROFILE%\Documents\GitHub\eaglep3\Utilities\DownloadLogsFromS3.py --loco 4015 --day 2017-02-10</v>
      </c>
      <c r="AF27" s="1"/>
    </row>
    <row r="28" spans="1:32" x14ac:dyDescent="0.25">
      <c r="A28" s="32">
        <v>42776.350601851853</v>
      </c>
      <c r="B28" s="30" t="s">
        <v>232</v>
      </c>
      <c r="C28" s="30" t="s">
        <v>542</v>
      </c>
      <c r="D28" s="30" t="s">
        <v>49</v>
      </c>
      <c r="E28" s="30" t="s">
        <v>188</v>
      </c>
      <c r="F28" s="43">
        <v>0</v>
      </c>
      <c r="G28" s="43">
        <v>33</v>
      </c>
      <c r="H28" s="43">
        <v>115</v>
      </c>
      <c r="I28" s="43">
        <v>91</v>
      </c>
      <c r="J28" s="30" t="s">
        <v>189</v>
      </c>
      <c r="K28" s="43">
        <v>1</v>
      </c>
      <c r="L28" s="143" t="s">
        <v>51</v>
      </c>
      <c r="M28" s="144">
        <f t="shared" si="0"/>
        <v>47.52</v>
      </c>
      <c r="N28" s="145" t="str">
        <f>VLOOKUP(C28,'Trips&amp;Operators'!$C$1:$G$99999,5,FALSE)</f>
        <v>GEBRETEKLE DAGNEW</v>
      </c>
      <c r="O28" s="194" t="s">
        <v>185</v>
      </c>
      <c r="P28" s="146"/>
      <c r="Q28" s="30"/>
      <c r="R28" s="89" t="str">
        <f>VLOOKUP(C28,'Train Runs'!$A$13:$AE$9957,31,0)</f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S28" s="92" t="str">
        <f>VLOOKUP(C28,'Train Runs'!$A$13:$AE$9957,22,0)</f>
        <v>https://d0f6bd738d7f1b3e5a7ca70fe4ff75f0.us-east-1.aws.found.io/app/kibana#/discover/Steve-Slow-Train-Analysis-(2080s-and-2083s)?_g=(refreshInterval:(display:Off,pause:!f,section:0,value:0),time:(from:'2017-02-10T07:05:49-0700',mode:absolute,to:'2017-02-10T09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94" t="str">
        <f t="shared" si="1"/>
        <v>"C:\Program Files (x86)\AstroGrep\AstroGrep.exe" /spath="%USERPROFILE%\AppData\Local\Temp\OnboardLogs" /stypes="*4015*201702101*" /stext=" 15:.+((SYSTEM_STATE.+slice.+state.+changed )|(ment ac)|(multiple cpu faults)|(system.+state.+changed )|(\[timeout)|(PRM\|1\|D)|(kpr)|(kdp)|(\|lc)|(penalty))" /e /r /s</v>
      </c>
      <c r="U28" s="9" t="str">
        <f t="shared" si="2"/>
        <v>4015</v>
      </c>
      <c r="V28" s="32">
        <f t="shared" si="3"/>
        <v>42776.642268518517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{"issue":{"subject":"","project_id":79,"tracker_id":40,"status_id":1,"priority_id":2,"assigned_to_id":23,"start_date":"2017-02-10","description":"","custom_fields":[{"id":1,"name":"Subdivision","value":"NW"},{"id":4,"name":"Milepost","value":"0.0001"},{"id":17,"name":"Train ID","value":"810-10"},{"id":16,"name":"Locomotive ID","value":"4015"},{"id":130,"name":"Impact","value":""},{"id":150,"name":"Time of Event (Mountain Time)","value":"08:24:52"},{"id":151,"name":"Denver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"%USERPROFILE%\AppData\Local\Temp\OnboardLogs"\RTDC4015\*4015*201702101*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"%USERPROFILE%\AppData\Local\Temp\OnboardLogs"\RTDC4015\*4015*201702101* &gt;&gt; 2017-02-10-SliceDisagreementCheck.txt</v>
      </c>
      <c r="AE28" s="157" t="str">
        <f t="shared" si="9"/>
        <v>start /low /b %USERPROFILE%\Documents\GitHub\eaglep3\Utilities\DownloadLogsFromS3.py --loco 4015 --day 2017-02-10</v>
      </c>
      <c r="AF28" s="1"/>
    </row>
    <row r="29" spans="1:32" x14ac:dyDescent="0.25">
      <c r="A29" s="32">
        <v>42776.22519675926</v>
      </c>
      <c r="B29" s="30" t="s">
        <v>232</v>
      </c>
      <c r="C29" s="30" t="s">
        <v>541</v>
      </c>
      <c r="D29" s="30" t="s">
        <v>49</v>
      </c>
      <c r="E29" s="30" t="s">
        <v>188</v>
      </c>
      <c r="F29" s="43">
        <v>0</v>
      </c>
      <c r="G29" s="43">
        <v>52</v>
      </c>
      <c r="H29" s="43">
        <v>738</v>
      </c>
      <c r="I29" s="43">
        <v>692</v>
      </c>
      <c r="J29" s="30" t="s">
        <v>189</v>
      </c>
      <c r="K29" s="43">
        <v>575</v>
      </c>
      <c r="L29" s="143" t="s">
        <v>51</v>
      </c>
      <c r="M29" s="144">
        <f t="shared" si="0"/>
        <v>61.776000000000003</v>
      </c>
      <c r="N29" s="145" t="str">
        <f>VLOOKUP(C29,'Trips&amp;Operators'!$C$1:$G$99999,5,FALSE)</f>
        <v>GEBRETEKLE DAGNEW</v>
      </c>
      <c r="O29" s="194" t="s">
        <v>185</v>
      </c>
      <c r="P29" s="146"/>
      <c r="Q29" s="30"/>
      <c r="R29" s="89" t="str">
        <f>VLOOKUP(C29,'Train Runs'!$A$13:$AE$9957,31,0)</f>
        <v>aws s3 cp s3://rtdc.mdm.uploadarchive.raw/RTDC4015/ "%USERPROFILE%\AppData\Local\Temp\OnboardLogs"\RTDC4015\2017-02-10 --exclude "*" --recursive --include "*20170210*" &amp; "%USERPROFILE%\Documents\GitHub\mrs-test-scripts\Headless Mode &amp; Sideloading\WalkAndUnGZ.bat" "%USERPROFILE%\AppData\Local\Temp\OnboardLogs"\RTDC4015\2017-02-10 &amp; aws s3 cp s3://rtdc.mdm.uploadarchive.raw/RTDC4015/ "%USERPROFILE%\AppData\Local\Temp\OnboardLogs"\RTDC4015\2017-02-11 --exclude "*" --recursive --include "*20170211*" &amp; "%USERPROFILE%\Documents\GitHub\mrs-test-scripts\Headless Mode &amp; Sideloading\WalkAndUnGZ.bat" "%USERPROFILE%\AppData\Local\Temp\OnboardLogs"\RTDC4015\2017-02-11</v>
      </c>
      <c r="S29" s="92" t="str">
        <f>VLOOKUP(C29,'Train Runs'!$A$13:$AE$9957,22,0)</f>
        <v>https://d0f6bd738d7f1b3e5a7ca70fe4ff75f0.us-east-1.aws.found.io/app/kibana#/discover/Steve-Slow-Train-Analysis-(2080s-and-2083s)?_g=(refreshInterval:(display:Off,pause:!f,section:0,value:0),time:(from:'2017-02-10T04:00:13-0700',mode:absolute,to:'2017-02-10T06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94" t="str">
        <f t="shared" si="1"/>
        <v>"C:\Program Files (x86)\AstroGrep\AstroGrep.exe" /spath="%USERPROFILE%\AppData\Local\Temp\OnboardLogs" /stypes="*4015*201702101*" /stext=" 12:.+((SYSTEM_STATE.+slice.+state.+changed )|(ment ac)|(multiple cpu faults)|(system.+state.+changed )|(\[timeout)|(PRM\|1\|D)|(kpr)|(kdp)|(\|lc)|(penalty))" /e /r /s</v>
      </c>
      <c r="U29" s="9" t="str">
        <f t="shared" si="2"/>
        <v>4015</v>
      </c>
      <c r="V29" s="32">
        <f t="shared" si="3"/>
        <v>42776.516863425924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{"issue":{"subject":"","project_id":79,"tracker_id":40,"status_id":1,"priority_id":2,"assigned_to_id":23,"start_date":"2017-02-10","description":"","custom_fields":[{"id":1,"name":"Subdivision","value":"NW"},{"id":4,"name":"Milepost","value":"0.0575"},{"id":17,"name":"Train ID","value":"800-10"},{"id":16,"name":"Locomotive ID","value":"4015"},{"id":130,"name":"Impact","value":""},{"id":150,"name":"Time of Event (Mountain Time)","value":"05:24:17"},{"id":151,"name":"Denver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"%USERPROFILE%\AppData\Local\Temp\OnboardLogs"\RTDC4015\*4015*201702101*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"%USERPROFILE%\AppData\Local\Temp\OnboardLogs"\RTDC4015\*4015*201702101* &gt;&gt; 2017-02-10-SliceDisagreementCheck.txt</v>
      </c>
      <c r="AE29" s="157" t="str">
        <f t="shared" si="9"/>
        <v>start /low /b %USERPROFILE%\Documents\GitHub\eaglep3\Utilities\DownloadLogsFromS3.py --loco 4015 --day 2017-02-10</v>
      </c>
      <c r="AF29" s="1"/>
    </row>
    <row r="30" spans="1:32" x14ac:dyDescent="0.25">
      <c r="A30" s="32">
        <v>42776.607592592591</v>
      </c>
      <c r="B30" s="30" t="s">
        <v>330</v>
      </c>
      <c r="C30" s="30" t="s">
        <v>549</v>
      </c>
      <c r="D30" s="30" t="s">
        <v>49</v>
      </c>
      <c r="E30" s="30" t="s">
        <v>188</v>
      </c>
      <c r="F30" s="43">
        <v>0</v>
      </c>
      <c r="G30" s="43">
        <v>52</v>
      </c>
      <c r="H30" s="43">
        <v>58914</v>
      </c>
      <c r="I30" s="43">
        <v>58967</v>
      </c>
      <c r="J30" s="30" t="s">
        <v>189</v>
      </c>
      <c r="K30" s="43">
        <v>59048</v>
      </c>
      <c r="L30" s="143" t="s">
        <v>50</v>
      </c>
      <c r="M30" s="144">
        <f t="shared" si="0"/>
        <v>42.768000000000001</v>
      </c>
      <c r="N30" s="145" t="str">
        <f>VLOOKUP(C30,'Trips&amp;Operators'!$C$1:$G$99999,5,FALSE)</f>
        <v>LEVERE CRAIG</v>
      </c>
      <c r="O30" s="194" t="s">
        <v>185</v>
      </c>
      <c r="P30" s="146"/>
      <c r="Q30" s="30"/>
      <c r="R30" s="89" t="str">
        <f>VLOOKUP(C30,'Train Runs'!$A$13:$AE$9957,31,0)</f>
        <v>aws s3 cp s3://rtdc.mdm.uploadarchive.raw/RTDC4031/ "%USERPROFILE%\AppData\Local\Temp\OnboardLogs"\RTDC4031\2017-02-10 --exclude "*" --recursive --include "*20170210*" &amp; "%USERPROFILE%\Documents\GitHub\mrs-test-scripts\Headless Mode &amp; Sideloading\WalkAndUnGZ.bat" "%USERPROFILE%\AppData\Local\Temp\OnboardLogs"\RTDC4031\2017-02-10 &amp; aws s3 cp s3://rtdc.mdm.uploadarchive.raw/RTDC4031/ "%USERPROFILE%\AppData\Local\Temp\OnboardLogs"\RTDC4031\2017-02-11 --exclude "*" --recursive --include "*20170211*" &amp; "%USERPROFILE%\Documents\GitHub\mrs-test-scripts\Headless Mode &amp; Sideloading\WalkAndUnGZ.bat" "%USERPROFILE%\AppData\Local\Temp\OnboardLogs"\RTDC4031\2017-02-11</v>
      </c>
      <c r="S30" s="92" t="str">
        <f>VLOOKUP(C30,'Train Runs'!$A$13:$AE$9957,22,0)</f>
        <v>https://d0f6bd738d7f1b3e5a7ca70fe4ff75f0.us-east-1.aws.found.io/app/kibana#/discover/Steve-Slow-Train-Analysis-(2080s-and-2083s)?_g=(refreshInterval:(display:Off,pause:!f,section:0,value:0),time:(from:'2017-02-10T13:13:15-0700',mode:absolute,to:'2017-02-10T15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0" s="94" t="str">
        <f t="shared" si="1"/>
        <v>"C:\Program Files (x86)\AstroGrep\AstroGrep.exe" /spath="%USERPROFILE%\AppData\Local\Temp\OnboardLogs" /stypes="*4031*201702102*" /stext=" 21:.+((SYSTEM_STATE.+slice.+state.+changed )|(ment ac)|(multiple cpu faults)|(system.+state.+changed )|(\[timeout)|(PRM\|1\|D)|(kpr)|(kdp)|(\|lc)|(penalty))" /e /r /s</v>
      </c>
      <c r="U30" s="9" t="str">
        <f t="shared" si="2"/>
        <v>4031</v>
      </c>
      <c r="V30" s="32">
        <f t="shared" si="3"/>
        <v>42776.899259259255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{"issue":{"subject":"","project_id":79,"tracker_id":40,"status_id":1,"priority_id":2,"assigned_to_id":23,"start_date":"2017-02-10","description":"","custom_fields":[{"id":1,"name":"Subdivision","value":"NW"},{"id":4,"name":"Milepost","value":"5.9048"},{"id":17,"name":"Train ID","value":"823-10"},{"id":16,"name":"Locomotive ID","value":"4031"},{"id":130,"name":"Impact","value":""},{"id":150,"name":"Time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"%USERPROFILE%\AppData\Local\Temp\OnboardLogs"\RTDC4031\*4031*201702102*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"%USERPROFILE%\AppData\Local\Temp\OnboardLogs"\RTDC4031\*4031*201702102* &gt;&gt; 2017-02-10-SliceDisagreementCheck.txt</v>
      </c>
      <c r="AE30" s="157" t="str">
        <f t="shared" si="9"/>
        <v>start /low /b %USERPROFILE%\Documents\GitHub\eaglep3\Utilities\DownloadLogsFromS3.py --loco 4031 --day 2017-02-10</v>
      </c>
      <c r="AF30" s="1"/>
    </row>
    <row r="31" spans="1:32" x14ac:dyDescent="0.25">
      <c r="A31" s="32">
        <v>42776.180254629631</v>
      </c>
      <c r="B31" s="30" t="s">
        <v>225</v>
      </c>
      <c r="C31" s="30" t="s">
        <v>540</v>
      </c>
      <c r="D31" s="30" t="s">
        <v>49</v>
      </c>
      <c r="E31" s="30" t="s">
        <v>186</v>
      </c>
      <c r="F31" s="43">
        <v>0</v>
      </c>
      <c r="G31" s="43">
        <v>151</v>
      </c>
      <c r="H31" s="43">
        <v>17799</v>
      </c>
      <c r="I31" s="43">
        <v>17562</v>
      </c>
      <c r="J31" s="30" t="s">
        <v>187</v>
      </c>
      <c r="K31" s="43">
        <v>16590</v>
      </c>
      <c r="L31" s="143" t="s">
        <v>51</v>
      </c>
      <c r="M31" s="144">
        <f t="shared" si="0"/>
        <v>513.21600000000001</v>
      </c>
      <c r="N31" s="145" t="str">
        <f>VLOOKUP(C31,'Trips&amp;Operators'!$C$1:$G$99999,5,FALSE)</f>
        <v>STARKS ANGELINA</v>
      </c>
      <c r="O31" s="194" t="s">
        <v>185</v>
      </c>
      <c r="P31" s="146"/>
      <c r="Q31" s="30"/>
      <c r="R31" s="89" t="str">
        <f>VLOOKUP(C31,'Train Runs'!$A$13:$AE$9957,31,0)</f>
        <v>aws s3 cp s3://rtdc.mdm.uploadarchive.raw/RTDC4045/ "%USERPROFILE%\AppData\Local\Temp\OnboardLogs"\RTDC4045\2017-02-10 --exclude "*" --recursive --include "*20170210*" &amp; "%USERPROFILE%\Documents\GitHub\mrs-test-scripts\Headless Mode &amp; Sideloading\WalkAndUnGZ.bat" "%USERPROFILE%\AppData\Local\Temp\OnboardLogs"\RTDC4045\2017-02-10 &amp; aws s3 cp s3://rtdc.mdm.uploadarchive.raw/RTDC4045/ "%USERPROFILE%\AppData\Local\Temp\OnboardLogs"\RTDC4045\2017-02-11 --exclude "*" --recursive --include "*20170211*" &amp; "%USERPROFILE%\Documents\GitHub\mrs-test-scripts\Headless Mode &amp; Sideloading\WalkAndUnGZ.bat" "%USERPROFILE%\AppData\Local\Temp\OnboardLogs"\RTDC4045\2017-02-11</v>
      </c>
      <c r="S31" s="92" t="str">
        <f>VLOOKUP(C31,'Train Runs'!$A$13:$AE$9957,22,0)</f>
        <v>https://d0f6bd738d7f1b3e5a7ca70fe4ff75f0.us-east-1.aws.found.io/app/kibana#/discover/Steve-Slow-Train-Analysis-(2080s-and-2083s)?_g=(refreshInterval:(display:Off,pause:!f,section:0,value:0),time:(from:'2017-02-10T03:07:53-0700',mode:absolute,to:'2017-02-10T05:27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94" t="str">
        <f t="shared" si="1"/>
        <v>"C:\Program Files (x86)\AstroGrep\AstroGrep.exe" /spath="%USERPROFILE%\AppData\Local\Temp\OnboardLogs" /stypes="*4045*201702101*" /stext=" 11:.+((SYSTEM_STATE.+slice.+state.+changed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2">
        <f t="shared" si="3"/>
        <v>42776.471921296295</v>
      </c>
      <c r="W31" s="46" t="str">
        <f t="shared" si="4"/>
        <v>Other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{"issue":{"subject":"","project_id":79,"tracker_id":40,"status_id":1,"priority_id":2,"assigned_to_id":23,"start_date":"2017-02-10","description":"","custom_fields":[{"id":1,"name":"Subdivision","value":"Other"},{"id":4,"name":"Milepost","value":"1.659"},{"id":17,"name":"Train ID","value":"308-10"},{"id":16,"name":"Locomotive ID","value":"4045"},{"id":130,"name":"Impact","value":""},{"id":150,"name":"Time of Event (Mountain Time)","value":"04:19:34"},{"id":151,"name":"Denver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"%USERPROFILE%\AppData\Local\Temp\OnboardLogs"\RTDC4045\*4045*201702101*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"%USERPROFILE%\AppData\Local\Temp\OnboardLogs"\RTDC4045\*4045*201702101* &gt;&gt; 2017-02-10-SliceDisagreementCheck.txt</v>
      </c>
      <c r="AE31" s="157" t="str">
        <f t="shared" si="9"/>
        <v>start /low /b %USERPROFILE%\Documents\GitHub\eaglep3\Utilities\DownloadLogsFromS3.py --loco 4045 --day 2017-02-10</v>
      </c>
      <c r="AF31" s="1"/>
    </row>
    <row r="32" spans="1:32" x14ac:dyDescent="0.25">
      <c r="A32" s="32">
        <v>42776.757627314815</v>
      </c>
      <c r="B32" s="30" t="s">
        <v>258</v>
      </c>
      <c r="C32" s="30" t="s">
        <v>552</v>
      </c>
      <c r="D32" s="30" t="s">
        <v>98</v>
      </c>
      <c r="E32" s="30" t="s">
        <v>188</v>
      </c>
      <c r="F32" s="43">
        <v>0</v>
      </c>
      <c r="G32" s="43">
        <v>6</v>
      </c>
      <c r="H32" s="43">
        <v>839</v>
      </c>
      <c r="I32" s="43">
        <v>0</v>
      </c>
      <c r="J32" s="30" t="s">
        <v>189</v>
      </c>
      <c r="K32" s="43">
        <v>839</v>
      </c>
      <c r="L32" s="143" t="s">
        <v>51</v>
      </c>
      <c r="M32" s="144">
        <f t="shared" si="0"/>
        <v>-442.99200000000002</v>
      </c>
      <c r="N32" s="145" t="str">
        <f>VLOOKUP(C32,'Trips&amp;Operators'!$C$1:$G$99999,5,FALSE)</f>
        <v>PERKINS DARREN</v>
      </c>
      <c r="O32" s="194" t="s">
        <v>185</v>
      </c>
      <c r="P32" s="146"/>
      <c r="Q32" s="30"/>
      <c r="R32" s="89" t="e">
        <f>VLOOKUP(C32,'Train Runs'!$A$13:$AE$9957,31,0)</f>
        <v>#N/A</v>
      </c>
      <c r="S32" s="92" t="e">
        <f>VLOOKUP(C32,'Train Runs'!$A$13:$AE$9957,22,0)</f>
        <v>#N/A</v>
      </c>
      <c r="T32" s="94" t="str">
        <f t="shared" si="1"/>
        <v>"C:\Program Files (x86)\AstroGrep\AstroGrep.exe" /spath="%USERPROFILE%\AppData\Local\Temp\OnboardLogs" /stypes="*4043*201702110*" /stext=" 01:.+((SYSTEM_STATE.+slice.+state.+changed )|(ment ac)|(multiple cpu faults)|(system.+state.+changed )|(\[timeout)|(PRM\|1\|D)|(kpr)|(kdp)|(\|lc)|(penalty))" /e /r /s</v>
      </c>
      <c r="U32" s="9" t="str">
        <f t="shared" si="2"/>
        <v>4043</v>
      </c>
      <c r="V32" s="32">
        <f t="shared" si="3"/>
        <v>42777.049293981479</v>
      </c>
      <c r="W32" s="46" t="str">
        <f t="shared" si="4"/>
        <v>Other</v>
      </c>
      <c r="X32" s="46" t="str">
        <f t="shared" si="5"/>
        <v>OMIT</v>
      </c>
      <c r="Y32" s="108" t="str">
        <f t="shared" si="6"/>
        <v>echo {"issue":{"subject":"","project_id":79,"tracker_id":40,"status_id":1,"priority_id":2,"assigned_to_id":23,"start_date":"2017-02-10","description":"","custom_fields":[{"id":1,"name":"Subdivision","value":"Other"},{"id":4,"name":"Milepost","value":"0.0839"},{"id":17,"name":"Train ID","value":"72-10"},{"id":16,"name":"Locomotive ID","value":"4043"},{"id":130,"name":"Impact","value":""},{"id":150,"name":"Time of Event (Mountain Time)","value":"18:10:59"},{"id":151,"name":"Denver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"%USERPROFILE%\AppData\Local\Temp\OnboardLogs"\RTDC4043\*4043*201702110*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"%USERPROFILE%\AppData\Local\Temp\OnboardLogs"\RTDC4043\*4043*201702110* &gt;&gt; 2017-02-10-SliceDisagreementCheck.txt</v>
      </c>
      <c r="AE32" s="157" t="str">
        <f t="shared" si="9"/>
        <v>start /low /b %USERPROFILE%\Documents\GitHub\eaglep3\Utilities\DownloadLogsFromS3.py --loco 4043 --day 2017-02-11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</sheetData>
  <autoFilter ref="A6:AC50">
    <sortState ref="A7:AC51">
      <sortCondition ref="W7:W33"/>
      <sortCondition ref="E7:E33"/>
      <sortCondition ref="K7:K33"/>
      <sortCondition ref="F7:F33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9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XFD3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2017-02-10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>
        <v>244</v>
      </c>
      <c r="B3" s="43" t="str">
        <f>A3&amp;"-"&amp;IF(DAY(Variables!$A$2)&lt;10,0,"")&amp;DAY(Variables!$A$2)</f>
        <v>244-10</v>
      </c>
      <c r="C3" s="147"/>
      <c r="D3" s="165"/>
      <c r="E3" s="30" t="s">
        <v>909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-10%22)),sort:!(Time.ISO8601,asc))</v>
      </c>
      <c r="J3" s="30" t="e">
        <f>VLOOKUP(B3,'Train Runs'!$A$13:$A$99954,1,FALSE)</f>
        <v>#N/A</v>
      </c>
    </row>
    <row r="4" spans="1:10" s="20" customFormat="1" x14ac:dyDescent="0.25">
      <c r="A4" s="186">
        <v>246</v>
      </c>
      <c r="B4" s="43" t="str">
        <f>A4&amp;"-"&amp;IF(DAY(Variables!$A$2)&lt;10,0,"")&amp;DAY(Variables!$A$2)</f>
        <v>246-10</v>
      </c>
      <c r="C4" s="147"/>
      <c r="D4" s="165"/>
      <c r="E4" s="30" t="s">
        <v>909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ref="I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-10%22)),sort:!(Time.ISO8601,asc))</v>
      </c>
      <c r="J4" s="30" t="e">
        <f>VLOOKUP(B4,'Train Runs'!$A$13:$A$99954,1,FALSE)</f>
        <v>#N/A</v>
      </c>
    </row>
    <row r="5" spans="1:10" x14ac:dyDescent="0.25">
      <c r="A5" s="186"/>
      <c r="B5" s="43" t="str">
        <f>A5&amp;"-"&amp;IF(DAY(Variables!$A$2)&lt;10,0,"")&amp;DAY(Variables!$A$2)</f>
        <v>-10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Runs'!$A$13:$A$99954,1,FALSE)</f>
        <v>#N/A</v>
      </c>
    </row>
    <row r="6" spans="1:10" x14ac:dyDescent="0.25">
      <c r="A6" s="186"/>
      <c r="B6" s="43" t="str">
        <f>A6&amp;"-"&amp;IF(DAY(Variables!$A$2)&lt;10,0,"")&amp;DAY(Variables!$A$2)</f>
        <v>-10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Runs'!$A$13:$A$99954,1,FALSE)</f>
        <v>#N/A</v>
      </c>
    </row>
    <row r="7" spans="1:10" x14ac:dyDescent="0.25">
      <c r="A7" s="186"/>
      <c r="B7" s="43" t="str">
        <f>A7&amp;"-"&amp;IF(DAY(Variables!$A$2)&lt;10,0,"")&amp;DAY(Variables!$A$2)</f>
        <v>-10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Runs'!$A$13:$A$99954,1,FALSE)</f>
        <v>#N/A</v>
      </c>
    </row>
    <row r="8" spans="1:10" x14ac:dyDescent="0.25">
      <c r="A8" s="186"/>
      <c r="B8" s="43" t="str">
        <f>A8&amp;"-"&amp;IF(DAY(Variables!$A$2)&lt;10,0,"")&amp;DAY(Variables!$A$2)</f>
        <v>-10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Runs'!$A$13:$A$99954,1,FALSE)</f>
        <v>#N/A</v>
      </c>
    </row>
    <row r="9" spans="1:10" x14ac:dyDescent="0.25">
      <c r="A9" s="186"/>
      <c r="B9" s="43" t="str">
        <f>A9&amp;"-"&amp;IF(DAY(Variables!$A$2)&lt;10,0,"")&amp;DAY(Variables!$A$2)</f>
        <v>-10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Runs'!$A$13:$A$99954,1,FALSE)</f>
        <v>#N/A</v>
      </c>
    </row>
    <row r="10" spans="1:10" x14ac:dyDescent="0.25">
      <c r="A10" s="186"/>
      <c r="B10" s="43" t="str">
        <f>A10&amp;"-"&amp;IF(DAY(Variables!$A$2)&lt;10,0,"")&amp;DAY(Variables!$A$2)</f>
        <v>-10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Runs'!$A$13:$A$99954,1,FALSE)</f>
        <v>#N/A</v>
      </c>
    </row>
    <row r="11" spans="1:10" x14ac:dyDescent="0.25">
      <c r="A11" s="186"/>
      <c r="B11" s="43" t="str">
        <f>A11&amp;"-"&amp;IF(DAY(Variables!$A$2)&lt;10,0,"")&amp;DAY(Variables!$A$2)</f>
        <v>-10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Runs'!$A$13:$A$99954,1,FALSE)</f>
        <v>#N/A</v>
      </c>
    </row>
    <row r="12" spans="1:10" x14ac:dyDescent="0.25">
      <c r="A12" s="186"/>
      <c r="B12" s="43" t="str">
        <f>A12&amp;"-"&amp;IF(DAY(Variables!$A$2)&lt;10,0,"")&amp;DAY(Variables!$A$2)</f>
        <v>-10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Runs'!$A$13:$A$99954,1,FALSE)</f>
        <v>#N/A</v>
      </c>
    </row>
    <row r="13" spans="1:10" x14ac:dyDescent="0.25">
      <c r="A13" s="186"/>
      <c r="B13" s="43" t="str">
        <f>A13&amp;"-"&amp;IF(DAY(Variables!$A$2)&lt;10,0,"")&amp;DAY(Variables!$A$2)</f>
        <v>-10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Runs'!$A$13:$A$99954,1,FALSE)</f>
        <v>#N/A</v>
      </c>
    </row>
    <row r="14" spans="1:10" x14ac:dyDescent="0.25">
      <c r="A14" s="186"/>
      <c r="B14" s="43" t="str">
        <f>A14&amp;"-"&amp;IF(DAY(Variables!$A$2)&lt;10,0,"")&amp;DAY(Variables!$A$2)</f>
        <v>-10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Runs'!$A$13:$A$99954,1,FALSE)</f>
        <v>#N/A</v>
      </c>
    </row>
    <row r="15" spans="1:10" x14ac:dyDescent="0.25">
      <c r="A15" s="186"/>
      <c r="B15" s="43" t="str">
        <f>A15&amp;"-"&amp;IF(DAY(Variables!$A$2)&lt;10,0,"")&amp;DAY(Variables!$A$2)</f>
        <v>-10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Runs'!$A$13:$A$99954,1,FALSE)</f>
        <v>#N/A</v>
      </c>
    </row>
    <row r="16" spans="1:10" x14ac:dyDescent="0.25">
      <c r="A16" s="186"/>
      <c r="B16" s="43" t="str">
        <f>A16&amp;"-"&amp;IF(DAY(Variables!$A$2)&lt;10,0,"")&amp;DAY(Variables!$A$2)</f>
        <v>-10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Runs'!$A$13:$A$99954,1,FALSE)</f>
        <v>#N/A</v>
      </c>
    </row>
    <row r="17" spans="1:10" x14ac:dyDescent="0.25">
      <c r="A17" s="186"/>
      <c r="B17" s="43" t="str">
        <f>A17&amp;"-"&amp;IF(DAY(Variables!$A$2)&lt;10,0,"")&amp;DAY(Variables!$A$2)</f>
        <v>-10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Runs'!$A$13:$A$99954,1,FALSE)</f>
        <v>#N/A</v>
      </c>
    </row>
    <row r="18" spans="1:10" x14ac:dyDescent="0.25">
      <c r="A18" s="186"/>
      <c r="B18" s="43" t="str">
        <f>A18&amp;"-"&amp;IF(DAY(Variables!$A$2)&lt;10,0,"")&amp;DAY(Variables!$A$2)</f>
        <v>-10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Runs'!$A$13:$A$99954,1,FALSE)</f>
        <v>#N/A</v>
      </c>
    </row>
    <row r="19" spans="1:10" x14ac:dyDescent="0.25">
      <c r="A19" s="186"/>
      <c r="B19" s="43" t="str">
        <f>A19&amp;"-"&amp;IF(DAY(Variables!$A$2)&lt;10,0,"")&amp;DAY(Variables!$A$2)</f>
        <v>-10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Runs'!$A$13:$A$99954,1,FALSE)</f>
        <v>#N/A</v>
      </c>
    </row>
    <row r="20" spans="1:10" x14ac:dyDescent="0.25">
      <c r="A20" s="186"/>
      <c r="B20" s="43" t="str">
        <f>A20&amp;"-"&amp;IF(DAY(Variables!$A$2)&lt;10,0,"")&amp;DAY(Variables!$A$2)</f>
        <v>-10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Runs'!$A$13:$A$99954,1,FALSE)</f>
        <v>#N/A</v>
      </c>
    </row>
    <row r="21" spans="1:10" x14ac:dyDescent="0.25">
      <c r="A21" s="186"/>
      <c r="B21" s="43" t="str">
        <f>A21&amp;"-"&amp;IF(DAY(Variables!$A$2)&lt;10,0,"")&amp;DAY(Variables!$A$2)</f>
        <v>-10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Runs'!$A$13:$A$99954,1,FALSE)</f>
        <v>#N/A</v>
      </c>
    </row>
    <row r="22" spans="1:10" x14ac:dyDescent="0.25">
      <c r="A22" s="186"/>
      <c r="B22" s="43" t="str">
        <f>A22&amp;"-"&amp;IF(DAY(Variables!$A$2)&lt;10,0,"")&amp;DAY(Variables!$A$2)</f>
        <v>-10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Runs'!$A$13:$A$99954,1,FALSE)</f>
        <v>#N/A</v>
      </c>
    </row>
    <row r="23" spans="1:10" x14ac:dyDescent="0.25">
      <c r="A23" s="186"/>
      <c r="B23" s="43" t="str">
        <f>A23&amp;"-"&amp;IF(DAY(Variables!$A$2)&lt;10,0,"")&amp;DAY(Variables!$A$2)</f>
        <v>-10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Runs'!$A$13:$A$99954,1,FALSE)</f>
        <v>#N/A</v>
      </c>
    </row>
    <row r="24" spans="1:10" x14ac:dyDescent="0.25">
      <c r="A24" s="186"/>
      <c r="B24" s="43" t="str">
        <f>A24&amp;"-"&amp;IF(DAY(Variables!$A$2)&lt;10,0,"")&amp;DAY(Variables!$A$2)</f>
        <v>-10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Runs'!$A$13:$A$99954,1,FALSE)</f>
        <v>#N/A</v>
      </c>
    </row>
    <row r="25" spans="1:10" x14ac:dyDescent="0.25">
      <c r="A25" s="186"/>
      <c r="B25" s="43" t="str">
        <f>A25&amp;"-"&amp;IF(DAY(Variables!$A$2)&lt;10,0,"")&amp;DAY(Variables!$A$2)</f>
        <v>-10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Runs'!$A$13:$A$99954,1,FALSE)</f>
        <v>#N/A</v>
      </c>
    </row>
    <row r="26" spans="1:10" x14ac:dyDescent="0.25">
      <c r="A26" s="186"/>
      <c r="B26" s="43" t="str">
        <f>A26&amp;"-"&amp;IF(DAY(Variables!$A$2)&lt;10,0,"")&amp;DAY(Variables!$A$2)</f>
        <v>-10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Runs'!$A$13:$A$99954,1,FALSE)</f>
        <v>#N/A</v>
      </c>
    </row>
    <row r="27" spans="1:10" x14ac:dyDescent="0.25">
      <c r="A27" s="186"/>
      <c r="B27" s="43" t="str">
        <f>A27&amp;"-"&amp;IF(DAY(Variables!$A$2)&lt;10,0,"")&amp;DAY(Variables!$A$2)</f>
        <v>-10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Runs'!$A$13:$A$99954,1,FALSE)</f>
        <v>#N/A</v>
      </c>
    </row>
    <row r="28" spans="1:10" x14ac:dyDescent="0.25">
      <c r="A28" s="186"/>
      <c r="B28" s="43" t="str">
        <f>A28&amp;"-"&amp;IF(DAY(Variables!$A$2)&lt;10,0,"")&amp;DAY(Variables!$A$2)</f>
        <v>-10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Runs'!$A$13:$A$99954,1,FALSE)</f>
        <v>#N/A</v>
      </c>
    </row>
    <row r="29" spans="1:10" x14ac:dyDescent="0.25">
      <c r="A29" s="186"/>
      <c r="B29" s="43" t="str">
        <f>A29&amp;"-"&amp;IF(DAY(Variables!$A$2)&lt;10,0,"")&amp;DAY(Variables!$A$2)</f>
        <v>-10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Runs'!$A$13:$A$99954,1,FALSE)</f>
        <v>#N/A</v>
      </c>
    </row>
    <row r="30" spans="1:10" x14ac:dyDescent="0.25">
      <c r="A30" s="186"/>
      <c r="B30" s="43" t="str">
        <f>A30&amp;"-"&amp;IF(DAY(Variables!$A$2)&lt;10,0,"")&amp;DAY(Variables!$A$2)</f>
        <v>-10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Runs'!$A$13:$A$99954,1,FALSE)</f>
        <v>#N/A</v>
      </c>
    </row>
    <row r="31" spans="1:10" x14ac:dyDescent="0.25">
      <c r="A31" s="186"/>
      <c r="B31" s="43" t="str">
        <f>A31&amp;"-"&amp;IF(DAY(Variables!$A$2)&lt;10,0,"")&amp;DAY(Variables!$A$2)</f>
        <v>-10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Runs'!$A$13:$A$99954,1,FALSE)</f>
        <v>#N/A</v>
      </c>
    </row>
    <row r="32" spans="1:10" x14ac:dyDescent="0.25">
      <c r="A32" s="186"/>
      <c r="B32" s="43" t="str">
        <f>A32&amp;"-"&amp;IF(DAY(Variables!$A$2)&lt;10,0,"")&amp;DAY(Variables!$A$2)</f>
        <v>-10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Runs'!$A$13:$A$99954,1,FALSE)</f>
        <v>#N/A</v>
      </c>
    </row>
    <row r="33" spans="1:10" x14ac:dyDescent="0.25">
      <c r="A33" s="186"/>
      <c r="B33" s="43" t="str">
        <f>A33&amp;"-"&amp;IF(DAY(Variables!$A$2)&lt;10,0,"")&amp;DAY(Variables!$A$2)</f>
        <v>-10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Runs'!$A$13:$A$99954,1,FALSE)</f>
        <v>#N/A</v>
      </c>
    </row>
    <row r="34" spans="1:10" x14ac:dyDescent="0.25">
      <c r="A34" s="186"/>
      <c r="B34" s="43" t="str">
        <f>A34&amp;"-"&amp;IF(DAY(Variables!$A$2)&lt;10,0,"")&amp;DAY(Variables!$A$2)</f>
        <v>-10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4" s="30" t="e">
        <f>VLOOKUP(B34,'Train Runs'!$A$13:$A$99954,1,FALSE)</f>
        <v>#N/A</v>
      </c>
    </row>
    <row r="35" spans="1:10" x14ac:dyDescent="0.25">
      <c r="A35" s="186"/>
      <c r="B35" s="43" t="str">
        <f>A35&amp;"-"&amp;IF(DAY(Variables!$A$2)&lt;10,0,"")&amp;DAY(Variables!$A$2)</f>
        <v>-10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5" s="30" t="e">
        <f>VLOOKUP(B35,'Train Runs'!$A$13:$A$99954,1,FALSE)</f>
        <v>#N/A</v>
      </c>
    </row>
    <row r="36" spans="1:10" x14ac:dyDescent="0.25">
      <c r="A36" s="186"/>
      <c r="B36" s="43" t="str">
        <f>A36&amp;"-"&amp;IF(DAY(Variables!$A$2)&lt;10,0,"")&amp;DAY(Variables!$A$2)</f>
        <v>-10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6" s="30" t="e">
        <f>VLOOKUP(B36,'Train Runs'!$A$13:$A$99954,1,FALSE)</f>
        <v>#N/A</v>
      </c>
    </row>
    <row r="37" spans="1:10" x14ac:dyDescent="0.25">
      <c r="A37" s="186"/>
      <c r="B37" s="43" t="str">
        <f>A37&amp;"-"&amp;IF(DAY(Variables!$A$2)&lt;10,0,"")&amp;DAY(Variables!$A$2)</f>
        <v>-10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7" s="30" t="e">
        <f>VLOOKUP(B37,'Train Runs'!$A$13:$A$99954,1,FALSE)</f>
        <v>#N/A</v>
      </c>
    </row>
    <row r="38" spans="1:10" x14ac:dyDescent="0.25">
      <c r="A38" s="186"/>
      <c r="B38" s="43" t="str">
        <f>A38&amp;"-"&amp;IF(DAY(Variables!$A$2)&lt;10,0,"")&amp;DAY(Variables!$A$2)</f>
        <v>-10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8" s="30" t="e">
        <f>VLOOKUP(B38,'Train Runs'!$A$13:$A$99954,1,FALSE)</f>
        <v>#N/A</v>
      </c>
    </row>
    <row r="39" spans="1:10" x14ac:dyDescent="0.25">
      <c r="A39" s="186"/>
      <c r="B39" s="43" t="str">
        <f>A39&amp;"-"&amp;IF(DAY(Variables!$A$2)&lt;10,0,"")&amp;DAY(Variables!$A$2)</f>
        <v>-10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9" s="30" t="e">
        <f>VLOOKUP(B39,'Train Runs'!$A$13:$A$99954,1,FALSE)</f>
        <v>#N/A</v>
      </c>
    </row>
    <row r="40" spans="1:10" x14ac:dyDescent="0.25">
      <c r="A40" s="186"/>
      <c r="B40" s="43" t="str">
        <f>A40&amp;"-"&amp;IF(DAY(Variables!$A$2)&lt;10,0,"")&amp;DAY(Variables!$A$2)</f>
        <v>-10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0" s="30" t="e">
        <f>VLOOKUP(B40,'Train Runs'!$A$13:$A$99954,1,FALSE)</f>
        <v>#N/A</v>
      </c>
    </row>
    <row r="41" spans="1:10" x14ac:dyDescent="0.25">
      <c r="A41" s="186"/>
      <c r="B41" s="43" t="str">
        <f>A41&amp;"-"&amp;IF(DAY(Variables!$A$2)&lt;10,0,"")&amp;DAY(Variables!$A$2)</f>
        <v>-10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1" s="30" t="e">
        <f>VLOOKUP(B41,'Train Runs'!$A$13:$A$99954,1,FALSE)</f>
        <v>#N/A</v>
      </c>
    </row>
    <row r="42" spans="1:10" x14ac:dyDescent="0.25">
      <c r="A42" s="186"/>
      <c r="B42" s="43" t="str">
        <f>A42&amp;"-"&amp;IF(DAY(Variables!$A$2)&lt;10,0,"")&amp;DAY(Variables!$A$2)</f>
        <v>-10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2" s="30" t="e">
        <f>VLOOKUP(B42,'Train Runs'!$A$13:$A$99954,1,FALSE)</f>
        <v>#N/A</v>
      </c>
    </row>
    <row r="43" spans="1:10" x14ac:dyDescent="0.25">
      <c r="A43" s="186"/>
      <c r="B43" s="43" t="str">
        <f>A43&amp;"-"&amp;IF(DAY(Variables!$A$2)&lt;10,0,"")&amp;DAY(Variables!$A$2)</f>
        <v>-10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3" s="30" t="e">
        <f>VLOOKUP(B43,'Train Runs'!$A$13:$A$99954,1,FALSE)</f>
        <v>#N/A</v>
      </c>
    </row>
    <row r="44" spans="1:10" x14ac:dyDescent="0.25">
      <c r="A44" s="186"/>
      <c r="B44" s="43" t="str">
        <f>A44&amp;"-"&amp;IF(DAY(Variables!$A$2)&lt;10,0,"")&amp;DAY(Variables!$A$2)</f>
        <v>-10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4" s="30" t="e">
        <f>VLOOKUP(B44,'Train Runs'!$A$13:$A$99954,1,FALSE)</f>
        <v>#N/A</v>
      </c>
    </row>
    <row r="45" spans="1:10" x14ac:dyDescent="0.25">
      <c r="A45" s="186"/>
      <c r="B45" s="43" t="str">
        <f>A45&amp;"-"&amp;IF(DAY(Variables!$A$2)&lt;10,0,"")&amp;DAY(Variables!$A$2)</f>
        <v>-10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5" s="30" t="e">
        <f>VLOOKUP(B45,'Train Runs'!$A$13:$A$99954,1,FALSE)</f>
        <v>#N/A</v>
      </c>
    </row>
    <row r="46" spans="1:10" x14ac:dyDescent="0.25">
      <c r="A46" s="186"/>
      <c r="B46" s="43" t="str">
        <f>A46&amp;"-"&amp;IF(DAY(Variables!$A$2)&lt;10,0,"")&amp;DAY(Variables!$A$2)</f>
        <v>-10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6" s="30" t="e">
        <f>VLOOKUP(B46,'Train Runs'!$A$13:$A$99954,1,FALSE)</f>
        <v>#N/A</v>
      </c>
    </row>
    <row r="47" spans="1:10" x14ac:dyDescent="0.25">
      <c r="A47" s="186"/>
      <c r="B47" s="43" t="str">
        <f>A47&amp;"-"&amp;IF(DAY(Variables!$A$2)&lt;10,0,"")&amp;DAY(Variables!$A$2)</f>
        <v>-10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7" s="30" t="e">
        <f>VLOOKUP(B47,'Train Runs'!$A$13:$A$99954,1,FALSE)</f>
        <v>#N/A</v>
      </c>
    </row>
    <row r="48" spans="1:10" x14ac:dyDescent="0.25">
      <c r="A48" s="186"/>
      <c r="B48" s="43" t="str">
        <f>A48&amp;"-"&amp;IF(DAY(Variables!$A$2)&lt;10,0,"")&amp;DAY(Variables!$A$2)</f>
        <v>-10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8" s="30" t="e">
        <f>VLOOKUP(B48,'Train Runs'!$A$13:$A$99954,1,FALSE)</f>
        <v>#N/A</v>
      </c>
    </row>
    <row r="49" spans="1:10" x14ac:dyDescent="0.25">
      <c r="A49" s="186"/>
      <c r="B49" s="43" t="str">
        <f>A49&amp;"-"&amp;IF(DAY(Variables!$A$2)&lt;10,0,"")&amp;DAY(Variables!$A$2)</f>
        <v>-10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9" s="30" t="e">
        <f>VLOOKUP(B49,'Train Runs'!$A$13:$A$99954,1,FALSE)</f>
        <v>#N/A</v>
      </c>
    </row>
    <row r="50" spans="1:10" x14ac:dyDescent="0.25">
      <c r="A50" s="186"/>
      <c r="B50" s="43" t="str">
        <f>A50&amp;"-"&amp;IF(DAY(Variables!$A$2)&lt;10,0,"")&amp;DAY(Variables!$A$2)</f>
        <v>-10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0" s="30" t="e">
        <f>VLOOKUP(B50,'Train Runs'!$A$13:$A$99954,1,FALSE)</f>
        <v>#N/A</v>
      </c>
    </row>
    <row r="51" spans="1:10" x14ac:dyDescent="0.25">
      <c r="A51" s="186"/>
      <c r="B51" s="43" t="str">
        <f>A51&amp;"-"&amp;IF(DAY(Variables!$A$2)&lt;10,0,"")&amp;DAY(Variables!$A$2)</f>
        <v>-10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1" s="30" t="e">
        <f>VLOOKUP(B51,'Train Runs'!$A$13:$A$99954,1,FALSE)</f>
        <v>#N/A</v>
      </c>
    </row>
    <row r="52" spans="1:10" x14ac:dyDescent="0.25">
      <c r="A52" s="186"/>
      <c r="B52" s="43" t="str">
        <f>A52&amp;"-"&amp;IF(DAY(Variables!$A$2)&lt;10,0,"")&amp;DAY(Variables!$A$2)</f>
        <v>-10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2" s="30" t="e">
        <f>VLOOKUP(B52,'Train Runs'!$A$13:$A$99954,1,FALSE)</f>
        <v>#N/A</v>
      </c>
    </row>
    <row r="53" spans="1:10" x14ac:dyDescent="0.25">
      <c r="A53" s="186"/>
      <c r="B53" s="43" t="str">
        <f>A53&amp;"-"&amp;IF(DAY(Variables!$A$2)&lt;10,0,"")&amp;DAY(Variables!$A$2)</f>
        <v>-10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3" s="30" t="e">
        <f>VLOOKUP(B53,'Train Runs'!$A$13:$A$99954,1,FALSE)</f>
        <v>#N/A</v>
      </c>
    </row>
    <row r="54" spans="1:10" x14ac:dyDescent="0.25">
      <c r="A54" s="186"/>
      <c r="B54" s="43" t="str">
        <f>A54&amp;"-"&amp;IF(DAY(Variables!$A$2)&lt;10,0,"")&amp;DAY(Variables!$A$2)</f>
        <v>-10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4" s="30" t="e">
        <f>VLOOKUP(B54,'Train Runs'!$A$13:$A$99954,1,FALSE)</f>
        <v>#N/A</v>
      </c>
    </row>
    <row r="55" spans="1:10" x14ac:dyDescent="0.25">
      <c r="A55" s="186"/>
      <c r="B55" s="43" t="str">
        <f>A55&amp;"-"&amp;IF(DAY(Variables!$A$2)&lt;10,0,"")&amp;DAY(Variables!$A$2)</f>
        <v>-10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5" s="30" t="e">
        <f>VLOOKUP(B55,'Train Runs'!$A$13:$A$99954,1,FALSE)</f>
        <v>#N/A</v>
      </c>
    </row>
    <row r="56" spans="1:10" x14ac:dyDescent="0.25">
      <c r="A56" s="186"/>
      <c r="B56" s="43" t="str">
        <f>A56&amp;"-"&amp;IF(DAY(Variables!$A$2)&lt;10,0,"")&amp;DAY(Variables!$A$2)</f>
        <v>-10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6" s="30" t="e">
        <f>VLOOKUP(B56,'Train Runs'!$A$13:$A$99954,1,FALSE)</f>
        <v>#N/A</v>
      </c>
    </row>
    <row r="57" spans="1:10" x14ac:dyDescent="0.25">
      <c r="A57" s="186"/>
      <c r="B57" s="43" t="str">
        <f>A57&amp;"-"&amp;IF(DAY(Variables!$A$2)&lt;10,0,"")&amp;DAY(Variables!$A$2)</f>
        <v>-10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7" s="30" t="e">
        <f>VLOOKUP(B57,'Train Runs'!$A$13:$A$99954,1,FALSE)</f>
        <v>#N/A</v>
      </c>
    </row>
    <row r="58" spans="1:10" x14ac:dyDescent="0.25">
      <c r="A58" s="186"/>
      <c r="B58" s="43" t="str">
        <f>A58&amp;"-"&amp;IF(DAY(Variables!$A$2)&lt;10,0,"")&amp;DAY(Variables!$A$2)</f>
        <v>-10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8" s="30" t="e">
        <f>VLOOKUP(B58,'Train Runs'!$A$13:$A$99954,1,FALSE)</f>
        <v>#N/A</v>
      </c>
    </row>
    <row r="59" spans="1:10" x14ac:dyDescent="0.25">
      <c r="A59" s="186"/>
      <c r="B59" s="43" t="str">
        <f>A59&amp;"-"&amp;IF(DAY(Variables!$A$2)&lt;10,0,"")&amp;DAY(Variables!$A$2)</f>
        <v>-10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9" s="30" t="e">
        <f>VLOOKUP(B59,'Train Runs'!$A$13:$A$99954,1,FALSE)</f>
        <v>#N/A</v>
      </c>
    </row>
    <row r="60" spans="1:10" x14ac:dyDescent="0.25">
      <c r="A60" s="186"/>
      <c r="B60" s="43" t="str">
        <f>A60&amp;"-"&amp;IF(DAY(Variables!$A$2)&lt;10,0,"")&amp;DAY(Variables!$A$2)</f>
        <v>-10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0" s="30" t="e">
        <f>VLOOKUP(B60,'Train Runs'!$A$13:$A$99954,1,FALSE)</f>
        <v>#N/A</v>
      </c>
    </row>
    <row r="61" spans="1:10" x14ac:dyDescent="0.25">
      <c r="A61" s="186"/>
      <c r="B61" s="43" t="str">
        <f>A61&amp;"-"&amp;IF(DAY(Variables!$A$2)&lt;10,0,"")&amp;DAY(Variables!$A$2)</f>
        <v>-10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1" s="30" t="e">
        <f>VLOOKUP(B61,'Train Runs'!$A$13:$A$99954,1,FALSE)</f>
        <v>#N/A</v>
      </c>
    </row>
    <row r="62" spans="1:10" x14ac:dyDescent="0.25">
      <c r="A62" s="186"/>
      <c r="B62" s="43" t="str">
        <f>A62&amp;"-"&amp;IF(DAY(Variables!$A$2)&lt;10,0,"")&amp;DAY(Variables!$A$2)</f>
        <v>-10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2" s="30" t="e">
        <f>VLOOKUP(B62,'Train Runs'!$A$13:$A$99954,1,FALSE)</f>
        <v>#N/A</v>
      </c>
    </row>
    <row r="63" spans="1:10" x14ac:dyDescent="0.25">
      <c r="A63" s="186"/>
      <c r="B63" s="43" t="str">
        <f>A63&amp;"-"&amp;IF(DAY(Variables!$A$2)&lt;10,0,"")&amp;DAY(Variables!$A$2)</f>
        <v>-10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3" s="30" t="e">
        <f>VLOOKUP(B63,'Train Runs'!$A$13:$A$99954,1,FALSE)</f>
        <v>#N/A</v>
      </c>
    </row>
    <row r="64" spans="1:10" x14ac:dyDescent="0.25">
      <c r="A64" s="186"/>
      <c r="B64" s="43" t="str">
        <f>A64&amp;"-"&amp;IF(DAY(Variables!$A$2)&lt;10,0,"")&amp;DAY(Variables!$A$2)</f>
        <v>-10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4" s="30" t="e">
        <f>VLOOKUP(B64,'Train Runs'!$A$13:$A$99954,1,FALSE)</f>
        <v>#N/A</v>
      </c>
    </row>
    <row r="65" spans="1:10" x14ac:dyDescent="0.25">
      <c r="A65" s="186"/>
      <c r="B65" s="43" t="str">
        <f>A65&amp;"-"&amp;IF(DAY(Variables!$A$2)&lt;10,0,"")&amp;DAY(Variables!$A$2)</f>
        <v>-10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5" s="30" t="e">
        <f>VLOOKUP(B65,'Train Runs'!$A$13:$A$99954,1,FALSE)</f>
        <v>#N/A</v>
      </c>
    </row>
    <row r="66" spans="1:10" x14ac:dyDescent="0.25">
      <c r="A66" s="186"/>
      <c r="B66" s="43" t="str">
        <f>A66&amp;"-"&amp;IF(DAY(Variables!$A$2)&lt;10,0,"")&amp;DAY(Variables!$A$2)</f>
        <v>-10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6" s="30" t="e">
        <f>VLOOKUP(B66,'Train Runs'!$A$13:$A$99954,1,FALSE)</f>
        <v>#N/A</v>
      </c>
    </row>
    <row r="67" spans="1:10" x14ac:dyDescent="0.25">
      <c r="A67" s="186"/>
      <c r="B67" s="43" t="str">
        <f>A67&amp;"-"&amp;IF(DAY(Variables!$A$2)&lt;10,0,"")&amp;DAY(Variables!$A$2)</f>
        <v>-10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7" s="30" t="e">
        <f>VLOOKUP(B67,'Train Runs'!$A$13:$A$99954,1,FALSE)</f>
        <v>#N/A</v>
      </c>
    </row>
    <row r="68" spans="1:10" x14ac:dyDescent="0.25">
      <c r="A68" s="186"/>
      <c r="B68" s="43" t="str">
        <f>A68&amp;"-"&amp;IF(DAY(Variables!$A$2)&lt;10,0,"")&amp;DAY(Variables!$A$2)</f>
        <v>-10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8" s="30" t="e">
        <f>VLOOKUP(B68,'Train Runs'!$A$13:$A$99954,1,FALSE)</f>
        <v>#N/A</v>
      </c>
    </row>
    <row r="69" spans="1:10" x14ac:dyDescent="0.25">
      <c r="A69" s="186"/>
      <c r="B69" s="43" t="str">
        <f>A69&amp;"-"&amp;IF(DAY(Variables!$A$2)&lt;10,0,"")&amp;DAY(Variables!$A$2)</f>
        <v>-10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9" s="30" t="e">
        <f>VLOOKUP(B69,'Train Runs'!$A$13:$A$99954,1,FALSE)</f>
        <v>#N/A</v>
      </c>
    </row>
    <row r="70" spans="1:10" x14ac:dyDescent="0.25">
      <c r="A70" s="186"/>
      <c r="B70" s="43" t="str">
        <f>A70&amp;"-"&amp;IF(DAY(Variables!$A$2)&lt;10,0,"")&amp;DAY(Variables!$A$2)</f>
        <v>-10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0" s="30" t="e">
        <f>VLOOKUP(B70,'Train Runs'!$A$13:$A$99954,1,FALSE)</f>
        <v>#N/A</v>
      </c>
    </row>
    <row r="71" spans="1:10" x14ac:dyDescent="0.25">
      <c r="A71" s="186"/>
      <c r="B71" s="43" t="str">
        <f>A71&amp;"-"&amp;IF(DAY(Variables!$A$2)&lt;10,0,"")&amp;DAY(Variables!$A$2)</f>
        <v>-10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1" s="30" t="e">
        <f>VLOOKUP(B71,'Train Runs'!$A$13:$A$99954,1,FALSE)</f>
        <v>#N/A</v>
      </c>
    </row>
    <row r="72" spans="1:10" x14ac:dyDescent="0.25">
      <c r="A72" s="186"/>
      <c r="B72" s="43" t="str">
        <f>A72&amp;"-"&amp;IF(DAY(Variables!$A$2)&lt;10,0,"")&amp;DAY(Variables!$A$2)</f>
        <v>-10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2" s="30" t="e">
        <f>VLOOKUP(B72,'Train Runs'!$A$13:$A$99954,1,FALSE)</f>
        <v>#N/A</v>
      </c>
    </row>
    <row r="73" spans="1:10" x14ac:dyDescent="0.25">
      <c r="A73" s="186"/>
      <c r="B73" s="43" t="str">
        <f>A73&amp;"-"&amp;IF(DAY(Variables!$A$2)&lt;10,0,"")&amp;DAY(Variables!$A$2)</f>
        <v>-10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3" s="30" t="e">
        <f>VLOOKUP(B73,'Train Runs'!$A$13:$A$99954,1,FALSE)</f>
        <v>#N/A</v>
      </c>
    </row>
    <row r="74" spans="1:10" x14ac:dyDescent="0.25">
      <c r="A74" s="186"/>
      <c r="B74" s="43" t="str">
        <f>A74&amp;"-"&amp;IF(DAY(Variables!$A$2)&lt;10,0,"")&amp;DAY(Variables!$A$2)</f>
        <v>-10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4" s="30" t="e">
        <f>VLOOKUP(B74,'Train Runs'!$A$13:$A$99954,1,FALSE)</f>
        <v>#N/A</v>
      </c>
    </row>
    <row r="75" spans="1:10" x14ac:dyDescent="0.25">
      <c r="A75" s="186"/>
      <c r="B75" s="43" t="str">
        <f>A75&amp;"-"&amp;IF(DAY(Variables!$A$2)&lt;10,0,"")&amp;DAY(Variables!$A$2)</f>
        <v>-10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5" s="30" t="e">
        <f>VLOOKUP(B75,'Train Runs'!$A$13:$A$99954,1,FALSE)</f>
        <v>#N/A</v>
      </c>
    </row>
    <row r="76" spans="1:10" x14ac:dyDescent="0.25">
      <c r="A76" s="186"/>
      <c r="B76" s="43" t="str">
        <f>A76&amp;"-"&amp;IF(DAY(Variables!$A$2)&lt;10,0,"")&amp;DAY(Variables!$A$2)</f>
        <v>-10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6" s="30" t="e">
        <f>VLOOKUP(B76,'Train Runs'!$A$13:$A$99954,1,FALSE)</f>
        <v>#N/A</v>
      </c>
    </row>
    <row r="77" spans="1:10" x14ac:dyDescent="0.25">
      <c r="A77" s="186"/>
      <c r="B77" s="43" t="str">
        <f>A77&amp;"-"&amp;IF(DAY(Variables!$A$2)&lt;10,0,"")&amp;DAY(Variables!$A$2)</f>
        <v>-10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7" s="30" t="e">
        <f>VLOOKUP(B77,'Train Runs'!$A$13:$A$99954,1,FALSE)</f>
        <v>#N/A</v>
      </c>
    </row>
    <row r="78" spans="1:10" x14ac:dyDescent="0.25">
      <c r="A78" s="186"/>
      <c r="B78" s="43" t="str">
        <f>A78&amp;"-"&amp;IF(DAY(Variables!$A$2)&lt;10,0,"")&amp;DAY(Variables!$A$2)</f>
        <v>-10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8" s="30" t="e">
        <f>VLOOKUP(B78,'Train Runs'!$A$13:$A$99954,1,FALSE)</f>
        <v>#N/A</v>
      </c>
    </row>
    <row r="79" spans="1:10" x14ac:dyDescent="0.25">
      <c r="A79" s="186"/>
      <c r="B79" s="43" t="str">
        <f>A79&amp;"-"&amp;IF(DAY(Variables!$A$2)&lt;10,0,"")&amp;DAY(Variables!$A$2)</f>
        <v>-10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9" s="30" t="e">
        <f>VLOOKUP(B79,'Train Runs'!$A$13:$A$99954,1,FALSE)</f>
        <v>#N/A</v>
      </c>
    </row>
    <row r="80" spans="1:10" x14ac:dyDescent="0.25">
      <c r="A80" s="186"/>
      <c r="B80" s="43" t="str">
        <f>A80&amp;"-"&amp;IF(DAY(Variables!$A$2)&lt;10,0,"")&amp;DAY(Variables!$A$2)</f>
        <v>-10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0" s="30" t="e">
        <f>VLOOKUP(B80,'Train Runs'!$A$13:$A$99954,1,FALSE)</f>
        <v>#N/A</v>
      </c>
    </row>
    <row r="81" spans="1:10" x14ac:dyDescent="0.25">
      <c r="A81" s="186"/>
      <c r="B81" s="43" t="str">
        <f>A81&amp;"-"&amp;IF(DAY(Variables!$A$2)&lt;10,0,"")&amp;DAY(Variables!$A$2)</f>
        <v>-10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1" s="30" t="e">
        <f>VLOOKUP(B81,'Train Runs'!$A$13:$A$99954,1,FALSE)</f>
        <v>#N/A</v>
      </c>
    </row>
    <row r="82" spans="1:10" x14ac:dyDescent="0.25">
      <c r="A82" s="186"/>
      <c r="B82" s="43" t="str">
        <f>A82&amp;"-"&amp;IF(DAY(Variables!$A$2)&lt;10,0,"")&amp;DAY(Variables!$A$2)</f>
        <v>-10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2" s="30" t="e">
        <f>VLOOKUP(B82,'Train Runs'!$A$13:$A$99954,1,FALSE)</f>
        <v>#N/A</v>
      </c>
    </row>
    <row r="83" spans="1:10" x14ac:dyDescent="0.25">
      <c r="A83" s="186"/>
      <c r="B83" s="43" t="str">
        <f>A83&amp;"-"&amp;IF(DAY(Variables!$A$2)&lt;10,0,"")&amp;DAY(Variables!$A$2)</f>
        <v>-10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3" s="30" t="e">
        <f>VLOOKUP(B83,'Train Runs'!$A$13:$A$99954,1,FALSE)</f>
        <v>#N/A</v>
      </c>
    </row>
    <row r="84" spans="1:10" x14ac:dyDescent="0.25">
      <c r="A84" s="186"/>
      <c r="B84" s="43" t="str">
        <f>A84&amp;"-"&amp;IF(DAY(Variables!$A$2)&lt;10,0,"")&amp;DAY(Variables!$A$2)</f>
        <v>-10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4" s="30" t="e">
        <f>VLOOKUP(B84,'Train Runs'!$A$13:$A$99954,1,FALSE)</f>
        <v>#N/A</v>
      </c>
    </row>
    <row r="85" spans="1:10" x14ac:dyDescent="0.25">
      <c r="A85" s="186"/>
      <c r="B85" s="43" t="str">
        <f>A85&amp;"-"&amp;IF(DAY(Variables!$A$2)&lt;10,0,"")&amp;DAY(Variables!$A$2)</f>
        <v>-10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5" s="30" t="e">
        <f>VLOOKUP(B85,'Train Runs'!$A$13:$A$99954,1,FALSE)</f>
        <v>#N/A</v>
      </c>
    </row>
    <row r="86" spans="1:10" x14ac:dyDescent="0.25">
      <c r="A86" s="186"/>
      <c r="B86" s="43" t="str">
        <f>A86&amp;"-"&amp;IF(DAY(Variables!$A$2)&lt;10,0,"")&amp;DAY(Variables!$A$2)</f>
        <v>-10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6" s="30" t="e">
        <f>VLOOKUP(B86,'Train Runs'!$A$13:$A$99954,1,FALSE)</f>
        <v>#N/A</v>
      </c>
    </row>
    <row r="87" spans="1:10" x14ac:dyDescent="0.25">
      <c r="A87" s="186"/>
      <c r="B87" s="43" t="str">
        <f>A87&amp;"-"&amp;IF(DAY(Variables!$A$2)&lt;10,0,"")&amp;DAY(Variables!$A$2)</f>
        <v>-10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7" s="30" t="e">
        <f>VLOOKUP(B87,'Train Runs'!$A$13:$A$99954,1,FALSE)</f>
        <v>#N/A</v>
      </c>
    </row>
    <row r="88" spans="1:10" x14ac:dyDescent="0.25">
      <c r="A88" s="186"/>
      <c r="B88" s="43" t="str">
        <f>A88&amp;"-"&amp;IF(DAY(Variables!$A$2)&lt;10,0,"")&amp;DAY(Variables!$A$2)</f>
        <v>-10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8" s="30" t="e">
        <f>VLOOKUP(B88,'Train Runs'!$A$13:$A$99954,1,FALSE)</f>
        <v>#N/A</v>
      </c>
    </row>
    <row r="89" spans="1:10" x14ac:dyDescent="0.25">
      <c r="A89" s="186"/>
      <c r="B89" s="43" t="str">
        <f>A89&amp;"-"&amp;IF(DAY(Variables!$A$2)&lt;10,0,"")&amp;DAY(Variables!$A$2)</f>
        <v>-10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9" s="30" t="e">
        <f>VLOOKUP(B89,'Train Runs'!$A$13:$A$99954,1,FALSE)</f>
        <v>#N/A</v>
      </c>
    </row>
    <row r="90" spans="1:10" x14ac:dyDescent="0.25">
      <c r="A90" s="186"/>
      <c r="B90" s="43" t="str">
        <f>A90&amp;"-"&amp;IF(DAY(Variables!$A$2)&lt;10,0,"")&amp;DAY(Variables!$A$2)</f>
        <v>-10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0" s="30" t="e">
        <f>VLOOKUP(B90,'Train Runs'!$A$13:$A$99954,1,FALSE)</f>
        <v>#N/A</v>
      </c>
    </row>
    <row r="91" spans="1:10" x14ac:dyDescent="0.25">
      <c r="A91" s="186"/>
      <c r="B91" s="43" t="str">
        <f>A91&amp;"-"&amp;IF(DAY(Variables!$A$2)&lt;10,0,"")&amp;DAY(Variables!$A$2)</f>
        <v>-10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1" s="30" t="e">
        <f>VLOOKUP(B91,'Train Runs'!$A$13:$A$99954,1,FALSE)</f>
        <v>#N/A</v>
      </c>
    </row>
    <row r="92" spans="1:10" x14ac:dyDescent="0.25">
      <c r="A92" s="186"/>
      <c r="B92" s="43" t="str">
        <f>A92&amp;"-"&amp;IF(DAY(Variables!$A$2)&lt;10,0,"")&amp;DAY(Variables!$A$2)</f>
        <v>-10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2" s="30" t="e">
        <f>VLOOKUP(B92,'Train Runs'!$A$13:$A$99954,1,FALSE)</f>
        <v>#N/A</v>
      </c>
    </row>
    <row r="93" spans="1:10" x14ac:dyDescent="0.25">
      <c r="A93" s="186"/>
      <c r="B93" s="43" t="str">
        <f>A93&amp;"-"&amp;IF(DAY(Variables!$A$2)&lt;10,0,"")&amp;DAY(Variables!$A$2)</f>
        <v>-10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3" s="30" t="e">
        <f>VLOOKUP(B93,'Train Runs'!$A$13:$A$99954,1,FALSE)</f>
        <v>#N/A</v>
      </c>
    </row>
    <row r="94" spans="1:10" x14ac:dyDescent="0.25">
      <c r="A94" s="186"/>
      <c r="B94" s="43" t="str">
        <f>A94&amp;"-"&amp;IF(DAY(Variables!$A$2)&lt;10,0,"")&amp;DAY(Variables!$A$2)</f>
        <v>-10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4" s="30" t="e">
        <f>VLOOKUP(B94,'Train Runs'!$A$13:$A$99954,1,FALSE)</f>
        <v>#N/A</v>
      </c>
    </row>
    <row r="95" spans="1:10" x14ac:dyDescent="0.25">
      <c r="A95" s="186"/>
      <c r="B95" s="43" t="str">
        <f>A95&amp;"-"&amp;IF(DAY(Variables!$A$2)&lt;10,0,"")&amp;DAY(Variables!$A$2)</f>
        <v>-10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5" s="30" t="e">
        <f>VLOOKUP(B95,'Train Runs'!$A$13:$A$99954,1,FALSE)</f>
        <v>#N/A</v>
      </c>
    </row>
    <row r="96" spans="1:10" x14ac:dyDescent="0.25">
      <c r="A96" s="186"/>
      <c r="B96" s="43" t="str">
        <f>A96&amp;"-"&amp;IF(DAY(Variables!$A$2)&lt;10,0,"")&amp;DAY(Variables!$A$2)</f>
        <v>-10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6" s="30" t="e">
        <f>VLOOKUP(B96,'Train Runs'!$A$13:$A$99954,1,FALSE)</f>
        <v>#N/A</v>
      </c>
    </row>
    <row r="97" spans="1:10" x14ac:dyDescent="0.25">
      <c r="A97" s="186"/>
      <c r="B97" s="43" t="str">
        <f>A97&amp;"-"&amp;IF(DAY(Variables!$A$2)&lt;10,0,"")&amp;DAY(Variables!$A$2)</f>
        <v>-10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7" s="30" t="e">
        <f>VLOOKUP(B97,'Train Runs'!$A$13:$A$99954,1,FALSE)</f>
        <v>#N/A</v>
      </c>
    </row>
    <row r="98" spans="1:10" x14ac:dyDescent="0.25">
      <c r="A98" s="186"/>
      <c r="B98" s="43" t="str">
        <f>A98&amp;"-"&amp;IF(DAY(Variables!$A$2)&lt;10,0,"")&amp;DAY(Variables!$A$2)</f>
        <v>-10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8" s="30" t="e">
        <f>VLOOKUP(B98,'Train Runs'!$A$13:$A$99954,1,FALSE)</f>
        <v>#N/A</v>
      </c>
    </row>
    <row r="99" spans="1:10" x14ac:dyDescent="0.25">
      <c r="A99" s="186"/>
      <c r="B99" s="43" t="str">
        <f>A99&amp;"-"&amp;IF(DAY(Variables!$A$2)&lt;10,0,"")&amp;DAY(Variables!$A$2)</f>
        <v>-10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9" s="30" t="e">
        <f>VLOOKUP(B99,'Train Runs'!$A$13:$A$99954,1,FALSE)</f>
        <v>#N/A</v>
      </c>
    </row>
    <row r="100" spans="1:10" x14ac:dyDescent="0.25">
      <c r="A100" s="186"/>
      <c r="B100" s="43" t="str">
        <f>A100&amp;"-"&amp;IF(DAY(Variables!$A$2)&lt;10,0,"")&amp;DAY(Variables!$A$2)</f>
        <v>-10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0" s="30" t="e">
        <f>VLOOKUP(B100,'Train Runs'!$A$13:$A$99954,1,FALSE)</f>
        <v>#N/A</v>
      </c>
    </row>
    <row r="101" spans="1:10" x14ac:dyDescent="0.25">
      <c r="A101" s="186"/>
      <c r="B101" s="43" t="str">
        <f>A101&amp;"-"&amp;IF(DAY(Variables!$A$2)&lt;10,0,"")&amp;DAY(Variables!$A$2)</f>
        <v>-10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1" s="30" t="e">
        <f>VLOOKUP(B101,'Train Runs'!$A$13:$A$99954,1,FALSE)</f>
        <v>#N/A</v>
      </c>
    </row>
    <row r="102" spans="1:10" x14ac:dyDescent="0.25">
      <c r="A102" s="186"/>
      <c r="B102" s="43" t="str">
        <f>A102&amp;"-"&amp;IF(DAY(Variables!$A$2)&lt;10,0,"")&amp;DAY(Variables!$A$2)</f>
        <v>-10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2" s="30" t="e">
        <f>VLOOKUP(B102,'Train Runs'!$A$13:$A$99954,1,FALSE)</f>
        <v>#N/A</v>
      </c>
    </row>
    <row r="103" spans="1:10" x14ac:dyDescent="0.25">
      <c r="A103" s="186"/>
      <c r="B103" s="43" t="str">
        <f>A103&amp;"-"&amp;IF(DAY(Variables!$A$2)&lt;10,0,"")&amp;DAY(Variables!$A$2)</f>
        <v>-10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3" s="30" t="e">
        <f>VLOOKUP(B103,'Train Runs'!$A$13:$A$99954,1,FALSE)</f>
        <v>#N/A</v>
      </c>
    </row>
    <row r="104" spans="1:10" x14ac:dyDescent="0.25">
      <c r="A104" s="186"/>
      <c r="B104" s="43" t="str">
        <f>A104&amp;"-"&amp;IF(DAY(Variables!$A$2)&lt;10,0,"")&amp;DAY(Variables!$A$2)</f>
        <v>-10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4" s="30" t="e">
        <f>VLOOKUP(B104,'Train Runs'!$A$13:$A$99954,1,FALSE)</f>
        <v>#N/A</v>
      </c>
    </row>
    <row r="105" spans="1:10" x14ac:dyDescent="0.25">
      <c r="A105" s="186"/>
      <c r="B105" s="43" t="str">
        <f>A105&amp;"-"&amp;IF(DAY(Variables!$A$2)&lt;10,0,"")&amp;DAY(Variables!$A$2)</f>
        <v>-10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5" s="30" t="e">
        <f>VLOOKUP(B105,'Train Runs'!$A$13:$A$99954,1,FALSE)</f>
        <v>#N/A</v>
      </c>
    </row>
    <row r="106" spans="1:10" x14ac:dyDescent="0.25">
      <c r="A106" s="186"/>
      <c r="B106" s="43" t="str">
        <f>A106&amp;"-"&amp;IF(DAY(Variables!$A$2)&lt;10,0,"")&amp;DAY(Variables!$A$2)</f>
        <v>-10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6" s="30" t="e">
        <f>VLOOKUP(B106,'Train Runs'!$A$13:$A$99954,1,FALSE)</f>
        <v>#N/A</v>
      </c>
    </row>
    <row r="107" spans="1:10" x14ac:dyDescent="0.25">
      <c r="A107" s="186"/>
      <c r="B107" s="43" t="str">
        <f>A107&amp;"-"&amp;IF(DAY(Variables!$A$2)&lt;10,0,"")&amp;DAY(Variables!$A$2)</f>
        <v>-10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7" s="30" t="e">
        <f>VLOOKUP(B107,'Train Runs'!$A$13:$A$99954,1,FALSE)</f>
        <v>#N/A</v>
      </c>
    </row>
    <row r="108" spans="1:10" x14ac:dyDescent="0.25">
      <c r="A108" s="186"/>
      <c r="B108" s="43" t="str">
        <f>A108&amp;"-"&amp;IF(DAY(Variables!$A$2)&lt;10,0,"")&amp;DAY(Variables!$A$2)</f>
        <v>-10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8" s="30" t="e">
        <f>VLOOKUP(B108,'Train Runs'!$A$13:$A$99954,1,FALSE)</f>
        <v>#N/A</v>
      </c>
    </row>
    <row r="109" spans="1:10" x14ac:dyDescent="0.25">
      <c r="A109" s="186"/>
      <c r="B109" s="43" t="str">
        <f>A109&amp;"-"&amp;IF(DAY(Variables!$A$2)&lt;10,0,"")&amp;DAY(Variables!$A$2)</f>
        <v>-10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9" s="30" t="e">
        <f>VLOOKUP(B109,'Train Runs'!$A$13:$A$99954,1,FALSE)</f>
        <v>#N/A</v>
      </c>
    </row>
    <row r="110" spans="1:10" x14ac:dyDescent="0.25">
      <c r="A110" s="186"/>
      <c r="B110" s="43" t="str">
        <f>A110&amp;"-"&amp;IF(DAY(Variables!$A$2)&lt;10,0,"")&amp;DAY(Variables!$A$2)</f>
        <v>-10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0" s="30" t="e">
        <f>VLOOKUP(B110,'Train Runs'!$A$13:$A$99954,1,FALSE)</f>
        <v>#N/A</v>
      </c>
    </row>
    <row r="111" spans="1:10" x14ac:dyDescent="0.25">
      <c r="A111" s="186"/>
      <c r="B111" s="43" t="str">
        <f>A111&amp;"-"&amp;IF(DAY(Variables!$A$2)&lt;10,0,"")&amp;DAY(Variables!$A$2)</f>
        <v>-10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1" s="30" t="e">
        <f>VLOOKUP(B111,'Train Runs'!$A$13:$A$99954,1,FALSE)</f>
        <v>#N/A</v>
      </c>
    </row>
    <row r="112" spans="1:10" x14ac:dyDescent="0.25">
      <c r="A112" s="186"/>
      <c r="B112" s="43" t="str">
        <f>A112&amp;"-"&amp;IF(DAY(Variables!$A$2)&lt;10,0,"")&amp;DAY(Variables!$A$2)</f>
        <v>-10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2" s="30" t="e">
        <f>VLOOKUP(B112,'Train Runs'!$A$13:$A$99954,1,FALSE)</f>
        <v>#N/A</v>
      </c>
    </row>
    <row r="113" spans="1:10" x14ac:dyDescent="0.25">
      <c r="A113" s="186"/>
      <c r="B113" s="43" t="str">
        <f>A113&amp;"-"&amp;IF(DAY(Variables!$A$2)&lt;10,0,"")&amp;DAY(Variables!$A$2)</f>
        <v>-10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3" s="30" t="e">
        <f>VLOOKUP(B113,'Train Runs'!$A$13:$A$99954,1,FALSE)</f>
        <v>#N/A</v>
      </c>
    </row>
    <row r="114" spans="1:10" x14ac:dyDescent="0.25">
      <c r="A114" s="186"/>
      <c r="B114" s="43" t="str">
        <f>A114&amp;"-"&amp;IF(DAY(Variables!$A$2)&lt;10,0,"")&amp;DAY(Variables!$A$2)</f>
        <v>-10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4" s="30" t="e">
        <f>VLOOKUP(B114,'Train Runs'!$A$13:$A$99954,1,FALSE)</f>
        <v>#N/A</v>
      </c>
    </row>
    <row r="115" spans="1:10" x14ac:dyDescent="0.25">
      <c r="A115" s="186"/>
      <c r="B115" s="43" t="str">
        <f>A115&amp;"-"&amp;IF(DAY(Variables!$A$2)&lt;10,0,"")&amp;DAY(Variables!$A$2)</f>
        <v>-10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5" s="30" t="e">
        <f>VLOOKUP(B115,'Train Runs'!$A$13:$A$99954,1,FALSE)</f>
        <v>#N/A</v>
      </c>
    </row>
    <row r="116" spans="1:10" x14ac:dyDescent="0.25">
      <c r="A116" s="186"/>
      <c r="B116" s="43" t="str">
        <f>A116&amp;"-"&amp;IF(DAY(Variables!$A$2)&lt;10,0,"")&amp;DAY(Variables!$A$2)</f>
        <v>-10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6" s="30" t="e">
        <f>VLOOKUP(B116,'Train Runs'!$A$13:$A$99954,1,FALSE)</f>
        <v>#N/A</v>
      </c>
    </row>
    <row r="117" spans="1:10" x14ac:dyDescent="0.25">
      <c r="A117" s="186"/>
      <c r="B117" s="43" t="str">
        <f>A117&amp;"-"&amp;IF(DAY(Variables!$A$2)&lt;10,0,"")&amp;DAY(Variables!$A$2)</f>
        <v>-10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7" s="30" t="e">
        <f>VLOOKUP(B117,'Train Runs'!$A$13:$A$99954,1,FALSE)</f>
        <v>#N/A</v>
      </c>
    </row>
    <row r="118" spans="1:10" x14ac:dyDescent="0.25">
      <c r="A118" s="186"/>
      <c r="B118" s="43" t="str">
        <f>A118&amp;"-"&amp;IF(DAY(Variables!$A$2)&lt;10,0,"")&amp;DAY(Variables!$A$2)</f>
        <v>-10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8" s="30" t="e">
        <f>VLOOKUP(B118,'Train Runs'!$A$13:$A$99954,1,FALSE)</f>
        <v>#N/A</v>
      </c>
    </row>
    <row r="119" spans="1:10" x14ac:dyDescent="0.25">
      <c r="A119" s="186"/>
      <c r="B119" s="43" t="str">
        <f>A119&amp;"-"&amp;IF(DAY(Variables!$A$2)&lt;10,0,"")&amp;DAY(Variables!$A$2)</f>
        <v>-10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9" s="30" t="e">
        <f>VLOOKUP(B119,'Train Runs'!$A$13:$A$99954,1,FALSE)</f>
        <v>#N/A</v>
      </c>
    </row>
    <row r="120" spans="1:10" x14ac:dyDescent="0.25">
      <c r="A120" s="186"/>
      <c r="B120" s="43" t="str">
        <f>A120&amp;"-"&amp;IF(DAY(Variables!$A$2)&lt;10,0,"")&amp;DAY(Variables!$A$2)</f>
        <v>-10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0" s="30" t="e">
        <f>VLOOKUP(B120,'Train Runs'!$A$13:$A$99954,1,FALSE)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203</v>
      </c>
      <c r="G1" s="8" t="s">
        <v>202</v>
      </c>
    </row>
    <row r="2" spans="1:7" x14ac:dyDescent="0.25">
      <c r="A2" s="8">
        <v>42776.033425925925</v>
      </c>
      <c r="B2" s="20" t="s">
        <v>334</v>
      </c>
      <c r="C2" s="20" t="s">
        <v>477</v>
      </c>
      <c r="D2" s="150">
        <v>2270000</v>
      </c>
      <c r="E2" s="20" t="s">
        <v>240</v>
      </c>
      <c r="F2" s="20" t="s">
        <v>241</v>
      </c>
      <c r="G2" s="8" t="str">
        <f>E2&amp;" "&amp;F2</f>
        <v>BROWN JACOB</v>
      </c>
    </row>
    <row r="3" spans="1:7" x14ac:dyDescent="0.25">
      <c r="A3" s="8">
        <v>42776.040891203702</v>
      </c>
      <c r="B3" s="20" t="s">
        <v>341</v>
      </c>
      <c r="C3" s="20" t="s">
        <v>486</v>
      </c>
      <c r="D3" s="150">
        <v>1800000</v>
      </c>
      <c r="E3" s="20" t="s">
        <v>273</v>
      </c>
      <c r="F3" s="20" t="s">
        <v>274</v>
      </c>
      <c r="G3" s="8" t="str">
        <f t="shared" ref="G3:G66" si="0">E3&amp;" "&amp;F3</f>
        <v>CHANDLER KELVIN</v>
      </c>
    </row>
    <row r="4" spans="1:7" x14ac:dyDescent="0.25">
      <c r="A4" s="8">
        <v>42776.046770833331</v>
      </c>
      <c r="B4" s="20" t="s">
        <v>233</v>
      </c>
      <c r="C4" s="20" t="s">
        <v>487</v>
      </c>
      <c r="D4" s="150">
        <v>2370000</v>
      </c>
      <c r="E4" s="20" t="s">
        <v>456</v>
      </c>
      <c r="F4" s="20" t="s">
        <v>457</v>
      </c>
      <c r="G4" s="8" t="str">
        <f t="shared" si="0"/>
        <v>DELGADO DIANAH</v>
      </c>
    </row>
    <row r="5" spans="1:7" x14ac:dyDescent="0.25">
      <c r="A5" s="8">
        <v>42776.047465277778</v>
      </c>
      <c r="B5" s="20" t="s">
        <v>258</v>
      </c>
      <c r="C5" s="20" t="s">
        <v>488</v>
      </c>
      <c r="D5" s="150">
        <v>2220000</v>
      </c>
      <c r="E5" s="20" t="s">
        <v>222</v>
      </c>
      <c r="F5" s="20" t="s">
        <v>223</v>
      </c>
      <c r="G5" s="8" t="str">
        <f t="shared" si="0"/>
        <v>HILLS DUSTIN</v>
      </c>
    </row>
    <row r="6" spans="1:7" x14ac:dyDescent="0.25">
      <c r="A6" s="8">
        <v>42776.069826388892</v>
      </c>
      <c r="B6" s="20" t="s">
        <v>330</v>
      </c>
      <c r="C6" s="20" t="s">
        <v>489</v>
      </c>
      <c r="D6" s="150">
        <v>2270000</v>
      </c>
      <c r="E6" s="20" t="s">
        <v>240</v>
      </c>
      <c r="F6" s="20" t="s">
        <v>241</v>
      </c>
      <c r="G6" s="8" t="str">
        <f t="shared" si="0"/>
        <v>BROWN JACOB</v>
      </c>
    </row>
    <row r="7" spans="1:7" x14ac:dyDescent="0.25">
      <c r="A7" s="8">
        <v>42776.087337962963</v>
      </c>
      <c r="B7" s="20" t="s">
        <v>350</v>
      </c>
      <c r="C7" s="20" t="s">
        <v>490</v>
      </c>
      <c r="D7" s="150">
        <v>2220000</v>
      </c>
      <c r="E7" s="20" t="s">
        <v>222</v>
      </c>
      <c r="F7" s="20" t="s">
        <v>223</v>
      </c>
      <c r="G7" s="8" t="str">
        <f t="shared" si="0"/>
        <v>HILLS DUSTIN</v>
      </c>
    </row>
    <row r="8" spans="1:7" x14ac:dyDescent="0.25">
      <c r="A8" s="8">
        <v>42776.117418981485</v>
      </c>
      <c r="B8" s="20" t="s">
        <v>227</v>
      </c>
      <c r="C8" s="20" t="s">
        <v>559</v>
      </c>
      <c r="D8" s="150">
        <v>2550000</v>
      </c>
      <c r="E8" s="20" t="s">
        <v>447</v>
      </c>
      <c r="F8" s="20" t="s">
        <v>448</v>
      </c>
      <c r="G8" s="8" t="str">
        <f t="shared" si="0"/>
        <v>BADERTSCHER DIANE</v>
      </c>
    </row>
    <row r="9" spans="1:7" ht="15.75" thickBot="1" x14ac:dyDescent="0.3">
      <c r="A9" s="24">
        <v>42776.130520833336</v>
      </c>
      <c r="B9" s="20" t="s">
        <v>196</v>
      </c>
      <c r="C9" s="20" t="s">
        <v>560</v>
      </c>
      <c r="D9" s="150">
        <v>2550000</v>
      </c>
      <c r="E9" s="20" t="s">
        <v>447</v>
      </c>
      <c r="F9" s="20" t="s">
        <v>448</v>
      </c>
      <c r="G9" s="8" t="str">
        <f t="shared" si="0"/>
        <v>BADERTSCHER DIANE</v>
      </c>
    </row>
    <row r="10" spans="1:7" x14ac:dyDescent="0.25">
      <c r="A10" s="8">
        <v>42776.153541666667</v>
      </c>
      <c r="B10" s="20" t="s">
        <v>303</v>
      </c>
      <c r="C10" s="20" t="s">
        <v>561</v>
      </c>
      <c r="D10" s="150">
        <v>1990000</v>
      </c>
      <c r="E10" s="20" t="s">
        <v>562</v>
      </c>
      <c r="F10" s="20" t="s">
        <v>563</v>
      </c>
      <c r="G10" s="8" t="str">
        <f t="shared" si="0"/>
        <v>DAVIS WENDY</v>
      </c>
    </row>
    <row r="11" spans="1:7" x14ac:dyDescent="0.25">
      <c r="A11" s="8">
        <v>42776.165312500001</v>
      </c>
      <c r="B11" s="20" t="s">
        <v>227</v>
      </c>
      <c r="C11" s="20" t="s">
        <v>564</v>
      </c>
      <c r="D11" s="150">
        <v>2550000</v>
      </c>
      <c r="E11" s="20" t="s">
        <v>447</v>
      </c>
      <c r="F11" s="20" t="s">
        <v>448</v>
      </c>
      <c r="G11" s="8" t="str">
        <f t="shared" si="0"/>
        <v>BADERTSCHER DIANE</v>
      </c>
    </row>
    <row r="12" spans="1:7" x14ac:dyDescent="0.25">
      <c r="A12" s="8">
        <v>42776.168506944443</v>
      </c>
      <c r="B12" s="20" t="s">
        <v>335</v>
      </c>
      <c r="C12" s="20" t="s">
        <v>565</v>
      </c>
      <c r="D12" s="150">
        <v>2140000</v>
      </c>
      <c r="E12" s="20" t="s">
        <v>478</v>
      </c>
      <c r="F12" s="20" t="s">
        <v>479</v>
      </c>
      <c r="G12" s="8" t="str">
        <f t="shared" si="0"/>
        <v>ROBINSON KADDIBA</v>
      </c>
    </row>
    <row r="13" spans="1:7" x14ac:dyDescent="0.25">
      <c r="A13" s="8">
        <v>42776.171793981484</v>
      </c>
      <c r="B13" s="20" t="s">
        <v>225</v>
      </c>
      <c r="C13" s="20" t="s">
        <v>566</v>
      </c>
      <c r="D13" s="150">
        <v>1110000</v>
      </c>
      <c r="E13" s="20" t="s">
        <v>342</v>
      </c>
      <c r="F13" s="20" t="s">
        <v>343</v>
      </c>
      <c r="G13" s="8" t="str">
        <f t="shared" si="0"/>
        <v>STARKS ANGELINA</v>
      </c>
    </row>
    <row r="14" spans="1:7" x14ac:dyDescent="0.25">
      <c r="A14" s="8">
        <v>42776.172511574077</v>
      </c>
      <c r="B14" s="20" t="s">
        <v>225</v>
      </c>
      <c r="C14" s="20" t="s">
        <v>540</v>
      </c>
      <c r="D14" s="150">
        <v>1110000</v>
      </c>
      <c r="E14" s="20" t="s">
        <v>342</v>
      </c>
      <c r="F14" s="20" t="s">
        <v>343</v>
      </c>
      <c r="G14" s="8" t="str">
        <f t="shared" si="0"/>
        <v>STARKS ANGELINA</v>
      </c>
    </row>
    <row r="15" spans="1:7" x14ac:dyDescent="0.25">
      <c r="A15" s="8">
        <v>42776.175069444442</v>
      </c>
      <c r="B15" s="20" t="s">
        <v>239</v>
      </c>
      <c r="C15" s="20" t="s">
        <v>567</v>
      </c>
      <c r="D15" s="150">
        <v>2140000</v>
      </c>
      <c r="E15" s="20" t="s">
        <v>478</v>
      </c>
      <c r="F15" s="20" t="s">
        <v>479</v>
      </c>
      <c r="G15" s="8" t="str">
        <f t="shared" si="0"/>
        <v>ROBINSON KADDIBA</v>
      </c>
    </row>
    <row r="16" spans="1:7" x14ac:dyDescent="0.25">
      <c r="A16" s="8">
        <v>42776.187175925923</v>
      </c>
      <c r="B16" s="20" t="s">
        <v>224</v>
      </c>
      <c r="C16" s="20" t="s">
        <v>566</v>
      </c>
      <c r="D16" s="150">
        <v>1110000</v>
      </c>
      <c r="E16" s="20" t="s">
        <v>342</v>
      </c>
      <c r="F16" s="20" t="s">
        <v>343</v>
      </c>
      <c r="G16" s="8" t="str">
        <f t="shared" si="0"/>
        <v>STARKS ANGELINA</v>
      </c>
    </row>
    <row r="17" spans="1:7" x14ac:dyDescent="0.25">
      <c r="A17" s="8">
        <v>42776.188148148147</v>
      </c>
      <c r="B17" s="20" t="s">
        <v>224</v>
      </c>
      <c r="C17" s="20" t="s">
        <v>566</v>
      </c>
      <c r="D17" s="150">
        <v>1110000</v>
      </c>
      <c r="E17" s="20" t="s">
        <v>342</v>
      </c>
      <c r="F17" s="20" t="s">
        <v>343</v>
      </c>
      <c r="G17" s="8" t="str">
        <f t="shared" si="0"/>
        <v>STARKS ANGELINA</v>
      </c>
    </row>
    <row r="18" spans="1:7" x14ac:dyDescent="0.25">
      <c r="A18" s="8">
        <v>42776.193530092591</v>
      </c>
      <c r="B18" s="20" t="s">
        <v>446</v>
      </c>
      <c r="C18" s="20" t="s">
        <v>568</v>
      </c>
      <c r="D18" s="150">
        <v>1990000</v>
      </c>
      <c r="E18" s="20" t="s">
        <v>562</v>
      </c>
      <c r="F18" s="20" t="s">
        <v>563</v>
      </c>
      <c r="G18" s="8" t="str">
        <f t="shared" si="0"/>
        <v>DAVIS WENDY</v>
      </c>
    </row>
    <row r="19" spans="1:7" x14ac:dyDescent="0.25">
      <c r="A19" s="8">
        <v>42776.196053240739</v>
      </c>
      <c r="B19" s="20" t="s">
        <v>341</v>
      </c>
      <c r="C19" s="20" t="s">
        <v>569</v>
      </c>
      <c r="D19" s="150">
        <v>890000</v>
      </c>
      <c r="E19" s="20" t="s">
        <v>360</v>
      </c>
      <c r="F19" s="20" t="s">
        <v>361</v>
      </c>
      <c r="G19" s="8" t="str">
        <f t="shared" si="0"/>
        <v>LOZA FIDEL</v>
      </c>
    </row>
    <row r="20" spans="1:7" x14ac:dyDescent="0.25">
      <c r="A20" s="8">
        <v>42776.197326388887</v>
      </c>
      <c r="B20" s="20" t="s">
        <v>299</v>
      </c>
      <c r="C20" s="20" t="s">
        <v>570</v>
      </c>
      <c r="D20" s="150">
        <v>1100000</v>
      </c>
      <c r="E20" s="20" t="s">
        <v>449</v>
      </c>
      <c r="F20" s="20" t="s">
        <v>450</v>
      </c>
      <c r="G20" s="8" t="str">
        <f t="shared" si="0"/>
        <v>GEBRETEKLE DAGNEW</v>
      </c>
    </row>
    <row r="21" spans="1:7" x14ac:dyDescent="0.25">
      <c r="A21" s="8">
        <v>42776.205231481479</v>
      </c>
      <c r="B21" s="20" t="s">
        <v>196</v>
      </c>
      <c r="C21" s="20" t="s">
        <v>571</v>
      </c>
      <c r="D21" s="150">
        <v>940000</v>
      </c>
      <c r="E21" s="20" t="s">
        <v>358</v>
      </c>
      <c r="F21" s="20" t="s">
        <v>359</v>
      </c>
      <c r="G21" s="8" t="str">
        <f t="shared" si="0"/>
        <v>BONDS REYNALDO</v>
      </c>
    </row>
    <row r="22" spans="1:7" x14ac:dyDescent="0.25">
      <c r="A22" s="26">
        <v>42776.209062499998</v>
      </c>
      <c r="B22" s="20" t="s">
        <v>232</v>
      </c>
      <c r="C22" s="20" t="s">
        <v>541</v>
      </c>
      <c r="D22" s="150">
        <v>1100000</v>
      </c>
      <c r="E22" s="20" t="s">
        <v>449</v>
      </c>
      <c r="F22" s="20" t="s">
        <v>450</v>
      </c>
      <c r="G22" s="8" t="str">
        <f t="shared" si="0"/>
        <v>GEBRETEKLE DAGNEW</v>
      </c>
    </row>
    <row r="23" spans="1:7" x14ac:dyDescent="0.25">
      <c r="A23" s="8">
        <v>42776.210960648146</v>
      </c>
      <c r="B23" s="20" t="s">
        <v>228</v>
      </c>
      <c r="C23" s="20" t="s">
        <v>572</v>
      </c>
      <c r="D23" s="150">
        <v>2550000</v>
      </c>
      <c r="E23" s="20" t="s">
        <v>447</v>
      </c>
      <c r="F23" s="20" t="s">
        <v>448</v>
      </c>
      <c r="G23" s="8" t="str">
        <f t="shared" si="0"/>
        <v>BADERTSCHER DIANE</v>
      </c>
    </row>
    <row r="24" spans="1:7" x14ac:dyDescent="0.25">
      <c r="A24" s="8">
        <v>42776.214074074072</v>
      </c>
      <c r="B24" s="20" t="s">
        <v>335</v>
      </c>
      <c r="C24" s="20" t="s">
        <v>573</v>
      </c>
      <c r="D24" s="150">
        <v>2140000</v>
      </c>
      <c r="E24" s="20" t="s">
        <v>478</v>
      </c>
      <c r="F24" s="20" t="s">
        <v>479</v>
      </c>
      <c r="G24" s="8" t="str">
        <f t="shared" si="0"/>
        <v>ROBINSON KADDIBA</v>
      </c>
    </row>
    <row r="25" spans="1:7" x14ac:dyDescent="0.25">
      <c r="A25" s="8">
        <v>42776.222349537034</v>
      </c>
      <c r="B25" s="20" t="s">
        <v>225</v>
      </c>
      <c r="C25" s="20" t="s">
        <v>574</v>
      </c>
      <c r="D25" s="150">
        <v>1110000</v>
      </c>
      <c r="E25" s="20" t="s">
        <v>342</v>
      </c>
      <c r="F25" s="20" t="s">
        <v>343</v>
      </c>
      <c r="G25" s="8" t="str">
        <f t="shared" si="0"/>
        <v>STARKS ANGELINA</v>
      </c>
    </row>
    <row r="26" spans="1:7" x14ac:dyDescent="0.25">
      <c r="A26" s="8">
        <v>42776.226967592593</v>
      </c>
      <c r="B26" s="20" t="s">
        <v>303</v>
      </c>
      <c r="C26" s="20" t="s">
        <v>575</v>
      </c>
      <c r="D26" s="150">
        <v>900000</v>
      </c>
      <c r="E26" s="20" t="s">
        <v>344</v>
      </c>
      <c r="F26" s="20" t="s">
        <v>345</v>
      </c>
      <c r="G26" s="8" t="str">
        <f t="shared" si="0"/>
        <v>ROCHA YAOTL</v>
      </c>
    </row>
    <row r="27" spans="1:7" x14ac:dyDescent="0.25">
      <c r="A27" s="8">
        <v>42776.228530092594</v>
      </c>
      <c r="B27" s="20" t="s">
        <v>299</v>
      </c>
      <c r="C27" s="20" t="s">
        <v>576</v>
      </c>
      <c r="D27" s="150">
        <v>1100000</v>
      </c>
      <c r="E27" s="20" t="s">
        <v>449</v>
      </c>
      <c r="F27" s="20" t="s">
        <v>450</v>
      </c>
      <c r="G27" s="8" t="str">
        <f t="shared" si="0"/>
        <v>GEBRETEKLE DAGNEW</v>
      </c>
    </row>
    <row r="28" spans="1:7" x14ac:dyDescent="0.25">
      <c r="A28" s="8">
        <v>42776.231388888889</v>
      </c>
      <c r="B28" s="20" t="s">
        <v>316</v>
      </c>
      <c r="C28" s="20" t="s">
        <v>577</v>
      </c>
      <c r="D28" s="150">
        <v>890000</v>
      </c>
      <c r="E28" s="20" t="s">
        <v>360</v>
      </c>
      <c r="F28" s="20" t="s">
        <v>361</v>
      </c>
      <c r="G28" s="8" t="str">
        <f t="shared" si="0"/>
        <v>LOZA FIDEL</v>
      </c>
    </row>
    <row r="29" spans="1:7" x14ac:dyDescent="0.25">
      <c r="A29" s="8">
        <v>42776.233587962961</v>
      </c>
      <c r="B29" s="20" t="s">
        <v>445</v>
      </c>
      <c r="C29" s="20" t="s">
        <v>578</v>
      </c>
      <c r="D29" s="150">
        <v>1990000</v>
      </c>
      <c r="E29" s="20" t="s">
        <v>562</v>
      </c>
      <c r="F29" s="20" t="s">
        <v>563</v>
      </c>
      <c r="G29" s="8" t="str">
        <f t="shared" si="0"/>
        <v>DAVIS WENDY</v>
      </c>
    </row>
    <row r="30" spans="1:7" x14ac:dyDescent="0.25">
      <c r="A30" s="8">
        <v>42776.240173611113</v>
      </c>
      <c r="B30" s="20" t="s">
        <v>333</v>
      </c>
      <c r="C30" s="20" t="s">
        <v>579</v>
      </c>
      <c r="D30" s="150">
        <v>940000</v>
      </c>
      <c r="E30" s="20" t="s">
        <v>358</v>
      </c>
      <c r="F30" s="20" t="s">
        <v>359</v>
      </c>
      <c r="G30" s="8" t="str">
        <f t="shared" si="0"/>
        <v>BONDS REYNALDO</v>
      </c>
    </row>
    <row r="31" spans="1:7" x14ac:dyDescent="0.25">
      <c r="A31" s="8">
        <v>42776.246157407404</v>
      </c>
      <c r="B31" s="20" t="s">
        <v>239</v>
      </c>
      <c r="C31" s="20" t="s">
        <v>580</v>
      </c>
      <c r="D31" s="150">
        <v>2140000</v>
      </c>
      <c r="E31" s="20" t="s">
        <v>478</v>
      </c>
      <c r="F31" s="20" t="s">
        <v>479</v>
      </c>
      <c r="G31" s="8" t="str">
        <f t="shared" si="0"/>
        <v>ROBINSON KADDIBA</v>
      </c>
    </row>
    <row r="32" spans="1:7" x14ac:dyDescent="0.25">
      <c r="A32" s="8">
        <v>42776.247546296298</v>
      </c>
      <c r="B32" s="20" t="s">
        <v>334</v>
      </c>
      <c r="C32" s="20" t="s">
        <v>581</v>
      </c>
      <c r="D32" s="150">
        <v>2020000</v>
      </c>
      <c r="E32" s="20" t="s">
        <v>480</v>
      </c>
      <c r="F32" s="20" t="s">
        <v>481</v>
      </c>
      <c r="G32" s="8" t="str">
        <f t="shared" si="0"/>
        <v>SHOOK JOHN</v>
      </c>
    </row>
    <row r="33" spans="1:7" x14ac:dyDescent="0.25">
      <c r="A33" s="8">
        <v>42776.252418981479</v>
      </c>
      <c r="B33" s="20" t="s">
        <v>227</v>
      </c>
      <c r="C33" s="20" t="s">
        <v>582</v>
      </c>
      <c r="D33" s="150">
        <v>2550000</v>
      </c>
      <c r="E33" s="20" t="s">
        <v>447</v>
      </c>
      <c r="F33" s="20" t="s">
        <v>448</v>
      </c>
      <c r="G33" s="8" t="str">
        <f t="shared" si="0"/>
        <v>BADERTSCHER DIANE</v>
      </c>
    </row>
    <row r="34" spans="1:7" x14ac:dyDescent="0.25">
      <c r="A34" s="8">
        <v>42776.254606481481</v>
      </c>
      <c r="B34" s="20" t="s">
        <v>232</v>
      </c>
      <c r="C34" s="20" t="s">
        <v>583</v>
      </c>
      <c r="D34" s="150">
        <v>1100000</v>
      </c>
      <c r="E34" s="20" t="s">
        <v>449</v>
      </c>
      <c r="F34" s="20" t="s">
        <v>450</v>
      </c>
      <c r="G34" s="8" t="str">
        <f t="shared" si="0"/>
        <v>GEBRETEKLE DAGNEW</v>
      </c>
    </row>
    <row r="35" spans="1:7" x14ac:dyDescent="0.25">
      <c r="A35" s="8">
        <v>42776.25675925926</v>
      </c>
      <c r="B35" s="20" t="s">
        <v>330</v>
      </c>
      <c r="C35" s="20" t="s">
        <v>584</v>
      </c>
      <c r="D35" s="150">
        <v>2020000</v>
      </c>
      <c r="E35" s="20" t="s">
        <v>480</v>
      </c>
      <c r="F35" s="20" t="s">
        <v>481</v>
      </c>
      <c r="G35" s="8" t="str">
        <f t="shared" si="0"/>
        <v>SHOOK JOHN</v>
      </c>
    </row>
    <row r="36" spans="1:7" x14ac:dyDescent="0.25">
      <c r="A36" s="8">
        <v>42776.258171296293</v>
      </c>
      <c r="B36" s="20" t="s">
        <v>224</v>
      </c>
      <c r="C36" s="20" t="s">
        <v>585</v>
      </c>
      <c r="D36" s="150">
        <v>1110000</v>
      </c>
      <c r="E36" s="20" t="s">
        <v>342</v>
      </c>
      <c r="F36" s="20" t="s">
        <v>343</v>
      </c>
      <c r="G36" s="8" t="str">
        <f t="shared" si="0"/>
        <v>STARKS ANGELINA</v>
      </c>
    </row>
    <row r="37" spans="1:7" x14ac:dyDescent="0.25">
      <c r="A37" s="8">
        <v>42776.267523148148</v>
      </c>
      <c r="B37" s="20" t="s">
        <v>451</v>
      </c>
      <c r="C37" s="20" t="s">
        <v>586</v>
      </c>
      <c r="D37" s="150">
        <v>900000</v>
      </c>
      <c r="E37" s="20" t="s">
        <v>344</v>
      </c>
      <c r="F37" s="20" t="s">
        <v>345</v>
      </c>
      <c r="G37" s="8" t="str">
        <f t="shared" si="0"/>
        <v>ROCHA YAOTL</v>
      </c>
    </row>
    <row r="38" spans="1:7" x14ac:dyDescent="0.25">
      <c r="A38" s="8">
        <v>42776.268171296295</v>
      </c>
      <c r="B38" s="20" t="s">
        <v>341</v>
      </c>
      <c r="C38" s="20" t="s">
        <v>587</v>
      </c>
      <c r="D38" s="150">
        <v>890000</v>
      </c>
      <c r="E38" s="20" t="s">
        <v>360</v>
      </c>
      <c r="F38" s="20" t="s">
        <v>361</v>
      </c>
      <c r="G38" s="8" t="str">
        <f t="shared" si="0"/>
        <v>LOZA FIDEL</v>
      </c>
    </row>
    <row r="39" spans="1:7" x14ac:dyDescent="0.25">
      <c r="A39" s="8">
        <v>42776.270162037035</v>
      </c>
      <c r="B39" s="20" t="s">
        <v>299</v>
      </c>
      <c r="C39" s="20" t="s">
        <v>588</v>
      </c>
      <c r="D39" s="150">
        <v>1100000</v>
      </c>
      <c r="E39" s="20" t="s">
        <v>449</v>
      </c>
      <c r="F39" s="20" t="s">
        <v>450</v>
      </c>
      <c r="G39" s="8" t="str">
        <f t="shared" si="0"/>
        <v>GEBRETEKLE DAGNEW</v>
      </c>
    </row>
    <row r="40" spans="1:7" x14ac:dyDescent="0.25">
      <c r="A40" s="8">
        <v>42776.277060185188</v>
      </c>
      <c r="B40" s="25" t="s">
        <v>446</v>
      </c>
      <c r="C40" s="20" t="s">
        <v>589</v>
      </c>
      <c r="D40" s="150">
        <v>1990000</v>
      </c>
      <c r="E40" s="20" t="s">
        <v>562</v>
      </c>
      <c r="F40" s="20" t="s">
        <v>563</v>
      </c>
      <c r="G40" s="8" t="str">
        <f t="shared" si="0"/>
        <v>DAVIS WENDY</v>
      </c>
    </row>
    <row r="41" spans="1:7" x14ac:dyDescent="0.25">
      <c r="A41" s="8">
        <v>42776.277060185188</v>
      </c>
      <c r="B41" s="20" t="s">
        <v>334</v>
      </c>
      <c r="C41" s="20" t="s">
        <v>590</v>
      </c>
      <c r="D41" s="150">
        <v>2020000</v>
      </c>
      <c r="E41" s="20" t="s">
        <v>480</v>
      </c>
      <c r="F41" s="20" t="s">
        <v>481</v>
      </c>
      <c r="G41" s="8" t="str">
        <f t="shared" si="0"/>
        <v>SHOOK JOHN</v>
      </c>
    </row>
    <row r="42" spans="1:7" x14ac:dyDescent="0.25">
      <c r="A42" s="8">
        <v>42776.277615740742</v>
      </c>
      <c r="B42" s="20" t="s">
        <v>196</v>
      </c>
      <c r="C42" s="20" t="s">
        <v>591</v>
      </c>
      <c r="D42" s="150">
        <v>940000</v>
      </c>
      <c r="E42" s="20" t="s">
        <v>358</v>
      </c>
      <c r="F42" s="20" t="s">
        <v>359</v>
      </c>
      <c r="G42" s="8" t="str">
        <f t="shared" si="0"/>
        <v>BONDS REYNALDO</v>
      </c>
    </row>
    <row r="43" spans="1:7" x14ac:dyDescent="0.25">
      <c r="A43" s="8">
        <v>42776.28733796296</v>
      </c>
      <c r="B43" s="20" t="s">
        <v>444</v>
      </c>
      <c r="C43" s="20" t="s">
        <v>592</v>
      </c>
      <c r="D43" s="150">
        <v>2140000</v>
      </c>
      <c r="E43" s="20" t="s">
        <v>478</v>
      </c>
      <c r="F43" s="20" t="s">
        <v>479</v>
      </c>
      <c r="G43" s="8" t="str">
        <f t="shared" si="0"/>
        <v>ROBINSON KADDIBA</v>
      </c>
    </row>
    <row r="44" spans="1:7" x14ac:dyDescent="0.25">
      <c r="A44" s="8">
        <v>42776.288252314815</v>
      </c>
      <c r="B44" s="20" t="s">
        <v>228</v>
      </c>
      <c r="C44" s="20" t="s">
        <v>593</v>
      </c>
      <c r="D44" s="150">
        <v>2550000</v>
      </c>
      <c r="E44" s="20" t="s">
        <v>447</v>
      </c>
      <c r="F44" s="20" t="s">
        <v>448</v>
      </c>
      <c r="G44" s="8" t="str">
        <f t="shared" si="0"/>
        <v>BADERTSCHER DIANE</v>
      </c>
    </row>
    <row r="45" spans="1:7" x14ac:dyDescent="0.25">
      <c r="A45" s="8">
        <v>42776.290879629632</v>
      </c>
      <c r="B45" s="20" t="s">
        <v>330</v>
      </c>
      <c r="C45" s="20" t="s">
        <v>594</v>
      </c>
      <c r="D45" s="150">
        <v>2020000</v>
      </c>
      <c r="E45" s="20" t="s">
        <v>480</v>
      </c>
      <c r="F45" s="20" t="s">
        <v>481</v>
      </c>
      <c r="G45" s="8" t="str">
        <f t="shared" si="0"/>
        <v>SHOOK JOHN</v>
      </c>
    </row>
    <row r="46" spans="1:7" x14ac:dyDescent="0.25">
      <c r="A46" s="8">
        <v>42776.2969212963</v>
      </c>
      <c r="B46" s="20" t="s">
        <v>303</v>
      </c>
      <c r="C46" s="20" t="s">
        <v>595</v>
      </c>
      <c r="D46" s="150">
        <v>900000</v>
      </c>
      <c r="E46" s="20" t="s">
        <v>344</v>
      </c>
      <c r="F46" s="20" t="s">
        <v>345</v>
      </c>
      <c r="G46" s="8" t="str">
        <f t="shared" si="0"/>
        <v>ROCHA YAOTL</v>
      </c>
    </row>
    <row r="47" spans="1:7" x14ac:dyDescent="0.25">
      <c r="A47" s="8">
        <v>42776.297129629631</v>
      </c>
      <c r="B47" s="20" t="s">
        <v>232</v>
      </c>
      <c r="C47" s="20" t="s">
        <v>596</v>
      </c>
      <c r="D47" s="150">
        <v>1100000</v>
      </c>
      <c r="E47" s="20" t="s">
        <v>449</v>
      </c>
      <c r="F47" s="20" t="s">
        <v>450</v>
      </c>
      <c r="G47" s="8" t="str">
        <f t="shared" si="0"/>
        <v>GEBRETEKLE DAGNEW</v>
      </c>
    </row>
    <row r="48" spans="1:7" x14ac:dyDescent="0.25">
      <c r="A48" s="8">
        <v>42776.297673611109</v>
      </c>
      <c r="B48" s="20" t="s">
        <v>225</v>
      </c>
      <c r="C48" s="20" t="s">
        <v>597</v>
      </c>
      <c r="D48" s="150">
        <v>1110000</v>
      </c>
      <c r="E48" s="20" t="s">
        <v>342</v>
      </c>
      <c r="F48" s="20" t="s">
        <v>343</v>
      </c>
      <c r="G48" s="8" t="str">
        <f t="shared" si="0"/>
        <v>STARKS ANGELINA</v>
      </c>
    </row>
    <row r="49" spans="1:7" x14ac:dyDescent="0.25">
      <c r="A49" s="8">
        <v>42776.30810185185</v>
      </c>
      <c r="B49" s="20" t="s">
        <v>445</v>
      </c>
      <c r="C49" s="20" t="s">
        <v>598</v>
      </c>
      <c r="D49" s="150">
        <v>1990000</v>
      </c>
      <c r="E49" s="20" t="s">
        <v>562</v>
      </c>
      <c r="F49" s="20" t="s">
        <v>563</v>
      </c>
      <c r="G49" s="8" t="str">
        <f t="shared" si="0"/>
        <v>DAVIS WENDY</v>
      </c>
    </row>
    <row r="50" spans="1:7" x14ac:dyDescent="0.25">
      <c r="A50" s="8">
        <v>42776.308541666665</v>
      </c>
      <c r="B50" s="20" t="s">
        <v>316</v>
      </c>
      <c r="C50" s="20" t="s">
        <v>599</v>
      </c>
      <c r="D50" s="150">
        <v>890000</v>
      </c>
      <c r="E50" s="20" t="s">
        <v>360</v>
      </c>
      <c r="F50" s="20" t="s">
        <v>361</v>
      </c>
      <c r="G50" s="8" t="str">
        <f t="shared" si="0"/>
        <v>LOZA FIDEL</v>
      </c>
    </row>
    <row r="51" spans="1:7" x14ac:dyDescent="0.25">
      <c r="A51" s="8">
        <v>42776.311597222222</v>
      </c>
      <c r="B51" s="20" t="s">
        <v>299</v>
      </c>
      <c r="C51" s="20" t="s">
        <v>600</v>
      </c>
      <c r="D51" s="150">
        <v>1100000</v>
      </c>
      <c r="E51" s="20" t="s">
        <v>449</v>
      </c>
      <c r="F51" s="20" t="s">
        <v>450</v>
      </c>
      <c r="G51" s="8" t="str">
        <f t="shared" si="0"/>
        <v>GEBRETEKLE DAGNEW</v>
      </c>
    </row>
    <row r="52" spans="1:7" x14ac:dyDescent="0.25">
      <c r="A52" s="8">
        <v>42776.315243055556</v>
      </c>
      <c r="B52" s="20" t="s">
        <v>333</v>
      </c>
      <c r="C52" s="20" t="s">
        <v>601</v>
      </c>
      <c r="D52" s="150">
        <v>940000</v>
      </c>
      <c r="E52" s="20" t="s">
        <v>358</v>
      </c>
      <c r="F52" s="20" t="s">
        <v>359</v>
      </c>
      <c r="G52" s="8" t="str">
        <f t="shared" si="0"/>
        <v>BONDS REYNALDO</v>
      </c>
    </row>
    <row r="53" spans="1:7" x14ac:dyDescent="0.25">
      <c r="A53" s="8">
        <v>42776.317777777775</v>
      </c>
      <c r="B53" s="20" t="s">
        <v>334</v>
      </c>
      <c r="C53" s="20" t="s">
        <v>602</v>
      </c>
      <c r="D53" s="150">
        <v>2020000</v>
      </c>
      <c r="E53" s="20" t="s">
        <v>480</v>
      </c>
      <c r="F53" s="20" t="s">
        <v>481</v>
      </c>
      <c r="G53" s="8" t="str">
        <f t="shared" si="0"/>
        <v>SHOOK JOHN</v>
      </c>
    </row>
    <row r="54" spans="1:7" x14ac:dyDescent="0.25">
      <c r="A54" s="8">
        <v>42776.319016203706</v>
      </c>
      <c r="B54" s="20" t="s">
        <v>239</v>
      </c>
      <c r="C54" s="20" t="s">
        <v>603</v>
      </c>
      <c r="D54" s="150">
        <v>2140000</v>
      </c>
      <c r="E54" s="20" t="s">
        <v>478</v>
      </c>
      <c r="F54" s="20" t="s">
        <v>479</v>
      </c>
      <c r="G54" s="8" t="str">
        <f t="shared" si="0"/>
        <v>ROBINSON KADDIBA</v>
      </c>
    </row>
    <row r="55" spans="1:7" x14ac:dyDescent="0.25">
      <c r="A55" s="8">
        <v>42776.322789351849</v>
      </c>
      <c r="B55" s="20" t="s">
        <v>227</v>
      </c>
      <c r="C55" s="20" t="s">
        <v>604</v>
      </c>
      <c r="D55" s="150">
        <v>2550000</v>
      </c>
      <c r="E55" s="20" t="s">
        <v>447</v>
      </c>
      <c r="F55" s="20" t="s">
        <v>448</v>
      </c>
      <c r="G55" s="8" t="str">
        <f t="shared" si="0"/>
        <v>BADERTSCHER DIANE</v>
      </c>
    </row>
    <row r="56" spans="1:7" x14ac:dyDescent="0.25">
      <c r="A56" s="8">
        <v>42776.329976851855</v>
      </c>
      <c r="B56" s="20" t="s">
        <v>224</v>
      </c>
      <c r="C56" s="20" t="s">
        <v>605</v>
      </c>
      <c r="D56" s="150">
        <v>1110000</v>
      </c>
      <c r="E56" s="20" t="s">
        <v>342</v>
      </c>
      <c r="F56" s="20" t="s">
        <v>343</v>
      </c>
      <c r="G56" s="8" t="str">
        <f t="shared" si="0"/>
        <v>STARKS ANGELINA</v>
      </c>
    </row>
    <row r="57" spans="1:7" x14ac:dyDescent="0.25">
      <c r="A57" s="8">
        <v>42776.332962962966</v>
      </c>
      <c r="B57" s="20" t="s">
        <v>330</v>
      </c>
      <c r="C57" s="20" t="s">
        <v>606</v>
      </c>
      <c r="D57" s="150">
        <v>2020000</v>
      </c>
      <c r="E57" s="20" t="s">
        <v>480</v>
      </c>
      <c r="F57" s="20" t="s">
        <v>481</v>
      </c>
      <c r="G57" s="8" t="str">
        <f t="shared" si="0"/>
        <v>SHOOK JOHN</v>
      </c>
    </row>
    <row r="58" spans="1:7" x14ac:dyDescent="0.25">
      <c r="A58" s="8">
        <v>42776.337824074071</v>
      </c>
      <c r="B58" s="20" t="s">
        <v>232</v>
      </c>
      <c r="C58" s="20" t="s">
        <v>542</v>
      </c>
      <c r="D58" s="150">
        <v>1100000</v>
      </c>
      <c r="E58" s="20" t="s">
        <v>449</v>
      </c>
      <c r="F58" s="20" t="s">
        <v>450</v>
      </c>
      <c r="G58" s="8" t="str">
        <f t="shared" si="0"/>
        <v>GEBRETEKLE DAGNEW</v>
      </c>
    </row>
    <row r="59" spans="1:7" x14ac:dyDescent="0.25">
      <c r="A59" s="8">
        <v>42776.340520833335</v>
      </c>
      <c r="B59" s="20" t="s">
        <v>451</v>
      </c>
      <c r="C59" s="20" t="s">
        <v>607</v>
      </c>
      <c r="D59" s="150">
        <v>900000</v>
      </c>
      <c r="E59" s="20" t="s">
        <v>344</v>
      </c>
      <c r="F59" s="20" t="s">
        <v>345</v>
      </c>
      <c r="G59" s="8" t="str">
        <f t="shared" si="0"/>
        <v>ROCHA YAOTL</v>
      </c>
    </row>
    <row r="60" spans="1:7" x14ac:dyDescent="0.25">
      <c r="A60" s="8">
        <v>42776.340613425928</v>
      </c>
      <c r="B60" s="20" t="s">
        <v>341</v>
      </c>
      <c r="C60" s="20" t="s">
        <v>608</v>
      </c>
      <c r="D60" s="150">
        <v>890000</v>
      </c>
      <c r="E60" s="20" t="s">
        <v>360</v>
      </c>
      <c r="F60" s="20" t="s">
        <v>361</v>
      </c>
      <c r="G60" s="8" t="str">
        <f t="shared" si="0"/>
        <v>LOZA FIDEL</v>
      </c>
    </row>
    <row r="61" spans="1:7" x14ac:dyDescent="0.25">
      <c r="A61" s="8">
        <v>42776.349120370367</v>
      </c>
      <c r="B61" s="20" t="s">
        <v>446</v>
      </c>
      <c r="C61" s="20" t="s">
        <v>609</v>
      </c>
      <c r="D61" s="150">
        <v>1990000</v>
      </c>
      <c r="E61" s="20" t="s">
        <v>562</v>
      </c>
      <c r="F61" s="20" t="s">
        <v>563</v>
      </c>
      <c r="G61" s="8" t="str">
        <f t="shared" si="0"/>
        <v>DAVIS WENDY</v>
      </c>
    </row>
    <row r="62" spans="1:7" x14ac:dyDescent="0.25">
      <c r="A62" s="8">
        <v>42776.349421296298</v>
      </c>
      <c r="B62" s="20" t="s">
        <v>196</v>
      </c>
      <c r="C62" s="20" t="s">
        <v>610</v>
      </c>
      <c r="D62" s="150">
        <v>940000</v>
      </c>
      <c r="E62" s="20" t="s">
        <v>358</v>
      </c>
      <c r="F62" s="20" t="s">
        <v>359</v>
      </c>
      <c r="G62" s="8" t="str">
        <f t="shared" si="0"/>
        <v>BONDS REYNALDO</v>
      </c>
    </row>
    <row r="63" spans="1:7" x14ac:dyDescent="0.25">
      <c r="A63" s="8">
        <v>42776.353101851855</v>
      </c>
      <c r="B63" s="20" t="s">
        <v>299</v>
      </c>
      <c r="C63" s="20" t="s">
        <v>611</v>
      </c>
      <c r="D63" s="150">
        <v>1100000</v>
      </c>
      <c r="E63" s="20" t="s">
        <v>449</v>
      </c>
      <c r="F63" s="20" t="s">
        <v>450</v>
      </c>
      <c r="G63" s="8" t="str">
        <f t="shared" si="0"/>
        <v>GEBRETEKLE DAGNEW</v>
      </c>
    </row>
    <row r="64" spans="1:7" x14ac:dyDescent="0.25">
      <c r="A64" s="26">
        <v>42776.358715277776</v>
      </c>
      <c r="B64" s="20" t="s">
        <v>444</v>
      </c>
      <c r="C64" s="20" t="s">
        <v>612</v>
      </c>
      <c r="D64" s="150">
        <v>2140000</v>
      </c>
      <c r="E64" s="20" t="s">
        <v>478</v>
      </c>
      <c r="F64" s="20" t="s">
        <v>479</v>
      </c>
      <c r="G64" s="8" t="str">
        <f t="shared" si="0"/>
        <v>ROBINSON KADDIBA</v>
      </c>
    </row>
    <row r="65" spans="1:7" x14ac:dyDescent="0.25">
      <c r="A65" s="8">
        <v>42776.359467592592</v>
      </c>
      <c r="B65" s="20" t="s">
        <v>334</v>
      </c>
      <c r="C65" s="20" t="s">
        <v>613</v>
      </c>
      <c r="D65" s="150">
        <v>2020000</v>
      </c>
      <c r="E65" s="20" t="s">
        <v>480</v>
      </c>
      <c r="F65" s="20" t="s">
        <v>481</v>
      </c>
      <c r="G65" s="8" t="str">
        <f t="shared" si="0"/>
        <v>SHOOK JOHN</v>
      </c>
    </row>
    <row r="66" spans="1:7" x14ac:dyDescent="0.25">
      <c r="A66" s="8">
        <v>42776.360879629632</v>
      </c>
      <c r="B66" s="20" t="s">
        <v>228</v>
      </c>
      <c r="C66" s="20" t="s">
        <v>614</v>
      </c>
      <c r="D66" s="150">
        <v>2550000</v>
      </c>
      <c r="E66" s="20" t="s">
        <v>447</v>
      </c>
      <c r="F66" s="20" t="s">
        <v>448</v>
      </c>
      <c r="G66" s="8" t="str">
        <f t="shared" si="0"/>
        <v>BADERTSCHER DIANE</v>
      </c>
    </row>
    <row r="67" spans="1:7" x14ac:dyDescent="0.25">
      <c r="A67" s="8">
        <v>42776.368784722225</v>
      </c>
      <c r="B67" s="20" t="s">
        <v>225</v>
      </c>
      <c r="C67" s="20" t="s">
        <v>615</v>
      </c>
      <c r="D67" s="150">
        <v>1110000</v>
      </c>
      <c r="E67" s="20" t="s">
        <v>342</v>
      </c>
      <c r="F67" s="20" t="s">
        <v>343</v>
      </c>
      <c r="G67" s="8" t="str">
        <f t="shared" ref="G67:G130" si="1">E67&amp;" "&amp;F67</f>
        <v>STARKS ANGELINA</v>
      </c>
    </row>
    <row r="68" spans="1:7" x14ac:dyDescent="0.25">
      <c r="A68" s="8">
        <v>42776.373171296298</v>
      </c>
      <c r="B68" s="20" t="s">
        <v>303</v>
      </c>
      <c r="C68" s="20" t="s">
        <v>616</v>
      </c>
      <c r="D68" s="150">
        <v>900000</v>
      </c>
      <c r="E68" s="20" t="s">
        <v>344</v>
      </c>
      <c r="F68" s="20" t="s">
        <v>345</v>
      </c>
      <c r="G68" s="8" t="str">
        <f t="shared" si="1"/>
        <v>ROCHA YAOTL</v>
      </c>
    </row>
    <row r="69" spans="1:7" x14ac:dyDescent="0.25">
      <c r="A69" s="8">
        <v>42776.373877314814</v>
      </c>
      <c r="B69" s="20" t="s">
        <v>330</v>
      </c>
      <c r="C69" s="20" t="s">
        <v>617</v>
      </c>
      <c r="D69" s="150">
        <v>2020000</v>
      </c>
      <c r="E69" s="20" t="s">
        <v>480</v>
      </c>
      <c r="F69" s="20" t="s">
        <v>481</v>
      </c>
      <c r="G69" s="8" t="str">
        <f t="shared" si="1"/>
        <v>SHOOK JOHN</v>
      </c>
    </row>
    <row r="70" spans="1:7" x14ac:dyDescent="0.25">
      <c r="A70" s="8">
        <v>42776.380115740743</v>
      </c>
      <c r="B70" s="20" t="s">
        <v>316</v>
      </c>
      <c r="C70" s="20" t="s">
        <v>618</v>
      </c>
      <c r="D70" s="150">
        <v>890000</v>
      </c>
      <c r="E70" s="20" t="s">
        <v>360</v>
      </c>
      <c r="F70" s="20" t="s">
        <v>361</v>
      </c>
      <c r="G70" s="8" t="str">
        <f t="shared" si="1"/>
        <v>LOZA FIDEL</v>
      </c>
    </row>
    <row r="71" spans="1:7" x14ac:dyDescent="0.25">
      <c r="A71" s="8">
        <v>42776.381053240744</v>
      </c>
      <c r="B71" s="20" t="s">
        <v>445</v>
      </c>
      <c r="C71" s="20" t="s">
        <v>543</v>
      </c>
      <c r="D71" s="150">
        <v>1990000</v>
      </c>
      <c r="E71" s="20" t="s">
        <v>562</v>
      </c>
      <c r="F71" s="20" t="s">
        <v>563</v>
      </c>
      <c r="G71" s="8" t="str">
        <f t="shared" si="1"/>
        <v>DAVIS WENDY</v>
      </c>
    </row>
    <row r="72" spans="1:7" x14ac:dyDescent="0.25">
      <c r="A72" s="8">
        <v>42776.390104166669</v>
      </c>
      <c r="B72" s="20" t="s">
        <v>333</v>
      </c>
      <c r="C72" s="20" t="s">
        <v>619</v>
      </c>
      <c r="D72" s="150">
        <v>940000</v>
      </c>
      <c r="E72" s="20" t="s">
        <v>358</v>
      </c>
      <c r="F72" s="20" t="s">
        <v>359</v>
      </c>
      <c r="G72" s="8" t="str">
        <f t="shared" si="1"/>
        <v>BONDS REYNALDO</v>
      </c>
    </row>
    <row r="73" spans="1:7" x14ac:dyDescent="0.25">
      <c r="A73" s="8">
        <v>42776.391689814816</v>
      </c>
      <c r="B73" s="20" t="s">
        <v>239</v>
      </c>
      <c r="C73" s="20" t="s">
        <v>620</v>
      </c>
      <c r="D73" s="150">
        <v>2140000</v>
      </c>
      <c r="E73" s="20" t="s">
        <v>478</v>
      </c>
      <c r="F73" s="20" t="s">
        <v>479</v>
      </c>
      <c r="G73" s="8" t="str">
        <f t="shared" si="1"/>
        <v>ROBINSON KADDIBA</v>
      </c>
    </row>
    <row r="74" spans="1:7" x14ac:dyDescent="0.25">
      <c r="A74" s="8">
        <v>42776.398009259261</v>
      </c>
      <c r="B74" s="20" t="s">
        <v>227</v>
      </c>
      <c r="C74" s="20" t="s">
        <v>621</v>
      </c>
      <c r="D74" s="150">
        <v>2550000</v>
      </c>
      <c r="E74" s="20" t="s">
        <v>447</v>
      </c>
      <c r="F74" s="20" t="s">
        <v>448</v>
      </c>
      <c r="G74" s="8" t="str">
        <f t="shared" si="1"/>
        <v>BADERTSCHER DIANE</v>
      </c>
    </row>
    <row r="75" spans="1:7" x14ac:dyDescent="0.25">
      <c r="A75" s="8">
        <v>42776.401377314818</v>
      </c>
      <c r="B75" s="20" t="s">
        <v>334</v>
      </c>
      <c r="C75" s="20" t="s">
        <v>622</v>
      </c>
      <c r="D75" s="150">
        <v>2020000</v>
      </c>
      <c r="E75" s="20" t="s">
        <v>480</v>
      </c>
      <c r="F75" s="20" t="s">
        <v>481</v>
      </c>
      <c r="G75" s="8" t="str">
        <f t="shared" si="1"/>
        <v>SHOOK JOHN</v>
      </c>
    </row>
    <row r="76" spans="1:7" x14ac:dyDescent="0.25">
      <c r="A76" s="8">
        <v>42776.402766203704</v>
      </c>
      <c r="B76" s="20" t="s">
        <v>224</v>
      </c>
      <c r="C76" s="20" t="s">
        <v>623</v>
      </c>
      <c r="D76" s="150">
        <v>1110000</v>
      </c>
      <c r="E76" s="20" t="s">
        <v>342</v>
      </c>
      <c r="F76" s="20" t="s">
        <v>343</v>
      </c>
      <c r="G76" s="8" t="str">
        <f t="shared" si="1"/>
        <v>STARKS ANGELINA</v>
      </c>
    </row>
    <row r="77" spans="1:7" x14ac:dyDescent="0.25">
      <c r="A77" s="8">
        <v>42776.412523148145</v>
      </c>
      <c r="B77" s="20" t="s">
        <v>451</v>
      </c>
      <c r="C77" s="20" t="s">
        <v>624</v>
      </c>
      <c r="D77" s="150">
        <v>900000</v>
      </c>
      <c r="E77" s="20" t="s">
        <v>344</v>
      </c>
      <c r="F77" s="20" t="s">
        <v>345</v>
      </c>
      <c r="G77" s="8" t="str">
        <f t="shared" si="1"/>
        <v>ROCHA YAOTL</v>
      </c>
    </row>
    <row r="78" spans="1:7" x14ac:dyDescent="0.25">
      <c r="A78" s="8">
        <v>42776.41300925926</v>
      </c>
      <c r="B78" s="20" t="s">
        <v>341</v>
      </c>
      <c r="C78" s="20" t="s">
        <v>625</v>
      </c>
      <c r="D78" s="150">
        <v>890000</v>
      </c>
      <c r="E78" s="20" t="s">
        <v>360</v>
      </c>
      <c r="F78" s="20" t="s">
        <v>361</v>
      </c>
      <c r="G78" s="8" t="str">
        <f t="shared" si="1"/>
        <v>LOZA FIDEL</v>
      </c>
    </row>
    <row r="79" spans="1:7" x14ac:dyDescent="0.25">
      <c r="A79" s="8">
        <v>42776.415462962963</v>
      </c>
      <c r="B79" s="20" t="s">
        <v>330</v>
      </c>
      <c r="C79" s="20" t="s">
        <v>626</v>
      </c>
      <c r="D79" s="150">
        <v>2020000</v>
      </c>
      <c r="E79" s="20" t="s">
        <v>480</v>
      </c>
      <c r="F79" s="20" t="s">
        <v>481</v>
      </c>
      <c r="G79" s="8" t="str">
        <f t="shared" si="1"/>
        <v>SHOOK JOHN</v>
      </c>
    </row>
    <row r="80" spans="1:7" x14ac:dyDescent="0.25">
      <c r="A80" s="8">
        <v>42776.422905092593</v>
      </c>
      <c r="B80" s="20" t="s">
        <v>196</v>
      </c>
      <c r="C80" s="20" t="s">
        <v>627</v>
      </c>
      <c r="D80" s="150">
        <v>940000</v>
      </c>
      <c r="E80" s="20" t="s">
        <v>358</v>
      </c>
      <c r="F80" s="20" t="s">
        <v>359</v>
      </c>
      <c r="G80" s="8" t="str">
        <f t="shared" si="1"/>
        <v>BONDS REYNALDO</v>
      </c>
    </row>
    <row r="81" spans="1:7" x14ac:dyDescent="0.25">
      <c r="A81" s="8">
        <v>42776.42291666667</v>
      </c>
      <c r="B81" s="20" t="s">
        <v>446</v>
      </c>
      <c r="C81" s="20" t="s">
        <v>544</v>
      </c>
      <c r="D81" s="150">
        <v>1990000</v>
      </c>
      <c r="E81" s="20" t="s">
        <v>562</v>
      </c>
      <c r="F81" s="20" t="s">
        <v>563</v>
      </c>
      <c r="G81" s="8" t="str">
        <f t="shared" si="1"/>
        <v>DAVIS WENDY</v>
      </c>
    </row>
    <row r="82" spans="1:7" x14ac:dyDescent="0.25">
      <c r="A82" s="8">
        <v>42776.432604166665</v>
      </c>
      <c r="B82" s="20" t="s">
        <v>444</v>
      </c>
      <c r="C82" s="20" t="s">
        <v>545</v>
      </c>
      <c r="D82" s="150">
        <v>2140000</v>
      </c>
      <c r="E82" s="20" t="s">
        <v>478</v>
      </c>
      <c r="F82" s="20" t="s">
        <v>479</v>
      </c>
      <c r="G82" s="8" t="str">
        <f t="shared" si="1"/>
        <v>ROBINSON KADDIBA</v>
      </c>
    </row>
    <row r="83" spans="1:7" x14ac:dyDescent="0.25">
      <c r="A83" s="8">
        <v>42776.433923611112</v>
      </c>
      <c r="B83" s="20" t="s">
        <v>228</v>
      </c>
      <c r="C83" s="20" t="s">
        <v>628</v>
      </c>
      <c r="D83" s="150">
        <v>1760000</v>
      </c>
      <c r="E83" s="20" t="s">
        <v>629</v>
      </c>
      <c r="F83" s="20" t="s">
        <v>630</v>
      </c>
      <c r="G83" s="8" t="str">
        <f t="shared" si="1"/>
        <v>STRICKLAND EVAN</v>
      </c>
    </row>
    <row r="84" spans="1:7" x14ac:dyDescent="0.25">
      <c r="A84" s="8">
        <v>42776.443055555559</v>
      </c>
      <c r="B84" s="20" t="s">
        <v>334</v>
      </c>
      <c r="C84" s="20" t="s">
        <v>631</v>
      </c>
      <c r="D84" s="150">
        <v>2020000</v>
      </c>
      <c r="E84" s="20" t="s">
        <v>480</v>
      </c>
      <c r="F84" s="20" t="s">
        <v>481</v>
      </c>
      <c r="G84" s="8" t="str">
        <f t="shared" si="1"/>
        <v>SHOOK JOHN</v>
      </c>
    </row>
    <row r="85" spans="1:7" x14ac:dyDescent="0.25">
      <c r="A85" s="8">
        <v>42776.443865740737</v>
      </c>
      <c r="B85" s="20" t="s">
        <v>225</v>
      </c>
      <c r="C85" s="20" t="s">
        <v>632</v>
      </c>
      <c r="D85" s="150">
        <v>1110000</v>
      </c>
      <c r="E85" s="20" t="s">
        <v>342</v>
      </c>
      <c r="F85" s="20" t="s">
        <v>343</v>
      </c>
      <c r="G85" s="8" t="str">
        <f t="shared" si="1"/>
        <v>STARKS ANGELINA</v>
      </c>
    </row>
    <row r="86" spans="1:7" x14ac:dyDescent="0.25">
      <c r="A86" s="8">
        <v>42776.445810185185</v>
      </c>
      <c r="B86" s="20" t="s">
        <v>303</v>
      </c>
      <c r="C86" s="20" t="s">
        <v>633</v>
      </c>
      <c r="D86" s="150">
        <v>900000</v>
      </c>
      <c r="E86" s="20" t="s">
        <v>344</v>
      </c>
      <c r="F86" s="20" t="s">
        <v>345</v>
      </c>
      <c r="G86" s="8" t="str">
        <f t="shared" si="1"/>
        <v>ROCHA YAOTL</v>
      </c>
    </row>
    <row r="87" spans="1:7" x14ac:dyDescent="0.25">
      <c r="A87" s="8">
        <v>42776.455046296294</v>
      </c>
      <c r="B87" s="20" t="s">
        <v>316</v>
      </c>
      <c r="C87" s="20" t="s">
        <v>634</v>
      </c>
      <c r="D87" s="150">
        <v>890000</v>
      </c>
      <c r="E87" s="20" t="s">
        <v>360</v>
      </c>
      <c r="F87" s="20" t="s">
        <v>361</v>
      </c>
      <c r="G87" s="8" t="str">
        <f t="shared" si="1"/>
        <v>LOZA FIDEL</v>
      </c>
    </row>
    <row r="88" spans="1:7" x14ac:dyDescent="0.25">
      <c r="A88" s="8">
        <v>42776.457233796296</v>
      </c>
      <c r="B88" s="20" t="s">
        <v>330</v>
      </c>
      <c r="C88" s="20" t="s">
        <v>635</v>
      </c>
      <c r="D88" s="150">
        <v>2020000</v>
      </c>
      <c r="E88" s="20" t="s">
        <v>480</v>
      </c>
      <c r="F88" s="20" t="s">
        <v>481</v>
      </c>
      <c r="G88" s="8" t="str">
        <f t="shared" si="1"/>
        <v>SHOOK JOHN</v>
      </c>
    </row>
    <row r="89" spans="1:7" x14ac:dyDescent="0.25">
      <c r="A89" s="8">
        <v>42776.462581018517</v>
      </c>
      <c r="B89" s="20" t="s">
        <v>333</v>
      </c>
      <c r="C89" s="20" t="s">
        <v>636</v>
      </c>
      <c r="D89" s="150">
        <v>940000</v>
      </c>
      <c r="E89" s="20" t="s">
        <v>358</v>
      </c>
      <c r="F89" s="20" t="s">
        <v>359</v>
      </c>
      <c r="G89" s="8" t="str">
        <f t="shared" si="1"/>
        <v>BONDS REYNALDO</v>
      </c>
    </row>
    <row r="90" spans="1:7" x14ac:dyDescent="0.25">
      <c r="A90" s="8">
        <v>42776.462766203702</v>
      </c>
      <c r="B90" s="20" t="s">
        <v>637</v>
      </c>
      <c r="C90" s="20" t="s">
        <v>638</v>
      </c>
      <c r="D90" s="150">
        <v>880000</v>
      </c>
      <c r="E90" s="20" t="s">
        <v>639</v>
      </c>
      <c r="F90" s="20" t="s">
        <v>204</v>
      </c>
      <c r="G90" s="8" t="str">
        <f t="shared" si="1"/>
        <v>STEWART MICHAEL</v>
      </c>
    </row>
    <row r="91" spans="1:7" x14ac:dyDescent="0.25">
      <c r="A91" s="8">
        <v>42776.463993055557</v>
      </c>
      <c r="B91" s="20" t="s">
        <v>637</v>
      </c>
      <c r="C91" s="20" t="s">
        <v>638</v>
      </c>
      <c r="D91" s="150">
        <v>880000</v>
      </c>
      <c r="E91" s="20" t="s">
        <v>639</v>
      </c>
      <c r="F91" s="20" t="s">
        <v>204</v>
      </c>
      <c r="G91" s="8" t="str">
        <f t="shared" si="1"/>
        <v>STEWART MICHAEL</v>
      </c>
    </row>
    <row r="92" spans="1:7" x14ac:dyDescent="0.25">
      <c r="A92" s="8">
        <v>42776.466053240743</v>
      </c>
      <c r="B92" s="20" t="s">
        <v>445</v>
      </c>
      <c r="C92" s="20" t="s">
        <v>640</v>
      </c>
      <c r="D92" s="150">
        <v>2470000</v>
      </c>
      <c r="E92" s="20" t="s">
        <v>641</v>
      </c>
      <c r="F92" s="20" t="s">
        <v>642</v>
      </c>
      <c r="G92" s="8" t="str">
        <f t="shared" si="1"/>
        <v>ROMERO CHAD</v>
      </c>
    </row>
    <row r="93" spans="1:7" x14ac:dyDescent="0.25">
      <c r="A93" s="8">
        <v>42776.474108796298</v>
      </c>
      <c r="B93" s="20" t="s">
        <v>227</v>
      </c>
      <c r="C93" s="20" t="s">
        <v>546</v>
      </c>
      <c r="D93" s="150">
        <v>1760000</v>
      </c>
      <c r="E93" s="20" t="s">
        <v>629</v>
      </c>
      <c r="F93" s="20" t="s">
        <v>630</v>
      </c>
      <c r="G93" s="8" t="str">
        <f t="shared" si="1"/>
        <v>STRICKLAND EVAN</v>
      </c>
    </row>
    <row r="94" spans="1:7" x14ac:dyDescent="0.25">
      <c r="A94" s="8">
        <v>42776.481296296297</v>
      </c>
      <c r="B94" s="20" t="s">
        <v>224</v>
      </c>
      <c r="C94" s="20" t="s">
        <v>643</v>
      </c>
      <c r="D94" s="150">
        <v>930000</v>
      </c>
      <c r="E94" s="20" t="s">
        <v>346</v>
      </c>
      <c r="F94" s="20" t="s">
        <v>347</v>
      </c>
      <c r="G94" s="8" t="str">
        <f t="shared" si="1"/>
        <v>CLARK KATHLEEN</v>
      </c>
    </row>
    <row r="95" spans="1:7" x14ac:dyDescent="0.25">
      <c r="A95" s="8">
        <v>42776.483344907407</v>
      </c>
      <c r="B95" s="20" t="s">
        <v>451</v>
      </c>
      <c r="C95" s="20" t="s">
        <v>644</v>
      </c>
      <c r="D95" s="150">
        <v>900000</v>
      </c>
      <c r="E95" s="20" t="s">
        <v>344</v>
      </c>
      <c r="F95" s="20" t="s">
        <v>345</v>
      </c>
      <c r="G95" s="8" t="str">
        <f t="shared" si="1"/>
        <v>ROCHA YAOTL</v>
      </c>
    </row>
    <row r="96" spans="1:7" x14ac:dyDescent="0.25">
      <c r="A96" s="8">
        <v>42776.485277777778</v>
      </c>
      <c r="B96" s="20" t="s">
        <v>334</v>
      </c>
      <c r="C96" s="20" t="s">
        <v>645</v>
      </c>
      <c r="D96" s="150">
        <v>2020000</v>
      </c>
      <c r="E96" s="20" t="s">
        <v>480</v>
      </c>
      <c r="F96" s="20" t="s">
        <v>481</v>
      </c>
      <c r="G96" s="8" t="str">
        <f t="shared" si="1"/>
        <v>SHOOK JOHN</v>
      </c>
    </row>
    <row r="97" spans="1:7" x14ac:dyDescent="0.25">
      <c r="A97" s="8">
        <v>42776.488136574073</v>
      </c>
      <c r="B97" s="20" t="s">
        <v>239</v>
      </c>
      <c r="C97" s="20" t="s">
        <v>646</v>
      </c>
      <c r="D97" s="150">
        <v>1770000</v>
      </c>
      <c r="E97" s="20" t="s">
        <v>454</v>
      </c>
      <c r="F97" s="20" t="s">
        <v>455</v>
      </c>
      <c r="G97" s="8" t="str">
        <f t="shared" si="1"/>
        <v>BRUDER RICHARD</v>
      </c>
    </row>
    <row r="98" spans="1:7" x14ac:dyDescent="0.25">
      <c r="A98" s="8">
        <v>42776.496712962966</v>
      </c>
      <c r="B98" s="20" t="s">
        <v>335</v>
      </c>
      <c r="C98" s="20" t="s">
        <v>647</v>
      </c>
      <c r="D98" s="150">
        <v>880000</v>
      </c>
      <c r="E98" s="20" t="s">
        <v>639</v>
      </c>
      <c r="F98" s="20" t="s">
        <v>204</v>
      </c>
      <c r="G98" s="8" t="str">
        <f t="shared" si="1"/>
        <v>STEWART MICHAEL</v>
      </c>
    </row>
    <row r="99" spans="1:7" x14ac:dyDescent="0.25">
      <c r="A99" s="8">
        <v>42776.497557870367</v>
      </c>
      <c r="B99" s="20" t="s">
        <v>196</v>
      </c>
      <c r="C99" s="20" t="s">
        <v>648</v>
      </c>
      <c r="D99" s="150">
        <v>1540000</v>
      </c>
      <c r="E99" s="20" t="s">
        <v>452</v>
      </c>
      <c r="F99" s="20" t="s">
        <v>453</v>
      </c>
      <c r="G99" s="8" t="str">
        <f t="shared" si="1"/>
        <v>HELVIE ADAM</v>
      </c>
    </row>
    <row r="100" spans="1:7" x14ac:dyDescent="0.25">
      <c r="A100" s="8">
        <v>42776.499108796299</v>
      </c>
      <c r="B100" s="20" t="s">
        <v>446</v>
      </c>
      <c r="C100" s="20" t="s">
        <v>649</v>
      </c>
      <c r="D100" s="150">
        <v>2470000</v>
      </c>
      <c r="E100" s="20" t="s">
        <v>641</v>
      </c>
      <c r="F100" s="20" t="s">
        <v>642</v>
      </c>
      <c r="G100" s="8" t="str">
        <f t="shared" si="1"/>
        <v>ROMERO CHAD</v>
      </c>
    </row>
    <row r="101" spans="1:7" x14ac:dyDescent="0.25">
      <c r="A101" s="8">
        <v>42776.499594907407</v>
      </c>
      <c r="B101" s="20" t="s">
        <v>330</v>
      </c>
      <c r="C101" s="20" t="s">
        <v>650</v>
      </c>
      <c r="D101" s="150">
        <v>2020000</v>
      </c>
      <c r="E101" s="20" t="s">
        <v>480</v>
      </c>
      <c r="F101" s="20" t="s">
        <v>481</v>
      </c>
      <c r="G101" s="8" t="str">
        <f t="shared" si="1"/>
        <v>SHOOK JOHN</v>
      </c>
    </row>
    <row r="102" spans="1:7" x14ac:dyDescent="0.25">
      <c r="A102" s="8">
        <v>42776.506053240744</v>
      </c>
      <c r="B102" s="20" t="s">
        <v>228</v>
      </c>
      <c r="C102" s="20" t="s">
        <v>651</v>
      </c>
      <c r="D102" s="150">
        <v>2030000</v>
      </c>
      <c r="E102" s="20" t="s">
        <v>482</v>
      </c>
      <c r="F102" s="20" t="s">
        <v>483</v>
      </c>
      <c r="G102" s="8" t="str">
        <f t="shared" si="1"/>
        <v>KILLION DAVID</v>
      </c>
    </row>
    <row r="103" spans="1:7" x14ac:dyDescent="0.25">
      <c r="A103" s="8">
        <v>42776.509942129633</v>
      </c>
      <c r="B103" s="20" t="s">
        <v>228</v>
      </c>
      <c r="C103" s="20" t="s">
        <v>651</v>
      </c>
      <c r="D103" s="150">
        <v>2030000</v>
      </c>
      <c r="E103" s="20" t="s">
        <v>482</v>
      </c>
      <c r="F103" s="20" t="s">
        <v>483</v>
      </c>
      <c r="G103" s="8" t="str">
        <f t="shared" si="1"/>
        <v>KILLION DAVID</v>
      </c>
    </row>
    <row r="104" spans="1:7" x14ac:dyDescent="0.25">
      <c r="A104" s="8">
        <v>42776.516273148147</v>
      </c>
      <c r="B104" s="20" t="s">
        <v>303</v>
      </c>
      <c r="C104" s="20" t="s">
        <v>652</v>
      </c>
      <c r="D104" s="150">
        <v>1190000</v>
      </c>
      <c r="E104" s="20" t="s">
        <v>363</v>
      </c>
      <c r="F104" s="20" t="s">
        <v>364</v>
      </c>
      <c r="G104" s="8" t="str">
        <f t="shared" si="1"/>
        <v>BRANNON JEFFREY</v>
      </c>
    </row>
    <row r="105" spans="1:7" x14ac:dyDescent="0.25">
      <c r="A105" s="8">
        <v>42776.516655092593</v>
      </c>
      <c r="B105" s="20" t="s">
        <v>225</v>
      </c>
      <c r="C105" s="20" t="s">
        <v>653</v>
      </c>
      <c r="D105" s="150">
        <v>930000</v>
      </c>
      <c r="E105" s="20" t="s">
        <v>346</v>
      </c>
      <c r="F105" s="20" t="s">
        <v>347</v>
      </c>
      <c r="G105" s="8" t="str">
        <f t="shared" si="1"/>
        <v>CLARK KATHLEEN</v>
      </c>
    </row>
    <row r="106" spans="1:7" x14ac:dyDescent="0.25">
      <c r="A106" s="8">
        <v>42776.524363425924</v>
      </c>
      <c r="B106" s="20" t="s">
        <v>444</v>
      </c>
      <c r="C106" s="20" t="s">
        <v>654</v>
      </c>
      <c r="D106" s="150">
        <v>1770000</v>
      </c>
      <c r="E106" s="20" t="s">
        <v>454</v>
      </c>
      <c r="F106" s="20" t="s">
        <v>455</v>
      </c>
      <c r="G106" s="8" t="str">
        <f t="shared" si="1"/>
        <v>BRUDER RICHARD</v>
      </c>
    </row>
    <row r="107" spans="1:7" x14ac:dyDescent="0.25">
      <c r="A107" s="8">
        <v>42776.526828703703</v>
      </c>
      <c r="B107" s="20" t="s">
        <v>334</v>
      </c>
      <c r="C107" s="20" t="s">
        <v>655</v>
      </c>
      <c r="D107" s="150">
        <v>2020000</v>
      </c>
      <c r="E107" s="20" t="s">
        <v>480</v>
      </c>
      <c r="F107" s="20" t="s">
        <v>481</v>
      </c>
      <c r="G107" s="8" t="str">
        <f t="shared" si="1"/>
        <v>SHOOK JOHN</v>
      </c>
    </row>
    <row r="108" spans="1:7" x14ac:dyDescent="0.25">
      <c r="A108" s="8">
        <v>42776.527557870373</v>
      </c>
      <c r="B108" s="20" t="s">
        <v>637</v>
      </c>
      <c r="C108" s="20" t="s">
        <v>656</v>
      </c>
      <c r="D108" s="150">
        <v>880000</v>
      </c>
      <c r="E108" s="20" t="s">
        <v>639</v>
      </c>
      <c r="F108" s="20" t="s">
        <v>204</v>
      </c>
      <c r="G108" s="8" t="str">
        <f t="shared" si="1"/>
        <v>STEWART MICHAEL</v>
      </c>
    </row>
    <row r="109" spans="1:7" x14ac:dyDescent="0.25">
      <c r="A109" s="8">
        <v>42776.536643518521</v>
      </c>
      <c r="B109" s="20" t="s">
        <v>333</v>
      </c>
      <c r="C109" s="20" t="s">
        <v>657</v>
      </c>
      <c r="D109" s="150">
        <v>1540000</v>
      </c>
      <c r="E109" s="20" t="s">
        <v>452</v>
      </c>
      <c r="F109" s="20" t="s">
        <v>453</v>
      </c>
      <c r="G109" s="8" t="str">
        <f t="shared" si="1"/>
        <v>HELVIE ADAM</v>
      </c>
    </row>
    <row r="110" spans="1:7" x14ac:dyDescent="0.25">
      <c r="A110" s="8">
        <v>42776.538368055553</v>
      </c>
      <c r="B110" s="20" t="s">
        <v>445</v>
      </c>
      <c r="C110" s="20" t="s">
        <v>658</v>
      </c>
      <c r="D110" s="150">
        <v>2470000</v>
      </c>
      <c r="E110" s="20" t="s">
        <v>641</v>
      </c>
      <c r="F110" s="20" t="s">
        <v>642</v>
      </c>
      <c r="G110" s="8" t="str">
        <f t="shared" si="1"/>
        <v>ROMERO CHAD</v>
      </c>
    </row>
    <row r="111" spans="1:7" x14ac:dyDescent="0.25">
      <c r="A111" s="8">
        <v>42776.542187500003</v>
      </c>
      <c r="B111" s="20" t="s">
        <v>227</v>
      </c>
      <c r="C111" s="20" t="s">
        <v>547</v>
      </c>
      <c r="D111" s="150">
        <v>2030000</v>
      </c>
      <c r="E111" s="20" t="s">
        <v>482</v>
      </c>
      <c r="F111" s="20" t="s">
        <v>483</v>
      </c>
      <c r="G111" s="8" t="str">
        <f t="shared" si="1"/>
        <v>KILLION DAVID</v>
      </c>
    </row>
    <row r="112" spans="1:7" x14ac:dyDescent="0.25">
      <c r="A112" s="8">
        <v>42776.543275462966</v>
      </c>
      <c r="B112" s="20" t="s">
        <v>330</v>
      </c>
      <c r="C112" s="20" t="s">
        <v>659</v>
      </c>
      <c r="D112" s="150">
        <v>1180000</v>
      </c>
      <c r="E112" s="20" t="s">
        <v>348</v>
      </c>
      <c r="F112" s="20" t="s">
        <v>349</v>
      </c>
      <c r="G112" s="8" t="str">
        <f t="shared" si="1"/>
        <v>LEVERE CRAIG</v>
      </c>
    </row>
    <row r="113" spans="1:7" x14ac:dyDescent="0.25">
      <c r="A113" s="8">
        <v>42776.547962962963</v>
      </c>
      <c r="B113" s="20" t="s">
        <v>224</v>
      </c>
      <c r="C113" s="20" t="s">
        <v>660</v>
      </c>
      <c r="D113" s="150">
        <v>930000</v>
      </c>
      <c r="E113" s="20" t="s">
        <v>346</v>
      </c>
      <c r="F113" s="20" t="s">
        <v>347</v>
      </c>
      <c r="G113" s="8" t="str">
        <f t="shared" si="1"/>
        <v>CLARK KATHLEEN</v>
      </c>
    </row>
    <row r="114" spans="1:7" x14ac:dyDescent="0.25">
      <c r="A114" s="8">
        <v>42776.55709490741</v>
      </c>
      <c r="B114" s="20" t="s">
        <v>451</v>
      </c>
      <c r="C114" s="20" t="s">
        <v>661</v>
      </c>
      <c r="D114" s="150">
        <v>1190000</v>
      </c>
      <c r="E114" s="20" t="s">
        <v>363</v>
      </c>
      <c r="F114" s="20" t="s">
        <v>364</v>
      </c>
      <c r="G114" s="8" t="str">
        <f t="shared" si="1"/>
        <v>BRANNON JEFFREY</v>
      </c>
    </row>
    <row r="115" spans="1:7" x14ac:dyDescent="0.25">
      <c r="A115" s="8">
        <v>42776.55746527778</v>
      </c>
      <c r="B115" s="20" t="s">
        <v>239</v>
      </c>
      <c r="C115" s="20" t="s">
        <v>662</v>
      </c>
      <c r="D115" s="150">
        <v>2370000</v>
      </c>
      <c r="E115" s="20" t="s">
        <v>456</v>
      </c>
      <c r="F115" s="20" t="s">
        <v>457</v>
      </c>
      <c r="G115" s="8" t="str">
        <f t="shared" si="1"/>
        <v>DELGADO DIANAH</v>
      </c>
    </row>
    <row r="116" spans="1:7" x14ac:dyDescent="0.25">
      <c r="A116" s="8">
        <v>42776.565717592595</v>
      </c>
      <c r="B116" s="20" t="s">
        <v>335</v>
      </c>
      <c r="C116" s="20" t="s">
        <v>548</v>
      </c>
      <c r="D116" s="150">
        <v>880000</v>
      </c>
      <c r="E116" s="20" t="s">
        <v>639</v>
      </c>
      <c r="F116" s="20" t="s">
        <v>204</v>
      </c>
      <c r="G116" s="8" t="str">
        <f t="shared" si="1"/>
        <v>STEWART MICHAEL</v>
      </c>
    </row>
    <row r="117" spans="1:7" x14ac:dyDescent="0.25">
      <c r="A117" s="8">
        <v>42776.567384259259</v>
      </c>
      <c r="B117" s="20" t="s">
        <v>334</v>
      </c>
      <c r="C117" s="20" t="s">
        <v>663</v>
      </c>
      <c r="D117" s="150">
        <v>1180000</v>
      </c>
      <c r="E117" s="20" t="s">
        <v>348</v>
      </c>
      <c r="F117" s="20" t="s">
        <v>349</v>
      </c>
      <c r="G117" s="8" t="str">
        <f t="shared" si="1"/>
        <v>LEVERE CRAIG</v>
      </c>
    </row>
    <row r="118" spans="1:7" x14ac:dyDescent="0.25">
      <c r="A118" s="8">
        <v>42776.571111111109</v>
      </c>
      <c r="B118" s="20" t="s">
        <v>196</v>
      </c>
      <c r="C118" s="20" t="s">
        <v>664</v>
      </c>
      <c r="D118" s="150">
        <v>1540000</v>
      </c>
      <c r="E118" s="20" t="s">
        <v>452</v>
      </c>
      <c r="F118" s="20" t="s">
        <v>453</v>
      </c>
      <c r="G118" s="8" t="str">
        <f t="shared" si="1"/>
        <v>HELVIE ADAM</v>
      </c>
    </row>
    <row r="119" spans="1:7" x14ac:dyDescent="0.25">
      <c r="A119" s="8">
        <v>42776.578576388885</v>
      </c>
      <c r="B119" s="20" t="s">
        <v>446</v>
      </c>
      <c r="C119" s="20" t="s">
        <v>665</v>
      </c>
      <c r="D119" s="150">
        <v>2470000</v>
      </c>
      <c r="E119" s="20" t="s">
        <v>641</v>
      </c>
      <c r="F119" s="20" t="s">
        <v>642</v>
      </c>
      <c r="G119" s="8" t="str">
        <f t="shared" si="1"/>
        <v>ROMERO CHAD</v>
      </c>
    </row>
    <row r="120" spans="1:7" x14ac:dyDescent="0.25">
      <c r="A120" s="8">
        <v>42776.58053240741</v>
      </c>
      <c r="B120" s="20" t="s">
        <v>228</v>
      </c>
      <c r="C120" s="20" t="s">
        <v>666</v>
      </c>
      <c r="D120" s="150">
        <v>2030000</v>
      </c>
      <c r="E120" s="20" t="s">
        <v>482</v>
      </c>
      <c r="F120" s="20" t="s">
        <v>483</v>
      </c>
      <c r="G120" s="8" t="str">
        <f t="shared" si="1"/>
        <v>KILLION DAVID</v>
      </c>
    </row>
    <row r="121" spans="1:7" x14ac:dyDescent="0.25">
      <c r="A121" s="8">
        <v>42776.586134259262</v>
      </c>
      <c r="B121" s="20" t="s">
        <v>225</v>
      </c>
      <c r="C121" s="20" t="s">
        <v>667</v>
      </c>
      <c r="D121" s="150">
        <v>930000</v>
      </c>
      <c r="E121" s="20" t="s">
        <v>346</v>
      </c>
      <c r="F121" s="20" t="s">
        <v>347</v>
      </c>
      <c r="G121" s="8" t="str">
        <f t="shared" si="1"/>
        <v>CLARK KATHLEEN</v>
      </c>
    </row>
    <row r="122" spans="1:7" x14ac:dyDescent="0.25">
      <c r="A122" s="8">
        <v>42776.587407407409</v>
      </c>
      <c r="B122" s="25" t="s">
        <v>303</v>
      </c>
      <c r="C122" s="20" t="s">
        <v>668</v>
      </c>
      <c r="D122" s="150">
        <v>1190000</v>
      </c>
      <c r="E122" s="20" t="s">
        <v>363</v>
      </c>
      <c r="F122" s="20" t="s">
        <v>364</v>
      </c>
      <c r="G122" s="8" t="str">
        <f t="shared" si="1"/>
        <v>BRANNON JEFFREY</v>
      </c>
    </row>
    <row r="123" spans="1:7" x14ac:dyDescent="0.25">
      <c r="A123" s="8">
        <v>42776.592905092592</v>
      </c>
      <c r="B123" s="20" t="s">
        <v>330</v>
      </c>
      <c r="C123" s="20" t="s">
        <v>549</v>
      </c>
      <c r="D123" s="150">
        <v>1180000</v>
      </c>
      <c r="E123" s="20" t="s">
        <v>348</v>
      </c>
      <c r="F123" s="20" t="s">
        <v>349</v>
      </c>
      <c r="G123" s="8" t="str">
        <f t="shared" si="1"/>
        <v>LEVERE CRAIG</v>
      </c>
    </row>
    <row r="124" spans="1:7" x14ac:dyDescent="0.25">
      <c r="A124" s="8">
        <v>42776.5937037037</v>
      </c>
      <c r="B124" s="20" t="s">
        <v>444</v>
      </c>
      <c r="C124" s="20" t="s">
        <v>669</v>
      </c>
      <c r="D124" s="150">
        <v>2370000</v>
      </c>
      <c r="E124" s="20" t="s">
        <v>456</v>
      </c>
      <c r="F124" s="20" t="s">
        <v>457</v>
      </c>
      <c r="G124" s="8" t="str">
        <f t="shared" si="1"/>
        <v>DELGADO DIANAH</v>
      </c>
    </row>
    <row r="125" spans="1:7" x14ac:dyDescent="0.25">
      <c r="A125" s="8">
        <v>42776.601030092592</v>
      </c>
      <c r="B125" s="20" t="s">
        <v>637</v>
      </c>
      <c r="C125" s="20" t="s">
        <v>670</v>
      </c>
      <c r="D125" s="150">
        <v>880000</v>
      </c>
      <c r="E125" s="20" t="s">
        <v>639</v>
      </c>
      <c r="F125" s="20" t="s">
        <v>204</v>
      </c>
      <c r="G125" s="8" t="str">
        <f t="shared" si="1"/>
        <v>STEWART MICHAEL</v>
      </c>
    </row>
    <row r="126" spans="1:7" x14ac:dyDescent="0.25">
      <c r="A126" s="8">
        <v>42776.608761574076</v>
      </c>
      <c r="B126" s="20" t="s">
        <v>333</v>
      </c>
      <c r="C126" s="20" t="s">
        <v>671</v>
      </c>
      <c r="D126" s="150">
        <v>1540000</v>
      </c>
      <c r="E126" s="20" t="s">
        <v>452</v>
      </c>
      <c r="F126" s="20" t="s">
        <v>453</v>
      </c>
      <c r="G126" s="8" t="str">
        <f t="shared" si="1"/>
        <v>HELVIE ADAM</v>
      </c>
    </row>
    <row r="127" spans="1:7" x14ac:dyDescent="0.25">
      <c r="A127" s="8">
        <v>42776.60900462963</v>
      </c>
      <c r="B127" s="20" t="s">
        <v>334</v>
      </c>
      <c r="C127" s="20" t="s">
        <v>672</v>
      </c>
      <c r="D127" s="150">
        <v>1180000</v>
      </c>
      <c r="E127" s="20" t="s">
        <v>348</v>
      </c>
      <c r="F127" s="20" t="s">
        <v>349</v>
      </c>
      <c r="G127" s="8" t="str">
        <f t="shared" si="1"/>
        <v>LEVERE CRAIG</v>
      </c>
    </row>
    <row r="128" spans="1:7" x14ac:dyDescent="0.25">
      <c r="A128" s="8">
        <v>42776.609560185185</v>
      </c>
      <c r="B128" s="20" t="s">
        <v>445</v>
      </c>
      <c r="C128" s="20" t="s">
        <v>550</v>
      </c>
      <c r="D128" s="150">
        <v>2470000</v>
      </c>
      <c r="E128" s="20" t="s">
        <v>641</v>
      </c>
      <c r="F128" s="20" t="s">
        <v>642</v>
      </c>
      <c r="G128" s="8" t="str">
        <f t="shared" si="1"/>
        <v>ROMERO CHAD</v>
      </c>
    </row>
    <row r="129" spans="1:7" x14ac:dyDescent="0.25">
      <c r="A129" s="8">
        <v>42776.616770833331</v>
      </c>
      <c r="B129" s="20" t="s">
        <v>227</v>
      </c>
      <c r="C129" s="20" t="s">
        <v>551</v>
      </c>
      <c r="D129" s="150">
        <v>2030000</v>
      </c>
      <c r="E129" s="20" t="s">
        <v>482</v>
      </c>
      <c r="F129" s="20" t="s">
        <v>483</v>
      </c>
      <c r="G129" s="8" t="str">
        <f t="shared" si="1"/>
        <v>KILLION DAVID</v>
      </c>
    </row>
    <row r="130" spans="1:7" x14ac:dyDescent="0.25">
      <c r="A130" s="8">
        <v>42776.620636574073</v>
      </c>
      <c r="B130" s="20" t="s">
        <v>224</v>
      </c>
      <c r="C130" s="20" t="s">
        <v>673</v>
      </c>
      <c r="D130" s="150">
        <v>930000</v>
      </c>
      <c r="E130" s="20" t="s">
        <v>346</v>
      </c>
      <c r="F130" s="20" t="s">
        <v>347</v>
      </c>
      <c r="G130" s="8" t="str">
        <f t="shared" si="1"/>
        <v>CLARK KATHLEEN</v>
      </c>
    </row>
    <row r="131" spans="1:7" x14ac:dyDescent="0.25">
      <c r="A131" s="8">
        <v>42776.627997685187</v>
      </c>
      <c r="B131" s="20" t="s">
        <v>451</v>
      </c>
      <c r="C131" s="20" t="s">
        <v>674</v>
      </c>
      <c r="D131" s="150">
        <v>1190000</v>
      </c>
      <c r="E131" s="20" t="s">
        <v>363</v>
      </c>
      <c r="F131" s="20" t="s">
        <v>364</v>
      </c>
      <c r="G131" s="8" t="str">
        <f t="shared" ref="G131:G194" si="2">E131&amp;" "&amp;F131</f>
        <v>BRANNON JEFFREY</v>
      </c>
    </row>
    <row r="132" spans="1:7" x14ac:dyDescent="0.25">
      <c r="A132" s="8">
        <v>42776.630474537036</v>
      </c>
      <c r="B132" s="20" t="s">
        <v>239</v>
      </c>
      <c r="C132" s="20" t="s">
        <v>675</v>
      </c>
      <c r="D132" s="150">
        <v>1770000</v>
      </c>
      <c r="E132" s="20" t="s">
        <v>454</v>
      </c>
      <c r="F132" s="20" t="s">
        <v>455</v>
      </c>
      <c r="G132" s="8" t="str">
        <f t="shared" si="2"/>
        <v>BRUDER RICHARD</v>
      </c>
    </row>
    <row r="133" spans="1:7" x14ac:dyDescent="0.25">
      <c r="A133" s="8">
        <v>42776.632187499999</v>
      </c>
      <c r="B133" s="20" t="s">
        <v>330</v>
      </c>
      <c r="C133" s="20" t="s">
        <v>676</v>
      </c>
      <c r="D133" s="150">
        <v>1180000</v>
      </c>
      <c r="E133" s="20" t="s">
        <v>348</v>
      </c>
      <c r="F133" s="20" t="s">
        <v>349</v>
      </c>
      <c r="G133" s="8" t="str">
        <f t="shared" si="2"/>
        <v>LEVERE CRAIG</v>
      </c>
    </row>
    <row r="134" spans="1:7" x14ac:dyDescent="0.25">
      <c r="A134" s="8">
        <v>42776.637488425928</v>
      </c>
      <c r="B134" s="20" t="s">
        <v>232</v>
      </c>
      <c r="C134" s="20" t="s">
        <v>677</v>
      </c>
      <c r="D134" s="150">
        <v>2230000</v>
      </c>
      <c r="E134" s="20" t="s">
        <v>484</v>
      </c>
      <c r="F134" s="20" t="s">
        <v>204</v>
      </c>
      <c r="G134" s="8" t="str">
        <f t="shared" si="2"/>
        <v>SMITH MICHAEL</v>
      </c>
    </row>
    <row r="135" spans="1:7" x14ac:dyDescent="0.25">
      <c r="A135" s="8">
        <v>42776.640451388892</v>
      </c>
      <c r="B135" s="20" t="s">
        <v>335</v>
      </c>
      <c r="C135" s="20" t="s">
        <v>678</v>
      </c>
      <c r="D135" s="150">
        <v>880000</v>
      </c>
      <c r="E135" s="20" t="s">
        <v>639</v>
      </c>
      <c r="F135" s="20" t="s">
        <v>204</v>
      </c>
      <c r="G135" s="8" t="str">
        <f t="shared" si="2"/>
        <v>STEWART MICHAEL</v>
      </c>
    </row>
    <row r="136" spans="1:7" x14ac:dyDescent="0.25">
      <c r="A136" s="8">
        <v>42776.641967592594</v>
      </c>
      <c r="B136" s="20" t="s">
        <v>446</v>
      </c>
      <c r="C136" s="20" t="s">
        <v>679</v>
      </c>
      <c r="D136" s="150">
        <v>2470000</v>
      </c>
      <c r="E136" s="20" t="s">
        <v>641</v>
      </c>
      <c r="F136" s="20" t="s">
        <v>642</v>
      </c>
      <c r="G136" s="8" t="str">
        <f t="shared" si="2"/>
        <v>ROMERO CHAD</v>
      </c>
    </row>
    <row r="137" spans="1:7" x14ac:dyDescent="0.25">
      <c r="A137" s="8">
        <v>42776.642361111109</v>
      </c>
      <c r="B137" s="20" t="s">
        <v>196</v>
      </c>
      <c r="C137" s="20" t="s">
        <v>680</v>
      </c>
      <c r="D137" s="150">
        <v>1540000</v>
      </c>
      <c r="E137" s="20" t="s">
        <v>452</v>
      </c>
      <c r="F137" s="20" t="s">
        <v>453</v>
      </c>
      <c r="G137" s="8" t="str">
        <f t="shared" si="2"/>
        <v>HELVIE ADAM</v>
      </c>
    </row>
    <row r="138" spans="1:7" x14ac:dyDescent="0.25">
      <c r="A138" s="8">
        <v>42776.649733796294</v>
      </c>
      <c r="B138" s="20" t="s">
        <v>299</v>
      </c>
      <c r="C138" s="20" t="s">
        <v>681</v>
      </c>
      <c r="D138" s="150">
        <v>2230000</v>
      </c>
      <c r="E138" s="20" t="s">
        <v>484</v>
      </c>
      <c r="F138" s="20" t="s">
        <v>204</v>
      </c>
      <c r="G138" s="8" t="str">
        <f t="shared" si="2"/>
        <v>SMITH MICHAEL</v>
      </c>
    </row>
    <row r="139" spans="1:7" x14ac:dyDescent="0.25">
      <c r="A139" s="8">
        <v>42776.651192129626</v>
      </c>
      <c r="B139" s="20" t="s">
        <v>334</v>
      </c>
      <c r="C139" s="20" t="s">
        <v>682</v>
      </c>
      <c r="D139" s="150">
        <v>1180000</v>
      </c>
      <c r="E139" s="20" t="s">
        <v>348</v>
      </c>
      <c r="F139" s="20" t="s">
        <v>349</v>
      </c>
      <c r="G139" s="8" t="str">
        <f t="shared" si="2"/>
        <v>LEVERE CRAIG</v>
      </c>
    </row>
    <row r="140" spans="1:7" x14ac:dyDescent="0.25">
      <c r="A140" s="8">
        <v>42776.651493055557</v>
      </c>
      <c r="B140" s="20" t="s">
        <v>228</v>
      </c>
      <c r="C140" s="20" t="s">
        <v>683</v>
      </c>
      <c r="D140" s="150">
        <v>2030000</v>
      </c>
      <c r="E140" s="20" t="s">
        <v>482</v>
      </c>
      <c r="F140" s="20" t="s">
        <v>483</v>
      </c>
      <c r="G140" s="8" t="str">
        <f t="shared" si="2"/>
        <v>KILLION DAVID</v>
      </c>
    </row>
    <row r="141" spans="1:7" x14ac:dyDescent="0.25">
      <c r="A141" s="8">
        <v>42776.660162037035</v>
      </c>
      <c r="B141" s="20" t="s">
        <v>225</v>
      </c>
      <c r="C141" s="20" t="s">
        <v>684</v>
      </c>
      <c r="D141" s="150">
        <v>930000</v>
      </c>
      <c r="E141" s="20" t="s">
        <v>346</v>
      </c>
      <c r="F141" s="20" t="s">
        <v>347</v>
      </c>
      <c r="G141" s="8" t="str">
        <f t="shared" si="2"/>
        <v>CLARK KATHLEEN</v>
      </c>
    </row>
    <row r="142" spans="1:7" x14ac:dyDescent="0.25">
      <c r="A142" s="8">
        <v>42776.660555555558</v>
      </c>
      <c r="B142" s="20" t="s">
        <v>303</v>
      </c>
      <c r="C142" s="20" t="s">
        <v>685</v>
      </c>
      <c r="D142" s="150">
        <v>1190000</v>
      </c>
      <c r="E142" s="20" t="s">
        <v>363</v>
      </c>
      <c r="F142" s="20" t="s">
        <v>364</v>
      </c>
      <c r="G142" s="8" t="str">
        <f t="shared" si="2"/>
        <v>BRANNON JEFFREY</v>
      </c>
    </row>
    <row r="143" spans="1:7" x14ac:dyDescent="0.25">
      <c r="A143" s="8">
        <v>42776.669768518521</v>
      </c>
      <c r="B143" s="20" t="s">
        <v>444</v>
      </c>
      <c r="C143" s="20" t="s">
        <v>686</v>
      </c>
      <c r="D143" s="150">
        <v>1770000</v>
      </c>
      <c r="E143" s="20" t="s">
        <v>454</v>
      </c>
      <c r="F143" s="20" t="s">
        <v>455</v>
      </c>
      <c r="G143" s="8" t="str">
        <f t="shared" si="2"/>
        <v>BRUDER RICHARD</v>
      </c>
    </row>
    <row r="144" spans="1:7" x14ac:dyDescent="0.25">
      <c r="A144" s="8">
        <v>42776.671736111108</v>
      </c>
      <c r="B144" s="20" t="s">
        <v>232</v>
      </c>
      <c r="C144" s="20" t="s">
        <v>687</v>
      </c>
      <c r="D144" s="150">
        <v>2230000</v>
      </c>
      <c r="E144" s="20" t="s">
        <v>484</v>
      </c>
      <c r="F144" s="20" t="s">
        <v>204</v>
      </c>
      <c r="G144" s="8" t="str">
        <f t="shared" si="2"/>
        <v>SMITH MICHAEL</v>
      </c>
    </row>
    <row r="145" spans="1:7" x14ac:dyDescent="0.25">
      <c r="A145" s="8">
        <v>42776.673877314817</v>
      </c>
      <c r="B145" s="20" t="s">
        <v>637</v>
      </c>
      <c r="C145" s="20" t="s">
        <v>688</v>
      </c>
      <c r="D145" s="150">
        <v>880000</v>
      </c>
      <c r="E145" s="20" t="s">
        <v>639</v>
      </c>
      <c r="F145" s="20" t="s">
        <v>204</v>
      </c>
      <c r="G145" s="8" t="str">
        <f t="shared" si="2"/>
        <v>STEWART MICHAEL</v>
      </c>
    </row>
    <row r="146" spans="1:7" x14ac:dyDescent="0.25">
      <c r="A146" s="8">
        <v>42776.676041666666</v>
      </c>
      <c r="B146" s="20" t="s">
        <v>330</v>
      </c>
      <c r="C146" s="20" t="s">
        <v>689</v>
      </c>
      <c r="D146" s="150">
        <v>1180000</v>
      </c>
      <c r="E146" s="20" t="s">
        <v>348</v>
      </c>
      <c r="F146" s="20" t="s">
        <v>349</v>
      </c>
      <c r="G146" s="8" t="str">
        <f t="shared" si="2"/>
        <v>LEVERE CRAIG</v>
      </c>
    </row>
    <row r="147" spans="1:7" x14ac:dyDescent="0.25">
      <c r="A147" s="8">
        <v>42776.682673611111</v>
      </c>
      <c r="B147" s="20" t="s">
        <v>333</v>
      </c>
      <c r="C147" s="20" t="s">
        <v>690</v>
      </c>
      <c r="D147" s="150">
        <v>1540000</v>
      </c>
      <c r="E147" s="20" t="s">
        <v>452</v>
      </c>
      <c r="F147" s="20" t="s">
        <v>453</v>
      </c>
      <c r="G147" s="8" t="str">
        <f t="shared" si="2"/>
        <v>HELVIE ADAM</v>
      </c>
    </row>
    <row r="148" spans="1:7" x14ac:dyDescent="0.25">
      <c r="A148" s="8">
        <v>42776.683472222219</v>
      </c>
      <c r="B148" s="20" t="s">
        <v>333</v>
      </c>
      <c r="C148" s="20" t="s">
        <v>691</v>
      </c>
      <c r="D148" s="150">
        <v>1540000</v>
      </c>
      <c r="E148" s="20" t="s">
        <v>452</v>
      </c>
      <c r="F148" s="20" t="s">
        <v>453</v>
      </c>
      <c r="G148" s="8" t="str">
        <f t="shared" si="2"/>
        <v>HELVIE ADAM</v>
      </c>
    </row>
    <row r="149" spans="1:7" x14ac:dyDescent="0.25">
      <c r="A149" s="8">
        <v>42776.68409722222</v>
      </c>
      <c r="B149" s="20" t="s">
        <v>445</v>
      </c>
      <c r="C149" s="20" t="s">
        <v>692</v>
      </c>
      <c r="D149" s="150">
        <v>2370000</v>
      </c>
      <c r="E149" s="20" t="s">
        <v>456</v>
      </c>
      <c r="F149" s="20" t="s">
        <v>457</v>
      </c>
      <c r="G149" s="8" t="str">
        <f t="shared" si="2"/>
        <v>DELGADO DIANAH</v>
      </c>
    </row>
    <row r="150" spans="1:7" x14ac:dyDescent="0.25">
      <c r="A150" s="8">
        <v>42776.688784722224</v>
      </c>
      <c r="B150" s="20" t="s">
        <v>227</v>
      </c>
      <c r="C150" s="20" t="s">
        <v>693</v>
      </c>
      <c r="D150" s="150">
        <v>2030000</v>
      </c>
      <c r="E150" s="20" t="s">
        <v>482</v>
      </c>
      <c r="F150" s="20" t="s">
        <v>483</v>
      </c>
      <c r="G150" s="8" t="str">
        <f t="shared" si="2"/>
        <v>KILLION DAVID</v>
      </c>
    </row>
    <row r="151" spans="1:7" x14ac:dyDescent="0.25">
      <c r="A151" s="8">
        <v>42776.691284722219</v>
      </c>
      <c r="B151" s="20" t="s">
        <v>299</v>
      </c>
      <c r="C151" s="20" t="s">
        <v>694</v>
      </c>
      <c r="D151" s="150">
        <v>2230000</v>
      </c>
      <c r="E151" s="20" t="s">
        <v>484</v>
      </c>
      <c r="F151" s="20" t="s">
        <v>204</v>
      </c>
      <c r="G151" s="8" t="str">
        <f t="shared" si="2"/>
        <v>SMITH MICHAEL</v>
      </c>
    </row>
    <row r="152" spans="1:7" x14ac:dyDescent="0.25">
      <c r="A152" s="8">
        <v>42776.692812499998</v>
      </c>
      <c r="B152" s="20" t="s">
        <v>334</v>
      </c>
      <c r="C152" s="20" t="s">
        <v>695</v>
      </c>
      <c r="D152" s="150">
        <v>1180000</v>
      </c>
      <c r="E152" s="20" t="s">
        <v>348</v>
      </c>
      <c r="F152" s="20" t="s">
        <v>349</v>
      </c>
      <c r="G152" s="8" t="str">
        <f t="shared" si="2"/>
        <v>LEVERE CRAIG</v>
      </c>
    </row>
    <row r="153" spans="1:7" x14ac:dyDescent="0.25">
      <c r="A153" s="8">
        <v>42776.693969907406</v>
      </c>
      <c r="B153" s="20" t="s">
        <v>224</v>
      </c>
      <c r="C153" s="20" t="s">
        <v>696</v>
      </c>
      <c r="D153" s="150">
        <v>930000</v>
      </c>
      <c r="E153" s="20" t="s">
        <v>346</v>
      </c>
      <c r="F153" s="20" t="s">
        <v>347</v>
      </c>
      <c r="G153" s="8" t="str">
        <f t="shared" si="2"/>
        <v>CLARK KATHLEEN</v>
      </c>
    </row>
    <row r="154" spans="1:7" x14ac:dyDescent="0.25">
      <c r="A154" s="8">
        <v>42776.703333333331</v>
      </c>
      <c r="B154" s="20" t="s">
        <v>451</v>
      </c>
      <c r="C154" s="20" t="s">
        <v>697</v>
      </c>
      <c r="D154" s="150">
        <v>1190000</v>
      </c>
      <c r="E154" s="20" t="s">
        <v>363</v>
      </c>
      <c r="F154" s="20" t="s">
        <v>364</v>
      </c>
      <c r="G154" s="8" t="str">
        <f t="shared" si="2"/>
        <v>BRANNON JEFFREY</v>
      </c>
    </row>
    <row r="155" spans="1:7" x14ac:dyDescent="0.25">
      <c r="A155" s="8">
        <v>42776.704247685186</v>
      </c>
      <c r="B155" s="20" t="s">
        <v>239</v>
      </c>
      <c r="C155" s="20" t="s">
        <v>698</v>
      </c>
      <c r="D155" s="150">
        <v>1770000</v>
      </c>
      <c r="E155" s="20" t="s">
        <v>454</v>
      </c>
      <c r="F155" s="20" t="s">
        <v>455</v>
      </c>
      <c r="G155" s="8" t="str">
        <f t="shared" si="2"/>
        <v>BRUDER RICHARD</v>
      </c>
    </row>
    <row r="156" spans="1:7" x14ac:dyDescent="0.25">
      <c r="A156" s="8">
        <v>42776.71303240741</v>
      </c>
      <c r="B156" s="20" t="s">
        <v>335</v>
      </c>
      <c r="C156" s="20" t="s">
        <v>699</v>
      </c>
      <c r="D156" s="150">
        <v>880000</v>
      </c>
      <c r="E156" s="20" t="s">
        <v>639</v>
      </c>
      <c r="F156" s="20" t="s">
        <v>204</v>
      </c>
      <c r="G156" s="8" t="str">
        <f t="shared" si="2"/>
        <v>STEWART MICHAEL</v>
      </c>
    </row>
    <row r="157" spans="1:7" x14ac:dyDescent="0.25">
      <c r="A157" s="8">
        <v>42776.713842592595</v>
      </c>
      <c r="B157" s="20" t="s">
        <v>232</v>
      </c>
      <c r="C157" s="20" t="s">
        <v>700</v>
      </c>
      <c r="D157" s="150">
        <v>2230000</v>
      </c>
      <c r="E157" s="20" t="s">
        <v>484</v>
      </c>
      <c r="F157" s="20" t="s">
        <v>204</v>
      </c>
      <c r="G157" s="8" t="str">
        <f t="shared" si="2"/>
        <v>SMITH MICHAEL</v>
      </c>
    </row>
    <row r="158" spans="1:7" x14ac:dyDescent="0.25">
      <c r="A158" s="8">
        <v>42776.714571759258</v>
      </c>
      <c r="B158" s="20" t="s">
        <v>446</v>
      </c>
      <c r="C158" s="20" t="s">
        <v>701</v>
      </c>
      <c r="D158" s="150">
        <v>2370000</v>
      </c>
      <c r="E158" s="20" t="s">
        <v>456</v>
      </c>
      <c r="F158" s="20" t="s">
        <v>457</v>
      </c>
      <c r="G158" s="8" t="str">
        <f t="shared" si="2"/>
        <v>DELGADO DIANAH</v>
      </c>
    </row>
    <row r="159" spans="1:7" x14ac:dyDescent="0.25">
      <c r="A159" s="8">
        <v>42776.715729166666</v>
      </c>
      <c r="B159" s="20" t="s">
        <v>196</v>
      </c>
      <c r="C159" s="20" t="s">
        <v>690</v>
      </c>
      <c r="D159" s="150">
        <v>1540000</v>
      </c>
      <c r="E159" s="20" t="s">
        <v>452</v>
      </c>
      <c r="F159" s="20" t="s">
        <v>453</v>
      </c>
      <c r="G159" s="8" t="str">
        <f t="shared" si="2"/>
        <v>HELVIE ADAM</v>
      </c>
    </row>
    <row r="160" spans="1:7" x14ac:dyDescent="0.25">
      <c r="A160" s="8">
        <v>42776.717094907406</v>
      </c>
      <c r="B160" s="20" t="s">
        <v>330</v>
      </c>
      <c r="C160" s="20" t="s">
        <v>702</v>
      </c>
      <c r="D160" s="150">
        <v>1180000</v>
      </c>
      <c r="E160" s="20" t="s">
        <v>348</v>
      </c>
      <c r="F160" s="20" t="s">
        <v>349</v>
      </c>
      <c r="G160" s="8" t="str">
        <f t="shared" si="2"/>
        <v>LEVERE CRAIG</v>
      </c>
    </row>
    <row r="161" spans="1:7" x14ac:dyDescent="0.25">
      <c r="A161" s="8">
        <v>42776.721400462964</v>
      </c>
      <c r="B161" s="20" t="s">
        <v>341</v>
      </c>
      <c r="C161" s="20" t="s">
        <v>703</v>
      </c>
      <c r="D161" s="150">
        <v>2260000</v>
      </c>
      <c r="E161" s="20" t="s">
        <v>704</v>
      </c>
      <c r="F161" s="20" t="s">
        <v>705</v>
      </c>
      <c r="G161" s="8" t="str">
        <f t="shared" si="2"/>
        <v>ARVIDSON DANIEL</v>
      </c>
    </row>
    <row r="162" spans="1:7" x14ac:dyDescent="0.25">
      <c r="A162" s="8">
        <v>42776.7266087963</v>
      </c>
      <c r="B162" s="20" t="s">
        <v>228</v>
      </c>
      <c r="C162" s="20" t="s">
        <v>706</v>
      </c>
      <c r="D162" s="150">
        <v>2030000</v>
      </c>
      <c r="E162" s="20" t="s">
        <v>482</v>
      </c>
      <c r="F162" s="20" t="s">
        <v>483</v>
      </c>
      <c r="G162" s="8" t="str">
        <f t="shared" si="2"/>
        <v>KILLION DAVID</v>
      </c>
    </row>
    <row r="163" spans="1:7" x14ac:dyDescent="0.25">
      <c r="A163" s="8">
        <v>42776.731793981482</v>
      </c>
      <c r="B163" s="20" t="s">
        <v>299</v>
      </c>
      <c r="C163" s="20" t="s">
        <v>707</v>
      </c>
      <c r="D163" s="150">
        <v>2230000</v>
      </c>
      <c r="E163" s="20" t="s">
        <v>484</v>
      </c>
      <c r="F163" s="20" t="s">
        <v>204</v>
      </c>
      <c r="G163" s="8" t="str">
        <f t="shared" si="2"/>
        <v>SMITH MICHAEL</v>
      </c>
    </row>
    <row r="164" spans="1:7" x14ac:dyDescent="0.25">
      <c r="A164" s="8">
        <v>42776.733148148145</v>
      </c>
      <c r="B164" s="20" t="s">
        <v>225</v>
      </c>
      <c r="C164" s="20" t="s">
        <v>708</v>
      </c>
      <c r="D164" s="150">
        <v>930000</v>
      </c>
      <c r="E164" s="20" t="s">
        <v>346</v>
      </c>
      <c r="F164" s="20" t="s">
        <v>347</v>
      </c>
      <c r="G164" s="8" t="str">
        <f t="shared" si="2"/>
        <v>CLARK KATHLEEN</v>
      </c>
    </row>
    <row r="165" spans="1:7" x14ac:dyDescent="0.25">
      <c r="A165" s="8">
        <v>42776.7344212963</v>
      </c>
      <c r="B165" s="20" t="s">
        <v>334</v>
      </c>
      <c r="C165" s="20" t="s">
        <v>709</v>
      </c>
      <c r="D165" s="150">
        <v>1180000</v>
      </c>
      <c r="E165" s="20" t="s">
        <v>348</v>
      </c>
      <c r="F165" s="20" t="s">
        <v>349</v>
      </c>
      <c r="G165" s="8" t="str">
        <f t="shared" si="2"/>
        <v>LEVERE CRAIG</v>
      </c>
    </row>
    <row r="166" spans="1:7" x14ac:dyDescent="0.25">
      <c r="A166" s="8">
        <v>42776.735381944447</v>
      </c>
      <c r="B166" s="20" t="s">
        <v>303</v>
      </c>
      <c r="C166" s="20" t="s">
        <v>710</v>
      </c>
      <c r="D166" s="150">
        <v>1740000</v>
      </c>
      <c r="E166" s="20" t="s">
        <v>236</v>
      </c>
      <c r="F166" s="20" t="s">
        <v>237</v>
      </c>
      <c r="G166" s="8" t="str">
        <f t="shared" si="2"/>
        <v>STORY SAMANTHA</v>
      </c>
    </row>
    <row r="167" spans="1:7" x14ac:dyDescent="0.25">
      <c r="A167" s="8">
        <v>42776.741516203707</v>
      </c>
      <c r="B167" s="20" t="s">
        <v>444</v>
      </c>
      <c r="C167" s="20" t="s">
        <v>553</v>
      </c>
      <c r="D167" s="150">
        <v>1770000</v>
      </c>
      <c r="E167" s="20" t="s">
        <v>454</v>
      </c>
      <c r="F167" s="20" t="s">
        <v>455</v>
      </c>
      <c r="G167" s="8" t="str">
        <f t="shared" si="2"/>
        <v>BRUDER RICHARD</v>
      </c>
    </row>
    <row r="168" spans="1:7" x14ac:dyDescent="0.25">
      <c r="A168" s="8">
        <v>42776.745821759258</v>
      </c>
      <c r="B168" s="20" t="s">
        <v>637</v>
      </c>
      <c r="C168" s="20" t="s">
        <v>711</v>
      </c>
      <c r="D168" s="150">
        <v>1190000</v>
      </c>
      <c r="E168" s="20" t="s">
        <v>363</v>
      </c>
      <c r="F168" s="20" t="s">
        <v>364</v>
      </c>
      <c r="G168" s="8" t="str">
        <f t="shared" si="2"/>
        <v>BRANNON JEFFREY</v>
      </c>
    </row>
    <row r="169" spans="1:7" x14ac:dyDescent="0.25">
      <c r="A169" s="8">
        <v>42776.750949074078</v>
      </c>
      <c r="B169" s="20" t="s">
        <v>258</v>
      </c>
      <c r="C169" s="20" t="s">
        <v>552</v>
      </c>
      <c r="D169" s="150">
        <v>2620000</v>
      </c>
      <c r="E169" s="20" t="s">
        <v>712</v>
      </c>
      <c r="F169" s="20" t="s">
        <v>713</v>
      </c>
      <c r="G169" s="8" t="str">
        <f t="shared" si="2"/>
        <v>PERKINS DARREN</v>
      </c>
    </row>
    <row r="170" spans="1:7" x14ac:dyDescent="0.25">
      <c r="A170" s="8">
        <v>42776.755266203705</v>
      </c>
      <c r="B170" s="20" t="s">
        <v>445</v>
      </c>
      <c r="C170" s="20" t="s">
        <v>714</v>
      </c>
      <c r="D170" s="150">
        <v>2480000</v>
      </c>
      <c r="E170" s="20" t="s">
        <v>485</v>
      </c>
      <c r="F170" s="20" t="s">
        <v>223</v>
      </c>
      <c r="G170" s="8" t="str">
        <f t="shared" si="2"/>
        <v>WHITED DUSTIN</v>
      </c>
    </row>
    <row r="171" spans="1:7" x14ac:dyDescent="0.25">
      <c r="A171" s="8">
        <v>42776.755671296298</v>
      </c>
      <c r="B171" s="20" t="s">
        <v>333</v>
      </c>
      <c r="C171" s="20" t="s">
        <v>715</v>
      </c>
      <c r="D171" s="150">
        <v>1540000</v>
      </c>
      <c r="E171" s="20" t="s">
        <v>452</v>
      </c>
      <c r="F171" s="20" t="s">
        <v>453</v>
      </c>
      <c r="G171" s="8" t="str">
        <f t="shared" si="2"/>
        <v>HELVIE ADAM</v>
      </c>
    </row>
    <row r="172" spans="1:7" x14ac:dyDescent="0.25">
      <c r="A172" s="8">
        <v>42776.755891203706</v>
      </c>
      <c r="B172" s="20" t="s">
        <v>232</v>
      </c>
      <c r="C172" s="20" t="s">
        <v>716</v>
      </c>
      <c r="D172" s="150">
        <v>2230000</v>
      </c>
      <c r="E172" s="20" t="s">
        <v>484</v>
      </c>
      <c r="F172" s="20" t="s">
        <v>204</v>
      </c>
      <c r="G172" s="8" t="str">
        <f t="shared" si="2"/>
        <v>SMITH MICHAEL</v>
      </c>
    </row>
    <row r="173" spans="1:7" x14ac:dyDescent="0.25">
      <c r="A173" s="8">
        <v>42776.759652777779</v>
      </c>
      <c r="B173" s="20" t="s">
        <v>330</v>
      </c>
      <c r="C173" s="20" t="s">
        <v>717</v>
      </c>
      <c r="D173" s="150">
        <v>1180000</v>
      </c>
      <c r="E173" s="20" t="s">
        <v>348</v>
      </c>
      <c r="F173" s="20" t="s">
        <v>349</v>
      </c>
      <c r="G173" s="8" t="str">
        <f t="shared" si="2"/>
        <v>LEVERE CRAIG</v>
      </c>
    </row>
    <row r="174" spans="1:7" x14ac:dyDescent="0.25">
      <c r="A174" s="8">
        <v>42776.762361111112</v>
      </c>
      <c r="B174" s="20" t="s">
        <v>227</v>
      </c>
      <c r="C174" s="20" t="s">
        <v>718</v>
      </c>
      <c r="D174" s="150">
        <v>2030000</v>
      </c>
      <c r="E174" s="20" t="s">
        <v>482</v>
      </c>
      <c r="F174" s="20" t="s">
        <v>483</v>
      </c>
      <c r="G174" s="8" t="str">
        <f t="shared" si="2"/>
        <v>KILLION DAVID</v>
      </c>
    </row>
    <row r="175" spans="1:7" x14ac:dyDescent="0.25">
      <c r="A175" s="8">
        <v>42776.768414351849</v>
      </c>
      <c r="B175" s="20" t="s">
        <v>224</v>
      </c>
      <c r="C175" s="20" t="s">
        <v>554</v>
      </c>
      <c r="D175" s="150">
        <v>2220000</v>
      </c>
      <c r="E175" s="20" t="s">
        <v>222</v>
      </c>
      <c r="F175" s="20" t="s">
        <v>223</v>
      </c>
      <c r="G175" s="8" t="str">
        <f t="shared" si="2"/>
        <v>HILLS DUSTIN</v>
      </c>
    </row>
    <row r="176" spans="1:7" x14ac:dyDescent="0.25">
      <c r="A176" s="8">
        <v>42776.769328703704</v>
      </c>
      <c r="B176" s="20" t="s">
        <v>224</v>
      </c>
      <c r="C176" s="20" t="s">
        <v>554</v>
      </c>
      <c r="D176" s="150">
        <v>2220000</v>
      </c>
      <c r="E176" s="20" t="s">
        <v>222</v>
      </c>
      <c r="F176" s="20" t="s">
        <v>223</v>
      </c>
      <c r="G176" s="8" t="str">
        <f t="shared" si="2"/>
        <v>HILLS DUSTIN</v>
      </c>
    </row>
    <row r="177" spans="1:7" x14ac:dyDescent="0.25">
      <c r="A177" s="8">
        <v>42776.775057870371</v>
      </c>
      <c r="B177" s="20" t="s">
        <v>451</v>
      </c>
      <c r="C177" s="20" t="s">
        <v>719</v>
      </c>
      <c r="D177" s="150">
        <v>1740000</v>
      </c>
      <c r="E177" s="20" t="s">
        <v>236</v>
      </c>
      <c r="F177" s="20" t="s">
        <v>237</v>
      </c>
      <c r="G177" s="8" t="str">
        <f t="shared" si="2"/>
        <v>STORY SAMANTHA</v>
      </c>
    </row>
    <row r="178" spans="1:7" x14ac:dyDescent="0.25">
      <c r="A178" s="8">
        <v>42776.776030092595</v>
      </c>
      <c r="B178" s="20" t="s">
        <v>334</v>
      </c>
      <c r="C178" s="20" t="s">
        <v>720</v>
      </c>
      <c r="D178" s="150">
        <v>1180000</v>
      </c>
      <c r="E178" s="20" t="s">
        <v>348</v>
      </c>
      <c r="F178" s="20" t="s">
        <v>349</v>
      </c>
      <c r="G178" s="8" t="str">
        <f t="shared" si="2"/>
        <v>LEVERE CRAIG</v>
      </c>
    </row>
    <row r="179" spans="1:7" x14ac:dyDescent="0.25">
      <c r="A179" s="8">
        <v>42776.776516203703</v>
      </c>
      <c r="B179" s="20" t="s">
        <v>239</v>
      </c>
      <c r="C179" s="20" t="s">
        <v>721</v>
      </c>
      <c r="D179" s="150">
        <v>1770000</v>
      </c>
      <c r="E179" s="20" t="s">
        <v>454</v>
      </c>
      <c r="F179" s="20" t="s">
        <v>455</v>
      </c>
      <c r="G179" s="8" t="str">
        <f t="shared" si="2"/>
        <v>BRUDER RICHARD</v>
      </c>
    </row>
    <row r="180" spans="1:7" x14ac:dyDescent="0.25">
      <c r="A180" s="8">
        <v>42776.778275462966</v>
      </c>
      <c r="B180" s="20" t="s">
        <v>299</v>
      </c>
      <c r="C180" s="20" t="s">
        <v>722</v>
      </c>
      <c r="D180" s="150">
        <v>2230000</v>
      </c>
      <c r="E180" s="20" t="s">
        <v>484</v>
      </c>
      <c r="F180" s="20" t="s">
        <v>204</v>
      </c>
      <c r="G180" s="8" t="str">
        <f t="shared" si="2"/>
        <v>SMITH MICHAEL</v>
      </c>
    </row>
    <row r="181" spans="1:7" x14ac:dyDescent="0.25">
      <c r="A181" s="8">
        <v>42776.78292824074</v>
      </c>
      <c r="B181" s="20" t="s">
        <v>335</v>
      </c>
      <c r="C181" s="20" t="s">
        <v>723</v>
      </c>
      <c r="D181" s="150">
        <v>1190000</v>
      </c>
      <c r="E181" s="20" t="s">
        <v>363</v>
      </c>
      <c r="F181" s="20" t="s">
        <v>364</v>
      </c>
      <c r="G181" s="8" t="str">
        <f t="shared" si="2"/>
        <v>BRANNON JEFFREY</v>
      </c>
    </row>
    <row r="182" spans="1:7" x14ac:dyDescent="0.25">
      <c r="A182" s="8">
        <v>42776.787754629629</v>
      </c>
      <c r="B182" s="20" t="s">
        <v>196</v>
      </c>
      <c r="C182" s="20" t="s">
        <v>724</v>
      </c>
      <c r="D182" s="150">
        <v>2270000</v>
      </c>
      <c r="E182" s="20" t="s">
        <v>240</v>
      </c>
      <c r="F182" s="20" t="s">
        <v>241</v>
      </c>
      <c r="G182" s="8" t="str">
        <f t="shared" si="2"/>
        <v>BROWN JACOB</v>
      </c>
    </row>
    <row r="183" spans="1:7" x14ac:dyDescent="0.25">
      <c r="A183" s="8">
        <v>42776.79546296296</v>
      </c>
      <c r="B183" s="20" t="s">
        <v>446</v>
      </c>
      <c r="C183" s="20" t="s">
        <v>555</v>
      </c>
      <c r="D183" s="150">
        <v>2480000</v>
      </c>
      <c r="E183" s="20" t="s">
        <v>485</v>
      </c>
      <c r="F183" s="20" t="s">
        <v>223</v>
      </c>
      <c r="G183" s="8" t="str">
        <f t="shared" si="2"/>
        <v>WHITED DUSTIN</v>
      </c>
    </row>
    <row r="184" spans="1:7" x14ac:dyDescent="0.25">
      <c r="A184" s="8">
        <v>42776.796539351853</v>
      </c>
      <c r="B184" s="20" t="s">
        <v>232</v>
      </c>
      <c r="C184" s="20" t="s">
        <v>725</v>
      </c>
      <c r="D184" s="150">
        <v>2230000</v>
      </c>
      <c r="E184" s="20" t="s">
        <v>484</v>
      </c>
      <c r="F184" s="20" t="s">
        <v>204</v>
      </c>
      <c r="G184" s="8" t="str">
        <f t="shared" si="2"/>
        <v>SMITH MICHAEL</v>
      </c>
    </row>
    <row r="185" spans="1:7" x14ac:dyDescent="0.25">
      <c r="A185" s="8">
        <v>42776.796967592592</v>
      </c>
      <c r="B185" s="20" t="s">
        <v>330</v>
      </c>
      <c r="C185" s="20" t="s">
        <v>726</v>
      </c>
      <c r="D185" s="150">
        <v>1180000</v>
      </c>
      <c r="E185" s="20" t="s">
        <v>348</v>
      </c>
      <c r="F185" s="20" t="s">
        <v>349</v>
      </c>
      <c r="G185" s="8" t="str">
        <f t="shared" si="2"/>
        <v>LEVERE CRAIG</v>
      </c>
    </row>
    <row r="186" spans="1:7" x14ac:dyDescent="0.25">
      <c r="A186" s="8">
        <v>42776.797152777777</v>
      </c>
      <c r="B186" s="20" t="s">
        <v>228</v>
      </c>
      <c r="C186" s="20" t="s">
        <v>727</v>
      </c>
      <c r="D186" s="150">
        <v>2030000</v>
      </c>
      <c r="E186" s="20" t="s">
        <v>482</v>
      </c>
      <c r="F186" s="20" t="s">
        <v>483</v>
      </c>
      <c r="G186" s="8" t="str">
        <f t="shared" si="2"/>
        <v>KILLION DAVID</v>
      </c>
    </row>
    <row r="187" spans="1:7" x14ac:dyDescent="0.25">
      <c r="A187" s="8">
        <v>42776.800787037035</v>
      </c>
      <c r="B187" s="20" t="s">
        <v>225</v>
      </c>
      <c r="C187" s="20" t="s">
        <v>728</v>
      </c>
      <c r="D187" s="150">
        <v>2220000</v>
      </c>
      <c r="E187" s="20" t="s">
        <v>222</v>
      </c>
      <c r="F187" s="20" t="s">
        <v>223</v>
      </c>
      <c r="G187" s="8" t="str">
        <f t="shared" si="2"/>
        <v>HILLS DUSTIN</v>
      </c>
    </row>
    <row r="188" spans="1:7" x14ac:dyDescent="0.25">
      <c r="A188" s="8">
        <v>42776.807592592595</v>
      </c>
      <c r="B188" s="20" t="s">
        <v>303</v>
      </c>
      <c r="C188" s="20" t="s">
        <v>729</v>
      </c>
      <c r="D188" s="150">
        <v>1740000</v>
      </c>
      <c r="E188" s="20" t="s">
        <v>236</v>
      </c>
      <c r="F188" s="20" t="s">
        <v>237</v>
      </c>
      <c r="G188" s="8" t="str">
        <f t="shared" si="2"/>
        <v>STORY SAMANTHA</v>
      </c>
    </row>
    <row r="189" spans="1:7" x14ac:dyDescent="0.25">
      <c r="A189" s="8">
        <v>42776.816620370373</v>
      </c>
      <c r="B189" s="20" t="s">
        <v>637</v>
      </c>
      <c r="C189" s="20" t="s">
        <v>730</v>
      </c>
      <c r="D189" s="150">
        <v>1190000</v>
      </c>
      <c r="E189" s="20" t="s">
        <v>363</v>
      </c>
      <c r="F189" s="20" t="s">
        <v>364</v>
      </c>
      <c r="G189" s="8" t="str">
        <f t="shared" si="2"/>
        <v>BRANNON JEFFREY</v>
      </c>
    </row>
    <row r="190" spans="1:7" x14ac:dyDescent="0.25">
      <c r="A190" s="8">
        <v>42776.818356481483</v>
      </c>
      <c r="B190" s="20" t="s">
        <v>334</v>
      </c>
      <c r="C190" s="20" t="s">
        <v>731</v>
      </c>
      <c r="D190" s="150">
        <v>1180000</v>
      </c>
      <c r="E190" s="20" t="s">
        <v>348</v>
      </c>
      <c r="F190" s="20" t="s">
        <v>349</v>
      </c>
      <c r="G190" s="8" t="str">
        <f t="shared" si="2"/>
        <v>LEVERE CRAIG</v>
      </c>
    </row>
    <row r="191" spans="1:7" x14ac:dyDescent="0.25">
      <c r="A191" s="8">
        <v>42776.826678240737</v>
      </c>
      <c r="B191" s="20" t="s">
        <v>333</v>
      </c>
      <c r="C191" s="20" t="s">
        <v>732</v>
      </c>
      <c r="D191" s="150">
        <v>2270000</v>
      </c>
      <c r="E191" s="20" t="s">
        <v>240</v>
      </c>
      <c r="F191" s="20" t="s">
        <v>241</v>
      </c>
      <c r="G191" s="8" t="str">
        <f t="shared" si="2"/>
        <v>BROWN JACOB</v>
      </c>
    </row>
    <row r="192" spans="1:7" x14ac:dyDescent="0.25">
      <c r="A192" s="8">
        <v>42776.829560185186</v>
      </c>
      <c r="B192" s="20" t="s">
        <v>445</v>
      </c>
      <c r="C192" s="20" t="s">
        <v>733</v>
      </c>
      <c r="D192" s="150">
        <v>2540000</v>
      </c>
      <c r="E192" s="20" t="s">
        <v>229</v>
      </c>
      <c r="F192" s="20" t="s">
        <v>230</v>
      </c>
      <c r="G192" s="8" t="str">
        <f t="shared" si="2"/>
        <v>MCREYNOLDS KYLE</v>
      </c>
    </row>
    <row r="193" spans="1:7" x14ac:dyDescent="0.25">
      <c r="A193" s="8">
        <v>42776.838726851849</v>
      </c>
      <c r="B193" s="20" t="s">
        <v>224</v>
      </c>
      <c r="C193" s="20" t="s">
        <v>734</v>
      </c>
      <c r="D193" s="150">
        <v>2220000</v>
      </c>
      <c r="E193" s="20" t="s">
        <v>222</v>
      </c>
      <c r="F193" s="20" t="s">
        <v>223</v>
      </c>
      <c r="G193" s="8" t="str">
        <f t="shared" si="2"/>
        <v>HILLS DUSTIN</v>
      </c>
    </row>
    <row r="194" spans="1:7" x14ac:dyDescent="0.25">
      <c r="A194" s="8">
        <v>42776.844895833332</v>
      </c>
      <c r="B194" s="20" t="s">
        <v>330</v>
      </c>
      <c r="C194" s="20" t="s">
        <v>735</v>
      </c>
      <c r="D194" s="150">
        <v>1180000</v>
      </c>
      <c r="E194" s="20" t="s">
        <v>348</v>
      </c>
      <c r="F194" s="20" t="s">
        <v>349</v>
      </c>
      <c r="G194" s="8" t="str">
        <f t="shared" si="2"/>
        <v>LEVERE CRAIG</v>
      </c>
    </row>
    <row r="195" spans="1:7" x14ac:dyDescent="0.25">
      <c r="A195" s="8">
        <v>42776.846296296295</v>
      </c>
      <c r="B195" s="20" t="s">
        <v>451</v>
      </c>
      <c r="C195" s="20" t="s">
        <v>556</v>
      </c>
      <c r="D195" s="150">
        <v>1740000</v>
      </c>
      <c r="E195" s="20" t="s">
        <v>236</v>
      </c>
      <c r="F195" s="20" t="s">
        <v>237</v>
      </c>
      <c r="G195" s="8" t="str">
        <f t="shared" ref="G195:G258" si="3">E195&amp;" "&amp;F195</f>
        <v>STORY SAMANTHA</v>
      </c>
    </row>
    <row r="196" spans="1:7" x14ac:dyDescent="0.25">
      <c r="A196" s="8">
        <v>42776.86005787037</v>
      </c>
      <c r="B196" s="20" t="s">
        <v>334</v>
      </c>
      <c r="C196" s="20" t="s">
        <v>736</v>
      </c>
      <c r="D196" s="150">
        <v>1180000</v>
      </c>
      <c r="E196" s="20" t="s">
        <v>348</v>
      </c>
      <c r="F196" s="20" t="s">
        <v>349</v>
      </c>
      <c r="G196" s="8" t="str">
        <f t="shared" si="3"/>
        <v>LEVERE CRAIG</v>
      </c>
    </row>
    <row r="197" spans="1:7" x14ac:dyDescent="0.25">
      <c r="A197" s="8">
        <v>42776.863032407404</v>
      </c>
      <c r="B197" s="20" t="s">
        <v>446</v>
      </c>
      <c r="C197" s="20" t="s">
        <v>737</v>
      </c>
      <c r="D197" s="150">
        <v>2540000</v>
      </c>
      <c r="E197" s="20" t="s">
        <v>229</v>
      </c>
      <c r="F197" s="20" t="s">
        <v>230</v>
      </c>
      <c r="G197" s="8" t="str">
        <f t="shared" si="3"/>
        <v>MCREYNOLDS KYLE</v>
      </c>
    </row>
    <row r="198" spans="1:7" x14ac:dyDescent="0.25">
      <c r="A198" s="8">
        <v>42776.872604166667</v>
      </c>
      <c r="B198" s="20" t="s">
        <v>196</v>
      </c>
      <c r="C198" s="20" t="s">
        <v>738</v>
      </c>
      <c r="D198" s="150">
        <v>2270000</v>
      </c>
      <c r="E198" s="20" t="s">
        <v>240</v>
      </c>
      <c r="F198" s="20" t="s">
        <v>241</v>
      </c>
      <c r="G198" s="8" t="str">
        <f t="shared" si="3"/>
        <v>BROWN JACOB</v>
      </c>
    </row>
    <row r="199" spans="1:7" x14ac:dyDescent="0.25">
      <c r="A199" s="8">
        <v>42776.876331018517</v>
      </c>
      <c r="B199" s="20" t="s">
        <v>330</v>
      </c>
      <c r="C199" s="20" t="s">
        <v>739</v>
      </c>
      <c r="D199" s="150">
        <v>2230000</v>
      </c>
      <c r="E199" s="20" t="s">
        <v>484</v>
      </c>
      <c r="F199" s="20" t="s">
        <v>204</v>
      </c>
      <c r="G199" s="8" t="str">
        <f t="shared" si="3"/>
        <v>SMITH MICHAEL</v>
      </c>
    </row>
    <row r="200" spans="1:7" x14ac:dyDescent="0.25">
      <c r="A200" s="8">
        <v>42776.882534722223</v>
      </c>
      <c r="B200" s="20" t="s">
        <v>225</v>
      </c>
      <c r="C200" s="20" t="s">
        <v>740</v>
      </c>
      <c r="D200" s="150">
        <v>2220000</v>
      </c>
      <c r="E200" s="20" t="s">
        <v>222</v>
      </c>
      <c r="F200" s="20" t="s">
        <v>223</v>
      </c>
      <c r="G200" s="8" t="str">
        <f t="shared" si="3"/>
        <v>HILLS DUSTIN</v>
      </c>
    </row>
    <row r="201" spans="1:7" x14ac:dyDescent="0.25">
      <c r="A201" s="8">
        <v>42776.889432870368</v>
      </c>
      <c r="B201" s="20" t="s">
        <v>303</v>
      </c>
      <c r="C201" s="20" t="s">
        <v>741</v>
      </c>
      <c r="D201" s="150">
        <v>1740000</v>
      </c>
      <c r="E201" s="20" t="s">
        <v>236</v>
      </c>
      <c r="F201" s="20" t="s">
        <v>237</v>
      </c>
      <c r="G201" s="8" t="str">
        <f t="shared" si="3"/>
        <v>STORY SAMANTHA</v>
      </c>
    </row>
    <row r="202" spans="1:7" x14ac:dyDescent="0.25">
      <c r="A202" s="26">
        <v>42776.902939814812</v>
      </c>
      <c r="B202" s="20" t="s">
        <v>334</v>
      </c>
      <c r="C202" s="20" t="s">
        <v>742</v>
      </c>
      <c r="D202" s="150">
        <v>2230000</v>
      </c>
      <c r="E202" s="20" t="s">
        <v>484</v>
      </c>
      <c r="F202" s="20" t="s">
        <v>204</v>
      </c>
      <c r="G202" s="8" t="str">
        <f t="shared" si="3"/>
        <v>SMITH MICHAEL</v>
      </c>
    </row>
    <row r="203" spans="1:7" x14ac:dyDescent="0.25">
      <c r="A203" s="8">
        <v>42776.907511574071</v>
      </c>
      <c r="B203" s="20" t="s">
        <v>333</v>
      </c>
      <c r="C203" s="20" t="s">
        <v>557</v>
      </c>
      <c r="D203" s="150">
        <v>2270000</v>
      </c>
      <c r="E203" s="20" t="s">
        <v>240</v>
      </c>
      <c r="F203" s="20" t="s">
        <v>241</v>
      </c>
      <c r="G203" s="8" t="str">
        <f t="shared" si="3"/>
        <v>BROWN JACOB</v>
      </c>
    </row>
    <row r="204" spans="1:7" x14ac:dyDescent="0.25">
      <c r="A204" s="8">
        <v>42776.908865740741</v>
      </c>
      <c r="B204" s="20" t="s">
        <v>445</v>
      </c>
      <c r="C204" s="20" t="s">
        <v>743</v>
      </c>
      <c r="D204" s="150">
        <v>2480000</v>
      </c>
      <c r="E204" s="20" t="s">
        <v>485</v>
      </c>
      <c r="F204" s="20" t="s">
        <v>223</v>
      </c>
      <c r="G204" s="8" t="str">
        <f t="shared" si="3"/>
        <v>WHITED DUSTIN</v>
      </c>
    </row>
    <row r="205" spans="1:7" x14ac:dyDescent="0.25">
      <c r="A205" s="8">
        <v>42776.920520833337</v>
      </c>
      <c r="B205" s="20" t="s">
        <v>330</v>
      </c>
      <c r="C205" s="20" t="s">
        <v>744</v>
      </c>
      <c r="D205" s="150">
        <v>2230000</v>
      </c>
      <c r="E205" s="20" t="s">
        <v>484</v>
      </c>
      <c r="F205" s="20" t="s">
        <v>204</v>
      </c>
      <c r="G205" s="8" t="str">
        <f t="shared" si="3"/>
        <v>SMITH MICHAEL</v>
      </c>
    </row>
    <row r="206" spans="1:7" x14ac:dyDescent="0.25">
      <c r="A206" s="8">
        <v>42776.921412037038</v>
      </c>
      <c r="B206" s="20" t="s">
        <v>224</v>
      </c>
      <c r="C206" s="20" t="s">
        <v>745</v>
      </c>
      <c r="D206" s="150">
        <v>2220000</v>
      </c>
      <c r="E206" s="20" t="s">
        <v>222</v>
      </c>
      <c r="F206" s="20" t="s">
        <v>223</v>
      </c>
      <c r="G206" s="8" t="str">
        <f t="shared" si="3"/>
        <v>HILLS DUSTIN</v>
      </c>
    </row>
    <row r="207" spans="1:7" x14ac:dyDescent="0.25">
      <c r="A207" s="8">
        <v>42776.932060185187</v>
      </c>
      <c r="B207" s="20" t="s">
        <v>451</v>
      </c>
      <c r="C207" s="20" t="s">
        <v>746</v>
      </c>
      <c r="D207" s="150">
        <v>1740000</v>
      </c>
      <c r="E207" s="20" t="s">
        <v>236</v>
      </c>
      <c r="F207" s="20" t="s">
        <v>237</v>
      </c>
      <c r="G207" s="8" t="str">
        <f t="shared" si="3"/>
        <v>STORY SAMANTHA</v>
      </c>
    </row>
    <row r="208" spans="1:7" x14ac:dyDescent="0.25">
      <c r="A208" s="8">
        <v>42776.942916666667</v>
      </c>
      <c r="B208" s="20" t="s">
        <v>334</v>
      </c>
      <c r="C208" s="20" t="s">
        <v>747</v>
      </c>
      <c r="D208" s="150">
        <v>2230000</v>
      </c>
      <c r="E208" s="20" t="s">
        <v>484</v>
      </c>
      <c r="F208" s="20" t="s">
        <v>204</v>
      </c>
      <c r="G208" s="8" t="str">
        <f t="shared" si="3"/>
        <v>SMITH MICHAEL</v>
      </c>
    </row>
    <row r="209" spans="1:7" x14ac:dyDescent="0.25">
      <c r="A209" s="8">
        <v>42776.945127314815</v>
      </c>
      <c r="B209" s="20" t="s">
        <v>446</v>
      </c>
      <c r="C209" s="20" t="s">
        <v>748</v>
      </c>
      <c r="D209" s="150">
        <v>2480000</v>
      </c>
      <c r="E209" s="20" t="s">
        <v>485</v>
      </c>
      <c r="F209" s="20" t="s">
        <v>223</v>
      </c>
      <c r="G209" s="8" t="str">
        <f t="shared" si="3"/>
        <v>WHITED DUSTIN</v>
      </c>
    </row>
    <row r="210" spans="1:7" x14ac:dyDescent="0.25">
      <c r="A210" s="8">
        <v>42776.954502314817</v>
      </c>
      <c r="B210" s="20" t="s">
        <v>196</v>
      </c>
      <c r="C210" s="20" t="s">
        <v>749</v>
      </c>
      <c r="D210" s="150">
        <v>2270000</v>
      </c>
      <c r="E210" s="20" t="s">
        <v>240</v>
      </c>
      <c r="F210" s="20" t="s">
        <v>241</v>
      </c>
      <c r="G210" s="8" t="str">
        <f t="shared" si="3"/>
        <v>BROWN JACOB</v>
      </c>
    </row>
    <row r="211" spans="1:7" x14ac:dyDescent="0.25">
      <c r="A211" s="8">
        <v>42776.964467592596</v>
      </c>
      <c r="B211" s="20" t="s">
        <v>303</v>
      </c>
      <c r="C211" s="20" t="s">
        <v>750</v>
      </c>
      <c r="D211" s="150">
        <v>1740000</v>
      </c>
      <c r="E211" s="20" t="s">
        <v>236</v>
      </c>
      <c r="F211" s="20" t="s">
        <v>237</v>
      </c>
      <c r="G211" s="8" t="str">
        <f t="shared" si="3"/>
        <v>STORY SAMANTHA</v>
      </c>
    </row>
    <row r="212" spans="1:7" x14ac:dyDescent="0.25">
      <c r="A212" s="8">
        <v>42776.966400462959</v>
      </c>
      <c r="B212" s="20" t="s">
        <v>225</v>
      </c>
      <c r="C212" s="20" t="s">
        <v>751</v>
      </c>
      <c r="D212" s="150">
        <v>2220000</v>
      </c>
      <c r="E212" s="20" t="s">
        <v>222</v>
      </c>
      <c r="F212" s="20" t="s">
        <v>223</v>
      </c>
      <c r="G212" s="8" t="str">
        <f t="shared" si="3"/>
        <v>HILLS DUSTIN</v>
      </c>
    </row>
    <row r="213" spans="1:7" x14ac:dyDescent="0.25">
      <c r="A213" s="8">
        <v>42776.992106481484</v>
      </c>
      <c r="B213" s="20" t="s">
        <v>445</v>
      </c>
      <c r="C213" s="20" t="s">
        <v>752</v>
      </c>
      <c r="D213" s="150">
        <v>2540000</v>
      </c>
      <c r="E213" s="20" t="s">
        <v>229</v>
      </c>
      <c r="F213" s="20" t="s">
        <v>230</v>
      </c>
      <c r="G213" s="8" t="str">
        <f t="shared" si="3"/>
        <v>MCREYNOLDS KYLE</v>
      </c>
    </row>
    <row r="214" spans="1:7" x14ac:dyDescent="0.25">
      <c r="A214" s="8">
        <v>42776.993773148148</v>
      </c>
      <c r="B214" s="20" t="s">
        <v>333</v>
      </c>
      <c r="C214" s="20" t="s">
        <v>753</v>
      </c>
      <c r="D214" s="150">
        <v>2270000</v>
      </c>
      <c r="E214" s="20" t="s">
        <v>240</v>
      </c>
      <c r="F214" s="20" t="s">
        <v>241</v>
      </c>
      <c r="G214" s="8" t="str">
        <f t="shared" si="3"/>
        <v>BROWN JACOB</v>
      </c>
    </row>
    <row r="215" spans="1:7" x14ac:dyDescent="0.25">
      <c r="A215" s="8">
        <v>42777.011342592596</v>
      </c>
      <c r="B215" s="20" t="s">
        <v>224</v>
      </c>
      <c r="C215" s="20" t="s">
        <v>558</v>
      </c>
      <c r="D215" s="150">
        <v>2220000</v>
      </c>
      <c r="E215" s="20" t="s">
        <v>222</v>
      </c>
      <c r="F215" s="20" t="s">
        <v>223</v>
      </c>
      <c r="G215" s="8" t="str">
        <f t="shared" si="3"/>
        <v>HILLS DUSTIN</v>
      </c>
    </row>
    <row r="216" spans="1:7" x14ac:dyDescent="0.25">
      <c r="A216" s="8">
        <v>42777.016273148147</v>
      </c>
      <c r="B216" s="20" t="s">
        <v>451</v>
      </c>
      <c r="C216" s="20" t="s">
        <v>754</v>
      </c>
      <c r="D216" s="150">
        <v>1740000</v>
      </c>
      <c r="E216" s="20" t="s">
        <v>236</v>
      </c>
      <c r="F216" s="20" t="s">
        <v>237</v>
      </c>
      <c r="G216" s="8" t="str">
        <f t="shared" si="3"/>
        <v>STORY SAMANTHA</v>
      </c>
    </row>
    <row r="217" spans="1:7" x14ac:dyDescent="0.25">
      <c r="A217" s="8">
        <v>42777.031574074077</v>
      </c>
      <c r="B217" s="20" t="s">
        <v>446</v>
      </c>
      <c r="C217" s="20" t="s">
        <v>755</v>
      </c>
      <c r="D217" s="150">
        <v>2540000</v>
      </c>
      <c r="E217" s="20" t="s">
        <v>229</v>
      </c>
      <c r="F217" s="20" t="s">
        <v>230</v>
      </c>
      <c r="G217" s="8" t="str">
        <f t="shared" si="3"/>
        <v>MCREYNOLDS KYLE</v>
      </c>
    </row>
    <row r="218" spans="1:7" x14ac:dyDescent="0.25">
      <c r="A218" s="8">
        <v>42777.035138888888</v>
      </c>
      <c r="B218" s="20" t="s">
        <v>196</v>
      </c>
      <c r="C218" s="20" t="s">
        <v>756</v>
      </c>
      <c r="D218" s="150">
        <v>2270000</v>
      </c>
      <c r="E218" s="20" t="s">
        <v>240</v>
      </c>
      <c r="F218" s="20" t="s">
        <v>241</v>
      </c>
      <c r="G218" s="8" t="str">
        <f t="shared" si="3"/>
        <v>BROWN JACOB</v>
      </c>
    </row>
    <row r="219" spans="1:7" x14ac:dyDescent="0.25">
      <c r="A219" s="8">
        <v>42777.043182870373</v>
      </c>
      <c r="B219" s="20" t="s">
        <v>254</v>
      </c>
      <c r="C219" s="20" t="s">
        <v>476</v>
      </c>
      <c r="D219" s="150">
        <v>0</v>
      </c>
      <c r="E219" s="20" t="s">
        <v>757</v>
      </c>
      <c r="F219" s="20" t="s">
        <v>758</v>
      </c>
      <c r="G219" s="8" t="str">
        <f t="shared" si="3"/>
        <v>Coats Theron</v>
      </c>
    </row>
    <row r="220" spans="1:7" x14ac:dyDescent="0.25">
      <c r="A220" s="8">
        <v>42777.044502314813</v>
      </c>
      <c r="B220" s="20" t="s">
        <v>254</v>
      </c>
      <c r="C220" s="20" t="s">
        <v>476</v>
      </c>
      <c r="D220" s="150">
        <v>0</v>
      </c>
      <c r="E220" s="20" t="s">
        <v>757</v>
      </c>
      <c r="F220" s="20" t="s">
        <v>758</v>
      </c>
      <c r="G220" s="8" t="str">
        <f t="shared" si="3"/>
        <v>Coats Theron</v>
      </c>
    </row>
    <row r="221" spans="1:7" x14ac:dyDescent="0.25">
      <c r="A221" s="8">
        <v>42777.047048611108</v>
      </c>
      <c r="B221" s="20" t="s">
        <v>303</v>
      </c>
      <c r="C221" s="20" t="s">
        <v>759</v>
      </c>
      <c r="D221" s="150">
        <v>1740000</v>
      </c>
      <c r="E221" s="20" t="s">
        <v>236</v>
      </c>
      <c r="F221" s="20" t="s">
        <v>237</v>
      </c>
      <c r="G221" s="8" t="str">
        <f t="shared" si="3"/>
        <v>STORY SAMANTHA</v>
      </c>
    </row>
    <row r="222" spans="1:7" x14ac:dyDescent="0.25">
      <c r="A222" s="8">
        <v>42777.068807870368</v>
      </c>
      <c r="B222" s="20" t="s">
        <v>445</v>
      </c>
      <c r="C222" s="20" t="s">
        <v>760</v>
      </c>
      <c r="D222" s="150">
        <v>2540000</v>
      </c>
      <c r="E222" s="20" t="s">
        <v>229</v>
      </c>
      <c r="F222" s="20" t="s">
        <v>230</v>
      </c>
      <c r="G222" s="8" t="str">
        <f t="shared" si="3"/>
        <v>MCREYNOLDS KYLE</v>
      </c>
    </row>
    <row r="223" spans="1:7" x14ac:dyDescent="0.25">
      <c r="A223" s="8">
        <v>42776.029780092591</v>
      </c>
      <c r="B223" s="20" t="s">
        <v>341</v>
      </c>
      <c r="C223" s="20" t="s">
        <v>486</v>
      </c>
      <c r="D223" s="150">
        <v>1800000</v>
      </c>
      <c r="E223" s="20" t="s">
        <v>273</v>
      </c>
      <c r="F223" s="20" t="s">
        <v>274</v>
      </c>
      <c r="G223" s="8" t="str">
        <f t="shared" si="3"/>
        <v>CHANDLER KELVIN</v>
      </c>
    </row>
    <row r="224" spans="1:7" x14ac:dyDescent="0.25">
      <c r="A224" s="8">
        <v>42776.033425925925</v>
      </c>
      <c r="B224" t="s">
        <v>334</v>
      </c>
      <c r="C224" t="s">
        <v>477</v>
      </c>
      <c r="D224" s="150">
        <v>2270000</v>
      </c>
      <c r="E224" t="s">
        <v>240</v>
      </c>
      <c r="F224" s="20" t="s">
        <v>241</v>
      </c>
      <c r="G224" s="8" t="str">
        <f t="shared" si="3"/>
        <v>BROWN JACOB</v>
      </c>
    </row>
    <row r="225" spans="1:7" x14ac:dyDescent="0.25">
      <c r="A225" s="8">
        <v>42776.040891203702</v>
      </c>
      <c r="B225" t="s">
        <v>341</v>
      </c>
      <c r="C225" t="s">
        <v>486</v>
      </c>
      <c r="D225" s="150">
        <v>1800000</v>
      </c>
      <c r="E225" t="s">
        <v>273</v>
      </c>
      <c r="F225" s="20" t="s">
        <v>274</v>
      </c>
      <c r="G225" s="8" t="str">
        <f t="shared" si="3"/>
        <v>CHANDLER KELVIN</v>
      </c>
    </row>
    <row r="226" spans="1:7" x14ac:dyDescent="0.25">
      <c r="A226" s="8">
        <v>42776.046770833331</v>
      </c>
      <c r="B226" t="s">
        <v>233</v>
      </c>
      <c r="C226" t="s">
        <v>487</v>
      </c>
      <c r="D226" s="150">
        <v>2370000</v>
      </c>
      <c r="E226" t="s">
        <v>456</v>
      </c>
      <c r="F226" s="20" t="s">
        <v>457</v>
      </c>
      <c r="G226" s="8" t="str">
        <f t="shared" si="3"/>
        <v>DELGADO DIANAH</v>
      </c>
    </row>
    <row r="227" spans="1:7" x14ac:dyDescent="0.25">
      <c r="A227" s="8">
        <v>42776.047465277778</v>
      </c>
      <c r="B227" t="s">
        <v>258</v>
      </c>
      <c r="C227" t="s">
        <v>488</v>
      </c>
      <c r="D227" s="150">
        <v>2220000</v>
      </c>
      <c r="E227" t="s">
        <v>222</v>
      </c>
      <c r="F227" s="20" t="s">
        <v>223</v>
      </c>
      <c r="G227" s="8" t="str">
        <f t="shared" si="3"/>
        <v>HILLS DUSTIN</v>
      </c>
    </row>
    <row r="228" spans="1:7" x14ac:dyDescent="0.25">
      <c r="A228" s="8">
        <v>42776.069826388892</v>
      </c>
      <c r="B228" t="s">
        <v>330</v>
      </c>
      <c r="C228" t="s">
        <v>489</v>
      </c>
      <c r="D228" s="150">
        <v>2270000</v>
      </c>
      <c r="E228" t="s">
        <v>240</v>
      </c>
      <c r="F228" s="20" t="s">
        <v>241</v>
      </c>
      <c r="G228" s="8" t="str">
        <f t="shared" si="3"/>
        <v>BROWN JACOB</v>
      </c>
    </row>
    <row r="229" spans="1:7" x14ac:dyDescent="0.25">
      <c r="A229" s="8">
        <v>42776.087337962963</v>
      </c>
      <c r="B229" t="s">
        <v>350</v>
      </c>
      <c r="C229" t="s">
        <v>490</v>
      </c>
      <c r="D229" s="150">
        <v>2220000</v>
      </c>
      <c r="E229" t="s">
        <v>222</v>
      </c>
      <c r="F229" s="20" t="s">
        <v>223</v>
      </c>
      <c r="G229" s="8" t="str">
        <f t="shared" si="3"/>
        <v>HILLS DUSTIN</v>
      </c>
    </row>
    <row r="230" spans="1:7" x14ac:dyDescent="0.25">
      <c r="A230" s="8">
        <v>42774.010520833333</v>
      </c>
      <c r="B230" t="s">
        <v>334</v>
      </c>
      <c r="C230" t="s">
        <v>365</v>
      </c>
      <c r="D230" s="150">
        <v>2630000</v>
      </c>
      <c r="E230" t="s">
        <v>331</v>
      </c>
      <c r="F230" s="20" t="s">
        <v>332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225</v>
      </c>
      <c r="C231" t="s">
        <v>366</v>
      </c>
      <c r="D231" s="150">
        <v>1740000</v>
      </c>
      <c r="E231" t="s">
        <v>236</v>
      </c>
      <c r="F231" s="20" t="s">
        <v>237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362</v>
      </c>
      <c r="C232" t="s">
        <v>367</v>
      </c>
      <c r="D232" s="150">
        <v>1800000</v>
      </c>
      <c r="E232" t="s">
        <v>273</v>
      </c>
      <c r="F232" s="20" t="s">
        <v>274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330</v>
      </c>
      <c r="C233" t="s">
        <v>368</v>
      </c>
      <c r="D233" s="150">
        <v>2630000</v>
      </c>
      <c r="E233" t="s">
        <v>331</v>
      </c>
      <c r="F233" s="20" t="s">
        <v>332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335</v>
      </c>
      <c r="C234" t="s">
        <v>357</v>
      </c>
      <c r="D234" s="150">
        <v>2000000</v>
      </c>
      <c r="E234" t="s">
        <v>259</v>
      </c>
      <c r="F234" s="20" t="s">
        <v>201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299</v>
      </c>
      <c r="C235" t="s">
        <v>323</v>
      </c>
      <c r="D235" s="150">
        <v>1810000</v>
      </c>
      <c r="E235" t="s">
        <v>206</v>
      </c>
      <c r="F235" s="20" t="s">
        <v>201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282</v>
      </c>
      <c r="C236" t="s">
        <v>324</v>
      </c>
      <c r="D236" s="150">
        <v>2220000</v>
      </c>
      <c r="E236" t="s">
        <v>222</v>
      </c>
      <c r="F236" s="20" t="s">
        <v>223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307</v>
      </c>
      <c r="C237" t="s">
        <v>322</v>
      </c>
      <c r="D237" s="150">
        <v>2710000</v>
      </c>
      <c r="E237" t="s">
        <v>320</v>
      </c>
      <c r="F237" s="20" t="s">
        <v>321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325</v>
      </c>
      <c r="D238" s="150">
        <v>2560000</v>
      </c>
      <c r="E238" t="s">
        <v>318</v>
      </c>
      <c r="F238" s="20" t="s">
        <v>319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281</v>
      </c>
      <c r="C239" t="s">
        <v>326</v>
      </c>
      <c r="D239" s="150">
        <v>2220000</v>
      </c>
      <c r="E239" t="s">
        <v>222</v>
      </c>
      <c r="F239" s="20" t="s">
        <v>223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308</v>
      </c>
      <c r="C240" t="s">
        <v>317</v>
      </c>
      <c r="D240" s="150">
        <v>2710000</v>
      </c>
      <c r="E240" t="s">
        <v>320</v>
      </c>
      <c r="F240" s="20" t="s">
        <v>321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196</v>
      </c>
      <c r="C241" t="s">
        <v>309</v>
      </c>
      <c r="D241" s="150">
        <v>1740000</v>
      </c>
      <c r="E241" t="s">
        <v>236</v>
      </c>
      <c r="F241" s="20" t="s">
        <v>237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276</v>
      </c>
      <c r="C242" t="s">
        <v>310</v>
      </c>
      <c r="D242" s="150">
        <v>2270000</v>
      </c>
      <c r="E242" t="s">
        <v>240</v>
      </c>
      <c r="F242" s="20" t="s">
        <v>241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224</v>
      </c>
      <c r="C243" t="s">
        <v>311</v>
      </c>
      <c r="D243" s="150">
        <v>2540000</v>
      </c>
      <c r="E243" t="s">
        <v>229</v>
      </c>
      <c r="F243" s="20" t="s">
        <v>230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281</v>
      </c>
      <c r="C244" t="s">
        <v>285</v>
      </c>
      <c r="D244" s="150">
        <v>1810000</v>
      </c>
      <c r="E244" t="s">
        <v>206</v>
      </c>
      <c r="F244" s="20" t="s">
        <v>201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271</v>
      </c>
      <c r="C245" t="s">
        <v>283</v>
      </c>
      <c r="D245" s="150">
        <v>2270000</v>
      </c>
      <c r="E245" t="s">
        <v>240</v>
      </c>
      <c r="F245" s="20" t="s">
        <v>241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225</v>
      </c>
      <c r="C246" t="s">
        <v>286</v>
      </c>
      <c r="D246" s="150">
        <v>1800000</v>
      </c>
      <c r="E246" t="s">
        <v>273</v>
      </c>
      <c r="F246" s="20" t="s">
        <v>274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276</v>
      </c>
      <c r="C247" t="s">
        <v>287</v>
      </c>
      <c r="D247" s="150">
        <v>2220000</v>
      </c>
      <c r="E247" t="s">
        <v>222</v>
      </c>
      <c r="F247" s="20" t="s">
        <v>223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282</v>
      </c>
      <c r="C248" t="s">
        <v>288</v>
      </c>
      <c r="D248" s="150">
        <v>1810000</v>
      </c>
      <c r="E248" t="s">
        <v>206</v>
      </c>
      <c r="F248" s="20" t="s">
        <v>201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224</v>
      </c>
      <c r="C249" t="s">
        <v>289</v>
      </c>
      <c r="D249" s="150">
        <v>1800000</v>
      </c>
      <c r="E249" t="s">
        <v>273</v>
      </c>
      <c r="F249" s="20" t="s">
        <v>274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272</v>
      </c>
      <c r="C250" t="s">
        <v>284</v>
      </c>
      <c r="D250" s="150">
        <v>2270000</v>
      </c>
      <c r="E250" t="s">
        <v>240</v>
      </c>
      <c r="F250" s="20" t="s">
        <v>241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281</v>
      </c>
      <c r="C251" t="s">
        <v>290</v>
      </c>
      <c r="D251" s="150">
        <v>1810000</v>
      </c>
      <c r="E251" t="s">
        <v>206</v>
      </c>
      <c r="F251" s="20" t="s">
        <v>201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275</v>
      </c>
      <c r="C252" t="s">
        <v>291</v>
      </c>
      <c r="D252" s="150">
        <v>2220000</v>
      </c>
      <c r="E252" t="s">
        <v>222</v>
      </c>
      <c r="F252" s="20" t="s">
        <v>223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275</v>
      </c>
      <c r="C253" t="s">
        <v>291</v>
      </c>
      <c r="D253" s="150">
        <v>2220000</v>
      </c>
      <c r="E253" t="s">
        <v>222</v>
      </c>
      <c r="F253" s="20" t="s">
        <v>223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271</v>
      </c>
      <c r="C254" t="s">
        <v>292</v>
      </c>
      <c r="D254" s="150">
        <v>2270000</v>
      </c>
      <c r="E254" t="s">
        <v>240</v>
      </c>
      <c r="F254" s="20" t="s">
        <v>241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276</v>
      </c>
      <c r="C255" t="s">
        <v>293</v>
      </c>
      <c r="D255" s="150">
        <v>2220000</v>
      </c>
      <c r="E255" t="s">
        <v>222</v>
      </c>
      <c r="F255" s="20" t="s">
        <v>223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210</v>
      </c>
      <c r="C256" t="s">
        <v>260</v>
      </c>
      <c r="D256" s="150">
        <v>2220000</v>
      </c>
      <c r="E256" t="s">
        <v>222</v>
      </c>
      <c r="F256" s="20" t="s">
        <v>223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196</v>
      </c>
      <c r="C257" t="s">
        <v>261</v>
      </c>
      <c r="D257" s="150">
        <v>2000000</v>
      </c>
      <c r="E257" t="s">
        <v>259</v>
      </c>
      <c r="F257" s="20" t="s">
        <v>201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233</v>
      </c>
      <c r="C258" t="s">
        <v>262</v>
      </c>
      <c r="D258" s="150">
        <v>2220000</v>
      </c>
      <c r="E258" t="s">
        <v>222</v>
      </c>
      <c r="F258" s="20" t="s">
        <v>223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258</v>
      </c>
      <c r="C259" t="s">
        <v>263</v>
      </c>
      <c r="D259" s="150">
        <v>1360000</v>
      </c>
      <c r="E259" t="s">
        <v>264</v>
      </c>
      <c r="F259" s="20" t="s">
        <v>265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242</v>
      </c>
      <c r="C260" t="s">
        <v>248</v>
      </c>
      <c r="D260" s="150">
        <v>2450000</v>
      </c>
      <c r="E260" t="s">
        <v>244</v>
      </c>
      <c r="F260" s="20" t="s">
        <v>245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227</v>
      </c>
      <c r="C261" t="s">
        <v>255</v>
      </c>
      <c r="D261" s="150">
        <v>1810000</v>
      </c>
      <c r="E261" t="s">
        <v>206</v>
      </c>
      <c r="F261" s="20" t="s">
        <v>201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249</v>
      </c>
      <c r="C262" t="s">
        <v>253</v>
      </c>
      <c r="D262" s="150">
        <v>2670000</v>
      </c>
      <c r="E262" t="s">
        <v>251</v>
      </c>
      <c r="F262" s="20" t="s">
        <v>252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224</v>
      </c>
      <c r="C263" t="s">
        <v>247</v>
      </c>
      <c r="D263" s="150">
        <v>2540000</v>
      </c>
      <c r="E263" t="s">
        <v>229</v>
      </c>
      <c r="F263" s="20" t="s">
        <v>230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219</v>
      </c>
      <c r="C264" t="s">
        <v>243</v>
      </c>
      <c r="D264" s="150">
        <v>2450000</v>
      </c>
      <c r="E264" t="s">
        <v>244</v>
      </c>
      <c r="F264" s="20" t="s">
        <v>245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239</v>
      </c>
      <c r="C265" t="s">
        <v>256</v>
      </c>
      <c r="D265" s="150">
        <v>2270000</v>
      </c>
      <c r="E265" t="s">
        <v>240</v>
      </c>
      <c r="F265" s="20" t="s">
        <v>241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225</v>
      </c>
      <c r="C266" t="s">
        <v>246</v>
      </c>
      <c r="D266" s="150">
        <v>2540000</v>
      </c>
      <c r="E266" t="s">
        <v>229</v>
      </c>
      <c r="F266" s="20" t="s">
        <v>230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242</v>
      </c>
      <c r="C267" t="s">
        <v>248</v>
      </c>
      <c r="D267" s="150">
        <v>2450000</v>
      </c>
      <c r="E267" t="s">
        <v>244</v>
      </c>
      <c r="F267" s="20" t="s">
        <v>245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239</v>
      </c>
      <c r="C268" t="s">
        <v>256</v>
      </c>
      <c r="D268" s="150">
        <v>2270000</v>
      </c>
      <c r="E268" t="s">
        <v>240</v>
      </c>
      <c r="F268" s="20" t="s">
        <v>241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224</v>
      </c>
      <c r="C269" t="s">
        <v>247</v>
      </c>
      <c r="D269" s="150">
        <v>2540000</v>
      </c>
      <c r="E269" t="s">
        <v>229</v>
      </c>
      <c r="F269" s="20" t="s">
        <v>230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228</v>
      </c>
      <c r="C270" t="s">
        <v>257</v>
      </c>
      <c r="D270" s="150">
        <v>1810000</v>
      </c>
      <c r="E270" t="s">
        <v>206</v>
      </c>
      <c r="F270" s="20" t="s">
        <v>201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254</v>
      </c>
      <c r="C271" t="s">
        <v>250</v>
      </c>
      <c r="D271" s="150">
        <v>2670000</v>
      </c>
      <c r="E271" t="s">
        <v>251</v>
      </c>
      <c r="F271" s="20" t="s">
        <v>252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219</v>
      </c>
      <c r="C272" t="s">
        <v>243</v>
      </c>
      <c r="D272" s="150">
        <v>2450000</v>
      </c>
      <c r="E272" t="s">
        <v>244</v>
      </c>
      <c r="F272" s="20" t="s">
        <v>245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225</v>
      </c>
      <c r="C273" t="s">
        <v>246</v>
      </c>
      <c r="D273" s="150">
        <v>2540000</v>
      </c>
      <c r="E273" t="s">
        <v>229</v>
      </c>
      <c r="F273" s="20" t="s">
        <v>230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51.26</v>
      </c>
      <c r="B2" s="167">
        <v>0.46</v>
      </c>
      <c r="C2" s="167">
        <v>28.2</v>
      </c>
      <c r="D2" s="8">
        <v>42776</v>
      </c>
      <c r="E2" s="167">
        <v>0.41</v>
      </c>
      <c r="F2" s="167" t="s">
        <v>266</v>
      </c>
      <c r="G2" s="167">
        <v>263.99</v>
      </c>
      <c r="H2" s="167">
        <v>0</v>
      </c>
      <c r="I2" s="167">
        <v>0</v>
      </c>
      <c r="J2" s="167">
        <v>1010</v>
      </c>
      <c r="K2" s="167" t="s">
        <v>268</v>
      </c>
      <c r="L2" s="167">
        <v>51.26</v>
      </c>
      <c r="M2" s="167">
        <v>1486710000</v>
      </c>
      <c r="N2" s="167">
        <v>4.07</v>
      </c>
      <c r="O2" s="167">
        <v>222</v>
      </c>
      <c r="P2" s="167">
        <v>2.7</v>
      </c>
      <c r="Q2"/>
      <c r="R2"/>
    </row>
    <row r="3" spans="1:18" x14ac:dyDescent="0.25">
      <c r="A3" s="167">
        <v>50.68</v>
      </c>
      <c r="B3" s="167">
        <v>0.44</v>
      </c>
      <c r="C3" s="167">
        <v>28.53</v>
      </c>
      <c r="D3" s="8">
        <v>42776.041666666664</v>
      </c>
      <c r="E3" s="167">
        <v>0.42</v>
      </c>
      <c r="F3" s="167" t="s">
        <v>266</v>
      </c>
      <c r="G3" s="167">
        <v>264.51</v>
      </c>
      <c r="H3" s="167">
        <v>0</v>
      </c>
      <c r="I3" s="167">
        <v>0</v>
      </c>
      <c r="J3" s="167">
        <v>1009.85</v>
      </c>
      <c r="K3" s="167" t="s">
        <v>268</v>
      </c>
      <c r="L3" s="167">
        <v>50.68</v>
      </c>
      <c r="M3" s="167">
        <v>1486713600</v>
      </c>
      <c r="N3" s="167">
        <v>4.18</v>
      </c>
      <c r="O3" s="167">
        <v>213</v>
      </c>
      <c r="P3" s="167">
        <v>3.5</v>
      </c>
      <c r="Q3"/>
      <c r="R3"/>
    </row>
    <row r="4" spans="1:18" x14ac:dyDescent="0.25">
      <c r="A4" s="167">
        <v>50.59</v>
      </c>
      <c r="B4" s="167">
        <v>0.41</v>
      </c>
      <c r="C4" s="167">
        <v>28.52</v>
      </c>
      <c r="D4" s="8">
        <v>42776.083333333336</v>
      </c>
      <c r="E4" s="167">
        <v>0.42</v>
      </c>
      <c r="F4" s="167" t="s">
        <v>266</v>
      </c>
      <c r="G4" s="167">
        <v>265.02</v>
      </c>
      <c r="H4" s="167">
        <v>0</v>
      </c>
      <c r="I4" s="167">
        <v>0</v>
      </c>
      <c r="J4" s="167">
        <v>1009.76</v>
      </c>
      <c r="K4" s="167" t="s">
        <v>268</v>
      </c>
      <c r="L4" s="167">
        <v>50.59</v>
      </c>
      <c r="M4" s="167">
        <v>1486717200</v>
      </c>
      <c r="N4" s="167">
        <v>10</v>
      </c>
      <c r="O4" s="167">
        <v>232</v>
      </c>
      <c r="P4" s="167">
        <v>2.6</v>
      </c>
      <c r="Q4"/>
      <c r="R4"/>
    </row>
    <row r="5" spans="1:18" x14ac:dyDescent="0.25">
      <c r="A5" s="167">
        <v>51.86</v>
      </c>
      <c r="B5" s="167">
        <v>0.5</v>
      </c>
      <c r="C5" s="167">
        <v>28.8</v>
      </c>
      <c r="D5" s="8">
        <v>42776.125</v>
      </c>
      <c r="E5" s="167">
        <v>0.41</v>
      </c>
      <c r="F5" s="167" t="s">
        <v>266</v>
      </c>
      <c r="G5" s="167">
        <v>266.23</v>
      </c>
      <c r="H5" s="167">
        <v>0</v>
      </c>
      <c r="I5" s="167">
        <v>0</v>
      </c>
      <c r="J5" s="167">
        <v>1009</v>
      </c>
      <c r="K5" s="167" t="s">
        <v>268</v>
      </c>
      <c r="L5" s="167">
        <v>51.86</v>
      </c>
      <c r="M5" s="167">
        <v>1486720800</v>
      </c>
      <c r="N5" s="167">
        <v>10</v>
      </c>
      <c r="O5" s="167">
        <v>254</v>
      </c>
      <c r="P5" s="167">
        <v>3.5</v>
      </c>
      <c r="Q5"/>
      <c r="R5"/>
    </row>
    <row r="6" spans="1:18" x14ac:dyDescent="0.25">
      <c r="A6" s="167">
        <v>53.99</v>
      </c>
      <c r="B6" s="167">
        <v>0.57999999999999996</v>
      </c>
      <c r="C6" s="167">
        <v>27.73</v>
      </c>
      <c r="D6" s="8">
        <v>42776.166666666664</v>
      </c>
      <c r="E6" s="167">
        <v>0.36</v>
      </c>
      <c r="F6" s="167" t="s">
        <v>266</v>
      </c>
      <c r="G6" s="167">
        <v>267.69</v>
      </c>
      <c r="H6" s="167">
        <v>0</v>
      </c>
      <c r="I6" s="167">
        <v>0</v>
      </c>
      <c r="J6" s="167">
        <v>1008.13</v>
      </c>
      <c r="K6" s="167" t="s">
        <v>268</v>
      </c>
      <c r="L6" s="167">
        <v>53.99</v>
      </c>
      <c r="M6" s="167">
        <v>1486724400</v>
      </c>
      <c r="N6" s="167">
        <v>3.39</v>
      </c>
      <c r="O6" s="167">
        <v>243</v>
      </c>
      <c r="P6" s="167">
        <v>2.39</v>
      </c>
      <c r="Q6"/>
      <c r="R6"/>
    </row>
    <row r="7" spans="1:18" x14ac:dyDescent="0.25">
      <c r="A7" s="167">
        <v>54.24</v>
      </c>
      <c r="B7" s="167">
        <v>0.63</v>
      </c>
      <c r="C7" s="167">
        <v>27.92</v>
      </c>
      <c r="D7" s="8">
        <v>42776.208333333336</v>
      </c>
      <c r="E7" s="167">
        <v>0.36</v>
      </c>
      <c r="F7" s="167" t="s">
        <v>266</v>
      </c>
      <c r="G7" s="167">
        <v>268.79000000000002</v>
      </c>
      <c r="H7" s="167">
        <v>0</v>
      </c>
      <c r="I7" s="167">
        <v>0</v>
      </c>
      <c r="J7" s="167">
        <v>1007.63</v>
      </c>
      <c r="K7" s="167" t="s">
        <v>491</v>
      </c>
      <c r="L7" s="167">
        <v>54.24</v>
      </c>
      <c r="M7" s="167">
        <v>1486728000</v>
      </c>
      <c r="N7" s="167">
        <v>4.37</v>
      </c>
      <c r="O7" s="167">
        <v>211</v>
      </c>
      <c r="P7" s="167">
        <v>2.16</v>
      </c>
      <c r="Q7"/>
      <c r="R7"/>
    </row>
    <row r="8" spans="1:18" x14ac:dyDescent="0.25">
      <c r="A8" s="167">
        <v>52.95</v>
      </c>
      <c r="B8" s="167">
        <v>0.65</v>
      </c>
      <c r="C8" s="167">
        <v>26.23</v>
      </c>
      <c r="D8" s="8">
        <v>42776.25</v>
      </c>
      <c r="E8" s="167">
        <v>0.35</v>
      </c>
      <c r="F8" s="167" t="s">
        <v>266</v>
      </c>
      <c r="G8" s="167">
        <v>269.25</v>
      </c>
      <c r="H8" s="167">
        <v>0</v>
      </c>
      <c r="I8" s="167">
        <v>0</v>
      </c>
      <c r="J8" s="167">
        <v>1007.78</v>
      </c>
      <c r="K8" s="167" t="s">
        <v>491</v>
      </c>
      <c r="L8" s="167">
        <v>52.95</v>
      </c>
      <c r="M8" s="167">
        <v>1486731600</v>
      </c>
      <c r="N8" s="167">
        <v>10</v>
      </c>
      <c r="O8" s="167">
        <v>248</v>
      </c>
      <c r="P8" s="167">
        <v>2.2799999999999998</v>
      </c>
      <c r="Q8"/>
      <c r="R8"/>
    </row>
    <row r="9" spans="1:18" x14ac:dyDescent="0.25">
      <c r="A9" s="167">
        <v>54.2</v>
      </c>
      <c r="B9" s="167">
        <v>0.52</v>
      </c>
      <c r="C9" s="167">
        <v>28.13</v>
      </c>
      <c r="D9" s="8">
        <v>42776.291666666664</v>
      </c>
      <c r="E9" s="167">
        <v>0.36</v>
      </c>
      <c r="F9" s="167" t="s">
        <v>266</v>
      </c>
      <c r="G9" s="167">
        <v>269.37</v>
      </c>
      <c r="H9" s="167">
        <v>0</v>
      </c>
      <c r="I9" s="167">
        <v>0</v>
      </c>
      <c r="J9" s="167">
        <v>1007.95</v>
      </c>
      <c r="K9" s="167" t="s">
        <v>268</v>
      </c>
      <c r="L9" s="167">
        <v>54.2</v>
      </c>
      <c r="M9" s="167">
        <v>1486735200</v>
      </c>
      <c r="N9" s="167">
        <v>3.62</v>
      </c>
      <c r="O9" s="167">
        <v>204</v>
      </c>
      <c r="P9" s="167">
        <v>2.85</v>
      </c>
      <c r="Q9"/>
      <c r="R9"/>
    </row>
    <row r="10" spans="1:18" x14ac:dyDescent="0.25">
      <c r="A10" s="167">
        <v>54.56</v>
      </c>
      <c r="B10" s="167">
        <v>0.47</v>
      </c>
      <c r="C10" s="167">
        <v>23.04</v>
      </c>
      <c r="D10" s="8">
        <v>42776.333333333336</v>
      </c>
      <c r="E10" s="167">
        <v>0.28999999999999998</v>
      </c>
      <c r="F10" s="167" t="s">
        <v>267</v>
      </c>
      <c r="G10" s="167">
        <v>269.39</v>
      </c>
      <c r="H10" s="167">
        <v>0</v>
      </c>
      <c r="I10" s="167">
        <v>0</v>
      </c>
      <c r="J10" s="167">
        <v>1007.99</v>
      </c>
      <c r="K10" s="167" t="s">
        <v>268</v>
      </c>
      <c r="L10" s="167">
        <v>54.56</v>
      </c>
      <c r="M10" s="167">
        <v>1486738800</v>
      </c>
      <c r="N10" s="167">
        <v>3.23</v>
      </c>
      <c r="O10" s="167">
        <v>286</v>
      </c>
      <c r="P10" s="167">
        <v>1.77</v>
      </c>
      <c r="Q10"/>
      <c r="R10"/>
    </row>
    <row r="11" spans="1:18" x14ac:dyDescent="0.25">
      <c r="A11" s="167">
        <v>58.68</v>
      </c>
      <c r="B11" s="167">
        <v>0.53</v>
      </c>
      <c r="C11" s="167">
        <v>27.48</v>
      </c>
      <c r="D11" s="8">
        <v>42776.375</v>
      </c>
      <c r="E11" s="167">
        <v>0.3</v>
      </c>
      <c r="F11" s="167" t="s">
        <v>267</v>
      </c>
      <c r="G11" s="167">
        <v>269.41000000000003</v>
      </c>
      <c r="H11" s="167">
        <v>0</v>
      </c>
      <c r="I11" s="167">
        <v>0</v>
      </c>
      <c r="J11" s="167">
        <v>1007.34</v>
      </c>
      <c r="K11" s="167" t="s">
        <v>268</v>
      </c>
      <c r="L11" s="167">
        <v>58.68</v>
      </c>
      <c r="M11" s="167">
        <v>1486742400</v>
      </c>
      <c r="N11" s="167">
        <v>3.07</v>
      </c>
      <c r="O11" s="167">
        <v>312</v>
      </c>
      <c r="P11" s="167">
        <v>2.31</v>
      </c>
      <c r="Q11"/>
      <c r="R11"/>
    </row>
    <row r="12" spans="1:18" x14ac:dyDescent="0.25">
      <c r="A12" s="167">
        <v>64.56</v>
      </c>
      <c r="B12" s="167">
        <v>0.67</v>
      </c>
      <c r="C12" s="167">
        <v>27.64</v>
      </c>
      <c r="D12" s="8">
        <v>42776.416666666664</v>
      </c>
      <c r="E12" s="167">
        <v>0.25</v>
      </c>
      <c r="F12" s="167" t="s">
        <v>267</v>
      </c>
      <c r="G12" s="167">
        <v>269.33</v>
      </c>
      <c r="H12" s="167">
        <v>0</v>
      </c>
      <c r="I12" s="167">
        <v>0</v>
      </c>
      <c r="J12" s="167">
        <v>1006.44</v>
      </c>
      <c r="K12" s="167" t="s">
        <v>491</v>
      </c>
      <c r="L12" s="167">
        <v>64.56</v>
      </c>
      <c r="M12" s="167">
        <v>1486746000</v>
      </c>
      <c r="N12" s="167">
        <v>3.03</v>
      </c>
      <c r="O12" s="167">
        <v>302</v>
      </c>
      <c r="P12" s="167">
        <v>4.37</v>
      </c>
      <c r="Q12"/>
      <c r="R12"/>
    </row>
    <row r="13" spans="1:18" x14ac:dyDescent="0.25">
      <c r="A13" s="167">
        <v>69.209999999999994</v>
      </c>
      <c r="B13" s="167">
        <v>0.77</v>
      </c>
      <c r="C13" s="167">
        <v>23.95</v>
      </c>
      <c r="D13" s="8">
        <v>42776.458333333336</v>
      </c>
      <c r="E13" s="167">
        <v>0.18</v>
      </c>
      <c r="F13" s="167" t="s">
        <v>267</v>
      </c>
      <c r="G13" s="167">
        <v>269.12</v>
      </c>
      <c r="H13" s="167">
        <v>0</v>
      </c>
      <c r="I13" s="167">
        <v>0</v>
      </c>
      <c r="J13" s="167">
        <v>1005.8</v>
      </c>
      <c r="K13" s="167" t="s">
        <v>491</v>
      </c>
      <c r="L13" s="167">
        <v>69.209999999999994</v>
      </c>
      <c r="M13" s="167">
        <v>1486749600</v>
      </c>
      <c r="N13" s="167">
        <v>3.03</v>
      </c>
      <c r="O13" s="167">
        <v>287</v>
      </c>
      <c r="P13" s="167">
        <v>5.19</v>
      </c>
      <c r="Q13"/>
      <c r="R13"/>
    </row>
    <row r="14" spans="1:18" x14ac:dyDescent="0.25">
      <c r="A14" s="167">
        <v>70.63</v>
      </c>
      <c r="B14" s="167">
        <v>0.69</v>
      </c>
      <c r="C14" s="167">
        <v>22.93</v>
      </c>
      <c r="D14" s="8">
        <v>42776.5</v>
      </c>
      <c r="E14" s="167">
        <v>0.16</v>
      </c>
      <c r="F14" s="167" t="s">
        <v>267</v>
      </c>
      <c r="G14" s="167">
        <v>268.64</v>
      </c>
      <c r="H14" s="167">
        <v>0</v>
      </c>
      <c r="I14" s="167">
        <v>0</v>
      </c>
      <c r="J14" s="167">
        <v>1005.46</v>
      </c>
      <c r="K14" s="167" t="s">
        <v>491</v>
      </c>
      <c r="L14" s="167">
        <v>70.63</v>
      </c>
      <c r="M14" s="167">
        <v>1486753200</v>
      </c>
      <c r="N14" s="167">
        <v>3.03</v>
      </c>
      <c r="O14" s="167">
        <v>328</v>
      </c>
      <c r="P14" s="167">
        <v>5.0999999999999996</v>
      </c>
      <c r="Q14"/>
      <c r="R14"/>
    </row>
    <row r="15" spans="1:18" x14ac:dyDescent="0.25">
      <c r="A15" s="167">
        <v>72.25</v>
      </c>
      <c r="B15" s="167">
        <v>0.54</v>
      </c>
      <c r="C15" s="167">
        <v>22.41</v>
      </c>
      <c r="D15" s="8">
        <v>42776.541666666664</v>
      </c>
      <c r="E15" s="167">
        <v>0.15</v>
      </c>
      <c r="F15" s="167" t="s">
        <v>267</v>
      </c>
      <c r="G15" s="167">
        <v>268.02</v>
      </c>
      <c r="H15" s="167">
        <v>0</v>
      </c>
      <c r="I15" s="167">
        <v>0</v>
      </c>
      <c r="J15" s="167">
        <v>1005.26</v>
      </c>
      <c r="K15" s="167" t="s">
        <v>268</v>
      </c>
      <c r="L15" s="167">
        <v>72.25</v>
      </c>
      <c r="M15" s="167">
        <v>1486756800</v>
      </c>
      <c r="N15" s="167">
        <v>3.02</v>
      </c>
      <c r="O15" s="167">
        <v>289</v>
      </c>
      <c r="P15" s="167">
        <v>5.59</v>
      </c>
      <c r="Q15"/>
      <c r="R15"/>
    </row>
    <row r="16" spans="1:18" x14ac:dyDescent="0.25">
      <c r="A16" s="167">
        <v>73.349999999999994</v>
      </c>
      <c r="B16" s="167">
        <v>0.49</v>
      </c>
      <c r="C16" s="167">
        <v>22.44</v>
      </c>
      <c r="D16" s="8">
        <v>42776.583333333336</v>
      </c>
      <c r="E16" s="167">
        <v>0.15</v>
      </c>
      <c r="F16" s="167" t="s">
        <v>267</v>
      </c>
      <c r="G16" s="167">
        <v>267.62</v>
      </c>
      <c r="H16" s="167">
        <v>0</v>
      </c>
      <c r="I16" s="167">
        <v>0</v>
      </c>
      <c r="J16" s="167">
        <v>1005.3</v>
      </c>
      <c r="K16" s="167" t="s">
        <v>268</v>
      </c>
      <c r="L16" s="167">
        <v>73.349999999999994</v>
      </c>
      <c r="M16" s="167">
        <v>1486760400</v>
      </c>
      <c r="N16" s="167">
        <v>3.03</v>
      </c>
      <c r="O16" s="167">
        <v>293</v>
      </c>
      <c r="P16" s="167">
        <v>9.5</v>
      </c>
      <c r="Q16"/>
      <c r="R16"/>
    </row>
    <row r="17" spans="1:18" x14ac:dyDescent="0.25">
      <c r="A17" s="167">
        <v>70.91</v>
      </c>
      <c r="B17" s="167">
        <v>0.57999999999999996</v>
      </c>
      <c r="C17" s="167">
        <v>23.43</v>
      </c>
      <c r="D17" s="8">
        <v>42776.625</v>
      </c>
      <c r="E17" s="167">
        <v>0.17</v>
      </c>
      <c r="F17" s="167" t="s">
        <v>267</v>
      </c>
      <c r="G17" s="167">
        <v>267.66000000000003</v>
      </c>
      <c r="H17" s="167">
        <v>0</v>
      </c>
      <c r="I17" s="167">
        <v>0</v>
      </c>
      <c r="J17" s="167">
        <v>1005.45</v>
      </c>
      <c r="K17" s="167" t="s">
        <v>268</v>
      </c>
      <c r="L17" s="167">
        <v>70.91</v>
      </c>
      <c r="M17" s="167">
        <v>1486764000</v>
      </c>
      <c r="N17" s="167">
        <v>3.15</v>
      </c>
      <c r="O17" s="167">
        <v>288</v>
      </c>
      <c r="P17" s="167">
        <v>9.42</v>
      </c>
      <c r="Q17"/>
      <c r="R17"/>
    </row>
    <row r="18" spans="1:18" x14ac:dyDescent="0.25">
      <c r="A18" s="167">
        <v>69.430000000000007</v>
      </c>
      <c r="B18" s="167">
        <v>0.75</v>
      </c>
      <c r="C18" s="167">
        <v>22.26</v>
      </c>
      <c r="D18" s="8">
        <v>42776.666666666664</v>
      </c>
      <c r="E18" s="167">
        <v>0.17</v>
      </c>
      <c r="F18" s="167" t="s">
        <v>267</v>
      </c>
      <c r="G18" s="167">
        <v>267.92</v>
      </c>
      <c r="H18" s="167">
        <v>0</v>
      </c>
      <c r="I18" s="167">
        <v>0</v>
      </c>
      <c r="J18" s="167">
        <v>1005.52</v>
      </c>
      <c r="K18" s="167" t="s">
        <v>491</v>
      </c>
      <c r="L18" s="167">
        <v>69.430000000000007</v>
      </c>
      <c r="M18" s="167">
        <v>1486767600</v>
      </c>
      <c r="N18" s="167">
        <v>5.54</v>
      </c>
      <c r="O18" s="167">
        <v>279</v>
      </c>
      <c r="P18" s="167">
        <v>8.82</v>
      </c>
      <c r="Q18"/>
      <c r="R18"/>
    </row>
    <row r="19" spans="1:18" x14ac:dyDescent="0.25">
      <c r="A19" s="167">
        <v>65.930000000000007</v>
      </c>
      <c r="B19" s="167">
        <v>0.82</v>
      </c>
      <c r="C19" s="167">
        <v>22.5</v>
      </c>
      <c r="D19" s="8">
        <v>42776.708333333336</v>
      </c>
      <c r="E19" s="167">
        <v>0.19</v>
      </c>
      <c r="F19" s="167" t="s">
        <v>267</v>
      </c>
      <c r="G19" s="167">
        <v>268.12</v>
      </c>
      <c r="H19" s="167">
        <v>0</v>
      </c>
      <c r="I19" s="167">
        <v>0</v>
      </c>
      <c r="J19" s="167">
        <v>1005.83</v>
      </c>
      <c r="K19" s="167" t="s">
        <v>491</v>
      </c>
      <c r="L19" s="167">
        <v>65.930000000000007</v>
      </c>
      <c r="M19" s="167">
        <v>1486771200</v>
      </c>
      <c r="N19" s="167">
        <v>5.99</v>
      </c>
      <c r="O19" s="167">
        <v>275</v>
      </c>
      <c r="P19" s="167">
        <v>10.71</v>
      </c>
      <c r="Q19"/>
      <c r="R19"/>
    </row>
    <row r="20" spans="1:18" x14ac:dyDescent="0.25">
      <c r="A20" s="167">
        <v>65.099999999999994</v>
      </c>
      <c r="B20" s="167">
        <v>0.64</v>
      </c>
      <c r="C20" s="167">
        <v>25.22</v>
      </c>
      <c r="D20" s="8">
        <v>42776.75</v>
      </c>
      <c r="E20" s="167">
        <v>0.22</v>
      </c>
      <c r="F20" s="167" t="s">
        <v>266</v>
      </c>
      <c r="G20" s="167">
        <v>268.13</v>
      </c>
      <c r="H20" s="167">
        <v>0</v>
      </c>
      <c r="I20" s="167">
        <v>0</v>
      </c>
      <c r="J20" s="167">
        <v>1006</v>
      </c>
      <c r="K20" s="167" t="s">
        <v>491</v>
      </c>
      <c r="L20" s="167">
        <v>65.099999999999994</v>
      </c>
      <c r="M20" s="167">
        <v>1486774800</v>
      </c>
      <c r="N20" s="167">
        <v>6.8</v>
      </c>
      <c r="O20" s="167">
        <v>277</v>
      </c>
      <c r="P20" s="167">
        <v>8.76</v>
      </c>
      <c r="Q20"/>
      <c r="R20"/>
    </row>
    <row r="21" spans="1:18" x14ac:dyDescent="0.25">
      <c r="A21" s="167">
        <v>62.67</v>
      </c>
      <c r="B21" s="167">
        <v>0.4</v>
      </c>
      <c r="C21" s="167">
        <v>27.04</v>
      </c>
      <c r="D21" s="8">
        <v>42776.791666666664</v>
      </c>
      <c r="E21" s="167">
        <v>0.26</v>
      </c>
      <c r="F21" s="167" t="s">
        <v>266</v>
      </c>
      <c r="G21" s="167">
        <v>268.07</v>
      </c>
      <c r="H21" s="167">
        <v>0</v>
      </c>
      <c r="I21" s="167">
        <v>0</v>
      </c>
      <c r="J21" s="167">
        <v>1006.7</v>
      </c>
      <c r="K21" s="167" t="s">
        <v>268</v>
      </c>
      <c r="L21" s="167">
        <v>62.67</v>
      </c>
      <c r="M21" s="167">
        <v>1486778400</v>
      </c>
      <c r="N21" s="167">
        <v>7.3</v>
      </c>
      <c r="O21" s="167">
        <v>263</v>
      </c>
      <c r="P21" s="167">
        <v>4.8099999999999996</v>
      </c>
      <c r="Q21"/>
      <c r="R21"/>
    </row>
    <row r="22" spans="1:18" x14ac:dyDescent="0.25">
      <c r="A22" s="167">
        <v>60.64</v>
      </c>
      <c r="B22" s="167">
        <v>0.26</v>
      </c>
      <c r="C22" s="167">
        <v>26.56</v>
      </c>
      <c r="D22" s="8">
        <v>42776.833333333336</v>
      </c>
      <c r="E22" s="167">
        <v>0.27</v>
      </c>
      <c r="F22" s="167" t="s">
        <v>266</v>
      </c>
      <c r="G22" s="167">
        <v>268.02</v>
      </c>
      <c r="H22" s="167">
        <v>0</v>
      </c>
      <c r="I22" s="167">
        <v>0</v>
      </c>
      <c r="J22" s="167">
        <v>1007.39</v>
      </c>
      <c r="K22" s="167" t="s">
        <v>268</v>
      </c>
      <c r="L22" s="167">
        <v>60.64</v>
      </c>
      <c r="M22" s="167">
        <v>1486782000</v>
      </c>
      <c r="N22" s="167">
        <v>6.2</v>
      </c>
      <c r="O22" s="167">
        <v>264</v>
      </c>
      <c r="P22" s="167">
        <v>3.27</v>
      </c>
      <c r="Q22"/>
      <c r="R22"/>
    </row>
    <row r="23" spans="1:18" x14ac:dyDescent="0.25">
      <c r="A23" s="167">
        <v>58.35</v>
      </c>
      <c r="B23" s="167">
        <v>0.36</v>
      </c>
      <c r="C23" s="167">
        <v>26.6</v>
      </c>
      <c r="D23" s="8">
        <v>42776.875</v>
      </c>
      <c r="E23" s="167">
        <v>0.28999999999999998</v>
      </c>
      <c r="F23" s="167" t="s">
        <v>266</v>
      </c>
      <c r="G23" s="167">
        <v>267.94</v>
      </c>
      <c r="H23" s="167">
        <v>0</v>
      </c>
      <c r="I23" s="167">
        <v>0</v>
      </c>
      <c r="J23" s="167">
        <v>1007.62</v>
      </c>
      <c r="K23" s="167" t="s">
        <v>268</v>
      </c>
      <c r="L23" s="167">
        <v>58.35</v>
      </c>
      <c r="M23" s="167">
        <v>1486785600</v>
      </c>
      <c r="N23" s="167">
        <v>5.37</v>
      </c>
      <c r="O23" s="167">
        <v>239</v>
      </c>
      <c r="P23" s="167">
        <v>2.57</v>
      </c>
      <c r="Q23"/>
      <c r="R23"/>
    </row>
    <row r="24" spans="1:18" x14ac:dyDescent="0.25">
      <c r="A24" s="167">
        <v>56.49</v>
      </c>
      <c r="B24" s="167">
        <v>0.49</v>
      </c>
      <c r="C24" s="167">
        <v>26.04</v>
      </c>
      <c r="D24" s="8">
        <v>42776.916666666664</v>
      </c>
      <c r="E24" s="167">
        <v>0.31</v>
      </c>
      <c r="F24" s="167" t="s">
        <v>266</v>
      </c>
      <c r="G24" s="167">
        <v>267.86</v>
      </c>
      <c r="H24" s="167">
        <v>0</v>
      </c>
      <c r="I24" s="167">
        <v>0</v>
      </c>
      <c r="J24" s="167">
        <v>1007.6</v>
      </c>
      <c r="K24" s="167" t="s">
        <v>268</v>
      </c>
      <c r="L24" s="167">
        <v>56.49</v>
      </c>
      <c r="M24" s="167">
        <v>1486789200</v>
      </c>
      <c r="N24" s="167">
        <v>5.33</v>
      </c>
      <c r="O24" s="167">
        <v>221</v>
      </c>
      <c r="P24" s="167">
        <v>2.56</v>
      </c>
      <c r="Q24"/>
      <c r="R24"/>
    </row>
    <row r="25" spans="1:18" x14ac:dyDescent="0.25">
      <c r="A25" s="167">
        <v>54.82</v>
      </c>
      <c r="B25" s="167">
        <v>0.55000000000000004</v>
      </c>
      <c r="C25" s="167">
        <v>26.69</v>
      </c>
      <c r="D25" s="8">
        <v>42776.958333333336</v>
      </c>
      <c r="E25" s="167">
        <v>0.34</v>
      </c>
      <c r="F25" s="167" t="s">
        <v>266</v>
      </c>
      <c r="G25" s="167">
        <v>267.98</v>
      </c>
      <c r="H25" s="167">
        <v>0</v>
      </c>
      <c r="I25" s="167">
        <v>0</v>
      </c>
      <c r="J25" s="167">
        <v>1007.7</v>
      </c>
      <c r="K25" s="167" t="s">
        <v>268</v>
      </c>
      <c r="L25" s="167">
        <v>54.82</v>
      </c>
      <c r="M25" s="167">
        <v>1486792800</v>
      </c>
      <c r="N25" s="167">
        <v>5.6</v>
      </c>
      <c r="O25" s="167">
        <v>233</v>
      </c>
      <c r="P25" s="167">
        <v>3.2</v>
      </c>
      <c r="Q25"/>
      <c r="R25"/>
    </row>
    <row r="26" spans="1:18" x14ac:dyDescent="0.25">
      <c r="A26" s="167">
        <v>52.47</v>
      </c>
      <c r="B26" s="167">
        <v>0.63</v>
      </c>
      <c r="C26" s="167">
        <v>25.63</v>
      </c>
      <c r="D26" s="8">
        <v>42777</v>
      </c>
      <c r="E26" s="167">
        <v>0.35</v>
      </c>
      <c r="F26" s="167" t="s">
        <v>266</v>
      </c>
      <c r="G26" s="167">
        <v>268.56</v>
      </c>
      <c r="H26" s="167">
        <v>0</v>
      </c>
      <c r="I26" s="167">
        <v>0</v>
      </c>
      <c r="J26" s="167">
        <v>1008.43</v>
      </c>
      <c r="K26" s="167" t="s">
        <v>491</v>
      </c>
      <c r="L26" s="167">
        <v>52.47</v>
      </c>
      <c r="M26" s="167">
        <v>1486796400</v>
      </c>
      <c r="N26" s="167">
        <v>5.79</v>
      </c>
      <c r="O26" s="167">
        <v>221</v>
      </c>
      <c r="P26" s="167">
        <v>2.2000000000000002</v>
      </c>
      <c r="Q26"/>
      <c r="R26"/>
    </row>
    <row r="27" spans="1:18" x14ac:dyDescent="0.25">
      <c r="A27" s="167">
        <v>51.62</v>
      </c>
      <c r="B27" s="167">
        <v>0.57999999999999996</v>
      </c>
      <c r="C27" s="167">
        <v>25.98</v>
      </c>
      <c r="D27" s="8">
        <v>42777.041666666664</v>
      </c>
      <c r="E27" s="167">
        <v>0.37</v>
      </c>
      <c r="F27" s="167" t="s">
        <v>266</v>
      </c>
      <c r="G27" s="167">
        <v>269.14</v>
      </c>
      <c r="H27" s="167">
        <v>0</v>
      </c>
      <c r="I27" s="167">
        <v>0</v>
      </c>
      <c r="J27" s="167">
        <v>1008.98</v>
      </c>
      <c r="K27" s="167" t="s">
        <v>268</v>
      </c>
      <c r="L27" s="167">
        <v>51.62</v>
      </c>
      <c r="M27" s="167">
        <v>1486800000</v>
      </c>
      <c r="N27" s="167">
        <v>5.62</v>
      </c>
      <c r="O27" s="167">
        <v>190</v>
      </c>
      <c r="P27" s="167">
        <v>1.51</v>
      </c>
      <c r="Q27"/>
      <c r="R27"/>
    </row>
    <row r="28" spans="1:18" x14ac:dyDescent="0.25">
      <c r="A28" s="167">
        <v>50.16</v>
      </c>
      <c r="B28" s="167">
        <v>0.52</v>
      </c>
      <c r="C28" s="167">
        <v>28.58</v>
      </c>
      <c r="D28" s="8">
        <v>42777.083333333336</v>
      </c>
      <c r="E28" s="167">
        <v>0.43</v>
      </c>
      <c r="F28" s="167" t="s">
        <v>266</v>
      </c>
      <c r="G28" s="167">
        <v>269.72000000000003</v>
      </c>
      <c r="H28" s="167">
        <v>0</v>
      </c>
      <c r="I28" s="167">
        <v>0</v>
      </c>
      <c r="J28" s="167">
        <v>1009.45</v>
      </c>
      <c r="K28" s="167" t="s">
        <v>268</v>
      </c>
      <c r="L28" s="167">
        <v>50.16</v>
      </c>
      <c r="M28" s="167">
        <v>1486803600</v>
      </c>
      <c r="N28" s="167">
        <v>3.9</v>
      </c>
      <c r="O28" s="167">
        <v>223</v>
      </c>
      <c r="P28" s="167">
        <v>1.18</v>
      </c>
      <c r="Q28"/>
      <c r="R28"/>
    </row>
    <row r="29" spans="1:18" x14ac:dyDescent="0.25">
      <c r="A29" s="167">
        <v>46.68</v>
      </c>
      <c r="B29" s="167">
        <v>0.61</v>
      </c>
      <c r="C29" s="167">
        <v>26.74</v>
      </c>
      <c r="D29" s="8">
        <v>42777.125</v>
      </c>
      <c r="E29" s="167">
        <v>0.45</v>
      </c>
      <c r="F29" s="167" t="s">
        <v>266</v>
      </c>
      <c r="G29" s="167">
        <v>269.26</v>
      </c>
      <c r="H29" s="167">
        <v>0</v>
      </c>
      <c r="I29" s="167">
        <v>0</v>
      </c>
      <c r="J29" s="167">
        <v>1009.6</v>
      </c>
      <c r="K29" s="167" t="s">
        <v>491</v>
      </c>
      <c r="L29" s="167">
        <v>46.68</v>
      </c>
      <c r="M29" s="167">
        <v>1486807200</v>
      </c>
      <c r="N29" s="167">
        <v>6.47</v>
      </c>
      <c r="O29" s="167">
        <v>199</v>
      </c>
      <c r="P29" s="167">
        <v>1.73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42776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895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538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896</v>
      </c>
      <c r="J20" s="152" t="s">
        <v>87</v>
      </c>
      <c r="M20" s="152" t="s">
        <v>214</v>
      </c>
    </row>
    <row r="21" spans="3:13" x14ac:dyDescent="0.25">
      <c r="C21" t="s">
        <v>897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898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899</v>
      </c>
      <c r="J23" s="162" t="s">
        <v>95</v>
      </c>
      <c r="M23" s="152" t="str">
        <f>"-07"</f>
        <v>-07</v>
      </c>
    </row>
    <row r="24" spans="3:13" x14ac:dyDescent="0.25">
      <c r="C24" t="s">
        <v>900</v>
      </c>
      <c r="J24" s="152" t="s">
        <v>108</v>
      </c>
      <c r="M24" s="152" t="s">
        <v>110</v>
      </c>
    </row>
    <row r="25" spans="3:13" x14ac:dyDescent="0.25">
      <c r="C25" t="s">
        <v>901</v>
      </c>
      <c r="J25" s="152" t="s">
        <v>150</v>
      </c>
      <c r="M25" s="152" t="b">
        <v>1</v>
      </c>
    </row>
    <row r="26" spans="3:13" x14ac:dyDescent="0.25">
      <c r="C26" t="s">
        <v>902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C:\Users\stu\Documents\GitHub\eaglep3-reporting\EC\2017-02-10-refined-times.txt</v>
      </c>
    </row>
    <row r="27" spans="3:13" x14ac:dyDescent="0.25">
      <c r="C27" t="s">
        <v>903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C:\Users\stu\Documents\GitHub\eaglep3-reporting\EC\2017-02-10-Enforcements.txt</v>
      </c>
    </row>
    <row r="28" spans="3:13" x14ac:dyDescent="0.25">
      <c r="C28" t="s">
        <v>904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C:\Users\stu\Documents\GitHub\eaglep3-reporting\EC\2017-02-10-Runs-refined.txt</v>
      </c>
    </row>
    <row r="29" spans="3:13" x14ac:dyDescent="0.25">
      <c r="C29" t="s">
        <v>905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C:\Users\stu\Documents\GitHub\eaglep3-reporting\EC\2017-02-10-Trips.txt</v>
      </c>
    </row>
    <row r="30" spans="3:13" x14ac:dyDescent="0.25">
      <c r="C30" t="s">
        <v>539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C:\Users\stu\Documents\GitHub\eaglep3-reporting\EC\2017-02-10-Weather.txt</v>
      </c>
    </row>
    <row r="31" spans="3:13" x14ac:dyDescent="0.25">
      <c r="C31" t="s">
        <v>537</v>
      </c>
      <c r="J31" s="152" t="s">
        <v>212</v>
      </c>
      <c r="M31" s="152" t="s">
        <v>213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382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383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384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385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386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387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388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389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390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391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392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393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394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395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396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397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398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399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400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401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402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403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404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405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406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407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408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409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410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411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412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413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414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415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416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417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418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419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420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421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422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423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424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425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426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427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428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429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430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431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432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433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434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435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436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437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438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439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440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441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442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443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2017-02-13T16:34:00Z</dcterms:modified>
</cp:coreProperties>
</file>