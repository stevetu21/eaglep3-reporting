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15300" windowHeight="7470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Enforcements!$A$6:$AC$66</definedName>
    <definedName name="_xlnm._FilterDatabase" localSheetId="2" hidden="1">'Missing Trips'!$A$2:$J$83</definedName>
    <definedName name="_xlnm._FilterDatabase" localSheetId="0" hidden="1">'Train Runs'!$A$12:$AG$269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Runs'!$A$12:$J$66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02" i="1" l="1"/>
  <c r="P87" i="1"/>
  <c r="P77" i="1"/>
  <c r="X59" i="1"/>
  <c r="X60" i="1"/>
  <c r="X61" i="1"/>
  <c r="X62" i="1"/>
  <c r="X63" i="1"/>
  <c r="K14" i="1"/>
  <c r="L14" i="1"/>
  <c r="M14" i="1"/>
  <c r="N14" i="1" s="1"/>
  <c r="V14" i="1"/>
  <c r="Y14" i="1"/>
  <c r="Z14" i="1"/>
  <c r="AA14" i="1" s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/>
  <c r="V15" i="1"/>
  <c r="Y15" i="1"/>
  <c r="AA15" i="1" s="1"/>
  <c r="Z15" i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AG16" i="1" s="1"/>
  <c r="AE16" i="1"/>
  <c r="AF16" i="1"/>
  <c r="AH16" i="1"/>
  <c r="AM16" i="1"/>
  <c r="AN16" i="1"/>
  <c r="K17" i="1"/>
  <c r="L17" i="1"/>
  <c r="M17" i="1"/>
  <c r="N17" i="1" s="1"/>
  <c r="T17" i="1"/>
  <c r="V17" i="1"/>
  <c r="Y17" i="1"/>
  <c r="Z17" i="1"/>
  <c r="AB17" i="1"/>
  <c r="AC17" i="1"/>
  <c r="AD17" i="1"/>
  <c r="X17" i="1" s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A19" i="1" s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A20" i="1" s="1"/>
  <c r="W20" i="1" s="1"/>
  <c r="AB20" i="1"/>
  <c r="AC20" i="1"/>
  <c r="AD20" i="1"/>
  <c r="AG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N22" i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AG24" i="1" s="1"/>
  <c r="AE24" i="1"/>
  <c r="AF24" i="1"/>
  <c r="AH24" i="1"/>
  <c r="AM24" i="1"/>
  <c r="AN24" i="1"/>
  <c r="K25" i="1"/>
  <c r="L25" i="1"/>
  <c r="M25" i="1"/>
  <c r="N25" i="1" s="1"/>
  <c r="V25" i="1"/>
  <c r="Y25" i="1"/>
  <c r="AA25" i="1" s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AG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N30" i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AG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K34" i="1"/>
  <c r="L34" i="1"/>
  <c r="M34" i="1"/>
  <c r="N34" i="1" s="1"/>
  <c r="V34" i="1"/>
  <c r="Y34" i="1"/>
  <c r="Z34" i="1"/>
  <c r="AA34" i="1" s="1"/>
  <c r="AB34" i="1"/>
  <c r="AC34" i="1"/>
  <c r="AD34" i="1"/>
  <c r="T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AM35" i="1"/>
  <c r="AN35" i="1"/>
  <c r="K36" i="1"/>
  <c r="L36" i="1"/>
  <c r="M36" i="1"/>
  <c r="N36" i="1" s="1"/>
  <c r="T36" i="1"/>
  <c r="V36" i="1"/>
  <c r="X36" i="1"/>
  <c r="Y36" i="1"/>
  <c r="Z36" i="1"/>
  <c r="AA36" i="1" s="1"/>
  <c r="W36" i="1" s="1"/>
  <c r="AB36" i="1"/>
  <c r="AC36" i="1"/>
  <c r="AD36" i="1"/>
  <c r="AG36" i="1" s="1"/>
  <c r="AE36" i="1"/>
  <c r="AF36" i="1"/>
  <c r="AH36" i="1"/>
  <c r="AM36" i="1"/>
  <c r="AN36" i="1"/>
  <c r="K37" i="1"/>
  <c r="L37" i="1"/>
  <c r="M37" i="1"/>
  <c r="N37" i="1" s="1"/>
  <c r="T37" i="1"/>
  <c r="V37" i="1"/>
  <c r="X37" i="1"/>
  <c r="Y37" i="1"/>
  <c r="Z37" i="1"/>
  <c r="AB37" i="1"/>
  <c r="AC37" i="1"/>
  <c r="AD37" i="1"/>
  <c r="AE37" i="1"/>
  <c r="AF37" i="1"/>
  <c r="AG37" i="1"/>
  <c r="AH37" i="1"/>
  <c r="AM37" i="1"/>
  <c r="AN37" i="1"/>
  <c r="K38" i="1"/>
  <c r="L38" i="1"/>
  <c r="M38" i="1"/>
  <c r="N38" i="1" s="1"/>
  <c r="V38" i="1"/>
  <c r="Y38" i="1"/>
  <c r="Z38" i="1"/>
  <c r="AA38" i="1" s="1"/>
  <c r="AB38" i="1"/>
  <c r="AC38" i="1"/>
  <c r="AD38" i="1"/>
  <c r="T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AG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AM41" i="1"/>
  <c r="AN41" i="1"/>
  <c r="K42" i="1"/>
  <c r="L42" i="1"/>
  <c r="M42" i="1"/>
  <c r="N42" i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R28" i="3" s="1"/>
  <c r="AF43" i="1"/>
  <c r="AH43" i="1"/>
  <c r="AM43" i="1"/>
  <c r="AN43" i="1"/>
  <c r="K44" i="1"/>
  <c r="L44" i="1"/>
  <c r="M44" i="1"/>
  <c r="N44" i="1" s="1"/>
  <c r="T44" i="1"/>
  <c r="V44" i="1"/>
  <c r="Y44" i="1"/>
  <c r="Z44" i="1"/>
  <c r="AA44" i="1" s="1"/>
  <c r="W44" i="1" s="1"/>
  <c r="AB44" i="1"/>
  <c r="AC44" i="1"/>
  <c r="AD44" i="1"/>
  <c r="AG44" i="1" s="1"/>
  <c r="AE44" i="1"/>
  <c r="AF44" i="1"/>
  <c r="AH44" i="1"/>
  <c r="AM44" i="1"/>
  <c r="AN44" i="1"/>
  <c r="K45" i="1"/>
  <c r="L45" i="1"/>
  <c r="M45" i="1"/>
  <c r="N45" i="1" s="1"/>
  <c r="T45" i="1"/>
  <c r="V45" i="1"/>
  <c r="X45" i="1"/>
  <c r="Y45" i="1"/>
  <c r="Z45" i="1"/>
  <c r="AB45" i="1"/>
  <c r="AC45" i="1"/>
  <c r="AD45" i="1"/>
  <c r="AE45" i="1"/>
  <c r="AF45" i="1"/>
  <c r="AG45" i="1"/>
  <c r="AI45" i="1" s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A47" i="1" s="1"/>
  <c r="AB47" i="1"/>
  <c r="AC47" i="1"/>
  <c r="AD47" i="1"/>
  <c r="T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AG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AG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A53" i="1" s="1"/>
  <c r="AB53" i="1"/>
  <c r="AC53" i="1"/>
  <c r="AD53" i="1"/>
  <c r="T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AG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A58" i="1" s="1"/>
  <c r="AB58" i="1"/>
  <c r="AC58" i="1"/>
  <c r="AD58" i="1"/>
  <c r="T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K61" i="1"/>
  <c r="L61" i="1"/>
  <c r="M61" i="1"/>
  <c r="N61" i="1" s="1"/>
  <c r="V61" i="1"/>
  <c r="Y61" i="1"/>
  <c r="AA61" i="1" s="1"/>
  <c r="Z61" i="1"/>
  <c r="AB61" i="1"/>
  <c r="AC61" i="1"/>
  <c r="AD61" i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A67" i="1" s="1"/>
  <c r="AB67" i="1"/>
  <c r="AC67" i="1"/>
  <c r="AD67" i="1"/>
  <c r="T67" i="1" s="1"/>
  <c r="AE67" i="1"/>
  <c r="AF67" i="1"/>
  <c r="AG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K69" i="1"/>
  <c r="L69" i="1"/>
  <c r="M69" i="1"/>
  <c r="N69" i="1" s="1"/>
  <c r="V69" i="1"/>
  <c r="X69" i="1"/>
  <c r="Y69" i="1"/>
  <c r="Z69" i="1"/>
  <c r="AA69" i="1"/>
  <c r="W69" i="1" s="1"/>
  <c r="AB69" i="1"/>
  <c r="AC69" i="1"/>
  <c r="AD69" i="1"/>
  <c r="T69" i="1" s="1"/>
  <c r="AE69" i="1"/>
  <c r="AF69" i="1"/>
  <c r="AG69" i="1"/>
  <c r="AH69" i="1"/>
  <c r="AI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AG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G71" i="1"/>
  <c r="AI71" i="1" s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AG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K77" i="1"/>
  <c r="L77" i="1"/>
  <c r="M77" i="1"/>
  <c r="V77" i="1"/>
  <c r="S20" i="3" s="1"/>
  <c r="Y77" i="1"/>
  <c r="Z77" i="1"/>
  <c r="AA77" i="1" s="1"/>
  <c r="AB77" i="1"/>
  <c r="AC77" i="1"/>
  <c r="AD77" i="1"/>
  <c r="T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AG81" i="1" s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AG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AH85" i="1"/>
  <c r="AM85" i="1"/>
  <c r="AN85" i="1"/>
  <c r="K86" i="1"/>
  <c r="L86" i="1"/>
  <c r="M86" i="1"/>
  <c r="N86" i="1" s="1"/>
  <c r="V86" i="1"/>
  <c r="Y86" i="1"/>
  <c r="Z86" i="1"/>
  <c r="AA86" i="1" s="1"/>
  <c r="AB86" i="1"/>
  <c r="AC86" i="1"/>
  <c r="AD86" i="1"/>
  <c r="T86" i="1" s="1"/>
  <c r="AE86" i="1"/>
  <c r="AF86" i="1"/>
  <c r="AH86" i="1"/>
  <c r="AM86" i="1"/>
  <c r="AN86" i="1"/>
  <c r="K87" i="1"/>
  <c r="L87" i="1"/>
  <c r="M87" i="1"/>
  <c r="V87" i="1"/>
  <c r="Y87" i="1"/>
  <c r="Z87" i="1"/>
  <c r="AA87" i="1" s="1"/>
  <c r="AB87" i="1"/>
  <c r="AC87" i="1"/>
  <c r="AD87" i="1"/>
  <c r="AG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AN88" i="1"/>
  <c r="K89" i="1"/>
  <c r="L89" i="1"/>
  <c r="M89" i="1"/>
  <c r="N89" i="1" s="1"/>
  <c r="V89" i="1"/>
  <c r="Y89" i="1"/>
  <c r="Z89" i="1"/>
  <c r="AA89" i="1" s="1"/>
  <c r="W89" i="1" s="1"/>
  <c r="AB89" i="1"/>
  <c r="AC89" i="1"/>
  <c r="AD89" i="1"/>
  <c r="T89" i="1" s="1"/>
  <c r="AE89" i="1"/>
  <c r="AF89" i="1"/>
  <c r="AG89" i="1"/>
  <c r="AH89" i="1"/>
  <c r="AM89" i="1"/>
  <c r="AN89" i="1"/>
  <c r="K90" i="1"/>
  <c r="L90" i="1"/>
  <c r="M90" i="1"/>
  <c r="N90" i="1" s="1"/>
  <c r="V90" i="1"/>
  <c r="Y90" i="1"/>
  <c r="Z90" i="1"/>
  <c r="AA90" i="1" s="1"/>
  <c r="AB90" i="1"/>
  <c r="AC90" i="1"/>
  <c r="AD90" i="1"/>
  <c r="T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AG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AE92" i="1"/>
  <c r="R14" i="3" s="1"/>
  <c r="AF92" i="1"/>
  <c r="AH92" i="1"/>
  <c r="AM92" i="1"/>
  <c r="AN92" i="1"/>
  <c r="K93" i="1"/>
  <c r="L93" i="1"/>
  <c r="M93" i="1"/>
  <c r="N93" i="1" s="1"/>
  <c r="V93" i="1"/>
  <c r="Y93" i="1"/>
  <c r="Z93" i="1"/>
  <c r="AA93" i="1" s="1"/>
  <c r="AB93" i="1"/>
  <c r="AC93" i="1"/>
  <c r="AD93" i="1"/>
  <c r="T93" i="1" s="1"/>
  <c r="AE93" i="1"/>
  <c r="AF93" i="1"/>
  <c r="AG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AG95" i="1" s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97" i="1"/>
  <c r="AM97" i="1"/>
  <c r="AN97" i="1"/>
  <c r="K98" i="1"/>
  <c r="L98" i="1"/>
  <c r="M98" i="1"/>
  <c r="N98" i="1"/>
  <c r="V98" i="1"/>
  <c r="Y98" i="1"/>
  <c r="Z98" i="1"/>
  <c r="AB98" i="1"/>
  <c r="AC98" i="1"/>
  <c r="AD98" i="1"/>
  <c r="T98" i="1" s="1"/>
  <c r="AE98" i="1"/>
  <c r="AF98" i="1"/>
  <c r="AH98" i="1"/>
  <c r="AM98" i="1"/>
  <c r="AN98" i="1"/>
  <c r="K99" i="1"/>
  <c r="L99" i="1"/>
  <c r="M99" i="1"/>
  <c r="N99" i="1" s="1"/>
  <c r="V99" i="1"/>
  <c r="Y99" i="1"/>
  <c r="Z99" i="1"/>
  <c r="AB99" i="1"/>
  <c r="AC99" i="1"/>
  <c r="AD99" i="1"/>
  <c r="AG99" i="1" s="1"/>
  <c r="AE99" i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01" i="1"/>
  <c r="AM101" i="1"/>
  <c r="AN101" i="1"/>
  <c r="K102" i="1"/>
  <c r="L102" i="1"/>
  <c r="M102" i="1"/>
  <c r="V102" i="1"/>
  <c r="Y102" i="1"/>
  <c r="Z102" i="1"/>
  <c r="AA102" i="1" s="1"/>
  <c r="AB102" i="1"/>
  <c r="AC102" i="1"/>
  <c r="AD102" i="1"/>
  <c r="T102" i="1" s="1"/>
  <c r="AE102" i="1"/>
  <c r="AF102" i="1"/>
  <c r="AH102" i="1"/>
  <c r="AM102" i="1"/>
  <c r="AN102" i="1"/>
  <c r="K103" i="1"/>
  <c r="L103" i="1"/>
  <c r="M103" i="1"/>
  <c r="V103" i="1"/>
  <c r="Y103" i="1"/>
  <c r="Z103" i="1"/>
  <c r="AA103" i="1" s="1"/>
  <c r="AB103" i="1"/>
  <c r="AC103" i="1"/>
  <c r="AD103" i="1"/>
  <c r="AG103" i="1" s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04" i="1"/>
  <c r="AM104" i="1"/>
  <c r="AN104" i="1"/>
  <c r="K105" i="1"/>
  <c r="L105" i="1"/>
  <c r="M105" i="1"/>
  <c r="N105" i="1" s="1"/>
  <c r="V105" i="1"/>
  <c r="Y105" i="1"/>
  <c r="Z105" i="1"/>
  <c r="AA105" i="1" s="1"/>
  <c r="AB105" i="1"/>
  <c r="AC105" i="1"/>
  <c r="AD105" i="1"/>
  <c r="T105" i="1" s="1"/>
  <c r="AE105" i="1"/>
  <c r="AF105" i="1"/>
  <c r="AG105" i="1"/>
  <c r="AH105" i="1"/>
  <c r="AM105" i="1"/>
  <c r="AN105" i="1"/>
  <c r="K106" i="1"/>
  <c r="L106" i="1"/>
  <c r="M106" i="1"/>
  <c r="N106" i="1" s="1"/>
  <c r="V106" i="1"/>
  <c r="Y106" i="1"/>
  <c r="Z106" i="1"/>
  <c r="AA106" i="1" s="1"/>
  <c r="AB106" i="1"/>
  <c r="AC106" i="1"/>
  <c r="AD106" i="1"/>
  <c r="T106" i="1" s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AG107" i="1" s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08" i="1"/>
  <c r="AM108" i="1"/>
  <c r="AN108" i="1"/>
  <c r="K109" i="1"/>
  <c r="L109" i="1"/>
  <c r="M109" i="1"/>
  <c r="N109" i="1" s="1"/>
  <c r="V109" i="1"/>
  <c r="Y109" i="1"/>
  <c r="Z109" i="1"/>
  <c r="AA109" i="1" s="1"/>
  <c r="AB109" i="1"/>
  <c r="AC109" i="1"/>
  <c r="AD109" i="1"/>
  <c r="T109" i="1" s="1"/>
  <c r="AE109" i="1"/>
  <c r="AF109" i="1"/>
  <c r="AG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AG111" i="1" s="1"/>
  <c r="AE111" i="1"/>
  <c r="AF111" i="1"/>
  <c r="AH111" i="1"/>
  <c r="AM111" i="1"/>
  <c r="AN111" i="1"/>
  <c r="K112" i="1"/>
  <c r="L112" i="1"/>
  <c r="M112" i="1"/>
  <c r="N112" i="1" s="1"/>
  <c r="V112" i="1"/>
  <c r="Y112" i="1"/>
  <c r="AA112" i="1" s="1"/>
  <c r="Z112" i="1"/>
  <c r="AB112" i="1"/>
  <c r="AC112" i="1"/>
  <c r="AD112" i="1"/>
  <c r="T112" i="1" s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AG113" i="1" s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AG115" i="1" s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G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AG119" i="1" s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A121" i="1" s="1"/>
  <c r="AB121" i="1"/>
  <c r="AC121" i="1"/>
  <c r="AD121" i="1"/>
  <c r="AE121" i="1"/>
  <c r="AF121" i="1"/>
  <c r="AH121" i="1"/>
  <c r="AM121" i="1"/>
  <c r="AN121" i="1"/>
  <c r="K122" i="1"/>
  <c r="L122" i="1"/>
  <c r="M122" i="1"/>
  <c r="N122" i="1" s="1"/>
  <c r="T122" i="1"/>
  <c r="V122" i="1"/>
  <c r="Y122" i="1"/>
  <c r="Z122" i="1"/>
  <c r="AA122" i="1"/>
  <c r="AB122" i="1"/>
  <c r="AC122" i="1"/>
  <c r="AD122" i="1"/>
  <c r="AE122" i="1"/>
  <c r="AF122" i="1"/>
  <c r="AH122" i="1"/>
  <c r="AM122" i="1"/>
  <c r="AN122" i="1"/>
  <c r="K123" i="1"/>
  <c r="L123" i="1"/>
  <c r="M123" i="1"/>
  <c r="N123" i="1" s="1"/>
  <c r="T123" i="1"/>
  <c r="V123" i="1"/>
  <c r="Y123" i="1"/>
  <c r="Z123" i="1"/>
  <c r="AB123" i="1"/>
  <c r="AC123" i="1"/>
  <c r="AD123" i="1"/>
  <c r="AG123" i="1" s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G124" i="1"/>
  <c r="AH124" i="1"/>
  <c r="AM124" i="1"/>
  <c r="AN124" i="1"/>
  <c r="K125" i="1"/>
  <c r="L125" i="1"/>
  <c r="M125" i="1"/>
  <c r="N125" i="1" s="1"/>
  <c r="V125" i="1"/>
  <c r="S19" i="3" s="1"/>
  <c r="Y125" i="1"/>
  <c r="Z125" i="1"/>
  <c r="AB125" i="1"/>
  <c r="AC125" i="1"/>
  <c r="AD125" i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A126" i="1" s="1"/>
  <c r="AB126" i="1"/>
  <c r="AC126" i="1"/>
  <c r="AD126" i="1"/>
  <c r="T126" i="1" s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AG127" i="1" s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A129" i="1" s="1"/>
  <c r="AB129" i="1"/>
  <c r="AC129" i="1"/>
  <c r="AD129" i="1"/>
  <c r="AE129" i="1"/>
  <c r="AF129" i="1"/>
  <c r="AH129" i="1"/>
  <c r="AM129" i="1"/>
  <c r="AN129" i="1"/>
  <c r="K130" i="1"/>
  <c r="L130" i="1"/>
  <c r="M130" i="1"/>
  <c r="N130" i="1" s="1"/>
  <c r="T130" i="1"/>
  <c r="V130" i="1"/>
  <c r="Y130" i="1"/>
  <c r="AA130" i="1" s="1"/>
  <c r="Z130" i="1"/>
  <c r="AB130" i="1"/>
  <c r="AC130" i="1"/>
  <c r="AD130" i="1"/>
  <c r="AE130" i="1"/>
  <c r="AF130" i="1"/>
  <c r="AH130" i="1"/>
  <c r="AM130" i="1"/>
  <c r="AN130" i="1"/>
  <c r="K131" i="1"/>
  <c r="L131" i="1"/>
  <c r="M131" i="1"/>
  <c r="N131" i="1" s="1"/>
  <c r="V131" i="1"/>
  <c r="Y131" i="1"/>
  <c r="Z131" i="1"/>
  <c r="AB131" i="1"/>
  <c r="AC131" i="1"/>
  <c r="AD131" i="1"/>
  <c r="AG131" i="1" s="1"/>
  <c r="AE131" i="1"/>
  <c r="AF131" i="1"/>
  <c r="AH131" i="1"/>
  <c r="AM131" i="1"/>
  <c r="AN131" i="1"/>
  <c r="K132" i="1"/>
  <c r="L132" i="1"/>
  <c r="M132" i="1"/>
  <c r="N132" i="1" s="1"/>
  <c r="T132" i="1"/>
  <c r="V132" i="1"/>
  <c r="Y132" i="1"/>
  <c r="Z132" i="1"/>
  <c r="AB132" i="1"/>
  <c r="AC132" i="1"/>
  <c r="AD132" i="1"/>
  <c r="AE132" i="1"/>
  <c r="AF132" i="1"/>
  <c r="AG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AE137" i="1"/>
  <c r="R7" i="3" s="1"/>
  <c r="AF137" i="1"/>
  <c r="AH137" i="1"/>
  <c r="AM137" i="1"/>
  <c r="AN137" i="1"/>
  <c r="K138" i="1"/>
  <c r="L138" i="1"/>
  <c r="M138" i="1"/>
  <c r="N138" i="1" s="1"/>
  <c r="V138" i="1"/>
  <c r="Y138" i="1"/>
  <c r="Z138" i="1"/>
  <c r="AA138" i="1" s="1"/>
  <c r="AB138" i="1"/>
  <c r="AC138" i="1"/>
  <c r="AD138" i="1"/>
  <c r="T138" i="1" s="1"/>
  <c r="AE138" i="1"/>
  <c r="AF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AG139" i="1" s="1"/>
  <c r="AE139" i="1"/>
  <c r="AF139" i="1"/>
  <c r="AH139" i="1"/>
  <c r="AM139" i="1"/>
  <c r="AN139" i="1"/>
  <c r="K140" i="1"/>
  <c r="L140" i="1"/>
  <c r="M140" i="1"/>
  <c r="N140" i="1" s="1"/>
  <c r="T140" i="1"/>
  <c r="V140" i="1"/>
  <c r="Y140" i="1"/>
  <c r="Z140" i="1"/>
  <c r="AB140" i="1"/>
  <c r="AC140" i="1"/>
  <c r="AD140" i="1"/>
  <c r="AG140" i="1" s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G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AE145" i="1"/>
  <c r="AF145" i="1"/>
  <c r="AH145" i="1"/>
  <c r="AM145" i="1"/>
  <c r="AN145" i="1"/>
  <c r="K146" i="1"/>
  <c r="L146" i="1"/>
  <c r="M146" i="1"/>
  <c r="N146" i="1" s="1"/>
  <c r="V146" i="1"/>
  <c r="Y146" i="1"/>
  <c r="Z146" i="1"/>
  <c r="AB146" i="1"/>
  <c r="AC146" i="1"/>
  <c r="AD146" i="1"/>
  <c r="X147" i="1" s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AG147" i="1" s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G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50" i="1"/>
  <c r="AM150" i="1"/>
  <c r="AN150" i="1"/>
  <c r="K151" i="1"/>
  <c r="L151" i="1"/>
  <c r="M151" i="1"/>
  <c r="N151" i="1" s="1"/>
  <c r="V151" i="1"/>
  <c r="Y151" i="1"/>
  <c r="Z151" i="1"/>
  <c r="AA151" i="1" s="1"/>
  <c r="AB151" i="1"/>
  <c r="AC151" i="1"/>
  <c r="AD151" i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AG152" i="1" s="1"/>
  <c r="AE152" i="1"/>
  <c r="AF152" i="1"/>
  <c r="AH152" i="1"/>
  <c r="AM152" i="1"/>
  <c r="AN152" i="1"/>
  <c r="K153" i="1"/>
  <c r="L153" i="1"/>
  <c r="M153" i="1"/>
  <c r="N153" i="1" s="1"/>
  <c r="V153" i="1"/>
  <c r="Y153" i="1"/>
  <c r="Z153" i="1"/>
  <c r="AB153" i="1"/>
  <c r="AC153" i="1"/>
  <c r="AD153" i="1"/>
  <c r="AE153" i="1"/>
  <c r="R11" i="3" s="1"/>
  <c r="AF153" i="1"/>
  <c r="AH153" i="1"/>
  <c r="AM153" i="1"/>
  <c r="AN153" i="1"/>
  <c r="K154" i="1"/>
  <c r="L154" i="1"/>
  <c r="M154" i="1"/>
  <c r="N154" i="1" s="1"/>
  <c r="T154" i="1"/>
  <c r="V154" i="1"/>
  <c r="S33" i="3" s="1"/>
  <c r="Y154" i="1"/>
  <c r="Z154" i="1"/>
  <c r="AB154" i="1"/>
  <c r="AC154" i="1"/>
  <c r="AD154" i="1"/>
  <c r="AG154" i="1" s="1"/>
  <c r="U154" i="1" s="1"/>
  <c r="S154" i="1" s="1"/>
  <c r="AE154" i="1"/>
  <c r="AF154" i="1"/>
  <c r="AH154" i="1"/>
  <c r="AM154" i="1"/>
  <c r="AN154" i="1"/>
  <c r="K155" i="1"/>
  <c r="L155" i="1"/>
  <c r="M155" i="1"/>
  <c r="N155" i="1" s="1"/>
  <c r="V155" i="1"/>
  <c r="Y155" i="1"/>
  <c r="Z155" i="1"/>
  <c r="AB155" i="1"/>
  <c r="AC155" i="1"/>
  <c r="AD155" i="1"/>
  <c r="AG155" i="1" s="1"/>
  <c r="AE155" i="1"/>
  <c r="AF155" i="1"/>
  <c r="AH155" i="1"/>
  <c r="AM155" i="1"/>
  <c r="AN15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56" i="1"/>
  <c r="AM156" i="1"/>
  <c r="AN156" i="1"/>
  <c r="K157" i="1"/>
  <c r="L157" i="1"/>
  <c r="M157" i="1"/>
  <c r="N157" i="1" s="1"/>
  <c r="V157" i="1"/>
  <c r="Y157" i="1"/>
  <c r="Z157" i="1"/>
  <c r="AB157" i="1"/>
  <c r="AC157" i="1"/>
  <c r="AD157" i="1"/>
  <c r="AE157" i="1"/>
  <c r="AF157" i="1"/>
  <c r="AH157" i="1"/>
  <c r="AM157" i="1"/>
  <c r="AN157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58" i="1"/>
  <c r="AM158" i="1"/>
  <c r="AN158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AH159" i="1"/>
  <c r="AM159" i="1"/>
  <c r="AN159" i="1"/>
  <c r="K207" i="1"/>
  <c r="L207" i="1"/>
  <c r="M207" i="1"/>
  <c r="N207" i="1" s="1"/>
  <c r="V207" i="1"/>
  <c r="Y207" i="1"/>
  <c r="Z207" i="1"/>
  <c r="AB207" i="1"/>
  <c r="AC207" i="1"/>
  <c r="AD207" i="1"/>
  <c r="AG207" i="1" s="1"/>
  <c r="AE207" i="1"/>
  <c r="AF207" i="1"/>
  <c r="AH160" i="1"/>
  <c r="AM160" i="1"/>
  <c r="AN160" i="1"/>
  <c r="K208" i="1"/>
  <c r="L208" i="1"/>
  <c r="M208" i="1"/>
  <c r="N208" i="1" s="1"/>
  <c r="V208" i="1"/>
  <c r="Y208" i="1"/>
  <c r="Z208" i="1"/>
  <c r="AA208" i="1" s="1"/>
  <c r="AB208" i="1"/>
  <c r="AC208" i="1"/>
  <c r="AD208" i="1"/>
  <c r="AE208" i="1"/>
  <c r="AF208" i="1"/>
  <c r="AH161" i="1"/>
  <c r="AM161" i="1"/>
  <c r="AN161" i="1"/>
  <c r="K209" i="1"/>
  <c r="L209" i="1"/>
  <c r="M209" i="1"/>
  <c r="N209" i="1" s="1"/>
  <c r="T209" i="1"/>
  <c r="V209" i="1"/>
  <c r="Y209" i="1"/>
  <c r="Z209" i="1"/>
  <c r="AB209" i="1"/>
  <c r="AC209" i="1"/>
  <c r="AD209" i="1"/>
  <c r="AG209" i="1" s="1"/>
  <c r="AE209" i="1"/>
  <c r="AF209" i="1"/>
  <c r="AH162" i="1"/>
  <c r="AM162" i="1"/>
  <c r="AN162" i="1"/>
  <c r="K210" i="1"/>
  <c r="L210" i="1"/>
  <c r="M210" i="1"/>
  <c r="N210" i="1" s="1"/>
  <c r="V210" i="1"/>
  <c r="Y210" i="1"/>
  <c r="Z210" i="1"/>
  <c r="AB210" i="1"/>
  <c r="AC210" i="1"/>
  <c r="AD210" i="1"/>
  <c r="AG210" i="1" s="1"/>
  <c r="AE210" i="1"/>
  <c r="AF210" i="1"/>
  <c r="AH163" i="1"/>
  <c r="AM163" i="1"/>
  <c r="AN163" i="1"/>
  <c r="K211" i="1"/>
  <c r="L211" i="1"/>
  <c r="M211" i="1"/>
  <c r="N211" i="1" s="1"/>
  <c r="V211" i="1"/>
  <c r="Y211" i="1"/>
  <c r="AA211" i="1" s="1"/>
  <c r="Z211" i="1"/>
  <c r="AB211" i="1"/>
  <c r="AC211" i="1"/>
  <c r="AD211" i="1"/>
  <c r="T211" i="1" s="1"/>
  <c r="AE211" i="1"/>
  <c r="AF211" i="1"/>
  <c r="AH164" i="1"/>
  <c r="AM164" i="1"/>
  <c r="AN164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165" i="1"/>
  <c r="AM165" i="1"/>
  <c r="AN165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166" i="1"/>
  <c r="AM166" i="1"/>
  <c r="AN166" i="1"/>
  <c r="K214" i="1"/>
  <c r="L214" i="1"/>
  <c r="M214" i="1"/>
  <c r="N214" i="1" s="1"/>
  <c r="V214" i="1"/>
  <c r="Y214" i="1"/>
  <c r="Z214" i="1"/>
  <c r="AB214" i="1"/>
  <c r="AC214" i="1"/>
  <c r="AD214" i="1"/>
  <c r="AE214" i="1"/>
  <c r="AF214" i="1"/>
  <c r="AH167" i="1"/>
  <c r="AM167" i="1"/>
  <c r="AN167" i="1"/>
  <c r="K215" i="1"/>
  <c r="L215" i="1"/>
  <c r="M215" i="1"/>
  <c r="N215" i="1" s="1"/>
  <c r="V215" i="1"/>
  <c r="Y215" i="1"/>
  <c r="Z215" i="1"/>
  <c r="AB215" i="1"/>
  <c r="AC215" i="1"/>
  <c r="AD215" i="1"/>
  <c r="AG215" i="1" s="1"/>
  <c r="AE215" i="1"/>
  <c r="AF215" i="1"/>
  <c r="AH168" i="1"/>
  <c r="AM168" i="1"/>
  <c r="AN168" i="1"/>
  <c r="K216" i="1"/>
  <c r="L216" i="1"/>
  <c r="M216" i="1"/>
  <c r="N216" i="1"/>
  <c r="V216" i="1"/>
  <c r="Y216" i="1"/>
  <c r="Z216" i="1"/>
  <c r="AB216" i="1"/>
  <c r="AC216" i="1"/>
  <c r="AD216" i="1"/>
  <c r="AE216" i="1"/>
  <c r="AF216" i="1"/>
  <c r="AH169" i="1"/>
  <c r="AM169" i="1"/>
  <c r="AN169" i="1"/>
  <c r="K217" i="1"/>
  <c r="L217" i="1"/>
  <c r="M217" i="1"/>
  <c r="N217" i="1" s="1"/>
  <c r="T217" i="1"/>
  <c r="V217" i="1"/>
  <c r="Y217" i="1"/>
  <c r="Z217" i="1"/>
  <c r="AB217" i="1"/>
  <c r="AC217" i="1"/>
  <c r="AD217" i="1"/>
  <c r="AE217" i="1"/>
  <c r="AF217" i="1"/>
  <c r="AG217" i="1"/>
  <c r="AH170" i="1"/>
  <c r="AM170" i="1"/>
  <c r="AN170" i="1"/>
  <c r="K218" i="1"/>
  <c r="L218" i="1"/>
  <c r="M218" i="1"/>
  <c r="N218" i="1" s="1"/>
  <c r="V218" i="1"/>
  <c r="X218" i="1"/>
  <c r="Y218" i="1"/>
  <c r="Z218" i="1"/>
  <c r="AB218" i="1"/>
  <c r="AC218" i="1"/>
  <c r="AD218" i="1"/>
  <c r="AG218" i="1" s="1"/>
  <c r="AE218" i="1"/>
  <c r="AF218" i="1"/>
  <c r="AH171" i="1"/>
  <c r="AM171" i="1"/>
  <c r="AN171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172" i="1"/>
  <c r="AM172" i="1"/>
  <c r="AN172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H173" i="1"/>
  <c r="AM173" i="1"/>
  <c r="AN173" i="1"/>
  <c r="K227" i="1"/>
  <c r="L227" i="1"/>
  <c r="M227" i="1"/>
  <c r="N227" i="1" s="1"/>
  <c r="V227" i="1"/>
  <c r="Y227" i="1"/>
  <c r="Z227" i="1"/>
  <c r="AA227" i="1" s="1"/>
  <c r="AB227" i="1"/>
  <c r="AC227" i="1"/>
  <c r="AD227" i="1"/>
  <c r="T227" i="1" s="1"/>
  <c r="AE227" i="1"/>
  <c r="AF227" i="1"/>
  <c r="AH174" i="1"/>
  <c r="AM174" i="1"/>
  <c r="AN174" i="1"/>
  <c r="K228" i="1"/>
  <c r="L228" i="1"/>
  <c r="M228" i="1"/>
  <c r="N228" i="1" s="1"/>
  <c r="V228" i="1"/>
  <c r="Y228" i="1"/>
  <c r="Z228" i="1"/>
  <c r="AB228" i="1"/>
  <c r="AC228" i="1"/>
  <c r="AD228" i="1"/>
  <c r="X228" i="1" s="1"/>
  <c r="AE228" i="1"/>
  <c r="AF228" i="1"/>
  <c r="AH175" i="1"/>
  <c r="AM175" i="1"/>
  <c r="AN175" i="1"/>
  <c r="K229" i="1"/>
  <c r="L229" i="1"/>
  <c r="M229" i="1"/>
  <c r="N229" i="1" s="1"/>
  <c r="V229" i="1"/>
  <c r="Y229" i="1"/>
  <c r="Z229" i="1"/>
  <c r="AB229" i="1"/>
  <c r="AC229" i="1"/>
  <c r="AD229" i="1"/>
  <c r="AE229" i="1"/>
  <c r="AF229" i="1"/>
  <c r="AH176" i="1"/>
  <c r="AM176" i="1"/>
  <c r="AN176" i="1"/>
  <c r="K230" i="1"/>
  <c r="L230" i="1"/>
  <c r="M230" i="1"/>
  <c r="N230" i="1" s="1"/>
  <c r="V230" i="1"/>
  <c r="Y230" i="1"/>
  <c r="Z230" i="1"/>
  <c r="AB230" i="1"/>
  <c r="AC230" i="1"/>
  <c r="AD230" i="1"/>
  <c r="T230" i="1" s="1"/>
  <c r="AE230" i="1"/>
  <c r="AF230" i="1"/>
  <c r="AH177" i="1"/>
  <c r="AM177" i="1"/>
  <c r="AN177" i="1"/>
  <c r="K231" i="1"/>
  <c r="L231" i="1"/>
  <c r="M231" i="1"/>
  <c r="N231" i="1" s="1"/>
  <c r="V231" i="1"/>
  <c r="Y231" i="1"/>
  <c r="Z231" i="1"/>
  <c r="AB231" i="1"/>
  <c r="AC231" i="1"/>
  <c r="AD231" i="1"/>
  <c r="T231" i="1" s="1"/>
  <c r="AE231" i="1"/>
  <c r="AF231" i="1"/>
  <c r="AH178" i="1"/>
  <c r="AM178" i="1"/>
  <c r="AN178" i="1"/>
  <c r="K232" i="1"/>
  <c r="L232" i="1"/>
  <c r="M232" i="1"/>
  <c r="P232" i="1" s="1"/>
  <c r="T232" i="1"/>
  <c r="V232" i="1"/>
  <c r="Y232" i="1"/>
  <c r="Z232" i="1"/>
  <c r="AB232" i="1"/>
  <c r="AC232" i="1"/>
  <c r="AD232" i="1"/>
  <c r="AG232" i="1" s="1"/>
  <c r="AE232" i="1"/>
  <c r="AF232" i="1"/>
  <c r="AH179" i="1"/>
  <c r="AM179" i="1"/>
  <c r="AN179" i="1"/>
  <c r="K233" i="1"/>
  <c r="L233" i="1"/>
  <c r="M233" i="1"/>
  <c r="N233" i="1" s="1"/>
  <c r="V233" i="1"/>
  <c r="Y233" i="1"/>
  <c r="Z233" i="1"/>
  <c r="AB233" i="1"/>
  <c r="AC233" i="1"/>
  <c r="AD233" i="1"/>
  <c r="T233" i="1" s="1"/>
  <c r="AE233" i="1"/>
  <c r="AF233" i="1"/>
  <c r="AH180" i="1"/>
  <c r="AM180" i="1"/>
  <c r="AN180" i="1"/>
  <c r="K234" i="1"/>
  <c r="L234" i="1"/>
  <c r="M234" i="1"/>
  <c r="N234" i="1" s="1"/>
  <c r="V234" i="1"/>
  <c r="Y234" i="1"/>
  <c r="Z234" i="1"/>
  <c r="AB234" i="1"/>
  <c r="AC234" i="1"/>
  <c r="AD234" i="1"/>
  <c r="T234" i="1" s="1"/>
  <c r="AE234" i="1"/>
  <c r="AF234" i="1"/>
  <c r="AH181" i="1"/>
  <c r="AM181" i="1"/>
  <c r="AN181" i="1"/>
  <c r="K235" i="1"/>
  <c r="L235" i="1"/>
  <c r="M235" i="1"/>
  <c r="N235" i="1" s="1"/>
  <c r="V235" i="1"/>
  <c r="S45" i="3" s="1"/>
  <c r="Y235" i="1"/>
  <c r="Z235" i="1"/>
  <c r="AA235" i="1" s="1"/>
  <c r="AB235" i="1"/>
  <c r="AC235" i="1"/>
  <c r="AD235" i="1"/>
  <c r="T235" i="1" s="1"/>
  <c r="AE235" i="1"/>
  <c r="AF235" i="1"/>
  <c r="AG235" i="1"/>
  <c r="AI235" i="1" s="1"/>
  <c r="AH182" i="1"/>
  <c r="AM182" i="1"/>
  <c r="AN182" i="1"/>
  <c r="K236" i="1"/>
  <c r="L236" i="1"/>
  <c r="M236" i="1"/>
  <c r="N236" i="1" s="1"/>
  <c r="V236" i="1"/>
  <c r="Y236" i="1"/>
  <c r="Z236" i="1"/>
  <c r="AB236" i="1"/>
  <c r="AC236" i="1"/>
  <c r="AD236" i="1"/>
  <c r="AG236" i="1" s="1"/>
  <c r="AE236" i="1"/>
  <c r="AF236" i="1"/>
  <c r="AH183" i="1"/>
  <c r="AM183" i="1"/>
  <c r="AN183" i="1"/>
  <c r="K237" i="1"/>
  <c r="L237" i="1"/>
  <c r="M237" i="1"/>
  <c r="N237" i="1" s="1"/>
  <c r="V237" i="1"/>
  <c r="Y237" i="1"/>
  <c r="Z237" i="1"/>
  <c r="AB237" i="1"/>
  <c r="AC237" i="1"/>
  <c r="AD237" i="1"/>
  <c r="AG237" i="1" s="1"/>
  <c r="AE237" i="1"/>
  <c r="AF237" i="1"/>
  <c r="AH184" i="1"/>
  <c r="AM184" i="1"/>
  <c r="AN184" i="1"/>
  <c r="K160" i="1"/>
  <c r="L160" i="1"/>
  <c r="M160" i="1"/>
  <c r="N160" i="1" s="1"/>
  <c r="V160" i="1"/>
  <c r="Y160" i="1"/>
  <c r="Z160" i="1"/>
  <c r="AA160" i="1" s="1"/>
  <c r="AB160" i="1"/>
  <c r="AC160" i="1"/>
  <c r="AD160" i="1"/>
  <c r="AE160" i="1"/>
  <c r="AF160" i="1"/>
  <c r="AH185" i="1"/>
  <c r="AM185" i="1"/>
  <c r="AN185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186" i="1"/>
  <c r="AM186" i="1"/>
  <c r="AN186" i="1"/>
  <c r="K162" i="1"/>
  <c r="L162" i="1"/>
  <c r="M162" i="1"/>
  <c r="N162" i="1" s="1"/>
  <c r="T162" i="1"/>
  <c r="V162" i="1"/>
  <c r="X162" i="1"/>
  <c r="Y162" i="1"/>
  <c r="Z162" i="1"/>
  <c r="AA162" i="1" s="1"/>
  <c r="AB162" i="1"/>
  <c r="AC162" i="1"/>
  <c r="AD162" i="1"/>
  <c r="AG162" i="1" s="1"/>
  <c r="AE162" i="1"/>
  <c r="AF162" i="1"/>
  <c r="AH187" i="1"/>
  <c r="AM187" i="1"/>
  <c r="AN187" i="1"/>
  <c r="K163" i="1"/>
  <c r="L163" i="1"/>
  <c r="M163" i="1"/>
  <c r="N163" i="1" s="1"/>
  <c r="T163" i="1"/>
  <c r="V163" i="1"/>
  <c r="Y163" i="1"/>
  <c r="Z163" i="1"/>
  <c r="AB163" i="1"/>
  <c r="AC163" i="1"/>
  <c r="AD163" i="1"/>
  <c r="AE163" i="1"/>
  <c r="AF163" i="1"/>
  <c r="AG163" i="1"/>
  <c r="U163" i="1" s="1"/>
  <c r="AH188" i="1"/>
  <c r="AM188" i="1"/>
  <c r="AN188" i="1"/>
  <c r="K164" i="1"/>
  <c r="L164" i="1"/>
  <c r="M164" i="1"/>
  <c r="N164" i="1" s="1"/>
  <c r="V164" i="1"/>
  <c r="Y164" i="1"/>
  <c r="Z164" i="1"/>
  <c r="AA164" i="1" s="1"/>
  <c r="AB164" i="1"/>
  <c r="AC164" i="1"/>
  <c r="AD164" i="1"/>
  <c r="AE164" i="1"/>
  <c r="AF164" i="1"/>
  <c r="AH189" i="1"/>
  <c r="AM189" i="1"/>
  <c r="AN189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G165" i="1"/>
  <c r="U165" i="1" s="1"/>
  <c r="S165" i="1" s="1"/>
  <c r="AH190" i="1"/>
  <c r="AM190" i="1"/>
  <c r="AN190" i="1"/>
  <c r="K166" i="1"/>
  <c r="L166" i="1"/>
  <c r="M166" i="1"/>
  <c r="N166" i="1" s="1"/>
  <c r="V166" i="1"/>
  <c r="Y166" i="1"/>
  <c r="Z166" i="1"/>
  <c r="AB166" i="1"/>
  <c r="AC166" i="1"/>
  <c r="AD166" i="1"/>
  <c r="AG166" i="1" s="1"/>
  <c r="AI166" i="1" s="1"/>
  <c r="AE166" i="1"/>
  <c r="AF166" i="1"/>
  <c r="AH191" i="1"/>
  <c r="AM191" i="1"/>
  <c r="AN191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92" i="1"/>
  <c r="AM192" i="1"/>
  <c r="AN192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193" i="1"/>
  <c r="AM193" i="1"/>
  <c r="AN193" i="1"/>
  <c r="K169" i="1"/>
  <c r="L169" i="1"/>
  <c r="M169" i="1"/>
  <c r="N169" i="1" s="1"/>
  <c r="V169" i="1"/>
  <c r="Y169" i="1"/>
  <c r="Z169" i="1"/>
  <c r="AA169" i="1" s="1"/>
  <c r="AB169" i="1"/>
  <c r="AC169" i="1"/>
  <c r="AD169" i="1"/>
  <c r="AG169" i="1" s="1"/>
  <c r="AE169" i="1"/>
  <c r="AF169" i="1"/>
  <c r="AH194" i="1"/>
  <c r="AM194" i="1"/>
  <c r="AN194" i="1"/>
  <c r="K238" i="1"/>
  <c r="L238" i="1"/>
  <c r="M238" i="1"/>
  <c r="N238" i="1" s="1"/>
  <c r="V238" i="1"/>
  <c r="Y238" i="1"/>
  <c r="Z238" i="1"/>
  <c r="AB238" i="1"/>
  <c r="AC238" i="1"/>
  <c r="AD238" i="1"/>
  <c r="AE238" i="1"/>
  <c r="AF238" i="1"/>
  <c r="AH195" i="1"/>
  <c r="AM195" i="1"/>
  <c r="AN195" i="1"/>
  <c r="K239" i="1"/>
  <c r="L239" i="1"/>
  <c r="M239" i="1"/>
  <c r="N239" i="1" s="1"/>
  <c r="V239" i="1"/>
  <c r="Y239" i="1"/>
  <c r="Z239" i="1"/>
  <c r="AB239" i="1"/>
  <c r="AC239" i="1"/>
  <c r="AD239" i="1"/>
  <c r="T239" i="1" s="1"/>
  <c r="AE239" i="1"/>
  <c r="AF239" i="1"/>
  <c r="AH196" i="1"/>
  <c r="AM196" i="1"/>
  <c r="AN196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97" i="1"/>
  <c r="AM197" i="1"/>
  <c r="AN197" i="1"/>
  <c r="K171" i="1"/>
  <c r="L171" i="1"/>
  <c r="M171" i="1"/>
  <c r="N171" i="1" s="1"/>
  <c r="V171" i="1"/>
  <c r="Y171" i="1"/>
  <c r="Z171" i="1"/>
  <c r="AB171" i="1"/>
  <c r="AC171" i="1"/>
  <c r="AD171" i="1"/>
  <c r="AG171" i="1" s="1"/>
  <c r="AE171" i="1"/>
  <c r="AF171" i="1"/>
  <c r="AH198" i="1"/>
  <c r="AM198" i="1"/>
  <c r="AN198" i="1"/>
  <c r="K172" i="1"/>
  <c r="L172" i="1"/>
  <c r="M172" i="1"/>
  <c r="N172" i="1" s="1"/>
  <c r="V172" i="1"/>
  <c r="Y172" i="1"/>
  <c r="Z172" i="1"/>
  <c r="AB172" i="1"/>
  <c r="AC172" i="1"/>
  <c r="AD172" i="1"/>
  <c r="AG172" i="1" s="1"/>
  <c r="AE172" i="1"/>
  <c r="AF172" i="1"/>
  <c r="AH199" i="1"/>
  <c r="AM199" i="1"/>
  <c r="AN199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200" i="1"/>
  <c r="AM200" i="1"/>
  <c r="AN200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201" i="1"/>
  <c r="AM201" i="1"/>
  <c r="AN201" i="1"/>
  <c r="K175" i="1"/>
  <c r="L175" i="1"/>
  <c r="M175" i="1"/>
  <c r="N175" i="1" s="1"/>
  <c r="V175" i="1"/>
  <c r="Y175" i="1"/>
  <c r="Z175" i="1"/>
  <c r="AA175" i="1" s="1"/>
  <c r="AB175" i="1"/>
  <c r="AC175" i="1"/>
  <c r="AD175" i="1"/>
  <c r="AG175" i="1" s="1"/>
  <c r="AE175" i="1"/>
  <c r="AF175" i="1"/>
  <c r="AH202" i="1"/>
  <c r="AM202" i="1"/>
  <c r="AN202" i="1"/>
  <c r="K176" i="1"/>
  <c r="L176" i="1"/>
  <c r="M176" i="1"/>
  <c r="N176" i="1" s="1"/>
  <c r="V176" i="1"/>
  <c r="S35" i="3" s="1"/>
  <c r="Y176" i="1"/>
  <c r="Z176" i="1"/>
  <c r="AA176" i="1" s="1"/>
  <c r="AB176" i="1"/>
  <c r="AC176" i="1"/>
  <c r="AD176" i="1"/>
  <c r="AE176" i="1"/>
  <c r="AF176" i="1"/>
  <c r="AH203" i="1"/>
  <c r="AM203" i="1"/>
  <c r="AN203" i="1"/>
  <c r="K177" i="1"/>
  <c r="L177" i="1"/>
  <c r="M177" i="1"/>
  <c r="N177" i="1" s="1"/>
  <c r="V177" i="1"/>
  <c r="Y177" i="1"/>
  <c r="Z177" i="1"/>
  <c r="AB177" i="1"/>
  <c r="AC177" i="1"/>
  <c r="AD177" i="1"/>
  <c r="X177" i="1" s="1"/>
  <c r="AE177" i="1"/>
  <c r="AF177" i="1"/>
  <c r="AH204" i="1"/>
  <c r="AM204" i="1"/>
  <c r="AN204" i="1"/>
  <c r="K178" i="1"/>
  <c r="L178" i="1"/>
  <c r="M178" i="1"/>
  <c r="N178" i="1" s="1"/>
  <c r="V178" i="1"/>
  <c r="Y178" i="1"/>
  <c r="Z178" i="1"/>
  <c r="AA178" i="1" s="1"/>
  <c r="AB178" i="1"/>
  <c r="AC178" i="1"/>
  <c r="AD178" i="1"/>
  <c r="T178" i="1" s="1"/>
  <c r="AE178" i="1"/>
  <c r="AF178" i="1"/>
  <c r="AG178" i="1"/>
  <c r="AH205" i="1"/>
  <c r="AM205" i="1"/>
  <c r="AN205" i="1"/>
  <c r="K179" i="1"/>
  <c r="L179" i="1"/>
  <c r="M179" i="1"/>
  <c r="N179" i="1" s="1"/>
  <c r="V179" i="1"/>
  <c r="Y179" i="1"/>
  <c r="Z179" i="1"/>
  <c r="AB179" i="1"/>
  <c r="AC179" i="1"/>
  <c r="AD179" i="1"/>
  <c r="AG179" i="1" s="1"/>
  <c r="AE179" i="1"/>
  <c r="AF179" i="1"/>
  <c r="AH206" i="1"/>
  <c r="AM206" i="1"/>
  <c r="AN206" i="1"/>
  <c r="K180" i="1"/>
  <c r="L180" i="1"/>
  <c r="M180" i="1"/>
  <c r="N180" i="1" s="1"/>
  <c r="V180" i="1"/>
  <c r="Y180" i="1"/>
  <c r="Z180" i="1"/>
  <c r="AB180" i="1"/>
  <c r="AC180" i="1"/>
  <c r="AD180" i="1"/>
  <c r="AG180" i="1" s="1"/>
  <c r="AE180" i="1"/>
  <c r="AF180" i="1"/>
  <c r="AH207" i="1"/>
  <c r="AM207" i="1"/>
  <c r="AN207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208" i="1"/>
  <c r="AM208" i="1"/>
  <c r="AN208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209" i="1"/>
  <c r="AM209" i="1"/>
  <c r="AN209" i="1"/>
  <c r="K183" i="1"/>
  <c r="L183" i="1"/>
  <c r="M183" i="1"/>
  <c r="N183" i="1" s="1"/>
  <c r="V183" i="1"/>
  <c r="Y183" i="1"/>
  <c r="Z183" i="1"/>
  <c r="AB183" i="1"/>
  <c r="AC183" i="1"/>
  <c r="AD183" i="1"/>
  <c r="AG183" i="1" s="1"/>
  <c r="AE183" i="1"/>
  <c r="AF183" i="1"/>
  <c r="AH210" i="1"/>
  <c r="AM210" i="1"/>
  <c r="AN210" i="1"/>
  <c r="K184" i="1"/>
  <c r="L184" i="1"/>
  <c r="M184" i="1"/>
  <c r="N184" i="1" s="1"/>
  <c r="V184" i="1"/>
  <c r="Y184" i="1"/>
  <c r="Z184" i="1"/>
  <c r="AB184" i="1"/>
  <c r="AC184" i="1"/>
  <c r="AD184" i="1"/>
  <c r="AE184" i="1"/>
  <c r="AF184" i="1"/>
  <c r="AH211" i="1"/>
  <c r="AM211" i="1"/>
  <c r="AN211" i="1"/>
  <c r="K185" i="1"/>
  <c r="L185" i="1"/>
  <c r="M185" i="1"/>
  <c r="N185" i="1" s="1"/>
  <c r="V185" i="1"/>
  <c r="Y185" i="1"/>
  <c r="Z185" i="1"/>
  <c r="AB185" i="1"/>
  <c r="AC185" i="1"/>
  <c r="AD185" i="1"/>
  <c r="AE185" i="1"/>
  <c r="R40" i="3" s="1"/>
  <c r="AF185" i="1"/>
  <c r="AH212" i="1"/>
  <c r="AM212" i="1"/>
  <c r="AN212" i="1"/>
  <c r="K186" i="1"/>
  <c r="L186" i="1"/>
  <c r="M186" i="1"/>
  <c r="N186" i="1" s="1"/>
  <c r="V186" i="1"/>
  <c r="S38" i="3" s="1"/>
  <c r="Y186" i="1"/>
  <c r="Z186" i="1"/>
  <c r="AB186" i="1"/>
  <c r="AC186" i="1"/>
  <c r="AD186" i="1"/>
  <c r="T186" i="1" s="1"/>
  <c r="AE186" i="1"/>
  <c r="AF186" i="1"/>
  <c r="AH213" i="1"/>
  <c r="AM213" i="1"/>
  <c r="AN213" i="1"/>
  <c r="K187" i="1"/>
  <c r="L187" i="1"/>
  <c r="M187" i="1"/>
  <c r="N187" i="1" s="1"/>
  <c r="V187" i="1"/>
  <c r="Y187" i="1"/>
  <c r="Z187" i="1"/>
  <c r="AB187" i="1"/>
  <c r="AC187" i="1"/>
  <c r="AD187" i="1"/>
  <c r="AG187" i="1" s="1"/>
  <c r="AE187" i="1"/>
  <c r="AF187" i="1"/>
  <c r="AH214" i="1"/>
  <c r="AM214" i="1"/>
  <c r="AN214" i="1"/>
  <c r="K188" i="1"/>
  <c r="L188" i="1"/>
  <c r="M188" i="1"/>
  <c r="N188" i="1" s="1"/>
  <c r="V188" i="1"/>
  <c r="S36" i="3" s="1"/>
  <c r="Y188" i="1"/>
  <c r="Z188" i="1"/>
  <c r="AA188" i="1" s="1"/>
  <c r="W188" i="1" s="1"/>
  <c r="AB188" i="1"/>
  <c r="AC188" i="1"/>
  <c r="AD188" i="1"/>
  <c r="AG188" i="1" s="1"/>
  <c r="AE188" i="1"/>
  <c r="R36" i="3" s="1"/>
  <c r="AF188" i="1"/>
  <c r="AH215" i="1"/>
  <c r="AI215" i="1"/>
  <c r="AM215" i="1"/>
  <c r="AN215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216" i="1"/>
  <c r="AM216" i="1"/>
  <c r="AN216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217" i="1"/>
  <c r="AM217" i="1"/>
  <c r="AN217" i="1"/>
  <c r="K191" i="1"/>
  <c r="L191" i="1"/>
  <c r="M191" i="1"/>
  <c r="N191" i="1" s="1"/>
  <c r="V191" i="1"/>
  <c r="Y191" i="1"/>
  <c r="Z191" i="1"/>
  <c r="AB191" i="1"/>
  <c r="AC191" i="1"/>
  <c r="AD191" i="1"/>
  <c r="AE191" i="1"/>
  <c r="AF191" i="1"/>
  <c r="AH218" i="1"/>
  <c r="AM218" i="1"/>
  <c r="AN218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19" i="1"/>
  <c r="AM219" i="1"/>
  <c r="AN219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AH220" i="1"/>
  <c r="AM220" i="1"/>
  <c r="AN220" i="1"/>
  <c r="K194" i="1"/>
  <c r="L194" i="1"/>
  <c r="M194" i="1"/>
  <c r="N194" i="1" s="1"/>
  <c r="V194" i="1"/>
  <c r="Y194" i="1"/>
  <c r="Z194" i="1"/>
  <c r="AB194" i="1"/>
  <c r="AC194" i="1"/>
  <c r="AD194" i="1"/>
  <c r="AG194" i="1" s="1"/>
  <c r="AE194" i="1"/>
  <c r="AF194" i="1"/>
  <c r="AH221" i="1"/>
  <c r="AM221" i="1"/>
  <c r="AN221" i="1"/>
  <c r="K195" i="1"/>
  <c r="L195" i="1"/>
  <c r="M195" i="1"/>
  <c r="N195" i="1"/>
  <c r="V195" i="1"/>
  <c r="Y195" i="1"/>
  <c r="AA195" i="1" s="1"/>
  <c r="Z195" i="1"/>
  <c r="AB195" i="1"/>
  <c r="AC195" i="1"/>
  <c r="AD195" i="1"/>
  <c r="AE195" i="1"/>
  <c r="AF195" i="1"/>
  <c r="AH222" i="1"/>
  <c r="AM222" i="1"/>
  <c r="AN222" i="1"/>
  <c r="K196" i="1"/>
  <c r="L196" i="1"/>
  <c r="M196" i="1"/>
  <c r="N196" i="1" s="1"/>
  <c r="V196" i="1"/>
  <c r="Y196" i="1"/>
  <c r="AA196" i="1" s="1"/>
  <c r="Z196" i="1"/>
  <c r="AB196" i="1"/>
  <c r="AC196" i="1"/>
  <c r="AD196" i="1"/>
  <c r="T196" i="1" s="1"/>
  <c r="AE196" i="1"/>
  <c r="AF196" i="1"/>
  <c r="AH223" i="1"/>
  <c r="AM223" i="1"/>
  <c r="AN223" i="1"/>
  <c r="K197" i="1"/>
  <c r="L197" i="1"/>
  <c r="M197" i="1"/>
  <c r="N197" i="1" s="1"/>
  <c r="V197" i="1"/>
  <c r="S41" i="3" s="1"/>
  <c r="Y197" i="1"/>
  <c r="Z197" i="1"/>
  <c r="AB197" i="1"/>
  <c r="AC197" i="1"/>
  <c r="AD197" i="1"/>
  <c r="T197" i="1" s="1"/>
  <c r="AE197" i="1"/>
  <c r="R41" i="3" s="1"/>
  <c r="AF197" i="1"/>
  <c r="AG197" i="1"/>
  <c r="AH224" i="1"/>
  <c r="AM224" i="1"/>
  <c r="AN224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25" i="1"/>
  <c r="AM225" i="1"/>
  <c r="AN225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26" i="1"/>
  <c r="AM226" i="1"/>
  <c r="AN226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27" i="1"/>
  <c r="AM227" i="1"/>
  <c r="AN227" i="1"/>
  <c r="K201" i="1"/>
  <c r="L201" i="1"/>
  <c r="M201" i="1"/>
  <c r="N201" i="1" s="1"/>
  <c r="T201" i="1"/>
  <c r="V201" i="1"/>
  <c r="X201" i="1"/>
  <c r="Y201" i="1"/>
  <c r="Z201" i="1"/>
  <c r="AA201" i="1" s="1"/>
  <c r="AB201" i="1"/>
  <c r="AC201" i="1"/>
  <c r="AD201" i="1"/>
  <c r="AE201" i="1"/>
  <c r="AF201" i="1"/>
  <c r="AG201" i="1"/>
  <c r="AH228" i="1"/>
  <c r="AM228" i="1"/>
  <c r="AN228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29" i="1"/>
  <c r="AM229" i="1"/>
  <c r="AN229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30" i="1"/>
  <c r="AM230" i="1"/>
  <c r="AN230" i="1"/>
  <c r="K204" i="1"/>
  <c r="L204" i="1"/>
  <c r="M204" i="1"/>
  <c r="N204" i="1" s="1"/>
  <c r="V204" i="1"/>
  <c r="Y204" i="1"/>
  <c r="AA204" i="1" s="1"/>
  <c r="Z204" i="1"/>
  <c r="AB204" i="1"/>
  <c r="AC204" i="1"/>
  <c r="AD204" i="1"/>
  <c r="T204" i="1" s="1"/>
  <c r="AE204" i="1"/>
  <c r="AF204" i="1"/>
  <c r="AH231" i="1"/>
  <c r="AM231" i="1"/>
  <c r="AN231" i="1"/>
  <c r="K205" i="1"/>
  <c r="L205" i="1"/>
  <c r="M205" i="1"/>
  <c r="N205" i="1" s="1"/>
  <c r="T205" i="1"/>
  <c r="V205" i="1"/>
  <c r="X205" i="1"/>
  <c r="Y205" i="1"/>
  <c r="Z205" i="1"/>
  <c r="AA205" i="1" s="1"/>
  <c r="AB205" i="1"/>
  <c r="AC205" i="1"/>
  <c r="AD205" i="1"/>
  <c r="AE205" i="1"/>
  <c r="AF205" i="1"/>
  <c r="AG205" i="1"/>
  <c r="AH232" i="1"/>
  <c r="AM232" i="1"/>
  <c r="AN232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233" i="1"/>
  <c r="AM233" i="1"/>
  <c r="AN233" i="1"/>
  <c r="K240" i="1"/>
  <c r="L240" i="1"/>
  <c r="M240" i="1"/>
  <c r="N240" i="1" s="1"/>
  <c r="V240" i="1"/>
  <c r="Y240" i="1"/>
  <c r="Z240" i="1"/>
  <c r="AB240" i="1"/>
  <c r="AC240" i="1"/>
  <c r="AD240" i="1"/>
  <c r="T240" i="1" s="1"/>
  <c r="AE240" i="1"/>
  <c r="AF240" i="1"/>
  <c r="AH234" i="1"/>
  <c r="AM234" i="1"/>
  <c r="AN234" i="1"/>
  <c r="K241" i="1"/>
  <c r="L241" i="1"/>
  <c r="M241" i="1"/>
  <c r="N241" i="1" s="1"/>
  <c r="V241" i="1"/>
  <c r="Y241" i="1"/>
  <c r="Z241" i="1"/>
  <c r="AA241" i="1"/>
  <c r="AB241" i="1"/>
  <c r="AC241" i="1"/>
  <c r="AD241" i="1"/>
  <c r="T241" i="1" s="1"/>
  <c r="AE241" i="1"/>
  <c r="AF241" i="1"/>
  <c r="AH235" i="1"/>
  <c r="AM235" i="1"/>
  <c r="AN235" i="1"/>
  <c r="K242" i="1"/>
  <c r="L242" i="1"/>
  <c r="M242" i="1"/>
  <c r="N242" i="1" s="1"/>
  <c r="V242" i="1"/>
  <c r="X242" i="1"/>
  <c r="Y242" i="1"/>
  <c r="Z242" i="1"/>
  <c r="AB242" i="1"/>
  <c r="AC242" i="1"/>
  <c r="AD242" i="1"/>
  <c r="T242" i="1" s="1"/>
  <c r="AE242" i="1"/>
  <c r="AF242" i="1"/>
  <c r="AG242" i="1"/>
  <c r="AH236" i="1"/>
  <c r="AM236" i="1"/>
  <c r="AN236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237" i="1"/>
  <c r="AM237" i="1"/>
  <c r="AN237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238" i="1"/>
  <c r="AM238" i="1"/>
  <c r="AN238" i="1"/>
  <c r="K221" i="1"/>
  <c r="L221" i="1"/>
  <c r="M221" i="1"/>
  <c r="N221" i="1" s="1"/>
  <c r="V221" i="1"/>
  <c r="Y221" i="1"/>
  <c r="AA221" i="1" s="1"/>
  <c r="Z221" i="1"/>
  <c r="AB221" i="1"/>
  <c r="AC221" i="1"/>
  <c r="AD221" i="1"/>
  <c r="T221" i="1" s="1"/>
  <c r="AE221" i="1"/>
  <c r="AF221" i="1"/>
  <c r="AH239" i="1"/>
  <c r="AM239" i="1"/>
  <c r="AN239" i="1"/>
  <c r="K222" i="1"/>
  <c r="L222" i="1"/>
  <c r="M222" i="1"/>
  <c r="N222" i="1" s="1"/>
  <c r="V222" i="1"/>
  <c r="S50" i="3" s="1"/>
  <c r="Y222" i="1"/>
  <c r="Z222" i="1"/>
  <c r="AB222" i="1"/>
  <c r="AC222" i="1"/>
  <c r="AD222" i="1"/>
  <c r="T222" i="1" s="1"/>
  <c r="AE222" i="1"/>
  <c r="R50" i="3" s="1"/>
  <c r="AF222" i="1"/>
  <c r="AH240" i="1"/>
  <c r="AM240" i="1"/>
  <c r="AN240" i="1"/>
  <c r="K223" i="1"/>
  <c r="L223" i="1"/>
  <c r="M223" i="1"/>
  <c r="N223" i="1" s="1"/>
  <c r="V223" i="1"/>
  <c r="S44" i="3" s="1"/>
  <c r="Y223" i="1"/>
  <c r="Z223" i="1"/>
  <c r="AB223" i="1"/>
  <c r="AC223" i="1"/>
  <c r="AD223" i="1"/>
  <c r="T223" i="1" s="1"/>
  <c r="AE223" i="1"/>
  <c r="R44" i="3" s="1"/>
  <c r="AF223" i="1"/>
  <c r="AH241" i="1"/>
  <c r="AM241" i="1"/>
  <c r="AN241" i="1"/>
  <c r="K224" i="1"/>
  <c r="L224" i="1"/>
  <c r="M224" i="1"/>
  <c r="N224" i="1"/>
  <c r="V224" i="1"/>
  <c r="Y224" i="1"/>
  <c r="Z224" i="1"/>
  <c r="AB224" i="1"/>
  <c r="AC224" i="1"/>
  <c r="AD224" i="1"/>
  <c r="T224" i="1" s="1"/>
  <c r="AE224" i="1"/>
  <c r="AF224" i="1"/>
  <c r="AH242" i="1"/>
  <c r="AM242" i="1"/>
  <c r="AN242" i="1"/>
  <c r="M8" i="3"/>
  <c r="R8" i="3"/>
  <c r="S8" i="3"/>
  <c r="U8" i="3"/>
  <c r="T8" i="3" s="1"/>
  <c r="V8" i="3"/>
  <c r="W8" i="3"/>
  <c r="Y8" i="3" s="1"/>
  <c r="X8" i="3"/>
  <c r="M9" i="3"/>
  <c r="R9" i="3"/>
  <c r="S9" i="3"/>
  <c r="U9" i="3"/>
  <c r="T9" i="3" s="1"/>
  <c r="V9" i="3"/>
  <c r="W9" i="3"/>
  <c r="Y9" i="3" s="1"/>
  <c r="X9" i="3"/>
  <c r="AC9" i="3"/>
  <c r="M17" i="3"/>
  <c r="R17" i="3"/>
  <c r="S17" i="3"/>
  <c r="U17" i="3"/>
  <c r="AC17" i="3" s="1"/>
  <c r="V17" i="3"/>
  <c r="W17" i="3"/>
  <c r="Y17" i="3" s="1"/>
  <c r="X17" i="3"/>
  <c r="M28" i="3"/>
  <c r="S28" i="3"/>
  <c r="U28" i="3"/>
  <c r="V28" i="3"/>
  <c r="W28" i="3"/>
  <c r="X28" i="3"/>
  <c r="Y28" i="3"/>
  <c r="M13" i="3"/>
  <c r="R13" i="3"/>
  <c r="S13" i="3"/>
  <c r="U13" i="3"/>
  <c r="T13" i="3" s="1"/>
  <c r="V13" i="3"/>
  <c r="W13" i="3"/>
  <c r="X13" i="3"/>
  <c r="M24" i="3"/>
  <c r="R24" i="3"/>
  <c r="S24" i="3"/>
  <c r="U24" i="3"/>
  <c r="V24" i="3"/>
  <c r="W24" i="3"/>
  <c r="X24" i="3"/>
  <c r="AC24" i="3"/>
  <c r="M12" i="3"/>
  <c r="R12" i="3"/>
  <c r="S12" i="3"/>
  <c r="U12" i="3"/>
  <c r="AC12" i="3" s="1"/>
  <c r="V12" i="3"/>
  <c r="W12" i="3"/>
  <c r="Y12" i="3" s="1"/>
  <c r="X12" i="3"/>
  <c r="M35" i="3"/>
  <c r="R35" i="3"/>
  <c r="U35" i="3"/>
  <c r="V35" i="3"/>
  <c r="W35" i="3"/>
  <c r="X35" i="3"/>
  <c r="Y35" i="3"/>
  <c r="M20" i="3"/>
  <c r="R20" i="3"/>
  <c r="U20" i="3"/>
  <c r="V20" i="3"/>
  <c r="W20" i="3"/>
  <c r="X20" i="3"/>
  <c r="M21" i="3"/>
  <c r="R21" i="3"/>
  <c r="S21" i="3"/>
  <c r="U21" i="3"/>
  <c r="AD17" i="3" s="1"/>
  <c r="V21" i="3"/>
  <c r="W21" i="3"/>
  <c r="X21" i="3"/>
  <c r="AC21" i="3"/>
  <c r="M22" i="3"/>
  <c r="R22" i="3"/>
  <c r="U22" i="3"/>
  <c r="AC22" i="3" s="1"/>
  <c r="V22" i="3"/>
  <c r="W22" i="3"/>
  <c r="X22" i="3"/>
  <c r="M25" i="3"/>
  <c r="R25" i="3"/>
  <c r="S25" i="3"/>
  <c r="T25" i="3"/>
  <c r="U25" i="3"/>
  <c r="V25" i="3"/>
  <c r="W25" i="3"/>
  <c r="Y25" i="3" s="1"/>
  <c r="X25" i="3"/>
  <c r="M23" i="3"/>
  <c r="R23" i="3"/>
  <c r="S23" i="3"/>
  <c r="U23" i="3"/>
  <c r="V23" i="3"/>
  <c r="W23" i="3"/>
  <c r="Y23" i="3" s="1"/>
  <c r="X23" i="3"/>
  <c r="M42" i="3"/>
  <c r="R42" i="3"/>
  <c r="S42" i="3"/>
  <c r="U42" i="3"/>
  <c r="V42" i="3"/>
  <c r="W42" i="3"/>
  <c r="X42" i="3"/>
  <c r="AC42" i="3"/>
  <c r="M29" i="3"/>
  <c r="R29" i="3"/>
  <c r="S29" i="3"/>
  <c r="U29" i="3"/>
  <c r="AC29" i="3" s="1"/>
  <c r="V29" i="3"/>
  <c r="W29" i="3"/>
  <c r="X29" i="3"/>
  <c r="AD22" i="3"/>
  <c r="M14" i="3"/>
  <c r="S14" i="3"/>
  <c r="U14" i="3"/>
  <c r="V14" i="3"/>
  <c r="AE23" i="3" s="1"/>
  <c r="W14" i="3"/>
  <c r="X14" i="3"/>
  <c r="AC14" i="3"/>
  <c r="M15" i="3"/>
  <c r="S15" i="3"/>
  <c r="U15" i="3"/>
  <c r="V15" i="3"/>
  <c r="W15" i="3"/>
  <c r="Y15" i="3" s="1"/>
  <c r="X15" i="3"/>
  <c r="M18" i="3"/>
  <c r="R18" i="3"/>
  <c r="S18" i="3"/>
  <c r="U18" i="3"/>
  <c r="T18" i="3" s="1"/>
  <c r="V18" i="3"/>
  <c r="AE25" i="3" s="1"/>
  <c r="W18" i="3"/>
  <c r="Y18" i="3" s="1"/>
  <c r="X18" i="3"/>
  <c r="AC18" i="3"/>
  <c r="AD25" i="3"/>
  <c r="M50" i="3"/>
  <c r="U50" i="3"/>
  <c r="AC50" i="3" s="1"/>
  <c r="V50" i="3"/>
  <c r="W50" i="3"/>
  <c r="X50" i="3"/>
  <c r="M40" i="3"/>
  <c r="S40" i="3"/>
  <c r="U40" i="3"/>
  <c r="V40" i="3"/>
  <c r="W40" i="3"/>
  <c r="Y40" i="3" s="1"/>
  <c r="X40" i="3"/>
  <c r="M38" i="3"/>
  <c r="R38" i="3"/>
  <c r="U38" i="3"/>
  <c r="AD38" i="3" s="1"/>
  <c r="V38" i="3"/>
  <c r="W38" i="3"/>
  <c r="X38" i="3"/>
  <c r="M36" i="3"/>
  <c r="U36" i="3"/>
  <c r="AD29" i="3" s="1"/>
  <c r="V36" i="3"/>
  <c r="W36" i="3"/>
  <c r="X36" i="3"/>
  <c r="AC36" i="3"/>
  <c r="M39" i="3"/>
  <c r="U39" i="3"/>
  <c r="AC39" i="3" s="1"/>
  <c r="V39" i="3"/>
  <c r="W39" i="3"/>
  <c r="X39" i="3"/>
  <c r="M30" i="3"/>
  <c r="R30" i="3"/>
  <c r="S30" i="3"/>
  <c r="U30" i="3"/>
  <c r="AD30" i="3" s="1"/>
  <c r="V30" i="3"/>
  <c r="W30" i="3"/>
  <c r="X30" i="3"/>
  <c r="M26" i="3"/>
  <c r="R26" i="3"/>
  <c r="S26" i="3"/>
  <c r="U26" i="3"/>
  <c r="AD26" i="3" s="1"/>
  <c r="V26" i="3"/>
  <c r="W26" i="3"/>
  <c r="Y26" i="3" s="1"/>
  <c r="X26" i="3"/>
  <c r="M37" i="3"/>
  <c r="R37" i="3"/>
  <c r="S37" i="3"/>
  <c r="U37" i="3"/>
  <c r="V37" i="3"/>
  <c r="W37" i="3"/>
  <c r="X37" i="3"/>
  <c r="AC37" i="3"/>
  <c r="M34" i="3"/>
  <c r="R34" i="3"/>
  <c r="S34" i="3"/>
  <c r="U34" i="3"/>
  <c r="AC34" i="3" s="1"/>
  <c r="V34" i="3"/>
  <c r="W34" i="3"/>
  <c r="X34" i="3"/>
  <c r="AD34" i="3"/>
  <c r="M51" i="3"/>
  <c r="R51" i="3"/>
  <c r="S51" i="3"/>
  <c r="U51" i="3"/>
  <c r="V51" i="3"/>
  <c r="W51" i="3"/>
  <c r="Y51" i="3" s="1"/>
  <c r="X51" i="3"/>
  <c r="M19" i="3"/>
  <c r="R19" i="3"/>
  <c r="U19" i="3"/>
  <c r="V19" i="3"/>
  <c r="W19" i="3"/>
  <c r="X19" i="3"/>
  <c r="M41" i="3"/>
  <c r="U41" i="3"/>
  <c r="AD37" i="3" s="1"/>
  <c r="V41" i="3"/>
  <c r="W41" i="3"/>
  <c r="X41" i="3"/>
  <c r="AC41" i="3"/>
  <c r="M44" i="3"/>
  <c r="U44" i="3"/>
  <c r="AC44" i="3" s="1"/>
  <c r="V44" i="3"/>
  <c r="W44" i="3"/>
  <c r="X44" i="3"/>
  <c r="M7" i="3"/>
  <c r="S7" i="3"/>
  <c r="U7" i="3"/>
  <c r="V7" i="3"/>
  <c r="W7" i="3"/>
  <c r="X7" i="3"/>
  <c r="M31" i="3"/>
  <c r="R31" i="3"/>
  <c r="S31" i="3"/>
  <c r="U31" i="3"/>
  <c r="V31" i="3"/>
  <c r="W31" i="3"/>
  <c r="Y31" i="3" s="1"/>
  <c r="X31" i="3"/>
  <c r="M10" i="3"/>
  <c r="R10" i="3"/>
  <c r="S10" i="3"/>
  <c r="U10" i="3"/>
  <c r="AD41" i="3" s="1"/>
  <c r="V10" i="3"/>
  <c r="W10" i="3"/>
  <c r="X10" i="3"/>
  <c r="AC10" i="3"/>
  <c r="M27" i="3"/>
  <c r="R27" i="3"/>
  <c r="S27" i="3"/>
  <c r="U27" i="3"/>
  <c r="AC27" i="3" s="1"/>
  <c r="V27" i="3"/>
  <c r="W27" i="3"/>
  <c r="X27" i="3"/>
  <c r="AD42" i="3"/>
  <c r="M45" i="3"/>
  <c r="R45" i="3"/>
  <c r="U45" i="3"/>
  <c r="V45" i="3"/>
  <c r="W45" i="3"/>
  <c r="X45" i="3"/>
  <c r="AC45" i="3"/>
  <c r="M48" i="3"/>
  <c r="R48" i="3"/>
  <c r="U48" i="3"/>
  <c r="V48" i="3"/>
  <c r="W48" i="3"/>
  <c r="Y48" i="3" s="1"/>
  <c r="X48" i="3"/>
  <c r="M32" i="3"/>
  <c r="R32" i="3"/>
  <c r="S32" i="3"/>
  <c r="U32" i="3"/>
  <c r="T32" i="3" s="1"/>
  <c r="V32" i="3"/>
  <c r="AE45" i="3" s="1"/>
  <c r="W32" i="3"/>
  <c r="X32" i="3"/>
  <c r="AC32" i="3"/>
  <c r="AD45" i="3"/>
  <c r="M46" i="3"/>
  <c r="R46" i="3"/>
  <c r="U46" i="3"/>
  <c r="AC46" i="3" s="1"/>
  <c r="V46" i="3"/>
  <c r="W46" i="3"/>
  <c r="Y46" i="3" s="1"/>
  <c r="X46" i="3"/>
  <c r="AD46" i="3"/>
  <c r="M47" i="3"/>
  <c r="R47" i="3"/>
  <c r="U47" i="3"/>
  <c r="AD47" i="3" s="1"/>
  <c r="V47" i="3"/>
  <c r="W47" i="3"/>
  <c r="Y47" i="3" s="1"/>
  <c r="X47" i="3"/>
  <c r="M33" i="3"/>
  <c r="R33" i="3"/>
  <c r="U33" i="3"/>
  <c r="AD48" i="3" s="1"/>
  <c r="V33" i="3"/>
  <c r="W33" i="3"/>
  <c r="X33" i="3"/>
  <c r="M11" i="3"/>
  <c r="S11" i="3"/>
  <c r="U11" i="3"/>
  <c r="V11" i="3"/>
  <c r="W11" i="3"/>
  <c r="X11" i="3"/>
  <c r="AC11" i="3"/>
  <c r="M49" i="3"/>
  <c r="R49" i="3"/>
  <c r="S49" i="3"/>
  <c r="U49" i="3"/>
  <c r="V49" i="3"/>
  <c r="W49" i="3"/>
  <c r="X49" i="3"/>
  <c r="M43" i="3"/>
  <c r="R43" i="3"/>
  <c r="S43" i="3"/>
  <c r="U43" i="3"/>
  <c r="AD51" i="3" s="1"/>
  <c r="V43" i="3"/>
  <c r="W43" i="3"/>
  <c r="X43" i="3"/>
  <c r="AE51" i="3"/>
  <c r="AD49" i="3" l="1"/>
  <c r="T30" i="3"/>
  <c r="AD23" i="3"/>
  <c r="AE21" i="3"/>
  <c r="T21" i="3"/>
  <c r="AD13" i="3"/>
  <c r="AA200" i="1"/>
  <c r="AG186" i="1"/>
  <c r="AI186" i="1" s="1"/>
  <c r="AA183" i="1"/>
  <c r="AA170" i="1"/>
  <c r="AA238" i="1"/>
  <c r="AA161" i="1"/>
  <c r="AG233" i="1"/>
  <c r="T215" i="1"/>
  <c r="AA214" i="1"/>
  <c r="AA147" i="1"/>
  <c r="AG134" i="1"/>
  <c r="AA123" i="1"/>
  <c r="X123" i="1"/>
  <c r="AA110" i="1"/>
  <c r="AG101" i="1"/>
  <c r="AA98" i="1"/>
  <c r="AA97" i="1"/>
  <c r="AA95" i="1"/>
  <c r="AA83" i="1"/>
  <c r="AA81" i="1"/>
  <c r="AG79" i="1"/>
  <c r="AI79" i="1" s="1"/>
  <c r="AA73" i="1"/>
  <c r="AG62" i="1"/>
  <c r="X48" i="1"/>
  <c r="AA43" i="1"/>
  <c r="AA35" i="1"/>
  <c r="X33" i="1"/>
  <c r="AG31" i="1"/>
  <c r="AI31" i="1" s="1"/>
  <c r="AA24" i="1"/>
  <c r="AA16" i="1"/>
  <c r="AD43" i="3"/>
  <c r="X185" i="1"/>
  <c r="AI178" i="1"/>
  <c r="T152" i="1"/>
  <c r="T131" i="1"/>
  <c r="X116" i="1"/>
  <c r="W105" i="1"/>
  <c r="W93" i="1"/>
  <c r="AA64" i="1"/>
  <c r="X55" i="1"/>
  <c r="X49" i="1"/>
  <c r="T32" i="1"/>
  <c r="Y7" i="3"/>
  <c r="Y30" i="3"/>
  <c r="S39" i="3"/>
  <c r="Y38" i="3"/>
  <c r="AD21" i="3"/>
  <c r="Y13" i="3"/>
  <c r="X197" i="1"/>
  <c r="S47" i="3"/>
  <c r="S46" i="3"/>
  <c r="S48" i="3"/>
  <c r="R39" i="3"/>
  <c r="R15" i="3"/>
  <c r="T42" i="3"/>
  <c r="AG221" i="1"/>
  <c r="W221" i="1" s="1"/>
  <c r="AG204" i="1"/>
  <c r="AA203" i="1"/>
  <c r="AG200" i="1"/>
  <c r="AA199" i="1"/>
  <c r="AA191" i="1"/>
  <c r="AA186" i="1"/>
  <c r="AA184" i="1"/>
  <c r="AA180" i="1"/>
  <c r="W180" i="1" s="1"/>
  <c r="AA168" i="1"/>
  <c r="AA165" i="1"/>
  <c r="W165" i="1" s="1"/>
  <c r="X210" i="1"/>
  <c r="AI207" i="1"/>
  <c r="AA158" i="1"/>
  <c r="X155" i="1"/>
  <c r="AA146" i="1"/>
  <c r="AA134" i="1"/>
  <c r="W134" i="1" s="1"/>
  <c r="AA113" i="1"/>
  <c r="AA111" i="1"/>
  <c r="AA101" i="1"/>
  <c r="AG97" i="1"/>
  <c r="AA94" i="1"/>
  <c r="AA55" i="1"/>
  <c r="AA52" i="1"/>
  <c r="AA48" i="1"/>
  <c r="W48" i="1" s="1"/>
  <c r="T48" i="1"/>
  <c r="AA39" i="1"/>
  <c r="T33" i="1"/>
  <c r="AA32" i="1"/>
  <c r="W32" i="1" s="1"/>
  <c r="AG29" i="1"/>
  <c r="AI29" i="1" s="1"/>
  <c r="X29" i="1"/>
  <c r="T28" i="1"/>
  <c r="AA27" i="1"/>
  <c r="AA23" i="1"/>
  <c r="AG21" i="1"/>
  <c r="AI21" i="1" s="1"/>
  <c r="X21" i="1"/>
  <c r="AA115" i="1"/>
  <c r="W115" i="1" s="1"/>
  <c r="AI115" i="1"/>
  <c r="X104" i="1"/>
  <c r="T104" i="1"/>
  <c r="X96" i="1"/>
  <c r="T96" i="1"/>
  <c r="T63" i="1"/>
  <c r="AG63" i="1"/>
  <c r="AI63" i="1" s="1"/>
  <c r="X222" i="1"/>
  <c r="AG182" i="1"/>
  <c r="AI182" i="1" s="1"/>
  <c r="AG174" i="1"/>
  <c r="AI174" i="1" s="1"/>
  <c r="X172" i="1"/>
  <c r="U217" i="1"/>
  <c r="S217" i="1" s="1"/>
  <c r="AG214" i="1"/>
  <c r="T214" i="1"/>
  <c r="AG151" i="1"/>
  <c r="T151" i="1"/>
  <c r="AG118" i="1"/>
  <c r="X84" i="1"/>
  <c r="AG84" i="1"/>
  <c r="T84" i="1"/>
  <c r="AG80" i="1"/>
  <c r="T80" i="1"/>
  <c r="U80" i="1" s="1"/>
  <c r="S80" i="1" s="1"/>
  <c r="X88" i="1"/>
  <c r="T88" i="1"/>
  <c r="T73" i="1"/>
  <c r="AG73" i="1"/>
  <c r="W73" i="1"/>
  <c r="W58" i="1"/>
  <c r="AG222" i="1"/>
  <c r="W205" i="1"/>
  <c r="AG196" i="1"/>
  <c r="W196" i="1" s="1"/>
  <c r="X193" i="1"/>
  <c r="AG190" i="1"/>
  <c r="AI190" i="1" s="1"/>
  <c r="AG167" i="1"/>
  <c r="X167" i="1"/>
  <c r="T237" i="1"/>
  <c r="U237" i="1" s="1"/>
  <c r="S237" i="1" s="1"/>
  <c r="W235" i="1"/>
  <c r="T229" i="1"/>
  <c r="AG229" i="1"/>
  <c r="AA229" i="1"/>
  <c r="W229" i="1" s="1"/>
  <c r="S22" i="3"/>
  <c r="AA224" i="1"/>
  <c r="AA242" i="1"/>
  <c r="AG241" i="1"/>
  <c r="W241" i="1" s="1"/>
  <c r="AA197" i="1"/>
  <c r="W197" i="1" s="1"/>
  <c r="AA192" i="1"/>
  <c r="X188" i="1"/>
  <c r="X180" i="1"/>
  <c r="AG239" i="1"/>
  <c r="AI239" i="1" s="1"/>
  <c r="AA225" i="1"/>
  <c r="AA216" i="1"/>
  <c r="T207" i="1"/>
  <c r="AA159" i="1"/>
  <c r="AA156" i="1"/>
  <c r="AA152" i="1"/>
  <c r="AA142" i="1"/>
  <c r="W142" i="1" s="1"/>
  <c r="T139" i="1"/>
  <c r="AA137" i="1"/>
  <c r="AA131" i="1"/>
  <c r="X131" i="1"/>
  <c r="AG126" i="1"/>
  <c r="W126" i="1" s="1"/>
  <c r="AA114" i="1"/>
  <c r="AI111" i="1"/>
  <c r="X108" i="1"/>
  <c r="T108" i="1"/>
  <c r="X100" i="1"/>
  <c r="T100" i="1"/>
  <c r="X92" i="1"/>
  <c r="T92" i="1"/>
  <c r="X74" i="1"/>
  <c r="T61" i="1"/>
  <c r="AG61" i="1"/>
  <c r="W61" i="1" s="1"/>
  <c r="T39" i="1"/>
  <c r="AG39" i="1"/>
  <c r="W39" i="1"/>
  <c r="AA222" i="1"/>
  <c r="W222" i="1" s="1"/>
  <c r="W204" i="1"/>
  <c r="AA190" i="1"/>
  <c r="W190" i="1" s="1"/>
  <c r="AA167" i="1"/>
  <c r="W167" i="1" s="1"/>
  <c r="AA234" i="1"/>
  <c r="AG228" i="1"/>
  <c r="T228" i="1"/>
  <c r="AA213" i="1"/>
  <c r="U209" i="1"/>
  <c r="S209" i="1" s="1"/>
  <c r="AG159" i="1"/>
  <c r="T159" i="1"/>
  <c r="T147" i="1"/>
  <c r="T146" i="1"/>
  <c r="AA145" i="1"/>
  <c r="AA139" i="1"/>
  <c r="X139" i="1"/>
  <c r="AA118" i="1"/>
  <c r="W109" i="1"/>
  <c r="AA107" i="1"/>
  <c r="W107" i="1" s="1"/>
  <c r="W101" i="1"/>
  <c r="AA99" i="1"/>
  <c r="AA91" i="1"/>
  <c r="AG78" i="1"/>
  <c r="X78" i="1"/>
  <c r="AA31" i="1"/>
  <c r="W31" i="1" s="1"/>
  <c r="X82" i="1"/>
  <c r="AA80" i="1"/>
  <c r="W80" i="1" s="1"/>
  <c r="X77" i="1"/>
  <c r="AI67" i="1"/>
  <c r="X66" i="1"/>
  <c r="AA63" i="1"/>
  <c r="AA57" i="1"/>
  <c r="T55" i="1"/>
  <c r="U55" i="1" s="1"/>
  <c r="S55" i="1" s="1"/>
  <c r="AA54" i="1"/>
  <c r="AI37" i="1"/>
  <c r="AA26" i="1"/>
  <c r="AA187" i="1"/>
  <c r="W187" i="1" s="1"/>
  <c r="X184" i="1"/>
  <c r="AA182" i="1"/>
  <c r="W182" i="1" s="1"/>
  <c r="AA179" i="1"/>
  <c r="X176" i="1"/>
  <c r="AA174" i="1"/>
  <c r="W174" i="1" s="1"/>
  <c r="AA172" i="1"/>
  <c r="W172" i="1" s="1"/>
  <c r="AA171" i="1"/>
  <c r="X239" i="1"/>
  <c r="AI162" i="1"/>
  <c r="AA232" i="1"/>
  <c r="AA231" i="1"/>
  <c r="AA228" i="1"/>
  <c r="W228" i="1" s="1"/>
  <c r="AA217" i="1"/>
  <c r="W217" i="1" s="1"/>
  <c r="AA209" i="1"/>
  <c r="W209" i="1" s="1"/>
  <c r="AA154" i="1"/>
  <c r="W154" i="1" s="1"/>
  <c r="AA148" i="1"/>
  <c r="AA140" i="1"/>
  <c r="W140" i="1" s="1"/>
  <c r="AA132" i="1"/>
  <c r="AA124" i="1"/>
  <c r="AA116" i="1"/>
  <c r="W116" i="1" s="1"/>
  <c r="X81" i="1"/>
  <c r="AG77" i="1"/>
  <c r="AI77" i="1" s="1"/>
  <c r="AG75" i="1"/>
  <c r="AI75" i="1" s="1"/>
  <c r="AA74" i="1"/>
  <c r="T74" i="1"/>
  <c r="X70" i="1"/>
  <c r="AG66" i="1"/>
  <c r="AA65" i="1"/>
  <c r="AA62" i="1"/>
  <c r="W62" i="1" s="1"/>
  <c r="AG58" i="1"/>
  <c r="AI58" i="1" s="1"/>
  <c r="X58" i="1"/>
  <c r="AA42" i="1"/>
  <c r="AA41" i="1"/>
  <c r="AG33" i="1"/>
  <c r="AI33" i="1" s="1"/>
  <c r="X32" i="1"/>
  <c r="AA28" i="1"/>
  <c r="W28" i="1" s="1"/>
  <c r="U204" i="1"/>
  <c r="S204" i="1" s="1"/>
  <c r="U196" i="1"/>
  <c r="S196" i="1" s="1"/>
  <c r="T184" i="1"/>
  <c r="T176" i="1"/>
  <c r="T238" i="1"/>
  <c r="X166" i="1"/>
  <c r="AA237" i="1"/>
  <c r="W237" i="1" s="1"/>
  <c r="X236" i="1"/>
  <c r="AG231" i="1"/>
  <c r="W231" i="1" s="1"/>
  <c r="AG225" i="1"/>
  <c r="W225" i="1" s="1"/>
  <c r="AG213" i="1"/>
  <c r="U213" i="1" s="1"/>
  <c r="S213" i="1" s="1"/>
  <c r="AG211" i="1"/>
  <c r="AI211" i="1" s="1"/>
  <c r="AG158" i="1"/>
  <c r="W158" i="1" s="1"/>
  <c r="AG156" i="1"/>
  <c r="W156" i="1" s="1"/>
  <c r="AI154" i="1"/>
  <c r="AA153" i="1"/>
  <c r="AG150" i="1"/>
  <c r="AG143" i="1"/>
  <c r="T143" i="1"/>
  <c r="X143" i="1"/>
  <c r="AA223" i="1"/>
  <c r="X221" i="1"/>
  <c r="AG219" i="1"/>
  <c r="AI219" i="1" s="1"/>
  <c r="AA240" i="1"/>
  <c r="AA206" i="1"/>
  <c r="X204" i="1"/>
  <c r="AA198" i="1"/>
  <c r="X196" i="1"/>
  <c r="AA194" i="1"/>
  <c r="W194" i="1" s="1"/>
  <c r="T193" i="1"/>
  <c r="AG192" i="1"/>
  <c r="W192" i="1" s="1"/>
  <c r="AG189" i="1"/>
  <c r="X189" i="1"/>
  <c r="AA185" i="1"/>
  <c r="T185" i="1"/>
  <c r="AG184" i="1"/>
  <c r="AG181" i="1"/>
  <c r="U181" i="1" s="1"/>
  <c r="S181" i="1" s="1"/>
  <c r="X181" i="1"/>
  <c r="AA177" i="1"/>
  <c r="T177" i="1"/>
  <c r="AG176" i="1"/>
  <c r="U176" i="1" s="1"/>
  <c r="S176" i="1" s="1"/>
  <c r="AG173" i="1"/>
  <c r="X173" i="1"/>
  <c r="AA239" i="1"/>
  <c r="W239" i="1" s="1"/>
  <c r="AG238" i="1"/>
  <c r="U238" i="1" s="1"/>
  <c r="S238" i="1" s="1"/>
  <c r="AA163" i="1"/>
  <c r="AG161" i="1"/>
  <c r="U161" i="1" s="1"/>
  <c r="S161" i="1" s="1"/>
  <c r="AA233" i="1"/>
  <c r="W233" i="1" s="1"/>
  <c r="X232" i="1"/>
  <c r="AA230" i="1"/>
  <c r="AG227" i="1"/>
  <c r="AI227" i="1" s="1"/>
  <c r="AA218" i="1"/>
  <c r="T218" i="1"/>
  <c r="U218" i="1" s="1"/>
  <c r="S218" i="1" s="1"/>
  <c r="X217" i="1"/>
  <c r="AA215" i="1"/>
  <c r="W215" i="1" s="1"/>
  <c r="X214" i="1"/>
  <c r="AA210" i="1"/>
  <c r="W210" i="1" s="1"/>
  <c r="T210" i="1"/>
  <c r="X209" i="1"/>
  <c r="AA207" i="1"/>
  <c r="W207" i="1" s="1"/>
  <c r="X159" i="1"/>
  <c r="AA155" i="1"/>
  <c r="T155" i="1"/>
  <c r="X154" i="1"/>
  <c r="W152" i="1"/>
  <c r="X151" i="1"/>
  <c r="X150" i="1"/>
  <c r="U142" i="1"/>
  <c r="S142" i="1" s="1"/>
  <c r="AI142" i="1"/>
  <c r="AG135" i="1"/>
  <c r="AI135" i="1" s="1"/>
  <c r="T135" i="1"/>
  <c r="X135" i="1"/>
  <c r="W81" i="1"/>
  <c r="W242" i="1"/>
  <c r="W201" i="1"/>
  <c r="U200" i="1"/>
  <c r="S200" i="1" s="1"/>
  <c r="T188" i="1"/>
  <c r="U188" i="1" s="1"/>
  <c r="S188" i="1" s="1"/>
  <c r="W186" i="1"/>
  <c r="T180" i="1"/>
  <c r="U180" i="1" s="1"/>
  <c r="S180" i="1" s="1"/>
  <c r="W178" i="1"/>
  <c r="T172" i="1"/>
  <c r="U172" i="1" s="1"/>
  <c r="S172" i="1" s="1"/>
  <c r="X238" i="1"/>
  <c r="U167" i="1"/>
  <c r="S167" i="1" s="1"/>
  <c r="AA166" i="1"/>
  <c r="W166" i="1" s="1"/>
  <c r="AA236" i="1"/>
  <c r="W236" i="1" s="1"/>
  <c r="T236" i="1"/>
  <c r="AA226" i="1"/>
  <c r="AA212" i="1"/>
  <c r="AA157" i="1"/>
  <c r="AA150" i="1"/>
  <c r="U134" i="1"/>
  <c r="S134" i="1" s="1"/>
  <c r="AI134" i="1"/>
  <c r="AI81" i="1"/>
  <c r="AG223" i="1"/>
  <c r="AI223" i="1" s="1"/>
  <c r="AA220" i="1"/>
  <c r="AA219" i="1"/>
  <c r="X241" i="1"/>
  <c r="AG206" i="1"/>
  <c r="U206" i="1" s="1"/>
  <c r="S206" i="1" s="1"/>
  <c r="AA202" i="1"/>
  <c r="X200" i="1"/>
  <c r="AG193" i="1"/>
  <c r="U193" i="1" s="1"/>
  <c r="AA189" i="1"/>
  <c r="W189" i="1" s="1"/>
  <c r="AG185" i="1"/>
  <c r="AA181" i="1"/>
  <c r="AG177" i="1"/>
  <c r="U177" i="1" s="1"/>
  <c r="S177" i="1" s="1"/>
  <c r="AA173" i="1"/>
  <c r="X213" i="1"/>
  <c r="X158" i="1"/>
  <c r="U126" i="1"/>
  <c r="S126" i="1" s="1"/>
  <c r="U118" i="1"/>
  <c r="S118" i="1" s="1"/>
  <c r="U73" i="1"/>
  <c r="S73" i="1" s="1"/>
  <c r="T65" i="1"/>
  <c r="T54" i="1"/>
  <c r="T24" i="1"/>
  <c r="AA18" i="1"/>
  <c r="X16" i="1"/>
  <c r="X146" i="1"/>
  <c r="AA144" i="1"/>
  <c r="X138" i="1"/>
  <c r="AA136" i="1"/>
  <c r="X130" i="1"/>
  <c r="AA128" i="1"/>
  <c r="X127" i="1"/>
  <c r="X122" i="1"/>
  <c r="AA120" i="1"/>
  <c r="X119" i="1"/>
  <c r="AG112" i="1"/>
  <c r="U112" i="1" s="1"/>
  <c r="X112" i="1"/>
  <c r="T111" i="1"/>
  <c r="AA108" i="1"/>
  <c r="T107" i="1"/>
  <c r="AA104" i="1"/>
  <c r="W104" i="1" s="1"/>
  <c r="T103" i="1"/>
  <c r="AA100" i="1"/>
  <c r="T99" i="1"/>
  <c r="AA96" i="1"/>
  <c r="W96" i="1" s="1"/>
  <c r="T95" i="1"/>
  <c r="AA92" i="1"/>
  <c r="T91" i="1"/>
  <c r="AA88" i="1"/>
  <c r="W88" i="1" s="1"/>
  <c r="T87" i="1"/>
  <c r="AA85" i="1"/>
  <c r="AA84" i="1"/>
  <c r="W84" i="1" s="1"/>
  <c r="T83" i="1"/>
  <c r="U83" i="1" s="1"/>
  <c r="S83" i="1" s="1"/>
  <c r="AA82" i="1"/>
  <c r="AA79" i="1"/>
  <c r="W79" i="1" s="1"/>
  <c r="AA76" i="1"/>
  <c r="X73" i="1"/>
  <c r="AA71" i="1"/>
  <c r="W71" i="1" s="1"/>
  <c r="AA68" i="1"/>
  <c r="AA66" i="1"/>
  <c r="W66" i="1" s="1"/>
  <c r="AG65" i="1"/>
  <c r="W65" i="1" s="1"/>
  <c r="W63" i="1"/>
  <c r="AG59" i="1"/>
  <c r="U59" i="1" s="1"/>
  <c r="W55" i="1"/>
  <c r="AG54" i="1"/>
  <c r="AG51" i="1"/>
  <c r="U51" i="1" s="1"/>
  <c r="X51" i="1"/>
  <c r="AA49" i="1"/>
  <c r="T49" i="1"/>
  <c r="AA45" i="1"/>
  <c r="W45" i="1" s="1"/>
  <c r="AG43" i="1"/>
  <c r="AI43" i="1" s="1"/>
  <c r="AG41" i="1"/>
  <c r="AI41" i="1" s="1"/>
  <c r="X41" i="1"/>
  <c r="X40" i="1"/>
  <c r="AA29" i="1"/>
  <c r="W29" i="1" s="1"/>
  <c r="AG27" i="1"/>
  <c r="AI27" i="1" s="1"/>
  <c r="AG25" i="1"/>
  <c r="AI25" i="1" s="1"/>
  <c r="X25" i="1"/>
  <c r="AA21" i="1"/>
  <c r="W21" i="1" s="1"/>
  <c r="T20" i="1"/>
  <c r="AA149" i="1"/>
  <c r="AG146" i="1"/>
  <c r="AG144" i="1"/>
  <c r="AA141" i="1"/>
  <c r="AG138" i="1"/>
  <c r="AG136" i="1"/>
  <c r="U136" i="1" s="1"/>
  <c r="S136" i="1" s="1"/>
  <c r="AA133" i="1"/>
  <c r="AG130" i="1"/>
  <c r="AG128" i="1"/>
  <c r="AI126" i="1"/>
  <c r="AA125" i="1"/>
  <c r="AG122" i="1"/>
  <c r="W122" i="1" s="1"/>
  <c r="AG120" i="1"/>
  <c r="AI118" i="1"/>
  <c r="AA117" i="1"/>
  <c r="AG108" i="1"/>
  <c r="U108" i="1" s="1"/>
  <c r="AG104" i="1"/>
  <c r="U104" i="1" s="1"/>
  <c r="AG100" i="1"/>
  <c r="U100" i="1" s="1"/>
  <c r="S100" i="1" s="1"/>
  <c r="AG96" i="1"/>
  <c r="U96" i="1" s="1"/>
  <c r="AG92" i="1"/>
  <c r="U92" i="1" s="1"/>
  <c r="AG88" i="1"/>
  <c r="U84" i="1"/>
  <c r="S84" i="1" s="1"/>
  <c r="T81" i="1"/>
  <c r="U81" i="1" s="1"/>
  <c r="S81" i="1" s="1"/>
  <c r="AA78" i="1"/>
  <c r="T78" i="1"/>
  <c r="U77" i="1"/>
  <c r="S77" i="1" s="1"/>
  <c r="AI73" i="1"/>
  <c r="AA70" i="1"/>
  <c r="T70" i="1"/>
  <c r="U69" i="1"/>
  <c r="S69" i="1" s="1"/>
  <c r="W67" i="1"/>
  <c r="X65" i="1"/>
  <c r="U62" i="1"/>
  <c r="AI61" i="1"/>
  <c r="AA56" i="1"/>
  <c r="X54" i="1"/>
  <c r="AG49" i="1"/>
  <c r="AG47" i="1"/>
  <c r="AI47" i="1" s="1"/>
  <c r="X44" i="1"/>
  <c r="AI39" i="1"/>
  <c r="AA33" i="1"/>
  <c r="W33" i="1" s="1"/>
  <c r="X28" i="1"/>
  <c r="X24" i="1"/>
  <c r="AA17" i="1"/>
  <c r="T16" i="1"/>
  <c r="W148" i="1"/>
  <c r="AA143" i="1"/>
  <c r="X142" i="1"/>
  <c r="AA135" i="1"/>
  <c r="W135" i="1" s="1"/>
  <c r="X134" i="1"/>
  <c r="W132" i="1"/>
  <c r="AA127" i="1"/>
  <c r="T127" i="1"/>
  <c r="U127" i="1" s="1"/>
  <c r="S127" i="1" s="1"/>
  <c r="X126" i="1"/>
  <c r="W124" i="1"/>
  <c r="AA119" i="1"/>
  <c r="T119" i="1"/>
  <c r="U119" i="1" s="1"/>
  <c r="S119" i="1" s="1"/>
  <c r="X118" i="1"/>
  <c r="T115" i="1"/>
  <c r="X111" i="1"/>
  <c r="X107" i="1"/>
  <c r="X103" i="1"/>
  <c r="X99" i="1"/>
  <c r="X95" i="1"/>
  <c r="X91" i="1"/>
  <c r="X87" i="1"/>
  <c r="AG85" i="1"/>
  <c r="X83" i="1"/>
  <c r="AA75" i="1"/>
  <c r="W75" i="1" s="1"/>
  <c r="AA72" i="1"/>
  <c r="U66" i="1"/>
  <c r="AA60" i="1"/>
  <c r="AA59" i="1"/>
  <c r="U58" i="1"/>
  <c r="S58" i="1" s="1"/>
  <c r="AA51" i="1"/>
  <c r="W51" i="1" s="1"/>
  <c r="AA50" i="1"/>
  <c r="AA46" i="1"/>
  <c r="AA40" i="1"/>
  <c r="T40" i="1"/>
  <c r="AA37" i="1"/>
  <c r="W37" i="1" s="1"/>
  <c r="AG35" i="1"/>
  <c r="AI35" i="1" s="1"/>
  <c r="AA30" i="1"/>
  <c r="AA22" i="1"/>
  <c r="X20" i="1"/>
  <c r="AG17" i="1"/>
  <c r="AI17" i="1" s="1"/>
  <c r="U222" i="1"/>
  <c r="S222" i="1" s="1"/>
  <c r="U242" i="1"/>
  <c r="S242" i="1" s="1"/>
  <c r="U205" i="1"/>
  <c r="S205" i="1" s="1"/>
  <c r="U201" i="1"/>
  <c r="S201" i="1" s="1"/>
  <c r="U197" i="1"/>
  <c r="S197" i="1" s="1"/>
  <c r="U186" i="1"/>
  <c r="S186" i="1" s="1"/>
  <c r="W183" i="1"/>
  <c r="U178" i="1"/>
  <c r="S178" i="1" s="1"/>
  <c r="W175" i="1"/>
  <c r="W169" i="1"/>
  <c r="U223" i="1"/>
  <c r="S223" i="1" s="1"/>
  <c r="U219" i="1"/>
  <c r="S219" i="1" s="1"/>
  <c r="AG202" i="1"/>
  <c r="AI202" i="1" s="1"/>
  <c r="AG198" i="1"/>
  <c r="AI198" i="1" s="1"/>
  <c r="T194" i="1"/>
  <c r="X194" i="1"/>
  <c r="AA193" i="1"/>
  <c r="AG191" i="1"/>
  <c r="AI191" i="1" s="1"/>
  <c r="T191" i="1"/>
  <c r="X191" i="1"/>
  <c r="AI217" i="1"/>
  <c r="AI210" i="1"/>
  <c r="AI194" i="1"/>
  <c r="AG224" i="1"/>
  <c r="W224" i="1" s="1"/>
  <c r="X223" i="1"/>
  <c r="AG220" i="1"/>
  <c r="X219" i="1"/>
  <c r="AI236" i="1"/>
  <c r="AG240" i="1"/>
  <c r="AI240" i="1" s="1"/>
  <c r="X206" i="1"/>
  <c r="AI232" i="1"/>
  <c r="AG203" i="1"/>
  <c r="AI203" i="1" s="1"/>
  <c r="X202" i="1"/>
  <c r="AI228" i="1"/>
  <c r="AG199" i="1"/>
  <c r="X198" i="1"/>
  <c r="AG195" i="1"/>
  <c r="AI195" i="1" s="1"/>
  <c r="T195" i="1"/>
  <c r="X195" i="1"/>
  <c r="AI221" i="1"/>
  <c r="U190" i="1"/>
  <c r="S190" i="1" s="1"/>
  <c r="U182" i="1"/>
  <c r="S182" i="1" s="1"/>
  <c r="W179" i="1"/>
  <c r="W171" i="1"/>
  <c r="X224" i="1"/>
  <c r="AI241" i="1"/>
  <c r="X220" i="1"/>
  <c r="AI237" i="1"/>
  <c r="X240" i="1"/>
  <c r="AI233" i="1"/>
  <c r="X203" i="1"/>
  <c r="X199" i="1"/>
  <c r="U194" i="1"/>
  <c r="S194" i="1" s="1"/>
  <c r="AI220" i="1"/>
  <c r="X192" i="1"/>
  <c r="U187" i="1"/>
  <c r="S187" i="1" s="1"/>
  <c r="AI214" i="1"/>
  <c r="X187" i="1"/>
  <c r="T187" i="1"/>
  <c r="AI213" i="1"/>
  <c r="X183" i="1"/>
  <c r="T183" i="1"/>
  <c r="U183" i="1" s="1"/>
  <c r="S183" i="1" s="1"/>
  <c r="AI209" i="1"/>
  <c r="X179" i="1"/>
  <c r="T179" i="1"/>
  <c r="U179" i="1" s="1"/>
  <c r="S179" i="1" s="1"/>
  <c r="AI205" i="1"/>
  <c r="X175" i="1"/>
  <c r="T175" i="1"/>
  <c r="U175" i="1" s="1"/>
  <c r="S175" i="1" s="1"/>
  <c r="AI201" i="1"/>
  <c r="X171" i="1"/>
  <c r="T171" i="1"/>
  <c r="U171" i="1" s="1"/>
  <c r="S171" i="1" s="1"/>
  <c r="X169" i="1"/>
  <c r="T169" i="1"/>
  <c r="U169" i="1" s="1"/>
  <c r="S169" i="1" s="1"/>
  <c r="T164" i="1"/>
  <c r="X164" i="1"/>
  <c r="AG164" i="1"/>
  <c r="AI164" i="1" s="1"/>
  <c r="W163" i="1"/>
  <c r="U162" i="1"/>
  <c r="S162" i="1" s="1"/>
  <c r="AI187" i="1"/>
  <c r="T160" i="1"/>
  <c r="X160" i="1"/>
  <c r="AG160" i="1"/>
  <c r="W160" i="1" s="1"/>
  <c r="U232" i="1"/>
  <c r="S232" i="1" s="1"/>
  <c r="AI179" i="1"/>
  <c r="U214" i="1"/>
  <c r="S214" i="1" s="1"/>
  <c r="AI167" i="1"/>
  <c r="AI159" i="1"/>
  <c r="U151" i="1"/>
  <c r="S151" i="1" s="1"/>
  <c r="AI151" i="1"/>
  <c r="AI143" i="1"/>
  <c r="AI127" i="1"/>
  <c r="AI119" i="1"/>
  <c r="U189" i="1"/>
  <c r="S189" i="1" s="1"/>
  <c r="U185" i="1"/>
  <c r="S185" i="1" s="1"/>
  <c r="U173" i="1"/>
  <c r="S173" i="1" s="1"/>
  <c r="U239" i="1"/>
  <c r="S239" i="1" s="1"/>
  <c r="S163" i="1"/>
  <c r="AI188" i="1"/>
  <c r="AI175" i="1"/>
  <c r="U227" i="1"/>
  <c r="S227" i="1" s="1"/>
  <c r="W218" i="1"/>
  <c r="W155" i="1"/>
  <c r="W147" i="1"/>
  <c r="W139" i="1"/>
  <c r="W131" i="1"/>
  <c r="W123" i="1"/>
  <c r="AG170" i="1"/>
  <c r="AG168" i="1"/>
  <c r="AI168" i="1" s="1"/>
  <c r="AI171" i="1"/>
  <c r="U210" i="1"/>
  <c r="S210" i="1" s="1"/>
  <c r="AI163" i="1"/>
  <c r="U155" i="1"/>
  <c r="S155" i="1" s="1"/>
  <c r="AI155" i="1"/>
  <c r="U147" i="1"/>
  <c r="S147" i="1" s="1"/>
  <c r="AI147" i="1"/>
  <c r="U139" i="1"/>
  <c r="S139" i="1" s="1"/>
  <c r="AI139" i="1"/>
  <c r="U131" i="1"/>
  <c r="S131" i="1" s="1"/>
  <c r="AI131" i="1"/>
  <c r="U123" i="1"/>
  <c r="S123" i="1" s="1"/>
  <c r="AI123" i="1"/>
  <c r="X190" i="1"/>
  <c r="X186" i="1"/>
  <c r="X182" i="1"/>
  <c r="X178" i="1"/>
  <c r="AI204" i="1"/>
  <c r="X174" i="1"/>
  <c r="AI200" i="1"/>
  <c r="X170" i="1"/>
  <c r="AI196" i="1"/>
  <c r="X168" i="1"/>
  <c r="T166" i="1"/>
  <c r="U166" i="1" s="1"/>
  <c r="S166" i="1" s="1"/>
  <c r="W164" i="1"/>
  <c r="W162" i="1"/>
  <c r="U236" i="1"/>
  <c r="S236" i="1" s="1"/>
  <c r="AI183" i="1"/>
  <c r="U235" i="1"/>
  <c r="S235" i="1" s="1"/>
  <c r="W232" i="1"/>
  <c r="W214" i="1"/>
  <c r="W159" i="1"/>
  <c r="W151" i="1"/>
  <c r="W143" i="1"/>
  <c r="W127" i="1"/>
  <c r="W119" i="1"/>
  <c r="U233" i="1"/>
  <c r="S233" i="1" s="1"/>
  <c r="U229" i="1"/>
  <c r="S229" i="1" s="1"/>
  <c r="U225" i="1"/>
  <c r="S225" i="1" s="1"/>
  <c r="U215" i="1"/>
  <c r="S215" i="1" s="1"/>
  <c r="U207" i="1"/>
  <c r="S207" i="1" s="1"/>
  <c r="U156" i="1"/>
  <c r="S156" i="1" s="1"/>
  <c r="U152" i="1"/>
  <c r="S152" i="1" s="1"/>
  <c r="U148" i="1"/>
  <c r="S148" i="1" s="1"/>
  <c r="U144" i="1"/>
  <c r="S144" i="1" s="1"/>
  <c r="U140" i="1"/>
  <c r="S140" i="1" s="1"/>
  <c r="U132" i="1"/>
  <c r="S132" i="1" s="1"/>
  <c r="U128" i="1"/>
  <c r="S128" i="1" s="1"/>
  <c r="U124" i="1"/>
  <c r="S124" i="1" s="1"/>
  <c r="U120" i="1"/>
  <c r="S120" i="1" s="1"/>
  <c r="U116" i="1"/>
  <c r="S116" i="1" s="1"/>
  <c r="T113" i="1"/>
  <c r="U113" i="1" s="1"/>
  <c r="S113" i="1" s="1"/>
  <c r="X113" i="1"/>
  <c r="W111" i="1"/>
  <c r="W103" i="1"/>
  <c r="W99" i="1"/>
  <c r="W95" i="1"/>
  <c r="W91" i="1"/>
  <c r="W87" i="1"/>
  <c r="W83" i="1"/>
  <c r="X163" i="1"/>
  <c r="X237" i="1"/>
  <c r="AG234" i="1"/>
  <c r="X233" i="1"/>
  <c r="AG230" i="1"/>
  <c r="W230" i="1" s="1"/>
  <c r="X229" i="1"/>
  <c r="AG226" i="1"/>
  <c r="X225" i="1"/>
  <c r="AG216" i="1"/>
  <c r="W216" i="1" s="1"/>
  <c r="X215" i="1"/>
  <c r="AG212" i="1"/>
  <c r="AI212" i="1" s="1"/>
  <c r="X211" i="1"/>
  <c r="AG208" i="1"/>
  <c r="W208" i="1" s="1"/>
  <c r="X207" i="1"/>
  <c r="AG157" i="1"/>
  <c r="X156" i="1"/>
  <c r="AG153" i="1"/>
  <c r="X152" i="1"/>
  <c r="AG149" i="1"/>
  <c r="W149" i="1" s="1"/>
  <c r="X148" i="1"/>
  <c r="AG145" i="1"/>
  <c r="X144" i="1"/>
  <c r="AG141" i="1"/>
  <c r="X140" i="1"/>
  <c r="AG137" i="1"/>
  <c r="W137" i="1" s="1"/>
  <c r="X136" i="1"/>
  <c r="AG133" i="1"/>
  <c r="X132" i="1"/>
  <c r="AG129" i="1"/>
  <c r="W129" i="1" s="1"/>
  <c r="X128" i="1"/>
  <c r="AG125" i="1"/>
  <c r="X124" i="1"/>
  <c r="AG121" i="1"/>
  <c r="W121" i="1" s="1"/>
  <c r="X120" i="1"/>
  <c r="AG117" i="1"/>
  <c r="W117" i="1" s="1"/>
  <c r="U115" i="1"/>
  <c r="S115" i="1" s="1"/>
  <c r="T114" i="1"/>
  <c r="X114" i="1"/>
  <c r="AG114" i="1"/>
  <c r="W114" i="1" s="1"/>
  <c r="AI113" i="1"/>
  <c r="U111" i="1"/>
  <c r="S111" i="1" s="1"/>
  <c r="U107" i="1"/>
  <c r="S107" i="1" s="1"/>
  <c r="AI107" i="1"/>
  <c r="U103" i="1"/>
  <c r="AI103" i="1"/>
  <c r="U99" i="1"/>
  <c r="S99" i="1" s="1"/>
  <c r="AI99" i="1"/>
  <c r="U95" i="1"/>
  <c r="S95" i="1" s="1"/>
  <c r="AI95" i="1"/>
  <c r="U91" i="1"/>
  <c r="S91" i="1" s="1"/>
  <c r="AI91" i="1"/>
  <c r="U87" i="1"/>
  <c r="S87" i="1" s="1"/>
  <c r="AI87" i="1"/>
  <c r="AI83" i="1"/>
  <c r="AI184" i="1"/>
  <c r="X234" i="1"/>
  <c r="AI180" i="1"/>
  <c r="X230" i="1"/>
  <c r="X226" i="1"/>
  <c r="AI172" i="1"/>
  <c r="X216" i="1"/>
  <c r="T216" i="1"/>
  <c r="X212" i="1"/>
  <c r="T212" i="1"/>
  <c r="X208" i="1"/>
  <c r="T208" i="1"/>
  <c r="AI160" i="1"/>
  <c r="X157" i="1"/>
  <c r="T157" i="1"/>
  <c r="AI156" i="1"/>
  <c r="X153" i="1"/>
  <c r="T153" i="1"/>
  <c r="AI152" i="1"/>
  <c r="X149" i="1"/>
  <c r="T149" i="1"/>
  <c r="AI148" i="1"/>
  <c r="X145" i="1"/>
  <c r="T145" i="1"/>
  <c r="AI144" i="1"/>
  <c r="X141" i="1"/>
  <c r="T141" i="1"/>
  <c r="AI140" i="1"/>
  <c r="X137" i="1"/>
  <c r="T137" i="1"/>
  <c r="X133" i="1"/>
  <c r="T133" i="1"/>
  <c r="AI132" i="1"/>
  <c r="X129" i="1"/>
  <c r="T129" i="1"/>
  <c r="AI128" i="1"/>
  <c r="X125" i="1"/>
  <c r="T125" i="1"/>
  <c r="AI124" i="1"/>
  <c r="X121" i="1"/>
  <c r="T121" i="1"/>
  <c r="AI120" i="1"/>
  <c r="X117" i="1"/>
  <c r="T117" i="1"/>
  <c r="AI116" i="1"/>
  <c r="X165" i="1"/>
  <c r="X161" i="1"/>
  <c r="X235" i="1"/>
  <c r="X231" i="1"/>
  <c r="X227" i="1"/>
  <c r="X115" i="1"/>
  <c r="W113" i="1"/>
  <c r="U109" i="1"/>
  <c r="S109" i="1" s="1"/>
  <c r="U105" i="1"/>
  <c r="S105" i="1" s="1"/>
  <c r="U101" i="1"/>
  <c r="S101" i="1" s="1"/>
  <c r="U97" i="1"/>
  <c r="S97" i="1" s="1"/>
  <c r="U93" i="1"/>
  <c r="S93" i="1" s="1"/>
  <c r="U89" i="1"/>
  <c r="S89" i="1" s="1"/>
  <c r="U85" i="1"/>
  <c r="S85" i="1" s="1"/>
  <c r="W74" i="1"/>
  <c r="AI112" i="1"/>
  <c r="S112" i="1"/>
  <c r="AG110" i="1"/>
  <c r="W110" i="1" s="1"/>
  <c r="X109" i="1"/>
  <c r="AI108" i="1"/>
  <c r="S108" i="1"/>
  <c r="AG106" i="1"/>
  <c r="W106" i="1" s="1"/>
  <c r="X105" i="1"/>
  <c r="AI104" i="1"/>
  <c r="S104" i="1"/>
  <c r="AG102" i="1"/>
  <c r="W102" i="1" s="1"/>
  <c r="X101" i="1"/>
  <c r="AI100" i="1"/>
  <c r="AG98" i="1"/>
  <c r="W98" i="1" s="1"/>
  <c r="X97" i="1"/>
  <c r="AI96" i="1"/>
  <c r="S96" i="1"/>
  <c r="AG94" i="1"/>
  <c r="W94" i="1" s="1"/>
  <c r="X93" i="1"/>
  <c r="AI92" i="1"/>
  <c r="S92" i="1"/>
  <c r="AG90" i="1"/>
  <c r="W90" i="1" s="1"/>
  <c r="X89" i="1"/>
  <c r="AI88" i="1"/>
  <c r="AG86" i="1"/>
  <c r="W86" i="1" s="1"/>
  <c r="X85" i="1"/>
  <c r="AI84" i="1"/>
  <c r="AG82" i="1"/>
  <c r="W82" i="1" s="1"/>
  <c r="T82" i="1"/>
  <c r="U74" i="1"/>
  <c r="S74" i="1" s="1"/>
  <c r="AI74" i="1"/>
  <c r="X110" i="1"/>
  <c r="AI109" i="1"/>
  <c r="X106" i="1"/>
  <c r="AI105" i="1"/>
  <c r="X102" i="1"/>
  <c r="AI101" i="1"/>
  <c r="X98" i="1"/>
  <c r="AI97" i="1"/>
  <c r="X94" i="1"/>
  <c r="AI93" i="1"/>
  <c r="X90" i="1"/>
  <c r="AI89" i="1"/>
  <c r="X86" i="1"/>
  <c r="AI85" i="1"/>
  <c r="AI80" i="1"/>
  <c r="W70" i="1"/>
  <c r="X80" i="1"/>
  <c r="AI78" i="1"/>
  <c r="U70" i="1"/>
  <c r="S70" i="1" s="1"/>
  <c r="AI70" i="1"/>
  <c r="U79" i="1"/>
  <c r="S79" i="1" s="1"/>
  <c r="U75" i="1"/>
  <c r="S75" i="1" s="1"/>
  <c r="U71" i="1"/>
  <c r="S71" i="1" s="1"/>
  <c r="U67" i="1"/>
  <c r="S67" i="1" s="1"/>
  <c r="AG56" i="1"/>
  <c r="W56" i="1" s="1"/>
  <c r="AG52" i="1"/>
  <c r="U40" i="1"/>
  <c r="S40" i="1" s="1"/>
  <c r="AI40" i="1"/>
  <c r="U24" i="1"/>
  <c r="S24" i="1" s="1"/>
  <c r="AI24" i="1"/>
  <c r="X79" i="1"/>
  <c r="AG76" i="1"/>
  <c r="W76" i="1" s="1"/>
  <c r="X75" i="1"/>
  <c r="AG72" i="1"/>
  <c r="X71" i="1"/>
  <c r="AG68" i="1"/>
  <c r="W68" i="1" s="1"/>
  <c r="X67" i="1"/>
  <c r="AI66" i="1"/>
  <c r="S66" i="1"/>
  <c r="AG64" i="1"/>
  <c r="W64" i="1" s="1"/>
  <c r="AI62" i="1"/>
  <c r="S62" i="1"/>
  <c r="AG60" i="1"/>
  <c r="W60" i="1" s="1"/>
  <c r="AI59" i="1"/>
  <c r="S59" i="1"/>
  <c r="AG57" i="1"/>
  <c r="W57" i="1" s="1"/>
  <c r="X56" i="1"/>
  <c r="AI55" i="1"/>
  <c r="AG53" i="1"/>
  <c r="X52" i="1"/>
  <c r="AI51" i="1"/>
  <c r="S51" i="1"/>
  <c r="W50" i="1"/>
  <c r="T50" i="1"/>
  <c r="U50" i="1" s="1"/>
  <c r="S50" i="1" s="1"/>
  <c r="W49" i="1"/>
  <c r="U44" i="1"/>
  <c r="S44" i="1" s="1"/>
  <c r="AI44" i="1"/>
  <c r="U28" i="1"/>
  <c r="S28" i="1"/>
  <c r="AI28" i="1"/>
  <c r="U27" i="1"/>
  <c r="S27" i="1" s="1"/>
  <c r="U20" i="1"/>
  <c r="S20" i="1" s="1"/>
  <c r="AI20" i="1"/>
  <c r="W16" i="1"/>
  <c r="X76" i="1"/>
  <c r="X72" i="1"/>
  <c r="X68" i="1"/>
  <c r="X64" i="1"/>
  <c r="X57" i="1"/>
  <c r="X53" i="1"/>
  <c r="AI50" i="1"/>
  <c r="U48" i="1"/>
  <c r="S48" i="1" s="1"/>
  <c r="AI48" i="1"/>
  <c r="U47" i="1"/>
  <c r="S47" i="1" s="1"/>
  <c r="U32" i="1"/>
  <c r="S32" i="1" s="1"/>
  <c r="AI32" i="1"/>
  <c r="U31" i="1"/>
  <c r="S31" i="1" s="1"/>
  <c r="U16" i="1"/>
  <c r="S16" i="1" s="1"/>
  <c r="AI16" i="1"/>
  <c r="X50" i="1"/>
  <c r="W40" i="1"/>
  <c r="U36" i="1"/>
  <c r="S36" i="1" s="1"/>
  <c r="AI36" i="1"/>
  <c r="U35" i="1"/>
  <c r="S35" i="1" s="1"/>
  <c r="W24" i="1"/>
  <c r="U45" i="1"/>
  <c r="S45" i="1" s="1"/>
  <c r="U41" i="1"/>
  <c r="S41" i="1" s="1"/>
  <c r="U37" i="1"/>
  <c r="S37" i="1" s="1"/>
  <c r="U33" i="1"/>
  <c r="S33" i="1" s="1"/>
  <c r="U29" i="1"/>
  <c r="S29" i="1" s="1"/>
  <c r="U25" i="1"/>
  <c r="S25" i="1" s="1"/>
  <c r="U21" i="1"/>
  <c r="S21" i="1" s="1"/>
  <c r="U17" i="1"/>
  <c r="S17" i="1" s="1"/>
  <c r="AG46" i="1"/>
  <c r="AG42" i="1"/>
  <c r="AG38" i="1"/>
  <c r="AG34" i="1"/>
  <c r="AG30" i="1"/>
  <c r="AG26" i="1"/>
  <c r="AG22" i="1"/>
  <c r="AG18" i="1"/>
  <c r="W18" i="1" s="1"/>
  <c r="AG14" i="1"/>
  <c r="X46" i="1"/>
  <c r="X42" i="1"/>
  <c r="X38" i="1"/>
  <c r="X34" i="1"/>
  <c r="X30" i="1"/>
  <c r="X26" i="1"/>
  <c r="AG23" i="1"/>
  <c r="X22" i="1"/>
  <c r="AG19" i="1"/>
  <c r="X18" i="1"/>
  <c r="AG15" i="1"/>
  <c r="W15" i="1" s="1"/>
  <c r="X47" i="1"/>
  <c r="X43" i="1"/>
  <c r="X39" i="1"/>
  <c r="X35" i="1"/>
  <c r="X31" i="1"/>
  <c r="X27" i="1"/>
  <c r="X23" i="1"/>
  <c r="X19" i="1"/>
  <c r="X15" i="1"/>
  <c r="AD15" i="3"/>
  <c r="AD18" i="3"/>
  <c r="Y20" i="3"/>
  <c r="T35" i="3"/>
  <c r="AD10" i="3"/>
  <c r="AD11" i="3"/>
  <c r="T11" i="3"/>
  <c r="T45" i="3"/>
  <c r="AD33" i="3"/>
  <c r="T43" i="3"/>
  <c r="T41" i="3"/>
  <c r="AD35" i="3"/>
  <c r="Y50" i="3"/>
  <c r="T14" i="3"/>
  <c r="AD14" i="3"/>
  <c r="AD9" i="3"/>
  <c r="AE9" i="3"/>
  <c r="T10" i="3"/>
  <c r="Y45" i="3"/>
  <c r="Y10" i="3"/>
  <c r="AD39" i="3"/>
  <c r="T37" i="3"/>
  <c r="Y43" i="3"/>
  <c r="AD50" i="3"/>
  <c r="Y33" i="3"/>
  <c r="Y32" i="3"/>
  <c r="AE43" i="3"/>
  <c r="AE41" i="3"/>
  <c r="T7" i="3"/>
  <c r="T51" i="3"/>
  <c r="AD31" i="3"/>
  <c r="Y39" i="3"/>
  <c r="AD27" i="3"/>
  <c r="Y14" i="3"/>
  <c r="Y42" i="3"/>
  <c r="AD19" i="3"/>
  <c r="AC43" i="3"/>
  <c r="AE49" i="3"/>
  <c r="Y11" i="3"/>
  <c r="T47" i="3"/>
  <c r="Y27" i="3"/>
  <c r="AC7" i="3"/>
  <c r="AE39" i="3"/>
  <c r="AE37" i="3"/>
  <c r="Y41" i="3"/>
  <c r="AC51" i="3"/>
  <c r="AE35" i="3"/>
  <c r="AE33" i="3"/>
  <c r="Y37" i="3"/>
  <c r="T36" i="3"/>
  <c r="T40" i="3"/>
  <c r="Y29" i="3"/>
  <c r="AC25" i="3"/>
  <c r="AE19" i="3"/>
  <c r="AE17" i="3"/>
  <c r="Y21" i="3"/>
  <c r="T24" i="3"/>
  <c r="T28" i="3"/>
  <c r="Y49" i="3"/>
  <c r="Y44" i="3"/>
  <c r="Y34" i="3"/>
  <c r="AC30" i="3"/>
  <c r="AE31" i="3"/>
  <c r="AE29" i="3"/>
  <c r="Y36" i="3"/>
  <c r="Y22" i="3"/>
  <c r="AC35" i="3"/>
  <c r="AE15" i="3"/>
  <c r="AE13" i="3"/>
  <c r="Y24" i="3"/>
  <c r="AC47" i="3"/>
  <c r="AE47" i="3"/>
  <c r="AC40" i="3"/>
  <c r="AE27" i="3"/>
  <c r="AC28" i="3"/>
  <c r="AE11" i="3"/>
  <c r="T19" i="3"/>
  <c r="AE36" i="3"/>
  <c r="AC19" i="3"/>
  <c r="AD36" i="3"/>
  <c r="T33" i="3"/>
  <c r="AE48" i="3"/>
  <c r="AC33" i="3"/>
  <c r="T26" i="3"/>
  <c r="AE32" i="3"/>
  <c r="AC26" i="3"/>
  <c r="AD32" i="3"/>
  <c r="T20" i="3"/>
  <c r="AC20" i="3"/>
  <c r="Y19" i="3"/>
  <c r="T23" i="3"/>
  <c r="AE20" i="3"/>
  <c r="AC23" i="3"/>
  <c r="AD20" i="3"/>
  <c r="T38" i="3"/>
  <c r="AE28" i="3"/>
  <c r="AC38" i="3"/>
  <c r="AD28" i="3"/>
  <c r="T48" i="3"/>
  <c r="AE44" i="3"/>
  <c r="AC48" i="3"/>
  <c r="AD44" i="3"/>
  <c r="AC49" i="3"/>
  <c r="T49" i="3"/>
  <c r="AE50" i="3"/>
  <c r="T31" i="3"/>
  <c r="AE40" i="3"/>
  <c r="AC31" i="3"/>
  <c r="AD40" i="3"/>
  <c r="T15" i="3"/>
  <c r="AE24" i="3"/>
  <c r="AC15" i="3"/>
  <c r="AD24" i="3"/>
  <c r="AD12" i="3"/>
  <c r="AD8" i="3"/>
  <c r="AE46" i="3"/>
  <c r="T46" i="3"/>
  <c r="AE42" i="3"/>
  <c r="T27" i="3"/>
  <c r="AE38" i="3"/>
  <c r="T44" i="3"/>
  <c r="AE34" i="3"/>
  <c r="T34" i="3"/>
  <c r="AE30" i="3"/>
  <c r="T39" i="3"/>
  <c r="AE26" i="3"/>
  <c r="T50" i="3"/>
  <c r="AE22" i="3"/>
  <c r="T29" i="3"/>
  <c r="AE18" i="3"/>
  <c r="T22" i="3"/>
  <c r="AE14" i="3"/>
  <c r="T12" i="3"/>
  <c r="AC13" i="3"/>
  <c r="AE10" i="3"/>
  <c r="T17" i="3"/>
  <c r="AC8" i="3"/>
  <c r="AE12" i="3"/>
  <c r="AE8" i="3"/>
  <c r="O2" i="3"/>
  <c r="M16" i="3"/>
  <c r="R16" i="3"/>
  <c r="S16" i="3"/>
  <c r="U16" i="3"/>
  <c r="T16" i="3" s="1"/>
  <c r="V16" i="3"/>
  <c r="W16" i="3"/>
  <c r="X16" i="3"/>
  <c r="W35" i="1" l="1"/>
  <c r="W219" i="1"/>
  <c r="U184" i="1"/>
  <c r="S184" i="1" s="1"/>
  <c r="U221" i="1"/>
  <c r="S221" i="1" s="1"/>
  <c r="W97" i="1"/>
  <c r="W200" i="1"/>
  <c r="W78" i="1"/>
  <c r="U159" i="1"/>
  <c r="S159" i="1" s="1"/>
  <c r="U228" i="1"/>
  <c r="S228" i="1" s="1"/>
  <c r="U39" i="1"/>
  <c r="S39" i="1" s="1"/>
  <c r="U63" i="1"/>
  <c r="S63" i="1" s="1"/>
  <c r="AI224" i="1"/>
  <c r="W41" i="1"/>
  <c r="W150" i="1"/>
  <c r="W54" i="1"/>
  <c r="U78" i="1"/>
  <c r="S78" i="1" s="1"/>
  <c r="U211" i="1"/>
  <c r="S211" i="1" s="1"/>
  <c r="U88" i="1"/>
  <c r="S88" i="1" s="1"/>
  <c r="W211" i="1"/>
  <c r="W27" i="1"/>
  <c r="W161" i="1"/>
  <c r="W153" i="1"/>
  <c r="AI206" i="1"/>
  <c r="U61" i="1"/>
  <c r="S61" i="1" s="1"/>
  <c r="W181" i="1"/>
  <c r="U241" i="1"/>
  <c r="S241" i="1" s="1"/>
  <c r="U143" i="1"/>
  <c r="S143" i="1" s="1"/>
  <c r="W118" i="1"/>
  <c r="W42" i="1"/>
  <c r="U43" i="1"/>
  <c r="S43" i="1" s="1"/>
  <c r="AI136" i="1"/>
  <c r="AI176" i="1"/>
  <c r="U174" i="1"/>
  <c r="S174" i="1" s="1"/>
  <c r="W59" i="1"/>
  <c r="W120" i="1"/>
  <c r="W25" i="1"/>
  <c r="W227" i="1"/>
  <c r="W185" i="1"/>
  <c r="W213" i="1"/>
  <c r="W77" i="1"/>
  <c r="W170" i="1"/>
  <c r="AI170" i="1"/>
  <c r="U135" i="1"/>
  <c r="S135" i="1" s="1"/>
  <c r="W17" i="1"/>
  <c r="U122" i="1"/>
  <c r="S122" i="1" s="1"/>
  <c r="AI122" i="1"/>
  <c r="U130" i="1"/>
  <c r="S130" i="1" s="1"/>
  <c r="AI130" i="1"/>
  <c r="U54" i="1"/>
  <c r="S54" i="1" s="1"/>
  <c r="AI54" i="1"/>
  <c r="W85" i="1"/>
  <c r="W92" i="1"/>
  <c r="W100" i="1"/>
  <c r="W108" i="1"/>
  <c r="W128" i="1"/>
  <c r="W144" i="1"/>
  <c r="W112" i="1"/>
  <c r="W130" i="1"/>
  <c r="W176" i="1"/>
  <c r="S193" i="1"/>
  <c r="W173" i="1"/>
  <c r="W177" i="1"/>
  <c r="U192" i="1"/>
  <c r="S192" i="1" s="1"/>
  <c r="AI192" i="1"/>
  <c r="W184" i="1"/>
  <c r="U146" i="1"/>
  <c r="S146" i="1" s="1"/>
  <c r="AI146" i="1"/>
  <c r="U65" i="1"/>
  <c r="S65" i="1" s="1"/>
  <c r="AI65" i="1"/>
  <c r="W136" i="1"/>
  <c r="W146" i="1"/>
  <c r="W43" i="1"/>
  <c r="AI208" i="1"/>
  <c r="AI216" i="1"/>
  <c r="W199" i="1"/>
  <c r="AI199" i="1"/>
  <c r="W193" i="1"/>
  <c r="U49" i="1"/>
  <c r="S49" i="1" s="1"/>
  <c r="AI49" i="1"/>
  <c r="U138" i="1"/>
  <c r="S138" i="1" s="1"/>
  <c r="AI138" i="1"/>
  <c r="W47" i="1"/>
  <c r="W206" i="1"/>
  <c r="W223" i="1"/>
  <c r="W138" i="1"/>
  <c r="U150" i="1"/>
  <c r="S150" i="1" s="1"/>
  <c r="AI150" i="1"/>
  <c r="U158" i="1"/>
  <c r="S158" i="1" s="1"/>
  <c r="AI158" i="1"/>
  <c r="U231" i="1"/>
  <c r="S231" i="1" s="1"/>
  <c r="AI231" i="1"/>
  <c r="W238" i="1"/>
  <c r="AI72" i="1"/>
  <c r="U72" i="1"/>
  <c r="S72" i="1" s="1"/>
  <c r="AI14" i="1"/>
  <c r="U14" i="1"/>
  <c r="S14" i="1" s="1"/>
  <c r="AI30" i="1"/>
  <c r="U30" i="1"/>
  <c r="S30" i="1" s="1"/>
  <c r="AI46" i="1"/>
  <c r="U46" i="1"/>
  <c r="S46" i="1" s="1"/>
  <c r="AI52" i="1"/>
  <c r="U52" i="1"/>
  <c r="S52" i="1" s="1"/>
  <c r="U15" i="1"/>
  <c r="S15" i="1" s="1"/>
  <c r="AI15" i="1"/>
  <c r="U23" i="1"/>
  <c r="S23" i="1" s="1"/>
  <c r="AI23" i="1"/>
  <c r="AI18" i="1"/>
  <c r="U18" i="1"/>
  <c r="S18" i="1" s="1"/>
  <c r="AI34" i="1"/>
  <c r="U34" i="1"/>
  <c r="S34" i="1" s="1"/>
  <c r="W14" i="1"/>
  <c r="AI56" i="1"/>
  <c r="U56" i="1"/>
  <c r="S56" i="1" s="1"/>
  <c r="W72" i="1"/>
  <c r="AI185" i="1"/>
  <c r="U160" i="1"/>
  <c r="S160" i="1" s="1"/>
  <c r="U195" i="1"/>
  <c r="S195" i="1" s="1"/>
  <c r="AI222" i="1"/>
  <c r="W195" i="1"/>
  <c r="U220" i="1"/>
  <c r="S220" i="1" s="1"/>
  <c r="AI238" i="1"/>
  <c r="U191" i="1"/>
  <c r="S191" i="1" s="1"/>
  <c r="AI218" i="1"/>
  <c r="AI225" i="1"/>
  <c r="U198" i="1"/>
  <c r="S198" i="1" s="1"/>
  <c r="W191" i="1"/>
  <c r="W220" i="1"/>
  <c r="W198" i="1"/>
  <c r="U114" i="1"/>
  <c r="S114" i="1" s="1"/>
  <c r="AI114" i="1"/>
  <c r="AI117" i="1"/>
  <c r="U117" i="1"/>
  <c r="S117" i="1" s="1"/>
  <c r="AI125" i="1"/>
  <c r="U125" i="1"/>
  <c r="S125" i="1" s="1"/>
  <c r="AI133" i="1"/>
  <c r="U133" i="1"/>
  <c r="S133" i="1" s="1"/>
  <c r="AI141" i="1"/>
  <c r="U141" i="1"/>
  <c r="S141" i="1" s="1"/>
  <c r="AI149" i="1"/>
  <c r="U149" i="1"/>
  <c r="S149" i="1" s="1"/>
  <c r="AI157" i="1"/>
  <c r="U157" i="1"/>
  <c r="S157" i="1" s="1"/>
  <c r="AI165" i="1"/>
  <c r="U212" i="1"/>
  <c r="S212" i="1" s="1"/>
  <c r="AI173" i="1"/>
  <c r="U226" i="1"/>
  <c r="S226" i="1" s="1"/>
  <c r="S234" i="1"/>
  <c r="AI181" i="1"/>
  <c r="U234" i="1"/>
  <c r="W125" i="1"/>
  <c r="W157" i="1"/>
  <c r="U168" i="1"/>
  <c r="S168" i="1" s="1"/>
  <c r="AI193" i="1"/>
  <c r="U240" i="1"/>
  <c r="S240" i="1" s="1"/>
  <c r="AI234" i="1"/>
  <c r="AI229" i="1"/>
  <c r="U202" i="1"/>
  <c r="S202" i="1" s="1"/>
  <c r="W168" i="1"/>
  <c r="W202" i="1"/>
  <c r="U19" i="1"/>
  <c r="S19" i="1" s="1"/>
  <c r="AI19" i="1"/>
  <c r="S26" i="1"/>
  <c r="AI26" i="1"/>
  <c r="U26" i="1"/>
  <c r="AI42" i="1"/>
  <c r="U42" i="1"/>
  <c r="S42" i="1" s="1"/>
  <c r="W46" i="1"/>
  <c r="W26" i="1"/>
  <c r="W19" i="1"/>
  <c r="W23" i="1"/>
  <c r="W34" i="1"/>
  <c r="W52" i="1"/>
  <c r="W133" i="1"/>
  <c r="W212" i="1"/>
  <c r="U170" i="1"/>
  <c r="S170" i="1" s="1"/>
  <c r="AI197" i="1"/>
  <c r="U203" i="1"/>
  <c r="S203" i="1" s="1"/>
  <c r="AI230" i="1"/>
  <c r="W203" i="1"/>
  <c r="W240" i="1"/>
  <c r="AI22" i="1"/>
  <c r="U22" i="1"/>
  <c r="S22" i="1" s="1"/>
  <c r="AI38" i="1"/>
  <c r="U38" i="1"/>
  <c r="S38" i="1" s="1"/>
  <c r="W22" i="1"/>
  <c r="W30" i="1"/>
  <c r="W38" i="1"/>
  <c r="AI53" i="1"/>
  <c r="U53" i="1"/>
  <c r="S53" i="1" s="1"/>
  <c r="AI57" i="1"/>
  <c r="U57" i="1"/>
  <c r="S57" i="1" s="1"/>
  <c r="AI60" i="1"/>
  <c r="U60" i="1"/>
  <c r="S60" i="1" s="1"/>
  <c r="AI64" i="1"/>
  <c r="U64" i="1"/>
  <c r="S64" i="1" s="1"/>
  <c r="AI68" i="1"/>
  <c r="U68" i="1"/>
  <c r="S68" i="1" s="1"/>
  <c r="AI76" i="1"/>
  <c r="U76" i="1"/>
  <c r="S76" i="1" s="1"/>
  <c r="AI82" i="1"/>
  <c r="U82" i="1"/>
  <c r="S82" i="1" s="1"/>
  <c r="AI86" i="1"/>
  <c r="U86" i="1"/>
  <c r="S86" i="1" s="1"/>
  <c r="AI90" i="1"/>
  <c r="U90" i="1"/>
  <c r="S90" i="1" s="1"/>
  <c r="AI94" i="1"/>
  <c r="U94" i="1"/>
  <c r="S94" i="1" s="1"/>
  <c r="AI98" i="1"/>
  <c r="U98" i="1"/>
  <c r="S98" i="1" s="1"/>
  <c r="AI102" i="1"/>
  <c r="U102" i="1"/>
  <c r="S102" i="1" s="1"/>
  <c r="AI106" i="1"/>
  <c r="U106" i="1"/>
  <c r="S106" i="1" s="1"/>
  <c r="AI110" i="1"/>
  <c r="U110" i="1"/>
  <c r="S110" i="1" s="1"/>
  <c r="W53" i="1"/>
  <c r="AI121" i="1"/>
  <c r="U121" i="1"/>
  <c r="S121" i="1" s="1"/>
  <c r="AI129" i="1"/>
  <c r="U129" i="1"/>
  <c r="S129" i="1" s="1"/>
  <c r="AI137" i="1"/>
  <c r="U137" i="1"/>
  <c r="S137" i="1" s="1"/>
  <c r="AI145" i="1"/>
  <c r="U145" i="1"/>
  <c r="S145" i="1" s="1"/>
  <c r="AI153" i="1"/>
  <c r="U153" i="1"/>
  <c r="S153" i="1" s="1"/>
  <c r="AI161" i="1"/>
  <c r="U208" i="1"/>
  <c r="S208" i="1" s="1"/>
  <c r="AI169" i="1"/>
  <c r="U216" i="1"/>
  <c r="S216" i="1" s="1"/>
  <c r="AI177" i="1"/>
  <c r="U230" i="1"/>
  <c r="S230" i="1" s="1"/>
  <c r="W141" i="1"/>
  <c r="W226" i="1"/>
  <c r="W145" i="1"/>
  <c r="W234" i="1"/>
  <c r="AI189" i="1"/>
  <c r="U164" i="1"/>
  <c r="S164" i="1" s="1"/>
  <c r="U199" i="1"/>
  <c r="S199" i="1" s="1"/>
  <c r="AI226" i="1"/>
  <c r="U224" i="1"/>
  <c r="S224" i="1" s="1"/>
  <c r="AI242" i="1"/>
  <c r="AD16" i="3"/>
  <c r="AE16" i="3"/>
  <c r="AC16" i="3"/>
  <c r="Y16" i="3"/>
  <c r="M28" i="5" l="1"/>
  <c r="M23" i="5" l="1"/>
  <c r="AD7" i="3" l="1"/>
  <c r="AN13" i="1"/>
  <c r="AE7" i="3" l="1"/>
  <c r="K13" i="1" l="1"/>
  <c r="M13" i="1"/>
  <c r="N13" i="1" s="1"/>
  <c r="Y13" i="1"/>
  <c r="Z13" i="1"/>
  <c r="AB13" i="1"/>
  <c r="AC13" i="1"/>
  <c r="AD13" i="1"/>
  <c r="X14" i="1" s="1"/>
  <c r="AE13" i="1"/>
  <c r="AM13" i="1"/>
  <c r="AG13" i="1" l="1"/>
  <c r="AI13" i="1" s="1"/>
  <c r="X13" i="1"/>
  <c r="AA13" i="1"/>
  <c r="T13" i="1"/>
  <c r="W13" i="1" l="1"/>
  <c r="B93" i="9"/>
  <c r="B94" i="9"/>
  <c r="B95" i="9"/>
  <c r="B96" i="9"/>
  <c r="C96" i="9" s="1"/>
  <c r="B97" i="9"/>
  <c r="B98" i="9"/>
  <c r="B99" i="9"/>
  <c r="B100" i="9"/>
  <c r="B101" i="9"/>
  <c r="B102" i="9"/>
  <c r="B103" i="9"/>
  <c r="B104" i="9"/>
  <c r="B105" i="9"/>
  <c r="C106" i="9" s="1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C120" i="9" s="1"/>
  <c r="B121" i="9"/>
  <c r="B122" i="9"/>
  <c r="B123" i="9"/>
  <c r="B124" i="9"/>
  <c r="B125" i="9"/>
  <c r="B126" i="9"/>
  <c r="B127" i="9"/>
  <c r="B128" i="9"/>
  <c r="C128" i="9" s="1"/>
  <c r="B129" i="9"/>
  <c r="B130" i="9"/>
  <c r="C114" i="9" l="1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V13" i="1" l="1"/>
  <c r="B31" i="9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N8" i="3" s="1"/>
  <c r="G47" i="4"/>
  <c r="N16" i="3" s="1"/>
  <c r="G48" i="4"/>
  <c r="G49" i="4"/>
  <c r="G50" i="4"/>
  <c r="G51" i="4"/>
  <c r="G52" i="4"/>
  <c r="G53" i="4"/>
  <c r="G54" i="4"/>
  <c r="N9" i="3" s="1"/>
  <c r="G55" i="4"/>
  <c r="G56" i="4"/>
  <c r="G57" i="4"/>
  <c r="G58" i="4"/>
  <c r="N28" i="3" s="1"/>
  <c r="G59" i="4"/>
  <c r="G60" i="4"/>
  <c r="G61" i="4"/>
  <c r="G62" i="4"/>
  <c r="G63" i="4"/>
  <c r="G64" i="4"/>
  <c r="N17" i="3" s="1"/>
  <c r="G65" i="4"/>
  <c r="G66" i="4"/>
  <c r="G67" i="4"/>
  <c r="G68" i="4"/>
  <c r="G69" i="4"/>
  <c r="N24" i="3" s="1"/>
  <c r="G70" i="4"/>
  <c r="G71" i="4"/>
  <c r="G72" i="4"/>
  <c r="G73" i="4"/>
  <c r="G74" i="4"/>
  <c r="N13" i="3" s="1"/>
  <c r="G75" i="4"/>
  <c r="G76" i="4"/>
  <c r="G77" i="4"/>
  <c r="G78" i="4"/>
  <c r="G79" i="4"/>
  <c r="G80" i="4"/>
  <c r="G81" i="4"/>
  <c r="G82" i="4"/>
  <c r="G83" i="4"/>
  <c r="G84" i="4"/>
  <c r="G85" i="4"/>
  <c r="N12" i="3" s="1"/>
  <c r="G86" i="4"/>
  <c r="G87" i="4"/>
  <c r="G88" i="4"/>
  <c r="G89" i="4"/>
  <c r="G90" i="4"/>
  <c r="G91" i="4"/>
  <c r="G92" i="4"/>
  <c r="G93" i="4"/>
  <c r="G94" i="4"/>
  <c r="N35" i="3" s="1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N25" i="3" s="1"/>
  <c r="G112" i="4"/>
  <c r="G113" i="4"/>
  <c r="G114" i="4"/>
  <c r="G115" i="4"/>
  <c r="G116" i="4"/>
  <c r="N23" i="3" s="1"/>
  <c r="G117" i="4"/>
  <c r="G118" i="4"/>
  <c r="G119" i="4"/>
  <c r="G120" i="4"/>
  <c r="N42" i="3" s="1"/>
  <c r="G121" i="4"/>
  <c r="G122" i="4"/>
  <c r="G123" i="4"/>
  <c r="G124" i="4"/>
  <c r="G125" i="4"/>
  <c r="N29" i="3" s="1"/>
  <c r="G126" i="4"/>
  <c r="G127" i="4"/>
  <c r="G128" i="4"/>
  <c r="G129" i="4"/>
  <c r="G130" i="4"/>
  <c r="G131" i="4"/>
  <c r="G132" i="4"/>
  <c r="G133" i="4"/>
  <c r="N18" i="3" s="1"/>
  <c r="G134" i="4"/>
  <c r="G135" i="4"/>
  <c r="G136" i="4"/>
  <c r="G137" i="4"/>
  <c r="G138" i="4"/>
  <c r="G139" i="4"/>
  <c r="G140" i="4"/>
  <c r="N40" i="3" s="1"/>
  <c r="G141" i="4"/>
  <c r="N50" i="3" s="1"/>
  <c r="G142" i="4"/>
  <c r="G143" i="4"/>
  <c r="G144" i="4"/>
  <c r="G145" i="4"/>
  <c r="N38" i="3" s="1"/>
  <c r="G146" i="4"/>
  <c r="N30" i="3" s="1"/>
  <c r="G147" i="4"/>
  <c r="G148" i="4"/>
  <c r="N26" i="3" s="1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N37" i="3" s="1"/>
  <c r="G172" i="4"/>
  <c r="G173" i="4"/>
  <c r="G174" i="4"/>
  <c r="G175" i="4"/>
  <c r="G176" i="4"/>
  <c r="G177" i="4"/>
  <c r="G178" i="4"/>
  <c r="G179" i="4"/>
  <c r="G180" i="4"/>
  <c r="G181" i="4"/>
  <c r="N34" i="3" s="1"/>
  <c r="G182" i="4"/>
  <c r="G183" i="4"/>
  <c r="N51" i="3" s="1"/>
  <c r="G184" i="4"/>
  <c r="G185" i="4"/>
  <c r="G186" i="4"/>
  <c r="G187" i="4"/>
  <c r="G188" i="4"/>
  <c r="G189" i="4"/>
  <c r="G190" i="4"/>
  <c r="N41" i="3" s="1"/>
  <c r="G191" i="4"/>
  <c r="N19" i="3" s="1"/>
  <c r="G192" i="4"/>
  <c r="G193" i="4"/>
  <c r="G194" i="4"/>
  <c r="G195" i="4"/>
  <c r="G196" i="4"/>
  <c r="G197" i="4"/>
  <c r="G198" i="4"/>
  <c r="G199" i="4"/>
  <c r="G200" i="4"/>
  <c r="N44" i="3" s="1"/>
  <c r="G201" i="4"/>
  <c r="G202" i="4"/>
  <c r="G203" i="4"/>
  <c r="G204" i="4"/>
  <c r="G205" i="4"/>
  <c r="G206" i="4"/>
  <c r="G207" i="4"/>
  <c r="G208" i="4"/>
  <c r="G209" i="4"/>
  <c r="G210" i="4"/>
  <c r="G211" i="4"/>
  <c r="G212" i="4"/>
  <c r="N7" i="3" s="1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N31" i="3" s="1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N32" i="3" s="1"/>
  <c r="G244" i="4"/>
  <c r="G245" i="4"/>
  <c r="N33" i="3" s="1"/>
  <c r="G246" i="4"/>
  <c r="G247" i="4"/>
  <c r="G248" i="4"/>
  <c r="N11" i="3" s="1"/>
  <c r="G249" i="4"/>
  <c r="N49" i="3" s="1"/>
  <c r="G250" i="4"/>
  <c r="G251" i="4"/>
  <c r="G252" i="4"/>
  <c r="G253" i="4"/>
  <c r="G254" i="4"/>
  <c r="N43" i="3" s="1"/>
  <c r="G255" i="4"/>
  <c r="G256" i="4"/>
  <c r="G257" i="4"/>
  <c r="G258" i="4"/>
  <c r="G2" i="4"/>
  <c r="N46" i="3" l="1"/>
  <c r="N45" i="3"/>
  <c r="N47" i="3"/>
  <c r="N48" i="3"/>
  <c r="N10" i="3"/>
  <c r="N27" i="3"/>
  <c r="N20" i="3"/>
  <c r="N21" i="3"/>
  <c r="N22" i="3"/>
  <c r="N39" i="3"/>
  <c r="N36" i="3"/>
  <c r="N14" i="3"/>
  <c r="N15" i="3"/>
  <c r="L13" i="1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59" i="4" l="1"/>
  <c r="G260" i="4"/>
  <c r="G261" i="4"/>
  <c r="G262" i="4"/>
  <c r="G263" i="4"/>
  <c r="G264" i="4"/>
  <c r="G265" i="4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3" i="3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  <c r="B3" i="6" l="1"/>
  <c r="I3" i="6" l="1"/>
  <c r="F3" i="6"/>
  <c r="B4" i="6"/>
  <c r="J3" i="6"/>
  <c r="G3" i="6"/>
  <c r="H3" i="6"/>
  <c r="I4" i="6" l="1"/>
  <c r="F4" i="6"/>
  <c r="H4" i="6"/>
  <c r="J4" i="6"/>
  <c r="G4" i="6"/>
  <c r="B5" i="6"/>
  <c r="I5" i="6" l="1"/>
  <c r="F5" i="6"/>
  <c r="B6" i="6"/>
  <c r="G5" i="6"/>
  <c r="J5" i="6"/>
  <c r="H5" i="6"/>
  <c r="I6" i="6" l="1"/>
  <c r="F6" i="6"/>
  <c r="G6" i="6"/>
  <c r="H6" i="6"/>
  <c r="J6" i="6"/>
  <c r="B7" i="6"/>
  <c r="I7" i="6" l="1"/>
  <c r="F7" i="6"/>
  <c r="J7" i="6"/>
  <c r="G7" i="6"/>
  <c r="H7" i="6"/>
  <c r="B8" i="6"/>
  <c r="I8" i="6" l="1"/>
  <c r="F8" i="6"/>
  <c r="G8" i="6"/>
  <c r="H8" i="6"/>
  <c r="J8" i="6"/>
  <c r="B9" i="6"/>
  <c r="I9" i="6" l="1"/>
  <c r="F9" i="6"/>
  <c r="B10" i="6"/>
  <c r="J9" i="6"/>
  <c r="H9" i="6"/>
  <c r="G9" i="6"/>
  <c r="I10" i="6" l="1"/>
  <c r="F10" i="6"/>
  <c r="J10" i="6"/>
  <c r="G10" i="6"/>
  <c r="H10" i="6"/>
  <c r="B11" i="6"/>
  <c r="I11" i="6" l="1"/>
  <c r="F11" i="6"/>
  <c r="B12" i="6"/>
  <c r="G11" i="6"/>
  <c r="J11" i="6"/>
  <c r="H11" i="6"/>
  <c r="I12" i="6" l="1"/>
  <c r="F12" i="6"/>
  <c r="G12" i="6"/>
  <c r="J12" i="6"/>
  <c r="H12" i="6"/>
  <c r="B74" i="6" l="1"/>
  <c r="I74" i="6" l="1"/>
  <c r="F74" i="6"/>
  <c r="B75" i="6"/>
  <c r="H74" i="6"/>
  <c r="G74" i="6"/>
  <c r="J74" i="6"/>
  <c r="I75" i="6" l="1"/>
  <c r="F75" i="6"/>
  <c r="B76" i="6"/>
  <c r="J75" i="6"/>
  <c r="G75" i="6"/>
  <c r="H75" i="6"/>
  <c r="I76" i="6" l="1"/>
  <c r="F76" i="6"/>
  <c r="H76" i="6"/>
  <c r="G76" i="6"/>
  <c r="J76" i="6"/>
  <c r="B77" i="6"/>
  <c r="I77" i="6" l="1"/>
  <c r="F77" i="6"/>
  <c r="H77" i="6"/>
  <c r="J77" i="6"/>
  <c r="G77" i="6"/>
  <c r="B78" i="6"/>
  <c r="I78" i="6" l="1"/>
  <c r="F78" i="6"/>
  <c r="G78" i="6"/>
  <c r="J78" i="6"/>
  <c r="H78" i="6"/>
  <c r="B79" i="6"/>
  <c r="I79" i="6" l="1"/>
  <c r="F79" i="6"/>
  <c r="B80" i="6"/>
  <c r="H79" i="6"/>
  <c r="J79" i="6"/>
  <c r="G79" i="6"/>
  <c r="I80" i="6" l="1"/>
  <c r="F80" i="6"/>
  <c r="B81" i="6"/>
  <c r="J80" i="6"/>
  <c r="H80" i="6"/>
  <c r="G80" i="6"/>
  <c r="I81" i="6" l="1"/>
  <c r="F81" i="6"/>
  <c r="B83" i="6"/>
  <c r="B82" i="6"/>
  <c r="G81" i="6"/>
  <c r="H81" i="6"/>
  <c r="J81" i="6"/>
  <c r="I82" i="6" l="1"/>
  <c r="F82" i="6"/>
  <c r="I83" i="6"/>
  <c r="F83" i="6"/>
  <c r="G82" i="6"/>
  <c r="H82" i="6"/>
  <c r="J82" i="6"/>
  <c r="J83" i="6"/>
  <c r="G83" i="6"/>
  <c r="H83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<sst xmlns="http://schemas.openxmlformats.org/spreadsheetml/2006/main" count="2908" uniqueCount="1042">
  <si>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</si>
  <si>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</si>
  <si>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</si>
  <si>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</si>
  <si>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</si>
  <si>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</si>
  <si>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</si>
  <si>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</si>
  <si>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</si>
  <si>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</si>
  <si>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</si>
  <si>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</si>
  <si>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</si>
  <si>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</si>
  <si>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</si>
  <si>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</si>
  <si>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</si>
  <si>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</si>
  <si>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</si>
  <si>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</si>
  <si>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</si>
  <si>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</si>
  <si>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</si>
  <si>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</si>
  <si>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</si>
  <si>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</si>
  <si>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</si>
  <si>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</si>
  <si>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</si>
  <si>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</si>
  <si>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</si>
  <si>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</si>
  <si>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</si>
  <si>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</si>
  <si>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</si>
  <si>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</si>
  <si>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</si>
  <si>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</si>
  <si>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</si>
  <si>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</si>
  <si>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</si>
  <si>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</si>
  <si>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</si>
  <si>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</si>
  <si>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</si>
  <si>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</si>
  <si>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</si>
  <si>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</si>
  <si>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</si>
  <si>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</si>
  <si>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</si>
  <si>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</si>
  <si>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</si>
  <si>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</si>
  <si>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</si>
  <si>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</si>
  <si>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</si>
  <si>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</si>
  <si>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</si>
  <si>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</si>
  <si>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</si>
  <si>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</si>
  <si>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</si>
  <si>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</si>
  <si>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</si>
  <si>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</si>
  <si>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</si>
  <si>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</si>
  <si>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</si>
  <si>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</si>
  <si>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</si>
  <si>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</si>
  <si>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</si>
  <si>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</si>
  <si>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</si>
  <si>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</si>
  <si>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</si>
  <si>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</si>
  <si>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</si>
  <si>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</si>
  <si>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</si>
  <si>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</si>
  <si>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</si>
  <si>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</si>
  <si>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</si>
  <si>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</si>
  <si>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</si>
  <si>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</si>
  <si>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</si>
  <si>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</si>
  <si>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</si>
  <si>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</si>
  <si>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</si>
  <si>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</si>
  <si>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</si>
  <si>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</si>
  <si>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</si>
  <si>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</si>
  <si>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</si>
  <si>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</si>
  <si>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</si>
  <si>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</si>
  <si>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</si>
  <si>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</si>
  <si>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</si>
  <si>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</si>
  <si>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</si>
  <si>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</si>
  <si>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</si>
  <si>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</si>
  <si>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</si>
  <si>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</si>
  <si>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</si>
  <si>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</si>
  <si>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</si>
  <si>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</si>
  <si>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</si>
  <si>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</si>
  <si>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</si>
  <si>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</si>
  <si>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</si>
  <si>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</si>
  <si>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</si>
  <si>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</si>
  <si>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</si>
  <si>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</si>
  <si>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</si>
  <si>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</si>
  <si>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</si>
  <si>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</si>
  <si>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</si>
  <si>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</si>
  <si>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</si>
  <si>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</si>
  <si>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</si>
  <si>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</si>
  <si>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</si>
  <si>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</si>
  <si>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</si>
  <si>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</si>
  <si>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</si>
  <si>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</si>
  <si>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</si>
  <si>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</si>
  <si>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</si>
  <si>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</si>
  <si>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</si>
  <si>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</si>
  <si>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</si>
  <si>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</si>
  <si>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</si>
  <si>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</si>
  <si>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</si>
  <si>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</si>
  <si>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</si>
  <si>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</si>
  <si>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</si>
  <si>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</si>
  <si>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</si>
  <si>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</si>
  <si>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</si>
  <si>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</si>
  <si>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</si>
  <si>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</si>
  <si>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</si>
  <si>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</si>
  <si>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</si>
  <si>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</si>
  <si>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</si>
  <si>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</si>
  <si>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</si>
  <si>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</si>
  <si>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</si>
  <si>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</si>
  <si>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</si>
  <si>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</si>
  <si>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</si>
  <si>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</si>
  <si>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</si>
  <si>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</si>
  <si>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</si>
  <si>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</si>
  <si>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</si>
  <si>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</si>
  <si>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</si>
  <si>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</si>
  <si>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</si>
  <si>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</si>
  <si>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</si>
  <si>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</si>
  <si>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</si>
  <si>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</si>
  <si>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</si>
  <si>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</si>
  <si>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</si>
  <si>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</si>
  <si>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</si>
  <si>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</si>
  <si>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</si>
  <si>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rtdc.l.rtdc.4030:itc</t>
  </si>
  <si>
    <t>AWS CP Parallel</t>
  </si>
  <si>
    <t>DownloadS3Logs</t>
  </si>
  <si>
    <t>%USERPROFILE%\Documents\GitHub\eaglep3\Utilities\DownloadLogsFromS3.py</t>
  </si>
  <si>
    <t>204:154</t>
  </si>
  <si>
    <t>204:457</t>
  </si>
  <si>
    <t>BROWN</t>
  </si>
  <si>
    <t>JACOB</t>
  </si>
  <si>
    <t>204:455</t>
  </si>
  <si>
    <t>204:147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</si>
  <si>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</si>
  <si>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</si>
  <si>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</si>
  <si>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</si>
  <si>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</si>
  <si>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</si>
  <si>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</si>
  <si>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</si>
  <si>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</si>
  <si>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</si>
  <si>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</si>
  <si>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</si>
  <si>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</si>
  <si>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</si>
  <si>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</si>
  <si>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</si>
  <si>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</si>
  <si>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</si>
  <si>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</si>
  <si>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</si>
  <si>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</si>
  <si>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</si>
  <si>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</si>
  <si>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</si>
  <si>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</si>
  <si>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</si>
  <si>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</si>
  <si>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</si>
  <si>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</si>
  <si>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</si>
  <si>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</si>
  <si>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</si>
  <si>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</si>
  <si>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</si>
  <si>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</si>
  <si>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</si>
  <si>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</si>
  <si>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</si>
  <si>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</si>
  <si>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</si>
  <si>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</si>
  <si>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</si>
  <si>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</si>
  <si>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</si>
  <si>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</si>
  <si>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</si>
  <si>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</si>
  <si>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</si>
  <si>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</si>
  <si>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</si>
  <si>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</si>
  <si>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</si>
  <si>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</si>
  <si>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</si>
  <si>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</si>
  <si>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</si>
  <si>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</si>
  <si>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</si>
  <si>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</si>
  <si>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</si>
  <si>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</si>
  <si>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</si>
  <si>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</si>
  <si>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</si>
  <si>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</si>
  <si>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</si>
  <si>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</si>
  <si>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</si>
  <si>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</si>
  <si>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</si>
  <si>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</si>
  <si>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</si>
  <si>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</si>
  <si>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</si>
  <si>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</si>
  <si>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</si>
  <si>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</si>
  <si>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</si>
  <si>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</si>
  <si>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</si>
  <si>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</si>
  <si>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</si>
  <si>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</si>
  <si>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</si>
  <si>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</si>
  <si>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</si>
  <si>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</si>
  <si>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</si>
  <si>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</si>
  <si>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</si>
  <si>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</si>
  <si>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</si>
  <si>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</si>
  <si>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</si>
  <si>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</si>
  <si>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</si>
  <si>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</si>
  <si>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</si>
  <si>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</si>
  <si>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</si>
  <si>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</si>
  <si>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</si>
  <si>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</si>
  <si>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</si>
  <si>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</si>
  <si>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</si>
  <si>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</si>
  <si>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</si>
  <si>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</si>
  <si>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</si>
  <si>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</si>
  <si>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</si>
  <si>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</si>
  <si>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</si>
  <si>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</si>
  <si>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</si>
  <si>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</si>
  <si>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</si>
  <si>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</si>
  <si>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</si>
  <si>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</si>
  <si>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</si>
  <si>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</si>
  <si>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</si>
  <si>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</si>
  <si>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</si>
  <si>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</si>
  <si>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</si>
  <si>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</si>
  <si>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</si>
  <si>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</si>
  <si>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</si>
  <si>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</si>
  <si>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Partly Cloudy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</si>
  <si>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</si>
  <si>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</si>
  <si>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</si>
  <si>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</si>
  <si>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</si>
  <si>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</si>
  <si>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SWANSON</t>
  </si>
  <si>
    <t>BRYCE</t>
  </si>
  <si>
    <t>rtdc.l.rtdc.4028:itc</t>
  </si>
  <si>
    <t>rtdc.l.rtdc.4027:itc</t>
  </si>
  <si>
    <t>STAMBAUGH</t>
  </si>
  <si>
    <t>rtdc.l.rtdc.4031:itc</t>
  </si>
  <si>
    <t>rtdc.l.rtdc.4046:itc</t>
  </si>
  <si>
    <t>rtdc.l.rtdc.4021:itc</t>
  </si>
  <si>
    <t>rtdc.l.rtdc.4022:itc</t>
  </si>
  <si>
    <t>SMITH</t>
  </si>
  <si>
    <t>rtdc.l.rtdc.4012:itc</t>
  </si>
  <si>
    <t>rtdc.l.rtdc.4029:itc</t>
  </si>
  <si>
    <t>242-18</t>
  </si>
  <si>
    <t>309-18</t>
  </si>
  <si>
    <t>244-18</t>
  </si>
  <si>
    <t>311-18</t>
  </si>
  <si>
    <t>246-18</t>
  </si>
  <si>
    <t>313-18</t>
  </si>
  <si>
    <t>315-18</t>
  </si>
  <si>
    <t>204:449</t>
  </si>
  <si>
    <t>CHANDLER</t>
  </si>
  <si>
    <t>KELVIN</t>
  </si>
  <si>
    <t>NEWELL</t>
  </si>
  <si>
    <t>STORY</t>
  </si>
  <si>
    <t>SAMANTHA</t>
  </si>
  <si>
    <t>204:232977</t>
  </si>
  <si>
    <t>rtdc.l.rtdc.4014:itc</t>
  </si>
  <si>
    <t>rtdc.l.rtdc.4013:itc</t>
  </si>
  <si>
    <t>204:138</t>
  </si>
  <si>
    <t>WCR Redmine cURL</t>
  </si>
  <si>
    <t>27f4683f8c668ceb395ce0223286e38dfe180cf8</t>
  </si>
  <si>
    <t>https://ptcsupport.wabtec.com/issues.json</t>
  </si>
  <si>
    <t>rtdc.l.rtdc.4010:itc</t>
  </si>
  <si>
    <t>204:462</t>
  </si>
  <si>
    <t>204:232989</t>
  </si>
  <si>
    <t>204:446</t>
  </si>
  <si>
    <t>rtdc.l.rtdc.4009:itc</t>
  </si>
  <si>
    <t>rtdc.l.rtdc.4045:itc</t>
  </si>
  <si>
    <t>204:145</t>
  </si>
  <si>
    <t>DUNCAN</t>
  </si>
  <si>
    <t>SHEILA</t>
  </si>
  <si>
    <t>204:458</t>
  </si>
  <si>
    <t>rtdc.l.rtdc.4004:itc</t>
  </si>
  <si>
    <t>rtdc.l.rtdc.4003:itc</t>
  </si>
  <si>
    <t>GUZMAN</t>
  </si>
  <si>
    <t>DANNY</t>
  </si>
  <si>
    <t>81-04</t>
  </si>
  <si>
    <t>82-04</t>
  </si>
  <si>
    <t>241-04</t>
  </si>
  <si>
    <t>238-04</t>
  </si>
  <si>
    <t>243-04</t>
  </si>
  <si>
    <t>240-04</t>
  </si>
  <si>
    <t>315-04</t>
  </si>
  <si>
    <t>242-04</t>
  </si>
  <si>
    <t>244-04</t>
  </si>
  <si>
    <t>309-04</t>
  </si>
  <si>
    <t>311-04</t>
  </si>
  <si>
    <t>313-04</t>
  </si>
  <si>
    <t>204:467</t>
  </si>
  <si>
    <t>204:233291</t>
  </si>
  <si>
    <t>204:150</t>
  </si>
  <si>
    <t>204:149</t>
  </si>
  <si>
    <t>204:143</t>
  </si>
  <si>
    <t>Y</t>
  </si>
  <si>
    <t>partly-cloudy-day</t>
  </si>
  <si>
    <t>204:466</t>
  </si>
  <si>
    <t>204:233315</t>
  </si>
  <si>
    <t>SIGNAL</t>
  </si>
  <si>
    <t>Signal based authority (5)</t>
  </si>
  <si>
    <t>Mostly Cloudy</t>
  </si>
  <si>
    <t>204:469</t>
  </si>
  <si>
    <t>rtdc.l.rtdc.4039:itc</t>
  </si>
  <si>
    <t>rtdc.l.rtdc.4040:itc</t>
  </si>
  <si>
    <t>204:232994</t>
  </si>
  <si>
    <t>204:451</t>
  </si>
  <si>
    <t>204:233301</t>
  </si>
  <si>
    <t>300:23346</t>
  </si>
  <si>
    <t>300:58636</t>
  </si>
  <si>
    <t>rtdc.l.rtdc.4018:itc</t>
  </si>
  <si>
    <t>rtdc.l.rtdc.4008:itc</t>
  </si>
  <si>
    <t>precipType</t>
  </si>
  <si>
    <t>rain</t>
  </si>
  <si>
    <t>204:233297</t>
  </si>
  <si>
    <t>THOMAS</t>
  </si>
  <si>
    <t>204:233314</t>
  </si>
  <si>
    <t>204:232988</t>
  </si>
  <si>
    <t>204:233289</t>
  </si>
  <si>
    <t>204:464</t>
  </si>
  <si>
    <t>204:233305</t>
  </si>
  <si>
    <t>rtdc.l.rtdc.4063:itc</t>
  </si>
  <si>
    <t>rtdc.l.rtdc.4064:itc</t>
  </si>
  <si>
    <t>204:233300</t>
  </si>
  <si>
    <t>204:471</t>
  </si>
  <si>
    <t>204:431</t>
  </si>
  <si>
    <t>Early arrival</t>
  </si>
  <si>
    <t>rtdc.l.rtdc.4011:itc</t>
  </si>
  <si>
    <t>STARKS</t>
  </si>
  <si>
    <t>ANGELINA</t>
  </si>
  <si>
    <t>BIRENBAUM</t>
  </si>
  <si>
    <t>MENGES</t>
  </si>
  <si>
    <t>BRAD</t>
  </si>
  <si>
    <t>ZEWDU</t>
  </si>
  <si>
    <t>DEREJE</t>
  </si>
  <si>
    <t>CLARK</t>
  </si>
  <si>
    <t>KATHLEEN</t>
  </si>
  <si>
    <t>LAMAR</t>
  </si>
  <si>
    <t>NEKESHA</t>
  </si>
  <si>
    <t>THOMPSON</t>
  </si>
  <si>
    <t>LESTER</t>
  </si>
  <si>
    <t>SULLIVAN</t>
  </si>
  <si>
    <t>BRANDON</t>
  </si>
  <si>
    <t>PERKINS</t>
  </si>
  <si>
    <t>DARREN</t>
  </si>
  <si>
    <t>204:156</t>
  </si>
  <si>
    <t>204:233310</t>
  </si>
  <si>
    <t>204:233298</t>
  </si>
  <si>
    <t>204:232998</t>
  </si>
  <si>
    <t>204:232987</t>
  </si>
  <si>
    <t>204:233002</t>
  </si>
  <si>
    <t>204:233286</t>
  </si>
  <si>
    <t>300:58958</t>
  </si>
  <si>
    <t>rtdc.l.rtdc.4002:itc</t>
  </si>
  <si>
    <t>rtdc.l.rtdc.4017:itc</t>
  </si>
  <si>
    <t>LOZA</t>
  </si>
  <si>
    <t>FIDEL</t>
  </si>
  <si>
    <t>SPECTOR</t>
  </si>
  <si>
    <t>WILLIAMS</t>
  </si>
  <si>
    <t>DONTE</t>
  </si>
  <si>
    <t>204:233304</t>
  </si>
  <si>
    <t>204:453</t>
  </si>
  <si>
    <t>204:233307</t>
  </si>
  <si>
    <t>204:232975</t>
  </si>
  <si>
    <t>204:435</t>
  </si>
  <si>
    <t>204:232978</t>
  </si>
  <si>
    <t>204:433</t>
  </si>
  <si>
    <t>204:232973</t>
  </si>
  <si>
    <t>204:233295</t>
  </si>
  <si>
    <t>204:170</t>
  </si>
  <si>
    <t>204:233334</t>
  </si>
  <si>
    <t>204:488</t>
  </si>
  <si>
    <t>204:232969</t>
  </si>
  <si>
    <t>204:233025</t>
  </si>
  <si>
    <t>204:233299</t>
  </si>
  <si>
    <t>204:985</t>
  </si>
  <si>
    <t>300:58941</t>
  </si>
  <si>
    <t>BADERTSCHER</t>
  </si>
  <si>
    <t>DIANE</t>
  </si>
  <si>
    <t>ROCHA</t>
  </si>
  <si>
    <t>YAOTL</t>
  </si>
  <si>
    <t>DELGADO</t>
  </si>
  <si>
    <t>DIANAH</t>
  </si>
  <si>
    <t>WHITED</t>
  </si>
  <si>
    <t>DUSTIN</t>
  </si>
  <si>
    <t>204:233312</t>
  </si>
  <si>
    <t>204:440</t>
  </si>
  <si>
    <t>204:132</t>
  </si>
  <si>
    <t>204:233284</t>
  </si>
  <si>
    <t>204:232982</t>
  </si>
  <si>
    <t>204:232996</t>
  </si>
  <si>
    <t>204:232993</t>
  </si>
  <si>
    <t>204:232983</t>
  </si>
  <si>
    <t>204:233326</t>
  </si>
  <si>
    <t>204:232967</t>
  </si>
  <si>
    <t>204:233376</t>
  </si>
  <si>
    <t>204:233309</t>
  </si>
  <si>
    <t>204:232980</t>
  </si>
  <si>
    <t>204:486</t>
  </si>
  <si>
    <t>300:58623</t>
  </si>
  <si>
    <t>204:978</t>
  </si>
  <si>
    <t>204:986</t>
  </si>
  <si>
    <t>300:58952</t>
  </si>
  <si>
    <t>204:979</t>
  </si>
  <si>
    <t>204:699</t>
  </si>
  <si>
    <t>204:682</t>
  </si>
  <si>
    <t>204:965</t>
  </si>
  <si>
    <t>204:972</t>
  </si>
  <si>
    <t>204:696</t>
  </si>
  <si>
    <t>rtdc.l.rtdc.4032:itc</t>
  </si>
  <si>
    <t>rtdc.l.rtdc.4061:itc</t>
  </si>
  <si>
    <t>rtdc.l.rtdc.4062:itc</t>
  </si>
  <si>
    <t>rtdc.l.rtdc.4055:itc</t>
  </si>
  <si>
    <t>rtdc.l.rtdc.4056:itc</t>
  </si>
  <si>
    <t>BRANDNER</t>
  </si>
  <si>
    <t>MELINDA</t>
  </si>
  <si>
    <t>BEAM</t>
  </si>
  <si>
    <t>ROSS</t>
  </si>
  <si>
    <t>MCREYNOLDS</t>
  </si>
  <si>
    <t>KYLE</t>
  </si>
  <si>
    <t>DE LA ROSA</t>
  </si>
  <si>
    <t>ALEX</t>
  </si>
  <si>
    <t>4062-27</t>
  </si>
  <si>
    <t>4061-27</t>
  </si>
  <si>
    <t>315-27</t>
  </si>
  <si>
    <t>242-27</t>
  </si>
  <si>
    <t>309-27</t>
  </si>
  <si>
    <t>244-27</t>
  </si>
  <si>
    <t>311-27</t>
  </si>
  <si>
    <t>313-27</t>
  </si>
  <si>
    <t>Drizzle</t>
  </si>
  <si>
    <t>204:232968</t>
  </si>
  <si>
    <t>204:735</t>
  </si>
  <si>
    <t>204:233293</t>
  </si>
  <si>
    <t>204:444</t>
  </si>
  <si>
    <t>204:233008</t>
  </si>
  <si>
    <t>204:233321</t>
  </si>
  <si>
    <t>204:161</t>
  </si>
  <si>
    <t>204:232970</t>
  </si>
  <si>
    <t>204:136</t>
  </si>
  <si>
    <t>204:447</t>
  </si>
  <si>
    <t>204:232990</t>
  </si>
  <si>
    <t>204:139</t>
  </si>
  <si>
    <t>204:169</t>
  </si>
  <si>
    <t>204:233272</t>
  </si>
  <si>
    <t>204:232985</t>
  </si>
  <si>
    <t>204:233276</t>
  </si>
  <si>
    <t>204:429</t>
  </si>
  <si>
    <t>204:233327</t>
  </si>
  <si>
    <t>204:233316</t>
  </si>
  <si>
    <t>204:180</t>
  </si>
  <si>
    <t>204:233349</t>
  </si>
  <si>
    <t>300:23310</t>
  </si>
  <si>
    <t>204:531</t>
  </si>
  <si>
    <t>DE.1.0.8.0</t>
  </si>
  <si>
    <t>204:128009</t>
  </si>
  <si>
    <t>204:75</t>
  </si>
  <si>
    <t>204:1904</t>
  </si>
  <si>
    <t>204:128267</t>
  </si>
  <si>
    <t>300:58645</t>
  </si>
  <si>
    <t>204:715</t>
  </si>
  <si>
    <t>300:58960</t>
  </si>
  <si>
    <t>300:58649</t>
  </si>
  <si>
    <t>204:713</t>
  </si>
  <si>
    <t>204:675</t>
  </si>
  <si>
    <t>204:689</t>
  </si>
  <si>
    <t>300:58653</t>
  </si>
  <si>
    <t>300:58939</t>
  </si>
  <si>
    <t>204:673</t>
  </si>
  <si>
    <t>300:58664</t>
  </si>
  <si>
    <t>204:955</t>
  </si>
  <si>
    <t>300:58613</t>
  </si>
  <si>
    <t>300:58651</t>
  </si>
  <si>
    <t>300:58608</t>
  </si>
  <si>
    <t>300:58625</t>
  </si>
  <si>
    <t>300:23316</t>
  </si>
  <si>
    <t>start /low /b %USERPROFILE%\Documents\GitHub\eaglep3\Utilities\DownloadLogsFromS3.py --loco 4063 --day 2017-04-28</t>
  </si>
  <si>
    <t>start /low /b %USERPROFILE%\Documents\GitHub\eaglep3\Utilities\DownloadLogsFromS3.py --loco 4021 --day 2017-04-28</t>
  </si>
  <si>
    <t>:.+((SYSTEM_STATE.+slice.+state.+changed )|(ment ac)|(multiple cpu faults)|(system.+state.+changed )|(\[timeout)|(PRM\|1\|D)|(kpr)|(kdp)|(train.+moving)|(\|lc)|(penalty))</t>
  </si>
  <si>
    <t>Wi-MAX data drop</t>
  </si>
  <si>
    <t>Onboard in-route failure</t>
  </si>
  <si>
    <t>108-28</t>
  </si>
  <si>
    <t>rtdc.l.rtdc.4051:itc</t>
  </si>
  <si>
    <t>116-28</t>
  </si>
  <si>
    <t>122-28</t>
  </si>
  <si>
    <t>135-28</t>
  </si>
  <si>
    <t>131-28</t>
  </si>
  <si>
    <t>rtdc.l.rtdc.4016:itc</t>
  </si>
  <si>
    <t>141-28</t>
  </si>
  <si>
    <t>rtdc.l.rtdc.4007:itc</t>
  </si>
  <si>
    <t>132-28</t>
  </si>
  <si>
    <t>149-28</t>
  </si>
  <si>
    <t>816-28</t>
  </si>
  <si>
    <t>165-28</t>
  </si>
  <si>
    <t>164-28</t>
  </si>
  <si>
    <t>175-28</t>
  </si>
  <si>
    <t>SWITCH UNKNOWN</t>
  </si>
  <si>
    <t>Track device (7)</t>
  </si>
  <si>
    <t>821-28</t>
  </si>
  <si>
    <t>rtdc.l.rtdc.4042:itc</t>
  </si>
  <si>
    <t>181-28</t>
  </si>
  <si>
    <t>180-28</t>
  </si>
  <si>
    <t>rtdc.l.rtdc.4041:itc</t>
  </si>
  <si>
    <t>182-28</t>
  </si>
  <si>
    <t>904-28</t>
  </si>
  <si>
    <t>825-28</t>
  </si>
  <si>
    <t>826-28</t>
  </si>
  <si>
    <t>828-28</t>
  </si>
  <si>
    <t>197-28</t>
  </si>
  <si>
    <t>192-28</t>
  </si>
  <si>
    <t>832-28</t>
  </si>
  <si>
    <t>835-28</t>
  </si>
  <si>
    <t>70-28</t>
  </si>
  <si>
    <t>rtdc.l.rtdc.4015:itc</t>
  </si>
  <si>
    <t>212-28</t>
  </si>
  <si>
    <t>837-28</t>
  </si>
  <si>
    <t>906-28</t>
  </si>
  <si>
    <t>224-28</t>
  </si>
  <si>
    <t>233-28</t>
  </si>
  <si>
    <t>232-28</t>
  </si>
  <si>
    <t>80-28</t>
  </si>
  <si>
    <t>rtdc.l.rtdc.4052:itc</t>
  </si>
  <si>
    <t>239-28</t>
  </si>
  <si>
    <t>241-28</t>
  </si>
  <si>
    <t>240-28</t>
  </si>
  <si>
    <t>rtdc.l.rtdc.4060:itc</t>
  </si>
  <si>
    <t>89-28</t>
  </si>
  <si>
    <t>309-28</t>
  </si>
  <si>
    <t>302-28</t>
  </si>
  <si>
    <t>101-28</t>
  </si>
  <si>
    <t>304-28</t>
  </si>
  <si>
    <t>DAVIS</t>
  </si>
  <si>
    <t>WENDY</t>
  </si>
  <si>
    <t>103-28</t>
  </si>
  <si>
    <t>306-28</t>
  </si>
  <si>
    <t>102-28</t>
  </si>
  <si>
    <t>308-28</t>
  </si>
  <si>
    <t>105-28</t>
  </si>
  <si>
    <t>107-28</t>
  </si>
  <si>
    <t>310-28</t>
  </si>
  <si>
    <t>104-28</t>
  </si>
  <si>
    <t>109-28</t>
  </si>
  <si>
    <t>901-28</t>
  </si>
  <si>
    <t>111-28</t>
  </si>
  <si>
    <t>106-28</t>
  </si>
  <si>
    <t>113-28</t>
  </si>
  <si>
    <t>800-28</t>
  </si>
  <si>
    <t>115-28</t>
  </si>
  <si>
    <t>801-28</t>
  </si>
  <si>
    <t>110-28</t>
  </si>
  <si>
    <t>117-28</t>
  </si>
  <si>
    <t>112-28</t>
  </si>
  <si>
    <t>902-28</t>
  </si>
  <si>
    <t>51-28</t>
  </si>
  <si>
    <t>119-28</t>
  </si>
  <si>
    <t>114-28</t>
  </si>
  <si>
    <t>803-28</t>
  </si>
  <si>
    <t>802-28</t>
  </si>
  <si>
    <t>121-28</t>
  </si>
  <si>
    <t>123-28</t>
  </si>
  <si>
    <t>805-28</t>
  </si>
  <si>
    <t>118-28</t>
  </si>
  <si>
    <t>804-28</t>
  </si>
  <si>
    <t>125-28</t>
  </si>
  <si>
    <t>120-28</t>
  </si>
  <si>
    <t>127-28</t>
  </si>
  <si>
    <t>806-28</t>
  </si>
  <si>
    <t>807-28</t>
  </si>
  <si>
    <t>YANAI</t>
  </si>
  <si>
    <t>IAN</t>
  </si>
  <si>
    <t>129-28</t>
  </si>
  <si>
    <t>124-28</t>
  </si>
  <si>
    <t>126-28</t>
  </si>
  <si>
    <t>809-28</t>
  </si>
  <si>
    <t>808-28</t>
  </si>
  <si>
    <t>133-28</t>
  </si>
  <si>
    <t>128-28</t>
  </si>
  <si>
    <t>810-28</t>
  </si>
  <si>
    <t>130-28</t>
  </si>
  <si>
    <t>811-28</t>
  </si>
  <si>
    <t>137-28</t>
  </si>
  <si>
    <t>139-28</t>
  </si>
  <si>
    <t>903-28</t>
  </si>
  <si>
    <t>134-28</t>
  </si>
  <si>
    <t>812-28</t>
  </si>
  <si>
    <t>136-28</t>
  </si>
  <si>
    <t>143-28</t>
  </si>
  <si>
    <t>138-28</t>
  </si>
  <si>
    <t>145-28</t>
  </si>
  <si>
    <t>813-28</t>
  </si>
  <si>
    <t>140-28</t>
  </si>
  <si>
    <t>147-28</t>
  </si>
  <si>
    <t>142-28</t>
  </si>
  <si>
    <t>814-28</t>
  </si>
  <si>
    <t>144-28</t>
  </si>
  <si>
    <t>151-28</t>
  </si>
  <si>
    <t>146-28</t>
  </si>
  <si>
    <t>153-28</t>
  </si>
  <si>
    <t>815-28</t>
  </si>
  <si>
    <t>148-28</t>
  </si>
  <si>
    <t>155-28</t>
  </si>
  <si>
    <t>150-28</t>
  </si>
  <si>
    <t>157-28</t>
  </si>
  <si>
    <t>152-28</t>
  </si>
  <si>
    <t>159-28</t>
  </si>
  <si>
    <t>STEWART</t>
  </si>
  <si>
    <t>154-28</t>
  </si>
  <si>
    <t>161-28</t>
  </si>
  <si>
    <t>ROMERO</t>
  </si>
  <si>
    <t>CHAD</t>
  </si>
  <si>
    <t>817-28</t>
  </si>
  <si>
    <t>156-28</t>
  </si>
  <si>
    <t>163-28</t>
  </si>
  <si>
    <t>818-28</t>
  </si>
  <si>
    <t>158-28</t>
  </si>
  <si>
    <t>160-28</t>
  </si>
  <si>
    <t>162-28</t>
  </si>
  <si>
    <t>167-28</t>
  </si>
  <si>
    <t>819-28</t>
  </si>
  <si>
    <t>169-28</t>
  </si>
  <si>
    <t>171-28</t>
  </si>
  <si>
    <t>166-28</t>
  </si>
  <si>
    <t>820-28</t>
  </si>
  <si>
    <t>173-28</t>
  </si>
  <si>
    <t>168-28</t>
  </si>
  <si>
    <t>170-28</t>
  </si>
  <si>
    <t>177-28</t>
  </si>
  <si>
    <t>172-28</t>
  </si>
  <si>
    <t>179-28</t>
  </si>
  <si>
    <t>174-28</t>
  </si>
  <si>
    <t>822-28</t>
  </si>
  <si>
    <t>176-28</t>
  </si>
  <si>
    <t>183-28</t>
  </si>
  <si>
    <t>178-28</t>
  </si>
  <si>
    <t>185-28</t>
  </si>
  <si>
    <t>823-28</t>
  </si>
  <si>
    <t>187-28</t>
  </si>
  <si>
    <t>824-28</t>
  </si>
  <si>
    <t>189-28</t>
  </si>
  <si>
    <t>184-28</t>
  </si>
  <si>
    <t>191-28</t>
  </si>
  <si>
    <t>186-28</t>
  </si>
  <si>
    <t>193-28</t>
  </si>
  <si>
    <t>188-28</t>
  </si>
  <si>
    <t>190-28</t>
  </si>
  <si>
    <t>195-28</t>
  </si>
  <si>
    <t>827-28</t>
  </si>
  <si>
    <t>199-28</t>
  </si>
  <si>
    <t>194-28</t>
  </si>
  <si>
    <t>66-28</t>
  </si>
  <si>
    <t>201-28</t>
  </si>
  <si>
    <t>829-28</t>
  </si>
  <si>
    <t>196-28</t>
  </si>
  <si>
    <t>203-28</t>
  </si>
  <si>
    <t>830-28</t>
  </si>
  <si>
    <t>198-28</t>
  </si>
  <si>
    <t>205-28</t>
  </si>
  <si>
    <t>831-28</t>
  </si>
  <si>
    <t>200-28</t>
  </si>
  <si>
    <t>207-28</t>
  </si>
  <si>
    <t>202-28</t>
  </si>
  <si>
    <t>209-28</t>
  </si>
  <si>
    <t>833-28</t>
  </si>
  <si>
    <t>204-28</t>
  </si>
  <si>
    <t>53-28</t>
  </si>
  <si>
    <t>211-28</t>
  </si>
  <si>
    <t>206-28</t>
  </si>
  <si>
    <t>213-28</t>
  </si>
  <si>
    <t>834-28</t>
  </si>
  <si>
    <t>208-28</t>
  </si>
  <si>
    <t>215-28</t>
  </si>
  <si>
    <t>210-28</t>
  </si>
  <si>
    <t>836-28</t>
  </si>
  <si>
    <t>217-28</t>
  </si>
  <si>
    <t>219-28</t>
  </si>
  <si>
    <t>214-28</t>
  </si>
  <si>
    <t>838-28</t>
  </si>
  <si>
    <t>303-28</t>
  </si>
  <si>
    <t>839-28</t>
  </si>
  <si>
    <t>216-28</t>
  </si>
  <si>
    <t>221-28</t>
  </si>
  <si>
    <t>SAFIEF</t>
  </si>
  <si>
    <t>AEIMEN</t>
  </si>
  <si>
    <t>218-28</t>
  </si>
  <si>
    <t>305-28</t>
  </si>
  <si>
    <t>841-28</t>
  </si>
  <si>
    <t>220-28</t>
  </si>
  <si>
    <t>223-28</t>
  </si>
  <si>
    <t>MACDONALD</t>
  </si>
  <si>
    <t>307-28</t>
  </si>
  <si>
    <t>840-28</t>
  </si>
  <si>
    <t>222-28</t>
  </si>
  <si>
    <t>225-28</t>
  </si>
  <si>
    <t>MAGEE</t>
  </si>
  <si>
    <t>KENYA</t>
  </si>
  <si>
    <t>227-28</t>
  </si>
  <si>
    <t>843-28</t>
  </si>
  <si>
    <t>81-28</t>
  </si>
  <si>
    <t>842-28</t>
  </si>
  <si>
    <t>229-28</t>
  </si>
  <si>
    <t>226-28</t>
  </si>
  <si>
    <t>228-28</t>
  </si>
  <si>
    <t>845-28</t>
  </si>
  <si>
    <t>231-28</t>
  </si>
  <si>
    <t>844-28</t>
  </si>
  <si>
    <t>230-28</t>
  </si>
  <si>
    <t>847-28</t>
  </si>
  <si>
    <t>235-28</t>
  </si>
  <si>
    <t>908-28</t>
  </si>
  <si>
    <t>234-28</t>
  </si>
  <si>
    <t>237-28</t>
  </si>
  <si>
    <t>77-28</t>
  </si>
  <si>
    <t>236-28</t>
  </si>
  <si>
    <t>238-28</t>
  </si>
  <si>
    <t>243-28</t>
  </si>
  <si>
    <t>88-28</t>
  </si>
  <si>
    <t>245-28</t>
  </si>
  <si>
    <t>242-28</t>
  </si>
  <si>
    <t>244-28</t>
  </si>
  <si>
    <t>311-28</t>
  </si>
  <si>
    <t>246-28</t>
  </si>
  <si>
    <t>4055-29</t>
  </si>
  <si>
    <t>313-28</t>
  </si>
  <si>
    <t>4056-29</t>
  </si>
  <si>
    <t>315-28</t>
  </si>
  <si>
    <t>precipAccumulation</t>
  </si>
  <si>
    <t>fog</t>
  </si>
  <si>
    <t>Foggy</t>
  </si>
  <si>
    <t>Light Rain</t>
  </si>
  <si>
    <t>sleet</t>
  </si>
  <si>
    <t>Light Sleet</t>
  </si>
  <si>
    <t>snow</t>
  </si>
  <si>
    <t>Snow</t>
  </si>
  <si>
    <t>Light Snow</t>
  </si>
  <si>
    <t>204:232666</t>
  </si>
  <si>
    <t>204:732</t>
  </si>
  <si>
    <t>204:233347</t>
  </si>
  <si>
    <t>204:232696</t>
  </si>
  <si>
    <t>204:761</t>
  </si>
  <si>
    <t>204:233357</t>
  </si>
  <si>
    <t>204:232738</t>
  </si>
  <si>
    <t>204:233278</t>
  </si>
  <si>
    <t>204:232957</t>
  </si>
  <si>
    <t>204:739</t>
  </si>
  <si>
    <t>204:418</t>
  </si>
  <si>
    <t>204:233283</t>
  </si>
  <si>
    <t>204:779</t>
  </si>
  <si>
    <t>204:232963</t>
  </si>
  <si>
    <t>204:233308</t>
  </si>
  <si>
    <t>204:797</t>
  </si>
  <si>
    <t>204:233282</t>
  </si>
  <si>
    <t>204:442</t>
  </si>
  <si>
    <t>204:232986</t>
  </si>
  <si>
    <t>204:232992</t>
  </si>
  <si>
    <t>204:205</t>
  </si>
  <si>
    <t>204:232981</t>
  </si>
  <si>
    <t>204:134</t>
  </si>
  <si>
    <t>204:526</t>
  </si>
  <si>
    <t>204:141</t>
  </si>
  <si>
    <t>204:233281</t>
  </si>
  <si>
    <t>204:163</t>
  </si>
  <si>
    <t>204:233000</t>
  </si>
  <si>
    <t>204:217290</t>
  </si>
  <si>
    <t>204:233317</t>
  </si>
  <si>
    <t>204:233005</t>
  </si>
  <si>
    <t>204:233306</t>
  </si>
  <si>
    <t>204:218730</t>
  </si>
  <si>
    <t>204:233053</t>
  </si>
  <si>
    <t>204:232976</t>
  </si>
  <si>
    <t>204:212</t>
  </si>
  <si>
    <t>204:233240</t>
  </si>
  <si>
    <t>204:232928</t>
  </si>
  <si>
    <t>204:174</t>
  </si>
  <si>
    <t>204:233051</t>
  </si>
  <si>
    <t>204:233346</t>
  </si>
  <si>
    <t>204:125</t>
  </si>
  <si>
    <t>204:233389</t>
  </si>
  <si>
    <t>204:127871</t>
  </si>
  <si>
    <t>204:1160</t>
  </si>
  <si>
    <t>204:233102</t>
  </si>
  <si>
    <t>204:228279</t>
  </si>
  <si>
    <t>204:508</t>
  </si>
  <si>
    <t>204:232953</t>
  </si>
  <si>
    <t>204:185</t>
  </si>
  <si>
    <t>204:233266</t>
  </si>
  <si>
    <t>204:121</t>
  </si>
  <si>
    <t>204:233353</t>
  </si>
  <si>
    <t>204:233019</t>
  </si>
  <si>
    <t>204:422</t>
  </si>
  <si>
    <t>204:489</t>
  </si>
  <si>
    <t>204:191</t>
  </si>
  <si>
    <t>204:420</t>
  </si>
  <si>
    <t>204:233017</t>
  </si>
  <si>
    <t>204:233343</t>
  </si>
  <si>
    <t>204:233009</t>
  </si>
  <si>
    <t>204:233381</t>
  </si>
  <si>
    <t>204:233087</t>
  </si>
  <si>
    <t>204:484</t>
  </si>
  <si>
    <t>204:232951</t>
  </si>
  <si>
    <t>204:165</t>
  </si>
  <si>
    <t>204:396</t>
  </si>
  <si>
    <t>204:233405</t>
  </si>
  <si>
    <t>204:233094</t>
  </si>
  <si>
    <t>204:233361</t>
  </si>
  <si>
    <t>204:233047</t>
  </si>
  <si>
    <t>204:233340</t>
  </si>
  <si>
    <t>204:233023</t>
  </si>
  <si>
    <t>204:233088</t>
  </si>
  <si>
    <t>204:233372</t>
  </si>
  <si>
    <t>204:233078</t>
  </si>
  <si>
    <t>204:482</t>
  </si>
  <si>
    <t>204:233359</t>
  </si>
  <si>
    <t>204:233049</t>
  </si>
  <si>
    <t>204:123</t>
  </si>
  <si>
    <t>204:233374</t>
  </si>
  <si>
    <t>204:233061</t>
  </si>
  <si>
    <t>204:233368</t>
  </si>
  <si>
    <t>204:233046</t>
  </si>
  <si>
    <t>300:22781</t>
  </si>
  <si>
    <t>300:23314</t>
  </si>
  <si>
    <t>300:23622</t>
  </si>
  <si>
    <t>300:23007</t>
  </si>
  <si>
    <t>300:23601</t>
  </si>
  <si>
    <t>300:23308</t>
  </si>
  <si>
    <t>300:25776</t>
  </si>
  <si>
    <t>300:23438</t>
  </si>
  <si>
    <t>300:23091</t>
  </si>
  <si>
    <t>300:20581</t>
  </si>
  <si>
    <t>204:973</t>
  </si>
  <si>
    <t>204:1270</t>
  </si>
  <si>
    <t>204:3210</t>
  </si>
  <si>
    <t>204:3517</t>
  </si>
  <si>
    <t>204:1466</t>
  </si>
  <si>
    <t>204:1479</t>
  </si>
  <si>
    <t>300:24290</t>
  </si>
  <si>
    <t>204:1456</t>
  </si>
  <si>
    <t>300:21892</t>
  </si>
  <si>
    <t>204:232629</t>
  </si>
  <si>
    <t>204:37641</t>
  </si>
  <si>
    <t>204:232667</t>
  </si>
  <si>
    <t>300:23347</t>
  </si>
  <si>
    <t>300:58666</t>
  </si>
  <si>
    <t>204:703</t>
  </si>
  <si>
    <t>300:58914</t>
  </si>
  <si>
    <t>300:58615</t>
  </si>
  <si>
    <t>204:678</t>
  </si>
  <si>
    <t>204:1009</t>
  </si>
  <si>
    <t>300:58950</t>
  </si>
  <si>
    <t>300:58630</t>
  </si>
  <si>
    <t>204:708</t>
  </si>
  <si>
    <t>300:58990</t>
  </si>
  <si>
    <t>300:58668</t>
  </si>
  <si>
    <t>204:701</t>
  </si>
  <si>
    <t>204:1004</t>
  </si>
  <si>
    <t>300:58935</t>
  </si>
  <si>
    <t>300:58617</t>
  </si>
  <si>
    <t>204:671</t>
  </si>
  <si>
    <t>204:992</t>
  </si>
  <si>
    <t>300:58982</t>
  </si>
  <si>
    <t>204:744</t>
  </si>
  <si>
    <t>204:752</t>
  </si>
  <si>
    <t>204:233213</t>
  </si>
  <si>
    <t>204:113</t>
  </si>
  <si>
    <t>300:58946</t>
  </si>
  <si>
    <t>300:58602</t>
  </si>
  <si>
    <t>204:661</t>
  </si>
  <si>
    <t>300:58977</t>
  </si>
  <si>
    <t>300:58670</t>
  </si>
  <si>
    <t>204:967</t>
  </si>
  <si>
    <t>300:58619</t>
  </si>
  <si>
    <t>204:997</t>
  </si>
  <si>
    <t>300:58895</t>
  </si>
  <si>
    <t>300:58587</t>
  </si>
  <si>
    <t>300:58944</t>
  </si>
  <si>
    <t>204:712</t>
  </si>
  <si>
    <t>300:58971</t>
  </si>
  <si>
    <t>204:932</t>
  </si>
  <si>
    <t>300:58933</t>
  </si>
  <si>
    <t>204:962</t>
  </si>
  <si>
    <t>300:58928</t>
  </si>
  <si>
    <t>204:983</t>
  </si>
  <si>
    <t>300:58626</t>
  </si>
  <si>
    <t>204:656</t>
  </si>
  <si>
    <t>300:58929</t>
  </si>
  <si>
    <t>300:58961</t>
  </si>
  <si>
    <t>300:58922</t>
  </si>
  <si>
    <t>204:754</t>
  </si>
  <si>
    <t>204:839</t>
  </si>
  <si>
    <t>204:232734</t>
  </si>
  <si>
    <t>204:355</t>
  </si>
  <si>
    <t>300:29788</t>
  </si>
  <si>
    <t>300:58986</t>
  </si>
  <si>
    <t>300:22159</t>
  </si>
  <si>
    <t>204:738</t>
  </si>
  <si>
    <t>204:399</t>
  </si>
  <si>
    <t>300:24207</t>
  </si>
  <si>
    <t>300:23381</t>
  </si>
  <si>
    <t>204:638</t>
  </si>
  <si>
    <t>300:58628</t>
  </si>
  <si>
    <t>300:28769</t>
  </si>
  <si>
    <t>300:21634</t>
  </si>
  <si>
    <t>start /low /b %USERPROFILE%\Documents\GitHub\eaglep3\Utilities\DownloadLogsFromS3.py --loco 4028 --day 2017-04-28</t>
  </si>
  <si>
    <t>start /low /b %USERPROFILE%\Documents\GitHub\eaglep3\Utilities\DownloadLogsFromS3.py --loco 4022 --day 2017-04-28</t>
  </si>
  <si>
    <t>start /low /b %USERPROFILE%\Documents\GitHub\eaglep3\Utilities\DownloadLogsFromS3.py --loco 4027 --day 2017-04-28</t>
  </si>
  <si>
    <t>start /low /b %USERPROFILE%\Documents\GitHub\eaglep3\Utilities\DownloadLogsFromS3.py --loco 4051 --day 2017-04-29</t>
  </si>
  <si>
    <t>start /low /b %USERPROFILE%\Documents\GitHub\eaglep3\Utilities\DownloadLogsFromS3.py --loco 4051 --day 2017-04-28</t>
  </si>
  <si>
    <t>start /low /b %USERPROFILE%\Documents\GitHub\eaglep3\Utilities\DownloadLogsFromS3.py --loco 4064 --day 2017-04-28</t>
  </si>
  <si>
    <t>start /low /b %USERPROFILE%\Documents\GitHub\eaglep3\Utilities\DownloadLogsFromS3.py --loco 4016 --day 2017-04-28</t>
  </si>
  <si>
    <t>start /low /b %USERPROFILE%\Documents\GitHub\eaglep3\Utilities\DownloadLogsFromS3.py --loco 4041 --day 2017-04-28</t>
  </si>
  <si>
    <t>start /low /b %USERPROFILE%\Documents\GitHub\eaglep3\Utilities\DownloadLogsFromS3.py --loco 4015 --day 2017-04-29</t>
  </si>
  <si>
    <t>start /low /b %USERPROFILE%\Documents\GitHub\eaglep3\Utilities\DownloadLogsFromS3.py --loco 4007 --day 2017-04-28</t>
  </si>
  <si>
    <t>start /low /b %USERPROFILE%\Documents\GitHub\eaglep3\Utilities\DownloadLogsFromS3.py --loco 4008 --day 2017-04-28</t>
  </si>
  <si>
    <t>start /low /b %USERPROFILE%\Documents\GitHub\eaglep3\Utilities\DownloadLogsFromS3.py --loco 4042 --day 2017-04-28</t>
  </si>
  <si>
    <t>start /low /b %USERPROFILE%\Documents\GitHub\eaglep3\Utilities\DownloadLogsFromS3.py --loco 4030 --day 2017-04-29</t>
  </si>
  <si>
    <t>start /low /b %USERPROFILE%\Documents\GitHub\eaglep3\Utilities\DownloadLogsFromS3.py --loco 4052 --day 2017-04-29</t>
  </si>
  <si>
    <t>start /low /b %USERPROFILE%\Documents\GitHub\eaglep3\Utilities\DownloadLogsFromS3.py --loco 4018 --day 2017-04-28</t>
  </si>
  <si>
    <t>start /low /b %USERPROFILE%\Documents\GitHub\eaglep3\Utilities\DownloadLogsFromS3.py --loco 4011 --day 2017-04-28</t>
  </si>
  <si>
    <t>start /low /b %USERPROFILE%\Documents\GitHub\eaglep3\Utilities\DownloadLogsFromS3.py --loco 4017 --day 2017-04-28</t>
  </si>
  <si>
    <t>start /low /b %USERPROFILE%\Documents\GitHub\eaglep3\Utilities\DownloadLogsFromS3.py --loco 4012 --day 2017-04-28</t>
  </si>
  <si>
    <t>start /low /b %USERPROFILE%\Documents\GitHub\eaglep3\Utilities\DownloadLogsFromS3.py --loco 4012 --day 2017-04-29</t>
  </si>
  <si>
    <t>http://stevetu21.github.io/eaglep3/load_kml.html?kml=http://rtdc.gmaps-snips.s3.amazonaws.com/38c830ba-c5e1-456a-8c66-a48e205dedc7.kml</t>
  </si>
  <si>
    <t>http://stevetu21.github.io/eaglep3/load_kml.html?kml=http://rtdc.gmaps-snips.s3.amazonaws.com/5c08a58e-c993-4fe2-abde-9d66f9d61a85.kml</t>
  </si>
  <si>
    <t>http://stevetu21.github.io/eaglep3/load_kml.html?kml=http://rtdc.gmaps-snips.s3.amazonaws.com/24ed2cf0-05cb-4391-a57c-66414436be58.kml</t>
  </si>
  <si>
    <t>Form C</t>
  </si>
  <si>
    <t>Wi-MAX data drop near CP 61st, no enforcement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</si>
</sst>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0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5" fillId="0" borderId="0" xfId="0" applyNumberFormat="1" applyFo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1" xfId="0" applyNumberForma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2" borderId="3" xfId="0" applyNumberFormat="1" applyFill="1" applyBorder="1" applyAlignment="1">
      <alignment horizontal="left" vertical="center"/>
    </xf>
    <xf numFmtId="0" fontId="0" fillId="3" borderId="3" xfId="0" applyNumberFormat="1" applyFill="1" applyBorder="1" applyAlignment="1">
      <alignment horizontal="left" vertical="center"/>
    </xf>
    <xf numFmtId="0" fontId="0" fillId="0" borderId="0" xfId="2" applyNumberFormat="1" applyFont="1" applyAlignment="1">
      <alignment horizontal="left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1" fillId="0" borderId="5" xfId="0" applyNumberFormat="1" applyFont="1" applyBorder="1" applyAlignment="1">
      <alignment horizontal="center" vertical="center" wrapText="1"/>
    </xf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2" applyNumberFormat="1" applyFont="1"/>
    <xf numFmtId="0" fontId="1" fillId="0" borderId="0" xfId="0" applyNumberFormat="1" applyFont="1"/>
    <xf numFmtId="0" fontId="0" fillId="0" borderId="0" xfId="0" applyNumberFormat="1" applyBorder="1"/>
    <xf numFmtId="9" fontId="0" fillId="0" borderId="0" xfId="2" applyFont="1" applyAlignment="1">
      <alignment horizontal="left"/>
    </xf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75"/>
  <sheetViews>
    <sheetView zoomScaleNormal="100" workbookViewId="0"/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6" width="3" style="2" customWidth="1"/>
    <col min="17" max="17" width="3.7109375" hidden="1" customWidth="1"/>
    <col min="18" max="18" width="32.28515625" style="168" customWidth="1"/>
    <col min="19" max="19" width="6" style="194" customWidth="1"/>
    <col min="20" max="20" width="3.85546875" style="168" customWidth="1"/>
    <col min="21" max="21" width="5" style="168" customWidth="1"/>
    <col min="22" max="22" width="5.7109375" style="193" customWidth="1"/>
    <col min="23" max="23" width="3.85546875" style="169" customWidth="1"/>
    <col min="24" max="24" width="6.5703125" style="169" customWidth="1"/>
    <col min="25" max="25" width="11.5703125" style="169" bestFit="1" customWidth="1"/>
    <col min="26" max="26" width="7.28515625" style="169" customWidth="1"/>
    <col min="27" max="27" width="9.140625" style="169"/>
    <col min="28" max="28" width="10.7109375" style="55" hidden="1" customWidth="1"/>
    <col min="29" max="29" width="9.42578125" style="49" hidden="1" customWidth="1"/>
    <col min="30" max="30" width="7.85546875" style="50" customWidth="1"/>
    <col min="31" max="31" width="4.5703125" style="78" customWidth="1"/>
    <col min="32" max="32" width="6.28515625" style="75" customWidth="1"/>
    <col min="33" max="33" width="5.42578125" customWidth="1"/>
    <col min="34" max="34" width="5" style="81" customWidth="1"/>
    <col min="35" max="35" width="5.7109375" style="94" customWidth="1"/>
    <col min="36" max="36" width="9.85546875" customWidth="1"/>
    <col min="37" max="37" width="5" customWidth="1"/>
    <col min="38" max="38" width="4.140625" customWidth="1"/>
    <col min="39" max="39" width="9.140625" style="145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105</v>
      </c>
      <c r="J1" s="36"/>
      <c r="K1" s="27"/>
      <c r="L1" s="27"/>
      <c r="M1" s="35"/>
      <c r="N1" s="36"/>
      <c r="O1" s="2"/>
      <c r="P1" s="2"/>
      <c r="R1" s="166" t="s">
        <v>106</v>
      </c>
      <c r="S1" s="182"/>
      <c r="T1" s="166"/>
      <c r="U1" s="166"/>
      <c r="V1" s="167"/>
      <c r="W1" s="166"/>
      <c r="X1" s="168"/>
      <c r="Y1" s="169"/>
      <c r="Z1" s="169"/>
      <c r="AA1" s="169"/>
      <c r="AB1" s="55"/>
      <c r="AC1" s="49"/>
      <c r="AD1" s="50"/>
      <c r="AE1" s="1"/>
      <c r="AF1" s="1"/>
      <c r="AG1" s="1"/>
      <c r="AH1" s="47"/>
      <c r="AI1" s="1"/>
      <c r="AM1" s="145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60">
        <f>Variables!$A$2</f>
        <v>42853</v>
      </c>
      <c r="J2" s="61"/>
      <c r="K2" s="62"/>
      <c r="L2" s="62"/>
      <c r="M2" s="63" t="s">
        <v>8</v>
      </c>
      <c r="N2" s="64"/>
      <c r="O2" s="65"/>
      <c r="P2" s="2"/>
      <c r="R2" s="60">
        <f>Variables!$A$2</f>
        <v>42853</v>
      </c>
      <c r="S2" s="197"/>
      <c r="T2" s="170"/>
      <c r="U2" s="170"/>
      <c r="V2" s="171" t="s">
        <v>8</v>
      </c>
      <c r="W2" s="172"/>
      <c r="X2" s="173"/>
      <c r="Y2" s="169"/>
      <c r="Z2" s="169"/>
      <c r="AA2" s="169"/>
      <c r="AB2" s="55"/>
      <c r="AC2" s="49"/>
      <c r="AD2" s="50"/>
      <c r="AE2" s="1"/>
      <c r="AF2" s="1"/>
      <c r="AG2" s="1"/>
      <c r="AH2" s="47"/>
      <c r="AI2" s="1"/>
      <c r="AM2" s="145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6" t="s">
        <v>10</v>
      </c>
      <c r="J3" s="67"/>
      <c r="K3" s="68"/>
      <c r="L3" s="68"/>
      <c r="M3" s="37" t="s">
        <v>11</v>
      </c>
      <c r="N3" s="38" t="s">
        <v>12</v>
      </c>
      <c r="O3" s="3" t="s">
        <v>13</v>
      </c>
      <c r="P3" s="2"/>
      <c r="R3" s="174" t="s">
        <v>10</v>
      </c>
      <c r="S3" s="198"/>
      <c r="T3" s="175"/>
      <c r="U3" s="175"/>
      <c r="V3" s="176" t="s">
        <v>11</v>
      </c>
      <c r="W3" s="177" t="s">
        <v>12</v>
      </c>
      <c r="X3" s="178" t="s">
        <v>13</v>
      </c>
      <c r="Y3" s="169"/>
      <c r="Z3" s="169"/>
      <c r="AA3" s="169"/>
      <c r="AB3" s="55"/>
      <c r="AC3" s="49"/>
      <c r="AD3" s="50"/>
      <c r="AE3" s="1"/>
      <c r="AF3" s="1"/>
      <c r="AG3" s="1"/>
      <c r="AH3" s="47"/>
      <c r="AI3" s="1"/>
      <c r="AM3" s="145"/>
    </row>
    <row r="4" spans="1:91" s="20" customFormat="1" ht="15.75" thickBot="1" x14ac:dyDescent="0.3">
      <c r="A4" s="34"/>
      <c r="B4" s="36"/>
      <c r="C4" s="27"/>
      <c r="D4" s="27"/>
      <c r="E4" s="33"/>
      <c r="F4" s="33"/>
      <c r="G4" s="36"/>
      <c r="H4" s="33"/>
      <c r="I4" s="69" t="s">
        <v>14</v>
      </c>
      <c r="J4" s="48">
        <f>SUM(J5:J7)</f>
        <v>146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77" t="s">
        <v>14</v>
      </c>
      <c r="S4" s="199">
        <f>SUM(S5:S7)</f>
        <v>47</v>
      </c>
      <c r="T4" s="179"/>
      <c r="U4" s="179"/>
      <c r="V4" s="176" t="s">
        <v>15</v>
      </c>
      <c r="W4" s="177" t="s">
        <v>15</v>
      </c>
      <c r="X4" s="178" t="s">
        <v>15</v>
      </c>
      <c r="Y4" s="169"/>
      <c r="Z4" s="169"/>
      <c r="AA4" s="169"/>
      <c r="AB4" s="55"/>
      <c r="AC4" s="49"/>
      <c r="AD4" s="50"/>
      <c r="AE4" s="1"/>
      <c r="AF4" s="1"/>
      <c r="AG4" s="1"/>
      <c r="AH4" s="47"/>
      <c r="AI4" s="1"/>
      <c r="AM4" s="145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9" t="s">
        <v>17</v>
      </c>
      <c r="J5" s="48">
        <f>COUNTIFS($N$13:$N$9334,"&gt;0",$AG$13:$AG$9334,I1)</f>
        <v>143</v>
      </c>
      <c r="K5" s="39"/>
      <c r="L5" s="39"/>
      <c r="M5" s="40">
        <f>AVERAGEIFS($N$13:$N$9334,$AG$13:$AG$9334,I1)</f>
        <v>38.63787878785849</v>
      </c>
      <c r="N5" s="38">
        <f t="array" ref="N5">MIN(IF($AG$13:$AG$9334=I1,IF(ISNUMBER($N$13:$N$9334),IF($N$13:$N$9334&gt;0,$N$13:$N$9334))))</f>
        <v>34.599999999627471</v>
      </c>
      <c r="O5" s="3">
        <f t="array" ref="O5">MAX(IF($AG$13:$AG$9334=I1,IF(ISNUMBER($N$13:$N$9334),IF($N$13:$N$9334&gt;0,$N$13:$N$9334))))</f>
        <v>47.333333333954215</v>
      </c>
      <c r="P5" s="2"/>
      <c r="R5" s="177" t="s">
        <v>17</v>
      </c>
      <c r="S5" s="199">
        <f>COUNTIFS($N$13:$N$9334,"&gt;0",$AG$13:$AG$9334,R1)</f>
        <v>47</v>
      </c>
      <c r="T5" s="179"/>
      <c r="U5" s="179"/>
      <c r="V5" s="176">
        <f>AVERAGEIFS($N$13:$N$9334,$AG$13:$AG$9334,R1)</f>
        <v>15.097872340863452</v>
      </c>
      <c r="W5" s="177">
        <f t="array" ref="W5">MIN(IF($AG$13:$AG$9334=R1,IF(ISNUMBER($N$13:$N$9334),IF($N$13:$N$9334&gt;0,$N$13:$N$9334))))</f>
        <v>12.416666666977108</v>
      </c>
      <c r="X5" s="178">
        <f t="array" ref="X5">MAX(IF($AG$13:$AG$9334=R1,IF(ISNUMBER($N$13:$N$9334),IF($N$13:$N$9334&gt;0,$N$13:$N$9334))))</f>
        <v>18.650000001071021</v>
      </c>
      <c r="Y5" s="169"/>
      <c r="Z5" s="169"/>
      <c r="AA5" s="169"/>
      <c r="AB5" s="55"/>
      <c r="AC5" s="49"/>
      <c r="AD5" s="50"/>
      <c r="AE5" s="1"/>
      <c r="AF5" s="1"/>
      <c r="AG5" s="1"/>
      <c r="AH5" s="47"/>
      <c r="AI5" s="1"/>
      <c r="AM5" s="145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70" t="s">
        <v>43</v>
      </c>
      <c r="J6" s="48">
        <f>COUNT($O$13:$O$118)</f>
        <v>0</v>
      </c>
      <c r="K6" s="39"/>
      <c r="L6" s="39"/>
      <c r="M6" s="40">
        <f>IFERROR(AVERAGE($O$13:$O$118),0)</f>
        <v>0</v>
      </c>
      <c r="N6" s="38">
        <f>MIN($O$13:$O$118)</f>
        <v>0</v>
      </c>
      <c r="O6" s="3">
        <f>MAX($O$13:$O$118)</f>
        <v>0</v>
      </c>
      <c r="P6" s="2"/>
      <c r="R6" s="180" t="s">
        <v>43</v>
      </c>
      <c r="S6" s="199">
        <f>COUNT($O$13:$O$118)</f>
        <v>0</v>
      </c>
      <c r="T6" s="179"/>
      <c r="U6" s="179"/>
      <c r="V6" s="176">
        <f>IFERROR(AVERAGE($O$13:$O$118),0)</f>
        <v>0</v>
      </c>
      <c r="W6" s="177">
        <f>MIN($O$13:$O$118)</f>
        <v>0</v>
      </c>
      <c r="X6" s="178">
        <f>MAX($O$13:$O$118)</f>
        <v>0</v>
      </c>
      <c r="Y6" s="169"/>
      <c r="Z6" s="169"/>
      <c r="AA6" s="169"/>
      <c r="AB6" s="55"/>
      <c r="AC6" s="49"/>
      <c r="AD6" s="50"/>
      <c r="AE6" s="1"/>
      <c r="AF6" s="1"/>
      <c r="AG6" s="1"/>
      <c r="AH6" s="47"/>
      <c r="AI6" s="1"/>
      <c r="AM6" s="145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71" t="s">
        <v>9</v>
      </c>
      <c r="J7" s="48">
        <f>COUNTIFS($P$13:$P$9334,"&gt;0",$AG$13:$AG$9334,I1)</f>
        <v>3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81" t="s">
        <v>9</v>
      </c>
      <c r="S7" s="199">
        <f>COUNTIFS($P$13:$P$9334,"&gt;0",$AG$13:$AG$9334,R1)</f>
        <v>0</v>
      </c>
      <c r="T7" s="179"/>
      <c r="U7" s="179"/>
      <c r="V7" s="176" t="s">
        <v>15</v>
      </c>
      <c r="W7" s="177" t="s">
        <v>15</v>
      </c>
      <c r="X7" s="178" t="s">
        <v>15</v>
      </c>
      <c r="Y7" s="169"/>
      <c r="Z7" s="169"/>
      <c r="AA7" s="169"/>
      <c r="AB7" s="55"/>
      <c r="AC7" s="49"/>
      <c r="AD7" s="50"/>
      <c r="AE7" s="1"/>
      <c r="AF7" s="1"/>
      <c r="AG7" s="1"/>
      <c r="AH7" s="47"/>
      <c r="AI7" s="1"/>
      <c r="AM7" s="145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9" t="s">
        <v>16</v>
      </c>
      <c r="J8" s="48">
        <f>J5</f>
        <v>143</v>
      </c>
      <c r="K8" s="39"/>
      <c r="L8" s="39"/>
      <c r="M8" s="40">
        <f>M5</f>
        <v>38.63787878785849</v>
      </c>
      <c r="N8" s="38">
        <f>N5</f>
        <v>34.599999999627471</v>
      </c>
      <c r="O8" s="3">
        <f>O5</f>
        <v>47.333333333954215</v>
      </c>
      <c r="P8" s="2"/>
      <c r="R8" s="177" t="s">
        <v>16</v>
      </c>
      <c r="S8" s="199">
        <f>S5</f>
        <v>47</v>
      </c>
      <c r="T8" s="179"/>
      <c r="U8" s="179"/>
      <c r="V8" s="176">
        <f>V5</f>
        <v>15.097872340863452</v>
      </c>
      <c r="W8" s="177">
        <f>W5</f>
        <v>12.416666666977108</v>
      </c>
      <c r="X8" s="178">
        <f>X5</f>
        <v>18.650000001071021</v>
      </c>
      <c r="Y8" s="169"/>
      <c r="Z8" s="169"/>
      <c r="AA8" s="169"/>
      <c r="AB8" s="55"/>
      <c r="AC8" s="49"/>
      <c r="AD8" s="50"/>
      <c r="AE8" s="1"/>
      <c r="AF8" s="1"/>
      <c r="AG8" s="1"/>
      <c r="AH8" s="47"/>
      <c r="AI8" s="1"/>
      <c r="AM8" s="145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9" t="s">
        <v>19</v>
      </c>
      <c r="J9" s="126">
        <f>J8/J4</f>
        <v>0.97945205479452058</v>
      </c>
      <c r="K9" s="41"/>
      <c r="L9" s="41"/>
      <c r="M9" s="72"/>
      <c r="N9" s="36"/>
      <c r="O9" s="73"/>
      <c r="P9" s="2"/>
      <c r="R9" s="177" t="s">
        <v>19</v>
      </c>
      <c r="S9" s="203">
        <f>S8/S4</f>
        <v>1</v>
      </c>
      <c r="T9" s="166"/>
      <c r="U9" s="166"/>
      <c r="V9" s="183"/>
      <c r="W9" s="166"/>
      <c r="X9" s="184"/>
      <c r="Y9" s="169"/>
      <c r="Z9" s="169"/>
      <c r="AA9" s="169"/>
      <c r="AB9" s="55"/>
      <c r="AC9" s="49"/>
      <c r="AD9" s="50"/>
      <c r="AE9" s="1"/>
      <c r="AF9" s="1"/>
      <c r="AG9" s="1"/>
      <c r="AH9" s="47"/>
      <c r="AI9" s="1"/>
      <c r="AM9" s="145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8"/>
      <c r="S10" s="200"/>
      <c r="T10" s="168"/>
      <c r="U10" s="168"/>
      <c r="V10" s="185"/>
      <c r="W10" s="169"/>
      <c r="X10" s="169"/>
      <c r="Y10" s="169"/>
      <c r="Z10" s="169"/>
      <c r="AA10" s="169"/>
      <c r="AB10" s="55"/>
      <c r="AC10" s="49"/>
      <c r="AD10" s="50"/>
      <c r="AE10" s="1"/>
      <c r="AF10" s="1"/>
      <c r="AG10" s="1"/>
      <c r="AH10" s="47"/>
      <c r="AI10" s="1"/>
      <c r="AM10" s="145"/>
    </row>
    <row r="11" spans="1:91" ht="16.5" thickBot="1" x14ac:dyDescent="0.3">
      <c r="A11" s="208" t="str">
        <f>"Eagle P3 System Performance - "&amp;TEXT(Variables!A2,"yyyy-mm-dd")</f>
        <v>Eagle P3 System Performance - 2017-04-28</v>
      </c>
      <c r="B11" s="208"/>
      <c r="C11" s="208"/>
      <c r="D11" s="208"/>
      <c r="E11" s="208"/>
      <c r="F11" s="208"/>
      <c r="G11" s="208"/>
      <c r="H11" s="208"/>
      <c r="I11" s="208"/>
      <c r="J11" s="208"/>
      <c r="K11" s="208"/>
      <c r="L11" s="208"/>
      <c r="M11" s="208"/>
      <c r="N11" s="208"/>
      <c r="O11" s="208"/>
      <c r="P11" s="208"/>
      <c r="S11" s="200">
        <f>AVERAGE(S13:S90)</f>
        <v>1</v>
      </c>
      <c r="V11" s="185"/>
      <c r="AE11" s="1"/>
      <c r="AF11" s="1"/>
      <c r="AG11" s="1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4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86" t="s">
        <v>24</v>
      </c>
      <c r="S12" s="195" t="s">
        <v>63</v>
      </c>
      <c r="T12" s="187" t="s">
        <v>64</v>
      </c>
      <c r="U12" s="187" t="s">
        <v>65</v>
      </c>
      <c r="V12" s="188" t="s">
        <v>45</v>
      </c>
      <c r="W12" s="189" t="s">
        <v>23</v>
      </c>
      <c r="X12" s="189" t="s">
        <v>48</v>
      </c>
      <c r="Y12" s="189" t="s">
        <v>20</v>
      </c>
      <c r="Z12" s="189" t="s">
        <v>21</v>
      </c>
      <c r="AA12" s="189" t="s">
        <v>22</v>
      </c>
      <c r="AB12" s="56" t="s">
        <v>39</v>
      </c>
      <c r="AC12" s="52" t="s">
        <v>40</v>
      </c>
      <c r="AD12" s="51" t="s">
        <v>82</v>
      </c>
      <c r="AE12" s="79" t="s">
        <v>89</v>
      </c>
      <c r="AF12" s="76" t="s">
        <v>94</v>
      </c>
      <c r="AG12" s="4" t="s">
        <v>107</v>
      </c>
      <c r="AH12" s="82" t="s">
        <v>109</v>
      </c>
      <c r="AI12" s="98" t="s">
        <v>147</v>
      </c>
      <c r="AJ12" s="46" t="s">
        <v>148</v>
      </c>
      <c r="AK12" s="46" t="s">
        <v>121</v>
      </c>
      <c r="AL12" s="46" t="s">
        <v>149</v>
      </c>
      <c r="AM12" s="146" t="s">
        <v>200</v>
      </c>
      <c r="AN12" s="46" t="s">
        <v>378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646</v>
      </c>
      <c r="B13" s="7">
        <v>4042</v>
      </c>
      <c r="C13" s="21" t="s">
        <v>211</v>
      </c>
      <c r="D13" s="21" t="s">
        <v>549</v>
      </c>
      <c r="E13" s="13">
        <v>42853.129432870373</v>
      </c>
      <c r="F13" s="13">
        <v>42853.135578703703</v>
      </c>
      <c r="G13" s="7">
        <v>1</v>
      </c>
      <c r="H13" s="21" t="s">
        <v>437</v>
      </c>
      <c r="I13" s="13">
        <v>42853.163564814815</v>
      </c>
      <c r="J13" s="7">
        <v>0</v>
      </c>
      <c r="K13" s="92" t="str">
        <f t="shared" ref="K13:K76" si="0">IF(ISEVEN(B13),(B13-1)&amp;"/"&amp;B13,B13&amp;"/"&amp;(B13+1))</f>
        <v>4041/4042</v>
      </c>
      <c r="L13" s="21" t="str">
        <f>VLOOKUP(A13,'Trips&amp;Operators'!$C$1:$G$99999,5,FALSE)</f>
        <v>BADERTSCHER DIANE</v>
      </c>
      <c r="M13" s="6">
        <f t="shared" ref="M13:M76" si="1">I13-F13</f>
        <v>2.7986111112113576E-2</v>
      </c>
      <c r="N13" s="7">
        <f t="shared" ref="N13:N44" si="2">24*60*SUM($M13:$M13)</f>
        <v>40.30000000144355</v>
      </c>
      <c r="O13" s="7"/>
      <c r="P13" s="7"/>
      <c r="Q13" s="22"/>
      <c r="R13" s="190"/>
      <c r="S13" s="196">
        <f t="shared" ref="S13:S44" si="3">SUM(U13:U13)/IF(AG13="EC",12,1)</f>
        <v>1</v>
      </c>
      <c r="T13" s="190" t="str">
        <f t="shared" ref="T13:T76" si="4">IF(ISEVEN(LEFT(AD13,4)),"Southbound","NorthBound")</f>
        <v>NorthBound</v>
      </c>
      <c r="U13" s="190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1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-04-28T02:06:23-0600',mode:absolute,to:'2017-04-28T04:55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3" s="192" t="str">
        <f t="shared" ref="W13:W76" si="6">IF(AA13&lt;IF(AG13="EC",23,5.65),"Y","N")</f>
        <v>N</v>
      </c>
      <c r="X13" s="192" t="e">
        <f t="shared" ref="X13:X58" si="7">VALUE(LEFT(AD13,4))-VALUE(LEFT(AD12,4))</f>
        <v>#VALUE!</v>
      </c>
      <c r="Y13" s="192">
        <f t="shared" ref="Y13:Y76" si="8">RIGHT(D13,LEN(D13)-4)/10000</f>
        <v>7.3499999999999996E-2</v>
      </c>
      <c r="Z13" s="192">
        <f t="shared" ref="Z13:Z76" si="9">RIGHT(H13,LEN(H13)-4)/10000</f>
        <v>23.330500000000001</v>
      </c>
      <c r="AA13" s="192">
        <f t="shared" ref="AA13:AA76" si="10">ABS(Z13-Y13)</f>
        <v>23.257000000000001</v>
      </c>
      <c r="AB13" s="57" t="e">
        <f>VLOOKUP(A13,Enforcements!$C$7:$K$13,8,0)</f>
        <v>#N/A</v>
      </c>
      <c r="AC13" s="53" t="e">
        <f>VLOOKUP(A13,Enforcements!$C$7:$E$13,3,0)</f>
        <v>#N/A</v>
      </c>
      <c r="AD13" s="54" t="str">
        <f t="shared" ref="AD13:AD76" si="11">IF(LEN(A13)=6,"0"&amp;A13,A13)</f>
        <v>0101-28</v>
      </c>
      <c r="AE13" s="80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s3://rtdc.mdm.uploadarchive.raw/RTDC4042/ "%USERPROFILE%\AppData\Local\Temp\OnboardLogs"\RTDC4042\2017-04-28 --exclude "*" --recursive --include "*20170428*" &amp; "%USERPROFILE%\Documents\GitHub\mrs-test-scripts\Headless Mode &amp; Sideloading\WalkAndUnGZ.bat" "%USERPROFILE%\AppData\Local\Temp\OnboardLogs"\RTDC4042\2017-04-28 &amp; aws s3 cp s3://rtdc.mdm.uploadarchive.raw/RTDC4042/ "%USERPROFILE%\AppData\Local\Temp\OnboardLogs"\RTDC4042\2017-04-29 --exclude "*" --recursive --include "*20170429*" &amp; "%USERPROFILE%\Documents\GitHub\mrs-test-scripts\Headless Mode &amp; Sideloading\WalkAndUnGZ.bat" "%USERPROFILE%\AppData\Local\Temp\OnboardLogs"\RTDC4042\2017-04-29</v>
      </c>
      <c r="AF13" s="77" t="str">
        <f t="shared" ref="AF13:AF76" si="13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/stypes="app*4042*20170428*" /stext=" 09:.+((SYSTEM_STATE.+slice.+state.+changed )|(ment ac)|(multiple cpu faults)|(system.+state.+changed )|(\[timeout)|(PRM\|1\|D)|(kpr)|(kdp)|(train.+moving)|(\|lc)|(penalty))"</v>
      </c>
      <c r="AG13" s="1" t="str">
        <f t="shared" ref="AG13:AG76" si="14">IFERROR(IF(VALUE(LEFT(AD13,2))&lt;=2,"EC",IF(OR(VALUE(LEFT(AD13,2))=8,VALUE(LEFT(AD13,2))=18),"NW","Other")),"Other")</f>
        <v>EC</v>
      </c>
      <c r="AH13" s="81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101-28 --locoid 4042 --swversion DE.1.0.9.0 --startMP 204:735 --initTime 2017-04-28T03:06:23 --startdatetime 2017-04-28T03:15:14 --delay 1 --endMP 204:233305 --enddatetime 2017-04-28T03:55:32 --enforcementcount 0 &gt;&gt;C:\Users\stu\Documents\GitHub\eaglep3-reporting\EC\2017-04-28-refined-times.txt</v>
      </c>
      <c r="AI13" s="99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{"issue":{"subject":"","project_id":79,"tracker_id":40,"status_id":1,"priority_id":2,"assigned_to_id":23,"start_date":"2017-04-28","description":"","custom_fields":[{"id":1,"name":"Subdivision","value":"EC"},{"id":4,"name":"Milepost","value":"23.3305"},{"id":17,"name":"Train ID","value":"101-28"},{"id":16,"name":"Locomotive ID","value":"4042"},{"id":130,"name":"Impact","value":""},{"id":150,"name":"Time of Event (Mountain Time)","value":"03:55:32"},{"id":151,"name":"Denver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5" t="str">
        <f t="shared" ref="AM13" si="17">"start /low /b "&amp;dls3logs&amp;" --loco "&amp;B13&amp;" --day "&amp;TEXT(F13,"YYYY-MM-DD")</f>
        <v>start /low /b %USERPROFILE%\Documents\GitHub\eaglep3\Utilities\DownloadLogsFromS3.py --loco 4042 --day 2017-04-28</v>
      </c>
      <c r="AN13" s="154" t="str">
        <f t="shared" ref="AN13" si="18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09:55:32"},{"id":29,"name":"Sharepoint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2" t="s">
        <v>652</v>
      </c>
      <c r="B14" s="7">
        <v>4015</v>
      </c>
      <c r="C14" s="21" t="s">
        <v>211</v>
      </c>
      <c r="D14" s="21" t="s">
        <v>851</v>
      </c>
      <c r="E14" s="13">
        <v>42853.16978009259</v>
      </c>
      <c r="F14" s="13">
        <v>42853.174490740741</v>
      </c>
      <c r="G14" s="7">
        <v>1</v>
      </c>
      <c r="H14" s="21" t="s">
        <v>198</v>
      </c>
      <c r="I14" s="13">
        <v>42853.203125</v>
      </c>
      <c r="J14" s="7">
        <v>0</v>
      </c>
      <c r="K14" s="92" t="str">
        <f t="shared" si="0"/>
        <v>4015/4016</v>
      </c>
      <c r="L14" s="21" t="str">
        <f>VLOOKUP(A14,'Trips&amp;Operators'!$C$1:$G$99999,5,FALSE)</f>
        <v>BADERTSCHER DIANE</v>
      </c>
      <c r="M14" s="6">
        <f t="shared" si="1"/>
        <v>2.8634259258979E-2</v>
      </c>
      <c r="N14" s="7">
        <f t="shared" si="2"/>
        <v>41.23333333292976</v>
      </c>
      <c r="O14" s="7"/>
      <c r="P14" s="7"/>
      <c r="Q14" s="22"/>
      <c r="R14" s="190"/>
      <c r="S14" s="196">
        <f t="shared" si="3"/>
        <v>1</v>
      </c>
      <c r="T14" s="190" t="str">
        <f t="shared" si="4"/>
        <v>Southbound</v>
      </c>
      <c r="U14" s="190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1" t="str">
        <f t="shared" si="5"/>
        <v>https://d0f6bd738d7f1b3e5a7ca70fe4ff75f0.us-east-1.aws.found.io/app/kibana#/discover/Steve-Slow-Train-Analysis-(2080s-and-2083s)?_g=(refreshInterval:(display:Off,pause:!f,section:0,value:0),time:(from:'2017-04-28T03:04:29-0600',mode:absolute,to:'2017-04-28T05:52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4" s="192" t="str">
        <f t="shared" si="6"/>
        <v>N</v>
      </c>
      <c r="X14" s="192">
        <f t="shared" si="7"/>
        <v>1</v>
      </c>
      <c r="Y14" s="192">
        <f t="shared" si="8"/>
        <v>23.2666</v>
      </c>
      <c r="Z14" s="192">
        <f t="shared" si="9"/>
        <v>1.5800000000000002E-2</v>
      </c>
      <c r="AA14" s="192">
        <f t="shared" si="10"/>
        <v>23.250800000000002</v>
      </c>
      <c r="AB14" s="57" t="e">
        <f>VLOOKUP(A14,Enforcements!$C$7:$K$13,8,0)</f>
        <v>#N/A</v>
      </c>
      <c r="AC14" s="53" t="e">
        <f>VLOOKUP(A14,Enforcements!$C$7:$E$13,3,0)</f>
        <v>#N/A</v>
      </c>
      <c r="AD14" s="54" t="str">
        <f t="shared" si="11"/>
        <v>0102-28</v>
      </c>
      <c r="AE14" s="80" t="str">
        <f t="shared" si="12"/>
        <v>aws s3 cp s3://rtdc.mdm.uploadarchive.raw/RTDC4015/ "%USERPROFILE%\AppData\Local\Temp\OnboardLogs"\RTDC4015\2017-04-28 --exclude "*" --recursive --include "*20170428*" &amp; "%USERPROFILE%\Documents\GitHub\mrs-test-scripts\Headless Mode &amp; Sideloading\WalkAndUnGZ.bat" "%USERPROFILE%\AppData\Local\Temp\OnboardLogs"\RTDC4015\2017-04-28 &amp; aws s3 cp s3://rtdc.mdm.uploadarchive.raw/RTDC4015/ "%USERPROFILE%\AppData\Local\Temp\OnboardLogs"\RTDC4015\2017-04-29 --exclude "*" --recursive --include "*20170429*" &amp; "%USERPROFILE%\Documents\GitHub\mrs-test-scripts\Headless Mode &amp; Sideloading\WalkAndUnGZ.bat" "%USERPROFILE%\AppData\Local\Temp\OnboardLogs"\RTDC4015\2017-04-29</v>
      </c>
      <c r="AF14" s="77" t="str">
        <f t="shared" si="13"/>
        <v>"C:\Program Files (x86)\AstroGrep\AstroGrep.exe" /e /r /s /spath="%USERPROFILE%\AppData\Local\Temp\OnboardLogs" /stypes="app*4015*20170428*" /stext=" 10:.+((SYSTEM_STATE.+slice.+state.+changed )|(ment ac)|(multiple cpu faults)|(system.+state.+changed )|(\[timeout)|(PRM\|1\|D)|(kpr)|(kdp)|(train.+moving)|(\|lc)|(penalty))"</v>
      </c>
      <c r="AG14" s="1" t="str">
        <f t="shared" si="14"/>
        <v>EC</v>
      </c>
      <c r="AH14" s="81" t="str">
        <f t="shared" ref="AH14:AH76" si="19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102-28 --locoid 4015 --swversion DE.1.0.9.0 --startMP 204:232666 --initTime 2017-04-28T04:04:29 --startdatetime 2017-04-28T04:11:16 --delay 1 --endMP 204:158 --enddatetime 2017-04-28T04:52:30 --enforcementcount 0 &gt;&gt;C:\Users\stu\Documents\GitHub\eaglep3-reporting\EC\2017-04-28-refined-times.txt</v>
      </c>
      <c r="AI14" s="99" t="str">
        <f t="shared" ref="AI14:AI76" si="20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{"issue":{"subject":"","project_id":79,"tracker_id":40,"status_id":1,"priority_id":2,"assigned_to_id":23,"start_date":"2017-04-28","description":"","custom_fields":[{"id":1,"name":"Subdivision","value":"EC"},{"id":4,"name":"Milepost","value":"0.0158"},{"id":17,"name":"Train ID","value":"102-28"},{"id":16,"name":"Locomotive ID","value":"4015"},{"id":130,"name":"Impact","value":""},{"id":150,"name":"Time of Event (Mountain Time)","value":"04:52:30"},{"id":151,"name":"Denver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5" t="str">
        <f t="shared" ref="AM14:AM76" si="21">"start /low /b "&amp;dls3logs&amp;" --loco "&amp;B14&amp;" --day "&amp;TEXT(F14,"YYYY-MM-DD")</f>
        <v>start /low /b %USERPROFILE%\Documents\GitHub\eaglep3\Utilities\DownloadLogsFromS3.py --loco 4015 --day 2017-04-28</v>
      </c>
      <c r="AN14" s="154" t="str">
        <f t="shared" ref="AN14:AN76" si="22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10:52:30"},{"id":29,"name":"Sharepoint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650</v>
      </c>
      <c r="B15" s="7">
        <v>4052</v>
      </c>
      <c r="C15" s="21" t="s">
        <v>211</v>
      </c>
      <c r="D15" s="21" t="s">
        <v>852</v>
      </c>
      <c r="E15" s="13">
        <v>42853.148981481485</v>
      </c>
      <c r="F15" s="13">
        <v>42853.156469907408</v>
      </c>
      <c r="G15" s="7">
        <v>1</v>
      </c>
      <c r="H15" s="21" t="s">
        <v>853</v>
      </c>
      <c r="I15" s="13">
        <v>42853.18246527778</v>
      </c>
      <c r="J15" s="7">
        <v>0</v>
      </c>
      <c r="K15" s="92" t="str">
        <f t="shared" si="0"/>
        <v>4051/4052</v>
      </c>
      <c r="L15" s="21" t="str">
        <f>VLOOKUP(A15,'Trips&amp;Operators'!$C$1:$G$99999,5,FALSE)</f>
        <v>DAVIS WENDY</v>
      </c>
      <c r="M15" s="6">
        <f t="shared" si="1"/>
        <v>2.5995370371674653E-2</v>
      </c>
      <c r="N15" s="7">
        <f t="shared" si="2"/>
        <v>37.433333335211501</v>
      </c>
      <c r="O15" s="7"/>
      <c r="P15" s="7"/>
      <c r="Q15" s="22"/>
      <c r="R15" s="190" t="s">
        <v>1041</v>
      </c>
      <c r="S15" s="196">
        <f t="shared" si="3"/>
        <v>1</v>
      </c>
      <c r="T15" s="190" t="str">
        <f t="shared" si="4"/>
        <v>NorthBound</v>
      </c>
      <c r="U15" s="190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1" t="str">
        <f t="shared" si="5"/>
        <v>https://d0f6bd738d7f1b3e5a7ca70fe4ff75f0.us-east-1.aws.found.io/app/kibana#/discover/Steve-Slow-Train-Analysis-(2080s-and-2083s)?_g=(refreshInterval:(display:Off,pause:!f,section:0,value:0),time:(from:'2017-04-28T02:34:32-0600',mode:absolute,to:'2017-04-28T05:22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5" s="192" t="str">
        <f t="shared" si="6"/>
        <v>N</v>
      </c>
      <c r="X15" s="192">
        <f t="shared" si="7"/>
        <v>1</v>
      </c>
      <c r="Y15" s="192">
        <f t="shared" si="8"/>
        <v>7.3200000000000001E-2</v>
      </c>
      <c r="Z15" s="192">
        <f t="shared" si="9"/>
        <v>23.334700000000002</v>
      </c>
      <c r="AA15" s="192">
        <f t="shared" si="10"/>
        <v>23.261500000000002</v>
      </c>
      <c r="AB15" s="57" t="e">
        <f>VLOOKUP(A15,Enforcements!$C$7:$K$13,8,0)</f>
        <v>#N/A</v>
      </c>
      <c r="AC15" s="53" t="e">
        <f>VLOOKUP(A15,Enforcements!$C$7:$E$13,3,0)</f>
        <v>#N/A</v>
      </c>
      <c r="AD15" s="54" t="str">
        <f t="shared" si="11"/>
        <v>0103-28</v>
      </c>
      <c r="AE15" s="80" t="str">
        <f t="shared" si="12"/>
        <v>aws s3 cp s3://rtdc.mdm.uploadarchive.raw/RTDC4052/ "%USERPROFILE%\AppData\Local\Temp\OnboardLogs"\RTDC4052\2017-04-28 --exclude "*" --recursive --include "*20170428*" &amp; "%USERPROFILE%\Documents\GitHub\mrs-test-scripts\Headless Mode &amp; Sideloading\WalkAndUnGZ.bat" "%USERPROFILE%\AppData\Local\Temp\OnboardLogs"\RTDC4052\2017-04-28 &amp; aws s3 cp s3://rtdc.mdm.uploadarchive.raw/RTDC4052/ "%USERPROFILE%\AppData\Local\Temp\OnboardLogs"\RTDC4052\2017-04-29 --exclude "*" --recursive --include "*20170429*" &amp; "%USERPROFILE%\Documents\GitHub\mrs-test-scripts\Headless Mode &amp; Sideloading\WalkAndUnGZ.bat" "%USERPROFILE%\AppData\Local\Temp\OnboardLogs"\RTDC4052\2017-04-29</v>
      </c>
      <c r="AF15" s="77" t="str">
        <f t="shared" si="13"/>
        <v>"C:\Program Files (x86)\AstroGrep\AstroGrep.exe" /e /r /s /spath="%USERPROFILE%\AppData\Local\Temp\OnboardLogs" /stypes="app*4052*20170428*" /stext=" 10:.+((SYSTEM_STATE.+slice.+state.+changed )|(ment ac)|(multiple cpu faults)|(system.+state.+changed )|(\[timeout)|(PRM\|1\|D)|(kpr)|(kdp)|(train.+moving)|(\|lc)|(penalty))"</v>
      </c>
      <c r="AG15" s="1" t="str">
        <f t="shared" si="14"/>
        <v>EC</v>
      </c>
      <c r="AH15" s="81" t="str">
        <f t="shared" si="19"/>
        <v>"%USERPROFILE%\Documents\GitHub\eaglep3\Utilities\RefineRTDCRunTimes.py" --tripid 103-28 --locoid 4052 --swversion DE.1.0.9.0 --startMP 204:732 --initTime 2017-04-28T03:34:32 --startdatetime 2017-04-28T03:45:19 --delay 1 --endMP 204:233347 --enddatetime 2017-04-28T04:22:45 --enforcementcount 0 &gt;&gt;C:\Users\stu\Documents\GitHub\eaglep3-reporting\EC\2017-04-28-refined-times.txt</v>
      </c>
      <c r="AI15" s="99" t="str">
        <f t="shared" si="20"/>
        <v>echo {"issue":{"subject":"Wi-MAX data drop near CP 61st, no enforcement","project_id":79,"tracker_id":40,"status_id":1,"priority_id":2,"assigned_to_id":23,"start_date":"2017-04-28","description":"","custom_fields":[{"id":1,"name":"Subdivision","value":"EC"},{"id":4,"name":"Milepost","value":"23.3347"},{"id":17,"name":"Train ID","value":"103-28"},{"id":16,"name":"Locomotive ID","value":"4052"},{"id":130,"name":"Impact","value":""},{"id":150,"name":"Time of Event (Mountain Time)","value":"04:22:45"},{"id":151,"name":"Denver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5" t="str">
        <f t="shared" si="21"/>
        <v>start /low /b %USERPROFILE%\Documents\GitHub\eaglep3\Utilities\DownloadLogsFromS3.py --loco 4052 --day 2017-04-28</v>
      </c>
      <c r="AN15" s="154" t="str">
        <f t="shared" si="22"/>
        <v>echo {"issue":{"subject":"Wi-MAX data drop near CP 61st, no enforcement","project_id":30,"tracker_id":4,"status_id":1,"priority_id":1,"assigned_to_id":10,"start_date":"2017-04-28","description":"","custom_fields":[{"id":30,"name":"Category","value":"Issue"},{"id":3,"name":"Functional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10:22:45"},{"id":29,"name":"Sharepoint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657</v>
      </c>
      <c r="B16" s="7">
        <v>4007</v>
      </c>
      <c r="C16" s="21" t="s">
        <v>211</v>
      </c>
      <c r="D16" s="21" t="s">
        <v>854</v>
      </c>
      <c r="E16" s="13">
        <v>42853.190879629627</v>
      </c>
      <c r="F16" s="13">
        <v>42853.195324074077</v>
      </c>
      <c r="G16" s="7">
        <v>1</v>
      </c>
      <c r="H16" s="21" t="s">
        <v>410</v>
      </c>
      <c r="I16" s="13">
        <v>42853.22351851852</v>
      </c>
      <c r="J16" s="7">
        <v>0</v>
      </c>
      <c r="K16" s="92" t="str">
        <f t="shared" si="0"/>
        <v>4007/4008</v>
      </c>
      <c r="L16" s="21" t="str">
        <f>VLOOKUP(A16,'Trips&amp;Operators'!$C$1:$G$99999,5,FALSE)</f>
        <v>DAVIS WENDY</v>
      </c>
      <c r="M16" s="6">
        <f t="shared" si="1"/>
        <v>2.8194444443215616E-2</v>
      </c>
      <c r="N16" s="7">
        <f t="shared" si="2"/>
        <v>40.599999998230487</v>
      </c>
      <c r="O16" s="7"/>
      <c r="P16" s="7"/>
      <c r="Q16" s="22"/>
      <c r="R16" s="190"/>
      <c r="S16" s="196">
        <f t="shared" si="3"/>
        <v>1</v>
      </c>
      <c r="T16" s="190" t="str">
        <f t="shared" si="4"/>
        <v>Southbound</v>
      </c>
      <c r="U16" s="190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1" t="str">
        <f t="shared" si="5"/>
        <v>https://d0f6bd738d7f1b3e5a7ca70fe4ff75f0.us-east-1.aws.found.io/app/kibana#/discover/Steve-Slow-Train-Analysis-(2080s-and-2083s)?_g=(refreshInterval:(display:Off,pause:!f,section:0,value:0),time:(from:'2017-04-28T03:34:52-0600',mode:absolute,to:'2017-04-28T06:21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6" s="192" t="str">
        <f t="shared" si="6"/>
        <v>N</v>
      </c>
      <c r="X16" s="192">
        <f t="shared" si="7"/>
        <v>1</v>
      </c>
      <c r="Y16" s="192">
        <f t="shared" si="8"/>
        <v>23.269600000000001</v>
      </c>
      <c r="Z16" s="192">
        <f t="shared" si="9"/>
        <v>1.49E-2</v>
      </c>
      <c r="AA16" s="192">
        <f t="shared" si="10"/>
        <v>23.2547</v>
      </c>
      <c r="AB16" s="57" t="e">
        <f>VLOOKUP(A16,Enforcements!$C$7:$K$13,8,0)</f>
        <v>#N/A</v>
      </c>
      <c r="AC16" s="53" t="e">
        <f>VLOOKUP(A16,Enforcements!$C$7:$E$13,3,0)</f>
        <v>#N/A</v>
      </c>
      <c r="AD16" s="54" t="str">
        <f t="shared" si="11"/>
        <v>0104-28</v>
      </c>
      <c r="AE16" s="80" t="str">
        <f t="shared" si="12"/>
        <v>aws s3 cp s3://rtdc.mdm.uploadarchive.raw/RTDC4007/ "%USERPROFILE%\AppData\Local\Temp\OnboardLogs"\RTDC4007\2017-04-28 --exclude "*" --recursive --include "*20170428*" &amp; "%USERPROFILE%\Documents\GitHub\mrs-test-scripts\Headless Mode &amp; Sideloading\WalkAndUnGZ.bat" "%USERPROFILE%\AppData\Local\Temp\OnboardLogs"\RTDC4007\2017-04-28 &amp; aws s3 cp s3://rtdc.mdm.uploadarchive.raw/RTDC4007/ "%USERPROFILE%\AppData\Local\Temp\OnboardLogs"\RTDC4007\2017-04-29 --exclude "*" --recursive --include "*20170429*" &amp; "%USERPROFILE%\Documents\GitHub\mrs-test-scripts\Headless Mode &amp; Sideloading\WalkAndUnGZ.bat" "%USERPROFILE%\AppData\Local\Temp\OnboardLogs"\RTDC4007\2017-04-29</v>
      </c>
      <c r="AF16" s="77" t="str">
        <f t="shared" si="13"/>
        <v>"C:\Program Files (x86)\AstroGrep\AstroGrep.exe" /e /r /s /spath="%USERPROFILE%\AppData\Local\Temp\OnboardLogs" /stypes="app*4007*20170428*" /stext=" 11:.+((SYSTEM_STATE.+slice.+state.+changed )|(ment ac)|(multiple cpu faults)|(system.+state.+changed )|(\[timeout)|(PRM\|1\|D)|(kpr)|(kdp)|(train.+moving)|(\|lc)|(penalty))"</v>
      </c>
      <c r="AG16" s="1" t="str">
        <f t="shared" si="14"/>
        <v>EC</v>
      </c>
      <c r="AH16" s="81" t="str">
        <f t="shared" si="19"/>
        <v>"%USERPROFILE%\Documents\GitHub\eaglep3\Utilities\RefineRTDCRunTimes.py" --tripid 104-28 --locoid 4007 --swversion DE.1.0.9.0 --startMP 204:232696 --initTime 2017-04-28T04:34:52 --startdatetime 2017-04-28T04:41:16 --delay 1 --endMP 204:149 --enddatetime 2017-04-28T05:21:52 --enforcementcount 0 &gt;&gt;C:\Users\stu\Documents\GitHub\eaglep3-reporting\EC\2017-04-28-refined-times.txt</v>
      </c>
      <c r="AI16" s="99" t="str">
        <f t="shared" si="20"/>
        <v>echo {"issue":{"subject":"","project_id":79,"tracker_id":40,"status_id":1,"priority_id":2,"assigned_to_id":23,"start_date":"2017-04-28","description":"","custom_fields":[{"id":1,"name":"Subdivision","value":"EC"},{"id":4,"name":"Milepost","value":"0.0149"},{"id":17,"name":"Train ID","value":"104-28"},{"id":16,"name":"Locomotive ID","value":"4007"},{"id":130,"name":"Impact","value":""},{"id":150,"name":"Time of Event (Mountain Time)","value":"05:21:52"},{"id":151,"name":"Denver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5" t="str">
        <f t="shared" si="21"/>
        <v>start /low /b %USERPROFILE%\Documents\GitHub\eaglep3\Utilities\DownloadLogsFromS3.py --loco 4007 --day 2017-04-28</v>
      </c>
      <c r="AN16" s="154" t="str">
        <f t="shared" si="22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11:21:52"},{"id":29,"name":"Sharepoint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654</v>
      </c>
      <c r="B17" s="7">
        <v>4028</v>
      </c>
      <c r="C17" s="21" t="s">
        <v>211</v>
      </c>
      <c r="D17" s="21" t="s">
        <v>855</v>
      </c>
      <c r="E17" s="13">
        <v>42853.172708333332</v>
      </c>
      <c r="F17" s="13">
        <v>42853.177523148152</v>
      </c>
      <c r="G17" s="7">
        <v>1</v>
      </c>
      <c r="H17" s="21" t="s">
        <v>856</v>
      </c>
      <c r="I17" s="13">
        <v>42853.202650462961</v>
      </c>
      <c r="J17" s="7">
        <v>0</v>
      </c>
      <c r="K17" s="92" t="str">
        <f t="shared" si="0"/>
        <v>4027/4028</v>
      </c>
      <c r="L17" s="21" t="str">
        <f>VLOOKUP(A17,'Trips&amp;Operators'!$C$1:$G$99999,5,FALSE)</f>
        <v>MENGES BRAD</v>
      </c>
      <c r="M17" s="6">
        <f t="shared" si="1"/>
        <v>2.512731480965158E-2</v>
      </c>
      <c r="N17" s="7">
        <f t="shared" si="2"/>
        <v>36.183333325898275</v>
      </c>
      <c r="O17" s="7"/>
      <c r="P17" s="7"/>
      <c r="Q17" s="22"/>
      <c r="R17" s="190"/>
      <c r="S17" s="196">
        <f t="shared" si="3"/>
        <v>1</v>
      </c>
      <c r="T17" s="190" t="str">
        <f t="shared" si="4"/>
        <v>NorthBound</v>
      </c>
      <c r="U17" s="190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1" t="str">
        <f t="shared" si="5"/>
        <v>https://d0f6bd738d7f1b3e5a7ca70fe4ff75f0.us-east-1.aws.found.io/app/kibana#/discover/Steve-Slow-Train-Analysis-(2080s-and-2083s)?_g=(refreshInterval:(display:Off,pause:!f,section:0,value:0),time:(from:'2017-04-28T03:08:42-0600',mode:absolute,to:'2017-04-28T05:51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7" s="192" t="str">
        <f t="shared" si="6"/>
        <v>N</v>
      </c>
      <c r="X17" s="192">
        <f t="shared" si="7"/>
        <v>1</v>
      </c>
      <c r="Y17" s="192">
        <f t="shared" si="8"/>
        <v>7.6100000000000001E-2</v>
      </c>
      <c r="Z17" s="192">
        <f t="shared" si="9"/>
        <v>23.335699999999999</v>
      </c>
      <c r="AA17" s="192">
        <f t="shared" si="10"/>
        <v>23.259599999999999</v>
      </c>
      <c r="AB17" s="57" t="e">
        <f>VLOOKUP(A17,Enforcements!$C$7:$K$13,8,0)</f>
        <v>#N/A</v>
      </c>
      <c r="AC17" s="53" t="e">
        <f>VLOOKUP(A17,Enforcements!$C$7:$E$13,3,0)</f>
        <v>#N/A</v>
      </c>
      <c r="AD17" s="54" t="str">
        <f t="shared" si="11"/>
        <v>0105-28</v>
      </c>
      <c r="AE17" s="80" t="str">
        <f t="shared" si="12"/>
        <v>aws s3 cp s3://rtdc.mdm.uploadarchive.raw/RTDC4028/ "%USERPROFILE%\AppData\Local\Temp\OnboardLogs"\RTDC4028\2017-04-28 --exclude "*" --recursive --include "*20170428*" &amp; "%USERPROFILE%\Documents\GitHub\mrs-test-scripts\Headless Mode &amp; Sideloading\WalkAndUnGZ.bat" "%USERPROFILE%\AppData\Local\Temp\OnboardLogs"\RTDC4028\2017-04-28 &amp; aws s3 cp s3://rtdc.mdm.uploadarchive.raw/RTDC4028/ "%USERPROFILE%\AppData\Local\Temp\OnboardLogs"\RTDC4028\2017-04-29 --exclude "*" --recursive --include "*20170429*" &amp; "%USERPROFILE%\Documents\GitHub\mrs-test-scripts\Headless Mode &amp; Sideloading\WalkAndUnGZ.bat" "%USERPROFILE%\AppData\Local\Temp\OnboardLogs"\RTDC4028\2017-04-29</v>
      </c>
      <c r="AF17" s="77" t="str">
        <f t="shared" si="13"/>
        <v>"C:\Program Files (x86)\AstroGrep\AstroGrep.exe" /e /r /s /spath="%USERPROFILE%\AppData\Local\Temp\OnboardLogs" /stypes="app*4028*20170428*" /stext=" 10:.+((SYSTEM_STATE.+slice.+state.+changed )|(ment ac)|(multiple cpu faults)|(system.+state.+changed )|(\[timeout)|(PRM\|1\|D)|(kpr)|(kdp)|(train.+moving)|(\|lc)|(penalty))"</v>
      </c>
      <c r="AG17" s="1" t="str">
        <f t="shared" si="14"/>
        <v>EC</v>
      </c>
      <c r="AH17" s="81" t="str">
        <f t="shared" si="19"/>
        <v>"%USERPROFILE%\Documents\GitHub\eaglep3\Utilities\RefineRTDCRunTimes.py" --tripid 105-28 --locoid 4028 --swversion DE.1.0.9.0 --startMP 204:761 --initTime 2017-04-28T04:08:42 --startdatetime 2017-04-28T04:15:38 --delay 1 --endMP 204:233357 --enddatetime 2017-04-28T04:51:49 --enforcementcount 0 &gt;&gt;C:\Users\stu\Documents\GitHub\eaglep3-reporting\EC\2017-04-28-refined-times.txt</v>
      </c>
      <c r="AI17" s="99" t="str">
        <f t="shared" si="20"/>
        <v>echo {"issue":{"subject":"","project_id":79,"tracker_id":40,"status_id":1,"priority_id":2,"assigned_to_id":23,"start_date":"2017-04-28","description":"","custom_fields":[{"id":1,"name":"Subdivision","value":"EC"},{"id":4,"name":"Milepost","value":"23.3357"},{"id":17,"name":"Train ID","value":"105-28"},{"id":16,"name":"Locomotive ID","value":"4028"},{"id":130,"name":"Impact","value":""},{"id":150,"name":"Time of Event (Mountain Time)","value":"04:51:49"},{"id":151,"name":"Denver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5" t="str">
        <f t="shared" si="21"/>
        <v>start /low /b %USERPROFILE%\Documents\GitHub\eaglep3\Utilities\DownloadLogsFromS3.py --loco 4028 --day 2017-04-28</v>
      </c>
      <c r="AN17" s="154" t="str">
        <f t="shared" si="22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10:51:49"},{"id":29,"name":"Sharepoint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661</v>
      </c>
      <c r="B18" s="7">
        <v>4029</v>
      </c>
      <c r="C18" s="21" t="s">
        <v>211</v>
      </c>
      <c r="D18" s="21" t="s">
        <v>857</v>
      </c>
      <c r="E18" s="13">
        <v>42853.206886574073</v>
      </c>
      <c r="F18" s="13">
        <v>42853.216134259259</v>
      </c>
      <c r="G18" s="7">
        <v>1</v>
      </c>
      <c r="H18" s="21" t="s">
        <v>198</v>
      </c>
      <c r="I18" s="13">
        <v>42853.243761574071</v>
      </c>
      <c r="J18" s="7">
        <v>0</v>
      </c>
      <c r="K18" s="92" t="str">
        <f t="shared" si="0"/>
        <v>4029/4030</v>
      </c>
      <c r="L18" s="21" t="str">
        <f>VLOOKUP(A18,'Trips&amp;Operators'!$C$1:$G$99999,5,FALSE)</f>
        <v>MENGES BRAD</v>
      </c>
      <c r="M18" s="6">
        <f t="shared" si="1"/>
        <v>2.7627314811979886E-2</v>
      </c>
      <c r="N18" s="7">
        <f t="shared" si="2"/>
        <v>39.783333329251036</v>
      </c>
      <c r="O18" s="7"/>
      <c r="P18" s="7"/>
      <c r="Q18" s="22"/>
      <c r="R18" s="190"/>
      <c r="S18" s="196">
        <f t="shared" si="3"/>
        <v>1</v>
      </c>
      <c r="T18" s="190" t="str">
        <f t="shared" si="4"/>
        <v>Southbound</v>
      </c>
      <c r="U18" s="190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1" t="str">
        <f t="shared" si="5"/>
        <v>https://d0f6bd738d7f1b3e5a7ca70fe4ff75f0.us-east-1.aws.found.io/app/kibana#/discover/Steve-Slow-Train-Analysis-(2080s-and-2083s)?_g=(refreshInterval:(display:Off,pause:!f,section:0,value:0),time:(from:'2017-04-28T03:57:55-0600',mode:absolute,to:'2017-04-28T06:51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8" s="192" t="str">
        <f t="shared" si="6"/>
        <v>N</v>
      </c>
      <c r="X18" s="192">
        <f t="shared" si="7"/>
        <v>1</v>
      </c>
      <c r="Y18" s="192">
        <f t="shared" si="8"/>
        <v>23.273800000000001</v>
      </c>
      <c r="Z18" s="192">
        <f t="shared" si="9"/>
        <v>1.5800000000000002E-2</v>
      </c>
      <c r="AA18" s="192">
        <f t="shared" si="10"/>
        <v>23.258000000000003</v>
      </c>
      <c r="AB18" s="57" t="e">
        <f>VLOOKUP(A18,Enforcements!$C$7:$K$13,8,0)</f>
        <v>#N/A</v>
      </c>
      <c r="AC18" s="53" t="e">
        <f>VLOOKUP(A18,Enforcements!$C$7:$E$13,3,0)</f>
        <v>#N/A</v>
      </c>
      <c r="AD18" s="54" t="str">
        <f t="shared" si="11"/>
        <v>0106-28</v>
      </c>
      <c r="AE18" s="80" t="str">
        <f t="shared" si="12"/>
        <v>aws s3 cp s3://rtdc.mdm.uploadarchive.raw/RTDC4029/ "%USERPROFILE%\AppData\Local\Temp\OnboardLogs"\RTDC4029\2017-04-28 --exclude "*" --recursive --include "*20170428*" &amp; "%USERPROFILE%\Documents\GitHub\mrs-test-scripts\Headless Mode &amp; Sideloading\WalkAndUnGZ.bat" "%USERPROFILE%\AppData\Local\Temp\OnboardLogs"\RTDC4029\2017-04-28 &amp; aws s3 cp s3://rtdc.mdm.uploadarchive.raw/RTDC4029/ "%USERPROFILE%\AppData\Local\Temp\OnboardLogs"\RTDC4029\2017-04-29 --exclude "*" --recursive --include "*20170429*" &amp; "%USERPROFILE%\Documents\GitHub\mrs-test-scripts\Headless Mode &amp; Sideloading\WalkAndUnGZ.bat" "%USERPROFILE%\AppData\Local\Temp\OnboardLogs"\RTDC4029\2017-04-29</v>
      </c>
      <c r="AF18" s="77" t="str">
        <f t="shared" si="13"/>
        <v>"C:\Program Files (x86)\AstroGrep\AstroGrep.exe" /e /r /s /spath="%USERPROFILE%\AppData\Local\Temp\OnboardLogs" /stypes="app*4029*20170428*" /stext=" 11:.+((SYSTEM_STATE.+slice.+state.+changed )|(ment ac)|(multiple cpu faults)|(system.+state.+changed )|(\[timeout)|(PRM\|1\|D)|(kpr)|(kdp)|(train.+moving)|(\|lc)|(penalty))"</v>
      </c>
      <c r="AG18" s="1" t="str">
        <f t="shared" si="14"/>
        <v>EC</v>
      </c>
      <c r="AH18" s="81" t="str">
        <f t="shared" si="19"/>
        <v>"%USERPROFILE%\Documents\GitHub\eaglep3\Utilities\RefineRTDCRunTimes.py" --tripid 106-28 --locoid 4029 --swversion DE.1.0.9.0 --startMP 204:232738 --initTime 2017-04-28T04:57:55 --startdatetime 2017-04-28T05:11:14 --delay 1 --endMP 204:158 --enddatetime 2017-04-28T05:51:01 --enforcementcount 0 &gt;&gt;C:\Users\stu\Documents\GitHub\eaglep3-reporting\EC\2017-04-28-refined-times.txt</v>
      </c>
      <c r="AI18" s="99" t="str">
        <f t="shared" si="20"/>
        <v>echo {"issue":{"subject":"","project_id":79,"tracker_id":40,"status_id":1,"priority_id":2,"assigned_to_id":23,"start_date":"2017-04-28","description":"","custom_fields":[{"id":1,"name":"Subdivision","value":"EC"},{"id":4,"name":"Milepost","value":"0.0158"},{"id":17,"name":"Train ID","value":"106-28"},{"id":16,"name":"Locomotive ID","value":"4029"},{"id":130,"name":"Impact","value":""},{"id":150,"name":"Time of Event (Mountain Time)","value":"05:51:01"},{"id":151,"name":"Denver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5" t="str">
        <f t="shared" si="21"/>
        <v>start /low /b %USERPROFILE%\Documents\GitHub\eaglep3\Utilities\DownloadLogsFromS3.py --loco 4029 --day 2017-04-28</v>
      </c>
      <c r="AN18" s="154" t="str">
        <f t="shared" si="22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11:51:01"},{"id":29,"name":"Sharepoint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655</v>
      </c>
      <c r="B19" s="7">
        <v>4064</v>
      </c>
      <c r="C19" s="21" t="s">
        <v>211</v>
      </c>
      <c r="D19" s="21" t="s">
        <v>551</v>
      </c>
      <c r="E19" s="13">
        <v>42853.184664351851</v>
      </c>
      <c r="F19" s="13">
        <v>42853.187754629631</v>
      </c>
      <c r="G19" s="7">
        <v>1</v>
      </c>
      <c r="H19" s="21" t="s">
        <v>858</v>
      </c>
      <c r="I19" s="13">
        <v>42853.212256944447</v>
      </c>
      <c r="J19" s="7">
        <v>0</v>
      </c>
      <c r="K19" s="92" t="str">
        <f t="shared" si="0"/>
        <v>4063/4064</v>
      </c>
      <c r="L19" s="21" t="str">
        <f>VLOOKUP(A19,'Trips&amp;Operators'!$C$1:$G$99999,5,FALSE)</f>
        <v>STARKS ANGELINA</v>
      </c>
      <c r="M19" s="6">
        <f t="shared" si="1"/>
        <v>2.4502314816345461E-2</v>
      </c>
      <c r="N19" s="7">
        <f t="shared" si="2"/>
        <v>35.283333335537463</v>
      </c>
      <c r="O19" s="7"/>
      <c r="P19" s="7"/>
      <c r="Q19" s="22"/>
      <c r="R19" s="190"/>
      <c r="S19" s="196">
        <f t="shared" si="3"/>
        <v>1</v>
      </c>
      <c r="T19" s="190" t="str">
        <f t="shared" si="4"/>
        <v>NorthBound</v>
      </c>
      <c r="U19" s="190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1" t="str">
        <f t="shared" si="5"/>
        <v>https://d0f6bd738d7f1b3e5a7ca70fe4ff75f0.us-east-1.aws.found.io/app/kibana#/discover/Steve-Slow-Train-Analysis-(2080s-and-2083s)?_g=(refreshInterval:(display:Off,pause:!f,section:0,value:0),time:(from:'2017-04-28T03:25:55-0600',mode:absolute,to:'2017-04-28T06:05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9" s="192" t="str">
        <f t="shared" si="6"/>
        <v>N</v>
      </c>
      <c r="X19" s="192">
        <f t="shared" si="7"/>
        <v>1</v>
      </c>
      <c r="Y19" s="192">
        <f t="shared" si="8"/>
        <v>4.4400000000000002E-2</v>
      </c>
      <c r="Z19" s="192">
        <f t="shared" si="9"/>
        <v>23.3278</v>
      </c>
      <c r="AA19" s="192">
        <f t="shared" si="10"/>
        <v>23.2834</v>
      </c>
      <c r="AB19" s="57" t="e">
        <f>VLOOKUP(A19,Enforcements!$C$7:$K$13,8,0)</f>
        <v>#N/A</v>
      </c>
      <c r="AC19" s="53" t="e">
        <f>VLOOKUP(A19,Enforcements!$C$7:$E$13,3,0)</f>
        <v>#N/A</v>
      </c>
      <c r="AD19" s="54" t="str">
        <f t="shared" si="11"/>
        <v>0107-28</v>
      </c>
      <c r="AE19" s="80" t="str">
        <f t="shared" si="12"/>
        <v>aws s3 cp s3://rtdc.mdm.uploadarchive.raw/RTDC4064/ "%USERPROFILE%\AppData\Local\Temp\OnboardLogs"\RTDC4064\2017-04-28 --exclude "*" --recursive --include "*20170428*" &amp; "%USERPROFILE%\Documents\GitHub\mrs-test-scripts\Headless Mode &amp; Sideloading\WalkAndUnGZ.bat" "%USERPROFILE%\AppData\Local\Temp\OnboardLogs"\RTDC4064\2017-04-28 &amp; aws s3 cp s3://rtdc.mdm.uploadarchive.raw/RTDC4064/ "%USERPROFILE%\AppData\Local\Temp\OnboardLogs"\RTDC4064\2017-04-29 --exclude "*" --recursive --include "*20170429*" &amp; "%USERPROFILE%\Documents\GitHub\mrs-test-scripts\Headless Mode &amp; Sideloading\WalkAndUnGZ.bat" "%USERPROFILE%\AppData\Local\Temp\OnboardLogs"\RTDC4064\2017-04-29</v>
      </c>
      <c r="AF19" s="77" t="str">
        <f t="shared" si="13"/>
        <v>"C:\Program Files (x86)\AstroGrep\AstroGrep.exe" /e /r /s /spath="%USERPROFILE%\AppData\Local\Temp\OnboardLogs" /stypes="app*4064*20170428*" /stext=" 11:.+((SYSTEM_STATE.+slice.+state.+changed )|(ment ac)|(multiple cpu faults)|(system.+state.+changed )|(\[timeout)|(PRM\|1\|D)|(kpr)|(kdp)|(train.+moving)|(\|lc)|(penalty))"</v>
      </c>
      <c r="AG19" s="1" t="str">
        <f t="shared" si="14"/>
        <v>EC</v>
      </c>
      <c r="AH19" s="81" t="str">
        <f t="shared" si="19"/>
        <v>"%USERPROFILE%\Documents\GitHub\eaglep3\Utilities\RefineRTDCRunTimes.py" --tripid 107-28 --locoid 4064 --swversion DE.1.0.9.0 --startMP 204:444 --initTime 2017-04-28T04:25:55 --startdatetime 2017-04-28T04:30:22 --delay 1 --endMP 204:233278 --enddatetime 2017-04-28T05:05:39 --enforcementcount 0 &gt;&gt;C:\Users\stu\Documents\GitHub\eaglep3-reporting\EC\2017-04-28-refined-times.txt</v>
      </c>
      <c r="AI19" s="99" t="str">
        <f t="shared" si="20"/>
        <v>echo {"issue":{"subject":"","project_id":79,"tracker_id":40,"status_id":1,"priority_id":2,"assigned_to_id":23,"start_date":"2017-04-28","description":"","custom_fields":[{"id":1,"name":"Subdivision","value":"EC"},{"id":4,"name":"Milepost","value":"23.3278"},{"id":17,"name":"Train ID","value":"107-28"},{"id":16,"name":"Locomotive ID","value":"4064"},{"id":130,"name":"Impact","value":""},{"id":150,"name":"Time of Event (Mountain Time)","value":"05:05:39"},{"id":151,"name":"Denver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5" t="str">
        <f t="shared" si="21"/>
        <v>start /low /b %USERPROFILE%\Documents\GitHub\eaglep3\Utilities\DownloadLogsFromS3.py --loco 4064 --day 2017-04-28</v>
      </c>
      <c r="AN19" s="154" t="str">
        <f t="shared" si="22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11:05:39"},{"id":29,"name":"Sharepoint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598</v>
      </c>
      <c r="B20" s="7">
        <v>4063</v>
      </c>
      <c r="C20" s="21" t="s">
        <v>211</v>
      </c>
      <c r="D20" s="21" t="s">
        <v>859</v>
      </c>
      <c r="E20" s="13">
        <v>42853.22388888889</v>
      </c>
      <c r="F20" s="13">
        <v>42853.226574074077</v>
      </c>
      <c r="G20" s="7">
        <v>1</v>
      </c>
      <c r="H20" s="21" t="s">
        <v>410</v>
      </c>
      <c r="I20" s="13">
        <v>42853.254421296297</v>
      </c>
      <c r="J20" s="7">
        <v>0</v>
      </c>
      <c r="K20" s="92" t="str">
        <f t="shared" si="0"/>
        <v>4063/4064</v>
      </c>
      <c r="L20" s="21" t="str">
        <f>VLOOKUP(A20,'Trips&amp;Operators'!$C$1:$G$99999,5,FALSE)</f>
        <v>STARKS ANGELINA</v>
      </c>
      <c r="M20" s="6">
        <f t="shared" si="1"/>
        <v>2.7847222219861578E-2</v>
      </c>
      <c r="N20" s="7">
        <f t="shared" si="2"/>
        <v>40.099999996600673</v>
      </c>
      <c r="O20" s="7"/>
      <c r="P20" s="7"/>
      <c r="Q20" s="22"/>
      <c r="R20" s="190"/>
      <c r="S20" s="196">
        <f t="shared" si="3"/>
        <v>1</v>
      </c>
      <c r="T20" s="190" t="str">
        <f t="shared" si="4"/>
        <v>Southbound</v>
      </c>
      <c r="U20" s="190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1" t="str">
        <f t="shared" si="5"/>
        <v>https://d0f6bd738d7f1b3e5a7ca70fe4ff75f0.us-east-1.aws.found.io/app/kibana#/discover/Steve-Slow-Train-Analysis-(2080s-and-2083s)?_g=(refreshInterval:(display:Off,pause:!f,section:0,value:0),time:(from:'2017-04-28T04:22:24-0600',mode:absolute,to:'2017-04-28T07:06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0" s="192" t="str">
        <f t="shared" si="6"/>
        <v>N</v>
      </c>
      <c r="X20" s="192">
        <f t="shared" si="7"/>
        <v>1</v>
      </c>
      <c r="Y20" s="192">
        <f t="shared" si="8"/>
        <v>23.2957</v>
      </c>
      <c r="Z20" s="192">
        <f t="shared" si="9"/>
        <v>1.49E-2</v>
      </c>
      <c r="AA20" s="192">
        <f t="shared" si="10"/>
        <v>23.280799999999999</v>
      </c>
      <c r="AB20" s="57" t="e">
        <f>VLOOKUP(A20,Enforcements!$C$7:$K$13,8,0)</f>
        <v>#N/A</v>
      </c>
      <c r="AC20" s="53" t="e">
        <f>VLOOKUP(A20,Enforcements!$C$7:$E$13,3,0)</f>
        <v>#N/A</v>
      </c>
      <c r="AD20" s="54" t="str">
        <f t="shared" si="11"/>
        <v>0108-28</v>
      </c>
      <c r="AE20" s="80" t="str">
        <f t="shared" si="12"/>
        <v>aws s3 cp s3://rtdc.mdm.uploadarchive.raw/RTDC4063/ "%USERPROFILE%\AppData\Local\Temp\OnboardLogs"\RTDC4063\2017-04-28 --exclude "*" --recursive --include "*20170428*" &amp; "%USERPROFILE%\Documents\GitHub\mrs-test-scripts\Headless Mode &amp; Sideloading\WalkAndUnGZ.bat" "%USERPROFILE%\AppData\Local\Temp\OnboardLogs"\RTDC4063\2017-04-28 &amp; aws s3 cp s3://rtdc.mdm.uploadarchive.raw/RTDC4063/ "%USERPROFILE%\AppData\Local\Temp\OnboardLogs"\RTDC4063\2017-04-29 --exclude "*" --recursive --include "*20170429*" &amp; "%USERPROFILE%\Documents\GitHub\mrs-test-scripts\Headless Mode &amp; Sideloading\WalkAndUnGZ.bat" "%USERPROFILE%\AppData\Local\Temp\OnboardLogs"\RTDC4063\2017-04-29</v>
      </c>
      <c r="AF20" s="77" t="str">
        <f t="shared" si="13"/>
        <v>"C:\Program Files (x86)\AstroGrep\AstroGrep.exe" /e /r /s /spath="%USERPROFILE%\AppData\Local\Temp\OnboardLogs" /stypes="app*4063*20170428*" /stext=" 12:.+((SYSTEM_STATE.+slice.+state.+changed )|(ment ac)|(multiple cpu faults)|(system.+state.+changed )|(\[timeout)|(PRM\|1\|D)|(kpr)|(kdp)|(train.+moving)|(\|lc)|(penalty))"</v>
      </c>
      <c r="AG20" s="1" t="str">
        <f t="shared" si="14"/>
        <v>EC</v>
      </c>
      <c r="AH20" s="81" t="str">
        <f t="shared" si="19"/>
        <v>"%USERPROFILE%\Documents\GitHub\eaglep3\Utilities\RefineRTDCRunTimes.py" --tripid 108-28 --locoid 4063 --swversion DE.1.0.9.0 --startMP 204:232957 --initTime 2017-04-28T05:22:24 --startdatetime 2017-04-28T05:26:16 --delay 1 --endMP 204:149 --enddatetime 2017-04-28T06:06:22 --enforcementcount 0 &gt;&gt;C:\Users\stu\Documents\GitHub\eaglep3-reporting\EC\2017-04-28-refined-times.txt</v>
      </c>
      <c r="AI20" s="99" t="str">
        <f t="shared" si="20"/>
        <v>echo {"issue":{"subject":"","project_id":79,"tracker_id":40,"status_id":1,"priority_id":2,"assigned_to_id":23,"start_date":"2017-04-28","description":"","custom_fields":[{"id":1,"name":"Subdivision","value":"EC"},{"id":4,"name":"Milepost","value":"0.0149"},{"id":17,"name":"Train ID","value":"108-28"},{"id":16,"name":"Locomotive ID","value":"4063"},{"id":130,"name":"Impact","value":""},{"id":150,"name":"Time of Event (Mountain Time)","value":"06:06:22"},{"id":151,"name":"Denver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5" t="str">
        <f t="shared" si="21"/>
        <v>start /low /b %USERPROFILE%\Documents\GitHub\eaglep3\Utilities\DownloadLogsFromS3.py --loco 4063 --day 2017-04-28</v>
      </c>
      <c r="AN20" s="154" t="str">
        <f t="shared" si="22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12:06:22"},{"id":29,"name":"Sharepoint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658</v>
      </c>
      <c r="B21" s="7">
        <v>4022</v>
      </c>
      <c r="C21" s="21" t="s">
        <v>211</v>
      </c>
      <c r="D21" s="21" t="s">
        <v>384</v>
      </c>
      <c r="E21" s="13">
        <v>42853.196018518516</v>
      </c>
      <c r="F21" s="13">
        <v>42853.198368055557</v>
      </c>
      <c r="G21" s="7">
        <v>1</v>
      </c>
      <c r="H21" s="21" t="s">
        <v>502</v>
      </c>
      <c r="I21" s="13">
        <v>42853.222951388889</v>
      </c>
      <c r="J21" s="7">
        <v>0</v>
      </c>
      <c r="K21" s="92" t="str">
        <f t="shared" si="0"/>
        <v>4021/4022</v>
      </c>
      <c r="L21" s="21" t="str">
        <f>VLOOKUP(A21,'Trips&amp;Operators'!$C$1:$G$99999,5,FALSE)</f>
        <v>LOZA FIDEL</v>
      </c>
      <c r="M21" s="6">
        <f t="shared" si="1"/>
        <v>2.4583333331975155E-2</v>
      </c>
      <c r="N21" s="7">
        <f t="shared" si="2"/>
        <v>35.399999998044223</v>
      </c>
      <c r="O21" s="7"/>
      <c r="P21" s="7"/>
      <c r="Q21" s="22"/>
      <c r="R21" s="190"/>
      <c r="S21" s="196">
        <f t="shared" si="3"/>
        <v>1</v>
      </c>
      <c r="T21" s="190" t="str">
        <f t="shared" si="4"/>
        <v>NorthBound</v>
      </c>
      <c r="U21" s="190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1" t="str">
        <f t="shared" si="5"/>
        <v>https://d0f6bd738d7f1b3e5a7ca70fe4ff75f0.us-east-1.aws.found.io/app/kibana#/discover/Steve-Slow-Train-Analysis-(2080s-and-2083s)?_g=(refreshInterval:(display:Off,pause:!f,section:0,value:0),time:(from:'2017-04-28T03:42:16-0600',mode:absolute,to:'2017-04-28T06:21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1" s="192" t="str">
        <f t="shared" si="6"/>
        <v>N</v>
      </c>
      <c r="X21" s="192">
        <f t="shared" si="7"/>
        <v>1</v>
      </c>
      <c r="Y21" s="192">
        <f t="shared" si="8"/>
        <v>4.4600000000000001E-2</v>
      </c>
      <c r="Z21" s="192">
        <f t="shared" si="9"/>
        <v>23.331199999999999</v>
      </c>
      <c r="AA21" s="192">
        <f t="shared" si="10"/>
        <v>23.2866</v>
      </c>
      <c r="AB21" s="57" t="e">
        <f>VLOOKUP(A21,Enforcements!$C$7:$K$13,8,0)</f>
        <v>#N/A</v>
      </c>
      <c r="AC21" s="53" t="e">
        <f>VLOOKUP(A21,Enforcements!$C$7:$E$13,3,0)</f>
        <v>#N/A</v>
      </c>
      <c r="AD21" s="54" t="str">
        <f t="shared" si="11"/>
        <v>0109-28</v>
      </c>
      <c r="AE21" s="80" t="str">
        <f t="shared" si="12"/>
        <v>aws s3 cp s3://rtdc.mdm.uploadarchive.raw/RTDC4022/ "%USERPROFILE%\AppData\Local\Temp\OnboardLogs"\RTDC4022\2017-04-28 --exclude "*" --recursive --include "*20170428*" &amp; "%USERPROFILE%\Documents\GitHub\mrs-test-scripts\Headless Mode &amp; Sideloading\WalkAndUnGZ.bat" "%USERPROFILE%\AppData\Local\Temp\OnboardLogs"\RTDC4022\2017-04-28 &amp; aws s3 cp s3://rtdc.mdm.uploadarchive.raw/RTDC4022/ "%USERPROFILE%\AppData\Local\Temp\OnboardLogs"\RTDC4022\2017-04-29 --exclude "*" --recursive --include "*20170429*" &amp; "%USERPROFILE%\Documents\GitHub\mrs-test-scripts\Headless Mode &amp; Sideloading\WalkAndUnGZ.bat" "%USERPROFILE%\AppData\Local\Temp\OnboardLogs"\RTDC4022\2017-04-29</v>
      </c>
      <c r="AF21" s="77" t="str">
        <f t="shared" si="13"/>
        <v>"C:\Program Files (x86)\AstroGrep\AstroGrep.exe" /e /r /s /spath="%USERPROFILE%\AppData\Local\Temp\OnboardLogs" /stypes="app*4022*20170428*" /stext=" 11:.+((SYSTEM_STATE.+slice.+state.+changed )|(ment ac)|(multiple cpu faults)|(system.+state.+changed )|(\[timeout)|(PRM\|1\|D)|(kpr)|(kdp)|(train.+moving)|(\|lc)|(penalty))"</v>
      </c>
      <c r="AG21" s="1" t="str">
        <f t="shared" si="14"/>
        <v>EC</v>
      </c>
      <c r="AH21" s="81" t="str">
        <f t="shared" si="19"/>
        <v>"%USERPROFILE%\Documents\GitHub\eaglep3\Utilities\RefineRTDCRunTimes.py" --tripid 109-28 --locoid 4022 --swversion DE.1.0.9.0 --startMP 204:446 --initTime 2017-04-28T04:42:16 --startdatetime 2017-04-28T04:45:39 --delay 1 --endMP 204:233312 --enddatetime 2017-04-28T05:21:03 --enforcementcount 0 &gt;&gt;C:\Users\stu\Documents\GitHub\eaglep3-reporting\EC\2017-04-28-refined-times.txt</v>
      </c>
      <c r="AI21" s="99" t="str">
        <f t="shared" si="20"/>
        <v>echo {"issue":{"subject":"","project_id":79,"tracker_id":40,"status_id":1,"priority_id":2,"assigned_to_id":23,"start_date":"2017-04-28","description":"","custom_fields":[{"id":1,"name":"Subdivision","value":"EC"},{"id":4,"name":"Milepost","value":"23.3312"},{"id":17,"name":"Train ID","value":"109-28"},{"id":16,"name":"Locomotive ID","value":"4022"},{"id":130,"name":"Impact","value":""},{"id":150,"name":"Time of Event (Mountain Time)","value":"05:21:03"},{"id":151,"name":"Denver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5" t="str">
        <f t="shared" si="21"/>
        <v>start /low /b %USERPROFILE%\Documents\GitHub\eaglep3\Utilities\DownloadLogsFromS3.py --loco 4022 --day 2017-04-28</v>
      </c>
      <c r="AN21" s="154" t="str">
        <f t="shared" si="22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11:21:03"},{"id":29,"name":"Sharepoint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666</v>
      </c>
      <c r="B22" s="7">
        <v>4021</v>
      </c>
      <c r="C22" s="21" t="s">
        <v>211</v>
      </c>
      <c r="D22" s="21" t="s">
        <v>508</v>
      </c>
      <c r="E22" s="13">
        <v>42853.233587962961</v>
      </c>
      <c r="F22" s="13">
        <v>42853.23709490741</v>
      </c>
      <c r="G22" s="7">
        <v>1</v>
      </c>
      <c r="H22" s="21" t="s">
        <v>198</v>
      </c>
      <c r="I22" s="13">
        <v>42853.263379629629</v>
      </c>
      <c r="J22" s="7">
        <v>0</v>
      </c>
      <c r="K22" s="92" t="str">
        <f t="shared" si="0"/>
        <v>4021/4022</v>
      </c>
      <c r="L22" s="21" t="str">
        <f>VLOOKUP(A22,'Trips&amp;Operators'!$C$1:$G$99999,5,FALSE)</f>
        <v>LOZA FIDEL</v>
      </c>
      <c r="M22" s="6">
        <f t="shared" si="1"/>
        <v>2.6284722218406387E-2</v>
      </c>
      <c r="N22" s="7">
        <f t="shared" si="2"/>
        <v>37.849999994505197</v>
      </c>
      <c r="O22" s="7"/>
      <c r="P22" s="7"/>
      <c r="Q22" s="22"/>
      <c r="R22" s="190"/>
      <c r="S22" s="196">
        <f t="shared" si="3"/>
        <v>1</v>
      </c>
      <c r="T22" s="190" t="str">
        <f t="shared" si="4"/>
        <v>Southbound</v>
      </c>
      <c r="U22" s="190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1" t="str">
        <f t="shared" si="5"/>
        <v>https://d0f6bd738d7f1b3e5a7ca70fe4ff75f0.us-east-1.aws.found.io/app/kibana#/discover/Steve-Slow-Train-Analysis-(2080s-and-2083s)?_g=(refreshInterval:(display:Off,pause:!f,section:0,value:0),time:(from:'2017-04-28T04:36:22-0600',mode:absolute,to:'2017-04-28T07:19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2" s="192" t="str">
        <f t="shared" si="6"/>
        <v>N</v>
      </c>
      <c r="X22" s="192">
        <f t="shared" si="7"/>
        <v>1</v>
      </c>
      <c r="Y22" s="192">
        <f t="shared" si="8"/>
        <v>23.299299999999999</v>
      </c>
      <c r="Z22" s="192">
        <f t="shared" si="9"/>
        <v>1.5800000000000002E-2</v>
      </c>
      <c r="AA22" s="192">
        <f t="shared" si="10"/>
        <v>23.2835</v>
      </c>
      <c r="AB22" s="57" t="e">
        <f>VLOOKUP(A22,Enforcements!$C$7:$K$13,8,0)</f>
        <v>#N/A</v>
      </c>
      <c r="AC22" s="53" t="e">
        <f>VLOOKUP(A22,Enforcements!$C$7:$E$13,3,0)</f>
        <v>#N/A</v>
      </c>
      <c r="AD22" s="54" t="str">
        <f t="shared" si="11"/>
        <v>0110-28</v>
      </c>
      <c r="AE22" s="80" t="str">
        <f t="shared" si="12"/>
        <v>aws s3 cp s3://rtdc.mdm.uploadarchive.raw/RTDC4021/ "%USERPROFILE%\AppData\Local\Temp\OnboardLogs"\RTDC4021\2017-04-28 --exclude "*" --recursive --include "*20170428*" &amp; "%USERPROFILE%\Documents\GitHub\mrs-test-scripts\Headless Mode &amp; Sideloading\WalkAndUnGZ.bat" "%USERPROFILE%\AppData\Local\Temp\OnboardLogs"\RTDC4021\2017-04-28 &amp; aws s3 cp s3://rtdc.mdm.uploadarchive.raw/RTDC4021/ "%USERPROFILE%\AppData\Local\Temp\OnboardLogs"\RTDC4021\2017-04-29 --exclude "*" --recursive --include "*20170429*" &amp; "%USERPROFILE%\Documents\GitHub\mrs-test-scripts\Headless Mode &amp; Sideloading\WalkAndUnGZ.bat" "%USERPROFILE%\AppData\Local\Temp\OnboardLogs"\RTDC4021\2017-04-29</v>
      </c>
      <c r="AF22" s="77" t="str">
        <f t="shared" si="13"/>
        <v>"C:\Program Files (x86)\AstroGrep\AstroGrep.exe" /e /r /s /spath="%USERPROFILE%\AppData\Local\Temp\OnboardLogs" /stypes="app*4021*20170428*" /stext=" 12:.+((SYSTEM_STATE.+slice.+state.+changed )|(ment ac)|(multiple cpu faults)|(system.+state.+changed )|(\[timeout)|(PRM\|1\|D)|(kpr)|(kdp)|(train.+moving)|(\|lc)|(penalty))"</v>
      </c>
      <c r="AG22" s="1" t="str">
        <f t="shared" si="14"/>
        <v>EC</v>
      </c>
      <c r="AH22" s="81" t="str">
        <f t="shared" si="19"/>
        <v>"%USERPROFILE%\Documents\GitHub\eaglep3\Utilities\RefineRTDCRunTimes.py" --tripid 110-28 --locoid 4021 --swversion DE.1.0.9.0 --startMP 204:232993 --initTime 2017-04-28T05:36:22 --startdatetime 2017-04-28T05:41:25 --delay 1 --endMP 204:158 --enddatetime 2017-04-28T06:19:16 --enforcementcount 0 &gt;&gt;C:\Users\stu\Documents\GitHub\eaglep3-reporting\EC\2017-04-28-refined-times.txt</v>
      </c>
      <c r="AI22" s="99" t="str">
        <f t="shared" si="20"/>
        <v>echo {"issue":{"subject":"","project_id":79,"tracker_id":40,"status_id":1,"priority_id":2,"assigned_to_id":23,"start_date":"2017-04-28","description":"","custom_fields":[{"id":1,"name":"Subdivision","value":"EC"},{"id":4,"name":"Milepost","value":"0.0158"},{"id":17,"name":"Train ID","value":"110-28"},{"id":16,"name":"Locomotive ID","value":"4021"},{"id":130,"name":"Impact","value":""},{"id":150,"name":"Time of Event (Mountain Time)","value":"06:19:16"},{"id":151,"name":"Denver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5" t="str">
        <f t="shared" si="21"/>
        <v>start /low /b %USERPROFILE%\Documents\GitHub\eaglep3\Utilities\DownloadLogsFromS3.py --loco 4021 --day 2017-04-28</v>
      </c>
      <c r="AN22" s="154" t="str">
        <f t="shared" si="22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12:19:16"},{"id":29,"name":"Sharepoint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660</v>
      </c>
      <c r="B23" s="7">
        <v>4042</v>
      </c>
      <c r="C23" s="21" t="s">
        <v>211</v>
      </c>
      <c r="D23" s="21" t="s">
        <v>860</v>
      </c>
      <c r="E23" s="13">
        <v>42853.205069444448</v>
      </c>
      <c r="F23" s="13">
        <v>42853.208506944444</v>
      </c>
      <c r="G23" s="7">
        <v>1</v>
      </c>
      <c r="H23" s="21" t="s">
        <v>550</v>
      </c>
      <c r="I23" s="13">
        <v>42853.234259259261</v>
      </c>
      <c r="J23" s="7">
        <v>0</v>
      </c>
      <c r="K23" s="92" t="str">
        <f t="shared" si="0"/>
        <v>4041/4042</v>
      </c>
      <c r="L23" s="21" t="str">
        <f>VLOOKUP(A23,'Trips&amp;Operators'!$C$1:$G$99999,5,FALSE)</f>
        <v>BIRENBAUM THOMAS</v>
      </c>
      <c r="M23" s="6">
        <f t="shared" si="1"/>
        <v>2.5752314817509614E-2</v>
      </c>
      <c r="N23" s="7">
        <f t="shared" si="2"/>
        <v>37.083333337213844</v>
      </c>
      <c r="O23" s="7"/>
      <c r="P23" s="7"/>
      <c r="Q23" s="22"/>
      <c r="R23" s="190"/>
      <c r="S23" s="196">
        <f t="shared" si="3"/>
        <v>1</v>
      </c>
      <c r="T23" s="190" t="str">
        <f t="shared" si="4"/>
        <v>NorthBound</v>
      </c>
      <c r="U23" s="190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1" t="str">
        <f t="shared" si="5"/>
        <v>https://d0f6bd738d7f1b3e5a7ca70fe4ff75f0.us-east-1.aws.found.io/app/kibana#/discover/Steve-Slow-Train-Analysis-(2080s-and-2083s)?_g=(refreshInterval:(display:Off,pause:!f,section:0,value:0),time:(from:'2017-04-28T03:55:18-0600',mode:absolute,to:'2017-04-28T06:37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3" s="192" t="str">
        <f t="shared" si="6"/>
        <v>N</v>
      </c>
      <c r="X23" s="192">
        <f t="shared" si="7"/>
        <v>1</v>
      </c>
      <c r="Y23" s="192">
        <f t="shared" si="8"/>
        <v>7.3899999999999993E-2</v>
      </c>
      <c r="Z23" s="192">
        <f t="shared" si="9"/>
        <v>23.3293</v>
      </c>
      <c r="AA23" s="192">
        <f t="shared" si="10"/>
        <v>23.255400000000002</v>
      </c>
      <c r="AB23" s="57" t="e">
        <f>VLOOKUP(A23,Enforcements!$C$7:$K$13,8,0)</f>
        <v>#N/A</v>
      </c>
      <c r="AC23" s="53" t="e">
        <f>VLOOKUP(A23,Enforcements!$C$7:$E$13,3,0)</f>
        <v>#N/A</v>
      </c>
      <c r="AD23" s="54" t="str">
        <f t="shared" si="11"/>
        <v>0111-28</v>
      </c>
      <c r="AE23" s="80" t="str">
        <f t="shared" si="12"/>
        <v>aws s3 cp s3://rtdc.mdm.uploadarchive.raw/RTDC4042/ "%USERPROFILE%\AppData\Local\Temp\OnboardLogs"\RTDC4042\2017-04-28 --exclude "*" --recursive --include "*20170428*" &amp; "%USERPROFILE%\Documents\GitHub\mrs-test-scripts\Headless Mode &amp; Sideloading\WalkAndUnGZ.bat" "%USERPROFILE%\AppData\Local\Temp\OnboardLogs"\RTDC4042\2017-04-28 &amp; aws s3 cp s3://rtdc.mdm.uploadarchive.raw/RTDC4042/ "%USERPROFILE%\AppData\Local\Temp\OnboardLogs"\RTDC4042\2017-04-29 --exclude "*" --recursive --include "*20170429*" &amp; "%USERPROFILE%\Documents\GitHub\mrs-test-scripts\Headless Mode &amp; Sideloading\WalkAndUnGZ.bat" "%USERPROFILE%\AppData\Local\Temp\OnboardLogs"\RTDC4042\2017-04-29</v>
      </c>
      <c r="AF23" s="77" t="str">
        <f t="shared" si="13"/>
        <v>"C:\Program Files (x86)\AstroGrep\AstroGrep.exe" /e /r /s /spath="%USERPROFILE%\AppData\Local\Temp\OnboardLogs" /stypes="app*4042*20170428*" /stext=" 11:.+((SYSTEM_STATE.+slice.+state.+changed )|(ment ac)|(multiple cpu faults)|(system.+state.+changed )|(\[timeout)|(PRM\|1\|D)|(kpr)|(kdp)|(train.+moving)|(\|lc)|(penalty))"</v>
      </c>
      <c r="AG23" s="1" t="str">
        <f t="shared" si="14"/>
        <v>EC</v>
      </c>
      <c r="AH23" s="81" t="str">
        <f t="shared" si="19"/>
        <v>"%USERPROFILE%\Documents\GitHub\eaglep3\Utilities\RefineRTDCRunTimes.py" --tripid 111-28 --locoid 4042 --swversion DE.1.0.9.0 --startMP 204:739 --initTime 2017-04-28T04:55:18 --startdatetime 2017-04-28T05:00:15 --delay 1 --endMP 204:233293 --enddatetime 2017-04-28T05:37:20 --enforcementcount 0 &gt;&gt;C:\Users\stu\Documents\GitHub\eaglep3-reporting\EC\2017-04-28-refined-times.txt</v>
      </c>
      <c r="AI23" s="99" t="str">
        <f t="shared" si="20"/>
        <v>echo {"issue":{"subject":"","project_id":79,"tracker_id":40,"status_id":1,"priority_id":2,"assigned_to_id":23,"start_date":"2017-04-28","description":"","custom_fields":[{"id":1,"name":"Subdivision","value":"EC"},{"id":4,"name":"Milepost","value":"23.3293"},{"id":17,"name":"Train ID","value":"111-28"},{"id":16,"name":"Locomotive ID","value":"4042"},{"id":130,"name":"Impact","value":""},{"id":150,"name":"Time of Event (Mountain Time)","value":"05:37:20"},{"id":151,"name":"Denver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5" t="str">
        <f t="shared" si="21"/>
        <v>start /low /b %USERPROFILE%\Documents\GitHub\eaglep3\Utilities\DownloadLogsFromS3.py --loco 4042 --day 2017-04-28</v>
      </c>
      <c r="AN23" s="154" t="str">
        <f t="shared" si="22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11:37:20"},{"id":29,"name":"Sharepoint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668</v>
      </c>
      <c r="B24" s="7">
        <v>4041</v>
      </c>
      <c r="C24" s="21" t="s">
        <v>211</v>
      </c>
      <c r="D24" s="21" t="s">
        <v>511</v>
      </c>
      <c r="E24" s="13">
        <v>42853.236527777779</v>
      </c>
      <c r="F24" s="13">
        <v>42853.247418981482</v>
      </c>
      <c r="G24" s="7">
        <v>2</v>
      </c>
      <c r="H24" s="21" t="s">
        <v>197</v>
      </c>
      <c r="I24" s="13">
        <v>42853.275416666664</v>
      </c>
      <c r="J24" s="7">
        <v>0</v>
      </c>
      <c r="K24" s="92" t="str">
        <f t="shared" si="0"/>
        <v>4041/4042</v>
      </c>
      <c r="L24" s="21" t="str">
        <f>VLOOKUP(A24,'Trips&amp;Operators'!$C$1:$G$99999,5,FALSE)</f>
        <v>BIRENBAUM THOMAS</v>
      </c>
      <c r="M24" s="6">
        <f t="shared" si="1"/>
        <v>2.7997685181617271E-2</v>
      </c>
      <c r="N24" s="7">
        <f t="shared" si="2"/>
        <v>40.31666666152887</v>
      </c>
      <c r="O24" s="7"/>
      <c r="P24" s="7"/>
      <c r="Q24" s="22"/>
      <c r="R24" s="190"/>
      <c r="S24" s="196">
        <f t="shared" si="3"/>
        <v>1</v>
      </c>
      <c r="T24" s="190" t="str">
        <f t="shared" si="4"/>
        <v>Southbound</v>
      </c>
      <c r="U24" s="190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1" t="str">
        <f t="shared" si="5"/>
        <v>https://d0f6bd738d7f1b3e5a7ca70fe4ff75f0.us-east-1.aws.found.io/app/kibana#/discover/Steve-Slow-Train-Analysis-(2080s-and-2083s)?_g=(refreshInterval:(display:Off,pause:!f,section:0,value:0),time:(from:'2017-04-28T04:40:36-0600',mode:absolute,to:'2017-04-28T07:36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4" s="192" t="str">
        <f t="shared" si="6"/>
        <v>N</v>
      </c>
      <c r="X24" s="192">
        <f t="shared" si="7"/>
        <v>1</v>
      </c>
      <c r="Y24" s="192">
        <f t="shared" si="8"/>
        <v>23.296700000000001</v>
      </c>
      <c r="Z24" s="192">
        <f t="shared" si="9"/>
        <v>1.52E-2</v>
      </c>
      <c r="AA24" s="192">
        <f t="shared" si="10"/>
        <v>23.281500000000001</v>
      </c>
      <c r="AB24" s="57" t="e">
        <f>VLOOKUP(A24,Enforcements!$C$7:$K$13,8,0)</f>
        <v>#N/A</v>
      </c>
      <c r="AC24" s="53" t="e">
        <f>VLOOKUP(A24,Enforcements!$C$7:$E$13,3,0)</f>
        <v>#N/A</v>
      </c>
      <c r="AD24" s="54" t="str">
        <f t="shared" si="11"/>
        <v>0112-28</v>
      </c>
      <c r="AE24" s="80" t="str">
        <f t="shared" si="12"/>
        <v>aws s3 cp s3://rtdc.mdm.uploadarchive.raw/RTDC4041/ "%USERPROFILE%\AppData\Local\Temp\OnboardLogs"\RTDC4041\2017-04-28 --exclude "*" --recursive --include "*20170428*" &amp; "%USERPROFILE%\Documents\GitHub\mrs-test-scripts\Headless Mode &amp; Sideloading\WalkAndUnGZ.bat" "%USERPROFILE%\AppData\Local\Temp\OnboardLogs"\RTDC4041\2017-04-28 &amp; aws s3 cp s3://rtdc.mdm.uploadarchive.raw/RTDC4041/ "%USERPROFILE%\AppData\Local\Temp\OnboardLogs"\RTDC4041\2017-04-29 --exclude "*" --recursive --include "*20170429*" &amp; "%USERPROFILE%\Documents\GitHub\mrs-test-scripts\Headless Mode &amp; Sideloading\WalkAndUnGZ.bat" "%USERPROFILE%\AppData\Local\Temp\OnboardLogs"\RTDC4041\2017-04-29</v>
      </c>
      <c r="AF24" s="77" t="str">
        <f t="shared" si="13"/>
        <v>"C:\Program Files (x86)\AstroGrep\AstroGrep.exe" /e /r /s /spath="%USERPROFILE%\AppData\Local\Temp\OnboardLogs" /stypes="app*4041*20170428*" /stext=" 12:.+((SYSTEM_STATE.+slice.+state.+changed )|(ment ac)|(multiple cpu faults)|(system.+state.+changed )|(\[timeout)|(PRM\|1\|D)|(kpr)|(kdp)|(train.+moving)|(\|lc)|(penalty))"</v>
      </c>
      <c r="AG24" s="1" t="str">
        <f t="shared" si="14"/>
        <v>EC</v>
      </c>
      <c r="AH24" s="81" t="str">
        <f t="shared" si="19"/>
        <v>"%USERPROFILE%\Documents\GitHub\eaglep3\Utilities\RefineRTDCRunTimes.py" --tripid 112-28 --locoid 4041 --swversion DE.1.0.9.0 --startMP 204:232967 --initTime 2017-04-28T05:40:36 --startdatetime 2017-04-28T05:56:17 --delay 2 --endMP 204:152 --enddatetime 2017-04-28T06:36:36 --enforcementcount 0 &gt;&gt;C:\Users\stu\Documents\GitHub\eaglep3-reporting\EC\2017-04-28-refined-times.txt</v>
      </c>
      <c r="AI24" s="99" t="str">
        <f t="shared" si="20"/>
        <v>echo {"issue":{"subject":"","project_id":79,"tracker_id":40,"status_id":1,"priority_id":2,"assigned_to_id":23,"start_date":"2017-04-28","description":"","custom_fields":[{"id":1,"name":"Subdivision","value":"EC"},{"id":4,"name":"Milepost","value":"0.0152"},{"id":17,"name":"Train ID","value":"112-28"},{"id":16,"name":"Locomotive ID","value":"4041"},{"id":130,"name":"Impact","value":""},{"id":150,"name":"Time of Event (Mountain Time)","value":"06:36:36"},{"id":151,"name":"Denver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5" t="str">
        <f t="shared" si="21"/>
        <v>start /low /b %USERPROFILE%\Documents\GitHub\eaglep3\Utilities\DownloadLogsFromS3.py --loco 4041 --day 2017-04-28</v>
      </c>
      <c r="AN24" s="154" t="str">
        <f t="shared" si="22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12:36:36"},{"id":29,"name":"Sharepoint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662</v>
      </c>
      <c r="B25" s="7">
        <v>4016</v>
      </c>
      <c r="C25" s="21" t="s">
        <v>211</v>
      </c>
      <c r="D25" s="21" t="s">
        <v>861</v>
      </c>
      <c r="E25" s="13">
        <v>42853.207696759258</v>
      </c>
      <c r="F25" s="13">
        <v>42853.219178240739</v>
      </c>
      <c r="G25" s="7">
        <v>4</v>
      </c>
      <c r="H25" s="21" t="s">
        <v>862</v>
      </c>
      <c r="I25" s="13">
        <v>42853.245104166665</v>
      </c>
      <c r="J25" s="7">
        <v>0</v>
      </c>
      <c r="K25" s="92" t="str">
        <f t="shared" si="0"/>
        <v>4015/4016</v>
      </c>
      <c r="L25" s="21" t="str">
        <f>VLOOKUP(A25,'Trips&amp;Operators'!$C$1:$G$99999,5,FALSE)</f>
        <v>BADERTSCHER DIANE</v>
      </c>
      <c r="M25" s="6">
        <f t="shared" si="1"/>
        <v>2.5925925925548654E-2</v>
      </c>
      <c r="N25" s="7">
        <f t="shared" si="2"/>
        <v>37.333333332790062</v>
      </c>
      <c r="O25" s="7"/>
      <c r="P25" s="7"/>
      <c r="Q25" s="22"/>
      <c r="R25" s="190"/>
      <c r="S25" s="196">
        <f t="shared" si="3"/>
        <v>1</v>
      </c>
      <c r="T25" s="190" t="str">
        <f t="shared" si="4"/>
        <v>NorthBound</v>
      </c>
      <c r="U25" s="190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1" t="str">
        <f t="shared" si="5"/>
        <v>https://d0f6bd738d7f1b3e5a7ca70fe4ff75f0.us-east-1.aws.found.io/app/kibana#/discover/Steve-Slow-Train-Analysis-(2080s-and-2083s)?_g=(refreshInterval:(display:Off,pause:!f,section:0,value:0),time:(from:'2017-04-28T03:59:05-0600',mode:absolute,to:'2017-04-28T06:52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5" s="192" t="str">
        <f t="shared" si="6"/>
        <v>N</v>
      </c>
      <c r="X25" s="192">
        <f t="shared" si="7"/>
        <v>1</v>
      </c>
      <c r="Y25" s="192">
        <f t="shared" si="8"/>
        <v>4.1799999999999997E-2</v>
      </c>
      <c r="Z25" s="192">
        <f t="shared" si="9"/>
        <v>23.328299999999999</v>
      </c>
      <c r="AA25" s="192">
        <f t="shared" si="10"/>
        <v>23.2865</v>
      </c>
      <c r="AB25" s="57" t="e">
        <f>VLOOKUP(A25,Enforcements!$C$7:$K$13,8,0)</f>
        <v>#N/A</v>
      </c>
      <c r="AC25" s="53" t="e">
        <f>VLOOKUP(A25,Enforcements!$C$7:$E$13,3,0)</f>
        <v>#N/A</v>
      </c>
      <c r="AD25" s="54" t="str">
        <f t="shared" si="11"/>
        <v>0113-28</v>
      </c>
      <c r="AE25" s="80" t="str">
        <f t="shared" si="12"/>
        <v>aws s3 cp s3://rtdc.mdm.uploadarchive.raw/RTDC4016/ "%USERPROFILE%\AppData\Local\Temp\OnboardLogs"\RTDC4016\2017-04-28 --exclude "*" --recursive --include "*20170428*" &amp; "%USERPROFILE%\Documents\GitHub\mrs-test-scripts\Headless Mode &amp; Sideloading\WalkAndUnGZ.bat" "%USERPROFILE%\AppData\Local\Temp\OnboardLogs"\RTDC4016\2017-04-28 &amp; aws s3 cp s3://rtdc.mdm.uploadarchive.raw/RTDC4016/ "%USERPROFILE%\AppData\Local\Temp\OnboardLogs"\RTDC4016\2017-04-29 --exclude "*" --recursive --include "*20170429*" &amp; "%USERPROFILE%\Documents\GitHub\mrs-test-scripts\Headless Mode &amp; Sideloading\WalkAndUnGZ.bat" "%USERPROFILE%\AppData\Local\Temp\OnboardLogs"\RTDC4016\2017-04-29</v>
      </c>
      <c r="AF25" s="77" t="str">
        <f t="shared" si="13"/>
        <v>"C:\Program Files (x86)\AstroGrep\AstroGrep.exe" /e /r /s /spath="%USERPROFILE%\AppData\Local\Temp\OnboardLogs" /stypes="app*4016*20170428*" /stext=" 11:.+((SYSTEM_STATE.+slice.+state.+changed )|(ment ac)|(multiple cpu faults)|(system.+state.+changed )|(\[timeout)|(PRM\|1\|D)|(kpr)|(kdp)|(train.+moving)|(\|lc)|(penalty))"</v>
      </c>
      <c r="AG25" s="1" t="str">
        <f t="shared" si="14"/>
        <v>EC</v>
      </c>
      <c r="AH25" s="81" t="str">
        <f t="shared" si="19"/>
        <v>"%USERPROFILE%\Documents\GitHub\eaglep3\Utilities\RefineRTDCRunTimes.py" --tripid 113-28 --locoid 4016 --swversion DE.1.0.9.0 --startMP 204:418 --initTime 2017-04-28T04:59:05 --startdatetime 2017-04-28T05:15:37 --delay 4 --endMP 204:233283 --enddatetime 2017-04-28T05:52:57 --enforcementcount 0 &gt;&gt;C:\Users\stu\Documents\GitHub\eaglep3-reporting\EC\2017-04-28-refined-times.txt</v>
      </c>
      <c r="AI25" s="99" t="str">
        <f t="shared" si="20"/>
        <v>echo {"issue":{"subject":"","project_id":79,"tracker_id":40,"status_id":1,"priority_id":2,"assigned_to_id":23,"start_date":"2017-04-28","description":"","custom_fields":[{"id":1,"name":"Subdivision","value":"EC"},{"id":4,"name":"Milepost","value":"23.3283"},{"id":17,"name":"Train ID","value":"113-28"},{"id":16,"name":"Locomotive ID","value":"4016"},{"id":130,"name":"Impact","value":""},{"id":150,"name":"Time of Event (Mountain Time)","value":"05:52:57"},{"id":151,"name":"Denver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5" t="str">
        <f t="shared" si="21"/>
        <v>start /low /b %USERPROFILE%\Documents\GitHub\eaglep3\Utilities\DownloadLogsFromS3.py --loco 4016 --day 2017-04-28</v>
      </c>
      <c r="AN25" s="154" t="str">
        <f t="shared" si="22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11:52:57"},{"id":29,"name":"Sharepoint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672</v>
      </c>
      <c r="B26" s="7">
        <v>4015</v>
      </c>
      <c r="C26" s="21" t="s">
        <v>211</v>
      </c>
      <c r="D26" s="21" t="s">
        <v>509</v>
      </c>
      <c r="E26" s="13">
        <v>42853.252511574072</v>
      </c>
      <c r="F26" s="13">
        <v>42853.257800925923</v>
      </c>
      <c r="G26" s="7">
        <v>1</v>
      </c>
      <c r="H26" s="21" t="s">
        <v>198</v>
      </c>
      <c r="I26" s="13">
        <v>42853.28528935185</v>
      </c>
      <c r="J26" s="7">
        <v>0</v>
      </c>
      <c r="K26" s="92" t="str">
        <f t="shared" si="0"/>
        <v>4015/4016</v>
      </c>
      <c r="L26" s="21" t="str">
        <f>VLOOKUP(A26,'Trips&amp;Operators'!$C$1:$G$99999,5,FALSE)</f>
        <v>BADERTSCHER DIANE</v>
      </c>
      <c r="M26" s="6">
        <f t="shared" si="1"/>
        <v>2.7488425927003846E-2</v>
      </c>
      <c r="N26" s="7">
        <f t="shared" si="2"/>
        <v>39.583333334885538</v>
      </c>
      <c r="O26" s="7"/>
      <c r="P26" s="7"/>
      <c r="Q26" s="22"/>
      <c r="R26" s="190"/>
      <c r="S26" s="196">
        <f t="shared" si="3"/>
        <v>1</v>
      </c>
      <c r="T26" s="190" t="str">
        <f t="shared" si="4"/>
        <v>Southbound</v>
      </c>
      <c r="U26" s="190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1" t="str">
        <f t="shared" si="5"/>
        <v>https://d0f6bd738d7f1b3e5a7ca70fe4ff75f0.us-east-1.aws.found.io/app/kibana#/discover/Steve-Slow-Train-Analysis-(2080s-and-2083s)?_g=(refreshInterval:(display:Off,pause:!f,section:0,value:0),time:(from:'2017-04-28T05:03:37-0600',mode:absolute,to:'2017-04-28T07:50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6" s="192" t="str">
        <f t="shared" si="6"/>
        <v>N</v>
      </c>
      <c r="X26" s="192">
        <f t="shared" si="7"/>
        <v>1</v>
      </c>
      <c r="Y26" s="192">
        <f t="shared" si="8"/>
        <v>23.298300000000001</v>
      </c>
      <c r="Z26" s="192">
        <f t="shared" si="9"/>
        <v>1.5800000000000002E-2</v>
      </c>
      <c r="AA26" s="192">
        <f t="shared" si="10"/>
        <v>23.282500000000002</v>
      </c>
      <c r="AB26" s="57" t="e">
        <f>VLOOKUP(A26,Enforcements!$C$7:$K$13,8,0)</f>
        <v>#N/A</v>
      </c>
      <c r="AC26" s="53" t="e">
        <f>VLOOKUP(A26,Enforcements!$C$7:$E$13,3,0)</f>
        <v>#N/A</v>
      </c>
      <c r="AD26" s="54" t="str">
        <f t="shared" si="11"/>
        <v>0114-28</v>
      </c>
      <c r="AE26" s="80" t="str">
        <f t="shared" si="12"/>
        <v>aws s3 cp s3://rtdc.mdm.uploadarchive.raw/RTDC4015/ "%USERPROFILE%\AppData\Local\Temp\OnboardLogs"\RTDC4015\2017-04-28 --exclude "*" --recursive --include "*20170428*" &amp; "%USERPROFILE%\Documents\GitHub\mrs-test-scripts\Headless Mode &amp; Sideloading\WalkAndUnGZ.bat" "%USERPROFILE%\AppData\Local\Temp\OnboardLogs"\RTDC4015\2017-04-28 &amp; aws s3 cp s3://rtdc.mdm.uploadarchive.raw/RTDC4015/ "%USERPROFILE%\AppData\Local\Temp\OnboardLogs"\RTDC4015\2017-04-29 --exclude "*" --recursive --include "*20170429*" &amp; "%USERPROFILE%\Documents\GitHub\mrs-test-scripts\Headless Mode &amp; Sideloading\WalkAndUnGZ.bat" "%USERPROFILE%\AppData\Local\Temp\OnboardLogs"\RTDC4015\2017-04-29</v>
      </c>
      <c r="AF26" s="77" t="str">
        <f t="shared" si="13"/>
        <v>"C:\Program Files (x86)\AstroGrep\AstroGrep.exe" /e /r /s /spath="%USERPROFILE%\AppData\Local\Temp\OnboardLogs" /stypes="app*4015*20170428*" /stext=" 12:.+((SYSTEM_STATE.+slice.+state.+changed )|(ment ac)|(multiple cpu faults)|(system.+state.+changed )|(\[timeout)|(PRM\|1\|D)|(kpr)|(kdp)|(train.+moving)|(\|lc)|(penalty))"</v>
      </c>
      <c r="AG26" s="1" t="str">
        <f t="shared" si="14"/>
        <v>EC</v>
      </c>
      <c r="AH26" s="81" t="str">
        <f t="shared" si="19"/>
        <v>"%USERPROFILE%\Documents\GitHub\eaglep3\Utilities\RefineRTDCRunTimes.py" --tripid 114-28 --locoid 4015 --swversion DE.1.0.9.0 --startMP 204:232983 --initTime 2017-04-28T06:03:37 --startdatetime 2017-04-28T06:11:14 --delay 1 --endMP 204:158 --enddatetime 2017-04-28T06:50:49 --enforcementcount 0 &gt;&gt;C:\Users\stu\Documents\GitHub\eaglep3-reporting\EC\2017-04-28-refined-times.txt</v>
      </c>
      <c r="AI26" s="99" t="str">
        <f t="shared" si="20"/>
        <v>echo {"issue":{"subject":"","project_id":79,"tracker_id":40,"status_id":1,"priority_id":2,"assigned_to_id":23,"start_date":"2017-04-28","description":"","custom_fields":[{"id":1,"name":"Subdivision","value":"EC"},{"id":4,"name":"Milepost","value":"0.0158"},{"id":17,"name":"Train ID","value":"114-28"},{"id":16,"name":"Locomotive ID","value":"4015"},{"id":130,"name":"Impact","value":""},{"id":150,"name":"Time of Event (Mountain Time)","value":"06:50:49"},{"id":151,"name":"Denver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5" t="str">
        <f t="shared" si="21"/>
        <v>start /low /b %USERPROFILE%\Documents\GitHub\eaglep3\Utilities\DownloadLogsFromS3.py --loco 4015 --day 2017-04-28</v>
      </c>
      <c r="AN26" s="154" t="str">
        <f t="shared" si="22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12:50:49"},{"id":29,"name":"Sharepoint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664</v>
      </c>
      <c r="B27" s="7">
        <v>4052</v>
      </c>
      <c r="C27" s="21" t="s">
        <v>211</v>
      </c>
      <c r="D27" s="21" t="s">
        <v>863</v>
      </c>
      <c r="E27" s="13">
        <v>42853.226111111115</v>
      </c>
      <c r="F27" s="13">
        <v>42853.22934027778</v>
      </c>
      <c r="G27" s="7">
        <v>1</v>
      </c>
      <c r="H27" s="21" t="s">
        <v>485</v>
      </c>
      <c r="I27" s="13">
        <v>42853.253553240742</v>
      </c>
      <c r="J27" s="7">
        <v>0</v>
      </c>
      <c r="K27" s="92" t="str">
        <f t="shared" si="0"/>
        <v>4051/4052</v>
      </c>
      <c r="L27" s="21" t="str">
        <f>VLOOKUP(A27,'Trips&amp;Operators'!$C$1:$G$99999,5,FALSE)</f>
        <v>ROCHA YAOTL</v>
      </c>
      <c r="M27" s="6">
        <f t="shared" si="1"/>
        <v>2.421296296233777E-2</v>
      </c>
      <c r="N27" s="7">
        <f t="shared" si="2"/>
        <v>34.866666665766388</v>
      </c>
      <c r="O27" s="7"/>
      <c r="P27" s="7"/>
      <c r="Q27" s="22"/>
      <c r="R27" s="190"/>
      <c r="S27" s="196">
        <f t="shared" si="3"/>
        <v>1</v>
      </c>
      <c r="T27" s="190" t="str">
        <f t="shared" si="4"/>
        <v>NorthBound</v>
      </c>
      <c r="U27" s="190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1" t="str">
        <f t="shared" si="5"/>
        <v>https://d0f6bd738d7f1b3e5a7ca70fe4ff75f0.us-east-1.aws.found.io/app/kibana#/discover/Steve-Slow-Train-Analysis-(2080s-and-2083s)?_g=(refreshInterval:(display:Off,pause:!f,section:0,value:0),time:(from:'2017-04-28T04:25:36-0600',mode:absolute,to:'2017-04-28T07:05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7" s="192" t="str">
        <f t="shared" si="6"/>
        <v>N</v>
      </c>
      <c r="X27" s="192">
        <f t="shared" si="7"/>
        <v>1</v>
      </c>
      <c r="Y27" s="192">
        <f t="shared" si="8"/>
        <v>7.7899999999999997E-2</v>
      </c>
      <c r="Z27" s="192">
        <f t="shared" si="9"/>
        <v>23.329499999999999</v>
      </c>
      <c r="AA27" s="192">
        <f t="shared" si="10"/>
        <v>23.2516</v>
      </c>
      <c r="AB27" s="57" t="e">
        <f>VLOOKUP(A27,Enforcements!$C$7:$K$13,8,0)</f>
        <v>#N/A</v>
      </c>
      <c r="AC27" s="53" t="e">
        <f>VLOOKUP(A27,Enforcements!$C$7:$E$13,3,0)</f>
        <v>#N/A</v>
      </c>
      <c r="AD27" s="54" t="str">
        <f t="shared" si="11"/>
        <v>0115-28</v>
      </c>
      <c r="AE27" s="80" t="str">
        <f t="shared" si="12"/>
        <v>aws s3 cp s3://rtdc.mdm.uploadarchive.raw/RTDC4052/ "%USERPROFILE%\AppData\Local\Temp\OnboardLogs"\RTDC4052\2017-04-28 --exclude "*" --recursive --include "*20170428*" &amp; "%USERPROFILE%\Documents\GitHub\mrs-test-scripts\Headless Mode &amp; Sideloading\WalkAndUnGZ.bat" "%USERPROFILE%\AppData\Local\Temp\OnboardLogs"\RTDC4052\2017-04-28 &amp; aws s3 cp s3://rtdc.mdm.uploadarchive.raw/RTDC4052/ "%USERPROFILE%\AppData\Local\Temp\OnboardLogs"\RTDC4052\2017-04-29 --exclude "*" --recursive --include "*20170429*" &amp; "%USERPROFILE%\Documents\GitHub\mrs-test-scripts\Headless Mode &amp; Sideloading\WalkAndUnGZ.bat" "%USERPROFILE%\AppData\Local\Temp\OnboardLogs"\RTDC4052\2017-04-29</v>
      </c>
      <c r="AF27" s="77" t="str">
        <f t="shared" si="13"/>
        <v>"C:\Program Files (x86)\AstroGrep\AstroGrep.exe" /e /r /s /spath="%USERPROFILE%\AppData\Local\Temp\OnboardLogs" /stypes="app*4052*20170428*" /stext=" 12:.+((SYSTEM_STATE.+slice.+state.+changed )|(ment ac)|(multiple cpu faults)|(system.+state.+changed )|(\[timeout)|(PRM\|1\|D)|(kpr)|(kdp)|(train.+moving)|(\|lc)|(penalty))"</v>
      </c>
      <c r="AG27" s="1" t="str">
        <f t="shared" si="14"/>
        <v>EC</v>
      </c>
      <c r="AH27" s="81" t="str">
        <f t="shared" si="19"/>
        <v>"%USERPROFILE%\Documents\GitHub\eaglep3\Utilities\RefineRTDCRunTimes.py" --tripid 115-28 --locoid 4052 --swversion DE.1.0.9.0 --startMP 204:779 --initTime 2017-04-28T05:25:36 --startdatetime 2017-04-28T05:30:15 --delay 1 --endMP 204:233295 --enddatetime 2017-04-28T06:05:07 --enforcementcount 0 &gt;&gt;C:\Users\stu\Documents\GitHub\eaglep3-reporting\EC\2017-04-28-refined-times.txt</v>
      </c>
      <c r="AI27" s="99" t="str">
        <f t="shared" si="20"/>
        <v>echo {"issue":{"subject":"","project_id":79,"tracker_id":40,"status_id":1,"priority_id":2,"assigned_to_id":23,"start_date":"2017-04-28","description":"","custom_fields":[{"id":1,"name":"Subdivision","value":"EC"},{"id":4,"name":"Milepost","value":"23.3295"},{"id":17,"name":"Train ID","value":"115-28"},{"id":16,"name":"Locomotive ID","value":"4052"},{"id":130,"name":"Impact","value":""},{"id":150,"name":"Time of Event (Mountain Time)","value":"06:05:07"},{"id":151,"name":"Denver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5" t="str">
        <f t="shared" si="21"/>
        <v>start /low /b %USERPROFILE%\Documents\GitHub\eaglep3\Utilities\DownloadLogsFromS3.py --loco 4052 --day 2017-04-28</v>
      </c>
      <c r="AN27" s="154" t="str">
        <f t="shared" si="22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12:05:07"},{"id":29,"name":"Sharepoint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600</v>
      </c>
      <c r="B28" s="7">
        <v>4051</v>
      </c>
      <c r="C28" s="21" t="s">
        <v>211</v>
      </c>
      <c r="D28" s="21" t="s">
        <v>864</v>
      </c>
      <c r="E28" s="13">
        <v>42853.26667824074</v>
      </c>
      <c r="F28" s="13">
        <v>42853.268495370372</v>
      </c>
      <c r="G28" s="7">
        <v>1</v>
      </c>
      <c r="H28" s="21" t="s">
        <v>208</v>
      </c>
      <c r="I28" s="13">
        <v>42853.294629629629</v>
      </c>
      <c r="J28" s="7">
        <v>0</v>
      </c>
      <c r="K28" s="92" t="str">
        <f t="shared" si="0"/>
        <v>4051/4052</v>
      </c>
      <c r="L28" s="21" t="str">
        <f>VLOOKUP(A28,'Trips&amp;Operators'!$C$1:$G$99999,5,FALSE)</f>
        <v>ROCHA YAOTL</v>
      </c>
      <c r="M28" s="6">
        <f t="shared" si="1"/>
        <v>2.6134259256650694E-2</v>
      </c>
      <c r="N28" s="7">
        <f t="shared" si="2"/>
        <v>37.633333329576999</v>
      </c>
      <c r="O28" s="7"/>
      <c r="P28" s="7"/>
      <c r="Q28" s="22"/>
      <c r="R28" s="190"/>
      <c r="S28" s="196">
        <f t="shared" si="3"/>
        <v>1</v>
      </c>
      <c r="T28" s="190" t="str">
        <f t="shared" si="4"/>
        <v>Southbound</v>
      </c>
      <c r="U28" s="190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1" t="str">
        <f t="shared" si="5"/>
        <v>https://d0f6bd738d7f1b3e5a7ca70fe4ff75f0.us-east-1.aws.found.io/app/kibana#/discover/Steve-Slow-Train-Analysis-(2080s-and-2083s)?_g=(refreshInterval:(display:Off,pause:!f,section:0,value:0),time:(from:'2017-04-28T05:24:01-0600',mode:absolute,to:'2017-04-28T08:04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8" s="192" t="str">
        <f t="shared" si="6"/>
        <v>N</v>
      </c>
      <c r="X28" s="192">
        <f t="shared" si="7"/>
        <v>1</v>
      </c>
      <c r="Y28" s="192">
        <f t="shared" si="8"/>
        <v>23.296299999999999</v>
      </c>
      <c r="Z28" s="192">
        <f t="shared" si="9"/>
        <v>1.47E-2</v>
      </c>
      <c r="AA28" s="192">
        <f t="shared" si="10"/>
        <v>23.281599999999997</v>
      </c>
      <c r="AB28" s="57" t="str">
        <f>VLOOKUP(A28,Enforcements!$C$7:$K$13,8,0)</f>
        <v>Bulletin (2)</v>
      </c>
      <c r="AC28" s="53" t="str">
        <f>VLOOKUP(A28,Enforcements!$C$7:$E$13,3,0)</f>
        <v>GRADE CROSSING</v>
      </c>
      <c r="AD28" s="54" t="str">
        <f t="shared" si="11"/>
        <v>0116-28</v>
      </c>
      <c r="AE28" s="80" t="str">
        <f t="shared" si="12"/>
        <v>aws s3 cp s3://rtdc.mdm.uploadarchive.raw/RTDC4051/ "%USERPROFILE%\AppData\Local\Temp\OnboardLogs"\RTDC4051\2017-04-28 --exclude "*" --recursive --include "*20170428*" &amp; "%USERPROFILE%\Documents\GitHub\mrs-test-scripts\Headless Mode &amp; Sideloading\WalkAndUnGZ.bat" "%USERPROFILE%\AppData\Local\Temp\OnboardLogs"\RTDC4051\2017-04-28 &amp; aws s3 cp s3://rtdc.mdm.uploadarchive.raw/RTDC4051/ "%USERPROFILE%\AppData\Local\Temp\OnboardLogs"\RTDC4051\2017-04-29 --exclude "*" --recursive --include "*20170429*" &amp; "%USERPROFILE%\Documents\GitHub\mrs-test-scripts\Headless Mode &amp; Sideloading\WalkAndUnGZ.bat" "%USERPROFILE%\AppData\Local\Temp\OnboardLogs"\RTDC4051\2017-04-29</v>
      </c>
      <c r="AF28" s="77" t="str">
        <f t="shared" si="13"/>
        <v>"C:\Program Files (x86)\AstroGrep\AstroGrep.exe" /e /r /s /spath="%USERPROFILE%\AppData\Local\Temp\OnboardLogs" /stypes="app*4051*20170428*" /stext=" 13:.+((SYSTEM_STATE.+slice.+state.+changed )|(ment ac)|(multiple cpu faults)|(system.+state.+changed )|(\[timeout)|(PRM\|1\|D)|(kpr)|(kdp)|(train.+moving)|(\|lc)|(penalty))"</v>
      </c>
      <c r="AG28" s="1" t="str">
        <f t="shared" si="14"/>
        <v>EC</v>
      </c>
      <c r="AH28" s="81" t="str">
        <f t="shared" si="19"/>
        <v>"%USERPROFILE%\Documents\GitHub\eaglep3\Utilities\RefineRTDCRunTimes.py" --tripid 116-28 --locoid 4051 --swversion DE.1.0.9.0 --startMP 204:232963 --initTime 2017-04-28T06:24:01 --startdatetime 2017-04-28T06:26:38 --delay 1 --endMP 204:147 --enddatetime 2017-04-28T07:04:16 --enforcementcount 0 &gt;&gt;C:\Users\stu\Documents\GitHub\eaglep3-reporting\EC\2017-04-28-refined-times.txt</v>
      </c>
      <c r="AI28" s="99" t="str">
        <f t="shared" si="20"/>
        <v>echo {"issue":{"subject":"","project_id":79,"tracker_id":40,"status_id":1,"priority_id":2,"assigned_to_id":23,"start_date":"2017-04-28","description":"","custom_fields":[{"id":1,"name":"Subdivision","value":"EC"},{"id":4,"name":"Milepost","value":"0.0147"},{"id":17,"name":"Train ID","value":"116-28"},{"id":16,"name":"Locomotive ID","value":"4051"},{"id":130,"name":"Impact","value":""},{"id":150,"name":"Time of Event (Mountain Time)","value":"07:04:16"},{"id":151,"name":"Denver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5" t="str">
        <f t="shared" si="21"/>
        <v>start /low /b %USERPROFILE%\Documents\GitHub\eaglep3\Utilities\DownloadLogsFromS3.py --loco 4051 --day 2017-04-28</v>
      </c>
      <c r="AN28" s="154" t="str">
        <f t="shared" si="22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13:04:16"},{"id":29,"name":"Sharepoint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667</v>
      </c>
      <c r="B29" s="7">
        <v>4008</v>
      </c>
      <c r="C29" s="21" t="s">
        <v>211</v>
      </c>
      <c r="D29" s="21" t="s">
        <v>557</v>
      </c>
      <c r="E29" s="13">
        <v>42853.235856481479</v>
      </c>
      <c r="F29" s="13">
        <v>42853.239733796298</v>
      </c>
      <c r="G29" s="7">
        <v>1</v>
      </c>
      <c r="H29" s="21" t="s">
        <v>865</v>
      </c>
      <c r="I29" s="13">
        <v>42853.265034722222</v>
      </c>
      <c r="J29" s="7">
        <v>0</v>
      </c>
      <c r="K29" s="92" t="str">
        <f t="shared" si="0"/>
        <v>4007/4008</v>
      </c>
      <c r="L29" s="21" t="str">
        <f>VLOOKUP(A29,'Trips&amp;Operators'!$C$1:$G$99999,5,FALSE)</f>
        <v>DAVIS WENDY</v>
      </c>
      <c r="M29" s="6">
        <f t="shared" si="1"/>
        <v>2.5300925924966577E-2</v>
      </c>
      <c r="N29" s="7">
        <f t="shared" si="2"/>
        <v>36.433333331951872</v>
      </c>
      <c r="O29" s="7"/>
      <c r="P29" s="7"/>
      <c r="Q29" s="22"/>
      <c r="R29" s="190"/>
      <c r="S29" s="196">
        <f t="shared" si="3"/>
        <v>1</v>
      </c>
      <c r="T29" s="190" t="str">
        <f t="shared" si="4"/>
        <v>NorthBound</v>
      </c>
      <c r="U29" s="190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1" t="str">
        <f t="shared" si="5"/>
        <v>https://d0f6bd738d7f1b3e5a7ca70fe4ff75f0.us-east-1.aws.found.io/app/kibana#/discover/Steve-Slow-Train-Analysis-(2080s-and-2083s)?_g=(refreshInterval:(display:Off,pause:!f,section:0,value:0),time:(from:'2017-04-28T04:39:38-0600',mode:absolute,to:'2017-04-28T07:21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9" s="192" t="str">
        <f t="shared" si="6"/>
        <v>N</v>
      </c>
      <c r="X29" s="192">
        <f t="shared" si="7"/>
        <v>1</v>
      </c>
      <c r="Y29" s="192">
        <f t="shared" si="8"/>
        <v>4.4699999999999997E-2</v>
      </c>
      <c r="Z29" s="192">
        <f t="shared" si="9"/>
        <v>23.3308</v>
      </c>
      <c r="AA29" s="192">
        <f t="shared" si="10"/>
        <v>23.286100000000001</v>
      </c>
      <c r="AB29" s="57" t="e">
        <f>VLOOKUP(A29,Enforcements!$C$7:$K$13,8,0)</f>
        <v>#N/A</v>
      </c>
      <c r="AC29" s="53" t="e">
        <f>VLOOKUP(A29,Enforcements!$C$7:$E$13,3,0)</f>
        <v>#N/A</v>
      </c>
      <c r="AD29" s="54" t="str">
        <f t="shared" si="11"/>
        <v>0117-28</v>
      </c>
      <c r="AE29" s="80" t="str">
        <f t="shared" si="12"/>
        <v>aws s3 cp s3://rtdc.mdm.uploadarchive.raw/RTDC4008/ "%USERPROFILE%\AppData\Local\Temp\OnboardLogs"\RTDC4008\2017-04-28 --exclude "*" --recursive --include "*20170428*" &amp; "%USERPROFILE%\Documents\GitHub\mrs-test-scripts\Headless Mode &amp; Sideloading\WalkAndUnGZ.bat" "%USERPROFILE%\AppData\Local\Temp\OnboardLogs"\RTDC4008\2017-04-28 &amp; aws s3 cp s3://rtdc.mdm.uploadarchive.raw/RTDC4008/ "%USERPROFILE%\AppData\Local\Temp\OnboardLogs"\RTDC4008\2017-04-29 --exclude "*" --recursive --include "*20170429*" &amp; "%USERPROFILE%\Documents\GitHub\mrs-test-scripts\Headless Mode &amp; Sideloading\WalkAndUnGZ.bat" "%USERPROFILE%\AppData\Local\Temp\OnboardLogs"\RTDC4008\2017-04-29</v>
      </c>
      <c r="AF29" s="77" t="str">
        <f t="shared" si="13"/>
        <v>"C:\Program Files (x86)\AstroGrep\AstroGrep.exe" /e /r /s /spath="%USERPROFILE%\AppData\Local\Temp\OnboardLogs" /stypes="app*4008*20170428*" /stext=" 12:.+((SYSTEM_STATE.+slice.+state.+changed )|(ment ac)|(multiple cpu faults)|(system.+state.+changed )|(\[timeout)|(PRM\|1\|D)|(kpr)|(kdp)|(train.+moving)|(\|lc)|(penalty))"</v>
      </c>
      <c r="AG29" s="1" t="str">
        <f t="shared" si="14"/>
        <v>EC</v>
      </c>
      <c r="AH29" s="81" t="str">
        <f t="shared" si="19"/>
        <v>"%USERPROFILE%\Documents\GitHub\eaglep3\Utilities\RefineRTDCRunTimes.py" --tripid 117-28 --locoid 4008 --swversion DE.1.0.9.0 --startMP 204:447 --initTime 2017-04-28T05:39:38 --startdatetime 2017-04-28T05:45:13 --delay 1 --endMP 204:233308 --enddatetime 2017-04-28T06:21:39 --enforcementcount 0 &gt;&gt;C:\Users\stu\Documents\GitHub\eaglep3-reporting\EC\2017-04-28-refined-times.txt</v>
      </c>
      <c r="AI29" s="99" t="str">
        <f t="shared" si="20"/>
        <v>echo {"issue":{"subject":"","project_id":79,"tracker_id":40,"status_id":1,"priority_id":2,"assigned_to_id":23,"start_date":"2017-04-28","description":"","custom_fields":[{"id":1,"name":"Subdivision","value":"EC"},{"id":4,"name":"Milepost","value":"23.3308"},{"id":17,"name":"Train ID","value":"117-28"},{"id":16,"name":"Locomotive ID","value":"4008"},{"id":130,"name":"Impact","value":""},{"id":150,"name":"Time of Event (Mountain Time)","value":"06:21:39"},{"id":151,"name":"Denver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5" t="str">
        <f t="shared" si="21"/>
        <v>start /low /b %USERPROFILE%\Documents\GitHub\eaglep3\Utilities\DownloadLogsFromS3.py --loco 4008 --day 2017-04-28</v>
      </c>
      <c r="AN29" s="154" t="str">
        <f t="shared" si="22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12:21:39"},{"id":29,"name":"Sharepoint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678</v>
      </c>
      <c r="B30" s="7">
        <v>4007</v>
      </c>
      <c r="C30" s="21" t="s">
        <v>211</v>
      </c>
      <c r="D30" s="21" t="s">
        <v>508</v>
      </c>
      <c r="E30" s="13">
        <v>42853.272604166668</v>
      </c>
      <c r="F30" s="13">
        <v>42853.278657407405</v>
      </c>
      <c r="G30" s="7">
        <v>1</v>
      </c>
      <c r="H30" s="21" t="s">
        <v>377</v>
      </c>
      <c r="I30" s="13">
        <v>42853.305578703701</v>
      </c>
      <c r="J30" s="7">
        <v>0</v>
      </c>
      <c r="K30" s="92" t="str">
        <f t="shared" si="0"/>
        <v>4007/4008</v>
      </c>
      <c r="L30" s="21" t="str">
        <f>VLOOKUP(A30,'Trips&amp;Operators'!$C$1:$G$99999,5,FALSE)</f>
        <v>DAVIS WENDY</v>
      </c>
      <c r="M30" s="6">
        <f t="shared" si="1"/>
        <v>2.6921296295768116E-2</v>
      </c>
      <c r="N30" s="7">
        <f t="shared" si="2"/>
        <v>38.766666665906087</v>
      </c>
      <c r="O30" s="7"/>
      <c r="P30" s="7"/>
      <c r="Q30" s="22"/>
      <c r="R30" s="190"/>
      <c r="S30" s="196">
        <f t="shared" si="3"/>
        <v>1</v>
      </c>
      <c r="T30" s="190" t="str">
        <f t="shared" si="4"/>
        <v>Southbound</v>
      </c>
      <c r="U30" s="190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1" t="str">
        <f t="shared" si="5"/>
        <v>https://d0f6bd738d7f1b3e5a7ca70fe4ff75f0.us-east-1.aws.found.io/app/kibana#/discover/Steve-Slow-Train-Analysis-(2080s-and-2083s)?_g=(refreshInterval:(display:Off,pause:!f,section:0,value:0),time:(from:'2017-04-28T05:32:33-0600',mode:absolute,to:'2017-04-28T08:20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30" s="192" t="str">
        <f t="shared" si="6"/>
        <v>N</v>
      </c>
      <c r="X30" s="192">
        <f t="shared" si="7"/>
        <v>1</v>
      </c>
      <c r="Y30" s="192">
        <f t="shared" si="8"/>
        <v>23.299299999999999</v>
      </c>
      <c r="Z30" s="192">
        <f t="shared" si="9"/>
        <v>1.38E-2</v>
      </c>
      <c r="AA30" s="192">
        <f t="shared" si="10"/>
        <v>23.285499999999999</v>
      </c>
      <c r="AB30" s="57" t="e">
        <f>VLOOKUP(A30,Enforcements!$C$7:$K$13,8,0)</f>
        <v>#N/A</v>
      </c>
      <c r="AC30" s="53" t="e">
        <f>VLOOKUP(A30,Enforcements!$C$7:$E$13,3,0)</f>
        <v>#N/A</v>
      </c>
      <c r="AD30" s="54" t="str">
        <f t="shared" si="11"/>
        <v>0118-28</v>
      </c>
      <c r="AE30" s="80" t="str">
        <f t="shared" si="12"/>
        <v>aws s3 cp s3://rtdc.mdm.uploadarchive.raw/RTDC4007/ "%USERPROFILE%\AppData\Local\Temp\OnboardLogs"\RTDC4007\2017-04-28 --exclude "*" --recursive --include "*20170428*" &amp; "%USERPROFILE%\Documents\GitHub\mrs-test-scripts\Headless Mode &amp; Sideloading\WalkAndUnGZ.bat" "%USERPROFILE%\AppData\Local\Temp\OnboardLogs"\RTDC4007\2017-04-28 &amp; aws s3 cp s3://rtdc.mdm.uploadarchive.raw/RTDC4007/ "%USERPROFILE%\AppData\Local\Temp\OnboardLogs"\RTDC4007\2017-04-29 --exclude "*" --recursive --include "*20170429*" &amp; "%USERPROFILE%\Documents\GitHub\mrs-test-scripts\Headless Mode &amp; Sideloading\WalkAndUnGZ.bat" "%USERPROFILE%\AppData\Local\Temp\OnboardLogs"\RTDC4007\2017-04-29</v>
      </c>
      <c r="AF30" s="77" t="str">
        <f t="shared" si="13"/>
        <v>"C:\Program Files (x86)\AstroGrep\AstroGrep.exe" /e /r /s /spath="%USERPROFILE%\AppData\Local\Temp\OnboardLogs" /stypes="app*4007*20170428*" /stext=" 13:.+((SYSTEM_STATE.+slice.+state.+changed )|(ment ac)|(multiple cpu faults)|(system.+state.+changed )|(\[timeout)|(PRM\|1\|D)|(kpr)|(kdp)|(train.+moving)|(\|lc)|(penalty))"</v>
      </c>
      <c r="AG30" s="1" t="str">
        <f t="shared" si="14"/>
        <v>EC</v>
      </c>
      <c r="AH30" s="81" t="str">
        <f t="shared" si="19"/>
        <v>"%USERPROFILE%\Documents\GitHub\eaglep3\Utilities\RefineRTDCRunTimes.py" --tripid 118-28 --locoid 4007 --swversion DE.1.0.9.0 --startMP 204:232993 --initTime 2017-04-28T06:32:33 --startdatetime 2017-04-28T06:41:16 --delay 1 --endMP 204:138 --enddatetime 2017-04-28T07:20:02 --enforcementcount 0 &gt;&gt;C:\Users\stu\Documents\GitHub\eaglep3-reporting\EC\2017-04-28-refined-times.txt</v>
      </c>
      <c r="AI30" s="99" t="str">
        <f t="shared" si="20"/>
        <v>echo {"issue":{"subject":"","project_id":79,"tracker_id":40,"status_id":1,"priority_id":2,"assigned_to_id":23,"start_date":"2017-04-28","description":"","custom_fields":[{"id":1,"name":"Subdivision","value":"EC"},{"id":4,"name":"Milepost","value":"0.0138"},{"id":17,"name":"Train ID","value":"118-28"},{"id":16,"name":"Locomotive ID","value":"4007"},{"id":130,"name":"Impact","value":""},{"id":150,"name":"Time of Event (Mountain Time)","value":"07:20:02"},{"id":151,"name":"Denver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5" t="str">
        <f t="shared" si="21"/>
        <v>start /low /b %USERPROFILE%\Documents\GitHub\eaglep3\Utilities\DownloadLogsFromS3.py --loco 4007 --day 2017-04-28</v>
      </c>
      <c r="AN30" s="154" t="str">
        <f t="shared" si="22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13:20:02"},{"id":29,"name":"Sharepoint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671</v>
      </c>
      <c r="B31" s="7">
        <v>4028</v>
      </c>
      <c r="C31" s="21" t="s">
        <v>211</v>
      </c>
      <c r="D31" s="21" t="s">
        <v>866</v>
      </c>
      <c r="E31" s="13">
        <v>42853.246851851851</v>
      </c>
      <c r="F31" s="13">
        <v>42853.250405092593</v>
      </c>
      <c r="G31" s="7">
        <v>2</v>
      </c>
      <c r="H31" s="21" t="s">
        <v>867</v>
      </c>
      <c r="I31" s="13">
        <v>42853.275462962964</v>
      </c>
      <c r="J31" s="7">
        <v>0</v>
      </c>
      <c r="K31" s="92" t="str">
        <f t="shared" si="0"/>
        <v>4027/4028</v>
      </c>
      <c r="L31" s="21" t="str">
        <f>VLOOKUP(A31,'Trips&amp;Operators'!$C$1:$G$99999,5,FALSE)</f>
        <v>MENGES BRAD</v>
      </c>
      <c r="M31" s="6">
        <f t="shared" si="1"/>
        <v>2.5057870370801538E-2</v>
      </c>
      <c r="N31" s="7">
        <f t="shared" si="2"/>
        <v>36.083333333954215</v>
      </c>
      <c r="O31" s="7"/>
      <c r="P31" s="7"/>
      <c r="Q31" s="22"/>
      <c r="R31" s="190"/>
      <c r="S31" s="196">
        <f t="shared" si="3"/>
        <v>1</v>
      </c>
      <c r="T31" s="190" t="str">
        <f t="shared" si="4"/>
        <v>NorthBound</v>
      </c>
      <c r="U31" s="190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1" t="str">
        <f t="shared" si="5"/>
        <v>https://d0f6bd738d7f1b3e5a7ca70fe4ff75f0.us-east-1.aws.found.io/app/kibana#/discover/Steve-Slow-Train-Analysis-(2080s-and-2083s)?_g=(refreshInterval:(display:Off,pause:!f,section:0,value:0),time:(from:'2017-04-28T04:55:28-0600',mode:absolute,to:'2017-04-28T07:36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31" s="192" t="str">
        <f t="shared" si="6"/>
        <v>N</v>
      </c>
      <c r="X31" s="192">
        <f t="shared" si="7"/>
        <v>1</v>
      </c>
      <c r="Y31" s="192">
        <f t="shared" si="8"/>
        <v>7.9699999999999993E-2</v>
      </c>
      <c r="Z31" s="192">
        <f t="shared" si="9"/>
        <v>23.328199999999999</v>
      </c>
      <c r="AA31" s="192">
        <f t="shared" si="10"/>
        <v>23.2485</v>
      </c>
      <c r="AB31" s="57" t="e">
        <f>VLOOKUP(A31,Enforcements!$C$7:$K$13,8,0)</f>
        <v>#N/A</v>
      </c>
      <c r="AC31" s="53" t="e">
        <f>VLOOKUP(A31,Enforcements!$C$7:$E$13,3,0)</f>
        <v>#N/A</v>
      </c>
      <c r="AD31" s="54" t="str">
        <f t="shared" si="11"/>
        <v>0119-28</v>
      </c>
      <c r="AE31" s="80" t="str">
        <f t="shared" si="12"/>
        <v>aws s3 cp s3://rtdc.mdm.uploadarchive.raw/RTDC4028/ "%USERPROFILE%\AppData\Local\Temp\OnboardLogs"\RTDC4028\2017-04-28 --exclude "*" --recursive --include "*20170428*" &amp; "%USERPROFILE%\Documents\GitHub\mrs-test-scripts\Headless Mode &amp; Sideloading\WalkAndUnGZ.bat" "%USERPROFILE%\AppData\Local\Temp\OnboardLogs"\RTDC4028\2017-04-28 &amp; aws s3 cp s3://rtdc.mdm.uploadarchive.raw/RTDC4028/ "%USERPROFILE%\AppData\Local\Temp\OnboardLogs"\RTDC4028\2017-04-29 --exclude "*" --recursive --include "*20170429*" &amp; "%USERPROFILE%\Documents\GitHub\mrs-test-scripts\Headless Mode &amp; Sideloading\WalkAndUnGZ.bat" "%USERPROFILE%\AppData\Local\Temp\OnboardLogs"\RTDC4028\2017-04-29</v>
      </c>
      <c r="AF31" s="77" t="str">
        <f t="shared" si="13"/>
        <v>"C:\Program Files (x86)\AstroGrep\AstroGrep.exe" /e /r /s /spath="%USERPROFILE%\AppData\Local\Temp\OnboardLogs" /stypes="app*4028*20170428*" /stext=" 12:.+((SYSTEM_STATE.+slice.+state.+changed )|(ment ac)|(multiple cpu faults)|(system.+state.+changed )|(\[timeout)|(PRM\|1\|D)|(kpr)|(kdp)|(train.+moving)|(\|lc)|(penalty))"</v>
      </c>
      <c r="AG31" s="1" t="str">
        <f t="shared" si="14"/>
        <v>EC</v>
      </c>
      <c r="AH31" s="81" t="str">
        <f t="shared" si="19"/>
        <v>"%USERPROFILE%\Documents\GitHub\eaglep3\Utilities\RefineRTDCRunTimes.py" --tripid 119-28 --locoid 4028 --swversion DE.1.0.9.0 --startMP 204:797 --initTime 2017-04-28T05:55:28 --startdatetime 2017-04-28T06:00:35 --delay 2 --endMP 204:233282 --enddatetime 2017-04-28T06:36:40 --enforcementcount 0 &gt;&gt;C:\Users\stu\Documents\GitHub\eaglep3-reporting\EC\2017-04-28-refined-times.txt</v>
      </c>
      <c r="AI31" s="99" t="str">
        <f t="shared" si="20"/>
        <v>echo {"issue":{"subject":"","project_id":79,"tracker_id":40,"status_id":1,"priority_id":2,"assigned_to_id":23,"start_date":"2017-04-28","description":"","custom_fields":[{"id":1,"name":"Subdivision","value":"EC"},{"id":4,"name":"Milepost","value":"23.3282"},{"id":17,"name":"Train ID","value":"119-28"},{"id":16,"name":"Locomotive ID","value":"4028"},{"id":130,"name":"Impact","value":""},{"id":150,"name":"Time of Event (Mountain Time)","value":"06:36:40"},{"id":151,"name":"Denver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5" t="str">
        <f t="shared" si="21"/>
        <v>start /low /b %USERPROFILE%\Documents\GitHub\eaglep3\Utilities\DownloadLogsFromS3.py --loco 4028 --day 2017-04-28</v>
      </c>
      <c r="AN31" s="154" t="str">
        <f t="shared" si="22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12:36:40"},{"id":29,"name":"Sharepoint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681</v>
      </c>
      <c r="B32" s="7">
        <v>4027</v>
      </c>
      <c r="C32" s="21" t="s">
        <v>211</v>
      </c>
      <c r="D32" s="21" t="s">
        <v>489</v>
      </c>
      <c r="E32" s="13">
        <v>42853.284259259257</v>
      </c>
      <c r="F32" s="13">
        <v>42853.2891087963</v>
      </c>
      <c r="G32" s="7">
        <v>2</v>
      </c>
      <c r="H32" s="21" t="s">
        <v>208</v>
      </c>
      <c r="I32" s="13">
        <v>42853.317002314812</v>
      </c>
      <c r="J32" s="7">
        <v>0</v>
      </c>
      <c r="K32" s="92" t="str">
        <f t="shared" si="0"/>
        <v>4027/4028</v>
      </c>
      <c r="L32" s="21" t="str">
        <f>VLOOKUP(A32,'Trips&amp;Operators'!$C$1:$G$99999,5,FALSE)</f>
        <v>MENGES BRAD</v>
      </c>
      <c r="M32" s="6">
        <f t="shared" si="1"/>
        <v>2.7893518512428273E-2</v>
      </c>
      <c r="N32" s="7">
        <f t="shared" si="2"/>
        <v>40.166666657896712</v>
      </c>
      <c r="O32" s="7"/>
      <c r="P32" s="7"/>
      <c r="Q32" s="22"/>
      <c r="R32" s="190"/>
      <c r="S32" s="196">
        <f t="shared" si="3"/>
        <v>1</v>
      </c>
      <c r="T32" s="190" t="str">
        <f t="shared" si="4"/>
        <v>Southbound</v>
      </c>
      <c r="U32" s="190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1" t="str">
        <f t="shared" si="5"/>
        <v>https://d0f6bd738d7f1b3e5a7ca70fe4ff75f0.us-east-1.aws.found.io/app/kibana#/discover/Steve-Slow-Train-Analysis-(2080s-and-2083s)?_g=(refreshInterval:(display:Off,pause:!f,section:0,value:0),time:(from:'2017-04-28T05:49:20-0600',mode:absolute,to:'2017-04-28T08:36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32" s="192" t="str">
        <f t="shared" si="6"/>
        <v>N</v>
      </c>
      <c r="X32" s="192">
        <f t="shared" si="7"/>
        <v>1</v>
      </c>
      <c r="Y32" s="192">
        <f t="shared" si="8"/>
        <v>23.296900000000001</v>
      </c>
      <c r="Z32" s="192">
        <f t="shared" si="9"/>
        <v>1.47E-2</v>
      </c>
      <c r="AA32" s="192">
        <f t="shared" si="10"/>
        <v>23.2822</v>
      </c>
      <c r="AB32" s="57" t="e">
        <f>VLOOKUP(A32,Enforcements!$C$7:$K$13,8,0)</f>
        <v>#N/A</v>
      </c>
      <c r="AC32" s="53" t="e">
        <f>VLOOKUP(A32,Enforcements!$C$7:$E$13,3,0)</f>
        <v>#N/A</v>
      </c>
      <c r="AD32" s="54" t="str">
        <f t="shared" si="11"/>
        <v>0120-28</v>
      </c>
      <c r="AE32" s="80" t="str">
        <f t="shared" si="12"/>
        <v>aws s3 cp s3://rtdc.mdm.uploadarchive.raw/RTDC4027/ "%USERPROFILE%\AppData\Local\Temp\OnboardLogs"\RTDC4027\2017-04-28 --exclude "*" --recursive --include "*20170428*" &amp; "%USERPROFILE%\Documents\GitHub\mrs-test-scripts\Headless Mode &amp; Sideloading\WalkAndUnGZ.bat" "%USERPROFILE%\AppData\Local\Temp\OnboardLogs"\RTDC4027\2017-04-28 &amp; aws s3 cp s3://rtdc.mdm.uploadarchive.raw/RTDC4027/ "%USERPROFILE%\AppData\Local\Temp\OnboardLogs"\RTDC4027\2017-04-29 --exclude "*" --recursive --include "*20170429*" &amp; "%USERPROFILE%\Documents\GitHub\mrs-test-scripts\Headless Mode &amp; Sideloading\WalkAndUnGZ.bat" "%USERPROFILE%\AppData\Local\Temp\OnboardLogs"\RTDC4027\2017-04-29</v>
      </c>
      <c r="AF32" s="77" t="str">
        <f t="shared" si="13"/>
        <v>"C:\Program Files (x86)\AstroGrep\AstroGrep.exe" /e /r /s /spath="%USERPROFILE%\AppData\Local\Temp\OnboardLogs" /stypes="app*4027*20170428*" /stext=" 13:.+((SYSTEM_STATE.+slice.+state.+changed )|(ment ac)|(multiple cpu faults)|(system.+state.+changed )|(\[timeout)|(PRM\|1\|D)|(kpr)|(kdp)|(train.+moving)|(\|lc)|(penalty))"</v>
      </c>
      <c r="AG32" s="1" t="str">
        <f t="shared" si="14"/>
        <v>EC</v>
      </c>
      <c r="AH32" s="81" t="str">
        <f t="shared" si="19"/>
        <v>"%USERPROFILE%\Documents\GitHub\eaglep3\Utilities\RefineRTDCRunTimes.py" --tripid 120-28 --locoid 4027 --swversion DE.1.0.9.0 --startMP 204:232969 --initTime 2017-04-28T06:49:20 --startdatetime 2017-04-28T06:56:19 --delay 2 --endMP 204:147 --enddatetime 2017-04-28T07:36:29 --enforcementcount 0 &gt;&gt;C:\Users\stu\Documents\GitHub\eaglep3-reporting\EC\2017-04-28-refined-times.txt</v>
      </c>
      <c r="AI32" s="99" t="str">
        <f t="shared" si="20"/>
        <v>echo {"issue":{"subject":"","project_id":79,"tracker_id":40,"status_id":1,"priority_id":2,"assigned_to_id":23,"start_date":"2017-04-28","description":"","custom_fields":[{"id":1,"name":"Subdivision","value":"EC"},{"id":4,"name":"Milepost","value":"0.0147"},{"id":17,"name":"Train ID","value":"120-28"},{"id":16,"name":"Locomotive ID","value":"4027"},{"id":130,"name":"Impact","value":""},{"id":150,"name":"Time of Event (Mountain Time)","value":"07:36:29"},{"id":151,"name":"Denver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5" t="str">
        <f t="shared" si="21"/>
        <v>start /low /b %USERPROFILE%\Documents\GitHub\eaglep3\Utilities\DownloadLogsFromS3.py --loco 4027 --day 2017-04-28</v>
      </c>
      <c r="AN32" s="154" t="str">
        <f t="shared" si="22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13:36:29"},{"id":29,"name":"Sharepoint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675</v>
      </c>
      <c r="B33" s="7">
        <v>4064</v>
      </c>
      <c r="C33" s="21" t="s">
        <v>211</v>
      </c>
      <c r="D33" s="21" t="s">
        <v>868</v>
      </c>
      <c r="E33" s="13">
        <v>42853.258460648147</v>
      </c>
      <c r="F33" s="13">
        <v>42853.260601851849</v>
      </c>
      <c r="G33" s="7">
        <v>1</v>
      </c>
      <c r="H33" s="21" t="s">
        <v>865</v>
      </c>
      <c r="I33" s="13">
        <v>42853.285787037035</v>
      </c>
      <c r="J33" s="7">
        <v>0</v>
      </c>
      <c r="K33" s="92" t="str">
        <f t="shared" si="0"/>
        <v>4063/4064</v>
      </c>
      <c r="L33" s="21" t="str">
        <f>VLOOKUP(A33,'Trips&amp;Operators'!$C$1:$G$99999,5,FALSE)</f>
        <v>STARKS ANGELINA</v>
      </c>
      <c r="M33" s="6">
        <f t="shared" si="1"/>
        <v>2.5185185186273884E-2</v>
      </c>
      <c r="N33" s="7">
        <f t="shared" si="2"/>
        <v>36.266666668234393</v>
      </c>
      <c r="O33" s="7"/>
      <c r="P33" s="7"/>
      <c r="Q33" s="22"/>
      <c r="R33" s="190"/>
      <c r="S33" s="196">
        <f t="shared" si="3"/>
        <v>1</v>
      </c>
      <c r="T33" s="190" t="str">
        <f t="shared" si="4"/>
        <v>NorthBound</v>
      </c>
      <c r="U33" s="190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1" t="str">
        <f t="shared" si="5"/>
        <v>https://d0f6bd738d7f1b3e5a7ca70fe4ff75f0.us-east-1.aws.found.io/app/kibana#/discover/Steve-Slow-Train-Analysis-(2080s-and-2083s)?_g=(refreshInterval:(display:Off,pause:!f,section:0,value:0),time:(from:'2017-04-28T05:12:11-0600',mode:absolute,to:'2017-04-28T07:51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33" s="192" t="str">
        <f t="shared" si="6"/>
        <v>N</v>
      </c>
      <c r="X33" s="192">
        <f t="shared" si="7"/>
        <v>1</v>
      </c>
      <c r="Y33" s="192">
        <f t="shared" si="8"/>
        <v>4.4200000000000003E-2</v>
      </c>
      <c r="Z33" s="192">
        <f t="shared" si="9"/>
        <v>23.3308</v>
      </c>
      <c r="AA33" s="192">
        <f t="shared" si="10"/>
        <v>23.2866</v>
      </c>
      <c r="AB33" s="57" t="e">
        <f>VLOOKUP(A33,Enforcements!$C$7:$K$13,8,0)</f>
        <v>#N/A</v>
      </c>
      <c r="AC33" s="53" t="e">
        <f>VLOOKUP(A33,Enforcements!$C$7:$E$13,3,0)</f>
        <v>#N/A</v>
      </c>
      <c r="AD33" s="54" t="str">
        <f t="shared" si="11"/>
        <v>0121-28</v>
      </c>
      <c r="AE33" s="80" t="str">
        <f t="shared" si="12"/>
        <v>aws s3 cp s3://rtdc.mdm.uploadarchive.raw/RTDC4064/ "%USERPROFILE%\AppData\Local\Temp\OnboardLogs"\RTDC4064\2017-04-28 --exclude "*" --recursive --include "*20170428*" &amp; "%USERPROFILE%\Documents\GitHub\mrs-test-scripts\Headless Mode &amp; Sideloading\WalkAndUnGZ.bat" "%USERPROFILE%\AppData\Local\Temp\OnboardLogs"\RTDC4064\2017-04-28 &amp; aws s3 cp s3://rtdc.mdm.uploadarchive.raw/RTDC4064/ "%USERPROFILE%\AppData\Local\Temp\OnboardLogs"\RTDC4064\2017-04-29 --exclude "*" --recursive --include "*20170429*" &amp; "%USERPROFILE%\Documents\GitHub\mrs-test-scripts\Headless Mode &amp; Sideloading\WalkAndUnGZ.bat" "%USERPROFILE%\AppData\Local\Temp\OnboardLogs"\RTDC4064\2017-04-29</v>
      </c>
      <c r="AF33" s="77" t="str">
        <f t="shared" si="13"/>
        <v>"C:\Program Files (x86)\AstroGrep\AstroGrep.exe" /e /r /s /spath="%USERPROFILE%\AppData\Local\Temp\OnboardLogs" /stypes="app*4064*20170428*" /stext=" 12:.+((SYSTEM_STATE.+slice.+state.+changed )|(ment ac)|(multiple cpu faults)|(system.+state.+changed )|(\[timeout)|(PRM\|1\|D)|(kpr)|(kdp)|(train.+moving)|(\|lc)|(penalty))"</v>
      </c>
      <c r="AG33" s="1" t="str">
        <f t="shared" si="14"/>
        <v>EC</v>
      </c>
      <c r="AH33" s="81" t="str">
        <f t="shared" si="19"/>
        <v>"%USERPROFILE%\Documents\GitHub\eaglep3\Utilities\RefineRTDCRunTimes.py" --tripid 121-28 --locoid 4064 --swversion DE.1.0.9.0 --startMP 204:442 --initTime 2017-04-28T06:12:11 --startdatetime 2017-04-28T06:15:16 --delay 1 --endMP 204:233308 --enddatetime 2017-04-28T06:51:32 --enforcementcount 0 &gt;&gt;C:\Users\stu\Documents\GitHub\eaglep3-reporting\EC\2017-04-28-refined-times.txt</v>
      </c>
      <c r="AI33" s="99" t="str">
        <f t="shared" si="20"/>
        <v>echo {"issue":{"subject":"","project_id":79,"tracker_id":40,"status_id":1,"priority_id":2,"assigned_to_id":23,"start_date":"2017-04-28","description":"","custom_fields":[{"id":1,"name":"Subdivision","value":"EC"},{"id":4,"name":"Milepost","value":"23.3308"},{"id":17,"name":"Train ID","value":"121-28"},{"id":16,"name":"Locomotive ID","value":"4064"},{"id":130,"name":"Impact","value":""},{"id":150,"name":"Time of Event (Mountain Time)","value":"06:51:32"},{"id":151,"name":"Denver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5" t="str">
        <f t="shared" si="21"/>
        <v>start /low /b %USERPROFILE%\Documents\GitHub\eaglep3\Utilities\DownloadLogsFromS3.py --loco 4064 --day 2017-04-28</v>
      </c>
      <c r="AN33" s="154" t="str">
        <f t="shared" si="22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12:51:32"},{"id":29,"name":"Sharepoint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601</v>
      </c>
      <c r="B34" s="7">
        <v>4063</v>
      </c>
      <c r="C34" s="21" t="s">
        <v>211</v>
      </c>
      <c r="D34" s="21" t="s">
        <v>466</v>
      </c>
      <c r="E34" s="13">
        <v>42853.297071759262</v>
      </c>
      <c r="F34" s="13">
        <v>42853.299490740741</v>
      </c>
      <c r="G34" s="7">
        <v>1</v>
      </c>
      <c r="H34" s="21" t="s">
        <v>203</v>
      </c>
      <c r="I34" s="13">
        <v>42853.327013888891</v>
      </c>
      <c r="J34" s="7">
        <v>0</v>
      </c>
      <c r="K34" s="92" t="str">
        <f t="shared" si="0"/>
        <v>4063/4064</v>
      </c>
      <c r="L34" s="21" t="str">
        <f>VLOOKUP(A34,'Trips&amp;Operators'!$C$1:$G$99999,5,FALSE)</f>
        <v>STARKS ANGELINA</v>
      </c>
      <c r="M34" s="6">
        <f t="shared" si="1"/>
        <v>2.7523148150066845E-2</v>
      </c>
      <c r="N34" s="7">
        <f t="shared" si="2"/>
        <v>39.633333336096257</v>
      </c>
      <c r="O34" s="7"/>
      <c r="P34" s="7"/>
      <c r="Q34" s="22"/>
      <c r="R34" s="190"/>
      <c r="S34" s="196">
        <f t="shared" si="3"/>
        <v>1</v>
      </c>
      <c r="T34" s="190" t="str">
        <f t="shared" si="4"/>
        <v>Southbound</v>
      </c>
      <c r="U34" s="190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1" t="str">
        <f t="shared" si="5"/>
        <v>https://d0f6bd738d7f1b3e5a7ca70fe4ff75f0.us-east-1.aws.found.io/app/kibana#/discover/Steve-Slow-Train-Analysis-(2080s-and-2083s)?_g=(refreshInterval:(display:Off,pause:!f,section:0,value:0),time:(from:'2017-04-28T06:07:47-0600',mode:absolute,to:'2017-04-28T08:50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34" s="192" t="str">
        <f t="shared" si="6"/>
        <v>N</v>
      </c>
      <c r="X34" s="192">
        <f t="shared" si="7"/>
        <v>1</v>
      </c>
      <c r="Y34" s="192">
        <f t="shared" si="8"/>
        <v>23.2987</v>
      </c>
      <c r="Z34" s="192">
        <f t="shared" si="9"/>
        <v>1.54E-2</v>
      </c>
      <c r="AA34" s="192">
        <f t="shared" si="10"/>
        <v>23.283300000000001</v>
      </c>
      <c r="AB34" s="57" t="str">
        <f>VLOOKUP(A34,Enforcements!$C$7:$K$13,8,0)</f>
        <v>Bulletin (2)</v>
      </c>
      <c r="AC34" s="53" t="str">
        <f>VLOOKUP(A34,Enforcements!$C$7:$E$13,3,0)</f>
        <v>GRADE CROSSING</v>
      </c>
      <c r="AD34" s="54" t="str">
        <f t="shared" si="11"/>
        <v>0122-28</v>
      </c>
      <c r="AE34" s="80" t="str">
        <f t="shared" si="12"/>
        <v>aws s3 cp s3://rtdc.mdm.uploadarchive.raw/RTDC4063/ "%USERPROFILE%\AppData\Local\Temp\OnboardLogs"\RTDC4063\2017-04-28 --exclude "*" --recursive --include "*20170428*" &amp; "%USERPROFILE%\Documents\GitHub\mrs-test-scripts\Headless Mode &amp; Sideloading\WalkAndUnGZ.bat" "%USERPROFILE%\AppData\Local\Temp\OnboardLogs"\RTDC4063\2017-04-28 &amp; aws s3 cp s3://rtdc.mdm.uploadarchive.raw/RTDC4063/ "%USERPROFILE%\AppData\Local\Temp\OnboardLogs"\RTDC4063\2017-04-29 --exclude "*" --recursive --include "*20170429*" &amp; "%USERPROFILE%\Documents\GitHub\mrs-test-scripts\Headless Mode &amp; Sideloading\WalkAndUnGZ.bat" "%USERPROFILE%\AppData\Local\Temp\OnboardLogs"\RTDC4063\2017-04-29</v>
      </c>
      <c r="AF34" s="77" t="str">
        <f t="shared" si="13"/>
        <v>"C:\Program Files (x86)\AstroGrep\AstroGrep.exe" /e /r /s /spath="%USERPROFILE%\AppData\Local\Temp\OnboardLogs" /stypes="app*4063*20170428*" /stext=" 13:.+((SYSTEM_STATE.+slice.+state.+changed )|(ment ac)|(multiple cpu faults)|(system.+state.+changed )|(\[timeout)|(PRM\|1\|D)|(kpr)|(kdp)|(train.+moving)|(\|lc)|(penalty))"</v>
      </c>
      <c r="AG34" s="1" t="str">
        <f t="shared" si="14"/>
        <v>EC</v>
      </c>
      <c r="AH34" s="81" t="str">
        <f t="shared" si="19"/>
        <v>"%USERPROFILE%\Documents\GitHub\eaglep3\Utilities\RefineRTDCRunTimes.py" --tripid 122-28 --locoid 4063 --swversion DE.1.0.9.0 --startMP 204:232987 --initTime 2017-04-28T07:07:47 --startdatetime 2017-04-28T07:11:16 --delay 1 --endMP 204:154 --enddatetime 2017-04-28T07:50:54 --enforcementcount 0 &gt;&gt;C:\Users\stu\Documents\GitHub\eaglep3-reporting\EC\2017-04-28-refined-times.txt</v>
      </c>
      <c r="AI34" s="99" t="str">
        <f t="shared" si="20"/>
        <v>echo {"issue":{"subject":"","project_id":79,"tracker_id":40,"status_id":1,"priority_id":2,"assigned_to_id":23,"start_date":"2017-04-28","description":"","custom_fields":[{"id":1,"name":"Subdivision","value":"EC"},{"id":4,"name":"Milepost","value":"0.0154"},{"id":17,"name":"Train ID","value":"122-28"},{"id":16,"name":"Locomotive ID","value":"4063"},{"id":130,"name":"Impact","value":""},{"id":150,"name":"Time of Event (Mountain Time)","value":"07:50:54"},{"id":151,"name":"Denver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5" t="str">
        <f t="shared" si="21"/>
        <v>start /low /b %USERPROFILE%\Documents\GitHub\eaglep3\Utilities\DownloadLogsFromS3.py --loco 4063 --day 2017-04-28</v>
      </c>
      <c r="AN34" s="154" t="str">
        <f t="shared" si="22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13:50:54"},{"id":29,"name":"Sharepoint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676</v>
      </c>
      <c r="B35" s="7">
        <v>4022</v>
      </c>
      <c r="C35" s="21" t="s">
        <v>211</v>
      </c>
      <c r="D35" s="21" t="s">
        <v>390</v>
      </c>
      <c r="E35" s="13">
        <v>42853.266018518516</v>
      </c>
      <c r="F35" s="13">
        <v>42853.271018518521</v>
      </c>
      <c r="G35" s="7">
        <v>1</v>
      </c>
      <c r="H35" s="21" t="s">
        <v>485</v>
      </c>
      <c r="I35" s="13">
        <v>42853.295393518521</v>
      </c>
      <c r="J35" s="7">
        <v>0</v>
      </c>
      <c r="K35" s="92" t="str">
        <f t="shared" si="0"/>
        <v>4021/4022</v>
      </c>
      <c r="L35" s="21" t="str">
        <f>VLOOKUP(A35,'Trips&amp;Operators'!$C$1:$G$99999,5,FALSE)</f>
        <v>LOZA FIDEL</v>
      </c>
      <c r="M35" s="6">
        <f t="shared" si="1"/>
        <v>2.4375000000873115E-2</v>
      </c>
      <c r="N35" s="7">
        <f t="shared" si="2"/>
        <v>35.100000001257285</v>
      </c>
      <c r="O35" s="7"/>
      <c r="P35" s="7"/>
      <c r="Q35" s="22"/>
      <c r="R35" s="190"/>
      <c r="S35" s="196">
        <f t="shared" si="3"/>
        <v>1</v>
      </c>
      <c r="T35" s="190" t="str">
        <f t="shared" si="4"/>
        <v>NorthBound</v>
      </c>
      <c r="U35" s="190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1" t="str">
        <f t="shared" si="5"/>
        <v>https://d0f6bd738d7f1b3e5a7ca70fe4ff75f0.us-east-1.aws.found.io/app/kibana#/discover/Steve-Slow-Train-Analysis-(2080s-and-2083s)?_g=(refreshInterval:(display:Off,pause:!f,section:0,value:0),time:(from:'2017-04-28T05:23:04-0600',mode:absolute,to:'2017-04-28T08:05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35" s="192" t="str">
        <f t="shared" si="6"/>
        <v>N</v>
      </c>
      <c r="X35" s="192">
        <f t="shared" si="7"/>
        <v>1</v>
      </c>
      <c r="Y35" s="192">
        <f t="shared" si="8"/>
        <v>4.58E-2</v>
      </c>
      <c r="Z35" s="192">
        <f t="shared" si="9"/>
        <v>23.329499999999999</v>
      </c>
      <c r="AA35" s="192">
        <f t="shared" si="10"/>
        <v>23.2837</v>
      </c>
      <c r="AB35" s="57" t="e">
        <f>VLOOKUP(A35,Enforcements!$C$7:$K$13,8,0)</f>
        <v>#N/A</v>
      </c>
      <c r="AC35" s="53" t="e">
        <f>VLOOKUP(A35,Enforcements!$C$7:$E$13,3,0)</f>
        <v>#N/A</v>
      </c>
      <c r="AD35" s="54" t="str">
        <f t="shared" si="11"/>
        <v>0123-28</v>
      </c>
      <c r="AE35" s="80" t="str">
        <f t="shared" si="12"/>
        <v>aws s3 cp s3://rtdc.mdm.uploadarchive.raw/RTDC4022/ "%USERPROFILE%\AppData\Local\Temp\OnboardLogs"\RTDC4022\2017-04-28 --exclude "*" --recursive --include "*20170428*" &amp; "%USERPROFILE%\Documents\GitHub\mrs-test-scripts\Headless Mode &amp; Sideloading\WalkAndUnGZ.bat" "%USERPROFILE%\AppData\Local\Temp\OnboardLogs"\RTDC4022\2017-04-28 &amp; aws s3 cp s3://rtdc.mdm.uploadarchive.raw/RTDC4022/ "%USERPROFILE%\AppData\Local\Temp\OnboardLogs"\RTDC4022\2017-04-29 --exclude "*" --recursive --include "*20170429*" &amp; "%USERPROFILE%\Documents\GitHub\mrs-test-scripts\Headless Mode &amp; Sideloading\WalkAndUnGZ.bat" "%USERPROFILE%\AppData\Local\Temp\OnboardLogs"\RTDC4022\2017-04-29</v>
      </c>
      <c r="AF35" s="77" t="str">
        <f t="shared" si="13"/>
        <v>"C:\Program Files (x86)\AstroGrep\AstroGrep.exe" /e /r /s /spath="%USERPROFILE%\AppData\Local\Temp\OnboardLogs" /stypes="app*4022*20170428*" /stext=" 13:.+((SYSTEM_STATE.+slice.+state.+changed )|(ment ac)|(multiple cpu faults)|(system.+state.+changed )|(\[timeout)|(PRM\|1\|D)|(kpr)|(kdp)|(train.+moving)|(\|lc)|(penalty))"</v>
      </c>
      <c r="AG35" s="1" t="str">
        <f t="shared" si="14"/>
        <v>EC</v>
      </c>
      <c r="AH35" s="81" t="str">
        <f t="shared" si="19"/>
        <v>"%USERPROFILE%\Documents\GitHub\eaglep3\Utilities\RefineRTDCRunTimes.py" --tripid 123-28 --locoid 4022 --swversion DE.1.0.9.0 --startMP 204:458 --initTime 2017-04-28T06:23:04 --startdatetime 2017-04-28T06:30:16 --delay 1 --endMP 204:233295 --enddatetime 2017-04-28T07:05:22 --enforcementcount 0 &gt;&gt;C:\Users\stu\Documents\GitHub\eaglep3-reporting\EC\2017-04-28-refined-times.txt</v>
      </c>
      <c r="AI35" s="99" t="str">
        <f t="shared" si="20"/>
        <v>echo {"issue":{"subject":"","project_id":79,"tracker_id":40,"status_id":1,"priority_id":2,"assigned_to_id":23,"start_date":"2017-04-28","description":"","custom_fields":[{"id":1,"name":"Subdivision","value":"EC"},{"id":4,"name":"Milepost","value":"23.3295"},{"id":17,"name":"Train ID","value":"123-28"},{"id":16,"name":"Locomotive ID","value":"4022"},{"id":130,"name":"Impact","value":""},{"id":150,"name":"Time of Event (Mountain Time)","value":"07:05:22"},{"id":151,"name":"Denver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5" t="str">
        <f t="shared" si="21"/>
        <v>start /low /b %USERPROFILE%\Documents\GitHub\eaglep3\Utilities\DownloadLogsFromS3.py --loco 4022 --day 2017-04-28</v>
      </c>
      <c r="AN35" s="154" t="str">
        <f t="shared" si="22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13:05:22"},{"id":29,"name":"Sharepoint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688</v>
      </c>
      <c r="B36" s="7">
        <v>4021</v>
      </c>
      <c r="C36" s="21" t="s">
        <v>211</v>
      </c>
      <c r="D36" s="21" t="s">
        <v>514</v>
      </c>
      <c r="E36" s="13">
        <v>42853.305706018517</v>
      </c>
      <c r="F36" s="13">
        <v>42853.309965277775</v>
      </c>
      <c r="G36" s="7">
        <v>1</v>
      </c>
      <c r="H36" s="21" t="s">
        <v>197</v>
      </c>
      <c r="I36" s="13">
        <v>42853.336562500001</v>
      </c>
      <c r="J36" s="7">
        <v>0</v>
      </c>
      <c r="K36" s="92" t="str">
        <f t="shared" si="0"/>
        <v>4021/4022</v>
      </c>
      <c r="L36" s="21" t="str">
        <f>VLOOKUP(A36,'Trips&amp;Operators'!$C$1:$G$99999,5,FALSE)</f>
        <v>LOZA FIDEL</v>
      </c>
      <c r="M36" s="6">
        <f t="shared" si="1"/>
        <v>2.6597222225973383E-2</v>
      </c>
      <c r="N36" s="7">
        <f t="shared" si="2"/>
        <v>38.300000005401671</v>
      </c>
      <c r="O36" s="7"/>
      <c r="P36" s="7"/>
      <c r="Q36" s="22"/>
      <c r="R36" s="190"/>
      <c r="S36" s="196">
        <f t="shared" si="3"/>
        <v>1</v>
      </c>
      <c r="T36" s="190" t="str">
        <f t="shared" si="4"/>
        <v>Southbound</v>
      </c>
      <c r="U36" s="190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1" t="str">
        <f t="shared" si="5"/>
        <v>https://d0f6bd738d7f1b3e5a7ca70fe4ff75f0.us-east-1.aws.found.io/app/kibana#/discover/Steve-Slow-Train-Analysis-(2080s-and-2083s)?_g=(refreshInterval:(display:Off,pause:!f,section:0,value:0),time:(from:'2017-04-28T06:20:13-0600',mode:absolute,to:'2017-04-28T09:04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36" s="192" t="str">
        <f t="shared" si="6"/>
        <v>N</v>
      </c>
      <c r="X36" s="192">
        <f t="shared" si="7"/>
        <v>1</v>
      </c>
      <c r="Y36" s="192">
        <f t="shared" si="8"/>
        <v>23.297999999999998</v>
      </c>
      <c r="Z36" s="192">
        <f t="shared" si="9"/>
        <v>1.52E-2</v>
      </c>
      <c r="AA36" s="192">
        <f t="shared" si="10"/>
        <v>23.282799999999998</v>
      </c>
      <c r="AB36" s="57" t="e">
        <f>VLOOKUP(A36,Enforcements!$C$7:$K$13,8,0)</f>
        <v>#N/A</v>
      </c>
      <c r="AC36" s="53" t="e">
        <f>VLOOKUP(A36,Enforcements!$C$7:$E$13,3,0)</f>
        <v>#N/A</v>
      </c>
      <c r="AD36" s="54" t="str">
        <f t="shared" si="11"/>
        <v>0124-28</v>
      </c>
      <c r="AE36" s="80" t="str">
        <f t="shared" si="12"/>
        <v>aws s3 cp s3://rtdc.mdm.uploadarchive.raw/RTDC4021/ "%USERPROFILE%\AppData\Local\Temp\OnboardLogs"\RTDC4021\2017-04-28 --exclude "*" --recursive --include "*20170428*" &amp; "%USERPROFILE%\Documents\GitHub\mrs-test-scripts\Headless Mode &amp; Sideloading\WalkAndUnGZ.bat" "%USERPROFILE%\AppData\Local\Temp\OnboardLogs"\RTDC4021\2017-04-28 &amp; aws s3 cp s3://rtdc.mdm.uploadarchive.raw/RTDC4021/ "%USERPROFILE%\AppData\Local\Temp\OnboardLogs"\RTDC4021\2017-04-29 --exclude "*" --recursive --include "*20170429*" &amp; "%USERPROFILE%\Documents\GitHub\mrs-test-scripts\Headless Mode &amp; Sideloading\WalkAndUnGZ.bat" "%USERPROFILE%\AppData\Local\Temp\OnboardLogs"\RTDC4021\2017-04-29</v>
      </c>
      <c r="AF36" s="77" t="str">
        <f t="shared" si="13"/>
        <v>"C:\Program Files (x86)\AstroGrep\AstroGrep.exe" /e /r /s /spath="%USERPROFILE%\AppData\Local\Temp\OnboardLogs" /stypes="app*4021*20170428*" /stext=" 14:.+((SYSTEM_STATE.+slice.+state.+changed )|(ment ac)|(multiple cpu faults)|(system.+state.+changed )|(\[timeout)|(PRM\|1\|D)|(kpr)|(kdp)|(train.+moving)|(\|lc)|(penalty))"</v>
      </c>
      <c r="AG36" s="1" t="str">
        <f t="shared" si="14"/>
        <v>EC</v>
      </c>
      <c r="AH36" s="81" t="str">
        <f t="shared" si="19"/>
        <v>"%USERPROFILE%\Documents\GitHub\eaglep3\Utilities\RefineRTDCRunTimes.py" --tripid 124-28 --locoid 4021 --swversion DE.1.0.9.0 --startMP 204:232980 --initTime 2017-04-28T07:20:13 --startdatetime 2017-04-28T07:26:21 --delay 1 --endMP 204:152 --enddatetime 2017-04-28T08:04:39 --enforcementcount 0 &gt;&gt;C:\Users\stu\Documents\GitHub\eaglep3-reporting\EC\2017-04-28-refined-times.txt</v>
      </c>
      <c r="AI36" s="99" t="str">
        <f t="shared" si="20"/>
        <v>echo {"issue":{"subject":"","project_id":79,"tracker_id":40,"status_id":1,"priority_id":2,"assigned_to_id":23,"start_date":"2017-04-28","description":"","custom_fields":[{"id":1,"name":"Subdivision","value":"EC"},{"id":4,"name":"Milepost","value":"0.0152"},{"id":17,"name":"Train ID","value":"124-28"},{"id":16,"name":"Locomotive ID","value":"4021"},{"id":130,"name":"Impact","value":""},{"id":150,"name":"Time of Event (Mountain Time)","value":"08:04:39"},{"id":151,"name":"Denver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5" t="str">
        <f t="shared" si="21"/>
        <v>start /low /b %USERPROFILE%\Documents\GitHub\eaglep3\Utilities\DownloadLogsFromS3.py --loco 4021 --day 2017-04-28</v>
      </c>
      <c r="AN36" s="154" t="str">
        <f t="shared" si="22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14:04:39"},{"id":29,"name":"Sharepoint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680</v>
      </c>
      <c r="B37" s="7">
        <v>4042</v>
      </c>
      <c r="C37" s="21" t="s">
        <v>211</v>
      </c>
      <c r="D37" s="21" t="s">
        <v>478</v>
      </c>
      <c r="E37" s="13">
        <v>42853.277407407404</v>
      </c>
      <c r="F37" s="13">
        <v>42853.281539351854</v>
      </c>
      <c r="G37" s="7">
        <v>1</v>
      </c>
      <c r="H37" s="21" t="s">
        <v>463</v>
      </c>
      <c r="I37" s="13">
        <v>42853.306585648148</v>
      </c>
      <c r="J37" s="7">
        <v>0</v>
      </c>
      <c r="K37" s="92" t="str">
        <f t="shared" si="0"/>
        <v>4041/4042</v>
      </c>
      <c r="L37" s="21" t="str">
        <f>VLOOKUP(A37,'Trips&amp;Operators'!$C$1:$G$99999,5,FALSE)</f>
        <v>BIRENBAUM THOMAS</v>
      </c>
      <c r="M37" s="6">
        <f t="shared" si="1"/>
        <v>2.5046296294021886E-2</v>
      </c>
      <c r="N37" s="7">
        <f t="shared" si="2"/>
        <v>36.066666663391516</v>
      </c>
      <c r="O37" s="7"/>
      <c r="P37" s="7"/>
      <c r="Q37" s="22"/>
      <c r="R37" s="190"/>
      <c r="S37" s="196">
        <f t="shared" si="3"/>
        <v>1</v>
      </c>
      <c r="T37" s="190" t="str">
        <f t="shared" si="4"/>
        <v>NorthBound</v>
      </c>
      <c r="U37" s="190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1" t="str">
        <f t="shared" si="5"/>
        <v>https://d0f6bd738d7f1b3e5a7ca70fe4ff75f0.us-east-1.aws.found.io/app/kibana#/discover/Steve-Slow-Train-Analysis-(2080s-and-2083s)?_g=(refreshInterval:(display:Off,pause:!f,section:0,value:0),time:(from:'2017-04-28T05:39:28-0600',mode:absolute,to:'2017-04-28T08:21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37" s="192" t="str">
        <f t="shared" si="6"/>
        <v>N</v>
      </c>
      <c r="X37" s="192">
        <f t="shared" si="7"/>
        <v>1</v>
      </c>
      <c r="Y37" s="192">
        <f t="shared" si="8"/>
        <v>4.53E-2</v>
      </c>
      <c r="Z37" s="192">
        <f t="shared" si="9"/>
        <v>23.331</v>
      </c>
      <c r="AA37" s="192">
        <f t="shared" si="10"/>
        <v>23.285699999999999</v>
      </c>
      <c r="AB37" s="57" t="e">
        <f>VLOOKUP(A37,Enforcements!$C$7:$K$13,8,0)</f>
        <v>#N/A</v>
      </c>
      <c r="AC37" s="53" t="e">
        <f>VLOOKUP(A37,Enforcements!$C$7:$E$13,3,0)</f>
        <v>#N/A</v>
      </c>
      <c r="AD37" s="54" t="str">
        <f t="shared" si="11"/>
        <v>0125-28</v>
      </c>
      <c r="AE37" s="80" t="str">
        <f t="shared" si="12"/>
        <v>aws s3 cp s3://rtdc.mdm.uploadarchive.raw/RTDC4042/ "%USERPROFILE%\AppData\Local\Temp\OnboardLogs"\RTDC4042\2017-04-28 --exclude "*" --recursive --include "*20170428*" &amp; "%USERPROFILE%\Documents\GitHub\mrs-test-scripts\Headless Mode &amp; Sideloading\WalkAndUnGZ.bat" "%USERPROFILE%\AppData\Local\Temp\OnboardLogs"\RTDC4042\2017-04-28 &amp; aws s3 cp s3://rtdc.mdm.uploadarchive.raw/RTDC4042/ "%USERPROFILE%\AppData\Local\Temp\OnboardLogs"\RTDC4042\2017-04-29 --exclude "*" --recursive --include "*20170429*" &amp; "%USERPROFILE%\Documents\GitHub\mrs-test-scripts\Headless Mode &amp; Sideloading\WalkAndUnGZ.bat" "%USERPROFILE%\AppData\Local\Temp\OnboardLogs"\RTDC4042\2017-04-29</v>
      </c>
      <c r="AF37" s="77" t="str">
        <f t="shared" si="13"/>
        <v>"C:\Program Files (x86)\AstroGrep\AstroGrep.exe" /e /r /s /spath="%USERPROFILE%\AppData\Local\Temp\OnboardLogs" /stypes="app*4042*20170428*" /stext=" 13:.+((SYSTEM_STATE.+slice.+state.+changed )|(ment ac)|(multiple cpu faults)|(system.+state.+changed )|(\[timeout)|(PRM\|1\|D)|(kpr)|(kdp)|(train.+moving)|(\|lc)|(penalty))"</v>
      </c>
      <c r="AG37" s="1" t="str">
        <f t="shared" si="14"/>
        <v>EC</v>
      </c>
      <c r="AH37" s="81" t="str">
        <f t="shared" si="19"/>
        <v>"%USERPROFILE%\Documents\GitHub\eaglep3\Utilities\RefineRTDCRunTimes.py" --tripid 125-28 --locoid 4042 --swversion DE.1.0.9.0 --startMP 204:453 --initTime 2017-04-28T06:39:28 --startdatetime 2017-04-28T06:45:25 --delay 1 --endMP 204:233310 --enddatetime 2017-04-28T07:21:29 --enforcementcount 0 &gt;&gt;C:\Users\stu\Documents\GitHub\eaglep3-reporting\EC\2017-04-28-refined-times.txt</v>
      </c>
      <c r="AI37" s="99" t="str">
        <f t="shared" si="20"/>
        <v>echo {"issue":{"subject":"","project_id":79,"tracker_id":40,"status_id":1,"priority_id":2,"assigned_to_id":23,"start_date":"2017-04-28","description":"","custom_fields":[{"id":1,"name":"Subdivision","value":"EC"},{"id":4,"name":"Milepost","value":"23.331"},{"id":17,"name":"Train ID","value":"125-28"},{"id":16,"name":"Locomotive ID","value":"4042"},{"id":130,"name":"Impact","value":""},{"id":150,"name":"Time of Event (Mountain Time)","value":"07:21:29"},{"id":151,"name":"Denver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5" t="str">
        <f t="shared" si="21"/>
        <v>start /low /b %USERPROFILE%\Documents\GitHub\eaglep3\Utilities\DownloadLogsFromS3.py --loco 4042 --day 2017-04-28</v>
      </c>
      <c r="AN37" s="154" t="str">
        <f t="shared" si="22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13:21:29"},{"id":29,"name":"Sharepoint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689</v>
      </c>
      <c r="B38" s="7">
        <v>4041</v>
      </c>
      <c r="C38" s="21" t="s">
        <v>211</v>
      </c>
      <c r="D38" s="21" t="s">
        <v>562</v>
      </c>
      <c r="E38" s="13">
        <v>42853.310347222221</v>
      </c>
      <c r="F38" s="13">
        <v>42853.320335648146</v>
      </c>
      <c r="G38" s="7">
        <v>1</v>
      </c>
      <c r="H38" s="21" t="s">
        <v>411</v>
      </c>
      <c r="I38" s="13">
        <v>42853.347592592596</v>
      </c>
      <c r="J38" s="7">
        <v>0</v>
      </c>
      <c r="K38" s="92" t="str">
        <f t="shared" si="0"/>
        <v>4041/4042</v>
      </c>
      <c r="L38" s="21" t="str">
        <f>VLOOKUP(A38,'Trips&amp;Operators'!$C$1:$G$99999,5,FALSE)</f>
        <v>BIRENBAUM THOMAS</v>
      </c>
      <c r="M38" s="6">
        <f t="shared" si="1"/>
        <v>2.7256944449618459E-2</v>
      </c>
      <c r="N38" s="7">
        <f t="shared" si="2"/>
        <v>39.250000007450581</v>
      </c>
      <c r="O38" s="7"/>
      <c r="P38" s="7"/>
      <c r="Q38" s="22"/>
      <c r="R38" s="190"/>
      <c r="S38" s="196">
        <f t="shared" si="3"/>
        <v>1</v>
      </c>
      <c r="T38" s="190" t="str">
        <f t="shared" si="4"/>
        <v>Southbound</v>
      </c>
      <c r="U38" s="190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1" t="str">
        <f t="shared" si="5"/>
        <v>https://d0f6bd738d7f1b3e5a7ca70fe4ff75f0.us-east-1.aws.found.io/app/kibana#/discover/Steve-Slow-Train-Analysis-(2080s-and-2083s)?_g=(refreshInterval:(display:Off,pause:!f,section:0,value:0),time:(from:'2017-04-28T06:26:54-0600',mode:absolute,to:'2017-04-28T09:20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38" s="192" t="str">
        <f t="shared" si="6"/>
        <v>N</v>
      </c>
      <c r="X38" s="192">
        <f t="shared" si="7"/>
        <v>1</v>
      </c>
      <c r="Y38" s="192">
        <f t="shared" si="8"/>
        <v>23.298500000000001</v>
      </c>
      <c r="Z38" s="192">
        <f t="shared" si="9"/>
        <v>1.43E-2</v>
      </c>
      <c r="AA38" s="192">
        <f t="shared" si="10"/>
        <v>23.284200000000002</v>
      </c>
      <c r="AB38" s="57" t="e">
        <f>VLOOKUP(A38,Enforcements!$C$7:$K$13,8,0)</f>
        <v>#N/A</v>
      </c>
      <c r="AC38" s="53" t="e">
        <f>VLOOKUP(A38,Enforcements!$C$7:$E$13,3,0)</f>
        <v>#N/A</v>
      </c>
      <c r="AD38" s="54" t="str">
        <f t="shared" si="11"/>
        <v>0126-28</v>
      </c>
      <c r="AE38" s="80" t="str">
        <f t="shared" si="12"/>
        <v>aws s3 cp s3://rtdc.mdm.uploadarchive.raw/RTDC4041/ "%USERPROFILE%\AppData\Local\Temp\OnboardLogs"\RTDC4041\2017-04-28 --exclude "*" --recursive --include "*20170428*" &amp; "%USERPROFILE%\Documents\GitHub\mrs-test-scripts\Headless Mode &amp; Sideloading\WalkAndUnGZ.bat" "%USERPROFILE%\AppData\Local\Temp\OnboardLogs"\RTDC4041\2017-04-28 &amp; aws s3 cp s3://rtdc.mdm.uploadarchive.raw/RTDC4041/ "%USERPROFILE%\AppData\Local\Temp\OnboardLogs"\RTDC4041\2017-04-29 --exclude "*" --recursive --include "*20170429*" &amp; "%USERPROFILE%\Documents\GitHub\mrs-test-scripts\Headless Mode &amp; Sideloading\WalkAndUnGZ.bat" "%USERPROFILE%\AppData\Local\Temp\OnboardLogs"\RTDC4041\2017-04-29</v>
      </c>
      <c r="AF38" s="77" t="str">
        <f t="shared" si="13"/>
        <v>"C:\Program Files (x86)\AstroGrep\AstroGrep.exe" /e /r /s /spath="%USERPROFILE%\AppData\Local\Temp\OnboardLogs" /stypes="app*4041*20170428*" /stext=" 14:.+((SYSTEM_STATE.+slice.+state.+changed )|(ment ac)|(multiple cpu faults)|(system.+state.+changed )|(\[timeout)|(PRM\|1\|D)|(kpr)|(kdp)|(train.+moving)|(\|lc)|(penalty))"</v>
      </c>
      <c r="AG38" s="1" t="str">
        <f t="shared" si="14"/>
        <v>EC</v>
      </c>
      <c r="AH38" s="81" t="str">
        <f t="shared" si="19"/>
        <v>"%USERPROFILE%\Documents\GitHub\eaglep3\Utilities\RefineRTDCRunTimes.py" --tripid 126-28 --locoid 4041 --swversion DE.1.0.9.0 --startMP 204:232985 --initTime 2017-04-28T07:26:54 --startdatetime 2017-04-28T07:41:17 --delay 1 --endMP 204:143 --enddatetime 2017-04-28T08:20:32 --enforcementcount 0 &gt;&gt;C:\Users\stu\Documents\GitHub\eaglep3-reporting\EC\2017-04-28-refined-times.txt</v>
      </c>
      <c r="AI38" s="99" t="str">
        <f t="shared" si="20"/>
        <v>echo {"issue":{"subject":"","project_id":79,"tracker_id":40,"status_id":1,"priority_id":2,"assigned_to_id":23,"start_date":"2017-04-28","description":"","custom_fields":[{"id":1,"name":"Subdivision","value":"EC"},{"id":4,"name":"Milepost","value":"0.0143"},{"id":17,"name":"Train ID","value":"126-28"},{"id":16,"name":"Locomotive ID","value":"4041"},{"id":130,"name":"Impact","value":""},{"id":150,"name":"Time of Event (Mountain Time)","value":"08:20:32"},{"id":151,"name":"Denver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5" t="str">
        <f t="shared" si="21"/>
        <v>start /low /b %USERPROFILE%\Documents\GitHub\eaglep3\Utilities\DownloadLogsFromS3.py --loco 4041 --day 2017-04-28</v>
      </c>
      <c r="AN38" s="154" t="str">
        <f t="shared" si="22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14:20:32"},{"id":29,"name":"Sharepoint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682</v>
      </c>
      <c r="B39" s="7">
        <v>4016</v>
      </c>
      <c r="C39" s="21" t="s">
        <v>211</v>
      </c>
      <c r="D39" s="21" t="s">
        <v>423</v>
      </c>
      <c r="E39" s="13">
        <v>42853.287268518521</v>
      </c>
      <c r="F39" s="13">
        <v>42853.291828703703</v>
      </c>
      <c r="G39" s="7">
        <v>3</v>
      </c>
      <c r="H39" s="21" t="s">
        <v>485</v>
      </c>
      <c r="I39" s="13">
        <v>42853.317511574074</v>
      </c>
      <c r="J39" s="7">
        <v>0</v>
      </c>
      <c r="K39" s="92" t="str">
        <f t="shared" si="0"/>
        <v>4015/4016</v>
      </c>
      <c r="L39" s="21" t="str">
        <f>VLOOKUP(A39,'Trips&amp;Operators'!$C$1:$G$99999,5,FALSE)</f>
        <v>BADERTSCHER DIANE</v>
      </c>
      <c r="M39" s="6">
        <f t="shared" si="1"/>
        <v>2.5682870371383615E-2</v>
      </c>
      <c r="N39" s="7">
        <f t="shared" si="2"/>
        <v>36.983333334792405</v>
      </c>
      <c r="O39" s="7"/>
      <c r="P39" s="7"/>
      <c r="Q39" s="22"/>
      <c r="R39" s="190"/>
      <c r="S39" s="196">
        <f t="shared" si="3"/>
        <v>1</v>
      </c>
      <c r="T39" s="190" t="str">
        <f t="shared" si="4"/>
        <v>NorthBound</v>
      </c>
      <c r="U39" s="190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1" t="str">
        <f t="shared" si="5"/>
        <v>https://d0f6bd738d7f1b3e5a7ca70fe4ff75f0.us-east-1.aws.found.io/app/kibana#/discover/Steve-Slow-Train-Analysis-(2080s-and-2083s)?_g=(refreshInterval:(display:Off,pause:!f,section:0,value:0),time:(from:'2017-04-28T05:53:40-0600',mode:absolute,to:'2017-04-28T08:37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39" s="192" t="str">
        <f t="shared" si="6"/>
        <v>N</v>
      </c>
      <c r="X39" s="192">
        <f t="shared" si="7"/>
        <v>1</v>
      </c>
      <c r="Y39" s="192">
        <f t="shared" si="8"/>
        <v>4.5100000000000001E-2</v>
      </c>
      <c r="Z39" s="192">
        <f t="shared" si="9"/>
        <v>23.329499999999999</v>
      </c>
      <c r="AA39" s="192">
        <f t="shared" si="10"/>
        <v>23.284399999999998</v>
      </c>
      <c r="AB39" s="57" t="e">
        <f>VLOOKUP(A39,Enforcements!$C$7:$K$13,8,0)</f>
        <v>#N/A</v>
      </c>
      <c r="AC39" s="53" t="e">
        <f>VLOOKUP(A39,Enforcements!$C$7:$E$13,3,0)</f>
        <v>#N/A</v>
      </c>
      <c r="AD39" s="54" t="str">
        <f t="shared" si="11"/>
        <v>0127-28</v>
      </c>
      <c r="AE39" s="80" t="str">
        <f t="shared" si="12"/>
        <v>aws s3 cp s3://rtdc.mdm.uploadarchive.raw/RTDC4016/ "%USERPROFILE%\AppData\Local\Temp\OnboardLogs"\RTDC4016\2017-04-28 --exclude "*" --recursive --include "*20170428*" &amp; "%USERPROFILE%\Documents\GitHub\mrs-test-scripts\Headless Mode &amp; Sideloading\WalkAndUnGZ.bat" "%USERPROFILE%\AppData\Local\Temp\OnboardLogs"\RTDC4016\2017-04-28 &amp; aws s3 cp s3://rtdc.mdm.uploadarchive.raw/RTDC4016/ "%USERPROFILE%\AppData\Local\Temp\OnboardLogs"\RTDC4016\2017-04-29 --exclude "*" --recursive --include "*20170429*" &amp; "%USERPROFILE%\Documents\GitHub\mrs-test-scripts\Headless Mode &amp; Sideloading\WalkAndUnGZ.bat" "%USERPROFILE%\AppData\Local\Temp\OnboardLogs"\RTDC4016\2017-04-29</v>
      </c>
      <c r="AF39" s="77" t="str">
        <f t="shared" si="13"/>
        <v>"C:\Program Files (x86)\AstroGrep\AstroGrep.exe" /e /r /s /spath="%USERPROFILE%\AppData\Local\Temp\OnboardLogs" /stypes="app*4016*20170428*" /stext=" 13:.+((SYSTEM_STATE.+slice.+state.+changed )|(ment ac)|(multiple cpu faults)|(system.+state.+changed )|(\[timeout)|(PRM\|1\|D)|(kpr)|(kdp)|(train.+moving)|(\|lc)|(penalty))"</v>
      </c>
      <c r="AG39" s="1" t="str">
        <f t="shared" si="14"/>
        <v>EC</v>
      </c>
      <c r="AH39" s="81" t="str">
        <f t="shared" si="19"/>
        <v>"%USERPROFILE%\Documents\GitHub\eaglep3\Utilities\RefineRTDCRunTimes.py" --tripid 127-28 --locoid 4016 --swversion DE.1.0.9.0 --startMP 204:451 --initTime 2017-04-28T06:53:40 --startdatetime 2017-04-28T07:00:14 --delay 3 --endMP 204:233295 --enddatetime 2017-04-28T07:37:13 --enforcementcount 0 &gt;&gt;C:\Users\stu\Documents\GitHub\eaglep3-reporting\EC\2017-04-28-refined-times.txt</v>
      </c>
      <c r="AI39" s="99" t="str">
        <f t="shared" si="20"/>
        <v>echo {"issue":{"subject":"","project_id":79,"tracker_id":40,"status_id":1,"priority_id":2,"assigned_to_id":23,"start_date":"2017-04-28","description":"","custom_fields":[{"id":1,"name":"Subdivision","value":"EC"},{"id":4,"name":"Milepost","value":"23.3295"},{"id":17,"name":"Train ID","value":"127-28"},{"id":16,"name":"Locomotive ID","value":"4016"},{"id":130,"name":"Impact","value":""},{"id":150,"name":"Time of Event (Mountain Time)","value":"07:37:13"},{"id":151,"name":"Denver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5" t="str">
        <f t="shared" si="21"/>
        <v>start /low /b %USERPROFILE%\Documents\GitHub\eaglep3\Utilities\DownloadLogsFromS3.py --loco 4016 --day 2017-04-28</v>
      </c>
      <c r="AN39" s="154" t="str">
        <f t="shared" si="22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13:37:13"},{"id":29,"name":"Sharepoint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693</v>
      </c>
      <c r="B40" s="7">
        <v>4015</v>
      </c>
      <c r="C40" s="21" t="s">
        <v>211</v>
      </c>
      <c r="D40" s="21" t="s">
        <v>869</v>
      </c>
      <c r="E40" s="13">
        <v>42853.323993055557</v>
      </c>
      <c r="F40" s="13">
        <v>42853.330729166664</v>
      </c>
      <c r="G40" s="7">
        <v>1</v>
      </c>
      <c r="H40" s="21" t="s">
        <v>410</v>
      </c>
      <c r="I40" s="13">
        <v>42853.358368055553</v>
      </c>
      <c r="J40" s="7">
        <v>0</v>
      </c>
      <c r="K40" s="92" t="str">
        <f t="shared" si="0"/>
        <v>4015/4016</v>
      </c>
      <c r="L40" s="21" t="str">
        <f>VLOOKUP(A40,'Trips&amp;Operators'!$C$1:$G$99999,5,FALSE)</f>
        <v>BADERTSCHER DIANE</v>
      </c>
      <c r="M40" s="6">
        <f t="shared" si="1"/>
        <v>2.7638888888759539E-2</v>
      </c>
      <c r="N40" s="7">
        <f t="shared" si="2"/>
        <v>39.799999999813735</v>
      </c>
      <c r="O40" s="7"/>
      <c r="P40" s="7"/>
      <c r="Q40" s="22"/>
      <c r="R40" s="190"/>
      <c r="S40" s="196">
        <f t="shared" si="3"/>
        <v>1</v>
      </c>
      <c r="T40" s="190" t="str">
        <f t="shared" si="4"/>
        <v>Southbound</v>
      </c>
      <c r="U40" s="190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1" t="str">
        <f t="shared" si="5"/>
        <v>https://d0f6bd738d7f1b3e5a7ca70fe4ff75f0.us-east-1.aws.found.io/app/kibana#/discover/Steve-Slow-Train-Analysis-(2080s-and-2083s)?_g=(refreshInterval:(display:Off,pause:!f,section:0,value:0),time:(from:'2017-04-28T06:46:33-0600',mode:absolute,to:'2017-04-28T09:36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40" s="192" t="str">
        <f t="shared" si="6"/>
        <v>N</v>
      </c>
      <c r="X40" s="192">
        <f t="shared" si="7"/>
        <v>1</v>
      </c>
      <c r="Y40" s="192">
        <f t="shared" si="8"/>
        <v>23.2986</v>
      </c>
      <c r="Z40" s="192">
        <f t="shared" si="9"/>
        <v>1.49E-2</v>
      </c>
      <c r="AA40" s="192">
        <f t="shared" si="10"/>
        <v>23.2837</v>
      </c>
      <c r="AB40" s="57" t="e">
        <f>VLOOKUP(A40,Enforcements!$C$7:$K$13,8,0)</f>
        <v>#N/A</v>
      </c>
      <c r="AC40" s="53" t="e">
        <f>VLOOKUP(A40,Enforcements!$C$7:$E$13,3,0)</f>
        <v>#N/A</v>
      </c>
      <c r="AD40" s="54" t="str">
        <f t="shared" si="11"/>
        <v>0128-28</v>
      </c>
      <c r="AE40" s="80" t="str">
        <f t="shared" si="12"/>
        <v>aws s3 cp s3://rtdc.mdm.uploadarchive.raw/RTDC4015/ "%USERPROFILE%\AppData\Local\Temp\OnboardLogs"\RTDC4015\2017-04-28 --exclude "*" --recursive --include "*20170428*" &amp; "%USERPROFILE%\Documents\GitHub\mrs-test-scripts\Headless Mode &amp; Sideloading\WalkAndUnGZ.bat" "%USERPROFILE%\AppData\Local\Temp\OnboardLogs"\RTDC4015\2017-04-28 &amp; aws s3 cp s3://rtdc.mdm.uploadarchive.raw/RTDC4015/ "%USERPROFILE%\AppData\Local\Temp\OnboardLogs"\RTDC4015\2017-04-29 --exclude "*" --recursive --include "*20170429*" &amp; "%USERPROFILE%\Documents\GitHub\mrs-test-scripts\Headless Mode &amp; Sideloading\WalkAndUnGZ.bat" "%USERPROFILE%\AppData\Local\Temp\OnboardLogs"\RTDC4015\2017-04-29</v>
      </c>
      <c r="AF40" s="77" t="str">
        <f t="shared" si="13"/>
        <v>"C:\Program Files (x86)\AstroGrep\AstroGrep.exe" /e /r /s /spath="%USERPROFILE%\AppData\Local\Temp\OnboardLogs" /stypes="app*4015*20170428*" /stext=" 14:.+((SYSTEM_STATE.+slice.+state.+changed )|(ment ac)|(multiple cpu faults)|(system.+state.+changed )|(\[timeout)|(PRM\|1\|D)|(kpr)|(kdp)|(train.+moving)|(\|lc)|(penalty))"</v>
      </c>
      <c r="AG40" s="1" t="str">
        <f t="shared" si="14"/>
        <v>EC</v>
      </c>
      <c r="AH40" s="81" t="str">
        <f t="shared" si="19"/>
        <v>"%USERPROFILE%\Documents\GitHub\eaglep3\Utilities\RefineRTDCRunTimes.py" --tripid 128-28 --locoid 4015 --swversion DE.1.0.9.0 --startMP 204:232986 --initTime 2017-04-28T07:46:33 --startdatetime 2017-04-28T07:56:15 --delay 1 --endMP 204:149 --enddatetime 2017-04-28T08:36:03 --enforcementcount 0 &gt;&gt;C:\Users\stu\Documents\GitHub\eaglep3-reporting\EC\2017-04-28-refined-times.txt</v>
      </c>
      <c r="AI40" s="99" t="str">
        <f t="shared" si="20"/>
        <v>echo {"issue":{"subject":"","project_id":79,"tracker_id":40,"status_id":1,"priority_id":2,"assigned_to_id":23,"start_date":"2017-04-28","description":"","custom_fields":[{"id":1,"name":"Subdivision","value":"EC"},{"id":4,"name":"Milepost","value":"0.0149"},{"id":17,"name":"Train ID","value":"128-28"},{"id":16,"name":"Locomotive ID","value":"4015"},{"id":130,"name":"Impact","value":""},{"id":150,"name":"Time of Event (Mountain Time)","value":"08:36:03"},{"id":151,"name":"Denver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5" t="str">
        <f t="shared" si="21"/>
        <v>start /low /b %USERPROFILE%\Documents\GitHub\eaglep3\Utilities\DownloadLogsFromS3.py --loco 4015 --day 2017-04-28</v>
      </c>
      <c r="AN40" s="154" t="str">
        <f t="shared" si="22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14:36:03"},{"id":29,"name":"Sharepoint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687</v>
      </c>
      <c r="B41" s="7">
        <v>4052</v>
      </c>
      <c r="C41" s="21" t="s">
        <v>211</v>
      </c>
      <c r="D41" s="21" t="s">
        <v>868</v>
      </c>
      <c r="E41" s="13">
        <v>42853.300520833334</v>
      </c>
      <c r="F41" s="13">
        <v>42853.302256944444</v>
      </c>
      <c r="G41" s="7">
        <v>0</v>
      </c>
      <c r="H41" s="21" t="s">
        <v>865</v>
      </c>
      <c r="I41" s="13">
        <v>42853.327060185184</v>
      </c>
      <c r="J41" s="7">
        <v>0</v>
      </c>
      <c r="K41" s="92" t="str">
        <f t="shared" si="0"/>
        <v>4051/4052</v>
      </c>
      <c r="L41" s="21" t="str">
        <f>VLOOKUP(A41,'Trips&amp;Operators'!$C$1:$G$99999,5,FALSE)</f>
        <v>ROCHA YAOTL</v>
      </c>
      <c r="M41" s="6">
        <f t="shared" si="1"/>
        <v>2.4803240739856847E-2</v>
      </c>
      <c r="N41" s="7">
        <f t="shared" si="2"/>
        <v>35.716666665393859</v>
      </c>
      <c r="O41" s="7"/>
      <c r="P41" s="7"/>
      <c r="Q41" s="22"/>
      <c r="R41" s="190"/>
      <c r="S41" s="196">
        <f t="shared" si="3"/>
        <v>1</v>
      </c>
      <c r="T41" s="190" t="str">
        <f t="shared" si="4"/>
        <v>NorthBound</v>
      </c>
      <c r="U41" s="190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1" t="str">
        <f t="shared" si="5"/>
        <v>https://d0f6bd738d7f1b3e5a7ca70fe4ff75f0.us-east-1.aws.found.io/app/kibana#/discover/Steve-Slow-Train-Analysis-(2080s-and-2083s)?_g=(refreshInterval:(display:Off,pause:!f,section:0,value:0),time:(from:'2017-04-28T06:12:45-0600',mode:absolute,to:'2017-04-28T08:50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41" s="192" t="str">
        <f t="shared" si="6"/>
        <v>N</v>
      </c>
      <c r="X41" s="192">
        <f t="shared" si="7"/>
        <v>1</v>
      </c>
      <c r="Y41" s="192">
        <f t="shared" si="8"/>
        <v>4.4200000000000003E-2</v>
      </c>
      <c r="Z41" s="192">
        <f t="shared" si="9"/>
        <v>23.3308</v>
      </c>
      <c r="AA41" s="192">
        <f t="shared" si="10"/>
        <v>23.2866</v>
      </c>
      <c r="AB41" s="57" t="e">
        <f>VLOOKUP(A41,Enforcements!$C$7:$K$13,8,0)</f>
        <v>#N/A</v>
      </c>
      <c r="AC41" s="53" t="e">
        <f>VLOOKUP(A41,Enforcements!$C$7:$E$13,3,0)</f>
        <v>#N/A</v>
      </c>
      <c r="AD41" s="54" t="str">
        <f t="shared" si="11"/>
        <v>0129-28</v>
      </c>
      <c r="AE41" s="80" t="str">
        <f t="shared" si="12"/>
        <v>aws s3 cp s3://rtdc.mdm.uploadarchive.raw/RTDC4052/ "%USERPROFILE%\AppData\Local\Temp\OnboardLogs"\RTDC4052\2017-04-28 --exclude "*" --recursive --include "*20170428*" &amp; "%USERPROFILE%\Documents\GitHub\mrs-test-scripts\Headless Mode &amp; Sideloading\WalkAndUnGZ.bat" "%USERPROFILE%\AppData\Local\Temp\OnboardLogs"\RTDC4052\2017-04-28 &amp; aws s3 cp s3://rtdc.mdm.uploadarchive.raw/RTDC4052/ "%USERPROFILE%\AppData\Local\Temp\OnboardLogs"\RTDC4052\2017-04-29 --exclude "*" --recursive --include "*20170429*" &amp; "%USERPROFILE%\Documents\GitHub\mrs-test-scripts\Headless Mode &amp; Sideloading\WalkAndUnGZ.bat" "%USERPROFILE%\AppData\Local\Temp\OnboardLogs"\RTDC4052\2017-04-29</v>
      </c>
      <c r="AF41" s="77" t="str">
        <f t="shared" si="13"/>
        <v>"C:\Program Files (x86)\AstroGrep\AstroGrep.exe" /e /r /s /spath="%USERPROFILE%\AppData\Local\Temp\OnboardLogs" /stypes="app*4052*20170428*" /stext=" 13:.+((SYSTEM_STATE.+slice.+state.+changed )|(ment ac)|(multiple cpu faults)|(system.+state.+changed )|(\[timeout)|(PRM\|1\|D)|(kpr)|(kdp)|(train.+moving)|(\|lc)|(penalty))"</v>
      </c>
      <c r="AG41" s="1" t="str">
        <f t="shared" si="14"/>
        <v>EC</v>
      </c>
      <c r="AH41" s="81" t="str">
        <f t="shared" si="19"/>
        <v>"%USERPROFILE%\Documents\GitHub\eaglep3\Utilities\RefineRTDCRunTimes.py" --tripid 129-28 --locoid 4052 --swversion DE.1.0.9.0 --startMP 204:442 --initTime 2017-04-28T07:12:45 --startdatetime 2017-04-28T07:15:15 --delay 0 --endMP 204:233308 --enddatetime 2017-04-28T07:50:58 --enforcementcount 0 &gt;&gt;C:\Users\stu\Documents\GitHub\eaglep3-reporting\EC\2017-04-28-refined-times.txt</v>
      </c>
      <c r="AI41" s="99" t="str">
        <f t="shared" si="20"/>
        <v>echo {"issue":{"subject":"","project_id":79,"tracker_id":40,"status_id":1,"priority_id":2,"assigned_to_id":23,"start_date":"2017-04-28","description":"","custom_fields":[{"id":1,"name":"Subdivision","value":"EC"},{"id":4,"name":"Milepost","value":"23.3308"},{"id":17,"name":"Train ID","value":"129-28"},{"id":16,"name":"Locomotive ID","value":"4052"},{"id":130,"name":"Impact","value":""},{"id":150,"name":"Time of Event (Mountain Time)","value":"07:50:58"},{"id":151,"name":"Denver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5" t="str">
        <f t="shared" si="21"/>
        <v>start /low /b %USERPROFILE%\Documents\GitHub\eaglep3\Utilities\DownloadLogsFromS3.py --loco 4052 --day 2017-04-28</v>
      </c>
      <c r="AN41" s="154" t="str">
        <f t="shared" si="22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13:50:58"},{"id":29,"name":"Sharepoint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695</v>
      </c>
      <c r="B42" s="7">
        <v>4051</v>
      </c>
      <c r="C42" s="21" t="s">
        <v>211</v>
      </c>
      <c r="D42" s="21" t="s">
        <v>383</v>
      </c>
      <c r="E42" s="13">
        <v>42853.339560185188</v>
      </c>
      <c r="F42" s="13">
        <v>42853.341192129628</v>
      </c>
      <c r="G42" s="7">
        <v>0</v>
      </c>
      <c r="H42" s="21" t="s">
        <v>387</v>
      </c>
      <c r="I42" s="13">
        <v>42853.367048611108</v>
      </c>
      <c r="J42" s="7">
        <v>0</v>
      </c>
      <c r="K42" s="92" t="str">
        <f t="shared" si="0"/>
        <v>4051/4052</v>
      </c>
      <c r="L42" s="21" t="str">
        <f>VLOOKUP(A42,'Trips&amp;Operators'!$C$1:$G$99999,5,FALSE)</f>
        <v>ROCHA YAOTL</v>
      </c>
      <c r="M42" s="6">
        <f t="shared" si="1"/>
        <v>2.5856481479422655E-2</v>
      </c>
      <c r="N42" s="7">
        <f t="shared" si="2"/>
        <v>37.233333330368623</v>
      </c>
      <c r="O42" s="7"/>
      <c r="P42" s="7"/>
      <c r="Q42" s="22"/>
      <c r="R42" s="190"/>
      <c r="S42" s="196">
        <f t="shared" si="3"/>
        <v>1</v>
      </c>
      <c r="T42" s="190" t="str">
        <f t="shared" si="4"/>
        <v>Southbound</v>
      </c>
      <c r="U42" s="190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1" t="str">
        <f t="shared" si="5"/>
        <v>https://d0f6bd738d7f1b3e5a7ca70fe4ff75f0.us-east-1.aws.found.io/app/kibana#/discover/Steve-Slow-Train-Analysis-(2080s-and-2083s)?_g=(refreshInterval:(display:Off,pause:!f,section:0,value:0),time:(from:'2017-04-28T07:08:58-0600',mode:absolute,to:'2017-04-28T09:48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42" s="192" t="str">
        <f t="shared" si="6"/>
        <v>N</v>
      </c>
      <c r="X42" s="192">
        <f t="shared" si="7"/>
        <v>1</v>
      </c>
      <c r="Y42" s="192">
        <f t="shared" si="8"/>
        <v>23.2989</v>
      </c>
      <c r="Z42" s="192">
        <f t="shared" si="9"/>
        <v>1.4500000000000001E-2</v>
      </c>
      <c r="AA42" s="192">
        <f t="shared" si="10"/>
        <v>23.284399999999998</v>
      </c>
      <c r="AB42" s="57" t="e">
        <f>VLOOKUP(A42,Enforcements!$C$7:$K$13,8,0)</f>
        <v>#N/A</v>
      </c>
      <c r="AC42" s="53" t="e">
        <f>VLOOKUP(A42,Enforcements!$C$7:$E$13,3,0)</f>
        <v>#N/A</v>
      </c>
      <c r="AD42" s="54" t="str">
        <f t="shared" si="11"/>
        <v>0130-28</v>
      </c>
      <c r="AE42" s="80" t="str">
        <f t="shared" si="12"/>
        <v>aws s3 cp s3://rtdc.mdm.uploadarchive.raw/RTDC4051/ "%USERPROFILE%\AppData\Local\Temp\OnboardLogs"\RTDC4051\2017-04-28 --exclude "*" --recursive --include "*20170428*" &amp; "%USERPROFILE%\Documents\GitHub\mrs-test-scripts\Headless Mode &amp; Sideloading\WalkAndUnGZ.bat" "%USERPROFILE%\AppData\Local\Temp\OnboardLogs"\RTDC4051\2017-04-28 &amp; aws s3 cp s3://rtdc.mdm.uploadarchive.raw/RTDC4051/ "%USERPROFILE%\AppData\Local\Temp\OnboardLogs"\RTDC4051\2017-04-29 --exclude "*" --recursive --include "*20170429*" &amp; "%USERPROFILE%\Documents\GitHub\mrs-test-scripts\Headless Mode &amp; Sideloading\WalkAndUnGZ.bat" "%USERPROFILE%\AppData\Local\Temp\OnboardLogs"\RTDC4051\2017-04-29</v>
      </c>
      <c r="AF42" s="77" t="str">
        <f t="shared" si="13"/>
        <v>"C:\Program Files (x86)\AstroGrep\AstroGrep.exe" /e /r /s /spath="%USERPROFILE%\AppData\Local\Temp\OnboardLogs" /stypes="app*4051*20170428*" /stext=" 14:.+((SYSTEM_STATE.+slice.+state.+changed )|(ment ac)|(multiple cpu faults)|(system.+state.+changed )|(\[timeout)|(PRM\|1\|D)|(kpr)|(kdp)|(train.+moving)|(\|lc)|(penalty))"</v>
      </c>
      <c r="AG42" s="1" t="str">
        <f t="shared" si="14"/>
        <v>EC</v>
      </c>
      <c r="AH42" s="81" t="str">
        <f t="shared" si="19"/>
        <v>"%USERPROFILE%\Documents\GitHub\eaglep3\Utilities\RefineRTDCRunTimes.py" --tripid 130-28 --locoid 4051 --swversion DE.1.0.9.0 --startMP 204:232989 --initTime 2017-04-28T08:08:58 --startdatetime 2017-04-28T08:11:19 --delay 0 --endMP 204:145 --enddatetime 2017-04-28T08:48:33 --enforcementcount 0 &gt;&gt;C:\Users\stu\Documents\GitHub\eaglep3-reporting\EC\2017-04-28-refined-times.txt</v>
      </c>
      <c r="AI42" s="99" t="str">
        <f t="shared" si="20"/>
        <v>echo {"issue":{"subject":"","project_id":79,"tracker_id":40,"status_id":1,"priority_id":2,"assigned_to_id":23,"start_date":"2017-04-28","description":"","custom_fields":[{"id":1,"name":"Subdivision","value":"EC"},{"id":4,"name":"Milepost","value":"0.0145"},{"id":17,"name":"Train ID","value":"130-28"},{"id":16,"name":"Locomotive ID","value":"4051"},{"id":130,"name":"Impact","value":""},{"id":150,"name":"Time of Event (Mountain Time)","value":"08:48:33"},{"id":151,"name":"Denver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5" t="str">
        <f t="shared" si="21"/>
        <v>start /low /b %USERPROFILE%\Documents\GitHub\eaglep3\Utilities\DownloadLogsFromS3.py --loco 4051 --day 2017-04-28</v>
      </c>
      <c r="AN42" s="154" t="str">
        <f t="shared" si="22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14:48:33"},{"id":29,"name":"Sharepoint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603</v>
      </c>
      <c r="B43" s="7">
        <v>4008</v>
      </c>
      <c r="C43" s="21" t="s">
        <v>211</v>
      </c>
      <c r="D43" s="21" t="s">
        <v>207</v>
      </c>
      <c r="E43" s="13">
        <v>42853.307453703703</v>
      </c>
      <c r="F43" s="13">
        <v>42853.312696759262</v>
      </c>
      <c r="G43" s="7">
        <v>1</v>
      </c>
      <c r="H43" s="21" t="s">
        <v>566</v>
      </c>
      <c r="I43" s="13">
        <v>42853.338136574072</v>
      </c>
      <c r="J43" s="7">
        <v>0</v>
      </c>
      <c r="K43" s="92" t="str">
        <f t="shared" si="0"/>
        <v>4007/4008</v>
      </c>
      <c r="L43" s="21" t="str">
        <f>VLOOKUP(A43,'Trips&amp;Operators'!$C$1:$G$99999,5,FALSE)</f>
        <v>DAVIS WENDY</v>
      </c>
      <c r="M43" s="6">
        <f t="shared" si="1"/>
        <v>2.5439814809942618E-2</v>
      </c>
      <c r="N43" s="7">
        <f t="shared" si="2"/>
        <v>36.63333332631737</v>
      </c>
      <c r="O43" s="7"/>
      <c r="P43" s="7"/>
      <c r="Q43" s="22"/>
      <c r="R43" s="190"/>
      <c r="S43" s="196">
        <f t="shared" si="3"/>
        <v>1</v>
      </c>
      <c r="T43" s="190" t="str">
        <f t="shared" si="4"/>
        <v>NorthBound</v>
      </c>
      <c r="U43" s="190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1" t="str">
        <f t="shared" si="5"/>
        <v>https://d0f6bd738d7f1b3e5a7ca70fe4ff75f0.us-east-1.aws.found.io/app/kibana#/discover/Steve-Slow-Train-Analysis-(2080s-and-2083s)?_g=(refreshInterval:(display:Off,pause:!f,section:0,value:0),time:(from:'2017-04-28T06:22:44-0600',mode:absolute,to:'2017-04-28T09:06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43" s="192" t="str">
        <f t="shared" si="6"/>
        <v>N</v>
      </c>
      <c r="X43" s="192">
        <f t="shared" si="7"/>
        <v>1</v>
      </c>
      <c r="Y43" s="192">
        <f t="shared" si="8"/>
        <v>4.5499999999999999E-2</v>
      </c>
      <c r="Z43" s="192">
        <f t="shared" si="9"/>
        <v>23.331600000000002</v>
      </c>
      <c r="AA43" s="192">
        <f t="shared" si="10"/>
        <v>23.286100000000001</v>
      </c>
      <c r="AB43" s="57" t="e">
        <f>VLOOKUP(A43,Enforcements!$C$7:$K$13,8,0)</f>
        <v>#N/A</v>
      </c>
      <c r="AC43" s="53" t="e">
        <f>VLOOKUP(A43,Enforcements!$C$7:$E$13,3,0)</f>
        <v>#N/A</v>
      </c>
      <c r="AD43" s="54" t="str">
        <f t="shared" si="11"/>
        <v>0131-28</v>
      </c>
      <c r="AE43" s="80" t="str">
        <f t="shared" si="12"/>
        <v>aws s3 cp s3://rtdc.mdm.uploadarchive.raw/RTDC4008/ "%USERPROFILE%\AppData\Local\Temp\OnboardLogs"\RTDC4008\2017-04-28 --exclude "*" --recursive --include "*20170428*" &amp; "%USERPROFILE%\Documents\GitHub\mrs-test-scripts\Headless Mode &amp; Sideloading\WalkAndUnGZ.bat" "%USERPROFILE%\AppData\Local\Temp\OnboardLogs"\RTDC4008\2017-04-28 &amp; aws s3 cp s3://rtdc.mdm.uploadarchive.raw/RTDC4008/ "%USERPROFILE%\AppData\Local\Temp\OnboardLogs"\RTDC4008\2017-04-29 --exclude "*" --recursive --include "*20170429*" &amp; "%USERPROFILE%\Documents\GitHub\mrs-test-scripts\Headless Mode &amp; Sideloading\WalkAndUnGZ.bat" "%USERPROFILE%\AppData\Local\Temp\OnboardLogs"\RTDC4008\2017-04-29</v>
      </c>
      <c r="AF43" s="77" t="str">
        <f t="shared" si="13"/>
        <v>"C:\Program Files (x86)\AstroGrep\AstroGrep.exe" /e /r /s /spath="%USERPROFILE%\AppData\Local\Temp\OnboardLogs" /stypes="app*4008*20170428*" /stext=" 14:.+((SYSTEM_STATE.+slice.+state.+changed )|(ment ac)|(multiple cpu faults)|(system.+state.+changed )|(\[timeout)|(PRM\|1\|D)|(kpr)|(kdp)|(train.+moving)|(\|lc)|(penalty))"</v>
      </c>
      <c r="AG43" s="1" t="str">
        <f t="shared" si="14"/>
        <v>EC</v>
      </c>
      <c r="AH43" s="81" t="str">
        <f t="shared" si="19"/>
        <v>"%USERPROFILE%\Documents\GitHub\eaglep3\Utilities\RefineRTDCRunTimes.py" --tripid 131-28 --locoid 4008 --swversion DE.1.0.9.0 --startMP 204:455 --initTime 2017-04-28T07:22:44 --startdatetime 2017-04-28T07:30:17 --delay 1 --endMP 204:233316 --enddatetime 2017-04-28T08:06:55 --enforcementcount 0 &gt;&gt;C:\Users\stu\Documents\GitHub\eaglep3-reporting\EC\2017-04-28-refined-times.txt</v>
      </c>
      <c r="AI43" s="99" t="str">
        <f t="shared" si="20"/>
        <v>echo {"issue":{"subject":"","project_id":79,"tracker_id":40,"status_id":1,"priority_id":2,"assigned_to_id":23,"start_date":"2017-04-28","description":"","custom_fields":[{"id":1,"name":"Subdivision","value":"EC"},{"id":4,"name":"Milepost","value":"23.3316"},{"id":17,"name":"Train ID","value":"131-28"},{"id":16,"name":"Locomotive ID","value":"4008"},{"id":130,"name":"Impact","value":""},{"id":150,"name":"Time of Event (Mountain Time)","value":"08:06:55"},{"id":151,"name":"Denver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5" t="str">
        <f t="shared" si="21"/>
        <v>start /low /b %USERPROFILE%\Documents\GitHub\eaglep3\Utilities\DownloadLogsFromS3.py --loco 4008 --day 2017-04-28</v>
      </c>
      <c r="AN43" s="154" t="str">
        <f t="shared" si="22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14:06:55"},{"id":29,"name":"Sharepoint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607</v>
      </c>
      <c r="B44" s="7">
        <v>4007</v>
      </c>
      <c r="C44" s="21" t="s">
        <v>211</v>
      </c>
      <c r="D44" s="21" t="s">
        <v>870</v>
      </c>
      <c r="E44" s="13">
        <v>42853.349166666667</v>
      </c>
      <c r="F44" s="13">
        <v>42853.351585648146</v>
      </c>
      <c r="G44" s="7">
        <v>1</v>
      </c>
      <c r="H44" s="21" t="s">
        <v>871</v>
      </c>
      <c r="I44" s="13">
        <v>42853.379432870373</v>
      </c>
      <c r="J44" s="7">
        <v>0</v>
      </c>
      <c r="K44" s="92" t="str">
        <f t="shared" si="0"/>
        <v>4007/4008</v>
      </c>
      <c r="L44" s="21" t="str">
        <f>VLOOKUP(A44,'Trips&amp;Operators'!$C$1:$G$99999,5,FALSE)</f>
        <v>DAVIS WENDY</v>
      </c>
      <c r="M44" s="6">
        <f t="shared" si="1"/>
        <v>2.7847222227137536E-2</v>
      </c>
      <c r="N44" s="7">
        <f t="shared" si="2"/>
        <v>40.100000007078052</v>
      </c>
      <c r="O44" s="7"/>
      <c r="P44" s="7"/>
      <c r="Q44" s="22"/>
      <c r="R44" s="190"/>
      <c r="S44" s="196">
        <f t="shared" si="3"/>
        <v>1</v>
      </c>
      <c r="T44" s="190" t="str">
        <f t="shared" si="4"/>
        <v>Southbound</v>
      </c>
      <c r="U44" s="190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1" t="str">
        <f t="shared" si="5"/>
        <v>https://d0f6bd738d7f1b3e5a7ca70fe4ff75f0.us-east-1.aws.found.io/app/kibana#/discover/Steve-Slow-Train-Analysis-(2080s-and-2083s)?_g=(refreshInterval:(display:Off,pause:!f,section:0,value:0),time:(from:'2017-04-28T07:22:48-0600',mode:absolute,to:'2017-04-28T10:06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44" s="192" t="str">
        <f t="shared" si="6"/>
        <v>N</v>
      </c>
      <c r="X44" s="192">
        <f t="shared" si="7"/>
        <v>1</v>
      </c>
      <c r="Y44" s="192">
        <f t="shared" si="8"/>
        <v>23.299199999999999</v>
      </c>
      <c r="Z44" s="192">
        <f t="shared" si="9"/>
        <v>2.0500000000000001E-2</v>
      </c>
      <c r="AA44" s="192">
        <f t="shared" si="10"/>
        <v>23.278700000000001</v>
      </c>
      <c r="AB44" s="57" t="e">
        <f>VLOOKUP(A44,Enforcements!$C$7:$K$13,8,0)</f>
        <v>#N/A</v>
      </c>
      <c r="AC44" s="53" t="e">
        <f>VLOOKUP(A44,Enforcements!$C$7:$E$13,3,0)</f>
        <v>#N/A</v>
      </c>
      <c r="AD44" s="54" t="str">
        <f t="shared" si="11"/>
        <v>0132-28</v>
      </c>
      <c r="AE44" s="80" t="str">
        <f t="shared" si="12"/>
        <v>aws s3 cp s3://rtdc.mdm.uploadarchive.raw/RTDC4007/ "%USERPROFILE%\AppData\Local\Temp\OnboardLogs"\RTDC4007\2017-04-28 --exclude "*" --recursive --include "*20170428*" &amp; "%USERPROFILE%\Documents\GitHub\mrs-test-scripts\Headless Mode &amp; Sideloading\WalkAndUnGZ.bat" "%USERPROFILE%\AppData\Local\Temp\OnboardLogs"\RTDC4007\2017-04-28 &amp; aws s3 cp s3://rtdc.mdm.uploadarchive.raw/RTDC4007/ "%USERPROFILE%\AppData\Local\Temp\OnboardLogs"\RTDC4007\2017-04-29 --exclude "*" --recursive --include "*20170429*" &amp; "%USERPROFILE%\Documents\GitHub\mrs-test-scripts\Headless Mode &amp; Sideloading\WalkAndUnGZ.bat" "%USERPROFILE%\AppData\Local\Temp\OnboardLogs"\RTDC4007\2017-04-29</v>
      </c>
      <c r="AF44" s="77" t="str">
        <f t="shared" si="13"/>
        <v>"C:\Program Files (x86)\AstroGrep\AstroGrep.exe" /e /r /s /spath="%USERPROFILE%\AppData\Local\Temp\OnboardLogs" /stypes="app*4007*20170428*" /stext=" 15:.+((SYSTEM_STATE.+slice.+state.+changed )|(ment ac)|(multiple cpu faults)|(system.+state.+changed )|(\[timeout)|(PRM\|1\|D)|(kpr)|(kdp)|(train.+moving)|(\|lc)|(penalty))"</v>
      </c>
      <c r="AG44" s="1" t="str">
        <f t="shared" si="14"/>
        <v>EC</v>
      </c>
      <c r="AH44" s="81" t="str">
        <f t="shared" si="19"/>
        <v>"%USERPROFILE%\Documents\GitHub\eaglep3\Utilities\RefineRTDCRunTimes.py" --tripid 132-28 --locoid 4007 --swversion DE.1.0.9.0 --startMP 204:232992 --initTime 2017-04-28T08:22:48 --startdatetime 2017-04-28T08:26:17 --delay 1 --endMP 204:205 --enddatetime 2017-04-28T09:06:23 --enforcementcount 0 &gt;&gt;C:\Users\stu\Documents\GitHub\eaglep3-reporting\EC\2017-04-28-refined-times.txt</v>
      </c>
      <c r="AI44" s="99" t="str">
        <f t="shared" si="20"/>
        <v>echo {"issue":{"subject":"","project_id":79,"tracker_id":40,"status_id":1,"priority_id":2,"assigned_to_id":23,"start_date":"2017-04-28","description":"","custom_fields":[{"id":1,"name":"Subdivision","value":"EC"},{"id":4,"name":"Milepost","value":"0.0205"},{"id":17,"name":"Train ID","value":"132-28"},{"id":16,"name":"Locomotive ID","value":"4007"},{"id":130,"name":"Impact","value":""},{"id":150,"name":"Time of Event (Mountain Time)","value":"09:06:23"},{"id":151,"name":"Denver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5" t="str">
        <f t="shared" si="21"/>
        <v>start /low /b %USERPROFILE%\Documents\GitHub\eaglep3\Utilities\DownloadLogsFromS3.py --loco 4007 --day 2017-04-28</v>
      </c>
      <c r="AN44" s="154" t="str">
        <f t="shared" si="22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15:06:23"},{"id":29,"name":"Sharepoint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692</v>
      </c>
      <c r="B45" s="7">
        <v>4028</v>
      </c>
      <c r="C45" s="21" t="s">
        <v>211</v>
      </c>
      <c r="D45" s="21" t="s">
        <v>478</v>
      </c>
      <c r="E45" s="13">
        <v>42853.319189814814</v>
      </c>
      <c r="F45" s="13">
        <v>42853.323414351849</v>
      </c>
      <c r="G45" s="7">
        <v>1</v>
      </c>
      <c r="H45" s="21" t="s">
        <v>440</v>
      </c>
      <c r="I45" s="13">
        <v>42853.348599537036</v>
      </c>
      <c r="J45" s="7">
        <v>0</v>
      </c>
      <c r="K45" s="92" t="str">
        <f t="shared" si="0"/>
        <v>4027/4028</v>
      </c>
      <c r="L45" s="21" t="str">
        <f>VLOOKUP(A45,'Trips&amp;Operators'!$C$1:$G$99999,5,FALSE)</f>
        <v>MENGES BRAD</v>
      </c>
      <c r="M45" s="6">
        <f t="shared" si="1"/>
        <v>2.5185185186273884E-2</v>
      </c>
      <c r="N45" s="7">
        <f t="shared" ref="N45:N76" si="23">24*60*SUM($M45:$M45)</f>
        <v>36.266666668234393</v>
      </c>
      <c r="O45" s="7"/>
      <c r="P45" s="7"/>
      <c r="Q45" s="22"/>
      <c r="R45" s="190"/>
      <c r="S45" s="196">
        <f t="shared" ref="S45:S76" si="24">SUM(U45:U45)/IF(AG45="EC",12,1)</f>
        <v>1</v>
      </c>
      <c r="T45" s="190" t="str">
        <f t="shared" si="4"/>
        <v>NorthBound</v>
      </c>
      <c r="U45" s="190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1" t="str">
        <f t="shared" si="5"/>
        <v>https://d0f6bd738d7f1b3e5a7ca70fe4ff75f0.us-east-1.aws.found.io/app/kibana#/discover/Steve-Slow-Train-Analysis-(2080s-and-2083s)?_g=(refreshInterval:(display:Off,pause:!f,section:0,value:0),time:(from:'2017-04-28T06:39:38-0600',mode:absolute,to:'2017-04-28T09:21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45" s="192" t="str">
        <f t="shared" si="6"/>
        <v>N</v>
      </c>
      <c r="X45" s="192">
        <f t="shared" si="7"/>
        <v>1</v>
      </c>
      <c r="Y45" s="192">
        <f t="shared" si="8"/>
        <v>4.53E-2</v>
      </c>
      <c r="Z45" s="192">
        <f t="shared" si="9"/>
        <v>23.33</v>
      </c>
      <c r="AA45" s="192">
        <f t="shared" si="10"/>
        <v>23.284699999999997</v>
      </c>
      <c r="AB45" s="57" t="e">
        <f>VLOOKUP(A45,Enforcements!$C$7:$K$13,8,0)</f>
        <v>#N/A</v>
      </c>
      <c r="AC45" s="53" t="e">
        <f>VLOOKUP(A45,Enforcements!$C$7:$E$13,3,0)</f>
        <v>#N/A</v>
      </c>
      <c r="AD45" s="54" t="str">
        <f t="shared" si="11"/>
        <v>0133-28</v>
      </c>
      <c r="AE45" s="80" t="str">
        <f t="shared" si="12"/>
        <v>aws s3 cp s3://rtdc.mdm.uploadarchive.raw/RTDC4028/ "%USERPROFILE%\AppData\Local\Temp\OnboardLogs"\RTDC4028\2017-04-28 --exclude "*" --recursive --include "*20170428*" &amp; "%USERPROFILE%\Documents\GitHub\mrs-test-scripts\Headless Mode &amp; Sideloading\WalkAndUnGZ.bat" "%USERPROFILE%\AppData\Local\Temp\OnboardLogs"\RTDC4028\2017-04-28 &amp; aws s3 cp s3://rtdc.mdm.uploadarchive.raw/RTDC4028/ "%USERPROFILE%\AppData\Local\Temp\OnboardLogs"\RTDC4028\2017-04-29 --exclude "*" --recursive --include "*20170429*" &amp; "%USERPROFILE%\Documents\GitHub\mrs-test-scripts\Headless Mode &amp; Sideloading\WalkAndUnGZ.bat" "%USERPROFILE%\AppData\Local\Temp\OnboardLogs"\RTDC4028\2017-04-29</v>
      </c>
      <c r="AF45" s="77" t="str">
        <f t="shared" si="13"/>
        <v>"C:\Program Files (x86)\AstroGrep\AstroGrep.exe" /e /r /s /spath="%USERPROFILE%\AppData\Local\Temp\OnboardLogs" /stypes="app*4028*20170428*" /stext=" 14:.+((SYSTEM_STATE.+slice.+state.+changed )|(ment ac)|(multiple cpu faults)|(system.+state.+changed )|(\[timeout)|(PRM\|1\|D)|(kpr)|(kdp)|(train.+moving)|(\|lc)|(penalty))"</v>
      </c>
      <c r="AG45" s="1" t="str">
        <f t="shared" si="14"/>
        <v>EC</v>
      </c>
      <c r="AH45" s="81" t="str">
        <f t="shared" si="19"/>
        <v>"%USERPROFILE%\Documents\GitHub\eaglep3\Utilities\RefineRTDCRunTimes.py" --tripid 133-28 --locoid 4028 --swversion DE.1.0.9.0 --startMP 204:453 --initTime 2017-04-28T07:39:38 --startdatetime 2017-04-28T07:45:43 --delay 1 --endMP 204:233300 --enddatetime 2017-04-28T08:21:59 --enforcementcount 0 &gt;&gt;C:\Users\stu\Documents\GitHub\eaglep3-reporting\EC\2017-04-28-refined-times.txt</v>
      </c>
      <c r="AI45" s="99" t="str">
        <f t="shared" si="20"/>
        <v>echo {"issue":{"subject":"","project_id":79,"tracker_id":40,"status_id":1,"priority_id":2,"assigned_to_id":23,"start_date":"2017-04-28","description":"","custom_fields":[{"id":1,"name":"Subdivision","value":"EC"},{"id":4,"name":"Milepost","value":"23.33"},{"id":17,"name":"Train ID","value":"133-28"},{"id":16,"name":"Locomotive ID","value":"4028"},{"id":130,"name":"Impact","value":""},{"id":150,"name":"Time of Event (Mountain Time)","value":"08:21:59"},{"id":151,"name":"Denver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5" t="str">
        <f t="shared" si="21"/>
        <v>start /low /b %USERPROFILE%\Documents\GitHub\eaglep3\Utilities\DownloadLogsFromS3.py --loco 4028 --day 2017-04-28</v>
      </c>
      <c r="AN45" s="154" t="str">
        <f t="shared" si="22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14:21:59"},{"id":29,"name":"Sharepoint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700</v>
      </c>
      <c r="B46" s="7">
        <v>4027</v>
      </c>
      <c r="C46" s="21" t="s">
        <v>211</v>
      </c>
      <c r="D46" s="21" t="s">
        <v>872</v>
      </c>
      <c r="E46" s="13">
        <v>42853.356203703705</v>
      </c>
      <c r="F46" s="13">
        <v>42853.36209490741</v>
      </c>
      <c r="G46" s="7">
        <v>2</v>
      </c>
      <c r="H46" s="21" t="s">
        <v>462</v>
      </c>
      <c r="I46" s="13">
        <v>42853.38921296296</v>
      </c>
      <c r="J46" s="7">
        <v>0</v>
      </c>
      <c r="K46" s="92" t="str">
        <f t="shared" si="0"/>
        <v>4027/4028</v>
      </c>
      <c r="L46" s="21" t="str">
        <f>VLOOKUP(A46,'Trips&amp;Operators'!$C$1:$G$99999,5,FALSE)</f>
        <v>MENGES BRAD</v>
      </c>
      <c r="M46" s="6">
        <f t="shared" si="1"/>
        <v>2.7118055550090503E-2</v>
      </c>
      <c r="N46" s="7">
        <f t="shared" si="23"/>
        <v>39.049999992130324</v>
      </c>
      <c r="O46" s="7"/>
      <c r="P46" s="7"/>
      <c r="Q46" s="22"/>
      <c r="R46" s="190"/>
      <c r="S46" s="196">
        <f t="shared" si="24"/>
        <v>1</v>
      </c>
      <c r="T46" s="190" t="str">
        <f t="shared" si="4"/>
        <v>Southbound</v>
      </c>
      <c r="U46" s="190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1" t="str">
        <f t="shared" si="5"/>
        <v>https://d0f6bd738d7f1b3e5a7ca70fe4ff75f0.us-east-1.aws.found.io/app/kibana#/discover/Steve-Slow-Train-Analysis-(2080s-and-2083s)?_g=(refreshInterval:(display:Off,pause:!f,section:0,value:0),time:(from:'2017-04-28T07:32:56-0600',mode:absolute,to:'2017-04-28T10:20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46" s="192" t="str">
        <f t="shared" si="6"/>
        <v>N</v>
      </c>
      <c r="X46" s="192">
        <f t="shared" si="7"/>
        <v>1</v>
      </c>
      <c r="Y46" s="192">
        <f t="shared" si="8"/>
        <v>23.298100000000002</v>
      </c>
      <c r="Z46" s="192">
        <f t="shared" si="9"/>
        <v>1.5599999999999999E-2</v>
      </c>
      <c r="AA46" s="192">
        <f t="shared" si="10"/>
        <v>23.282500000000002</v>
      </c>
      <c r="AB46" s="57" t="e">
        <f>VLOOKUP(A46,Enforcements!$C$7:$K$13,8,0)</f>
        <v>#N/A</v>
      </c>
      <c r="AC46" s="53" t="e">
        <f>VLOOKUP(A46,Enforcements!$C$7:$E$13,3,0)</f>
        <v>#N/A</v>
      </c>
      <c r="AD46" s="54" t="str">
        <f t="shared" si="11"/>
        <v>0134-28</v>
      </c>
      <c r="AE46" s="80" t="str">
        <f t="shared" si="12"/>
        <v>aws s3 cp s3://rtdc.mdm.uploadarchive.raw/RTDC4027/ "%USERPROFILE%\AppData\Local\Temp\OnboardLogs"\RTDC4027\2017-04-28 --exclude "*" --recursive --include "*20170428*" &amp; "%USERPROFILE%\Documents\GitHub\mrs-test-scripts\Headless Mode &amp; Sideloading\WalkAndUnGZ.bat" "%USERPROFILE%\AppData\Local\Temp\OnboardLogs"\RTDC4027\2017-04-28 &amp; aws s3 cp s3://rtdc.mdm.uploadarchive.raw/RTDC4027/ "%USERPROFILE%\AppData\Local\Temp\OnboardLogs"\RTDC4027\2017-04-29 --exclude "*" --recursive --include "*20170429*" &amp; "%USERPROFILE%\Documents\GitHub\mrs-test-scripts\Headless Mode &amp; Sideloading\WalkAndUnGZ.bat" "%USERPROFILE%\AppData\Local\Temp\OnboardLogs"\RTDC4027\2017-04-29</v>
      </c>
      <c r="AF46" s="77" t="str">
        <f t="shared" si="13"/>
        <v>"C:\Program Files (x86)\AstroGrep\AstroGrep.exe" /e /r /s /spath="%USERPROFILE%\AppData\Local\Temp\OnboardLogs" /stypes="app*4027*20170428*" /stext=" 15:.+((SYSTEM_STATE.+slice.+state.+changed )|(ment ac)|(multiple cpu faults)|(system.+state.+changed )|(\[timeout)|(PRM\|1\|D)|(kpr)|(kdp)|(train.+moving)|(\|lc)|(penalty))"</v>
      </c>
      <c r="AG46" s="1" t="str">
        <f t="shared" si="14"/>
        <v>EC</v>
      </c>
      <c r="AH46" s="81" t="str">
        <f t="shared" si="19"/>
        <v>"%USERPROFILE%\Documents\GitHub\eaglep3\Utilities\RefineRTDCRunTimes.py" --tripid 134-28 --locoid 4027 --swversion DE.1.0.9.0 --startMP 204:232981 --initTime 2017-04-28T08:32:56 --startdatetime 2017-04-28T08:41:25 --delay 2 --endMP 204:156 --enddatetime 2017-04-28T09:20:28 --enforcementcount 0 &gt;&gt;C:\Users\stu\Documents\GitHub\eaglep3-reporting\EC\2017-04-28-refined-times.txt</v>
      </c>
      <c r="AI46" s="99" t="str">
        <f t="shared" si="20"/>
        <v>echo {"issue":{"subject":"","project_id":79,"tracker_id":40,"status_id":1,"priority_id":2,"assigned_to_id":23,"start_date":"2017-04-28","description":"","custom_fields":[{"id":1,"name":"Subdivision","value":"EC"},{"id":4,"name":"Milepost","value":"0.0156"},{"id":17,"name":"Train ID","value":"134-28"},{"id":16,"name":"Locomotive ID","value":"4027"},{"id":130,"name":"Impact","value":""},{"id":150,"name":"Time of Event (Mountain Time)","value":"09:20:28"},{"id":151,"name":"Denver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5" t="str">
        <f t="shared" si="21"/>
        <v>start /low /b %USERPROFILE%\Documents\GitHub\eaglep3\Utilities\DownloadLogsFromS3.py --loco 4027 --day 2017-04-28</v>
      </c>
      <c r="AN46" s="154" t="str">
        <f t="shared" si="22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15:20:28"},{"id":29,"name":"Sharepoint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602</v>
      </c>
      <c r="B47" s="7">
        <v>4064</v>
      </c>
      <c r="C47" s="21" t="s">
        <v>211</v>
      </c>
      <c r="D47" s="21" t="s">
        <v>207</v>
      </c>
      <c r="E47" s="13">
        <v>42853.329282407409</v>
      </c>
      <c r="F47" s="13">
        <v>42853.333495370367</v>
      </c>
      <c r="G47" s="7">
        <v>1</v>
      </c>
      <c r="H47" s="21" t="s">
        <v>433</v>
      </c>
      <c r="I47" s="13">
        <v>42853.358668981484</v>
      </c>
      <c r="J47" s="7">
        <v>0</v>
      </c>
      <c r="K47" s="92" t="str">
        <f t="shared" si="0"/>
        <v>4063/4064</v>
      </c>
      <c r="L47" s="21" t="str">
        <f>VLOOKUP(A47,'Trips&amp;Operators'!$C$1:$G$99999,5,FALSE)</f>
        <v>STARKS ANGELINA</v>
      </c>
      <c r="M47" s="6">
        <f t="shared" si="1"/>
        <v>2.5173611116770189E-2</v>
      </c>
      <c r="N47" s="7">
        <f t="shared" si="23"/>
        <v>36.250000008149073</v>
      </c>
      <c r="O47" s="7"/>
      <c r="P47" s="7"/>
      <c r="Q47" s="22"/>
      <c r="R47" s="190"/>
      <c r="S47" s="196">
        <f t="shared" si="24"/>
        <v>1</v>
      </c>
      <c r="T47" s="190" t="str">
        <f t="shared" si="4"/>
        <v>NorthBound</v>
      </c>
      <c r="U47" s="190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1" t="str">
        <f t="shared" si="5"/>
        <v>https://d0f6bd738d7f1b3e5a7ca70fe4ff75f0.us-east-1.aws.found.io/app/kibana#/discover/Steve-Slow-Train-Analysis-(2080s-and-2083s)?_g=(refreshInterval:(display:Off,pause:!f,section:0,value:0),time:(from:'2017-04-28T06:54:10-0600',mode:absolute,to:'2017-04-28T09:36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47" s="192" t="str">
        <f t="shared" si="6"/>
        <v>N</v>
      </c>
      <c r="X47" s="192">
        <f t="shared" si="7"/>
        <v>1</v>
      </c>
      <c r="Y47" s="192">
        <f t="shared" si="8"/>
        <v>4.5499999999999999E-2</v>
      </c>
      <c r="Z47" s="192">
        <f t="shared" si="9"/>
        <v>23.331399999999999</v>
      </c>
      <c r="AA47" s="192">
        <f t="shared" si="10"/>
        <v>23.285899999999998</v>
      </c>
      <c r="AB47" s="57" t="e">
        <f>VLOOKUP(A47,Enforcements!$C$7:$K$13,8,0)</f>
        <v>#N/A</v>
      </c>
      <c r="AC47" s="53" t="e">
        <f>VLOOKUP(A47,Enforcements!$C$7:$E$13,3,0)</f>
        <v>#N/A</v>
      </c>
      <c r="AD47" s="54" t="str">
        <f t="shared" si="11"/>
        <v>0135-28</v>
      </c>
      <c r="AE47" s="80" t="str">
        <f t="shared" si="12"/>
        <v>aws s3 cp s3://rtdc.mdm.uploadarchive.raw/RTDC4064/ "%USERPROFILE%\AppData\Local\Temp\OnboardLogs"\RTDC4064\2017-04-28 --exclude "*" --recursive --include "*20170428*" &amp; "%USERPROFILE%\Documents\GitHub\mrs-test-scripts\Headless Mode &amp; Sideloading\WalkAndUnGZ.bat" "%USERPROFILE%\AppData\Local\Temp\OnboardLogs"\RTDC4064\2017-04-28 &amp; aws s3 cp s3://rtdc.mdm.uploadarchive.raw/RTDC4064/ "%USERPROFILE%\AppData\Local\Temp\OnboardLogs"\RTDC4064\2017-04-29 --exclude "*" --recursive --include "*20170429*" &amp; "%USERPROFILE%\Documents\GitHub\mrs-test-scripts\Headless Mode &amp; Sideloading\WalkAndUnGZ.bat" "%USERPROFILE%\AppData\Local\Temp\OnboardLogs"\RTDC4064\2017-04-29</v>
      </c>
      <c r="AF47" s="77" t="str">
        <f t="shared" si="13"/>
        <v>"C:\Program Files (x86)\AstroGrep\AstroGrep.exe" /e /r /s /spath="%USERPROFILE%\AppData\Local\Temp\OnboardLogs" /stypes="app*4064*20170428*" /stext=" 14:.+((SYSTEM_STATE.+slice.+state.+changed )|(ment ac)|(multiple cpu faults)|(system.+state.+changed )|(\[timeout)|(PRM\|1\|D)|(kpr)|(kdp)|(train.+moving)|(\|lc)|(penalty))"</v>
      </c>
      <c r="AG47" s="1" t="str">
        <f t="shared" si="14"/>
        <v>EC</v>
      </c>
      <c r="AH47" s="81" t="str">
        <f t="shared" si="19"/>
        <v>"%USERPROFILE%\Documents\GitHub\eaglep3\Utilities\RefineRTDCRunTimes.py" --tripid 135-28 --locoid 4064 --swversion DE.1.0.9.0 --startMP 204:455 --initTime 2017-04-28T07:54:10 --startdatetime 2017-04-28T08:00:14 --delay 1 --endMP 204:233314 --enddatetime 2017-04-28T08:36:29 --enforcementcount 0 &gt;&gt;C:\Users\stu\Documents\GitHub\eaglep3-reporting\EC\2017-04-28-refined-times.txt</v>
      </c>
      <c r="AI47" s="99" t="str">
        <f t="shared" si="20"/>
        <v>echo {"issue":{"subject":"","project_id":79,"tracker_id":40,"status_id":1,"priority_id":2,"assigned_to_id":23,"start_date":"2017-04-28","description":"","custom_fields":[{"id":1,"name":"Subdivision","value":"EC"},{"id":4,"name":"Milepost","value":"23.3314"},{"id":17,"name":"Train ID","value":"135-28"},{"id":16,"name":"Locomotive ID","value":"4064"},{"id":130,"name":"Impact","value":""},{"id":150,"name":"Time of Event (Mountain Time)","value":"08:36:29"},{"id":151,"name":"Denver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5" t="str">
        <f t="shared" si="21"/>
        <v>start /low /b %USERPROFILE%\Documents\GitHub\eaglep3\Utilities\DownloadLogsFromS3.py --loco 4064 --day 2017-04-28</v>
      </c>
      <c r="AN47" s="154" t="str">
        <f t="shared" si="22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14:36:29"},{"id":29,"name":"Sharepoint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702</v>
      </c>
      <c r="B48" s="7">
        <v>4063</v>
      </c>
      <c r="C48" s="21" t="s">
        <v>211</v>
      </c>
      <c r="D48" s="21" t="s">
        <v>482</v>
      </c>
      <c r="E48" s="13">
        <v>42853.369641203702</v>
      </c>
      <c r="F48" s="13">
        <v>42853.372418981482</v>
      </c>
      <c r="G48" s="7">
        <v>1</v>
      </c>
      <c r="H48" s="21" t="s">
        <v>410</v>
      </c>
      <c r="I48" s="13">
        <v>42853.399155092593</v>
      </c>
      <c r="J48" s="7">
        <v>0</v>
      </c>
      <c r="K48" s="92" t="str">
        <f t="shared" si="0"/>
        <v>4063/4064</v>
      </c>
      <c r="L48" s="21" t="str">
        <f>VLOOKUP(A48,'Trips&amp;Operators'!$C$1:$G$99999,5,FALSE)</f>
        <v>STARKS ANGELINA</v>
      </c>
      <c r="M48" s="6">
        <f t="shared" si="1"/>
        <v>2.6736111110949423E-2</v>
      </c>
      <c r="N48" s="7">
        <f t="shared" si="23"/>
        <v>38.499999999767169</v>
      </c>
      <c r="O48" s="7"/>
      <c r="P48" s="7"/>
      <c r="Q48" s="22"/>
      <c r="R48" s="190"/>
      <c r="S48" s="196">
        <f t="shared" si="24"/>
        <v>1</v>
      </c>
      <c r="T48" s="190" t="str">
        <f t="shared" si="4"/>
        <v>Southbound</v>
      </c>
      <c r="U48" s="190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1" t="str">
        <f t="shared" si="5"/>
        <v>https://d0f6bd738d7f1b3e5a7ca70fe4ff75f0.us-east-1.aws.found.io/app/kibana#/discover/Steve-Slow-Train-Analysis-(2080s-and-2083s)?_g=(refreshInterval:(display:Off,pause:!f,section:0,value:0),time:(from:'2017-04-28T07:52:17-0600',mode:absolute,to:'2017-04-28T10:34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48" s="192" t="str">
        <f t="shared" si="6"/>
        <v>N</v>
      </c>
      <c r="X48" s="192">
        <f t="shared" si="7"/>
        <v>1</v>
      </c>
      <c r="Y48" s="192">
        <f t="shared" si="8"/>
        <v>23.297799999999999</v>
      </c>
      <c r="Z48" s="192">
        <f t="shared" si="9"/>
        <v>1.49E-2</v>
      </c>
      <c r="AA48" s="192">
        <f t="shared" si="10"/>
        <v>23.282899999999998</v>
      </c>
      <c r="AB48" s="57" t="e">
        <f>VLOOKUP(A48,Enforcements!$C$7:$K$13,8,0)</f>
        <v>#N/A</v>
      </c>
      <c r="AC48" s="53" t="e">
        <f>VLOOKUP(A48,Enforcements!$C$7:$E$13,3,0)</f>
        <v>#N/A</v>
      </c>
      <c r="AD48" s="54" t="str">
        <f t="shared" si="11"/>
        <v>0136-28</v>
      </c>
      <c r="AE48" s="80" t="str">
        <f t="shared" si="12"/>
        <v>aws s3 cp s3://rtdc.mdm.uploadarchive.raw/RTDC4063/ "%USERPROFILE%\AppData\Local\Temp\OnboardLogs"\RTDC4063\2017-04-28 --exclude "*" --recursive --include "*20170428*" &amp; "%USERPROFILE%\Documents\GitHub\mrs-test-scripts\Headless Mode &amp; Sideloading\WalkAndUnGZ.bat" "%USERPROFILE%\AppData\Local\Temp\OnboardLogs"\RTDC4063\2017-04-28 &amp; aws s3 cp s3://rtdc.mdm.uploadarchive.raw/RTDC4063/ "%USERPROFILE%\AppData\Local\Temp\OnboardLogs"\RTDC4063\2017-04-29 --exclude "*" --recursive --include "*20170429*" &amp; "%USERPROFILE%\Documents\GitHub\mrs-test-scripts\Headless Mode &amp; Sideloading\WalkAndUnGZ.bat" "%USERPROFILE%\AppData\Local\Temp\OnboardLogs"\RTDC4063\2017-04-29</v>
      </c>
      <c r="AF48" s="77" t="str">
        <f t="shared" si="13"/>
        <v>"C:\Program Files (x86)\AstroGrep\AstroGrep.exe" /e /r /s /spath="%USERPROFILE%\AppData\Local\Temp\OnboardLogs" /stypes="app*4063*20170428*" /stext=" 15:.+((SYSTEM_STATE.+slice.+state.+changed )|(ment ac)|(multiple cpu faults)|(system.+state.+changed )|(\[timeout)|(PRM\|1\|D)|(kpr)|(kdp)|(train.+moving)|(\|lc)|(penalty))"</v>
      </c>
      <c r="AG48" s="1" t="str">
        <f t="shared" si="14"/>
        <v>EC</v>
      </c>
      <c r="AH48" s="81" t="str">
        <f t="shared" si="19"/>
        <v>"%USERPROFILE%\Documents\GitHub\eaglep3\Utilities\RefineRTDCRunTimes.py" --tripid 136-28 --locoid 4063 --swversion DE.1.0.9.0 --startMP 204:232978 --initTime 2017-04-28T08:52:17 --startdatetime 2017-04-28T08:56:17 --delay 1 --endMP 204:149 --enddatetime 2017-04-28T09:34:47 --enforcementcount 0 &gt;&gt;C:\Users\stu\Documents\GitHub\eaglep3-reporting\EC\2017-04-28-refined-times.txt</v>
      </c>
      <c r="AI48" s="99" t="str">
        <f t="shared" si="20"/>
        <v>echo {"issue":{"subject":"","project_id":79,"tracker_id":40,"status_id":1,"priority_id":2,"assigned_to_id":23,"start_date":"2017-04-28","description":"","custom_fields":[{"id":1,"name":"Subdivision","value":"EC"},{"id":4,"name":"Milepost","value":"0.0149"},{"id":17,"name":"Train ID","value":"136-28"},{"id":16,"name":"Locomotive ID","value":"4063"},{"id":130,"name":"Impact","value":""},{"id":150,"name":"Time of Event (Mountain Time)","value":"09:34:47"},{"id":151,"name":"Denver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5" t="str">
        <f t="shared" si="21"/>
        <v>start /low /b %USERPROFILE%\Documents\GitHub\eaglep3\Utilities\DownloadLogsFromS3.py --loco 4063 --day 2017-04-28</v>
      </c>
      <c r="AN48" s="154" t="str">
        <f t="shared" si="22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15:34:47"},{"id":29,"name":"Sharepoint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697</v>
      </c>
      <c r="B49" s="7">
        <v>4022</v>
      </c>
      <c r="C49" s="21" t="s">
        <v>211</v>
      </c>
      <c r="D49" s="21" t="s">
        <v>868</v>
      </c>
      <c r="E49" s="13">
        <v>42853.339583333334</v>
      </c>
      <c r="F49" s="13">
        <v>42853.3440625</v>
      </c>
      <c r="G49" s="7">
        <v>1</v>
      </c>
      <c r="H49" s="21" t="s">
        <v>553</v>
      </c>
      <c r="I49" s="13">
        <v>42853.368773148148</v>
      </c>
      <c r="J49" s="7">
        <v>0</v>
      </c>
      <c r="K49" s="92" t="str">
        <f t="shared" si="0"/>
        <v>4021/4022</v>
      </c>
      <c r="L49" s="21" t="str">
        <f>VLOOKUP(A49,'Trips&amp;Operators'!$C$1:$G$99999,5,FALSE)</f>
        <v>LOZA FIDEL</v>
      </c>
      <c r="M49" s="6">
        <f t="shared" si="1"/>
        <v>2.47106481474475E-2</v>
      </c>
      <c r="N49" s="7">
        <f t="shared" si="23"/>
        <v>35.583333332324401</v>
      </c>
      <c r="O49" s="7"/>
      <c r="P49" s="7"/>
      <c r="Q49" s="22"/>
      <c r="R49" s="190"/>
      <c r="S49" s="196">
        <f t="shared" si="24"/>
        <v>1</v>
      </c>
      <c r="T49" s="190" t="str">
        <f t="shared" si="4"/>
        <v>NorthBound</v>
      </c>
      <c r="U49" s="190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1" t="str">
        <f t="shared" si="5"/>
        <v>https://d0f6bd738d7f1b3e5a7ca70fe4ff75f0.us-east-1.aws.found.io/app/kibana#/discover/Steve-Slow-Train-Analysis-(2080s-and-2083s)?_g=(refreshInterval:(display:Off,pause:!f,section:0,value:0),time:(from:'2017-04-28T07:09:00-0600',mode:absolute,to:'2017-04-28T09:51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49" s="192" t="str">
        <f t="shared" si="6"/>
        <v>N</v>
      </c>
      <c r="X49" s="192">
        <f t="shared" si="7"/>
        <v>1</v>
      </c>
      <c r="Y49" s="192">
        <f t="shared" si="8"/>
        <v>4.4200000000000003E-2</v>
      </c>
      <c r="Z49" s="192">
        <f t="shared" si="9"/>
        <v>23.332100000000001</v>
      </c>
      <c r="AA49" s="192">
        <f t="shared" si="10"/>
        <v>23.2879</v>
      </c>
      <c r="AB49" s="57" t="e">
        <f>VLOOKUP(A49,Enforcements!$C$7:$K$13,8,0)</f>
        <v>#N/A</v>
      </c>
      <c r="AC49" s="53" t="e">
        <f>VLOOKUP(A49,Enforcements!$C$7:$E$13,3,0)</f>
        <v>#N/A</v>
      </c>
      <c r="AD49" s="54" t="str">
        <f t="shared" si="11"/>
        <v>0137-28</v>
      </c>
      <c r="AE49" s="80" t="str">
        <f t="shared" si="12"/>
        <v>aws s3 cp s3://rtdc.mdm.uploadarchive.raw/RTDC4022/ "%USERPROFILE%\AppData\Local\Temp\OnboardLogs"\RTDC4022\2017-04-28 --exclude "*" --recursive --include "*20170428*" &amp; "%USERPROFILE%\Documents\GitHub\mrs-test-scripts\Headless Mode &amp; Sideloading\WalkAndUnGZ.bat" "%USERPROFILE%\AppData\Local\Temp\OnboardLogs"\RTDC4022\2017-04-28 &amp; aws s3 cp s3://rtdc.mdm.uploadarchive.raw/RTDC4022/ "%USERPROFILE%\AppData\Local\Temp\OnboardLogs"\RTDC4022\2017-04-29 --exclude "*" --recursive --include "*20170429*" &amp; "%USERPROFILE%\Documents\GitHub\mrs-test-scripts\Headless Mode &amp; Sideloading\WalkAndUnGZ.bat" "%USERPROFILE%\AppData\Local\Temp\OnboardLogs"\RTDC4022\2017-04-29</v>
      </c>
      <c r="AF49" s="77" t="str">
        <f t="shared" si="13"/>
        <v>"C:\Program Files (x86)\AstroGrep\AstroGrep.exe" /e /r /s /spath="%USERPROFILE%\AppData\Local\Temp\OnboardLogs" /stypes="app*4022*20170428*" /stext=" 14:.+((SYSTEM_STATE.+slice.+state.+changed )|(ment ac)|(multiple cpu faults)|(system.+state.+changed )|(\[timeout)|(PRM\|1\|D)|(kpr)|(kdp)|(train.+moving)|(\|lc)|(penalty))"</v>
      </c>
      <c r="AG49" s="1" t="str">
        <f t="shared" si="14"/>
        <v>EC</v>
      </c>
      <c r="AH49" s="81" t="str">
        <f t="shared" si="19"/>
        <v>"%USERPROFILE%\Documents\GitHub\eaglep3\Utilities\RefineRTDCRunTimes.py" --tripid 137-28 --locoid 4022 --swversion DE.1.0.9.0 --startMP 204:442 --initTime 2017-04-28T08:09:00 --startdatetime 2017-04-28T08:15:27 --delay 1 --endMP 204:233321 --enddatetime 2017-04-28T08:51:02 --enforcementcount 0 &gt;&gt;C:\Users\stu\Documents\GitHub\eaglep3-reporting\EC\2017-04-28-refined-times.txt</v>
      </c>
      <c r="AI49" s="99" t="str">
        <f t="shared" si="20"/>
        <v>echo {"issue":{"subject":"","project_id":79,"tracker_id":40,"status_id":1,"priority_id":2,"assigned_to_id":23,"start_date":"2017-04-28","description":"","custom_fields":[{"id":1,"name":"Subdivision","value":"EC"},{"id":4,"name":"Milepost","value":"23.3321"},{"id":17,"name":"Train ID","value":"137-28"},{"id":16,"name":"Locomotive ID","value":"4022"},{"id":130,"name":"Impact","value":""},{"id":150,"name":"Time of Event (Mountain Time)","value":"08:51:02"},{"id":151,"name":"Denver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5" t="str">
        <f t="shared" si="21"/>
        <v>start /low /b %USERPROFILE%\Documents\GitHub\eaglep3\Utilities\DownloadLogsFromS3.py --loco 4022 --day 2017-04-28</v>
      </c>
      <c r="AN49" s="154" t="str">
        <f t="shared" si="22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14:51:02"},{"id":29,"name":"Sharepoint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704</v>
      </c>
      <c r="B50" s="7">
        <v>4021</v>
      </c>
      <c r="C50" s="21" t="s">
        <v>211</v>
      </c>
      <c r="D50" s="21" t="s">
        <v>465</v>
      </c>
      <c r="E50" s="13">
        <v>42853.376446759263</v>
      </c>
      <c r="F50" s="13">
        <v>42853.383113425924</v>
      </c>
      <c r="G50" s="7">
        <v>1</v>
      </c>
      <c r="H50" s="21" t="s">
        <v>556</v>
      </c>
      <c r="I50" s="13">
        <v>42853.409641203703</v>
      </c>
      <c r="J50" s="7">
        <v>0</v>
      </c>
      <c r="K50" s="92" t="str">
        <f t="shared" si="0"/>
        <v>4021/4022</v>
      </c>
      <c r="L50" s="21" t="str">
        <f>VLOOKUP(A50,'Trips&amp;Operators'!$C$1:$G$99999,5,FALSE)</f>
        <v>LOZA FIDEL</v>
      </c>
      <c r="M50" s="6">
        <f t="shared" si="1"/>
        <v>2.6527777779847383E-2</v>
      </c>
      <c r="N50" s="7">
        <f t="shared" si="23"/>
        <v>38.200000002980232</v>
      </c>
      <c r="O50" s="7"/>
      <c r="P50" s="7"/>
      <c r="Q50" s="22"/>
      <c r="R50" s="190"/>
      <c r="S50" s="196">
        <f t="shared" si="24"/>
        <v>1</v>
      </c>
      <c r="T50" s="190" t="str">
        <f t="shared" si="4"/>
        <v>Southbound</v>
      </c>
      <c r="U50" s="190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1" t="str">
        <f t="shared" si="5"/>
        <v>https://d0f6bd738d7f1b3e5a7ca70fe4ff75f0.us-east-1.aws.found.io/app/kibana#/discover/Steve-Slow-Train-Analysis-(2080s-and-2083s)?_g=(refreshInterval:(display:Off,pause:!f,section:0,value:0),time:(from:'2017-04-28T08:02:05-0600',mode:absolute,to:'2017-04-28T10:49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50" s="192" t="str">
        <f t="shared" si="6"/>
        <v>N</v>
      </c>
      <c r="X50" s="192">
        <f t="shared" si="7"/>
        <v>1</v>
      </c>
      <c r="Y50" s="192">
        <f t="shared" si="8"/>
        <v>23.299800000000001</v>
      </c>
      <c r="Z50" s="192">
        <f t="shared" si="9"/>
        <v>1.3599999999999999E-2</v>
      </c>
      <c r="AA50" s="192">
        <f t="shared" si="10"/>
        <v>23.286200000000001</v>
      </c>
      <c r="AB50" s="57" t="e">
        <f>VLOOKUP(A50,Enforcements!$C$7:$K$13,8,0)</f>
        <v>#N/A</v>
      </c>
      <c r="AC50" s="53" t="e">
        <f>VLOOKUP(A50,Enforcements!$C$7:$E$13,3,0)</f>
        <v>#N/A</v>
      </c>
      <c r="AD50" s="54" t="str">
        <f t="shared" si="11"/>
        <v>0138-28</v>
      </c>
      <c r="AE50" s="80" t="str">
        <f t="shared" si="12"/>
        <v>aws s3 cp s3://rtdc.mdm.uploadarchive.raw/RTDC4021/ "%USERPROFILE%\AppData\Local\Temp\OnboardLogs"\RTDC4021\2017-04-28 --exclude "*" --recursive --include "*20170428*" &amp; "%USERPROFILE%\Documents\GitHub\mrs-test-scripts\Headless Mode &amp; Sideloading\WalkAndUnGZ.bat" "%USERPROFILE%\AppData\Local\Temp\OnboardLogs"\RTDC4021\2017-04-28 &amp; aws s3 cp s3://rtdc.mdm.uploadarchive.raw/RTDC4021/ "%USERPROFILE%\AppData\Local\Temp\OnboardLogs"\RTDC4021\2017-04-29 --exclude "*" --recursive --include "*20170429*" &amp; "%USERPROFILE%\Documents\GitHub\mrs-test-scripts\Headless Mode &amp; Sideloading\WalkAndUnGZ.bat" "%USERPROFILE%\AppData\Local\Temp\OnboardLogs"\RTDC4021\2017-04-29</v>
      </c>
      <c r="AF50" s="77" t="str">
        <f t="shared" si="13"/>
        <v>"C:\Program Files (x86)\AstroGrep\AstroGrep.exe" /e /r /s /spath="%USERPROFILE%\AppData\Local\Temp\OnboardLogs" /stypes="app*4021*20170428*" /stext=" 15:.+((SYSTEM_STATE.+slice.+state.+changed )|(ment ac)|(multiple cpu faults)|(system.+state.+changed )|(\[timeout)|(PRM\|1\|D)|(kpr)|(kdp)|(train.+moving)|(\|lc)|(penalty))"</v>
      </c>
      <c r="AG50" s="1" t="str">
        <f t="shared" si="14"/>
        <v>EC</v>
      </c>
      <c r="AH50" s="81" t="str">
        <f t="shared" si="19"/>
        <v>"%USERPROFILE%\Documents\GitHub\eaglep3\Utilities\RefineRTDCRunTimes.py" --tripid 138-28 --locoid 4021 --swversion DE.1.0.9.0 --startMP 204:232998 --initTime 2017-04-28T09:02:05 --startdatetime 2017-04-28T09:11:41 --delay 1 --endMP 204:136 --enddatetime 2017-04-28T09:49:53 --enforcementcount 0 &gt;&gt;C:\Users\stu\Documents\GitHub\eaglep3-reporting\EC\2017-04-28-refined-times.txt</v>
      </c>
      <c r="AI50" s="99" t="str">
        <f t="shared" si="20"/>
        <v>echo {"issue":{"subject":"","project_id":79,"tracker_id":40,"status_id":1,"priority_id":2,"assigned_to_id":23,"start_date":"2017-04-28","description":"","custom_fields":[{"id":1,"name":"Subdivision","value":"EC"},{"id":4,"name":"Milepost","value":"0.0136"},{"id":17,"name":"Train ID","value":"138-28"},{"id":16,"name":"Locomotive ID","value":"4021"},{"id":130,"name":"Impact","value":""},{"id":150,"name":"Time of Event (Mountain Time)","value":"09:49:53"},{"id":151,"name":"Denver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5" t="str">
        <f t="shared" si="21"/>
        <v>start /low /b %USERPROFILE%\Documents\GitHub\eaglep3\Utilities\DownloadLogsFromS3.py --loco 4021 --day 2017-04-28</v>
      </c>
      <c r="AN50" s="154" t="str">
        <f t="shared" si="22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15:49:53"},{"id":29,"name":"Sharepoint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698</v>
      </c>
      <c r="B51" s="7">
        <v>4042</v>
      </c>
      <c r="C51" s="21" t="s">
        <v>211</v>
      </c>
      <c r="D51" s="21" t="s">
        <v>382</v>
      </c>
      <c r="E51" s="13">
        <v>42853.34951388889</v>
      </c>
      <c r="F51" s="13">
        <v>42853.354398148149</v>
      </c>
      <c r="G51" s="7">
        <v>1</v>
      </c>
      <c r="H51" s="21" t="s">
        <v>435</v>
      </c>
      <c r="I51" s="13">
        <v>42853.379421296297</v>
      </c>
      <c r="J51" s="7">
        <v>0</v>
      </c>
      <c r="K51" s="92" t="str">
        <f t="shared" si="0"/>
        <v>4041/4042</v>
      </c>
      <c r="L51" s="21" t="str">
        <f>VLOOKUP(A51,'Trips&amp;Operators'!$C$1:$G$99999,5,FALSE)</f>
        <v>BIRENBAUM THOMAS</v>
      </c>
      <c r="M51" s="6">
        <f t="shared" si="1"/>
        <v>2.5023148147738539E-2</v>
      </c>
      <c r="N51" s="7">
        <f t="shared" si="23"/>
        <v>36.033333332743496</v>
      </c>
      <c r="O51" s="7"/>
      <c r="P51" s="7"/>
      <c r="Q51" s="22"/>
      <c r="R51" s="190"/>
      <c r="S51" s="196">
        <f t="shared" si="24"/>
        <v>1</v>
      </c>
      <c r="T51" s="190" t="str">
        <f t="shared" si="4"/>
        <v>NorthBound</v>
      </c>
      <c r="U51" s="190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1" t="str">
        <f t="shared" si="5"/>
        <v>https://d0f6bd738d7f1b3e5a7ca70fe4ff75f0.us-east-1.aws.found.io/app/kibana#/discover/Steve-Slow-Train-Analysis-(2080s-and-2083s)?_g=(refreshInterval:(display:Off,pause:!f,section:0,value:0),time:(from:'2017-04-28T07:23:18-0600',mode:absolute,to:'2017-04-28T10:06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51" s="192" t="str">
        <f t="shared" si="6"/>
        <v>N</v>
      </c>
      <c r="X51" s="192">
        <f t="shared" si="7"/>
        <v>1</v>
      </c>
      <c r="Y51" s="192">
        <f t="shared" si="8"/>
        <v>4.6199999999999998E-2</v>
      </c>
      <c r="Z51" s="192">
        <f t="shared" si="9"/>
        <v>23.328900000000001</v>
      </c>
      <c r="AA51" s="192">
        <f t="shared" si="10"/>
        <v>23.282700000000002</v>
      </c>
      <c r="AB51" s="57" t="e">
        <f>VLOOKUP(A51,Enforcements!$C$7:$K$13,8,0)</f>
        <v>#N/A</v>
      </c>
      <c r="AC51" s="53" t="e">
        <f>VLOOKUP(A51,Enforcements!$C$7:$E$13,3,0)</f>
        <v>#N/A</v>
      </c>
      <c r="AD51" s="54" t="str">
        <f t="shared" si="11"/>
        <v>0139-28</v>
      </c>
      <c r="AE51" s="80" t="str">
        <f t="shared" si="12"/>
        <v>aws s3 cp s3://rtdc.mdm.uploadarchive.raw/RTDC4042/ "%USERPROFILE%\AppData\Local\Temp\OnboardLogs"\RTDC4042\2017-04-28 --exclude "*" --recursive --include "*20170428*" &amp; "%USERPROFILE%\Documents\GitHub\mrs-test-scripts\Headless Mode &amp; Sideloading\WalkAndUnGZ.bat" "%USERPROFILE%\AppData\Local\Temp\OnboardLogs"\RTDC4042\2017-04-28 &amp; aws s3 cp s3://rtdc.mdm.uploadarchive.raw/RTDC4042/ "%USERPROFILE%\AppData\Local\Temp\OnboardLogs"\RTDC4042\2017-04-29 --exclude "*" --recursive --include "*20170429*" &amp; "%USERPROFILE%\Documents\GitHub\mrs-test-scripts\Headless Mode &amp; Sideloading\WalkAndUnGZ.bat" "%USERPROFILE%\AppData\Local\Temp\OnboardLogs"\RTDC4042\2017-04-29</v>
      </c>
      <c r="AF51" s="77" t="str">
        <f t="shared" si="13"/>
        <v>"C:\Program Files (x86)\AstroGrep\AstroGrep.exe" /e /r /s /spath="%USERPROFILE%\AppData\Local\Temp\OnboardLogs" /stypes="app*4042*20170428*" /stext=" 15:.+((SYSTEM_STATE.+slice.+state.+changed )|(ment ac)|(multiple cpu faults)|(system.+state.+changed )|(\[timeout)|(PRM\|1\|D)|(kpr)|(kdp)|(train.+moving)|(\|lc)|(penalty))"</v>
      </c>
      <c r="AG51" s="1" t="str">
        <f t="shared" si="14"/>
        <v>EC</v>
      </c>
      <c r="AH51" s="81" t="str">
        <f t="shared" si="19"/>
        <v>"%USERPROFILE%\Documents\GitHub\eaglep3\Utilities\RefineRTDCRunTimes.py" --tripid 139-28 --locoid 4042 --swversion DE.1.0.9.0 --startMP 204:462 --initTime 2017-04-28T08:23:18 --startdatetime 2017-04-28T08:30:20 --delay 1 --endMP 204:233289 --enddatetime 2017-04-28T09:06:22 --enforcementcount 0 &gt;&gt;C:\Users\stu\Documents\GitHub\eaglep3-reporting\EC\2017-04-28-refined-times.txt</v>
      </c>
      <c r="AI51" s="99" t="str">
        <f t="shared" si="20"/>
        <v>echo {"issue":{"subject":"","project_id":79,"tracker_id":40,"status_id":1,"priority_id":2,"assigned_to_id":23,"start_date":"2017-04-28","description":"","custom_fields":[{"id":1,"name":"Subdivision","value":"EC"},{"id":4,"name":"Milepost","value":"23.3289"},{"id":17,"name":"Train ID","value":"139-28"},{"id":16,"name":"Locomotive ID","value":"4042"},{"id":130,"name":"Impact","value":""},{"id":150,"name":"Time of Event (Mountain Time)","value":"09:06:22"},{"id":151,"name":"Denver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5" t="str">
        <f t="shared" si="21"/>
        <v>start /low /b %USERPROFILE%\Documents\GitHub\eaglep3\Utilities\DownloadLogsFromS3.py --loco 4042 --day 2017-04-28</v>
      </c>
      <c r="AN51" s="154" t="str">
        <f t="shared" si="22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15:06:22"},{"id":29,"name":"Sharepoint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707</v>
      </c>
      <c r="B52" s="7">
        <v>4041</v>
      </c>
      <c r="C52" s="21" t="s">
        <v>211</v>
      </c>
      <c r="D52" s="21" t="s">
        <v>514</v>
      </c>
      <c r="E52" s="13">
        <v>42853.389988425923</v>
      </c>
      <c r="F52" s="13">
        <v>42853.393449074072</v>
      </c>
      <c r="G52" s="7">
        <v>1</v>
      </c>
      <c r="H52" s="21" t="s">
        <v>873</v>
      </c>
      <c r="I52" s="13">
        <v>42853.420891203707</v>
      </c>
      <c r="J52" s="7">
        <v>0</v>
      </c>
      <c r="K52" s="92" t="str">
        <f t="shared" si="0"/>
        <v>4041/4042</v>
      </c>
      <c r="L52" s="21" t="str">
        <f>VLOOKUP(A52,'Trips&amp;Operators'!$C$1:$G$99999,5,FALSE)</f>
        <v>BIRENBAUM THOMAS</v>
      </c>
      <c r="M52" s="6">
        <f t="shared" si="1"/>
        <v>2.7442129634437151E-2</v>
      </c>
      <c r="N52" s="7">
        <f t="shared" si="23"/>
        <v>39.516666673589498</v>
      </c>
      <c r="O52" s="7"/>
      <c r="P52" s="7"/>
      <c r="Q52" s="22"/>
      <c r="R52" s="190"/>
      <c r="S52" s="196">
        <f t="shared" si="24"/>
        <v>1</v>
      </c>
      <c r="T52" s="190" t="str">
        <f t="shared" si="4"/>
        <v>Southbound</v>
      </c>
      <c r="U52" s="190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1" t="str">
        <f t="shared" si="5"/>
        <v>https://d0f6bd738d7f1b3e5a7ca70fe4ff75f0.us-east-1.aws.found.io/app/kibana#/discover/Steve-Slow-Train-Analysis-(2080s-and-2083s)?_g=(refreshInterval:(display:Off,pause:!f,section:0,value:0),time:(from:'2017-04-28T08:21:35-0600',mode:absolute,to:'2017-04-28T11:06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52" s="192" t="str">
        <f t="shared" si="6"/>
        <v>N</v>
      </c>
      <c r="X52" s="192">
        <f t="shared" si="7"/>
        <v>1</v>
      </c>
      <c r="Y52" s="192">
        <f t="shared" si="8"/>
        <v>23.297999999999998</v>
      </c>
      <c r="Z52" s="192">
        <f t="shared" si="9"/>
        <v>1.34E-2</v>
      </c>
      <c r="AA52" s="192">
        <f t="shared" si="10"/>
        <v>23.284599999999998</v>
      </c>
      <c r="AB52" s="57" t="e">
        <f>VLOOKUP(A52,Enforcements!$C$7:$K$13,8,0)</f>
        <v>#N/A</v>
      </c>
      <c r="AC52" s="53" t="e">
        <f>VLOOKUP(A52,Enforcements!$C$7:$E$13,3,0)</f>
        <v>#N/A</v>
      </c>
      <c r="AD52" s="54" t="str">
        <f t="shared" si="11"/>
        <v>0140-28</v>
      </c>
      <c r="AE52" s="80" t="str">
        <f t="shared" si="12"/>
        <v>aws s3 cp s3://rtdc.mdm.uploadarchive.raw/RTDC4041/ "%USERPROFILE%\AppData\Local\Temp\OnboardLogs"\RTDC4041\2017-04-28 --exclude "*" --recursive --include "*20170428*" &amp; "%USERPROFILE%\Documents\GitHub\mrs-test-scripts\Headless Mode &amp; Sideloading\WalkAndUnGZ.bat" "%USERPROFILE%\AppData\Local\Temp\OnboardLogs"\RTDC4041\2017-04-28 &amp; aws s3 cp s3://rtdc.mdm.uploadarchive.raw/RTDC4041/ "%USERPROFILE%\AppData\Local\Temp\OnboardLogs"\RTDC4041\2017-04-29 --exclude "*" --recursive --include "*20170429*" &amp; "%USERPROFILE%\Documents\GitHub\mrs-test-scripts\Headless Mode &amp; Sideloading\WalkAndUnGZ.bat" "%USERPROFILE%\AppData\Local\Temp\OnboardLogs"\RTDC4041\2017-04-29</v>
      </c>
      <c r="AF52" s="77" t="str">
        <f t="shared" si="13"/>
        <v>"C:\Program Files (x86)\AstroGrep\AstroGrep.exe" /e /r /s /spath="%USERPROFILE%\AppData\Local\Temp\OnboardLogs" /stypes="app*4041*20170428*" /stext=" 16:.+((SYSTEM_STATE.+slice.+state.+changed )|(ment ac)|(multiple cpu faults)|(system.+state.+changed )|(\[timeout)|(PRM\|1\|D)|(kpr)|(kdp)|(train.+moving)|(\|lc)|(penalty))"</v>
      </c>
      <c r="AG52" s="1" t="str">
        <f t="shared" si="14"/>
        <v>EC</v>
      </c>
      <c r="AH52" s="81" t="str">
        <f t="shared" si="19"/>
        <v>"%USERPROFILE%\Documents\GitHub\eaglep3\Utilities\RefineRTDCRunTimes.py" --tripid 140-28 --locoid 4041 --swversion DE.1.0.9.0 --startMP 204:232980 --initTime 2017-04-28T09:21:35 --startdatetime 2017-04-28T09:26:34 --delay 1 --endMP 204:134 --enddatetime 2017-04-28T10:06:05 --enforcementcount 0 &gt;&gt;C:\Users\stu\Documents\GitHub\eaglep3-reporting\EC\2017-04-28-refined-times.txt</v>
      </c>
      <c r="AI52" s="99" t="str">
        <f t="shared" si="20"/>
        <v>echo {"issue":{"subject":"","project_id":79,"tracker_id":40,"status_id":1,"priority_id":2,"assigned_to_id":23,"start_date":"2017-04-28","description":"","custom_fields":[{"id":1,"name":"Subdivision","value":"EC"},{"id":4,"name":"Milepost","value":"0.0134"},{"id":17,"name":"Train ID","value":"140-28"},{"id":16,"name":"Locomotive ID","value":"4041"},{"id":130,"name":"Impact","value":""},{"id":150,"name":"Time of Event (Mountain Time)","value":"10:06:05"},{"id":151,"name":"Denver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5" t="str">
        <f t="shared" si="21"/>
        <v>start /low /b %USERPROFILE%\Documents\GitHub\eaglep3\Utilities\DownloadLogsFromS3.py --loco 4041 --day 2017-04-28</v>
      </c>
      <c r="AN52" s="154" t="str">
        <f t="shared" si="22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16:06:05"},{"id":29,"name":"Sharepoint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605</v>
      </c>
      <c r="B53" s="7">
        <v>4016</v>
      </c>
      <c r="C53" s="21" t="s">
        <v>211</v>
      </c>
      <c r="D53" s="21" t="s">
        <v>207</v>
      </c>
      <c r="E53" s="13">
        <v>42853.360821759263</v>
      </c>
      <c r="F53" s="13">
        <v>42853.36478009259</v>
      </c>
      <c r="G53" s="7">
        <v>1</v>
      </c>
      <c r="H53" s="21" t="s">
        <v>477</v>
      </c>
      <c r="I53" s="13">
        <v>42853.390752314815</v>
      </c>
      <c r="J53" s="7">
        <v>0</v>
      </c>
      <c r="K53" s="92" t="str">
        <f t="shared" si="0"/>
        <v>4015/4016</v>
      </c>
      <c r="L53" s="21" t="str">
        <f>VLOOKUP(A53,'Trips&amp;Operators'!$C$1:$G$99999,5,FALSE)</f>
        <v>BADERTSCHER DIANE</v>
      </c>
      <c r="M53" s="6">
        <f t="shared" si="1"/>
        <v>2.5972222225391306E-2</v>
      </c>
      <c r="N53" s="7">
        <f t="shared" si="23"/>
        <v>37.400000004563481</v>
      </c>
      <c r="O53" s="7"/>
      <c r="P53" s="7"/>
      <c r="Q53" s="22"/>
      <c r="R53" s="190"/>
      <c r="S53" s="196">
        <f t="shared" si="24"/>
        <v>1</v>
      </c>
      <c r="T53" s="190" t="str">
        <f t="shared" si="4"/>
        <v>NorthBound</v>
      </c>
      <c r="U53" s="190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1" t="str">
        <f t="shared" si="5"/>
        <v>https://d0f6bd738d7f1b3e5a7ca70fe4ff75f0.us-east-1.aws.found.io/app/kibana#/discover/Steve-Slow-Train-Analysis-(2080s-and-2083s)?_g=(refreshInterval:(display:Off,pause:!f,section:0,value:0),time:(from:'2017-04-28T07:39:35-0600',mode:absolute,to:'2017-04-28T10:22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53" s="192" t="str">
        <f t="shared" si="6"/>
        <v>N</v>
      </c>
      <c r="X53" s="192">
        <f t="shared" si="7"/>
        <v>1</v>
      </c>
      <c r="Y53" s="192">
        <f t="shared" si="8"/>
        <v>4.5499999999999999E-2</v>
      </c>
      <c r="Z53" s="192">
        <f t="shared" si="9"/>
        <v>23.330400000000001</v>
      </c>
      <c r="AA53" s="192">
        <f t="shared" si="10"/>
        <v>23.2849</v>
      </c>
      <c r="AB53" s="57" t="str">
        <f>VLOOKUP(A53,Enforcements!$C$7:$K$13,8,0)</f>
        <v>Bulletin (2)</v>
      </c>
      <c r="AC53" s="53" t="str">
        <f>VLOOKUP(A53,Enforcements!$C$7:$E$13,3,0)</f>
        <v>GRADE CROSSING</v>
      </c>
      <c r="AD53" s="54" t="str">
        <f t="shared" si="11"/>
        <v>0141-28</v>
      </c>
      <c r="AE53" s="80" t="str">
        <f t="shared" si="12"/>
        <v>aws s3 cp s3://rtdc.mdm.uploadarchive.raw/RTDC4016/ "%USERPROFILE%\AppData\Local\Temp\OnboardLogs"\RTDC4016\2017-04-28 --exclude "*" --recursive --include "*20170428*" &amp; "%USERPROFILE%\Documents\GitHub\mrs-test-scripts\Headless Mode &amp; Sideloading\WalkAndUnGZ.bat" "%USERPROFILE%\AppData\Local\Temp\OnboardLogs"\RTDC4016\2017-04-28 &amp; aws s3 cp s3://rtdc.mdm.uploadarchive.raw/RTDC4016/ "%USERPROFILE%\AppData\Local\Temp\OnboardLogs"\RTDC4016\2017-04-29 --exclude "*" --recursive --include "*20170429*" &amp; "%USERPROFILE%\Documents\GitHub\mrs-test-scripts\Headless Mode &amp; Sideloading\WalkAndUnGZ.bat" "%USERPROFILE%\AppData\Local\Temp\OnboardLogs"\RTDC4016\2017-04-29</v>
      </c>
      <c r="AF53" s="77" t="str">
        <f t="shared" si="13"/>
        <v>"C:\Program Files (x86)\AstroGrep\AstroGrep.exe" /e /r /s /spath="%USERPROFILE%\AppData\Local\Temp\OnboardLogs" /stypes="app*4016*20170428*" /stext=" 15:.+((SYSTEM_STATE.+slice.+state.+changed )|(ment ac)|(multiple cpu faults)|(system.+state.+changed )|(\[timeout)|(PRM\|1\|D)|(kpr)|(kdp)|(train.+moving)|(\|lc)|(penalty))"</v>
      </c>
      <c r="AG53" s="1" t="str">
        <f t="shared" si="14"/>
        <v>EC</v>
      </c>
      <c r="AH53" s="81" t="str">
        <f t="shared" si="19"/>
        <v>"%USERPROFILE%\Documents\GitHub\eaglep3\Utilities\RefineRTDCRunTimes.py" --tripid 141-28 --locoid 4016 --swversion DE.1.0.9.0 --startMP 204:455 --initTime 2017-04-28T08:39:35 --startdatetime 2017-04-28T08:45:17 --delay 1 --endMP 204:233304 --enddatetime 2017-04-28T09:22:41 --enforcementcount 0 &gt;&gt;C:\Users\stu\Documents\GitHub\eaglep3-reporting\EC\2017-04-28-refined-times.txt</v>
      </c>
      <c r="AI53" s="99" t="str">
        <f t="shared" si="20"/>
        <v>echo {"issue":{"subject":"","project_id":79,"tracker_id":40,"status_id":1,"priority_id":2,"assigned_to_id":23,"start_date":"2017-04-28","description":"","custom_fields":[{"id":1,"name":"Subdivision","value":"EC"},{"id":4,"name":"Milepost","value":"23.3304"},{"id":17,"name":"Train ID","value":"141-28"},{"id":16,"name":"Locomotive ID","value":"4016"},{"id":130,"name":"Impact","value":""},{"id":150,"name":"Time of Event (Mountain Time)","value":"09:22:41"},{"id":151,"name":"Denver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5" t="str">
        <f t="shared" si="21"/>
        <v>start /low /b %USERPROFILE%\Documents\GitHub\eaglep3\Utilities\DownloadLogsFromS3.py --loco 4016 --day 2017-04-28</v>
      </c>
      <c r="AN53" s="154" t="str">
        <f t="shared" si="22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15:22:41"},{"id":29,"name":"Sharepoint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709</v>
      </c>
      <c r="B54" s="7">
        <v>4015</v>
      </c>
      <c r="C54" s="21" t="s">
        <v>211</v>
      </c>
      <c r="D54" s="21" t="s">
        <v>552</v>
      </c>
      <c r="E54" s="13">
        <v>42853.397627314815</v>
      </c>
      <c r="F54" s="13">
        <v>42853.403668981482</v>
      </c>
      <c r="G54" s="7">
        <v>1</v>
      </c>
      <c r="H54" s="21" t="s">
        <v>377</v>
      </c>
      <c r="I54" s="13">
        <v>42853.432152777779</v>
      </c>
      <c r="J54" s="7">
        <v>0</v>
      </c>
      <c r="K54" s="92" t="str">
        <f t="shared" si="0"/>
        <v>4015/4016</v>
      </c>
      <c r="L54" s="21" t="str">
        <f>VLOOKUP(A54,'Trips&amp;Operators'!$C$1:$G$99999,5,FALSE)</f>
        <v>BADERTSCHER DIANE</v>
      </c>
      <c r="M54" s="6">
        <f t="shared" si="1"/>
        <v>2.8483796297223307E-2</v>
      </c>
      <c r="N54" s="7">
        <f t="shared" si="23"/>
        <v>41.016666668001562</v>
      </c>
      <c r="O54" s="7"/>
      <c r="P54" s="7"/>
      <c r="Q54" s="22"/>
      <c r="R54" s="190"/>
      <c r="S54" s="196">
        <f t="shared" si="24"/>
        <v>1</v>
      </c>
      <c r="T54" s="190" t="str">
        <f t="shared" si="4"/>
        <v>Southbound</v>
      </c>
      <c r="U54" s="190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1" t="str">
        <f t="shared" si="5"/>
        <v>https://d0f6bd738d7f1b3e5a7ca70fe4ff75f0.us-east-1.aws.found.io/app/kibana#/discover/Steve-Slow-Train-Analysis-(2080s-and-2083s)?_g=(refreshInterval:(display:Off,pause:!f,section:0,value:0),time:(from:'2017-04-28T08:32:35-0600',mode:absolute,to:'2017-04-28T11:22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54" s="192" t="str">
        <f t="shared" si="6"/>
        <v>N</v>
      </c>
      <c r="X54" s="192">
        <f t="shared" si="7"/>
        <v>1</v>
      </c>
      <c r="Y54" s="192">
        <f t="shared" si="8"/>
        <v>23.300799999999999</v>
      </c>
      <c r="Z54" s="192">
        <f t="shared" si="9"/>
        <v>1.38E-2</v>
      </c>
      <c r="AA54" s="192">
        <f t="shared" si="10"/>
        <v>23.286999999999999</v>
      </c>
      <c r="AB54" s="57" t="e">
        <f>VLOOKUP(A54,Enforcements!$C$7:$K$13,8,0)</f>
        <v>#N/A</v>
      </c>
      <c r="AC54" s="53" t="e">
        <f>VLOOKUP(A54,Enforcements!$C$7:$E$13,3,0)</f>
        <v>#N/A</v>
      </c>
      <c r="AD54" s="54" t="str">
        <f t="shared" si="11"/>
        <v>0142-28</v>
      </c>
      <c r="AE54" s="80" t="str">
        <f t="shared" si="12"/>
        <v>aws s3 cp s3://rtdc.mdm.uploadarchive.raw/RTDC4015/ "%USERPROFILE%\AppData\Local\Temp\OnboardLogs"\RTDC4015\2017-04-28 --exclude "*" --recursive --include "*20170428*" &amp; "%USERPROFILE%\Documents\GitHub\mrs-test-scripts\Headless Mode &amp; Sideloading\WalkAndUnGZ.bat" "%USERPROFILE%\AppData\Local\Temp\OnboardLogs"\RTDC4015\2017-04-28 &amp; aws s3 cp s3://rtdc.mdm.uploadarchive.raw/RTDC4015/ "%USERPROFILE%\AppData\Local\Temp\OnboardLogs"\RTDC4015\2017-04-29 --exclude "*" --recursive --include "*20170429*" &amp; "%USERPROFILE%\Documents\GitHub\mrs-test-scripts\Headless Mode &amp; Sideloading\WalkAndUnGZ.bat" "%USERPROFILE%\AppData\Local\Temp\OnboardLogs"\RTDC4015\2017-04-29</v>
      </c>
      <c r="AF54" s="77" t="str">
        <f t="shared" si="13"/>
        <v>"C:\Program Files (x86)\AstroGrep\AstroGrep.exe" /e /r /s /spath="%USERPROFILE%\AppData\Local\Temp\OnboardLogs" /stypes="app*4015*20170428*" /stext=" 16:.+((SYSTEM_STATE.+slice.+state.+changed )|(ment ac)|(multiple cpu faults)|(system.+state.+changed )|(\[timeout)|(PRM\|1\|D)|(kpr)|(kdp)|(train.+moving)|(\|lc)|(penalty))"</v>
      </c>
      <c r="AG54" s="1" t="str">
        <f t="shared" si="14"/>
        <v>EC</v>
      </c>
      <c r="AH54" s="81" t="str">
        <f t="shared" si="19"/>
        <v>"%USERPROFILE%\Documents\GitHub\eaglep3\Utilities\RefineRTDCRunTimes.py" --tripid 142-28 --locoid 4015 --swversion DE.1.0.9.0 --startMP 204:233008 --initTime 2017-04-28T09:32:35 --startdatetime 2017-04-28T09:41:17 --delay 1 --endMP 204:138 --enddatetime 2017-04-28T10:22:18 --enforcementcount 0 &gt;&gt;C:\Users\stu\Documents\GitHub\eaglep3-reporting\EC\2017-04-28-refined-times.txt</v>
      </c>
      <c r="AI54" s="99" t="str">
        <f t="shared" si="20"/>
        <v>echo {"issue":{"subject":"","project_id":79,"tracker_id":40,"status_id":1,"priority_id":2,"assigned_to_id":23,"start_date":"2017-04-28","description":"","custom_fields":[{"id":1,"name":"Subdivision","value":"EC"},{"id":4,"name":"Milepost","value":"0.0138"},{"id":17,"name":"Train ID","value":"142-28"},{"id":16,"name":"Locomotive ID","value":"4015"},{"id":130,"name":"Impact","value":""},{"id":150,"name":"Time of Event (Mountain Time)","value":"10:22:18"},{"id":151,"name":"Denver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5" t="str">
        <f t="shared" si="21"/>
        <v>start /low /b %USERPROFILE%\Documents\GitHub\eaglep3\Utilities\DownloadLogsFromS3.py --loco 4015 --day 2017-04-28</v>
      </c>
      <c r="AN54" s="154" t="str">
        <f t="shared" si="22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16:22:18"},{"id":29,"name":"Sharepoint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703</v>
      </c>
      <c r="B55" s="7">
        <v>4052</v>
      </c>
      <c r="C55" s="21" t="s">
        <v>211</v>
      </c>
      <c r="D55" s="21" t="s">
        <v>557</v>
      </c>
      <c r="E55" s="13">
        <v>42853.373379629629</v>
      </c>
      <c r="F55" s="13">
        <v>42853.375381944446</v>
      </c>
      <c r="G55" s="7">
        <v>1</v>
      </c>
      <c r="H55" s="21" t="s">
        <v>437</v>
      </c>
      <c r="I55" s="13">
        <v>42853.399409722224</v>
      </c>
      <c r="J55" s="7">
        <v>0</v>
      </c>
      <c r="K55" s="92" t="str">
        <f t="shared" si="0"/>
        <v>4051/4052</v>
      </c>
      <c r="L55" s="21" t="str">
        <f>VLOOKUP(A55,'Trips&amp;Operators'!$C$1:$G$99999,5,FALSE)</f>
        <v>ROCHA YAOTL</v>
      </c>
      <c r="M55" s="6">
        <f t="shared" si="1"/>
        <v>2.4027777777519077E-2</v>
      </c>
      <c r="N55" s="7">
        <f t="shared" si="23"/>
        <v>34.599999999627471</v>
      </c>
      <c r="O55" s="7"/>
      <c r="P55" s="7"/>
      <c r="Q55" s="22"/>
      <c r="R55" s="190"/>
      <c r="S55" s="196">
        <f t="shared" si="24"/>
        <v>1</v>
      </c>
      <c r="T55" s="190" t="str">
        <f t="shared" si="4"/>
        <v>NorthBound</v>
      </c>
      <c r="U55" s="190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1" t="str">
        <f t="shared" si="5"/>
        <v>https://d0f6bd738d7f1b3e5a7ca70fe4ff75f0.us-east-1.aws.found.io/app/kibana#/discover/Steve-Slow-Train-Analysis-(2080s-and-2083s)?_g=(refreshInterval:(display:Off,pause:!f,section:0,value:0),time:(from:'2017-04-28T07:57:40-0600',mode:absolute,to:'2017-04-28T10:35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55" s="192" t="str">
        <f t="shared" si="6"/>
        <v>N</v>
      </c>
      <c r="X55" s="192">
        <f t="shared" si="7"/>
        <v>1</v>
      </c>
      <c r="Y55" s="192">
        <f t="shared" si="8"/>
        <v>4.4699999999999997E-2</v>
      </c>
      <c r="Z55" s="192">
        <f t="shared" si="9"/>
        <v>23.330500000000001</v>
      </c>
      <c r="AA55" s="192">
        <f t="shared" si="10"/>
        <v>23.285800000000002</v>
      </c>
      <c r="AB55" s="57" t="e">
        <f>VLOOKUP(A55,Enforcements!$C$7:$K$13,8,0)</f>
        <v>#N/A</v>
      </c>
      <c r="AC55" s="53" t="e">
        <f>VLOOKUP(A55,Enforcements!$C$7:$E$13,3,0)</f>
        <v>#N/A</v>
      </c>
      <c r="AD55" s="54" t="str">
        <f t="shared" si="11"/>
        <v>0143-28</v>
      </c>
      <c r="AE55" s="80" t="str">
        <f t="shared" si="12"/>
        <v>aws s3 cp s3://rtdc.mdm.uploadarchive.raw/RTDC4052/ "%USERPROFILE%\AppData\Local\Temp\OnboardLogs"\RTDC4052\2017-04-28 --exclude "*" --recursive --include "*20170428*" &amp; "%USERPROFILE%\Documents\GitHub\mrs-test-scripts\Headless Mode &amp; Sideloading\WalkAndUnGZ.bat" "%USERPROFILE%\AppData\Local\Temp\OnboardLogs"\RTDC4052\2017-04-28 &amp; aws s3 cp s3://rtdc.mdm.uploadarchive.raw/RTDC4052/ "%USERPROFILE%\AppData\Local\Temp\OnboardLogs"\RTDC4052\2017-04-29 --exclude "*" --recursive --include "*20170429*" &amp; "%USERPROFILE%\Documents\GitHub\mrs-test-scripts\Headless Mode &amp; Sideloading\WalkAndUnGZ.bat" "%USERPROFILE%\AppData\Local\Temp\OnboardLogs"\RTDC4052\2017-04-29</v>
      </c>
      <c r="AF55" s="77" t="str">
        <f t="shared" si="13"/>
        <v>"C:\Program Files (x86)\AstroGrep\AstroGrep.exe" /e /r /s /spath="%USERPROFILE%\AppData\Local\Temp\OnboardLogs" /stypes="app*4052*20170428*" /stext=" 15:.+((SYSTEM_STATE.+slice.+state.+changed )|(ment ac)|(multiple cpu faults)|(system.+state.+changed )|(\[timeout)|(PRM\|1\|D)|(kpr)|(kdp)|(train.+moving)|(\|lc)|(penalty))"</v>
      </c>
      <c r="AG55" s="1" t="str">
        <f t="shared" si="14"/>
        <v>EC</v>
      </c>
      <c r="AH55" s="81" t="str">
        <f t="shared" si="19"/>
        <v>"%USERPROFILE%\Documents\GitHub\eaglep3\Utilities\RefineRTDCRunTimes.py" --tripid 143-28 --locoid 4052 --swversion DE.1.0.9.0 --startMP 204:447 --initTime 2017-04-28T08:57:40 --startdatetime 2017-04-28T09:00:33 --delay 1 --endMP 204:233305 --enddatetime 2017-04-28T09:35:09 --enforcementcount 0 &gt;&gt;C:\Users\stu\Documents\GitHub\eaglep3-reporting\EC\2017-04-28-refined-times.txt</v>
      </c>
      <c r="AI55" s="99" t="str">
        <f t="shared" si="20"/>
        <v>echo {"issue":{"subject":"","project_id":79,"tracker_id":40,"status_id":1,"priority_id":2,"assigned_to_id":23,"start_date":"2017-04-28","description":"","custom_fields":[{"id":1,"name":"Subdivision","value":"EC"},{"id":4,"name":"Milepost","value":"23.3305"},{"id":17,"name":"Train ID","value":"143-28"},{"id":16,"name":"Locomotive ID","value":"4052"},{"id":130,"name":"Impact","value":""},{"id":150,"name":"Time of Event (Mountain Time)","value":"09:35:09"},{"id":151,"name":"Denver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5" t="str">
        <f t="shared" si="21"/>
        <v>start /low /b %USERPROFILE%\Documents\GitHub\eaglep3\Utilities\DownloadLogsFromS3.py --loco 4052 --day 2017-04-28</v>
      </c>
      <c r="AN55" s="154" t="str">
        <f t="shared" si="22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15:35:09"},{"id":29,"name":"Sharepoint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711</v>
      </c>
      <c r="B56" s="7">
        <v>4051</v>
      </c>
      <c r="C56" s="21" t="s">
        <v>211</v>
      </c>
      <c r="D56" s="21" t="s">
        <v>506</v>
      </c>
      <c r="E56" s="13">
        <v>42853.411400462966</v>
      </c>
      <c r="F56" s="13">
        <v>42853.414097222223</v>
      </c>
      <c r="G56" s="7">
        <v>1</v>
      </c>
      <c r="H56" s="21" t="s">
        <v>410</v>
      </c>
      <c r="I56" s="13">
        <v>42853.440312500003</v>
      </c>
      <c r="J56" s="7">
        <v>0</v>
      </c>
      <c r="K56" s="92" t="str">
        <f t="shared" si="0"/>
        <v>4051/4052</v>
      </c>
      <c r="L56" s="21" t="str">
        <f>VLOOKUP(A56,'Trips&amp;Operators'!$C$1:$G$99999,5,FALSE)</f>
        <v>ROCHA YAOTL</v>
      </c>
      <c r="M56" s="6">
        <f t="shared" si="1"/>
        <v>2.6215277779556345E-2</v>
      </c>
      <c r="N56" s="7">
        <f t="shared" si="23"/>
        <v>37.750000002561137</v>
      </c>
      <c r="O56" s="7"/>
      <c r="P56" s="7"/>
      <c r="Q56" s="22"/>
      <c r="R56" s="190"/>
      <c r="S56" s="196">
        <f t="shared" si="24"/>
        <v>1</v>
      </c>
      <c r="T56" s="190" t="str">
        <f t="shared" si="4"/>
        <v>Southbound</v>
      </c>
      <c r="U56" s="190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1" t="str">
        <f t="shared" si="5"/>
        <v>https://d0f6bd738d7f1b3e5a7ca70fe4ff75f0.us-east-1.aws.found.io/app/kibana#/discover/Steve-Slow-Train-Analysis-(2080s-and-2083s)?_g=(refreshInterval:(display:Off,pause:!f,section:0,value:0),time:(from:'2017-04-28T08:52:25-0600',mode:absolute,to:'2017-04-28T11:34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56" s="192" t="str">
        <f t="shared" si="6"/>
        <v>N</v>
      </c>
      <c r="X56" s="192">
        <f t="shared" si="7"/>
        <v>1</v>
      </c>
      <c r="Y56" s="192">
        <f t="shared" si="8"/>
        <v>23.298200000000001</v>
      </c>
      <c r="Z56" s="192">
        <f t="shared" si="9"/>
        <v>1.49E-2</v>
      </c>
      <c r="AA56" s="192">
        <f t="shared" si="10"/>
        <v>23.283300000000001</v>
      </c>
      <c r="AB56" s="57" t="e">
        <f>VLOOKUP(A56,Enforcements!$C$7:$K$13,8,0)</f>
        <v>#N/A</v>
      </c>
      <c r="AC56" s="53" t="e">
        <f>VLOOKUP(A56,Enforcements!$C$7:$E$13,3,0)</f>
        <v>#N/A</v>
      </c>
      <c r="AD56" s="54" t="str">
        <f t="shared" si="11"/>
        <v>0144-28</v>
      </c>
      <c r="AE56" s="80" t="str">
        <f t="shared" si="12"/>
        <v>aws s3 cp s3://rtdc.mdm.uploadarchive.raw/RTDC4051/ "%USERPROFILE%\AppData\Local\Temp\OnboardLogs"\RTDC4051\2017-04-28 --exclude "*" --recursive --include "*20170428*" &amp; "%USERPROFILE%\Documents\GitHub\mrs-test-scripts\Headless Mode &amp; Sideloading\WalkAndUnGZ.bat" "%USERPROFILE%\AppData\Local\Temp\OnboardLogs"\RTDC4051\2017-04-28 &amp; aws s3 cp s3://rtdc.mdm.uploadarchive.raw/RTDC4051/ "%USERPROFILE%\AppData\Local\Temp\OnboardLogs"\RTDC4051\2017-04-29 --exclude "*" --recursive --include "*20170429*" &amp; "%USERPROFILE%\Documents\GitHub\mrs-test-scripts\Headless Mode &amp; Sideloading\WalkAndUnGZ.bat" "%USERPROFILE%\AppData\Local\Temp\OnboardLogs"\RTDC4051\2017-04-29</v>
      </c>
      <c r="AF56" s="77" t="str">
        <f t="shared" si="13"/>
        <v>"C:\Program Files (x86)\AstroGrep\AstroGrep.exe" /e /r /s /spath="%USERPROFILE%\AppData\Local\Temp\OnboardLogs" /stypes="app*4051*20170428*" /stext=" 16:.+((SYSTEM_STATE.+slice.+state.+changed )|(ment ac)|(multiple cpu faults)|(system.+state.+changed )|(\[timeout)|(PRM\|1\|D)|(kpr)|(kdp)|(train.+moving)|(\|lc)|(penalty))"</v>
      </c>
      <c r="AG56" s="1" t="str">
        <f t="shared" si="14"/>
        <v>EC</v>
      </c>
      <c r="AH56" s="81" t="str">
        <f t="shared" si="19"/>
        <v>"%USERPROFILE%\Documents\GitHub\eaglep3\Utilities\RefineRTDCRunTimes.py" --tripid 144-28 --locoid 4051 --swversion DE.1.0.9.0 --startMP 204:232982 --initTime 2017-04-28T09:52:25 --startdatetime 2017-04-28T09:56:18 --delay 1 --endMP 204:149 --enddatetime 2017-04-28T10:34:03 --enforcementcount 0 &gt;&gt;C:\Users\stu\Documents\GitHub\eaglep3-reporting\EC\2017-04-28-refined-times.txt</v>
      </c>
      <c r="AI56" s="99" t="str">
        <f t="shared" si="20"/>
        <v>echo {"issue":{"subject":"","project_id":79,"tracker_id":40,"status_id":1,"priority_id":2,"assigned_to_id":23,"start_date":"2017-04-28","description":"","custom_fields":[{"id":1,"name":"Subdivision","value":"EC"},{"id":4,"name":"Milepost","value":"0.0149"},{"id":17,"name":"Train ID","value":"144-28"},{"id":16,"name":"Locomotive ID","value":"4051"},{"id":130,"name":"Impact","value":""},{"id":150,"name":"Time of Event (Mountain Time)","value":"10:34:03"},{"id":151,"name":"Denver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5" t="str">
        <f t="shared" si="21"/>
        <v>start /low /b %USERPROFILE%\Documents\GitHub\eaglep3\Utilities\DownloadLogsFromS3.py --loco 4051 --day 2017-04-28</v>
      </c>
      <c r="AN56" s="154" t="str">
        <f t="shared" si="22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16:34:03"},{"id":29,"name":"Sharepoint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705</v>
      </c>
      <c r="B57" s="7">
        <v>4008</v>
      </c>
      <c r="C57" s="21" t="s">
        <v>211</v>
      </c>
      <c r="D57" s="21" t="s">
        <v>874</v>
      </c>
      <c r="E57" s="13">
        <v>42853.38076388889</v>
      </c>
      <c r="F57" s="13">
        <v>42853.385625000003</v>
      </c>
      <c r="G57" s="7">
        <v>1</v>
      </c>
      <c r="H57" s="21" t="s">
        <v>415</v>
      </c>
      <c r="I57" s="13">
        <v>42853.411550925928</v>
      </c>
      <c r="J57" s="7">
        <v>0</v>
      </c>
      <c r="K57" s="92" t="str">
        <f t="shared" si="0"/>
        <v>4007/4008</v>
      </c>
      <c r="L57" s="21" t="str">
        <f>VLOOKUP(A57,'Trips&amp;Operators'!$C$1:$G$99999,5,FALSE)</f>
        <v>DAVIS WENDY</v>
      </c>
      <c r="M57" s="6">
        <f t="shared" si="1"/>
        <v>2.5925925925548654E-2</v>
      </c>
      <c r="N57" s="7">
        <f t="shared" si="23"/>
        <v>37.333333332790062</v>
      </c>
      <c r="O57" s="7"/>
      <c r="P57" s="7"/>
      <c r="Q57" s="22"/>
      <c r="R57" s="190"/>
      <c r="S57" s="196">
        <f t="shared" si="24"/>
        <v>1</v>
      </c>
      <c r="T57" s="190" t="str">
        <f t="shared" si="4"/>
        <v>NorthBound</v>
      </c>
      <c r="U57" s="190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1" t="str">
        <f t="shared" si="5"/>
        <v>https://d0f6bd738d7f1b3e5a7ca70fe4ff75f0.us-east-1.aws.found.io/app/kibana#/discover/Steve-Slow-Train-Analysis-(2080s-and-2083s)?_g=(refreshInterval:(display:Off,pause:!f,section:0,value:0),time:(from:'2017-04-28T08:08:18-0600',mode:absolute,to:'2017-04-28T10:52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57" s="192" t="str">
        <f t="shared" si="6"/>
        <v>N</v>
      </c>
      <c r="X57" s="192">
        <f t="shared" si="7"/>
        <v>1</v>
      </c>
      <c r="Y57" s="192">
        <f t="shared" si="8"/>
        <v>5.2600000000000001E-2</v>
      </c>
      <c r="Z57" s="192">
        <f t="shared" si="9"/>
        <v>23.331499999999998</v>
      </c>
      <c r="AA57" s="192">
        <f t="shared" si="10"/>
        <v>23.278899999999997</v>
      </c>
      <c r="AB57" s="57" t="e">
        <f>VLOOKUP(A57,Enforcements!$C$7:$K$13,8,0)</f>
        <v>#N/A</v>
      </c>
      <c r="AC57" s="53" t="e">
        <f>VLOOKUP(A57,Enforcements!$C$7:$E$13,3,0)</f>
        <v>#N/A</v>
      </c>
      <c r="AD57" s="54" t="str">
        <f t="shared" si="11"/>
        <v>0145-28</v>
      </c>
      <c r="AE57" s="80" t="str">
        <f t="shared" si="12"/>
        <v>aws s3 cp s3://rtdc.mdm.uploadarchive.raw/RTDC4008/ "%USERPROFILE%\AppData\Local\Temp\OnboardLogs"\RTDC4008\2017-04-28 --exclude "*" --recursive --include "*20170428*" &amp; "%USERPROFILE%\Documents\GitHub\mrs-test-scripts\Headless Mode &amp; Sideloading\WalkAndUnGZ.bat" "%USERPROFILE%\AppData\Local\Temp\OnboardLogs"\RTDC4008\2017-04-28 &amp; aws s3 cp s3://rtdc.mdm.uploadarchive.raw/RTDC4008/ "%USERPROFILE%\AppData\Local\Temp\OnboardLogs"\RTDC4008\2017-04-29 --exclude "*" --recursive --include "*20170429*" &amp; "%USERPROFILE%\Documents\GitHub\mrs-test-scripts\Headless Mode &amp; Sideloading\WalkAndUnGZ.bat" "%USERPROFILE%\AppData\Local\Temp\OnboardLogs"\RTDC4008\2017-04-29</v>
      </c>
      <c r="AF57" s="77" t="str">
        <f t="shared" si="13"/>
        <v>"C:\Program Files (x86)\AstroGrep\AstroGrep.exe" /e /r /s /spath="%USERPROFILE%\AppData\Local\Temp\OnboardLogs" /stypes="app*4008*20170428*" /stext=" 15:.+((SYSTEM_STATE.+slice.+state.+changed )|(ment ac)|(multiple cpu faults)|(system.+state.+changed )|(\[timeout)|(PRM\|1\|D)|(kpr)|(kdp)|(train.+moving)|(\|lc)|(penalty))"</v>
      </c>
      <c r="AG57" s="1" t="str">
        <f t="shared" si="14"/>
        <v>EC</v>
      </c>
      <c r="AH57" s="81" t="str">
        <f t="shared" si="19"/>
        <v>"%USERPROFILE%\Documents\GitHub\eaglep3\Utilities\RefineRTDCRunTimes.py" --tripid 145-28 --locoid 4008 --swversion DE.1.0.9.0 --startMP 204:526 --initTime 2017-04-28T09:08:18 --startdatetime 2017-04-28T09:15:18 --delay 1 --endMP 204:233315 --enddatetime 2017-04-28T09:52:38 --enforcementcount 0 &gt;&gt;C:\Users\stu\Documents\GitHub\eaglep3-reporting\EC\2017-04-28-refined-times.txt</v>
      </c>
      <c r="AI57" s="99" t="str">
        <f t="shared" si="20"/>
        <v>echo {"issue":{"subject":"","project_id":79,"tracker_id":40,"status_id":1,"priority_id":2,"assigned_to_id":23,"start_date":"2017-04-28","description":"","custom_fields":[{"id":1,"name":"Subdivision","value":"EC"},{"id":4,"name":"Milepost","value":"23.3315"},{"id":17,"name":"Train ID","value":"145-28"},{"id":16,"name":"Locomotive ID","value":"4008"},{"id":130,"name":"Impact","value":""},{"id":150,"name":"Time of Event (Mountain Time)","value":"09:52:38"},{"id":151,"name":"Denver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5" t="str">
        <f t="shared" si="21"/>
        <v>start /low /b %USERPROFILE%\Documents\GitHub\eaglep3\Utilities\DownloadLogsFromS3.py --loco 4008 --day 2017-04-28</v>
      </c>
      <c r="AN57" s="154" t="str">
        <f t="shared" si="22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15:52:38"},{"id":29,"name":"Sharepoint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713</v>
      </c>
      <c r="B58" s="7">
        <v>4007</v>
      </c>
      <c r="C58" s="21" t="s">
        <v>211</v>
      </c>
      <c r="D58" s="21" t="s">
        <v>466</v>
      </c>
      <c r="E58" s="13">
        <v>42853.419398148151</v>
      </c>
      <c r="F58" s="13">
        <v>42853.424583333333</v>
      </c>
      <c r="G58" s="7">
        <v>1</v>
      </c>
      <c r="H58" s="21" t="s">
        <v>875</v>
      </c>
      <c r="I58" s="13">
        <v>42853.452118055553</v>
      </c>
      <c r="J58" s="7">
        <v>0</v>
      </c>
      <c r="K58" s="92" t="str">
        <f t="shared" si="0"/>
        <v>4007/4008</v>
      </c>
      <c r="L58" s="21" t="str">
        <f>VLOOKUP(A58,'Trips&amp;Operators'!$C$1:$G$99999,5,FALSE)</f>
        <v>DAVIS WENDY</v>
      </c>
      <c r="M58" s="6">
        <f t="shared" si="1"/>
        <v>2.753472221957054E-2</v>
      </c>
      <c r="N58" s="7">
        <f t="shared" si="23"/>
        <v>39.649999996181577</v>
      </c>
      <c r="O58" s="7"/>
      <c r="P58" s="7"/>
      <c r="Q58" s="22"/>
      <c r="R58" s="190"/>
      <c r="S58" s="196">
        <f t="shared" si="24"/>
        <v>1</v>
      </c>
      <c r="T58" s="190" t="str">
        <f t="shared" si="4"/>
        <v>Southbound</v>
      </c>
      <c r="U58" s="190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1" t="str">
        <f t="shared" si="5"/>
        <v>https://d0f6bd738d7f1b3e5a7ca70fe4ff75f0.us-east-1.aws.found.io/app/kibana#/discover/Steve-Slow-Train-Analysis-(2080s-and-2083s)?_g=(refreshInterval:(display:Off,pause:!f,section:0,value:0),time:(from:'2017-04-28T09:03:56-0600',mode:absolute,to:'2017-04-28T11:51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58" s="192" t="str">
        <f t="shared" si="6"/>
        <v>N</v>
      </c>
      <c r="X58" s="192">
        <f t="shared" si="7"/>
        <v>1</v>
      </c>
      <c r="Y58" s="192">
        <f t="shared" si="8"/>
        <v>23.2987</v>
      </c>
      <c r="Z58" s="192">
        <f t="shared" si="9"/>
        <v>1.41E-2</v>
      </c>
      <c r="AA58" s="192">
        <f t="shared" si="10"/>
        <v>23.284600000000001</v>
      </c>
      <c r="AB58" s="57" t="e">
        <f>VLOOKUP(A58,Enforcements!$C$7:$K$13,8,0)</f>
        <v>#N/A</v>
      </c>
      <c r="AC58" s="53" t="e">
        <f>VLOOKUP(A58,Enforcements!$C$7:$E$13,3,0)</f>
        <v>#N/A</v>
      </c>
      <c r="AD58" s="54" t="str">
        <f t="shared" si="11"/>
        <v>0146-28</v>
      </c>
      <c r="AE58" s="80" t="str">
        <f t="shared" si="12"/>
        <v>aws s3 cp s3://rtdc.mdm.uploadarchive.raw/RTDC4007/ "%USERPROFILE%\AppData\Local\Temp\OnboardLogs"\RTDC4007\2017-04-28 --exclude "*" --recursive --include "*20170428*" &amp; "%USERPROFILE%\Documents\GitHub\mrs-test-scripts\Headless Mode &amp; Sideloading\WalkAndUnGZ.bat" "%USERPROFILE%\AppData\Local\Temp\OnboardLogs"\RTDC4007\2017-04-28 &amp; aws s3 cp s3://rtdc.mdm.uploadarchive.raw/RTDC4007/ "%USERPROFILE%\AppData\Local\Temp\OnboardLogs"\RTDC4007\2017-04-29 --exclude "*" --recursive --include "*20170429*" &amp; "%USERPROFILE%\Documents\GitHub\mrs-test-scripts\Headless Mode &amp; Sideloading\WalkAndUnGZ.bat" "%USERPROFILE%\AppData\Local\Temp\OnboardLogs"\RTDC4007\2017-04-29</v>
      </c>
      <c r="AF58" s="77" t="str">
        <f t="shared" si="13"/>
        <v>"C:\Program Files (x86)\AstroGrep\AstroGrep.exe" /e /r /s /spath="%USERPROFILE%\AppData\Local\Temp\OnboardLogs" /stypes="app*4007*20170428*" /stext=" 16:.+((SYSTEM_STATE.+slice.+state.+changed )|(ment ac)|(multiple cpu faults)|(system.+state.+changed )|(\[timeout)|(PRM\|1\|D)|(kpr)|(kdp)|(train.+moving)|(\|lc)|(penalty))"</v>
      </c>
      <c r="AG58" s="1" t="str">
        <f t="shared" si="14"/>
        <v>EC</v>
      </c>
      <c r="AH58" s="81" t="str">
        <f t="shared" si="19"/>
        <v>"%USERPROFILE%\Documents\GitHub\eaglep3\Utilities\RefineRTDCRunTimes.py" --tripid 146-28 --locoid 4007 --swversion DE.1.0.9.0 --startMP 204:232987 --initTime 2017-04-28T10:03:56 --startdatetime 2017-04-28T10:11:24 --delay 1 --endMP 204:141 --enddatetime 2017-04-28T10:51:03 --enforcementcount 0 &gt;&gt;C:\Users\stu\Documents\GitHub\eaglep3-reporting\EC\2017-04-28-refined-times.txt</v>
      </c>
      <c r="AI58" s="99" t="str">
        <f t="shared" si="20"/>
        <v>echo {"issue":{"subject":"","project_id":79,"tracker_id":40,"status_id":1,"priority_id":2,"assigned_to_id":23,"start_date":"2017-04-28","description":"","custom_fields":[{"id":1,"name":"Subdivision","value":"EC"},{"id":4,"name":"Milepost","value":"0.0141"},{"id":17,"name":"Train ID","value":"146-28"},{"id":16,"name":"Locomotive ID","value":"4007"},{"id":130,"name":"Impact","value":""},{"id":150,"name":"Time of Event (Mountain Time)","value":"10:51:03"},{"id":151,"name":"Denver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5" t="str">
        <f t="shared" si="21"/>
        <v>start /low /b %USERPROFILE%\Documents\GitHub\eaglep3\Utilities\DownloadLogsFromS3.py --loco 4007 --day 2017-04-28</v>
      </c>
      <c r="AN58" s="154" t="str">
        <f t="shared" si="22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16:51:03"},{"id":29,"name":"Sharepoint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708</v>
      </c>
      <c r="B59" s="7">
        <v>4028</v>
      </c>
      <c r="C59" s="21" t="s">
        <v>211</v>
      </c>
      <c r="D59" s="21" t="s">
        <v>478</v>
      </c>
      <c r="E59" s="13">
        <v>42853.39303240741</v>
      </c>
      <c r="F59" s="13">
        <v>42853.395983796298</v>
      </c>
      <c r="G59" s="7">
        <v>1</v>
      </c>
      <c r="H59" s="21" t="s">
        <v>468</v>
      </c>
      <c r="I59" s="13">
        <v>42853.420486111114</v>
      </c>
      <c r="J59" s="7">
        <v>0</v>
      </c>
      <c r="K59" s="92" t="str">
        <f t="shared" si="0"/>
        <v>4027/4028</v>
      </c>
      <c r="L59" s="21" t="str">
        <f>VLOOKUP(A59,'Trips&amp;Operators'!$C$1:$G$99999,5,FALSE)</f>
        <v>MENGES BRAD</v>
      </c>
      <c r="M59" s="6">
        <f t="shared" si="1"/>
        <v>2.4502314816345461E-2</v>
      </c>
      <c r="N59" s="7">
        <f t="shared" si="23"/>
        <v>35.283333335537463</v>
      </c>
      <c r="O59" s="7"/>
      <c r="P59" s="7"/>
      <c r="Q59" s="22"/>
      <c r="R59" s="190"/>
      <c r="S59" s="196">
        <f t="shared" si="24"/>
        <v>1</v>
      </c>
      <c r="T59" s="190" t="str">
        <f t="shared" si="4"/>
        <v>NorthBound</v>
      </c>
      <c r="U59" s="190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1" t="str">
        <f t="shared" si="5"/>
        <v>https://d0f6bd738d7f1b3e5a7ca70fe4ff75f0.us-east-1.aws.found.io/app/kibana#/discover/Steve-Slow-Train-Analysis-(2080s-and-2083s)?_g=(refreshInterval:(display:Off,pause:!f,section:0,value:0),time:(from:'2017-04-28T08:25:58-0600',mode:absolute,to:'2017-04-28T11:05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59" s="192" t="str">
        <f t="shared" si="6"/>
        <v>N</v>
      </c>
      <c r="X59" s="192">
        <f t="shared" ref="X59:X63" si="25">VALUE(LEFT(AD59,4))-VALUE(LEFT(AD58,4))</f>
        <v>1</v>
      </c>
      <c r="Y59" s="192">
        <f t="shared" si="8"/>
        <v>4.53E-2</v>
      </c>
      <c r="Z59" s="192">
        <f t="shared" si="9"/>
        <v>23.328600000000002</v>
      </c>
      <c r="AA59" s="192">
        <f t="shared" si="10"/>
        <v>23.283300000000001</v>
      </c>
      <c r="AB59" s="57" t="e">
        <f>VLOOKUP(A59,Enforcements!$C$7:$K$13,8,0)</f>
        <v>#N/A</v>
      </c>
      <c r="AC59" s="53" t="e">
        <f>VLOOKUP(A59,Enforcements!$C$7:$E$13,3,0)</f>
        <v>#N/A</v>
      </c>
      <c r="AD59" s="54" t="str">
        <f t="shared" si="11"/>
        <v>0147-28</v>
      </c>
      <c r="AE59" s="80" t="str">
        <f t="shared" si="12"/>
        <v>aws s3 cp s3://rtdc.mdm.uploadarchive.raw/RTDC4028/ "%USERPROFILE%\AppData\Local\Temp\OnboardLogs"\RTDC4028\2017-04-28 --exclude "*" --recursive --include "*20170428*" &amp; "%USERPROFILE%\Documents\GitHub\mrs-test-scripts\Headless Mode &amp; Sideloading\WalkAndUnGZ.bat" "%USERPROFILE%\AppData\Local\Temp\OnboardLogs"\RTDC4028\2017-04-28 &amp; aws s3 cp s3://rtdc.mdm.uploadarchive.raw/RTDC4028/ "%USERPROFILE%\AppData\Local\Temp\OnboardLogs"\RTDC4028\2017-04-29 --exclude "*" --recursive --include "*20170429*" &amp; "%USERPROFILE%\Documents\GitHub\mrs-test-scripts\Headless Mode &amp; Sideloading\WalkAndUnGZ.bat" "%USERPROFILE%\AppData\Local\Temp\OnboardLogs"\RTDC4028\2017-04-29</v>
      </c>
      <c r="AF59" s="77" t="str">
        <f t="shared" si="13"/>
        <v>"C:\Program Files (x86)\AstroGrep\AstroGrep.exe" /e /r /s /spath="%USERPROFILE%\AppData\Local\Temp\OnboardLogs" /stypes="app*4028*20170428*" /stext=" 16:.+((SYSTEM_STATE.+slice.+state.+changed )|(ment ac)|(multiple cpu faults)|(system.+state.+changed )|(\[timeout)|(PRM\|1\|D)|(kpr)|(kdp)|(train.+moving)|(\|lc)|(penalty))"</v>
      </c>
      <c r="AG59" s="1" t="str">
        <f t="shared" si="14"/>
        <v>EC</v>
      </c>
      <c r="AH59" s="81" t="str">
        <f t="shared" si="19"/>
        <v>"%USERPROFILE%\Documents\GitHub\eaglep3\Utilities\RefineRTDCRunTimes.py" --tripid 147-28 --locoid 4028 --swversion DE.1.0.9.0 --startMP 204:453 --initTime 2017-04-28T09:25:58 --startdatetime 2017-04-28T09:30:13 --delay 1 --endMP 204:233286 --enddatetime 2017-04-28T10:05:30 --enforcementcount 0 &gt;&gt;C:\Users\stu\Documents\GitHub\eaglep3-reporting\EC\2017-04-28-refined-times.txt</v>
      </c>
      <c r="AI59" s="99" t="str">
        <f t="shared" si="20"/>
        <v>echo {"issue":{"subject":"","project_id":79,"tracker_id":40,"status_id":1,"priority_id":2,"assigned_to_id":23,"start_date":"2017-04-28","description":"","custom_fields":[{"id":1,"name":"Subdivision","value":"EC"},{"id":4,"name":"Milepost","value":"23.3286"},{"id":17,"name":"Train ID","value":"147-28"},{"id":16,"name":"Locomotive ID","value":"4028"},{"id":130,"name":"Impact","value":""},{"id":150,"name":"Time of Event (Mountain Time)","value":"10:05:30"},{"id":151,"name":"Denver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5" t="str">
        <f t="shared" si="21"/>
        <v>start /low /b %USERPROFILE%\Documents\GitHub\eaglep3\Utilities\DownloadLogsFromS3.py --loco 4028 --day 2017-04-28</v>
      </c>
      <c r="AN59" s="154" t="str">
        <f t="shared" si="22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16:05:30"},{"id":29,"name":"Sharepoint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716</v>
      </c>
      <c r="B60" s="7">
        <v>4027</v>
      </c>
      <c r="C60" s="21" t="s">
        <v>211</v>
      </c>
      <c r="D60" s="21" t="s">
        <v>484</v>
      </c>
      <c r="E60" s="13">
        <v>42853.424837962964</v>
      </c>
      <c r="F60" s="13">
        <v>42853.434895833336</v>
      </c>
      <c r="G60" s="7">
        <v>1</v>
      </c>
      <c r="H60" s="21" t="s">
        <v>387</v>
      </c>
      <c r="I60" s="13">
        <v>42853.462175925924</v>
      </c>
      <c r="J60" s="7">
        <v>0</v>
      </c>
      <c r="K60" s="92" t="str">
        <f t="shared" si="0"/>
        <v>4027/4028</v>
      </c>
      <c r="L60" s="21" t="str">
        <f>VLOOKUP(A60,'Trips&amp;Operators'!$C$1:$G$99999,5,FALSE)</f>
        <v>MENGES BRAD</v>
      </c>
      <c r="M60" s="6">
        <f t="shared" si="1"/>
        <v>2.7280092588625848E-2</v>
      </c>
      <c r="N60" s="7">
        <f t="shared" si="23"/>
        <v>39.283333327621222</v>
      </c>
      <c r="O60" s="7"/>
      <c r="P60" s="7"/>
      <c r="Q60" s="22"/>
      <c r="R60" s="190"/>
      <c r="S60" s="196">
        <f t="shared" si="24"/>
        <v>1</v>
      </c>
      <c r="T60" s="190" t="str">
        <f t="shared" si="4"/>
        <v>Southbound</v>
      </c>
      <c r="U60" s="190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1" t="str">
        <f t="shared" si="5"/>
        <v>https://d0f6bd738d7f1b3e5a7ca70fe4ff75f0.us-east-1.aws.found.io/app/kibana#/discover/Steve-Slow-Train-Analysis-(2080s-and-2083s)?_g=(refreshInterval:(display:Off,pause:!f,section:0,value:0),time:(from:'2017-04-28T09:11:46-0600',mode:absolute,to:'2017-04-28T12:05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60" s="192" t="str">
        <f t="shared" si="6"/>
        <v>N</v>
      </c>
      <c r="X60" s="192">
        <f t="shared" si="25"/>
        <v>1</v>
      </c>
      <c r="Y60" s="192">
        <f t="shared" si="8"/>
        <v>23.2973</v>
      </c>
      <c r="Z60" s="192">
        <f t="shared" si="9"/>
        <v>1.4500000000000001E-2</v>
      </c>
      <c r="AA60" s="192">
        <f t="shared" si="10"/>
        <v>23.282799999999998</v>
      </c>
      <c r="AB60" s="57" t="e">
        <f>VLOOKUP(A60,Enforcements!$C$7:$K$13,8,0)</f>
        <v>#N/A</v>
      </c>
      <c r="AC60" s="53" t="e">
        <f>VLOOKUP(A60,Enforcements!$C$7:$E$13,3,0)</f>
        <v>#N/A</v>
      </c>
      <c r="AD60" s="54" t="str">
        <f t="shared" si="11"/>
        <v>0148-28</v>
      </c>
      <c r="AE60" s="80" t="str">
        <f t="shared" si="12"/>
        <v>aws s3 cp s3://rtdc.mdm.uploadarchive.raw/RTDC4027/ "%USERPROFILE%\AppData\Local\Temp\OnboardLogs"\RTDC4027\2017-04-28 --exclude "*" --recursive --include "*20170428*" &amp; "%USERPROFILE%\Documents\GitHub\mrs-test-scripts\Headless Mode &amp; Sideloading\WalkAndUnGZ.bat" "%USERPROFILE%\AppData\Local\Temp\OnboardLogs"\RTDC4027\2017-04-28 &amp; aws s3 cp s3://rtdc.mdm.uploadarchive.raw/RTDC4027/ "%USERPROFILE%\AppData\Local\Temp\OnboardLogs"\RTDC4027\2017-04-29 --exclude "*" --recursive --include "*20170429*" &amp; "%USERPROFILE%\Documents\GitHub\mrs-test-scripts\Headless Mode &amp; Sideloading\WalkAndUnGZ.bat" "%USERPROFILE%\AppData\Local\Temp\OnboardLogs"\RTDC4027\2017-04-29</v>
      </c>
      <c r="AF60" s="77" t="str">
        <f t="shared" si="13"/>
        <v>"C:\Program Files (x86)\AstroGrep\AstroGrep.exe" /e /r /s /spath="%USERPROFILE%\AppData\Local\Temp\OnboardLogs" /stypes="app*4027*20170428*" /stext=" 17:.+((SYSTEM_STATE.+slice.+state.+changed )|(ment ac)|(multiple cpu faults)|(system.+state.+changed )|(\[timeout)|(PRM\|1\|D)|(kpr)|(kdp)|(train.+moving)|(\|lc)|(penalty))"</v>
      </c>
      <c r="AG60" s="1" t="str">
        <f t="shared" si="14"/>
        <v>EC</v>
      </c>
      <c r="AH60" s="81" t="str">
        <f t="shared" si="19"/>
        <v>"%USERPROFILE%\Documents\GitHub\eaglep3\Utilities\RefineRTDCRunTimes.py" --tripid 148-28 --locoid 4027 --swversion DE.1.0.9.0 --startMP 204:232973 --initTime 2017-04-28T10:11:46 --startdatetime 2017-04-28T10:26:15 --delay 1 --endMP 204:145 --enddatetime 2017-04-28T11:05:32 --enforcementcount 0 &gt;&gt;C:\Users\stu\Documents\GitHub\eaglep3-reporting\EC\2017-04-28-refined-times.txt</v>
      </c>
      <c r="AI60" s="99" t="str">
        <f t="shared" si="20"/>
        <v>echo {"issue":{"subject":"","project_id":79,"tracker_id":40,"status_id":1,"priority_id":2,"assigned_to_id":23,"start_date":"2017-04-28","description":"","custom_fields":[{"id":1,"name":"Subdivision","value":"EC"},{"id":4,"name":"Milepost","value":"0.0145"},{"id":17,"name":"Train ID","value":"148-28"},{"id":16,"name":"Locomotive ID","value":"4027"},{"id":130,"name":"Impact","value":""},{"id":150,"name":"Time of Event (Mountain Time)","value":"11:05:32"},{"id":151,"name":"Denver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5" t="str">
        <f t="shared" si="21"/>
        <v>start /low /b %USERPROFILE%\Documents\GitHub\eaglep3\Utilities\DownloadLogsFromS3.py --loco 4027 --day 2017-04-28</v>
      </c>
      <c r="AN60" s="154" t="str">
        <f t="shared" si="22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17:05:32"},{"id":29,"name":"Sharepoint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608</v>
      </c>
      <c r="B61" s="7">
        <v>4064</v>
      </c>
      <c r="C61" s="21" t="s">
        <v>211</v>
      </c>
      <c r="D61" s="21" t="s">
        <v>478</v>
      </c>
      <c r="E61" s="13">
        <v>42853.402870370373</v>
      </c>
      <c r="F61" s="13">
        <v>42853.406446759262</v>
      </c>
      <c r="G61" s="7">
        <v>1</v>
      </c>
      <c r="H61" s="21" t="s">
        <v>431</v>
      </c>
      <c r="I61" s="13">
        <v>42853.433275462965</v>
      </c>
      <c r="J61" s="7">
        <v>0</v>
      </c>
      <c r="K61" s="92" t="str">
        <f t="shared" si="0"/>
        <v>4063/4064</v>
      </c>
      <c r="L61" s="21" t="str">
        <f>VLOOKUP(A61,'Trips&amp;Operators'!$C$1:$G$99999,5,FALSE)</f>
        <v>STARKS ANGELINA</v>
      </c>
      <c r="M61" s="6">
        <f t="shared" si="1"/>
        <v>2.6828703703358769E-2</v>
      </c>
      <c r="N61" s="7">
        <f t="shared" si="23"/>
        <v>38.633333332836628</v>
      </c>
      <c r="O61" s="7"/>
      <c r="P61" s="7"/>
      <c r="Q61" s="22"/>
      <c r="R61" s="190"/>
      <c r="S61" s="196">
        <f t="shared" si="24"/>
        <v>1</v>
      </c>
      <c r="T61" s="190" t="str">
        <f t="shared" si="4"/>
        <v>NorthBound</v>
      </c>
      <c r="U61" s="190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1" t="str">
        <f t="shared" si="5"/>
        <v>https://d0f6bd738d7f1b3e5a7ca70fe4ff75f0.us-east-1.aws.found.io/app/kibana#/discover/Steve-Slow-Train-Analysis-(2080s-and-2083s)?_g=(refreshInterval:(display:Off,pause:!f,section:0,value:0),time:(from:'2017-04-28T08:40:08-0600',mode:absolute,to:'2017-04-28T11:23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61" s="192" t="str">
        <f t="shared" si="6"/>
        <v>N</v>
      </c>
      <c r="X61" s="192">
        <f t="shared" si="25"/>
        <v>1</v>
      </c>
      <c r="Y61" s="192">
        <f t="shared" si="8"/>
        <v>4.53E-2</v>
      </c>
      <c r="Z61" s="192">
        <f t="shared" si="9"/>
        <v>23.329699999999999</v>
      </c>
      <c r="AA61" s="192">
        <f t="shared" si="10"/>
        <v>23.284399999999998</v>
      </c>
      <c r="AB61" s="57" t="str">
        <f>VLOOKUP(A61,Enforcements!$C$7:$K$13,8,0)</f>
        <v>Bulletin (2)</v>
      </c>
      <c r="AC61" s="53" t="str">
        <f>VLOOKUP(A61,Enforcements!$C$7:$E$13,3,0)</f>
        <v>GRADE CROSSING</v>
      </c>
      <c r="AD61" s="54" t="str">
        <f t="shared" si="11"/>
        <v>0149-28</v>
      </c>
      <c r="AE61" s="80" t="str">
        <f t="shared" si="12"/>
        <v>aws s3 cp s3://rtdc.mdm.uploadarchive.raw/RTDC4064/ "%USERPROFILE%\AppData\Local\Temp\OnboardLogs"\RTDC4064\2017-04-28 --exclude "*" --recursive --include "*20170428*" &amp; "%USERPROFILE%\Documents\GitHub\mrs-test-scripts\Headless Mode &amp; Sideloading\WalkAndUnGZ.bat" "%USERPROFILE%\AppData\Local\Temp\OnboardLogs"\RTDC4064\2017-04-28 &amp; aws s3 cp s3://rtdc.mdm.uploadarchive.raw/RTDC4064/ "%USERPROFILE%\AppData\Local\Temp\OnboardLogs"\RTDC4064\2017-04-29 --exclude "*" --recursive --include "*20170429*" &amp; "%USERPROFILE%\Documents\GitHub\mrs-test-scripts\Headless Mode &amp; Sideloading\WalkAndUnGZ.bat" "%USERPROFILE%\AppData\Local\Temp\OnboardLogs"\RTDC4064\2017-04-29</v>
      </c>
      <c r="AF61" s="77" t="str">
        <f t="shared" si="13"/>
        <v>"C:\Program Files (x86)\AstroGrep\AstroGrep.exe" /e /r /s /spath="%USERPROFILE%\AppData\Local\Temp\OnboardLogs" /stypes="app*4064*20170428*" /stext=" 16:.+((SYSTEM_STATE.+slice.+state.+changed )|(ment ac)|(multiple cpu faults)|(system.+state.+changed )|(\[timeout)|(PRM\|1\|D)|(kpr)|(kdp)|(train.+moving)|(\|lc)|(penalty))"</v>
      </c>
      <c r="AG61" s="1" t="str">
        <f t="shared" si="14"/>
        <v>EC</v>
      </c>
      <c r="AH61" s="81" t="str">
        <f t="shared" si="19"/>
        <v>"%USERPROFILE%\Documents\GitHub\eaglep3\Utilities\RefineRTDCRunTimes.py" --tripid 149-28 --locoid 4064 --swversion DE.1.0.9.0 --startMP 204:453 --initTime 2017-04-28T09:40:08 --startdatetime 2017-04-28T09:45:17 --delay 1 --endMP 204:233297 --enddatetime 2017-04-28T10:23:55 --enforcementcount 0 &gt;&gt;C:\Users\stu\Documents\GitHub\eaglep3-reporting\EC\2017-04-28-refined-times.txt</v>
      </c>
      <c r="AI61" s="99" t="str">
        <f t="shared" si="20"/>
        <v>echo {"issue":{"subject":"","project_id":79,"tracker_id":40,"status_id":1,"priority_id":2,"assigned_to_id":23,"start_date":"2017-04-28","description":"","custom_fields":[{"id":1,"name":"Subdivision","value":"EC"},{"id":4,"name":"Milepost","value":"23.3297"},{"id":17,"name":"Train ID","value":"149-28"},{"id":16,"name":"Locomotive ID","value":"4064"},{"id":130,"name":"Impact","value":""},{"id":150,"name":"Time of Event (Mountain Time)","value":"10:23:55"},{"id":151,"name":"Denver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5" t="str">
        <f t="shared" si="21"/>
        <v>start /low /b %USERPROFILE%\Documents\GitHub\eaglep3\Utilities\DownloadLogsFromS3.py --loco 4064 --day 2017-04-28</v>
      </c>
      <c r="AN61" s="154" t="str">
        <f t="shared" si="22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16:23:55"},{"id":29,"name":"Sharepoint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718</v>
      </c>
      <c r="B62" s="7">
        <v>4063</v>
      </c>
      <c r="C62" s="21" t="s">
        <v>211</v>
      </c>
      <c r="D62" s="21" t="s">
        <v>509</v>
      </c>
      <c r="E62" s="13">
        <v>42853.442488425928</v>
      </c>
      <c r="F62" s="13">
        <v>42853.445335648146</v>
      </c>
      <c r="G62" s="7">
        <v>1</v>
      </c>
      <c r="H62" s="21" t="s">
        <v>198</v>
      </c>
      <c r="I62" s="13">
        <v>42853.473668981482</v>
      </c>
      <c r="J62" s="7">
        <v>0</v>
      </c>
      <c r="K62" s="92" t="str">
        <f t="shared" si="0"/>
        <v>4063/4064</v>
      </c>
      <c r="L62" s="21" t="str">
        <f>VLOOKUP(A62,'Trips&amp;Operators'!$C$1:$G$99999,5,FALSE)</f>
        <v>STARKS ANGELINA</v>
      </c>
      <c r="M62" s="6">
        <f t="shared" si="1"/>
        <v>2.8333333335467614E-2</v>
      </c>
      <c r="N62" s="7">
        <f t="shared" si="23"/>
        <v>40.800000003073364</v>
      </c>
      <c r="O62" s="7"/>
      <c r="P62" s="7"/>
      <c r="Q62" s="22"/>
      <c r="R62" s="190"/>
      <c r="S62" s="196">
        <f t="shared" si="24"/>
        <v>1</v>
      </c>
      <c r="T62" s="190" t="str">
        <f t="shared" si="4"/>
        <v>Southbound</v>
      </c>
      <c r="U62" s="190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1" t="str">
        <f t="shared" si="5"/>
        <v>https://d0f6bd738d7f1b3e5a7ca70fe4ff75f0.us-east-1.aws.found.io/app/kibana#/discover/Steve-Slow-Train-Analysis-(2080s-and-2083s)?_g=(refreshInterval:(display:Off,pause:!f,section:0,value:0),time:(from:'2017-04-28T09:37:11-0600',mode:absolute,to:'2017-04-28T12:22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62" s="192" t="str">
        <f t="shared" si="6"/>
        <v>N</v>
      </c>
      <c r="X62" s="192">
        <f t="shared" si="25"/>
        <v>1</v>
      </c>
      <c r="Y62" s="192">
        <f t="shared" si="8"/>
        <v>23.298300000000001</v>
      </c>
      <c r="Z62" s="192">
        <f t="shared" si="9"/>
        <v>1.5800000000000002E-2</v>
      </c>
      <c r="AA62" s="192">
        <f t="shared" si="10"/>
        <v>23.282500000000002</v>
      </c>
      <c r="AB62" s="57" t="e">
        <f>VLOOKUP(A62,Enforcements!$C$7:$K$13,8,0)</f>
        <v>#N/A</v>
      </c>
      <c r="AC62" s="53" t="e">
        <f>VLOOKUP(A62,Enforcements!$C$7:$E$13,3,0)</f>
        <v>#N/A</v>
      </c>
      <c r="AD62" s="54" t="str">
        <f t="shared" si="11"/>
        <v>0150-28</v>
      </c>
      <c r="AE62" s="80" t="str">
        <f t="shared" si="12"/>
        <v>aws s3 cp s3://rtdc.mdm.uploadarchive.raw/RTDC4063/ "%USERPROFILE%\AppData\Local\Temp\OnboardLogs"\RTDC4063\2017-04-28 --exclude "*" --recursive --include "*20170428*" &amp; "%USERPROFILE%\Documents\GitHub\mrs-test-scripts\Headless Mode &amp; Sideloading\WalkAndUnGZ.bat" "%USERPROFILE%\AppData\Local\Temp\OnboardLogs"\RTDC4063\2017-04-28 &amp; aws s3 cp s3://rtdc.mdm.uploadarchive.raw/RTDC4063/ "%USERPROFILE%\AppData\Local\Temp\OnboardLogs"\RTDC4063\2017-04-29 --exclude "*" --recursive --include "*20170429*" &amp; "%USERPROFILE%\Documents\GitHub\mrs-test-scripts\Headless Mode &amp; Sideloading\WalkAndUnGZ.bat" "%USERPROFILE%\AppData\Local\Temp\OnboardLogs"\RTDC4063\2017-04-29</v>
      </c>
      <c r="AF62" s="77" t="str">
        <f t="shared" si="13"/>
        <v>"C:\Program Files (x86)\AstroGrep\AstroGrep.exe" /e /r /s /spath="%USERPROFILE%\AppData\Local\Temp\OnboardLogs" /stypes="app*4063*20170428*" /stext=" 17:.+((SYSTEM_STATE.+slice.+state.+changed )|(ment ac)|(multiple cpu faults)|(system.+state.+changed )|(\[timeout)|(PRM\|1\|D)|(kpr)|(kdp)|(train.+moving)|(\|lc)|(penalty))"</v>
      </c>
      <c r="AG62" s="1" t="str">
        <f t="shared" si="14"/>
        <v>EC</v>
      </c>
      <c r="AH62" s="81" t="str">
        <f t="shared" si="19"/>
        <v>"%USERPROFILE%\Documents\GitHub\eaglep3\Utilities\RefineRTDCRunTimes.py" --tripid 150-28 --locoid 4063 --swversion DE.1.0.9.0 --startMP 204:232983 --initTime 2017-04-28T10:37:11 --startdatetime 2017-04-28T10:41:17 --delay 1 --endMP 204:158 --enddatetime 2017-04-28T11:22:05 --enforcementcount 0 &gt;&gt;C:\Users\stu\Documents\GitHub\eaglep3-reporting\EC\2017-04-28-refined-times.txt</v>
      </c>
      <c r="AI62" s="99" t="str">
        <f t="shared" si="20"/>
        <v>echo {"issue":{"subject":"","project_id":79,"tracker_id":40,"status_id":1,"priority_id":2,"assigned_to_id":23,"start_date":"2017-04-28","description":"","custom_fields":[{"id":1,"name":"Subdivision","value":"EC"},{"id":4,"name":"Milepost","value":"0.0158"},{"id":17,"name":"Train ID","value":"150-28"},{"id":16,"name":"Locomotive ID","value":"4063"},{"id":130,"name":"Impact","value":""},{"id":150,"name":"Time of Event (Mountain Time)","value":"11:22:05"},{"id":151,"name":"Denver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5" t="str">
        <f t="shared" si="21"/>
        <v>start /low /b %USERPROFILE%\Documents\GitHub\eaglep3\Utilities\DownloadLogsFromS3.py --loco 4063 --day 2017-04-28</v>
      </c>
      <c r="AN62" s="154" t="str">
        <f t="shared" si="22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17:22:05"},{"id":29,"name":"Sharepoint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712</v>
      </c>
      <c r="B63" s="7">
        <v>4022</v>
      </c>
      <c r="C63" s="21" t="s">
        <v>211</v>
      </c>
      <c r="D63" s="21" t="s">
        <v>390</v>
      </c>
      <c r="E63" s="13">
        <v>42853.411793981482</v>
      </c>
      <c r="F63" s="13">
        <v>42853.416967592595</v>
      </c>
      <c r="G63" s="7">
        <v>1</v>
      </c>
      <c r="H63" s="21" t="s">
        <v>485</v>
      </c>
      <c r="I63" s="13">
        <v>42853.441203703704</v>
      </c>
      <c r="J63" s="7">
        <v>0</v>
      </c>
      <c r="K63" s="92" t="str">
        <f t="shared" si="0"/>
        <v>4021/4022</v>
      </c>
      <c r="L63" s="21" t="str">
        <f>VLOOKUP(A63,'Trips&amp;Operators'!$C$1:$G$99999,5,FALSE)</f>
        <v>LOZA FIDEL</v>
      </c>
      <c r="M63" s="6">
        <f t="shared" si="1"/>
        <v>2.4236111108621117E-2</v>
      </c>
      <c r="N63" s="7">
        <f t="shared" si="23"/>
        <v>34.899999996414408</v>
      </c>
      <c r="O63" s="7"/>
      <c r="P63" s="7"/>
      <c r="Q63" s="22"/>
      <c r="R63" s="190"/>
      <c r="S63" s="196">
        <f t="shared" si="24"/>
        <v>1</v>
      </c>
      <c r="T63" s="190" t="str">
        <f t="shared" si="4"/>
        <v>NorthBound</v>
      </c>
      <c r="U63" s="190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1" t="str">
        <f t="shared" si="5"/>
        <v>https://d0f6bd738d7f1b3e5a7ca70fe4ff75f0.us-east-1.aws.found.io/app/kibana#/discover/Steve-Slow-Train-Analysis-(2080s-and-2083s)?_g=(refreshInterval:(display:Off,pause:!f,section:0,value:0),time:(from:'2017-04-28T08:52:59-0600',mode:absolute,to:'2017-04-28T11:35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63" s="192" t="str">
        <f t="shared" si="6"/>
        <v>N</v>
      </c>
      <c r="X63" s="192">
        <f t="shared" si="25"/>
        <v>1</v>
      </c>
      <c r="Y63" s="192">
        <f t="shared" si="8"/>
        <v>4.58E-2</v>
      </c>
      <c r="Z63" s="192">
        <f t="shared" si="9"/>
        <v>23.329499999999999</v>
      </c>
      <c r="AA63" s="192">
        <f t="shared" si="10"/>
        <v>23.2837</v>
      </c>
      <c r="AB63" s="57" t="e">
        <f>VLOOKUP(A63,Enforcements!$C$7:$K$13,8,0)</f>
        <v>#N/A</v>
      </c>
      <c r="AC63" s="53" t="e">
        <f>VLOOKUP(A63,Enforcements!$C$7:$E$13,3,0)</f>
        <v>#N/A</v>
      </c>
      <c r="AD63" s="54" t="str">
        <f t="shared" si="11"/>
        <v>0151-28</v>
      </c>
      <c r="AE63" s="80" t="str">
        <f t="shared" si="12"/>
        <v>aws s3 cp s3://rtdc.mdm.uploadarchive.raw/RTDC4022/ "%USERPROFILE%\AppData\Local\Temp\OnboardLogs"\RTDC4022\2017-04-28 --exclude "*" --recursive --include "*20170428*" &amp; "%USERPROFILE%\Documents\GitHub\mrs-test-scripts\Headless Mode &amp; Sideloading\WalkAndUnGZ.bat" "%USERPROFILE%\AppData\Local\Temp\OnboardLogs"\RTDC4022\2017-04-28 &amp; aws s3 cp s3://rtdc.mdm.uploadarchive.raw/RTDC4022/ "%USERPROFILE%\AppData\Local\Temp\OnboardLogs"\RTDC4022\2017-04-29 --exclude "*" --recursive --include "*20170429*" &amp; "%USERPROFILE%\Documents\GitHub\mrs-test-scripts\Headless Mode &amp; Sideloading\WalkAndUnGZ.bat" "%USERPROFILE%\AppData\Local\Temp\OnboardLogs"\RTDC4022\2017-04-29</v>
      </c>
      <c r="AF63" s="77" t="str">
        <f t="shared" si="13"/>
        <v>"C:\Program Files (x86)\AstroGrep\AstroGrep.exe" /e /r /s /spath="%USERPROFILE%\AppData\Local\Temp\OnboardLogs" /stypes="app*4022*20170428*" /stext=" 16:.+((SYSTEM_STATE.+slice.+state.+changed )|(ment ac)|(multiple cpu faults)|(system.+state.+changed )|(\[timeout)|(PRM\|1\|D)|(kpr)|(kdp)|(train.+moving)|(\|lc)|(penalty))"</v>
      </c>
      <c r="AG63" s="1" t="str">
        <f t="shared" si="14"/>
        <v>EC</v>
      </c>
      <c r="AH63" s="81" t="str">
        <f t="shared" si="19"/>
        <v>"%USERPROFILE%\Documents\GitHub\eaglep3\Utilities\RefineRTDCRunTimes.py" --tripid 151-28 --locoid 4022 --swversion DE.1.0.9.0 --startMP 204:458 --initTime 2017-04-28T09:52:59 --startdatetime 2017-04-28T10:00:26 --delay 1 --endMP 204:233295 --enddatetime 2017-04-28T10:35:20 --enforcementcount 0 &gt;&gt;C:\Users\stu\Documents\GitHub\eaglep3-reporting\EC\2017-04-28-refined-times.txt</v>
      </c>
      <c r="AI63" s="99" t="str">
        <f t="shared" si="20"/>
        <v>echo {"issue":{"subject":"","project_id":79,"tracker_id":40,"status_id":1,"priority_id":2,"assigned_to_id":23,"start_date":"2017-04-28","description":"","custom_fields":[{"id":1,"name":"Subdivision","value":"EC"},{"id":4,"name":"Milepost","value":"23.3295"},{"id":17,"name":"Train ID","value":"151-28"},{"id":16,"name":"Locomotive ID","value":"4022"},{"id":130,"name":"Impact","value":""},{"id":150,"name":"Time of Event (Mountain Time)","value":"10:35:20"},{"id":151,"name":"Denver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5" t="str">
        <f t="shared" si="21"/>
        <v>start /low /b %USERPROFILE%\Documents\GitHub\eaglep3\Utilities\DownloadLogsFromS3.py --loco 4022 --day 2017-04-28</v>
      </c>
      <c r="AN63" s="154" t="str">
        <f t="shared" si="22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16:35:20"},{"id":29,"name":"Sharepoint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720</v>
      </c>
      <c r="B64" s="7">
        <v>4021</v>
      </c>
      <c r="C64" s="21" t="s">
        <v>211</v>
      </c>
      <c r="D64" s="21" t="s">
        <v>506</v>
      </c>
      <c r="E64" s="13">
        <v>42853.44703703704</v>
      </c>
      <c r="F64" s="13">
        <v>42853.456053240741</v>
      </c>
      <c r="G64" s="7">
        <v>1</v>
      </c>
      <c r="H64" s="21" t="s">
        <v>208</v>
      </c>
      <c r="I64" s="13">
        <v>42853.482129629629</v>
      </c>
      <c r="J64" s="7">
        <v>0</v>
      </c>
      <c r="K64" s="92" t="str">
        <f t="shared" si="0"/>
        <v>4021/4022</v>
      </c>
      <c r="L64" s="21" t="str">
        <f>VLOOKUP(A64,'Trips&amp;Operators'!$C$1:$G$99999,5,FALSE)</f>
        <v>LOZA FIDEL</v>
      </c>
      <c r="M64" s="6">
        <f t="shared" si="1"/>
        <v>2.6076388887304347E-2</v>
      </c>
      <c r="N64" s="7">
        <f t="shared" si="23"/>
        <v>37.54999999771826</v>
      </c>
      <c r="O64" s="7"/>
      <c r="P64" s="7"/>
      <c r="Q64" s="22"/>
      <c r="R64" s="190"/>
      <c r="S64" s="196">
        <f t="shared" si="24"/>
        <v>1</v>
      </c>
      <c r="T64" s="190" t="str">
        <f t="shared" si="4"/>
        <v>Southbound</v>
      </c>
      <c r="U64" s="190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1" t="str">
        <f t="shared" si="5"/>
        <v>https://d0f6bd738d7f1b3e5a7ca70fe4ff75f0.us-east-1.aws.found.io/app/kibana#/discover/Steve-Slow-Train-Analysis-(2080s-and-2083s)?_g=(refreshInterval:(display:Off,pause:!f,section:0,value:0),time:(from:'2017-04-28T09:43:44-0600',mode:absolute,to:'2017-04-28T12:34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64" s="192" t="str">
        <f t="shared" si="6"/>
        <v>N</v>
      </c>
      <c r="X64" s="192">
        <f t="shared" ref="X64:X95" si="26">VALUE(LEFT(AD64,4))-VALUE(LEFT(AD63,4))</f>
        <v>1</v>
      </c>
      <c r="Y64" s="192">
        <f t="shared" si="8"/>
        <v>23.298200000000001</v>
      </c>
      <c r="Z64" s="192">
        <f t="shared" si="9"/>
        <v>1.47E-2</v>
      </c>
      <c r="AA64" s="192">
        <f t="shared" si="10"/>
        <v>23.2835</v>
      </c>
      <c r="AB64" s="57" t="e">
        <f>VLOOKUP(A64,Enforcements!$C$7:$K$13,8,0)</f>
        <v>#N/A</v>
      </c>
      <c r="AC64" s="53" t="e">
        <f>VLOOKUP(A64,Enforcements!$C$7:$E$13,3,0)</f>
        <v>#N/A</v>
      </c>
      <c r="AD64" s="54" t="str">
        <f t="shared" si="11"/>
        <v>0152-28</v>
      </c>
      <c r="AE64" s="80" t="str">
        <f t="shared" si="12"/>
        <v>aws s3 cp s3://rtdc.mdm.uploadarchive.raw/RTDC4021/ "%USERPROFILE%\AppData\Local\Temp\OnboardLogs"\RTDC4021\2017-04-28 --exclude "*" --recursive --include "*20170428*" &amp; "%USERPROFILE%\Documents\GitHub\mrs-test-scripts\Headless Mode &amp; Sideloading\WalkAndUnGZ.bat" "%USERPROFILE%\AppData\Local\Temp\OnboardLogs"\RTDC4021\2017-04-28 &amp; aws s3 cp s3://rtdc.mdm.uploadarchive.raw/RTDC4021/ "%USERPROFILE%\AppData\Local\Temp\OnboardLogs"\RTDC4021\2017-04-29 --exclude "*" --recursive --include "*20170429*" &amp; "%USERPROFILE%\Documents\GitHub\mrs-test-scripts\Headless Mode &amp; Sideloading\WalkAndUnGZ.bat" "%USERPROFILE%\AppData\Local\Temp\OnboardLogs"\RTDC4021\2017-04-29</v>
      </c>
      <c r="AF64" s="77" t="str">
        <f t="shared" si="13"/>
        <v>"C:\Program Files (x86)\AstroGrep\AstroGrep.exe" /e /r /s /spath="%USERPROFILE%\AppData\Local\Temp\OnboardLogs" /stypes="app*4021*20170428*" /stext=" 17:.+((SYSTEM_STATE.+slice.+state.+changed )|(ment ac)|(multiple cpu faults)|(system.+state.+changed )|(\[timeout)|(PRM\|1\|D)|(kpr)|(kdp)|(train.+moving)|(\|lc)|(penalty))"</v>
      </c>
      <c r="AG64" s="1" t="str">
        <f t="shared" si="14"/>
        <v>EC</v>
      </c>
      <c r="AH64" s="81" t="str">
        <f t="shared" si="19"/>
        <v>"%USERPROFILE%\Documents\GitHub\eaglep3\Utilities\RefineRTDCRunTimes.py" --tripid 152-28 --locoid 4021 --swversion DE.1.0.9.0 --startMP 204:232982 --initTime 2017-04-28T10:43:44 --startdatetime 2017-04-28T10:56:43 --delay 1 --endMP 204:147 --enddatetime 2017-04-28T11:34:16 --enforcementcount 0 &gt;&gt;C:\Users\stu\Documents\GitHub\eaglep3-reporting\EC\2017-04-28-refined-times.txt</v>
      </c>
      <c r="AI64" s="99" t="str">
        <f t="shared" si="20"/>
        <v>echo {"issue":{"subject":"","project_id":79,"tracker_id":40,"status_id":1,"priority_id":2,"assigned_to_id":23,"start_date":"2017-04-28","description":"","custom_fields":[{"id":1,"name":"Subdivision","value":"EC"},{"id":4,"name":"Milepost","value":"0.0147"},{"id":17,"name":"Train ID","value":"152-28"},{"id":16,"name":"Locomotive ID","value":"4021"},{"id":130,"name":"Impact","value":""},{"id":150,"name":"Time of Event (Mountain Time)","value":"11:34:16"},{"id":151,"name":"Denver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5" t="str">
        <f t="shared" si="21"/>
        <v>start /low /b %USERPROFILE%\Documents\GitHub\eaglep3\Utilities\DownloadLogsFromS3.py --loco 4021 --day 2017-04-28</v>
      </c>
      <c r="AN64" s="154" t="str">
        <f t="shared" si="22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17:34:16"},{"id":29,"name":"Sharepoint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714</v>
      </c>
      <c r="B65" s="7">
        <v>4042</v>
      </c>
      <c r="C65" s="21" t="s">
        <v>211</v>
      </c>
      <c r="D65" s="21" t="s">
        <v>390</v>
      </c>
      <c r="E65" s="13">
        <v>42853.422754629632</v>
      </c>
      <c r="F65" s="13">
        <v>42853.427604166667</v>
      </c>
      <c r="G65" s="7">
        <v>1</v>
      </c>
      <c r="H65" s="21" t="s">
        <v>463</v>
      </c>
      <c r="I65" s="13">
        <v>42853.452939814815</v>
      </c>
      <c r="J65" s="7">
        <v>0</v>
      </c>
      <c r="K65" s="92" t="str">
        <f t="shared" si="0"/>
        <v>4041/4042</v>
      </c>
      <c r="L65" s="21" t="str">
        <f>VLOOKUP(A65,'Trips&amp;Operators'!$C$1:$G$99999,5,FALSE)</f>
        <v>BIRENBAUM THOMAS</v>
      </c>
      <c r="M65" s="6">
        <f t="shared" si="1"/>
        <v>2.5335648148029577E-2</v>
      </c>
      <c r="N65" s="7">
        <f t="shared" si="23"/>
        <v>36.483333333162591</v>
      </c>
      <c r="O65" s="7"/>
      <c r="P65" s="7"/>
      <c r="Q65" s="22"/>
      <c r="R65" s="190"/>
      <c r="S65" s="196">
        <f t="shared" si="24"/>
        <v>1</v>
      </c>
      <c r="T65" s="190" t="str">
        <f t="shared" si="4"/>
        <v>NorthBound</v>
      </c>
      <c r="U65" s="190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1" t="str">
        <f t="shared" si="5"/>
        <v>https://d0f6bd738d7f1b3e5a7ca70fe4ff75f0.us-east-1.aws.found.io/app/kibana#/discover/Steve-Slow-Train-Analysis-(2080s-and-2083s)?_g=(refreshInterval:(display:Off,pause:!f,section:0,value:0),time:(from:'2017-04-28T09:08:46-0600',mode:absolute,to:'2017-04-28T11:52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65" s="192" t="str">
        <f t="shared" si="6"/>
        <v>N</v>
      </c>
      <c r="X65" s="192">
        <f t="shared" si="26"/>
        <v>1</v>
      </c>
      <c r="Y65" s="192">
        <f t="shared" si="8"/>
        <v>4.58E-2</v>
      </c>
      <c r="Z65" s="192">
        <f t="shared" si="9"/>
        <v>23.331</v>
      </c>
      <c r="AA65" s="192">
        <f t="shared" si="10"/>
        <v>23.2852</v>
      </c>
      <c r="AB65" s="57" t="e">
        <f>VLOOKUP(A65,Enforcements!$C$7:$K$13,8,0)</f>
        <v>#N/A</v>
      </c>
      <c r="AC65" s="53" t="e">
        <f>VLOOKUP(A65,Enforcements!$C$7:$E$13,3,0)</f>
        <v>#N/A</v>
      </c>
      <c r="AD65" s="54" t="str">
        <f t="shared" si="11"/>
        <v>0153-28</v>
      </c>
      <c r="AE65" s="80" t="str">
        <f t="shared" si="12"/>
        <v>aws s3 cp s3://rtdc.mdm.uploadarchive.raw/RTDC4042/ "%USERPROFILE%\AppData\Local\Temp\OnboardLogs"\RTDC4042\2017-04-28 --exclude "*" --recursive --include "*20170428*" &amp; "%USERPROFILE%\Documents\GitHub\mrs-test-scripts\Headless Mode &amp; Sideloading\WalkAndUnGZ.bat" "%USERPROFILE%\AppData\Local\Temp\OnboardLogs"\RTDC4042\2017-04-28 &amp; aws s3 cp s3://rtdc.mdm.uploadarchive.raw/RTDC4042/ "%USERPROFILE%\AppData\Local\Temp\OnboardLogs"\RTDC4042\2017-04-29 --exclude "*" --recursive --include "*20170429*" &amp; "%USERPROFILE%\Documents\GitHub\mrs-test-scripts\Headless Mode &amp; Sideloading\WalkAndUnGZ.bat" "%USERPROFILE%\AppData\Local\Temp\OnboardLogs"\RTDC4042\2017-04-29</v>
      </c>
      <c r="AF65" s="77" t="str">
        <f t="shared" si="13"/>
        <v>"C:\Program Files (x86)\AstroGrep\AstroGrep.exe" /e /r /s /spath="%USERPROFILE%\AppData\Local\Temp\OnboardLogs" /stypes="app*4042*20170428*" /stext=" 16:.+((SYSTEM_STATE.+slice.+state.+changed )|(ment ac)|(multiple cpu faults)|(system.+state.+changed )|(\[timeout)|(PRM\|1\|D)|(kpr)|(kdp)|(train.+moving)|(\|lc)|(penalty))"</v>
      </c>
      <c r="AG65" s="1" t="str">
        <f t="shared" si="14"/>
        <v>EC</v>
      </c>
      <c r="AH65" s="81" t="str">
        <f t="shared" si="19"/>
        <v>"%USERPROFILE%\Documents\GitHub\eaglep3\Utilities\RefineRTDCRunTimes.py" --tripid 153-28 --locoid 4042 --swversion DE.1.0.9.0 --startMP 204:458 --initTime 2017-04-28T10:08:46 --startdatetime 2017-04-28T10:15:45 --delay 1 --endMP 204:233310 --enddatetime 2017-04-28T10:52:14 --enforcementcount 0 &gt;&gt;C:\Users\stu\Documents\GitHub\eaglep3-reporting\EC\2017-04-28-refined-times.txt</v>
      </c>
      <c r="AI65" s="99" t="str">
        <f t="shared" si="20"/>
        <v>echo {"issue":{"subject":"","project_id":79,"tracker_id":40,"status_id":1,"priority_id":2,"assigned_to_id":23,"start_date":"2017-04-28","description":"","custom_fields":[{"id":1,"name":"Subdivision","value":"EC"},{"id":4,"name":"Milepost","value":"23.331"},{"id":17,"name":"Train ID","value":"153-28"},{"id":16,"name":"Locomotive ID","value":"4042"},{"id":130,"name":"Impact","value":""},{"id":150,"name":"Time of Event (Mountain Time)","value":"10:52:14"},{"id":151,"name":"Denver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5" t="str">
        <f t="shared" si="21"/>
        <v>start /low /b %USERPROFILE%\Documents\GitHub\eaglep3\Utilities\DownloadLogsFromS3.py --loco 4042 --day 2017-04-28</v>
      </c>
      <c r="AN65" s="154" t="str">
        <f t="shared" si="22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16:52:14"},{"id":29,"name":"Sharepoint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723</v>
      </c>
      <c r="B66" s="7">
        <v>4041</v>
      </c>
      <c r="C66" s="21" t="s">
        <v>211</v>
      </c>
      <c r="D66" s="21" t="s">
        <v>509</v>
      </c>
      <c r="E66" s="13">
        <v>42853.459675925929</v>
      </c>
      <c r="F66" s="13">
        <v>42853.466203703705</v>
      </c>
      <c r="G66" s="7">
        <v>1</v>
      </c>
      <c r="H66" s="21" t="s">
        <v>409</v>
      </c>
      <c r="I66" s="13">
        <v>42853.493356481478</v>
      </c>
      <c r="J66" s="7">
        <v>0</v>
      </c>
      <c r="K66" s="92" t="str">
        <f t="shared" si="0"/>
        <v>4041/4042</v>
      </c>
      <c r="L66" s="21" t="str">
        <f>VLOOKUP(A66,'Trips&amp;Operators'!$C$1:$G$99999,5,FALSE)</f>
        <v>BIRENBAUM THOMAS</v>
      </c>
      <c r="M66" s="6">
        <f t="shared" si="1"/>
        <v>2.7152777773153502E-2</v>
      </c>
      <c r="N66" s="7">
        <f t="shared" si="23"/>
        <v>39.099999993341044</v>
      </c>
      <c r="O66" s="7"/>
      <c r="P66" s="7"/>
      <c r="Q66" s="22"/>
      <c r="R66" s="190"/>
      <c r="S66" s="196">
        <f t="shared" si="24"/>
        <v>1</v>
      </c>
      <c r="T66" s="190" t="str">
        <f t="shared" si="4"/>
        <v>Southbound</v>
      </c>
      <c r="U66" s="190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1" t="str">
        <f t="shared" si="5"/>
        <v>https://d0f6bd738d7f1b3e5a7ca70fe4ff75f0.us-east-1.aws.found.io/app/kibana#/discover/Steve-Slow-Train-Analysis-(2080s-and-2083s)?_g=(refreshInterval:(display:Off,pause:!f,section:0,value:0),time:(from:'2017-04-28T10:01:56-0600',mode:absolute,to:'2017-04-28T12:50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66" s="192" t="str">
        <f t="shared" si="6"/>
        <v>N</v>
      </c>
      <c r="X66" s="192">
        <f t="shared" si="26"/>
        <v>1</v>
      </c>
      <c r="Y66" s="192">
        <f t="shared" si="8"/>
        <v>23.298300000000001</v>
      </c>
      <c r="Z66" s="192">
        <f t="shared" si="9"/>
        <v>1.4999999999999999E-2</v>
      </c>
      <c r="AA66" s="192">
        <f t="shared" si="10"/>
        <v>23.283300000000001</v>
      </c>
      <c r="AB66" s="57" t="e">
        <f>VLOOKUP(A66,Enforcements!$C$7:$K$13,8,0)</f>
        <v>#N/A</v>
      </c>
      <c r="AC66" s="53" t="e">
        <f>VLOOKUP(A66,Enforcements!$C$7:$E$13,3,0)</f>
        <v>#N/A</v>
      </c>
      <c r="AD66" s="54" t="str">
        <f t="shared" si="11"/>
        <v>0154-28</v>
      </c>
      <c r="AE66" s="80" t="str">
        <f t="shared" si="12"/>
        <v>aws s3 cp s3://rtdc.mdm.uploadarchive.raw/RTDC4041/ "%USERPROFILE%\AppData\Local\Temp\OnboardLogs"\RTDC4041\2017-04-28 --exclude "*" --recursive --include "*20170428*" &amp; "%USERPROFILE%\Documents\GitHub\mrs-test-scripts\Headless Mode &amp; Sideloading\WalkAndUnGZ.bat" "%USERPROFILE%\AppData\Local\Temp\OnboardLogs"\RTDC4041\2017-04-28 &amp; aws s3 cp s3://rtdc.mdm.uploadarchive.raw/RTDC4041/ "%USERPROFILE%\AppData\Local\Temp\OnboardLogs"\RTDC4041\2017-04-29 --exclude "*" --recursive --include "*20170429*" &amp; "%USERPROFILE%\Documents\GitHub\mrs-test-scripts\Headless Mode &amp; Sideloading\WalkAndUnGZ.bat" "%USERPROFILE%\AppData\Local\Temp\OnboardLogs"\RTDC4041\2017-04-29</v>
      </c>
      <c r="AF66" s="77" t="str">
        <f t="shared" si="13"/>
        <v>"C:\Program Files (x86)\AstroGrep\AstroGrep.exe" /e /r /s /spath="%USERPROFILE%\AppData\Local\Temp\OnboardLogs" /stypes="app*4041*20170428*" /stext=" 17:.+((SYSTEM_STATE.+slice.+state.+changed )|(ment ac)|(multiple cpu faults)|(system.+state.+changed )|(\[timeout)|(PRM\|1\|D)|(kpr)|(kdp)|(train.+moving)|(\|lc)|(penalty))"</v>
      </c>
      <c r="AG66" s="1" t="str">
        <f t="shared" si="14"/>
        <v>EC</v>
      </c>
      <c r="AH66" s="81" t="str">
        <f t="shared" si="19"/>
        <v>"%USERPROFILE%\Documents\GitHub\eaglep3\Utilities\RefineRTDCRunTimes.py" --tripid 154-28 --locoid 4041 --swversion DE.1.0.9.0 --startMP 204:232983 --initTime 2017-04-28T11:01:56 --startdatetime 2017-04-28T11:11:20 --delay 1 --endMP 204:150 --enddatetime 2017-04-28T11:50:26 --enforcementcount 0 &gt;&gt;C:\Users\stu\Documents\GitHub\eaglep3-reporting\EC\2017-04-28-refined-times.txt</v>
      </c>
      <c r="AI66" s="99" t="str">
        <f t="shared" si="20"/>
        <v>echo {"issue":{"subject":"","project_id":79,"tracker_id":40,"status_id":1,"priority_id":2,"assigned_to_id":23,"start_date":"2017-04-28","description":"","custom_fields":[{"id":1,"name":"Subdivision","value":"EC"},{"id":4,"name":"Milepost","value":"0.015"},{"id":17,"name":"Train ID","value":"154-28"},{"id":16,"name":"Locomotive ID","value":"4041"},{"id":130,"name":"Impact","value":""},{"id":150,"name":"Time of Event (Mountain Time)","value":"11:50:26"},{"id":151,"name":"Denver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5" t="str">
        <f t="shared" si="21"/>
        <v>start /low /b %USERPROFILE%\Documents\GitHub\eaglep3\Utilities\DownloadLogsFromS3.py --loco 4041 --day 2017-04-28</v>
      </c>
      <c r="AN66" s="154" t="str">
        <f t="shared" si="22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17:50:26"},{"id":29,"name":"Sharepoint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717</v>
      </c>
      <c r="B67" s="7">
        <v>4016</v>
      </c>
      <c r="C67" s="21" t="s">
        <v>211</v>
      </c>
      <c r="D67" s="21" t="s">
        <v>382</v>
      </c>
      <c r="E67" s="13">
        <v>42853.435023148151</v>
      </c>
      <c r="F67" s="13">
        <v>42853.437731481485</v>
      </c>
      <c r="G67" s="7">
        <v>3</v>
      </c>
      <c r="H67" s="21" t="s">
        <v>485</v>
      </c>
      <c r="I67" s="13">
        <v>42853.463287037041</v>
      </c>
      <c r="J67" s="7">
        <v>0</v>
      </c>
      <c r="K67" s="92" t="str">
        <f t="shared" si="0"/>
        <v>4015/4016</v>
      </c>
      <c r="L67" s="21" t="str">
        <f>VLOOKUP(A67,'Trips&amp;Operators'!$C$1:$G$99999,5,FALSE)</f>
        <v>ZEWDU DEREJE</v>
      </c>
      <c r="M67" s="6">
        <f t="shared" si="1"/>
        <v>2.5555555555911269E-2</v>
      </c>
      <c r="N67" s="7">
        <f t="shared" si="23"/>
        <v>36.800000000512227</v>
      </c>
      <c r="O67" s="7"/>
      <c r="P67" s="7"/>
      <c r="Q67" s="22"/>
      <c r="R67" s="190"/>
      <c r="S67" s="196">
        <f t="shared" si="24"/>
        <v>1</v>
      </c>
      <c r="T67" s="190" t="str">
        <f t="shared" si="4"/>
        <v>NorthBound</v>
      </c>
      <c r="U67" s="190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1" t="str">
        <f t="shared" si="5"/>
        <v>https://d0f6bd738d7f1b3e5a7ca70fe4ff75f0.us-east-1.aws.found.io/app/kibana#/discover/Steve-Slow-Train-Analysis-(2080s-and-2083s)?_g=(refreshInterval:(display:Off,pause:!f,section:0,value:0),time:(from:'2017-04-28T09:26:26-0600',mode:absolute,to:'2017-04-28T12:07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67" s="192" t="str">
        <f t="shared" si="6"/>
        <v>N</v>
      </c>
      <c r="X67" s="192">
        <f t="shared" si="26"/>
        <v>1</v>
      </c>
      <c r="Y67" s="192">
        <f t="shared" si="8"/>
        <v>4.6199999999999998E-2</v>
      </c>
      <c r="Z67" s="192">
        <f t="shared" si="9"/>
        <v>23.329499999999999</v>
      </c>
      <c r="AA67" s="192">
        <f t="shared" si="10"/>
        <v>23.283300000000001</v>
      </c>
      <c r="AB67" s="57" t="e">
        <f>VLOOKUP(A67,Enforcements!$C$7:$K$13,8,0)</f>
        <v>#N/A</v>
      </c>
      <c r="AC67" s="53" t="e">
        <f>VLOOKUP(A67,Enforcements!$C$7:$E$13,3,0)</f>
        <v>#N/A</v>
      </c>
      <c r="AD67" s="54" t="str">
        <f t="shared" si="11"/>
        <v>0155-28</v>
      </c>
      <c r="AE67" s="80" t="str">
        <f t="shared" si="12"/>
        <v>aws s3 cp s3://rtdc.mdm.uploadarchive.raw/RTDC4016/ "%USERPROFILE%\AppData\Local\Temp\OnboardLogs"\RTDC4016\2017-04-28 --exclude "*" --recursive --include "*20170428*" &amp; "%USERPROFILE%\Documents\GitHub\mrs-test-scripts\Headless Mode &amp; Sideloading\WalkAndUnGZ.bat" "%USERPROFILE%\AppData\Local\Temp\OnboardLogs"\RTDC4016\2017-04-28 &amp; aws s3 cp s3://rtdc.mdm.uploadarchive.raw/RTDC4016/ "%USERPROFILE%\AppData\Local\Temp\OnboardLogs"\RTDC4016\2017-04-29 --exclude "*" --recursive --include "*20170429*" &amp; "%USERPROFILE%\Documents\GitHub\mrs-test-scripts\Headless Mode &amp; Sideloading\WalkAndUnGZ.bat" "%USERPROFILE%\AppData\Local\Temp\OnboardLogs"\RTDC4016\2017-04-29</v>
      </c>
      <c r="AF67" s="77" t="str">
        <f t="shared" si="13"/>
        <v>"C:\Program Files (x86)\AstroGrep\AstroGrep.exe" /e /r /s /spath="%USERPROFILE%\AppData\Local\Temp\OnboardLogs" /stypes="app*4016*20170428*" /stext=" 17:.+((SYSTEM_STATE.+slice.+state.+changed )|(ment ac)|(multiple cpu faults)|(system.+state.+changed )|(\[timeout)|(PRM\|1\|D)|(kpr)|(kdp)|(train.+moving)|(\|lc)|(penalty))"</v>
      </c>
      <c r="AG67" s="1" t="str">
        <f t="shared" si="14"/>
        <v>EC</v>
      </c>
      <c r="AH67" s="81" t="str">
        <f t="shared" si="19"/>
        <v>"%USERPROFILE%\Documents\GitHub\eaglep3\Utilities\RefineRTDCRunTimes.py" --tripid 155-28 --locoid 4016 --swversion DE.1.0.9.0 --startMP 204:462 --initTime 2017-04-28T10:26:26 --startdatetime 2017-04-28T10:30:20 --delay 3 --endMP 204:233295 --enddatetime 2017-04-28T11:07:08 --enforcementcount 0 &gt;&gt;C:\Users\stu\Documents\GitHub\eaglep3-reporting\EC\2017-04-28-refined-times.txt</v>
      </c>
      <c r="AI67" s="99" t="str">
        <f t="shared" si="20"/>
        <v>echo {"issue":{"subject":"","project_id":79,"tracker_id":40,"status_id":1,"priority_id":2,"assigned_to_id":23,"start_date":"2017-04-28","description":"","custom_fields":[{"id":1,"name":"Subdivision","value":"EC"},{"id":4,"name":"Milepost","value":"23.3295"},{"id":17,"name":"Train ID","value":"155-28"},{"id":16,"name":"Locomotive ID","value":"4016"},{"id":130,"name":"Impact","value":""},{"id":150,"name":"Time of Event (Mountain Time)","value":"11:07:08"},{"id":151,"name":"Denver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5" t="str">
        <f t="shared" si="21"/>
        <v>start /low /b %USERPROFILE%\Documents\GitHub\eaglep3\Utilities\DownloadLogsFromS3.py --loco 4016 --day 2017-04-28</v>
      </c>
      <c r="AN67" s="154" t="str">
        <f t="shared" si="22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17:07:08"},{"id":29,"name":"Sharepoint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728</v>
      </c>
      <c r="B68" s="7">
        <v>4015</v>
      </c>
      <c r="C68" s="21" t="s">
        <v>211</v>
      </c>
      <c r="D68" s="21" t="s">
        <v>480</v>
      </c>
      <c r="E68" s="13">
        <v>42853.467256944445</v>
      </c>
      <c r="F68" s="13">
        <v>42853.476574074077</v>
      </c>
      <c r="G68" s="7">
        <v>2</v>
      </c>
      <c r="H68" s="21" t="s">
        <v>203</v>
      </c>
      <c r="I68" s="13">
        <v>42853.505057870374</v>
      </c>
      <c r="J68" s="7">
        <v>0</v>
      </c>
      <c r="K68" s="92" t="str">
        <f t="shared" si="0"/>
        <v>4015/4016</v>
      </c>
      <c r="L68" s="21" t="str">
        <f>VLOOKUP(A68,'Trips&amp;Operators'!$C$1:$G$99999,5,FALSE)</f>
        <v>BIRENBAUM THOMAS</v>
      </c>
      <c r="M68" s="6">
        <f t="shared" si="1"/>
        <v>2.8483796297223307E-2</v>
      </c>
      <c r="N68" s="7">
        <f t="shared" si="23"/>
        <v>41.016666668001562</v>
      </c>
      <c r="O68" s="7"/>
      <c r="P68" s="7"/>
      <c r="Q68" s="22"/>
      <c r="R68" s="190"/>
      <c r="S68" s="196">
        <f t="shared" si="24"/>
        <v>1</v>
      </c>
      <c r="T68" s="190" t="str">
        <f t="shared" si="4"/>
        <v>Southbound</v>
      </c>
      <c r="U68" s="190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1" t="str">
        <f t="shared" si="5"/>
        <v>https://d0f6bd738d7f1b3e5a7ca70fe4ff75f0.us-east-1.aws.found.io/app/kibana#/discover/Steve-Slow-Train-Analysis-(2080s-and-2083s)?_g=(refreshInterval:(display:Off,pause:!f,section:0,value:0),time:(from:'2017-04-28T10:12:51-0600',mode:absolute,to:'2017-04-28T13:07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68" s="192" t="str">
        <f t="shared" si="6"/>
        <v>N</v>
      </c>
      <c r="X68" s="192">
        <f t="shared" si="26"/>
        <v>1</v>
      </c>
      <c r="Y68" s="192">
        <f t="shared" si="8"/>
        <v>23.297499999999999</v>
      </c>
      <c r="Z68" s="192">
        <f t="shared" si="9"/>
        <v>1.54E-2</v>
      </c>
      <c r="AA68" s="192">
        <f t="shared" si="10"/>
        <v>23.2821</v>
      </c>
      <c r="AB68" s="57" t="e">
        <f>VLOOKUP(A68,Enforcements!$C$7:$K$13,8,0)</f>
        <v>#N/A</v>
      </c>
      <c r="AC68" s="53" t="e">
        <f>VLOOKUP(A68,Enforcements!$C$7:$E$13,3,0)</f>
        <v>#N/A</v>
      </c>
      <c r="AD68" s="54" t="str">
        <f t="shared" si="11"/>
        <v>0156-28</v>
      </c>
      <c r="AE68" s="80" t="str">
        <f t="shared" si="12"/>
        <v>aws s3 cp s3://rtdc.mdm.uploadarchive.raw/RTDC4015/ "%USERPROFILE%\AppData\Local\Temp\OnboardLogs"\RTDC4015\2017-04-28 --exclude "*" --recursive --include "*20170428*" &amp; "%USERPROFILE%\Documents\GitHub\mrs-test-scripts\Headless Mode &amp; Sideloading\WalkAndUnGZ.bat" "%USERPROFILE%\AppData\Local\Temp\OnboardLogs"\RTDC4015\2017-04-28 &amp; aws s3 cp s3://rtdc.mdm.uploadarchive.raw/RTDC4015/ "%USERPROFILE%\AppData\Local\Temp\OnboardLogs"\RTDC4015\2017-04-29 --exclude "*" --recursive --include "*20170429*" &amp; "%USERPROFILE%\Documents\GitHub\mrs-test-scripts\Headless Mode &amp; Sideloading\WalkAndUnGZ.bat" "%USERPROFILE%\AppData\Local\Temp\OnboardLogs"\RTDC4015\2017-04-29</v>
      </c>
      <c r="AF68" s="77" t="str">
        <f t="shared" si="13"/>
        <v>"C:\Program Files (x86)\AstroGrep\AstroGrep.exe" /e /r /s /spath="%USERPROFILE%\AppData\Local\Temp\OnboardLogs" /stypes="app*4015*20170428*" /stext=" 18:.+((SYSTEM_STATE.+slice.+state.+changed )|(ment ac)|(multiple cpu faults)|(system.+state.+changed )|(\[timeout)|(PRM\|1\|D)|(kpr)|(kdp)|(train.+moving)|(\|lc)|(penalty))"</v>
      </c>
      <c r="AG68" s="1" t="str">
        <f t="shared" si="14"/>
        <v>EC</v>
      </c>
      <c r="AH68" s="81" t="str">
        <f t="shared" si="19"/>
        <v>"%USERPROFILE%\Documents\GitHub\eaglep3\Utilities\RefineRTDCRunTimes.py" --tripid 156-28 --locoid 4015 --swversion DE.1.0.9.0 --startMP 204:232975 --initTime 2017-04-28T11:12:51 --startdatetime 2017-04-28T11:26:16 --delay 2 --endMP 204:154 --enddatetime 2017-04-28T12:07:17 --enforcementcount 0 &gt;&gt;C:\Users\stu\Documents\GitHub\eaglep3-reporting\EC\2017-04-28-refined-times.txt</v>
      </c>
      <c r="AI68" s="99" t="str">
        <f t="shared" si="20"/>
        <v>echo {"issue":{"subject":"","project_id":79,"tracker_id":40,"status_id":1,"priority_id":2,"assigned_to_id":23,"start_date":"2017-04-28","description":"","custom_fields":[{"id":1,"name":"Subdivision","value":"EC"},{"id":4,"name":"Milepost","value":"0.0154"},{"id":17,"name":"Train ID","value":"156-28"},{"id":16,"name":"Locomotive ID","value":"4015"},{"id":130,"name":"Impact","value":""},{"id":150,"name":"Time of Event (Mountain Time)","value":"12:07:17"},{"id":151,"name":"Denver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5" t="str">
        <f t="shared" si="21"/>
        <v>start /low /b %USERPROFILE%\Documents\GitHub\eaglep3\Utilities\DownloadLogsFromS3.py --loco 4015 --day 2017-04-28</v>
      </c>
      <c r="AN68" s="154" t="str">
        <f t="shared" si="22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18:07:17"},{"id":29,"name":"Sharepoint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719</v>
      </c>
      <c r="B69" s="7">
        <v>4052</v>
      </c>
      <c r="C69" s="21" t="s">
        <v>211</v>
      </c>
      <c r="D69" s="21" t="s">
        <v>436</v>
      </c>
      <c r="E69" s="13">
        <v>42853.446689814817</v>
      </c>
      <c r="F69" s="13">
        <v>42853.448159722226</v>
      </c>
      <c r="G69" s="7">
        <v>1</v>
      </c>
      <c r="H69" s="21" t="s">
        <v>876</v>
      </c>
      <c r="I69" s="13">
        <v>42853.47283564815</v>
      </c>
      <c r="J69" s="7">
        <v>0</v>
      </c>
      <c r="K69" s="92" t="str">
        <f t="shared" si="0"/>
        <v>4051/4052</v>
      </c>
      <c r="L69" s="21" t="str">
        <f>VLOOKUP(A69,'Trips&amp;Operators'!$C$1:$G$99999,5,FALSE)</f>
        <v>ROCHA YAOTL</v>
      </c>
      <c r="M69" s="6">
        <f t="shared" si="1"/>
        <v>2.4675925924384501E-2</v>
      </c>
      <c r="N69" s="7">
        <f t="shared" si="23"/>
        <v>35.533333331113681</v>
      </c>
      <c r="O69" s="7"/>
      <c r="P69" s="7"/>
      <c r="Q69" s="22"/>
      <c r="R69" s="190"/>
      <c r="S69" s="196">
        <f t="shared" si="24"/>
        <v>1</v>
      </c>
      <c r="T69" s="190" t="str">
        <f t="shared" si="4"/>
        <v>NorthBound</v>
      </c>
      <c r="U69" s="190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1" t="str">
        <f t="shared" si="5"/>
        <v>https://d0f6bd738d7f1b3e5a7ca70fe4ff75f0.us-east-1.aws.found.io/app/kibana#/discover/Steve-Slow-Train-Analysis-(2080s-and-2083s)?_g=(refreshInterval:(display:Off,pause:!f,section:0,value:0),time:(from:'2017-04-28T09:43:14-0600',mode:absolute,to:'2017-04-28T12:20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69" s="192" t="str">
        <f t="shared" si="6"/>
        <v>N</v>
      </c>
      <c r="X69" s="192">
        <f t="shared" si="26"/>
        <v>1</v>
      </c>
      <c r="Y69" s="192">
        <f t="shared" si="8"/>
        <v>4.6399999999999997E-2</v>
      </c>
      <c r="Z69" s="192">
        <f t="shared" si="9"/>
        <v>23.328099999999999</v>
      </c>
      <c r="AA69" s="192">
        <f t="shared" si="10"/>
        <v>23.281700000000001</v>
      </c>
      <c r="AB69" s="57" t="e">
        <f>VLOOKUP(A69,Enforcements!$C$7:$K$13,8,0)</f>
        <v>#N/A</v>
      </c>
      <c r="AC69" s="53" t="e">
        <f>VLOOKUP(A69,Enforcements!$C$7:$E$13,3,0)</f>
        <v>#N/A</v>
      </c>
      <c r="AD69" s="54" t="str">
        <f t="shared" si="11"/>
        <v>0157-28</v>
      </c>
      <c r="AE69" s="80" t="str">
        <f t="shared" si="12"/>
        <v>aws s3 cp s3://rtdc.mdm.uploadarchive.raw/RTDC4052/ "%USERPROFILE%\AppData\Local\Temp\OnboardLogs"\RTDC4052\2017-04-28 --exclude "*" --recursive --include "*20170428*" &amp; "%USERPROFILE%\Documents\GitHub\mrs-test-scripts\Headless Mode &amp; Sideloading\WalkAndUnGZ.bat" "%USERPROFILE%\AppData\Local\Temp\OnboardLogs"\RTDC4052\2017-04-28 &amp; aws s3 cp s3://rtdc.mdm.uploadarchive.raw/RTDC4052/ "%USERPROFILE%\AppData\Local\Temp\OnboardLogs"\RTDC4052\2017-04-29 --exclude "*" --recursive --include "*20170429*" &amp; "%USERPROFILE%\Documents\GitHub\mrs-test-scripts\Headless Mode &amp; Sideloading\WalkAndUnGZ.bat" "%USERPROFILE%\AppData\Local\Temp\OnboardLogs"\RTDC4052\2017-04-29</v>
      </c>
      <c r="AF69" s="77" t="str">
        <f t="shared" si="13"/>
        <v>"C:\Program Files (x86)\AstroGrep\AstroGrep.exe" /e /r /s /spath="%USERPROFILE%\AppData\Local\Temp\OnboardLogs" /stypes="app*4052*20170428*" /stext=" 17:.+((SYSTEM_STATE.+slice.+state.+changed )|(ment ac)|(multiple cpu faults)|(system.+state.+changed )|(\[timeout)|(PRM\|1\|D)|(kpr)|(kdp)|(train.+moving)|(\|lc)|(penalty))"</v>
      </c>
      <c r="AG69" s="1" t="str">
        <f t="shared" si="14"/>
        <v>EC</v>
      </c>
      <c r="AH69" s="81" t="str">
        <f t="shared" si="19"/>
        <v>"%USERPROFILE%\Documents\GitHub\eaglep3\Utilities\RefineRTDCRunTimes.py" --tripid 157-28 --locoid 4052 --swversion DE.1.0.9.0 --startMP 204:464 --initTime 2017-04-28T10:43:14 --startdatetime 2017-04-28T10:45:21 --delay 1 --endMP 204:233281 --enddatetime 2017-04-28T11:20:53 --enforcementcount 0 &gt;&gt;C:\Users\stu\Documents\GitHub\eaglep3-reporting\EC\2017-04-28-refined-times.txt</v>
      </c>
      <c r="AI69" s="99" t="str">
        <f t="shared" si="20"/>
        <v>echo {"issue":{"subject":"","project_id":79,"tracker_id":40,"status_id":1,"priority_id":2,"assigned_to_id":23,"start_date":"2017-04-28","description":"","custom_fields":[{"id":1,"name":"Subdivision","value":"EC"},{"id":4,"name":"Milepost","value":"23.3281"},{"id":17,"name":"Train ID","value":"157-28"},{"id":16,"name":"Locomotive ID","value":"4052"},{"id":130,"name":"Impact","value":""},{"id":150,"name":"Time of Event (Mountain Time)","value":"11:20:53"},{"id":151,"name":"Denver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5" t="str">
        <f t="shared" si="21"/>
        <v>start /low /b %USERPROFILE%\Documents\GitHub\eaglep3\Utilities\DownloadLogsFromS3.py --loco 4052 --day 2017-04-28</v>
      </c>
      <c r="AN69" s="154" t="str">
        <f t="shared" si="22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17:20:53"},{"id":29,"name":"Sharepoint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731</v>
      </c>
      <c r="B70" s="7">
        <v>4051</v>
      </c>
      <c r="C70" s="21" t="s">
        <v>211</v>
      </c>
      <c r="D70" s="21" t="s">
        <v>374</v>
      </c>
      <c r="E70" s="13">
        <v>42853.485659722224</v>
      </c>
      <c r="F70" s="13">
        <v>42853.487280092595</v>
      </c>
      <c r="G70" s="7">
        <v>0</v>
      </c>
      <c r="H70" s="21" t="s">
        <v>877</v>
      </c>
      <c r="I70" s="13">
        <v>42853.512615740743</v>
      </c>
      <c r="J70" s="7">
        <v>0</v>
      </c>
      <c r="K70" s="92" t="str">
        <f t="shared" si="0"/>
        <v>4051/4052</v>
      </c>
      <c r="L70" s="21" t="str">
        <f>VLOOKUP(A70,'Trips&amp;Operators'!$C$1:$G$99999,5,FALSE)</f>
        <v>ROCHA YAOTL</v>
      </c>
      <c r="M70" s="6">
        <f t="shared" si="1"/>
        <v>2.5335648148029577E-2</v>
      </c>
      <c r="N70" s="7">
        <f t="shared" si="23"/>
        <v>36.483333333162591</v>
      </c>
      <c r="O70" s="7"/>
      <c r="P70" s="7"/>
      <c r="Q70" s="22"/>
      <c r="R70" s="190"/>
      <c r="S70" s="196">
        <f t="shared" si="24"/>
        <v>1</v>
      </c>
      <c r="T70" s="190" t="str">
        <f t="shared" si="4"/>
        <v>Southbound</v>
      </c>
      <c r="U70" s="190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1" t="str">
        <f t="shared" si="5"/>
        <v>https://d0f6bd738d7f1b3e5a7ca70fe4ff75f0.us-east-1.aws.found.io/app/kibana#/discover/Steve-Slow-Train-Analysis-(2080s-and-2083s)?_g=(refreshInterval:(display:Off,pause:!f,section:0,value:0),time:(from:'2017-04-28T10:39:21-0600',mode:absolute,to:'2017-04-28T13:18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70" s="192" t="str">
        <f t="shared" si="6"/>
        <v>N</v>
      </c>
      <c r="X70" s="192">
        <f t="shared" si="26"/>
        <v>1</v>
      </c>
      <c r="Y70" s="192">
        <f t="shared" si="8"/>
        <v>23.297699999999999</v>
      </c>
      <c r="Z70" s="192">
        <f t="shared" si="9"/>
        <v>1.6299999999999999E-2</v>
      </c>
      <c r="AA70" s="192">
        <f t="shared" si="10"/>
        <v>23.281399999999998</v>
      </c>
      <c r="AB70" s="57" t="e">
        <f>VLOOKUP(A70,Enforcements!$C$7:$K$13,8,0)</f>
        <v>#N/A</v>
      </c>
      <c r="AC70" s="53" t="e">
        <f>VLOOKUP(A70,Enforcements!$C$7:$E$13,3,0)</f>
        <v>#N/A</v>
      </c>
      <c r="AD70" s="54" t="str">
        <f t="shared" si="11"/>
        <v>0158-28</v>
      </c>
      <c r="AE70" s="80" t="str">
        <f t="shared" si="12"/>
        <v>aws s3 cp s3://rtdc.mdm.uploadarchive.raw/RTDC4051/ "%USERPROFILE%\AppData\Local\Temp\OnboardLogs"\RTDC4051\2017-04-28 --exclude "*" --recursive --include "*20170428*" &amp; "%USERPROFILE%\Documents\GitHub\mrs-test-scripts\Headless Mode &amp; Sideloading\WalkAndUnGZ.bat" "%USERPROFILE%\AppData\Local\Temp\OnboardLogs"\RTDC4051\2017-04-28 &amp; aws s3 cp s3://rtdc.mdm.uploadarchive.raw/RTDC4051/ "%USERPROFILE%\AppData\Local\Temp\OnboardLogs"\RTDC4051\2017-04-29 --exclude "*" --recursive --include "*20170429*" &amp; "%USERPROFILE%\Documents\GitHub\mrs-test-scripts\Headless Mode &amp; Sideloading\WalkAndUnGZ.bat" "%USERPROFILE%\AppData\Local\Temp\OnboardLogs"\RTDC4051\2017-04-29</v>
      </c>
      <c r="AF70" s="77" t="str">
        <f t="shared" si="13"/>
        <v>"C:\Program Files (x86)\AstroGrep\AstroGrep.exe" /e /r /s /spath="%USERPROFILE%\AppData\Local\Temp\OnboardLogs" /stypes="app*4051*20170428*" /stext=" 18:.+((SYSTEM_STATE.+slice.+state.+changed )|(ment ac)|(multiple cpu faults)|(system.+state.+changed )|(\[timeout)|(PRM\|1\|D)|(kpr)|(kdp)|(train.+moving)|(\|lc)|(penalty))"</v>
      </c>
      <c r="AG70" s="1" t="str">
        <f t="shared" si="14"/>
        <v>EC</v>
      </c>
      <c r="AH70" s="81" t="str">
        <f t="shared" si="19"/>
        <v>"%USERPROFILE%\Documents\GitHub\eaglep3\Utilities\RefineRTDCRunTimes.py" --tripid 158-28 --locoid 4051 --swversion DE.1.0.9.0 --startMP 204:232977 --initTime 2017-04-28T11:39:21 --startdatetime 2017-04-28T11:41:41 --delay 0 --endMP 204:163 --enddatetime 2017-04-28T12:18:10 --enforcementcount 0 &gt;&gt;C:\Users\stu\Documents\GitHub\eaglep3-reporting\EC\2017-04-28-refined-times.txt</v>
      </c>
      <c r="AI70" s="99" t="str">
        <f t="shared" si="20"/>
        <v>echo {"issue":{"subject":"","project_id":79,"tracker_id":40,"status_id":1,"priority_id":2,"assigned_to_id":23,"start_date":"2017-04-28","description":"","custom_fields":[{"id":1,"name":"Subdivision","value":"EC"},{"id":4,"name":"Milepost","value":"0.0163"},{"id":17,"name":"Train ID","value":"158-28"},{"id":16,"name":"Locomotive ID","value":"4051"},{"id":130,"name":"Impact","value":""},{"id":150,"name":"Time of Event (Mountain Time)","value":"12:18:10"},{"id":151,"name":"Denver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5" t="str">
        <f t="shared" si="21"/>
        <v>start /low /b %USERPROFILE%\Documents\GitHub\eaglep3\Utilities\DownloadLogsFromS3.py --loco 4051 --day 2017-04-28</v>
      </c>
      <c r="AN70" s="154" t="str">
        <f t="shared" si="22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18:18:10"},{"id":29,"name":"Sharepoint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721</v>
      </c>
      <c r="B71" s="7">
        <v>4008</v>
      </c>
      <c r="C71" s="21" t="s">
        <v>211</v>
      </c>
      <c r="D71" s="21" t="s">
        <v>503</v>
      </c>
      <c r="E71" s="13">
        <v>42853.454305555555</v>
      </c>
      <c r="F71" s="13">
        <v>42853.45853009259</v>
      </c>
      <c r="G71" s="7">
        <v>2</v>
      </c>
      <c r="H71" s="21" t="s">
        <v>550</v>
      </c>
      <c r="I71" s="13">
        <v>42853.483090277776</v>
      </c>
      <c r="J71" s="7">
        <v>0</v>
      </c>
      <c r="K71" s="92" t="str">
        <f t="shared" si="0"/>
        <v>4007/4008</v>
      </c>
      <c r="L71" s="21" t="str">
        <f>VLOOKUP(A71,'Trips&amp;Operators'!$C$1:$G$99999,5,FALSE)</f>
        <v>STEWART MICHAEL</v>
      </c>
      <c r="M71" s="6">
        <f t="shared" si="1"/>
        <v>2.4560185185691807E-2</v>
      </c>
      <c r="N71" s="7">
        <f t="shared" si="23"/>
        <v>35.366666667396203</v>
      </c>
      <c r="O71" s="7"/>
      <c r="P71" s="7"/>
      <c r="Q71" s="22"/>
      <c r="R71" s="190"/>
      <c r="S71" s="196">
        <f t="shared" si="24"/>
        <v>1</v>
      </c>
      <c r="T71" s="190" t="str">
        <f t="shared" si="4"/>
        <v>NorthBound</v>
      </c>
      <c r="U71" s="190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1" t="str">
        <f t="shared" si="5"/>
        <v>https://d0f6bd738d7f1b3e5a7ca70fe4ff75f0.us-east-1.aws.found.io/app/kibana#/discover/Steve-Slow-Train-Analysis-(2080s-and-2083s)?_g=(refreshInterval:(display:Off,pause:!f,section:0,value:0),time:(from:'2017-04-28T09:54:12-0600',mode:absolute,to:'2017-04-28T12:35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71" s="192" t="str">
        <f t="shared" si="6"/>
        <v>N</v>
      </c>
      <c r="X71" s="192">
        <f t="shared" si="26"/>
        <v>1</v>
      </c>
      <c r="Y71" s="192">
        <f t="shared" si="8"/>
        <v>4.3999999999999997E-2</v>
      </c>
      <c r="Z71" s="192">
        <f t="shared" si="9"/>
        <v>23.3293</v>
      </c>
      <c r="AA71" s="192">
        <f t="shared" si="10"/>
        <v>23.285299999999999</v>
      </c>
      <c r="AB71" s="57" t="e">
        <f>VLOOKUP(A71,Enforcements!$C$7:$K$13,8,0)</f>
        <v>#N/A</v>
      </c>
      <c r="AC71" s="53" t="e">
        <f>VLOOKUP(A71,Enforcements!$C$7:$E$13,3,0)</f>
        <v>#N/A</v>
      </c>
      <c r="AD71" s="54" t="str">
        <f t="shared" si="11"/>
        <v>0159-28</v>
      </c>
      <c r="AE71" s="80" t="str">
        <f t="shared" si="12"/>
        <v>aws s3 cp s3://rtdc.mdm.uploadarchive.raw/RTDC4008/ "%USERPROFILE%\AppData\Local\Temp\OnboardLogs"\RTDC4008\2017-04-28 --exclude "*" --recursive --include "*20170428*" &amp; "%USERPROFILE%\Documents\GitHub\mrs-test-scripts\Headless Mode &amp; Sideloading\WalkAndUnGZ.bat" "%USERPROFILE%\AppData\Local\Temp\OnboardLogs"\RTDC4008\2017-04-28 &amp; aws s3 cp s3://rtdc.mdm.uploadarchive.raw/RTDC4008/ "%USERPROFILE%\AppData\Local\Temp\OnboardLogs"\RTDC4008\2017-04-29 --exclude "*" --recursive --include "*20170429*" &amp; "%USERPROFILE%\Documents\GitHub\mrs-test-scripts\Headless Mode &amp; Sideloading\WalkAndUnGZ.bat" "%USERPROFILE%\AppData\Local\Temp\OnboardLogs"\RTDC4008\2017-04-29</v>
      </c>
      <c r="AF71" s="77" t="str">
        <f t="shared" si="13"/>
        <v>"C:\Program Files (x86)\AstroGrep\AstroGrep.exe" /e /r /s /spath="%USERPROFILE%\AppData\Local\Temp\OnboardLogs" /stypes="app*4008*20170428*" /stext=" 17:.+((SYSTEM_STATE.+slice.+state.+changed )|(ment ac)|(multiple cpu faults)|(system.+state.+changed )|(\[timeout)|(PRM\|1\|D)|(kpr)|(kdp)|(train.+moving)|(\|lc)|(penalty))"</v>
      </c>
      <c r="AG71" s="1" t="str">
        <f t="shared" si="14"/>
        <v>EC</v>
      </c>
      <c r="AH71" s="81" t="str">
        <f t="shared" si="19"/>
        <v>"%USERPROFILE%\Documents\GitHub\eaglep3\Utilities\RefineRTDCRunTimes.py" --tripid 159-28 --locoid 4008 --swversion DE.1.0.9.0 --startMP 204:440 --initTime 2017-04-28T10:54:12 --startdatetime 2017-04-28T11:00:17 --delay 2 --endMP 204:233293 --enddatetime 2017-04-28T11:35:39 --enforcementcount 0 &gt;&gt;C:\Users\stu\Documents\GitHub\eaglep3-reporting\EC\2017-04-28-refined-times.txt</v>
      </c>
      <c r="AI71" s="99" t="str">
        <f t="shared" si="20"/>
        <v>echo {"issue":{"subject":"","project_id":79,"tracker_id":40,"status_id":1,"priority_id":2,"assigned_to_id":23,"start_date":"2017-04-28","description":"","custom_fields":[{"id":1,"name":"Subdivision","value":"EC"},{"id":4,"name":"Milepost","value":"23.3293"},{"id":17,"name":"Train ID","value":"159-28"},{"id":16,"name":"Locomotive ID","value":"4008"},{"id":130,"name":"Impact","value":""},{"id":150,"name":"Time of Event (Mountain Time)","value":"11:35:39"},{"id":151,"name":"Denver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5" t="str">
        <f t="shared" si="21"/>
        <v>start /low /b %USERPROFILE%\Documents\GitHub\eaglep3\Utilities\DownloadLogsFromS3.py --loco 4008 --day 2017-04-28</v>
      </c>
      <c r="AN71" s="154" t="str">
        <f t="shared" si="22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17:35:39"},{"id":29,"name":"Sharepoint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732</v>
      </c>
      <c r="B72" s="7">
        <v>4007</v>
      </c>
      <c r="C72" s="21" t="s">
        <v>211</v>
      </c>
      <c r="D72" s="21" t="s">
        <v>480</v>
      </c>
      <c r="E72" s="13">
        <v>42853.49359953704</v>
      </c>
      <c r="F72" s="13">
        <v>42853.497407407405</v>
      </c>
      <c r="G72" s="7">
        <v>2</v>
      </c>
      <c r="H72" s="21" t="s">
        <v>462</v>
      </c>
      <c r="I72" s="13">
        <v>42853.525763888887</v>
      </c>
      <c r="J72" s="7">
        <v>0</v>
      </c>
      <c r="K72" s="92" t="str">
        <f t="shared" si="0"/>
        <v>4007/4008</v>
      </c>
      <c r="L72" s="21" t="str">
        <f>VLOOKUP(A72,'Trips&amp;Operators'!$C$1:$G$99999,5,FALSE)</f>
        <v>STEWART MICHAEL</v>
      </c>
      <c r="M72" s="6">
        <f t="shared" si="1"/>
        <v>2.8356481481750961E-2</v>
      </c>
      <c r="N72" s="7">
        <f t="shared" si="23"/>
        <v>40.833333333721384</v>
      </c>
      <c r="O72" s="7"/>
      <c r="P72" s="7"/>
      <c r="Q72" s="22"/>
      <c r="R72" s="190"/>
      <c r="S72" s="196">
        <f t="shared" si="24"/>
        <v>1</v>
      </c>
      <c r="T72" s="190" t="str">
        <f t="shared" si="4"/>
        <v>Southbound</v>
      </c>
      <c r="U72" s="190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1" t="str">
        <f t="shared" si="5"/>
        <v>https://d0f6bd738d7f1b3e5a7ca70fe4ff75f0.us-east-1.aws.found.io/app/kibana#/discover/Steve-Slow-Train-Analysis-(2080s-and-2083s)?_g=(refreshInterval:(display:Off,pause:!f,section:0,value:0),time:(from:'2017-04-28T10:50:47-0600',mode:absolute,to:'2017-04-28T13:37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72" s="192" t="str">
        <f t="shared" si="6"/>
        <v>N</v>
      </c>
      <c r="X72" s="192">
        <f t="shared" si="26"/>
        <v>1</v>
      </c>
      <c r="Y72" s="192">
        <f t="shared" si="8"/>
        <v>23.297499999999999</v>
      </c>
      <c r="Z72" s="192">
        <f t="shared" si="9"/>
        <v>1.5599999999999999E-2</v>
      </c>
      <c r="AA72" s="192">
        <f t="shared" si="10"/>
        <v>23.2819</v>
      </c>
      <c r="AB72" s="57" t="e">
        <f>VLOOKUP(A72,Enforcements!$C$7:$K$13,8,0)</f>
        <v>#N/A</v>
      </c>
      <c r="AC72" s="53" t="e">
        <f>VLOOKUP(A72,Enforcements!$C$7:$E$13,3,0)</f>
        <v>#N/A</v>
      </c>
      <c r="AD72" s="54" t="str">
        <f t="shared" si="11"/>
        <v>0160-28</v>
      </c>
      <c r="AE72" s="80" t="str">
        <f t="shared" si="12"/>
        <v>aws s3 cp s3://rtdc.mdm.uploadarchive.raw/RTDC4007/ "%USERPROFILE%\AppData\Local\Temp\OnboardLogs"\RTDC4007\2017-04-28 --exclude "*" --recursive --include "*20170428*" &amp; "%USERPROFILE%\Documents\GitHub\mrs-test-scripts\Headless Mode &amp; Sideloading\WalkAndUnGZ.bat" "%USERPROFILE%\AppData\Local\Temp\OnboardLogs"\RTDC4007\2017-04-28 &amp; aws s3 cp s3://rtdc.mdm.uploadarchive.raw/RTDC4007/ "%USERPROFILE%\AppData\Local\Temp\OnboardLogs"\RTDC4007\2017-04-29 --exclude "*" --recursive --include "*20170429*" &amp; "%USERPROFILE%\Documents\GitHub\mrs-test-scripts\Headless Mode &amp; Sideloading\WalkAndUnGZ.bat" "%USERPROFILE%\AppData\Local\Temp\OnboardLogs"\RTDC4007\2017-04-29</v>
      </c>
      <c r="AF72" s="77" t="str">
        <f t="shared" si="13"/>
        <v>"C:\Program Files (x86)\AstroGrep\AstroGrep.exe" /e /r /s /spath="%USERPROFILE%\AppData\Local\Temp\OnboardLogs" /stypes="app*4007*20170428*" /stext=" 18:.+((SYSTEM_STATE.+slice.+state.+changed )|(ment ac)|(multiple cpu faults)|(system.+state.+changed )|(\[timeout)|(PRM\|1\|D)|(kpr)|(kdp)|(train.+moving)|(\|lc)|(penalty))"</v>
      </c>
      <c r="AG72" s="1" t="str">
        <f t="shared" si="14"/>
        <v>EC</v>
      </c>
      <c r="AH72" s="81" t="str">
        <f t="shared" si="19"/>
        <v>"%USERPROFILE%\Documents\GitHub\eaglep3\Utilities\RefineRTDCRunTimes.py" --tripid 160-28 --locoid 4007 --swversion DE.1.0.9.0 --startMP 204:232975 --initTime 2017-04-28T11:50:47 --startdatetime 2017-04-28T11:56:16 --delay 2 --endMP 204:156 --enddatetime 2017-04-28T12:37:06 --enforcementcount 0 &gt;&gt;C:\Users\stu\Documents\GitHub\eaglep3-reporting\EC\2017-04-28-refined-times.txt</v>
      </c>
      <c r="AI72" s="99" t="str">
        <f t="shared" si="20"/>
        <v>echo {"issue":{"subject":"","project_id":79,"tracker_id":40,"status_id":1,"priority_id":2,"assigned_to_id":23,"start_date":"2017-04-28","description":"","custom_fields":[{"id":1,"name":"Subdivision","value":"EC"},{"id":4,"name":"Milepost","value":"0.0156"},{"id":17,"name":"Train ID","value":"160-28"},{"id":16,"name":"Locomotive ID","value":"4007"},{"id":130,"name":"Impact","value":""},{"id":150,"name":"Time of Event (Mountain Time)","value":"12:37:06"},{"id":151,"name":"Denver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5" t="str">
        <f t="shared" si="21"/>
        <v>start /low /b %USERPROFILE%\Documents\GitHub\eaglep3\Utilities\DownloadLogsFromS3.py --loco 4007 --day 2017-04-28</v>
      </c>
      <c r="AN72" s="154" t="str">
        <f t="shared" si="22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18:37:06"},{"id":29,"name":"Sharepoint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724</v>
      </c>
      <c r="B73" s="7">
        <v>4028</v>
      </c>
      <c r="C73" s="21" t="s">
        <v>211</v>
      </c>
      <c r="D73" s="21" t="s">
        <v>207</v>
      </c>
      <c r="E73" s="13">
        <v>42853.464328703703</v>
      </c>
      <c r="F73" s="13">
        <v>42853.468912037039</v>
      </c>
      <c r="G73" s="7">
        <v>1</v>
      </c>
      <c r="H73" s="21" t="s">
        <v>565</v>
      </c>
      <c r="I73" s="13">
        <v>42853.494212962964</v>
      </c>
      <c r="J73" s="7">
        <v>0</v>
      </c>
      <c r="K73" s="92" t="str">
        <f t="shared" si="0"/>
        <v>4027/4028</v>
      </c>
      <c r="L73" s="21" t="str">
        <f>VLOOKUP(A73,'Trips&amp;Operators'!$C$1:$G$99999,5,FALSE)</f>
        <v>ROMERO CHAD</v>
      </c>
      <c r="M73" s="6">
        <f t="shared" si="1"/>
        <v>2.5300925924966577E-2</v>
      </c>
      <c r="N73" s="7">
        <f t="shared" si="23"/>
        <v>36.433333331951872</v>
      </c>
      <c r="O73" s="7"/>
      <c r="P73" s="7"/>
      <c r="Q73" s="22"/>
      <c r="R73" s="190"/>
      <c r="S73" s="196">
        <f t="shared" si="24"/>
        <v>1</v>
      </c>
      <c r="T73" s="190" t="str">
        <f t="shared" si="4"/>
        <v>NorthBound</v>
      </c>
      <c r="U73" s="190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1" t="str">
        <f t="shared" si="5"/>
        <v>https://d0f6bd738d7f1b3e5a7ca70fe4ff75f0.us-east-1.aws.found.io/app/kibana#/discover/Steve-Slow-Train-Analysis-(2080s-and-2083s)?_g=(refreshInterval:(display:Off,pause:!f,section:0,value:0),time:(from:'2017-04-28T10:08:38-0600',mode:absolute,to:'2017-04-28T12:51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73" s="192" t="str">
        <f t="shared" si="6"/>
        <v>N</v>
      </c>
      <c r="X73" s="192">
        <f t="shared" si="26"/>
        <v>1</v>
      </c>
      <c r="Y73" s="192">
        <f t="shared" si="8"/>
        <v>4.5499999999999999E-2</v>
      </c>
      <c r="Z73" s="192">
        <f t="shared" si="9"/>
        <v>23.332699999999999</v>
      </c>
      <c r="AA73" s="192">
        <f t="shared" si="10"/>
        <v>23.287199999999999</v>
      </c>
      <c r="AB73" s="57" t="e">
        <f>VLOOKUP(A73,Enforcements!$C$7:$K$13,8,0)</f>
        <v>#N/A</v>
      </c>
      <c r="AC73" s="53" t="e">
        <f>VLOOKUP(A73,Enforcements!$C$7:$E$13,3,0)</f>
        <v>#N/A</v>
      </c>
      <c r="AD73" s="54" t="str">
        <f t="shared" si="11"/>
        <v>0161-28</v>
      </c>
      <c r="AE73" s="80" t="str">
        <f t="shared" si="12"/>
        <v>aws s3 cp s3://rtdc.mdm.uploadarchive.raw/RTDC4028/ "%USERPROFILE%\AppData\Local\Temp\OnboardLogs"\RTDC4028\2017-04-28 --exclude "*" --recursive --include "*20170428*" &amp; "%USERPROFILE%\Documents\GitHub\mrs-test-scripts\Headless Mode &amp; Sideloading\WalkAndUnGZ.bat" "%USERPROFILE%\AppData\Local\Temp\OnboardLogs"\RTDC4028\2017-04-28 &amp; aws s3 cp s3://rtdc.mdm.uploadarchive.raw/RTDC4028/ "%USERPROFILE%\AppData\Local\Temp\OnboardLogs"\RTDC4028\2017-04-29 --exclude "*" --recursive --include "*20170429*" &amp; "%USERPROFILE%\Documents\GitHub\mrs-test-scripts\Headless Mode &amp; Sideloading\WalkAndUnGZ.bat" "%USERPROFILE%\AppData\Local\Temp\OnboardLogs"\RTDC4028\2017-04-29</v>
      </c>
      <c r="AF73" s="77" t="str">
        <f t="shared" si="13"/>
        <v>"C:\Program Files (x86)\AstroGrep\AstroGrep.exe" /e /r /s /spath="%USERPROFILE%\AppData\Local\Temp\OnboardLogs" /stypes="app*4028*20170428*" /stext=" 17:.+((SYSTEM_STATE.+slice.+state.+changed )|(ment ac)|(multiple cpu faults)|(system.+state.+changed )|(\[timeout)|(PRM\|1\|D)|(kpr)|(kdp)|(train.+moving)|(\|lc)|(penalty))"</v>
      </c>
      <c r="AG73" s="1" t="str">
        <f t="shared" si="14"/>
        <v>EC</v>
      </c>
      <c r="AH73" s="81" t="str">
        <f t="shared" si="19"/>
        <v>"%USERPROFILE%\Documents\GitHub\eaglep3\Utilities\RefineRTDCRunTimes.py" --tripid 161-28 --locoid 4028 --swversion DE.1.0.9.0 --startMP 204:455 --initTime 2017-04-28T11:08:38 --startdatetime 2017-04-28T11:15:14 --delay 1 --endMP 204:233327 --enddatetime 2017-04-28T11:51:40 --enforcementcount 0 &gt;&gt;C:\Users\stu\Documents\GitHub\eaglep3-reporting\EC\2017-04-28-refined-times.txt</v>
      </c>
      <c r="AI73" s="99" t="str">
        <f t="shared" si="20"/>
        <v>echo {"issue":{"subject":"","project_id":79,"tracker_id":40,"status_id":1,"priority_id":2,"assigned_to_id":23,"start_date":"2017-04-28","description":"","custom_fields":[{"id":1,"name":"Subdivision","value":"EC"},{"id":4,"name":"Milepost","value":"23.3327"},{"id":17,"name":"Train ID","value":"161-28"},{"id":16,"name":"Locomotive ID","value":"4028"},{"id":130,"name":"Impact","value":""},{"id":150,"name":"Time of Event (Mountain Time)","value":"11:51:40"},{"id":151,"name":"Denver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5" t="str">
        <f t="shared" si="21"/>
        <v>start /low /b %USERPROFILE%\Documents\GitHub\eaglep3\Utilities\DownloadLogsFromS3.py --loco 4028 --day 2017-04-28</v>
      </c>
      <c r="AN73" s="154" t="str">
        <f t="shared" si="22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17:51:40"},{"id":29,"name":"Sharepoint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733</v>
      </c>
      <c r="B74" s="7">
        <v>4027</v>
      </c>
      <c r="C74" s="21" t="s">
        <v>211</v>
      </c>
      <c r="D74" s="21" t="s">
        <v>878</v>
      </c>
      <c r="E74" s="13">
        <v>42853.495798611111</v>
      </c>
      <c r="F74" s="13">
        <v>42853.507905092592</v>
      </c>
      <c r="G74" s="7">
        <v>2</v>
      </c>
      <c r="H74" s="21" t="s">
        <v>377</v>
      </c>
      <c r="I74" s="13">
        <v>42853.533912037034</v>
      </c>
      <c r="J74" s="7">
        <v>0</v>
      </c>
      <c r="K74" s="92" t="str">
        <f t="shared" si="0"/>
        <v>4027/4028</v>
      </c>
      <c r="L74" s="21" t="str">
        <f>VLOOKUP(A74,'Trips&amp;Operators'!$C$1:$G$99999,5,FALSE)</f>
        <v>ROMERO CHAD</v>
      </c>
      <c r="M74" s="6">
        <f t="shared" si="1"/>
        <v>2.6006944441178348E-2</v>
      </c>
      <c r="N74" s="7">
        <f t="shared" si="23"/>
        <v>37.449999995296821</v>
      </c>
      <c r="O74" s="7"/>
      <c r="P74" s="7"/>
      <c r="Q74" s="22"/>
      <c r="R74" s="190"/>
      <c r="S74" s="196">
        <f t="shared" si="24"/>
        <v>1</v>
      </c>
      <c r="T74" s="190" t="str">
        <f t="shared" si="4"/>
        <v>Southbound</v>
      </c>
      <c r="U74" s="190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1" t="str">
        <f t="shared" si="5"/>
        <v>https://d0f6bd738d7f1b3e5a7ca70fe4ff75f0.us-east-1.aws.found.io/app/kibana#/discover/Steve-Slow-Train-Analysis-(2080s-and-2083s)?_g=(refreshInterval:(display:Off,pause:!f,section:0,value:0),time:(from:'2017-04-28T10:53:57-0600',mode:absolute,to:'2017-04-28T13:48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74" s="192" t="str">
        <f t="shared" si="6"/>
        <v>N</v>
      </c>
      <c r="X74" s="192">
        <f t="shared" si="26"/>
        <v>1</v>
      </c>
      <c r="Y74" s="192">
        <f t="shared" si="8"/>
        <v>23.3</v>
      </c>
      <c r="Z74" s="192">
        <f t="shared" si="9"/>
        <v>1.38E-2</v>
      </c>
      <c r="AA74" s="192">
        <f t="shared" si="10"/>
        <v>23.286200000000001</v>
      </c>
      <c r="AB74" s="57" t="e">
        <f>VLOOKUP(A74,Enforcements!$C$7:$K$13,8,0)</f>
        <v>#N/A</v>
      </c>
      <c r="AC74" s="53" t="e">
        <f>VLOOKUP(A74,Enforcements!$C$7:$E$13,3,0)</f>
        <v>#N/A</v>
      </c>
      <c r="AD74" s="54" t="str">
        <f t="shared" si="11"/>
        <v>0162-28</v>
      </c>
      <c r="AE74" s="80" t="str">
        <f t="shared" si="12"/>
        <v>aws s3 cp s3://rtdc.mdm.uploadarchive.raw/RTDC4027/ "%USERPROFILE%\AppData\Local\Temp\OnboardLogs"\RTDC4027\2017-04-28 --exclude "*" --recursive --include "*20170428*" &amp; "%USERPROFILE%\Documents\GitHub\mrs-test-scripts\Headless Mode &amp; Sideloading\WalkAndUnGZ.bat" "%USERPROFILE%\AppData\Local\Temp\OnboardLogs"\RTDC4027\2017-04-28 &amp; aws s3 cp s3://rtdc.mdm.uploadarchive.raw/RTDC4027/ "%USERPROFILE%\AppData\Local\Temp\OnboardLogs"\RTDC4027\2017-04-29 --exclude "*" --recursive --include "*20170429*" &amp; "%USERPROFILE%\Documents\GitHub\mrs-test-scripts\Headless Mode &amp; Sideloading\WalkAndUnGZ.bat" "%USERPROFILE%\AppData\Local\Temp\OnboardLogs"\RTDC4027\2017-04-29</v>
      </c>
      <c r="AF74" s="77" t="str">
        <f t="shared" si="13"/>
        <v>"C:\Program Files (x86)\AstroGrep\AstroGrep.exe" /e /r /s /spath="%USERPROFILE%\AppData\Local\Temp\OnboardLogs" /stypes="app*4027*20170428*" /stext=" 18:.+((SYSTEM_STATE.+slice.+state.+changed )|(ment ac)|(multiple cpu faults)|(system.+state.+changed )|(\[timeout)|(PRM\|1\|D)|(kpr)|(kdp)|(train.+moving)|(\|lc)|(penalty))"</v>
      </c>
      <c r="AG74" s="1" t="str">
        <f t="shared" si="14"/>
        <v>EC</v>
      </c>
      <c r="AH74" s="81" t="str">
        <f t="shared" si="19"/>
        <v>"%USERPROFILE%\Documents\GitHub\eaglep3\Utilities\RefineRTDCRunTimes.py" --tripid 162-28 --locoid 4027 --swversion DE.1.0.9.0 --startMP 204:233000 --initTime 2017-04-28T11:53:57 --startdatetime 2017-04-28T12:11:23 --delay 2 --endMP 204:138 --enddatetime 2017-04-28T12:48:50 --enforcementcount 0 &gt;&gt;C:\Users\stu\Documents\GitHub\eaglep3-reporting\EC\2017-04-28-refined-times.txt</v>
      </c>
      <c r="AI74" s="99" t="str">
        <f t="shared" si="20"/>
        <v>echo {"issue":{"subject":"","project_id":79,"tracker_id":40,"status_id":1,"priority_id":2,"assigned_to_id":23,"start_date":"2017-04-28","description":"","custom_fields":[{"id":1,"name":"Subdivision","value":"EC"},{"id":4,"name":"Milepost","value":"0.0138"},{"id":17,"name":"Train ID","value":"162-28"},{"id":16,"name":"Locomotive ID","value":"4027"},{"id":130,"name":"Impact","value":""},{"id":150,"name":"Time of Event (Mountain Time)","value":"12:48:50"},{"id":151,"name":"Denver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5" t="str">
        <f t="shared" si="21"/>
        <v>start /low /b %USERPROFILE%\Documents\GitHub\eaglep3\Utilities\DownloadLogsFromS3.py --loco 4027 --day 2017-04-28</v>
      </c>
      <c r="AN74" s="154" t="str">
        <f t="shared" si="22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18:48:50"},{"id":29,"name":"Sharepoint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729</v>
      </c>
      <c r="B75" s="7">
        <v>4064</v>
      </c>
      <c r="C75" s="21" t="s">
        <v>211</v>
      </c>
      <c r="D75" s="21" t="s">
        <v>441</v>
      </c>
      <c r="E75" s="13">
        <v>42853.475381944445</v>
      </c>
      <c r="F75" s="13">
        <v>42853.479328703703</v>
      </c>
      <c r="G75" s="7">
        <v>1</v>
      </c>
      <c r="H75" s="21" t="s">
        <v>505</v>
      </c>
      <c r="I75" s="13">
        <v>42853.505219907405</v>
      </c>
      <c r="J75" s="7">
        <v>0</v>
      </c>
      <c r="K75" s="92" t="str">
        <f t="shared" si="0"/>
        <v>4063/4064</v>
      </c>
      <c r="L75" s="21" t="str">
        <f>VLOOKUP(A75,'Trips&amp;Operators'!$C$1:$G$99999,5,FALSE)</f>
        <v>CLARK KATHLEEN</v>
      </c>
      <c r="M75" s="6">
        <f t="shared" si="1"/>
        <v>2.5891203702485655E-2</v>
      </c>
      <c r="N75" s="7">
        <f t="shared" si="23"/>
        <v>37.283333331579342</v>
      </c>
      <c r="O75" s="7"/>
      <c r="P75" s="7"/>
      <c r="Q75" s="22"/>
      <c r="R75" s="190"/>
      <c r="S75" s="196">
        <f t="shared" si="24"/>
        <v>1</v>
      </c>
      <c r="T75" s="190" t="str">
        <f t="shared" si="4"/>
        <v>NorthBound</v>
      </c>
      <c r="U75" s="190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1" t="str">
        <f t="shared" si="5"/>
        <v>https://d0f6bd738d7f1b3e5a7ca70fe4ff75f0.us-east-1.aws.found.io/app/kibana#/discover/Steve-Slow-Train-Analysis-(2080s-and-2083s)?_g=(refreshInterval:(display:Off,pause:!f,section:0,value:0),time:(from:'2017-04-28T10:24:33-0600',mode:absolute,to:'2017-04-28T13:07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75" s="192" t="str">
        <f t="shared" si="6"/>
        <v>N</v>
      </c>
      <c r="X75" s="192">
        <f t="shared" si="26"/>
        <v>1</v>
      </c>
      <c r="Y75" s="192">
        <f t="shared" si="8"/>
        <v>4.7100000000000003E-2</v>
      </c>
      <c r="Z75" s="192">
        <f t="shared" si="9"/>
        <v>23.328399999999998</v>
      </c>
      <c r="AA75" s="192">
        <f t="shared" si="10"/>
        <v>23.281299999999998</v>
      </c>
      <c r="AB75" s="57" t="e">
        <f>VLOOKUP(A75,Enforcements!$C$7:$K$13,8,0)</f>
        <v>#N/A</v>
      </c>
      <c r="AC75" s="53" t="e">
        <f>VLOOKUP(A75,Enforcements!$C$7:$E$13,3,0)</f>
        <v>#N/A</v>
      </c>
      <c r="AD75" s="54" t="str">
        <f t="shared" si="11"/>
        <v>0163-28</v>
      </c>
      <c r="AE75" s="80" t="str">
        <f t="shared" si="12"/>
        <v>aws s3 cp s3://rtdc.mdm.uploadarchive.raw/RTDC4064/ "%USERPROFILE%\AppData\Local\Temp\OnboardLogs"\RTDC4064\2017-04-28 --exclude "*" --recursive --include "*20170428*" &amp; "%USERPROFILE%\Documents\GitHub\mrs-test-scripts\Headless Mode &amp; Sideloading\WalkAndUnGZ.bat" "%USERPROFILE%\AppData\Local\Temp\OnboardLogs"\RTDC4064\2017-04-28 &amp; aws s3 cp s3://rtdc.mdm.uploadarchive.raw/RTDC4064/ "%USERPROFILE%\AppData\Local\Temp\OnboardLogs"\RTDC4064\2017-04-29 --exclude "*" --recursive --include "*20170429*" &amp; "%USERPROFILE%\Documents\GitHub\mrs-test-scripts\Headless Mode &amp; Sideloading\WalkAndUnGZ.bat" "%USERPROFILE%\AppData\Local\Temp\OnboardLogs"\RTDC4064\2017-04-29</v>
      </c>
      <c r="AF75" s="77" t="str">
        <f t="shared" si="13"/>
        <v>"C:\Program Files (x86)\AstroGrep\AstroGrep.exe" /e /r /s /spath="%USERPROFILE%\AppData\Local\Temp\OnboardLogs" /stypes="app*4064*20170428*" /stext=" 18:.+((SYSTEM_STATE.+slice.+state.+changed )|(ment ac)|(multiple cpu faults)|(system.+state.+changed )|(\[timeout)|(PRM\|1\|D)|(kpr)|(kdp)|(train.+moving)|(\|lc)|(penalty))"</v>
      </c>
      <c r="AG75" s="1" t="str">
        <f t="shared" si="14"/>
        <v>EC</v>
      </c>
      <c r="AH75" s="81" t="str">
        <f t="shared" si="19"/>
        <v>"%USERPROFILE%\Documents\GitHub\eaglep3\Utilities\RefineRTDCRunTimes.py" --tripid 163-28 --locoid 4064 --swversion DE.1.0.9.0 --startMP 204:471 --initTime 2017-04-28T11:24:33 --startdatetime 2017-04-28T11:30:14 --delay 1 --endMP 204:233284 --enddatetime 2017-04-28T12:07:31 --enforcementcount 0 &gt;&gt;C:\Users\stu\Documents\GitHub\eaglep3-reporting\EC\2017-04-28-refined-times.txt</v>
      </c>
      <c r="AI75" s="99" t="str">
        <f t="shared" si="20"/>
        <v>echo {"issue":{"subject":"","project_id":79,"tracker_id":40,"status_id":1,"priority_id":2,"assigned_to_id":23,"start_date":"2017-04-28","description":"","custom_fields":[{"id":1,"name":"Subdivision","value":"EC"},{"id":4,"name":"Milepost","value":"23.3284"},{"id":17,"name":"Train ID","value":"163-28"},{"id":16,"name":"Locomotive ID","value":"4064"},{"id":130,"name":"Impact","value":""},{"id":150,"name":"Time of Event (Mountain Time)","value":"12:07:31"},{"id":151,"name":"Denver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5" t="str">
        <f t="shared" si="21"/>
        <v>start /low /b %USERPROFILE%\Documents\GitHub\eaglep3\Utilities\DownloadLogsFromS3.py --loco 4064 --day 2017-04-28</v>
      </c>
      <c r="AN75" s="154" t="str">
        <f t="shared" si="22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18:07:31"},{"id":29,"name":"Sharepoint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611</v>
      </c>
      <c r="B76" s="7">
        <v>4063</v>
      </c>
      <c r="C76" s="21" t="s">
        <v>211</v>
      </c>
      <c r="D76" s="21" t="s">
        <v>859</v>
      </c>
      <c r="E76" s="13">
        <v>42853.512673611112</v>
      </c>
      <c r="F76" s="13">
        <v>42853.51829861111</v>
      </c>
      <c r="G76" s="7">
        <v>1</v>
      </c>
      <c r="H76" s="21" t="s">
        <v>567</v>
      </c>
      <c r="I76" s="13">
        <v>42853.547083333331</v>
      </c>
      <c r="J76" s="7">
        <v>0</v>
      </c>
      <c r="K76" s="92" t="str">
        <f t="shared" si="0"/>
        <v>4063/4064</v>
      </c>
      <c r="L76" s="21" t="str">
        <f>VLOOKUP(A76,'Trips&amp;Operators'!$C$1:$G$99999,5,FALSE)</f>
        <v>CLARK KATHLEEN</v>
      </c>
      <c r="M76" s="6">
        <f t="shared" si="1"/>
        <v>2.8784722220734693E-2</v>
      </c>
      <c r="N76" s="7">
        <f t="shared" si="23"/>
        <v>41.449999997857958</v>
      </c>
      <c r="O76" s="7"/>
      <c r="P76" s="7"/>
      <c r="Q76" s="22"/>
      <c r="R76" s="190"/>
      <c r="S76" s="196">
        <f t="shared" si="24"/>
        <v>1</v>
      </c>
      <c r="T76" s="190" t="str">
        <f t="shared" si="4"/>
        <v>Southbound</v>
      </c>
      <c r="U76" s="190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1" t="str">
        <f t="shared" si="5"/>
        <v>https://d0f6bd738d7f1b3e5a7ca70fe4ff75f0.us-east-1.aws.found.io/app/kibana#/discover/Steve-Slow-Train-Analysis-(2080s-and-2083s)?_g=(refreshInterval:(display:Off,pause:!f,section:0,value:0),time:(from:'2017-04-28T11:18:15-0600',mode:absolute,to:'2017-04-28T14:07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76" s="192" t="str">
        <f t="shared" si="6"/>
        <v>N</v>
      </c>
      <c r="X76" s="192">
        <f t="shared" si="26"/>
        <v>1</v>
      </c>
      <c r="Y76" s="192">
        <f t="shared" si="8"/>
        <v>23.2957</v>
      </c>
      <c r="Z76" s="192">
        <f t="shared" si="9"/>
        <v>1.7999999999999999E-2</v>
      </c>
      <c r="AA76" s="192">
        <f t="shared" si="10"/>
        <v>23.277699999999999</v>
      </c>
      <c r="AB76" s="57" t="e">
        <f>VLOOKUP(A76,Enforcements!$C$7:$K$13,8,0)</f>
        <v>#N/A</v>
      </c>
      <c r="AC76" s="53" t="e">
        <f>VLOOKUP(A76,Enforcements!$C$7:$E$13,3,0)</f>
        <v>#N/A</v>
      </c>
      <c r="AD76" s="54" t="str">
        <f t="shared" si="11"/>
        <v>0164-28</v>
      </c>
      <c r="AE76" s="80" t="str">
        <f t="shared" si="12"/>
        <v>aws s3 cp s3://rtdc.mdm.uploadarchive.raw/RTDC4063/ "%USERPROFILE%\AppData\Local\Temp\OnboardLogs"\RTDC4063\2017-04-28 --exclude "*" --recursive --include "*20170428*" &amp; "%USERPROFILE%\Documents\GitHub\mrs-test-scripts\Headless Mode &amp; Sideloading\WalkAndUnGZ.bat" "%USERPROFILE%\AppData\Local\Temp\OnboardLogs"\RTDC4063\2017-04-28 &amp; aws s3 cp s3://rtdc.mdm.uploadarchive.raw/RTDC4063/ "%USERPROFILE%\AppData\Local\Temp\OnboardLogs"\RTDC4063\2017-04-29 --exclude "*" --recursive --include "*20170429*" &amp; "%USERPROFILE%\Documents\GitHub\mrs-test-scripts\Headless Mode &amp; Sideloading\WalkAndUnGZ.bat" "%USERPROFILE%\AppData\Local\Temp\OnboardLogs"\RTDC4063\2017-04-29</v>
      </c>
      <c r="AF76" s="77" t="str">
        <f t="shared" si="13"/>
        <v>"C:\Program Files (x86)\AstroGrep\AstroGrep.exe" /e /r /s /spath="%USERPROFILE%\AppData\Local\Temp\OnboardLogs" /stypes="app*4063*20170428*" /stext=" 19:.+((SYSTEM_STATE.+slice.+state.+changed )|(ment ac)|(multiple cpu faults)|(system.+state.+changed )|(\[timeout)|(PRM\|1\|D)|(kpr)|(kdp)|(train.+moving)|(\|lc)|(penalty))"</v>
      </c>
      <c r="AG76" s="1" t="str">
        <f t="shared" si="14"/>
        <v>EC</v>
      </c>
      <c r="AH76" s="81" t="str">
        <f t="shared" si="19"/>
        <v>"%USERPROFILE%\Documents\GitHub\eaglep3\Utilities\RefineRTDCRunTimes.py" --tripid 164-28 --locoid 4063 --swversion DE.1.0.9.0 --startMP 204:232957 --initTime 2017-04-28T12:18:15 --startdatetime 2017-04-28T12:26:21 --delay 1 --endMP 204:180 --enddatetime 2017-04-28T13:07:48 --enforcementcount 0 &gt;&gt;C:\Users\stu\Documents\GitHub\eaglep3-reporting\EC\2017-04-28-refined-times.txt</v>
      </c>
      <c r="AI76" s="99" t="str">
        <f t="shared" si="20"/>
        <v>echo {"issue":{"subject":"","project_id":79,"tracker_id":40,"status_id":1,"priority_id":2,"assigned_to_id":23,"start_date":"2017-04-28","description":"","custom_fields":[{"id":1,"name":"Subdivision","value":"EC"},{"id":4,"name":"Milepost","value":"0.018"},{"id":17,"name":"Train ID","value":"164-28"},{"id":16,"name":"Locomotive ID","value":"4063"},{"id":130,"name":"Impact","value":""},{"id":150,"name":"Time of Event (Mountain Time)","value":"13:07:48"},{"id":151,"name":"Denver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5" t="str">
        <f t="shared" si="21"/>
        <v>start /low /b %USERPROFILE%\Documents\GitHub\eaglep3\Utilities\DownloadLogsFromS3.py --loco 4063 --day 2017-04-28</v>
      </c>
      <c r="AN76" s="154" t="str">
        <f t="shared" si="22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19:07:48"},{"id":29,"name":"Sharepoint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610</v>
      </c>
      <c r="B77" s="7">
        <v>4022</v>
      </c>
      <c r="C77" s="21" t="s">
        <v>211</v>
      </c>
      <c r="D77" s="21" t="s">
        <v>207</v>
      </c>
      <c r="E77" s="13">
        <v>42853.485162037039</v>
      </c>
      <c r="F77" s="13">
        <v>42853.489733796298</v>
      </c>
      <c r="G77" s="7">
        <v>2</v>
      </c>
      <c r="H77" s="21" t="s">
        <v>879</v>
      </c>
      <c r="I77" s="13">
        <v>42853.513958333337</v>
      </c>
      <c r="J77" s="7">
        <v>0</v>
      </c>
      <c r="K77" s="92" t="str">
        <f t="shared" ref="K77:K140" si="27">IF(ISEVEN(B77),(B77-1)&amp;"/"&amp;B77,B77&amp;"/"&amp;(B77+1))</f>
        <v>4021/4022</v>
      </c>
      <c r="L77" s="21" t="str">
        <f>VLOOKUP(A77,'Trips&amp;Operators'!$C$1:$G$99999,5,FALSE)</f>
        <v>SULLIVAN BRANDON</v>
      </c>
      <c r="M77" s="6">
        <f t="shared" ref="M77:M140" si="28">I77-F77</f>
        <v>2.4224537039117422E-2</v>
      </c>
      <c r="N77" s="7"/>
      <c r="O77" s="7"/>
      <c r="P77" s="7">
        <f>24*60*SUM($M77:$M77)</f>
        <v>34.883333336329088</v>
      </c>
      <c r="Q77" s="22"/>
      <c r="R77" s="190" t="s">
        <v>596</v>
      </c>
      <c r="S77" s="196">
        <f t="shared" ref="S77:S102" si="29">SUM(U77:U77)/IF(AG77="EC",12,1)</f>
        <v>1</v>
      </c>
      <c r="T77" s="190" t="str">
        <f t="shared" ref="T77:T140" si="30">IF(ISEVEN(LEFT(AD77,4)),"Southbound","NorthBound")</f>
        <v>NorthBound</v>
      </c>
      <c r="U77" s="190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1" t="str">
        <f t="shared" ref="V77:V140" si="31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-04-28T10:38:38-0600',mode:absolute,to:'2017-04-28T13:20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77" s="192" t="str">
        <f t="shared" ref="W77:W140" si="32">IF(AA77&lt;IF(AG77="EC",23,5.65),"Y","N")</f>
        <v>Y</v>
      </c>
      <c r="X77" s="192">
        <f t="shared" si="26"/>
        <v>1</v>
      </c>
      <c r="Y77" s="192">
        <f t="shared" ref="Y77:Y140" si="33">RIGHT(D77,LEN(D77)-4)/10000</f>
        <v>4.5499999999999999E-2</v>
      </c>
      <c r="Z77" s="192">
        <f t="shared" ref="Z77:Z140" si="34">RIGHT(H77,LEN(H77)-4)/10000</f>
        <v>21.728999999999999</v>
      </c>
      <c r="AA77" s="192">
        <f t="shared" ref="AA77:AA140" si="35">ABS(Z77-Y77)</f>
        <v>21.683499999999999</v>
      </c>
      <c r="AB77" s="57" t="e">
        <f>VLOOKUP(A77,Enforcements!$C$7:$K$13,8,0)</f>
        <v>#N/A</v>
      </c>
      <c r="AC77" s="53" t="e">
        <f>VLOOKUP(A77,Enforcements!$C$7:$E$13,3,0)</f>
        <v>#N/A</v>
      </c>
      <c r="AD77" s="54" t="str">
        <f t="shared" ref="AD77:AD140" si="36">IF(LEN(A77)=6,"0"&amp;A77,A77)</f>
        <v>0165-28</v>
      </c>
      <c r="AE77" s="80" t="str">
        <f t="shared" ref="AE77:AE140" si="37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s3://rtdc.mdm.uploadarchive.raw/RTDC4022/ "%USERPROFILE%\AppData\Local\Temp\OnboardLogs"\RTDC4022\2017-04-28 --exclude "*" --recursive --include "*20170428*" &amp; "%USERPROFILE%\Documents\GitHub\mrs-test-scripts\Headless Mode &amp; Sideloading\WalkAndUnGZ.bat" "%USERPROFILE%\AppData\Local\Temp\OnboardLogs"\RTDC4022\2017-04-28 &amp; aws s3 cp s3://rtdc.mdm.uploadarchive.raw/RTDC4022/ "%USERPROFILE%\AppData\Local\Temp\OnboardLogs"\RTDC4022\2017-04-29 --exclude "*" --recursive --include "*20170429*" &amp; "%USERPROFILE%\Documents\GitHub\mrs-test-scripts\Headless Mode &amp; Sideloading\WalkAndUnGZ.bat" "%USERPROFILE%\AppData\Local\Temp\OnboardLogs"\RTDC4022\2017-04-29</v>
      </c>
      <c r="AF77" s="77" t="str">
        <f t="shared" ref="AF77:AF140" si="38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/stypes="app*4022*20170428*" /stext=" 18:.+((SYSTEM_STATE.+slice.+state.+changed )|(ment ac)|(multiple cpu faults)|(system.+state.+changed )|(\[timeout)|(PRM\|1\|D)|(kpr)|(kdp)|(train.+moving)|(\|lc)|(penalty))"</v>
      </c>
      <c r="AG77" s="1" t="str">
        <f t="shared" ref="AG77:AG140" si="39">IFERROR(IF(VALUE(LEFT(AD77,2))&lt;=2,"EC",IF(OR(VALUE(LEFT(AD77,2))=8,VALUE(LEFT(AD77,2))=18),"NW","Other")),"Other")</f>
        <v>EC</v>
      </c>
      <c r="AH77" s="81" t="str">
        <f t="shared" ref="AH77:AH140" si="40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165-28 --locoid 4022 --swversion DE.1.0.9.0 --startMP 204:455 --initTime 2017-04-28T11:38:38 --startdatetime 2017-04-28T11:45:13 --delay 2 --endMP 204:217290 --enddatetime 2017-04-28T12:20:06 --enforcementcount 0 &gt;&gt;C:\Users\stu\Documents\GitHub\eaglep3-reporting\EC\2017-04-28-refined-times.txt</v>
      </c>
      <c r="AI77" s="99" t="str">
        <f t="shared" ref="AI77:AI140" si="41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Z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drop","project_id":79,"tracker_id":40,"status_id":1,"priority_id":2,"assigned_to_id":23,"start_date":"2017-04-28","description":"","custom_fields":[{"id":1,"name":"Subdivision","value":"EC"},{"id":4,"name":"Milepost","value":"21.729"},{"id":17,"name":"Train ID","value":"165-28"},{"id":16,"name":"Locomotive ID","value":"4022"},{"id":130,"name":"Impact","value":""},{"id":150,"name":"Time of Event (Mountain Time)","value":"12:20:06"},{"id":151,"name":"Denver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5" t="str">
        <f t="shared" ref="AM77:AM140" si="42">"start /low /b "&amp;dls3logs&amp;" --loco "&amp;B77&amp;" --day "&amp;TEXT(F77,"YYYY-MM-DD")</f>
        <v>start /low /b %USERPROFILE%\Documents\GitHub\eaglep3\Utilities\DownloadLogsFromS3.py --loco 4022 --day 2017-04-28</v>
      </c>
      <c r="AN77" s="154" t="str">
        <f t="shared" ref="AN77:AN140" si="43">"echo {""issue"":{""subject"":"""&amp;R77&amp;""",""project_id"":30,""tracker_id"":4,""status_id"":"&amp;redmine_status_wcr&amp;",""priority_id"":"&amp;redmine_priority_wcr&amp;",""assigned_to_id"":"&amp;redmine_assignee_wcr&amp;",""start_date"":"""&amp;TEXT(I77-utc_offset/24,"YYYY-mm-dd")&amp;""",""description"":"""&amp;AJ77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{"issue":{"subject":"Wi-MAX data drop","project_id":30,"tracker_id":4,"status_id":1,"priority_id":1,"assigned_to_id":10,"start_date":"2017-04-28","description":"","custom_fields":[{"id":30,"name":"Category","value":"Issue"},{"id":3,"name":"Functional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18:20:06"},{"id":29,"name":"Sharepoint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738</v>
      </c>
      <c r="B78" s="7">
        <v>4021</v>
      </c>
      <c r="C78" s="21" t="s">
        <v>211</v>
      </c>
      <c r="D78" s="21" t="s">
        <v>374</v>
      </c>
      <c r="E78" s="13">
        <v>42853.523553240739</v>
      </c>
      <c r="F78" s="13">
        <v>42853.528634259259</v>
      </c>
      <c r="G78" s="7">
        <v>1</v>
      </c>
      <c r="H78" s="21" t="s">
        <v>556</v>
      </c>
      <c r="I78" s="13">
        <v>42853.555312500001</v>
      </c>
      <c r="J78" s="7">
        <v>0</v>
      </c>
      <c r="K78" s="92" t="str">
        <f t="shared" si="27"/>
        <v>4021/4022</v>
      </c>
      <c r="L78" s="21" t="str">
        <f>VLOOKUP(A78,'Trips&amp;Operators'!$C$1:$G$99999,5,FALSE)</f>
        <v>SULLIVAN BRANDON</v>
      </c>
      <c r="M78" s="6">
        <f t="shared" si="28"/>
        <v>2.6678240741603076E-2</v>
      </c>
      <c r="N78" s="7">
        <f t="shared" ref="N78:N86" si="44">24*60*SUM($M78:$M78)</f>
        <v>38.41666666790843</v>
      </c>
      <c r="O78" s="7"/>
      <c r="P78" s="7"/>
      <c r="Q78" s="22"/>
      <c r="R78" s="190"/>
      <c r="S78" s="196">
        <f t="shared" si="29"/>
        <v>1</v>
      </c>
      <c r="T78" s="190" t="str">
        <f t="shared" si="30"/>
        <v>Southbound</v>
      </c>
      <c r="U78" s="190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1" t="str">
        <f t="shared" si="31"/>
        <v>https://d0f6bd738d7f1b3e5a7ca70fe4ff75f0.us-east-1.aws.found.io/app/kibana#/discover/Steve-Slow-Train-Analysis-(2080s-and-2083s)?_g=(refreshInterval:(display:Off,pause:!f,section:0,value:0),time:(from:'2017-04-28T11:33:55-0600',mode:absolute,to:'2017-04-28T14:19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78" s="192" t="str">
        <f t="shared" si="32"/>
        <v>N</v>
      </c>
      <c r="X78" s="192">
        <f t="shared" si="26"/>
        <v>1</v>
      </c>
      <c r="Y78" s="192">
        <f t="shared" si="33"/>
        <v>23.297699999999999</v>
      </c>
      <c r="Z78" s="192">
        <f t="shared" si="34"/>
        <v>1.3599999999999999E-2</v>
      </c>
      <c r="AA78" s="192">
        <f t="shared" si="35"/>
        <v>23.284099999999999</v>
      </c>
      <c r="AB78" s="57" t="e">
        <f>VLOOKUP(A78,Enforcements!$C$7:$K$13,8,0)</f>
        <v>#N/A</v>
      </c>
      <c r="AC78" s="53" t="e">
        <f>VLOOKUP(A78,Enforcements!$C$7:$E$13,3,0)</f>
        <v>#N/A</v>
      </c>
      <c r="AD78" s="54" t="str">
        <f t="shared" si="36"/>
        <v>0166-28</v>
      </c>
      <c r="AE78" s="80" t="str">
        <f t="shared" si="37"/>
        <v>aws s3 cp s3://rtdc.mdm.uploadarchive.raw/RTDC4021/ "%USERPROFILE%\AppData\Local\Temp\OnboardLogs"\RTDC4021\2017-04-28 --exclude "*" --recursive --include "*20170428*" &amp; "%USERPROFILE%\Documents\GitHub\mrs-test-scripts\Headless Mode &amp; Sideloading\WalkAndUnGZ.bat" "%USERPROFILE%\AppData\Local\Temp\OnboardLogs"\RTDC4021\2017-04-28 &amp; aws s3 cp s3://rtdc.mdm.uploadarchive.raw/RTDC4021/ "%USERPROFILE%\AppData\Local\Temp\OnboardLogs"\RTDC4021\2017-04-29 --exclude "*" --recursive --include "*20170429*" &amp; "%USERPROFILE%\Documents\GitHub\mrs-test-scripts\Headless Mode &amp; Sideloading\WalkAndUnGZ.bat" "%USERPROFILE%\AppData\Local\Temp\OnboardLogs"\RTDC4021\2017-04-29</v>
      </c>
      <c r="AF78" s="77" t="str">
        <f t="shared" si="38"/>
        <v>"C:\Program Files (x86)\AstroGrep\AstroGrep.exe" /e /r /s /spath="%USERPROFILE%\AppData\Local\Temp\OnboardLogs" /stypes="app*4021*20170428*" /stext=" 19:.+((SYSTEM_STATE.+slice.+state.+changed )|(ment ac)|(multiple cpu faults)|(system.+state.+changed )|(\[timeout)|(PRM\|1\|D)|(kpr)|(kdp)|(train.+moving)|(\|lc)|(penalty))"</v>
      </c>
      <c r="AG78" s="1" t="str">
        <f t="shared" si="39"/>
        <v>EC</v>
      </c>
      <c r="AH78" s="81" t="str">
        <f t="shared" si="40"/>
        <v>"%USERPROFILE%\Documents\GitHub\eaglep3\Utilities\RefineRTDCRunTimes.py" --tripid 166-28 --locoid 4021 --swversion DE.1.0.9.0 --startMP 204:232977 --initTime 2017-04-28T12:33:55 --startdatetime 2017-04-28T12:41:14 --delay 1 --endMP 204:136 --enddatetime 2017-04-28T13:19:39 --enforcementcount 0 &gt;&gt;C:\Users\stu\Documents\GitHub\eaglep3-reporting\EC\2017-04-28-refined-times.txt</v>
      </c>
      <c r="AI78" s="99" t="str">
        <f t="shared" si="41"/>
        <v>echo {"issue":{"subject":"","project_id":79,"tracker_id":40,"status_id":1,"priority_id":2,"assigned_to_id":23,"start_date":"2017-04-28","description":"","custom_fields":[{"id":1,"name":"Subdivision","value":"EC"},{"id":4,"name":"Milepost","value":"0.0136"},{"id":17,"name":"Train ID","value":"166-28"},{"id":16,"name":"Locomotive ID","value":"4021"},{"id":130,"name":"Impact","value":""},{"id":150,"name":"Time of Event (Mountain Time)","value":"13:19:39"},{"id":151,"name":"Denver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5" t="str">
        <f t="shared" si="42"/>
        <v>start /low /b %USERPROFILE%\Documents\GitHub\eaglep3\Utilities\DownloadLogsFromS3.py --loco 4021 --day 2017-04-28</v>
      </c>
      <c r="AN78" s="154" t="str">
        <f t="shared" si="43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19:19:39"},{"id":29,"name":"Sharepoint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734</v>
      </c>
      <c r="B79" s="7">
        <v>4042</v>
      </c>
      <c r="C79" s="21" t="s">
        <v>211</v>
      </c>
      <c r="D79" s="21" t="s">
        <v>368</v>
      </c>
      <c r="E79" s="13">
        <v>42853.496099537035</v>
      </c>
      <c r="F79" s="13">
        <v>42853.500474537039</v>
      </c>
      <c r="G79" s="7">
        <v>2</v>
      </c>
      <c r="H79" s="21" t="s">
        <v>424</v>
      </c>
      <c r="I79" s="13">
        <v>42853.525972222225</v>
      </c>
      <c r="J79" s="7">
        <v>0</v>
      </c>
      <c r="K79" s="92" t="str">
        <f t="shared" si="27"/>
        <v>4041/4042</v>
      </c>
      <c r="L79" s="21" t="str">
        <f>VLOOKUP(A79,'Trips&amp;Operators'!$C$1:$G$99999,5,FALSE)</f>
        <v>LAMAR NEKESHA</v>
      </c>
      <c r="M79" s="6">
        <f t="shared" si="28"/>
        <v>2.5497685186564922E-2</v>
      </c>
      <c r="N79" s="7">
        <f t="shared" si="44"/>
        <v>36.716666668653488</v>
      </c>
      <c r="O79" s="7"/>
      <c r="P79" s="7"/>
      <c r="Q79" s="22"/>
      <c r="R79" s="190"/>
      <c r="S79" s="196">
        <f t="shared" si="29"/>
        <v>1</v>
      </c>
      <c r="T79" s="190" t="str">
        <f t="shared" si="30"/>
        <v>NorthBound</v>
      </c>
      <c r="U79" s="190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1" t="str">
        <f t="shared" si="31"/>
        <v>https://d0f6bd738d7f1b3e5a7ca70fe4ff75f0.us-east-1.aws.found.io/app/kibana#/discover/Steve-Slow-Train-Analysis-(2080s-and-2083s)?_g=(refreshInterval:(display:Off,pause:!f,section:0,value:0),time:(from:'2017-04-28T10:54:23-0600',mode:absolute,to:'2017-04-28T13:37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79" s="192" t="str">
        <f t="shared" si="32"/>
        <v>N</v>
      </c>
      <c r="X79" s="192">
        <f t="shared" si="26"/>
        <v>1</v>
      </c>
      <c r="Y79" s="192">
        <f t="shared" si="33"/>
        <v>4.4900000000000002E-2</v>
      </c>
      <c r="Z79" s="192">
        <f t="shared" si="34"/>
        <v>23.330100000000002</v>
      </c>
      <c r="AA79" s="192">
        <f t="shared" si="35"/>
        <v>23.285200000000003</v>
      </c>
      <c r="AB79" s="57" t="e">
        <f>VLOOKUP(A79,Enforcements!$C$7:$K$13,8,0)</f>
        <v>#N/A</v>
      </c>
      <c r="AC79" s="53" t="e">
        <f>VLOOKUP(A79,Enforcements!$C$7:$E$13,3,0)</f>
        <v>#N/A</v>
      </c>
      <c r="AD79" s="54" t="str">
        <f t="shared" si="36"/>
        <v>0167-28</v>
      </c>
      <c r="AE79" s="80" t="str">
        <f t="shared" si="37"/>
        <v>aws s3 cp s3://rtdc.mdm.uploadarchive.raw/RTDC4042/ "%USERPROFILE%\AppData\Local\Temp\OnboardLogs"\RTDC4042\2017-04-28 --exclude "*" --recursive --include "*20170428*" &amp; "%USERPROFILE%\Documents\GitHub\mrs-test-scripts\Headless Mode &amp; Sideloading\WalkAndUnGZ.bat" "%USERPROFILE%\AppData\Local\Temp\OnboardLogs"\RTDC4042\2017-04-28 &amp; aws s3 cp s3://rtdc.mdm.uploadarchive.raw/RTDC4042/ "%USERPROFILE%\AppData\Local\Temp\OnboardLogs"\RTDC4042\2017-04-29 --exclude "*" --recursive --include "*20170429*" &amp; "%USERPROFILE%\Documents\GitHub\mrs-test-scripts\Headless Mode &amp; Sideloading\WalkAndUnGZ.bat" "%USERPROFILE%\AppData\Local\Temp\OnboardLogs"\RTDC4042\2017-04-29</v>
      </c>
      <c r="AF79" s="77" t="str">
        <f t="shared" si="38"/>
        <v>"C:\Program Files (x86)\AstroGrep\AstroGrep.exe" /e /r /s /spath="%USERPROFILE%\AppData\Local\Temp\OnboardLogs" /stypes="app*4042*20170428*" /stext=" 18:.+((SYSTEM_STATE.+slice.+state.+changed )|(ment ac)|(multiple cpu faults)|(system.+state.+changed )|(\[timeout)|(PRM\|1\|D)|(kpr)|(kdp)|(train.+moving)|(\|lc)|(penalty))"</v>
      </c>
      <c r="AG79" s="1" t="str">
        <f t="shared" si="39"/>
        <v>EC</v>
      </c>
      <c r="AH79" s="81" t="str">
        <f t="shared" si="40"/>
        <v>"%USERPROFILE%\Documents\GitHub\eaglep3\Utilities\RefineRTDCRunTimes.py" --tripid 167-28 --locoid 4042 --swversion DE.1.0.9.0 --startMP 204:449 --initTime 2017-04-28T11:54:23 --startdatetime 2017-04-28T12:00:41 --delay 2 --endMP 204:233301 --enddatetime 2017-04-28T12:37:24 --enforcementcount 0 &gt;&gt;C:\Users\stu\Documents\GitHub\eaglep3-reporting\EC\2017-04-28-refined-times.txt</v>
      </c>
      <c r="AI79" s="99" t="str">
        <f t="shared" si="41"/>
        <v>echo {"issue":{"subject":"","project_id":79,"tracker_id":40,"status_id":1,"priority_id":2,"assigned_to_id":23,"start_date":"2017-04-28","description":"","custom_fields":[{"id":1,"name":"Subdivision","value":"EC"},{"id":4,"name":"Milepost","value":"23.3301"},{"id":17,"name":"Train ID","value":"167-28"},{"id":16,"name":"Locomotive ID","value":"4042"},{"id":130,"name":"Impact","value":""},{"id":150,"name":"Time of Event (Mountain Time)","value":"12:37:24"},{"id":151,"name":"Denver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5" t="str">
        <f t="shared" si="42"/>
        <v>start /low /b %USERPROFILE%\Documents\GitHub\eaglep3\Utilities\DownloadLogsFromS3.py --loco 4042 --day 2017-04-28</v>
      </c>
      <c r="AN79" s="154" t="str">
        <f t="shared" si="43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18:37:24"},{"id":29,"name":"Sharepoint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741</v>
      </c>
      <c r="B80" s="7">
        <v>4041</v>
      </c>
      <c r="C80" s="21" t="s">
        <v>211</v>
      </c>
      <c r="D80" s="21" t="s">
        <v>484</v>
      </c>
      <c r="E80" s="13">
        <v>42853.535937499997</v>
      </c>
      <c r="F80" s="13">
        <v>42853.539247685185</v>
      </c>
      <c r="G80" s="7">
        <v>1</v>
      </c>
      <c r="H80" s="21" t="s">
        <v>504</v>
      </c>
      <c r="I80" s="13">
        <v>42853.566481481481</v>
      </c>
      <c r="J80" s="7">
        <v>0</v>
      </c>
      <c r="K80" s="92" t="str">
        <f t="shared" si="27"/>
        <v>4041/4042</v>
      </c>
      <c r="L80" s="21" t="str">
        <f>VLOOKUP(A80,'Trips&amp;Operators'!$C$1:$G$99999,5,FALSE)</f>
        <v>LAMAR NEKESHA</v>
      </c>
      <c r="M80" s="6">
        <f t="shared" si="28"/>
        <v>2.7233796296059154E-2</v>
      </c>
      <c r="N80" s="7">
        <f t="shared" si="44"/>
        <v>39.216666666325182</v>
      </c>
      <c r="O80" s="7"/>
      <c r="P80" s="7"/>
      <c r="Q80" s="22"/>
      <c r="R80" s="190"/>
      <c r="S80" s="196">
        <f t="shared" si="29"/>
        <v>1</v>
      </c>
      <c r="T80" s="190" t="str">
        <f t="shared" si="30"/>
        <v>Southbound</v>
      </c>
      <c r="U80" s="190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1" t="str">
        <f t="shared" si="31"/>
        <v>https://d0f6bd738d7f1b3e5a7ca70fe4ff75f0.us-east-1.aws.found.io/app/kibana#/discover/Steve-Slow-Train-Analysis-(2080s-and-2083s)?_g=(refreshInterval:(display:Off,pause:!f,section:0,value:0),time:(from:'2017-04-28T11:51:45-0600',mode:absolute,to:'2017-04-28T14:35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80" s="192" t="str">
        <f t="shared" si="32"/>
        <v>N</v>
      </c>
      <c r="X80" s="192">
        <f t="shared" si="26"/>
        <v>1</v>
      </c>
      <c r="Y80" s="192">
        <f t="shared" si="33"/>
        <v>23.2973</v>
      </c>
      <c r="Z80" s="192">
        <f t="shared" si="34"/>
        <v>1.32E-2</v>
      </c>
      <c r="AA80" s="192">
        <f t="shared" si="35"/>
        <v>23.284099999999999</v>
      </c>
      <c r="AB80" s="57" t="e">
        <f>VLOOKUP(A80,Enforcements!$C$7:$K$13,8,0)</f>
        <v>#N/A</v>
      </c>
      <c r="AC80" s="53" t="e">
        <f>VLOOKUP(A80,Enforcements!$C$7:$E$13,3,0)</f>
        <v>#N/A</v>
      </c>
      <c r="AD80" s="54" t="str">
        <f t="shared" si="36"/>
        <v>0168-28</v>
      </c>
      <c r="AE80" s="80" t="str">
        <f t="shared" si="37"/>
        <v>aws s3 cp s3://rtdc.mdm.uploadarchive.raw/RTDC4041/ "%USERPROFILE%\AppData\Local\Temp\OnboardLogs"\RTDC4041\2017-04-28 --exclude "*" --recursive --include "*20170428*" &amp; "%USERPROFILE%\Documents\GitHub\mrs-test-scripts\Headless Mode &amp; Sideloading\WalkAndUnGZ.bat" "%USERPROFILE%\AppData\Local\Temp\OnboardLogs"\RTDC4041\2017-04-28 &amp; aws s3 cp s3://rtdc.mdm.uploadarchive.raw/RTDC4041/ "%USERPROFILE%\AppData\Local\Temp\OnboardLogs"\RTDC4041\2017-04-29 --exclude "*" --recursive --include "*20170429*" &amp; "%USERPROFILE%\Documents\GitHub\mrs-test-scripts\Headless Mode &amp; Sideloading\WalkAndUnGZ.bat" "%USERPROFILE%\AppData\Local\Temp\OnboardLogs"\RTDC4041\2017-04-29</v>
      </c>
      <c r="AF80" s="77" t="str">
        <f t="shared" si="38"/>
        <v>"C:\Program Files (x86)\AstroGrep\AstroGrep.exe" /e /r /s /spath="%USERPROFILE%\AppData\Local\Temp\OnboardLogs" /stypes="app*4041*20170428*" /stext=" 19:.+((SYSTEM_STATE.+slice.+state.+changed )|(ment ac)|(multiple cpu faults)|(system.+state.+changed )|(\[timeout)|(PRM\|1\|D)|(kpr)|(kdp)|(train.+moving)|(\|lc)|(penalty))"</v>
      </c>
      <c r="AG80" s="1" t="str">
        <f t="shared" si="39"/>
        <v>EC</v>
      </c>
      <c r="AH80" s="81" t="str">
        <f t="shared" si="40"/>
        <v>"%USERPROFILE%\Documents\GitHub\eaglep3\Utilities\RefineRTDCRunTimes.py" --tripid 168-28 --locoid 4041 --swversion DE.1.0.9.0 --startMP 204:232973 --initTime 2017-04-28T12:51:45 --startdatetime 2017-04-28T12:56:31 --delay 1 --endMP 204:132 --enddatetime 2017-04-28T13:35:44 --enforcementcount 0 &gt;&gt;C:\Users\stu\Documents\GitHub\eaglep3-reporting\EC\2017-04-28-refined-times.txt</v>
      </c>
      <c r="AI80" s="99" t="str">
        <f t="shared" si="41"/>
        <v>echo {"issue":{"subject":"","project_id":79,"tracker_id":40,"status_id":1,"priority_id":2,"assigned_to_id":23,"start_date":"2017-04-28","description":"","custom_fields":[{"id":1,"name":"Subdivision","value":"EC"},{"id":4,"name":"Milepost","value":"0.0132"},{"id":17,"name":"Train ID","value":"168-28"},{"id":16,"name":"Locomotive ID","value":"4041"},{"id":130,"name":"Impact","value":""},{"id":150,"name":"Time of Event (Mountain Time)","value":"13:35:44"},{"id":151,"name":"Denver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5" t="str">
        <f t="shared" si="42"/>
        <v>start /low /b %USERPROFILE%\Documents\GitHub\eaglep3\Utilities\DownloadLogsFromS3.py --loco 4041 --day 2017-04-28</v>
      </c>
      <c r="AN80" s="154" t="str">
        <f t="shared" si="43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19:35:44"},{"id":29,"name":"Sharepoint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736</v>
      </c>
      <c r="B81" s="7">
        <v>4016</v>
      </c>
      <c r="C81" s="21" t="s">
        <v>211</v>
      </c>
      <c r="D81" s="21" t="s">
        <v>442</v>
      </c>
      <c r="E81" s="13">
        <v>42853.507268518515</v>
      </c>
      <c r="F81" s="13">
        <v>42853.510694444441</v>
      </c>
      <c r="G81" s="7">
        <v>2</v>
      </c>
      <c r="H81" s="21" t="s">
        <v>880</v>
      </c>
      <c r="I81" s="13">
        <v>42853.536168981482</v>
      </c>
      <c r="J81" s="7">
        <v>0</v>
      </c>
      <c r="K81" s="92" t="str">
        <f t="shared" si="27"/>
        <v>4015/4016</v>
      </c>
      <c r="L81" s="21" t="str">
        <f>VLOOKUP(A81,'Trips&amp;Operators'!$C$1:$G$99999,5,FALSE)</f>
        <v>BRANDNER MELINDA</v>
      </c>
      <c r="M81" s="6">
        <f t="shared" si="28"/>
        <v>2.5474537040281575E-2</v>
      </c>
      <c r="N81" s="7">
        <f t="shared" si="44"/>
        <v>36.683333338005468</v>
      </c>
      <c r="O81" s="7"/>
      <c r="P81" s="7"/>
      <c r="Q81" s="22"/>
      <c r="R81" s="190"/>
      <c r="S81" s="196">
        <f t="shared" si="29"/>
        <v>1</v>
      </c>
      <c r="T81" s="190" t="str">
        <f t="shared" si="30"/>
        <v>NorthBound</v>
      </c>
      <c r="U81" s="190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1" t="str">
        <f t="shared" si="31"/>
        <v>https://d0f6bd738d7f1b3e5a7ca70fe4ff75f0.us-east-1.aws.found.io/app/kibana#/discover/Steve-Slow-Train-Analysis-(2080s-and-2083s)?_g=(refreshInterval:(display:Off,pause:!f,section:0,value:0),time:(from:'2017-04-28T11:10:28-0600',mode:absolute,to:'2017-04-28T13:52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81" s="192" t="str">
        <f t="shared" si="32"/>
        <v>N</v>
      </c>
      <c r="X81" s="192">
        <f t="shared" si="26"/>
        <v>1</v>
      </c>
      <c r="Y81" s="192">
        <f t="shared" si="33"/>
        <v>4.3099999999999999E-2</v>
      </c>
      <c r="Z81" s="192">
        <f t="shared" si="34"/>
        <v>23.331700000000001</v>
      </c>
      <c r="AA81" s="192">
        <f t="shared" si="35"/>
        <v>23.288600000000002</v>
      </c>
      <c r="AB81" s="57" t="e">
        <f>VLOOKUP(A81,Enforcements!$C$7:$K$13,8,0)</f>
        <v>#N/A</v>
      </c>
      <c r="AC81" s="53" t="e">
        <f>VLOOKUP(A81,Enforcements!$C$7:$E$13,3,0)</f>
        <v>#N/A</v>
      </c>
      <c r="AD81" s="54" t="str">
        <f t="shared" si="36"/>
        <v>0169-28</v>
      </c>
      <c r="AE81" s="80" t="str">
        <f t="shared" si="37"/>
        <v>aws s3 cp s3://rtdc.mdm.uploadarchive.raw/RTDC4016/ "%USERPROFILE%\AppData\Local\Temp\OnboardLogs"\RTDC4016\2017-04-28 --exclude "*" --recursive --include "*20170428*" &amp; "%USERPROFILE%\Documents\GitHub\mrs-test-scripts\Headless Mode &amp; Sideloading\WalkAndUnGZ.bat" "%USERPROFILE%\AppData\Local\Temp\OnboardLogs"\RTDC4016\2017-04-28 &amp; aws s3 cp s3://rtdc.mdm.uploadarchive.raw/RTDC4016/ "%USERPROFILE%\AppData\Local\Temp\OnboardLogs"\RTDC4016\2017-04-29 --exclude "*" --recursive --include "*20170429*" &amp; "%USERPROFILE%\Documents\GitHub\mrs-test-scripts\Headless Mode &amp; Sideloading\WalkAndUnGZ.bat" "%USERPROFILE%\AppData\Local\Temp\OnboardLogs"\RTDC4016\2017-04-29</v>
      </c>
      <c r="AF81" s="77" t="str">
        <f t="shared" si="38"/>
        <v>"C:\Program Files (x86)\AstroGrep\AstroGrep.exe" /e /r /s /spath="%USERPROFILE%\AppData\Local\Temp\OnboardLogs" /stypes="app*4016*20170428*" /stext=" 18:.+((SYSTEM_STATE.+slice.+state.+changed )|(ment ac)|(multiple cpu faults)|(system.+state.+changed )|(\[timeout)|(PRM\|1\|D)|(kpr)|(kdp)|(train.+moving)|(\|lc)|(penalty))"</v>
      </c>
      <c r="AG81" s="1" t="str">
        <f t="shared" si="39"/>
        <v>EC</v>
      </c>
      <c r="AH81" s="81" t="str">
        <f t="shared" si="40"/>
        <v>"%USERPROFILE%\Documents\GitHub\eaglep3\Utilities\RefineRTDCRunTimes.py" --tripid 169-28 --locoid 4016 --swversion DE.1.0.9.0 --startMP 204:431 --initTime 2017-04-28T12:10:28 --startdatetime 2017-04-28T12:15:24 --delay 2 --endMP 204:233317 --enddatetime 2017-04-28T12:52:05 --enforcementcount 0 &gt;&gt;C:\Users\stu\Documents\GitHub\eaglep3-reporting\EC\2017-04-28-refined-times.txt</v>
      </c>
      <c r="AI81" s="99" t="str">
        <f t="shared" si="41"/>
        <v>echo {"issue":{"subject":"","project_id":79,"tracker_id":40,"status_id":1,"priority_id":2,"assigned_to_id":23,"start_date":"2017-04-28","description":"","custom_fields":[{"id":1,"name":"Subdivision","value":"EC"},{"id":4,"name":"Milepost","value":"23.3317"},{"id":17,"name":"Train ID","value":"169-28"},{"id":16,"name":"Locomotive ID","value":"4016"},{"id":130,"name":"Impact","value":""},{"id":150,"name":"Time of Event (Mountain Time)","value":"12:52:05"},{"id":151,"name":"Denver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5" t="str">
        <f t="shared" si="42"/>
        <v>start /low /b %USERPROFILE%\Documents\GitHub\eaglep3\Utilities\DownloadLogsFromS3.py --loco 4016 --day 2017-04-28</v>
      </c>
      <c r="AN81" s="154" t="str">
        <f t="shared" si="43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18:52:05"},{"id":29,"name":"Sharepoint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742</v>
      </c>
      <c r="B82" s="7">
        <v>4015</v>
      </c>
      <c r="C82" s="21" t="s">
        <v>211</v>
      </c>
      <c r="D82" s="21" t="s">
        <v>467</v>
      </c>
      <c r="E82" s="13">
        <v>42853.544490740744</v>
      </c>
      <c r="F82" s="13">
        <v>42853.549513888887</v>
      </c>
      <c r="G82" s="7">
        <v>1</v>
      </c>
      <c r="H82" s="21" t="s">
        <v>203</v>
      </c>
      <c r="I82" s="13">
        <v>42853.576817129629</v>
      </c>
      <c r="J82" s="7">
        <v>0</v>
      </c>
      <c r="K82" s="92" t="str">
        <f t="shared" si="27"/>
        <v>4015/4016</v>
      </c>
      <c r="L82" s="21" t="str">
        <f>VLOOKUP(A82,'Trips&amp;Operators'!$C$1:$G$99999,5,FALSE)</f>
        <v>BRANDNER MELINDA</v>
      </c>
      <c r="M82" s="6">
        <f t="shared" si="28"/>
        <v>2.7303240742185153E-2</v>
      </c>
      <c r="N82" s="7">
        <f t="shared" si="44"/>
        <v>39.31666666874662</v>
      </c>
      <c r="O82" s="7"/>
      <c r="P82" s="7"/>
      <c r="Q82" s="22"/>
      <c r="R82" s="190"/>
      <c r="S82" s="196">
        <f t="shared" si="29"/>
        <v>1</v>
      </c>
      <c r="T82" s="190" t="str">
        <f t="shared" si="30"/>
        <v>Southbound</v>
      </c>
      <c r="U82" s="190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1" t="str">
        <f t="shared" si="31"/>
        <v>https://d0f6bd738d7f1b3e5a7ca70fe4ff75f0.us-east-1.aws.found.io/app/kibana#/discover/Steve-Slow-Train-Analysis-(2080s-and-2083s)?_g=(refreshInterval:(display:Off,pause:!f,section:0,value:0),time:(from:'2017-04-28T12:04:04-0600',mode:absolute,to:'2017-04-28T14:50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82" s="192" t="str">
        <f t="shared" si="32"/>
        <v>N</v>
      </c>
      <c r="X82" s="192">
        <f t="shared" si="26"/>
        <v>1</v>
      </c>
      <c r="Y82" s="192">
        <f t="shared" si="33"/>
        <v>23.3002</v>
      </c>
      <c r="Z82" s="192">
        <f t="shared" si="34"/>
        <v>1.54E-2</v>
      </c>
      <c r="AA82" s="192">
        <f t="shared" si="35"/>
        <v>23.284800000000001</v>
      </c>
      <c r="AB82" s="57" t="e">
        <f>VLOOKUP(A82,Enforcements!$C$7:$K$13,8,0)</f>
        <v>#N/A</v>
      </c>
      <c r="AC82" s="53" t="e">
        <f>VLOOKUP(A82,Enforcements!$C$7:$E$13,3,0)</f>
        <v>#N/A</v>
      </c>
      <c r="AD82" s="54" t="str">
        <f t="shared" si="36"/>
        <v>0170-28</v>
      </c>
      <c r="AE82" s="80" t="str">
        <f t="shared" si="37"/>
        <v>aws s3 cp s3://rtdc.mdm.uploadarchive.raw/RTDC4015/ "%USERPROFILE%\AppData\Local\Temp\OnboardLogs"\RTDC4015\2017-04-28 --exclude "*" --recursive --include "*20170428*" &amp; "%USERPROFILE%\Documents\GitHub\mrs-test-scripts\Headless Mode &amp; Sideloading\WalkAndUnGZ.bat" "%USERPROFILE%\AppData\Local\Temp\OnboardLogs"\RTDC4015\2017-04-28 &amp; aws s3 cp s3://rtdc.mdm.uploadarchive.raw/RTDC4015/ "%USERPROFILE%\AppData\Local\Temp\OnboardLogs"\RTDC4015\2017-04-29 --exclude "*" --recursive --include "*20170429*" &amp; "%USERPROFILE%\Documents\GitHub\mrs-test-scripts\Headless Mode &amp; Sideloading\WalkAndUnGZ.bat" "%USERPROFILE%\AppData\Local\Temp\OnboardLogs"\RTDC4015\2017-04-29</v>
      </c>
      <c r="AF82" s="77" t="str">
        <f t="shared" si="38"/>
        <v>"C:\Program Files (x86)\AstroGrep\AstroGrep.exe" /e /r /s /spath="%USERPROFILE%\AppData\Local\Temp\OnboardLogs" /stypes="app*4015*20170428*" /stext=" 19:.+((SYSTEM_STATE.+slice.+state.+changed )|(ment ac)|(multiple cpu faults)|(system.+state.+changed )|(\[timeout)|(PRM\|1\|D)|(kpr)|(kdp)|(train.+moving)|(\|lc)|(penalty))"</v>
      </c>
      <c r="AG82" s="1" t="str">
        <f t="shared" si="39"/>
        <v>EC</v>
      </c>
      <c r="AH82" s="81" t="str">
        <f t="shared" si="40"/>
        <v>"%USERPROFILE%\Documents\GitHub\eaglep3\Utilities\RefineRTDCRunTimes.py" --tripid 170-28 --locoid 4015 --swversion DE.1.0.9.0 --startMP 204:233002 --initTime 2017-04-28T13:04:04 --startdatetime 2017-04-28T13:11:18 --delay 1 --endMP 204:154 --enddatetime 2017-04-28T13:50:37 --enforcementcount 0 &gt;&gt;C:\Users\stu\Documents\GitHub\eaglep3-reporting\EC\2017-04-28-refined-times.txt</v>
      </c>
      <c r="AI82" s="99" t="str">
        <f t="shared" si="41"/>
        <v>echo {"issue":{"subject":"","project_id":79,"tracker_id":40,"status_id":1,"priority_id":2,"assigned_to_id":23,"start_date":"2017-04-28","description":"","custom_fields":[{"id":1,"name":"Subdivision","value":"EC"},{"id":4,"name":"Milepost","value":"0.0154"},{"id":17,"name":"Train ID","value":"170-28"},{"id":16,"name":"Locomotive ID","value":"4015"},{"id":130,"name":"Impact","value":""},{"id":150,"name":"Time of Event (Mountain Time)","value":"13:50:37"},{"id":151,"name":"Denver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5" t="str">
        <f t="shared" si="42"/>
        <v>start /low /b %USERPROFILE%\Documents\GitHub\eaglep3\Utilities\DownloadLogsFromS3.py --loco 4015 --day 2017-04-28</v>
      </c>
      <c r="AN82" s="154" t="str">
        <f t="shared" si="43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19:50:37"},{"id":29,"name":"Sharepoint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737</v>
      </c>
      <c r="B83" s="7">
        <v>4052</v>
      </c>
      <c r="C83" s="21" t="s">
        <v>211</v>
      </c>
      <c r="D83" s="21" t="s">
        <v>407</v>
      </c>
      <c r="E83" s="13">
        <v>42853.515694444446</v>
      </c>
      <c r="F83" s="13">
        <v>42853.521111111113</v>
      </c>
      <c r="G83" s="7">
        <v>1</v>
      </c>
      <c r="H83" s="21" t="s">
        <v>856</v>
      </c>
      <c r="I83" s="13">
        <v>42853.545370370368</v>
      </c>
      <c r="J83" s="7">
        <v>0</v>
      </c>
      <c r="K83" s="92" t="str">
        <f t="shared" si="27"/>
        <v>4051/4052</v>
      </c>
      <c r="L83" s="21" t="str">
        <f>VLOOKUP(A83,'Trips&amp;Operators'!$C$1:$G$99999,5,FALSE)</f>
        <v>WHITED DUSTIN</v>
      </c>
      <c r="M83" s="6">
        <f t="shared" si="28"/>
        <v>2.4259259254904464E-2</v>
      </c>
      <c r="N83" s="7">
        <f t="shared" si="44"/>
        <v>34.933333327062428</v>
      </c>
      <c r="O83" s="7"/>
      <c r="P83" s="7"/>
      <c r="Q83" s="22"/>
      <c r="R83" s="190"/>
      <c r="S83" s="196">
        <f t="shared" si="29"/>
        <v>1</v>
      </c>
      <c r="T83" s="190" t="str">
        <f t="shared" si="30"/>
        <v>NorthBound</v>
      </c>
      <c r="U83" s="190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1" t="str">
        <f t="shared" si="31"/>
        <v>https://d0f6bd738d7f1b3e5a7ca70fe4ff75f0.us-east-1.aws.found.io/app/kibana#/discover/Steve-Slow-Train-Analysis-(2080s-and-2083s)?_g=(refreshInterval:(display:Off,pause:!f,section:0,value:0),time:(from:'2017-04-28T11:22:36-0600',mode:absolute,to:'2017-04-28T14:05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83" s="192" t="str">
        <f t="shared" si="32"/>
        <v>N</v>
      </c>
      <c r="X83" s="192">
        <f t="shared" si="26"/>
        <v>1</v>
      </c>
      <c r="Y83" s="192">
        <f t="shared" si="33"/>
        <v>4.6699999999999998E-2</v>
      </c>
      <c r="Z83" s="192">
        <f t="shared" si="34"/>
        <v>23.335699999999999</v>
      </c>
      <c r="AA83" s="192">
        <f t="shared" si="35"/>
        <v>23.288999999999998</v>
      </c>
      <c r="AB83" s="57" t="e">
        <f>VLOOKUP(A83,Enforcements!$C$7:$K$13,8,0)</f>
        <v>#N/A</v>
      </c>
      <c r="AC83" s="53" t="e">
        <f>VLOOKUP(A83,Enforcements!$C$7:$E$13,3,0)</f>
        <v>#N/A</v>
      </c>
      <c r="AD83" s="54" t="str">
        <f t="shared" si="36"/>
        <v>0171-28</v>
      </c>
      <c r="AE83" s="80" t="str">
        <f t="shared" si="37"/>
        <v>aws s3 cp s3://rtdc.mdm.uploadarchive.raw/RTDC4052/ "%USERPROFILE%\AppData\Local\Temp\OnboardLogs"\RTDC4052\2017-04-28 --exclude "*" --recursive --include "*20170428*" &amp; "%USERPROFILE%\Documents\GitHub\mrs-test-scripts\Headless Mode &amp; Sideloading\WalkAndUnGZ.bat" "%USERPROFILE%\AppData\Local\Temp\OnboardLogs"\RTDC4052\2017-04-28 &amp; aws s3 cp s3://rtdc.mdm.uploadarchive.raw/RTDC4052/ "%USERPROFILE%\AppData\Local\Temp\OnboardLogs"\RTDC4052\2017-04-29 --exclude "*" --recursive --include "*20170429*" &amp; "%USERPROFILE%\Documents\GitHub\mrs-test-scripts\Headless Mode &amp; Sideloading\WalkAndUnGZ.bat" "%USERPROFILE%\AppData\Local\Temp\OnboardLogs"\RTDC4052\2017-04-29</v>
      </c>
      <c r="AF83" s="77" t="str">
        <f t="shared" si="38"/>
        <v>"C:\Program Files (x86)\AstroGrep\AstroGrep.exe" /e /r /s /spath="%USERPROFILE%\AppData\Local\Temp\OnboardLogs" /stypes="app*4052*20170428*" /stext=" 19:.+((SYSTEM_STATE.+slice.+state.+changed )|(ment ac)|(multiple cpu faults)|(system.+state.+changed )|(\[timeout)|(PRM\|1\|D)|(kpr)|(kdp)|(train.+moving)|(\|lc)|(penalty))"</v>
      </c>
      <c r="AG83" s="1" t="str">
        <f t="shared" si="39"/>
        <v>EC</v>
      </c>
      <c r="AH83" s="81" t="str">
        <f t="shared" si="40"/>
        <v>"%USERPROFILE%\Documents\GitHub\eaglep3\Utilities\RefineRTDCRunTimes.py" --tripid 171-28 --locoid 4052 --swversion DE.1.0.9.0 --startMP 204:467 --initTime 2017-04-28T12:22:36 --startdatetime 2017-04-28T12:30:24 --delay 1 --endMP 204:233357 --enddatetime 2017-04-28T13:05:20 --enforcementcount 0 &gt;&gt;C:\Users\stu\Documents\GitHub\eaglep3-reporting\EC\2017-04-28-refined-times.txt</v>
      </c>
      <c r="AI83" s="99" t="str">
        <f t="shared" si="41"/>
        <v>echo {"issue":{"subject":"","project_id":79,"tracker_id":40,"status_id":1,"priority_id":2,"assigned_to_id":23,"start_date":"2017-04-28","description":"","custom_fields":[{"id":1,"name":"Subdivision","value":"EC"},{"id":4,"name":"Milepost","value":"23.3357"},{"id":17,"name":"Train ID","value":"171-28"},{"id":16,"name":"Locomotive ID","value":"4052"},{"id":130,"name":"Impact","value":""},{"id":150,"name":"Time of Event (Mountain Time)","value":"13:05:20"},{"id":151,"name":"Denver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5" t="str">
        <f t="shared" si="42"/>
        <v>start /low /b %USERPROFILE%\Documents\GitHub\eaglep3\Utilities\DownloadLogsFromS3.py --loco 4052 --day 2017-04-28</v>
      </c>
      <c r="AN83" s="154" t="str">
        <f t="shared" si="43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19:05:20"},{"id":29,"name":"Sharepoint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744</v>
      </c>
      <c r="B84" s="7">
        <v>4051</v>
      </c>
      <c r="C84" s="21" t="s">
        <v>211</v>
      </c>
      <c r="D84" s="21" t="s">
        <v>881</v>
      </c>
      <c r="E84" s="13">
        <v>42853.553310185183</v>
      </c>
      <c r="F84" s="13">
        <v>42853.559884259259</v>
      </c>
      <c r="G84" s="7">
        <v>1</v>
      </c>
      <c r="H84" s="21" t="s">
        <v>873</v>
      </c>
      <c r="I84" s="13">
        <v>42853.586053240739</v>
      </c>
      <c r="J84" s="7">
        <v>0</v>
      </c>
      <c r="K84" s="92" t="str">
        <f t="shared" si="27"/>
        <v>4051/4052</v>
      </c>
      <c r="L84" s="21" t="str">
        <f>VLOOKUP(A84,'Trips&amp;Operators'!$C$1:$G$99999,5,FALSE)</f>
        <v>WHITED DUSTIN</v>
      </c>
      <c r="M84" s="6">
        <f t="shared" si="28"/>
        <v>2.6168981479713693E-2</v>
      </c>
      <c r="N84" s="7">
        <f t="shared" si="44"/>
        <v>37.683333330787718</v>
      </c>
      <c r="O84" s="7"/>
      <c r="P84" s="7"/>
      <c r="Q84" s="22"/>
      <c r="R84" s="190"/>
      <c r="S84" s="196">
        <f t="shared" si="29"/>
        <v>1</v>
      </c>
      <c r="T84" s="190" t="str">
        <f t="shared" si="30"/>
        <v>Southbound</v>
      </c>
      <c r="U84" s="190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1" t="str">
        <f t="shared" si="31"/>
        <v>https://d0f6bd738d7f1b3e5a7ca70fe4ff75f0.us-east-1.aws.found.io/app/kibana#/discover/Steve-Slow-Train-Analysis-(2080s-and-2083s)?_g=(refreshInterval:(display:Off,pause:!f,section:0,value:0),time:(from:'2017-04-28T12:16:46-0600',mode:absolute,to:'2017-04-28T15:03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84" s="192" t="str">
        <f t="shared" si="32"/>
        <v>N</v>
      </c>
      <c r="X84" s="192">
        <f t="shared" si="26"/>
        <v>1</v>
      </c>
      <c r="Y84" s="192">
        <f t="shared" si="33"/>
        <v>23.3005</v>
      </c>
      <c r="Z84" s="192">
        <f t="shared" si="34"/>
        <v>1.34E-2</v>
      </c>
      <c r="AA84" s="192">
        <f t="shared" si="35"/>
        <v>23.287099999999999</v>
      </c>
      <c r="AB84" s="57" t="e">
        <f>VLOOKUP(A84,Enforcements!$C$7:$K$13,8,0)</f>
        <v>#N/A</v>
      </c>
      <c r="AC84" s="53" t="e">
        <f>VLOOKUP(A84,Enforcements!$C$7:$E$13,3,0)</f>
        <v>#N/A</v>
      </c>
      <c r="AD84" s="54" t="str">
        <f t="shared" si="36"/>
        <v>0172-28</v>
      </c>
      <c r="AE84" s="80" t="str">
        <f t="shared" si="37"/>
        <v>aws s3 cp s3://rtdc.mdm.uploadarchive.raw/RTDC4051/ "%USERPROFILE%\AppData\Local\Temp\OnboardLogs"\RTDC4051\2017-04-28 --exclude "*" --recursive --include "*20170428*" &amp; "%USERPROFILE%\Documents\GitHub\mrs-test-scripts\Headless Mode &amp; Sideloading\WalkAndUnGZ.bat" "%USERPROFILE%\AppData\Local\Temp\OnboardLogs"\RTDC4051\2017-04-28 &amp; aws s3 cp s3://rtdc.mdm.uploadarchive.raw/RTDC4051/ "%USERPROFILE%\AppData\Local\Temp\OnboardLogs"\RTDC4051\2017-04-29 --exclude "*" --recursive --include "*20170429*" &amp; "%USERPROFILE%\Documents\GitHub\mrs-test-scripts\Headless Mode &amp; Sideloading\WalkAndUnGZ.bat" "%USERPROFILE%\AppData\Local\Temp\OnboardLogs"\RTDC4051\2017-04-29</v>
      </c>
      <c r="AF84" s="77" t="str">
        <f t="shared" si="38"/>
        <v>"C:\Program Files (x86)\AstroGrep\AstroGrep.exe" /e /r /s /spath="%USERPROFILE%\AppData\Local\Temp\OnboardLogs" /stypes="app*4051*20170428*" /stext=" 20:.+((SYSTEM_STATE.+slice.+state.+changed )|(ment ac)|(multiple cpu faults)|(system.+state.+changed )|(\[timeout)|(PRM\|1\|D)|(kpr)|(kdp)|(train.+moving)|(\|lc)|(penalty))"</v>
      </c>
      <c r="AG84" s="1" t="str">
        <f t="shared" si="39"/>
        <v>EC</v>
      </c>
      <c r="AH84" s="81" t="str">
        <f t="shared" si="40"/>
        <v>"%USERPROFILE%\Documents\GitHub\eaglep3\Utilities\RefineRTDCRunTimes.py" --tripid 172-28 --locoid 4051 --swversion DE.1.0.9.0 --startMP 204:233005 --initTime 2017-04-28T13:16:46 --startdatetime 2017-04-28T13:26:14 --delay 1 --endMP 204:134 --enddatetime 2017-04-28T14:03:55 --enforcementcount 0 &gt;&gt;C:\Users\stu\Documents\GitHub\eaglep3-reporting\EC\2017-04-28-refined-times.txt</v>
      </c>
      <c r="AI84" s="99" t="str">
        <f t="shared" si="41"/>
        <v>echo {"issue":{"subject":"","project_id":79,"tracker_id":40,"status_id":1,"priority_id":2,"assigned_to_id":23,"start_date":"2017-04-28","description":"","custom_fields":[{"id":1,"name":"Subdivision","value":"EC"},{"id":4,"name":"Milepost","value":"0.0134"},{"id":17,"name":"Train ID","value":"172-28"},{"id":16,"name":"Locomotive ID","value":"4051"},{"id":130,"name":"Impact","value":""},{"id":150,"name":"Time of Event (Mountain Time)","value":"14:03:55"},{"id":151,"name":"Denver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5" t="str">
        <f t="shared" si="42"/>
        <v>start /low /b %USERPROFILE%\Documents\GitHub\eaglep3\Utilities\DownloadLogsFromS3.py --loco 4051 --day 2017-04-28</v>
      </c>
      <c r="AN84" s="154" t="str">
        <f t="shared" si="43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20:03:55"},{"id":29,"name":"Sharepoint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20" customFormat="1" x14ac:dyDescent="0.25">
      <c r="A85" s="32" t="s">
        <v>740</v>
      </c>
      <c r="B85" s="7">
        <v>4008</v>
      </c>
      <c r="C85" s="21" t="s">
        <v>211</v>
      </c>
      <c r="D85" s="21" t="s">
        <v>441</v>
      </c>
      <c r="E85" s="13">
        <v>42853.527777777781</v>
      </c>
      <c r="F85" s="13">
        <v>42853.531423611108</v>
      </c>
      <c r="G85" s="7">
        <v>1</v>
      </c>
      <c r="H85" s="21" t="s">
        <v>882</v>
      </c>
      <c r="I85" s="13">
        <v>42853.556516203702</v>
      </c>
      <c r="J85" s="7">
        <v>0</v>
      </c>
      <c r="K85" s="92" t="str">
        <f t="shared" si="27"/>
        <v>4007/4008</v>
      </c>
      <c r="L85" s="21" t="str">
        <f>VLOOKUP(A85,'Trips&amp;Operators'!$C$1:$G$99999,5,FALSE)</f>
        <v>STEWART MICHAEL</v>
      </c>
      <c r="M85" s="6">
        <f t="shared" si="28"/>
        <v>2.5092592593864538E-2</v>
      </c>
      <c r="N85" s="7">
        <f t="shared" si="44"/>
        <v>36.133333335164934</v>
      </c>
      <c r="O85" s="7"/>
      <c r="P85" s="7"/>
      <c r="Q85" s="22"/>
      <c r="R85" s="190"/>
      <c r="S85" s="196">
        <f t="shared" si="29"/>
        <v>1</v>
      </c>
      <c r="T85" s="190" t="str">
        <f t="shared" si="30"/>
        <v>NorthBound</v>
      </c>
      <c r="U85" s="190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1" t="str">
        <f t="shared" si="31"/>
        <v>https://d0f6bd738d7f1b3e5a7ca70fe4ff75f0.us-east-1.aws.found.io/app/kibana#/discover/Steve-Slow-Train-Analysis-(2080s-and-2083s)?_g=(refreshInterval:(display:Off,pause:!f,section:0,value:0),time:(from:'2017-04-28T11:40:00-0600',mode:absolute,to:'2017-04-28T14:21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85" s="192" t="str">
        <f t="shared" si="32"/>
        <v>N</v>
      </c>
      <c r="X85" s="192">
        <f t="shared" si="26"/>
        <v>1</v>
      </c>
      <c r="Y85" s="192">
        <f t="shared" si="33"/>
        <v>4.7100000000000003E-2</v>
      </c>
      <c r="Z85" s="192">
        <f t="shared" si="34"/>
        <v>23.3306</v>
      </c>
      <c r="AA85" s="192">
        <f t="shared" si="35"/>
        <v>23.2835</v>
      </c>
      <c r="AB85" s="57" t="e">
        <f>VLOOKUP(A85,Enforcements!$C$7:$K$13,8,0)</f>
        <v>#N/A</v>
      </c>
      <c r="AC85" s="53" t="e">
        <f>VLOOKUP(A85,Enforcements!$C$7:$E$13,3,0)</f>
        <v>#N/A</v>
      </c>
      <c r="AD85" s="54" t="str">
        <f t="shared" si="36"/>
        <v>0173-28</v>
      </c>
      <c r="AE85" s="80" t="str">
        <f t="shared" si="37"/>
        <v>aws s3 cp s3://rtdc.mdm.uploadarchive.raw/RTDC4008/ "%USERPROFILE%\AppData\Local\Temp\OnboardLogs"\RTDC4008\2017-04-28 --exclude "*" --recursive --include "*20170428*" &amp; "%USERPROFILE%\Documents\GitHub\mrs-test-scripts\Headless Mode &amp; Sideloading\WalkAndUnGZ.bat" "%USERPROFILE%\AppData\Local\Temp\OnboardLogs"\RTDC4008\2017-04-28 &amp; aws s3 cp s3://rtdc.mdm.uploadarchive.raw/RTDC4008/ "%USERPROFILE%\AppData\Local\Temp\OnboardLogs"\RTDC4008\2017-04-29 --exclude "*" --recursive --include "*20170429*" &amp; "%USERPROFILE%\Documents\GitHub\mrs-test-scripts\Headless Mode &amp; Sideloading\WalkAndUnGZ.bat" "%USERPROFILE%\AppData\Local\Temp\OnboardLogs"\RTDC4008\2017-04-29</v>
      </c>
      <c r="AF85" s="77" t="str">
        <f t="shared" si="38"/>
        <v>"C:\Program Files (x86)\AstroGrep\AstroGrep.exe" /e /r /s /spath="%USERPROFILE%\AppData\Local\Temp\OnboardLogs" /stypes="app*4008*20170428*" /stext=" 19:.+((SYSTEM_STATE.+slice.+state.+changed )|(ment ac)|(multiple cpu faults)|(system.+state.+changed )|(\[timeout)|(PRM\|1\|D)|(kpr)|(kdp)|(train.+moving)|(\|lc)|(penalty))"</v>
      </c>
      <c r="AG85" s="1" t="str">
        <f t="shared" si="39"/>
        <v>EC</v>
      </c>
      <c r="AH85" s="81" t="str">
        <f t="shared" si="40"/>
        <v>"%USERPROFILE%\Documents\GitHub\eaglep3\Utilities\RefineRTDCRunTimes.py" --tripid 173-28 --locoid 4008 --swversion DE.1.0.9.0 --startMP 204:471 --initTime 2017-04-28T12:40:00 --startdatetime 2017-04-28T12:45:15 --delay 1 --endMP 204:233306 --enddatetime 2017-04-28T13:21:23 --enforcementcount 0 &gt;&gt;C:\Users\stu\Documents\GitHub\eaglep3-reporting\EC\2017-04-28-refined-times.txt</v>
      </c>
      <c r="AI85" s="99" t="str">
        <f t="shared" si="41"/>
        <v>echo {"issue":{"subject":"","project_id":79,"tracker_id":40,"status_id":1,"priority_id":2,"assigned_to_id":23,"start_date":"2017-04-28","description":"","custom_fields":[{"id":1,"name":"Subdivision","value":"EC"},{"id":4,"name":"Milepost","value":"23.3306"},{"id":17,"name":"Train ID","value":"173-28"},{"id":16,"name":"Locomotive ID","value":"4008"},{"id":130,"name":"Impact","value":""},{"id":150,"name":"Time of Event (Mountain Time)","value":"13:21:23"},{"id":151,"name":"Denver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5" s="47"/>
      <c r="AL85" s="47"/>
      <c r="AM85" s="145" t="str">
        <f t="shared" si="42"/>
        <v>start /low /b %USERPROFILE%\Documents\GitHub\eaglep3\Utilities\DownloadLogsFromS3.py --loco 4008 --day 2017-04-28</v>
      </c>
      <c r="AN85" s="154" t="str">
        <f t="shared" si="43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19:21:23"},{"id":29,"name":"Sharepoint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20" customFormat="1" x14ac:dyDescent="0.25">
      <c r="A86" s="32" t="s">
        <v>746</v>
      </c>
      <c r="B86" s="7">
        <v>4007</v>
      </c>
      <c r="C86" s="21" t="s">
        <v>211</v>
      </c>
      <c r="D86" s="21" t="s">
        <v>508</v>
      </c>
      <c r="E86" s="13">
        <v>42853.566793981481</v>
      </c>
      <c r="F86" s="13">
        <v>42853.570370370369</v>
      </c>
      <c r="G86" s="7">
        <v>1</v>
      </c>
      <c r="H86" s="21" t="s">
        <v>197</v>
      </c>
      <c r="I86" s="13">
        <v>42853.600601851853</v>
      </c>
      <c r="J86" s="7">
        <v>0</v>
      </c>
      <c r="K86" s="92" t="str">
        <f t="shared" si="27"/>
        <v>4007/4008</v>
      </c>
      <c r="L86" s="21" t="str">
        <f>VLOOKUP(A86,'Trips&amp;Operators'!$C$1:$G$99999,5,FALSE)</f>
        <v>STEWART MICHAEL</v>
      </c>
      <c r="M86" s="6">
        <f t="shared" si="28"/>
        <v>3.0231481483497191E-2</v>
      </c>
      <c r="N86" s="7">
        <f t="shared" si="44"/>
        <v>43.533333336235955</v>
      </c>
      <c r="O86" s="7"/>
      <c r="P86" s="7"/>
      <c r="Q86" s="22"/>
      <c r="R86" s="190"/>
      <c r="S86" s="196">
        <f t="shared" si="29"/>
        <v>1</v>
      </c>
      <c r="T86" s="190" t="str">
        <f t="shared" si="30"/>
        <v>Southbound</v>
      </c>
      <c r="U86" s="190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1" t="str">
        <f t="shared" si="31"/>
        <v>https://d0f6bd738d7f1b3e5a7ca70fe4ff75f0.us-east-1.aws.found.io/app/kibana#/discover/Steve-Slow-Train-Analysis-(2080s-and-2083s)?_g=(refreshInterval:(display:Off,pause:!f,section:0,value:0),time:(from:'2017-04-28T12:36:11-0600',mode:absolute,to:'2017-04-28T15:24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86" s="192" t="str">
        <f t="shared" si="32"/>
        <v>N</v>
      </c>
      <c r="X86" s="192">
        <f t="shared" si="26"/>
        <v>1</v>
      </c>
      <c r="Y86" s="192">
        <f t="shared" si="33"/>
        <v>23.299299999999999</v>
      </c>
      <c r="Z86" s="192">
        <f t="shared" si="34"/>
        <v>1.52E-2</v>
      </c>
      <c r="AA86" s="192">
        <f t="shared" si="35"/>
        <v>23.284099999999999</v>
      </c>
      <c r="AB86" s="57" t="e">
        <f>VLOOKUP(A86,Enforcements!$C$7:$K$13,8,0)</f>
        <v>#N/A</v>
      </c>
      <c r="AC86" s="53" t="e">
        <f>VLOOKUP(A86,Enforcements!$C$7:$E$13,3,0)</f>
        <v>#N/A</v>
      </c>
      <c r="AD86" s="54" t="str">
        <f t="shared" si="36"/>
        <v>0174-28</v>
      </c>
      <c r="AE86" s="80" t="str">
        <f t="shared" si="37"/>
        <v>aws s3 cp s3://rtdc.mdm.uploadarchive.raw/RTDC4007/ "%USERPROFILE%\AppData\Local\Temp\OnboardLogs"\RTDC4007\2017-04-28 --exclude "*" --recursive --include "*20170428*" &amp; "%USERPROFILE%\Documents\GitHub\mrs-test-scripts\Headless Mode &amp; Sideloading\WalkAndUnGZ.bat" "%USERPROFILE%\AppData\Local\Temp\OnboardLogs"\RTDC4007\2017-04-28 &amp; aws s3 cp s3://rtdc.mdm.uploadarchive.raw/RTDC4007/ "%USERPROFILE%\AppData\Local\Temp\OnboardLogs"\RTDC4007\2017-04-29 --exclude "*" --recursive --include "*20170429*" &amp; "%USERPROFILE%\Documents\GitHub\mrs-test-scripts\Headless Mode &amp; Sideloading\WalkAndUnGZ.bat" "%USERPROFILE%\AppData\Local\Temp\OnboardLogs"\RTDC4007\2017-04-29</v>
      </c>
      <c r="AF86" s="77" t="str">
        <f t="shared" si="38"/>
        <v>"C:\Program Files (x86)\AstroGrep\AstroGrep.exe" /e /r /s /spath="%USERPROFILE%\AppData\Local\Temp\OnboardLogs" /stypes="app*4007*20170428*" /stext=" 20:.+((SYSTEM_STATE.+slice.+state.+changed )|(ment ac)|(multiple cpu faults)|(system.+state.+changed )|(\[timeout)|(PRM\|1\|D)|(kpr)|(kdp)|(train.+moving)|(\|lc)|(penalty))"</v>
      </c>
      <c r="AG86" s="1" t="str">
        <f t="shared" si="39"/>
        <v>EC</v>
      </c>
      <c r="AH86" s="81" t="str">
        <f t="shared" si="40"/>
        <v>"%USERPROFILE%\Documents\GitHub\eaglep3\Utilities\RefineRTDCRunTimes.py" --tripid 174-28 --locoid 4007 --swversion DE.1.0.9.0 --startMP 204:232993 --initTime 2017-04-28T13:36:11 --startdatetime 2017-04-28T13:41:20 --delay 1 --endMP 204:152 --enddatetime 2017-04-28T14:24:52 --enforcementcount 0 &gt;&gt;C:\Users\stu\Documents\GitHub\eaglep3-reporting\EC\2017-04-28-refined-times.txt</v>
      </c>
      <c r="AI86" s="99" t="str">
        <f t="shared" si="41"/>
        <v>echo {"issue":{"subject":"","project_id":79,"tracker_id":40,"status_id":1,"priority_id":2,"assigned_to_id":23,"start_date":"2017-04-28","description":"","custom_fields":[{"id":1,"name":"Subdivision","value":"EC"},{"id":4,"name":"Milepost","value":"0.0152"},{"id":17,"name":"Train ID","value":"174-28"},{"id":16,"name":"Locomotive ID","value":"4007"},{"id":130,"name":"Impact","value":""},{"id":150,"name":"Time of Event (Mountain Time)","value":"14:24:52"},{"id":151,"name":"Denver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6" s="47"/>
      <c r="AL86" s="47"/>
      <c r="AM86" s="145" t="str">
        <f t="shared" si="42"/>
        <v>start /low /b %USERPROFILE%\Documents\GitHub\eaglep3\Utilities\DownloadLogsFromS3.py --loco 4007 --day 2017-04-28</v>
      </c>
      <c r="AN86" s="154" t="str">
        <f t="shared" si="43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20:24:52"},{"id":29,"name":"Sharepoint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x14ac:dyDescent="0.25">
      <c r="A87" s="32" t="s">
        <v>612</v>
      </c>
      <c r="B87" s="7">
        <v>4028</v>
      </c>
      <c r="C87" s="21" t="s">
        <v>211</v>
      </c>
      <c r="D87" s="21" t="s">
        <v>557</v>
      </c>
      <c r="E87" s="13">
        <v>42853.535810185182</v>
      </c>
      <c r="F87" s="13">
        <v>42853.541817129626</v>
      </c>
      <c r="G87" s="7">
        <v>1</v>
      </c>
      <c r="H87" s="21" t="s">
        <v>883</v>
      </c>
      <c r="I87" s="13">
        <v>42853.563680555555</v>
      </c>
      <c r="J87" s="7">
        <v>0</v>
      </c>
      <c r="K87" s="92" t="str">
        <f t="shared" si="27"/>
        <v>4027/4028</v>
      </c>
      <c r="L87" s="21" t="str">
        <f>VLOOKUP(A87,'Trips&amp;Operators'!$C$1:$G$99999,5,FALSE)</f>
        <v>ROMERO CHAD</v>
      </c>
      <c r="M87" s="6">
        <f t="shared" si="28"/>
        <v>2.1863425929041114E-2</v>
      </c>
      <c r="N87" s="7"/>
      <c r="O87" s="7"/>
      <c r="P87" s="7">
        <f>24*60*SUM($M87:$M87)</f>
        <v>31.483333337819204</v>
      </c>
      <c r="Q87" s="22"/>
      <c r="R87" s="190" t="s">
        <v>596</v>
      </c>
      <c r="S87" s="196">
        <f t="shared" si="29"/>
        <v>1</v>
      </c>
      <c r="T87" s="190" t="str">
        <f t="shared" si="30"/>
        <v>NorthBound</v>
      </c>
      <c r="U87" s="190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1" t="str">
        <f t="shared" si="31"/>
        <v>https://d0f6bd738d7f1b3e5a7ca70fe4ff75f0.us-east-1.aws.found.io/app/kibana#/discover/Steve-Slow-Train-Analysis-(2080s-and-2083s)?_g=(refreshInterval:(display:Off,pause:!f,section:0,value:0),time:(from:'2017-04-28T11:51:34-0600',mode:absolute,to:'2017-04-28T14:31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87" s="192" t="str">
        <f t="shared" si="32"/>
        <v>Y</v>
      </c>
      <c r="X87" s="192">
        <f t="shared" si="26"/>
        <v>1</v>
      </c>
      <c r="Y87" s="192">
        <f t="shared" si="33"/>
        <v>4.4699999999999997E-2</v>
      </c>
      <c r="Z87" s="192">
        <f t="shared" si="34"/>
        <v>21.873000000000001</v>
      </c>
      <c r="AA87" s="192">
        <f t="shared" si="35"/>
        <v>21.828300000000002</v>
      </c>
      <c r="AB87" s="57" t="e">
        <f>VLOOKUP(A87,Enforcements!$C$7:$K$13,8,0)</f>
        <v>#N/A</v>
      </c>
      <c r="AC87" s="53" t="e">
        <f>VLOOKUP(A87,Enforcements!$C$7:$E$13,3,0)</f>
        <v>#N/A</v>
      </c>
      <c r="AD87" s="54" t="str">
        <f t="shared" si="36"/>
        <v>0175-28</v>
      </c>
      <c r="AE87" s="80" t="str">
        <f t="shared" si="37"/>
        <v>aws s3 cp s3://rtdc.mdm.uploadarchive.raw/RTDC4028/ "%USERPROFILE%\AppData\Local\Temp\OnboardLogs"\RTDC4028\2017-04-28 --exclude "*" --recursive --include "*20170428*" &amp; "%USERPROFILE%\Documents\GitHub\mrs-test-scripts\Headless Mode &amp; Sideloading\WalkAndUnGZ.bat" "%USERPROFILE%\AppData\Local\Temp\OnboardLogs"\RTDC4028\2017-04-28 &amp; aws s3 cp s3://rtdc.mdm.uploadarchive.raw/RTDC4028/ "%USERPROFILE%\AppData\Local\Temp\OnboardLogs"\RTDC4028\2017-04-29 --exclude "*" --recursive --include "*20170429*" &amp; "%USERPROFILE%\Documents\GitHub\mrs-test-scripts\Headless Mode &amp; Sideloading\WalkAndUnGZ.bat" "%USERPROFILE%\AppData\Local\Temp\OnboardLogs"\RTDC4028\2017-04-29</v>
      </c>
      <c r="AF87" s="77" t="str">
        <f t="shared" si="38"/>
        <v>"C:\Program Files (x86)\AstroGrep\AstroGrep.exe" /e /r /s /spath="%USERPROFILE%\AppData\Local\Temp\OnboardLogs" /stypes="app*4028*20170428*" /stext=" 19:.+((SYSTEM_STATE.+slice.+state.+changed )|(ment ac)|(multiple cpu faults)|(system.+state.+changed )|(\[timeout)|(PRM\|1\|D)|(kpr)|(kdp)|(train.+moving)|(\|lc)|(penalty))"</v>
      </c>
      <c r="AG87" s="1" t="str">
        <f t="shared" si="39"/>
        <v>EC</v>
      </c>
      <c r="AH87" s="81" t="str">
        <f t="shared" si="40"/>
        <v>"%USERPROFILE%\Documents\GitHub\eaglep3\Utilities\RefineRTDCRunTimes.py" --tripid 175-28 --locoid 4028 --swversion DE.1.0.9.0 --startMP 204:447 --initTime 2017-04-28T12:51:34 --startdatetime 2017-04-28T13:00:13 --delay 1 --endMP 204:218730 --enddatetime 2017-04-28T13:31:42 --enforcementcount 0 &gt;&gt;C:\Users\stu\Documents\GitHub\eaglep3-reporting\EC\2017-04-28-refined-times.txt</v>
      </c>
      <c r="AI87" s="99" t="str">
        <f t="shared" si="41"/>
        <v>echo {"issue":{"subject":"Wi-MAX data drop","project_id":79,"tracker_id":40,"status_id":1,"priority_id":2,"assigned_to_id":23,"start_date":"2017-04-28","description":"","custom_fields":[{"id":1,"name":"Subdivision","value":"EC"},{"id":4,"name":"Milepost","value":"21.873"},{"id":17,"name":"Train ID","value":"175-28"},{"id":16,"name":"Locomotive ID","value":"4028"},{"id":130,"name":"Impact","value":""},{"id":150,"name":"Time of Event (Mountain Time)","value":"13:31:42"},{"id":151,"name":"Denver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5" t="str">
        <f t="shared" si="42"/>
        <v>start /low /b %USERPROFILE%\Documents\GitHub\eaglep3\Utilities\DownloadLogsFromS3.py --loco 4028 --day 2017-04-28</v>
      </c>
      <c r="AN87" s="154" t="str">
        <f t="shared" si="43"/>
        <v>echo {"issue":{"subject":"Wi-MAX data drop","project_id":30,"tracker_id":4,"status_id":1,"priority_id":1,"assigned_to_id":10,"start_date":"2017-04-28","description":"","custom_fields":[{"id":30,"name":"Category","value":"Issue"},{"id":3,"name":"Functional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19:31:42"},{"id":29,"name":"Sharepoint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88" spans="1:91" s="20" customFormat="1" x14ac:dyDescent="0.25">
      <c r="A88" s="32" t="s">
        <v>748</v>
      </c>
      <c r="B88" s="7">
        <v>4027</v>
      </c>
      <c r="C88" s="21" t="s">
        <v>211</v>
      </c>
      <c r="D88" s="21" t="s">
        <v>884</v>
      </c>
      <c r="E88" s="13">
        <v>42853.573819444442</v>
      </c>
      <c r="F88" s="13">
        <v>42853.580752314818</v>
      </c>
      <c r="G88" s="7">
        <v>1</v>
      </c>
      <c r="H88" s="21" t="s">
        <v>875</v>
      </c>
      <c r="I88" s="13">
        <v>42853.611458333333</v>
      </c>
      <c r="J88" s="7">
        <v>0</v>
      </c>
      <c r="K88" s="92" t="str">
        <f t="shared" si="27"/>
        <v>4027/4028</v>
      </c>
      <c r="L88" s="21" t="str">
        <f>VLOOKUP(A88,'Trips&amp;Operators'!$C$1:$G$99999,5,FALSE)</f>
        <v>DELGADO DIANAH</v>
      </c>
      <c r="M88" s="6">
        <f t="shared" si="28"/>
        <v>3.0706018515047617E-2</v>
      </c>
      <c r="N88" s="7">
        <f t="shared" ref="N88:N101" si="45">24*60*SUM($M88:$M88)</f>
        <v>44.216666661668569</v>
      </c>
      <c r="O88" s="7"/>
      <c r="P88" s="7"/>
      <c r="Q88" s="22"/>
      <c r="R88" s="190"/>
      <c r="S88" s="196">
        <f t="shared" si="29"/>
        <v>1</v>
      </c>
      <c r="T88" s="190" t="str">
        <f t="shared" si="30"/>
        <v>Southbound</v>
      </c>
      <c r="U88" s="190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1" t="str">
        <f t="shared" si="31"/>
        <v>https://d0f6bd738d7f1b3e5a7ca70fe4ff75f0.us-east-1.aws.found.io/app/kibana#/discover/Steve-Slow-Train-Analysis-(2080s-and-2083s)?_g=(refreshInterval:(display:Off,pause:!f,section:0,value:0),time:(from:'2017-04-28T12:46:18-0600',mode:absolute,to:'2017-04-28T15:40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88" s="192" t="str">
        <f t="shared" si="32"/>
        <v>N</v>
      </c>
      <c r="X88" s="192">
        <f t="shared" si="26"/>
        <v>1</v>
      </c>
      <c r="Y88" s="192">
        <f t="shared" si="33"/>
        <v>23.305299999999999</v>
      </c>
      <c r="Z88" s="192">
        <f t="shared" si="34"/>
        <v>1.41E-2</v>
      </c>
      <c r="AA88" s="192">
        <f t="shared" si="35"/>
        <v>23.2912</v>
      </c>
      <c r="AB88" s="57" t="e">
        <f>VLOOKUP(A88,Enforcements!$C$7:$K$13,8,0)</f>
        <v>#N/A</v>
      </c>
      <c r="AC88" s="53" t="e">
        <f>VLOOKUP(A88,Enforcements!$C$7:$E$13,3,0)</f>
        <v>#N/A</v>
      </c>
      <c r="AD88" s="54" t="str">
        <f t="shared" si="36"/>
        <v>0176-28</v>
      </c>
      <c r="AE88" s="80" t="str">
        <f t="shared" si="37"/>
        <v>aws s3 cp s3://rtdc.mdm.uploadarchive.raw/RTDC4027/ "%USERPROFILE%\AppData\Local\Temp\OnboardLogs"\RTDC4027\2017-04-28 --exclude "*" --recursive --include "*20170428*" &amp; "%USERPROFILE%\Documents\GitHub\mrs-test-scripts\Headless Mode &amp; Sideloading\WalkAndUnGZ.bat" "%USERPROFILE%\AppData\Local\Temp\OnboardLogs"\RTDC4027\2017-04-28 &amp; aws s3 cp s3://rtdc.mdm.uploadarchive.raw/RTDC4027/ "%USERPROFILE%\AppData\Local\Temp\OnboardLogs"\RTDC4027\2017-04-29 --exclude "*" --recursive --include "*20170429*" &amp; "%USERPROFILE%\Documents\GitHub\mrs-test-scripts\Headless Mode &amp; Sideloading\WalkAndUnGZ.bat" "%USERPROFILE%\AppData\Local\Temp\OnboardLogs"\RTDC4027\2017-04-29</v>
      </c>
      <c r="AF88" s="77" t="str">
        <f t="shared" si="38"/>
        <v>"C:\Program Files (x86)\AstroGrep\AstroGrep.exe" /e /r /s /spath="%USERPROFILE%\AppData\Local\Temp\OnboardLogs" /stypes="app*4027*20170428*" /stext=" 20:.+((SYSTEM_STATE.+slice.+state.+changed )|(ment ac)|(multiple cpu faults)|(system.+state.+changed )|(\[timeout)|(PRM\|1\|D)|(kpr)|(kdp)|(train.+moving)|(\|lc)|(penalty))"</v>
      </c>
      <c r="AG88" s="1" t="str">
        <f t="shared" si="39"/>
        <v>EC</v>
      </c>
      <c r="AH88" s="81" t="str">
        <f t="shared" si="40"/>
        <v>"%USERPROFILE%\Documents\GitHub\eaglep3\Utilities\RefineRTDCRunTimes.py" --tripid 176-28 --locoid 4027 --swversion DE.1.0.9.0 --startMP 204:233053 --initTime 2017-04-28T13:46:18 --startdatetime 2017-04-28T13:56:17 --delay 1 --endMP 204:141 --enddatetime 2017-04-28T14:40:30 --enforcementcount 0 &gt;&gt;C:\Users\stu\Documents\GitHub\eaglep3-reporting\EC\2017-04-28-refined-times.txt</v>
      </c>
      <c r="AI88" s="99" t="str">
        <f t="shared" si="41"/>
        <v>echo {"issue":{"subject":"","project_id":79,"tracker_id":40,"status_id":1,"priority_id":2,"assigned_to_id":23,"start_date":"2017-04-28","description":"","custom_fields":[{"id":1,"name":"Subdivision","value":"EC"},{"id":4,"name":"Milepost","value":"0.0141"},{"id":17,"name":"Train ID","value":"176-28"},{"id":16,"name":"Locomotive ID","value":"4027"},{"id":130,"name":"Impact","value":""},{"id":150,"name":"Time of Event (Mountain Time)","value":"14:40:30"},{"id":151,"name":"Denver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8" s="47"/>
      <c r="AL88" s="47"/>
      <c r="AM88" s="145" t="str">
        <f t="shared" si="42"/>
        <v>start /low /b %USERPROFILE%\Documents\GitHub\eaglep3\Utilities\DownloadLogsFromS3.py --loco 4027 --day 2017-04-28</v>
      </c>
      <c r="AN88" s="154" t="str">
        <f t="shared" si="43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20:40:30"},{"id":29,"name":"Sharepoint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0" customFormat="1" x14ac:dyDescent="0.25">
      <c r="A89" s="32" t="s">
        <v>743</v>
      </c>
      <c r="B89" s="7">
        <v>4064</v>
      </c>
      <c r="C89" s="21" t="s">
        <v>211</v>
      </c>
      <c r="D89" s="21" t="s">
        <v>515</v>
      </c>
      <c r="E89" s="13">
        <v>42853.548425925925</v>
      </c>
      <c r="F89" s="13">
        <v>42853.552245370367</v>
      </c>
      <c r="G89" s="7">
        <v>1</v>
      </c>
      <c r="H89" s="21" t="s">
        <v>485</v>
      </c>
      <c r="I89" s="13">
        <v>42853.578680555554</v>
      </c>
      <c r="J89" s="7">
        <v>0</v>
      </c>
      <c r="K89" s="92" t="str">
        <f t="shared" si="27"/>
        <v>4063/4064</v>
      </c>
      <c r="L89" s="21" t="str">
        <f>VLOOKUP(A89,'Trips&amp;Operators'!$C$1:$G$99999,5,FALSE)</f>
        <v>CLARK KATHLEEN</v>
      </c>
      <c r="M89" s="6">
        <f t="shared" si="28"/>
        <v>2.6435185187438037E-2</v>
      </c>
      <c r="N89" s="7">
        <f t="shared" si="45"/>
        <v>38.066666669910774</v>
      </c>
      <c r="O89" s="7"/>
      <c r="P89" s="7"/>
      <c r="Q89" s="22"/>
      <c r="R89" s="190"/>
      <c r="S89" s="196">
        <f t="shared" si="29"/>
        <v>1</v>
      </c>
      <c r="T89" s="190" t="str">
        <f t="shared" si="30"/>
        <v>NorthBound</v>
      </c>
      <c r="U89" s="190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1" t="str">
        <f t="shared" si="31"/>
        <v>https://d0f6bd738d7f1b3e5a7ca70fe4ff75f0.us-east-1.aws.found.io/app/kibana#/discover/Steve-Slow-Train-Analysis-(2080s-and-2083s)?_g=(refreshInterval:(display:Off,pause:!f,section:0,value:0),time:(from:'2017-04-28T12:09:44-0600',mode:absolute,to:'2017-04-28T14:53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89" s="192" t="str">
        <f t="shared" si="32"/>
        <v>N</v>
      </c>
      <c r="X89" s="192">
        <f t="shared" si="26"/>
        <v>1</v>
      </c>
      <c r="Y89" s="192">
        <f t="shared" si="33"/>
        <v>4.8599999999999997E-2</v>
      </c>
      <c r="Z89" s="192">
        <f t="shared" si="34"/>
        <v>23.329499999999999</v>
      </c>
      <c r="AA89" s="192">
        <f t="shared" si="35"/>
        <v>23.280899999999999</v>
      </c>
      <c r="AB89" s="57" t="e">
        <f>VLOOKUP(A89,Enforcements!$C$7:$K$13,8,0)</f>
        <v>#N/A</v>
      </c>
      <c r="AC89" s="53" t="e">
        <f>VLOOKUP(A89,Enforcements!$C$7:$E$13,3,0)</f>
        <v>#N/A</v>
      </c>
      <c r="AD89" s="54" t="str">
        <f t="shared" si="36"/>
        <v>0177-28</v>
      </c>
      <c r="AE89" s="80" t="str">
        <f t="shared" si="37"/>
        <v>aws s3 cp s3://rtdc.mdm.uploadarchive.raw/RTDC4064/ "%USERPROFILE%\AppData\Local\Temp\OnboardLogs"\RTDC4064\2017-04-28 --exclude "*" --recursive --include "*20170428*" &amp; "%USERPROFILE%\Documents\GitHub\mrs-test-scripts\Headless Mode &amp; Sideloading\WalkAndUnGZ.bat" "%USERPROFILE%\AppData\Local\Temp\OnboardLogs"\RTDC4064\2017-04-28 &amp; aws s3 cp s3://rtdc.mdm.uploadarchive.raw/RTDC4064/ "%USERPROFILE%\AppData\Local\Temp\OnboardLogs"\RTDC4064\2017-04-29 --exclude "*" --recursive --include "*20170429*" &amp; "%USERPROFILE%\Documents\GitHub\mrs-test-scripts\Headless Mode &amp; Sideloading\WalkAndUnGZ.bat" "%USERPROFILE%\AppData\Local\Temp\OnboardLogs"\RTDC4064\2017-04-29</v>
      </c>
      <c r="AF89" s="77" t="str">
        <f t="shared" si="38"/>
        <v>"C:\Program Files (x86)\AstroGrep\AstroGrep.exe" /e /r /s /spath="%USERPROFILE%\AppData\Local\Temp\OnboardLogs" /stypes="app*4064*20170428*" /stext=" 19:.+((SYSTEM_STATE.+slice.+state.+changed )|(ment ac)|(multiple cpu faults)|(system.+state.+changed )|(\[timeout)|(PRM\|1\|D)|(kpr)|(kdp)|(train.+moving)|(\|lc)|(penalty))"</v>
      </c>
      <c r="AG89" s="1" t="str">
        <f t="shared" si="39"/>
        <v>EC</v>
      </c>
      <c r="AH89" s="81" t="str">
        <f t="shared" si="40"/>
        <v>"%USERPROFILE%\Documents\GitHub\eaglep3\Utilities\RefineRTDCRunTimes.py" --tripid 177-28 --locoid 4064 --swversion DE.1.0.9.0 --startMP 204:486 --initTime 2017-04-28T13:09:44 --startdatetime 2017-04-28T13:15:14 --delay 1 --endMP 204:233295 --enddatetime 2017-04-28T13:53:18 --enforcementcount 0 &gt;&gt;C:\Users\stu\Documents\GitHub\eaglep3-reporting\EC\2017-04-28-refined-times.txt</v>
      </c>
      <c r="AI89" s="99" t="str">
        <f t="shared" si="41"/>
        <v>echo {"issue":{"subject":"","project_id":79,"tracker_id":40,"status_id":1,"priority_id":2,"assigned_to_id":23,"start_date":"2017-04-28","description":"","custom_fields":[{"id":1,"name":"Subdivision","value":"EC"},{"id":4,"name":"Milepost","value":"23.3295"},{"id":17,"name":"Train ID","value":"177-28"},{"id":16,"name":"Locomotive ID","value":"4064"},{"id":130,"name":"Impact","value":""},{"id":150,"name":"Time of Event (Mountain Time)","value":"13:53:18"},{"id":151,"name":"Denver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9" s="47"/>
      <c r="AL89" s="47"/>
      <c r="AM89" s="145" t="str">
        <f t="shared" si="42"/>
        <v>start /low /b %USERPROFILE%\Documents\GitHub\eaglep3\Utilities\DownloadLogsFromS3.py --loco 4064 --day 2017-04-28</v>
      </c>
      <c r="AN89" s="154" t="str">
        <f t="shared" si="43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19:53:18"},{"id":29,"name":"Sharepoint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0" customFormat="1" x14ac:dyDescent="0.25">
      <c r="A90" s="32" t="s">
        <v>750</v>
      </c>
      <c r="B90" s="7">
        <v>4063</v>
      </c>
      <c r="C90" s="21" t="s">
        <v>211</v>
      </c>
      <c r="D90" s="21" t="s">
        <v>885</v>
      </c>
      <c r="E90" s="13">
        <v>42853.586331018516</v>
      </c>
      <c r="F90" s="13">
        <v>42853.591157407405</v>
      </c>
      <c r="G90" s="7">
        <v>1</v>
      </c>
      <c r="H90" s="21" t="s">
        <v>886</v>
      </c>
      <c r="I90" s="13">
        <v>42853.624027777776</v>
      </c>
      <c r="J90" s="7">
        <v>0</v>
      </c>
      <c r="K90" s="92" t="str">
        <f t="shared" si="27"/>
        <v>4063/4064</v>
      </c>
      <c r="L90" s="21" t="str">
        <f>VLOOKUP(A90,'Trips&amp;Operators'!$C$1:$G$99999,5,FALSE)</f>
        <v>CLARK KATHLEEN</v>
      </c>
      <c r="M90" s="6">
        <f t="shared" si="28"/>
        <v>3.2870370370801538E-2</v>
      </c>
      <c r="N90" s="7">
        <f t="shared" si="45"/>
        <v>47.333333333954215</v>
      </c>
      <c r="O90" s="7"/>
      <c r="P90" s="7"/>
      <c r="Q90" s="22"/>
      <c r="R90" s="190"/>
      <c r="S90" s="196">
        <f t="shared" si="29"/>
        <v>1</v>
      </c>
      <c r="T90" s="190" t="str">
        <f t="shared" si="30"/>
        <v>Southbound</v>
      </c>
      <c r="U90" s="190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1" t="str">
        <f t="shared" si="31"/>
        <v>https://d0f6bd738d7f1b3e5a7ca70fe4ff75f0.us-east-1.aws.found.io/app/kibana#/discover/Steve-Slow-Train-Analysis-(2080s-and-2083s)?_g=(refreshInterval:(display:Off,pause:!f,section:0,value:0),time:(from:'2017-04-28T13:04:19-0600',mode:absolute,to:'2017-04-28T15:58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90" s="192" t="str">
        <f t="shared" si="32"/>
        <v>N</v>
      </c>
      <c r="X90" s="192">
        <f t="shared" si="26"/>
        <v>1</v>
      </c>
      <c r="Y90" s="192">
        <f t="shared" si="33"/>
        <v>23.297599999999999</v>
      </c>
      <c r="Z90" s="192">
        <f t="shared" si="34"/>
        <v>2.12E-2</v>
      </c>
      <c r="AA90" s="192">
        <f t="shared" si="35"/>
        <v>23.276399999999999</v>
      </c>
      <c r="AB90" s="57" t="e">
        <f>VLOOKUP(A90,Enforcements!$C$7:$K$13,8,0)</f>
        <v>#N/A</v>
      </c>
      <c r="AC90" s="53" t="e">
        <f>VLOOKUP(A90,Enforcements!$C$7:$E$13,3,0)</f>
        <v>#N/A</v>
      </c>
      <c r="AD90" s="54" t="str">
        <f t="shared" si="36"/>
        <v>0178-28</v>
      </c>
      <c r="AE90" s="80" t="str">
        <f t="shared" si="37"/>
        <v>aws s3 cp s3://rtdc.mdm.uploadarchive.raw/RTDC4063/ "%USERPROFILE%\AppData\Local\Temp\OnboardLogs"\RTDC4063\2017-04-28 --exclude "*" --recursive --include "*20170428*" &amp; "%USERPROFILE%\Documents\GitHub\mrs-test-scripts\Headless Mode &amp; Sideloading\WalkAndUnGZ.bat" "%USERPROFILE%\AppData\Local\Temp\OnboardLogs"\RTDC4063\2017-04-28 &amp; aws s3 cp s3://rtdc.mdm.uploadarchive.raw/RTDC4063/ "%USERPROFILE%\AppData\Local\Temp\OnboardLogs"\RTDC4063\2017-04-29 --exclude "*" --recursive --include "*20170429*" &amp; "%USERPROFILE%\Documents\GitHub\mrs-test-scripts\Headless Mode &amp; Sideloading\WalkAndUnGZ.bat" "%USERPROFILE%\AppData\Local\Temp\OnboardLogs"\RTDC4063\2017-04-29</v>
      </c>
      <c r="AF90" s="77" t="str">
        <f t="shared" si="38"/>
        <v>"C:\Program Files (x86)\AstroGrep\AstroGrep.exe" /e /r /s /spath="%USERPROFILE%\AppData\Local\Temp\OnboardLogs" /stypes="app*4063*20170428*" /stext=" 20:.+((SYSTEM_STATE.+slice.+state.+changed )|(ment ac)|(multiple cpu faults)|(system.+state.+changed )|(\[timeout)|(PRM\|1\|D)|(kpr)|(kdp)|(train.+moving)|(\|lc)|(penalty))"</v>
      </c>
      <c r="AG90" s="1" t="str">
        <f t="shared" si="39"/>
        <v>EC</v>
      </c>
      <c r="AH90" s="81" t="str">
        <f t="shared" si="40"/>
        <v>"%USERPROFILE%\Documents\GitHub\eaglep3\Utilities\RefineRTDCRunTimes.py" --tripid 178-28 --locoid 4063 --swversion DE.1.0.9.0 --startMP 204:232976 --initTime 2017-04-28T14:04:19 --startdatetime 2017-04-28T14:11:16 --delay 1 --endMP 204:212 --enddatetime 2017-04-28T14:58:36 --enforcementcount 0 &gt;&gt;C:\Users\stu\Documents\GitHub\eaglep3-reporting\EC\2017-04-28-refined-times.txt</v>
      </c>
      <c r="AI90" s="99" t="str">
        <f t="shared" si="41"/>
        <v>echo {"issue":{"subject":"","project_id":79,"tracker_id":40,"status_id":1,"priority_id":2,"assigned_to_id":23,"start_date":"2017-04-28","description":"","custom_fields":[{"id":1,"name":"Subdivision","value":"EC"},{"id":4,"name":"Milepost","value":"0.0212"},{"id":17,"name":"Train ID","value":"178-28"},{"id":16,"name":"Locomotive ID","value":"4063"},{"id":130,"name":"Impact","value":""},{"id":150,"name":"Time of Event (Mountain Time)","value":"14:58:36"},{"id":151,"name":"Denver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0" s="47"/>
      <c r="AL90" s="47"/>
      <c r="AM90" s="145" t="str">
        <f t="shared" si="42"/>
        <v>start /low /b %USERPROFILE%\Documents\GitHub\eaglep3\Utilities\DownloadLogsFromS3.py --loco 4063 --day 2017-04-28</v>
      </c>
      <c r="AN90" s="154" t="str">
        <f t="shared" si="43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20:58:36"},{"id":29,"name":"Sharepoint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2" t="s">
        <v>745</v>
      </c>
      <c r="B91" s="7">
        <v>4022</v>
      </c>
      <c r="C91" s="21" t="s">
        <v>211</v>
      </c>
      <c r="D91" s="21" t="s">
        <v>414</v>
      </c>
      <c r="E91" s="13">
        <v>42853.556990740741</v>
      </c>
      <c r="F91" s="13">
        <v>42853.562662037039</v>
      </c>
      <c r="G91" s="7">
        <v>1</v>
      </c>
      <c r="H91" s="21" t="s">
        <v>424</v>
      </c>
      <c r="I91" s="13">
        <v>42853.591354166667</v>
      </c>
      <c r="J91" s="7">
        <v>0</v>
      </c>
      <c r="K91" s="92" t="str">
        <f t="shared" si="27"/>
        <v>4021/4022</v>
      </c>
      <c r="L91" s="21" t="str">
        <f>VLOOKUP(A91,'Trips&amp;Operators'!$C$1:$G$99999,5,FALSE)</f>
        <v>SULLIVAN BRANDON</v>
      </c>
      <c r="M91" s="6">
        <f t="shared" si="28"/>
        <v>2.8692129628325347E-2</v>
      </c>
      <c r="N91" s="7">
        <f t="shared" si="45"/>
        <v>41.316666664788499</v>
      </c>
      <c r="O91" s="7"/>
      <c r="P91" s="7"/>
      <c r="Q91" s="22"/>
      <c r="R91" s="190"/>
      <c r="S91" s="196">
        <f t="shared" si="29"/>
        <v>1</v>
      </c>
      <c r="T91" s="190" t="str">
        <f t="shared" si="30"/>
        <v>NorthBound</v>
      </c>
      <c r="U91" s="190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1" t="str">
        <f t="shared" si="31"/>
        <v>https://d0f6bd738d7f1b3e5a7ca70fe4ff75f0.us-east-1.aws.found.io/app/kibana#/discover/Steve-Slow-Train-Analysis-(2080s-and-2083s)?_g=(refreshInterval:(display:Off,pause:!f,section:0,value:0),time:(from:'2017-04-28T12:22:04-0600',mode:absolute,to:'2017-04-28T15:11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91" s="192" t="str">
        <f t="shared" si="32"/>
        <v>N</v>
      </c>
      <c r="X91" s="192">
        <f t="shared" si="26"/>
        <v>1</v>
      </c>
      <c r="Y91" s="192">
        <f t="shared" si="33"/>
        <v>4.6600000000000003E-2</v>
      </c>
      <c r="Z91" s="192">
        <f t="shared" si="34"/>
        <v>23.330100000000002</v>
      </c>
      <c r="AA91" s="192">
        <f t="shared" si="35"/>
        <v>23.2835</v>
      </c>
      <c r="AB91" s="57" t="e">
        <f>VLOOKUP(A91,Enforcements!$C$7:$K$13,8,0)</f>
        <v>#N/A</v>
      </c>
      <c r="AC91" s="53" t="e">
        <f>VLOOKUP(A91,Enforcements!$C$7:$E$13,3,0)</f>
        <v>#N/A</v>
      </c>
      <c r="AD91" s="54" t="str">
        <f t="shared" si="36"/>
        <v>0179-28</v>
      </c>
      <c r="AE91" s="80" t="str">
        <f t="shared" si="37"/>
        <v>aws s3 cp s3://rtdc.mdm.uploadarchive.raw/RTDC4022/ "%USERPROFILE%\AppData\Local\Temp\OnboardLogs"\RTDC4022\2017-04-28 --exclude "*" --recursive --include "*20170428*" &amp; "%USERPROFILE%\Documents\GitHub\mrs-test-scripts\Headless Mode &amp; Sideloading\WalkAndUnGZ.bat" "%USERPROFILE%\AppData\Local\Temp\OnboardLogs"\RTDC4022\2017-04-28 &amp; aws s3 cp s3://rtdc.mdm.uploadarchive.raw/RTDC4022/ "%USERPROFILE%\AppData\Local\Temp\OnboardLogs"\RTDC4022\2017-04-29 --exclude "*" --recursive --include "*20170429*" &amp; "%USERPROFILE%\Documents\GitHub\mrs-test-scripts\Headless Mode &amp; Sideloading\WalkAndUnGZ.bat" "%USERPROFILE%\AppData\Local\Temp\OnboardLogs"\RTDC4022\2017-04-29</v>
      </c>
      <c r="AF91" s="77" t="str">
        <f t="shared" si="38"/>
        <v>"C:\Program Files (x86)\AstroGrep\AstroGrep.exe" /e /r /s /spath="%USERPROFILE%\AppData\Local\Temp\OnboardLogs" /stypes="app*4022*20170428*" /stext=" 20:.+((SYSTEM_STATE.+slice.+state.+changed )|(ment ac)|(multiple cpu faults)|(system.+state.+changed )|(\[timeout)|(PRM\|1\|D)|(kpr)|(kdp)|(train.+moving)|(\|lc)|(penalty))"</v>
      </c>
      <c r="AG91" s="1" t="str">
        <f t="shared" si="39"/>
        <v>EC</v>
      </c>
      <c r="AH91" s="81" t="str">
        <f t="shared" si="40"/>
        <v>"%USERPROFILE%\Documents\GitHub\eaglep3\Utilities\RefineRTDCRunTimes.py" --tripid 179-28 --locoid 4022 --swversion DE.1.0.9.0 --startMP 204:466 --initTime 2017-04-28T13:22:04 --startdatetime 2017-04-28T13:30:14 --delay 1 --endMP 204:233301 --enddatetime 2017-04-28T14:11:33 --enforcementcount 0 &gt;&gt;C:\Users\stu\Documents\GitHub\eaglep3-reporting\EC\2017-04-28-refined-times.txt</v>
      </c>
      <c r="AI91" s="99" t="str">
        <f t="shared" si="41"/>
        <v>echo {"issue":{"subject":"","project_id":79,"tracker_id":40,"status_id":1,"priority_id":2,"assigned_to_id":23,"start_date":"2017-04-28","description":"","custom_fields":[{"id":1,"name":"Subdivision","value":"EC"},{"id":4,"name":"Milepost","value":"23.3301"},{"id":17,"name":"Train ID","value":"179-28"},{"id":16,"name":"Locomotive ID","value":"4022"},{"id":130,"name":"Impact","value":""},{"id":150,"name":"Time of Event (Mountain Time)","value":"14:11:33"},{"id":151,"name":"Denver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1" s="47"/>
      <c r="AL91" s="47"/>
      <c r="AM91" s="145" t="str">
        <f t="shared" si="42"/>
        <v>start /low /b %USERPROFILE%\Documents\GitHub\eaglep3\Utilities\DownloadLogsFromS3.py --loco 4022 --day 2017-04-28</v>
      </c>
      <c r="AN91" s="154" t="str">
        <f t="shared" si="43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20:11:33"},{"id":29,"name":"Sharepoint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x14ac:dyDescent="0.25">
      <c r="A92" s="32" t="s">
        <v>618</v>
      </c>
      <c r="B92" s="7">
        <v>4021</v>
      </c>
      <c r="C92" s="21" t="s">
        <v>211</v>
      </c>
      <c r="D92" s="21" t="s">
        <v>434</v>
      </c>
      <c r="E92" s="13">
        <v>42853.596597222226</v>
      </c>
      <c r="F92" s="13">
        <v>42853.601770833331</v>
      </c>
      <c r="G92" s="7">
        <v>1</v>
      </c>
      <c r="H92" s="21" t="s">
        <v>197</v>
      </c>
      <c r="I92" s="13">
        <v>42853.631782407407</v>
      </c>
      <c r="J92" s="7">
        <v>0</v>
      </c>
      <c r="K92" s="92" t="str">
        <f t="shared" si="27"/>
        <v>4021/4022</v>
      </c>
      <c r="L92" s="21" t="str">
        <f>VLOOKUP(A92,'Trips&amp;Operators'!$C$1:$G$99999,5,FALSE)</f>
        <v>SULLIVAN BRANDON</v>
      </c>
      <c r="M92" s="6">
        <f t="shared" si="28"/>
        <v>3.0011574075615499E-2</v>
      </c>
      <c r="N92" s="7">
        <f t="shared" si="45"/>
        <v>43.216666668886319</v>
      </c>
      <c r="O92" s="7"/>
      <c r="P92" s="7"/>
      <c r="Q92" s="22"/>
      <c r="R92" s="190"/>
      <c r="S92" s="196">
        <f t="shared" si="29"/>
        <v>1</v>
      </c>
      <c r="T92" s="190" t="str">
        <f t="shared" si="30"/>
        <v>Southbound</v>
      </c>
      <c r="U92" s="190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1" t="str">
        <f t="shared" si="31"/>
        <v>https://d0f6bd738d7f1b3e5a7ca70fe4ff75f0.us-east-1.aws.found.io/app/kibana#/discover/Steve-Slow-Train-Analysis-(2080s-and-2083s)?_g=(refreshInterval:(display:Off,pause:!f,section:0,value:0),time:(from:'2017-04-28T13:19:06-0600',mode:absolute,to:'2017-04-28T16:09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92" s="192" t="str">
        <f t="shared" si="32"/>
        <v>N</v>
      </c>
      <c r="X92" s="192">
        <f t="shared" si="26"/>
        <v>1</v>
      </c>
      <c r="Y92" s="192">
        <f t="shared" si="33"/>
        <v>23.2988</v>
      </c>
      <c r="Z92" s="192">
        <f t="shared" si="34"/>
        <v>1.52E-2</v>
      </c>
      <c r="AA92" s="192">
        <f t="shared" si="35"/>
        <v>23.2836</v>
      </c>
      <c r="AB92" s="57" t="e">
        <f>VLOOKUP(A92,Enforcements!$C$7:$K$13,8,0)</f>
        <v>#N/A</v>
      </c>
      <c r="AC92" s="53" t="e">
        <f>VLOOKUP(A92,Enforcements!$C$7:$E$13,3,0)</f>
        <v>#N/A</v>
      </c>
      <c r="AD92" s="54" t="str">
        <f t="shared" si="36"/>
        <v>0180-28</v>
      </c>
      <c r="AE92" s="80" t="str">
        <f t="shared" si="37"/>
        <v>aws s3 cp s3://rtdc.mdm.uploadarchive.raw/RTDC4021/ "%USERPROFILE%\AppData\Local\Temp\OnboardLogs"\RTDC4021\2017-04-28 --exclude "*" --recursive --include "*20170428*" &amp; "%USERPROFILE%\Documents\GitHub\mrs-test-scripts\Headless Mode &amp; Sideloading\WalkAndUnGZ.bat" "%USERPROFILE%\AppData\Local\Temp\OnboardLogs"\RTDC4021\2017-04-28 &amp; aws s3 cp s3://rtdc.mdm.uploadarchive.raw/RTDC4021/ "%USERPROFILE%\AppData\Local\Temp\OnboardLogs"\RTDC4021\2017-04-29 --exclude "*" --recursive --include "*20170429*" &amp; "%USERPROFILE%\Documents\GitHub\mrs-test-scripts\Headless Mode &amp; Sideloading\WalkAndUnGZ.bat" "%USERPROFILE%\AppData\Local\Temp\OnboardLogs"\RTDC4021\2017-04-29</v>
      </c>
      <c r="AF92" s="77" t="str">
        <f t="shared" si="38"/>
        <v>"C:\Program Files (x86)\AstroGrep\AstroGrep.exe" /e /r /s /spath="%USERPROFILE%\AppData\Local\Temp\OnboardLogs" /stypes="app*4021*20170428*" /stext=" 21:.+((SYSTEM_STATE.+slice.+state.+changed )|(ment ac)|(multiple cpu faults)|(system.+state.+changed )|(\[timeout)|(PRM\|1\|D)|(kpr)|(kdp)|(train.+moving)|(\|lc)|(penalty))"</v>
      </c>
      <c r="AG92" s="1" t="str">
        <f t="shared" si="39"/>
        <v>EC</v>
      </c>
      <c r="AH92" s="81" t="str">
        <f t="shared" si="40"/>
        <v>"%USERPROFILE%\Documents\GitHub\eaglep3\Utilities\RefineRTDCRunTimes.py" --tripid 180-28 --locoid 4021 --swversion DE.1.0.9.0 --startMP 204:232988 --initTime 2017-04-28T14:19:06 --startdatetime 2017-04-28T14:26:33 --delay 1 --endMP 204:152 --enddatetime 2017-04-28T15:09:46 --enforcementcount 0 &gt;&gt;C:\Users\stu\Documents\GitHub\eaglep3-reporting\EC\2017-04-28-refined-times.txt</v>
      </c>
      <c r="AI92" s="99" t="str">
        <f t="shared" si="41"/>
        <v>echo {"issue":{"subject":"","project_id":79,"tracker_id":40,"status_id":1,"priority_id":2,"assigned_to_id":23,"start_date":"2017-04-28","description":"","custom_fields":[{"id":1,"name":"Subdivision","value":"EC"},{"id":4,"name":"Milepost","value":"0.0152"},{"id":17,"name":"Train ID","value":"180-28"},{"id":16,"name":"Locomotive ID","value":"4021"},{"id":130,"name":"Impact","value":""},{"id":150,"name":"Time of Event (Mountain Time)","value":"15:09:46"},{"id":151,"name":"Denver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20"/>
      <c r="AK92" s="47"/>
      <c r="AL92" s="47"/>
      <c r="AM92" s="145" t="str">
        <f t="shared" si="42"/>
        <v>start /low /b %USERPROFILE%\Documents\GitHub\eaglep3\Utilities\DownloadLogsFromS3.py --loco 4021 --day 2017-04-28</v>
      </c>
      <c r="AN92" s="154" t="str">
        <f t="shared" si="43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21:09:46"},{"id":29,"name":"Sharepoint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3" spans="1:91" s="1" customFormat="1" x14ac:dyDescent="0.25">
      <c r="A93" s="32" t="s">
        <v>617</v>
      </c>
      <c r="B93" s="7">
        <v>4042</v>
      </c>
      <c r="C93" s="21" t="s">
        <v>211</v>
      </c>
      <c r="D93" s="21" t="s">
        <v>483</v>
      </c>
      <c r="E93" s="13">
        <v>42853.56958333333</v>
      </c>
      <c r="F93" s="13">
        <v>42853.573310185187</v>
      </c>
      <c r="G93" s="7">
        <v>2</v>
      </c>
      <c r="H93" s="21" t="s">
        <v>887</v>
      </c>
      <c r="I93" s="13">
        <v>42853.601909722223</v>
      </c>
      <c r="J93" s="7">
        <v>0</v>
      </c>
      <c r="K93" s="92" t="str">
        <f t="shared" si="27"/>
        <v>4041/4042</v>
      </c>
      <c r="L93" s="21" t="str">
        <f>VLOOKUP(A93,'Trips&amp;Operators'!$C$1:$G$99999,5,FALSE)</f>
        <v>LAMAR NEKESHA</v>
      </c>
      <c r="M93" s="6">
        <f t="shared" si="28"/>
        <v>2.8599537035916001E-2</v>
      </c>
      <c r="N93" s="7">
        <f t="shared" si="45"/>
        <v>41.183333331719041</v>
      </c>
      <c r="O93" s="7"/>
      <c r="P93" s="7"/>
      <c r="Q93" s="22"/>
      <c r="R93" s="190"/>
      <c r="S93" s="196">
        <f t="shared" si="29"/>
        <v>1</v>
      </c>
      <c r="T93" s="190" t="str">
        <f t="shared" si="30"/>
        <v>NorthBound</v>
      </c>
      <c r="U93" s="190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1" t="str">
        <f t="shared" si="31"/>
        <v>https://d0f6bd738d7f1b3e5a7ca70fe4ff75f0.us-east-1.aws.found.io/app/kibana#/discover/Steve-Slow-Train-Analysis-(2080s-and-2083s)?_g=(refreshInterval:(display:Off,pause:!f,section:0,value:0),time:(from:'2017-04-28T12:40:12-0600',mode:absolute,to:'2017-04-28T15:26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93" s="192" t="str">
        <f t="shared" si="32"/>
        <v>N</v>
      </c>
      <c r="X93" s="192">
        <f t="shared" si="26"/>
        <v>1</v>
      </c>
      <c r="Y93" s="192">
        <f t="shared" si="33"/>
        <v>4.3299999999999998E-2</v>
      </c>
      <c r="Z93" s="192">
        <f t="shared" si="34"/>
        <v>23.324000000000002</v>
      </c>
      <c r="AA93" s="192">
        <f t="shared" si="35"/>
        <v>23.280700000000003</v>
      </c>
      <c r="AB93" s="57" t="e">
        <f>VLOOKUP(A93,Enforcements!$C$7:$K$13,8,0)</f>
        <v>#N/A</v>
      </c>
      <c r="AC93" s="53" t="e">
        <f>VLOOKUP(A93,Enforcements!$C$7:$E$13,3,0)</f>
        <v>#N/A</v>
      </c>
      <c r="AD93" s="54" t="str">
        <f t="shared" si="36"/>
        <v>0181-28</v>
      </c>
      <c r="AE93" s="80" t="str">
        <f t="shared" si="37"/>
        <v>aws s3 cp s3://rtdc.mdm.uploadarchive.raw/RTDC4042/ "%USERPROFILE%\AppData\Local\Temp\OnboardLogs"\RTDC4042\2017-04-28 --exclude "*" --recursive --include "*20170428*" &amp; "%USERPROFILE%\Documents\GitHub\mrs-test-scripts\Headless Mode &amp; Sideloading\WalkAndUnGZ.bat" "%USERPROFILE%\AppData\Local\Temp\OnboardLogs"\RTDC4042\2017-04-28 &amp; aws s3 cp s3://rtdc.mdm.uploadarchive.raw/RTDC4042/ "%USERPROFILE%\AppData\Local\Temp\OnboardLogs"\RTDC4042\2017-04-29 --exclude "*" --recursive --include "*20170429*" &amp; "%USERPROFILE%\Documents\GitHub\mrs-test-scripts\Headless Mode &amp; Sideloading\WalkAndUnGZ.bat" "%USERPROFILE%\AppData\Local\Temp\OnboardLogs"\RTDC4042\2017-04-29</v>
      </c>
      <c r="AF93" s="77" t="str">
        <f t="shared" si="38"/>
        <v>"C:\Program Files (x86)\AstroGrep\AstroGrep.exe" /e /r /s /spath="%USERPROFILE%\AppData\Local\Temp\OnboardLogs" /stypes="app*4042*20170428*" /stext=" 20:.+((SYSTEM_STATE.+slice.+state.+changed )|(ment ac)|(multiple cpu faults)|(system.+state.+changed )|(\[timeout)|(PRM\|1\|D)|(kpr)|(kdp)|(train.+moving)|(\|lc)|(penalty))"</v>
      </c>
      <c r="AG93" s="1" t="str">
        <f t="shared" si="39"/>
        <v>EC</v>
      </c>
      <c r="AH93" s="81" t="str">
        <f t="shared" si="40"/>
        <v>"%USERPROFILE%\Documents\GitHub\eaglep3\Utilities\RefineRTDCRunTimes.py" --tripid 181-28 --locoid 4042 --swversion DE.1.0.9.0 --startMP 204:433 --initTime 2017-04-28T13:40:12 --startdatetime 2017-04-28T13:45:34 --delay 2 --endMP 204:233240 --enddatetime 2017-04-28T14:26:45 --enforcementcount 0 &gt;&gt;C:\Users\stu\Documents\GitHub\eaglep3-reporting\EC\2017-04-28-refined-times.txt</v>
      </c>
      <c r="AI93" s="99" t="str">
        <f t="shared" si="41"/>
        <v>echo {"issue":{"subject":"","project_id":79,"tracker_id":40,"status_id":1,"priority_id":2,"assigned_to_id":23,"start_date":"2017-04-28","description":"","custom_fields":[{"id":1,"name":"Subdivision","value":"EC"},{"id":4,"name":"Milepost","value":"23.324"},{"id":17,"name":"Train ID","value":"181-28"},{"id":16,"name":"Locomotive ID","value":"4042"},{"id":130,"name":"Impact","value":""},{"id":150,"name":"Time of Event (Mountain Time)","value":"14:26:45"},{"id":151,"name":"Denver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20"/>
      <c r="AK93" s="47"/>
      <c r="AL93" s="47"/>
      <c r="AM93" s="145" t="str">
        <f t="shared" si="42"/>
        <v>start /low /b %USERPROFILE%\Documents\GitHub\eaglep3\Utilities\DownloadLogsFromS3.py --loco 4042 --day 2017-04-28</v>
      </c>
      <c r="AN93" s="154" t="str">
        <f t="shared" si="43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20:26:45"},{"id":29,"name":"Sharepoint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2" t="s">
        <v>620</v>
      </c>
      <c r="B94" s="7">
        <v>4041</v>
      </c>
      <c r="C94" s="21" t="s">
        <v>211</v>
      </c>
      <c r="D94" s="21" t="s">
        <v>888</v>
      </c>
      <c r="E94" s="13">
        <v>42853.603622685187</v>
      </c>
      <c r="F94" s="13">
        <v>42853.612025462964</v>
      </c>
      <c r="G94" s="7">
        <v>8</v>
      </c>
      <c r="H94" s="21" t="s">
        <v>889</v>
      </c>
      <c r="I94" s="13">
        <v>42853.643472222226</v>
      </c>
      <c r="J94" s="7">
        <v>0</v>
      </c>
      <c r="K94" s="92" t="str">
        <f t="shared" si="27"/>
        <v>4041/4042</v>
      </c>
      <c r="L94" s="21" t="str">
        <f>VLOOKUP(A94,'Trips&amp;Operators'!$C$1:$G$99999,5,FALSE)</f>
        <v>LAMAR NEKESHA</v>
      </c>
      <c r="M94" s="6">
        <f t="shared" si="28"/>
        <v>3.1446759261598345E-2</v>
      </c>
      <c r="N94" s="7">
        <f t="shared" si="45"/>
        <v>45.283333336701617</v>
      </c>
      <c r="O94" s="7"/>
      <c r="P94" s="7"/>
      <c r="Q94" s="22"/>
      <c r="R94" s="190"/>
      <c r="S94" s="196">
        <f t="shared" si="29"/>
        <v>1</v>
      </c>
      <c r="T94" s="190" t="str">
        <f t="shared" si="30"/>
        <v>Southbound</v>
      </c>
      <c r="U94" s="190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1" t="str">
        <f t="shared" si="31"/>
        <v>https://d0f6bd738d7f1b3e5a7ca70fe4ff75f0.us-east-1.aws.found.io/app/kibana#/discover/Steve-Slow-Train-Analysis-(2080s-and-2083s)?_g=(refreshInterval:(display:Off,pause:!f,section:0,value:0),time:(from:'2017-04-28T13:29:13-0600',mode:absolute,to:'2017-04-28T16:26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94" s="192" t="str">
        <f t="shared" si="32"/>
        <v>N</v>
      </c>
      <c r="X94" s="192">
        <f t="shared" si="26"/>
        <v>1</v>
      </c>
      <c r="Y94" s="192">
        <f t="shared" si="33"/>
        <v>23.2928</v>
      </c>
      <c r="Z94" s="192">
        <f t="shared" si="34"/>
        <v>1.7399999999999999E-2</v>
      </c>
      <c r="AA94" s="192">
        <f t="shared" si="35"/>
        <v>23.275400000000001</v>
      </c>
      <c r="AB94" s="57" t="e">
        <f>VLOOKUP(A94,Enforcements!$C$7:$K$13,8,0)</f>
        <v>#N/A</v>
      </c>
      <c r="AC94" s="53" t="e">
        <f>VLOOKUP(A94,Enforcements!$C$7:$E$13,3,0)</f>
        <v>#N/A</v>
      </c>
      <c r="AD94" s="54" t="str">
        <f t="shared" si="36"/>
        <v>0182-28</v>
      </c>
      <c r="AE94" s="80" t="str">
        <f t="shared" si="37"/>
        <v>aws s3 cp s3://rtdc.mdm.uploadarchive.raw/RTDC4041/ "%USERPROFILE%\AppData\Local\Temp\OnboardLogs"\RTDC4041\2017-04-28 --exclude "*" --recursive --include "*20170428*" &amp; "%USERPROFILE%\Documents\GitHub\mrs-test-scripts\Headless Mode &amp; Sideloading\WalkAndUnGZ.bat" "%USERPROFILE%\AppData\Local\Temp\OnboardLogs"\RTDC4041\2017-04-28 &amp; aws s3 cp s3://rtdc.mdm.uploadarchive.raw/RTDC4041/ "%USERPROFILE%\AppData\Local\Temp\OnboardLogs"\RTDC4041\2017-04-29 --exclude "*" --recursive --include "*20170429*" &amp; "%USERPROFILE%\Documents\GitHub\mrs-test-scripts\Headless Mode &amp; Sideloading\WalkAndUnGZ.bat" "%USERPROFILE%\AppData\Local\Temp\OnboardLogs"\RTDC4041\2017-04-29</v>
      </c>
      <c r="AF94" s="77" t="str">
        <f t="shared" si="38"/>
        <v>"C:\Program Files (x86)\AstroGrep\AstroGrep.exe" /e /r /s /spath="%USERPROFILE%\AppData\Local\Temp\OnboardLogs" /stypes="app*4041*20170428*" /stext=" 21:.+((SYSTEM_STATE.+slice.+state.+changed )|(ment ac)|(multiple cpu faults)|(system.+state.+changed )|(\[timeout)|(PRM\|1\|D)|(kpr)|(kdp)|(train.+moving)|(\|lc)|(penalty))"</v>
      </c>
      <c r="AG94" s="1" t="str">
        <f t="shared" si="39"/>
        <v>EC</v>
      </c>
      <c r="AH94" s="81" t="str">
        <f t="shared" si="40"/>
        <v>"%USERPROFILE%\Documents\GitHub\eaglep3\Utilities\RefineRTDCRunTimes.py" --tripid 182-28 --locoid 4041 --swversion DE.1.0.9.0 --startMP 204:232928 --initTime 2017-04-28T14:29:13 --startdatetime 2017-04-28T14:41:19 --delay 8 --endMP 204:174 --enddatetime 2017-04-28T15:26:36 --enforcementcount 0 &gt;&gt;C:\Users\stu\Documents\GitHub\eaglep3-reporting\EC\2017-04-28-refined-times.txt</v>
      </c>
      <c r="AI94" s="99" t="str">
        <f t="shared" si="41"/>
        <v>echo {"issue":{"subject":"","project_id":79,"tracker_id":40,"status_id":1,"priority_id":2,"assigned_to_id":23,"start_date":"2017-04-28","description":"","custom_fields":[{"id":1,"name":"Subdivision","value":"EC"},{"id":4,"name":"Milepost","value":"0.0174"},{"id":17,"name":"Train ID","value":"182-28"},{"id":16,"name":"Locomotive ID","value":"4041"},{"id":130,"name":"Impact","value":""},{"id":150,"name":"Time of Event (Mountain Time)","value":"15:26:36"},{"id":151,"name":"Denver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4" s="47"/>
      <c r="AL94" s="47"/>
      <c r="AM94" s="145" t="str">
        <f t="shared" si="42"/>
        <v>start /low /b %USERPROFILE%\Documents\GitHub\eaglep3\Utilities\DownloadLogsFromS3.py --loco 4041 --day 2017-04-28</v>
      </c>
      <c r="AN94" s="154" t="str">
        <f t="shared" si="43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21:26:36"},{"id":29,"name":"Sharepoint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2" t="s">
        <v>749</v>
      </c>
      <c r="B95" s="7">
        <v>4016</v>
      </c>
      <c r="C95" s="21" t="s">
        <v>211</v>
      </c>
      <c r="D95" s="21" t="s">
        <v>441</v>
      </c>
      <c r="E95" s="13">
        <v>42853.579444444447</v>
      </c>
      <c r="F95" s="13">
        <v>42853.583599537036</v>
      </c>
      <c r="G95" s="7">
        <v>1</v>
      </c>
      <c r="H95" s="21" t="s">
        <v>487</v>
      </c>
      <c r="I95" s="13">
        <v>42853.611261574071</v>
      </c>
      <c r="J95" s="7">
        <v>0</v>
      </c>
      <c r="K95" s="92" t="str">
        <f t="shared" si="27"/>
        <v>4015/4016</v>
      </c>
      <c r="L95" s="21" t="str">
        <f>VLOOKUP(A95,'Trips&amp;Operators'!$C$1:$G$99999,5,FALSE)</f>
        <v>BRANDNER MELINDA</v>
      </c>
      <c r="M95" s="6">
        <f t="shared" si="28"/>
        <v>2.7662037035042886E-2</v>
      </c>
      <c r="N95" s="7">
        <f t="shared" si="45"/>
        <v>39.833333330461755</v>
      </c>
      <c r="O95" s="7"/>
      <c r="P95" s="7"/>
      <c r="Q95" s="22"/>
      <c r="R95" s="190"/>
      <c r="S95" s="196">
        <f t="shared" si="29"/>
        <v>1</v>
      </c>
      <c r="T95" s="190" t="str">
        <f t="shared" si="30"/>
        <v>NorthBound</v>
      </c>
      <c r="U95" s="190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1" t="str">
        <f t="shared" si="31"/>
        <v>https://d0f6bd738d7f1b3e5a7ca70fe4ff75f0.us-east-1.aws.found.io/app/kibana#/discover/Steve-Slow-Train-Analysis-(2080s-and-2083s)?_g=(refreshInterval:(display:Off,pause:!f,section:0,value:0),time:(from:'2017-04-28T12:54:24-0600',mode:absolute,to:'2017-04-28T15:40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95" s="192" t="str">
        <f t="shared" si="32"/>
        <v>N</v>
      </c>
      <c r="X95" s="192">
        <f t="shared" si="26"/>
        <v>1</v>
      </c>
      <c r="Y95" s="192">
        <f t="shared" si="33"/>
        <v>4.7100000000000003E-2</v>
      </c>
      <c r="Z95" s="192">
        <f t="shared" si="34"/>
        <v>23.333400000000001</v>
      </c>
      <c r="AA95" s="192">
        <f t="shared" si="35"/>
        <v>23.286300000000001</v>
      </c>
      <c r="AB95" s="57" t="e">
        <f>VLOOKUP(A95,Enforcements!$C$7:$K$13,8,0)</f>
        <v>#N/A</v>
      </c>
      <c r="AC95" s="53" t="e">
        <f>VLOOKUP(A95,Enforcements!$C$7:$E$13,3,0)</f>
        <v>#N/A</v>
      </c>
      <c r="AD95" s="54" t="str">
        <f t="shared" si="36"/>
        <v>0183-28</v>
      </c>
      <c r="AE95" s="80" t="str">
        <f t="shared" si="37"/>
        <v>aws s3 cp s3://rtdc.mdm.uploadarchive.raw/RTDC4016/ "%USERPROFILE%\AppData\Local\Temp\OnboardLogs"\RTDC4016\2017-04-28 --exclude "*" --recursive --include "*20170428*" &amp; "%USERPROFILE%\Documents\GitHub\mrs-test-scripts\Headless Mode &amp; Sideloading\WalkAndUnGZ.bat" "%USERPROFILE%\AppData\Local\Temp\OnboardLogs"\RTDC4016\2017-04-28 &amp; aws s3 cp s3://rtdc.mdm.uploadarchive.raw/RTDC4016/ "%USERPROFILE%\AppData\Local\Temp\OnboardLogs"\RTDC4016\2017-04-29 --exclude "*" --recursive --include "*20170429*" &amp; "%USERPROFILE%\Documents\GitHub\mrs-test-scripts\Headless Mode &amp; Sideloading\WalkAndUnGZ.bat" "%USERPROFILE%\AppData\Local\Temp\OnboardLogs"\RTDC4016\2017-04-29</v>
      </c>
      <c r="AF95" s="77" t="str">
        <f t="shared" si="38"/>
        <v>"C:\Program Files (x86)\AstroGrep\AstroGrep.exe" /e /r /s /spath="%USERPROFILE%\AppData\Local\Temp\OnboardLogs" /stypes="app*4016*20170428*" /stext=" 20:.+((SYSTEM_STATE.+slice.+state.+changed )|(ment ac)|(multiple cpu faults)|(system.+state.+changed )|(\[timeout)|(PRM\|1\|D)|(kpr)|(kdp)|(train.+moving)|(\|lc)|(penalty))"</v>
      </c>
      <c r="AG95" s="1" t="str">
        <f t="shared" si="39"/>
        <v>EC</v>
      </c>
      <c r="AH95" s="81" t="str">
        <f t="shared" si="40"/>
        <v>"%USERPROFILE%\Documents\GitHub\eaglep3\Utilities\RefineRTDCRunTimes.py" --tripid 183-28 --locoid 4016 --swversion DE.1.0.9.0 --startMP 204:471 --initTime 2017-04-28T13:54:24 --startdatetime 2017-04-28T14:00:23 --delay 1 --endMP 204:233334 --enddatetime 2017-04-28T14:40:13 --enforcementcount 0 &gt;&gt;C:\Users\stu\Documents\GitHub\eaglep3-reporting\EC\2017-04-28-refined-times.txt</v>
      </c>
      <c r="AI95" s="99" t="str">
        <f t="shared" si="41"/>
        <v>echo {"issue":{"subject":"","project_id":79,"tracker_id":40,"status_id":1,"priority_id":2,"assigned_to_id":23,"start_date":"2017-04-28","description":"","custom_fields":[{"id":1,"name":"Subdivision","value":"EC"},{"id":4,"name":"Milepost","value":"23.3334"},{"id":17,"name":"Train ID","value":"183-28"},{"id":16,"name":"Locomotive ID","value":"4016"},{"id":130,"name":"Impact","value":""},{"id":150,"name":"Time of Event (Mountain Time)","value":"14:40:13"},{"id":151,"name":"Denver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7"/>
      <c r="AL95" s="47"/>
      <c r="AM95" s="145" t="str">
        <f t="shared" si="42"/>
        <v>start /low /b %USERPROFILE%\Documents\GitHub\eaglep3\Utilities\DownloadLogsFromS3.py --loco 4016 --day 2017-04-28</v>
      </c>
      <c r="AN95" s="154" t="str">
        <f t="shared" si="43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20:40:13"},{"id":29,"name":"Sharepoint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2" t="s">
        <v>756</v>
      </c>
      <c r="B96" s="7">
        <v>4015</v>
      </c>
      <c r="C96" s="21" t="s">
        <v>211</v>
      </c>
      <c r="D96" s="21" t="s">
        <v>890</v>
      </c>
      <c r="E96" s="13">
        <v>42853.619363425925</v>
      </c>
      <c r="F96" s="13">
        <v>42853.622430555559</v>
      </c>
      <c r="G96" s="7">
        <v>1</v>
      </c>
      <c r="H96" s="21" t="s">
        <v>462</v>
      </c>
      <c r="I96" s="13">
        <v>42853.654050925928</v>
      </c>
      <c r="J96" s="7">
        <v>0</v>
      </c>
      <c r="K96" s="92" t="str">
        <f t="shared" si="27"/>
        <v>4015/4016</v>
      </c>
      <c r="L96" s="21" t="str">
        <f>VLOOKUP(A96,'Trips&amp;Operators'!$C$1:$G$99999,5,FALSE)</f>
        <v>BRANDNER MELINDA</v>
      </c>
      <c r="M96" s="6">
        <f t="shared" si="28"/>
        <v>3.1620370369637385E-2</v>
      </c>
      <c r="N96" s="7">
        <f t="shared" si="45"/>
        <v>45.533333332277834</v>
      </c>
      <c r="O96" s="7"/>
      <c r="P96" s="7"/>
      <c r="Q96" s="22"/>
      <c r="R96" s="190"/>
      <c r="S96" s="196">
        <f t="shared" si="29"/>
        <v>1</v>
      </c>
      <c r="T96" s="190" t="str">
        <f t="shared" si="30"/>
        <v>Southbound</v>
      </c>
      <c r="U96" s="190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1" t="str">
        <f t="shared" si="31"/>
        <v>https://d0f6bd738d7f1b3e5a7ca70fe4ff75f0.us-east-1.aws.found.io/app/kibana#/discover/Steve-Slow-Train-Analysis-(2080s-and-2083s)?_g=(refreshInterval:(display:Off,pause:!f,section:0,value:0),time:(from:'2017-04-28T13:51:53-0600',mode:absolute,to:'2017-04-28T16:41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96" s="192" t="str">
        <f t="shared" si="32"/>
        <v>N</v>
      </c>
      <c r="X96" s="192">
        <f t="shared" ref="X96:X127" si="46">VALUE(LEFT(AD96,4))-VALUE(LEFT(AD95,4))</f>
        <v>1</v>
      </c>
      <c r="Y96" s="192">
        <f t="shared" si="33"/>
        <v>23.305099999999999</v>
      </c>
      <c r="Z96" s="192">
        <f t="shared" si="34"/>
        <v>1.5599999999999999E-2</v>
      </c>
      <c r="AA96" s="192">
        <f t="shared" si="35"/>
        <v>23.2895</v>
      </c>
      <c r="AB96" s="57" t="e">
        <f>VLOOKUP(A96,Enforcements!$C$7:$K$13,8,0)</f>
        <v>#N/A</v>
      </c>
      <c r="AC96" s="53" t="e">
        <f>VLOOKUP(A96,Enforcements!$C$7:$E$13,3,0)</f>
        <v>#N/A</v>
      </c>
      <c r="AD96" s="54" t="str">
        <f t="shared" si="36"/>
        <v>0184-28</v>
      </c>
      <c r="AE96" s="80" t="str">
        <f t="shared" si="37"/>
        <v>aws s3 cp s3://rtdc.mdm.uploadarchive.raw/RTDC4015/ "%USERPROFILE%\AppData\Local\Temp\OnboardLogs"\RTDC4015\2017-04-28 --exclude "*" --recursive --include "*20170428*" &amp; "%USERPROFILE%\Documents\GitHub\mrs-test-scripts\Headless Mode &amp; Sideloading\WalkAndUnGZ.bat" "%USERPROFILE%\AppData\Local\Temp\OnboardLogs"\RTDC4015\2017-04-28 &amp; aws s3 cp s3://rtdc.mdm.uploadarchive.raw/RTDC4015/ "%USERPROFILE%\AppData\Local\Temp\OnboardLogs"\RTDC4015\2017-04-29 --exclude "*" --recursive --include "*20170429*" &amp; "%USERPROFILE%\Documents\GitHub\mrs-test-scripts\Headless Mode &amp; Sideloading\WalkAndUnGZ.bat" "%USERPROFILE%\AppData\Local\Temp\OnboardLogs"\RTDC4015\2017-04-29</v>
      </c>
      <c r="AF96" s="77" t="str">
        <f t="shared" si="38"/>
        <v>"C:\Program Files (x86)\AstroGrep\AstroGrep.exe" /e /r /s /spath="%USERPROFILE%\AppData\Local\Temp\OnboardLogs" /stypes="app*4015*20170428*" /stext=" 21:.+((SYSTEM_STATE.+slice.+state.+changed )|(ment ac)|(multiple cpu faults)|(system.+state.+changed )|(\[timeout)|(PRM\|1\|D)|(kpr)|(kdp)|(train.+moving)|(\|lc)|(penalty))"</v>
      </c>
      <c r="AG96" s="1" t="str">
        <f t="shared" si="39"/>
        <v>EC</v>
      </c>
      <c r="AH96" s="81" t="str">
        <f t="shared" si="40"/>
        <v>"%USERPROFILE%\Documents\GitHub\eaglep3\Utilities\RefineRTDCRunTimes.py" --tripid 184-28 --locoid 4015 --swversion DE.1.0.9.0 --startMP 204:233051 --initTime 2017-04-28T14:51:53 --startdatetime 2017-04-28T14:56:18 --delay 1 --endMP 204:156 --enddatetime 2017-04-28T15:41:50 --enforcementcount 0 &gt;&gt;C:\Users\stu\Documents\GitHub\eaglep3-reporting\EC\2017-04-28-refined-times.txt</v>
      </c>
      <c r="AI96" s="99" t="str">
        <f t="shared" si="41"/>
        <v>echo {"issue":{"subject":"","project_id":79,"tracker_id":40,"status_id":1,"priority_id":2,"assigned_to_id":23,"start_date":"2017-04-28","description":"","custom_fields":[{"id":1,"name":"Subdivision","value":"EC"},{"id":4,"name":"Milepost","value":"0.0156"},{"id":17,"name":"Train ID","value":"184-28"},{"id":16,"name":"Locomotive ID","value":"4015"},{"id":130,"name":"Impact","value":""},{"id":150,"name":"Time of Event (Mountain Time)","value":"15:41:50"},{"id":151,"name":"Denver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7"/>
      <c r="AL96" s="47"/>
      <c r="AM96" s="145" t="str">
        <f t="shared" si="42"/>
        <v>start /low /b %USERPROFILE%\Documents\GitHub\eaglep3\Utilities\DownloadLogsFromS3.py --loco 4015 --day 2017-04-28</v>
      </c>
      <c r="AN96" s="154" t="str">
        <f t="shared" si="43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21:41:50"},{"id":29,"name":"Sharepoint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2" t="s">
        <v>751</v>
      </c>
      <c r="B97" s="7">
        <v>4052</v>
      </c>
      <c r="C97" s="21" t="s">
        <v>211</v>
      </c>
      <c r="D97" s="21" t="s">
        <v>368</v>
      </c>
      <c r="E97" s="13">
        <v>42853.589386574073</v>
      </c>
      <c r="F97" s="13">
        <v>42853.594027777777</v>
      </c>
      <c r="G97" s="7">
        <v>1</v>
      </c>
      <c r="H97" s="21" t="s">
        <v>891</v>
      </c>
      <c r="I97" s="13">
        <v>42853.621550925927</v>
      </c>
      <c r="J97" s="7">
        <v>0</v>
      </c>
      <c r="K97" s="92" t="str">
        <f t="shared" si="27"/>
        <v>4051/4052</v>
      </c>
      <c r="L97" s="21" t="str">
        <f>VLOOKUP(A97,'Trips&amp;Operators'!$C$1:$G$99999,5,FALSE)</f>
        <v>WHITED DUSTIN</v>
      </c>
      <c r="M97" s="6">
        <f t="shared" si="28"/>
        <v>2.7523148150066845E-2</v>
      </c>
      <c r="N97" s="7">
        <f t="shared" si="45"/>
        <v>39.633333336096257</v>
      </c>
      <c r="O97" s="7"/>
      <c r="P97" s="7"/>
      <c r="Q97" s="22"/>
      <c r="R97" s="190"/>
      <c r="S97" s="196">
        <f t="shared" si="29"/>
        <v>1</v>
      </c>
      <c r="T97" s="190" t="str">
        <f t="shared" si="30"/>
        <v>NorthBound</v>
      </c>
      <c r="U97" s="190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1" t="str">
        <f t="shared" si="31"/>
        <v>https://d0f6bd738d7f1b3e5a7ca70fe4ff75f0.us-east-1.aws.found.io/app/kibana#/discover/Steve-Slow-Train-Analysis-(2080s-and-2083s)?_g=(refreshInterval:(display:Off,pause:!f,section:0,value:0),time:(from:'2017-04-28T13:08:43-0600',mode:absolute,to:'2017-04-28T15:55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97" s="192" t="str">
        <f t="shared" si="32"/>
        <v>N</v>
      </c>
      <c r="X97" s="192">
        <f t="shared" si="46"/>
        <v>1</v>
      </c>
      <c r="Y97" s="192">
        <f t="shared" si="33"/>
        <v>4.4900000000000002E-2</v>
      </c>
      <c r="Z97" s="192">
        <f t="shared" si="34"/>
        <v>23.334599999999998</v>
      </c>
      <c r="AA97" s="192">
        <f t="shared" si="35"/>
        <v>23.2897</v>
      </c>
      <c r="AB97" s="57" t="e">
        <f>VLOOKUP(A97,Enforcements!$C$7:$K$13,8,0)</f>
        <v>#N/A</v>
      </c>
      <c r="AC97" s="53" t="e">
        <f>VLOOKUP(A97,Enforcements!$C$7:$E$13,3,0)</f>
        <v>#N/A</v>
      </c>
      <c r="AD97" s="54" t="str">
        <f t="shared" si="36"/>
        <v>0185-28</v>
      </c>
      <c r="AE97" s="80" t="str">
        <f t="shared" si="37"/>
        <v>aws s3 cp s3://rtdc.mdm.uploadarchive.raw/RTDC4052/ "%USERPROFILE%\AppData\Local\Temp\OnboardLogs"\RTDC4052\2017-04-28 --exclude "*" --recursive --include "*20170428*" &amp; "%USERPROFILE%\Documents\GitHub\mrs-test-scripts\Headless Mode &amp; Sideloading\WalkAndUnGZ.bat" "%USERPROFILE%\AppData\Local\Temp\OnboardLogs"\RTDC4052\2017-04-28 &amp; aws s3 cp s3://rtdc.mdm.uploadarchive.raw/RTDC4052/ "%USERPROFILE%\AppData\Local\Temp\OnboardLogs"\RTDC4052\2017-04-29 --exclude "*" --recursive --include "*20170429*" &amp; "%USERPROFILE%\Documents\GitHub\mrs-test-scripts\Headless Mode &amp; Sideloading\WalkAndUnGZ.bat" "%USERPROFILE%\AppData\Local\Temp\OnboardLogs"\RTDC4052\2017-04-29</v>
      </c>
      <c r="AF97" s="77" t="str">
        <f t="shared" si="38"/>
        <v>"C:\Program Files (x86)\AstroGrep\AstroGrep.exe" /e /r /s /spath="%USERPROFILE%\AppData\Local\Temp\OnboardLogs" /stypes="app*4052*20170428*" /stext=" 20:.+((SYSTEM_STATE.+slice.+state.+changed )|(ment ac)|(multiple cpu faults)|(system.+state.+changed )|(\[timeout)|(PRM\|1\|D)|(kpr)|(kdp)|(train.+moving)|(\|lc)|(penalty))"</v>
      </c>
      <c r="AG97" s="1" t="str">
        <f t="shared" si="39"/>
        <v>EC</v>
      </c>
      <c r="AH97" s="81" t="str">
        <f t="shared" si="40"/>
        <v>"%USERPROFILE%\Documents\GitHub\eaglep3\Utilities\RefineRTDCRunTimes.py" --tripid 185-28 --locoid 4052 --swversion DE.1.0.9.0 --startMP 204:449 --initTime 2017-04-28T14:08:43 --startdatetime 2017-04-28T14:15:24 --delay 1 --endMP 204:233346 --enddatetime 2017-04-28T14:55:02 --enforcementcount 0 &gt;&gt;C:\Users\stu\Documents\GitHub\eaglep3-reporting\EC\2017-04-28-refined-times.txt</v>
      </c>
      <c r="AI97" s="99" t="str">
        <f t="shared" si="41"/>
        <v>echo {"issue":{"subject":"","project_id":79,"tracker_id":40,"status_id":1,"priority_id":2,"assigned_to_id":23,"start_date":"2017-04-28","description":"","custom_fields":[{"id":1,"name":"Subdivision","value":"EC"},{"id":4,"name":"Milepost","value":"23.3346"},{"id":17,"name":"Train ID","value":"185-28"},{"id":16,"name":"Locomotive ID","value":"4052"},{"id":130,"name":"Impact","value":""},{"id":150,"name":"Time of Event (Mountain Time)","value":"14:55:02"},{"id":151,"name":"Denver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7"/>
      <c r="AL97" s="47"/>
      <c r="AM97" s="145" t="str">
        <f t="shared" si="42"/>
        <v>start /low /b %USERPROFILE%\Documents\GitHub\eaglep3\Utilities\DownloadLogsFromS3.py --loco 4052 --day 2017-04-28</v>
      </c>
      <c r="AN97" s="154" t="str">
        <f t="shared" si="43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20:55:02"},{"id":29,"name":"Sharepoint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2" t="s">
        <v>758</v>
      </c>
      <c r="B98" s="7">
        <v>4051</v>
      </c>
      <c r="C98" s="21" t="s">
        <v>211</v>
      </c>
      <c r="D98" s="21" t="s">
        <v>490</v>
      </c>
      <c r="E98" s="13">
        <v>42853.625578703701</v>
      </c>
      <c r="F98" s="13">
        <v>42853.632824074077</v>
      </c>
      <c r="G98" s="7">
        <v>1</v>
      </c>
      <c r="H98" s="21" t="s">
        <v>892</v>
      </c>
      <c r="I98" s="13">
        <v>42853.662094907406</v>
      </c>
      <c r="J98" s="7">
        <v>0</v>
      </c>
      <c r="K98" s="92" t="str">
        <f t="shared" si="27"/>
        <v>4051/4052</v>
      </c>
      <c r="L98" s="21" t="str">
        <f>VLOOKUP(A98,'Trips&amp;Operators'!$C$1:$G$99999,5,FALSE)</f>
        <v>WHITED DUSTIN</v>
      </c>
      <c r="M98" s="6">
        <f t="shared" si="28"/>
        <v>2.9270833329064772E-2</v>
      </c>
      <c r="N98" s="7">
        <f t="shared" si="45"/>
        <v>42.149999993853271</v>
      </c>
      <c r="O98" s="7"/>
      <c r="P98" s="7"/>
      <c r="Q98" s="22"/>
      <c r="R98" s="190"/>
      <c r="S98" s="196">
        <f t="shared" si="29"/>
        <v>1</v>
      </c>
      <c r="T98" s="190" t="str">
        <f t="shared" si="30"/>
        <v>Southbound</v>
      </c>
      <c r="U98" s="190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1" t="str">
        <f t="shared" si="31"/>
        <v>https://d0f6bd738d7f1b3e5a7ca70fe4ff75f0.us-east-1.aws.found.io/app/kibana#/discover/Steve-Slow-Train-Analysis-(2080s-and-2083s)?_g=(refreshInterval:(display:Off,pause:!f,section:0,value:0),time:(from:'2017-04-28T14:00:50-0600',mode:absolute,to:'2017-04-28T16:53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98" s="192" t="str">
        <f t="shared" si="32"/>
        <v>N</v>
      </c>
      <c r="X98" s="192">
        <f t="shared" si="46"/>
        <v>1</v>
      </c>
      <c r="Y98" s="192">
        <f t="shared" si="33"/>
        <v>23.302499999999998</v>
      </c>
      <c r="Z98" s="192">
        <f t="shared" si="34"/>
        <v>1.2500000000000001E-2</v>
      </c>
      <c r="AA98" s="192">
        <f t="shared" si="35"/>
        <v>23.29</v>
      </c>
      <c r="AB98" s="57" t="e">
        <f>VLOOKUP(A98,Enforcements!$C$7:$K$13,8,0)</f>
        <v>#N/A</v>
      </c>
      <c r="AC98" s="53" t="e">
        <f>VLOOKUP(A98,Enforcements!$C$7:$E$13,3,0)</f>
        <v>#N/A</v>
      </c>
      <c r="AD98" s="54" t="str">
        <f t="shared" si="36"/>
        <v>0186-28</v>
      </c>
      <c r="AE98" s="80" t="str">
        <f t="shared" si="37"/>
        <v>aws s3 cp s3://rtdc.mdm.uploadarchive.raw/RTDC4051/ "%USERPROFILE%\AppData\Local\Temp\OnboardLogs"\RTDC4051\2017-04-28 --exclude "*" --recursive --include "*20170428*" &amp; "%USERPROFILE%\Documents\GitHub\mrs-test-scripts\Headless Mode &amp; Sideloading\WalkAndUnGZ.bat" "%USERPROFILE%\AppData\Local\Temp\OnboardLogs"\RTDC4051\2017-04-28 &amp; aws s3 cp s3://rtdc.mdm.uploadarchive.raw/RTDC4051/ "%USERPROFILE%\AppData\Local\Temp\OnboardLogs"\RTDC4051\2017-04-29 --exclude "*" --recursive --include "*20170429*" &amp; "%USERPROFILE%\Documents\GitHub\mrs-test-scripts\Headless Mode &amp; Sideloading\WalkAndUnGZ.bat" "%USERPROFILE%\AppData\Local\Temp\OnboardLogs"\RTDC4051\2017-04-29</v>
      </c>
      <c r="AF98" s="77" t="str">
        <f t="shared" si="38"/>
        <v>"C:\Program Files (x86)\AstroGrep\AstroGrep.exe" /e /r /s /spath="%USERPROFILE%\AppData\Local\Temp\OnboardLogs" /stypes="app*4051*20170428*" /stext=" 21:.+((SYSTEM_STATE.+slice.+state.+changed )|(ment ac)|(multiple cpu faults)|(system.+state.+changed )|(\[timeout)|(PRM\|1\|D)|(kpr)|(kdp)|(train.+moving)|(\|lc)|(penalty))"</v>
      </c>
      <c r="AG98" s="1" t="str">
        <f t="shared" si="39"/>
        <v>EC</v>
      </c>
      <c r="AH98" s="81" t="str">
        <f t="shared" si="40"/>
        <v>"%USERPROFILE%\Documents\GitHub\eaglep3\Utilities\RefineRTDCRunTimes.py" --tripid 186-28 --locoid 4051 --swversion DE.1.0.9.0 --startMP 204:233025 --initTime 2017-04-28T15:00:50 --startdatetime 2017-04-28T15:11:16 --delay 1 --endMP 204:125 --enddatetime 2017-04-28T15:53:25 --enforcementcount 0 &gt;&gt;C:\Users\stu\Documents\GitHub\eaglep3-reporting\EC\2017-04-28-refined-times.txt</v>
      </c>
      <c r="AI98" s="99" t="str">
        <f t="shared" si="41"/>
        <v>echo {"issue":{"subject":"","project_id":79,"tracker_id":40,"status_id":1,"priority_id":2,"assigned_to_id":23,"start_date":"2017-04-28","description":"","custom_fields":[{"id":1,"name":"Subdivision","value":"EC"},{"id":4,"name":"Milepost","value":"0.0125"},{"id":17,"name":"Train ID","value":"186-28"},{"id":16,"name":"Locomotive ID","value":"4051"},{"id":130,"name":"Impact","value":""},{"id":150,"name":"Time of Event (Mountain Time)","value":"15:53:25"},{"id":151,"name":"Denver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7"/>
      <c r="AL98" s="47"/>
      <c r="AM98" s="145" t="str">
        <f t="shared" si="42"/>
        <v>start /low /b %USERPROFILE%\Documents\GitHub\eaglep3\Utilities\DownloadLogsFromS3.py --loco 4051 --day 2017-04-28</v>
      </c>
      <c r="AN98" s="154" t="str">
        <f t="shared" si="43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21:53:25"},{"id":29,"name":"Sharepoint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x14ac:dyDescent="0.25">
      <c r="A99" s="32" t="s">
        <v>753</v>
      </c>
      <c r="B99" s="7">
        <v>4008</v>
      </c>
      <c r="C99" s="21" t="s">
        <v>211</v>
      </c>
      <c r="D99" s="21" t="s">
        <v>382</v>
      </c>
      <c r="E99" s="13">
        <v>42853.602337962962</v>
      </c>
      <c r="F99" s="13">
        <v>42853.604398148149</v>
      </c>
      <c r="G99" s="7">
        <v>1</v>
      </c>
      <c r="H99" s="21" t="s">
        <v>424</v>
      </c>
      <c r="I99" s="13">
        <v>42853.631724537037</v>
      </c>
      <c r="J99" s="7">
        <v>0</v>
      </c>
      <c r="K99" s="92" t="str">
        <f t="shared" si="27"/>
        <v>4007/4008</v>
      </c>
      <c r="L99" s="21" t="str">
        <f>VLOOKUP(A99,'Trips&amp;Operators'!$C$1:$G$99999,5,FALSE)</f>
        <v>STEWART MICHAEL</v>
      </c>
      <c r="M99" s="6">
        <f t="shared" si="28"/>
        <v>2.73263888884685E-2</v>
      </c>
      <c r="N99" s="7">
        <f t="shared" si="45"/>
        <v>39.34999999939464</v>
      </c>
      <c r="O99" s="7"/>
      <c r="P99" s="7"/>
      <c r="Q99" s="22"/>
      <c r="R99" s="190"/>
      <c r="S99" s="196">
        <f t="shared" si="29"/>
        <v>1</v>
      </c>
      <c r="T99" s="190" t="str">
        <f t="shared" si="30"/>
        <v>NorthBound</v>
      </c>
      <c r="U99" s="190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1" t="str">
        <f t="shared" si="31"/>
        <v>https://d0f6bd738d7f1b3e5a7ca70fe4ff75f0.us-east-1.aws.found.io/app/kibana#/discover/Steve-Slow-Train-Analysis-(2080s-and-2083s)?_g=(refreshInterval:(display:Off,pause:!f,section:0,value:0),time:(from:'2017-04-28T13:27:22-0600',mode:absolute,to:'2017-04-28T16:09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99" s="192" t="str">
        <f t="shared" si="32"/>
        <v>N</v>
      </c>
      <c r="X99" s="192">
        <f t="shared" si="46"/>
        <v>1</v>
      </c>
      <c r="Y99" s="192">
        <f t="shared" si="33"/>
        <v>4.6199999999999998E-2</v>
      </c>
      <c r="Z99" s="192">
        <f t="shared" si="34"/>
        <v>23.330100000000002</v>
      </c>
      <c r="AA99" s="192">
        <f t="shared" si="35"/>
        <v>23.283900000000003</v>
      </c>
      <c r="AB99" s="57" t="e">
        <f>VLOOKUP(A99,Enforcements!$C$7:$K$13,8,0)</f>
        <v>#N/A</v>
      </c>
      <c r="AC99" s="53" t="e">
        <f>VLOOKUP(A99,Enforcements!$C$7:$E$13,3,0)</f>
        <v>#N/A</v>
      </c>
      <c r="AD99" s="54" t="str">
        <f t="shared" si="36"/>
        <v>0187-28</v>
      </c>
      <c r="AE99" s="80" t="str">
        <f t="shared" si="37"/>
        <v>aws s3 cp s3://rtdc.mdm.uploadarchive.raw/RTDC4008/ "%USERPROFILE%\AppData\Local\Temp\OnboardLogs"\RTDC4008\2017-04-28 --exclude "*" --recursive --include "*20170428*" &amp; "%USERPROFILE%\Documents\GitHub\mrs-test-scripts\Headless Mode &amp; Sideloading\WalkAndUnGZ.bat" "%USERPROFILE%\AppData\Local\Temp\OnboardLogs"\RTDC4008\2017-04-28 &amp; aws s3 cp s3://rtdc.mdm.uploadarchive.raw/RTDC4008/ "%USERPROFILE%\AppData\Local\Temp\OnboardLogs"\RTDC4008\2017-04-29 --exclude "*" --recursive --include "*20170429*" &amp; "%USERPROFILE%\Documents\GitHub\mrs-test-scripts\Headless Mode &amp; Sideloading\WalkAndUnGZ.bat" "%USERPROFILE%\AppData\Local\Temp\OnboardLogs"\RTDC4008\2017-04-29</v>
      </c>
      <c r="AF99" s="77" t="str">
        <f t="shared" si="38"/>
        <v>"C:\Program Files (x86)\AstroGrep\AstroGrep.exe" /e /r /s /spath="%USERPROFILE%\AppData\Local\Temp\OnboardLogs" /stypes="app*4008*20170428*" /stext=" 21:.+((SYSTEM_STATE.+slice.+state.+changed )|(ment ac)|(multiple cpu faults)|(system.+state.+changed )|(\[timeout)|(PRM\|1\|D)|(kpr)|(kdp)|(train.+moving)|(\|lc)|(penalty))"</v>
      </c>
      <c r="AG99" s="1" t="str">
        <f t="shared" si="39"/>
        <v>EC</v>
      </c>
      <c r="AH99" s="81" t="str">
        <f t="shared" si="40"/>
        <v>"%USERPROFILE%\Documents\GitHub\eaglep3\Utilities\RefineRTDCRunTimes.py" --tripid 187-28 --locoid 4008 --swversion DE.1.0.9.0 --startMP 204:462 --initTime 2017-04-28T14:27:22 --startdatetime 2017-04-28T14:30:20 --delay 1 --endMP 204:233301 --enddatetime 2017-04-28T15:09:41 --enforcementcount 0 &gt;&gt;C:\Users\stu\Documents\GitHub\eaglep3-reporting\EC\2017-04-28-refined-times.txt</v>
      </c>
      <c r="AI99" s="99" t="str">
        <f t="shared" si="41"/>
        <v>echo {"issue":{"subject":"","project_id":79,"tracker_id":40,"status_id":1,"priority_id":2,"assigned_to_id":23,"start_date":"2017-04-28","description":"","custom_fields":[{"id":1,"name":"Subdivision","value":"EC"},{"id":4,"name":"Milepost","value":"23.3301"},{"id":17,"name":"Train ID","value":"187-28"},{"id":16,"name":"Locomotive ID","value":"4008"},{"id":130,"name":"Impact","value":""},{"id":150,"name":"Time of Event (Mountain Time)","value":"15:09:41"},{"id":151,"name":"Denver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20"/>
      <c r="AK99" s="47"/>
      <c r="AL99" s="47"/>
      <c r="AM99" s="145" t="str">
        <f t="shared" si="42"/>
        <v>start /low /b %USERPROFILE%\Documents\GitHub\eaglep3\Utilities\DownloadLogsFromS3.py --loco 4008 --day 2017-04-28</v>
      </c>
      <c r="AN99" s="154" t="str">
        <f t="shared" si="43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21:09:41"},{"id":29,"name":"Sharepoint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00" spans="1:91" s="20" customFormat="1" x14ac:dyDescent="0.25">
      <c r="A100" s="32" t="s">
        <v>760</v>
      </c>
      <c r="B100" s="7">
        <v>4007</v>
      </c>
      <c r="C100" s="21" t="s">
        <v>211</v>
      </c>
      <c r="D100" s="21" t="s">
        <v>864</v>
      </c>
      <c r="E100" s="13">
        <v>42853.639085648145</v>
      </c>
      <c r="F100" s="13">
        <v>42853.643460648149</v>
      </c>
      <c r="G100" s="7">
        <v>2</v>
      </c>
      <c r="H100" s="21" t="s">
        <v>387</v>
      </c>
      <c r="I100" s="13">
        <v>42853.670810185184</v>
      </c>
      <c r="J100" s="7">
        <v>0</v>
      </c>
      <c r="K100" s="92" t="str">
        <f t="shared" si="27"/>
        <v>4007/4008</v>
      </c>
      <c r="L100" s="21" t="str">
        <f>VLOOKUP(A100,'Trips&amp;Operators'!$C$1:$G$99999,5,FALSE)</f>
        <v>STEWART MICHAEL</v>
      </c>
      <c r="M100" s="6">
        <f t="shared" si="28"/>
        <v>2.7349537034751847E-2</v>
      </c>
      <c r="N100" s="7">
        <f t="shared" si="45"/>
        <v>39.38333333004266</v>
      </c>
      <c r="O100" s="7"/>
      <c r="P100" s="7"/>
      <c r="Q100" s="22"/>
      <c r="R100" s="190"/>
      <c r="S100" s="196">
        <f t="shared" si="29"/>
        <v>1</v>
      </c>
      <c r="T100" s="190" t="str">
        <f t="shared" si="30"/>
        <v>Southbound</v>
      </c>
      <c r="U100" s="190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1" t="str">
        <f t="shared" si="31"/>
        <v>https://d0f6bd738d7f1b3e5a7ca70fe4ff75f0.us-east-1.aws.found.io/app/kibana#/discover/Steve-Slow-Train-Analysis-(2080s-and-2083s)?_g=(refreshInterval:(display:Off,pause:!f,section:0,value:0),time:(from:'2017-04-28T14:20:17-0600',mode:absolute,to:'2017-04-28T17:05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00" s="192" t="str">
        <f t="shared" si="32"/>
        <v>N</v>
      </c>
      <c r="X100" s="192">
        <f t="shared" si="46"/>
        <v>1</v>
      </c>
      <c r="Y100" s="192">
        <f t="shared" si="33"/>
        <v>23.296299999999999</v>
      </c>
      <c r="Z100" s="192">
        <f t="shared" si="34"/>
        <v>1.4500000000000001E-2</v>
      </c>
      <c r="AA100" s="192">
        <f t="shared" si="35"/>
        <v>23.281799999999997</v>
      </c>
      <c r="AB100" s="57" t="e">
        <f>VLOOKUP(A100,Enforcements!$C$7:$K$13,8,0)</f>
        <v>#N/A</v>
      </c>
      <c r="AC100" s="53" t="e">
        <f>VLOOKUP(A100,Enforcements!$C$7:$E$13,3,0)</f>
        <v>#N/A</v>
      </c>
      <c r="AD100" s="54" t="str">
        <f t="shared" si="36"/>
        <v>0188-28</v>
      </c>
      <c r="AE100" s="80" t="str">
        <f t="shared" si="37"/>
        <v>aws s3 cp s3://rtdc.mdm.uploadarchive.raw/RTDC4007/ "%USERPROFILE%\AppData\Local\Temp\OnboardLogs"\RTDC4007\2017-04-28 --exclude "*" --recursive --include "*20170428*" &amp; "%USERPROFILE%\Documents\GitHub\mrs-test-scripts\Headless Mode &amp; Sideloading\WalkAndUnGZ.bat" "%USERPROFILE%\AppData\Local\Temp\OnboardLogs"\RTDC4007\2017-04-28 &amp; aws s3 cp s3://rtdc.mdm.uploadarchive.raw/RTDC4007/ "%USERPROFILE%\AppData\Local\Temp\OnboardLogs"\RTDC4007\2017-04-29 --exclude "*" --recursive --include "*20170429*" &amp; "%USERPROFILE%\Documents\GitHub\mrs-test-scripts\Headless Mode &amp; Sideloading\WalkAndUnGZ.bat" "%USERPROFILE%\AppData\Local\Temp\OnboardLogs"\RTDC4007\2017-04-29</v>
      </c>
      <c r="AF100" s="77" t="str">
        <f t="shared" si="38"/>
        <v>"C:\Program Files (x86)\AstroGrep\AstroGrep.exe" /e /r /s /spath="%USERPROFILE%\AppData\Local\Temp\OnboardLogs" /stypes="app*4007*20170428*" /stext=" 22:.+((SYSTEM_STATE.+slice.+state.+changed )|(ment ac)|(multiple cpu faults)|(system.+state.+changed )|(\[timeout)|(PRM\|1\|D)|(kpr)|(kdp)|(train.+moving)|(\|lc)|(penalty))"</v>
      </c>
      <c r="AG100" s="1" t="str">
        <f t="shared" si="39"/>
        <v>EC</v>
      </c>
      <c r="AH100" s="81" t="str">
        <f t="shared" si="40"/>
        <v>"%USERPROFILE%\Documents\GitHub\eaglep3\Utilities\RefineRTDCRunTimes.py" --tripid 188-28 --locoid 4007 --swversion DE.1.0.9.0 --startMP 204:232963 --initTime 2017-04-28T15:20:17 --startdatetime 2017-04-28T15:26:35 --delay 2 --endMP 204:145 --enddatetime 2017-04-28T16:05:58 --enforcementcount 0 &gt;&gt;C:\Users\stu\Documents\GitHub\eaglep3-reporting\EC\2017-04-28-refined-times.txt</v>
      </c>
      <c r="AI100" s="99" t="str">
        <f t="shared" si="41"/>
        <v>echo {"issue":{"subject":"","project_id":79,"tracker_id":40,"status_id":1,"priority_id":2,"assigned_to_id":23,"start_date":"2017-04-28","description":"","custom_fields":[{"id":1,"name":"Subdivision","value":"EC"},{"id":4,"name":"Milepost","value":"0.0145"},{"id":17,"name":"Train ID","value":"188-28"},{"id":16,"name":"Locomotive ID","value":"4007"},{"id":130,"name":"Impact","value":""},{"id":150,"name":"Time of Event (Mountain Time)","value":"16:05:58"},{"id":151,"name":"Denver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5" t="str">
        <f t="shared" si="42"/>
        <v>start /low /b %USERPROFILE%\Documents\GitHub\eaglep3\Utilities\DownloadLogsFromS3.py --loco 4007 --day 2017-04-28</v>
      </c>
      <c r="AN100" s="154" t="str">
        <f t="shared" si="43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22:05:58"},{"id":29,"name":"Sharepoint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755</v>
      </c>
      <c r="B101" s="7">
        <v>4028</v>
      </c>
      <c r="C101" s="21" t="s">
        <v>211</v>
      </c>
      <c r="D101" s="21" t="s">
        <v>483</v>
      </c>
      <c r="E101" s="13">
        <v>42853.612997685188</v>
      </c>
      <c r="F101" s="13">
        <v>42853.61509259259</v>
      </c>
      <c r="G101" s="7">
        <v>1</v>
      </c>
      <c r="H101" s="21" t="s">
        <v>893</v>
      </c>
      <c r="I101" s="13">
        <v>42853.640428240738</v>
      </c>
      <c r="J101" s="7">
        <v>0</v>
      </c>
      <c r="K101" s="92" t="str">
        <f t="shared" si="27"/>
        <v>4027/4028</v>
      </c>
      <c r="L101" s="21" t="str">
        <f>VLOOKUP(A101,'Trips&amp;Operators'!$C$1:$G$99999,5,FALSE)</f>
        <v>ROMERO CHAD</v>
      </c>
      <c r="M101" s="6">
        <f t="shared" si="28"/>
        <v>2.5335648148029577E-2</v>
      </c>
      <c r="N101" s="7">
        <f t="shared" si="45"/>
        <v>36.483333333162591</v>
      </c>
      <c r="O101" s="7"/>
      <c r="P101" s="7"/>
      <c r="Q101" s="22"/>
      <c r="R101" s="190"/>
      <c r="S101" s="196">
        <f t="shared" si="29"/>
        <v>1</v>
      </c>
      <c r="T101" s="190" t="str">
        <f t="shared" si="30"/>
        <v>NorthBound</v>
      </c>
      <c r="U101" s="190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1" t="str">
        <f t="shared" si="31"/>
        <v>https://d0f6bd738d7f1b3e5a7ca70fe4ff75f0.us-east-1.aws.found.io/app/kibana#/discover/Steve-Slow-Train-Analysis-(2080s-and-2083s)?_g=(refreshInterval:(display:Off,pause:!f,section:0,value:0),time:(from:'2017-04-28T13:42:43-0600',mode:absolute,to:'2017-04-28T16:22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01" s="192" t="str">
        <f t="shared" si="32"/>
        <v>N</v>
      </c>
      <c r="X101" s="192">
        <f t="shared" si="46"/>
        <v>1</v>
      </c>
      <c r="Y101" s="192">
        <f t="shared" si="33"/>
        <v>4.3299999999999998E-2</v>
      </c>
      <c r="Z101" s="192">
        <f t="shared" si="34"/>
        <v>23.338899999999999</v>
      </c>
      <c r="AA101" s="192">
        <f t="shared" si="35"/>
        <v>23.2956</v>
      </c>
      <c r="AB101" s="57" t="e">
        <f>VLOOKUP(A101,Enforcements!$C$7:$K$13,8,0)</f>
        <v>#N/A</v>
      </c>
      <c r="AC101" s="53" t="e">
        <f>VLOOKUP(A101,Enforcements!$C$7:$E$13,3,0)</f>
        <v>#N/A</v>
      </c>
      <c r="AD101" s="54" t="str">
        <f t="shared" si="36"/>
        <v>0189-28</v>
      </c>
      <c r="AE101" s="80" t="str">
        <f t="shared" si="37"/>
        <v>aws s3 cp s3://rtdc.mdm.uploadarchive.raw/RTDC4028/ "%USERPROFILE%\AppData\Local\Temp\OnboardLogs"\RTDC4028\2017-04-28 --exclude "*" --recursive --include "*20170428*" &amp; "%USERPROFILE%\Documents\GitHub\mrs-test-scripts\Headless Mode &amp; Sideloading\WalkAndUnGZ.bat" "%USERPROFILE%\AppData\Local\Temp\OnboardLogs"\RTDC4028\2017-04-28 &amp; aws s3 cp s3://rtdc.mdm.uploadarchive.raw/RTDC4028/ "%USERPROFILE%\AppData\Local\Temp\OnboardLogs"\RTDC4028\2017-04-29 --exclude "*" --recursive --include "*20170429*" &amp; "%USERPROFILE%\Documents\GitHub\mrs-test-scripts\Headless Mode &amp; Sideloading\WalkAndUnGZ.bat" "%USERPROFILE%\AppData\Local\Temp\OnboardLogs"\RTDC4028\2017-04-29</v>
      </c>
      <c r="AF101" s="77" t="str">
        <f t="shared" si="38"/>
        <v>"C:\Program Files (x86)\AstroGrep\AstroGrep.exe" /e /r /s /spath="%USERPROFILE%\AppData\Local\Temp\OnboardLogs" /stypes="app*4028*20170428*" /stext=" 21:.+((SYSTEM_STATE.+slice.+state.+changed )|(ment ac)|(multiple cpu faults)|(system.+state.+changed )|(\[timeout)|(PRM\|1\|D)|(kpr)|(kdp)|(train.+moving)|(\|lc)|(penalty))"</v>
      </c>
      <c r="AG101" s="1" t="str">
        <f t="shared" si="39"/>
        <v>EC</v>
      </c>
      <c r="AH101" s="81" t="str">
        <f t="shared" si="40"/>
        <v>"%USERPROFILE%\Documents\GitHub\eaglep3\Utilities\RefineRTDCRunTimes.py" --tripid 189-28 --locoid 4028 --swversion DE.1.0.9.0 --startMP 204:433 --initTime 2017-04-28T14:42:43 --startdatetime 2017-04-28T14:45:44 --delay 1 --endMP 204:233389 --enddatetime 2017-04-28T15:22:13 --enforcementcount 0 &gt;&gt;C:\Users\stu\Documents\GitHub\eaglep3-reporting\EC\2017-04-28-refined-times.txt</v>
      </c>
      <c r="AI101" s="99" t="str">
        <f t="shared" si="41"/>
        <v>echo {"issue":{"subject":"","project_id":79,"tracker_id":40,"status_id":1,"priority_id":2,"assigned_to_id":23,"start_date":"2017-04-28","description":"","custom_fields":[{"id":1,"name":"Subdivision","value":"EC"},{"id":4,"name":"Milepost","value":"23.3389"},{"id":17,"name":"Train ID","value":"189-28"},{"id":16,"name":"Locomotive ID","value":"4028"},{"id":130,"name":"Impact","value":""},{"id":150,"name":"Time of Event (Mountain Time)","value":"15:22:13"},{"id":151,"name":"Denver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5" t="str">
        <f t="shared" si="42"/>
        <v>start /low /b %USERPROFILE%\Documents\GitHub\eaglep3\Utilities\DownloadLogsFromS3.py --loco 4028 --day 2017-04-28</v>
      </c>
      <c r="AN101" s="154" t="str">
        <f t="shared" si="43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21:22:13"},{"id":29,"name":"Sharepoint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761</v>
      </c>
      <c r="B102" s="7">
        <v>4027</v>
      </c>
      <c r="C102" s="21" t="s">
        <v>211</v>
      </c>
      <c r="D102" s="21" t="s">
        <v>894</v>
      </c>
      <c r="E102" s="13">
        <v>42853.667337962965</v>
      </c>
      <c r="F102" s="13">
        <v>42853.669444444444</v>
      </c>
      <c r="G102" s="7">
        <v>2</v>
      </c>
      <c r="H102" s="21" t="s">
        <v>895</v>
      </c>
      <c r="I102" s="13">
        <v>42853.686562499999</v>
      </c>
      <c r="J102" s="7">
        <v>0</v>
      </c>
      <c r="K102" s="92" t="str">
        <f t="shared" si="27"/>
        <v>4027/4028</v>
      </c>
      <c r="L102" s="21" t="str">
        <f>VLOOKUP(A102,'Trips&amp;Operators'!$C$1:$G$99999,5,FALSE)</f>
        <v>ROMERO CHAD</v>
      </c>
      <c r="M102" s="6">
        <f t="shared" si="28"/>
        <v>1.7118055555329192E-2</v>
      </c>
      <c r="N102" s="7"/>
      <c r="O102" s="7"/>
      <c r="P102" s="7">
        <f>24*60*SUM($M102:$M102)</f>
        <v>24.649999999674037</v>
      </c>
      <c r="Q102" s="22"/>
      <c r="R102" s="190" t="s">
        <v>597</v>
      </c>
      <c r="S102" s="196">
        <f t="shared" si="29"/>
        <v>1</v>
      </c>
      <c r="T102" s="190" t="str">
        <f t="shared" si="30"/>
        <v>Southbound</v>
      </c>
      <c r="U102" s="190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1" t="str">
        <f t="shared" si="31"/>
        <v>https://d0f6bd738d7f1b3e5a7ca70fe4ff75f0.us-east-1.aws.found.io/app/kibana#/discover/Steve-Slow-Train-Analysis-(2080s-and-2083s)?_g=(refreshInterval:(display:Off,pause:!f,section:0,value:0),time:(from:'2017-04-28T15:00:58-0600',mode:absolute,to:'2017-04-28T17:28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02" s="192" t="str">
        <f t="shared" si="32"/>
        <v>Y</v>
      </c>
      <c r="X102" s="192">
        <f t="shared" si="46"/>
        <v>1</v>
      </c>
      <c r="Y102" s="192">
        <f t="shared" si="33"/>
        <v>12.787100000000001</v>
      </c>
      <c r="Z102" s="192">
        <f t="shared" si="34"/>
        <v>0.11600000000000001</v>
      </c>
      <c r="AA102" s="192">
        <f t="shared" si="35"/>
        <v>12.671100000000001</v>
      </c>
      <c r="AB102" s="57" t="e">
        <f>VLOOKUP(A102,Enforcements!$C$7:$K$13,8,0)</f>
        <v>#N/A</v>
      </c>
      <c r="AC102" s="53" t="e">
        <f>VLOOKUP(A102,Enforcements!$C$7:$E$13,3,0)</f>
        <v>#N/A</v>
      </c>
      <c r="AD102" s="54" t="str">
        <f t="shared" si="36"/>
        <v>0190-28</v>
      </c>
      <c r="AE102" s="80" t="str">
        <f t="shared" si="37"/>
        <v>aws s3 cp s3://rtdc.mdm.uploadarchive.raw/RTDC4027/ "%USERPROFILE%\AppData\Local\Temp\OnboardLogs"\RTDC4027\2017-04-28 --exclude "*" --recursive --include "*20170428*" &amp; "%USERPROFILE%\Documents\GitHub\mrs-test-scripts\Headless Mode &amp; Sideloading\WalkAndUnGZ.bat" "%USERPROFILE%\AppData\Local\Temp\OnboardLogs"\RTDC4027\2017-04-28 &amp; aws s3 cp s3://rtdc.mdm.uploadarchive.raw/RTDC4027/ "%USERPROFILE%\AppData\Local\Temp\OnboardLogs"\RTDC4027\2017-04-29 --exclude "*" --recursive --include "*20170429*" &amp; "%USERPROFILE%\Documents\GitHub\mrs-test-scripts\Headless Mode &amp; Sideloading\WalkAndUnGZ.bat" "%USERPROFILE%\AppData\Local\Temp\OnboardLogs"\RTDC4027\2017-04-29</v>
      </c>
      <c r="AF102" s="77" t="str">
        <f t="shared" si="38"/>
        <v>"C:\Program Files (x86)\AstroGrep\AstroGrep.exe" /e /r /s /spath="%USERPROFILE%\AppData\Local\Temp\OnboardLogs" /stypes="app*4027*20170428*" /stext=" 22:.+((SYSTEM_STATE.+slice.+state.+changed )|(ment ac)|(multiple cpu faults)|(system.+state.+changed )|(\[timeout)|(PRM\|1\|D)|(kpr)|(kdp)|(train.+moving)|(\|lc)|(penalty))"</v>
      </c>
      <c r="AG102" s="1" t="str">
        <f t="shared" si="39"/>
        <v>EC</v>
      </c>
      <c r="AH102" s="81" t="str">
        <f t="shared" si="40"/>
        <v>"%USERPROFILE%\Documents\GitHub\eaglep3\Utilities\RefineRTDCRunTimes.py" --tripid 190-28 --locoid 4027 --swversion DE.1.0.9.0 --startMP 204:127871 --initTime 2017-04-28T16:00:58 --startdatetime 2017-04-28T16:04:00 --delay 2 --endMP 204:1160 --enddatetime 2017-04-28T16:28:39 --enforcementcount 0 &gt;&gt;C:\Users\stu\Documents\GitHub\eaglep3-reporting\EC\2017-04-28-refined-times.txt</v>
      </c>
      <c r="AI102" s="99" t="str">
        <f t="shared" si="41"/>
        <v>echo {"issue":{"subject":"Onboard in-route failure","project_id":79,"tracker_id":40,"status_id":1,"priority_id":2,"assigned_to_id":23,"start_date":"2017-04-28","description":"","custom_fields":[{"id":1,"name":"Subdivision","value":"EC"},{"id":4,"name":"Milepost","value":"0.116"},{"id":17,"name":"Train ID","value":"190-28"},{"id":16,"name":"Locomotive ID","value":"4027"},{"id":130,"name":"Impact","value":""},{"id":150,"name":"Time of Event (Mountain Time)","value":"16:28:39"},{"id":151,"name":"Denver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5" t="str">
        <f t="shared" si="42"/>
        <v>start /low /b %USERPROFILE%\Documents\GitHub\eaglep3\Utilities\DownloadLogsFromS3.py --loco 4027 --day 2017-04-28</v>
      </c>
      <c r="AN102" s="154" t="str">
        <f t="shared" si="43"/>
        <v>echo {"issue":{"subject":"Onboard in-route failure","project_id":30,"tracker_id":4,"status_id":1,"priority_id":1,"assigned_to_id":10,"start_date":"2017-04-28","description":"","custom_fields":[{"id":30,"name":"Category","value":"Issue"},{"id":3,"name":"Functional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22:28:39"},{"id":29,"name":"Sharepoint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761</v>
      </c>
      <c r="B103" s="7">
        <v>4027</v>
      </c>
      <c r="C103" s="21" t="s">
        <v>211</v>
      </c>
      <c r="D103" s="21" t="s">
        <v>896</v>
      </c>
      <c r="E103" s="13">
        <v>42853.641782407409</v>
      </c>
      <c r="F103" s="13">
        <v>42853.669444444444</v>
      </c>
      <c r="G103" s="7">
        <v>1</v>
      </c>
      <c r="H103" s="21" t="s">
        <v>897</v>
      </c>
      <c r="I103" s="13">
        <v>42853.686562499999</v>
      </c>
      <c r="J103" s="7">
        <v>0</v>
      </c>
      <c r="K103" s="92" t="str">
        <f t="shared" si="27"/>
        <v>4027/4028</v>
      </c>
      <c r="L103" s="21" t="str">
        <f>VLOOKUP(A103,'Trips&amp;Operators'!$C$1:$G$99999,5,FALSE)</f>
        <v>ROMERO CHAD</v>
      </c>
      <c r="M103" s="6">
        <f t="shared" si="28"/>
        <v>1.7118055555329192E-2</v>
      </c>
      <c r="N103" s="7"/>
      <c r="O103" s="7"/>
      <c r="P103" s="7"/>
      <c r="Q103" s="22"/>
      <c r="R103" s="190"/>
      <c r="S103" s="196"/>
      <c r="T103" s="190" t="str">
        <f t="shared" si="30"/>
        <v>Southbound</v>
      </c>
      <c r="U103" s="190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0</v>
      </c>
      <c r="V103" s="191" t="str">
        <f t="shared" si="31"/>
        <v>https://d0f6bd738d7f1b3e5a7ca70fe4ff75f0.us-east-1.aws.found.io/app/kibana#/discover/Steve-Slow-Train-Analysis-(2080s-and-2083s)?_g=(refreshInterval:(display:Off,pause:!f,section:0,value:0),time:(from:'2017-04-28T14:24:10-0600',mode:absolute,to:'2017-04-28T17:28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03" s="192" t="str">
        <f t="shared" si="32"/>
        <v>Y</v>
      </c>
      <c r="X103" s="192">
        <f t="shared" si="46"/>
        <v>0</v>
      </c>
      <c r="Y103" s="192">
        <f t="shared" si="33"/>
        <v>23.310199999999998</v>
      </c>
      <c r="Z103" s="192">
        <f t="shared" si="34"/>
        <v>22.8279</v>
      </c>
      <c r="AA103" s="192">
        <f t="shared" si="35"/>
        <v>0.48229999999999862</v>
      </c>
      <c r="AB103" s="57" t="e">
        <f>VLOOKUP(A103,Enforcements!$C$7:$K$13,8,0)</f>
        <v>#N/A</v>
      </c>
      <c r="AC103" s="53" t="e">
        <f>VLOOKUP(A103,Enforcements!$C$7:$E$13,3,0)</f>
        <v>#N/A</v>
      </c>
      <c r="AD103" s="54" t="str">
        <f t="shared" si="36"/>
        <v>0190-28</v>
      </c>
      <c r="AE103" s="80" t="str">
        <f t="shared" si="37"/>
        <v>aws s3 cp s3://rtdc.mdm.uploadarchive.raw/RTDC4027/ "%USERPROFILE%\AppData\Local\Temp\OnboardLogs"\RTDC4027\2017-04-28 --exclude "*" --recursive --include "*20170428*" &amp; "%USERPROFILE%\Documents\GitHub\mrs-test-scripts\Headless Mode &amp; Sideloading\WalkAndUnGZ.bat" "%USERPROFILE%\AppData\Local\Temp\OnboardLogs"\RTDC4027\2017-04-28 &amp; aws s3 cp s3://rtdc.mdm.uploadarchive.raw/RTDC4027/ "%USERPROFILE%\AppData\Local\Temp\OnboardLogs"\RTDC4027\2017-04-29 --exclude "*" --recursive --include "*20170429*" &amp; "%USERPROFILE%\Documents\GitHub\mrs-test-scripts\Headless Mode &amp; Sideloading\WalkAndUnGZ.bat" "%USERPROFILE%\AppData\Local\Temp\OnboardLogs"\RTDC4027\2017-04-29</v>
      </c>
      <c r="AF103" s="77" t="str">
        <f t="shared" si="38"/>
        <v>"C:\Program Files (x86)\AstroGrep\AstroGrep.exe" /e /r /s /spath="%USERPROFILE%\AppData\Local\Temp\OnboardLogs" /stypes="app*4027*20170428*" /stext=" 22:.+((SYSTEM_STATE.+slice.+state.+changed )|(ment ac)|(multiple cpu faults)|(system.+state.+changed )|(\[timeout)|(PRM\|1\|D)|(kpr)|(kdp)|(train.+moving)|(\|lc)|(penalty))"</v>
      </c>
      <c r="AG103" s="1" t="str">
        <f t="shared" si="39"/>
        <v>EC</v>
      </c>
      <c r="AH103" s="81" t="str">
        <f t="shared" si="40"/>
        <v>"%USERPROFILE%\Documents\GitHub\eaglep3\Utilities\RefineRTDCRunTimes.py" --tripid 190-28 --locoid 4027 --swversion DE.1.0.9.0 --startMP 204:233102 --initTime 2017-04-28T15:24:10 --startdatetime 2017-04-28T16:04:00 --delay 1 --endMP 204:228279 --enddatetime 2017-04-28T16:28:39 --enforcementcount 0 &gt;&gt;C:\Users\stu\Documents\GitHub\eaglep3-reporting\EC\2017-04-28-refined-times.txt</v>
      </c>
      <c r="AI103" s="99" t="str">
        <f t="shared" si="41"/>
        <v>echo {"issue":{"subject":"","project_id":79,"tracker_id":40,"status_id":1,"priority_id":2,"assigned_to_id":23,"start_date":"2017-04-28","description":"","custom_fields":[{"id":1,"name":"Subdivision","value":"EC"},{"id":4,"name":"Milepost","value":"22.8279"},{"id":17,"name":"Train ID","value":"190-28"},{"id":16,"name":"Locomotive ID","value":"4027"},{"id":130,"name":"Impact","value":""},{"id":150,"name":"Time of Event (Mountain Time)","value":"16:28:39"},{"id":151,"name":"Denver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5" t="str">
        <f t="shared" si="42"/>
        <v>start /low /b %USERPROFILE%\Documents\GitHub\eaglep3\Utilities\DownloadLogsFromS3.py --loco 4027 --day 2017-04-28</v>
      </c>
      <c r="AN103" s="154" t="str">
        <f t="shared" si="43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22:28:39"},{"id":29,"name":"Sharepoint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757</v>
      </c>
      <c r="B104" s="7">
        <v>4064</v>
      </c>
      <c r="C104" s="21" t="s">
        <v>211</v>
      </c>
      <c r="D104" s="21" t="s">
        <v>898</v>
      </c>
      <c r="E104" s="13">
        <v>42853.625092592592</v>
      </c>
      <c r="F104" s="13">
        <v>42853.626805555556</v>
      </c>
      <c r="G104" s="7">
        <v>1</v>
      </c>
      <c r="H104" s="21" t="s">
        <v>561</v>
      </c>
      <c r="I104" s="13">
        <v>42853.65693287037</v>
      </c>
      <c r="J104" s="7">
        <v>0</v>
      </c>
      <c r="K104" s="92" t="str">
        <f t="shared" si="27"/>
        <v>4063/4064</v>
      </c>
      <c r="L104" s="21" t="str">
        <f>VLOOKUP(A104,'Trips&amp;Operators'!$C$1:$G$99999,5,FALSE)</f>
        <v>CLARK KATHLEEN</v>
      </c>
      <c r="M104" s="6">
        <f t="shared" si="28"/>
        <v>3.0127314814308193E-2</v>
      </c>
      <c r="N104" s="7">
        <f t="shared" ref="N104:N135" si="47">24*60*SUM($M104:$M104)</f>
        <v>43.383333332603797</v>
      </c>
      <c r="O104" s="7"/>
      <c r="P104" s="7"/>
      <c r="Q104" s="22"/>
      <c r="R104" s="190"/>
      <c r="S104" s="196">
        <f t="shared" ref="S104:S135" si="48">SUM(U104:U104)/IF(AG104="EC",12,1)</f>
        <v>1</v>
      </c>
      <c r="T104" s="190" t="str">
        <f t="shared" si="30"/>
        <v>NorthBound</v>
      </c>
      <c r="U104" s="190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1" t="str">
        <f t="shared" si="31"/>
        <v>https://d0f6bd738d7f1b3e5a7ca70fe4ff75f0.us-east-1.aws.found.io/app/kibana#/discover/Steve-Slow-Train-Analysis-(2080s-and-2083s)?_g=(refreshInterval:(display:Off,pause:!f,section:0,value:0),time:(from:'2017-04-28T14:00:08-0600',mode:absolute,to:'2017-04-28T16:45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04" s="192" t="str">
        <f t="shared" si="32"/>
        <v>N</v>
      </c>
      <c r="X104" s="192">
        <f t="shared" si="46"/>
        <v>1</v>
      </c>
      <c r="Y104" s="192">
        <f t="shared" si="33"/>
        <v>5.0799999999999998E-2</v>
      </c>
      <c r="Z104" s="192">
        <f t="shared" si="34"/>
        <v>23.327200000000001</v>
      </c>
      <c r="AA104" s="192">
        <f t="shared" si="35"/>
        <v>23.276400000000002</v>
      </c>
      <c r="AB104" s="57" t="e">
        <f>VLOOKUP(A104,Enforcements!$C$7:$K$13,8,0)</f>
        <v>#N/A</v>
      </c>
      <c r="AC104" s="53" t="e">
        <f>VLOOKUP(A104,Enforcements!$C$7:$E$13,3,0)</f>
        <v>#N/A</v>
      </c>
      <c r="AD104" s="54" t="str">
        <f t="shared" si="36"/>
        <v>0191-28</v>
      </c>
      <c r="AE104" s="80" t="str">
        <f t="shared" si="37"/>
        <v>aws s3 cp s3://rtdc.mdm.uploadarchive.raw/RTDC4064/ "%USERPROFILE%\AppData\Local\Temp\OnboardLogs"\RTDC4064\2017-04-28 --exclude "*" --recursive --include "*20170428*" &amp; "%USERPROFILE%\Documents\GitHub\mrs-test-scripts\Headless Mode &amp; Sideloading\WalkAndUnGZ.bat" "%USERPROFILE%\AppData\Local\Temp\OnboardLogs"\RTDC4064\2017-04-28 &amp; aws s3 cp s3://rtdc.mdm.uploadarchive.raw/RTDC4064/ "%USERPROFILE%\AppData\Local\Temp\OnboardLogs"\RTDC4064\2017-04-29 --exclude "*" --recursive --include "*20170429*" &amp; "%USERPROFILE%\Documents\GitHub\mrs-test-scripts\Headless Mode &amp; Sideloading\WalkAndUnGZ.bat" "%USERPROFILE%\AppData\Local\Temp\OnboardLogs"\RTDC4064\2017-04-29</v>
      </c>
      <c r="AF104" s="77" t="str">
        <f t="shared" si="38"/>
        <v>"C:\Program Files (x86)\AstroGrep\AstroGrep.exe" /e /r /s /spath="%USERPROFILE%\AppData\Local\Temp\OnboardLogs" /stypes="app*4064*20170428*" /stext=" 21:.+((SYSTEM_STATE.+slice.+state.+changed )|(ment ac)|(multiple cpu faults)|(system.+state.+changed )|(\[timeout)|(PRM\|1\|D)|(kpr)|(kdp)|(train.+moving)|(\|lc)|(penalty))"</v>
      </c>
      <c r="AG104" s="1" t="str">
        <f t="shared" si="39"/>
        <v>EC</v>
      </c>
      <c r="AH104" s="81" t="str">
        <f t="shared" si="40"/>
        <v>"%USERPROFILE%\Documents\GitHub\eaglep3\Utilities\RefineRTDCRunTimes.py" --tripid 191-28 --locoid 4064 --swversion DE.1.0.9.0 --startMP 204:508 --initTime 2017-04-28T15:00:08 --startdatetime 2017-04-28T15:02:36 --delay 1 --endMP 204:233272 --enddatetime 2017-04-28T15:45:59 --enforcementcount 0 &gt;&gt;C:\Users\stu\Documents\GitHub\eaglep3-reporting\EC\2017-04-28-refined-times.txt</v>
      </c>
      <c r="AI104" s="99" t="str">
        <f t="shared" si="41"/>
        <v>echo {"issue":{"subject":"","project_id":79,"tracker_id":40,"status_id":1,"priority_id":2,"assigned_to_id":23,"start_date":"2017-04-28","description":"","custom_fields":[{"id":1,"name":"Subdivision","value":"EC"},{"id":4,"name":"Milepost","value":"23.3272"},{"id":17,"name":"Train ID","value":"191-28"},{"id":16,"name":"Locomotive ID","value":"4064"},{"id":130,"name":"Impact","value":""},{"id":150,"name":"Time of Event (Mountain Time)","value":"15:45:59"},{"id":151,"name":"Denver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5" t="str">
        <f t="shared" si="42"/>
        <v>start /low /b %USERPROFILE%\Documents\GitHub\eaglep3\Utilities\DownloadLogsFromS3.py --loco 4064 --day 2017-04-28</v>
      </c>
      <c r="AN104" s="154" t="str">
        <f t="shared" si="43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21:45:59"},{"id":29,"name":"Sharepoint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626</v>
      </c>
      <c r="B105" s="7">
        <v>4063</v>
      </c>
      <c r="C105" s="21" t="s">
        <v>211</v>
      </c>
      <c r="D105" s="21" t="s">
        <v>899</v>
      </c>
      <c r="E105" s="13">
        <v>42853.661770833336</v>
      </c>
      <c r="F105" s="13">
        <v>42853.6640625</v>
      </c>
      <c r="G105" s="7">
        <v>1</v>
      </c>
      <c r="H105" s="21" t="s">
        <v>900</v>
      </c>
      <c r="I105" s="13">
        <v>42853.694456018522</v>
      </c>
      <c r="J105" s="7">
        <v>0</v>
      </c>
      <c r="K105" s="92" t="str">
        <f t="shared" si="27"/>
        <v>4063/4064</v>
      </c>
      <c r="L105" s="21" t="str">
        <f>VLOOKUP(A105,'Trips&amp;Operators'!$C$1:$G$99999,5,FALSE)</f>
        <v>CLARK KATHLEEN</v>
      </c>
      <c r="M105" s="6">
        <f t="shared" si="28"/>
        <v>3.0393518522032537E-2</v>
      </c>
      <c r="N105" s="7">
        <f t="shared" si="47"/>
        <v>43.766666671726853</v>
      </c>
      <c r="O105" s="7"/>
      <c r="P105" s="7"/>
      <c r="Q105" s="22"/>
      <c r="R105" s="190"/>
      <c r="S105" s="196">
        <f t="shared" si="48"/>
        <v>1</v>
      </c>
      <c r="T105" s="190" t="str">
        <f t="shared" si="30"/>
        <v>Southbound</v>
      </c>
      <c r="U105" s="190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1" t="str">
        <f t="shared" si="31"/>
        <v>https://d0f6bd738d7f1b3e5a7ca70fe4ff75f0.us-east-1.aws.found.io/app/kibana#/discover/Steve-Slow-Train-Analysis-(2080s-and-2083s)?_g=(refreshInterval:(display:Off,pause:!f,section:0,value:0),time:(from:'2017-04-28T14:52:57-0600',mode:absolute,to:'2017-04-28T17:40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05" s="192" t="str">
        <f t="shared" si="32"/>
        <v>N</v>
      </c>
      <c r="X105" s="192">
        <f t="shared" si="46"/>
        <v>1</v>
      </c>
      <c r="Y105" s="192">
        <f t="shared" si="33"/>
        <v>23.295300000000001</v>
      </c>
      <c r="Z105" s="192">
        <f t="shared" si="34"/>
        <v>1.8499999999999999E-2</v>
      </c>
      <c r="AA105" s="192">
        <f t="shared" si="35"/>
        <v>23.276800000000001</v>
      </c>
      <c r="AB105" s="57" t="e">
        <f>VLOOKUP(A105,Enforcements!$C$7:$K$13,8,0)</f>
        <v>#N/A</v>
      </c>
      <c r="AC105" s="53" t="e">
        <f>VLOOKUP(A105,Enforcements!$C$7:$E$13,3,0)</f>
        <v>#N/A</v>
      </c>
      <c r="AD105" s="54" t="str">
        <f t="shared" si="36"/>
        <v>0192-28</v>
      </c>
      <c r="AE105" s="80" t="str">
        <f t="shared" si="37"/>
        <v>aws s3 cp s3://rtdc.mdm.uploadarchive.raw/RTDC4063/ "%USERPROFILE%\AppData\Local\Temp\OnboardLogs"\RTDC4063\2017-04-28 --exclude "*" --recursive --include "*20170428*" &amp; "%USERPROFILE%\Documents\GitHub\mrs-test-scripts\Headless Mode &amp; Sideloading\WalkAndUnGZ.bat" "%USERPROFILE%\AppData\Local\Temp\OnboardLogs"\RTDC4063\2017-04-28 &amp; aws s3 cp s3://rtdc.mdm.uploadarchive.raw/RTDC4063/ "%USERPROFILE%\AppData\Local\Temp\OnboardLogs"\RTDC4063\2017-04-29 --exclude "*" --recursive --include "*20170429*" &amp; "%USERPROFILE%\Documents\GitHub\mrs-test-scripts\Headless Mode &amp; Sideloading\WalkAndUnGZ.bat" "%USERPROFILE%\AppData\Local\Temp\OnboardLogs"\RTDC4063\2017-04-29</v>
      </c>
      <c r="AF105" s="77" t="str">
        <f t="shared" si="38"/>
        <v>"C:\Program Files (x86)\AstroGrep\AstroGrep.exe" /e /r /s /spath="%USERPROFILE%\AppData\Local\Temp\OnboardLogs" /stypes="app*4063*20170428*" /stext=" 22:.+((SYSTEM_STATE.+slice.+state.+changed )|(ment ac)|(multiple cpu faults)|(system.+state.+changed )|(\[timeout)|(PRM\|1\|D)|(kpr)|(kdp)|(train.+moving)|(\|lc)|(penalty))"</v>
      </c>
      <c r="AG105" s="1" t="str">
        <f t="shared" si="39"/>
        <v>EC</v>
      </c>
      <c r="AH105" s="81" t="str">
        <f t="shared" si="40"/>
        <v>"%USERPROFILE%\Documents\GitHub\eaglep3\Utilities\RefineRTDCRunTimes.py" --tripid 192-28 --locoid 4063 --swversion DE.1.0.9.0 --startMP 204:232953 --initTime 2017-04-28T15:52:57 --startdatetime 2017-04-28T15:56:15 --delay 1 --endMP 204:185 --enddatetime 2017-04-28T16:40:01 --enforcementcount 0 &gt;&gt;C:\Users\stu\Documents\GitHub\eaglep3-reporting\EC\2017-04-28-refined-times.txt</v>
      </c>
      <c r="AI105" s="99" t="str">
        <f t="shared" si="41"/>
        <v>echo {"issue":{"subject":"","project_id":79,"tracker_id":40,"status_id":1,"priority_id":2,"assigned_to_id":23,"start_date":"2017-04-28","description":"","custom_fields":[{"id":1,"name":"Subdivision","value":"EC"},{"id":4,"name":"Milepost","value":"0.0185"},{"id":17,"name":"Train ID","value":"192-28"},{"id":16,"name":"Locomotive ID","value":"4063"},{"id":130,"name":"Impact","value":""},{"id":150,"name":"Time of Event (Mountain Time)","value":"16:40:01"},{"id":151,"name":"Denver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5" t="str">
        <f t="shared" si="42"/>
        <v>start /low /b %USERPROFILE%\Documents\GitHub\eaglep3\Utilities\DownloadLogsFromS3.py --loco 4063 --day 2017-04-28</v>
      </c>
      <c r="AN105" s="154" t="str">
        <f t="shared" si="43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22:40:01"},{"id":29,"name":"Sharepoint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759</v>
      </c>
      <c r="B106" s="7">
        <v>4022</v>
      </c>
      <c r="C106" s="21" t="s">
        <v>211</v>
      </c>
      <c r="D106" s="21" t="s">
        <v>207</v>
      </c>
      <c r="E106" s="13">
        <v>42853.633020833331</v>
      </c>
      <c r="F106" s="13">
        <v>42853.635578703703</v>
      </c>
      <c r="G106" s="7">
        <v>1</v>
      </c>
      <c r="H106" s="21" t="s">
        <v>502</v>
      </c>
      <c r="I106" s="13">
        <v>42853.662951388891</v>
      </c>
      <c r="J106" s="7">
        <v>0</v>
      </c>
      <c r="K106" s="92" t="str">
        <f t="shared" si="27"/>
        <v>4021/4022</v>
      </c>
      <c r="L106" s="21" t="str">
        <f>VLOOKUP(A106,'Trips&amp;Operators'!$C$1:$G$99999,5,FALSE)</f>
        <v>SULLIVAN BRANDON</v>
      </c>
      <c r="M106" s="6">
        <f t="shared" si="28"/>
        <v>2.7372685188311152E-2</v>
      </c>
      <c r="N106" s="7">
        <f t="shared" si="47"/>
        <v>39.416666671168059</v>
      </c>
      <c r="O106" s="7"/>
      <c r="P106" s="7"/>
      <c r="Q106" s="22"/>
      <c r="R106" s="190"/>
      <c r="S106" s="196">
        <f t="shared" si="48"/>
        <v>1</v>
      </c>
      <c r="T106" s="190" t="str">
        <f t="shared" si="30"/>
        <v>NorthBound</v>
      </c>
      <c r="U106" s="190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1" t="str">
        <f t="shared" si="31"/>
        <v>https://d0f6bd738d7f1b3e5a7ca70fe4ff75f0.us-east-1.aws.found.io/app/kibana#/discover/Steve-Slow-Train-Analysis-(2080s-and-2083s)?_g=(refreshInterval:(display:Off,pause:!f,section:0,value:0),time:(from:'2017-04-28T14:11:33-0600',mode:absolute,to:'2017-04-28T16:54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06" s="192" t="str">
        <f t="shared" si="32"/>
        <v>N</v>
      </c>
      <c r="X106" s="192">
        <f t="shared" si="46"/>
        <v>1</v>
      </c>
      <c r="Y106" s="192">
        <f t="shared" si="33"/>
        <v>4.5499999999999999E-2</v>
      </c>
      <c r="Z106" s="192">
        <f t="shared" si="34"/>
        <v>23.331199999999999</v>
      </c>
      <c r="AA106" s="192">
        <f t="shared" si="35"/>
        <v>23.285699999999999</v>
      </c>
      <c r="AB106" s="57" t="e">
        <f>VLOOKUP(A106,Enforcements!$C$7:$K$13,8,0)</f>
        <v>#N/A</v>
      </c>
      <c r="AC106" s="53" t="e">
        <f>VLOOKUP(A106,Enforcements!$C$7:$E$13,3,0)</f>
        <v>#N/A</v>
      </c>
      <c r="AD106" s="54" t="str">
        <f t="shared" si="36"/>
        <v>0193-28</v>
      </c>
      <c r="AE106" s="80" t="str">
        <f t="shared" si="37"/>
        <v>aws s3 cp s3://rtdc.mdm.uploadarchive.raw/RTDC4022/ "%USERPROFILE%\AppData\Local\Temp\OnboardLogs"\RTDC4022\2017-04-28 --exclude "*" --recursive --include "*20170428*" &amp; "%USERPROFILE%\Documents\GitHub\mrs-test-scripts\Headless Mode &amp; Sideloading\WalkAndUnGZ.bat" "%USERPROFILE%\AppData\Local\Temp\OnboardLogs"\RTDC4022\2017-04-28 &amp; aws s3 cp s3://rtdc.mdm.uploadarchive.raw/RTDC4022/ "%USERPROFILE%\AppData\Local\Temp\OnboardLogs"\RTDC4022\2017-04-29 --exclude "*" --recursive --include "*20170429*" &amp; "%USERPROFILE%\Documents\GitHub\mrs-test-scripts\Headless Mode &amp; Sideloading\WalkAndUnGZ.bat" "%USERPROFILE%\AppData\Local\Temp\OnboardLogs"\RTDC4022\2017-04-29</v>
      </c>
      <c r="AF106" s="77" t="str">
        <f t="shared" si="38"/>
        <v>"C:\Program Files (x86)\AstroGrep\AstroGrep.exe" /e /r /s /spath="%USERPROFILE%\AppData\Local\Temp\OnboardLogs" /stypes="app*4022*20170428*" /stext=" 21:.+((SYSTEM_STATE.+slice.+state.+changed )|(ment ac)|(multiple cpu faults)|(system.+state.+changed )|(\[timeout)|(PRM\|1\|D)|(kpr)|(kdp)|(train.+moving)|(\|lc)|(penalty))"</v>
      </c>
      <c r="AG106" s="1" t="str">
        <f t="shared" si="39"/>
        <v>EC</v>
      </c>
      <c r="AH106" s="81" t="str">
        <f t="shared" si="40"/>
        <v>"%USERPROFILE%\Documents\GitHub\eaglep3\Utilities\RefineRTDCRunTimes.py" --tripid 193-28 --locoid 4022 --swversion DE.1.0.9.0 --startMP 204:455 --initTime 2017-04-28T15:11:33 --startdatetime 2017-04-28T15:15:14 --delay 1 --endMP 204:233312 --enddatetime 2017-04-28T15:54:39 --enforcementcount 0 &gt;&gt;C:\Users\stu\Documents\GitHub\eaglep3-reporting\EC\2017-04-28-refined-times.txt</v>
      </c>
      <c r="AI106" s="99" t="str">
        <f t="shared" si="41"/>
        <v>echo {"issue":{"subject":"","project_id":79,"tracker_id":40,"status_id":1,"priority_id":2,"assigned_to_id":23,"start_date":"2017-04-28","description":"","custom_fields":[{"id":1,"name":"Subdivision","value":"EC"},{"id":4,"name":"Milepost","value":"23.3312"},{"id":17,"name":"Train ID","value":"193-28"},{"id":16,"name":"Locomotive ID","value":"4022"},{"id":130,"name":"Impact","value":""},{"id":150,"name":"Time of Event (Mountain Time)","value":"15:54:39"},{"id":151,"name":"Denver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5" t="str">
        <f t="shared" si="42"/>
        <v>start /low /b %USERPROFILE%\Documents\GitHub\eaglep3\Utilities\DownloadLogsFromS3.py --loco 4022 --day 2017-04-28</v>
      </c>
      <c r="AN106" s="154" t="str">
        <f t="shared" si="43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21:54:39"},{"id":29,"name":"Sharepoint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765</v>
      </c>
      <c r="B107" s="7">
        <v>4021</v>
      </c>
      <c r="C107" s="21" t="s">
        <v>211</v>
      </c>
      <c r="D107" s="21" t="s">
        <v>465</v>
      </c>
      <c r="E107" s="13">
        <v>42853.668807870374</v>
      </c>
      <c r="F107" s="13">
        <v>42853.674490740741</v>
      </c>
      <c r="G107" s="7">
        <v>1</v>
      </c>
      <c r="H107" s="21" t="s">
        <v>197</v>
      </c>
      <c r="I107" s="13">
        <v>42853.701284722221</v>
      </c>
      <c r="J107" s="7">
        <v>0</v>
      </c>
      <c r="K107" s="92" t="str">
        <f t="shared" si="27"/>
        <v>4021/4022</v>
      </c>
      <c r="L107" s="21" t="str">
        <f>VLOOKUP(A107,'Trips&amp;Operators'!$C$1:$G$99999,5,FALSE)</f>
        <v>SULLIVAN BRANDON</v>
      </c>
      <c r="M107" s="6">
        <f t="shared" si="28"/>
        <v>2.679398148029577E-2</v>
      </c>
      <c r="N107" s="7">
        <f t="shared" si="47"/>
        <v>38.583333331625909</v>
      </c>
      <c r="O107" s="7"/>
      <c r="P107" s="7"/>
      <c r="Q107" s="22"/>
      <c r="R107" s="190"/>
      <c r="S107" s="196">
        <f t="shared" si="48"/>
        <v>1</v>
      </c>
      <c r="T107" s="190" t="str">
        <f t="shared" si="30"/>
        <v>Southbound</v>
      </c>
      <c r="U107" s="190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1" t="str">
        <f t="shared" si="31"/>
        <v>https://d0f6bd738d7f1b3e5a7ca70fe4ff75f0.us-east-1.aws.found.io/app/kibana#/discover/Steve-Slow-Train-Analysis-(2080s-and-2083s)?_g=(refreshInterval:(display:Off,pause:!f,section:0,value:0),time:(from:'2017-04-28T15:03:05-0600',mode:absolute,to:'2017-04-28T17:49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07" s="192" t="str">
        <f t="shared" si="32"/>
        <v>N</v>
      </c>
      <c r="X107" s="192">
        <f t="shared" si="46"/>
        <v>1</v>
      </c>
      <c r="Y107" s="192">
        <f t="shared" si="33"/>
        <v>23.299800000000001</v>
      </c>
      <c r="Z107" s="192">
        <f t="shared" si="34"/>
        <v>1.52E-2</v>
      </c>
      <c r="AA107" s="192">
        <f t="shared" si="35"/>
        <v>23.284600000000001</v>
      </c>
      <c r="AB107" s="57" t="e">
        <f>VLOOKUP(A107,Enforcements!$C$7:$K$13,8,0)</f>
        <v>#N/A</v>
      </c>
      <c r="AC107" s="53" t="e">
        <f>VLOOKUP(A107,Enforcements!$C$7:$E$13,3,0)</f>
        <v>#N/A</v>
      </c>
      <c r="AD107" s="54" t="str">
        <f t="shared" si="36"/>
        <v>0194-28</v>
      </c>
      <c r="AE107" s="80" t="str">
        <f t="shared" si="37"/>
        <v>aws s3 cp s3://rtdc.mdm.uploadarchive.raw/RTDC4021/ "%USERPROFILE%\AppData\Local\Temp\OnboardLogs"\RTDC4021\2017-04-28 --exclude "*" --recursive --include "*20170428*" &amp; "%USERPROFILE%\Documents\GitHub\mrs-test-scripts\Headless Mode &amp; Sideloading\WalkAndUnGZ.bat" "%USERPROFILE%\AppData\Local\Temp\OnboardLogs"\RTDC4021\2017-04-28 &amp; aws s3 cp s3://rtdc.mdm.uploadarchive.raw/RTDC4021/ "%USERPROFILE%\AppData\Local\Temp\OnboardLogs"\RTDC4021\2017-04-29 --exclude "*" --recursive --include "*20170429*" &amp; "%USERPROFILE%\Documents\GitHub\mrs-test-scripts\Headless Mode &amp; Sideloading\WalkAndUnGZ.bat" "%USERPROFILE%\AppData\Local\Temp\OnboardLogs"\RTDC4021\2017-04-29</v>
      </c>
      <c r="AF107" s="77" t="str">
        <f t="shared" si="38"/>
        <v>"C:\Program Files (x86)\AstroGrep\AstroGrep.exe" /e /r /s /spath="%USERPROFILE%\AppData\Local\Temp\OnboardLogs" /stypes="app*4021*20170428*" /stext=" 22:.+((SYSTEM_STATE.+slice.+state.+changed )|(ment ac)|(multiple cpu faults)|(system.+state.+changed )|(\[timeout)|(PRM\|1\|D)|(kpr)|(kdp)|(train.+moving)|(\|lc)|(penalty))"</v>
      </c>
      <c r="AG107" s="1" t="str">
        <f t="shared" si="39"/>
        <v>EC</v>
      </c>
      <c r="AH107" s="81" t="str">
        <f t="shared" si="40"/>
        <v>"%USERPROFILE%\Documents\GitHub\eaglep3\Utilities\RefineRTDCRunTimes.py" --tripid 194-28 --locoid 4021 --swversion DE.1.0.9.0 --startMP 204:232998 --initTime 2017-04-28T16:03:05 --startdatetime 2017-04-28T16:11:16 --delay 1 --endMP 204:152 --enddatetime 2017-04-28T16:49:51 --enforcementcount 0 &gt;&gt;C:\Users\stu\Documents\GitHub\eaglep3-reporting\EC\2017-04-28-refined-times.txt</v>
      </c>
      <c r="AI107" s="99" t="str">
        <f t="shared" si="41"/>
        <v>echo {"issue":{"subject":"","project_id":79,"tracker_id":40,"status_id":1,"priority_id":2,"assigned_to_id":23,"start_date":"2017-04-28","description":"","custom_fields":[{"id":1,"name":"Subdivision","value":"EC"},{"id":4,"name":"Milepost","value":"0.0152"},{"id":17,"name":"Train ID","value":"194-28"},{"id":16,"name":"Locomotive ID","value":"4021"},{"id":130,"name":"Impact","value":""},{"id":150,"name":"Time of Event (Mountain Time)","value":"16:49:51"},{"id":151,"name":"Denver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5" t="str">
        <f t="shared" si="42"/>
        <v>start /low /b %USERPROFILE%\Documents\GitHub\eaglep3\Utilities\DownloadLogsFromS3.py --loco 4021 --day 2017-04-28</v>
      </c>
      <c r="AN107" s="154" t="str">
        <f t="shared" si="43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22:49:51"},{"id":29,"name":"Sharepoint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762</v>
      </c>
      <c r="B108" s="7">
        <v>4042</v>
      </c>
      <c r="C108" s="21" t="s">
        <v>211</v>
      </c>
      <c r="D108" s="21" t="s">
        <v>419</v>
      </c>
      <c r="E108" s="13">
        <v>42853.64503472222</v>
      </c>
      <c r="F108" s="13">
        <v>42853.685046296298</v>
      </c>
      <c r="G108" s="7">
        <v>1</v>
      </c>
      <c r="H108" s="21" t="s">
        <v>433</v>
      </c>
      <c r="I108" s="13">
        <v>42853.711099537039</v>
      </c>
      <c r="J108" s="7">
        <v>0</v>
      </c>
      <c r="K108" s="92" t="str">
        <f t="shared" si="27"/>
        <v>4041/4042</v>
      </c>
      <c r="L108" s="21" t="str">
        <f>VLOOKUP(A108,'Trips&amp;Operators'!$C$1:$G$99999,5,FALSE)</f>
        <v>LAMAR NEKESHA</v>
      </c>
      <c r="M108" s="6">
        <f t="shared" si="28"/>
        <v>2.6053240741021E-2</v>
      </c>
      <c r="N108" s="7">
        <f t="shared" si="47"/>
        <v>37.51666666707024</v>
      </c>
      <c r="O108" s="7"/>
      <c r="P108" s="7"/>
      <c r="Q108" s="22"/>
      <c r="R108" s="190"/>
      <c r="S108" s="196">
        <f t="shared" si="48"/>
        <v>1</v>
      </c>
      <c r="T108" s="190" t="str">
        <f t="shared" si="30"/>
        <v>NorthBound</v>
      </c>
      <c r="U108" s="190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1" t="str">
        <f t="shared" si="31"/>
        <v>https://d0f6bd738d7f1b3e5a7ca70fe4ff75f0.us-east-1.aws.found.io/app/kibana#/discover/Steve-Slow-Train-Analysis-(2080s-and-2083s)?_g=(refreshInterval:(display:Off,pause:!f,section:0,value:0),time:(from:'2017-04-28T14:28:51-0600',mode:absolute,to:'2017-04-28T18:03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08" s="192" t="str">
        <f t="shared" si="32"/>
        <v>N</v>
      </c>
      <c r="X108" s="192">
        <f t="shared" si="46"/>
        <v>1</v>
      </c>
      <c r="Y108" s="192">
        <f t="shared" si="33"/>
        <v>4.6899999999999997E-2</v>
      </c>
      <c r="Z108" s="192">
        <f t="shared" si="34"/>
        <v>23.331399999999999</v>
      </c>
      <c r="AA108" s="192">
        <f t="shared" si="35"/>
        <v>23.284499999999998</v>
      </c>
      <c r="AB108" s="57" t="e">
        <f>VLOOKUP(A108,Enforcements!$C$7:$K$13,8,0)</f>
        <v>#N/A</v>
      </c>
      <c r="AC108" s="53" t="e">
        <f>VLOOKUP(A108,Enforcements!$C$7:$E$13,3,0)</f>
        <v>#N/A</v>
      </c>
      <c r="AD108" s="54" t="str">
        <f t="shared" si="36"/>
        <v>0195-28</v>
      </c>
      <c r="AE108" s="80" t="str">
        <f t="shared" si="37"/>
        <v>aws s3 cp s3://rtdc.mdm.uploadarchive.raw/RTDC4042/ "%USERPROFILE%\AppData\Local\Temp\OnboardLogs"\RTDC4042\2017-04-28 --exclude "*" --recursive --include "*20170428*" &amp; "%USERPROFILE%\Documents\GitHub\mrs-test-scripts\Headless Mode &amp; Sideloading\WalkAndUnGZ.bat" "%USERPROFILE%\AppData\Local\Temp\OnboardLogs"\RTDC4042\2017-04-28 &amp; aws s3 cp s3://rtdc.mdm.uploadarchive.raw/RTDC4042/ "%USERPROFILE%\AppData\Local\Temp\OnboardLogs"\RTDC4042\2017-04-29 --exclude "*" --recursive --include "*20170429*" &amp; "%USERPROFILE%\Documents\GitHub\mrs-test-scripts\Headless Mode &amp; Sideloading\WalkAndUnGZ.bat" "%USERPROFILE%\AppData\Local\Temp\OnboardLogs"\RTDC4042\2017-04-29</v>
      </c>
      <c r="AF108" s="77" t="str">
        <f t="shared" si="38"/>
        <v>"C:\Program Files (x86)\AstroGrep\AstroGrep.exe" /e /r /s /spath="%USERPROFILE%\AppData\Local\Temp\OnboardLogs" /stypes="app*4042*20170428*" /stext=" 23:.+((SYSTEM_STATE.+slice.+state.+changed )|(ment ac)|(multiple cpu faults)|(system.+state.+changed )|(\[timeout)|(PRM\|1\|D)|(kpr)|(kdp)|(train.+moving)|(\|lc)|(penalty))"</v>
      </c>
      <c r="AG108" s="1" t="str">
        <f t="shared" si="39"/>
        <v>EC</v>
      </c>
      <c r="AH108" s="81" t="str">
        <f t="shared" si="40"/>
        <v>"%USERPROFILE%\Documents\GitHub\eaglep3\Utilities\RefineRTDCRunTimes.py" --tripid 195-28 --locoid 4042 --swversion DE.1.0.9.0 --startMP 204:469 --initTime 2017-04-28T15:28:51 --startdatetime 2017-04-28T16:26:28 --delay 1 --endMP 204:233314 --enddatetime 2017-04-28T17:03:59 --enforcementcount 0 &gt;&gt;C:\Users\stu\Documents\GitHub\eaglep3-reporting\EC\2017-04-28-refined-times.txt</v>
      </c>
      <c r="AI108" s="99" t="str">
        <f t="shared" si="41"/>
        <v>echo {"issue":{"subject":"","project_id":79,"tracker_id":40,"status_id":1,"priority_id":2,"assigned_to_id":23,"start_date":"2017-04-28","description":"","custom_fields":[{"id":1,"name":"Subdivision","value":"EC"},{"id":4,"name":"Milepost","value":"23.3314"},{"id":17,"name":"Train ID","value":"195-28"},{"id":16,"name":"Locomotive ID","value":"4042"},{"id":130,"name":"Impact","value":""},{"id":150,"name":"Time of Event (Mountain Time)","value":"17:03:59"},{"id":151,"name":"Denver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5" t="str">
        <f t="shared" si="42"/>
        <v>start /low /b %USERPROFILE%\Documents\GitHub\eaglep3\Utilities\DownloadLogsFromS3.py --loco 4042 --day 2017-04-28</v>
      </c>
      <c r="AN108" s="154" t="str">
        <f t="shared" si="43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23:03:59"},{"id":29,"name":"Sharepoint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769</v>
      </c>
      <c r="B109" s="7">
        <v>4041</v>
      </c>
      <c r="C109" s="21" t="s">
        <v>211</v>
      </c>
      <c r="D109" s="21" t="s">
        <v>558</v>
      </c>
      <c r="E109" s="13">
        <v>42853.683009259257</v>
      </c>
      <c r="F109" s="13">
        <v>42853.685046296298</v>
      </c>
      <c r="G109" s="7">
        <v>1</v>
      </c>
      <c r="H109" s="21" t="s">
        <v>877</v>
      </c>
      <c r="I109" s="13">
        <v>42853.711099537039</v>
      </c>
      <c r="J109" s="7">
        <v>0</v>
      </c>
      <c r="K109" s="92" t="str">
        <f t="shared" si="27"/>
        <v>4041/4042</v>
      </c>
      <c r="L109" s="21" t="str">
        <f>VLOOKUP(A109,'Trips&amp;Operators'!$C$1:$G$99999,5,FALSE)</f>
        <v>LAMAR NEKESHA</v>
      </c>
      <c r="M109" s="6">
        <f t="shared" si="28"/>
        <v>2.6053240741021E-2</v>
      </c>
      <c r="N109" s="7">
        <f t="shared" si="47"/>
        <v>37.51666666707024</v>
      </c>
      <c r="O109" s="7"/>
      <c r="P109" s="7"/>
      <c r="Q109" s="22"/>
      <c r="R109" s="190"/>
      <c r="S109" s="196">
        <f t="shared" si="48"/>
        <v>1</v>
      </c>
      <c r="T109" s="190" t="str">
        <f t="shared" si="30"/>
        <v>Southbound</v>
      </c>
      <c r="U109" s="190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1" t="str">
        <f t="shared" si="31"/>
        <v>https://d0f6bd738d7f1b3e5a7ca70fe4ff75f0.us-east-1.aws.found.io/app/kibana#/discover/Steve-Slow-Train-Analysis-(2080s-and-2083s)?_g=(refreshInterval:(display:Off,pause:!f,section:0,value:0),time:(from:'2017-04-28T15:23:32-0600',mode:absolute,to:'2017-04-28T18:03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09" s="192" t="str">
        <f t="shared" si="32"/>
        <v>N</v>
      </c>
      <c r="X109" s="192">
        <f t="shared" si="46"/>
        <v>1</v>
      </c>
      <c r="Y109" s="192">
        <f t="shared" si="33"/>
        <v>23.298999999999999</v>
      </c>
      <c r="Z109" s="192">
        <f t="shared" si="34"/>
        <v>1.6299999999999999E-2</v>
      </c>
      <c r="AA109" s="192">
        <f t="shared" si="35"/>
        <v>23.282699999999998</v>
      </c>
      <c r="AB109" s="57" t="e">
        <f>VLOOKUP(A109,Enforcements!$C$7:$K$13,8,0)</f>
        <v>#N/A</v>
      </c>
      <c r="AC109" s="53" t="e">
        <f>VLOOKUP(A109,Enforcements!$C$7:$E$13,3,0)</f>
        <v>#N/A</v>
      </c>
      <c r="AD109" s="54" t="str">
        <f t="shared" si="36"/>
        <v>0196-28</v>
      </c>
      <c r="AE109" s="80" t="str">
        <f t="shared" si="37"/>
        <v>aws s3 cp s3://rtdc.mdm.uploadarchive.raw/RTDC4041/ "%USERPROFILE%\AppData\Local\Temp\OnboardLogs"\RTDC4041\2017-04-28 --exclude "*" --recursive --include "*20170428*" &amp; "%USERPROFILE%\Documents\GitHub\mrs-test-scripts\Headless Mode &amp; Sideloading\WalkAndUnGZ.bat" "%USERPROFILE%\AppData\Local\Temp\OnboardLogs"\RTDC4041\2017-04-28 &amp; aws s3 cp s3://rtdc.mdm.uploadarchive.raw/RTDC4041/ "%USERPROFILE%\AppData\Local\Temp\OnboardLogs"\RTDC4041\2017-04-29 --exclude "*" --recursive --include "*20170429*" &amp; "%USERPROFILE%\Documents\GitHub\mrs-test-scripts\Headless Mode &amp; Sideloading\WalkAndUnGZ.bat" "%USERPROFILE%\AppData\Local\Temp\OnboardLogs"\RTDC4041\2017-04-29</v>
      </c>
      <c r="AF109" s="77" t="str">
        <f t="shared" si="38"/>
        <v>"C:\Program Files (x86)\AstroGrep\AstroGrep.exe" /e /r /s /spath="%USERPROFILE%\AppData\Local\Temp\OnboardLogs" /stypes="app*4041*20170428*" /stext=" 23:.+((SYSTEM_STATE.+slice.+state.+changed )|(ment ac)|(multiple cpu faults)|(system.+state.+changed )|(\[timeout)|(PRM\|1\|D)|(kpr)|(kdp)|(train.+moving)|(\|lc)|(penalty))"</v>
      </c>
      <c r="AG109" s="1" t="str">
        <f t="shared" si="39"/>
        <v>EC</v>
      </c>
      <c r="AH109" s="81" t="str">
        <f t="shared" si="40"/>
        <v>"%USERPROFILE%\Documents\GitHub\eaglep3\Utilities\RefineRTDCRunTimes.py" --tripid 196-28 --locoid 4041 --swversion DE.1.0.9.0 --startMP 204:232990 --initTime 2017-04-28T16:23:32 --startdatetime 2017-04-28T16:26:28 --delay 1 --endMP 204:163 --enddatetime 2017-04-28T17:03:59 --enforcementcount 0 &gt;&gt;C:\Users\stu\Documents\GitHub\eaglep3-reporting\EC\2017-04-28-refined-times.txt</v>
      </c>
      <c r="AI109" s="99" t="str">
        <f t="shared" si="41"/>
        <v>echo {"issue":{"subject":"","project_id":79,"tracker_id":40,"status_id":1,"priority_id":2,"assigned_to_id":23,"start_date":"2017-04-28","description":"","custom_fields":[{"id":1,"name":"Subdivision","value":"EC"},{"id":4,"name":"Milepost","value":"0.0163"},{"id":17,"name":"Train ID","value":"196-28"},{"id":16,"name":"Locomotive ID","value":"4041"},{"id":130,"name":"Impact","value":""},{"id":150,"name":"Time of Event (Mountain Time)","value":"17:03:59"},{"id":151,"name":"Denver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5" t="str">
        <f t="shared" si="42"/>
        <v>start /low /b %USERPROFILE%\Documents\GitHub\eaglep3\Utilities\DownloadLogsFromS3.py --loco 4041 --day 2017-04-28</v>
      </c>
      <c r="AN109" s="154" t="str">
        <f t="shared" si="43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23:03:59"},{"id":29,"name":"Sharepoint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625</v>
      </c>
      <c r="B110" s="7">
        <v>4016</v>
      </c>
      <c r="C110" s="21" t="s">
        <v>211</v>
      </c>
      <c r="D110" s="21" t="s">
        <v>436</v>
      </c>
      <c r="E110" s="13">
        <v>42853.656261574077</v>
      </c>
      <c r="F110" s="13">
        <v>42853.658460648148</v>
      </c>
      <c r="G110" s="7">
        <v>1</v>
      </c>
      <c r="H110" s="21" t="s">
        <v>901</v>
      </c>
      <c r="I110" s="13">
        <v>42853.688680555555</v>
      </c>
      <c r="J110" s="7">
        <v>0</v>
      </c>
      <c r="K110" s="92" t="str">
        <f t="shared" si="27"/>
        <v>4015/4016</v>
      </c>
      <c r="L110" s="21" t="str">
        <f>VLOOKUP(A110,'Trips&amp;Operators'!$C$1:$G$99999,5,FALSE)</f>
        <v>BRANDNER MELINDA</v>
      </c>
      <c r="M110" s="6">
        <f t="shared" si="28"/>
        <v>3.0219907406717539E-2</v>
      </c>
      <c r="N110" s="7">
        <f t="shared" si="47"/>
        <v>43.516666665673256</v>
      </c>
      <c r="O110" s="7"/>
      <c r="P110" s="7"/>
      <c r="Q110" s="22"/>
      <c r="R110" s="190"/>
      <c r="S110" s="196">
        <f t="shared" si="48"/>
        <v>1</v>
      </c>
      <c r="T110" s="190" t="str">
        <f t="shared" si="30"/>
        <v>NorthBound</v>
      </c>
      <c r="U110" s="190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1" t="str">
        <f t="shared" si="31"/>
        <v>https://d0f6bd738d7f1b3e5a7ca70fe4ff75f0.us-east-1.aws.found.io/app/kibana#/discover/Steve-Slow-Train-Analysis-(2080s-and-2083s)?_g=(refreshInterval:(display:Off,pause:!f,section:0,value:0),time:(from:'2017-04-28T14:45:01-0600',mode:absolute,to:'2017-04-28T17:31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10" s="192" t="str">
        <f t="shared" si="32"/>
        <v>N</v>
      </c>
      <c r="X110" s="192">
        <f t="shared" si="46"/>
        <v>1</v>
      </c>
      <c r="Y110" s="192">
        <f t="shared" si="33"/>
        <v>4.6399999999999997E-2</v>
      </c>
      <c r="Z110" s="192">
        <f t="shared" si="34"/>
        <v>23.326599999999999</v>
      </c>
      <c r="AA110" s="192">
        <f t="shared" si="35"/>
        <v>23.280200000000001</v>
      </c>
      <c r="AB110" s="57" t="e">
        <f>VLOOKUP(A110,Enforcements!$C$7:$K$13,8,0)</f>
        <v>#N/A</v>
      </c>
      <c r="AC110" s="53" t="e">
        <f>VLOOKUP(A110,Enforcements!$C$7:$E$13,3,0)</f>
        <v>#N/A</v>
      </c>
      <c r="AD110" s="54" t="str">
        <f t="shared" si="36"/>
        <v>0197-28</v>
      </c>
      <c r="AE110" s="80" t="str">
        <f t="shared" si="37"/>
        <v>aws s3 cp s3://rtdc.mdm.uploadarchive.raw/RTDC4016/ "%USERPROFILE%\AppData\Local\Temp\OnboardLogs"\RTDC4016\2017-04-28 --exclude "*" --recursive --include "*20170428*" &amp; "%USERPROFILE%\Documents\GitHub\mrs-test-scripts\Headless Mode &amp; Sideloading\WalkAndUnGZ.bat" "%USERPROFILE%\AppData\Local\Temp\OnboardLogs"\RTDC4016\2017-04-28 &amp; aws s3 cp s3://rtdc.mdm.uploadarchive.raw/RTDC4016/ "%USERPROFILE%\AppData\Local\Temp\OnboardLogs"\RTDC4016\2017-04-29 --exclude "*" --recursive --include "*20170429*" &amp; "%USERPROFILE%\Documents\GitHub\mrs-test-scripts\Headless Mode &amp; Sideloading\WalkAndUnGZ.bat" "%USERPROFILE%\AppData\Local\Temp\OnboardLogs"\RTDC4016\2017-04-29</v>
      </c>
      <c r="AF110" s="77" t="str">
        <f t="shared" si="38"/>
        <v>"C:\Program Files (x86)\AstroGrep\AstroGrep.exe" /e /r /s /spath="%USERPROFILE%\AppData\Local\Temp\OnboardLogs" /stypes="app*4016*20170428*" /stext=" 22:.+((SYSTEM_STATE.+slice.+state.+changed )|(ment ac)|(multiple cpu faults)|(system.+state.+changed )|(\[timeout)|(PRM\|1\|D)|(kpr)|(kdp)|(train.+moving)|(\|lc)|(penalty))"</v>
      </c>
      <c r="AG110" s="1" t="str">
        <f t="shared" si="39"/>
        <v>EC</v>
      </c>
      <c r="AH110" s="81" t="str">
        <f t="shared" si="40"/>
        <v>"%USERPROFILE%\Documents\GitHub\eaglep3\Utilities\RefineRTDCRunTimes.py" --tripid 197-28 --locoid 4016 --swversion DE.1.0.9.0 --startMP 204:464 --initTime 2017-04-28T15:45:01 --startdatetime 2017-04-28T15:48:11 --delay 1 --endMP 204:233266 --enddatetime 2017-04-28T16:31:42 --enforcementcount 0 &gt;&gt;C:\Users\stu\Documents\GitHub\eaglep3-reporting\EC\2017-04-28-refined-times.txt</v>
      </c>
      <c r="AI110" s="99" t="str">
        <f t="shared" si="41"/>
        <v>echo {"issue":{"subject":"","project_id":79,"tracker_id":40,"status_id":1,"priority_id":2,"assigned_to_id":23,"start_date":"2017-04-28","description":"","custom_fields":[{"id":1,"name":"Subdivision","value":"EC"},{"id":4,"name":"Milepost","value":"23.3266"},{"id":17,"name":"Train ID","value":"197-28"},{"id":16,"name":"Locomotive ID","value":"4016"},{"id":130,"name":"Impact","value":""},{"id":150,"name":"Time of Event (Mountain Time)","value":"16:31:42"},{"id":151,"name":"Denver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5" t="str">
        <f t="shared" si="42"/>
        <v>start /low /b %USERPROFILE%\Documents\GitHub\eaglep3\Utilities\DownloadLogsFromS3.py --loco 4016 --day 2017-04-28</v>
      </c>
      <c r="AN110" s="154" t="str">
        <f t="shared" si="43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22:31:42"},{"id":29,"name":"Sharepoint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772</v>
      </c>
      <c r="B111" s="7">
        <v>4015</v>
      </c>
      <c r="C111" s="21" t="s">
        <v>211</v>
      </c>
      <c r="D111" s="21" t="s">
        <v>859</v>
      </c>
      <c r="E111" s="13">
        <v>42853.693009259259</v>
      </c>
      <c r="F111" s="13">
        <v>42853.695381944446</v>
      </c>
      <c r="G111" s="7">
        <v>1</v>
      </c>
      <c r="H111" s="21" t="s">
        <v>902</v>
      </c>
      <c r="I111" s="13">
        <v>42853.723090277781</v>
      </c>
      <c r="J111" s="7">
        <v>0</v>
      </c>
      <c r="K111" s="92" t="str">
        <f t="shared" si="27"/>
        <v>4015/4016</v>
      </c>
      <c r="L111" s="21" t="str">
        <f>VLOOKUP(A111,'Trips&amp;Operators'!$C$1:$G$99999,5,FALSE)</f>
        <v>BRANDNER MELINDA</v>
      </c>
      <c r="M111" s="6">
        <f t="shared" si="28"/>
        <v>2.7708333334885538E-2</v>
      </c>
      <c r="N111" s="7">
        <f t="shared" si="47"/>
        <v>39.900000002235174</v>
      </c>
      <c r="O111" s="7"/>
      <c r="P111" s="7"/>
      <c r="Q111" s="22"/>
      <c r="R111" s="190"/>
      <c r="S111" s="196">
        <f t="shared" si="48"/>
        <v>1</v>
      </c>
      <c r="T111" s="190" t="str">
        <f t="shared" si="30"/>
        <v>Southbound</v>
      </c>
      <c r="U111" s="190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1" t="str">
        <f t="shared" si="31"/>
        <v>https://d0f6bd738d7f1b3e5a7ca70fe4ff75f0.us-east-1.aws.found.io/app/kibana#/discover/Steve-Slow-Train-Analysis-(2080s-and-2083s)?_g=(refreshInterval:(display:Off,pause:!f,section:0,value:0),time:(from:'2017-04-28T15:37:56-0600',mode:absolute,to:'2017-04-28T18:21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11" s="192" t="str">
        <f t="shared" si="32"/>
        <v>N</v>
      </c>
      <c r="X111" s="192">
        <f t="shared" si="46"/>
        <v>1</v>
      </c>
      <c r="Y111" s="192">
        <f t="shared" si="33"/>
        <v>23.2957</v>
      </c>
      <c r="Z111" s="192">
        <f t="shared" si="34"/>
        <v>1.21E-2</v>
      </c>
      <c r="AA111" s="192">
        <f t="shared" si="35"/>
        <v>23.2836</v>
      </c>
      <c r="AB111" s="57" t="e">
        <f>VLOOKUP(A111,Enforcements!$C$7:$K$13,8,0)</f>
        <v>#N/A</v>
      </c>
      <c r="AC111" s="53" t="e">
        <f>VLOOKUP(A111,Enforcements!$C$7:$E$13,3,0)</f>
        <v>#N/A</v>
      </c>
      <c r="AD111" s="54" t="str">
        <f t="shared" si="36"/>
        <v>0198-28</v>
      </c>
      <c r="AE111" s="80" t="str">
        <f t="shared" si="37"/>
        <v>aws s3 cp s3://rtdc.mdm.uploadarchive.raw/RTDC4015/ "%USERPROFILE%\AppData\Local\Temp\OnboardLogs"\RTDC4015\2017-04-28 --exclude "*" --recursive --include "*20170428*" &amp; "%USERPROFILE%\Documents\GitHub\mrs-test-scripts\Headless Mode &amp; Sideloading\WalkAndUnGZ.bat" "%USERPROFILE%\AppData\Local\Temp\OnboardLogs"\RTDC4015\2017-04-28 &amp; aws s3 cp s3://rtdc.mdm.uploadarchive.raw/RTDC4015/ "%USERPROFILE%\AppData\Local\Temp\OnboardLogs"\RTDC4015\2017-04-29 --exclude "*" --recursive --include "*20170429*" &amp; "%USERPROFILE%\Documents\GitHub\mrs-test-scripts\Headless Mode &amp; Sideloading\WalkAndUnGZ.bat" "%USERPROFILE%\AppData\Local\Temp\OnboardLogs"\RTDC4015\2017-04-29</v>
      </c>
      <c r="AF111" s="77" t="str">
        <f t="shared" si="38"/>
        <v>"C:\Program Files (x86)\AstroGrep\AstroGrep.exe" /e /r /s /spath="%USERPROFILE%\AppData\Local\Temp\OnboardLogs" /stypes="app*4015*20170428*" /stext=" 23:.+((SYSTEM_STATE.+slice.+state.+changed )|(ment ac)|(multiple cpu faults)|(system.+state.+changed )|(\[timeout)|(PRM\|1\|D)|(kpr)|(kdp)|(train.+moving)|(\|lc)|(penalty))"</v>
      </c>
      <c r="AG111" s="1" t="str">
        <f t="shared" si="39"/>
        <v>EC</v>
      </c>
      <c r="AH111" s="81" t="str">
        <f t="shared" si="40"/>
        <v>"%USERPROFILE%\Documents\GitHub\eaglep3\Utilities\RefineRTDCRunTimes.py" --tripid 198-28 --locoid 4015 --swversion DE.1.0.9.0 --startMP 204:232957 --initTime 2017-04-28T16:37:56 --startdatetime 2017-04-28T16:41:21 --delay 1 --endMP 204:121 --enddatetime 2017-04-28T17:21:15 --enforcementcount 0 &gt;&gt;C:\Users\stu\Documents\GitHub\eaglep3-reporting\EC\2017-04-28-refined-times.txt</v>
      </c>
      <c r="AI111" s="99" t="str">
        <f t="shared" si="41"/>
        <v>echo {"issue":{"subject":"","project_id":79,"tracker_id":40,"status_id":1,"priority_id":2,"assigned_to_id":23,"start_date":"2017-04-28","description":"","custom_fields":[{"id":1,"name":"Subdivision","value":"EC"},{"id":4,"name":"Milepost","value":"0.0121"},{"id":17,"name":"Train ID","value":"198-28"},{"id":16,"name":"Locomotive ID","value":"4015"},{"id":130,"name":"Impact","value":""},{"id":150,"name":"Time of Event (Mountain Time)","value":"17:21:15"},{"id":151,"name":"Denver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5" t="str">
        <f t="shared" si="42"/>
        <v>start /low /b %USERPROFILE%\Documents\GitHub\eaglep3\Utilities\DownloadLogsFromS3.py --loco 4015 --day 2017-04-28</v>
      </c>
      <c r="AN111" s="154" t="str">
        <f t="shared" si="43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23:21:15"},{"id":29,"name":"Sharepoint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764</v>
      </c>
      <c r="B112" s="7">
        <v>4052</v>
      </c>
      <c r="C112" s="21" t="s">
        <v>211</v>
      </c>
      <c r="D112" s="21" t="s">
        <v>564</v>
      </c>
      <c r="E112" s="13">
        <v>42853.662870370368</v>
      </c>
      <c r="F112" s="13">
        <v>42853.666886574072</v>
      </c>
      <c r="G112" s="7">
        <v>1</v>
      </c>
      <c r="H112" s="21" t="s">
        <v>903</v>
      </c>
      <c r="I112" s="13">
        <v>42853.692106481481</v>
      </c>
      <c r="J112" s="7">
        <v>0</v>
      </c>
      <c r="K112" s="92" t="str">
        <f t="shared" si="27"/>
        <v>4051/4052</v>
      </c>
      <c r="L112" s="21" t="str">
        <f>VLOOKUP(A112,'Trips&amp;Operators'!$C$1:$G$99999,5,FALSE)</f>
        <v>WHITED DUSTIN</v>
      </c>
      <c r="M112" s="6">
        <f t="shared" si="28"/>
        <v>2.5219907409336884E-2</v>
      </c>
      <c r="N112" s="7">
        <f t="shared" si="47"/>
        <v>36.316666669445112</v>
      </c>
      <c r="O112" s="7"/>
      <c r="P112" s="7"/>
      <c r="Q112" s="22"/>
      <c r="R112" s="190"/>
      <c r="S112" s="196">
        <f t="shared" si="48"/>
        <v>1</v>
      </c>
      <c r="T112" s="190" t="str">
        <f t="shared" si="30"/>
        <v>NorthBound</v>
      </c>
      <c r="U112" s="190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1" t="str">
        <f t="shared" si="31"/>
        <v>https://d0f6bd738d7f1b3e5a7ca70fe4ff75f0.us-east-1.aws.found.io/app/kibana#/discover/Steve-Slow-Train-Analysis-(2080s-and-2083s)?_g=(refreshInterval:(display:Off,pause:!f,section:0,value:0),time:(from:'2017-04-28T14:54:32-0600',mode:absolute,to:'2017-04-28T17:36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12" s="192" t="str">
        <f t="shared" si="32"/>
        <v>N</v>
      </c>
      <c r="X112" s="192">
        <f t="shared" si="46"/>
        <v>1</v>
      </c>
      <c r="Y112" s="192">
        <f t="shared" si="33"/>
        <v>4.2900000000000001E-2</v>
      </c>
      <c r="Z112" s="192">
        <f t="shared" si="34"/>
        <v>23.3353</v>
      </c>
      <c r="AA112" s="192">
        <f t="shared" si="35"/>
        <v>23.292400000000001</v>
      </c>
      <c r="AB112" s="57" t="e">
        <f>VLOOKUP(A112,Enforcements!$C$7:$K$13,8,0)</f>
        <v>#N/A</v>
      </c>
      <c r="AC112" s="53" t="e">
        <f>VLOOKUP(A112,Enforcements!$C$7:$E$13,3,0)</f>
        <v>#N/A</v>
      </c>
      <c r="AD112" s="54" t="str">
        <f t="shared" si="36"/>
        <v>0199-28</v>
      </c>
      <c r="AE112" s="80" t="str">
        <f t="shared" si="37"/>
        <v>aws s3 cp s3://rtdc.mdm.uploadarchive.raw/RTDC4052/ "%USERPROFILE%\AppData\Local\Temp\OnboardLogs"\RTDC4052\2017-04-28 --exclude "*" --recursive --include "*20170428*" &amp; "%USERPROFILE%\Documents\GitHub\mrs-test-scripts\Headless Mode &amp; Sideloading\WalkAndUnGZ.bat" "%USERPROFILE%\AppData\Local\Temp\OnboardLogs"\RTDC4052\2017-04-28 &amp; aws s3 cp s3://rtdc.mdm.uploadarchive.raw/RTDC4052/ "%USERPROFILE%\AppData\Local\Temp\OnboardLogs"\RTDC4052\2017-04-29 --exclude "*" --recursive --include "*20170429*" &amp; "%USERPROFILE%\Documents\GitHub\mrs-test-scripts\Headless Mode &amp; Sideloading\WalkAndUnGZ.bat" "%USERPROFILE%\AppData\Local\Temp\OnboardLogs"\RTDC4052\2017-04-29</v>
      </c>
      <c r="AF112" s="77" t="str">
        <f t="shared" si="38"/>
        <v>"C:\Program Files (x86)\AstroGrep\AstroGrep.exe" /e /r /s /spath="%USERPROFILE%\AppData\Local\Temp\OnboardLogs" /stypes="app*4052*20170428*" /stext=" 22:.+((SYSTEM_STATE.+slice.+state.+changed )|(ment ac)|(multiple cpu faults)|(system.+state.+changed )|(\[timeout)|(PRM\|1\|D)|(kpr)|(kdp)|(train.+moving)|(\|lc)|(penalty))"</v>
      </c>
      <c r="AG112" s="1" t="str">
        <f t="shared" si="39"/>
        <v>EC</v>
      </c>
      <c r="AH112" s="81" t="str">
        <f t="shared" si="40"/>
        <v>"%USERPROFILE%\Documents\GitHub\eaglep3\Utilities\RefineRTDCRunTimes.py" --tripid 199-28 --locoid 4052 --swversion DE.1.0.9.0 --startMP 204:429 --initTime 2017-04-28T15:54:32 --startdatetime 2017-04-28T16:00:19 --delay 1 --endMP 204:233353 --enddatetime 2017-04-28T16:36:38 --enforcementcount 0 &gt;&gt;C:\Users\stu\Documents\GitHub\eaglep3-reporting\EC\2017-04-28-refined-times.txt</v>
      </c>
      <c r="AI112" s="99" t="str">
        <f t="shared" si="41"/>
        <v>echo {"issue":{"subject":"","project_id":79,"tracker_id":40,"status_id":1,"priority_id":2,"assigned_to_id":23,"start_date":"2017-04-28","description":"","custom_fields":[{"id":1,"name":"Subdivision","value":"EC"},{"id":4,"name":"Milepost","value":"23.3353"},{"id":17,"name":"Train ID","value":"199-28"},{"id":16,"name":"Locomotive ID","value":"4052"},{"id":130,"name":"Impact","value":""},{"id":150,"name":"Time of Event (Mountain Time)","value":"16:36:38"},{"id":151,"name":"Denver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5" t="str">
        <f t="shared" si="42"/>
        <v>start /low /b %USERPROFILE%\Documents\GitHub\eaglep3\Utilities\DownloadLogsFromS3.py --loco 4052 --day 2017-04-28</v>
      </c>
      <c r="AN112" s="154" t="str">
        <f t="shared" si="43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22:36:38"},{"id":29,"name":"Sharepoint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775</v>
      </c>
      <c r="B113" s="7">
        <v>4051</v>
      </c>
      <c r="C113" s="21" t="s">
        <v>211</v>
      </c>
      <c r="D113" s="21" t="s">
        <v>904</v>
      </c>
      <c r="E113" s="13">
        <v>42853.700613425928</v>
      </c>
      <c r="F113" s="13">
        <v>42853.705740740741</v>
      </c>
      <c r="G113" s="7">
        <v>1</v>
      </c>
      <c r="H113" s="21" t="s">
        <v>875</v>
      </c>
      <c r="I113" s="13">
        <v>42853.731770833336</v>
      </c>
      <c r="J113" s="7">
        <v>0</v>
      </c>
      <c r="K113" s="92" t="str">
        <f t="shared" si="27"/>
        <v>4051/4052</v>
      </c>
      <c r="L113" s="21" t="str">
        <f>VLOOKUP(A113,'Trips&amp;Operators'!$C$1:$G$99999,5,FALSE)</f>
        <v>WHITED DUSTIN</v>
      </c>
      <c r="M113" s="6">
        <f t="shared" si="28"/>
        <v>2.6030092594737653E-2</v>
      </c>
      <c r="N113" s="7">
        <f t="shared" si="47"/>
        <v>37.48333333642222</v>
      </c>
      <c r="O113" s="7"/>
      <c r="P113" s="7"/>
      <c r="Q113" s="22"/>
      <c r="R113" s="190"/>
      <c r="S113" s="196">
        <f t="shared" si="48"/>
        <v>1</v>
      </c>
      <c r="T113" s="190" t="str">
        <f t="shared" si="30"/>
        <v>Southbound</v>
      </c>
      <c r="U113" s="190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1" t="str">
        <f t="shared" si="31"/>
        <v>https://d0f6bd738d7f1b3e5a7ca70fe4ff75f0.us-east-1.aws.found.io/app/kibana#/discover/Steve-Slow-Train-Analysis-(2080s-and-2083s)?_g=(refreshInterval:(display:Off,pause:!f,section:0,value:0),time:(from:'2017-04-28T15:48:53-0600',mode:absolute,to:'2017-04-28T18:33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13" s="192" t="str">
        <f t="shared" si="32"/>
        <v>N</v>
      </c>
      <c r="X113" s="192">
        <f t="shared" si="46"/>
        <v>1</v>
      </c>
      <c r="Y113" s="192">
        <f t="shared" si="33"/>
        <v>23.3019</v>
      </c>
      <c r="Z113" s="192">
        <f t="shared" si="34"/>
        <v>1.41E-2</v>
      </c>
      <c r="AA113" s="192">
        <f t="shared" si="35"/>
        <v>23.287800000000001</v>
      </c>
      <c r="AB113" s="57" t="e">
        <f>VLOOKUP(A113,Enforcements!$C$7:$K$13,8,0)</f>
        <v>#N/A</v>
      </c>
      <c r="AC113" s="53" t="e">
        <f>VLOOKUP(A113,Enforcements!$C$7:$E$13,3,0)</f>
        <v>#N/A</v>
      </c>
      <c r="AD113" s="54" t="str">
        <f t="shared" si="36"/>
        <v>0200-28</v>
      </c>
      <c r="AE113" s="80" t="str">
        <f t="shared" si="37"/>
        <v>aws s3 cp s3://rtdc.mdm.uploadarchive.raw/RTDC4051/ "%USERPROFILE%\AppData\Local\Temp\OnboardLogs"\RTDC4051\2017-04-28 --exclude "*" --recursive --include "*20170428*" &amp; "%USERPROFILE%\Documents\GitHub\mrs-test-scripts\Headless Mode &amp; Sideloading\WalkAndUnGZ.bat" "%USERPROFILE%\AppData\Local\Temp\OnboardLogs"\RTDC4051\2017-04-28 &amp; aws s3 cp s3://rtdc.mdm.uploadarchive.raw/RTDC4051/ "%USERPROFILE%\AppData\Local\Temp\OnboardLogs"\RTDC4051\2017-04-29 --exclude "*" --recursive --include "*20170429*" &amp; "%USERPROFILE%\Documents\GitHub\mrs-test-scripts\Headless Mode &amp; Sideloading\WalkAndUnGZ.bat" "%USERPROFILE%\AppData\Local\Temp\OnboardLogs"\RTDC4051\2017-04-29</v>
      </c>
      <c r="AF113" s="77" t="str">
        <f t="shared" si="38"/>
        <v>"C:\Program Files (x86)\AstroGrep\AstroGrep.exe" /e /r /s /spath="%USERPROFILE%\AppData\Local\Temp\OnboardLogs" /stypes="app*4051*20170428*" /stext=" 23:.+((SYSTEM_STATE.+slice.+state.+changed )|(ment ac)|(multiple cpu faults)|(system.+state.+changed )|(\[timeout)|(PRM\|1\|D)|(kpr)|(kdp)|(train.+moving)|(\|lc)|(penalty))"</v>
      </c>
      <c r="AG113" s="1" t="str">
        <f t="shared" si="39"/>
        <v>EC</v>
      </c>
      <c r="AH113" s="81" t="str">
        <f t="shared" si="40"/>
        <v>"%USERPROFILE%\Documents\GitHub\eaglep3\Utilities\RefineRTDCRunTimes.py" --tripid 200-28 --locoid 4051 --swversion DE.1.0.9.0 --startMP 204:233019 --initTime 2017-04-28T16:48:53 --startdatetime 2017-04-28T16:56:16 --delay 1 --endMP 204:141 --enddatetime 2017-04-28T17:33:45 --enforcementcount 0 &gt;&gt;C:\Users\stu\Documents\GitHub\eaglep3-reporting\EC\2017-04-28-refined-times.txt</v>
      </c>
      <c r="AI113" s="99" t="str">
        <f t="shared" si="41"/>
        <v>echo {"issue":{"subject":"","project_id":79,"tracker_id":40,"status_id":1,"priority_id":2,"assigned_to_id":23,"start_date":"2017-04-28","description":"","custom_fields":[{"id":1,"name":"Subdivision","value":"EC"},{"id":4,"name":"Milepost","value":"0.0141"},{"id":17,"name":"Train ID","value":"200-28"},{"id":16,"name":"Locomotive ID","value":"4051"},{"id":130,"name":"Impact","value":""},{"id":150,"name":"Time of Event (Mountain Time)","value":"17:33:45"},{"id":151,"name":"Denver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5" t="str">
        <f t="shared" si="42"/>
        <v>start /low /b %USERPROFILE%\Documents\GitHub\eaglep3\Utilities\DownloadLogsFromS3.py --loco 4051 --day 2017-04-28</v>
      </c>
      <c r="AN113" s="154" t="str">
        <f t="shared" si="43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23:33:45"},{"id":29,"name":"Sharepoint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767</v>
      </c>
      <c r="B114" s="7">
        <v>4008</v>
      </c>
      <c r="C114" s="21" t="s">
        <v>211</v>
      </c>
      <c r="D114" s="21" t="s">
        <v>204</v>
      </c>
      <c r="E114" s="13">
        <v>42853.673217592594</v>
      </c>
      <c r="F114" s="13">
        <v>42853.67732638889</v>
      </c>
      <c r="G114" s="7">
        <v>2</v>
      </c>
      <c r="H114" s="21" t="s">
        <v>435</v>
      </c>
      <c r="I114" s="13">
        <v>42853.702384259261</v>
      </c>
      <c r="J114" s="7">
        <v>0</v>
      </c>
      <c r="K114" s="92" t="str">
        <f t="shared" si="27"/>
        <v>4007/4008</v>
      </c>
      <c r="L114" s="21" t="str">
        <f>VLOOKUP(A114,'Trips&amp;Operators'!$C$1:$G$99999,5,FALSE)</f>
        <v>STEWART MICHAEL</v>
      </c>
      <c r="M114" s="6">
        <f t="shared" si="28"/>
        <v>2.5057870370801538E-2</v>
      </c>
      <c r="N114" s="7">
        <f t="shared" si="47"/>
        <v>36.083333333954215</v>
      </c>
      <c r="O114" s="7"/>
      <c r="P114" s="7"/>
      <c r="Q114" s="22"/>
      <c r="R114" s="190"/>
      <c r="S114" s="196">
        <f t="shared" si="48"/>
        <v>1</v>
      </c>
      <c r="T114" s="190" t="str">
        <f t="shared" si="30"/>
        <v>NorthBound</v>
      </c>
      <c r="U114" s="190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1" t="str">
        <f t="shared" si="31"/>
        <v>https://d0f6bd738d7f1b3e5a7ca70fe4ff75f0.us-east-1.aws.found.io/app/kibana#/discover/Steve-Slow-Train-Analysis-(2080s-and-2083s)?_g=(refreshInterval:(display:Off,pause:!f,section:0,value:0),time:(from:'2017-04-28T15:09:26-0600',mode:absolute,to:'2017-04-28T17:51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14" s="192" t="str">
        <f t="shared" si="32"/>
        <v>N</v>
      </c>
      <c r="X114" s="192">
        <f t="shared" si="46"/>
        <v>1</v>
      </c>
      <c r="Y114" s="192">
        <f t="shared" si="33"/>
        <v>4.5699999999999998E-2</v>
      </c>
      <c r="Z114" s="192">
        <f t="shared" si="34"/>
        <v>23.328900000000001</v>
      </c>
      <c r="AA114" s="192">
        <f t="shared" si="35"/>
        <v>23.283200000000001</v>
      </c>
      <c r="AB114" s="57" t="e">
        <f>VLOOKUP(A114,Enforcements!$C$7:$K$13,8,0)</f>
        <v>#N/A</v>
      </c>
      <c r="AC114" s="53" t="e">
        <f>VLOOKUP(A114,Enforcements!$C$7:$E$13,3,0)</f>
        <v>#N/A</v>
      </c>
      <c r="AD114" s="54" t="str">
        <f t="shared" si="36"/>
        <v>0201-28</v>
      </c>
      <c r="AE114" s="80" t="str">
        <f t="shared" si="37"/>
        <v>aws s3 cp s3://rtdc.mdm.uploadarchive.raw/RTDC4008/ "%USERPROFILE%\AppData\Local\Temp\OnboardLogs"\RTDC4008\2017-04-28 --exclude "*" --recursive --include "*20170428*" &amp; "%USERPROFILE%\Documents\GitHub\mrs-test-scripts\Headless Mode &amp; Sideloading\WalkAndUnGZ.bat" "%USERPROFILE%\AppData\Local\Temp\OnboardLogs"\RTDC4008\2017-04-28 &amp; aws s3 cp s3://rtdc.mdm.uploadarchive.raw/RTDC4008/ "%USERPROFILE%\AppData\Local\Temp\OnboardLogs"\RTDC4008\2017-04-29 --exclude "*" --recursive --include "*20170429*" &amp; "%USERPROFILE%\Documents\GitHub\mrs-test-scripts\Headless Mode &amp; Sideloading\WalkAndUnGZ.bat" "%USERPROFILE%\AppData\Local\Temp\OnboardLogs"\RTDC4008\2017-04-29</v>
      </c>
      <c r="AF114" s="77" t="str">
        <f t="shared" si="38"/>
        <v>"C:\Program Files (x86)\AstroGrep\AstroGrep.exe" /e /r /s /spath="%USERPROFILE%\AppData\Local\Temp\OnboardLogs" /stypes="app*4008*20170428*" /stext=" 22:.+((SYSTEM_STATE.+slice.+state.+changed )|(ment ac)|(multiple cpu faults)|(system.+state.+changed )|(\[timeout)|(PRM\|1\|D)|(kpr)|(kdp)|(train.+moving)|(\|lc)|(penalty))"</v>
      </c>
      <c r="AG114" s="1" t="str">
        <f t="shared" si="39"/>
        <v>EC</v>
      </c>
      <c r="AH114" s="81" t="str">
        <f t="shared" si="40"/>
        <v>"%USERPROFILE%\Documents\GitHub\eaglep3\Utilities\RefineRTDCRunTimes.py" --tripid 201-28 --locoid 4008 --swversion DE.1.0.9.0 --startMP 204:457 --initTime 2017-04-28T16:09:26 --startdatetime 2017-04-28T16:15:21 --delay 2 --endMP 204:233289 --enddatetime 2017-04-28T16:51:26 --enforcementcount 0 &gt;&gt;C:\Users\stu\Documents\GitHub\eaglep3-reporting\EC\2017-04-28-refined-times.txt</v>
      </c>
      <c r="AI114" s="99" t="str">
        <f t="shared" si="41"/>
        <v>echo {"issue":{"subject":"","project_id":79,"tracker_id":40,"status_id":1,"priority_id":2,"assigned_to_id":23,"start_date":"2017-04-28","description":"","custom_fields":[{"id":1,"name":"Subdivision","value":"EC"},{"id":4,"name":"Milepost","value":"23.3289"},{"id":17,"name":"Train ID","value":"201-28"},{"id":16,"name":"Locomotive ID","value":"4008"},{"id":130,"name":"Impact","value":""},{"id":150,"name":"Time of Event (Mountain Time)","value":"16:51:26"},{"id":151,"name":"Denver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5" t="str">
        <f t="shared" si="42"/>
        <v>start /low /b %USERPROFILE%\Documents\GitHub\eaglep3\Utilities\DownloadLogsFromS3.py --loco 4008 --day 2017-04-28</v>
      </c>
      <c r="AN114" s="154" t="str">
        <f t="shared" si="43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22:51:26"},{"id":29,"name":"Sharepoint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777</v>
      </c>
      <c r="B115" s="7">
        <v>4007</v>
      </c>
      <c r="C115" s="21" t="s">
        <v>211</v>
      </c>
      <c r="D115" s="21" t="s">
        <v>548</v>
      </c>
      <c r="E115" s="13">
        <v>42853.712592592594</v>
      </c>
      <c r="F115" s="13">
        <v>42853.716180555559</v>
      </c>
      <c r="G115" s="7">
        <v>1</v>
      </c>
      <c r="H115" s="21" t="s">
        <v>877</v>
      </c>
      <c r="I115" s="13">
        <v>42853.743750000001</v>
      </c>
      <c r="J115" s="7">
        <v>0</v>
      </c>
      <c r="K115" s="92" t="str">
        <f t="shared" si="27"/>
        <v>4007/4008</v>
      </c>
      <c r="L115" s="21" t="str">
        <f>VLOOKUP(A115,'Trips&amp;Operators'!$C$1:$G$99999,5,FALSE)</f>
        <v>STEWART MICHAEL</v>
      </c>
      <c r="M115" s="6">
        <f t="shared" si="28"/>
        <v>2.7569444442633539E-2</v>
      </c>
      <c r="N115" s="7">
        <f t="shared" si="47"/>
        <v>39.699999997392297</v>
      </c>
      <c r="O115" s="7"/>
      <c r="P115" s="7"/>
      <c r="Q115" s="22"/>
      <c r="R115" s="190"/>
      <c r="S115" s="196">
        <f t="shared" si="48"/>
        <v>1</v>
      </c>
      <c r="T115" s="190" t="str">
        <f t="shared" si="30"/>
        <v>Southbound</v>
      </c>
      <c r="U115" s="190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1" t="str">
        <f t="shared" si="31"/>
        <v>https://d0f6bd738d7f1b3e5a7ca70fe4ff75f0.us-east-1.aws.found.io/app/kibana#/discover/Steve-Slow-Train-Analysis-(2080s-and-2083s)?_g=(refreshInterval:(display:Off,pause:!f,section:0,value:0),time:(from:'2017-04-28T16:06:08-0600',mode:absolute,to:'2017-04-28T18:51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15" s="192" t="str">
        <f t="shared" si="32"/>
        <v>N</v>
      </c>
      <c r="X115" s="192">
        <f t="shared" si="46"/>
        <v>1</v>
      </c>
      <c r="Y115" s="192">
        <f t="shared" si="33"/>
        <v>23.296800000000001</v>
      </c>
      <c r="Z115" s="192">
        <f t="shared" si="34"/>
        <v>1.6299999999999999E-2</v>
      </c>
      <c r="AA115" s="192">
        <f t="shared" si="35"/>
        <v>23.2805</v>
      </c>
      <c r="AB115" s="57" t="e">
        <f>VLOOKUP(A115,Enforcements!$C$7:$K$13,8,0)</f>
        <v>#N/A</v>
      </c>
      <c r="AC115" s="53" t="e">
        <f>VLOOKUP(A115,Enforcements!$C$7:$E$13,3,0)</f>
        <v>#N/A</v>
      </c>
      <c r="AD115" s="54" t="str">
        <f t="shared" si="36"/>
        <v>0202-28</v>
      </c>
      <c r="AE115" s="80" t="str">
        <f t="shared" si="37"/>
        <v>aws s3 cp s3://rtdc.mdm.uploadarchive.raw/RTDC4007/ "%USERPROFILE%\AppData\Local\Temp\OnboardLogs"\RTDC4007\2017-04-28 --exclude "*" --recursive --include "*20170428*" &amp; "%USERPROFILE%\Documents\GitHub\mrs-test-scripts\Headless Mode &amp; Sideloading\WalkAndUnGZ.bat" "%USERPROFILE%\AppData\Local\Temp\OnboardLogs"\RTDC4007\2017-04-28 &amp; aws s3 cp s3://rtdc.mdm.uploadarchive.raw/RTDC4007/ "%USERPROFILE%\AppData\Local\Temp\OnboardLogs"\RTDC4007\2017-04-29 --exclude "*" --recursive --include "*20170429*" &amp; "%USERPROFILE%\Documents\GitHub\mrs-test-scripts\Headless Mode &amp; Sideloading\WalkAndUnGZ.bat" "%USERPROFILE%\AppData\Local\Temp\OnboardLogs"\RTDC4007\2017-04-29</v>
      </c>
      <c r="AF115" s="77" t="str">
        <f t="shared" si="38"/>
        <v>"C:\Program Files (x86)\AstroGrep\AstroGrep.exe" /e /r /s /spath="%USERPROFILE%\AppData\Local\Temp\OnboardLogs" /stypes="app*4007*20170428*" /stext=" 23:.+((SYSTEM_STATE.+slice.+state.+changed )|(ment ac)|(multiple cpu faults)|(system.+state.+changed )|(\[timeout)|(PRM\|1\|D)|(kpr)|(kdp)|(train.+moving)|(\|lc)|(penalty))"</v>
      </c>
      <c r="AG115" s="1" t="str">
        <f t="shared" si="39"/>
        <v>EC</v>
      </c>
      <c r="AH115" s="81" t="str">
        <f t="shared" si="40"/>
        <v>"%USERPROFILE%\Documents\GitHub\eaglep3\Utilities\RefineRTDCRunTimes.py" --tripid 202-28 --locoid 4007 --swversion DE.1.0.9.0 --startMP 204:232968 --initTime 2017-04-28T17:06:08 --startdatetime 2017-04-28T17:11:18 --delay 1 --endMP 204:163 --enddatetime 2017-04-28T17:51:00 --enforcementcount 0 &gt;&gt;C:\Users\stu\Documents\GitHub\eaglep3-reporting\EC\2017-04-28-refined-times.txt</v>
      </c>
      <c r="AI115" s="99" t="str">
        <f t="shared" si="41"/>
        <v>echo {"issue":{"subject":"","project_id":79,"tracker_id":40,"status_id":1,"priority_id":2,"assigned_to_id":23,"start_date":"2017-04-28","description":"","custom_fields":[{"id":1,"name":"Subdivision","value":"EC"},{"id":4,"name":"Milepost","value":"0.0163"},{"id":17,"name":"Train ID","value":"202-28"},{"id":16,"name":"Locomotive ID","value":"4007"},{"id":130,"name":"Impact","value":""},{"id":150,"name":"Time of Event (Mountain Time)","value":"17:51:00"},{"id":151,"name":"Denver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5" t="str">
        <f t="shared" si="42"/>
        <v>start /low /b %USERPROFILE%\Documents\GitHub\eaglep3\Utilities\DownloadLogsFromS3.py --loco 4007 --day 2017-04-28</v>
      </c>
      <c r="AN115" s="154" t="str">
        <f t="shared" si="43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23:51:00"},{"id":29,"name":"Sharepoint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770</v>
      </c>
      <c r="B116" s="7">
        <v>4030</v>
      </c>
      <c r="C116" s="21" t="s">
        <v>211</v>
      </c>
      <c r="D116" s="21" t="s">
        <v>905</v>
      </c>
      <c r="E116" s="13">
        <v>42853.686365740738</v>
      </c>
      <c r="F116" s="13">
        <v>42853.687650462962</v>
      </c>
      <c r="G116" s="7">
        <v>1</v>
      </c>
      <c r="H116" s="21" t="s">
        <v>856</v>
      </c>
      <c r="I116" s="13">
        <v>42853.713252314818</v>
      </c>
      <c r="J116" s="7">
        <v>0</v>
      </c>
      <c r="K116" s="92" t="str">
        <f t="shared" si="27"/>
        <v>4029/4030</v>
      </c>
      <c r="L116" s="21" t="str">
        <f>VLOOKUP(A116,'Trips&amp;Operators'!$C$1:$G$99999,5,FALSE)</f>
        <v>DELGADO DIANAH</v>
      </c>
      <c r="M116" s="6">
        <f t="shared" si="28"/>
        <v>2.5601851855753921E-2</v>
      </c>
      <c r="N116" s="7">
        <f t="shared" si="47"/>
        <v>36.866666672285646</v>
      </c>
      <c r="O116" s="7"/>
      <c r="P116" s="7"/>
      <c r="Q116" s="22"/>
      <c r="R116" s="190"/>
      <c r="S116" s="196">
        <f t="shared" si="48"/>
        <v>1</v>
      </c>
      <c r="T116" s="190" t="str">
        <f t="shared" si="30"/>
        <v>NorthBound</v>
      </c>
      <c r="U116" s="190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1" t="str">
        <f t="shared" si="31"/>
        <v>https://d0f6bd738d7f1b3e5a7ca70fe4ff75f0.us-east-1.aws.found.io/app/kibana#/discover/Steve-Slow-Train-Analysis-(2080s-and-2083s)?_g=(refreshInterval:(display:Off,pause:!f,section:0,value:0),time:(from:'2017-04-28T15:28:22-0600',mode:absolute,to:'2017-04-28T18:07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16" s="192" t="str">
        <f t="shared" si="32"/>
        <v>N</v>
      </c>
      <c r="X116" s="192">
        <f t="shared" si="46"/>
        <v>1</v>
      </c>
      <c r="Y116" s="192">
        <f t="shared" si="33"/>
        <v>4.2200000000000001E-2</v>
      </c>
      <c r="Z116" s="192">
        <f t="shared" si="34"/>
        <v>23.335699999999999</v>
      </c>
      <c r="AA116" s="192">
        <f t="shared" si="35"/>
        <v>23.293499999999998</v>
      </c>
      <c r="AB116" s="57" t="e">
        <f>VLOOKUP(A116,Enforcements!$C$7:$K$13,8,0)</f>
        <v>#N/A</v>
      </c>
      <c r="AC116" s="53" t="e">
        <f>VLOOKUP(A116,Enforcements!$C$7:$E$13,3,0)</f>
        <v>#N/A</v>
      </c>
      <c r="AD116" s="54" t="str">
        <f t="shared" si="36"/>
        <v>0203-28</v>
      </c>
      <c r="AE116" s="80" t="str">
        <f t="shared" si="37"/>
        <v>aws s3 cp s3://rtdc.mdm.uploadarchive.raw/RTDC4030/ "%USERPROFILE%\AppData\Local\Temp\OnboardLogs"\RTDC4030\2017-04-28 --exclude "*" --recursive --include "*20170428*" &amp; "%USERPROFILE%\Documents\GitHub\mrs-test-scripts\Headless Mode &amp; Sideloading\WalkAndUnGZ.bat" "%USERPROFILE%\AppData\Local\Temp\OnboardLogs"\RTDC4030\2017-04-28 &amp; aws s3 cp s3://rtdc.mdm.uploadarchive.raw/RTDC4030/ "%USERPROFILE%\AppData\Local\Temp\OnboardLogs"\RTDC4030\2017-04-29 --exclude "*" --recursive --include "*20170429*" &amp; "%USERPROFILE%\Documents\GitHub\mrs-test-scripts\Headless Mode &amp; Sideloading\WalkAndUnGZ.bat" "%USERPROFILE%\AppData\Local\Temp\OnboardLogs"\RTDC4030\2017-04-29</v>
      </c>
      <c r="AF116" s="77" t="str">
        <f t="shared" si="38"/>
        <v>"C:\Program Files (x86)\AstroGrep\AstroGrep.exe" /e /r /s /spath="%USERPROFILE%\AppData\Local\Temp\OnboardLogs" /stypes="app*4030*20170428*" /stext=" 23:.+((SYSTEM_STATE.+slice.+state.+changed )|(ment ac)|(multiple cpu faults)|(system.+state.+changed )|(\[timeout)|(PRM\|1\|D)|(kpr)|(kdp)|(train.+moving)|(\|lc)|(penalty))"</v>
      </c>
      <c r="AG116" s="1" t="str">
        <f t="shared" si="39"/>
        <v>EC</v>
      </c>
      <c r="AH116" s="81" t="str">
        <f t="shared" si="40"/>
        <v>"%USERPROFILE%\Documents\GitHub\eaglep3\Utilities\RefineRTDCRunTimes.py" --tripid 203-28 --locoid 4030 --swversion DE.1.0.9.0 --startMP 204:422 --initTime 2017-04-28T16:28:22 --startdatetime 2017-04-28T16:30:13 --delay 1 --endMP 204:233357 --enddatetime 2017-04-28T17:07:05 --enforcementcount 0 &gt;&gt;C:\Users\stu\Documents\GitHub\eaglep3-reporting\EC\2017-04-28-refined-times.txt</v>
      </c>
      <c r="AI116" s="99" t="str">
        <f t="shared" si="41"/>
        <v>echo {"issue":{"subject":"","project_id":79,"tracker_id":40,"status_id":1,"priority_id":2,"assigned_to_id":23,"start_date":"2017-04-28","description":"","custom_fields":[{"id":1,"name":"Subdivision","value":"EC"},{"id":4,"name":"Milepost","value":"23.3357"},{"id":17,"name":"Train ID","value":"203-28"},{"id":16,"name":"Locomotive ID","value":"4030"},{"id":130,"name":"Impact","value":""},{"id":150,"name":"Time of Event (Mountain Time)","value":"17:07:05"},{"id":151,"name":"Denver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5" t="str">
        <f t="shared" si="42"/>
        <v>start /low /b %USERPROFILE%\Documents\GitHub\eaglep3\Utilities\DownloadLogsFromS3.py --loco 4030 --day 2017-04-28</v>
      </c>
      <c r="AN116" s="154" t="str">
        <f t="shared" si="43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23:07:05"},{"id":29,"name":"Sharepoint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x14ac:dyDescent="0.25">
      <c r="A117" s="32" t="s">
        <v>780</v>
      </c>
      <c r="B117" s="7">
        <v>4029</v>
      </c>
      <c r="C117" s="21" t="s">
        <v>211</v>
      </c>
      <c r="D117" s="21" t="s">
        <v>507</v>
      </c>
      <c r="E117" s="13">
        <v>42853.72252314815</v>
      </c>
      <c r="F117" s="13">
        <v>42853.726550925923</v>
      </c>
      <c r="G117" s="7">
        <v>1</v>
      </c>
      <c r="H117" s="21" t="s">
        <v>902</v>
      </c>
      <c r="I117" s="13">
        <v>42853.75271990741</v>
      </c>
      <c r="J117" s="7">
        <v>0</v>
      </c>
      <c r="K117" s="92" t="str">
        <f t="shared" si="27"/>
        <v>4029/4030</v>
      </c>
      <c r="L117" s="21" t="str">
        <f>VLOOKUP(A117,'Trips&amp;Operators'!$C$1:$G$99999,5,FALSE)</f>
        <v>DELGADO DIANAH</v>
      </c>
      <c r="M117" s="6">
        <f t="shared" si="28"/>
        <v>2.6168981486989651E-2</v>
      </c>
      <c r="N117" s="7">
        <f t="shared" si="47"/>
        <v>37.683333341265097</v>
      </c>
      <c r="O117" s="7"/>
      <c r="P117" s="7"/>
      <c r="Q117" s="22"/>
      <c r="R117" s="190"/>
      <c r="S117" s="196">
        <f t="shared" si="48"/>
        <v>1</v>
      </c>
      <c r="T117" s="190" t="str">
        <f t="shared" si="30"/>
        <v>Southbound</v>
      </c>
      <c r="U117" s="190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1" t="str">
        <f t="shared" si="31"/>
        <v>https://d0f6bd738d7f1b3e5a7ca70fe4ff75f0.us-east-1.aws.found.io/app/kibana#/discover/Steve-Slow-Train-Analysis-(2080s-and-2083s)?_g=(refreshInterval:(display:Off,pause:!f,section:0,value:0),time:(from:'2017-04-28T16:20:26-0600',mode:absolute,to:'2017-04-28T19:03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17" s="192" t="str">
        <f t="shared" si="32"/>
        <v>N</v>
      </c>
      <c r="X117" s="192">
        <f t="shared" si="46"/>
        <v>1</v>
      </c>
      <c r="Y117" s="192">
        <f t="shared" si="33"/>
        <v>23.299600000000002</v>
      </c>
      <c r="Z117" s="192">
        <f t="shared" si="34"/>
        <v>1.21E-2</v>
      </c>
      <c r="AA117" s="192">
        <f t="shared" si="35"/>
        <v>23.287500000000001</v>
      </c>
      <c r="AB117" s="57" t="e">
        <f>VLOOKUP(A117,Enforcements!$C$7:$K$13,8,0)</f>
        <v>#N/A</v>
      </c>
      <c r="AC117" s="53" t="e">
        <f>VLOOKUP(A117,Enforcements!$C$7:$E$13,3,0)</f>
        <v>#N/A</v>
      </c>
      <c r="AD117" s="54" t="str">
        <f t="shared" si="36"/>
        <v>0204-28</v>
      </c>
      <c r="AE117" s="80" t="str">
        <f t="shared" si="37"/>
        <v>aws s3 cp s3://rtdc.mdm.uploadarchive.raw/RTDC4029/ "%USERPROFILE%\AppData\Local\Temp\OnboardLogs"\RTDC4029\2017-04-28 --exclude "*" --recursive --include "*20170428*" &amp; "%USERPROFILE%\Documents\GitHub\mrs-test-scripts\Headless Mode &amp; Sideloading\WalkAndUnGZ.bat" "%USERPROFILE%\AppData\Local\Temp\OnboardLogs"\RTDC4029\2017-04-28 &amp; aws s3 cp s3://rtdc.mdm.uploadarchive.raw/RTDC4029/ "%USERPROFILE%\AppData\Local\Temp\OnboardLogs"\RTDC4029\2017-04-29 --exclude "*" --recursive --include "*20170429*" &amp; "%USERPROFILE%\Documents\GitHub\mrs-test-scripts\Headless Mode &amp; Sideloading\WalkAndUnGZ.bat" "%USERPROFILE%\AppData\Local\Temp\OnboardLogs"\RTDC4029\2017-04-29</v>
      </c>
      <c r="AF117" s="77" t="str">
        <f t="shared" si="38"/>
        <v>"C:\Program Files (x86)\AstroGrep\AstroGrep.exe" /e /r /s /spath="%USERPROFILE%\AppData\Local\Temp\OnboardLogs" /stypes="app*4029*20170429*" /stext=" 00:.+((SYSTEM_STATE.+slice.+state.+changed )|(ment ac)|(multiple cpu faults)|(system.+state.+changed )|(\[timeout)|(PRM\|1\|D)|(kpr)|(kdp)|(train.+moving)|(\|lc)|(penalty))"</v>
      </c>
      <c r="AG117" s="1" t="str">
        <f t="shared" si="39"/>
        <v>EC</v>
      </c>
      <c r="AH117" s="81" t="str">
        <f t="shared" si="40"/>
        <v>"%USERPROFILE%\Documents\GitHub\eaglep3\Utilities\RefineRTDCRunTimes.py" --tripid 204-28 --locoid 4029 --swversion DE.1.0.9.0 --startMP 204:232996 --initTime 2017-04-28T17:20:26 --startdatetime 2017-04-28T17:26:14 --delay 1 --endMP 204:121 --enddatetime 2017-04-28T18:03:55 --enforcementcount 0 &gt;&gt;C:\Users\stu\Documents\GitHub\eaglep3-reporting\EC\2017-04-28-refined-times.txt</v>
      </c>
      <c r="AI117" s="99" t="str">
        <f t="shared" si="41"/>
        <v>echo {"issue":{"subject":"","project_id":79,"tracker_id":40,"status_id":1,"priority_id":2,"assigned_to_id":23,"start_date":"2017-04-28","description":"","custom_fields":[{"id":1,"name":"Subdivision","value":"EC"},{"id":4,"name":"Milepost","value":"0.0121"},{"id":17,"name":"Train ID","value":"204-28"},{"id":16,"name":"Locomotive ID","value":"4029"},{"id":130,"name":"Impact","value":""},{"id":150,"name":"Time of Event (Mountain Time)","value":"18:03:55"},{"id":151,"name":"Denver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20"/>
      <c r="AK117" s="47"/>
      <c r="AL117" s="47"/>
      <c r="AM117" s="145" t="str">
        <f t="shared" si="42"/>
        <v>start /low /b %USERPROFILE%\Documents\GitHub\eaglep3\Utilities\DownloadLogsFromS3.py --loco 4029 --day 2017-04-28</v>
      </c>
      <c r="AN117" s="154" t="str">
        <f t="shared" si="43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00:03:55"},{"id":29,"name":"Sharepoint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18" spans="1:91" s="20" customFormat="1" x14ac:dyDescent="0.25">
      <c r="A118" s="32" t="s">
        <v>773</v>
      </c>
      <c r="B118" s="7">
        <v>4064</v>
      </c>
      <c r="C118" s="21" t="s">
        <v>211</v>
      </c>
      <c r="D118" s="21" t="s">
        <v>906</v>
      </c>
      <c r="E118" s="13">
        <v>42853.695729166669</v>
      </c>
      <c r="F118" s="13">
        <v>42853.69809027778</v>
      </c>
      <c r="G118" s="7">
        <v>1</v>
      </c>
      <c r="H118" s="21" t="s">
        <v>550</v>
      </c>
      <c r="I118" s="13">
        <v>42853.724259259259</v>
      </c>
      <c r="J118" s="7">
        <v>0</v>
      </c>
      <c r="K118" s="92" t="str">
        <f t="shared" si="27"/>
        <v>4063/4064</v>
      </c>
      <c r="L118" s="21" t="str">
        <f>VLOOKUP(A118,'Trips&amp;Operators'!$C$1:$G$99999,5,FALSE)</f>
        <v>CLARK KATHLEEN</v>
      </c>
      <c r="M118" s="6">
        <f t="shared" si="28"/>
        <v>2.6168981479713693E-2</v>
      </c>
      <c r="N118" s="7">
        <f t="shared" si="47"/>
        <v>37.683333330787718</v>
      </c>
      <c r="O118" s="7"/>
      <c r="P118" s="7"/>
      <c r="Q118" s="22"/>
      <c r="R118" s="190"/>
      <c r="S118" s="196">
        <f t="shared" si="48"/>
        <v>1</v>
      </c>
      <c r="T118" s="190" t="str">
        <f t="shared" si="30"/>
        <v>NorthBound</v>
      </c>
      <c r="U118" s="190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1" t="str">
        <f t="shared" si="31"/>
        <v>https://d0f6bd738d7f1b3e5a7ca70fe4ff75f0.us-east-1.aws.found.io/app/kibana#/discover/Steve-Slow-Train-Analysis-(2080s-and-2083s)?_g=(refreshInterval:(display:Off,pause:!f,section:0,value:0),time:(from:'2017-04-28T15:41:51-0600',mode:absolute,to:'2017-04-28T18:22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18" s="192" t="str">
        <f t="shared" si="32"/>
        <v>N</v>
      </c>
      <c r="X118" s="192">
        <f t="shared" si="46"/>
        <v>1</v>
      </c>
      <c r="Y118" s="192">
        <f t="shared" si="33"/>
        <v>4.8899999999999999E-2</v>
      </c>
      <c r="Z118" s="192">
        <f t="shared" si="34"/>
        <v>23.3293</v>
      </c>
      <c r="AA118" s="192">
        <f t="shared" si="35"/>
        <v>23.2804</v>
      </c>
      <c r="AB118" s="57" t="e">
        <f>VLOOKUP(A118,Enforcements!$C$7:$K$13,8,0)</f>
        <v>#N/A</v>
      </c>
      <c r="AC118" s="53" t="e">
        <f>VLOOKUP(A118,Enforcements!$C$7:$E$13,3,0)</f>
        <v>#N/A</v>
      </c>
      <c r="AD118" s="54" t="str">
        <f t="shared" si="36"/>
        <v>0205-28</v>
      </c>
      <c r="AE118" s="80" t="str">
        <f t="shared" si="37"/>
        <v>aws s3 cp s3://rtdc.mdm.uploadarchive.raw/RTDC4064/ "%USERPROFILE%\AppData\Local\Temp\OnboardLogs"\RTDC4064\2017-04-28 --exclude "*" --recursive --include "*20170428*" &amp; "%USERPROFILE%\Documents\GitHub\mrs-test-scripts\Headless Mode &amp; Sideloading\WalkAndUnGZ.bat" "%USERPROFILE%\AppData\Local\Temp\OnboardLogs"\RTDC4064\2017-04-28 &amp; aws s3 cp s3://rtdc.mdm.uploadarchive.raw/RTDC4064/ "%USERPROFILE%\AppData\Local\Temp\OnboardLogs"\RTDC4064\2017-04-29 --exclude "*" --recursive --include "*20170429*" &amp; "%USERPROFILE%\Documents\GitHub\mrs-test-scripts\Headless Mode &amp; Sideloading\WalkAndUnGZ.bat" "%USERPROFILE%\AppData\Local\Temp\OnboardLogs"\RTDC4064\2017-04-29</v>
      </c>
      <c r="AF118" s="77" t="str">
        <f t="shared" si="38"/>
        <v>"C:\Program Files (x86)\AstroGrep\AstroGrep.exe" /e /r /s /spath="%USERPROFILE%\AppData\Local\Temp\OnboardLogs" /stypes="app*4064*20170428*" /stext=" 23:.+((SYSTEM_STATE.+slice.+state.+changed )|(ment ac)|(multiple cpu faults)|(system.+state.+changed )|(\[timeout)|(PRM\|1\|D)|(kpr)|(kdp)|(train.+moving)|(\|lc)|(penalty))"</v>
      </c>
      <c r="AG118" s="1" t="str">
        <f t="shared" si="39"/>
        <v>EC</v>
      </c>
      <c r="AH118" s="81" t="str">
        <f t="shared" si="40"/>
        <v>"%USERPROFILE%\Documents\GitHub\eaglep3\Utilities\RefineRTDCRunTimes.py" --tripid 205-28 --locoid 4064 --swversion DE.1.0.9.0 --startMP 204:489 --initTime 2017-04-28T16:41:51 --startdatetime 2017-04-28T16:45:15 --delay 1 --endMP 204:233293 --enddatetime 2017-04-28T17:22:56 --enforcementcount 0 &gt;&gt;C:\Users\stu\Documents\GitHub\eaglep3-reporting\EC\2017-04-28-refined-times.txt</v>
      </c>
      <c r="AI118" s="99" t="str">
        <f t="shared" si="41"/>
        <v>echo {"issue":{"subject":"","project_id":79,"tracker_id":40,"status_id":1,"priority_id":2,"assigned_to_id":23,"start_date":"2017-04-28","description":"","custom_fields":[{"id":1,"name":"Subdivision","value":"EC"},{"id":4,"name":"Milepost","value":"23.3293"},{"id":17,"name":"Train ID","value":"205-28"},{"id":16,"name":"Locomotive ID","value":"4064"},{"id":130,"name":"Impact","value":""},{"id":150,"name":"Time of Event (Mountain Time)","value":"17:22:56"},{"id":151,"name":"Denver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5" t="str">
        <f t="shared" si="42"/>
        <v>start /low /b %USERPROFILE%\Documents\GitHub\eaglep3\Utilities\DownloadLogsFromS3.py --loco 4064 --day 2017-04-28</v>
      </c>
      <c r="AN118" s="154" t="str">
        <f t="shared" si="43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23:22:56"},{"id":29,"name":"Sharepoint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783</v>
      </c>
      <c r="B119" s="7">
        <v>4063</v>
      </c>
      <c r="C119" s="21" t="s">
        <v>211</v>
      </c>
      <c r="D119" s="21" t="s">
        <v>555</v>
      </c>
      <c r="E119" s="13">
        <v>42853.732314814813</v>
      </c>
      <c r="F119" s="13">
        <v>42853.736979166664</v>
      </c>
      <c r="G119" s="7">
        <v>1</v>
      </c>
      <c r="H119" s="21" t="s">
        <v>907</v>
      </c>
      <c r="I119" s="13">
        <v>42853.765949074077</v>
      </c>
      <c r="J119" s="7">
        <v>0</v>
      </c>
      <c r="K119" s="92" t="str">
        <f t="shared" si="27"/>
        <v>4063/4064</v>
      </c>
      <c r="L119" s="21" t="str">
        <f>VLOOKUP(A119,'Trips&amp;Operators'!$C$1:$G$99999,5,FALSE)</f>
        <v>CLARK KATHLEEN</v>
      </c>
      <c r="M119" s="6">
        <f t="shared" si="28"/>
        <v>2.8969907412829343E-2</v>
      </c>
      <c r="N119" s="7">
        <f t="shared" si="47"/>
        <v>41.716666674474254</v>
      </c>
      <c r="O119" s="7"/>
      <c r="P119" s="7"/>
      <c r="Q119" s="22"/>
      <c r="R119" s="190"/>
      <c r="S119" s="196">
        <f t="shared" si="48"/>
        <v>1</v>
      </c>
      <c r="T119" s="190" t="str">
        <f t="shared" si="30"/>
        <v>Southbound</v>
      </c>
      <c r="U119" s="190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1" t="str">
        <f t="shared" si="31"/>
        <v>https://d0f6bd738d7f1b3e5a7ca70fe4ff75f0.us-east-1.aws.found.io/app/kibana#/discover/Steve-Slow-Train-Analysis-(2080s-and-2083s)?_g=(refreshInterval:(display:Off,pause:!f,section:0,value:0),time:(from:'2017-04-28T16:34:32-0600',mode:absolute,to:'2017-04-28T19:22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19" s="192" t="str">
        <f t="shared" si="32"/>
        <v>N</v>
      </c>
      <c r="X119" s="192">
        <f t="shared" si="46"/>
        <v>1</v>
      </c>
      <c r="Y119" s="192">
        <f t="shared" si="33"/>
        <v>23.297000000000001</v>
      </c>
      <c r="Z119" s="192">
        <f t="shared" si="34"/>
        <v>1.9099999999999999E-2</v>
      </c>
      <c r="AA119" s="192">
        <f t="shared" si="35"/>
        <v>23.277899999999999</v>
      </c>
      <c r="AB119" s="57" t="e">
        <f>VLOOKUP(A119,Enforcements!$C$7:$K$13,8,0)</f>
        <v>#N/A</v>
      </c>
      <c r="AC119" s="53" t="e">
        <f>VLOOKUP(A119,Enforcements!$C$7:$E$13,3,0)</f>
        <v>#N/A</v>
      </c>
      <c r="AD119" s="54" t="str">
        <f t="shared" si="36"/>
        <v>0206-28</v>
      </c>
      <c r="AE119" s="80" t="str">
        <f t="shared" si="37"/>
        <v>aws s3 cp s3://rtdc.mdm.uploadarchive.raw/RTDC4063/ "%USERPROFILE%\AppData\Local\Temp\OnboardLogs"\RTDC4063\2017-04-28 --exclude "*" --recursive --include "*20170428*" &amp; "%USERPROFILE%\Documents\GitHub\mrs-test-scripts\Headless Mode &amp; Sideloading\WalkAndUnGZ.bat" "%USERPROFILE%\AppData\Local\Temp\OnboardLogs"\RTDC4063\2017-04-28 &amp; aws s3 cp s3://rtdc.mdm.uploadarchive.raw/RTDC4063/ "%USERPROFILE%\AppData\Local\Temp\OnboardLogs"\RTDC4063\2017-04-29 --exclude "*" --recursive --include "*20170429*" &amp; "%USERPROFILE%\Documents\GitHub\mrs-test-scripts\Headless Mode &amp; Sideloading\WalkAndUnGZ.bat" "%USERPROFILE%\AppData\Local\Temp\OnboardLogs"\RTDC4063\2017-04-29</v>
      </c>
      <c r="AF119" s="77" t="str">
        <f t="shared" si="38"/>
        <v>"C:\Program Files (x86)\AstroGrep\AstroGrep.exe" /e /r /s /spath="%USERPROFILE%\AppData\Local\Temp\OnboardLogs" /stypes="app*4063*20170429*" /stext=" 00:.+((SYSTEM_STATE.+slice.+state.+changed )|(ment ac)|(multiple cpu faults)|(system.+state.+changed )|(\[timeout)|(PRM\|1\|D)|(kpr)|(kdp)|(train.+moving)|(\|lc)|(penalty))"</v>
      </c>
      <c r="AG119" s="1" t="str">
        <f t="shared" si="39"/>
        <v>EC</v>
      </c>
      <c r="AH119" s="81" t="str">
        <f t="shared" si="40"/>
        <v>"%USERPROFILE%\Documents\GitHub\eaglep3\Utilities\RefineRTDCRunTimes.py" --tripid 206-28 --locoid 4063 --swversion DE.1.0.9.0 --startMP 204:232970 --initTime 2017-04-28T17:34:32 --startdatetime 2017-04-28T17:41:15 --delay 1 --endMP 204:191 --enddatetime 2017-04-28T18:22:58 --enforcementcount 0 &gt;&gt;C:\Users\stu\Documents\GitHub\eaglep3-reporting\EC\2017-04-28-refined-times.txt</v>
      </c>
      <c r="AI119" s="99" t="str">
        <f t="shared" si="41"/>
        <v>echo {"issue":{"subject":"","project_id":79,"tracker_id":40,"status_id":1,"priority_id":2,"assigned_to_id":23,"start_date":"2017-04-28","description":"","custom_fields":[{"id":1,"name":"Subdivision","value":"EC"},{"id":4,"name":"Milepost","value":"0.0191"},{"id":17,"name":"Train ID","value":"206-28"},{"id":16,"name":"Locomotive ID","value":"4063"},{"id":130,"name":"Impact","value":""},{"id":150,"name":"Time of Event (Mountain Time)","value":"18:22:58"},{"id":151,"name":"Denver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5" t="str">
        <f t="shared" si="42"/>
        <v>start /low /b %USERPROFILE%\Documents\GitHub\eaglep3\Utilities\DownloadLogsFromS3.py --loco 4063 --day 2017-04-28</v>
      </c>
      <c r="AN119" s="154" t="str">
        <f t="shared" si="43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00:22:58"},{"id":29,"name":"Sharepoint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776</v>
      </c>
      <c r="B120" s="7">
        <v>4022</v>
      </c>
      <c r="C120" s="21" t="s">
        <v>211</v>
      </c>
      <c r="D120" s="21" t="s">
        <v>407</v>
      </c>
      <c r="E120" s="13">
        <v>42853.704988425925</v>
      </c>
      <c r="F120" s="13">
        <v>42853.708506944444</v>
      </c>
      <c r="G120" s="7">
        <v>2</v>
      </c>
      <c r="H120" s="21" t="s">
        <v>491</v>
      </c>
      <c r="I120" s="13">
        <v>42853.733923611115</v>
      </c>
      <c r="J120" s="7">
        <v>0</v>
      </c>
      <c r="K120" s="92" t="str">
        <f t="shared" si="27"/>
        <v>4021/4022</v>
      </c>
      <c r="L120" s="21" t="str">
        <f>VLOOKUP(A120,'Trips&amp;Operators'!$C$1:$G$99999,5,FALSE)</f>
        <v>SULLIVAN BRANDON</v>
      </c>
      <c r="M120" s="6">
        <f t="shared" si="28"/>
        <v>2.5416666670935228E-2</v>
      </c>
      <c r="N120" s="7">
        <f t="shared" si="47"/>
        <v>36.600000006146729</v>
      </c>
      <c r="O120" s="7"/>
      <c r="P120" s="7"/>
      <c r="Q120" s="22"/>
      <c r="R120" s="190"/>
      <c r="S120" s="196">
        <f t="shared" si="48"/>
        <v>1</v>
      </c>
      <c r="T120" s="190" t="str">
        <f t="shared" si="30"/>
        <v>NorthBound</v>
      </c>
      <c r="U120" s="190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1" t="str">
        <f t="shared" si="31"/>
        <v>https://d0f6bd738d7f1b3e5a7ca70fe4ff75f0.us-east-1.aws.found.io/app/kibana#/discover/Steve-Slow-Train-Analysis-(2080s-and-2083s)?_g=(refreshInterval:(display:Off,pause:!f,section:0,value:0),time:(from:'2017-04-28T15:55:11-0600',mode:absolute,to:'2017-04-28T18:36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20" s="192" t="str">
        <f t="shared" si="32"/>
        <v>N</v>
      </c>
      <c r="X120" s="192">
        <f t="shared" si="46"/>
        <v>1</v>
      </c>
      <c r="Y120" s="192">
        <f t="shared" si="33"/>
        <v>4.6699999999999998E-2</v>
      </c>
      <c r="Z120" s="192">
        <f t="shared" si="34"/>
        <v>23.329899999999999</v>
      </c>
      <c r="AA120" s="192">
        <f t="shared" si="35"/>
        <v>23.283199999999997</v>
      </c>
      <c r="AB120" s="57" t="e">
        <f>VLOOKUP(A120,Enforcements!$C$7:$K$13,8,0)</f>
        <v>#N/A</v>
      </c>
      <c r="AC120" s="53" t="e">
        <f>VLOOKUP(A120,Enforcements!$C$7:$E$13,3,0)</f>
        <v>#N/A</v>
      </c>
      <c r="AD120" s="54" t="str">
        <f t="shared" si="36"/>
        <v>0207-28</v>
      </c>
      <c r="AE120" s="80" t="str">
        <f t="shared" si="37"/>
        <v>aws s3 cp s3://rtdc.mdm.uploadarchive.raw/RTDC4022/ "%USERPROFILE%\AppData\Local\Temp\OnboardLogs"\RTDC4022\2017-04-28 --exclude "*" --recursive --include "*20170428*" &amp; "%USERPROFILE%\Documents\GitHub\mrs-test-scripts\Headless Mode &amp; Sideloading\WalkAndUnGZ.bat" "%USERPROFILE%\AppData\Local\Temp\OnboardLogs"\RTDC4022\2017-04-28 &amp; aws s3 cp s3://rtdc.mdm.uploadarchive.raw/RTDC4022/ "%USERPROFILE%\AppData\Local\Temp\OnboardLogs"\RTDC4022\2017-04-29 --exclude "*" --recursive --include "*20170429*" &amp; "%USERPROFILE%\Documents\GitHub\mrs-test-scripts\Headless Mode &amp; Sideloading\WalkAndUnGZ.bat" "%USERPROFILE%\AppData\Local\Temp\OnboardLogs"\RTDC4022\2017-04-29</v>
      </c>
      <c r="AF120" s="77" t="str">
        <f t="shared" si="38"/>
        <v>"C:\Program Files (x86)\AstroGrep\AstroGrep.exe" /e /r /s /spath="%USERPROFILE%\AppData\Local\Temp\OnboardLogs" /stypes="app*4022*20170428*" /stext=" 23:.+((SYSTEM_STATE.+slice.+state.+changed )|(ment ac)|(multiple cpu faults)|(system.+state.+changed )|(\[timeout)|(PRM\|1\|D)|(kpr)|(kdp)|(train.+moving)|(\|lc)|(penalty))"</v>
      </c>
      <c r="AG120" s="1" t="str">
        <f t="shared" si="39"/>
        <v>EC</v>
      </c>
      <c r="AH120" s="81" t="str">
        <f t="shared" si="40"/>
        <v>"%USERPROFILE%\Documents\GitHub\eaglep3\Utilities\RefineRTDCRunTimes.py" --tripid 207-28 --locoid 4022 --swversion DE.1.0.9.0 --startMP 204:467 --initTime 2017-04-28T16:55:11 --startdatetime 2017-04-28T17:00:15 --delay 2 --endMP 204:233299 --enddatetime 2017-04-28T17:36:51 --enforcementcount 0 &gt;&gt;C:\Users\stu\Documents\GitHub\eaglep3-reporting\EC\2017-04-28-refined-times.txt</v>
      </c>
      <c r="AI120" s="99" t="str">
        <f t="shared" si="41"/>
        <v>echo {"issue":{"subject":"","project_id":79,"tracker_id":40,"status_id":1,"priority_id":2,"assigned_to_id":23,"start_date":"2017-04-28","description":"","custom_fields":[{"id":1,"name":"Subdivision","value":"EC"},{"id":4,"name":"Milepost","value":"23.3299"},{"id":17,"name":"Train ID","value":"207-28"},{"id":16,"name":"Locomotive ID","value":"4022"},{"id":130,"name":"Impact","value":""},{"id":150,"name":"Time of Event (Mountain Time)","value":"17:36:51"},{"id":151,"name":"Denver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5" t="str">
        <f t="shared" si="42"/>
        <v>start /low /b %USERPROFILE%\Documents\GitHub\eaglep3\Utilities\DownloadLogsFromS3.py --loco 4022 --day 2017-04-28</v>
      </c>
      <c r="AN120" s="154" t="str">
        <f t="shared" si="43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23:36:51"},{"id":29,"name":"Sharepoint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786</v>
      </c>
      <c r="B121" s="7">
        <v>4021</v>
      </c>
      <c r="C121" s="21" t="s">
        <v>211</v>
      </c>
      <c r="D121" s="21" t="s">
        <v>514</v>
      </c>
      <c r="E121" s="13">
        <v>42853.740254629629</v>
      </c>
      <c r="F121" s="13">
        <v>42853.747442129628</v>
      </c>
      <c r="G121" s="7">
        <v>1</v>
      </c>
      <c r="H121" s="21" t="s">
        <v>197</v>
      </c>
      <c r="I121" s="13">
        <v>42853.775752314818</v>
      </c>
      <c r="J121" s="7">
        <v>0</v>
      </c>
      <c r="K121" s="92" t="str">
        <f t="shared" si="27"/>
        <v>4021/4022</v>
      </c>
      <c r="L121" s="21" t="str">
        <f>VLOOKUP(A121,'Trips&amp;Operators'!$C$1:$G$99999,5,FALSE)</f>
        <v>SULLIVAN BRANDON</v>
      </c>
      <c r="M121" s="6">
        <f t="shared" si="28"/>
        <v>2.8310185189184267E-2</v>
      </c>
      <c r="N121" s="7">
        <f t="shared" si="47"/>
        <v>40.766666672425345</v>
      </c>
      <c r="O121" s="7"/>
      <c r="P121" s="7"/>
      <c r="Q121" s="22"/>
      <c r="R121" s="190"/>
      <c r="S121" s="196">
        <f t="shared" si="48"/>
        <v>1</v>
      </c>
      <c r="T121" s="190" t="str">
        <f t="shared" si="30"/>
        <v>Southbound</v>
      </c>
      <c r="U121" s="190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1" t="str">
        <f t="shared" si="31"/>
        <v>https://d0f6bd738d7f1b3e5a7ca70fe4ff75f0.us-east-1.aws.found.io/app/kibana#/discover/Steve-Slow-Train-Analysis-(2080s-and-2083s)?_g=(refreshInterval:(display:Off,pause:!f,section:0,value:0),time:(from:'2017-04-28T16:45:58-0600',mode:absolute,to:'2017-04-28T19:37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21" s="192" t="str">
        <f t="shared" si="32"/>
        <v>N</v>
      </c>
      <c r="X121" s="192">
        <f t="shared" si="46"/>
        <v>1</v>
      </c>
      <c r="Y121" s="192">
        <f t="shared" si="33"/>
        <v>23.297999999999998</v>
      </c>
      <c r="Z121" s="192">
        <f t="shared" si="34"/>
        <v>1.52E-2</v>
      </c>
      <c r="AA121" s="192">
        <f t="shared" si="35"/>
        <v>23.282799999999998</v>
      </c>
      <c r="AB121" s="57" t="e">
        <f>VLOOKUP(A121,Enforcements!$C$7:$K$13,8,0)</f>
        <v>#N/A</v>
      </c>
      <c r="AC121" s="53" t="e">
        <f>VLOOKUP(A121,Enforcements!$C$7:$E$13,3,0)</f>
        <v>#N/A</v>
      </c>
      <c r="AD121" s="54" t="str">
        <f t="shared" si="36"/>
        <v>0208-28</v>
      </c>
      <c r="AE121" s="80" t="str">
        <f t="shared" si="37"/>
        <v>aws s3 cp s3://rtdc.mdm.uploadarchive.raw/RTDC4021/ "%USERPROFILE%\AppData\Local\Temp\OnboardLogs"\RTDC4021\2017-04-28 --exclude "*" --recursive --include "*20170428*" &amp; "%USERPROFILE%\Documents\GitHub\mrs-test-scripts\Headless Mode &amp; Sideloading\WalkAndUnGZ.bat" "%USERPROFILE%\AppData\Local\Temp\OnboardLogs"\RTDC4021\2017-04-28 &amp; aws s3 cp s3://rtdc.mdm.uploadarchive.raw/RTDC4021/ "%USERPROFILE%\AppData\Local\Temp\OnboardLogs"\RTDC4021\2017-04-29 --exclude "*" --recursive --include "*20170429*" &amp; "%USERPROFILE%\Documents\GitHub\mrs-test-scripts\Headless Mode &amp; Sideloading\WalkAndUnGZ.bat" "%USERPROFILE%\AppData\Local\Temp\OnboardLogs"\RTDC4021\2017-04-29</v>
      </c>
      <c r="AF121" s="77" t="str">
        <f t="shared" si="38"/>
        <v>"C:\Program Files (x86)\AstroGrep\AstroGrep.exe" /e /r /s /spath="%USERPROFILE%\AppData\Local\Temp\OnboardLogs" /stypes="app*4021*20170429*" /stext=" 00:.+((SYSTEM_STATE.+slice.+state.+changed )|(ment ac)|(multiple cpu faults)|(system.+state.+changed )|(\[timeout)|(PRM\|1\|D)|(kpr)|(kdp)|(train.+moving)|(\|lc)|(penalty))"</v>
      </c>
      <c r="AG121" s="1" t="str">
        <f t="shared" si="39"/>
        <v>EC</v>
      </c>
      <c r="AH121" s="81" t="str">
        <f t="shared" si="40"/>
        <v>"%USERPROFILE%\Documents\GitHub\eaglep3\Utilities\RefineRTDCRunTimes.py" --tripid 208-28 --locoid 4021 --swversion DE.1.0.9.0 --startMP 204:232980 --initTime 2017-04-28T17:45:58 --startdatetime 2017-04-28T17:56:19 --delay 1 --endMP 204:152 --enddatetime 2017-04-28T18:37:05 --enforcementcount 0 &gt;&gt;C:\Users\stu\Documents\GitHub\eaglep3-reporting\EC\2017-04-28-refined-times.txt</v>
      </c>
      <c r="AI121" s="99" t="str">
        <f t="shared" si="41"/>
        <v>echo {"issue":{"subject":"","project_id":79,"tracker_id":40,"status_id":1,"priority_id":2,"assigned_to_id":23,"start_date":"2017-04-28","description":"","custom_fields":[{"id":1,"name":"Subdivision","value":"EC"},{"id":4,"name":"Milepost","value":"0.0152"},{"id":17,"name":"Train ID","value":"208-28"},{"id":16,"name":"Locomotive ID","value":"4021"},{"id":130,"name":"Impact","value":""},{"id":150,"name":"Time of Event (Mountain Time)","value":"18:37:05"},{"id":151,"name":"Denver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5" t="str">
        <f t="shared" si="42"/>
        <v>start /low /b %USERPROFILE%\Documents\GitHub\eaglep3\Utilities\DownloadLogsFromS3.py --loco 4021 --day 2017-04-28</v>
      </c>
      <c r="AN121" s="154" t="str">
        <f t="shared" si="43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00:37:05"},{"id":29,"name":"Sharepoint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778</v>
      </c>
      <c r="B122" s="7">
        <v>4042</v>
      </c>
      <c r="C122" s="21" t="s">
        <v>211</v>
      </c>
      <c r="D122" s="21" t="s">
        <v>390</v>
      </c>
      <c r="E122" s="13">
        <v>42853.713553240741</v>
      </c>
      <c r="F122" s="13">
        <v>42853.719189814816</v>
      </c>
      <c r="G122" s="7">
        <v>1</v>
      </c>
      <c r="H122" s="21" t="s">
        <v>464</v>
      </c>
      <c r="I122" s="13">
        <v>42853.74591435185</v>
      </c>
      <c r="J122" s="7">
        <v>0</v>
      </c>
      <c r="K122" s="92" t="str">
        <f t="shared" si="27"/>
        <v>4041/4042</v>
      </c>
      <c r="L122" s="21" t="str">
        <f>VLOOKUP(A122,'Trips&amp;Operators'!$C$1:$G$99999,5,FALSE)</f>
        <v>LAMAR NEKESHA</v>
      </c>
      <c r="M122" s="6">
        <f t="shared" si="28"/>
        <v>2.6724537034169771E-2</v>
      </c>
      <c r="N122" s="7">
        <f t="shared" si="47"/>
        <v>38.48333332920447</v>
      </c>
      <c r="O122" s="7"/>
      <c r="P122" s="7"/>
      <c r="Q122" s="22"/>
      <c r="R122" s="190"/>
      <c r="S122" s="196">
        <f t="shared" si="48"/>
        <v>1</v>
      </c>
      <c r="T122" s="190" t="str">
        <f t="shared" si="30"/>
        <v>NorthBound</v>
      </c>
      <c r="U122" s="190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1" t="str">
        <f t="shared" si="31"/>
        <v>https://d0f6bd738d7f1b3e5a7ca70fe4ff75f0.us-east-1.aws.found.io/app/kibana#/discover/Steve-Slow-Train-Analysis-(2080s-and-2083s)?_g=(refreshInterval:(display:Off,pause:!f,section:0,value:0),time:(from:'2017-04-28T16:07:31-0600',mode:absolute,to:'2017-04-28T18:54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22" s="192" t="str">
        <f t="shared" si="32"/>
        <v>N</v>
      </c>
      <c r="X122" s="192">
        <f t="shared" si="46"/>
        <v>1</v>
      </c>
      <c r="Y122" s="192">
        <f t="shared" si="33"/>
        <v>4.58E-2</v>
      </c>
      <c r="Z122" s="192">
        <f t="shared" si="34"/>
        <v>23.329799999999999</v>
      </c>
      <c r="AA122" s="192">
        <f t="shared" si="35"/>
        <v>23.283999999999999</v>
      </c>
      <c r="AB122" s="57" t="e">
        <f>VLOOKUP(A122,Enforcements!$C$7:$K$13,8,0)</f>
        <v>#N/A</v>
      </c>
      <c r="AC122" s="53" t="e">
        <f>VLOOKUP(A122,Enforcements!$C$7:$E$13,3,0)</f>
        <v>#N/A</v>
      </c>
      <c r="AD122" s="54" t="str">
        <f t="shared" si="36"/>
        <v>0209-28</v>
      </c>
      <c r="AE122" s="80" t="str">
        <f t="shared" si="37"/>
        <v>aws s3 cp s3://rtdc.mdm.uploadarchive.raw/RTDC4042/ "%USERPROFILE%\AppData\Local\Temp\OnboardLogs"\RTDC4042\2017-04-28 --exclude "*" --recursive --include "*20170428*" &amp; "%USERPROFILE%\Documents\GitHub\mrs-test-scripts\Headless Mode &amp; Sideloading\WalkAndUnGZ.bat" "%USERPROFILE%\AppData\Local\Temp\OnboardLogs"\RTDC4042\2017-04-28 &amp; aws s3 cp s3://rtdc.mdm.uploadarchive.raw/RTDC4042/ "%USERPROFILE%\AppData\Local\Temp\OnboardLogs"\RTDC4042\2017-04-29 --exclude "*" --recursive --include "*20170429*" &amp; "%USERPROFILE%\Documents\GitHub\mrs-test-scripts\Headless Mode &amp; Sideloading\WalkAndUnGZ.bat" "%USERPROFILE%\AppData\Local\Temp\OnboardLogs"\RTDC4042\2017-04-29</v>
      </c>
      <c r="AF122" s="77" t="str">
        <f t="shared" si="38"/>
        <v>"C:\Program Files (x86)\AstroGrep\AstroGrep.exe" /e /r /s /spath="%USERPROFILE%\AppData\Local\Temp\OnboardLogs" /stypes="app*4042*20170428*" /stext=" 23:.+((SYSTEM_STATE.+slice.+state.+changed )|(ment ac)|(multiple cpu faults)|(system.+state.+changed )|(\[timeout)|(PRM\|1\|D)|(kpr)|(kdp)|(train.+moving)|(\|lc)|(penalty))"</v>
      </c>
      <c r="AG122" s="1" t="str">
        <f t="shared" si="39"/>
        <v>EC</v>
      </c>
      <c r="AH122" s="81" t="str">
        <f t="shared" si="40"/>
        <v>"%USERPROFILE%\Documents\GitHub\eaglep3\Utilities\RefineRTDCRunTimes.py" --tripid 209-28 --locoid 4042 --swversion DE.1.0.9.0 --startMP 204:458 --initTime 2017-04-28T17:07:31 --startdatetime 2017-04-28T17:15:38 --delay 1 --endMP 204:233298 --enddatetime 2017-04-28T17:54:07 --enforcementcount 0 &gt;&gt;C:\Users\stu\Documents\GitHub\eaglep3-reporting\EC\2017-04-28-refined-times.txt</v>
      </c>
      <c r="AI122" s="99" t="str">
        <f t="shared" si="41"/>
        <v>echo {"issue":{"subject":"","project_id":79,"tracker_id":40,"status_id":1,"priority_id":2,"assigned_to_id":23,"start_date":"2017-04-28","description":"","custom_fields":[{"id":1,"name":"Subdivision","value":"EC"},{"id":4,"name":"Milepost","value":"23.3298"},{"id":17,"name":"Train ID","value":"209-28"},{"id":16,"name":"Locomotive ID","value":"4042"},{"id":130,"name":"Impact","value":""},{"id":150,"name":"Time of Event (Mountain Time)","value":"17:54:07"},{"id":151,"name":"Denver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5" t="str">
        <f t="shared" si="42"/>
        <v>start /low /b %USERPROFILE%\Documents\GitHub\eaglep3\Utilities\DownloadLogsFromS3.py --loco 4042 --day 2017-04-28</v>
      </c>
      <c r="AN122" s="154" t="str">
        <f t="shared" si="43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23:54:07"},{"id":29,"name":"Sharepoint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788</v>
      </c>
      <c r="B123" s="7">
        <v>4041</v>
      </c>
      <c r="C123" s="21" t="s">
        <v>211</v>
      </c>
      <c r="D123" s="21" t="s">
        <v>885</v>
      </c>
      <c r="E123" s="13">
        <v>42853.754108796296</v>
      </c>
      <c r="F123" s="13">
        <v>42853.757974537039</v>
      </c>
      <c r="G123" s="7">
        <v>1</v>
      </c>
      <c r="H123" s="21" t="s">
        <v>203</v>
      </c>
      <c r="I123" s="13">
        <v>42853.78465277778</v>
      </c>
      <c r="J123" s="7">
        <v>0</v>
      </c>
      <c r="K123" s="92" t="str">
        <f t="shared" si="27"/>
        <v>4041/4042</v>
      </c>
      <c r="L123" s="21" t="str">
        <f>VLOOKUP(A123,'Trips&amp;Operators'!$C$1:$G$99999,5,FALSE)</f>
        <v>LAMAR NEKESHA</v>
      </c>
      <c r="M123" s="6">
        <f t="shared" si="28"/>
        <v>2.6678240741603076E-2</v>
      </c>
      <c r="N123" s="7">
        <f t="shared" si="47"/>
        <v>38.41666666790843</v>
      </c>
      <c r="O123" s="7"/>
      <c r="P123" s="7"/>
      <c r="Q123" s="22"/>
      <c r="R123" s="190"/>
      <c r="S123" s="196">
        <f t="shared" si="48"/>
        <v>1</v>
      </c>
      <c r="T123" s="190" t="str">
        <f t="shared" si="30"/>
        <v>Southbound</v>
      </c>
      <c r="U123" s="190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1" t="str">
        <f t="shared" si="31"/>
        <v>https://d0f6bd738d7f1b3e5a7ca70fe4ff75f0.us-east-1.aws.found.io/app/kibana#/discover/Steve-Slow-Train-Analysis-(2080s-and-2083s)?_g=(refreshInterval:(display:Off,pause:!f,section:0,value:0),time:(from:'2017-04-28T17:05:55-0600',mode:absolute,to:'2017-04-28T19:49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23" s="192" t="str">
        <f t="shared" si="32"/>
        <v>N</v>
      </c>
      <c r="X123" s="192">
        <f t="shared" si="46"/>
        <v>1</v>
      </c>
      <c r="Y123" s="192">
        <f t="shared" si="33"/>
        <v>23.297599999999999</v>
      </c>
      <c r="Z123" s="192">
        <f t="shared" si="34"/>
        <v>1.54E-2</v>
      </c>
      <c r="AA123" s="192">
        <f t="shared" si="35"/>
        <v>23.2822</v>
      </c>
      <c r="AB123" s="57" t="e">
        <f>VLOOKUP(A123,Enforcements!$C$7:$K$13,8,0)</f>
        <v>#N/A</v>
      </c>
      <c r="AC123" s="53" t="e">
        <f>VLOOKUP(A123,Enforcements!$C$7:$E$13,3,0)</f>
        <v>#N/A</v>
      </c>
      <c r="AD123" s="54" t="str">
        <f t="shared" si="36"/>
        <v>0210-28</v>
      </c>
      <c r="AE123" s="80" t="str">
        <f t="shared" si="37"/>
        <v>aws s3 cp s3://rtdc.mdm.uploadarchive.raw/RTDC4041/ "%USERPROFILE%\AppData\Local\Temp\OnboardLogs"\RTDC4041\2017-04-28 --exclude "*" --recursive --include "*20170428*" &amp; "%USERPROFILE%\Documents\GitHub\mrs-test-scripts\Headless Mode &amp; Sideloading\WalkAndUnGZ.bat" "%USERPROFILE%\AppData\Local\Temp\OnboardLogs"\RTDC4041\2017-04-28 &amp; aws s3 cp s3://rtdc.mdm.uploadarchive.raw/RTDC4041/ "%USERPROFILE%\AppData\Local\Temp\OnboardLogs"\RTDC4041\2017-04-29 --exclude "*" --recursive --include "*20170429*" &amp; "%USERPROFILE%\Documents\GitHub\mrs-test-scripts\Headless Mode &amp; Sideloading\WalkAndUnGZ.bat" "%USERPROFILE%\AppData\Local\Temp\OnboardLogs"\RTDC4041\2017-04-29</v>
      </c>
      <c r="AF123" s="77" t="str">
        <f t="shared" si="38"/>
        <v>"C:\Program Files (x86)\AstroGrep\AstroGrep.exe" /e /r /s /spath="%USERPROFILE%\AppData\Local\Temp\OnboardLogs" /stypes="app*4041*20170429*" /stext=" 00:.+((SYSTEM_STATE.+slice.+state.+changed )|(ment ac)|(multiple cpu faults)|(system.+state.+changed )|(\[timeout)|(PRM\|1\|D)|(kpr)|(kdp)|(train.+moving)|(\|lc)|(penalty))"</v>
      </c>
      <c r="AG123" s="1" t="str">
        <f t="shared" si="39"/>
        <v>EC</v>
      </c>
      <c r="AH123" s="81" t="str">
        <f t="shared" si="40"/>
        <v>"%USERPROFILE%\Documents\GitHub\eaglep3\Utilities\RefineRTDCRunTimes.py" --tripid 210-28 --locoid 4041 --swversion DE.1.0.9.0 --startMP 204:232976 --initTime 2017-04-28T18:05:55 --startdatetime 2017-04-28T18:11:29 --delay 1 --endMP 204:154 --enddatetime 2017-04-28T18:49:54 --enforcementcount 0 &gt;&gt;C:\Users\stu\Documents\GitHub\eaglep3-reporting\EC\2017-04-28-refined-times.txt</v>
      </c>
      <c r="AI123" s="99" t="str">
        <f t="shared" si="41"/>
        <v>echo {"issue":{"subject":"","project_id":79,"tracker_id":40,"status_id":1,"priority_id":2,"assigned_to_id":23,"start_date":"2017-04-28","description":"","custom_fields":[{"id":1,"name":"Subdivision","value":"EC"},{"id":4,"name":"Milepost","value":"0.0154"},{"id":17,"name":"Train ID","value":"210-28"},{"id":16,"name":"Locomotive ID","value":"4041"},{"id":130,"name":"Impact","value":""},{"id":150,"name":"Time of Event (Mountain Time)","value":"18:49:54"},{"id":151,"name":"Denver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5" t="str">
        <f t="shared" si="42"/>
        <v>start /low /b %USERPROFILE%\Documents\GitHub\eaglep3\Utilities\DownloadLogsFromS3.py --loco 4041 --day 2017-04-28</v>
      </c>
      <c r="AN123" s="154" t="str">
        <f t="shared" si="43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00:49:54"},{"id":29,"name":"Sharepoint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782</v>
      </c>
      <c r="B124" s="7">
        <v>4016</v>
      </c>
      <c r="C124" s="21" t="s">
        <v>211</v>
      </c>
      <c r="D124" s="21" t="s">
        <v>908</v>
      </c>
      <c r="E124" s="13">
        <v>42853.724849537037</v>
      </c>
      <c r="F124" s="13">
        <v>42853.729398148149</v>
      </c>
      <c r="G124" s="7">
        <v>2</v>
      </c>
      <c r="H124" s="21" t="s">
        <v>479</v>
      </c>
      <c r="I124" s="13">
        <v>42853.757407407407</v>
      </c>
      <c r="J124" s="7">
        <v>0</v>
      </c>
      <c r="K124" s="92" t="str">
        <f t="shared" si="27"/>
        <v>4015/4016</v>
      </c>
      <c r="L124" s="21" t="str">
        <f>VLOOKUP(A124,'Trips&amp;Operators'!$C$1:$G$99999,5,FALSE)</f>
        <v>BRANDNER MELINDA</v>
      </c>
      <c r="M124" s="6">
        <f t="shared" si="28"/>
        <v>2.8009259258396924E-2</v>
      </c>
      <c r="N124" s="7">
        <f t="shared" si="47"/>
        <v>40.33333333209157</v>
      </c>
      <c r="O124" s="7"/>
      <c r="P124" s="7"/>
      <c r="Q124" s="22"/>
      <c r="R124" s="190"/>
      <c r="S124" s="196">
        <f t="shared" si="48"/>
        <v>1</v>
      </c>
      <c r="T124" s="190" t="str">
        <f t="shared" si="30"/>
        <v>NorthBound</v>
      </c>
      <c r="U124" s="190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1" t="str">
        <f t="shared" si="31"/>
        <v>https://d0f6bd738d7f1b3e5a7ca70fe4ff75f0.us-east-1.aws.found.io/app/kibana#/discover/Steve-Slow-Train-Analysis-(2080s-and-2083s)?_g=(refreshInterval:(display:Off,pause:!f,section:0,value:0),time:(from:'2017-04-28T16:23:47-0600',mode:absolute,to:'2017-04-28T19:10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24" s="192" t="str">
        <f t="shared" si="32"/>
        <v>N</v>
      </c>
      <c r="X124" s="192">
        <f t="shared" si="46"/>
        <v>1</v>
      </c>
      <c r="Y124" s="192">
        <f t="shared" si="33"/>
        <v>4.2000000000000003E-2</v>
      </c>
      <c r="Z124" s="192">
        <f t="shared" si="34"/>
        <v>23.3307</v>
      </c>
      <c r="AA124" s="192">
        <f t="shared" si="35"/>
        <v>23.288699999999999</v>
      </c>
      <c r="AB124" s="57" t="e">
        <f>VLOOKUP(A124,Enforcements!$C$7:$K$13,8,0)</f>
        <v>#N/A</v>
      </c>
      <c r="AC124" s="53" t="e">
        <f>VLOOKUP(A124,Enforcements!$C$7:$E$13,3,0)</f>
        <v>#N/A</v>
      </c>
      <c r="AD124" s="54" t="str">
        <f t="shared" si="36"/>
        <v>0211-28</v>
      </c>
      <c r="AE124" s="80" t="str">
        <f t="shared" si="37"/>
        <v>aws s3 cp s3://rtdc.mdm.uploadarchive.raw/RTDC4016/ "%USERPROFILE%\AppData\Local\Temp\OnboardLogs"\RTDC4016\2017-04-28 --exclude "*" --recursive --include "*20170428*" &amp; "%USERPROFILE%\Documents\GitHub\mrs-test-scripts\Headless Mode &amp; Sideloading\WalkAndUnGZ.bat" "%USERPROFILE%\AppData\Local\Temp\OnboardLogs"\RTDC4016\2017-04-28 &amp; aws s3 cp s3://rtdc.mdm.uploadarchive.raw/RTDC4016/ "%USERPROFILE%\AppData\Local\Temp\OnboardLogs"\RTDC4016\2017-04-29 --exclude "*" --recursive --include "*20170429*" &amp; "%USERPROFILE%\Documents\GitHub\mrs-test-scripts\Headless Mode &amp; Sideloading\WalkAndUnGZ.bat" "%USERPROFILE%\AppData\Local\Temp\OnboardLogs"\RTDC4016\2017-04-29</v>
      </c>
      <c r="AF124" s="77" t="str">
        <f t="shared" si="38"/>
        <v>"C:\Program Files (x86)\AstroGrep\AstroGrep.exe" /e /r /s /spath="%USERPROFILE%\AppData\Local\Temp\OnboardLogs" /stypes="app*4016*20170429*" /stext=" 00:.+((SYSTEM_STATE.+slice.+state.+changed )|(ment ac)|(multiple cpu faults)|(system.+state.+changed )|(\[timeout)|(PRM\|1\|D)|(kpr)|(kdp)|(train.+moving)|(\|lc)|(penalty))"</v>
      </c>
      <c r="AG124" s="1" t="str">
        <f t="shared" si="39"/>
        <v>EC</v>
      </c>
      <c r="AH124" s="81" t="str">
        <f t="shared" si="40"/>
        <v>"%USERPROFILE%\Documents\GitHub\eaglep3\Utilities\RefineRTDCRunTimes.py" --tripid 211-28 --locoid 4016 --swversion DE.1.0.9.0 --startMP 204:420 --initTime 2017-04-28T17:23:47 --startdatetime 2017-04-28T17:30:20 --delay 2 --endMP 204:233307 --enddatetime 2017-04-28T18:10:40 --enforcementcount 0 &gt;&gt;C:\Users\stu\Documents\GitHub\eaglep3-reporting\EC\2017-04-28-refined-times.txt</v>
      </c>
      <c r="AI124" s="99" t="str">
        <f t="shared" si="41"/>
        <v>echo {"issue":{"subject":"","project_id":79,"tracker_id":40,"status_id":1,"priority_id":2,"assigned_to_id":23,"start_date":"2017-04-28","description":"","custom_fields":[{"id":1,"name":"Subdivision","value":"EC"},{"id":4,"name":"Milepost","value":"23.3307"},{"id":17,"name":"Train ID","value":"211-28"},{"id":16,"name":"Locomotive ID","value":"4016"},{"id":130,"name":"Impact","value":""},{"id":150,"name":"Time of Event (Mountain Time)","value":"18:10:40"},{"id":151,"name":"Denver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5" t="str">
        <f t="shared" si="42"/>
        <v>start /low /b %USERPROFILE%\Documents\GitHub\eaglep3\Utilities\DownloadLogsFromS3.py --loco 4016 --day 2017-04-28</v>
      </c>
      <c r="AN124" s="154" t="str">
        <f t="shared" si="43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00:10:40"},{"id":29,"name":"Sharepoint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631</v>
      </c>
      <c r="B125" s="7">
        <v>4015</v>
      </c>
      <c r="C125" s="21" t="s">
        <v>211</v>
      </c>
      <c r="D125" s="21" t="s">
        <v>422</v>
      </c>
      <c r="E125" s="13">
        <v>42853.764224537037</v>
      </c>
      <c r="F125" s="13">
        <v>42853.768391203703</v>
      </c>
      <c r="G125" s="7">
        <v>1</v>
      </c>
      <c r="H125" s="21" t="s">
        <v>387</v>
      </c>
      <c r="I125" s="13">
        <v>42853.796898148146</v>
      </c>
      <c r="J125" s="7">
        <v>0</v>
      </c>
      <c r="K125" s="92" t="str">
        <f t="shared" si="27"/>
        <v>4015/4016</v>
      </c>
      <c r="L125" s="21" t="str">
        <f>VLOOKUP(A125,'Trips&amp;Operators'!$C$1:$G$99999,5,FALSE)</f>
        <v>BRANDNER MELINDA</v>
      </c>
      <c r="M125" s="6">
        <f t="shared" si="28"/>
        <v>2.8506944443506654E-2</v>
      </c>
      <c r="N125" s="7">
        <f t="shared" si="47"/>
        <v>41.049999998649582</v>
      </c>
      <c r="O125" s="7"/>
      <c r="P125" s="7"/>
      <c r="Q125" s="22"/>
      <c r="R125" s="190"/>
      <c r="S125" s="196">
        <f t="shared" si="48"/>
        <v>1</v>
      </c>
      <c r="T125" s="190" t="str">
        <f t="shared" si="30"/>
        <v>Southbound</v>
      </c>
      <c r="U125" s="190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1" t="str">
        <f t="shared" si="31"/>
        <v>https://d0f6bd738d7f1b3e5a7ca70fe4ff75f0.us-east-1.aws.found.io/app/kibana#/discover/Steve-Slow-Train-Analysis-(2080s-and-2083s)?_g=(refreshInterval:(display:Off,pause:!f,section:0,value:0),time:(from:'2017-04-28T17:20:29-0600',mode:absolute,to:'2017-04-28T20:07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25" s="192" t="str">
        <f t="shared" si="32"/>
        <v>N</v>
      </c>
      <c r="X125" s="192">
        <f t="shared" si="46"/>
        <v>1</v>
      </c>
      <c r="Y125" s="192">
        <f t="shared" si="33"/>
        <v>23.299399999999999</v>
      </c>
      <c r="Z125" s="192">
        <f t="shared" si="34"/>
        <v>1.4500000000000001E-2</v>
      </c>
      <c r="AA125" s="192">
        <f t="shared" si="35"/>
        <v>23.284899999999997</v>
      </c>
      <c r="AB125" s="57" t="e">
        <f>VLOOKUP(A125,Enforcements!$C$7:$K$13,8,0)</f>
        <v>#N/A</v>
      </c>
      <c r="AC125" s="53" t="e">
        <f>VLOOKUP(A125,Enforcements!$C$7:$E$13,3,0)</f>
        <v>#N/A</v>
      </c>
      <c r="AD125" s="54" t="str">
        <f t="shared" si="36"/>
        <v>0212-28</v>
      </c>
      <c r="AE125" s="80" t="str">
        <f t="shared" si="37"/>
        <v>aws s3 cp s3://rtdc.mdm.uploadarchive.raw/RTDC4015/ "%USERPROFILE%\AppData\Local\Temp\OnboardLogs"\RTDC4015\2017-04-28 --exclude "*" --recursive --include "*20170428*" &amp; "%USERPROFILE%\Documents\GitHub\mrs-test-scripts\Headless Mode &amp; Sideloading\WalkAndUnGZ.bat" "%USERPROFILE%\AppData\Local\Temp\OnboardLogs"\RTDC4015\2017-04-28 &amp; aws s3 cp s3://rtdc.mdm.uploadarchive.raw/RTDC4015/ "%USERPROFILE%\AppData\Local\Temp\OnboardLogs"\RTDC4015\2017-04-29 --exclude "*" --recursive --include "*20170429*" &amp; "%USERPROFILE%\Documents\GitHub\mrs-test-scripts\Headless Mode &amp; Sideloading\WalkAndUnGZ.bat" "%USERPROFILE%\AppData\Local\Temp\OnboardLogs"\RTDC4015\2017-04-29</v>
      </c>
      <c r="AF125" s="77" t="str">
        <f t="shared" si="38"/>
        <v>"C:\Program Files (x86)\AstroGrep\AstroGrep.exe" /e /r /s /spath="%USERPROFILE%\AppData\Local\Temp\OnboardLogs" /stypes="app*4015*20170429*" /stext=" 01:.+((SYSTEM_STATE.+slice.+state.+changed )|(ment ac)|(multiple cpu faults)|(system.+state.+changed )|(\[timeout)|(PRM\|1\|D)|(kpr)|(kdp)|(train.+moving)|(\|lc)|(penalty))"</v>
      </c>
      <c r="AG125" s="1" t="str">
        <f t="shared" si="39"/>
        <v>EC</v>
      </c>
      <c r="AH125" s="81" t="str">
        <f t="shared" si="40"/>
        <v>"%USERPROFILE%\Documents\GitHub\eaglep3\Utilities\RefineRTDCRunTimes.py" --tripid 212-28 --locoid 4015 --swversion DE.1.0.9.0 --startMP 204:232994 --initTime 2017-04-28T18:20:29 --startdatetime 2017-04-28T18:26:29 --delay 1 --endMP 204:145 --enddatetime 2017-04-28T19:07:32 --enforcementcount 0 &gt;&gt;C:\Users\stu\Documents\GitHub\eaglep3-reporting\EC\2017-04-28-refined-times.txt</v>
      </c>
      <c r="AI125" s="99" t="str">
        <f t="shared" si="41"/>
        <v>echo {"issue":{"subject":"","project_id":79,"tracker_id":40,"status_id":1,"priority_id":2,"assigned_to_id":23,"start_date":"2017-04-28","description":"","custom_fields":[{"id":1,"name":"Subdivision","value":"EC"},{"id":4,"name":"Milepost","value":"0.0145"},{"id":17,"name":"Train ID","value":"212-28"},{"id":16,"name":"Locomotive ID","value":"4015"},{"id":130,"name":"Impact","value":""},{"id":150,"name":"Time of Event (Mountain Time)","value":"19:07:32"},{"id":151,"name":"Denver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5" t="str">
        <f t="shared" si="42"/>
        <v>start /low /b %USERPROFILE%\Documents\GitHub\eaglep3\Utilities\DownloadLogsFromS3.py --loco 4015 --day 2017-04-28</v>
      </c>
      <c r="AN125" s="154" t="str">
        <f t="shared" si="43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01:07:32"},{"id":29,"name":"Sharepoint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784</v>
      </c>
      <c r="B126" s="7">
        <v>4052</v>
      </c>
      <c r="C126" s="21" t="s">
        <v>211</v>
      </c>
      <c r="D126" s="21" t="s">
        <v>382</v>
      </c>
      <c r="E126" s="13">
        <v>42853.734027777777</v>
      </c>
      <c r="F126" s="13">
        <v>42853.739837962959</v>
      </c>
      <c r="G126" s="7">
        <v>2</v>
      </c>
      <c r="H126" s="21" t="s">
        <v>487</v>
      </c>
      <c r="I126" s="13">
        <v>42853.766377314816</v>
      </c>
      <c r="J126" s="7">
        <v>0</v>
      </c>
      <c r="K126" s="92" t="str">
        <f t="shared" si="27"/>
        <v>4051/4052</v>
      </c>
      <c r="L126" s="21" t="str">
        <f>VLOOKUP(A126,'Trips&amp;Operators'!$C$1:$G$99999,5,FALSE)</f>
        <v>STORY SAMANTHA</v>
      </c>
      <c r="M126" s="6">
        <f t="shared" si="28"/>
        <v>2.6539351856627036E-2</v>
      </c>
      <c r="N126" s="7">
        <f t="shared" si="47"/>
        <v>38.216666673542932</v>
      </c>
      <c r="O126" s="7"/>
      <c r="P126" s="7"/>
      <c r="Q126" s="22"/>
      <c r="R126" s="190"/>
      <c r="S126" s="196">
        <f t="shared" si="48"/>
        <v>1</v>
      </c>
      <c r="T126" s="190" t="str">
        <f t="shared" si="30"/>
        <v>NorthBound</v>
      </c>
      <c r="U126" s="190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1" t="str">
        <f t="shared" si="31"/>
        <v>https://d0f6bd738d7f1b3e5a7ca70fe4ff75f0.us-east-1.aws.found.io/app/kibana#/discover/Steve-Slow-Train-Analysis-(2080s-and-2083s)?_g=(refreshInterval:(display:Off,pause:!f,section:0,value:0),time:(from:'2017-04-28T16:37:00-0600',mode:absolute,to:'2017-04-28T19:23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26" s="192" t="str">
        <f t="shared" si="32"/>
        <v>N</v>
      </c>
      <c r="X126" s="192">
        <f t="shared" si="46"/>
        <v>1</v>
      </c>
      <c r="Y126" s="192">
        <f t="shared" si="33"/>
        <v>4.6199999999999998E-2</v>
      </c>
      <c r="Z126" s="192">
        <f t="shared" si="34"/>
        <v>23.333400000000001</v>
      </c>
      <c r="AA126" s="192">
        <f t="shared" si="35"/>
        <v>23.287200000000002</v>
      </c>
      <c r="AB126" s="57" t="e">
        <f>VLOOKUP(A126,Enforcements!$C$7:$K$13,8,0)</f>
        <v>#N/A</v>
      </c>
      <c r="AC126" s="53" t="e">
        <f>VLOOKUP(A126,Enforcements!$C$7:$E$13,3,0)</f>
        <v>#N/A</v>
      </c>
      <c r="AD126" s="54" t="str">
        <f t="shared" si="36"/>
        <v>0213-28</v>
      </c>
      <c r="AE126" s="80" t="str">
        <f t="shared" si="37"/>
        <v>aws s3 cp s3://rtdc.mdm.uploadarchive.raw/RTDC4052/ "%USERPROFILE%\AppData\Local\Temp\OnboardLogs"\RTDC4052\2017-04-28 --exclude "*" --recursive --include "*20170428*" &amp; "%USERPROFILE%\Documents\GitHub\mrs-test-scripts\Headless Mode &amp; Sideloading\WalkAndUnGZ.bat" "%USERPROFILE%\AppData\Local\Temp\OnboardLogs"\RTDC4052\2017-04-28 &amp; aws s3 cp s3://rtdc.mdm.uploadarchive.raw/RTDC4052/ "%USERPROFILE%\AppData\Local\Temp\OnboardLogs"\RTDC4052\2017-04-29 --exclude "*" --recursive --include "*20170429*" &amp; "%USERPROFILE%\Documents\GitHub\mrs-test-scripts\Headless Mode &amp; Sideloading\WalkAndUnGZ.bat" "%USERPROFILE%\AppData\Local\Temp\OnboardLogs"\RTDC4052\2017-04-29</v>
      </c>
      <c r="AF126" s="77" t="str">
        <f t="shared" si="38"/>
        <v>"C:\Program Files (x86)\AstroGrep\AstroGrep.exe" /e /r /s /spath="%USERPROFILE%\AppData\Local\Temp\OnboardLogs" /stypes="app*4052*20170429*" /stext=" 00:.+((SYSTEM_STATE.+slice.+state.+changed )|(ment ac)|(multiple cpu faults)|(system.+state.+changed )|(\[timeout)|(PRM\|1\|D)|(kpr)|(kdp)|(train.+moving)|(\|lc)|(penalty))"</v>
      </c>
      <c r="AG126" s="1" t="str">
        <f t="shared" si="39"/>
        <v>EC</v>
      </c>
      <c r="AH126" s="81" t="str">
        <f t="shared" si="40"/>
        <v>"%USERPROFILE%\Documents\GitHub\eaglep3\Utilities\RefineRTDCRunTimes.py" --tripid 213-28 --locoid 4052 --swversion DE.1.0.9.0 --startMP 204:462 --initTime 2017-04-28T17:37:00 --startdatetime 2017-04-28T17:45:22 --delay 2 --endMP 204:233334 --enddatetime 2017-04-28T18:23:35 --enforcementcount 0 &gt;&gt;C:\Users\stu\Documents\GitHub\eaglep3-reporting\EC\2017-04-28-refined-times.txt</v>
      </c>
      <c r="AI126" s="99" t="str">
        <f t="shared" si="41"/>
        <v>echo {"issue":{"subject":"","project_id":79,"tracker_id":40,"status_id":1,"priority_id":2,"assigned_to_id":23,"start_date":"2017-04-28","description":"","custom_fields":[{"id":1,"name":"Subdivision","value":"EC"},{"id":4,"name":"Milepost","value":"23.3334"},{"id":17,"name":"Train ID","value":"213-28"},{"id":16,"name":"Locomotive ID","value":"4052"},{"id":130,"name":"Impact","value":""},{"id":150,"name":"Time of Event (Mountain Time)","value":"18:23:35"},{"id":151,"name":"Denver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5" t="str">
        <f t="shared" si="42"/>
        <v>start /low /b %USERPROFILE%\Documents\GitHub\eaglep3\Utilities\DownloadLogsFromS3.py --loco 4052 --day 2017-04-28</v>
      </c>
      <c r="AN126" s="154" t="str">
        <f t="shared" si="43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00:23:35"},{"id":29,"name":"Sharepoint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792</v>
      </c>
      <c r="B127" s="7">
        <v>4051</v>
      </c>
      <c r="C127" s="21" t="s">
        <v>211</v>
      </c>
      <c r="D127" s="21" t="s">
        <v>909</v>
      </c>
      <c r="E127" s="13">
        <v>42853.773761574077</v>
      </c>
      <c r="F127" s="13">
        <v>42853.778645833336</v>
      </c>
      <c r="G127" s="7">
        <v>1</v>
      </c>
      <c r="H127" s="21" t="s">
        <v>411</v>
      </c>
      <c r="I127" s="13">
        <v>42853.806064814817</v>
      </c>
      <c r="J127" s="7">
        <v>0</v>
      </c>
      <c r="K127" s="92" t="str">
        <f t="shared" si="27"/>
        <v>4051/4052</v>
      </c>
      <c r="L127" s="21" t="str">
        <f>VLOOKUP(A127,'Trips&amp;Operators'!$C$1:$G$99999,5,FALSE)</f>
        <v>STORY SAMANTHA</v>
      </c>
      <c r="M127" s="6">
        <f t="shared" si="28"/>
        <v>2.7418981480877846E-2</v>
      </c>
      <c r="N127" s="7">
        <f t="shared" si="47"/>
        <v>39.483333332464099</v>
      </c>
      <c r="O127" s="7"/>
      <c r="P127" s="7"/>
      <c r="Q127" s="22"/>
      <c r="R127" s="190"/>
      <c r="S127" s="196">
        <f t="shared" si="48"/>
        <v>1</v>
      </c>
      <c r="T127" s="190" t="str">
        <f t="shared" si="30"/>
        <v>Southbound</v>
      </c>
      <c r="U127" s="190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1" t="str">
        <f t="shared" si="31"/>
        <v>https://d0f6bd738d7f1b3e5a7ca70fe4ff75f0.us-east-1.aws.found.io/app/kibana#/discover/Steve-Slow-Train-Analysis-(2080s-and-2083s)?_g=(refreshInterval:(display:Off,pause:!f,section:0,value:0),time:(from:'2017-04-28T17:34:13-0600',mode:absolute,to:'2017-04-28T20:20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27" s="192" t="str">
        <f t="shared" si="32"/>
        <v>N</v>
      </c>
      <c r="X127" s="192">
        <f t="shared" si="46"/>
        <v>1</v>
      </c>
      <c r="Y127" s="192">
        <f t="shared" si="33"/>
        <v>23.3017</v>
      </c>
      <c r="Z127" s="192">
        <f t="shared" si="34"/>
        <v>1.43E-2</v>
      </c>
      <c r="AA127" s="192">
        <f t="shared" si="35"/>
        <v>23.287400000000002</v>
      </c>
      <c r="AB127" s="57" t="e">
        <f>VLOOKUP(A127,Enforcements!$C$7:$K$13,8,0)</f>
        <v>#N/A</v>
      </c>
      <c r="AC127" s="53" t="e">
        <f>VLOOKUP(A127,Enforcements!$C$7:$E$13,3,0)</f>
        <v>#N/A</v>
      </c>
      <c r="AD127" s="54" t="str">
        <f t="shared" si="36"/>
        <v>0214-28</v>
      </c>
      <c r="AE127" s="80" t="str">
        <f t="shared" si="37"/>
        <v>aws s3 cp s3://rtdc.mdm.uploadarchive.raw/RTDC4051/ "%USERPROFILE%\AppData\Local\Temp\OnboardLogs"\RTDC4051\2017-04-28 --exclude "*" --recursive --include "*20170428*" &amp; "%USERPROFILE%\Documents\GitHub\mrs-test-scripts\Headless Mode &amp; Sideloading\WalkAndUnGZ.bat" "%USERPROFILE%\AppData\Local\Temp\OnboardLogs"\RTDC4051\2017-04-28 &amp; aws s3 cp s3://rtdc.mdm.uploadarchive.raw/RTDC4051/ "%USERPROFILE%\AppData\Local\Temp\OnboardLogs"\RTDC4051\2017-04-29 --exclude "*" --recursive --include "*20170429*" &amp; "%USERPROFILE%\Documents\GitHub\mrs-test-scripts\Headless Mode &amp; Sideloading\WalkAndUnGZ.bat" "%USERPROFILE%\AppData\Local\Temp\OnboardLogs"\RTDC4051\2017-04-29</v>
      </c>
      <c r="AF127" s="77" t="str">
        <f t="shared" si="38"/>
        <v>"C:\Program Files (x86)\AstroGrep\AstroGrep.exe" /e /r /s /spath="%USERPROFILE%\AppData\Local\Temp\OnboardLogs" /stypes="app*4051*20170429*" /stext=" 01:.+((SYSTEM_STATE.+slice.+state.+changed )|(ment ac)|(multiple cpu faults)|(system.+state.+changed )|(\[timeout)|(PRM\|1\|D)|(kpr)|(kdp)|(train.+moving)|(\|lc)|(penalty))"</v>
      </c>
      <c r="AG127" s="1" t="str">
        <f t="shared" si="39"/>
        <v>EC</v>
      </c>
      <c r="AH127" s="81" t="str">
        <f t="shared" si="40"/>
        <v>"%USERPROFILE%\Documents\GitHub\eaglep3\Utilities\RefineRTDCRunTimes.py" --tripid 214-28 --locoid 4051 --swversion DE.1.0.9.0 --startMP 204:233017 --initTime 2017-04-28T18:34:13 --startdatetime 2017-04-28T18:41:15 --delay 1 --endMP 204:143 --enddatetime 2017-04-28T19:20:44 --enforcementcount 0 &gt;&gt;C:\Users\stu\Documents\GitHub\eaglep3-reporting\EC\2017-04-28-refined-times.txt</v>
      </c>
      <c r="AI127" s="99" t="str">
        <f t="shared" si="41"/>
        <v>echo {"issue":{"subject":"","project_id":79,"tracker_id":40,"status_id":1,"priority_id":2,"assigned_to_id":23,"start_date":"2017-04-28","description":"","custom_fields":[{"id":1,"name":"Subdivision","value":"EC"},{"id":4,"name":"Milepost","value":"0.0143"},{"id":17,"name":"Train ID","value":"214-28"},{"id":16,"name":"Locomotive ID","value":"4051"},{"id":130,"name":"Impact","value":""},{"id":150,"name":"Time of Event (Mountain Time)","value":"19:20:44"},{"id":151,"name":"Denver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5" t="str">
        <f t="shared" si="42"/>
        <v>start /low /b %USERPROFILE%\Documents\GitHub\eaglep3\Utilities\DownloadLogsFromS3.py --loco 4051 --day 2017-04-28</v>
      </c>
      <c r="AN127" s="154" t="str">
        <f t="shared" si="43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01:20:44"},{"id":29,"name":"Sharepoint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787</v>
      </c>
      <c r="B128" s="7">
        <v>4008</v>
      </c>
      <c r="C128" s="21" t="s">
        <v>211</v>
      </c>
      <c r="D128" s="21" t="s">
        <v>368</v>
      </c>
      <c r="E128" s="13">
        <v>42853.748368055552</v>
      </c>
      <c r="F128" s="13">
        <v>42853.750231481485</v>
      </c>
      <c r="G128" s="7">
        <v>1</v>
      </c>
      <c r="H128" s="21" t="s">
        <v>910</v>
      </c>
      <c r="I128" s="13">
        <v>42853.777118055557</v>
      </c>
      <c r="J128" s="7">
        <v>0</v>
      </c>
      <c r="K128" s="92" t="str">
        <f t="shared" si="27"/>
        <v>4007/4008</v>
      </c>
      <c r="L128" s="21" t="str">
        <f>VLOOKUP(A128,'Trips&amp;Operators'!$C$1:$G$99999,5,FALSE)</f>
        <v>WHITED DUSTIN</v>
      </c>
      <c r="M128" s="6">
        <f t="shared" si="28"/>
        <v>2.6886574072705116E-2</v>
      </c>
      <c r="N128" s="7">
        <f t="shared" si="47"/>
        <v>38.716666664695367</v>
      </c>
      <c r="O128" s="7"/>
      <c r="P128" s="7"/>
      <c r="Q128" s="22"/>
      <c r="R128" s="190"/>
      <c r="S128" s="196">
        <f t="shared" si="48"/>
        <v>1</v>
      </c>
      <c r="T128" s="190" t="str">
        <f t="shared" si="30"/>
        <v>NorthBound</v>
      </c>
      <c r="U128" s="190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1" t="str">
        <f t="shared" si="31"/>
        <v>https://d0f6bd738d7f1b3e5a7ca70fe4ff75f0.us-east-1.aws.found.io/app/kibana#/discover/Steve-Slow-Train-Analysis-(2080s-and-2083s)?_g=(refreshInterval:(display:Off,pause:!f,section:0,value:0),time:(from:'2017-04-28T16:57:39-0600',mode:absolute,to:'2017-04-28T19:39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28" s="192" t="str">
        <f t="shared" si="32"/>
        <v>N</v>
      </c>
      <c r="X128" s="192">
        <f t="shared" ref="X128:X159" si="49">VALUE(LEFT(AD128,4))-VALUE(LEFT(AD127,4))</f>
        <v>1</v>
      </c>
      <c r="Y128" s="192">
        <f t="shared" si="33"/>
        <v>4.4900000000000002E-2</v>
      </c>
      <c r="Z128" s="192">
        <f t="shared" si="34"/>
        <v>23.334299999999999</v>
      </c>
      <c r="AA128" s="192">
        <f t="shared" si="35"/>
        <v>23.289400000000001</v>
      </c>
      <c r="AB128" s="57" t="e">
        <f>VLOOKUP(A128,Enforcements!$C$7:$K$13,8,0)</f>
        <v>#N/A</v>
      </c>
      <c r="AC128" s="53" t="e">
        <f>VLOOKUP(A128,Enforcements!$C$7:$E$13,3,0)</f>
        <v>#N/A</v>
      </c>
      <c r="AD128" s="54" t="str">
        <f t="shared" si="36"/>
        <v>0215-28</v>
      </c>
      <c r="AE128" s="80" t="str">
        <f t="shared" si="37"/>
        <v>aws s3 cp s3://rtdc.mdm.uploadarchive.raw/RTDC4008/ "%USERPROFILE%\AppData\Local\Temp\OnboardLogs"\RTDC4008\2017-04-28 --exclude "*" --recursive --include "*20170428*" &amp; "%USERPROFILE%\Documents\GitHub\mrs-test-scripts\Headless Mode &amp; Sideloading\WalkAndUnGZ.bat" "%USERPROFILE%\AppData\Local\Temp\OnboardLogs"\RTDC4008\2017-04-28 &amp; aws s3 cp s3://rtdc.mdm.uploadarchive.raw/RTDC4008/ "%USERPROFILE%\AppData\Local\Temp\OnboardLogs"\RTDC4008\2017-04-29 --exclude "*" --recursive --include "*20170429*" &amp; "%USERPROFILE%\Documents\GitHub\mrs-test-scripts\Headless Mode &amp; Sideloading\WalkAndUnGZ.bat" "%USERPROFILE%\AppData\Local\Temp\OnboardLogs"\RTDC4008\2017-04-29</v>
      </c>
      <c r="AF128" s="77" t="str">
        <f t="shared" si="38"/>
        <v>"C:\Program Files (x86)\AstroGrep\AstroGrep.exe" /e /r /s /spath="%USERPROFILE%\AppData\Local\Temp\OnboardLogs" /stypes="app*4008*20170429*" /stext=" 00:.+((SYSTEM_STATE.+slice.+state.+changed )|(ment ac)|(multiple cpu faults)|(system.+state.+changed )|(\[timeout)|(PRM\|1\|D)|(kpr)|(kdp)|(train.+moving)|(\|lc)|(penalty))"</v>
      </c>
      <c r="AG128" s="1" t="str">
        <f t="shared" si="39"/>
        <v>EC</v>
      </c>
      <c r="AH128" s="81" t="str">
        <f t="shared" si="40"/>
        <v>"%USERPROFILE%\Documents\GitHub\eaglep3\Utilities\RefineRTDCRunTimes.py" --tripid 215-28 --locoid 4008 --swversion DE.1.0.9.0 --startMP 204:449 --initTime 2017-04-28T17:57:39 --startdatetime 2017-04-28T18:00:20 --delay 1 --endMP 204:233343 --enddatetime 2017-04-28T18:39:03 --enforcementcount 0 &gt;&gt;C:\Users\stu\Documents\GitHub\eaglep3-reporting\EC\2017-04-28-refined-times.txt</v>
      </c>
      <c r="AI128" s="99" t="str">
        <f t="shared" si="41"/>
        <v>echo {"issue":{"subject":"","project_id":79,"tracker_id":40,"status_id":1,"priority_id":2,"assigned_to_id":23,"start_date":"2017-04-28","description":"","custom_fields":[{"id":1,"name":"Subdivision","value":"EC"},{"id":4,"name":"Milepost","value":"23.3343"},{"id":17,"name":"Train ID","value":"215-28"},{"id":16,"name":"Locomotive ID","value":"4008"},{"id":130,"name":"Impact","value":""},{"id":150,"name":"Time of Event (Mountain Time)","value":"18:39:03"},{"id":151,"name":"Denver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5" t="str">
        <f t="shared" si="42"/>
        <v>start /low /b %USERPROFILE%\Documents\GitHub\eaglep3\Utilities\DownloadLogsFromS3.py --loco 4008 --day 2017-04-28</v>
      </c>
      <c r="AN128" s="154" t="str">
        <f t="shared" si="43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00:39:03"},{"id":29,"name":"Sharepoint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796</v>
      </c>
      <c r="B129" s="7">
        <v>4007</v>
      </c>
      <c r="C129" s="21" t="s">
        <v>211</v>
      </c>
      <c r="D129" s="21" t="s">
        <v>911</v>
      </c>
      <c r="E129" s="13">
        <v>42853.78465277778</v>
      </c>
      <c r="F129" s="13">
        <v>42853.7890625</v>
      </c>
      <c r="G129" s="7">
        <v>1</v>
      </c>
      <c r="H129" s="21" t="s">
        <v>559</v>
      </c>
      <c r="I129" s="13">
        <v>42853.815648148149</v>
      </c>
      <c r="J129" s="7">
        <v>0</v>
      </c>
      <c r="K129" s="92" t="str">
        <f t="shared" si="27"/>
        <v>4007/4008</v>
      </c>
      <c r="L129" s="21" t="str">
        <f>VLOOKUP(A129,'Trips&amp;Operators'!$C$1:$G$99999,5,FALSE)</f>
        <v>WHITED DUSTIN</v>
      </c>
      <c r="M129" s="6">
        <f t="shared" si="28"/>
        <v>2.658564814919373E-2</v>
      </c>
      <c r="N129" s="7">
        <f t="shared" si="47"/>
        <v>38.283333334838971</v>
      </c>
      <c r="O129" s="7"/>
      <c r="P129" s="7"/>
      <c r="Q129" s="22"/>
      <c r="R129" s="190"/>
      <c r="S129" s="196">
        <f t="shared" si="48"/>
        <v>1</v>
      </c>
      <c r="T129" s="190" t="str">
        <f t="shared" si="30"/>
        <v>Southbound</v>
      </c>
      <c r="U129" s="190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1" t="str">
        <f t="shared" si="31"/>
        <v>https://d0f6bd738d7f1b3e5a7ca70fe4ff75f0.us-east-1.aws.found.io/app/kibana#/discover/Steve-Slow-Train-Analysis-(2080s-and-2083s)?_g=(refreshInterval:(display:Off,pause:!f,section:0,value:0),time:(from:'2017-04-28T17:49:54-0600',mode:absolute,to:'2017-04-28T20:34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29" s="192" t="str">
        <f t="shared" si="32"/>
        <v>N</v>
      </c>
      <c r="X129" s="192">
        <f t="shared" si="49"/>
        <v>1</v>
      </c>
      <c r="Y129" s="192">
        <f t="shared" si="33"/>
        <v>23.300899999999999</v>
      </c>
      <c r="Z129" s="192">
        <f t="shared" si="34"/>
        <v>1.3899999999999999E-2</v>
      </c>
      <c r="AA129" s="192">
        <f t="shared" si="35"/>
        <v>23.286999999999999</v>
      </c>
      <c r="AB129" s="57" t="e">
        <f>VLOOKUP(A129,Enforcements!$C$7:$K$13,8,0)</f>
        <v>#N/A</v>
      </c>
      <c r="AC129" s="53" t="e">
        <f>VLOOKUP(A129,Enforcements!$C$7:$E$13,3,0)</f>
        <v>#N/A</v>
      </c>
      <c r="AD129" s="54" t="str">
        <f t="shared" si="36"/>
        <v>0216-28</v>
      </c>
      <c r="AE129" s="80" t="str">
        <f t="shared" si="37"/>
        <v>aws s3 cp s3://rtdc.mdm.uploadarchive.raw/RTDC4007/ "%USERPROFILE%\AppData\Local\Temp\OnboardLogs"\RTDC4007\2017-04-28 --exclude "*" --recursive --include "*20170428*" &amp; "%USERPROFILE%\Documents\GitHub\mrs-test-scripts\Headless Mode &amp; Sideloading\WalkAndUnGZ.bat" "%USERPROFILE%\AppData\Local\Temp\OnboardLogs"\RTDC4007\2017-04-28 &amp; aws s3 cp s3://rtdc.mdm.uploadarchive.raw/RTDC4007/ "%USERPROFILE%\AppData\Local\Temp\OnboardLogs"\RTDC4007\2017-04-29 --exclude "*" --recursive --include "*20170429*" &amp; "%USERPROFILE%\Documents\GitHub\mrs-test-scripts\Headless Mode &amp; Sideloading\WalkAndUnGZ.bat" "%USERPROFILE%\AppData\Local\Temp\OnboardLogs"\RTDC4007\2017-04-29</v>
      </c>
      <c r="AF129" s="77" t="str">
        <f t="shared" si="38"/>
        <v>"C:\Program Files (x86)\AstroGrep\AstroGrep.exe" /e /r /s /spath="%USERPROFILE%\AppData\Local\Temp\OnboardLogs" /stypes="app*4007*20170429*" /stext=" 01:.+((SYSTEM_STATE.+slice.+state.+changed )|(ment ac)|(multiple cpu faults)|(system.+state.+changed )|(\[timeout)|(PRM\|1\|D)|(kpr)|(kdp)|(train.+moving)|(\|lc)|(penalty))"</v>
      </c>
      <c r="AG129" s="1" t="str">
        <f t="shared" si="39"/>
        <v>EC</v>
      </c>
      <c r="AH129" s="81" t="str">
        <f t="shared" si="40"/>
        <v>"%USERPROFILE%\Documents\GitHub\eaglep3\Utilities\RefineRTDCRunTimes.py" --tripid 216-28 --locoid 4007 --swversion DE.1.0.9.0 --startMP 204:233009 --initTime 2017-04-28T18:49:54 --startdatetime 2017-04-28T18:56:15 --delay 1 --endMP 204:139 --enddatetime 2017-04-28T19:34:32 --enforcementcount 0 &gt;&gt;C:\Users\stu\Documents\GitHub\eaglep3-reporting\EC\2017-04-28-refined-times.txt</v>
      </c>
      <c r="AI129" s="99" t="str">
        <f t="shared" si="41"/>
        <v>echo {"issue":{"subject":"","project_id":79,"tracker_id":40,"status_id":1,"priority_id":2,"assigned_to_id":23,"start_date":"2017-04-28","description":"","custom_fields":[{"id":1,"name":"Subdivision","value":"EC"},{"id":4,"name":"Milepost","value":"0.0139"},{"id":17,"name":"Train ID","value":"216-28"},{"id":16,"name":"Locomotive ID","value":"4007"},{"id":130,"name":"Impact","value":""},{"id":150,"name":"Time of Event (Mountain Time)","value":"19:34:32"},{"id":151,"name":"Denver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5" t="str">
        <f t="shared" si="42"/>
        <v>start /low /b %USERPROFILE%\Documents\GitHub\eaglep3\Utilities\DownloadLogsFromS3.py --loco 4007 --day 2017-04-28</v>
      </c>
      <c r="AN129" s="154" t="str">
        <f t="shared" si="43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01:34:32"},{"id":29,"name":"Sharepoint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790</v>
      </c>
      <c r="B130" s="7">
        <v>4030</v>
      </c>
      <c r="C130" s="21" t="s">
        <v>211</v>
      </c>
      <c r="D130" s="21" t="s">
        <v>481</v>
      </c>
      <c r="E130" s="13">
        <v>42853.754976851851</v>
      </c>
      <c r="F130" s="13">
        <v>42853.760891203703</v>
      </c>
      <c r="G130" s="7">
        <v>1</v>
      </c>
      <c r="H130" s="21" t="s">
        <v>912</v>
      </c>
      <c r="I130" s="13">
        <v>42853.78570601852</v>
      </c>
      <c r="J130" s="7">
        <v>0</v>
      </c>
      <c r="K130" s="92" t="str">
        <f t="shared" si="27"/>
        <v>4029/4030</v>
      </c>
      <c r="L130" s="21" t="str">
        <f>VLOOKUP(A130,'Trips&amp;Operators'!$C$1:$G$99999,5,FALSE)</f>
        <v>STAMBAUGH JAMES</v>
      </c>
      <c r="M130" s="6">
        <f t="shared" si="28"/>
        <v>2.4814814816636499E-2</v>
      </c>
      <c r="N130" s="7">
        <f t="shared" si="47"/>
        <v>35.733333335956559</v>
      </c>
      <c r="O130" s="7"/>
      <c r="P130" s="7"/>
      <c r="Q130" s="22"/>
      <c r="R130" s="190"/>
      <c r="S130" s="196">
        <f t="shared" si="48"/>
        <v>1</v>
      </c>
      <c r="T130" s="190" t="str">
        <f t="shared" si="30"/>
        <v>NorthBound</v>
      </c>
      <c r="U130" s="190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1" t="str">
        <f t="shared" si="31"/>
        <v>https://d0f6bd738d7f1b3e5a7ca70fe4ff75f0.us-east-1.aws.found.io/app/kibana#/discover/Steve-Slow-Train-Analysis-(2080s-and-2083s)?_g=(refreshInterval:(display:Off,pause:!f,section:0,value:0),time:(from:'2017-04-28T17:07:10-0600',mode:absolute,to:'2017-04-28T19:51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30" s="192" t="str">
        <f t="shared" si="32"/>
        <v>N</v>
      </c>
      <c r="X130" s="192">
        <f t="shared" si="49"/>
        <v>1</v>
      </c>
      <c r="Y130" s="192">
        <f t="shared" si="33"/>
        <v>4.3499999999999997E-2</v>
      </c>
      <c r="Z130" s="192">
        <f t="shared" si="34"/>
        <v>23.338100000000001</v>
      </c>
      <c r="AA130" s="192">
        <f t="shared" si="35"/>
        <v>23.294599999999999</v>
      </c>
      <c r="AB130" s="57" t="e">
        <f>VLOOKUP(A130,Enforcements!$C$7:$K$13,8,0)</f>
        <v>#N/A</v>
      </c>
      <c r="AC130" s="53" t="e">
        <f>VLOOKUP(A130,Enforcements!$C$7:$E$13,3,0)</f>
        <v>#N/A</v>
      </c>
      <c r="AD130" s="54" t="str">
        <f t="shared" si="36"/>
        <v>0217-28</v>
      </c>
      <c r="AE130" s="80" t="str">
        <f t="shared" si="37"/>
        <v>aws s3 cp s3://rtdc.mdm.uploadarchive.raw/RTDC4030/ "%USERPROFILE%\AppData\Local\Temp\OnboardLogs"\RTDC4030\2017-04-28 --exclude "*" --recursive --include "*20170428*" &amp; "%USERPROFILE%\Documents\GitHub\mrs-test-scripts\Headless Mode &amp; Sideloading\WalkAndUnGZ.bat" "%USERPROFILE%\AppData\Local\Temp\OnboardLogs"\RTDC4030\2017-04-28 &amp; aws s3 cp s3://rtdc.mdm.uploadarchive.raw/RTDC4030/ "%USERPROFILE%\AppData\Local\Temp\OnboardLogs"\RTDC4030\2017-04-29 --exclude "*" --recursive --include "*20170429*" &amp; "%USERPROFILE%\Documents\GitHub\mrs-test-scripts\Headless Mode &amp; Sideloading\WalkAndUnGZ.bat" "%USERPROFILE%\AppData\Local\Temp\OnboardLogs"\RTDC4030\2017-04-29</v>
      </c>
      <c r="AF130" s="77" t="str">
        <f t="shared" si="38"/>
        <v>"C:\Program Files (x86)\AstroGrep\AstroGrep.exe" /e /r /s /spath="%USERPROFILE%\AppData\Local\Temp\OnboardLogs" /stypes="app*4030*20170429*" /stext=" 00:.+((SYSTEM_STATE.+slice.+state.+changed )|(ment ac)|(multiple cpu faults)|(system.+state.+changed )|(\[timeout)|(PRM\|1\|D)|(kpr)|(kdp)|(train.+moving)|(\|lc)|(penalty))"</v>
      </c>
      <c r="AG130" s="1" t="str">
        <f t="shared" si="39"/>
        <v>EC</v>
      </c>
      <c r="AH130" s="81" t="str">
        <f t="shared" si="40"/>
        <v>"%USERPROFILE%\Documents\GitHub\eaglep3\Utilities\RefineRTDCRunTimes.py" --tripid 217-28 --locoid 4030 --swversion DE.1.0.9.0 --startMP 204:435 --initTime 2017-04-28T18:07:10 --startdatetime 2017-04-28T18:15:41 --delay 1 --endMP 204:233381 --enddatetime 2017-04-28T18:51:25 --enforcementcount 0 &gt;&gt;C:\Users\stu\Documents\GitHub\eaglep3-reporting\EC\2017-04-28-refined-times.txt</v>
      </c>
      <c r="AI130" s="99" t="str">
        <f t="shared" si="41"/>
        <v>echo {"issue":{"subject":"","project_id":79,"tracker_id":40,"status_id":1,"priority_id":2,"assigned_to_id":23,"start_date":"2017-04-28","description":"","custom_fields":[{"id":1,"name":"Subdivision","value":"EC"},{"id":4,"name":"Milepost","value":"23.3381"},{"id":17,"name":"Train ID","value":"217-28"},{"id":16,"name":"Locomotive ID","value":"4030"},{"id":130,"name":"Impact","value":""},{"id":150,"name":"Time of Event (Mountain Time)","value":"18:51:25"},{"id":151,"name":"Denver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5" t="str">
        <f t="shared" si="42"/>
        <v>start /low /b %USERPROFILE%\Documents\GitHub\eaglep3\Utilities\DownloadLogsFromS3.py --loco 4030 --day 2017-04-28</v>
      </c>
      <c r="AN130" s="154" t="str">
        <f t="shared" si="43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00:51:25"},{"id":29,"name":"Sharepoint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800</v>
      </c>
      <c r="B131" s="7">
        <v>4029</v>
      </c>
      <c r="C131" s="21" t="s">
        <v>211</v>
      </c>
      <c r="D131" s="21" t="s">
        <v>913</v>
      </c>
      <c r="E131" s="13">
        <v>42853.791030092594</v>
      </c>
      <c r="F131" s="13">
        <v>42853.799641203703</v>
      </c>
      <c r="G131" s="7">
        <v>1</v>
      </c>
      <c r="H131" s="21" t="s">
        <v>902</v>
      </c>
      <c r="I131" s="13">
        <v>42853.825497685182</v>
      </c>
      <c r="J131" s="7">
        <v>0</v>
      </c>
      <c r="K131" s="92" t="str">
        <f t="shared" si="27"/>
        <v>4029/4030</v>
      </c>
      <c r="L131" s="21" t="str">
        <f>VLOOKUP(A131,'Trips&amp;Operators'!$C$1:$G$99999,5,FALSE)</f>
        <v>STAMBAUGH JAMES</v>
      </c>
      <c r="M131" s="6">
        <f t="shared" si="28"/>
        <v>2.5856481479422655E-2</v>
      </c>
      <c r="N131" s="7">
        <f t="shared" si="47"/>
        <v>37.233333330368623</v>
      </c>
      <c r="O131" s="7"/>
      <c r="P131" s="7"/>
      <c r="Q131" s="22"/>
      <c r="R131" s="190"/>
      <c r="S131" s="196">
        <f t="shared" si="48"/>
        <v>1</v>
      </c>
      <c r="T131" s="190" t="str">
        <f t="shared" si="30"/>
        <v>Southbound</v>
      </c>
      <c r="U131" s="190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1" t="str">
        <f t="shared" si="31"/>
        <v>https://d0f6bd738d7f1b3e5a7ca70fe4ff75f0.us-east-1.aws.found.io/app/kibana#/discover/Steve-Slow-Train-Analysis-(2080s-and-2083s)?_g=(refreshInterval:(display:Off,pause:!f,section:0,value:0),time:(from:'2017-04-28T17:59:05-0600',mode:absolute,to:'2017-04-28T20:48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31" s="192" t="str">
        <f t="shared" si="32"/>
        <v>N</v>
      </c>
      <c r="X131" s="192">
        <f t="shared" si="49"/>
        <v>1</v>
      </c>
      <c r="Y131" s="192">
        <f t="shared" si="33"/>
        <v>23.308700000000002</v>
      </c>
      <c r="Z131" s="192">
        <f t="shared" si="34"/>
        <v>1.21E-2</v>
      </c>
      <c r="AA131" s="192">
        <f t="shared" si="35"/>
        <v>23.296600000000002</v>
      </c>
      <c r="AB131" s="57" t="e">
        <f>VLOOKUP(A131,Enforcements!$C$7:$K$13,8,0)</f>
        <v>#N/A</v>
      </c>
      <c r="AC131" s="53" t="e">
        <f>VLOOKUP(A131,Enforcements!$C$7:$E$13,3,0)</f>
        <v>#N/A</v>
      </c>
      <c r="AD131" s="54" t="str">
        <f t="shared" si="36"/>
        <v>0218-28</v>
      </c>
      <c r="AE131" s="80" t="str">
        <f t="shared" si="37"/>
        <v>aws s3 cp s3://rtdc.mdm.uploadarchive.raw/RTDC4029/ "%USERPROFILE%\AppData\Local\Temp\OnboardLogs"\RTDC4029\2017-04-28 --exclude "*" --recursive --include "*20170428*" &amp; "%USERPROFILE%\Documents\GitHub\mrs-test-scripts\Headless Mode &amp; Sideloading\WalkAndUnGZ.bat" "%USERPROFILE%\AppData\Local\Temp\OnboardLogs"\RTDC4029\2017-04-28 &amp; aws s3 cp s3://rtdc.mdm.uploadarchive.raw/RTDC4029/ "%USERPROFILE%\AppData\Local\Temp\OnboardLogs"\RTDC4029\2017-04-29 --exclude "*" --recursive --include "*20170429*" &amp; "%USERPROFILE%\Documents\GitHub\mrs-test-scripts\Headless Mode &amp; Sideloading\WalkAndUnGZ.bat" "%USERPROFILE%\AppData\Local\Temp\OnboardLogs"\RTDC4029\2017-04-29</v>
      </c>
      <c r="AF131" s="77" t="str">
        <f t="shared" si="38"/>
        <v>"C:\Program Files (x86)\AstroGrep\AstroGrep.exe" /e /r /s /spath="%USERPROFILE%\AppData\Local\Temp\OnboardLogs" /stypes="app*4029*20170429*" /stext=" 01:.+((SYSTEM_STATE.+slice.+state.+changed )|(ment ac)|(multiple cpu faults)|(system.+state.+changed )|(\[timeout)|(PRM\|1\|D)|(kpr)|(kdp)|(train.+moving)|(\|lc)|(penalty))"</v>
      </c>
      <c r="AG131" s="1" t="str">
        <f t="shared" si="39"/>
        <v>EC</v>
      </c>
      <c r="AH131" s="81" t="str">
        <f t="shared" si="40"/>
        <v>"%USERPROFILE%\Documents\GitHub\eaglep3\Utilities\RefineRTDCRunTimes.py" --tripid 218-28 --locoid 4029 --swversion DE.1.0.9.0 --startMP 204:233087 --initTime 2017-04-28T18:59:05 --startdatetime 2017-04-28T19:11:29 --delay 1 --endMP 204:121 --enddatetime 2017-04-28T19:48:43 --enforcementcount 0 &gt;&gt;C:\Users\stu\Documents\GitHub\eaglep3-reporting\EC\2017-04-28-refined-times.txt</v>
      </c>
      <c r="AI131" s="99" t="str">
        <f t="shared" si="41"/>
        <v>echo {"issue":{"subject":"","project_id":79,"tracker_id":40,"status_id":1,"priority_id":2,"assigned_to_id":23,"start_date":"2017-04-28","description":"","custom_fields":[{"id":1,"name":"Subdivision","value":"EC"},{"id":4,"name":"Milepost","value":"0.0121"},{"id":17,"name":"Train ID","value":"218-28"},{"id":16,"name":"Locomotive ID","value":"4029"},{"id":130,"name":"Impact","value":""},{"id":150,"name":"Time of Event (Mountain Time)","value":"19:48:43"},{"id":151,"name":"Denver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5" t="str">
        <f t="shared" si="42"/>
        <v>start /low /b %USERPROFILE%\Documents\GitHub\eaglep3\Utilities\DownloadLogsFromS3.py --loco 4029 --day 2017-04-28</v>
      </c>
      <c r="AN131" s="154" t="str">
        <f t="shared" si="43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01:48:43"},{"id":29,"name":"Sharepoint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791</v>
      </c>
      <c r="B132" s="7">
        <v>4064</v>
      </c>
      <c r="C132" s="21" t="s">
        <v>211</v>
      </c>
      <c r="D132" s="21" t="s">
        <v>914</v>
      </c>
      <c r="E132" s="13">
        <v>42853.767638888887</v>
      </c>
      <c r="F132" s="13">
        <v>42853.770983796298</v>
      </c>
      <c r="G132" s="7">
        <v>2</v>
      </c>
      <c r="H132" s="21" t="s">
        <v>568</v>
      </c>
      <c r="I132" s="13">
        <v>42853.797662037039</v>
      </c>
      <c r="J132" s="7">
        <v>0</v>
      </c>
      <c r="K132" s="92" t="str">
        <f t="shared" si="27"/>
        <v>4063/4064</v>
      </c>
      <c r="L132" s="21" t="str">
        <f>VLOOKUP(A132,'Trips&amp;Operators'!$C$1:$G$99999,5,FALSE)</f>
        <v>SWANSON BRYCE</v>
      </c>
      <c r="M132" s="6">
        <f t="shared" si="28"/>
        <v>2.6678240741603076E-2</v>
      </c>
      <c r="N132" s="7">
        <f t="shared" si="47"/>
        <v>38.41666666790843</v>
      </c>
      <c r="O132" s="7"/>
      <c r="P132" s="7"/>
      <c r="Q132" s="22"/>
      <c r="R132" s="190"/>
      <c r="S132" s="196">
        <f t="shared" si="48"/>
        <v>1</v>
      </c>
      <c r="T132" s="190" t="str">
        <f t="shared" si="30"/>
        <v>NorthBound</v>
      </c>
      <c r="U132" s="190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1" t="str">
        <f t="shared" si="31"/>
        <v>https://d0f6bd738d7f1b3e5a7ca70fe4ff75f0.us-east-1.aws.found.io/app/kibana#/discover/Steve-Slow-Train-Analysis-(2080s-and-2083s)?_g=(refreshInterval:(display:Off,pause:!f,section:0,value:0),time:(from:'2017-04-28T17:25:24-0600',mode:absolute,to:'2017-04-28T20:08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32" s="192" t="str">
        <f t="shared" si="32"/>
        <v>N</v>
      </c>
      <c r="X132" s="192">
        <f t="shared" si="49"/>
        <v>1</v>
      </c>
      <c r="Y132" s="192">
        <f t="shared" si="33"/>
        <v>4.8399999999999999E-2</v>
      </c>
      <c r="Z132" s="192">
        <f t="shared" si="34"/>
        <v>23.334900000000001</v>
      </c>
      <c r="AA132" s="192">
        <f t="shared" si="35"/>
        <v>23.2865</v>
      </c>
      <c r="AB132" s="57" t="e">
        <f>VLOOKUP(A132,Enforcements!$C$7:$K$13,8,0)</f>
        <v>#N/A</v>
      </c>
      <c r="AC132" s="53" t="e">
        <f>VLOOKUP(A132,Enforcements!$C$7:$E$13,3,0)</f>
        <v>#N/A</v>
      </c>
      <c r="AD132" s="54" t="str">
        <f t="shared" si="36"/>
        <v>0219-28</v>
      </c>
      <c r="AE132" s="80" t="str">
        <f t="shared" si="37"/>
        <v>aws s3 cp s3://rtdc.mdm.uploadarchive.raw/RTDC4064/ "%USERPROFILE%\AppData\Local\Temp\OnboardLogs"\RTDC4064\2017-04-28 --exclude "*" --recursive --include "*20170428*" &amp; "%USERPROFILE%\Documents\GitHub\mrs-test-scripts\Headless Mode &amp; Sideloading\WalkAndUnGZ.bat" "%USERPROFILE%\AppData\Local\Temp\OnboardLogs"\RTDC4064\2017-04-28 &amp; aws s3 cp s3://rtdc.mdm.uploadarchive.raw/RTDC4064/ "%USERPROFILE%\AppData\Local\Temp\OnboardLogs"\RTDC4064\2017-04-29 --exclude "*" --recursive --include "*20170429*" &amp; "%USERPROFILE%\Documents\GitHub\mrs-test-scripts\Headless Mode &amp; Sideloading\WalkAndUnGZ.bat" "%USERPROFILE%\AppData\Local\Temp\OnboardLogs"\RTDC4064\2017-04-29</v>
      </c>
      <c r="AF132" s="77" t="str">
        <f t="shared" si="38"/>
        <v>"C:\Program Files (x86)\AstroGrep\AstroGrep.exe" /e /r /s /spath="%USERPROFILE%\AppData\Local\Temp\OnboardLogs" /stypes="app*4064*20170429*" /stext=" 01:.+((SYSTEM_STATE.+slice.+state.+changed )|(ment ac)|(multiple cpu faults)|(system.+state.+changed )|(\[timeout)|(PRM\|1\|D)|(kpr)|(kdp)|(train.+moving)|(\|lc)|(penalty))"</v>
      </c>
      <c r="AG132" s="1" t="str">
        <f t="shared" si="39"/>
        <v>EC</v>
      </c>
      <c r="AH132" s="81" t="str">
        <f t="shared" si="40"/>
        <v>"%USERPROFILE%\Documents\GitHub\eaglep3\Utilities\RefineRTDCRunTimes.py" --tripid 219-28 --locoid 4064 --swversion DE.1.0.9.0 --startMP 204:484 --initTime 2017-04-28T18:25:24 --startdatetime 2017-04-28T18:30:13 --delay 2 --endMP 204:233349 --enddatetime 2017-04-28T19:08:38 --enforcementcount 0 &gt;&gt;C:\Users\stu\Documents\GitHub\eaglep3-reporting\EC\2017-04-28-refined-times.txt</v>
      </c>
      <c r="AI132" s="99" t="str">
        <f t="shared" si="41"/>
        <v>echo {"issue":{"subject":"","project_id":79,"tracker_id":40,"status_id":1,"priority_id":2,"assigned_to_id":23,"start_date":"2017-04-28","description":"","custom_fields":[{"id":1,"name":"Subdivision","value":"EC"},{"id":4,"name":"Milepost","value":"23.3349"},{"id":17,"name":"Train ID","value":"219-28"},{"id":16,"name":"Locomotive ID","value":"4064"},{"id":130,"name":"Impact","value":""},{"id":150,"name":"Time of Event (Mountain Time)","value":"19:08:38"},{"id":151,"name":"Denver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5" t="str">
        <f t="shared" si="42"/>
        <v>start /low /b %USERPROFILE%\Documents\GitHub\eaglep3\Utilities\DownloadLogsFromS3.py --loco 4064 --day 2017-04-28</v>
      </c>
      <c r="AN132" s="154" t="str">
        <f t="shared" si="43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01:08:38"},{"id":29,"name":"Sharepoint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803</v>
      </c>
      <c r="B133" s="7">
        <v>4063</v>
      </c>
      <c r="C133" s="21" t="s">
        <v>211</v>
      </c>
      <c r="D133" s="21" t="s">
        <v>890</v>
      </c>
      <c r="E133" s="13">
        <v>42853.80127314815</v>
      </c>
      <c r="F133" s="13">
        <v>42853.809976851851</v>
      </c>
      <c r="G133" s="7">
        <v>1</v>
      </c>
      <c r="H133" s="21" t="s">
        <v>198</v>
      </c>
      <c r="I133" s="13">
        <v>42853.838680555556</v>
      </c>
      <c r="J133" s="7">
        <v>0</v>
      </c>
      <c r="K133" s="92" t="str">
        <f t="shared" si="27"/>
        <v>4063/4064</v>
      </c>
      <c r="L133" s="21" t="str">
        <f>VLOOKUP(A133,'Trips&amp;Operators'!$C$1:$G$99999,5,FALSE)</f>
        <v>SWANSON BRYCE</v>
      </c>
      <c r="M133" s="6">
        <f t="shared" si="28"/>
        <v>2.8703703705104999E-2</v>
      </c>
      <c r="N133" s="7">
        <f t="shared" si="47"/>
        <v>41.333333335351199</v>
      </c>
      <c r="O133" s="7"/>
      <c r="P133" s="7"/>
      <c r="Q133" s="22"/>
      <c r="R133" s="190"/>
      <c r="S133" s="196">
        <f t="shared" si="48"/>
        <v>1</v>
      </c>
      <c r="T133" s="190" t="str">
        <f t="shared" si="30"/>
        <v>Southbound</v>
      </c>
      <c r="U133" s="190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1" t="str">
        <f t="shared" si="31"/>
        <v>https://d0f6bd738d7f1b3e5a7ca70fe4ff75f0.us-east-1.aws.found.io/app/kibana#/discover/Steve-Slow-Train-Analysis-(2080s-and-2083s)?_g=(refreshInterval:(display:Off,pause:!f,section:0,value:0),time:(from:'2017-04-28T18:13:50-0600',mode:absolute,to:'2017-04-28T21:07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33" s="192" t="str">
        <f t="shared" si="32"/>
        <v>N</v>
      </c>
      <c r="X133" s="192">
        <f t="shared" si="49"/>
        <v>1</v>
      </c>
      <c r="Y133" s="192">
        <f t="shared" si="33"/>
        <v>23.305099999999999</v>
      </c>
      <c r="Z133" s="192">
        <f t="shared" si="34"/>
        <v>1.5800000000000002E-2</v>
      </c>
      <c r="AA133" s="192">
        <f t="shared" si="35"/>
        <v>23.289300000000001</v>
      </c>
      <c r="AB133" s="57" t="e">
        <f>VLOOKUP(A133,Enforcements!$C$7:$K$13,8,0)</f>
        <v>#N/A</v>
      </c>
      <c r="AC133" s="53" t="e">
        <f>VLOOKUP(A133,Enforcements!$C$7:$E$13,3,0)</f>
        <v>#N/A</v>
      </c>
      <c r="AD133" s="54" t="str">
        <f t="shared" si="36"/>
        <v>0220-28</v>
      </c>
      <c r="AE133" s="80" t="str">
        <f t="shared" si="37"/>
        <v>aws s3 cp s3://rtdc.mdm.uploadarchive.raw/RTDC4063/ "%USERPROFILE%\AppData\Local\Temp\OnboardLogs"\RTDC4063\2017-04-28 --exclude "*" --recursive --include "*20170428*" &amp; "%USERPROFILE%\Documents\GitHub\mrs-test-scripts\Headless Mode &amp; Sideloading\WalkAndUnGZ.bat" "%USERPROFILE%\AppData\Local\Temp\OnboardLogs"\RTDC4063\2017-04-28 &amp; aws s3 cp s3://rtdc.mdm.uploadarchive.raw/RTDC4063/ "%USERPROFILE%\AppData\Local\Temp\OnboardLogs"\RTDC4063\2017-04-29 --exclude "*" --recursive --include "*20170429*" &amp; "%USERPROFILE%\Documents\GitHub\mrs-test-scripts\Headless Mode &amp; Sideloading\WalkAndUnGZ.bat" "%USERPROFILE%\AppData\Local\Temp\OnboardLogs"\RTDC4063\2017-04-29</v>
      </c>
      <c r="AF133" s="77" t="str">
        <f t="shared" si="38"/>
        <v>"C:\Program Files (x86)\AstroGrep\AstroGrep.exe" /e /r /s /spath="%USERPROFILE%\AppData\Local\Temp\OnboardLogs" /stypes="app*4063*20170429*" /stext=" 02:.+((SYSTEM_STATE.+slice.+state.+changed )|(ment ac)|(multiple cpu faults)|(system.+state.+changed )|(\[timeout)|(PRM\|1\|D)|(kpr)|(kdp)|(train.+moving)|(\|lc)|(penalty))"</v>
      </c>
      <c r="AG133" s="1" t="str">
        <f t="shared" si="39"/>
        <v>EC</v>
      </c>
      <c r="AH133" s="81" t="str">
        <f t="shared" si="40"/>
        <v>"%USERPROFILE%\Documents\GitHub\eaglep3\Utilities\RefineRTDCRunTimes.py" --tripid 220-28 --locoid 4063 --swversion DE.1.0.9.0 --startMP 204:233051 --initTime 2017-04-28T19:13:50 --startdatetime 2017-04-28T19:26:22 --delay 1 --endMP 204:158 --enddatetime 2017-04-28T20:07:42 --enforcementcount 0 &gt;&gt;C:\Users\stu\Documents\GitHub\eaglep3-reporting\EC\2017-04-28-refined-times.txt</v>
      </c>
      <c r="AI133" s="99" t="str">
        <f t="shared" si="41"/>
        <v>echo {"issue":{"subject":"","project_id":79,"tracker_id":40,"status_id":1,"priority_id":2,"assigned_to_id":23,"start_date":"2017-04-28","description":"","custom_fields":[{"id":1,"name":"Subdivision","value":"EC"},{"id":4,"name":"Milepost","value":"0.0158"},{"id":17,"name":"Train ID","value":"220-28"},{"id":16,"name":"Locomotive ID","value":"4063"},{"id":130,"name":"Impact","value":""},{"id":150,"name":"Time of Event (Mountain Time)","value":"20:07:42"},{"id":151,"name":"Denver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5" t="str">
        <f t="shared" si="42"/>
        <v>start /low /b %USERPROFILE%\Documents\GitHub\eaglep3\Utilities\DownloadLogsFromS3.py --loco 4063 --day 2017-04-28</v>
      </c>
      <c r="AN133" s="154" t="str">
        <f t="shared" si="43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02:07:42"},{"id":29,"name":"Sharepoint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797</v>
      </c>
      <c r="B134" s="7">
        <v>4042</v>
      </c>
      <c r="C134" s="21" t="s">
        <v>211</v>
      </c>
      <c r="D134" s="21" t="s">
        <v>423</v>
      </c>
      <c r="E134" s="13">
        <v>42853.786956018521</v>
      </c>
      <c r="F134" s="13">
        <v>42853.791886574072</v>
      </c>
      <c r="G134" s="7">
        <v>2</v>
      </c>
      <c r="H134" s="21" t="s">
        <v>513</v>
      </c>
      <c r="I134" s="13">
        <v>42853.818020833336</v>
      </c>
      <c r="J134" s="7">
        <v>0</v>
      </c>
      <c r="K134" s="92" t="str">
        <f t="shared" si="27"/>
        <v>4041/4042</v>
      </c>
      <c r="L134" s="21" t="str">
        <f>VLOOKUP(A134,'Trips&amp;Operators'!$C$1:$G$99999,5,FALSE)</f>
        <v>SAFIEF AEIMEN</v>
      </c>
      <c r="M134" s="6">
        <f t="shared" si="28"/>
        <v>2.6134259263926651E-2</v>
      </c>
      <c r="N134" s="7">
        <f t="shared" si="47"/>
        <v>37.633333340054378</v>
      </c>
      <c r="O134" s="7"/>
      <c r="P134" s="7"/>
      <c r="Q134" s="22"/>
      <c r="R134" s="190"/>
      <c r="S134" s="196">
        <f t="shared" si="48"/>
        <v>1</v>
      </c>
      <c r="T134" s="190" t="str">
        <f t="shared" si="30"/>
        <v>NorthBound</v>
      </c>
      <c r="U134" s="190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1" t="str">
        <f t="shared" si="31"/>
        <v>https://d0f6bd738d7f1b3e5a7ca70fe4ff75f0.us-east-1.aws.found.io/app/kibana#/discover/Steve-Slow-Train-Analysis-(2080s-and-2083s)?_g=(refreshInterval:(display:Off,pause:!f,section:0,value:0),time:(from:'2017-04-28T17:53:13-0600',mode:absolute,to:'2017-04-28T20:37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34" s="192" t="str">
        <f t="shared" si="32"/>
        <v>N</v>
      </c>
      <c r="X134" s="192">
        <f t="shared" si="49"/>
        <v>1</v>
      </c>
      <c r="Y134" s="192">
        <f t="shared" si="33"/>
        <v>4.5100000000000001E-2</v>
      </c>
      <c r="Z134" s="192">
        <f t="shared" si="34"/>
        <v>23.3309</v>
      </c>
      <c r="AA134" s="192">
        <f t="shared" si="35"/>
        <v>23.285799999999998</v>
      </c>
      <c r="AB134" s="57" t="e">
        <f>VLOOKUP(A134,Enforcements!$C$7:$K$13,8,0)</f>
        <v>#N/A</v>
      </c>
      <c r="AC134" s="53" t="e">
        <f>VLOOKUP(A134,Enforcements!$C$7:$E$13,3,0)</f>
        <v>#N/A</v>
      </c>
      <c r="AD134" s="54" t="str">
        <f t="shared" si="36"/>
        <v>0221-28</v>
      </c>
      <c r="AE134" s="80" t="str">
        <f t="shared" si="37"/>
        <v>aws s3 cp s3://rtdc.mdm.uploadarchive.raw/RTDC4042/ "%USERPROFILE%\AppData\Local\Temp\OnboardLogs"\RTDC4042\2017-04-28 --exclude "*" --recursive --include "*20170428*" &amp; "%USERPROFILE%\Documents\GitHub\mrs-test-scripts\Headless Mode &amp; Sideloading\WalkAndUnGZ.bat" "%USERPROFILE%\AppData\Local\Temp\OnboardLogs"\RTDC4042\2017-04-28 &amp; aws s3 cp s3://rtdc.mdm.uploadarchive.raw/RTDC4042/ "%USERPROFILE%\AppData\Local\Temp\OnboardLogs"\RTDC4042\2017-04-29 --exclude "*" --recursive --include "*20170429*" &amp; "%USERPROFILE%\Documents\GitHub\mrs-test-scripts\Headless Mode &amp; Sideloading\WalkAndUnGZ.bat" "%USERPROFILE%\AppData\Local\Temp\OnboardLogs"\RTDC4042\2017-04-29</v>
      </c>
      <c r="AF134" s="77" t="str">
        <f t="shared" si="38"/>
        <v>"C:\Program Files (x86)\AstroGrep\AstroGrep.exe" /e /r /s /spath="%USERPROFILE%\AppData\Local\Temp\OnboardLogs" /stypes="app*4042*20170429*" /stext=" 01:.+((SYSTEM_STATE.+slice.+state.+changed )|(ment ac)|(multiple cpu faults)|(system.+state.+changed )|(\[timeout)|(PRM\|1\|D)|(kpr)|(kdp)|(train.+moving)|(\|lc)|(penalty))"</v>
      </c>
      <c r="AG134" s="1" t="str">
        <f t="shared" si="39"/>
        <v>EC</v>
      </c>
      <c r="AH134" s="81" t="str">
        <f t="shared" si="40"/>
        <v>"%USERPROFILE%\Documents\GitHub\eaglep3\Utilities\RefineRTDCRunTimes.py" --tripid 221-28 --locoid 4042 --swversion DE.1.0.9.0 --startMP 204:451 --initTime 2017-04-28T18:53:13 --startdatetime 2017-04-28T19:00:19 --delay 2 --endMP 204:233309 --enddatetime 2017-04-28T19:37:57 --enforcementcount 0 &gt;&gt;C:\Users\stu\Documents\GitHub\eaglep3-reporting\EC\2017-04-28-refined-times.txt</v>
      </c>
      <c r="AI134" s="99" t="str">
        <f t="shared" si="41"/>
        <v>echo {"issue":{"subject":"","project_id":79,"tracker_id":40,"status_id":1,"priority_id":2,"assigned_to_id":23,"start_date":"2017-04-28","description":"","custom_fields":[{"id":1,"name":"Subdivision","value":"EC"},{"id":4,"name":"Milepost","value":"23.3309"},{"id":17,"name":"Train ID","value":"221-28"},{"id":16,"name":"Locomotive ID","value":"4042"},{"id":130,"name":"Impact","value":""},{"id":150,"name":"Time of Event (Mountain Time)","value":"19:37:57"},{"id":151,"name":"Denver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5" t="str">
        <f t="shared" si="42"/>
        <v>start /low /b %USERPROFILE%\Documents\GitHub\eaglep3\Utilities\DownloadLogsFromS3.py --loco 4042 --day 2017-04-28</v>
      </c>
      <c r="AN134" s="154" t="str">
        <f t="shared" si="43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01:37:57"},{"id":29,"name":"Sharepoint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808</v>
      </c>
      <c r="B135" s="7">
        <v>4041</v>
      </c>
      <c r="C135" s="21" t="s">
        <v>211</v>
      </c>
      <c r="D135" s="21" t="s">
        <v>484</v>
      </c>
      <c r="E135" s="13">
        <v>42853.822789351849</v>
      </c>
      <c r="F135" s="13">
        <v>42853.83090277778</v>
      </c>
      <c r="G135" s="7">
        <v>2</v>
      </c>
      <c r="H135" s="21" t="s">
        <v>486</v>
      </c>
      <c r="I135" s="13">
        <v>42853.858391203707</v>
      </c>
      <c r="J135" s="7">
        <v>0</v>
      </c>
      <c r="K135" s="92" t="str">
        <f t="shared" si="27"/>
        <v>4041/4042</v>
      </c>
      <c r="L135" s="21" t="str">
        <f>VLOOKUP(A135,'Trips&amp;Operators'!$C$1:$G$99999,5,FALSE)</f>
        <v>SAFIEF AEIMEN</v>
      </c>
      <c r="M135" s="6">
        <f t="shared" si="28"/>
        <v>2.7488425927003846E-2</v>
      </c>
      <c r="N135" s="7">
        <f t="shared" si="47"/>
        <v>39.583333334885538</v>
      </c>
      <c r="O135" s="7"/>
      <c r="P135" s="7"/>
      <c r="Q135" s="22"/>
      <c r="R135" s="190"/>
      <c r="S135" s="196">
        <f t="shared" si="48"/>
        <v>1</v>
      </c>
      <c r="T135" s="190" t="str">
        <f t="shared" si="30"/>
        <v>Southbound</v>
      </c>
      <c r="U135" s="190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1" t="str">
        <f t="shared" si="31"/>
        <v>https://d0f6bd738d7f1b3e5a7ca70fe4ff75f0.us-east-1.aws.found.io/app/kibana#/discover/Steve-Slow-Train-Analysis-(2080s-and-2083s)?_g=(refreshInterval:(display:Off,pause:!f,section:0,value:0),time:(from:'2017-04-28T18:44:49-0600',mode:absolute,to:'2017-04-28T21:36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35" s="192" t="str">
        <f t="shared" si="32"/>
        <v>N</v>
      </c>
      <c r="X135" s="192">
        <f t="shared" si="49"/>
        <v>1</v>
      </c>
      <c r="Y135" s="192">
        <f t="shared" si="33"/>
        <v>23.2973</v>
      </c>
      <c r="Z135" s="192">
        <f t="shared" si="34"/>
        <v>1.7000000000000001E-2</v>
      </c>
      <c r="AA135" s="192">
        <f t="shared" si="35"/>
        <v>23.2803</v>
      </c>
      <c r="AB135" s="57" t="e">
        <f>VLOOKUP(A135,Enforcements!$C$7:$K$13,8,0)</f>
        <v>#N/A</v>
      </c>
      <c r="AC135" s="53" t="e">
        <f>VLOOKUP(A135,Enforcements!$C$7:$E$13,3,0)</f>
        <v>#N/A</v>
      </c>
      <c r="AD135" s="54" t="str">
        <f t="shared" si="36"/>
        <v>0222-28</v>
      </c>
      <c r="AE135" s="80" t="str">
        <f t="shared" si="37"/>
        <v>aws s3 cp s3://rtdc.mdm.uploadarchive.raw/RTDC4041/ "%USERPROFILE%\AppData\Local\Temp\OnboardLogs"\RTDC4041\2017-04-28 --exclude "*" --recursive --include "*20170428*" &amp; "%USERPROFILE%\Documents\GitHub\mrs-test-scripts\Headless Mode &amp; Sideloading\WalkAndUnGZ.bat" "%USERPROFILE%\AppData\Local\Temp\OnboardLogs"\RTDC4041\2017-04-28 &amp; aws s3 cp s3://rtdc.mdm.uploadarchive.raw/RTDC4041/ "%USERPROFILE%\AppData\Local\Temp\OnboardLogs"\RTDC4041\2017-04-29 --exclude "*" --recursive --include "*20170429*" &amp; "%USERPROFILE%\Documents\GitHub\mrs-test-scripts\Headless Mode &amp; Sideloading\WalkAndUnGZ.bat" "%USERPROFILE%\AppData\Local\Temp\OnboardLogs"\RTDC4041\2017-04-29</v>
      </c>
      <c r="AF135" s="77" t="str">
        <f t="shared" si="38"/>
        <v>"C:\Program Files (x86)\AstroGrep\AstroGrep.exe" /e /r /s /spath="%USERPROFILE%\AppData\Local\Temp\OnboardLogs" /stypes="app*4041*20170429*" /stext=" 02:.+((SYSTEM_STATE.+slice.+state.+changed )|(ment ac)|(multiple cpu faults)|(system.+state.+changed )|(\[timeout)|(PRM\|1\|D)|(kpr)|(kdp)|(train.+moving)|(\|lc)|(penalty))"</v>
      </c>
      <c r="AG135" s="1" t="str">
        <f t="shared" si="39"/>
        <v>EC</v>
      </c>
      <c r="AH135" s="81" t="str">
        <f t="shared" si="40"/>
        <v>"%USERPROFILE%\Documents\GitHub\eaglep3\Utilities\RefineRTDCRunTimes.py" --tripid 222-28 --locoid 4041 --swversion DE.1.0.9.0 --startMP 204:232973 --initTime 2017-04-28T19:44:49 --startdatetime 2017-04-28T19:56:30 --delay 2 --endMP 204:170 --enddatetime 2017-04-28T20:36:05 --enforcementcount 0 &gt;&gt;C:\Users\stu\Documents\GitHub\eaglep3-reporting\EC\2017-04-28-refined-times.txt</v>
      </c>
      <c r="AI135" s="99" t="str">
        <f t="shared" si="41"/>
        <v>echo {"issue":{"subject":"","project_id":79,"tracker_id":40,"status_id":1,"priority_id":2,"assigned_to_id":23,"start_date":"2017-04-28","description":"","custom_fields":[{"id":1,"name":"Subdivision","value":"EC"},{"id":4,"name":"Milepost","value":"0.017"},{"id":17,"name":"Train ID","value":"222-28"},{"id":16,"name":"Locomotive ID","value":"4041"},{"id":130,"name":"Impact","value":""},{"id":150,"name":"Time of Event (Mountain Time)","value":"20:36:05"},{"id":151,"name":"Denver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5" t="str">
        <f t="shared" si="42"/>
        <v>start /low /b %USERPROFILE%\Documents\GitHub\eaglep3\Utilities\DownloadLogsFromS3.py --loco 4041 --day 2017-04-28</v>
      </c>
      <c r="AN135" s="154" t="str">
        <f t="shared" si="43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02:36:05"},{"id":29,"name":"Sharepoint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804</v>
      </c>
      <c r="B136" s="7">
        <v>4052</v>
      </c>
      <c r="C136" s="21" t="s">
        <v>211</v>
      </c>
      <c r="D136" s="21" t="s">
        <v>488</v>
      </c>
      <c r="E136" s="13">
        <v>42853.809652777774</v>
      </c>
      <c r="F136" s="13">
        <v>42853.812673611108</v>
      </c>
      <c r="G136" s="7">
        <v>2</v>
      </c>
      <c r="H136" s="21" t="s">
        <v>563</v>
      </c>
      <c r="I136" s="13">
        <v>42853.837881944448</v>
      </c>
      <c r="J136" s="7">
        <v>0</v>
      </c>
      <c r="K136" s="92" t="str">
        <f t="shared" si="27"/>
        <v>4051/4052</v>
      </c>
      <c r="L136" s="21" t="str">
        <f>VLOOKUP(A136,'Trips&amp;Operators'!$C$1:$G$99999,5,FALSE)</f>
        <v>MACDONALD THOMAS</v>
      </c>
      <c r="M136" s="6">
        <f t="shared" si="28"/>
        <v>2.5208333339833189E-2</v>
      </c>
      <c r="N136" s="7">
        <f t="shared" ref="N136:N167" si="50">24*60*SUM($M136:$M136)</f>
        <v>36.300000009359792</v>
      </c>
      <c r="O136" s="7"/>
      <c r="P136" s="7"/>
      <c r="Q136" s="22"/>
      <c r="R136" s="190"/>
      <c r="S136" s="196">
        <f t="shared" ref="S136:S167" si="51">SUM(U136:U136)/IF(AG136="EC",12,1)</f>
        <v>1</v>
      </c>
      <c r="T136" s="190" t="str">
        <f t="shared" si="30"/>
        <v>NorthBound</v>
      </c>
      <c r="U136" s="190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1" t="str">
        <f t="shared" si="31"/>
        <v>https://d0f6bd738d7f1b3e5a7ca70fe4ff75f0.us-east-1.aws.found.io/app/kibana#/discover/Steve-Slow-Train-Analysis-(2080s-and-2083s)?_g=(refreshInterval:(display:Off,pause:!f,section:0,value:0),time:(from:'2017-04-28T18:25:54-0600',mode:absolute,to:'2017-04-28T21:06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36" s="192" t="str">
        <f t="shared" si="32"/>
        <v>N</v>
      </c>
      <c r="X136" s="192">
        <f t="shared" si="49"/>
        <v>1</v>
      </c>
      <c r="Y136" s="192">
        <f t="shared" si="33"/>
        <v>4.8800000000000003E-2</v>
      </c>
      <c r="Z136" s="192">
        <f t="shared" si="34"/>
        <v>23.3276</v>
      </c>
      <c r="AA136" s="192">
        <f t="shared" si="35"/>
        <v>23.2788</v>
      </c>
      <c r="AB136" s="57" t="e">
        <f>VLOOKUP(A136,Enforcements!$C$7:$K$13,8,0)</f>
        <v>#N/A</v>
      </c>
      <c r="AC136" s="53" t="e">
        <f>VLOOKUP(A136,Enforcements!$C$7:$E$13,3,0)</f>
        <v>#N/A</v>
      </c>
      <c r="AD136" s="54" t="str">
        <f t="shared" si="36"/>
        <v>0223-28</v>
      </c>
      <c r="AE136" s="80" t="str">
        <f t="shared" si="37"/>
        <v>aws s3 cp s3://rtdc.mdm.uploadarchive.raw/RTDC4052/ "%USERPROFILE%\AppData\Local\Temp\OnboardLogs"\RTDC4052\2017-04-28 --exclude "*" --recursive --include "*20170428*" &amp; "%USERPROFILE%\Documents\GitHub\mrs-test-scripts\Headless Mode &amp; Sideloading\WalkAndUnGZ.bat" "%USERPROFILE%\AppData\Local\Temp\OnboardLogs"\RTDC4052\2017-04-28 &amp; aws s3 cp s3://rtdc.mdm.uploadarchive.raw/RTDC4052/ "%USERPROFILE%\AppData\Local\Temp\OnboardLogs"\RTDC4052\2017-04-29 --exclude "*" --recursive --include "*20170429*" &amp; "%USERPROFILE%\Documents\GitHub\mrs-test-scripts\Headless Mode &amp; Sideloading\WalkAndUnGZ.bat" "%USERPROFILE%\AppData\Local\Temp\OnboardLogs"\RTDC4052\2017-04-29</v>
      </c>
      <c r="AF136" s="77" t="str">
        <f t="shared" si="38"/>
        <v>"C:\Program Files (x86)\AstroGrep\AstroGrep.exe" /e /r /s /spath="%USERPROFILE%\AppData\Local\Temp\OnboardLogs" /stypes="app*4052*20170429*" /stext=" 02:.+((SYSTEM_STATE.+slice.+state.+changed )|(ment ac)|(multiple cpu faults)|(system.+state.+changed )|(\[timeout)|(PRM\|1\|D)|(kpr)|(kdp)|(train.+moving)|(\|lc)|(penalty))"</v>
      </c>
      <c r="AG136" s="1" t="str">
        <f t="shared" si="39"/>
        <v>EC</v>
      </c>
      <c r="AH136" s="81" t="str">
        <f t="shared" si="40"/>
        <v>"%USERPROFILE%\Documents\GitHub\eaglep3\Utilities\RefineRTDCRunTimes.py" --tripid 223-28 --locoid 4052 --swversion DE.1.0.9.0 --startMP 204:488 --initTime 2017-04-28T19:25:54 --startdatetime 2017-04-28T19:30:15 --delay 2 --endMP 204:233276 --enddatetime 2017-04-28T20:06:33 --enforcementcount 0 &gt;&gt;C:\Users\stu\Documents\GitHub\eaglep3-reporting\EC\2017-04-28-refined-times.txt</v>
      </c>
      <c r="AI136" s="99" t="str">
        <f t="shared" si="41"/>
        <v>echo {"issue":{"subject":"","project_id":79,"tracker_id":40,"status_id":1,"priority_id":2,"assigned_to_id":23,"start_date":"2017-04-28","description":"","custom_fields":[{"id":1,"name":"Subdivision","value":"EC"},{"id":4,"name":"Milepost","value":"23.3276"},{"id":17,"name":"Train ID","value":"223-28"},{"id":16,"name":"Locomotive ID","value":"4052"},{"id":130,"name":"Impact","value":""},{"id":150,"name":"Time of Event (Mountain Time)","value":"20:06:33"},{"id":151,"name":"Denver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5" t="str">
        <f t="shared" si="42"/>
        <v>start /low /b %USERPROFILE%\Documents\GitHub\eaglep3\Utilities\DownloadLogsFromS3.py --loco 4052 --day 2017-04-28</v>
      </c>
      <c r="AN136" s="154" t="str">
        <f t="shared" si="43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02:06:33"},{"id":29,"name":"Sharepoint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634</v>
      </c>
      <c r="B137" s="7">
        <v>4051</v>
      </c>
      <c r="C137" s="21" t="s">
        <v>211</v>
      </c>
      <c r="D137" s="21" t="s">
        <v>915</v>
      </c>
      <c r="E137" s="13">
        <v>42853.848657407405</v>
      </c>
      <c r="F137" s="13">
        <v>42853.851712962962</v>
      </c>
      <c r="G137" s="7">
        <v>2</v>
      </c>
      <c r="H137" s="21" t="s">
        <v>916</v>
      </c>
      <c r="I137" s="13">
        <v>42853.880046296297</v>
      </c>
      <c r="J137" s="7">
        <v>0</v>
      </c>
      <c r="K137" s="92" t="str">
        <f t="shared" si="27"/>
        <v>4051/4052</v>
      </c>
      <c r="L137" s="21" t="str">
        <f>VLOOKUP(A137,'Trips&amp;Operators'!$C$1:$G$99999,5,FALSE)</f>
        <v>MACDONALD THOMAS</v>
      </c>
      <c r="M137" s="6">
        <f t="shared" si="28"/>
        <v>2.8333333335467614E-2</v>
      </c>
      <c r="N137" s="7">
        <f t="shared" si="50"/>
        <v>40.800000003073364</v>
      </c>
      <c r="O137" s="7"/>
      <c r="P137" s="7"/>
      <c r="Q137" s="22"/>
      <c r="R137" s="190"/>
      <c r="S137" s="196">
        <f t="shared" si="51"/>
        <v>1</v>
      </c>
      <c r="T137" s="190" t="str">
        <f t="shared" si="30"/>
        <v>Southbound</v>
      </c>
      <c r="U137" s="190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1" t="str">
        <f t="shared" si="31"/>
        <v>https://d0f6bd738d7f1b3e5a7ca70fe4ff75f0.us-east-1.aws.found.io/app/kibana#/discover/Steve-Slow-Train-Analysis-(2080s-and-2083s)?_g=(refreshInterval:(display:Off,pause:!f,section:0,value:0),time:(from:'2017-04-28T19:22:04-0600',mode:absolute,to:'2017-04-28T22:07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37" s="192" t="str">
        <f t="shared" si="32"/>
        <v>N</v>
      </c>
      <c r="X137" s="192">
        <f t="shared" si="49"/>
        <v>1</v>
      </c>
      <c r="Y137" s="192">
        <f t="shared" si="33"/>
        <v>23.295100000000001</v>
      </c>
      <c r="Z137" s="192">
        <f t="shared" si="34"/>
        <v>1.6500000000000001E-2</v>
      </c>
      <c r="AA137" s="192">
        <f t="shared" si="35"/>
        <v>23.278600000000001</v>
      </c>
      <c r="AB137" s="57" t="str">
        <f>VLOOKUP(A137,Enforcements!$C$7:$K$13,8,0)</f>
        <v>Bulletin (2)</v>
      </c>
      <c r="AC137" s="53" t="str">
        <f>VLOOKUP(A137,Enforcements!$C$7:$E$13,3,0)</f>
        <v>GRADE CROSSING</v>
      </c>
      <c r="AD137" s="54" t="str">
        <f t="shared" si="36"/>
        <v>0224-28</v>
      </c>
      <c r="AE137" s="80" t="str">
        <f t="shared" si="37"/>
        <v>aws s3 cp s3://rtdc.mdm.uploadarchive.raw/RTDC4051/ "%USERPROFILE%\AppData\Local\Temp\OnboardLogs"\RTDC4051\2017-04-28 --exclude "*" --recursive --include "*20170428*" &amp; "%USERPROFILE%\Documents\GitHub\mrs-test-scripts\Headless Mode &amp; Sideloading\WalkAndUnGZ.bat" "%USERPROFILE%\AppData\Local\Temp\OnboardLogs"\RTDC4051\2017-04-28 &amp; aws s3 cp s3://rtdc.mdm.uploadarchive.raw/RTDC4051/ "%USERPROFILE%\AppData\Local\Temp\OnboardLogs"\RTDC4051\2017-04-29 --exclude "*" --recursive --include "*20170429*" &amp; "%USERPROFILE%\Documents\GitHub\mrs-test-scripts\Headless Mode &amp; Sideloading\WalkAndUnGZ.bat" "%USERPROFILE%\AppData\Local\Temp\OnboardLogs"\RTDC4051\2017-04-29</v>
      </c>
      <c r="AF137" s="77" t="str">
        <f t="shared" si="38"/>
        <v>"C:\Program Files (x86)\AstroGrep\AstroGrep.exe" /e /r /s /spath="%USERPROFILE%\AppData\Local\Temp\OnboardLogs" /stypes="app*4051*20170429*" /stext=" 03:.+((SYSTEM_STATE.+slice.+state.+changed )|(ment ac)|(multiple cpu faults)|(system.+state.+changed )|(\[timeout)|(PRM\|1\|D)|(kpr)|(kdp)|(train.+moving)|(\|lc)|(penalty))"</v>
      </c>
      <c r="AG137" s="1" t="str">
        <f t="shared" si="39"/>
        <v>EC</v>
      </c>
      <c r="AH137" s="81" t="str">
        <f t="shared" si="40"/>
        <v>"%USERPROFILE%\Documents\GitHub\eaglep3\Utilities\RefineRTDCRunTimes.py" --tripid 224-28 --locoid 4051 --swversion DE.1.0.9.0 --startMP 204:232951 --initTime 2017-04-28T20:22:04 --startdatetime 2017-04-28T20:26:28 --delay 2 --endMP 204:165 --enddatetime 2017-04-28T21:07:16 --enforcementcount 0 &gt;&gt;C:\Users\stu\Documents\GitHub\eaglep3-reporting\EC\2017-04-28-refined-times.txt</v>
      </c>
      <c r="AI137" s="99" t="str">
        <f t="shared" si="41"/>
        <v>echo {"issue":{"subject":"","project_id":79,"tracker_id":40,"status_id":1,"priority_id":2,"assigned_to_id":23,"start_date":"2017-04-28","description":"","custom_fields":[{"id":1,"name":"Subdivision","value":"EC"},{"id":4,"name":"Milepost","value":"0.0165"},{"id":17,"name":"Train ID","value":"224-28"},{"id":16,"name":"Locomotive ID","value":"4051"},{"id":130,"name":"Impact","value":""},{"id":150,"name":"Time of Event (Mountain Time)","value":"21:07:16"},{"id":151,"name":"Denver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5" t="str">
        <f t="shared" si="42"/>
        <v>start /low /b %USERPROFILE%\Documents\GitHub\eaglep3\Utilities\DownloadLogsFromS3.py --loco 4051 --day 2017-04-28</v>
      </c>
      <c r="AN137" s="154" t="str">
        <f t="shared" si="43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03:07:16"},{"id":29,"name":"Sharepoint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809</v>
      </c>
      <c r="B138" s="7">
        <v>4030</v>
      </c>
      <c r="C138" s="21" t="s">
        <v>211</v>
      </c>
      <c r="D138" s="21" t="s">
        <v>917</v>
      </c>
      <c r="E138" s="13">
        <v>42853.828252314815</v>
      </c>
      <c r="F138" s="13">
        <v>42853.833773148152</v>
      </c>
      <c r="G138" s="7">
        <v>1</v>
      </c>
      <c r="H138" s="21" t="s">
        <v>918</v>
      </c>
      <c r="I138" s="13">
        <v>42853.85833333333</v>
      </c>
      <c r="J138" s="7">
        <v>0</v>
      </c>
      <c r="K138" s="92" t="str">
        <f t="shared" si="27"/>
        <v>4029/4030</v>
      </c>
      <c r="L138" s="21" t="str">
        <f>VLOOKUP(A138,'Trips&amp;Operators'!$C$1:$G$99999,5,FALSE)</f>
        <v>STAMBAUGH JAMES</v>
      </c>
      <c r="M138" s="6">
        <f t="shared" si="28"/>
        <v>2.456018517841585E-2</v>
      </c>
      <c r="N138" s="7">
        <f t="shared" si="50"/>
        <v>35.366666656918824</v>
      </c>
      <c r="O138" s="7"/>
      <c r="P138" s="7"/>
      <c r="Q138" s="22"/>
      <c r="R138" s="190"/>
      <c r="S138" s="196">
        <f t="shared" si="51"/>
        <v>1</v>
      </c>
      <c r="T138" s="190" t="str">
        <f t="shared" si="30"/>
        <v>NorthBound</v>
      </c>
      <c r="U138" s="190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1" t="str">
        <f t="shared" si="31"/>
        <v>https://d0f6bd738d7f1b3e5a7ca70fe4ff75f0.us-east-1.aws.found.io/app/kibana#/discover/Steve-Slow-Train-Analysis-(2080s-and-2083s)?_g=(refreshInterval:(display:Off,pause:!f,section:0,value:0),time:(from:'2017-04-28T18:52:41-0600',mode:absolute,to:'2017-04-28T21:36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38" s="192" t="str">
        <f t="shared" si="32"/>
        <v>N</v>
      </c>
      <c r="X138" s="192">
        <f t="shared" si="49"/>
        <v>1</v>
      </c>
      <c r="Y138" s="192">
        <f t="shared" si="33"/>
        <v>3.9600000000000003E-2</v>
      </c>
      <c r="Z138" s="192">
        <f t="shared" si="34"/>
        <v>23.340499999999999</v>
      </c>
      <c r="AA138" s="192">
        <f t="shared" si="35"/>
        <v>23.300899999999999</v>
      </c>
      <c r="AB138" s="57" t="e">
        <f>VLOOKUP(A138,Enforcements!$C$7:$K$13,8,0)</f>
        <v>#N/A</v>
      </c>
      <c r="AC138" s="53" t="e">
        <f>VLOOKUP(A138,Enforcements!$C$7:$E$13,3,0)</f>
        <v>#N/A</v>
      </c>
      <c r="AD138" s="54" t="str">
        <f t="shared" si="36"/>
        <v>0225-28</v>
      </c>
      <c r="AE138" s="80" t="str">
        <f t="shared" si="37"/>
        <v>aws s3 cp s3://rtdc.mdm.uploadarchive.raw/RTDC4030/ "%USERPROFILE%\AppData\Local\Temp\OnboardLogs"\RTDC4030\2017-04-28 --exclude "*" --recursive --include "*20170428*" &amp; "%USERPROFILE%\Documents\GitHub\mrs-test-scripts\Headless Mode &amp; Sideloading\WalkAndUnGZ.bat" "%USERPROFILE%\AppData\Local\Temp\OnboardLogs"\RTDC4030\2017-04-28 &amp; aws s3 cp s3://rtdc.mdm.uploadarchive.raw/RTDC4030/ "%USERPROFILE%\AppData\Local\Temp\OnboardLogs"\RTDC4030\2017-04-29 --exclude "*" --recursive --include "*20170429*" &amp; "%USERPROFILE%\Documents\GitHub\mrs-test-scripts\Headless Mode &amp; Sideloading\WalkAndUnGZ.bat" "%USERPROFILE%\AppData\Local\Temp\OnboardLogs"\RTDC4030\2017-04-29</v>
      </c>
      <c r="AF138" s="77" t="str">
        <f t="shared" si="38"/>
        <v>"C:\Program Files (x86)\AstroGrep\AstroGrep.exe" /e /r /s /spath="%USERPROFILE%\AppData\Local\Temp\OnboardLogs" /stypes="app*4030*20170429*" /stext=" 02:.+((SYSTEM_STATE.+slice.+state.+changed )|(ment ac)|(multiple cpu faults)|(system.+state.+changed )|(\[timeout)|(PRM\|1\|D)|(kpr)|(kdp)|(train.+moving)|(\|lc)|(penalty))"</v>
      </c>
      <c r="AG138" s="1" t="str">
        <f t="shared" si="39"/>
        <v>EC</v>
      </c>
      <c r="AH138" s="81" t="str">
        <f t="shared" si="40"/>
        <v>"%USERPROFILE%\Documents\GitHub\eaglep3\Utilities\RefineRTDCRunTimes.py" --tripid 225-28 --locoid 4030 --swversion DE.1.0.9.0 --startMP 204:396 --initTime 2017-04-28T19:52:41 --startdatetime 2017-04-28T20:00:38 --delay 1 --endMP 204:233405 --enddatetime 2017-04-28T20:36:00 --enforcementcount 0 &gt;&gt;C:\Users\stu\Documents\GitHub\eaglep3-reporting\EC\2017-04-28-refined-times.txt</v>
      </c>
      <c r="AI138" s="99" t="str">
        <f t="shared" si="41"/>
        <v>echo {"issue":{"subject":"","project_id":79,"tracker_id":40,"status_id":1,"priority_id":2,"assigned_to_id":23,"start_date":"2017-04-28","description":"","custom_fields":[{"id":1,"name":"Subdivision","value":"EC"},{"id":4,"name":"Milepost","value":"23.3405"},{"id":17,"name":"Train ID","value":"225-28"},{"id":16,"name":"Locomotive ID","value":"4030"},{"id":130,"name":"Impact","value":""},{"id":150,"name":"Time of Event (Mountain Time)","value":"20:36:00"},{"id":151,"name":"Denver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5" t="str">
        <f t="shared" si="42"/>
        <v>start /low /b %USERPROFILE%\Documents\GitHub\eaglep3\Utilities\DownloadLogsFromS3.py --loco 4030 --day 2017-04-28</v>
      </c>
      <c r="AN138" s="154" t="str">
        <f t="shared" si="43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02:36:00"},{"id":29,"name":"Sharepoint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817</v>
      </c>
      <c r="B139" s="7">
        <v>4029</v>
      </c>
      <c r="C139" s="21" t="s">
        <v>211</v>
      </c>
      <c r="D139" s="21" t="s">
        <v>919</v>
      </c>
      <c r="E139" s="13">
        <v>42853.867743055554</v>
      </c>
      <c r="F139" s="13">
        <v>42853.872673611113</v>
      </c>
      <c r="G139" s="7">
        <v>1</v>
      </c>
      <c r="H139" s="21" t="s">
        <v>203</v>
      </c>
      <c r="I139" s="13">
        <v>42853.901909722219</v>
      </c>
      <c r="J139" s="7">
        <v>0</v>
      </c>
      <c r="K139" s="92" t="str">
        <f t="shared" si="27"/>
        <v>4029/4030</v>
      </c>
      <c r="L139" s="21" t="str">
        <f>VLOOKUP(A139,'Trips&amp;Operators'!$C$1:$G$99999,5,FALSE)</f>
        <v>STAMBAUGH JAMES</v>
      </c>
      <c r="M139" s="6">
        <f t="shared" si="28"/>
        <v>2.9236111106001772E-2</v>
      </c>
      <c r="N139" s="7">
        <f t="shared" si="50"/>
        <v>42.099999992642552</v>
      </c>
      <c r="O139" s="7"/>
      <c r="P139" s="7"/>
      <c r="Q139" s="22"/>
      <c r="R139" s="190"/>
      <c r="S139" s="196">
        <f t="shared" si="51"/>
        <v>1</v>
      </c>
      <c r="T139" s="190" t="str">
        <f t="shared" si="30"/>
        <v>Southbound</v>
      </c>
      <c r="U139" s="190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1" t="str">
        <f t="shared" si="31"/>
        <v>https://d0f6bd738d7f1b3e5a7ca70fe4ff75f0.us-east-1.aws.found.io/app/kibana#/discover/Steve-Slow-Train-Analysis-(2080s-and-2083s)?_g=(refreshInterval:(display:Off,pause:!f,section:0,value:0),time:(from:'2017-04-28T19:49:33-0600',mode:absolute,to:'2017-04-28T22:38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39" s="192" t="str">
        <f t="shared" si="32"/>
        <v>N</v>
      </c>
      <c r="X139" s="192">
        <f t="shared" si="49"/>
        <v>1</v>
      </c>
      <c r="Y139" s="192">
        <f t="shared" si="33"/>
        <v>23.3094</v>
      </c>
      <c r="Z139" s="192">
        <f t="shared" si="34"/>
        <v>1.54E-2</v>
      </c>
      <c r="AA139" s="192">
        <f t="shared" si="35"/>
        <v>23.294</v>
      </c>
      <c r="AB139" s="57" t="e">
        <f>VLOOKUP(A139,Enforcements!$C$7:$K$13,8,0)</f>
        <v>#N/A</v>
      </c>
      <c r="AC139" s="53" t="e">
        <f>VLOOKUP(A139,Enforcements!$C$7:$E$13,3,0)</f>
        <v>#N/A</v>
      </c>
      <c r="AD139" s="54" t="str">
        <f t="shared" si="36"/>
        <v>0226-28</v>
      </c>
      <c r="AE139" s="80" t="str">
        <f t="shared" si="37"/>
        <v>aws s3 cp s3://rtdc.mdm.uploadarchive.raw/RTDC4029/ "%USERPROFILE%\AppData\Local\Temp\OnboardLogs"\RTDC4029\2017-04-28 --exclude "*" --recursive --include "*20170428*" &amp; "%USERPROFILE%\Documents\GitHub\mrs-test-scripts\Headless Mode &amp; Sideloading\WalkAndUnGZ.bat" "%USERPROFILE%\AppData\Local\Temp\OnboardLogs"\RTDC4029\2017-04-28 &amp; aws s3 cp s3://rtdc.mdm.uploadarchive.raw/RTDC4029/ "%USERPROFILE%\AppData\Local\Temp\OnboardLogs"\RTDC4029\2017-04-29 --exclude "*" --recursive --include "*20170429*" &amp; "%USERPROFILE%\Documents\GitHub\mrs-test-scripts\Headless Mode &amp; Sideloading\WalkAndUnGZ.bat" "%USERPROFILE%\AppData\Local\Temp\OnboardLogs"\RTDC4029\2017-04-29</v>
      </c>
      <c r="AF139" s="77" t="str">
        <f t="shared" si="38"/>
        <v>"C:\Program Files (x86)\AstroGrep\AstroGrep.exe" /e /r /s /spath="%USERPROFILE%\AppData\Local\Temp\OnboardLogs" /stypes="app*4029*20170429*" /stext=" 03:.+((SYSTEM_STATE.+slice.+state.+changed )|(ment ac)|(multiple cpu faults)|(system.+state.+changed )|(\[timeout)|(PRM\|1\|D)|(kpr)|(kdp)|(train.+moving)|(\|lc)|(penalty))"</v>
      </c>
      <c r="AG139" s="1" t="str">
        <f t="shared" si="39"/>
        <v>EC</v>
      </c>
      <c r="AH139" s="81" t="str">
        <f t="shared" si="40"/>
        <v>"%USERPROFILE%\Documents\GitHub\eaglep3\Utilities\RefineRTDCRunTimes.py" --tripid 226-28 --locoid 4029 --swversion DE.1.0.9.0 --startMP 204:233094 --initTime 2017-04-28T20:49:33 --startdatetime 2017-04-28T20:56:39 --delay 1 --endMP 204:154 --enddatetime 2017-04-28T21:38:45 --enforcementcount 0 &gt;&gt;C:\Users\stu\Documents\GitHub\eaglep3-reporting\EC\2017-04-28-refined-times.txt</v>
      </c>
      <c r="AI139" s="99" t="str">
        <f t="shared" si="41"/>
        <v>echo {"issue":{"subject":"","project_id":79,"tracker_id":40,"status_id":1,"priority_id":2,"assigned_to_id":23,"start_date":"2017-04-28","description":"","custom_fields":[{"id":1,"name":"Subdivision","value":"EC"},{"id":4,"name":"Milepost","value":"0.0154"},{"id":17,"name":"Train ID","value":"226-28"},{"id":16,"name":"Locomotive ID","value":"4029"},{"id":130,"name":"Impact","value":""},{"id":150,"name":"Time of Event (Mountain Time)","value":"21:38:45"},{"id":151,"name":"Denver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5" t="str">
        <f t="shared" si="42"/>
        <v>start /low /b %USERPROFILE%\Documents\GitHub\eaglep3\Utilities\DownloadLogsFromS3.py --loco 4029 --day 2017-04-28</v>
      </c>
      <c r="AN139" s="154" t="str">
        <f t="shared" si="43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03:38:45"},{"id":29,"name":"Sharepoint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812</v>
      </c>
      <c r="B140" s="7">
        <v>4064</v>
      </c>
      <c r="C140" s="21" t="s">
        <v>211</v>
      </c>
      <c r="D140" s="21" t="s">
        <v>407</v>
      </c>
      <c r="E140" s="13">
        <v>42853.840983796297</v>
      </c>
      <c r="F140" s="13">
        <v>42853.85434027778</v>
      </c>
      <c r="G140" s="7">
        <v>1</v>
      </c>
      <c r="H140" s="21" t="s">
        <v>920</v>
      </c>
      <c r="I140" s="13">
        <v>42853.882928240739</v>
      </c>
      <c r="J140" s="7">
        <v>0</v>
      </c>
      <c r="K140" s="92" t="str">
        <f t="shared" si="27"/>
        <v>4063/4064</v>
      </c>
      <c r="L140" s="21" t="str">
        <f>VLOOKUP(A140,'Trips&amp;Operators'!$C$1:$G$99999,5,FALSE)</f>
        <v>SWANSON BRYCE</v>
      </c>
      <c r="M140" s="6">
        <f t="shared" si="28"/>
        <v>2.8587962959136348E-2</v>
      </c>
      <c r="N140" s="7">
        <f t="shared" si="50"/>
        <v>41.166666661156341</v>
      </c>
      <c r="O140" s="7"/>
      <c r="P140" s="7"/>
      <c r="Q140" s="22"/>
      <c r="R140" s="190"/>
      <c r="S140" s="196">
        <f t="shared" si="51"/>
        <v>1</v>
      </c>
      <c r="T140" s="190" t="str">
        <f t="shared" si="30"/>
        <v>NorthBound</v>
      </c>
      <c r="U140" s="190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1" t="str">
        <f t="shared" si="31"/>
        <v>https://d0f6bd738d7f1b3e5a7ca70fe4ff75f0.us-east-1.aws.found.io/app/kibana#/discover/Steve-Slow-Train-Analysis-(2080s-and-2083s)?_g=(refreshInterval:(display:Off,pause:!f,section:0,value:0),time:(from:'2017-04-28T19:11:01-0600',mode:absolute,to:'2017-04-28T22:11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40" s="192" t="str">
        <f t="shared" si="32"/>
        <v>N</v>
      </c>
      <c r="X140" s="192">
        <f t="shared" si="49"/>
        <v>1</v>
      </c>
      <c r="Y140" s="192">
        <f t="shared" si="33"/>
        <v>4.6699999999999998E-2</v>
      </c>
      <c r="Z140" s="192">
        <f t="shared" si="34"/>
        <v>23.336099999999998</v>
      </c>
      <c r="AA140" s="192">
        <f t="shared" si="35"/>
        <v>23.289399999999997</v>
      </c>
      <c r="AB140" s="57" t="e">
        <f>VLOOKUP(A140,Enforcements!$C$7:$K$13,8,0)</f>
        <v>#N/A</v>
      </c>
      <c r="AC140" s="53" t="e">
        <f>VLOOKUP(A140,Enforcements!$C$7:$E$13,3,0)</f>
        <v>#N/A</v>
      </c>
      <c r="AD140" s="54" t="str">
        <f t="shared" si="36"/>
        <v>0227-28</v>
      </c>
      <c r="AE140" s="80" t="str">
        <f t="shared" si="37"/>
        <v>aws s3 cp s3://rtdc.mdm.uploadarchive.raw/RTDC4064/ "%USERPROFILE%\AppData\Local\Temp\OnboardLogs"\RTDC4064\2017-04-28 --exclude "*" --recursive --include "*20170428*" &amp; "%USERPROFILE%\Documents\GitHub\mrs-test-scripts\Headless Mode &amp; Sideloading\WalkAndUnGZ.bat" "%USERPROFILE%\AppData\Local\Temp\OnboardLogs"\RTDC4064\2017-04-28 &amp; aws s3 cp s3://rtdc.mdm.uploadarchive.raw/RTDC4064/ "%USERPROFILE%\AppData\Local\Temp\OnboardLogs"\RTDC4064\2017-04-29 --exclude "*" --recursive --include "*20170429*" &amp; "%USERPROFILE%\Documents\GitHub\mrs-test-scripts\Headless Mode &amp; Sideloading\WalkAndUnGZ.bat" "%USERPROFILE%\AppData\Local\Temp\OnboardLogs"\RTDC4064\2017-04-29</v>
      </c>
      <c r="AF140" s="77" t="str">
        <f t="shared" si="38"/>
        <v>"C:\Program Files (x86)\AstroGrep\AstroGrep.exe" /e /r /s /spath="%USERPROFILE%\AppData\Local\Temp\OnboardLogs" /stypes="app*4064*20170429*" /stext=" 03:.+((SYSTEM_STATE.+slice.+state.+changed )|(ment ac)|(multiple cpu faults)|(system.+state.+changed )|(\[timeout)|(PRM\|1\|D)|(kpr)|(kdp)|(train.+moving)|(\|lc)|(penalty))"</v>
      </c>
      <c r="AG140" s="1" t="str">
        <f t="shared" si="39"/>
        <v>EC</v>
      </c>
      <c r="AH140" s="81" t="str">
        <f t="shared" si="40"/>
        <v>"%USERPROFILE%\Documents\GitHub\eaglep3\Utilities\RefineRTDCRunTimes.py" --tripid 227-28 --locoid 4064 --swversion DE.1.0.9.0 --startMP 204:467 --initTime 2017-04-28T20:11:01 --startdatetime 2017-04-28T20:30:15 --delay 1 --endMP 204:233361 --enddatetime 2017-04-28T21:11:25 --enforcementcount 0 &gt;&gt;C:\Users\stu\Documents\GitHub\eaglep3-reporting\EC\2017-04-28-refined-times.txt</v>
      </c>
      <c r="AI140" s="99" t="str">
        <f t="shared" si="41"/>
        <v>echo {"issue":{"subject":"","project_id":79,"tracker_id":40,"status_id":1,"priority_id":2,"assigned_to_id":23,"start_date":"2017-04-28","description":"","custom_fields":[{"id":1,"name":"Subdivision","value":"EC"},{"id":4,"name":"Milepost","value":"23.3361"},{"id":17,"name":"Train ID","value":"227-28"},{"id":16,"name":"Locomotive ID","value":"4064"},{"id":130,"name":"Impact","value":""},{"id":150,"name":"Time of Event (Mountain Time)","value":"21:11:25"},{"id":151,"name":"Denver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5" t="str">
        <f t="shared" si="42"/>
        <v>start /low /b %USERPROFILE%\Documents\GitHub\eaglep3\Utilities\DownloadLogsFromS3.py --loco 4064 --day 2017-04-28</v>
      </c>
      <c r="AN140" s="154" t="str">
        <f t="shared" si="43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03:11:25"},{"id":29,"name":"Sharepoint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818</v>
      </c>
      <c r="B141" s="7">
        <v>4063</v>
      </c>
      <c r="C141" s="21" t="s">
        <v>211</v>
      </c>
      <c r="D141" s="21" t="s">
        <v>921</v>
      </c>
      <c r="E141" s="13">
        <v>42853.885636574072</v>
      </c>
      <c r="F141" s="13">
        <v>42853.893506944441</v>
      </c>
      <c r="G141" s="7">
        <v>1</v>
      </c>
      <c r="H141" s="21" t="s">
        <v>208</v>
      </c>
      <c r="I141" s="13">
        <v>42853.922152777777</v>
      </c>
      <c r="J141" s="7">
        <v>0</v>
      </c>
      <c r="K141" s="92" t="str">
        <f t="shared" ref="K141:K204" si="52">IF(ISEVEN(B141),(B141-1)&amp;"/"&amp;B141,B141&amp;"/"&amp;(B141+1))</f>
        <v>4063/4064</v>
      </c>
      <c r="L141" s="21" t="str">
        <f>VLOOKUP(A141,'Trips&amp;Operators'!$C$1:$G$99999,5,FALSE)</f>
        <v>SWANSON BRYCE</v>
      </c>
      <c r="M141" s="6">
        <f t="shared" ref="M141:M204" si="53">I141-F141</f>
        <v>2.8645833335758653E-2</v>
      </c>
      <c r="N141" s="7">
        <f t="shared" si="50"/>
        <v>41.25000000349246</v>
      </c>
      <c r="O141" s="7"/>
      <c r="P141" s="7"/>
      <c r="Q141" s="22"/>
      <c r="R141" s="190"/>
      <c r="S141" s="196">
        <f t="shared" si="51"/>
        <v>1</v>
      </c>
      <c r="T141" s="190" t="str">
        <f t="shared" ref="T141:T204" si="54">IF(ISEVEN(LEFT(AD141,4)),"Southbound","NorthBound")</f>
        <v>Southbound</v>
      </c>
      <c r="U141" s="190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1" t="str">
        <f t="shared" ref="V141:V204" si="55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-04-28T20:15:19-0600',mode:absolute,to:'2017-04-28T23:07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41" s="192" t="str">
        <f t="shared" ref="W141:W204" si="56">IF(AA141&lt;IF(AG141="EC",23,5.65),"Y","N")</f>
        <v>N</v>
      </c>
      <c r="X141" s="192">
        <f t="shared" si="49"/>
        <v>1</v>
      </c>
      <c r="Y141" s="192">
        <f t="shared" ref="Y141:Y204" si="57">RIGHT(D141,LEN(D141)-4)/10000</f>
        <v>23.3047</v>
      </c>
      <c r="Z141" s="192">
        <f t="shared" ref="Z141:Z204" si="58">RIGHT(H141,LEN(H141)-4)/10000</f>
        <v>1.47E-2</v>
      </c>
      <c r="AA141" s="192">
        <f t="shared" ref="AA141:AA204" si="59">ABS(Z141-Y141)</f>
        <v>23.29</v>
      </c>
      <c r="AB141" s="57" t="e">
        <f>VLOOKUP(A141,Enforcements!$C$7:$K$13,8,0)</f>
        <v>#N/A</v>
      </c>
      <c r="AC141" s="53" t="e">
        <f>VLOOKUP(A141,Enforcements!$C$7:$E$13,3,0)</f>
        <v>#N/A</v>
      </c>
      <c r="AD141" s="54" t="str">
        <f t="shared" ref="AD141:AD204" si="60">IF(LEN(A141)=6,"0"&amp;A141,A141)</f>
        <v>0228-28</v>
      </c>
      <c r="AE141" s="80" t="str">
        <f t="shared" ref="AE141:AE204" si="61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s3://rtdc.mdm.uploadarchive.raw/RTDC4063/ "%USERPROFILE%\AppData\Local\Temp\OnboardLogs"\RTDC4063\2017-04-28 --exclude "*" --recursive --include "*20170428*" &amp; "%USERPROFILE%\Documents\GitHub\mrs-test-scripts\Headless Mode &amp; Sideloading\WalkAndUnGZ.bat" "%USERPROFILE%\AppData\Local\Temp\OnboardLogs"\RTDC4063\2017-04-28 &amp; aws s3 cp s3://rtdc.mdm.uploadarchive.raw/RTDC4063/ "%USERPROFILE%\AppData\Local\Temp\OnboardLogs"\RTDC4063\2017-04-29 --exclude "*" --recursive --include "*20170429*" &amp; "%USERPROFILE%\Documents\GitHub\mrs-test-scripts\Headless Mode &amp; Sideloading\WalkAndUnGZ.bat" "%USERPROFILE%\AppData\Local\Temp\OnboardLogs"\RTDC4063\2017-04-29</v>
      </c>
      <c r="AF141" s="77" t="str">
        <f t="shared" ref="AF141:AF204" si="62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/stypes="app*4063*20170429*" /stext=" 04:.+((SYSTEM_STATE.+slice.+state.+changed )|(ment ac)|(multiple cpu faults)|(system.+state.+changed )|(\[timeout)|(PRM\|1\|D)|(kpr)|(kdp)|(train.+moving)|(\|lc)|(penalty))"</v>
      </c>
      <c r="AG141" s="1" t="str">
        <f t="shared" ref="AG141:AG204" si="63">IFERROR(IF(VALUE(LEFT(AD141,2))&lt;=2,"EC",IF(OR(VALUE(LEFT(AD141,2))=8,VALUE(LEFT(AD141,2))=18),"NW","Other")),"Other")</f>
        <v>EC</v>
      </c>
      <c r="AH141" s="81" t="str">
        <f t="shared" ref="AH141:AH204" si="64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228-28 --locoid 4063 --swversion DE.1.0.9.0 --startMP 204:233047 --initTime 2017-04-28T21:15:19 --startdatetime 2017-04-28T21:26:39 --delay 1 --endMP 204:147 --enddatetime 2017-04-28T22:07:54 --enforcementcount 0 &gt;&gt;C:\Users\stu\Documents\GitHub\eaglep3-reporting\EC\2017-04-28-refined-times.txt</v>
      </c>
      <c r="AI141" s="99" t="str">
        <f t="shared" ref="AI141:AI204" si="65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Z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{"issue":{"subject":"","project_id":79,"tracker_id":40,"status_id":1,"priority_id":2,"assigned_to_id":23,"start_date":"2017-04-28","description":"","custom_fields":[{"id":1,"name":"Subdivision","value":"EC"},{"id":4,"name":"Milepost","value":"0.0147"},{"id":17,"name":"Train ID","value":"228-28"},{"id":16,"name":"Locomotive ID","value":"4063"},{"id":130,"name":"Impact","value":""},{"id":150,"name":"Time of Event (Mountain Time)","value":"22:07:54"},{"id":151,"name":"Denver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5" t="str">
        <f t="shared" ref="AM141:AM204" si="66">"start /low /b "&amp;dls3logs&amp;" --loco "&amp;B141&amp;" --day "&amp;TEXT(F141,"YYYY-MM-DD")</f>
        <v>start /low /b %USERPROFILE%\Documents\GitHub\eaglep3\Utilities\DownloadLogsFromS3.py --loco 4063 --day 2017-04-28</v>
      </c>
      <c r="AN141" s="154" t="str">
        <f t="shared" ref="AN141:AN204" si="67">"echo {""issue"":{""subject"":"""&amp;R141&amp;""",""project_id"":30,""tracker_id"":4,""status_id"":"&amp;redmine_status_wcr&amp;",""priority_id"":"&amp;redmine_priority_wcr&amp;",""assigned_to_id"":"&amp;redmine_assignee_wcr&amp;",""start_date"":"""&amp;TEXT(I141-utc_offset/24,"YYYY-mm-dd")&amp;""",""description"":"""&amp;AJ141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04:07:54"},{"id":29,"name":"Sharepoint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816</v>
      </c>
      <c r="B142" s="7">
        <v>4042</v>
      </c>
      <c r="C142" s="21" t="s">
        <v>211</v>
      </c>
      <c r="D142" s="21" t="s">
        <v>368</v>
      </c>
      <c r="E142" s="13">
        <v>42853.861666666664</v>
      </c>
      <c r="F142" s="13">
        <v>42853.875208333331</v>
      </c>
      <c r="G142" s="7">
        <v>1</v>
      </c>
      <c r="H142" s="21" t="s">
        <v>922</v>
      </c>
      <c r="I142" s="13">
        <v>42853.901006944441</v>
      </c>
      <c r="J142" s="7">
        <v>0</v>
      </c>
      <c r="K142" s="92" t="str">
        <f t="shared" si="52"/>
        <v>4041/4042</v>
      </c>
      <c r="L142" s="21" t="str">
        <f>VLOOKUP(A142,'Trips&amp;Operators'!$C$1:$G$99999,5,FALSE)</f>
        <v>SAFIEF AEIMEN</v>
      </c>
      <c r="M142" s="6">
        <f t="shared" si="53"/>
        <v>2.5798611110076308E-2</v>
      </c>
      <c r="N142" s="7">
        <f t="shared" si="50"/>
        <v>37.149999998509884</v>
      </c>
      <c r="O142" s="7"/>
      <c r="P142" s="7"/>
      <c r="Q142" s="22"/>
      <c r="R142" s="190"/>
      <c r="S142" s="196">
        <f t="shared" si="51"/>
        <v>1</v>
      </c>
      <c r="T142" s="190" t="str">
        <f t="shared" si="54"/>
        <v>NorthBound</v>
      </c>
      <c r="U142" s="190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1" t="str">
        <f t="shared" si="55"/>
        <v>https://d0f6bd738d7f1b3e5a7ca70fe4ff75f0.us-east-1.aws.found.io/app/kibana#/discover/Steve-Slow-Train-Analysis-(2080s-and-2083s)?_g=(refreshInterval:(display:Off,pause:!f,section:0,value:0),time:(from:'2017-04-28T19:40:48-0600',mode:absolute,to:'2017-04-28T22:37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42" s="192" t="str">
        <f t="shared" si="56"/>
        <v>N</v>
      </c>
      <c r="X142" s="192">
        <f t="shared" si="49"/>
        <v>1</v>
      </c>
      <c r="Y142" s="192">
        <f t="shared" si="57"/>
        <v>4.4900000000000002E-2</v>
      </c>
      <c r="Z142" s="192">
        <f t="shared" si="58"/>
        <v>23.334</v>
      </c>
      <c r="AA142" s="192">
        <f t="shared" si="59"/>
        <v>23.289100000000001</v>
      </c>
      <c r="AB142" s="57" t="e">
        <f>VLOOKUP(A142,Enforcements!$C$7:$K$13,8,0)</f>
        <v>#N/A</v>
      </c>
      <c r="AC142" s="53" t="e">
        <f>VLOOKUP(A142,Enforcements!$C$7:$E$13,3,0)</f>
        <v>#N/A</v>
      </c>
      <c r="AD142" s="54" t="str">
        <f t="shared" si="60"/>
        <v>0229-28</v>
      </c>
      <c r="AE142" s="80" t="str">
        <f t="shared" si="61"/>
        <v>aws s3 cp s3://rtdc.mdm.uploadarchive.raw/RTDC4042/ "%USERPROFILE%\AppData\Local\Temp\OnboardLogs"\RTDC4042\2017-04-28 --exclude "*" --recursive --include "*20170428*" &amp; "%USERPROFILE%\Documents\GitHub\mrs-test-scripts\Headless Mode &amp; Sideloading\WalkAndUnGZ.bat" "%USERPROFILE%\AppData\Local\Temp\OnboardLogs"\RTDC4042\2017-04-28 &amp; aws s3 cp s3://rtdc.mdm.uploadarchive.raw/RTDC4042/ "%USERPROFILE%\AppData\Local\Temp\OnboardLogs"\RTDC4042\2017-04-29 --exclude "*" --recursive --include "*20170429*" &amp; "%USERPROFILE%\Documents\GitHub\mrs-test-scripts\Headless Mode &amp; Sideloading\WalkAndUnGZ.bat" "%USERPROFILE%\AppData\Local\Temp\OnboardLogs"\RTDC4042\2017-04-29</v>
      </c>
      <c r="AF142" s="77" t="str">
        <f t="shared" si="62"/>
        <v>"C:\Program Files (x86)\AstroGrep\AstroGrep.exe" /e /r /s /spath="%USERPROFILE%\AppData\Local\Temp\OnboardLogs" /stypes="app*4042*20170429*" /stext=" 03:.+((SYSTEM_STATE.+slice.+state.+changed )|(ment ac)|(multiple cpu faults)|(system.+state.+changed )|(\[timeout)|(PRM\|1\|D)|(kpr)|(kdp)|(train.+moving)|(\|lc)|(penalty))"</v>
      </c>
      <c r="AG142" s="1" t="str">
        <f t="shared" si="63"/>
        <v>EC</v>
      </c>
      <c r="AH142" s="81" t="str">
        <f t="shared" si="64"/>
        <v>"%USERPROFILE%\Documents\GitHub\eaglep3\Utilities\RefineRTDCRunTimes.py" --tripid 229-28 --locoid 4042 --swversion DE.1.0.9.0 --startMP 204:449 --initTime 2017-04-28T20:40:48 --startdatetime 2017-04-28T21:00:18 --delay 1 --endMP 204:233340 --enddatetime 2017-04-28T21:37:27 --enforcementcount 0 &gt;&gt;C:\Users\stu\Documents\GitHub\eaglep3-reporting\EC\2017-04-28-refined-times.txt</v>
      </c>
      <c r="AI142" s="99" t="str">
        <f t="shared" si="65"/>
        <v>echo {"issue":{"subject":"","project_id":79,"tracker_id":40,"status_id":1,"priority_id":2,"assigned_to_id":23,"start_date":"2017-04-28","description":"","custom_fields":[{"id":1,"name":"Subdivision","value":"EC"},{"id":4,"name":"Milepost","value":"23.334"},{"id":17,"name":"Train ID","value":"229-28"},{"id":16,"name":"Locomotive ID","value":"4042"},{"id":130,"name":"Impact","value":""},{"id":150,"name":"Time of Event (Mountain Time)","value":"21:37:27"},{"id":151,"name":"Denver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5" t="str">
        <f t="shared" si="66"/>
        <v>start /low /b %USERPROFILE%\Documents\GitHub\eaglep3\Utilities\DownloadLogsFromS3.py --loco 4042 --day 2017-04-28</v>
      </c>
      <c r="AN142" s="154" t="str">
        <f t="shared" si="67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03:37:27"},{"id":29,"name":"Sharepoint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822</v>
      </c>
      <c r="B143" s="7">
        <v>4041</v>
      </c>
      <c r="C143" s="21" t="s">
        <v>211</v>
      </c>
      <c r="D143" s="21" t="s">
        <v>923</v>
      </c>
      <c r="E143" s="13">
        <v>42853.905925925923</v>
      </c>
      <c r="F143" s="13">
        <v>42853.914097222223</v>
      </c>
      <c r="G143" s="7">
        <v>1</v>
      </c>
      <c r="H143" s="21" t="s">
        <v>873</v>
      </c>
      <c r="I143" s="13">
        <v>42853.941782407404</v>
      </c>
      <c r="J143" s="7">
        <v>0</v>
      </c>
      <c r="K143" s="92" t="str">
        <f t="shared" si="52"/>
        <v>4041/4042</v>
      </c>
      <c r="L143" s="21" t="str">
        <f>VLOOKUP(A143,'Trips&amp;Operators'!$C$1:$G$99999,5,FALSE)</f>
        <v>SAFIEF AEIMEN</v>
      </c>
      <c r="M143" s="6">
        <f t="shared" si="53"/>
        <v>2.7685185181326233E-2</v>
      </c>
      <c r="N143" s="7">
        <f t="shared" si="50"/>
        <v>39.866666661109775</v>
      </c>
      <c r="O143" s="7"/>
      <c r="P143" s="7"/>
      <c r="Q143" s="22"/>
      <c r="R143" s="190"/>
      <c r="S143" s="196">
        <f t="shared" si="51"/>
        <v>1</v>
      </c>
      <c r="T143" s="190" t="str">
        <f t="shared" si="54"/>
        <v>Southbound</v>
      </c>
      <c r="U143" s="190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1" t="str">
        <f t="shared" si="55"/>
        <v>https://d0f6bd738d7f1b3e5a7ca70fe4ff75f0.us-east-1.aws.found.io/app/kibana#/discover/Steve-Slow-Train-Analysis-(2080s-and-2083s)?_g=(refreshInterval:(display:Off,pause:!f,section:0,value:0),time:(from:'2017-04-28T20:44:32-0600',mode:absolute,to:'2017-04-28T23:36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43" s="192" t="str">
        <f t="shared" si="56"/>
        <v>N</v>
      </c>
      <c r="X143" s="192">
        <f t="shared" si="49"/>
        <v>1</v>
      </c>
      <c r="Y143" s="192">
        <f t="shared" si="57"/>
        <v>23.302299999999999</v>
      </c>
      <c r="Z143" s="192">
        <f t="shared" si="58"/>
        <v>1.34E-2</v>
      </c>
      <c r="AA143" s="192">
        <f t="shared" si="59"/>
        <v>23.288899999999998</v>
      </c>
      <c r="AB143" s="57" t="e">
        <f>VLOOKUP(A143,Enforcements!$C$7:$K$13,8,0)</f>
        <v>#N/A</v>
      </c>
      <c r="AC143" s="53" t="e">
        <f>VLOOKUP(A143,Enforcements!$C$7:$E$13,3,0)</f>
        <v>#N/A</v>
      </c>
      <c r="AD143" s="54" t="str">
        <f t="shared" si="60"/>
        <v>0230-28</v>
      </c>
      <c r="AE143" s="80" t="str">
        <f t="shared" si="61"/>
        <v>aws s3 cp s3://rtdc.mdm.uploadarchive.raw/RTDC4041/ "%USERPROFILE%\AppData\Local\Temp\OnboardLogs"\RTDC4041\2017-04-28 --exclude "*" --recursive --include "*20170428*" &amp; "%USERPROFILE%\Documents\GitHub\mrs-test-scripts\Headless Mode &amp; Sideloading\WalkAndUnGZ.bat" "%USERPROFILE%\AppData\Local\Temp\OnboardLogs"\RTDC4041\2017-04-28 &amp; aws s3 cp s3://rtdc.mdm.uploadarchive.raw/RTDC4041/ "%USERPROFILE%\AppData\Local\Temp\OnboardLogs"\RTDC4041\2017-04-29 --exclude "*" --recursive --include "*20170429*" &amp; "%USERPROFILE%\Documents\GitHub\mrs-test-scripts\Headless Mode &amp; Sideloading\WalkAndUnGZ.bat" "%USERPROFILE%\AppData\Local\Temp\OnboardLogs"\RTDC4041\2017-04-29</v>
      </c>
      <c r="AF143" s="77" t="str">
        <f t="shared" si="62"/>
        <v>"C:\Program Files (x86)\AstroGrep\AstroGrep.exe" /e /r /s /spath="%USERPROFILE%\AppData\Local\Temp\OnboardLogs" /stypes="app*4041*20170429*" /stext=" 04:.+((SYSTEM_STATE.+slice.+state.+changed )|(ment ac)|(multiple cpu faults)|(system.+state.+changed )|(\[timeout)|(PRM\|1\|D)|(kpr)|(kdp)|(train.+moving)|(\|lc)|(penalty))"</v>
      </c>
      <c r="AG143" s="1" t="str">
        <f t="shared" si="63"/>
        <v>EC</v>
      </c>
      <c r="AH143" s="81" t="str">
        <f t="shared" si="64"/>
        <v>"%USERPROFILE%\Documents\GitHub\eaglep3\Utilities\RefineRTDCRunTimes.py" --tripid 230-28 --locoid 4041 --swversion DE.1.0.9.0 --startMP 204:233023 --initTime 2017-04-28T21:44:32 --startdatetime 2017-04-28T21:56:18 --delay 1 --endMP 204:134 --enddatetime 2017-04-28T22:36:10 --enforcementcount 0 &gt;&gt;C:\Users\stu\Documents\GitHub\eaglep3-reporting\EC\2017-04-28-refined-times.txt</v>
      </c>
      <c r="AI143" s="99" t="str">
        <f t="shared" si="65"/>
        <v>echo {"issue":{"subject":"","project_id":79,"tracker_id":40,"status_id":1,"priority_id":2,"assigned_to_id":23,"start_date":"2017-04-28","description":"","custom_fields":[{"id":1,"name":"Subdivision","value":"EC"},{"id":4,"name":"Milepost","value":"0.0134"},{"id":17,"name":"Train ID","value":"230-28"},{"id":16,"name":"Locomotive ID","value":"4041"},{"id":130,"name":"Impact","value":""},{"id":150,"name":"Time of Event (Mountain Time)","value":"22:36:10"},{"id":151,"name":"Denver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5" t="str">
        <f t="shared" si="66"/>
        <v>start /low /b %USERPROFILE%\Documents\GitHub\eaglep3\Utilities\DownloadLogsFromS3.py --loco 4041 --day 2017-04-28</v>
      </c>
      <c r="AN143" s="154" t="str">
        <f t="shared" si="67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04:36:10"},{"id":29,"name":"Sharepoint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820</v>
      </c>
      <c r="B144" s="7">
        <v>4052</v>
      </c>
      <c r="C144" s="21" t="s">
        <v>211</v>
      </c>
      <c r="D144" s="21" t="s">
        <v>207</v>
      </c>
      <c r="E144" s="13">
        <v>42853.886863425927</v>
      </c>
      <c r="F144" s="13">
        <v>42853.896226851852</v>
      </c>
      <c r="G144" s="7">
        <v>2</v>
      </c>
      <c r="H144" s="21" t="s">
        <v>510</v>
      </c>
      <c r="I144" s="13">
        <v>42853.921863425923</v>
      </c>
      <c r="J144" s="7">
        <v>0</v>
      </c>
      <c r="K144" s="92" t="str">
        <f t="shared" si="52"/>
        <v>4051/4052</v>
      </c>
      <c r="L144" s="21" t="str">
        <f>VLOOKUP(A144,'Trips&amp;Operators'!$C$1:$G$99999,5,FALSE)</f>
        <v>STORY SAMANTHA</v>
      </c>
      <c r="M144" s="6">
        <f t="shared" si="53"/>
        <v>2.5636574071540963E-2</v>
      </c>
      <c r="N144" s="7">
        <f t="shared" si="50"/>
        <v>36.916666663018987</v>
      </c>
      <c r="O144" s="7"/>
      <c r="P144" s="7"/>
      <c r="Q144" s="22"/>
      <c r="R144" s="190"/>
      <c r="S144" s="196">
        <f t="shared" si="51"/>
        <v>1</v>
      </c>
      <c r="T144" s="190" t="str">
        <f t="shared" si="54"/>
        <v>NorthBound</v>
      </c>
      <c r="U144" s="190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1" t="str">
        <f t="shared" si="55"/>
        <v>https://d0f6bd738d7f1b3e5a7ca70fe4ff75f0.us-east-1.aws.found.io/app/kibana#/discover/Steve-Slow-Train-Analysis-(2080s-and-2083s)?_g=(refreshInterval:(display:Off,pause:!f,section:0,value:0),time:(from:'2017-04-28T20:17:05-0600',mode:absolute,to:'2017-04-28T23:07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44" s="192" t="str">
        <f t="shared" si="56"/>
        <v>N</v>
      </c>
      <c r="X144" s="192">
        <f t="shared" si="49"/>
        <v>1</v>
      </c>
      <c r="Y144" s="192">
        <f t="shared" si="57"/>
        <v>4.5499999999999999E-2</v>
      </c>
      <c r="Z144" s="192">
        <f t="shared" si="58"/>
        <v>23.332599999999999</v>
      </c>
      <c r="AA144" s="192">
        <f t="shared" si="59"/>
        <v>23.287099999999999</v>
      </c>
      <c r="AB144" s="57" t="e">
        <f>VLOOKUP(A144,Enforcements!$C$7:$K$13,8,0)</f>
        <v>#N/A</v>
      </c>
      <c r="AC144" s="53" t="e">
        <f>VLOOKUP(A144,Enforcements!$C$7:$E$13,3,0)</f>
        <v>#N/A</v>
      </c>
      <c r="AD144" s="54" t="str">
        <f t="shared" si="60"/>
        <v>0231-28</v>
      </c>
      <c r="AE144" s="80" t="str">
        <f t="shared" si="61"/>
        <v>aws s3 cp s3://rtdc.mdm.uploadarchive.raw/RTDC4052/ "%USERPROFILE%\AppData\Local\Temp\OnboardLogs"\RTDC4052\2017-04-28 --exclude "*" --recursive --include "*20170428*" &amp; "%USERPROFILE%\Documents\GitHub\mrs-test-scripts\Headless Mode &amp; Sideloading\WalkAndUnGZ.bat" "%USERPROFILE%\AppData\Local\Temp\OnboardLogs"\RTDC4052\2017-04-28 &amp; aws s3 cp s3://rtdc.mdm.uploadarchive.raw/RTDC4052/ "%USERPROFILE%\AppData\Local\Temp\OnboardLogs"\RTDC4052\2017-04-29 --exclude "*" --recursive --include "*20170429*" &amp; "%USERPROFILE%\Documents\GitHub\mrs-test-scripts\Headless Mode &amp; Sideloading\WalkAndUnGZ.bat" "%USERPROFILE%\AppData\Local\Temp\OnboardLogs"\RTDC4052\2017-04-29</v>
      </c>
      <c r="AF144" s="77" t="str">
        <f t="shared" si="62"/>
        <v>"C:\Program Files (x86)\AstroGrep\AstroGrep.exe" /e /r /s /spath="%USERPROFILE%\AppData\Local\Temp\OnboardLogs" /stypes="app*4052*20170429*" /stext=" 04:.+((SYSTEM_STATE.+slice.+state.+changed )|(ment ac)|(multiple cpu faults)|(system.+state.+changed )|(\[timeout)|(PRM\|1\|D)|(kpr)|(kdp)|(train.+moving)|(\|lc)|(penalty))"</v>
      </c>
      <c r="AG144" s="1" t="str">
        <f t="shared" si="63"/>
        <v>EC</v>
      </c>
      <c r="AH144" s="81" t="str">
        <f t="shared" si="64"/>
        <v>"%USERPROFILE%\Documents\GitHub\eaglep3\Utilities\RefineRTDCRunTimes.py" --tripid 231-28 --locoid 4052 --swversion DE.1.0.9.0 --startMP 204:455 --initTime 2017-04-28T21:17:05 --startdatetime 2017-04-28T21:30:34 --delay 2 --endMP 204:233326 --enddatetime 2017-04-28T22:07:29 --enforcementcount 0 &gt;&gt;C:\Users\stu\Documents\GitHub\eaglep3-reporting\EC\2017-04-28-refined-times.txt</v>
      </c>
      <c r="AI144" s="99" t="str">
        <f t="shared" si="65"/>
        <v>echo {"issue":{"subject":"","project_id":79,"tracker_id":40,"status_id":1,"priority_id":2,"assigned_to_id":23,"start_date":"2017-04-28","description":"","custom_fields":[{"id":1,"name":"Subdivision","value":"EC"},{"id":4,"name":"Milepost","value":"23.3326"},{"id":17,"name":"Train ID","value":"231-28"},{"id":16,"name":"Locomotive ID","value":"4052"},{"id":130,"name":"Impact","value":""},{"id":150,"name":"Time of Event (Mountain Time)","value":"22:07:29"},{"id":151,"name":"Denver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5" t="str">
        <f t="shared" si="66"/>
        <v>start /low /b %USERPROFILE%\Documents\GitHub\eaglep3\Utilities\DownloadLogsFromS3.py --loco 4052 --day 2017-04-28</v>
      </c>
      <c r="AN144" s="154" t="str">
        <f t="shared" si="67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04:07:29"},{"id":29,"name":"Sharepoint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636</v>
      </c>
      <c r="B145" s="7">
        <v>4051</v>
      </c>
      <c r="C145" s="21" t="s">
        <v>211</v>
      </c>
      <c r="D145" s="21" t="s">
        <v>924</v>
      </c>
      <c r="E145" s="13">
        <v>42853.930138888885</v>
      </c>
      <c r="F145" s="13">
        <v>42853.934930555559</v>
      </c>
      <c r="G145" s="7">
        <v>1</v>
      </c>
      <c r="H145" s="21" t="s">
        <v>873</v>
      </c>
      <c r="I145" s="13">
        <v>42853.962870370371</v>
      </c>
      <c r="J145" s="7">
        <v>0</v>
      </c>
      <c r="K145" s="92" t="str">
        <f t="shared" si="52"/>
        <v>4051/4052</v>
      </c>
      <c r="L145" s="21" t="str">
        <f>VLOOKUP(A145,'Trips&amp;Operators'!$C$1:$G$99999,5,FALSE)</f>
        <v>STORY SAMANTHA</v>
      </c>
      <c r="M145" s="6">
        <f t="shared" si="53"/>
        <v>2.7939814812270924E-2</v>
      </c>
      <c r="N145" s="7">
        <f t="shared" si="50"/>
        <v>40.233333329670131</v>
      </c>
      <c r="O145" s="7"/>
      <c r="P145" s="7"/>
      <c r="Q145" s="22"/>
      <c r="R145" s="190"/>
      <c r="S145" s="196">
        <f t="shared" si="51"/>
        <v>1</v>
      </c>
      <c r="T145" s="190" t="str">
        <f t="shared" si="54"/>
        <v>Southbound</v>
      </c>
      <c r="U145" s="190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1" t="str">
        <f t="shared" si="55"/>
        <v>https://d0f6bd738d7f1b3e5a7ca70fe4ff75f0.us-east-1.aws.found.io/app/kibana#/discover/Steve-Slow-Train-Analysis-(2080s-and-2083s)?_g=(refreshInterval:(display:Off,pause:!f,section:0,value:0),time:(from:'2017-04-28T21:19:24-0600',mode:absolute,to:'2017-04-29T00:06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45" s="192" t="str">
        <f t="shared" si="56"/>
        <v>N</v>
      </c>
      <c r="X145" s="192">
        <f t="shared" si="49"/>
        <v>1</v>
      </c>
      <c r="Y145" s="192">
        <f t="shared" si="57"/>
        <v>23.308800000000002</v>
      </c>
      <c r="Z145" s="192">
        <f t="shared" si="58"/>
        <v>1.34E-2</v>
      </c>
      <c r="AA145" s="192">
        <f t="shared" si="59"/>
        <v>23.295400000000001</v>
      </c>
      <c r="AB145" s="57" t="str">
        <f>VLOOKUP(A145,Enforcements!$C$7:$K$13,8,0)</f>
        <v>Bulletin (2)</v>
      </c>
      <c r="AC145" s="53" t="str">
        <f>VLOOKUP(A145,Enforcements!$C$7:$E$13,3,0)</f>
        <v>GRADE CROSSING</v>
      </c>
      <c r="AD145" s="54" t="str">
        <f t="shared" si="60"/>
        <v>0232-28</v>
      </c>
      <c r="AE145" s="80" t="str">
        <f t="shared" si="61"/>
        <v>aws s3 cp s3://rtdc.mdm.uploadarchive.raw/RTDC4051/ "%USERPROFILE%\AppData\Local\Temp\OnboardLogs"\RTDC4051\2017-04-28 --exclude "*" --recursive --include "*20170428*" &amp; "%USERPROFILE%\Documents\GitHub\mrs-test-scripts\Headless Mode &amp; Sideloading\WalkAndUnGZ.bat" "%USERPROFILE%\AppData\Local\Temp\OnboardLogs"\RTDC4051\2017-04-28 &amp; aws s3 cp s3://rtdc.mdm.uploadarchive.raw/RTDC4051/ "%USERPROFILE%\AppData\Local\Temp\OnboardLogs"\RTDC4051\2017-04-29 --exclude "*" --recursive --include "*20170429*" &amp; "%USERPROFILE%\Documents\GitHub\mrs-test-scripts\Headless Mode &amp; Sideloading\WalkAndUnGZ.bat" "%USERPROFILE%\AppData\Local\Temp\OnboardLogs"\RTDC4051\2017-04-29</v>
      </c>
      <c r="AF145" s="77" t="str">
        <f t="shared" si="62"/>
        <v>"C:\Program Files (x86)\AstroGrep\AstroGrep.exe" /e /r /s /spath="%USERPROFILE%\AppData\Local\Temp\OnboardLogs" /stypes="app*4051*20170429*" /stext=" 05:.+((SYSTEM_STATE.+slice.+state.+changed )|(ment ac)|(multiple cpu faults)|(system.+state.+changed )|(\[timeout)|(PRM\|1\|D)|(kpr)|(kdp)|(train.+moving)|(\|lc)|(penalty))"</v>
      </c>
      <c r="AG145" s="1" t="str">
        <f t="shared" si="63"/>
        <v>EC</v>
      </c>
      <c r="AH145" s="81" t="str">
        <f t="shared" si="64"/>
        <v>"%USERPROFILE%\Documents\GitHub\eaglep3\Utilities\RefineRTDCRunTimes.py" --tripid 232-28 --locoid 4051 --swversion DE.1.0.9.0 --startMP 204:233088 --initTime 2017-04-28T22:19:24 --startdatetime 2017-04-28T22:26:18 --delay 1 --endMP 204:134 --enddatetime 2017-04-28T23:06:32 --enforcementcount 0 &gt;&gt;C:\Users\stu\Documents\GitHub\eaglep3-reporting\EC\2017-04-28-refined-times.txt</v>
      </c>
      <c r="AI145" s="99" t="str">
        <f t="shared" si="65"/>
        <v>echo {"issue":{"subject":"","project_id":79,"tracker_id":40,"status_id":1,"priority_id":2,"assigned_to_id":23,"start_date":"2017-04-28","description":"","custom_fields":[{"id":1,"name":"Subdivision","value":"EC"},{"id":4,"name":"Milepost","value":"0.0134"},{"id":17,"name":"Train ID","value":"232-28"},{"id":16,"name":"Locomotive ID","value":"4051"},{"id":130,"name":"Impact","value":""},{"id":150,"name":"Time of Event (Mountain Time)","value":"23:06:32"},{"id":151,"name":"Denver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5" t="str">
        <f t="shared" si="66"/>
        <v>start /low /b %USERPROFILE%\Documents\GitHub\eaglep3\Utilities\DownloadLogsFromS3.py --loco 4051 --day 2017-04-28</v>
      </c>
      <c r="AN145" s="154" t="str">
        <f t="shared" si="67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05:06:32"},{"id":29,"name":"Sharepoint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635</v>
      </c>
      <c r="B146" s="7">
        <v>4030</v>
      </c>
      <c r="C146" s="21" t="s">
        <v>211</v>
      </c>
      <c r="D146" s="21" t="s">
        <v>564</v>
      </c>
      <c r="E146" s="13">
        <v>42853.903344907405</v>
      </c>
      <c r="F146" s="13">
        <v>42853.917175925926</v>
      </c>
      <c r="G146" s="7">
        <v>1</v>
      </c>
      <c r="H146" s="21" t="s">
        <v>925</v>
      </c>
      <c r="I146" s="13">
        <v>42853.941620370373</v>
      </c>
      <c r="J146" s="7">
        <v>0</v>
      </c>
      <c r="K146" s="92" t="str">
        <f t="shared" si="52"/>
        <v>4029/4030</v>
      </c>
      <c r="L146" s="21" t="str">
        <f>VLOOKUP(A146,'Trips&amp;Operators'!$C$1:$G$99999,5,FALSE)</f>
        <v>STAMBAUGH JAMES</v>
      </c>
      <c r="M146" s="6">
        <f t="shared" si="53"/>
        <v>2.4444444446999114E-2</v>
      </c>
      <c r="N146" s="7">
        <f t="shared" si="50"/>
        <v>35.200000003678724</v>
      </c>
      <c r="O146" s="7"/>
      <c r="P146" s="7"/>
      <c r="Q146" s="22"/>
      <c r="R146" s="190"/>
      <c r="S146" s="196">
        <f t="shared" si="51"/>
        <v>1</v>
      </c>
      <c r="T146" s="190" t="str">
        <f t="shared" si="54"/>
        <v>NorthBound</v>
      </c>
      <c r="U146" s="190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1" t="str">
        <f t="shared" si="55"/>
        <v>https://d0f6bd738d7f1b3e5a7ca70fe4ff75f0.us-east-1.aws.found.io/app/kibana#/discover/Steve-Slow-Train-Analysis-(2080s-and-2083s)?_g=(refreshInterval:(display:Off,pause:!f,section:0,value:0),time:(from:'2017-04-28T20:40:49-0600',mode:absolute,to:'2017-04-28T23:35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46" s="192" t="str">
        <f t="shared" si="56"/>
        <v>N</v>
      </c>
      <c r="X146" s="192">
        <f t="shared" si="49"/>
        <v>1</v>
      </c>
      <c r="Y146" s="192">
        <f t="shared" si="57"/>
        <v>4.2900000000000001E-2</v>
      </c>
      <c r="Z146" s="192">
        <f t="shared" si="58"/>
        <v>23.337199999999999</v>
      </c>
      <c r="AA146" s="192">
        <f t="shared" si="59"/>
        <v>23.2943</v>
      </c>
      <c r="AB146" s="57" t="e">
        <f>VLOOKUP(A146,Enforcements!$C$7:$K$13,8,0)</f>
        <v>#N/A</v>
      </c>
      <c r="AC146" s="53" t="e">
        <f>VLOOKUP(A146,Enforcements!$C$7:$E$13,3,0)</f>
        <v>#N/A</v>
      </c>
      <c r="AD146" s="54" t="str">
        <f t="shared" si="60"/>
        <v>0233-28</v>
      </c>
      <c r="AE146" s="80" t="str">
        <f t="shared" si="61"/>
        <v>aws s3 cp s3://rtdc.mdm.uploadarchive.raw/RTDC4030/ "%USERPROFILE%\AppData\Local\Temp\OnboardLogs"\RTDC4030\2017-04-28 --exclude "*" --recursive --include "*20170428*" &amp; "%USERPROFILE%\Documents\GitHub\mrs-test-scripts\Headless Mode &amp; Sideloading\WalkAndUnGZ.bat" "%USERPROFILE%\AppData\Local\Temp\OnboardLogs"\RTDC4030\2017-04-28 &amp; aws s3 cp s3://rtdc.mdm.uploadarchive.raw/RTDC4030/ "%USERPROFILE%\AppData\Local\Temp\OnboardLogs"\RTDC4030\2017-04-29 --exclude "*" --recursive --include "*20170429*" &amp; "%USERPROFILE%\Documents\GitHub\mrs-test-scripts\Headless Mode &amp; Sideloading\WalkAndUnGZ.bat" "%USERPROFILE%\AppData\Local\Temp\OnboardLogs"\RTDC4030\2017-04-29</v>
      </c>
      <c r="AF146" s="77" t="str">
        <f t="shared" si="62"/>
        <v>"C:\Program Files (x86)\AstroGrep\AstroGrep.exe" /e /r /s /spath="%USERPROFILE%\AppData\Local\Temp\OnboardLogs" /stypes="app*4030*20170429*" /stext=" 04:.+((SYSTEM_STATE.+slice.+state.+changed )|(ment ac)|(multiple cpu faults)|(system.+state.+changed )|(\[timeout)|(PRM\|1\|D)|(kpr)|(kdp)|(train.+moving)|(\|lc)|(penalty))"</v>
      </c>
      <c r="AG146" s="1" t="str">
        <f t="shared" si="63"/>
        <v>EC</v>
      </c>
      <c r="AH146" s="81" t="str">
        <f t="shared" si="64"/>
        <v>"%USERPROFILE%\Documents\GitHub\eaglep3\Utilities\RefineRTDCRunTimes.py" --tripid 233-28 --locoid 4030 --swversion DE.1.0.9.0 --startMP 204:429 --initTime 2017-04-28T21:40:49 --startdatetime 2017-04-28T22:00:44 --delay 1 --endMP 204:233372 --enddatetime 2017-04-28T22:35:56 --enforcementcount 0 &gt;&gt;C:\Users\stu\Documents\GitHub\eaglep3-reporting\EC\2017-04-28-refined-times.txt</v>
      </c>
      <c r="AI146" s="99" t="str">
        <f t="shared" si="65"/>
        <v>echo {"issue":{"subject":"","project_id":79,"tracker_id":40,"status_id":1,"priority_id":2,"assigned_to_id":23,"start_date":"2017-04-28","description":"","custom_fields":[{"id":1,"name":"Subdivision","value":"EC"},{"id":4,"name":"Milepost","value":"23.3372"},{"id":17,"name":"Train ID","value":"233-28"},{"id":16,"name":"Locomotive ID","value":"4030"},{"id":130,"name":"Impact","value":""},{"id":150,"name":"Time of Event (Mountain Time)","value":"22:35:56"},{"id":151,"name":"Denver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5" t="str">
        <f t="shared" si="66"/>
        <v>start /low /b %USERPROFILE%\Documents\GitHub\eaglep3\Utilities\DownloadLogsFromS3.py --loco 4030 --day 2017-04-28</v>
      </c>
      <c r="AN146" s="154" t="str">
        <f t="shared" si="67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04:35:56"},{"id":29,"name":"Sharepoint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826</v>
      </c>
      <c r="B147" s="7">
        <v>4029</v>
      </c>
      <c r="C147" s="21" t="s">
        <v>211</v>
      </c>
      <c r="D147" s="21" t="s">
        <v>926</v>
      </c>
      <c r="E147" s="13">
        <v>42853.947557870371</v>
      </c>
      <c r="F147" s="13">
        <v>42853.955972222226</v>
      </c>
      <c r="G147" s="7">
        <v>1</v>
      </c>
      <c r="H147" s="21" t="s">
        <v>873</v>
      </c>
      <c r="I147" s="13">
        <v>42853.983391203707</v>
      </c>
      <c r="J147" s="7">
        <v>0</v>
      </c>
      <c r="K147" s="92" t="str">
        <f t="shared" si="52"/>
        <v>4029/4030</v>
      </c>
      <c r="L147" s="21" t="str">
        <f>VLOOKUP(A147,'Trips&amp;Operators'!$C$1:$G$99999,5,FALSE)</f>
        <v>STAMBAUGH JAMES</v>
      </c>
      <c r="M147" s="6">
        <f t="shared" si="53"/>
        <v>2.7418981480877846E-2</v>
      </c>
      <c r="N147" s="7">
        <f t="shared" si="50"/>
        <v>39.483333332464099</v>
      </c>
      <c r="O147" s="7"/>
      <c r="P147" s="7"/>
      <c r="Q147" s="22"/>
      <c r="R147" s="190"/>
      <c r="S147" s="196">
        <f t="shared" si="51"/>
        <v>1</v>
      </c>
      <c r="T147" s="190" t="str">
        <f t="shared" si="54"/>
        <v>Southbound</v>
      </c>
      <c r="U147" s="190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1" t="str">
        <f t="shared" si="55"/>
        <v>https://d0f6bd738d7f1b3e5a7ca70fe4ff75f0.us-east-1.aws.found.io/app/kibana#/discover/Steve-Slow-Train-Analysis-(2080s-and-2083s)?_g=(refreshInterval:(display:Off,pause:!f,section:0,value:0),time:(from:'2017-04-28T21:44:29-0600',mode:absolute,to:'2017-04-29T00:36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47" s="192" t="str">
        <f t="shared" si="56"/>
        <v>N</v>
      </c>
      <c r="X147" s="192">
        <f t="shared" si="49"/>
        <v>1</v>
      </c>
      <c r="Y147" s="192">
        <f t="shared" si="57"/>
        <v>23.3078</v>
      </c>
      <c r="Z147" s="192">
        <f t="shared" si="58"/>
        <v>1.34E-2</v>
      </c>
      <c r="AA147" s="192">
        <f t="shared" si="59"/>
        <v>23.2944</v>
      </c>
      <c r="AB147" s="57" t="e">
        <f>VLOOKUP(A147,Enforcements!$C$7:$K$13,8,0)</f>
        <v>#N/A</v>
      </c>
      <c r="AC147" s="53" t="e">
        <f>VLOOKUP(A147,Enforcements!$C$7:$E$13,3,0)</f>
        <v>#N/A</v>
      </c>
      <c r="AD147" s="54" t="str">
        <f t="shared" si="60"/>
        <v>0234-28</v>
      </c>
      <c r="AE147" s="80" t="str">
        <f t="shared" si="61"/>
        <v>aws s3 cp s3://rtdc.mdm.uploadarchive.raw/RTDC4029/ "%USERPROFILE%\AppData\Local\Temp\OnboardLogs"\RTDC4029\2017-04-28 --exclude "*" --recursive --include "*20170428*" &amp; "%USERPROFILE%\Documents\GitHub\mrs-test-scripts\Headless Mode &amp; Sideloading\WalkAndUnGZ.bat" "%USERPROFILE%\AppData\Local\Temp\OnboardLogs"\RTDC4029\2017-04-28 &amp; aws s3 cp s3://rtdc.mdm.uploadarchive.raw/RTDC4029/ "%USERPROFILE%\AppData\Local\Temp\OnboardLogs"\RTDC4029\2017-04-29 --exclude "*" --recursive --include "*20170429*" &amp; "%USERPROFILE%\Documents\GitHub\mrs-test-scripts\Headless Mode &amp; Sideloading\WalkAndUnGZ.bat" "%USERPROFILE%\AppData\Local\Temp\OnboardLogs"\RTDC4029\2017-04-29</v>
      </c>
      <c r="AF147" s="77" t="str">
        <f t="shared" si="62"/>
        <v>"C:\Program Files (x86)\AstroGrep\AstroGrep.exe" /e /r /s /spath="%USERPROFILE%\AppData\Local\Temp\OnboardLogs" /stypes="app*4029*20170429*" /stext=" 05:.+((SYSTEM_STATE.+slice.+state.+changed )|(ment ac)|(multiple cpu faults)|(system.+state.+changed )|(\[timeout)|(PRM\|1\|D)|(kpr)|(kdp)|(train.+moving)|(\|lc)|(penalty))"</v>
      </c>
      <c r="AG147" s="1" t="str">
        <f t="shared" si="63"/>
        <v>EC</v>
      </c>
      <c r="AH147" s="81" t="str">
        <f t="shared" si="64"/>
        <v>"%USERPROFILE%\Documents\GitHub\eaglep3\Utilities\RefineRTDCRunTimes.py" --tripid 234-28 --locoid 4029 --swversion DE.1.0.9.0 --startMP 204:233078 --initTime 2017-04-28T22:44:29 --startdatetime 2017-04-28T22:56:36 --delay 1 --endMP 204:134 --enddatetime 2017-04-28T23:36:05 --enforcementcount 0 &gt;&gt;C:\Users\stu\Documents\GitHub\eaglep3-reporting\EC\2017-04-28-refined-times.txt</v>
      </c>
      <c r="AI147" s="99" t="str">
        <f t="shared" si="65"/>
        <v>echo {"issue":{"subject":"","project_id":79,"tracker_id":40,"status_id":1,"priority_id":2,"assigned_to_id":23,"start_date":"2017-04-28","description":"","custom_fields":[{"id":1,"name":"Subdivision","value":"EC"},{"id":4,"name":"Milepost","value":"0.0134"},{"id":17,"name":"Train ID","value":"234-28"},{"id":16,"name":"Locomotive ID","value":"4029"},{"id":130,"name":"Impact","value":""},{"id":150,"name":"Time of Event (Mountain Time)","value":"23:36:05"},{"id":151,"name":"Denver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5" t="str">
        <f t="shared" si="66"/>
        <v>start /low /b %USERPROFILE%\Documents\GitHub\eaglep3\Utilities\DownloadLogsFromS3.py --loco 4029 --day 2017-04-28</v>
      </c>
      <c r="AN147" s="154" t="str">
        <f t="shared" si="67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05:36:05"},{"id":29,"name":"Sharepoint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824</v>
      </c>
      <c r="B148" s="7">
        <v>4064</v>
      </c>
      <c r="C148" s="21" t="s">
        <v>211</v>
      </c>
      <c r="D148" s="21" t="s">
        <v>423</v>
      </c>
      <c r="E148" s="13">
        <v>42853.926712962966</v>
      </c>
      <c r="F148" s="13">
        <v>42853.937673611108</v>
      </c>
      <c r="G148" s="7">
        <v>1</v>
      </c>
      <c r="H148" s="21" t="s">
        <v>415</v>
      </c>
      <c r="I148" s="13">
        <v>42853.964548611111</v>
      </c>
      <c r="J148" s="7">
        <v>0</v>
      </c>
      <c r="K148" s="92" t="str">
        <f t="shared" si="52"/>
        <v>4063/4064</v>
      </c>
      <c r="L148" s="21" t="str">
        <f>VLOOKUP(A148,'Trips&amp;Operators'!$C$1:$G$99999,5,FALSE)</f>
        <v>SWANSON BRYCE</v>
      </c>
      <c r="M148" s="6">
        <f t="shared" si="53"/>
        <v>2.6875000003201421E-2</v>
      </c>
      <c r="N148" s="7">
        <f t="shared" si="50"/>
        <v>38.700000004610047</v>
      </c>
      <c r="O148" s="7"/>
      <c r="P148" s="7"/>
      <c r="Q148" s="22"/>
      <c r="R148" s="190"/>
      <c r="S148" s="196">
        <f t="shared" si="51"/>
        <v>1</v>
      </c>
      <c r="T148" s="190" t="str">
        <f t="shared" si="54"/>
        <v>NorthBound</v>
      </c>
      <c r="U148" s="190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1" t="str">
        <f t="shared" si="55"/>
        <v>https://d0f6bd738d7f1b3e5a7ca70fe4ff75f0.us-east-1.aws.found.io/app/kibana#/discover/Steve-Slow-Train-Analysis-(2080s-and-2083s)?_g=(refreshInterval:(display:Off,pause:!f,section:0,value:0),time:(from:'2017-04-28T21:14:28-0600',mode:absolute,to:'2017-04-29T00:08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48" s="192" t="str">
        <f t="shared" si="56"/>
        <v>N</v>
      </c>
      <c r="X148" s="192">
        <f t="shared" si="49"/>
        <v>1</v>
      </c>
      <c r="Y148" s="192">
        <f t="shared" si="57"/>
        <v>4.5100000000000001E-2</v>
      </c>
      <c r="Z148" s="192">
        <f t="shared" si="58"/>
        <v>23.331499999999998</v>
      </c>
      <c r="AA148" s="192">
        <f t="shared" si="59"/>
        <v>23.286399999999997</v>
      </c>
      <c r="AB148" s="57" t="e">
        <f>VLOOKUP(A148,Enforcements!$C$7:$K$13,8,0)</f>
        <v>#N/A</v>
      </c>
      <c r="AC148" s="53" t="e">
        <f>VLOOKUP(A148,Enforcements!$C$7:$E$13,3,0)</f>
        <v>#N/A</v>
      </c>
      <c r="AD148" s="54" t="str">
        <f t="shared" si="60"/>
        <v>0235-28</v>
      </c>
      <c r="AE148" s="80" t="str">
        <f t="shared" si="61"/>
        <v>aws s3 cp s3://rtdc.mdm.uploadarchive.raw/RTDC4064/ "%USERPROFILE%\AppData\Local\Temp\OnboardLogs"\RTDC4064\2017-04-28 --exclude "*" --recursive --include "*20170428*" &amp; "%USERPROFILE%\Documents\GitHub\mrs-test-scripts\Headless Mode &amp; Sideloading\WalkAndUnGZ.bat" "%USERPROFILE%\AppData\Local\Temp\OnboardLogs"\RTDC4064\2017-04-28 &amp; aws s3 cp s3://rtdc.mdm.uploadarchive.raw/RTDC4064/ "%USERPROFILE%\AppData\Local\Temp\OnboardLogs"\RTDC4064\2017-04-29 --exclude "*" --recursive --include "*20170429*" &amp; "%USERPROFILE%\Documents\GitHub\mrs-test-scripts\Headless Mode &amp; Sideloading\WalkAndUnGZ.bat" "%USERPROFILE%\AppData\Local\Temp\OnboardLogs"\RTDC4064\2017-04-29</v>
      </c>
      <c r="AF148" s="77" t="str">
        <f t="shared" si="62"/>
        <v>"C:\Program Files (x86)\AstroGrep\AstroGrep.exe" /e /r /s /spath="%USERPROFILE%\AppData\Local\Temp\OnboardLogs" /stypes="app*4064*20170429*" /stext=" 05:.+((SYSTEM_STATE.+slice.+state.+changed )|(ment ac)|(multiple cpu faults)|(system.+state.+changed )|(\[timeout)|(PRM\|1\|D)|(kpr)|(kdp)|(train.+moving)|(\|lc)|(penalty))"</v>
      </c>
      <c r="AG148" s="1" t="str">
        <f t="shared" si="63"/>
        <v>EC</v>
      </c>
      <c r="AH148" s="81" t="str">
        <f t="shared" si="64"/>
        <v>"%USERPROFILE%\Documents\GitHub\eaglep3\Utilities\RefineRTDCRunTimes.py" --tripid 235-28 --locoid 4064 --swversion DE.1.0.9.0 --startMP 204:451 --initTime 2017-04-28T22:14:28 --startdatetime 2017-04-28T22:30:15 --delay 1 --endMP 204:233315 --enddatetime 2017-04-28T23:08:57 --enforcementcount 0 &gt;&gt;C:\Users\stu\Documents\GitHub\eaglep3-reporting\EC\2017-04-28-refined-times.txt</v>
      </c>
      <c r="AI148" s="99" t="str">
        <f t="shared" si="65"/>
        <v>echo {"issue":{"subject":"","project_id":79,"tracker_id":40,"status_id":1,"priority_id":2,"assigned_to_id":23,"start_date":"2017-04-28","description":"","custom_fields":[{"id":1,"name":"Subdivision","value":"EC"},{"id":4,"name":"Milepost","value":"23.3315"},{"id":17,"name":"Train ID","value":"235-28"},{"id":16,"name":"Locomotive ID","value":"4064"},{"id":130,"name":"Impact","value":""},{"id":150,"name":"Time of Event (Mountain Time)","value":"23:08:57"},{"id":151,"name":"Denver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5" t="str">
        <f t="shared" si="66"/>
        <v>start /low /b %USERPROFILE%\Documents\GitHub\eaglep3\Utilities\DownloadLogsFromS3.py --loco 4064 --day 2017-04-28</v>
      </c>
      <c r="AN148" s="154" t="str">
        <f t="shared" si="67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05:08:57"},{"id":29,"name":"Sharepoint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x14ac:dyDescent="0.25">
      <c r="A149" s="32" t="s">
        <v>829</v>
      </c>
      <c r="B149" s="7">
        <v>4063</v>
      </c>
      <c r="C149" s="21" t="s">
        <v>211</v>
      </c>
      <c r="D149" s="21" t="s">
        <v>884</v>
      </c>
      <c r="E149" s="13">
        <v>42853.969375000001</v>
      </c>
      <c r="F149" s="13">
        <v>42853.976678240739</v>
      </c>
      <c r="G149" s="7">
        <v>1</v>
      </c>
      <c r="H149" s="21" t="s">
        <v>556</v>
      </c>
      <c r="I149" s="13">
        <v>42854.005601851852</v>
      </c>
      <c r="J149" s="7">
        <v>0</v>
      </c>
      <c r="K149" s="92" t="str">
        <f t="shared" si="52"/>
        <v>4063/4064</v>
      </c>
      <c r="L149" s="21" t="str">
        <f>VLOOKUP(A149,'Trips&amp;Operators'!$C$1:$G$99999,5,FALSE)</f>
        <v>SWANSON BRYCE</v>
      </c>
      <c r="M149" s="6">
        <f t="shared" si="53"/>
        <v>2.8923611112986691E-2</v>
      </c>
      <c r="N149" s="7">
        <f t="shared" si="50"/>
        <v>41.650000002700835</v>
      </c>
      <c r="O149" s="7"/>
      <c r="P149" s="7"/>
      <c r="Q149" s="22"/>
      <c r="R149" s="190"/>
      <c r="S149" s="196">
        <f t="shared" si="51"/>
        <v>1</v>
      </c>
      <c r="T149" s="190" t="str">
        <f t="shared" si="54"/>
        <v>Southbound</v>
      </c>
      <c r="U149" s="190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1" t="str">
        <f t="shared" si="55"/>
        <v>https://d0f6bd738d7f1b3e5a7ca70fe4ff75f0.us-east-1.aws.found.io/app/kibana#/discover/Steve-Slow-Train-Analysis-(2080s-and-2083s)?_g=(refreshInterval:(display:Off,pause:!f,section:0,value:0),time:(from:'2017-04-28T22:15:54-0600',mode:absolute,to:'2017-04-29T01:08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49" s="192" t="str">
        <f t="shared" si="56"/>
        <v>N</v>
      </c>
      <c r="X149" s="192">
        <f t="shared" si="49"/>
        <v>1</v>
      </c>
      <c r="Y149" s="192">
        <f t="shared" si="57"/>
        <v>23.305299999999999</v>
      </c>
      <c r="Z149" s="192">
        <f t="shared" si="58"/>
        <v>1.3599999999999999E-2</v>
      </c>
      <c r="AA149" s="192">
        <f t="shared" si="59"/>
        <v>23.291699999999999</v>
      </c>
      <c r="AB149" s="57" t="e">
        <f>VLOOKUP(A149,Enforcements!$C$7:$K$13,8,0)</f>
        <v>#N/A</v>
      </c>
      <c r="AC149" s="53" t="e">
        <f>VLOOKUP(A149,Enforcements!$C$7:$E$13,3,0)</f>
        <v>#N/A</v>
      </c>
      <c r="AD149" s="54" t="str">
        <f t="shared" si="60"/>
        <v>0236-28</v>
      </c>
      <c r="AE149" s="80" t="str">
        <f t="shared" si="61"/>
        <v>aws s3 cp s3://rtdc.mdm.uploadarchive.raw/RTDC4063/ "%USERPROFILE%\AppData\Local\Temp\OnboardLogs"\RTDC4063\2017-04-28 --exclude "*" --recursive --include "*20170428*" &amp; "%USERPROFILE%\Documents\GitHub\mrs-test-scripts\Headless Mode &amp; Sideloading\WalkAndUnGZ.bat" "%USERPROFILE%\AppData\Local\Temp\OnboardLogs"\RTDC4063\2017-04-28 &amp; aws s3 cp s3://rtdc.mdm.uploadarchive.raw/RTDC4063/ "%USERPROFILE%\AppData\Local\Temp\OnboardLogs"\RTDC4063\2017-04-29 --exclude "*" --recursive --include "*20170429*" &amp; "%USERPROFILE%\Documents\GitHub\mrs-test-scripts\Headless Mode &amp; Sideloading\WalkAndUnGZ.bat" "%USERPROFILE%\AppData\Local\Temp\OnboardLogs"\RTDC4063\2017-04-29</v>
      </c>
      <c r="AF149" s="77" t="str">
        <f t="shared" si="62"/>
        <v>"C:\Program Files (x86)\AstroGrep\AstroGrep.exe" /e /r /s /spath="%USERPROFILE%\AppData\Local\Temp\OnboardLogs" /stypes="app*4063*20170429*" /stext=" 06:.+((SYSTEM_STATE.+slice.+state.+changed )|(ment ac)|(multiple cpu faults)|(system.+state.+changed )|(\[timeout)|(PRM\|1\|D)|(kpr)|(kdp)|(train.+moving)|(\|lc)|(penalty))"</v>
      </c>
      <c r="AG149" s="1" t="str">
        <f t="shared" si="63"/>
        <v>EC</v>
      </c>
      <c r="AH149" s="81" t="str">
        <f t="shared" si="64"/>
        <v>"%USERPROFILE%\Documents\GitHub\eaglep3\Utilities\RefineRTDCRunTimes.py" --tripid 236-28 --locoid 4063 --swversion DE.1.0.9.0 --startMP 204:233053 --initTime 2017-04-28T23:15:54 --startdatetime 2017-04-28T23:26:25 --delay 1 --endMP 204:136 --enddatetime 2017-04-29T00:08:04 --enforcementcount 0 &gt;&gt;C:\Users\stu\Documents\GitHub\eaglep3-reporting\EC\2017-04-28-refined-times.txt</v>
      </c>
      <c r="AI149" s="99" t="str">
        <f t="shared" si="65"/>
        <v>echo {"issue":{"subject":"","project_id":79,"tracker_id":40,"status_id":1,"priority_id":2,"assigned_to_id":23,"start_date":"2017-04-29","description":"","custom_fields":[{"id":1,"name":"Subdivision","value":"EC"},{"id":4,"name":"Milepost","value":"0.0136"},{"id":17,"name":"Train ID","value":"236-28"},{"id":16,"name":"Locomotive ID","value":"4063"},{"id":130,"name":"Impact","value":""},{"id":150,"name":"Time of Event (Mountain Time)","value":"00:08:04"},{"id":151,"name":"Denver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20"/>
      <c r="AK149" s="47"/>
      <c r="AL149" s="47"/>
      <c r="AM149" s="145" t="str">
        <f t="shared" si="66"/>
        <v>start /low /b %USERPROFILE%\Documents\GitHub\eaglep3\Utilities\DownloadLogsFromS3.py --loco 4063 --day 2017-04-28</v>
      </c>
      <c r="AN149" s="154" t="str">
        <f t="shared" si="67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06:08:04"},{"id":29,"name":"Sharepoint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0" spans="1:91" s="20" customFormat="1" x14ac:dyDescent="0.25">
      <c r="A150" s="32" t="s">
        <v>827</v>
      </c>
      <c r="B150" s="7">
        <v>4042</v>
      </c>
      <c r="C150" s="21" t="s">
        <v>211</v>
      </c>
      <c r="D150" s="21" t="s">
        <v>442</v>
      </c>
      <c r="E150" s="13">
        <v>42853.950069444443</v>
      </c>
      <c r="F150" s="13">
        <v>42853.958541666667</v>
      </c>
      <c r="G150" s="7">
        <v>1</v>
      </c>
      <c r="H150" s="21" t="s">
        <v>568</v>
      </c>
      <c r="I150" s="13">
        <v>42853.984548611108</v>
      </c>
      <c r="J150" s="7">
        <v>0</v>
      </c>
      <c r="K150" s="92" t="str">
        <f t="shared" si="52"/>
        <v>4041/4042</v>
      </c>
      <c r="L150" s="21" t="str">
        <f>VLOOKUP(A150,'Trips&amp;Operators'!$C$1:$G$99999,5,FALSE)</f>
        <v>SAFIEF AEIMEN</v>
      </c>
      <c r="M150" s="6">
        <f t="shared" si="53"/>
        <v>2.6006944441178348E-2</v>
      </c>
      <c r="N150" s="7">
        <f t="shared" si="50"/>
        <v>37.449999995296821</v>
      </c>
      <c r="O150" s="7"/>
      <c r="P150" s="7"/>
      <c r="Q150" s="22"/>
      <c r="R150" s="190"/>
      <c r="S150" s="196">
        <f t="shared" si="51"/>
        <v>1</v>
      </c>
      <c r="T150" s="190" t="str">
        <f t="shared" si="54"/>
        <v>NorthBound</v>
      </c>
      <c r="U150" s="190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1" t="str">
        <f t="shared" si="55"/>
        <v>https://d0f6bd738d7f1b3e5a7ca70fe4ff75f0.us-east-1.aws.found.io/app/kibana#/discover/Steve-Slow-Train-Analysis-(2080s-and-2083s)?_g=(refreshInterval:(display:Off,pause:!f,section:0,value:0),time:(from:'2017-04-28T21:48:06-0600',mode:absolute,to:'2017-04-29T00:37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50" s="192" t="str">
        <f t="shared" si="56"/>
        <v>N</v>
      </c>
      <c r="X150" s="192">
        <f t="shared" si="49"/>
        <v>1</v>
      </c>
      <c r="Y150" s="192">
        <f t="shared" si="57"/>
        <v>4.3099999999999999E-2</v>
      </c>
      <c r="Z150" s="192">
        <f t="shared" si="58"/>
        <v>23.334900000000001</v>
      </c>
      <c r="AA150" s="192">
        <f t="shared" si="59"/>
        <v>23.291800000000002</v>
      </c>
      <c r="AB150" s="57" t="e">
        <f>VLOOKUP(A150,Enforcements!$C$7:$K$13,8,0)</f>
        <v>#N/A</v>
      </c>
      <c r="AC150" s="53" t="e">
        <f>VLOOKUP(A150,Enforcements!$C$7:$E$13,3,0)</f>
        <v>#N/A</v>
      </c>
      <c r="AD150" s="54" t="str">
        <f t="shared" si="60"/>
        <v>0237-28</v>
      </c>
      <c r="AE150" s="80" t="str">
        <f t="shared" si="61"/>
        <v>aws s3 cp s3://rtdc.mdm.uploadarchive.raw/RTDC4042/ "%USERPROFILE%\AppData\Local\Temp\OnboardLogs"\RTDC4042\2017-04-28 --exclude "*" --recursive --include "*20170428*" &amp; "%USERPROFILE%\Documents\GitHub\mrs-test-scripts\Headless Mode &amp; Sideloading\WalkAndUnGZ.bat" "%USERPROFILE%\AppData\Local\Temp\OnboardLogs"\RTDC4042\2017-04-28 &amp; aws s3 cp s3://rtdc.mdm.uploadarchive.raw/RTDC4042/ "%USERPROFILE%\AppData\Local\Temp\OnboardLogs"\RTDC4042\2017-04-29 --exclude "*" --recursive --include "*20170429*" &amp; "%USERPROFILE%\Documents\GitHub\mrs-test-scripts\Headless Mode &amp; Sideloading\WalkAndUnGZ.bat" "%USERPROFILE%\AppData\Local\Temp\OnboardLogs"\RTDC4042\2017-04-29</v>
      </c>
      <c r="AF150" s="77" t="str">
        <f t="shared" si="62"/>
        <v>"C:\Program Files (x86)\AstroGrep\AstroGrep.exe" /e /r /s /spath="%USERPROFILE%\AppData\Local\Temp\OnboardLogs" /stypes="app*4042*20170429*" /stext=" 05:.+((SYSTEM_STATE.+slice.+state.+changed )|(ment ac)|(multiple cpu faults)|(system.+state.+changed )|(\[timeout)|(PRM\|1\|D)|(kpr)|(kdp)|(train.+moving)|(\|lc)|(penalty))"</v>
      </c>
      <c r="AG150" s="1" t="str">
        <f t="shared" si="63"/>
        <v>EC</v>
      </c>
      <c r="AH150" s="81" t="str">
        <f t="shared" si="64"/>
        <v>"%USERPROFILE%\Documents\GitHub\eaglep3\Utilities\RefineRTDCRunTimes.py" --tripid 237-28 --locoid 4042 --swversion DE.1.0.9.0 --startMP 204:431 --initTime 2017-04-28T22:48:06 --startdatetime 2017-04-28T23:00:18 --delay 1 --endMP 204:233349 --enddatetime 2017-04-28T23:37:45 --enforcementcount 0 &gt;&gt;C:\Users\stu\Documents\GitHub\eaglep3-reporting\EC\2017-04-28-refined-times.txt</v>
      </c>
      <c r="AI150" s="99" t="str">
        <f t="shared" si="65"/>
        <v>echo {"issue":{"subject":"","project_id":79,"tracker_id":40,"status_id":1,"priority_id":2,"assigned_to_id":23,"start_date":"2017-04-28","description":"","custom_fields":[{"id":1,"name":"Subdivision","value":"EC"},{"id":4,"name":"Milepost","value":"23.3349"},{"id":17,"name":"Train ID","value":"237-28"},{"id":16,"name":"Locomotive ID","value":"4042"},{"id":130,"name":"Impact","value":""},{"id":150,"name":"Time of Event (Mountain Time)","value":"23:37:45"},{"id":151,"name":"Denver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7"/>
      <c r="AL150" s="47"/>
      <c r="AM150" s="145" t="str">
        <f t="shared" si="66"/>
        <v>start /low /b %USERPROFILE%\Documents\GitHub\eaglep3\Utilities\DownloadLogsFromS3.py --loco 4042 --day 2017-04-28</v>
      </c>
      <c r="AN150" s="154" t="str">
        <f t="shared" si="67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05:37:45"},{"id":29,"name":"Sharepoint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830</v>
      </c>
      <c r="B151" s="7">
        <v>4041</v>
      </c>
      <c r="C151" s="21" t="s">
        <v>211</v>
      </c>
      <c r="D151" s="21" t="s">
        <v>921</v>
      </c>
      <c r="E151" s="13">
        <v>42853.990879629629</v>
      </c>
      <c r="F151" s="13">
        <v>42853.997835648152</v>
      </c>
      <c r="G151" s="7">
        <v>2</v>
      </c>
      <c r="H151" s="21" t="s">
        <v>875</v>
      </c>
      <c r="I151" s="13">
        <v>42854.025127314817</v>
      </c>
      <c r="J151" s="7">
        <v>0</v>
      </c>
      <c r="K151" s="92" t="str">
        <f t="shared" si="52"/>
        <v>4041/4042</v>
      </c>
      <c r="L151" s="21" t="str">
        <f>VLOOKUP(A151,'Trips&amp;Operators'!$C$1:$G$99999,5,FALSE)</f>
        <v>SAFIEF AEIMEN</v>
      </c>
      <c r="M151" s="6">
        <f t="shared" si="53"/>
        <v>2.7291666665405501E-2</v>
      </c>
      <c r="N151" s="7">
        <f t="shared" si="50"/>
        <v>39.299999998183921</v>
      </c>
      <c r="O151" s="7"/>
      <c r="P151" s="7"/>
      <c r="Q151" s="22"/>
      <c r="R151" s="190"/>
      <c r="S151" s="196">
        <f t="shared" si="51"/>
        <v>1</v>
      </c>
      <c r="T151" s="190" t="str">
        <f t="shared" si="54"/>
        <v>Southbound</v>
      </c>
      <c r="U151" s="190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1" t="str">
        <f t="shared" si="55"/>
        <v>https://d0f6bd738d7f1b3e5a7ca70fe4ff75f0.us-east-1.aws.found.io/app/kibana#/discover/Steve-Slow-Train-Analysis-(2080s-and-2083s)?_g=(refreshInterval:(display:Off,pause:!f,section:0,value:0),time:(from:'2017-04-28T22:46:52-0600',mode:absolute,to:'2017-04-29T01:36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51" s="192" t="str">
        <f t="shared" si="56"/>
        <v>N</v>
      </c>
      <c r="X151" s="192">
        <f t="shared" si="49"/>
        <v>1</v>
      </c>
      <c r="Y151" s="192">
        <f t="shared" si="57"/>
        <v>23.3047</v>
      </c>
      <c r="Z151" s="192">
        <f t="shared" si="58"/>
        <v>1.41E-2</v>
      </c>
      <c r="AA151" s="192">
        <f t="shared" si="59"/>
        <v>23.290600000000001</v>
      </c>
      <c r="AB151" s="57" t="e">
        <f>VLOOKUP(A151,Enforcements!$C$7:$K$13,8,0)</f>
        <v>#N/A</v>
      </c>
      <c r="AC151" s="53" t="e">
        <f>VLOOKUP(A151,Enforcements!$C$7:$E$13,3,0)</f>
        <v>#N/A</v>
      </c>
      <c r="AD151" s="54" t="str">
        <f t="shared" si="60"/>
        <v>0238-28</v>
      </c>
      <c r="AE151" s="80" t="str">
        <f t="shared" si="61"/>
        <v>aws s3 cp s3://rtdc.mdm.uploadarchive.raw/RTDC4041/ "%USERPROFILE%\AppData\Local\Temp\OnboardLogs"\RTDC4041\2017-04-28 --exclude "*" --recursive --include "*20170428*" &amp; "%USERPROFILE%\Documents\GitHub\mrs-test-scripts\Headless Mode &amp; Sideloading\WalkAndUnGZ.bat" "%USERPROFILE%\AppData\Local\Temp\OnboardLogs"\RTDC4041\2017-04-28 &amp; aws s3 cp s3://rtdc.mdm.uploadarchive.raw/RTDC4041/ "%USERPROFILE%\AppData\Local\Temp\OnboardLogs"\RTDC4041\2017-04-29 --exclude "*" --recursive --include "*20170429*" &amp; "%USERPROFILE%\Documents\GitHub\mrs-test-scripts\Headless Mode &amp; Sideloading\WalkAndUnGZ.bat" "%USERPROFILE%\AppData\Local\Temp\OnboardLogs"\RTDC4041\2017-04-29</v>
      </c>
      <c r="AF151" s="77" t="str">
        <f t="shared" si="62"/>
        <v>"C:\Program Files (x86)\AstroGrep\AstroGrep.exe" /e /r /s /spath="%USERPROFILE%\AppData\Local\Temp\OnboardLogs" /stypes="app*4041*20170429*" /stext=" 06:.+((SYSTEM_STATE.+slice.+state.+changed )|(ment ac)|(multiple cpu faults)|(system.+state.+changed )|(\[timeout)|(PRM\|1\|D)|(kpr)|(kdp)|(train.+moving)|(\|lc)|(penalty))"</v>
      </c>
      <c r="AG151" s="1" t="str">
        <f t="shared" si="63"/>
        <v>EC</v>
      </c>
      <c r="AH151" s="81" t="str">
        <f t="shared" si="64"/>
        <v>"%USERPROFILE%\Documents\GitHub\eaglep3\Utilities\RefineRTDCRunTimes.py" --tripid 238-28 --locoid 4041 --swversion DE.1.0.9.0 --startMP 204:233047 --initTime 2017-04-28T23:46:52 --startdatetime 2017-04-28T23:56:53 --delay 2 --endMP 204:141 --enddatetime 2017-04-29T00:36:11 --enforcementcount 0 &gt;&gt;C:\Users\stu\Documents\GitHub\eaglep3-reporting\EC\2017-04-28-refined-times.txt</v>
      </c>
      <c r="AI151" s="99" t="str">
        <f t="shared" si="65"/>
        <v>echo {"issue":{"subject":"","project_id":79,"tracker_id":40,"status_id":1,"priority_id":2,"assigned_to_id":23,"start_date":"2017-04-29","description":"","custom_fields":[{"id":1,"name":"Subdivision","value":"EC"},{"id":4,"name":"Milepost","value":"0.0141"},{"id":17,"name":"Train ID","value":"238-28"},{"id":16,"name":"Locomotive ID","value":"4041"},{"id":130,"name":"Impact","value":""},{"id":150,"name":"Time of Event (Mountain Time)","value":"00:36:11"},{"id":151,"name":"Denver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7"/>
      <c r="AL151" s="47"/>
      <c r="AM151" s="145" t="str">
        <f t="shared" si="66"/>
        <v>start /low /b %USERPROFILE%\Documents\GitHub\eaglep3\Utilities\DownloadLogsFromS3.py --loco 4041 --day 2017-04-28</v>
      </c>
      <c r="AN151" s="154" t="str">
        <f t="shared" si="67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06:36:11"},{"id":29,"name":"Sharepoint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639</v>
      </c>
      <c r="B152" s="7">
        <v>4052</v>
      </c>
      <c r="C152" s="21" t="s">
        <v>211</v>
      </c>
      <c r="D152" s="21" t="s">
        <v>927</v>
      </c>
      <c r="E152" s="13">
        <v>42853.969641203701</v>
      </c>
      <c r="F152" s="13">
        <v>42853.979722222219</v>
      </c>
      <c r="G152" s="7">
        <v>1</v>
      </c>
      <c r="H152" s="21" t="s">
        <v>928</v>
      </c>
      <c r="I152" s="13">
        <v>42854.004756944443</v>
      </c>
      <c r="J152" s="7">
        <v>0</v>
      </c>
      <c r="K152" s="92" t="str">
        <f t="shared" si="52"/>
        <v>4051/4052</v>
      </c>
      <c r="L152" s="21" t="str">
        <f>VLOOKUP(A152,'Trips&amp;Operators'!$C$1:$G$99999,5,FALSE)</f>
        <v>STORY SAMANTHA</v>
      </c>
      <c r="M152" s="6">
        <f t="shared" si="53"/>
        <v>2.5034722224518191E-2</v>
      </c>
      <c r="N152" s="7">
        <f t="shared" si="50"/>
        <v>36.050000003306195</v>
      </c>
      <c r="O152" s="7"/>
      <c r="P152" s="7"/>
      <c r="Q152" s="22"/>
      <c r="R152" s="190"/>
      <c r="S152" s="196">
        <f t="shared" si="51"/>
        <v>1</v>
      </c>
      <c r="T152" s="190" t="str">
        <f t="shared" si="54"/>
        <v>NorthBound</v>
      </c>
      <c r="U152" s="190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1" t="str">
        <f t="shared" si="55"/>
        <v>https://d0f6bd738d7f1b3e5a7ca70fe4ff75f0.us-east-1.aws.found.io/app/kibana#/discover/Steve-Slow-Train-Analysis-(2080s-and-2083s)?_g=(refreshInterval:(display:Off,pause:!f,section:0,value:0),time:(from:'2017-04-28T22:16:17-0600',mode:absolute,to:'2017-04-29T01:06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52" s="192" t="str">
        <f t="shared" si="56"/>
        <v>N</v>
      </c>
      <c r="X152" s="192">
        <f t="shared" si="49"/>
        <v>1</v>
      </c>
      <c r="Y152" s="192">
        <f t="shared" si="57"/>
        <v>4.82E-2</v>
      </c>
      <c r="Z152" s="192">
        <f t="shared" si="58"/>
        <v>23.335899999999999</v>
      </c>
      <c r="AA152" s="192">
        <f t="shared" si="59"/>
        <v>23.287699999999997</v>
      </c>
      <c r="AB152" s="57" t="e">
        <f>VLOOKUP(A152,Enforcements!$C$7:$K$13,8,0)</f>
        <v>#N/A</v>
      </c>
      <c r="AC152" s="53" t="e">
        <f>VLOOKUP(A152,Enforcements!$C$7:$E$13,3,0)</f>
        <v>#N/A</v>
      </c>
      <c r="AD152" s="54" t="str">
        <f t="shared" si="60"/>
        <v>0239-28</v>
      </c>
      <c r="AE152" s="80" t="str">
        <f t="shared" si="61"/>
        <v>aws s3 cp s3://rtdc.mdm.uploadarchive.raw/RTDC4052/ "%USERPROFILE%\AppData\Local\Temp\OnboardLogs"\RTDC4052\2017-04-28 --exclude "*" --recursive --include "*20170428*" &amp; "%USERPROFILE%\Documents\GitHub\mrs-test-scripts\Headless Mode &amp; Sideloading\WalkAndUnGZ.bat" "%USERPROFILE%\AppData\Local\Temp\OnboardLogs"\RTDC4052\2017-04-28 &amp; aws s3 cp s3://rtdc.mdm.uploadarchive.raw/RTDC4052/ "%USERPROFILE%\AppData\Local\Temp\OnboardLogs"\RTDC4052\2017-04-29 --exclude "*" --recursive --include "*20170429*" &amp; "%USERPROFILE%\Documents\GitHub\mrs-test-scripts\Headless Mode &amp; Sideloading\WalkAndUnGZ.bat" "%USERPROFILE%\AppData\Local\Temp\OnboardLogs"\RTDC4052\2017-04-29</v>
      </c>
      <c r="AF152" s="77" t="str">
        <f t="shared" si="62"/>
        <v>"C:\Program Files (x86)\AstroGrep\AstroGrep.exe" /e /r /s /spath="%USERPROFILE%\AppData\Local\Temp\OnboardLogs" /stypes="app*4052*20170429*" /stext=" 06:.+((SYSTEM_STATE.+slice.+state.+changed )|(ment ac)|(multiple cpu faults)|(system.+state.+changed )|(\[timeout)|(PRM\|1\|D)|(kpr)|(kdp)|(train.+moving)|(\|lc)|(penalty))"</v>
      </c>
      <c r="AG152" s="1" t="str">
        <f t="shared" si="63"/>
        <v>EC</v>
      </c>
      <c r="AH152" s="81" t="str">
        <f t="shared" si="64"/>
        <v>"%USERPROFILE%\Documents\GitHub\eaglep3\Utilities\RefineRTDCRunTimes.py" --tripid 239-28 --locoid 4052 --swversion DE.1.0.9.0 --startMP 204:482 --initTime 2017-04-28T23:16:17 --startdatetime 2017-04-28T23:30:48 --delay 1 --endMP 204:233359 --enddatetime 2017-04-29T00:06:51 --enforcementcount 0 &gt;&gt;C:\Users\stu\Documents\GitHub\eaglep3-reporting\EC\2017-04-28-refined-times.txt</v>
      </c>
      <c r="AI152" s="99" t="str">
        <f t="shared" si="65"/>
        <v>echo {"issue":{"subject":"","project_id":79,"tracker_id":40,"status_id":1,"priority_id":2,"assigned_to_id":23,"start_date":"2017-04-29","description":"","custom_fields":[{"id":1,"name":"Subdivision","value":"EC"},{"id":4,"name":"Milepost","value":"23.3359"},{"id":17,"name":"Train ID","value":"239-28"},{"id":16,"name":"Locomotive ID","value":"4052"},{"id":130,"name":"Impact","value":""},{"id":150,"name":"Time of Event (Mountain Time)","value":"00:06:51"},{"id":151,"name":"Denver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7"/>
      <c r="AL152" s="47"/>
      <c r="AM152" s="145" t="str">
        <f t="shared" si="66"/>
        <v>start /low /b %USERPROFILE%\Documents\GitHub\eaglep3\Utilities\DownloadLogsFromS3.py --loco 4052 --day 2017-04-28</v>
      </c>
      <c r="AN152" s="154" t="str">
        <f t="shared" si="67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06:06:51"},{"id":29,"name":"Sharepoint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641</v>
      </c>
      <c r="B153" s="7">
        <v>4051</v>
      </c>
      <c r="C153" s="21" t="s">
        <v>211</v>
      </c>
      <c r="D153" s="21" t="s">
        <v>929</v>
      </c>
      <c r="E153" s="13">
        <v>42854.011516203704</v>
      </c>
      <c r="F153" s="13">
        <v>42854.018240740741</v>
      </c>
      <c r="G153" s="7">
        <v>2</v>
      </c>
      <c r="H153" s="21" t="s">
        <v>930</v>
      </c>
      <c r="I153" s="13">
        <v>42854.046365740738</v>
      </c>
      <c r="J153" s="7">
        <v>0</v>
      </c>
      <c r="K153" s="92" t="str">
        <f t="shared" si="52"/>
        <v>4051/4052</v>
      </c>
      <c r="L153" s="21" t="str">
        <f>VLOOKUP(A153,'Trips&amp;Operators'!$C$1:$G$99999,5,FALSE)</f>
        <v>STORY SAMANTHA</v>
      </c>
      <c r="M153" s="6">
        <f t="shared" si="53"/>
        <v>2.8124999997089617E-2</v>
      </c>
      <c r="N153" s="7">
        <f t="shared" si="50"/>
        <v>40.499999995809048</v>
      </c>
      <c r="O153" s="7"/>
      <c r="P153" s="7"/>
      <c r="Q153" s="22"/>
      <c r="R153" s="190"/>
      <c r="S153" s="196">
        <f t="shared" si="51"/>
        <v>1</v>
      </c>
      <c r="T153" s="190" t="str">
        <f t="shared" si="54"/>
        <v>Southbound</v>
      </c>
      <c r="U153" s="190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1" t="str">
        <f t="shared" si="55"/>
        <v>https://d0f6bd738d7f1b3e5a7ca70fe4ff75f0.us-east-1.aws.found.io/app/kibana#/discover/Steve-Slow-Train-Analysis-(2080s-and-2083s)?_g=(refreshInterval:(display:Off,pause:!f,section:0,value:0),time:(from:'2017-04-28T23:16:35-0600',mode:absolute,to:'2017-04-29T02:06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53" s="192" t="str">
        <f t="shared" si="56"/>
        <v>N</v>
      </c>
      <c r="X153" s="192">
        <f t="shared" si="49"/>
        <v>1</v>
      </c>
      <c r="Y153" s="192">
        <f t="shared" si="57"/>
        <v>23.3049</v>
      </c>
      <c r="Z153" s="192">
        <f t="shared" si="58"/>
        <v>1.23E-2</v>
      </c>
      <c r="AA153" s="192">
        <f t="shared" si="59"/>
        <v>23.2926</v>
      </c>
      <c r="AB153" s="57" t="str">
        <f>VLOOKUP(A153,Enforcements!$C$7:$K$13,8,0)</f>
        <v>Bulletin (2)</v>
      </c>
      <c r="AC153" s="53" t="str">
        <f>VLOOKUP(A153,Enforcements!$C$7:$E$13,3,0)</f>
        <v>GRADE CROSSING</v>
      </c>
      <c r="AD153" s="54" t="str">
        <f t="shared" si="60"/>
        <v>0240-28</v>
      </c>
      <c r="AE153" s="80" t="str">
        <f t="shared" si="61"/>
        <v>aws s3 cp s3://rtdc.mdm.uploadarchive.raw/RTDC4051/ "%USERPROFILE%\AppData\Local\Temp\OnboardLogs"\RTDC4051\2017-04-29 --exclude "*" --recursive --include "*20170429*" &amp; "%USERPROFILE%\Documents\GitHub\mrs-test-scripts\Headless Mode &amp; Sideloading\WalkAndUnGZ.bat" "%USERPROFILE%\AppData\Local\Temp\OnboardLogs"\RTDC4051\2017-04-29 &amp; aws s3 cp s3://rtdc.mdm.uploadarchive.raw/RTDC4051/ "%USERPROFILE%\AppData\Local\Temp\OnboardLogs"\RTDC4051\2017-04-30 --exclude "*" --recursive --include "*20170430*" &amp; "%USERPROFILE%\Documents\GitHub\mrs-test-scripts\Headless Mode &amp; Sideloading\WalkAndUnGZ.bat" "%USERPROFILE%\AppData\Local\Temp\OnboardLogs"\RTDC4051\2017-04-30</v>
      </c>
      <c r="AF153" s="77" t="str">
        <f t="shared" si="62"/>
        <v>"C:\Program Files (x86)\AstroGrep\AstroGrep.exe" /e /r /s /spath="%USERPROFILE%\AppData\Local\Temp\OnboardLogs" /stypes="app*4051*20170429*" /stext=" 07:.+((SYSTEM_STATE.+slice.+state.+changed )|(ment ac)|(multiple cpu faults)|(system.+state.+changed )|(\[timeout)|(PRM\|1\|D)|(kpr)|(kdp)|(train.+moving)|(\|lc)|(penalty))"</v>
      </c>
      <c r="AG153" s="1" t="str">
        <f t="shared" si="63"/>
        <v>EC</v>
      </c>
      <c r="AH153" s="81" t="str">
        <f t="shared" si="64"/>
        <v>"%USERPROFILE%\Documents\GitHub\eaglep3\Utilities\RefineRTDCRunTimes.py" --tripid 240-28 --locoid 4051 --swversion DE.1.0.9.0 --startMP 204:233049 --initTime 2017-04-29T00:16:35 --startdatetime 2017-04-29T00:26:16 --delay 2 --endMP 204:123 --enddatetime 2017-04-29T01:06:46 --enforcementcount 0 &gt;&gt;C:\Users\stu\Documents\GitHub\eaglep3-reporting\EC\2017-04-28-refined-times.txt</v>
      </c>
      <c r="AI153" s="99" t="str">
        <f t="shared" si="65"/>
        <v>echo {"issue":{"subject":"","project_id":79,"tracker_id":40,"status_id":1,"priority_id":2,"assigned_to_id":23,"start_date":"2017-04-29","description":"","custom_fields":[{"id":1,"name":"Subdivision","value":"EC"},{"id":4,"name":"Milepost","value":"0.0123"},{"id":17,"name":"Train ID","value":"240-28"},{"id":16,"name":"Locomotive ID","value":"4051"},{"id":130,"name":"Impact","value":""},{"id":150,"name":"Time of Event (Mountain Time)","value":"01:06:46"},{"id":151,"name":"Denver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3" s="47"/>
      <c r="AL153" s="47"/>
      <c r="AM153" s="145" t="str">
        <f t="shared" si="66"/>
        <v>start /low /b %USERPROFILE%\Documents\GitHub\eaglep3\Utilities\DownloadLogsFromS3.py --loco 4051 --day 2017-04-29</v>
      </c>
      <c r="AN153" s="154" t="str">
        <f t="shared" si="67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07:06:46"},{"id":29,"name":"Sharepoint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640</v>
      </c>
      <c r="B154" s="7">
        <v>4030</v>
      </c>
      <c r="C154" s="21" t="s">
        <v>211</v>
      </c>
      <c r="D154" s="21" t="s">
        <v>557</v>
      </c>
      <c r="E154" s="13">
        <v>42853.984398148146</v>
      </c>
      <c r="F154" s="13">
        <v>42854.000347222223</v>
      </c>
      <c r="G154" s="7">
        <v>1</v>
      </c>
      <c r="H154" s="21" t="s">
        <v>931</v>
      </c>
      <c r="I154" s="13">
        <v>42854.02516203704</v>
      </c>
      <c r="J154" s="7">
        <v>0</v>
      </c>
      <c r="K154" s="92" t="str">
        <f t="shared" si="52"/>
        <v>4029/4030</v>
      </c>
      <c r="L154" s="21" t="str">
        <f>VLOOKUP(A154,'Trips&amp;Operators'!$C$1:$G$99999,5,FALSE)</f>
        <v>STAMBAUGH JAMES</v>
      </c>
      <c r="M154" s="6">
        <f t="shared" si="53"/>
        <v>2.4814814816636499E-2</v>
      </c>
      <c r="N154" s="7">
        <f t="shared" si="50"/>
        <v>35.733333335956559</v>
      </c>
      <c r="O154" s="7"/>
      <c r="P154" s="7"/>
      <c r="Q154" s="22"/>
      <c r="R154" s="190"/>
      <c r="S154" s="196">
        <f t="shared" si="51"/>
        <v>1</v>
      </c>
      <c r="T154" s="190" t="str">
        <f t="shared" si="54"/>
        <v>NorthBound</v>
      </c>
      <c r="U154" s="190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1" t="str">
        <f t="shared" si="55"/>
        <v>https://d0f6bd738d7f1b3e5a7ca70fe4ff75f0.us-east-1.aws.found.io/app/kibana#/discover/Steve-Slow-Train-Analysis-(2080s-and-2083s)?_g=(refreshInterval:(display:Off,pause:!f,section:0,value:0),time:(from:'2017-04-28T22:37:32-0600',mode:absolute,to:'2017-04-29T01:36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54" s="192" t="str">
        <f t="shared" si="56"/>
        <v>N</v>
      </c>
      <c r="X154" s="192">
        <f t="shared" si="49"/>
        <v>1</v>
      </c>
      <c r="Y154" s="192">
        <f t="shared" si="57"/>
        <v>4.4699999999999997E-2</v>
      </c>
      <c r="Z154" s="192">
        <f t="shared" si="58"/>
        <v>23.337399999999999</v>
      </c>
      <c r="AA154" s="192">
        <f t="shared" si="59"/>
        <v>23.2927</v>
      </c>
      <c r="AB154" s="57" t="e">
        <f>VLOOKUP(A154,Enforcements!$C$7:$K$13,8,0)</f>
        <v>#N/A</v>
      </c>
      <c r="AC154" s="53" t="e">
        <f>VLOOKUP(A154,Enforcements!$C$7:$E$13,3,0)</f>
        <v>#N/A</v>
      </c>
      <c r="AD154" s="54" t="str">
        <f t="shared" si="60"/>
        <v>0241-28</v>
      </c>
      <c r="AE154" s="80" t="str">
        <f t="shared" si="61"/>
        <v>aws s3 cp s3://rtdc.mdm.uploadarchive.raw/RTDC4030/ "%USERPROFILE%\AppData\Local\Temp\OnboardLogs"\RTDC4030\2017-04-29 --exclude "*" --recursive --include "*20170429*" &amp; "%USERPROFILE%\Documents\GitHub\mrs-test-scripts\Headless Mode &amp; Sideloading\WalkAndUnGZ.bat" "%USERPROFILE%\AppData\Local\Temp\OnboardLogs"\RTDC4030\2017-04-29 &amp; aws s3 cp s3://rtdc.mdm.uploadarchive.raw/RTDC4030/ "%USERPROFILE%\AppData\Local\Temp\OnboardLogs"\RTDC4030\2017-04-30 --exclude "*" --recursive --include "*20170430*" &amp; "%USERPROFILE%\Documents\GitHub\mrs-test-scripts\Headless Mode &amp; Sideloading\WalkAndUnGZ.bat" "%USERPROFILE%\AppData\Local\Temp\OnboardLogs"\RTDC4030\2017-04-30</v>
      </c>
      <c r="AF154" s="77" t="str">
        <f t="shared" si="62"/>
        <v>"C:\Program Files (x86)\AstroGrep\AstroGrep.exe" /e /r /s /spath="%USERPROFILE%\AppData\Local\Temp\OnboardLogs" /stypes="app*4030*20170429*" /stext=" 06:.+((SYSTEM_STATE.+slice.+state.+changed )|(ment ac)|(multiple cpu faults)|(system.+state.+changed )|(\[timeout)|(PRM\|1\|D)|(kpr)|(kdp)|(train.+moving)|(\|lc)|(penalty))"</v>
      </c>
      <c r="AG154" s="1" t="str">
        <f t="shared" si="63"/>
        <v>EC</v>
      </c>
      <c r="AH154" s="81" t="str">
        <f t="shared" si="64"/>
        <v>"%USERPROFILE%\Documents\GitHub\eaglep3\Utilities\RefineRTDCRunTimes.py" --tripid 241-28 --locoid 4030 --swversion DE.1.0.9.0 --startMP 204:447 --initTime 2017-04-28T23:37:32 --startdatetime 2017-04-29T00:00:30 --delay 1 --endMP 204:233374 --enddatetime 2017-04-29T00:36:14 --enforcementcount 0 &gt;&gt;C:\Users\stu\Documents\GitHub\eaglep3-reporting\EC\2017-04-28-refined-times.txt</v>
      </c>
      <c r="AI154" s="99" t="str">
        <f t="shared" si="65"/>
        <v>echo {"issue":{"subject":"","project_id":79,"tracker_id":40,"status_id":1,"priority_id":2,"assigned_to_id":23,"start_date":"2017-04-29","description":"","custom_fields":[{"id":1,"name":"Subdivision","value":"EC"},{"id":4,"name":"Milepost","value":"23.3374"},{"id":17,"name":"Train ID","value":"241-28"},{"id":16,"name":"Locomotive ID","value":"4030"},{"id":130,"name":"Impact","value":""},{"id":150,"name":"Time of Event (Mountain Time)","value":"00:36:14"},{"id":151,"name":"Denver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4" s="47"/>
      <c r="AL154" s="47"/>
      <c r="AM154" s="145" t="str">
        <f t="shared" si="66"/>
        <v>start /low /b %USERPROFILE%\Documents\GitHub\eaglep3\Utilities\DownloadLogsFromS3.py --loco 4030 --day 2017-04-29</v>
      </c>
      <c r="AN154" s="154" t="str">
        <f t="shared" si="67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06:36:14"},{"id":29,"name":"Sharepoint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x14ac:dyDescent="0.25">
      <c r="A155" s="32" t="s">
        <v>834</v>
      </c>
      <c r="B155" s="7">
        <v>4029</v>
      </c>
      <c r="C155" s="21" t="s">
        <v>211</v>
      </c>
      <c r="D155" s="21" t="s">
        <v>921</v>
      </c>
      <c r="E155" s="13">
        <v>42854.031342592592</v>
      </c>
      <c r="F155" s="13">
        <v>42854.039861111109</v>
      </c>
      <c r="G155" s="7">
        <v>5</v>
      </c>
      <c r="H155" s="21" t="s">
        <v>875</v>
      </c>
      <c r="I155" s="13">
        <v>42854.06559027778</v>
      </c>
      <c r="J155" s="7">
        <v>0</v>
      </c>
      <c r="K155" s="92" t="str">
        <f t="shared" si="52"/>
        <v>4029/4030</v>
      </c>
      <c r="L155" s="21" t="str">
        <f>VLOOKUP(A155,'Trips&amp;Operators'!$C$1:$G$99999,5,FALSE)</f>
        <v>STAMBAUGH JAMES</v>
      </c>
      <c r="M155" s="6">
        <f t="shared" si="53"/>
        <v>2.5729166671226267E-2</v>
      </c>
      <c r="N155" s="7">
        <f t="shared" si="50"/>
        <v>37.050000006565824</v>
      </c>
      <c r="O155" s="7"/>
      <c r="P155" s="7"/>
      <c r="Q155" s="22"/>
      <c r="R155" s="190"/>
      <c r="S155" s="196">
        <f t="shared" si="51"/>
        <v>1</v>
      </c>
      <c r="T155" s="190" t="str">
        <f t="shared" si="54"/>
        <v>Southbound</v>
      </c>
      <c r="U155" s="190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1" t="str">
        <f t="shared" si="55"/>
        <v>https://d0f6bd738d7f1b3e5a7ca70fe4ff75f0.us-east-1.aws.found.io/app/kibana#/discover/Steve-Slow-Train-Analysis-(2080s-and-2083s)?_g=(refreshInterval:(display:Off,pause:!f,section:0,value:0),time:(from:'2017-04-28T23:45:08-0600',mode:absolute,to:'2017-04-29T02:34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55" s="192" t="str">
        <f t="shared" si="56"/>
        <v>N</v>
      </c>
      <c r="X155" s="192">
        <f t="shared" si="49"/>
        <v>1</v>
      </c>
      <c r="Y155" s="192">
        <f t="shared" si="57"/>
        <v>23.3047</v>
      </c>
      <c r="Z155" s="192">
        <f t="shared" si="58"/>
        <v>1.41E-2</v>
      </c>
      <c r="AA155" s="192">
        <f t="shared" si="59"/>
        <v>23.290600000000001</v>
      </c>
      <c r="AB155" s="57" t="e">
        <f>VLOOKUP(A155,Enforcements!$C$7:$K$13,8,0)</f>
        <v>#N/A</v>
      </c>
      <c r="AC155" s="53" t="e">
        <f>VLOOKUP(A155,Enforcements!$C$7:$E$13,3,0)</f>
        <v>#N/A</v>
      </c>
      <c r="AD155" s="54" t="str">
        <f t="shared" si="60"/>
        <v>0242-28</v>
      </c>
      <c r="AE155" s="80" t="str">
        <f t="shared" si="61"/>
        <v>aws s3 cp s3://rtdc.mdm.uploadarchive.raw/RTDC4029/ "%USERPROFILE%\AppData\Local\Temp\OnboardLogs"\RTDC4029\2017-04-29 --exclude "*" --recursive --include "*20170429*" &amp; "%USERPROFILE%\Documents\GitHub\mrs-test-scripts\Headless Mode &amp; Sideloading\WalkAndUnGZ.bat" "%USERPROFILE%\AppData\Local\Temp\OnboardLogs"\RTDC4029\2017-04-29 &amp; aws s3 cp s3://rtdc.mdm.uploadarchive.raw/RTDC4029/ "%USERPROFILE%\AppData\Local\Temp\OnboardLogs"\RTDC4029\2017-04-30 --exclude "*" --recursive --include "*20170430*" &amp; "%USERPROFILE%\Documents\GitHub\mrs-test-scripts\Headless Mode &amp; Sideloading\WalkAndUnGZ.bat" "%USERPROFILE%\AppData\Local\Temp\OnboardLogs"\RTDC4029\2017-04-30</v>
      </c>
      <c r="AF155" s="77" t="str">
        <f t="shared" si="62"/>
        <v>"C:\Program Files (x86)\AstroGrep\AstroGrep.exe" /e /r /s /spath="%USERPROFILE%\AppData\Local\Temp\OnboardLogs" /stypes="app*4029*20170429*" /stext=" 07:.+((SYSTEM_STATE.+slice.+state.+changed )|(ment ac)|(multiple cpu faults)|(system.+state.+changed )|(\[timeout)|(PRM\|1\|D)|(kpr)|(kdp)|(train.+moving)|(\|lc)|(penalty))"</v>
      </c>
      <c r="AG155" s="1" t="str">
        <f t="shared" si="63"/>
        <v>EC</v>
      </c>
      <c r="AH155" s="81" t="str">
        <f t="shared" si="64"/>
        <v>"%USERPROFILE%\Documents\GitHub\eaglep3\Utilities\RefineRTDCRunTimes.py" --tripid 242-28 --locoid 4029 --swversion DE.1.0.9.0 --startMP 204:233047 --initTime 2017-04-29T00:45:08 --startdatetime 2017-04-29T00:57:24 --delay 5 --endMP 204:141 --enddatetime 2017-04-29T01:34:27 --enforcementcount 0 &gt;&gt;C:\Users\stu\Documents\GitHub\eaglep3-reporting\EC\2017-04-28-refined-times.txt</v>
      </c>
      <c r="AI155" s="99" t="str">
        <f t="shared" si="65"/>
        <v>echo {"issue":{"subject":"","project_id":79,"tracker_id":40,"status_id":1,"priority_id":2,"assigned_to_id":23,"start_date":"2017-04-29","description":"","custom_fields":[{"id":1,"name":"Subdivision","value":"EC"},{"id":4,"name":"Milepost","value":"0.0141"},{"id":17,"name":"Train ID","value":"242-28"},{"id":16,"name":"Locomotive ID","value":"4029"},{"id":130,"name":"Impact","value":""},{"id":150,"name":"Time of Event (Mountain Time)","value":"01:34:27"},{"id":151,"name":"Denver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20"/>
      <c r="AK155" s="47"/>
      <c r="AL155" s="47"/>
      <c r="AM155" s="145" t="str">
        <f t="shared" si="66"/>
        <v>start /low /b %USERPROFILE%\Documents\GitHub\eaglep3\Utilities\DownloadLogsFromS3.py --loco 4029 --day 2017-04-29</v>
      </c>
      <c r="AN155" s="154" t="str">
        <f t="shared" si="67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07:34:27"},{"id":29,"name":"Sharepoint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6" spans="1:91" s="20" customFormat="1" x14ac:dyDescent="0.25">
      <c r="A156" s="32" t="s">
        <v>831</v>
      </c>
      <c r="B156" s="7">
        <v>4064</v>
      </c>
      <c r="C156" s="21" t="s">
        <v>211</v>
      </c>
      <c r="D156" s="21" t="s">
        <v>368</v>
      </c>
      <c r="E156" s="13">
        <v>42854.007650462961</v>
      </c>
      <c r="F156" s="13">
        <v>42854.021018518521</v>
      </c>
      <c r="G156" s="7">
        <v>2</v>
      </c>
      <c r="H156" s="21" t="s">
        <v>512</v>
      </c>
      <c r="I156" s="13">
        <v>42854.046423611115</v>
      </c>
      <c r="J156" s="7">
        <v>0</v>
      </c>
      <c r="K156" s="92" t="str">
        <f t="shared" si="52"/>
        <v>4063/4064</v>
      </c>
      <c r="L156" s="21" t="str">
        <f>VLOOKUP(A156,'Trips&amp;Operators'!$C$1:$G$99999,5,FALSE)</f>
        <v>SWANSON BRYCE</v>
      </c>
      <c r="M156" s="6">
        <f t="shared" si="53"/>
        <v>2.5405092594155576E-2</v>
      </c>
      <c r="N156" s="7">
        <f t="shared" si="50"/>
        <v>36.58333333558403</v>
      </c>
      <c r="O156" s="7"/>
      <c r="P156" s="7"/>
      <c r="Q156" s="22"/>
      <c r="R156" s="190"/>
      <c r="S156" s="196">
        <f t="shared" si="51"/>
        <v>1</v>
      </c>
      <c r="T156" s="190" t="str">
        <f t="shared" si="54"/>
        <v>NorthBound</v>
      </c>
      <c r="U156" s="190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1" t="str">
        <f t="shared" si="55"/>
        <v>https://d0f6bd738d7f1b3e5a7ca70fe4ff75f0.us-east-1.aws.found.io/app/kibana#/discover/Steve-Slow-Train-Analysis-(2080s-and-2083s)?_g=(refreshInterval:(display:Off,pause:!f,section:0,value:0),time:(from:'2017-04-28T23:11:01-0600',mode:absolute,to:'2017-04-29T02:06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56" s="192" t="str">
        <f t="shared" si="56"/>
        <v>N</v>
      </c>
      <c r="X156" s="192">
        <f t="shared" si="49"/>
        <v>1</v>
      </c>
      <c r="Y156" s="192">
        <f t="shared" si="57"/>
        <v>4.4900000000000002E-2</v>
      </c>
      <c r="Z156" s="192">
        <f t="shared" si="58"/>
        <v>23.337599999999998</v>
      </c>
      <c r="AA156" s="192">
        <f t="shared" si="59"/>
        <v>23.2927</v>
      </c>
      <c r="AB156" s="57" t="e">
        <f>VLOOKUP(A156,Enforcements!$C$7:$K$13,8,0)</f>
        <v>#N/A</v>
      </c>
      <c r="AC156" s="53" t="e">
        <f>VLOOKUP(A156,Enforcements!$C$7:$E$13,3,0)</f>
        <v>#N/A</v>
      </c>
      <c r="AD156" s="54" t="str">
        <f t="shared" si="60"/>
        <v>0243-28</v>
      </c>
      <c r="AE156" s="80" t="str">
        <f t="shared" si="61"/>
        <v>aws s3 cp s3://rtdc.mdm.uploadarchive.raw/RTDC4064/ "%USERPROFILE%\AppData\Local\Temp\OnboardLogs"\RTDC4064\2017-04-29 --exclude "*" --recursive --include "*20170429*" &amp; "%USERPROFILE%\Documents\GitHub\mrs-test-scripts\Headless Mode &amp; Sideloading\WalkAndUnGZ.bat" "%USERPROFILE%\AppData\Local\Temp\OnboardLogs"\RTDC4064\2017-04-29 &amp; aws s3 cp s3://rtdc.mdm.uploadarchive.raw/RTDC4064/ "%USERPROFILE%\AppData\Local\Temp\OnboardLogs"\RTDC4064\2017-04-30 --exclude "*" --recursive --include "*20170430*" &amp; "%USERPROFILE%\Documents\GitHub\mrs-test-scripts\Headless Mode &amp; Sideloading\WalkAndUnGZ.bat" "%USERPROFILE%\AppData\Local\Temp\OnboardLogs"\RTDC4064\2017-04-30</v>
      </c>
      <c r="AF156" s="77" t="str">
        <f t="shared" si="62"/>
        <v>"C:\Program Files (x86)\AstroGrep\AstroGrep.exe" /e /r /s /spath="%USERPROFILE%\AppData\Local\Temp\OnboardLogs" /stypes="app*4064*20170429*" /stext=" 07:.+((SYSTEM_STATE.+slice.+state.+changed )|(ment ac)|(multiple cpu faults)|(system.+state.+changed )|(\[timeout)|(PRM\|1\|D)|(kpr)|(kdp)|(train.+moving)|(\|lc)|(penalty))"</v>
      </c>
      <c r="AG156" s="1" t="str">
        <f t="shared" si="63"/>
        <v>EC</v>
      </c>
      <c r="AH156" s="81" t="str">
        <f t="shared" si="64"/>
        <v>"%USERPROFILE%\Documents\GitHub\eaglep3\Utilities\RefineRTDCRunTimes.py" --tripid 243-28 --locoid 4064 --swversion DE.1.0.9.0 --startMP 204:449 --initTime 2017-04-29T00:11:01 --startdatetime 2017-04-29T00:30:16 --delay 2 --endMP 204:233376 --enddatetime 2017-04-29T01:06:51 --enforcementcount 0 &gt;&gt;C:\Users\stu\Documents\GitHub\eaglep3-reporting\EC\2017-04-28-refined-times.txt</v>
      </c>
      <c r="AI156" s="99" t="str">
        <f t="shared" si="65"/>
        <v>echo {"issue":{"subject":"","project_id":79,"tracker_id":40,"status_id":1,"priority_id":2,"assigned_to_id":23,"start_date":"2017-04-29","description":"","custom_fields":[{"id":1,"name":"Subdivision","value":"EC"},{"id":4,"name":"Milepost","value":"23.3376"},{"id":17,"name":"Train ID","value":"243-28"},{"id":16,"name":"Locomotive ID","value":"4064"},{"id":130,"name":"Impact","value":""},{"id":150,"name":"Time of Event (Mountain Time)","value":"01:06:51"},{"id":151,"name":"Denver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6" s="47"/>
      <c r="AL156" s="47"/>
      <c r="AM156" s="145" t="str">
        <f t="shared" si="66"/>
        <v>start /low /b %USERPROFILE%\Documents\GitHub\eaglep3\Utilities\DownloadLogsFromS3.py --loco 4064 --day 2017-04-29</v>
      </c>
      <c r="AN156" s="154" t="str">
        <f t="shared" si="67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07:06:51"},{"id":29,"name":"Sharepoint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2" t="s">
        <v>835</v>
      </c>
      <c r="B157" s="7">
        <v>4063</v>
      </c>
      <c r="C157" s="21" t="s">
        <v>211</v>
      </c>
      <c r="D157" s="21" t="s">
        <v>932</v>
      </c>
      <c r="E157" s="13">
        <v>42854.053425925929</v>
      </c>
      <c r="F157" s="13">
        <v>42854.059895833336</v>
      </c>
      <c r="G157" s="7">
        <v>1</v>
      </c>
      <c r="H157" s="21" t="s">
        <v>554</v>
      </c>
      <c r="I157" s="13">
        <v>42854.089097222219</v>
      </c>
      <c r="J157" s="7">
        <v>0</v>
      </c>
      <c r="K157" s="92" t="str">
        <f t="shared" si="52"/>
        <v>4063/4064</v>
      </c>
      <c r="L157" s="21" t="str">
        <f>VLOOKUP(A157,'Trips&amp;Operators'!$C$1:$G$99999,5,FALSE)</f>
        <v>SWANSON BRYCE</v>
      </c>
      <c r="M157" s="6">
        <f t="shared" si="53"/>
        <v>2.9201388882938772E-2</v>
      </c>
      <c r="N157" s="7">
        <f t="shared" si="50"/>
        <v>42.049999991431832</v>
      </c>
      <c r="O157" s="7"/>
      <c r="P157" s="7"/>
      <c r="Q157" s="22"/>
      <c r="R157" s="190"/>
      <c r="S157" s="196">
        <f t="shared" si="51"/>
        <v>1</v>
      </c>
      <c r="T157" s="190" t="str">
        <f t="shared" si="54"/>
        <v>Southbound</v>
      </c>
      <c r="U157" s="190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91" t="str">
        <f t="shared" si="55"/>
        <v>https://d0f6bd738d7f1b3e5a7ca70fe4ff75f0.us-east-1.aws.found.io/app/kibana#/discover/Steve-Slow-Train-Analysis-(2080s-and-2083s)?_g=(refreshInterval:(display:Off,pause:!f,section:0,value:0),time:(from:'2017-04-29T00:16:56-0600',mode:absolute,to:'2017-04-29T03:08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57" s="192" t="str">
        <f t="shared" si="56"/>
        <v>N</v>
      </c>
      <c r="X157" s="192">
        <f t="shared" si="49"/>
        <v>1</v>
      </c>
      <c r="Y157" s="192">
        <f t="shared" si="57"/>
        <v>23.306100000000001</v>
      </c>
      <c r="Z157" s="192">
        <f t="shared" si="58"/>
        <v>1.61E-2</v>
      </c>
      <c r="AA157" s="192">
        <f t="shared" si="59"/>
        <v>23.29</v>
      </c>
      <c r="AB157" s="57" t="e">
        <f>VLOOKUP(A157,Enforcements!$C$7:$K$13,8,0)</f>
        <v>#N/A</v>
      </c>
      <c r="AC157" s="53" t="e">
        <f>VLOOKUP(A157,Enforcements!$C$7:$E$13,3,0)</f>
        <v>#N/A</v>
      </c>
      <c r="AD157" s="54" t="str">
        <f t="shared" si="60"/>
        <v>0244-28</v>
      </c>
      <c r="AE157" s="80" t="str">
        <f t="shared" si="61"/>
        <v>aws s3 cp s3://rtdc.mdm.uploadarchive.raw/RTDC4063/ "%USERPROFILE%\AppData\Local\Temp\OnboardLogs"\RTDC4063\2017-04-29 --exclude "*" --recursive --include "*20170429*" &amp; "%USERPROFILE%\Documents\GitHub\mrs-test-scripts\Headless Mode &amp; Sideloading\WalkAndUnGZ.bat" "%USERPROFILE%\AppData\Local\Temp\OnboardLogs"\RTDC4063\2017-04-29 &amp; aws s3 cp s3://rtdc.mdm.uploadarchive.raw/RTDC4063/ "%USERPROFILE%\AppData\Local\Temp\OnboardLogs"\RTDC4063\2017-04-30 --exclude "*" --recursive --include "*20170430*" &amp; "%USERPROFILE%\Documents\GitHub\mrs-test-scripts\Headless Mode &amp; Sideloading\WalkAndUnGZ.bat" "%USERPROFILE%\AppData\Local\Temp\OnboardLogs"\RTDC4063\2017-04-30</v>
      </c>
      <c r="AF157" s="77" t="str">
        <f t="shared" si="62"/>
        <v>"C:\Program Files (x86)\AstroGrep\AstroGrep.exe" /e /r /s /spath="%USERPROFILE%\AppData\Local\Temp\OnboardLogs" /stypes="app*4063*20170429*" /stext=" 08:.+((SYSTEM_STATE.+slice.+state.+changed )|(ment ac)|(multiple cpu faults)|(system.+state.+changed )|(\[timeout)|(PRM\|1\|D)|(kpr)|(kdp)|(train.+moving)|(\|lc)|(penalty))"</v>
      </c>
      <c r="AG157" s="1" t="str">
        <f t="shared" si="63"/>
        <v>EC</v>
      </c>
      <c r="AH157" s="81" t="str">
        <f t="shared" si="64"/>
        <v>"%USERPROFILE%\Documents\GitHub\eaglep3\Utilities\RefineRTDCRunTimes.py" --tripid 244-28 --locoid 4063 --swversion DE.1.0.9.0 --startMP 204:233061 --initTime 2017-04-29T01:16:56 --startdatetime 2017-04-29T01:26:15 --delay 1 --endMP 204:161 --enddatetime 2017-04-29T02:08:18 --enforcementcount 0 &gt;&gt;C:\Users\stu\Documents\GitHub\eaglep3-reporting\EC\2017-04-28-refined-times.txt</v>
      </c>
      <c r="AI157" s="99" t="str">
        <f t="shared" si="65"/>
        <v>echo {"issue":{"subject":"","project_id":79,"tracker_id":40,"status_id":1,"priority_id":2,"assigned_to_id":23,"start_date":"2017-04-29","description":"","custom_fields":[{"id":1,"name":"Subdivision","value":"EC"},{"id":4,"name":"Milepost","value":"0.0161"},{"id":17,"name":"Train ID","value":"244-28"},{"id":16,"name":"Locomotive ID","value":"4063"},{"id":130,"name":"Impact","value":""},{"id":150,"name":"Time of Event (Mountain Time)","value":"02:08:18"},{"id":151,"name":"Denver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7" s="47"/>
      <c r="AL157" s="47"/>
      <c r="AM157" s="145" t="str">
        <f t="shared" si="66"/>
        <v>start /low /b %USERPROFILE%\Documents\GitHub\eaglep3\Utilities\DownloadLogsFromS3.py --loco 4063 --day 2017-04-29</v>
      </c>
      <c r="AN157" s="154" t="str">
        <f t="shared" si="67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08:08:18"},{"id":29,"name":"Sharepoint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x14ac:dyDescent="0.25">
      <c r="A158" s="32" t="s">
        <v>833</v>
      </c>
      <c r="B158" s="7">
        <v>4042</v>
      </c>
      <c r="C158" s="21" t="s">
        <v>211</v>
      </c>
      <c r="D158" s="21" t="s">
        <v>503</v>
      </c>
      <c r="E158" s="13">
        <v>42854.028634259259</v>
      </c>
      <c r="F158" s="13">
        <v>42854.04184027778</v>
      </c>
      <c r="G158" s="7">
        <v>1</v>
      </c>
      <c r="H158" s="21" t="s">
        <v>933</v>
      </c>
      <c r="I158" s="13">
        <v>42854.068032407406</v>
      </c>
      <c r="J158" s="7">
        <v>0</v>
      </c>
      <c r="K158" s="92" t="str">
        <f t="shared" si="52"/>
        <v>4041/4042</v>
      </c>
      <c r="L158" s="21" t="str">
        <f>VLOOKUP(A158,'Trips&amp;Operators'!$C$1:$G$99999,5,FALSE)</f>
        <v>SAFIEF AEIMEN</v>
      </c>
      <c r="M158" s="6">
        <f t="shared" si="53"/>
        <v>2.619212962599704E-2</v>
      </c>
      <c r="N158" s="7">
        <f t="shared" si="50"/>
        <v>37.716666661435738</v>
      </c>
      <c r="O158" s="7"/>
      <c r="P158" s="7"/>
      <c r="Q158" s="22"/>
      <c r="R158" s="190"/>
      <c r="S158" s="196">
        <f t="shared" si="51"/>
        <v>1</v>
      </c>
      <c r="T158" s="190" t="str">
        <f t="shared" si="54"/>
        <v>NorthBound</v>
      </c>
      <c r="U158" s="190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91" t="str">
        <f t="shared" si="55"/>
        <v>https://d0f6bd738d7f1b3e5a7ca70fe4ff75f0.us-east-1.aws.found.io/app/kibana#/discover/Steve-Slow-Train-Analysis-(2080s-and-2083s)?_g=(refreshInterval:(display:Off,pause:!f,section:0,value:0),time:(from:'2017-04-28T23:41:14-0600',mode:absolute,to:'2017-04-29T02:37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58" s="192" t="str">
        <f t="shared" si="56"/>
        <v>N</v>
      </c>
      <c r="X158" s="192">
        <f t="shared" si="49"/>
        <v>1</v>
      </c>
      <c r="Y158" s="192">
        <f t="shared" si="57"/>
        <v>4.3999999999999997E-2</v>
      </c>
      <c r="Z158" s="192">
        <f t="shared" si="58"/>
        <v>23.3368</v>
      </c>
      <c r="AA158" s="192">
        <f t="shared" si="59"/>
        <v>23.2928</v>
      </c>
      <c r="AB158" s="57" t="e">
        <f>VLOOKUP(A158,Enforcements!$C$7:$K$13,8,0)</f>
        <v>#N/A</v>
      </c>
      <c r="AC158" s="53" t="e">
        <f>VLOOKUP(A158,Enforcements!$C$7:$E$13,3,0)</f>
        <v>#N/A</v>
      </c>
      <c r="AD158" s="54" t="str">
        <f t="shared" si="60"/>
        <v>0245-28</v>
      </c>
      <c r="AE158" s="80" t="str">
        <f t="shared" si="61"/>
        <v>aws s3 cp s3://rtdc.mdm.uploadarchive.raw/RTDC4042/ "%USERPROFILE%\AppData\Local\Temp\OnboardLogs"\RTDC4042\2017-04-29 --exclude "*" --recursive --include "*20170429*" &amp; "%USERPROFILE%\Documents\GitHub\mrs-test-scripts\Headless Mode &amp; Sideloading\WalkAndUnGZ.bat" "%USERPROFILE%\AppData\Local\Temp\OnboardLogs"\RTDC4042\2017-04-29 &amp; aws s3 cp s3://rtdc.mdm.uploadarchive.raw/RTDC4042/ "%USERPROFILE%\AppData\Local\Temp\OnboardLogs"\RTDC4042\2017-04-30 --exclude "*" --recursive --include "*20170430*" &amp; "%USERPROFILE%\Documents\GitHub\mrs-test-scripts\Headless Mode &amp; Sideloading\WalkAndUnGZ.bat" "%USERPROFILE%\AppData\Local\Temp\OnboardLogs"\RTDC4042\2017-04-30</v>
      </c>
      <c r="AF158" s="77" t="str">
        <f t="shared" si="62"/>
        <v>"C:\Program Files (x86)\AstroGrep\AstroGrep.exe" /e /r /s /spath="%USERPROFILE%\AppData\Local\Temp\OnboardLogs" /stypes="app*4042*20170429*" /stext=" 07:.+((SYSTEM_STATE.+slice.+state.+changed )|(ment ac)|(multiple cpu faults)|(system.+state.+changed )|(\[timeout)|(PRM\|1\|D)|(kpr)|(kdp)|(train.+moving)|(\|lc)|(penalty))"</v>
      </c>
      <c r="AG158" s="1" t="str">
        <f t="shared" si="63"/>
        <v>EC</v>
      </c>
      <c r="AH158" s="81" t="str">
        <f t="shared" si="64"/>
        <v>"%USERPROFILE%\Documents\GitHub\eaglep3\Utilities\RefineRTDCRunTimes.py" --tripid 245-28 --locoid 4042 --swversion DE.1.0.9.0 --startMP 204:440 --initTime 2017-04-29T00:41:14 --startdatetime 2017-04-29T01:00:15 --delay 1 --endMP 204:233368 --enddatetime 2017-04-29T01:37:58 --enforcementcount 0 &gt;&gt;C:\Users\stu\Documents\GitHub\eaglep3-reporting\EC\2017-04-28-refined-times.txt</v>
      </c>
      <c r="AI158" s="99" t="str">
        <f t="shared" si="65"/>
        <v>echo {"issue":{"subject":"","project_id":79,"tracker_id":40,"status_id":1,"priority_id":2,"assigned_to_id":23,"start_date":"2017-04-29","description":"","custom_fields":[{"id":1,"name":"Subdivision","value":"EC"},{"id":4,"name":"Milepost","value":"23.3368"},{"id":17,"name":"Train ID","value":"245-28"},{"id":16,"name":"Locomotive ID","value":"4042"},{"id":130,"name":"Impact","value":""},{"id":150,"name":"Time of Event (Mountain Time)","value":"01:37:58"},{"id":151,"name":"Denver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20"/>
      <c r="AK158" s="47"/>
      <c r="AL158" s="47"/>
      <c r="AM158" s="145" t="str">
        <f t="shared" si="66"/>
        <v>start /low /b %USERPROFILE%\Documents\GitHub\eaglep3\Utilities\DownloadLogsFromS3.py --loco 4042 --day 2017-04-29</v>
      </c>
      <c r="AN158" s="154" t="str">
        <f t="shared" si="67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07:37:58"},{"id":29,"name":"Sharepoint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9" spans="1:91" x14ac:dyDescent="0.25">
      <c r="A159" s="32" t="s">
        <v>837</v>
      </c>
      <c r="B159" s="7">
        <v>4041</v>
      </c>
      <c r="C159" s="21" t="s">
        <v>211</v>
      </c>
      <c r="D159" s="21" t="s">
        <v>934</v>
      </c>
      <c r="E159" s="13">
        <v>42854.0705787037</v>
      </c>
      <c r="F159" s="13">
        <v>42854.080752314818</v>
      </c>
      <c r="G159" s="7">
        <v>1</v>
      </c>
      <c r="H159" s="21" t="s">
        <v>411</v>
      </c>
      <c r="I159" s="13">
        <v>42854.110069444447</v>
      </c>
      <c r="J159" s="7">
        <v>0</v>
      </c>
      <c r="K159" s="92" t="str">
        <f t="shared" si="52"/>
        <v>4041/4042</v>
      </c>
      <c r="L159" s="21" t="str">
        <f>VLOOKUP(A159,'Trips&amp;Operators'!$C$1:$G$99999,5,FALSE)</f>
        <v>SAFIEF AEIMEN</v>
      </c>
      <c r="M159" s="6">
        <f t="shared" si="53"/>
        <v>2.9317129628907423E-2</v>
      </c>
      <c r="N159" s="7">
        <f t="shared" si="50"/>
        <v>42.21666666562669</v>
      </c>
      <c r="O159" s="7"/>
      <c r="P159" s="7"/>
      <c r="Q159" s="22"/>
      <c r="R159" s="190"/>
      <c r="S159" s="196">
        <f t="shared" si="51"/>
        <v>1</v>
      </c>
      <c r="T159" s="190" t="str">
        <f t="shared" si="54"/>
        <v>Southbound</v>
      </c>
      <c r="U159" s="190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191" t="str">
        <f t="shared" si="55"/>
        <v>https://d0f6bd738d7f1b3e5a7ca70fe4ff75f0.us-east-1.aws.found.io/app/kibana#/discover/Steve-Slow-Train-Analysis-(2080s-and-2083s)?_g=(refreshInterval:(display:Off,pause:!f,section:0,value:0),time:(from:'2017-04-29T00:41:38-0600',mode:absolute,to:'2017-04-29T03:38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59" s="192" t="str">
        <f t="shared" si="56"/>
        <v>N</v>
      </c>
      <c r="X159" s="192">
        <f t="shared" si="49"/>
        <v>1</v>
      </c>
      <c r="Y159" s="192">
        <f t="shared" si="57"/>
        <v>23.304600000000001</v>
      </c>
      <c r="Z159" s="192">
        <f t="shared" si="58"/>
        <v>1.43E-2</v>
      </c>
      <c r="AA159" s="192">
        <f t="shared" si="59"/>
        <v>23.290300000000002</v>
      </c>
      <c r="AB159" s="57" t="e">
        <f>VLOOKUP(A159,Enforcements!$C$7:$K$13,8,0)</f>
        <v>#N/A</v>
      </c>
      <c r="AC159" s="53" t="e">
        <f>VLOOKUP(A159,Enforcements!$C$7:$E$13,3,0)</f>
        <v>#N/A</v>
      </c>
      <c r="AD159" s="54" t="str">
        <f t="shared" si="60"/>
        <v>0246-28</v>
      </c>
      <c r="AE159" s="80" t="str">
        <f t="shared" si="61"/>
        <v>aws s3 cp s3://rtdc.mdm.uploadarchive.raw/RTDC4041/ "%USERPROFILE%\AppData\Local\Temp\OnboardLogs"\RTDC4041\2017-04-29 --exclude "*" --recursive --include "*20170429*" &amp; "%USERPROFILE%\Documents\GitHub\mrs-test-scripts\Headless Mode &amp; Sideloading\WalkAndUnGZ.bat" "%USERPROFILE%\AppData\Local\Temp\OnboardLogs"\RTDC4041\2017-04-29 &amp; aws s3 cp s3://rtdc.mdm.uploadarchive.raw/RTDC4041/ "%USERPROFILE%\AppData\Local\Temp\OnboardLogs"\RTDC4041\2017-04-30 --exclude "*" --recursive --include "*20170430*" &amp; "%USERPROFILE%\Documents\GitHub\mrs-test-scripts\Headless Mode &amp; Sideloading\WalkAndUnGZ.bat" "%USERPROFILE%\AppData\Local\Temp\OnboardLogs"\RTDC4041\2017-04-30</v>
      </c>
      <c r="AF159" s="77" t="str">
        <f t="shared" si="62"/>
        <v>"C:\Program Files (x86)\AstroGrep\AstroGrep.exe" /e /r /s /spath="%USERPROFILE%\AppData\Local\Temp\OnboardLogs" /stypes="app*4041*20170429*" /stext=" 08:.+((SYSTEM_STATE.+slice.+state.+changed )|(ment ac)|(multiple cpu faults)|(system.+state.+changed )|(\[timeout)|(PRM\|1\|D)|(kpr)|(kdp)|(train.+moving)|(\|lc)|(penalty))"</v>
      </c>
      <c r="AG159" s="1" t="str">
        <f t="shared" si="63"/>
        <v>EC</v>
      </c>
      <c r="AH159" s="81" t="str">
        <f t="shared" si="64"/>
        <v>"%USERPROFILE%\Documents\GitHub\eaglep3\Utilities\RefineRTDCRunTimes.py" --tripid 246-28 --locoid 4041 --swversion DE.1.0.9.0 --startMP 204:233046 --initTime 2017-04-29T01:41:38 --startdatetime 2017-04-29T01:56:17 --delay 1 --endMP 204:143 --enddatetime 2017-04-29T02:38:30 --enforcementcount 0 &gt;&gt;C:\Users\stu\Documents\GitHub\eaglep3-reporting\EC\2017-04-28-refined-times.txt</v>
      </c>
      <c r="AI159" s="99" t="str">
        <f t="shared" si="65"/>
        <v>echo {"issue":{"subject":"","project_id":79,"tracker_id":40,"status_id":1,"priority_id":2,"assigned_to_id":23,"start_date":"2017-04-29","description":"","custom_fields":[{"id":1,"name":"Subdivision","value":"EC"},{"id":4,"name":"Milepost","value":"0.0143"},{"id":17,"name":"Train ID","value":"246-28"},{"id":16,"name":"Locomotive ID","value":"4041"},{"id":130,"name":"Impact","value":""},{"id":150,"name":"Time of Event (Mountain Time)","value":"02:38:30"},{"id":151,"name":"Denver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20"/>
      <c r="AK159" s="47"/>
      <c r="AL159" s="47"/>
      <c r="AM159" s="145" t="str">
        <f t="shared" si="66"/>
        <v>start /low /b %USERPROFILE%\Documents\GitHub\eaglep3\Utilities\DownloadLogsFromS3.py --loco 4041 --day 2017-04-29</v>
      </c>
      <c r="AN159" s="154" t="str">
        <f t="shared" si="67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08:38:30"},{"id":29,"name":"Sharepoint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0" spans="1:91" x14ac:dyDescent="0.25">
      <c r="A160" s="32" t="s">
        <v>663</v>
      </c>
      <c r="B160" s="7">
        <v>4017</v>
      </c>
      <c r="C160" s="21" t="s">
        <v>211</v>
      </c>
      <c r="D160" s="21" t="s">
        <v>958</v>
      </c>
      <c r="E160" s="13">
        <v>42853.212071759262</v>
      </c>
      <c r="F160" s="13">
        <v>42853.214155092595</v>
      </c>
      <c r="G160" s="7">
        <v>2</v>
      </c>
      <c r="H160" s="21" t="s">
        <v>959</v>
      </c>
      <c r="I160" s="13">
        <v>42853.226203703707</v>
      </c>
      <c r="J160" s="7">
        <v>0</v>
      </c>
      <c r="K160" s="92" t="str">
        <f t="shared" si="52"/>
        <v>4017/4018</v>
      </c>
      <c r="L160" s="21" t="str">
        <f>VLOOKUP(A160,'Trips&amp;Operators'!$C$1:$G$99999,5,FALSE)</f>
        <v>ZEWDU DEREJE</v>
      </c>
      <c r="M160" s="6">
        <f t="shared" si="53"/>
        <v>1.2048611111822538E-2</v>
      </c>
      <c r="N160" s="7">
        <f t="shared" si="50"/>
        <v>17.350000001024455</v>
      </c>
      <c r="O160" s="7"/>
      <c r="P160" s="7"/>
      <c r="Q160" s="22"/>
      <c r="R160" s="190"/>
      <c r="S160" s="196">
        <f t="shared" si="51"/>
        <v>1</v>
      </c>
      <c r="T160" s="190" t="str">
        <f t="shared" si="54"/>
        <v>Southbound</v>
      </c>
      <c r="U160" s="190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91" t="str">
        <f t="shared" si="55"/>
        <v>https://d0f6bd738d7f1b3e5a7ca70fe4ff75f0.us-east-1.aws.found.io/app/kibana#/discover/Steve-Slow-Train-Analysis-(2080s-and-2083s)?_g=(refreshInterval:(display:Off,pause:!f,section:0,value:0),time:(from:'2017-04-28T04:05:23-0600',mode:absolute,to:'2017-04-28T06:25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60" s="192" t="str">
        <f t="shared" si="56"/>
        <v>N</v>
      </c>
      <c r="X160" s="192">
        <f t="shared" ref="X160:X191" si="68">VALUE(LEFT(AD160,4))-VALUE(LEFT(AD159,4))</f>
        <v>554</v>
      </c>
      <c r="Y160" s="192">
        <f t="shared" si="57"/>
        <v>5.8666</v>
      </c>
      <c r="Z160" s="192">
        <f t="shared" si="58"/>
        <v>7.0300000000000001E-2</v>
      </c>
      <c r="AA160" s="192">
        <f t="shared" si="59"/>
        <v>5.7963000000000005</v>
      </c>
      <c r="AB160" s="57" t="e">
        <f>VLOOKUP(A160,Enforcements!$C$7:$K$13,8,0)</f>
        <v>#N/A</v>
      </c>
      <c r="AC160" s="53" t="e">
        <f>VLOOKUP(A160,Enforcements!$C$7:$E$13,3,0)</f>
        <v>#N/A</v>
      </c>
      <c r="AD160" s="54" t="str">
        <f t="shared" si="60"/>
        <v>0800-28</v>
      </c>
      <c r="AE160" s="80" t="str">
        <f t="shared" si="61"/>
        <v>aws s3 cp s3://rtdc.mdm.uploadarchive.raw/RTDC4017/ "%USERPROFILE%\AppData\Local\Temp\OnboardLogs"\RTDC4017\2017-04-28 --exclude "*" --recursive --include "*20170428*" &amp; "%USERPROFILE%\Documents\GitHub\mrs-test-scripts\Headless Mode &amp; Sideloading\WalkAndUnGZ.bat" "%USERPROFILE%\AppData\Local\Temp\OnboardLogs"\RTDC4017\2017-04-28 &amp; aws s3 cp s3://rtdc.mdm.uploadarchive.raw/RTDC4017/ "%USERPROFILE%\AppData\Local\Temp\OnboardLogs"\RTDC4017\2017-04-29 --exclude "*" --recursive --include "*20170429*" &amp; "%USERPROFILE%\Documents\GitHub\mrs-test-scripts\Headless Mode &amp; Sideloading\WalkAndUnGZ.bat" "%USERPROFILE%\AppData\Local\Temp\OnboardLogs"\RTDC4017\2017-04-29</v>
      </c>
      <c r="AF160" s="77" t="str">
        <f t="shared" si="62"/>
        <v>"C:\Program Files (x86)\AstroGrep\AstroGrep.exe" /e /r /s /spath="%USERPROFILE%\AppData\Local\Temp\OnboardLogs" /stypes="app*4017*20170428*" /stext=" 11:.+((SYSTEM_STATE.+slice.+state.+changed )|(ment ac)|(multiple cpu faults)|(system.+state.+changed )|(\[timeout)|(PRM\|1\|D)|(kpr)|(kdp)|(train.+moving)|(\|lc)|(penalty))"</v>
      </c>
      <c r="AG160" s="1" t="str">
        <f t="shared" si="63"/>
        <v>NW</v>
      </c>
      <c r="AH160" s="81" t="str">
        <f t="shared" si="64"/>
        <v>"%USERPROFILE%\Documents\GitHub\eaglep3\Utilities\RefineRTDCRunTimes.py" --tripid 800-28 --locoid 4017 --swversion DE.1.0.9.0 --startMP 300:58666 --initTime 2017-04-28T05:05:23 --startdatetime 2017-04-28T05:08:23 --delay 2 --endMP 204:703 --enddatetime 2017-04-28T05:25:44 --enforcementcount 0 &gt;&gt;C:\Users\stu\Documents\GitHub\eaglep3-reporting\EC\2017-04-28-refined-times.txt</v>
      </c>
      <c r="AI160" s="99" t="str">
        <f t="shared" si="65"/>
        <v>echo {"issue":{"subject":"","project_id":79,"tracker_id":40,"status_id":1,"priority_id":2,"assigned_to_id":23,"start_date":"2017-04-28","description":"","custom_fields":[{"id":1,"name":"Subdivision","value":"NW"},{"id":4,"name":"Milepost","value":"0.0703"},{"id":17,"name":"Train ID","value":"800-28"},{"id":16,"name":"Locomotive ID","value":"4017"},{"id":130,"name":"Impact","value":""},{"id":150,"name":"Time of Event (Mountain Time)","value":"05:25:44"},{"id":151,"name":"Denver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20"/>
      <c r="AK160" s="47"/>
      <c r="AL160" s="47"/>
      <c r="AM160" s="145" t="str">
        <f t="shared" si="66"/>
        <v>start /low /b %USERPROFILE%\Documents\GitHub\eaglep3\Utilities\DownloadLogsFromS3.py --loco 4017 --day 2017-04-28</v>
      </c>
      <c r="AN160" s="154" t="str">
        <f t="shared" si="67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11:25:44"},{"id":29,"name":"Sharepoint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1" spans="1:91" x14ac:dyDescent="0.25">
      <c r="A161" s="32" t="s">
        <v>665</v>
      </c>
      <c r="B161" s="7">
        <v>4018</v>
      </c>
      <c r="C161" s="21" t="s">
        <v>211</v>
      </c>
      <c r="D161" s="21" t="s">
        <v>492</v>
      </c>
      <c r="E161" s="13">
        <v>42853.228506944448</v>
      </c>
      <c r="F161" s="13">
        <v>42853.243946759256</v>
      </c>
      <c r="G161" s="7">
        <v>1</v>
      </c>
      <c r="H161" s="21" t="s">
        <v>960</v>
      </c>
      <c r="I161" s="13">
        <v>42853.254131944443</v>
      </c>
      <c r="J161" s="7">
        <v>0</v>
      </c>
      <c r="K161" s="92" t="str">
        <f t="shared" si="52"/>
        <v>4017/4018</v>
      </c>
      <c r="L161" s="21" t="str">
        <f>VLOOKUP(A161,'Trips&amp;Operators'!$C$1:$G$99999,5,FALSE)</f>
        <v>ZEWDU DEREJE</v>
      </c>
      <c r="M161" s="6">
        <f t="shared" si="53"/>
        <v>1.0185185186855961E-2</v>
      </c>
      <c r="N161" s="7">
        <f t="shared" si="50"/>
        <v>14.666666669072583</v>
      </c>
      <c r="O161" s="7"/>
      <c r="P161" s="7"/>
      <c r="Q161" s="22"/>
      <c r="R161" s="190"/>
      <c r="S161" s="196">
        <f t="shared" si="51"/>
        <v>1</v>
      </c>
      <c r="T161" s="190" t="str">
        <f t="shared" si="54"/>
        <v>NorthBound</v>
      </c>
      <c r="U161" s="190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91" t="str">
        <f t="shared" si="55"/>
        <v>https://d0f6bd738d7f1b3e5a7ca70fe4ff75f0.us-east-1.aws.found.io/app/kibana#/discover/Steve-Slow-Train-Analysis-(2080s-and-2083s)?_g=(refreshInterval:(display:Off,pause:!f,section:0,value:0),time:(from:'2017-04-28T04:29:03-0600',mode:absolute,to:'2017-04-28T07:05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61" s="192" t="str">
        <f t="shared" si="56"/>
        <v>N</v>
      </c>
      <c r="X161" s="192">
        <f t="shared" si="68"/>
        <v>1</v>
      </c>
      <c r="Y161" s="192">
        <f t="shared" si="57"/>
        <v>9.8500000000000004E-2</v>
      </c>
      <c r="Z161" s="192">
        <f t="shared" si="58"/>
        <v>5.8914</v>
      </c>
      <c r="AA161" s="192">
        <f t="shared" si="59"/>
        <v>5.7929000000000004</v>
      </c>
      <c r="AB161" s="57" t="e">
        <f>VLOOKUP(A161,Enforcements!$C$7:$K$13,8,0)</f>
        <v>#N/A</v>
      </c>
      <c r="AC161" s="53" t="e">
        <f>VLOOKUP(A161,Enforcements!$C$7:$E$13,3,0)</f>
        <v>#N/A</v>
      </c>
      <c r="AD161" s="54" t="str">
        <f t="shared" si="60"/>
        <v>0801-28</v>
      </c>
      <c r="AE161" s="80" t="str">
        <f t="shared" si="61"/>
        <v>aws s3 cp s3://rtdc.mdm.uploadarchive.raw/RTDC4018/ "%USERPROFILE%\AppData\Local\Temp\OnboardLogs"\RTDC4018\2017-04-28 --exclude "*" --recursive --include "*20170428*" &amp; "%USERPROFILE%\Documents\GitHub\mrs-test-scripts\Headless Mode &amp; Sideloading\WalkAndUnGZ.bat" "%USERPROFILE%\AppData\Local\Temp\OnboardLogs"\RTDC4018\2017-04-28 &amp; aws s3 cp s3://rtdc.mdm.uploadarchive.raw/RTDC4018/ "%USERPROFILE%\AppData\Local\Temp\OnboardLogs"\RTDC4018\2017-04-29 --exclude "*" --recursive --include "*20170429*" &amp; "%USERPROFILE%\Documents\GitHub\mrs-test-scripts\Headless Mode &amp; Sideloading\WalkAndUnGZ.bat" "%USERPROFILE%\AppData\Local\Temp\OnboardLogs"\RTDC4018\2017-04-29</v>
      </c>
      <c r="AF161" s="77" t="str">
        <f t="shared" si="62"/>
        <v>"C:\Program Files (x86)\AstroGrep\AstroGrep.exe" /e /r /s /spath="%USERPROFILE%\AppData\Local\Temp\OnboardLogs" /stypes="app*4018*20170428*" /stext=" 12:.+((SYSTEM_STATE.+slice.+state.+changed )|(ment ac)|(multiple cpu faults)|(system.+state.+changed )|(\[timeout)|(PRM\|1\|D)|(kpr)|(kdp)|(train.+moving)|(\|lc)|(penalty))"</v>
      </c>
      <c r="AG161" s="1" t="str">
        <f t="shared" si="63"/>
        <v>NW</v>
      </c>
      <c r="AH161" s="81" t="str">
        <f t="shared" si="64"/>
        <v>"%USERPROFILE%\Documents\GitHub\eaglep3\Utilities\RefineRTDCRunTimes.py" --tripid 801-28 --locoid 4018 --swversion DE.1.0.9.0 --startMP 204:985 --initTime 2017-04-28T05:29:03 --startdatetime 2017-04-28T05:51:17 --delay 1 --endMP 300:58914 --enddatetime 2017-04-28T06:05:57 --enforcementcount 0 &gt;&gt;C:\Users\stu\Documents\GitHub\eaglep3-reporting\EC\2017-04-28-refined-times.txt</v>
      </c>
      <c r="AI161" s="99" t="str">
        <f t="shared" si="65"/>
        <v>echo {"issue":{"subject":"","project_id":79,"tracker_id":40,"status_id":1,"priority_id":2,"assigned_to_id":23,"start_date":"2017-04-28","description":"","custom_fields":[{"id":1,"name":"Subdivision","value":"NW"},{"id":4,"name":"Milepost","value":"5.8914"},{"id":17,"name":"Train ID","value":"801-28"},{"id":16,"name":"Locomotive ID","value":"4018"},{"id":130,"name":"Impact","value":""},{"id":150,"name":"Time of Event (Mountain Time)","value":"06:05:57"},{"id":151,"name":"Denver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20"/>
      <c r="AK161" s="47"/>
      <c r="AL161" s="47"/>
      <c r="AM161" s="145" t="str">
        <f t="shared" si="66"/>
        <v>start /low /b %USERPROFILE%\Documents\GitHub\eaglep3\Utilities\DownloadLogsFromS3.py --loco 4018 --day 2017-04-28</v>
      </c>
      <c r="AN161" s="154" t="str">
        <f t="shared" si="67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12:05:57"},{"id":29,"name":"Sharepoint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2" spans="1:91" x14ac:dyDescent="0.25">
      <c r="A162" s="32" t="s">
        <v>674</v>
      </c>
      <c r="B162" s="7">
        <v>4017</v>
      </c>
      <c r="C162" s="21" t="s">
        <v>211</v>
      </c>
      <c r="D162" s="21" t="s">
        <v>961</v>
      </c>
      <c r="E162" s="13">
        <v>42853.255266203705</v>
      </c>
      <c r="F162" s="13">
        <v>42853.25744212963</v>
      </c>
      <c r="G162" s="7">
        <v>1</v>
      </c>
      <c r="H162" s="21" t="s">
        <v>962</v>
      </c>
      <c r="I162" s="13">
        <v>42853.268240740741</v>
      </c>
      <c r="J162" s="7">
        <v>0</v>
      </c>
      <c r="K162" s="92" t="str">
        <f t="shared" si="52"/>
        <v>4017/4018</v>
      </c>
      <c r="L162" s="21" t="str">
        <f>VLOOKUP(A162,'Trips&amp;Operators'!$C$1:$G$99999,5,FALSE)</f>
        <v>ZEWDU DEREJE</v>
      </c>
      <c r="M162" s="6">
        <f t="shared" si="53"/>
        <v>1.0798611110658385E-2</v>
      </c>
      <c r="N162" s="7">
        <f t="shared" si="50"/>
        <v>15.549999999348074</v>
      </c>
      <c r="O162" s="7"/>
      <c r="P162" s="7"/>
      <c r="Q162" s="22"/>
      <c r="R162" s="190"/>
      <c r="S162" s="196">
        <f t="shared" si="51"/>
        <v>1</v>
      </c>
      <c r="T162" s="190" t="str">
        <f t="shared" si="54"/>
        <v>Southbound</v>
      </c>
      <c r="U162" s="190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1" t="str">
        <f t="shared" si="55"/>
        <v>https://d0f6bd738d7f1b3e5a7ca70fe4ff75f0.us-east-1.aws.found.io/app/kibana#/discover/Steve-Slow-Train-Analysis-(2080s-and-2083s)?_g=(refreshInterval:(display:Off,pause:!f,section:0,value:0),time:(from:'2017-04-28T05:07:35-0600',mode:absolute,to:'2017-04-28T07:26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62" s="192" t="str">
        <f t="shared" si="56"/>
        <v>N</v>
      </c>
      <c r="X162" s="192">
        <f t="shared" si="68"/>
        <v>1</v>
      </c>
      <c r="Y162" s="192">
        <f t="shared" si="57"/>
        <v>5.8615000000000004</v>
      </c>
      <c r="Z162" s="192">
        <f t="shared" si="58"/>
        <v>6.7799999999999999E-2</v>
      </c>
      <c r="AA162" s="192">
        <f t="shared" si="59"/>
        <v>5.7937000000000003</v>
      </c>
      <c r="AB162" s="57" t="e">
        <f>VLOOKUP(A162,Enforcements!$C$7:$K$13,8,0)</f>
        <v>#N/A</v>
      </c>
      <c r="AC162" s="53" t="e">
        <f>VLOOKUP(A162,Enforcements!$C$7:$E$13,3,0)</f>
        <v>#N/A</v>
      </c>
      <c r="AD162" s="54" t="str">
        <f t="shared" si="60"/>
        <v>0802-28</v>
      </c>
      <c r="AE162" s="80" t="str">
        <f t="shared" si="61"/>
        <v>aws s3 cp s3://rtdc.mdm.uploadarchive.raw/RTDC4017/ "%USERPROFILE%\AppData\Local\Temp\OnboardLogs"\RTDC4017\2017-04-28 --exclude "*" --recursive --include "*20170428*" &amp; "%USERPROFILE%\Documents\GitHub\mrs-test-scripts\Headless Mode &amp; Sideloading\WalkAndUnGZ.bat" "%USERPROFILE%\AppData\Local\Temp\OnboardLogs"\RTDC4017\2017-04-28 &amp; aws s3 cp s3://rtdc.mdm.uploadarchive.raw/RTDC4017/ "%USERPROFILE%\AppData\Local\Temp\OnboardLogs"\RTDC4017\2017-04-29 --exclude "*" --recursive --include "*20170429*" &amp; "%USERPROFILE%\Documents\GitHub\mrs-test-scripts\Headless Mode &amp; Sideloading\WalkAndUnGZ.bat" "%USERPROFILE%\AppData\Local\Temp\OnboardLogs"\RTDC4017\2017-04-29</v>
      </c>
      <c r="AF162" s="77" t="str">
        <f t="shared" si="62"/>
        <v>"C:\Program Files (x86)\AstroGrep\AstroGrep.exe" /e /r /s /spath="%USERPROFILE%\AppData\Local\Temp\OnboardLogs" /stypes="app*4017*20170428*" /stext=" 12:.+((SYSTEM_STATE.+slice.+state.+changed )|(ment ac)|(multiple cpu faults)|(system.+state.+changed )|(\[timeout)|(PRM\|1\|D)|(kpr)|(kdp)|(train.+moving)|(\|lc)|(penalty))"</v>
      </c>
      <c r="AG162" s="1" t="str">
        <f t="shared" si="63"/>
        <v>NW</v>
      </c>
      <c r="AH162" s="81" t="str">
        <f t="shared" si="64"/>
        <v>"%USERPROFILE%\Documents\GitHub\eaglep3\Utilities\RefineRTDCRunTimes.py" --tripid 802-28 --locoid 4017 --swversion DE.1.0.9.0 --startMP 300:58615 --initTime 2017-04-28T06:07:35 --startdatetime 2017-04-28T06:10:43 --delay 1 --endMP 204:678 --enddatetime 2017-04-28T06:26:16 --enforcementcount 0 &gt;&gt;C:\Users\stu\Documents\GitHub\eaglep3-reporting\EC\2017-04-28-refined-times.txt</v>
      </c>
      <c r="AI162" s="99" t="str">
        <f t="shared" si="65"/>
        <v>echo {"issue":{"subject":"","project_id":79,"tracker_id":40,"status_id":1,"priority_id":2,"assigned_to_id":23,"start_date":"2017-04-28","description":"","custom_fields":[{"id":1,"name":"Subdivision","value":"NW"},{"id":4,"name":"Milepost","value":"0.0678"},{"id":17,"name":"Train ID","value":"802-28"},{"id":16,"name":"Locomotive ID","value":"4017"},{"id":130,"name":"Impact","value":""},{"id":150,"name":"Time of Event (Mountain Time)","value":"06:26:16"},{"id":151,"name":"Denver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20"/>
      <c r="AK162" s="47"/>
      <c r="AL162" s="47"/>
      <c r="AM162" s="145" t="str">
        <f t="shared" si="66"/>
        <v>start /low /b %USERPROFILE%\Documents\GitHub\eaglep3\Utilities\DownloadLogsFromS3.py --loco 4017 --day 2017-04-28</v>
      </c>
      <c r="AN162" s="154" t="str">
        <f t="shared" si="67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12:26:16"},{"id":29,"name":"Sharepoint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3" spans="1:91" s="20" customFormat="1" x14ac:dyDescent="0.25">
      <c r="A163" s="32" t="s">
        <v>673</v>
      </c>
      <c r="B163" s="7">
        <v>4012</v>
      </c>
      <c r="C163" s="21" t="s">
        <v>211</v>
      </c>
      <c r="D163" s="21" t="s">
        <v>963</v>
      </c>
      <c r="E163" s="13">
        <v>42853.255115740743</v>
      </c>
      <c r="F163" s="13">
        <v>42853.264745370368</v>
      </c>
      <c r="G163" s="7">
        <v>1</v>
      </c>
      <c r="H163" s="21" t="s">
        <v>964</v>
      </c>
      <c r="I163" s="13">
        <v>42853.273819444446</v>
      </c>
      <c r="J163" s="7">
        <v>0</v>
      </c>
      <c r="K163" s="92" t="str">
        <f t="shared" si="52"/>
        <v>4011/4012</v>
      </c>
      <c r="L163" s="21" t="str">
        <f>VLOOKUP(A163,'Trips&amp;Operators'!$C$1:$G$99999,5,FALSE)</f>
        <v>BEAM ROSS</v>
      </c>
      <c r="M163" s="6">
        <f t="shared" si="53"/>
        <v>9.0740740779438056E-3</v>
      </c>
      <c r="N163" s="7">
        <f t="shared" si="50"/>
        <v>13.06666667223908</v>
      </c>
      <c r="O163" s="7"/>
      <c r="P163" s="7"/>
      <c r="Q163" s="22"/>
      <c r="R163" s="190"/>
      <c r="S163" s="196">
        <f t="shared" si="51"/>
        <v>1</v>
      </c>
      <c r="T163" s="190" t="str">
        <f t="shared" si="54"/>
        <v>NorthBound</v>
      </c>
      <c r="U163" s="190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1" t="str">
        <f t="shared" si="55"/>
        <v>https://d0f6bd738d7f1b3e5a7ca70fe4ff75f0.us-east-1.aws.found.io/app/kibana#/discover/Steve-Slow-Train-Analysis-(2080s-and-2083s)?_g=(refreshInterval:(display:Off,pause:!f,section:0,value:0),time:(from:'2017-04-28T05:07:22-0600',mode:absolute,to:'2017-04-28T07:34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63" s="192" t="str">
        <f t="shared" si="56"/>
        <v>N</v>
      </c>
      <c r="X163" s="192">
        <f t="shared" si="68"/>
        <v>1</v>
      </c>
      <c r="Y163" s="192">
        <f t="shared" si="57"/>
        <v>0.1009</v>
      </c>
      <c r="Z163" s="192">
        <f t="shared" si="58"/>
        <v>5.8949999999999996</v>
      </c>
      <c r="AA163" s="192">
        <f t="shared" si="59"/>
        <v>5.7940999999999994</v>
      </c>
      <c r="AB163" s="57" t="e">
        <f>VLOOKUP(A163,Enforcements!$C$7:$K$13,8,0)</f>
        <v>#N/A</v>
      </c>
      <c r="AC163" s="53" t="e">
        <f>VLOOKUP(A163,Enforcements!$C$7:$E$13,3,0)</f>
        <v>#N/A</v>
      </c>
      <c r="AD163" s="54" t="str">
        <f t="shared" si="60"/>
        <v>0803-28</v>
      </c>
      <c r="AE163" s="80" t="str">
        <f t="shared" si="61"/>
        <v>aws s3 cp s3://rtdc.mdm.uploadarchive.raw/RTDC4012/ "%USERPROFILE%\AppData\Local\Temp\OnboardLogs"\RTDC4012\2017-04-28 --exclude "*" --recursive --include "*20170428*" &amp; "%USERPROFILE%\Documents\GitHub\mrs-test-scripts\Headless Mode &amp; Sideloading\WalkAndUnGZ.bat" "%USERPROFILE%\AppData\Local\Temp\OnboardLogs"\RTDC4012\2017-04-28 &amp; aws s3 cp s3://rtdc.mdm.uploadarchive.raw/RTDC4012/ "%USERPROFILE%\AppData\Local\Temp\OnboardLogs"\RTDC4012\2017-04-29 --exclude "*" --recursive --include "*20170429*" &amp; "%USERPROFILE%\Documents\GitHub\mrs-test-scripts\Headless Mode &amp; Sideloading\WalkAndUnGZ.bat" "%USERPROFILE%\AppData\Local\Temp\OnboardLogs"\RTDC4012\2017-04-29</v>
      </c>
      <c r="AF163" s="77" t="str">
        <f t="shared" si="62"/>
        <v>"C:\Program Files (x86)\AstroGrep\AstroGrep.exe" /e /r /s /spath="%USERPROFILE%\AppData\Local\Temp\OnboardLogs" /stypes="app*4012*20170428*" /stext=" 12:.+((SYSTEM_STATE.+slice.+state.+changed )|(ment ac)|(multiple cpu faults)|(system.+state.+changed )|(\[timeout)|(PRM\|1\|D)|(kpr)|(kdp)|(train.+moving)|(\|lc)|(penalty))"</v>
      </c>
      <c r="AG163" s="1" t="str">
        <f t="shared" si="63"/>
        <v>NW</v>
      </c>
      <c r="AH163" s="81" t="str">
        <f t="shared" si="64"/>
        <v>"%USERPROFILE%\Documents\GitHub\eaglep3\Utilities\RefineRTDCRunTimes.py" --tripid 803-28 --locoid 4012 --swversion DE.1.0.9.0 --startMP 204:1009 --initTime 2017-04-28T06:07:22 --startdatetime 2017-04-28T06:21:14 --delay 1 --endMP 300:58950 --enddatetime 2017-04-28T06:34:18 --enforcementcount 0 &gt;&gt;C:\Users\stu\Documents\GitHub\eaglep3-reporting\EC\2017-04-28-refined-times.txt</v>
      </c>
      <c r="AI163" s="99" t="str">
        <f t="shared" si="65"/>
        <v>echo {"issue":{"subject":"","project_id":79,"tracker_id":40,"status_id":1,"priority_id":2,"assigned_to_id":23,"start_date":"2017-04-28","description":"","custom_fields":[{"id":1,"name":"Subdivision","value":"NW"},{"id":4,"name":"Milepost","value":"5.895"},{"id":17,"name":"Train ID","value":"803-28"},{"id":16,"name":"Locomotive ID","value":"4012"},{"id":130,"name":"Impact","value":""},{"id":150,"name":"Time of Event (Mountain Time)","value":"06:34:18"},{"id":151,"name":"Denver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3" s="47"/>
      <c r="AL163" s="47"/>
      <c r="AM163" s="145" t="str">
        <f t="shared" si="66"/>
        <v>start /low /b %USERPROFILE%\Documents\GitHub\eaglep3\Utilities\DownloadLogsFromS3.py --loco 4012 --day 2017-04-28</v>
      </c>
      <c r="AN163" s="154" t="str">
        <f t="shared" si="67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12:34:18"},{"id":29,"name":"Sharepoint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x14ac:dyDescent="0.25">
      <c r="A164" s="32" t="s">
        <v>679</v>
      </c>
      <c r="B164" s="7">
        <v>4011</v>
      </c>
      <c r="C164" s="21" t="s">
        <v>211</v>
      </c>
      <c r="D164" s="21" t="s">
        <v>965</v>
      </c>
      <c r="E164" s="13">
        <v>42853.274687500001</v>
      </c>
      <c r="F164" s="13">
        <v>42853.276006944441</v>
      </c>
      <c r="G164" s="7">
        <v>1</v>
      </c>
      <c r="H164" s="21" t="s">
        <v>966</v>
      </c>
      <c r="I164" s="13">
        <v>42853.288530092592</v>
      </c>
      <c r="J164" s="7">
        <v>0</v>
      </c>
      <c r="K164" s="92" t="str">
        <f t="shared" si="52"/>
        <v>4011/4012</v>
      </c>
      <c r="L164" s="21" t="str">
        <f>VLOOKUP(A164,'Trips&amp;Operators'!$C$1:$G$99999,5,FALSE)</f>
        <v>BEAM ROSS</v>
      </c>
      <c r="M164" s="6">
        <f t="shared" si="53"/>
        <v>1.2523148150648922E-2</v>
      </c>
      <c r="N164" s="7">
        <f t="shared" si="50"/>
        <v>18.033333336934447</v>
      </c>
      <c r="O164" s="7"/>
      <c r="P164" s="7"/>
      <c r="Q164" s="22"/>
      <c r="R164" s="190"/>
      <c r="S164" s="196">
        <f t="shared" si="51"/>
        <v>1</v>
      </c>
      <c r="T164" s="190" t="str">
        <f t="shared" si="54"/>
        <v>Southbound</v>
      </c>
      <c r="U164" s="190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1" t="str">
        <f t="shared" si="55"/>
        <v>https://d0f6bd738d7f1b3e5a7ca70fe4ff75f0.us-east-1.aws.found.io/app/kibana#/discover/Steve-Slow-Train-Analysis-(2080s-and-2083s)?_g=(refreshInterval:(display:Off,pause:!f,section:0,value:0),time:(from:'2017-04-28T05:35:33-0600',mode:absolute,to:'2017-04-28T07:55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64" s="192" t="str">
        <f t="shared" si="56"/>
        <v>N</v>
      </c>
      <c r="X164" s="192">
        <f t="shared" si="68"/>
        <v>1</v>
      </c>
      <c r="Y164" s="192">
        <f t="shared" si="57"/>
        <v>5.8630000000000004</v>
      </c>
      <c r="Z164" s="192">
        <f t="shared" si="58"/>
        <v>7.0800000000000002E-2</v>
      </c>
      <c r="AA164" s="192">
        <f t="shared" si="59"/>
        <v>5.7922000000000002</v>
      </c>
      <c r="AB164" s="57" t="e">
        <f>VLOOKUP(A164,Enforcements!$C$7:$K$13,8,0)</f>
        <v>#N/A</v>
      </c>
      <c r="AC164" s="53" t="e">
        <f>VLOOKUP(A164,Enforcements!$C$7:$E$13,3,0)</f>
        <v>#N/A</v>
      </c>
      <c r="AD164" s="54" t="str">
        <f t="shared" si="60"/>
        <v>0804-28</v>
      </c>
      <c r="AE164" s="80" t="str">
        <f t="shared" si="61"/>
        <v>aws s3 cp s3://rtdc.mdm.uploadarchive.raw/RTDC4011/ "%USERPROFILE%\AppData\Local\Temp\OnboardLogs"\RTDC4011\2017-04-28 --exclude "*" --recursive --include "*20170428*" &amp; "%USERPROFILE%\Documents\GitHub\mrs-test-scripts\Headless Mode &amp; Sideloading\WalkAndUnGZ.bat" "%USERPROFILE%\AppData\Local\Temp\OnboardLogs"\RTDC4011\2017-04-28 &amp; aws s3 cp s3://rtdc.mdm.uploadarchive.raw/RTDC4011/ "%USERPROFILE%\AppData\Local\Temp\OnboardLogs"\RTDC4011\2017-04-29 --exclude "*" --recursive --include "*20170429*" &amp; "%USERPROFILE%\Documents\GitHub\mrs-test-scripts\Headless Mode &amp; Sideloading\WalkAndUnGZ.bat" "%USERPROFILE%\AppData\Local\Temp\OnboardLogs"\RTDC4011\2017-04-29</v>
      </c>
      <c r="AF164" s="77" t="str">
        <f t="shared" si="62"/>
        <v>"C:\Program Files (x86)\AstroGrep\AstroGrep.exe" /e /r /s /spath="%USERPROFILE%\AppData\Local\Temp\OnboardLogs" /stypes="app*4011*20170428*" /stext=" 12:.+((SYSTEM_STATE.+slice.+state.+changed )|(ment ac)|(multiple cpu faults)|(system.+state.+changed )|(\[timeout)|(PRM\|1\|D)|(kpr)|(kdp)|(train.+moving)|(\|lc)|(penalty))"</v>
      </c>
      <c r="AG164" s="1" t="str">
        <f t="shared" si="63"/>
        <v>NW</v>
      </c>
      <c r="AH164" s="81" t="str">
        <f t="shared" si="64"/>
        <v>"%USERPROFILE%\Documents\GitHub\eaglep3\Utilities\RefineRTDCRunTimes.py" --tripid 804-28 --locoid 4011 --swversion DE.1.0.9.0 --startMP 300:58630 --initTime 2017-04-28T06:35:33 --startdatetime 2017-04-28T06:37:27 --delay 1 --endMP 204:708 --enddatetime 2017-04-28T06:55:29 --enforcementcount 0 &gt;&gt;C:\Users\stu\Documents\GitHub\eaglep3-reporting\EC\2017-04-28-refined-times.txt</v>
      </c>
      <c r="AI164" s="99" t="str">
        <f t="shared" si="65"/>
        <v>echo {"issue":{"subject":"","project_id":79,"tracker_id":40,"status_id":1,"priority_id":2,"assigned_to_id":23,"start_date":"2017-04-28","description":"","custom_fields":[{"id":1,"name":"Subdivision","value":"NW"},{"id":4,"name":"Milepost","value":"0.0708"},{"id":17,"name":"Train ID","value":"804-28"},{"id":16,"name":"Locomotive ID","value":"4011"},{"id":130,"name":"Impact","value":""},{"id":150,"name":"Time of Event (Mountain Time)","value":"06:55:29"},{"id":151,"name":"Denver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20"/>
      <c r="AK164" s="47"/>
      <c r="AL164" s="47"/>
      <c r="AM164" s="145" t="str">
        <f t="shared" si="66"/>
        <v>start /low /b %USERPROFILE%\Documents\GitHub\eaglep3\Utilities\DownloadLogsFromS3.py --loco 4011 --day 2017-04-28</v>
      </c>
      <c r="AN164" s="154" t="str">
        <f t="shared" si="67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12:55:29"},{"id":29,"name":"Sharepoint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5" spans="1:91" s="20" customFormat="1" x14ac:dyDescent="0.25">
      <c r="A165" s="32" t="s">
        <v>677</v>
      </c>
      <c r="B165" s="7">
        <v>4018</v>
      </c>
      <c r="C165" s="21" t="s">
        <v>211</v>
      </c>
      <c r="D165" s="21" t="s">
        <v>524</v>
      </c>
      <c r="E165" s="13">
        <v>42853.270185185182</v>
      </c>
      <c r="F165" s="13">
        <v>42853.285775462966</v>
      </c>
      <c r="G165" s="7">
        <v>1</v>
      </c>
      <c r="H165" s="21" t="s">
        <v>967</v>
      </c>
      <c r="I165" s="13">
        <v>42853.295671296299</v>
      </c>
      <c r="J165" s="7">
        <v>0</v>
      </c>
      <c r="K165" s="92" t="str">
        <f t="shared" si="52"/>
        <v>4017/4018</v>
      </c>
      <c r="L165" s="21" t="str">
        <f>VLOOKUP(A165,'Trips&amp;Operators'!$C$1:$G$99999,5,FALSE)</f>
        <v>ZEWDU DEREJE</v>
      </c>
      <c r="M165" s="6">
        <f t="shared" si="53"/>
        <v>9.8958333328482695E-3</v>
      </c>
      <c r="N165" s="7">
        <f t="shared" si="50"/>
        <v>14.249999999301508</v>
      </c>
      <c r="O165" s="7"/>
      <c r="P165" s="7"/>
      <c r="Q165" s="22"/>
      <c r="R165" s="190"/>
      <c r="S165" s="196">
        <f t="shared" si="51"/>
        <v>1</v>
      </c>
      <c r="T165" s="190" t="str">
        <f t="shared" si="54"/>
        <v>NorthBound</v>
      </c>
      <c r="U165" s="190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1" t="str">
        <f t="shared" si="55"/>
        <v>https://d0f6bd738d7f1b3e5a7ca70fe4ff75f0.us-east-1.aws.found.io/app/kibana#/discover/Steve-Slow-Train-Analysis-(2080s-and-2083s)?_g=(refreshInterval:(display:Off,pause:!f,section:0,value:0),time:(from:'2017-04-28T05:29:04-0600',mode:absolute,to:'2017-04-28T08:05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65" s="192" t="str">
        <f t="shared" si="56"/>
        <v>N</v>
      </c>
      <c r="X165" s="192">
        <f t="shared" si="68"/>
        <v>1</v>
      </c>
      <c r="Y165" s="192">
        <f t="shared" si="57"/>
        <v>9.7199999999999995E-2</v>
      </c>
      <c r="Z165" s="192">
        <f t="shared" si="58"/>
        <v>5.899</v>
      </c>
      <c r="AA165" s="192">
        <f t="shared" si="59"/>
        <v>5.8018000000000001</v>
      </c>
      <c r="AB165" s="57" t="e">
        <f>VLOOKUP(A165,Enforcements!$C$7:$K$13,8,0)</f>
        <v>#N/A</v>
      </c>
      <c r="AC165" s="53" t="e">
        <f>VLOOKUP(A165,Enforcements!$C$7:$E$13,3,0)</f>
        <v>#N/A</v>
      </c>
      <c r="AD165" s="54" t="str">
        <f t="shared" si="60"/>
        <v>0805-28</v>
      </c>
      <c r="AE165" s="80" t="str">
        <f t="shared" si="61"/>
        <v>aws s3 cp s3://rtdc.mdm.uploadarchive.raw/RTDC4018/ "%USERPROFILE%\AppData\Local\Temp\OnboardLogs"\RTDC4018\2017-04-28 --exclude "*" --recursive --include "*20170428*" &amp; "%USERPROFILE%\Documents\GitHub\mrs-test-scripts\Headless Mode &amp; Sideloading\WalkAndUnGZ.bat" "%USERPROFILE%\AppData\Local\Temp\OnboardLogs"\RTDC4018\2017-04-28 &amp; aws s3 cp s3://rtdc.mdm.uploadarchive.raw/RTDC4018/ "%USERPROFILE%\AppData\Local\Temp\OnboardLogs"\RTDC4018\2017-04-29 --exclude "*" --recursive --include "*20170429*" &amp; "%USERPROFILE%\Documents\GitHub\mrs-test-scripts\Headless Mode &amp; Sideloading\WalkAndUnGZ.bat" "%USERPROFILE%\AppData\Local\Temp\OnboardLogs"\RTDC4018\2017-04-29</v>
      </c>
      <c r="AF165" s="77" t="str">
        <f t="shared" si="62"/>
        <v>"C:\Program Files (x86)\AstroGrep\AstroGrep.exe" /e /r /s /spath="%USERPROFILE%\AppData\Local\Temp\OnboardLogs" /stypes="app*4018*20170428*" /stext=" 13:.+((SYSTEM_STATE.+slice.+state.+changed )|(ment ac)|(multiple cpu faults)|(system.+state.+changed )|(\[timeout)|(PRM\|1\|D)|(kpr)|(kdp)|(train.+moving)|(\|lc)|(penalty))"</v>
      </c>
      <c r="AG165" s="1" t="str">
        <f t="shared" si="63"/>
        <v>NW</v>
      </c>
      <c r="AH165" s="81" t="str">
        <f t="shared" si="64"/>
        <v>"%USERPROFILE%\Documents\GitHub\eaglep3\Utilities\RefineRTDCRunTimes.py" --tripid 805-28 --locoid 4018 --swversion DE.1.0.9.0 --startMP 204:972 --initTime 2017-04-28T06:29:04 --startdatetime 2017-04-28T06:51:31 --delay 1 --endMP 300:58990 --enddatetime 2017-04-28T07:05:46 --enforcementcount 0 &gt;&gt;C:\Users\stu\Documents\GitHub\eaglep3-reporting\EC\2017-04-28-refined-times.txt</v>
      </c>
      <c r="AI165" s="99" t="str">
        <f t="shared" si="65"/>
        <v>echo {"issue":{"subject":"","project_id":79,"tracker_id":40,"status_id":1,"priority_id":2,"assigned_to_id":23,"start_date":"2017-04-28","description":"","custom_fields":[{"id":1,"name":"Subdivision","value":"NW"},{"id":4,"name":"Milepost","value":"5.899"},{"id":17,"name":"Train ID","value":"805-28"},{"id":16,"name":"Locomotive ID","value":"4018"},{"id":130,"name":"Impact","value":""},{"id":150,"name":"Time of Event (Mountain Time)","value":"07:05:46"},{"id":151,"name":"Denver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5" s="47"/>
      <c r="AL165" s="47"/>
      <c r="AM165" s="145" t="str">
        <f t="shared" si="66"/>
        <v>start /low /b %USERPROFILE%\Documents\GitHub\eaglep3\Utilities\DownloadLogsFromS3.py --loco 4018 --day 2017-04-28</v>
      </c>
      <c r="AN165" s="154" t="str">
        <f t="shared" si="67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13:05:46"},{"id":29,"name":"Sharepoint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32" t="s">
        <v>683</v>
      </c>
      <c r="B166" s="7">
        <v>4017</v>
      </c>
      <c r="C166" s="21" t="s">
        <v>211</v>
      </c>
      <c r="D166" s="21" t="s">
        <v>968</v>
      </c>
      <c r="E166" s="13">
        <v>42853.297037037039</v>
      </c>
      <c r="F166" s="13">
        <v>42853.299421296295</v>
      </c>
      <c r="G166" s="7">
        <v>1</v>
      </c>
      <c r="H166" s="21" t="s">
        <v>969</v>
      </c>
      <c r="I166" s="13">
        <v>42853.309618055559</v>
      </c>
      <c r="J166" s="7">
        <v>0</v>
      </c>
      <c r="K166" s="92" t="str">
        <f t="shared" si="52"/>
        <v>4017/4018</v>
      </c>
      <c r="L166" s="21" t="str">
        <f>VLOOKUP(A166,'Trips&amp;Operators'!$C$1:$G$99999,5,FALSE)</f>
        <v>ZEWDU DEREJE</v>
      </c>
      <c r="M166" s="6">
        <f t="shared" si="53"/>
        <v>1.0196759263635613E-2</v>
      </c>
      <c r="N166" s="7">
        <f t="shared" si="50"/>
        <v>14.683333339635283</v>
      </c>
      <c r="O166" s="7"/>
      <c r="P166" s="7"/>
      <c r="Q166" s="22"/>
      <c r="R166" s="190"/>
      <c r="S166" s="196">
        <f t="shared" si="51"/>
        <v>1</v>
      </c>
      <c r="T166" s="190" t="str">
        <f t="shared" si="54"/>
        <v>Southbound</v>
      </c>
      <c r="U166" s="190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1" t="str">
        <f t="shared" si="55"/>
        <v>https://d0f6bd738d7f1b3e5a7ca70fe4ff75f0.us-east-1.aws.found.io/app/kibana#/discover/Steve-Slow-Train-Analysis-(2080s-and-2083s)?_g=(refreshInterval:(display:Off,pause:!f,section:0,value:0),time:(from:'2017-04-28T06:07:44-0600',mode:absolute,to:'2017-04-28T08:25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66" s="192" t="str">
        <f t="shared" si="56"/>
        <v>N</v>
      </c>
      <c r="X166" s="192">
        <f t="shared" si="68"/>
        <v>1</v>
      </c>
      <c r="Y166" s="192">
        <f t="shared" si="57"/>
        <v>5.8667999999999996</v>
      </c>
      <c r="Z166" s="192">
        <f t="shared" si="58"/>
        <v>7.0099999999999996E-2</v>
      </c>
      <c r="AA166" s="192">
        <f t="shared" si="59"/>
        <v>5.7966999999999995</v>
      </c>
      <c r="AB166" s="57" t="e">
        <f>VLOOKUP(A166,Enforcements!$C$7:$K$13,8,0)</f>
        <v>#N/A</v>
      </c>
      <c r="AC166" s="53" t="e">
        <f>VLOOKUP(A166,Enforcements!$C$7:$E$13,3,0)</f>
        <v>#N/A</v>
      </c>
      <c r="AD166" s="54" t="str">
        <f t="shared" si="60"/>
        <v>0806-28</v>
      </c>
      <c r="AE166" s="80" t="str">
        <f t="shared" si="61"/>
        <v>aws s3 cp s3://rtdc.mdm.uploadarchive.raw/RTDC4017/ "%USERPROFILE%\AppData\Local\Temp\OnboardLogs"\RTDC4017\2017-04-28 --exclude "*" --recursive --include "*20170428*" &amp; "%USERPROFILE%\Documents\GitHub\mrs-test-scripts\Headless Mode &amp; Sideloading\WalkAndUnGZ.bat" "%USERPROFILE%\AppData\Local\Temp\OnboardLogs"\RTDC4017\2017-04-28 &amp; aws s3 cp s3://rtdc.mdm.uploadarchive.raw/RTDC4017/ "%USERPROFILE%\AppData\Local\Temp\OnboardLogs"\RTDC4017\2017-04-29 --exclude "*" --recursive --include "*20170429*" &amp; "%USERPROFILE%\Documents\GitHub\mrs-test-scripts\Headless Mode &amp; Sideloading\WalkAndUnGZ.bat" "%USERPROFILE%\AppData\Local\Temp\OnboardLogs"\RTDC4017\2017-04-29</v>
      </c>
      <c r="AF166" s="77" t="str">
        <f t="shared" si="62"/>
        <v>"C:\Program Files (x86)\AstroGrep\AstroGrep.exe" /e /r /s /spath="%USERPROFILE%\AppData\Local\Temp\OnboardLogs" /stypes="app*4017*20170428*" /stext=" 13:.+((SYSTEM_STATE.+slice.+state.+changed )|(ment ac)|(multiple cpu faults)|(system.+state.+changed )|(\[timeout)|(PRM\|1\|D)|(kpr)|(kdp)|(train.+moving)|(\|lc)|(penalty))"</v>
      </c>
      <c r="AG166" s="1" t="str">
        <f t="shared" si="63"/>
        <v>NW</v>
      </c>
      <c r="AH166" s="81" t="str">
        <f t="shared" si="64"/>
        <v>"%USERPROFILE%\Documents\GitHub\eaglep3\Utilities\RefineRTDCRunTimes.py" --tripid 806-28 --locoid 4017 --swversion DE.1.0.9.0 --startMP 300:58668 --initTime 2017-04-28T07:07:44 --startdatetime 2017-04-28T07:11:10 --delay 1 --endMP 204:701 --enddatetime 2017-04-28T07:25:51 --enforcementcount 0 &gt;&gt;C:\Users\stu\Documents\GitHub\eaglep3-reporting\EC\2017-04-28-refined-times.txt</v>
      </c>
      <c r="AI166" s="99" t="str">
        <f t="shared" si="65"/>
        <v>echo {"issue":{"subject":"","project_id":79,"tracker_id":40,"status_id":1,"priority_id":2,"assigned_to_id":23,"start_date":"2017-04-28","description":"","custom_fields":[{"id":1,"name":"Subdivision","value":"NW"},{"id":4,"name":"Milepost","value":"0.0701"},{"id":17,"name":"Train ID","value":"806-28"},{"id":16,"name":"Locomotive ID","value":"4017"},{"id":130,"name":"Impact","value":""},{"id":150,"name":"Time of Event (Mountain Time)","value":"07:25:51"},{"id":151,"name":"Denver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6" s="47"/>
      <c r="AL166" s="47"/>
      <c r="AM166" s="145" t="str">
        <f t="shared" si="66"/>
        <v>start /low /b %USERPROFILE%\Documents\GitHub\eaglep3\Utilities\DownloadLogsFromS3.py --loco 4017 --day 2017-04-28</v>
      </c>
      <c r="AN166" s="154" t="str">
        <f t="shared" si="67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13:25:51"},{"id":29,"name":"Sharepoint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x14ac:dyDescent="0.25">
      <c r="A167" s="32" t="s">
        <v>684</v>
      </c>
      <c r="B167" s="7">
        <v>4012</v>
      </c>
      <c r="C167" s="21" t="s">
        <v>211</v>
      </c>
      <c r="D167" s="21" t="s">
        <v>970</v>
      </c>
      <c r="E167" s="13">
        <v>42853.297465277778</v>
      </c>
      <c r="F167" s="13">
        <v>42853.30641203704</v>
      </c>
      <c r="G167" s="7">
        <v>1</v>
      </c>
      <c r="H167" s="21" t="s">
        <v>971</v>
      </c>
      <c r="I167" s="13">
        <v>42853.315034722225</v>
      </c>
      <c r="J167" s="7">
        <v>0</v>
      </c>
      <c r="K167" s="92" t="str">
        <f t="shared" si="52"/>
        <v>4011/4012</v>
      </c>
      <c r="L167" s="21" t="str">
        <f>VLOOKUP(A167,'Trips&amp;Operators'!$C$1:$G$99999,5,FALSE)</f>
        <v>YANAI IAN</v>
      </c>
      <c r="M167" s="6">
        <f t="shared" si="53"/>
        <v>8.6226851854007691E-3</v>
      </c>
      <c r="N167" s="7">
        <f t="shared" si="50"/>
        <v>12.416666666977108</v>
      </c>
      <c r="O167" s="7"/>
      <c r="P167" s="7"/>
      <c r="Q167" s="22"/>
      <c r="R167" s="190"/>
      <c r="S167" s="196">
        <f t="shared" si="51"/>
        <v>1</v>
      </c>
      <c r="T167" s="190" t="str">
        <f t="shared" si="54"/>
        <v>NorthBound</v>
      </c>
      <c r="U167" s="190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1" t="str">
        <f t="shared" si="55"/>
        <v>https://d0f6bd738d7f1b3e5a7ca70fe4ff75f0.us-east-1.aws.found.io/app/kibana#/discover/Steve-Slow-Train-Analysis-(2080s-and-2083s)?_g=(refreshInterval:(display:Off,pause:!f,section:0,value:0),time:(from:'2017-04-28T06:08:21-0600',mode:absolute,to:'2017-04-28T08:33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67" s="192" t="str">
        <f t="shared" si="56"/>
        <v>N</v>
      </c>
      <c r="X167" s="192">
        <f t="shared" si="68"/>
        <v>1</v>
      </c>
      <c r="Y167" s="192">
        <f t="shared" si="57"/>
        <v>0.1004</v>
      </c>
      <c r="Z167" s="192">
        <f t="shared" si="58"/>
        <v>5.8935000000000004</v>
      </c>
      <c r="AA167" s="192">
        <f t="shared" si="59"/>
        <v>5.7931000000000008</v>
      </c>
      <c r="AB167" s="57" t="e">
        <f>VLOOKUP(A167,Enforcements!$C$7:$K$13,8,0)</f>
        <v>#N/A</v>
      </c>
      <c r="AC167" s="53" t="e">
        <f>VLOOKUP(A167,Enforcements!$C$7:$E$13,3,0)</f>
        <v>#N/A</v>
      </c>
      <c r="AD167" s="54" t="str">
        <f t="shared" si="60"/>
        <v>0807-28</v>
      </c>
      <c r="AE167" s="80" t="str">
        <f t="shared" si="61"/>
        <v>aws s3 cp s3://rtdc.mdm.uploadarchive.raw/RTDC4012/ "%USERPROFILE%\AppData\Local\Temp\OnboardLogs"\RTDC4012\2017-04-28 --exclude "*" --recursive --include "*20170428*" &amp; "%USERPROFILE%\Documents\GitHub\mrs-test-scripts\Headless Mode &amp; Sideloading\WalkAndUnGZ.bat" "%USERPROFILE%\AppData\Local\Temp\OnboardLogs"\RTDC4012\2017-04-28 &amp; aws s3 cp s3://rtdc.mdm.uploadarchive.raw/RTDC4012/ "%USERPROFILE%\AppData\Local\Temp\OnboardLogs"\RTDC4012\2017-04-29 --exclude "*" --recursive --include "*20170429*" &amp; "%USERPROFILE%\Documents\GitHub\mrs-test-scripts\Headless Mode &amp; Sideloading\WalkAndUnGZ.bat" "%USERPROFILE%\AppData\Local\Temp\OnboardLogs"\RTDC4012\2017-04-29</v>
      </c>
      <c r="AF167" s="77" t="str">
        <f t="shared" si="62"/>
        <v>"C:\Program Files (x86)\AstroGrep\AstroGrep.exe" /e /r /s /spath="%USERPROFILE%\AppData\Local\Temp\OnboardLogs" /stypes="app*4012*20170428*" /stext=" 13:.+((SYSTEM_STATE.+slice.+state.+changed )|(ment ac)|(multiple cpu faults)|(system.+state.+changed )|(\[timeout)|(PRM\|1\|D)|(kpr)|(kdp)|(train.+moving)|(\|lc)|(penalty))"</v>
      </c>
      <c r="AG167" s="1" t="str">
        <f t="shared" si="63"/>
        <v>NW</v>
      </c>
      <c r="AH167" s="81" t="str">
        <f t="shared" si="64"/>
        <v>"%USERPROFILE%\Documents\GitHub\eaglep3\Utilities\RefineRTDCRunTimes.py" --tripid 807-28 --locoid 4012 --swversion DE.1.0.9.0 --startMP 204:1004 --initTime 2017-04-28T07:08:21 --startdatetime 2017-04-28T07:21:14 --delay 1 --endMP 300:58935 --enddatetime 2017-04-28T07:33:39 --enforcementcount 0 &gt;&gt;C:\Users\stu\Documents\GitHub\eaglep3-reporting\EC\2017-04-28-refined-times.txt</v>
      </c>
      <c r="AI167" s="99" t="str">
        <f t="shared" si="65"/>
        <v>echo {"issue":{"subject":"","project_id":79,"tracker_id":40,"status_id":1,"priority_id":2,"assigned_to_id":23,"start_date":"2017-04-28","description":"","custom_fields":[{"id":1,"name":"Subdivision","value":"NW"},{"id":4,"name":"Milepost","value":"5.8935"},{"id":17,"name":"Train ID","value":"807-28"},{"id":16,"name":"Locomotive ID","value":"4012"},{"id":130,"name":"Impact","value":""},{"id":150,"name":"Time of Event (Mountain Time)","value":"07:33:39"},{"id":151,"name":"Denver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20"/>
      <c r="AK167" s="47"/>
      <c r="AL167" s="47"/>
      <c r="AM167" s="145" t="str">
        <f t="shared" si="66"/>
        <v>start /low /b %USERPROFILE%\Documents\GitHub\eaglep3\Utilities\DownloadLogsFromS3.py --loco 4012 --day 2017-04-28</v>
      </c>
      <c r="AN167" s="154" t="str">
        <f t="shared" si="67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13:33:39"},{"id":29,"name":"Sharepoint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8" spans="1:91" s="20" customFormat="1" x14ac:dyDescent="0.25">
      <c r="A168" s="32" t="s">
        <v>691</v>
      </c>
      <c r="B168" s="7">
        <v>4011</v>
      </c>
      <c r="C168" s="21" t="s">
        <v>211</v>
      </c>
      <c r="D168" s="21" t="s">
        <v>972</v>
      </c>
      <c r="E168" s="13">
        <v>42853.316354166665</v>
      </c>
      <c r="F168" s="13">
        <v>42853.317731481482</v>
      </c>
      <c r="G168" s="7">
        <v>1</v>
      </c>
      <c r="H168" s="21" t="s">
        <v>973</v>
      </c>
      <c r="I168" s="13">
        <v>42853.330682870372</v>
      </c>
      <c r="J168" s="7">
        <v>0</v>
      </c>
      <c r="K168" s="92" t="str">
        <f t="shared" si="52"/>
        <v>4011/4012</v>
      </c>
      <c r="L168" s="21" t="str">
        <f>VLOOKUP(A168,'Trips&amp;Operators'!$C$1:$G$99999,5,FALSE)</f>
        <v>YANAI IAN</v>
      </c>
      <c r="M168" s="6">
        <f t="shared" si="53"/>
        <v>1.2951388889632653E-2</v>
      </c>
      <c r="N168" s="7">
        <f t="shared" ref="N168:N199" si="69">24*60*SUM($M168:$M168)</f>
        <v>18.650000001071021</v>
      </c>
      <c r="O168" s="7"/>
      <c r="P168" s="7"/>
      <c r="Q168" s="22"/>
      <c r="R168" s="190"/>
      <c r="S168" s="196">
        <f t="shared" ref="S168:S199" si="70">SUM(U168:U168)/IF(AG168="EC",12,1)</f>
        <v>1</v>
      </c>
      <c r="T168" s="190" t="str">
        <f t="shared" si="54"/>
        <v>Southbound</v>
      </c>
      <c r="U168" s="190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1" t="str">
        <f t="shared" si="55"/>
        <v>https://d0f6bd738d7f1b3e5a7ca70fe4ff75f0.us-east-1.aws.found.io/app/kibana#/discover/Steve-Slow-Train-Analysis-(2080s-and-2083s)?_g=(refreshInterval:(display:Off,pause:!f,section:0,value:0),time:(from:'2017-04-28T06:35:33-0600',mode:absolute,to:'2017-04-28T08:56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68" s="192" t="str">
        <f t="shared" si="56"/>
        <v>N</v>
      </c>
      <c r="X168" s="192">
        <f t="shared" si="68"/>
        <v>1</v>
      </c>
      <c r="Y168" s="192">
        <f t="shared" si="57"/>
        <v>5.8616999999999999</v>
      </c>
      <c r="Z168" s="192">
        <f t="shared" si="58"/>
        <v>6.7100000000000007E-2</v>
      </c>
      <c r="AA168" s="192">
        <f t="shared" si="59"/>
        <v>5.7946</v>
      </c>
      <c r="AB168" s="57" t="e">
        <f>VLOOKUP(A168,Enforcements!$C$7:$K$13,8,0)</f>
        <v>#N/A</v>
      </c>
      <c r="AC168" s="53" t="e">
        <f>VLOOKUP(A168,Enforcements!$C$7:$E$13,3,0)</f>
        <v>#N/A</v>
      </c>
      <c r="AD168" s="54" t="str">
        <f t="shared" si="60"/>
        <v>0808-28</v>
      </c>
      <c r="AE168" s="80" t="str">
        <f t="shared" si="61"/>
        <v>aws s3 cp s3://rtdc.mdm.uploadarchive.raw/RTDC4011/ "%USERPROFILE%\AppData\Local\Temp\OnboardLogs"\RTDC4011\2017-04-28 --exclude "*" --recursive --include "*20170428*" &amp; "%USERPROFILE%\Documents\GitHub\mrs-test-scripts\Headless Mode &amp; Sideloading\WalkAndUnGZ.bat" "%USERPROFILE%\AppData\Local\Temp\OnboardLogs"\RTDC4011\2017-04-28 &amp; aws s3 cp s3://rtdc.mdm.uploadarchive.raw/RTDC4011/ "%USERPROFILE%\AppData\Local\Temp\OnboardLogs"\RTDC4011\2017-04-29 --exclude "*" --recursive --include "*20170429*" &amp; "%USERPROFILE%\Documents\GitHub\mrs-test-scripts\Headless Mode &amp; Sideloading\WalkAndUnGZ.bat" "%USERPROFILE%\AppData\Local\Temp\OnboardLogs"\RTDC4011\2017-04-29</v>
      </c>
      <c r="AF168" s="77" t="str">
        <f t="shared" si="62"/>
        <v>"C:\Program Files (x86)\AstroGrep\AstroGrep.exe" /e /r /s /spath="%USERPROFILE%\AppData\Local\Temp\OnboardLogs" /stypes="app*4011*20170428*" /stext=" 13:.+((SYSTEM_STATE.+slice.+state.+changed )|(ment ac)|(multiple cpu faults)|(system.+state.+changed )|(\[timeout)|(PRM\|1\|D)|(kpr)|(kdp)|(train.+moving)|(\|lc)|(penalty))"</v>
      </c>
      <c r="AG168" s="1" t="str">
        <f t="shared" si="63"/>
        <v>NW</v>
      </c>
      <c r="AH168" s="81" t="str">
        <f t="shared" si="64"/>
        <v>"%USERPROFILE%\Documents\GitHub\eaglep3\Utilities\RefineRTDCRunTimes.py" --tripid 808-28 --locoid 4011 --swversion DE.1.0.9.0 --startMP 300:58617 --initTime 2017-04-28T07:35:33 --startdatetime 2017-04-28T07:37:32 --delay 1 --endMP 204:671 --enddatetime 2017-04-28T07:56:11 --enforcementcount 0 &gt;&gt;C:\Users\stu\Documents\GitHub\eaglep3-reporting\EC\2017-04-28-refined-times.txt</v>
      </c>
      <c r="AI168" s="99" t="str">
        <f t="shared" si="65"/>
        <v>echo {"issue":{"subject":"","project_id":79,"tracker_id":40,"status_id":1,"priority_id":2,"assigned_to_id":23,"start_date":"2017-04-28","description":"","custom_fields":[{"id":1,"name":"Subdivision","value":"NW"},{"id":4,"name":"Milepost","value":"0.0671"},{"id":17,"name":"Train ID","value":"808-28"},{"id":16,"name":"Locomotive ID","value":"4011"},{"id":130,"name":"Impact","value":""},{"id":150,"name":"Time of Event (Mountain Time)","value":"07:56:11"},{"id":151,"name":"Denver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8" s="47"/>
      <c r="AL168" s="47"/>
      <c r="AM168" s="145" t="str">
        <f t="shared" si="66"/>
        <v>start /low /b %USERPROFILE%\Documents\GitHub\eaglep3\Utilities\DownloadLogsFromS3.py --loco 4011 --day 2017-04-28</v>
      </c>
      <c r="AN168" s="154" t="str">
        <f t="shared" si="67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13:56:11"},{"id":29,"name":"Sharepoint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x14ac:dyDescent="0.25">
      <c r="A169" s="32" t="s">
        <v>690</v>
      </c>
      <c r="B169" s="7">
        <v>4018</v>
      </c>
      <c r="C169" s="21" t="s">
        <v>211</v>
      </c>
      <c r="D169" s="21" t="s">
        <v>974</v>
      </c>
      <c r="E169" s="13">
        <v>42853.311736111114</v>
      </c>
      <c r="F169" s="13">
        <v>42853.327986111108</v>
      </c>
      <c r="G169" s="7">
        <v>1</v>
      </c>
      <c r="H169" s="21" t="s">
        <v>975</v>
      </c>
      <c r="I169" s="13">
        <v>42853.337604166663</v>
      </c>
      <c r="J169" s="7">
        <v>0</v>
      </c>
      <c r="K169" s="92" t="str">
        <f t="shared" si="52"/>
        <v>4017/4018</v>
      </c>
      <c r="L169" s="21" t="str">
        <f>VLOOKUP(A169,'Trips&amp;Operators'!$C$1:$G$99999,5,FALSE)</f>
        <v>ZEWDU DEREJE</v>
      </c>
      <c r="M169" s="6">
        <f t="shared" si="53"/>
        <v>9.6180555556202307E-3</v>
      </c>
      <c r="N169" s="7">
        <f t="shared" si="69"/>
        <v>13.850000000093132</v>
      </c>
      <c r="O169" s="7"/>
      <c r="P169" s="7"/>
      <c r="Q169" s="22"/>
      <c r="R169" s="190"/>
      <c r="S169" s="196">
        <f t="shared" si="70"/>
        <v>1</v>
      </c>
      <c r="T169" s="190" t="str">
        <f t="shared" si="54"/>
        <v>NorthBound</v>
      </c>
      <c r="U169" s="190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1" t="str">
        <f t="shared" si="55"/>
        <v>https://d0f6bd738d7f1b3e5a7ca70fe4ff75f0.us-east-1.aws.found.io/app/kibana#/discover/Steve-Slow-Train-Analysis-(2080s-and-2083s)?_g=(refreshInterval:(display:Off,pause:!f,section:0,value:0),time:(from:'2017-04-28T06:28:54-0600',mode:absolute,to:'2017-04-28T09:06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69" s="192" t="str">
        <f t="shared" si="56"/>
        <v>N</v>
      </c>
      <c r="X169" s="192">
        <f t="shared" si="68"/>
        <v>1</v>
      </c>
      <c r="Y169" s="192">
        <f t="shared" si="57"/>
        <v>9.9199999999999997E-2</v>
      </c>
      <c r="Z169" s="192">
        <f t="shared" si="58"/>
        <v>5.8982000000000001</v>
      </c>
      <c r="AA169" s="192">
        <f t="shared" si="59"/>
        <v>5.7990000000000004</v>
      </c>
      <c r="AB169" s="57" t="e">
        <f>VLOOKUP(A169,Enforcements!$C$7:$K$13,8,0)</f>
        <v>#N/A</v>
      </c>
      <c r="AC169" s="53" t="e">
        <f>VLOOKUP(A169,Enforcements!$C$7:$E$13,3,0)</f>
        <v>#N/A</v>
      </c>
      <c r="AD169" s="54" t="str">
        <f t="shared" si="60"/>
        <v>0809-28</v>
      </c>
      <c r="AE169" s="80" t="str">
        <f t="shared" si="61"/>
        <v>aws s3 cp s3://rtdc.mdm.uploadarchive.raw/RTDC4018/ "%USERPROFILE%\AppData\Local\Temp\OnboardLogs"\RTDC4018\2017-04-28 --exclude "*" --recursive --include "*20170428*" &amp; "%USERPROFILE%\Documents\GitHub\mrs-test-scripts\Headless Mode &amp; Sideloading\WalkAndUnGZ.bat" "%USERPROFILE%\AppData\Local\Temp\OnboardLogs"\RTDC4018\2017-04-28 &amp; aws s3 cp s3://rtdc.mdm.uploadarchive.raw/RTDC4018/ "%USERPROFILE%\AppData\Local\Temp\OnboardLogs"\RTDC4018\2017-04-29 --exclude "*" --recursive --include "*20170429*" &amp; "%USERPROFILE%\Documents\GitHub\mrs-test-scripts\Headless Mode &amp; Sideloading\WalkAndUnGZ.bat" "%USERPROFILE%\AppData\Local\Temp\OnboardLogs"\RTDC4018\2017-04-29</v>
      </c>
      <c r="AF169" s="77" t="str">
        <f t="shared" si="62"/>
        <v>"C:\Program Files (x86)\AstroGrep\AstroGrep.exe" /e /r /s /spath="%USERPROFILE%\AppData\Local\Temp\OnboardLogs" /stypes="app*4018*20170428*" /stext=" 14:.+((SYSTEM_STATE.+slice.+state.+changed )|(ment ac)|(multiple cpu faults)|(system.+state.+changed )|(\[timeout)|(PRM\|1\|D)|(kpr)|(kdp)|(train.+moving)|(\|lc)|(penalty))"</v>
      </c>
      <c r="AG169" s="1" t="str">
        <f t="shared" si="63"/>
        <v>NW</v>
      </c>
      <c r="AH169" s="81" t="str">
        <f t="shared" si="64"/>
        <v>"%USERPROFILE%\Documents\GitHub\eaglep3\Utilities\RefineRTDCRunTimes.py" --tripid 809-28 --locoid 4018 --swversion DE.1.0.9.0 --startMP 204:992 --initTime 2017-04-28T07:28:54 --startdatetime 2017-04-28T07:52:18 --delay 1 --endMP 300:58982 --enddatetime 2017-04-28T08:06:09 --enforcementcount 0 &gt;&gt;C:\Users\stu\Documents\GitHub\eaglep3-reporting\EC\2017-04-28-refined-times.txt</v>
      </c>
      <c r="AI169" s="99" t="str">
        <f t="shared" si="65"/>
        <v>echo {"issue":{"subject":"","project_id":79,"tracker_id":40,"status_id":1,"priority_id":2,"assigned_to_id":23,"start_date":"2017-04-28","description":"","custom_fields":[{"id":1,"name":"Subdivision","value":"NW"},{"id":4,"name":"Milepost","value":"5.8982"},{"id":17,"name":"Train ID","value":"809-28"},{"id":16,"name":"Locomotive ID","value":"4018"},{"id":130,"name":"Impact","value":""},{"id":150,"name":"Time of Event (Mountain Time)","value":"08:06:09"},{"id":151,"name":"Denver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20"/>
      <c r="AK169" s="47"/>
      <c r="AL169" s="47"/>
      <c r="AM169" s="145" t="str">
        <f t="shared" si="66"/>
        <v>start /low /b %USERPROFILE%\Documents\GitHub\eaglep3\Utilities\DownloadLogsFromS3.py --loco 4018 --day 2017-04-28</v>
      </c>
      <c r="AN169" s="154" t="str">
        <f t="shared" si="67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14:06:09"},{"id":29,"name":"Sharepoint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0" spans="1:91" x14ac:dyDescent="0.25">
      <c r="A170" s="32" t="s">
        <v>694</v>
      </c>
      <c r="B170" s="7">
        <v>4017</v>
      </c>
      <c r="C170" s="21" t="s">
        <v>211</v>
      </c>
      <c r="D170" s="21" t="s">
        <v>586</v>
      </c>
      <c r="E170" s="13">
        <v>42853.339097222219</v>
      </c>
      <c r="F170" s="13">
        <v>42853.340856481482</v>
      </c>
      <c r="G170" s="7">
        <v>1</v>
      </c>
      <c r="H170" s="21" t="s">
        <v>979</v>
      </c>
      <c r="I170" s="13">
        <v>42853.351354166669</v>
      </c>
      <c r="J170" s="7">
        <v>0</v>
      </c>
      <c r="K170" s="92" t="str">
        <f t="shared" si="52"/>
        <v>4017/4018</v>
      </c>
      <c r="L170" s="21" t="str">
        <f>VLOOKUP(A170,'Trips&amp;Operators'!$C$1:$G$99999,5,FALSE)</f>
        <v>ZEWDU DEREJE</v>
      </c>
      <c r="M170" s="6">
        <f t="shared" si="53"/>
        <v>1.0497685187146999E-2</v>
      </c>
      <c r="N170" s="7">
        <f t="shared" si="69"/>
        <v>15.116666669491678</v>
      </c>
      <c r="O170" s="7"/>
      <c r="P170" s="7"/>
      <c r="Q170" s="22"/>
      <c r="R170" s="190"/>
      <c r="S170" s="196">
        <f t="shared" si="70"/>
        <v>1</v>
      </c>
      <c r="T170" s="190" t="str">
        <f t="shared" si="54"/>
        <v>Southbound</v>
      </c>
      <c r="U170" s="190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1" t="str">
        <f t="shared" si="55"/>
        <v>https://d0f6bd738d7f1b3e5a7ca70fe4ff75f0.us-east-1.aws.found.io/app/kibana#/discover/Steve-Slow-Train-Analysis-(2080s-and-2083s)?_g=(refreshInterval:(display:Off,pause:!f,section:0,value:0),time:(from:'2017-04-28T07:08:18-0600',mode:absolute,to:'2017-04-28T09:25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70" s="192" t="str">
        <f t="shared" si="56"/>
        <v>N</v>
      </c>
      <c r="X170" s="192">
        <f t="shared" si="68"/>
        <v>1</v>
      </c>
      <c r="Y170" s="192">
        <f t="shared" si="57"/>
        <v>5.8663999999999996</v>
      </c>
      <c r="Z170" s="192">
        <f t="shared" si="58"/>
        <v>1.1299999999999999E-2</v>
      </c>
      <c r="AA170" s="192">
        <f t="shared" si="59"/>
        <v>5.8550999999999993</v>
      </c>
      <c r="AB170" s="57" t="e">
        <f>VLOOKUP(A170,Enforcements!$C$7:$K$13,8,0)</f>
        <v>#N/A</v>
      </c>
      <c r="AC170" s="53" t="e">
        <f>VLOOKUP(A170,Enforcements!$C$7:$E$13,3,0)</f>
        <v>#N/A</v>
      </c>
      <c r="AD170" s="54" t="str">
        <f t="shared" si="60"/>
        <v>0810-28</v>
      </c>
      <c r="AE170" s="80" t="str">
        <f t="shared" si="61"/>
        <v>aws s3 cp s3://rtdc.mdm.uploadarchive.raw/RTDC4017/ "%USERPROFILE%\AppData\Local\Temp\OnboardLogs"\RTDC4017\2017-04-28 --exclude "*" --recursive --include "*20170428*" &amp; "%USERPROFILE%\Documents\GitHub\mrs-test-scripts\Headless Mode &amp; Sideloading\WalkAndUnGZ.bat" "%USERPROFILE%\AppData\Local\Temp\OnboardLogs"\RTDC4017\2017-04-28 &amp; aws s3 cp s3://rtdc.mdm.uploadarchive.raw/RTDC4017/ "%USERPROFILE%\AppData\Local\Temp\OnboardLogs"\RTDC4017\2017-04-29 --exclude "*" --recursive --include "*20170429*" &amp; "%USERPROFILE%\Documents\GitHub\mrs-test-scripts\Headless Mode &amp; Sideloading\WalkAndUnGZ.bat" "%USERPROFILE%\AppData\Local\Temp\OnboardLogs"\RTDC4017\2017-04-29</v>
      </c>
      <c r="AF170" s="77" t="str">
        <f t="shared" si="62"/>
        <v>"C:\Program Files (x86)\AstroGrep\AstroGrep.exe" /e /r /s /spath="%USERPROFILE%\AppData\Local\Temp\OnboardLogs" /stypes="app*4017*20170428*" /stext=" 14:.+((SYSTEM_STATE.+slice.+state.+changed )|(ment ac)|(multiple cpu faults)|(system.+state.+changed )|(\[timeout)|(PRM\|1\|D)|(kpr)|(kdp)|(train.+moving)|(\|lc)|(penalty))"</v>
      </c>
      <c r="AG170" s="1" t="str">
        <f t="shared" si="63"/>
        <v>NW</v>
      </c>
      <c r="AH170" s="81" t="str">
        <f t="shared" si="64"/>
        <v>"%USERPROFILE%\Documents\GitHub\eaglep3\Utilities\RefineRTDCRunTimes.py" --tripid 810-28 --locoid 4017 --swversion DE.1.0.9.0 --startMP 300:58664 --initTime 2017-04-28T08:08:18 --startdatetime 2017-04-28T08:10:50 --delay 1 --endMP 204:113 --enddatetime 2017-04-28T08:25:57 --enforcementcount 0 &gt;&gt;C:\Users\stu\Documents\GitHub\eaglep3-reporting\EC\2017-04-28-refined-times.txt</v>
      </c>
      <c r="AI170" s="99" t="str">
        <f t="shared" si="65"/>
        <v>echo {"issue":{"subject":"","project_id":79,"tracker_id":40,"status_id":1,"priority_id":2,"assigned_to_id":23,"start_date":"2017-04-28","description":"","custom_fields":[{"id":1,"name":"Subdivision","value":"NW"},{"id":4,"name":"Milepost","value":"0.0113"},{"id":17,"name":"Train ID","value":"810-28"},{"id":16,"name":"Locomotive ID","value":"4017"},{"id":130,"name":"Impact","value":""},{"id":150,"name":"Time of Event (Mountain Time)","value":"08:25:57"},{"id":151,"name":"Denver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20"/>
      <c r="AK170" s="47"/>
      <c r="AL170" s="47"/>
      <c r="AM170" s="145" t="str">
        <f t="shared" si="66"/>
        <v>start /low /b %USERPROFILE%\Documents\GitHub\eaglep3\Utilities\DownloadLogsFromS3.py --loco 4017 --day 2017-04-28</v>
      </c>
      <c r="AN170" s="154" t="str">
        <f t="shared" si="67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14:25:57"},{"id":29,"name":"Sharepoint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1" spans="1:91" x14ac:dyDescent="0.25">
      <c r="A171" s="32" t="s">
        <v>696</v>
      </c>
      <c r="B171" s="7">
        <v>4012</v>
      </c>
      <c r="C171" s="21" t="s">
        <v>211</v>
      </c>
      <c r="D171" s="21" t="s">
        <v>523</v>
      </c>
      <c r="E171" s="13">
        <v>42853.3359837963</v>
      </c>
      <c r="F171" s="13">
        <v>42853.348067129627</v>
      </c>
      <c r="G171" s="7">
        <v>6</v>
      </c>
      <c r="H171" s="21" t="s">
        <v>980</v>
      </c>
      <c r="I171" s="13">
        <v>42853.356828703705</v>
      </c>
      <c r="J171" s="7">
        <v>0</v>
      </c>
      <c r="K171" s="92" t="str">
        <f t="shared" si="52"/>
        <v>4011/4012</v>
      </c>
      <c r="L171" s="21" t="str">
        <f>VLOOKUP(A171,'Trips&amp;Operators'!$C$1:$G$99999,5,FALSE)</f>
        <v>YANAI IAN</v>
      </c>
      <c r="M171" s="6">
        <f t="shared" si="53"/>
        <v>8.7615740776527673E-3</v>
      </c>
      <c r="N171" s="7">
        <f t="shared" si="69"/>
        <v>12.616666671819985</v>
      </c>
      <c r="O171" s="7"/>
      <c r="P171" s="7"/>
      <c r="Q171" s="22"/>
      <c r="R171" s="190"/>
      <c r="S171" s="196">
        <f t="shared" si="70"/>
        <v>1</v>
      </c>
      <c r="T171" s="190" t="str">
        <f t="shared" si="54"/>
        <v>NorthBound</v>
      </c>
      <c r="U171" s="190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1" t="str">
        <f t="shared" si="55"/>
        <v>https://d0f6bd738d7f1b3e5a7ca70fe4ff75f0.us-east-1.aws.found.io/app/kibana#/discover/Steve-Slow-Train-Analysis-(2080s-and-2083s)?_g=(refreshInterval:(display:Off,pause:!f,section:0,value:0),time:(from:'2017-04-28T07:03:49-0600',mode:absolute,to:'2017-04-28T09:33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71" s="192" t="str">
        <f t="shared" si="56"/>
        <v>N</v>
      </c>
      <c r="X171" s="192">
        <f t="shared" si="68"/>
        <v>1</v>
      </c>
      <c r="Y171" s="192">
        <f t="shared" si="57"/>
        <v>9.6500000000000002E-2</v>
      </c>
      <c r="Z171" s="192">
        <f t="shared" si="58"/>
        <v>5.8945999999999996</v>
      </c>
      <c r="AA171" s="192">
        <f t="shared" si="59"/>
        <v>5.7980999999999998</v>
      </c>
      <c r="AB171" s="57" t="e">
        <f>VLOOKUP(A171,Enforcements!$C$7:$K$13,8,0)</f>
        <v>#N/A</v>
      </c>
      <c r="AC171" s="53" t="e">
        <f>VLOOKUP(A171,Enforcements!$C$7:$E$13,3,0)</f>
        <v>#N/A</v>
      </c>
      <c r="AD171" s="54" t="str">
        <f t="shared" si="60"/>
        <v>0811-28</v>
      </c>
      <c r="AE171" s="80" t="str">
        <f t="shared" si="61"/>
        <v>aws s3 cp s3://rtdc.mdm.uploadarchive.raw/RTDC4012/ "%USERPROFILE%\AppData\Local\Temp\OnboardLogs"\RTDC4012\2017-04-28 --exclude "*" --recursive --include "*20170428*" &amp; "%USERPROFILE%\Documents\GitHub\mrs-test-scripts\Headless Mode &amp; Sideloading\WalkAndUnGZ.bat" "%USERPROFILE%\AppData\Local\Temp\OnboardLogs"\RTDC4012\2017-04-28 &amp; aws s3 cp s3://rtdc.mdm.uploadarchive.raw/RTDC4012/ "%USERPROFILE%\AppData\Local\Temp\OnboardLogs"\RTDC4012\2017-04-29 --exclude "*" --recursive --include "*20170429*" &amp; "%USERPROFILE%\Documents\GitHub\mrs-test-scripts\Headless Mode &amp; Sideloading\WalkAndUnGZ.bat" "%USERPROFILE%\AppData\Local\Temp\OnboardLogs"\RTDC4012\2017-04-29</v>
      </c>
      <c r="AF171" s="77" t="str">
        <f t="shared" si="62"/>
        <v>"C:\Program Files (x86)\AstroGrep\AstroGrep.exe" /e /r /s /spath="%USERPROFILE%\AppData\Local\Temp\OnboardLogs" /stypes="app*4012*20170428*" /stext=" 14:.+((SYSTEM_STATE.+slice.+state.+changed )|(ment ac)|(multiple cpu faults)|(system.+state.+changed )|(\[timeout)|(PRM\|1\|D)|(kpr)|(kdp)|(train.+moving)|(\|lc)|(penalty))"</v>
      </c>
      <c r="AG171" s="1" t="str">
        <f t="shared" si="63"/>
        <v>NW</v>
      </c>
      <c r="AH171" s="81" t="str">
        <f t="shared" si="64"/>
        <v>"%USERPROFILE%\Documents\GitHub\eaglep3\Utilities\RefineRTDCRunTimes.py" --tripid 811-28 --locoid 4012 --swversion DE.1.0.9.0 --startMP 204:965 --initTime 2017-04-28T08:03:49 --startdatetime 2017-04-28T08:21:13 --delay 6 --endMP 300:58946 --enddatetime 2017-04-28T08:33:50 --enforcementcount 0 &gt;&gt;C:\Users\stu\Documents\GitHub\eaglep3-reporting\EC\2017-04-28-refined-times.txt</v>
      </c>
      <c r="AI171" s="99" t="str">
        <f t="shared" si="65"/>
        <v>echo {"issue":{"subject":"","project_id":79,"tracker_id":40,"status_id":1,"priority_id":2,"assigned_to_id":23,"start_date":"2017-04-28","description":"","custom_fields":[{"id":1,"name":"Subdivision","value":"NW"},{"id":4,"name":"Milepost","value":"5.8946"},{"id":17,"name":"Train ID","value":"811-28"},{"id":16,"name":"Locomotive ID","value":"4012"},{"id":130,"name":"Impact","value":""},{"id":150,"name":"Time of Event (Mountain Time)","value":"08:33:50"},{"id":151,"name":"Denver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20"/>
      <c r="AK171" s="47"/>
      <c r="AL171" s="47"/>
      <c r="AM171" s="145" t="str">
        <f t="shared" si="66"/>
        <v>start /low /b %USERPROFILE%\Documents\GitHub\eaglep3\Utilities\DownloadLogsFromS3.py --loco 4012 --day 2017-04-28</v>
      </c>
      <c r="AN171" s="154" t="str">
        <f t="shared" si="67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14:33:50"},{"id":29,"name":"Sharepoint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2" spans="1:91" s="20" customFormat="1" x14ac:dyDescent="0.25">
      <c r="A172" s="32" t="s">
        <v>701</v>
      </c>
      <c r="B172" s="7">
        <v>4011</v>
      </c>
      <c r="C172" s="21" t="s">
        <v>211</v>
      </c>
      <c r="D172" s="21" t="s">
        <v>516</v>
      </c>
      <c r="E172" s="13">
        <v>42853.357916666668</v>
      </c>
      <c r="F172" s="13">
        <v>42853.359351851854</v>
      </c>
      <c r="G172" s="7">
        <v>1</v>
      </c>
      <c r="H172" s="21" t="s">
        <v>585</v>
      </c>
      <c r="I172" s="13">
        <v>42853.371249999997</v>
      </c>
      <c r="J172" s="7">
        <v>0</v>
      </c>
      <c r="K172" s="92" t="str">
        <f t="shared" si="52"/>
        <v>4011/4012</v>
      </c>
      <c r="L172" s="21" t="str">
        <f>VLOOKUP(A172,'Trips&amp;Operators'!$C$1:$G$99999,5,FALSE)</f>
        <v>YANAI IAN</v>
      </c>
      <c r="M172" s="6">
        <f t="shared" si="53"/>
        <v>1.1898148142790888E-2</v>
      </c>
      <c r="N172" s="7">
        <f t="shared" si="69"/>
        <v>17.133333325618878</v>
      </c>
      <c r="O172" s="7"/>
      <c r="P172" s="7"/>
      <c r="Q172" s="22"/>
      <c r="R172" s="190"/>
      <c r="S172" s="196">
        <f t="shared" si="70"/>
        <v>1</v>
      </c>
      <c r="T172" s="190" t="str">
        <f t="shared" si="54"/>
        <v>Southbound</v>
      </c>
      <c r="U172" s="190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1" t="str">
        <f t="shared" si="55"/>
        <v>https://d0f6bd738d7f1b3e5a7ca70fe4ff75f0.us-east-1.aws.found.io/app/kibana#/discover/Steve-Slow-Train-Analysis-(2080s-and-2083s)?_g=(refreshInterval:(display:Off,pause:!f,section:0,value:0),time:(from:'2017-04-28T07:35:24-0600',mode:absolute,to:'2017-04-28T09:54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72" s="192" t="str">
        <f t="shared" si="56"/>
        <v>N</v>
      </c>
      <c r="X172" s="192">
        <f t="shared" si="68"/>
        <v>1</v>
      </c>
      <c r="Y172" s="192">
        <f t="shared" si="57"/>
        <v>5.8623000000000003</v>
      </c>
      <c r="Z172" s="192">
        <f t="shared" si="58"/>
        <v>6.7299999999999999E-2</v>
      </c>
      <c r="AA172" s="192">
        <f t="shared" si="59"/>
        <v>5.7949999999999999</v>
      </c>
      <c r="AB172" s="57" t="e">
        <f>VLOOKUP(A172,Enforcements!$C$7:$K$13,8,0)</f>
        <v>#N/A</v>
      </c>
      <c r="AC172" s="53" t="e">
        <f>VLOOKUP(A172,Enforcements!$C$7:$E$13,3,0)</f>
        <v>#N/A</v>
      </c>
      <c r="AD172" s="54" t="str">
        <f t="shared" si="60"/>
        <v>0812-28</v>
      </c>
      <c r="AE172" s="80" t="str">
        <f t="shared" si="61"/>
        <v>aws s3 cp s3://rtdc.mdm.uploadarchive.raw/RTDC4011/ "%USERPROFILE%\AppData\Local\Temp\OnboardLogs"\RTDC4011\2017-04-28 --exclude "*" --recursive --include "*20170428*" &amp; "%USERPROFILE%\Documents\GitHub\mrs-test-scripts\Headless Mode &amp; Sideloading\WalkAndUnGZ.bat" "%USERPROFILE%\AppData\Local\Temp\OnboardLogs"\RTDC4011\2017-04-28 &amp; aws s3 cp s3://rtdc.mdm.uploadarchive.raw/RTDC4011/ "%USERPROFILE%\AppData\Local\Temp\OnboardLogs"\RTDC4011\2017-04-29 --exclude "*" --recursive --include "*20170429*" &amp; "%USERPROFILE%\Documents\GitHub\mrs-test-scripts\Headless Mode &amp; Sideloading\WalkAndUnGZ.bat" "%USERPROFILE%\AppData\Local\Temp\OnboardLogs"\RTDC4011\2017-04-29</v>
      </c>
      <c r="AF172" s="77" t="str">
        <f t="shared" si="62"/>
        <v>"C:\Program Files (x86)\AstroGrep\AstroGrep.exe" /e /r /s /spath="%USERPROFILE%\AppData\Local\Temp\OnboardLogs" /stypes="app*4011*20170428*" /stext=" 14:.+((SYSTEM_STATE.+slice.+state.+changed )|(ment ac)|(multiple cpu faults)|(system.+state.+changed )|(\[timeout)|(PRM\|1\|D)|(kpr)|(kdp)|(train.+moving)|(\|lc)|(penalty))"</v>
      </c>
      <c r="AG172" s="1" t="str">
        <f t="shared" si="63"/>
        <v>NW</v>
      </c>
      <c r="AH172" s="81" t="str">
        <f t="shared" si="64"/>
        <v>"%USERPROFILE%\Documents\GitHub\eaglep3\Utilities\RefineRTDCRunTimes.py" --tripid 812-28 --locoid 4011 --swversion DE.1.0.9.0 --startMP 300:58623 --initTime 2017-04-28T08:35:24 --startdatetime 2017-04-28T08:37:28 --delay 1 --endMP 204:673 --enddatetime 2017-04-28T08:54:36 --enforcementcount 0 &gt;&gt;C:\Users\stu\Documents\GitHub\eaglep3-reporting\EC\2017-04-28-refined-times.txt</v>
      </c>
      <c r="AI172" s="99" t="str">
        <f t="shared" si="65"/>
        <v>echo {"issue":{"subject":"","project_id":79,"tracker_id":40,"status_id":1,"priority_id":2,"assigned_to_id":23,"start_date":"2017-04-28","description":"","custom_fields":[{"id":1,"name":"Subdivision","value":"NW"},{"id":4,"name":"Milepost","value":"0.0673"},{"id":17,"name":"Train ID","value":"812-28"},{"id":16,"name":"Locomotive ID","value":"4011"},{"id":130,"name":"Impact","value":""},{"id":150,"name":"Time of Event (Mountain Time)","value":"08:54:36"},{"id":151,"name":"Denver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2" s="47"/>
      <c r="AL172" s="47"/>
      <c r="AM172" s="145" t="str">
        <f t="shared" si="66"/>
        <v>start /low /b %USERPROFILE%\Documents\GitHub\eaglep3\Utilities\DownloadLogsFromS3.py --loco 4011 --day 2017-04-28</v>
      </c>
      <c r="AN172" s="154" t="str">
        <f t="shared" si="67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14:54:36"},{"id":29,"name":"Sharepoint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32" t="s">
        <v>706</v>
      </c>
      <c r="B173" s="7">
        <v>4012</v>
      </c>
      <c r="C173" s="21" t="s">
        <v>211</v>
      </c>
      <c r="D173" s="21" t="s">
        <v>524</v>
      </c>
      <c r="E173" s="13">
        <v>42853.38721064815</v>
      </c>
      <c r="F173" s="13">
        <v>42853.389814814815</v>
      </c>
      <c r="G173" s="7">
        <v>1</v>
      </c>
      <c r="H173" s="21" t="s">
        <v>980</v>
      </c>
      <c r="I173" s="13">
        <v>42853.398993055554</v>
      </c>
      <c r="J173" s="7">
        <v>0</v>
      </c>
      <c r="K173" s="92" t="str">
        <f t="shared" si="52"/>
        <v>4011/4012</v>
      </c>
      <c r="L173" s="21" t="str">
        <f>VLOOKUP(A173,'Trips&amp;Operators'!$C$1:$G$99999,5,FALSE)</f>
        <v>BEAM ROSS</v>
      </c>
      <c r="M173" s="6">
        <f t="shared" si="53"/>
        <v>9.1782407398568466E-3</v>
      </c>
      <c r="N173" s="7">
        <f t="shared" si="69"/>
        <v>13.216666665393859</v>
      </c>
      <c r="O173" s="7"/>
      <c r="P173" s="7"/>
      <c r="Q173" s="22"/>
      <c r="R173" s="190"/>
      <c r="S173" s="196">
        <f t="shared" si="70"/>
        <v>1</v>
      </c>
      <c r="T173" s="190" t="str">
        <f t="shared" si="54"/>
        <v>NorthBound</v>
      </c>
      <c r="U173" s="190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1" t="str">
        <f t="shared" si="55"/>
        <v>https://d0f6bd738d7f1b3e5a7ca70fe4ff75f0.us-east-1.aws.found.io/app/kibana#/discover/Steve-Slow-Train-Analysis-(2080s-and-2083s)?_g=(refreshInterval:(display:Off,pause:!f,section:0,value:0),time:(from:'2017-04-28T08:17:35-0600',mode:absolute,to:'2017-04-28T10:34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73" s="192" t="str">
        <f t="shared" si="56"/>
        <v>N</v>
      </c>
      <c r="X173" s="192">
        <f t="shared" si="68"/>
        <v>1</v>
      </c>
      <c r="Y173" s="192">
        <f t="shared" si="57"/>
        <v>9.7199999999999995E-2</v>
      </c>
      <c r="Z173" s="192">
        <f t="shared" si="58"/>
        <v>5.8945999999999996</v>
      </c>
      <c r="AA173" s="192">
        <f t="shared" si="59"/>
        <v>5.7973999999999997</v>
      </c>
      <c r="AB173" s="57" t="e">
        <f>VLOOKUP(A173,Enforcements!$C$7:$K$13,8,0)</f>
        <v>#N/A</v>
      </c>
      <c r="AC173" s="53" t="e">
        <f>VLOOKUP(A173,Enforcements!$C$7:$E$13,3,0)</f>
        <v>#N/A</v>
      </c>
      <c r="AD173" s="54" t="str">
        <f t="shared" si="60"/>
        <v>0813-28</v>
      </c>
      <c r="AE173" s="80" t="str">
        <f t="shared" si="61"/>
        <v>aws s3 cp s3://rtdc.mdm.uploadarchive.raw/RTDC4012/ "%USERPROFILE%\AppData\Local\Temp\OnboardLogs"\RTDC4012\2017-04-28 --exclude "*" --recursive --include "*20170428*" &amp; "%USERPROFILE%\Documents\GitHub\mrs-test-scripts\Headless Mode &amp; Sideloading\WalkAndUnGZ.bat" "%USERPROFILE%\AppData\Local\Temp\OnboardLogs"\RTDC4012\2017-04-28 &amp; aws s3 cp s3://rtdc.mdm.uploadarchive.raw/RTDC4012/ "%USERPROFILE%\AppData\Local\Temp\OnboardLogs"\RTDC4012\2017-04-29 --exclude "*" --recursive --include "*20170429*" &amp; "%USERPROFILE%\Documents\GitHub\mrs-test-scripts\Headless Mode &amp; Sideloading\WalkAndUnGZ.bat" "%USERPROFILE%\AppData\Local\Temp\OnboardLogs"\RTDC4012\2017-04-29</v>
      </c>
      <c r="AF173" s="77" t="str">
        <f t="shared" si="62"/>
        <v>"C:\Program Files (x86)\AstroGrep\AstroGrep.exe" /e /r /s /spath="%USERPROFILE%\AppData\Local\Temp\OnboardLogs" /stypes="app*4012*20170428*" /stext=" 15:.+((SYSTEM_STATE.+slice.+state.+changed )|(ment ac)|(multiple cpu faults)|(system.+state.+changed )|(\[timeout)|(PRM\|1\|D)|(kpr)|(kdp)|(train.+moving)|(\|lc)|(penalty))"</v>
      </c>
      <c r="AG173" s="1" t="str">
        <f t="shared" si="63"/>
        <v>NW</v>
      </c>
      <c r="AH173" s="81" t="str">
        <f t="shared" si="64"/>
        <v>"%USERPROFILE%\Documents\GitHub\eaglep3\Utilities\RefineRTDCRunTimes.py" --tripid 813-28 --locoid 4012 --swversion DE.1.0.9.0 --startMP 204:972 --initTime 2017-04-28T09:17:35 --startdatetime 2017-04-28T09:21:20 --delay 1 --endMP 300:58946 --enddatetime 2017-04-28T09:34:33 --enforcementcount 0 &gt;&gt;C:\Users\stu\Documents\GitHub\eaglep3-reporting\EC\2017-04-28-refined-times.txt</v>
      </c>
      <c r="AI173" s="99" t="str">
        <f t="shared" si="65"/>
        <v>echo {"issue":{"subject":"","project_id":79,"tracker_id":40,"status_id":1,"priority_id":2,"assigned_to_id":23,"start_date":"2017-04-28","description":"","custom_fields":[{"id":1,"name":"Subdivision","value":"NW"},{"id":4,"name":"Milepost","value":"5.8946"},{"id":17,"name":"Train ID","value":"813-28"},{"id":16,"name":"Locomotive ID","value":"4012"},{"id":130,"name":"Impact","value":""},{"id":150,"name":"Time of Event (Mountain Time)","value":"09:34:33"},{"id":151,"name":"Denver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3" s="47"/>
      <c r="AL173" s="47"/>
      <c r="AM173" s="145" t="str">
        <f t="shared" si="66"/>
        <v>start /low /b %USERPROFILE%\Documents\GitHub\eaglep3\Utilities\DownloadLogsFromS3.py --loco 4012 --day 2017-04-28</v>
      </c>
      <c r="AN173" s="154" t="str">
        <f t="shared" si="67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15:34:33"},{"id":29,"name":"Sharepoint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25">
      <c r="A174" s="32" t="s">
        <v>710</v>
      </c>
      <c r="B174" s="7">
        <v>4011</v>
      </c>
      <c r="C174" s="21" t="s">
        <v>211</v>
      </c>
      <c r="D174" s="21" t="s">
        <v>591</v>
      </c>
      <c r="E174" s="13">
        <v>42853.39984953704</v>
      </c>
      <c r="F174" s="13">
        <v>42853.401284722226</v>
      </c>
      <c r="G174" s="7">
        <v>1</v>
      </c>
      <c r="H174" s="21" t="s">
        <v>577</v>
      </c>
      <c r="I174" s="13">
        <v>42853.412881944445</v>
      </c>
      <c r="J174" s="7">
        <v>0</v>
      </c>
      <c r="K174" s="92" t="str">
        <f t="shared" si="52"/>
        <v>4011/4012</v>
      </c>
      <c r="L174" s="21" t="str">
        <f>VLOOKUP(A174,'Trips&amp;Operators'!$C$1:$G$99999,5,FALSE)</f>
        <v>BEAM ROSS</v>
      </c>
      <c r="M174" s="6">
        <f t="shared" si="53"/>
        <v>1.1597222219279502E-2</v>
      </c>
      <c r="N174" s="7">
        <f t="shared" si="69"/>
        <v>16.699999995762482</v>
      </c>
      <c r="O174" s="7"/>
      <c r="P174" s="7"/>
      <c r="Q174" s="22"/>
      <c r="R174" s="190"/>
      <c r="S174" s="196">
        <f t="shared" si="70"/>
        <v>1</v>
      </c>
      <c r="T174" s="190" t="str">
        <f t="shared" si="54"/>
        <v>Southbound</v>
      </c>
      <c r="U174" s="190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1" t="str">
        <f t="shared" si="55"/>
        <v>https://d0f6bd738d7f1b3e5a7ca70fe4ff75f0.us-east-1.aws.found.io/app/kibana#/discover/Steve-Slow-Train-Analysis-(2080s-and-2083s)?_g=(refreshInterval:(display:Off,pause:!f,section:0,value:0),time:(from:'2017-04-28T08:35:47-0600',mode:absolute,to:'2017-04-28T10:54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74" s="192" t="str">
        <f t="shared" si="56"/>
        <v>N</v>
      </c>
      <c r="X174" s="192">
        <f t="shared" si="68"/>
        <v>1</v>
      </c>
      <c r="Y174" s="192">
        <f t="shared" si="57"/>
        <v>5.8624999999999998</v>
      </c>
      <c r="Z174" s="192">
        <f t="shared" si="58"/>
        <v>7.1499999999999994E-2</v>
      </c>
      <c r="AA174" s="192">
        <f t="shared" si="59"/>
        <v>5.7909999999999995</v>
      </c>
      <c r="AB174" s="57" t="e">
        <f>VLOOKUP(A174,Enforcements!$C$7:$K$13,8,0)</f>
        <v>#N/A</v>
      </c>
      <c r="AC174" s="53" t="e">
        <f>VLOOKUP(A174,Enforcements!$C$7:$E$13,3,0)</f>
        <v>#N/A</v>
      </c>
      <c r="AD174" s="54" t="str">
        <f t="shared" si="60"/>
        <v>0814-28</v>
      </c>
      <c r="AE174" s="80" t="str">
        <f t="shared" si="61"/>
        <v>aws s3 cp s3://rtdc.mdm.uploadarchive.raw/RTDC4011/ "%USERPROFILE%\AppData\Local\Temp\OnboardLogs"\RTDC4011\2017-04-28 --exclude "*" --recursive --include "*20170428*" &amp; "%USERPROFILE%\Documents\GitHub\mrs-test-scripts\Headless Mode &amp; Sideloading\WalkAndUnGZ.bat" "%USERPROFILE%\AppData\Local\Temp\OnboardLogs"\RTDC4011\2017-04-28 &amp; aws s3 cp s3://rtdc.mdm.uploadarchive.raw/RTDC4011/ "%USERPROFILE%\AppData\Local\Temp\OnboardLogs"\RTDC4011\2017-04-29 --exclude "*" --recursive --include "*20170429*" &amp; "%USERPROFILE%\Documents\GitHub\mrs-test-scripts\Headless Mode &amp; Sideloading\WalkAndUnGZ.bat" "%USERPROFILE%\AppData\Local\Temp\OnboardLogs"\RTDC4011\2017-04-29</v>
      </c>
      <c r="AF174" s="77" t="str">
        <f t="shared" si="62"/>
        <v>"C:\Program Files (x86)\AstroGrep\AstroGrep.exe" /e /r /s /spath="%USERPROFILE%\AppData\Local\Temp\OnboardLogs" /stypes="app*4011*20170428*" /stext=" 15:.+((SYSTEM_STATE.+slice.+state.+changed )|(ment ac)|(multiple cpu faults)|(system.+state.+changed )|(\[timeout)|(PRM\|1\|D)|(kpr)|(kdp)|(train.+moving)|(\|lc)|(penalty))"</v>
      </c>
      <c r="AG174" s="1" t="str">
        <f t="shared" si="63"/>
        <v>NW</v>
      </c>
      <c r="AH174" s="81" t="str">
        <f t="shared" si="64"/>
        <v>"%USERPROFILE%\Documents\GitHub\eaglep3\Utilities\RefineRTDCRunTimes.py" --tripid 814-28 --locoid 4011 --swversion DE.1.0.9.0 --startMP 300:58625 --initTime 2017-04-28T09:35:47 --startdatetime 2017-04-28T09:37:51 --delay 1 --endMP 204:715 --enddatetime 2017-04-28T09:54:33 --enforcementcount 0 &gt;&gt;C:\Users\stu\Documents\GitHub\eaglep3-reporting\EC\2017-04-28-refined-times.txt</v>
      </c>
      <c r="AI174" s="99" t="str">
        <f t="shared" si="65"/>
        <v>echo {"issue":{"subject":"","project_id":79,"tracker_id":40,"status_id":1,"priority_id":2,"assigned_to_id":23,"start_date":"2017-04-28","description":"","custom_fields":[{"id":1,"name":"Subdivision","value":"NW"},{"id":4,"name":"Milepost","value":"0.0715"},{"id":17,"name":"Train ID","value":"814-28"},{"id":16,"name":"Locomotive ID","value":"4011"},{"id":130,"name":"Impact","value":""},{"id":150,"name":"Time of Event (Mountain Time)","value":"09:54:33"},{"id":151,"name":"Denver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4" s="47"/>
      <c r="AL174" s="47"/>
      <c r="AM174" s="145" t="str">
        <f t="shared" si="66"/>
        <v>start /low /b %USERPROFILE%\Documents\GitHub\eaglep3\Utilities\DownloadLogsFromS3.py --loco 4011 --day 2017-04-28</v>
      </c>
      <c r="AN174" s="154" t="str">
        <f t="shared" si="67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15:54:33"},{"id":29,"name":"Sharepoint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25">
      <c r="A175" s="32" t="s">
        <v>715</v>
      </c>
      <c r="B175" s="7">
        <v>4012</v>
      </c>
      <c r="C175" s="21" t="s">
        <v>211</v>
      </c>
      <c r="D175" s="21" t="s">
        <v>970</v>
      </c>
      <c r="E175" s="13">
        <v>42853.422951388886</v>
      </c>
      <c r="F175" s="13">
        <v>42853.431597222225</v>
      </c>
      <c r="G175" s="7">
        <v>2</v>
      </c>
      <c r="H175" s="21" t="s">
        <v>971</v>
      </c>
      <c r="I175" s="13">
        <v>42853.441134259258</v>
      </c>
      <c r="J175" s="7">
        <v>0</v>
      </c>
      <c r="K175" s="92" t="str">
        <f t="shared" si="52"/>
        <v>4011/4012</v>
      </c>
      <c r="L175" s="21" t="str">
        <f>VLOOKUP(A175,'Trips&amp;Operators'!$C$1:$G$99999,5,FALSE)</f>
        <v>MENGES BRAD</v>
      </c>
      <c r="M175" s="6">
        <f t="shared" si="53"/>
        <v>9.5370370327145793E-3</v>
      </c>
      <c r="N175" s="7">
        <f t="shared" si="69"/>
        <v>13.733333327108994</v>
      </c>
      <c r="O175" s="7"/>
      <c r="P175" s="7"/>
      <c r="Q175" s="22"/>
      <c r="R175" s="190"/>
      <c r="S175" s="196">
        <f t="shared" si="70"/>
        <v>1</v>
      </c>
      <c r="T175" s="190" t="str">
        <f t="shared" si="54"/>
        <v>NorthBound</v>
      </c>
      <c r="U175" s="190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1" t="str">
        <f t="shared" si="55"/>
        <v>https://d0f6bd738d7f1b3e5a7ca70fe4ff75f0.us-east-1.aws.found.io/app/kibana#/discover/Steve-Slow-Train-Analysis-(2080s-and-2083s)?_g=(refreshInterval:(display:Off,pause:!f,section:0,value:0),time:(from:'2017-04-28T09:09:03-0600',mode:absolute,to:'2017-04-28T11:35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75" s="192" t="str">
        <f t="shared" si="56"/>
        <v>N</v>
      </c>
      <c r="X175" s="192">
        <f t="shared" si="68"/>
        <v>1</v>
      </c>
      <c r="Y175" s="192">
        <f t="shared" si="57"/>
        <v>0.1004</v>
      </c>
      <c r="Z175" s="192">
        <f t="shared" si="58"/>
        <v>5.8935000000000004</v>
      </c>
      <c r="AA175" s="192">
        <f t="shared" si="59"/>
        <v>5.7931000000000008</v>
      </c>
      <c r="AB175" s="57" t="e">
        <f>VLOOKUP(A175,Enforcements!$C$7:$K$13,8,0)</f>
        <v>#N/A</v>
      </c>
      <c r="AC175" s="53" t="e">
        <f>VLOOKUP(A175,Enforcements!$C$7:$E$13,3,0)</f>
        <v>#N/A</v>
      </c>
      <c r="AD175" s="54" t="str">
        <f t="shared" si="60"/>
        <v>0815-28</v>
      </c>
      <c r="AE175" s="80" t="str">
        <f t="shared" si="61"/>
        <v>aws s3 cp s3://rtdc.mdm.uploadarchive.raw/RTDC4012/ "%USERPROFILE%\AppData\Local\Temp\OnboardLogs"\RTDC4012\2017-04-28 --exclude "*" --recursive --include "*20170428*" &amp; "%USERPROFILE%\Documents\GitHub\mrs-test-scripts\Headless Mode &amp; Sideloading\WalkAndUnGZ.bat" "%USERPROFILE%\AppData\Local\Temp\OnboardLogs"\RTDC4012\2017-04-28 &amp; aws s3 cp s3://rtdc.mdm.uploadarchive.raw/RTDC4012/ "%USERPROFILE%\AppData\Local\Temp\OnboardLogs"\RTDC4012\2017-04-29 --exclude "*" --recursive --include "*20170429*" &amp; "%USERPROFILE%\Documents\GitHub\mrs-test-scripts\Headless Mode &amp; Sideloading\WalkAndUnGZ.bat" "%USERPROFILE%\AppData\Local\Temp\OnboardLogs"\RTDC4012\2017-04-29</v>
      </c>
      <c r="AF175" s="77" t="str">
        <f t="shared" si="62"/>
        <v>"C:\Program Files (x86)\AstroGrep\AstroGrep.exe" /e /r /s /spath="%USERPROFILE%\AppData\Local\Temp\OnboardLogs" /stypes="app*4012*20170428*" /stext=" 16:.+((SYSTEM_STATE.+slice.+state.+changed )|(ment ac)|(multiple cpu faults)|(system.+state.+changed )|(\[timeout)|(PRM\|1\|D)|(kpr)|(kdp)|(train.+moving)|(\|lc)|(penalty))"</v>
      </c>
      <c r="AG175" s="1" t="str">
        <f t="shared" si="63"/>
        <v>NW</v>
      </c>
      <c r="AH175" s="81" t="str">
        <f t="shared" si="64"/>
        <v>"%USERPROFILE%\Documents\GitHub\eaglep3\Utilities\RefineRTDCRunTimes.py" --tripid 815-28 --locoid 4012 --swversion DE.1.0.9.0 --startMP 204:1004 --initTime 2017-04-28T10:09:03 --startdatetime 2017-04-28T10:21:30 --delay 2 --endMP 300:58935 --enddatetime 2017-04-28T10:35:14 --enforcementcount 0 &gt;&gt;C:\Users\stu\Documents\GitHub\eaglep3-reporting\EC\2017-04-28-refined-times.txt</v>
      </c>
      <c r="AI175" s="99" t="str">
        <f t="shared" si="65"/>
        <v>echo {"issue":{"subject":"","project_id":79,"tracker_id":40,"status_id":1,"priority_id":2,"assigned_to_id":23,"start_date":"2017-04-28","description":"","custom_fields":[{"id":1,"name":"Subdivision","value":"NW"},{"id":4,"name":"Milepost","value":"5.8935"},{"id":17,"name":"Train ID","value":"815-28"},{"id":16,"name":"Locomotive ID","value":"4012"},{"id":130,"name":"Impact","value":""},{"id":150,"name":"Time of Event (Mountain Time)","value":"10:35:14"},{"id":151,"name":"Denver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5" s="47"/>
      <c r="AL175" s="47"/>
      <c r="AM175" s="145" t="str">
        <f t="shared" si="66"/>
        <v>start /low /b %USERPROFILE%\Documents\GitHub\eaglep3\Utilities\DownloadLogsFromS3.py --loco 4012 --day 2017-04-28</v>
      </c>
      <c r="AN175" s="154" t="str">
        <f t="shared" si="67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16:35:14"},{"id":29,"name":"Sharepoint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25">
      <c r="A176" s="32" t="s">
        <v>609</v>
      </c>
      <c r="B176" s="7">
        <v>4011</v>
      </c>
      <c r="C176" s="21" t="s">
        <v>211</v>
      </c>
      <c r="D176" s="21" t="s">
        <v>981</v>
      </c>
      <c r="E176" s="13">
        <v>42853.44258101852</v>
      </c>
      <c r="F176" s="13">
        <v>42853.445196759261</v>
      </c>
      <c r="G176" s="7">
        <v>1</v>
      </c>
      <c r="H176" s="21" t="s">
        <v>982</v>
      </c>
      <c r="I176" s="13">
        <v>42853.455648148149</v>
      </c>
      <c r="J176" s="7">
        <v>0</v>
      </c>
      <c r="K176" s="92" t="str">
        <f t="shared" si="52"/>
        <v>4011/4012</v>
      </c>
      <c r="L176" s="21" t="str">
        <f>VLOOKUP(A176,'Trips&amp;Operators'!$C$1:$G$99999,5,FALSE)</f>
        <v>MENGES BRAD</v>
      </c>
      <c r="M176" s="6">
        <f t="shared" si="53"/>
        <v>1.0451388887304347E-2</v>
      </c>
      <c r="N176" s="7">
        <f t="shared" si="69"/>
        <v>15.04999999771826</v>
      </c>
      <c r="O176" s="7"/>
      <c r="P176" s="7"/>
      <c r="Q176" s="22"/>
      <c r="R176" s="190"/>
      <c r="S176" s="196">
        <f t="shared" si="70"/>
        <v>1</v>
      </c>
      <c r="T176" s="190" t="str">
        <f t="shared" si="54"/>
        <v>Southbound</v>
      </c>
      <c r="U176" s="190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1" t="str">
        <f t="shared" si="55"/>
        <v>https://d0f6bd738d7f1b3e5a7ca70fe4ff75f0.us-east-1.aws.found.io/app/kibana#/discover/Steve-Slow-Train-Analysis-(2080s-and-2083s)?_g=(refreshInterval:(display:Off,pause:!f,section:0,value:0),time:(from:'2017-04-28T09:37:19-0600',mode:absolute,to:'2017-04-28T11:56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76" s="192" t="str">
        <f t="shared" si="56"/>
        <v>N</v>
      </c>
      <c r="X176" s="192">
        <f t="shared" si="68"/>
        <v>1</v>
      </c>
      <c r="Y176" s="192">
        <f t="shared" si="57"/>
        <v>5.8601999999999999</v>
      </c>
      <c r="Z176" s="192">
        <f t="shared" si="58"/>
        <v>6.6100000000000006E-2</v>
      </c>
      <c r="AA176" s="192">
        <f t="shared" si="59"/>
        <v>5.7941000000000003</v>
      </c>
      <c r="AB176" s="57" t="e">
        <f>VLOOKUP(A176,Enforcements!$C$7:$K$13,8,0)</f>
        <v>#N/A</v>
      </c>
      <c r="AC176" s="53" t="e">
        <f>VLOOKUP(A176,Enforcements!$C$7:$E$13,3,0)</f>
        <v>#N/A</v>
      </c>
      <c r="AD176" s="54" t="str">
        <f t="shared" si="60"/>
        <v>0816-28</v>
      </c>
      <c r="AE176" s="80" t="str">
        <f t="shared" si="61"/>
        <v>aws s3 cp s3://rtdc.mdm.uploadarchive.raw/RTDC4011/ "%USERPROFILE%\AppData\Local\Temp\OnboardLogs"\RTDC4011\2017-04-28 --exclude "*" --recursive --include "*20170428*" &amp; "%USERPROFILE%\Documents\GitHub\mrs-test-scripts\Headless Mode &amp; Sideloading\WalkAndUnGZ.bat" "%USERPROFILE%\AppData\Local\Temp\OnboardLogs"\RTDC4011\2017-04-28 &amp; aws s3 cp s3://rtdc.mdm.uploadarchive.raw/RTDC4011/ "%USERPROFILE%\AppData\Local\Temp\OnboardLogs"\RTDC4011\2017-04-29 --exclude "*" --recursive --include "*20170429*" &amp; "%USERPROFILE%\Documents\GitHub\mrs-test-scripts\Headless Mode &amp; Sideloading\WalkAndUnGZ.bat" "%USERPROFILE%\AppData\Local\Temp\OnboardLogs"\RTDC4011\2017-04-29</v>
      </c>
      <c r="AF176" s="77" t="str">
        <f t="shared" si="62"/>
        <v>"C:\Program Files (x86)\AstroGrep\AstroGrep.exe" /e /r /s /spath="%USERPROFILE%\AppData\Local\Temp\OnboardLogs" /stypes="app*4011*20170428*" /stext=" 16:.+((SYSTEM_STATE.+slice.+state.+changed )|(ment ac)|(multiple cpu faults)|(system.+state.+changed )|(\[timeout)|(PRM\|1\|D)|(kpr)|(kdp)|(train.+moving)|(\|lc)|(penalty))"</v>
      </c>
      <c r="AG176" s="1" t="str">
        <f t="shared" si="63"/>
        <v>NW</v>
      </c>
      <c r="AH176" s="81" t="str">
        <f t="shared" si="64"/>
        <v>"%USERPROFILE%\Documents\GitHub\eaglep3\Utilities\RefineRTDCRunTimes.py" --tripid 816-28 --locoid 4011 --swversion DE.1.0.9.0 --startMP 300:58602 --initTime 2017-04-28T10:37:19 --startdatetime 2017-04-28T10:41:05 --delay 1 --endMP 204:661 --enddatetime 2017-04-28T10:56:08 --enforcementcount 0 &gt;&gt;C:\Users\stu\Documents\GitHub\eaglep3-reporting\EC\2017-04-28-refined-times.txt</v>
      </c>
      <c r="AI176" s="99" t="str">
        <f t="shared" si="65"/>
        <v>echo {"issue":{"subject":"","project_id":79,"tracker_id":40,"status_id":1,"priority_id":2,"assigned_to_id":23,"start_date":"2017-04-28","description":"","custom_fields":[{"id":1,"name":"Subdivision","value":"NW"},{"id":4,"name":"Milepost","value":"0.0661"},{"id":17,"name":"Train ID","value":"816-28"},{"id":16,"name":"Locomotive ID","value":"4011"},{"id":130,"name":"Impact","value":""},{"id":150,"name":"Time of Event (Mountain Time)","value":"10:56:08"},{"id":151,"name":"Denver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6" s="47"/>
      <c r="AL176" s="47"/>
      <c r="AM176" s="145" t="str">
        <f t="shared" si="66"/>
        <v>start /low /b %USERPROFILE%\Documents\GitHub\eaglep3\Utilities\DownloadLogsFromS3.py --loco 4011 --day 2017-04-28</v>
      </c>
      <c r="AN176" s="154" t="str">
        <f t="shared" si="67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16:56:08"},{"id":29,"name":"Sharepoint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25">
      <c r="A177" s="32" t="s">
        <v>727</v>
      </c>
      <c r="B177" s="7">
        <v>4012</v>
      </c>
      <c r="C177" s="21" t="s">
        <v>211</v>
      </c>
      <c r="D177" s="21" t="s">
        <v>520</v>
      </c>
      <c r="E177" s="13">
        <v>42853.464918981481</v>
      </c>
      <c r="F177" s="13">
        <v>42853.473067129627</v>
      </c>
      <c r="G177" s="7">
        <v>1</v>
      </c>
      <c r="H177" s="21" t="s">
        <v>983</v>
      </c>
      <c r="I177" s="13">
        <v>42853.482511574075</v>
      </c>
      <c r="J177" s="7">
        <v>0</v>
      </c>
      <c r="K177" s="92" t="str">
        <f t="shared" si="52"/>
        <v>4011/4012</v>
      </c>
      <c r="L177" s="21" t="str">
        <f>VLOOKUP(A177,'Trips&amp;Operators'!$C$1:$G$99999,5,FALSE)</f>
        <v>DELGADO DIANAH</v>
      </c>
      <c r="M177" s="6">
        <f t="shared" si="53"/>
        <v>9.4444444475811906E-3</v>
      </c>
      <c r="N177" s="7">
        <f t="shared" si="69"/>
        <v>13.600000004516914</v>
      </c>
      <c r="O177" s="7"/>
      <c r="P177" s="7"/>
      <c r="Q177" s="22"/>
      <c r="R177" s="190"/>
      <c r="S177" s="196">
        <f t="shared" si="70"/>
        <v>1</v>
      </c>
      <c r="T177" s="190" t="str">
        <f t="shared" si="54"/>
        <v>NorthBound</v>
      </c>
      <c r="U177" s="190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1" t="str">
        <f t="shared" si="55"/>
        <v>https://d0f6bd738d7f1b3e5a7ca70fe4ff75f0.us-east-1.aws.found.io/app/kibana#/discover/Steve-Slow-Train-Analysis-(2080s-and-2083s)?_g=(refreshInterval:(display:Off,pause:!f,section:0,value:0),time:(from:'2017-04-28T10:09:29-0600',mode:absolute,to:'2017-04-28T12:34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77" s="192" t="str">
        <f t="shared" si="56"/>
        <v>N</v>
      </c>
      <c r="X177" s="192">
        <f t="shared" si="68"/>
        <v>1</v>
      </c>
      <c r="Y177" s="192">
        <f t="shared" si="57"/>
        <v>9.7900000000000001E-2</v>
      </c>
      <c r="Z177" s="192">
        <f t="shared" si="58"/>
        <v>5.8977000000000004</v>
      </c>
      <c r="AA177" s="192">
        <f t="shared" si="59"/>
        <v>5.7998000000000003</v>
      </c>
      <c r="AB177" s="57" t="e">
        <f>VLOOKUP(A177,Enforcements!$C$7:$K$13,8,0)</f>
        <v>#N/A</v>
      </c>
      <c r="AC177" s="53" t="e">
        <f>VLOOKUP(A177,Enforcements!$C$7:$E$13,3,0)</f>
        <v>#N/A</v>
      </c>
      <c r="AD177" s="54" t="str">
        <f t="shared" si="60"/>
        <v>0817-28</v>
      </c>
      <c r="AE177" s="80" t="str">
        <f t="shared" si="61"/>
        <v>aws s3 cp s3://rtdc.mdm.uploadarchive.raw/RTDC4012/ "%USERPROFILE%\AppData\Local\Temp\OnboardLogs"\RTDC4012\2017-04-28 --exclude "*" --recursive --include "*20170428*" &amp; "%USERPROFILE%\Documents\GitHub\mrs-test-scripts\Headless Mode &amp; Sideloading\WalkAndUnGZ.bat" "%USERPROFILE%\AppData\Local\Temp\OnboardLogs"\RTDC4012\2017-04-28 &amp; aws s3 cp s3://rtdc.mdm.uploadarchive.raw/RTDC4012/ "%USERPROFILE%\AppData\Local\Temp\OnboardLogs"\RTDC4012\2017-04-29 --exclude "*" --recursive --include "*20170429*" &amp; "%USERPROFILE%\Documents\GitHub\mrs-test-scripts\Headless Mode &amp; Sideloading\WalkAndUnGZ.bat" "%USERPROFILE%\AppData\Local\Temp\OnboardLogs"\RTDC4012\2017-04-29</v>
      </c>
      <c r="AF177" s="77" t="str">
        <f t="shared" si="62"/>
        <v>"C:\Program Files (x86)\AstroGrep\AstroGrep.exe" /e /r /s /spath="%USERPROFILE%\AppData\Local\Temp\OnboardLogs" /stypes="app*4012*20170428*" /stext=" 17:.+((SYSTEM_STATE.+slice.+state.+changed )|(ment ac)|(multiple cpu faults)|(system.+state.+changed )|(\[timeout)|(PRM\|1\|D)|(kpr)|(kdp)|(train.+moving)|(\|lc)|(penalty))"</v>
      </c>
      <c r="AG177" s="1" t="str">
        <f t="shared" si="63"/>
        <v>NW</v>
      </c>
      <c r="AH177" s="81" t="str">
        <f t="shared" si="64"/>
        <v>"%USERPROFILE%\Documents\GitHub\eaglep3\Utilities\RefineRTDCRunTimes.py" --tripid 817-28 --locoid 4012 --swversion DE.1.0.9.0 --startMP 204:979 --initTime 2017-04-28T11:09:29 --startdatetime 2017-04-28T11:21:13 --delay 1 --endMP 300:58977 --enddatetime 2017-04-28T11:34:49 --enforcementcount 0 &gt;&gt;C:\Users\stu\Documents\GitHub\eaglep3-reporting\EC\2017-04-28-refined-times.txt</v>
      </c>
      <c r="AI177" s="99" t="str">
        <f t="shared" si="65"/>
        <v>echo {"issue":{"subject":"","project_id":79,"tracker_id":40,"status_id":1,"priority_id":2,"assigned_to_id":23,"start_date":"2017-04-28","description":"","custom_fields":[{"id":1,"name":"Subdivision","value":"NW"},{"id":4,"name":"Milepost","value":"5.8977"},{"id":17,"name":"Train ID","value":"817-28"},{"id":16,"name":"Locomotive ID","value":"4012"},{"id":130,"name":"Impact","value":""},{"id":150,"name":"Time of Event (Mountain Time)","value":"11:34:49"},{"id":151,"name":"Denver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7" s="47"/>
      <c r="AL177" s="47"/>
      <c r="AM177" s="145" t="str">
        <f t="shared" si="66"/>
        <v>start /low /b %USERPROFILE%\Documents\GitHub\eaglep3\Utilities\DownloadLogsFromS3.py --loco 4012 --day 2017-04-28</v>
      </c>
      <c r="AN177" s="154" t="str">
        <f t="shared" si="67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17:34:49"},{"id":29,"name":"Sharepoint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25">
      <c r="A178" s="32" t="s">
        <v>730</v>
      </c>
      <c r="B178" s="7">
        <v>4011</v>
      </c>
      <c r="C178" s="21" t="s">
        <v>211</v>
      </c>
      <c r="D178" s="21" t="s">
        <v>984</v>
      </c>
      <c r="E178" s="13">
        <v>42853.483530092592</v>
      </c>
      <c r="F178" s="13">
        <v>42853.486296296294</v>
      </c>
      <c r="G178" s="7">
        <v>1</v>
      </c>
      <c r="H178" s="21" t="s">
        <v>521</v>
      </c>
      <c r="I178" s="13">
        <v>42853.496689814812</v>
      </c>
      <c r="J178" s="7">
        <v>0</v>
      </c>
      <c r="K178" s="92" t="str">
        <f t="shared" si="52"/>
        <v>4011/4012</v>
      </c>
      <c r="L178" s="21" t="str">
        <f>VLOOKUP(A178,'Trips&amp;Operators'!$C$1:$G$99999,5,FALSE)</f>
        <v>DELGADO DIANAH</v>
      </c>
      <c r="M178" s="6">
        <f t="shared" si="53"/>
        <v>1.0393518517958E-2</v>
      </c>
      <c r="N178" s="7">
        <f t="shared" si="69"/>
        <v>14.96666666585952</v>
      </c>
      <c r="O178" s="7"/>
      <c r="P178" s="7"/>
      <c r="Q178" s="22"/>
      <c r="R178" s="190"/>
      <c r="S178" s="196">
        <f t="shared" si="70"/>
        <v>1</v>
      </c>
      <c r="T178" s="190" t="str">
        <f t="shared" si="54"/>
        <v>Southbound</v>
      </c>
      <c r="U178" s="190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1" t="str">
        <f t="shared" si="55"/>
        <v>https://d0f6bd738d7f1b3e5a7ca70fe4ff75f0.us-east-1.aws.found.io/app/kibana#/discover/Steve-Slow-Train-Analysis-(2080s-and-2083s)?_g=(refreshInterval:(display:Off,pause:!f,section:0,value:0),time:(from:'2017-04-28T10:36:17-0600',mode:absolute,to:'2017-04-28T12:55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78" s="192" t="str">
        <f t="shared" si="56"/>
        <v>N</v>
      </c>
      <c r="X178" s="192">
        <f t="shared" si="68"/>
        <v>1</v>
      </c>
      <c r="Y178" s="192">
        <f t="shared" si="57"/>
        <v>5.867</v>
      </c>
      <c r="Z178" s="192">
        <f t="shared" si="58"/>
        <v>6.9900000000000004E-2</v>
      </c>
      <c r="AA178" s="192">
        <f t="shared" si="59"/>
        <v>5.7971000000000004</v>
      </c>
      <c r="AB178" s="57" t="e">
        <f>VLOOKUP(A178,Enforcements!$C$7:$K$13,8,0)</f>
        <v>#N/A</v>
      </c>
      <c r="AC178" s="53" t="e">
        <f>VLOOKUP(A178,Enforcements!$C$7:$E$13,3,0)</f>
        <v>#N/A</v>
      </c>
      <c r="AD178" s="54" t="str">
        <f t="shared" si="60"/>
        <v>0818-28</v>
      </c>
      <c r="AE178" s="80" t="str">
        <f t="shared" si="61"/>
        <v>aws s3 cp s3://rtdc.mdm.uploadarchive.raw/RTDC4011/ "%USERPROFILE%\AppData\Local\Temp\OnboardLogs"\RTDC4011\2017-04-28 --exclude "*" --recursive --include "*20170428*" &amp; "%USERPROFILE%\Documents\GitHub\mrs-test-scripts\Headless Mode &amp; Sideloading\WalkAndUnGZ.bat" "%USERPROFILE%\AppData\Local\Temp\OnboardLogs"\RTDC4011\2017-04-28 &amp; aws s3 cp s3://rtdc.mdm.uploadarchive.raw/RTDC4011/ "%USERPROFILE%\AppData\Local\Temp\OnboardLogs"\RTDC4011\2017-04-29 --exclude "*" --recursive --include "*20170429*" &amp; "%USERPROFILE%\Documents\GitHub\mrs-test-scripts\Headless Mode &amp; Sideloading\WalkAndUnGZ.bat" "%USERPROFILE%\AppData\Local\Temp\OnboardLogs"\RTDC4011\2017-04-29</v>
      </c>
      <c r="AF178" s="77" t="str">
        <f t="shared" si="62"/>
        <v>"C:\Program Files (x86)\AstroGrep\AstroGrep.exe" /e /r /s /spath="%USERPROFILE%\AppData\Local\Temp\OnboardLogs" /stypes="app*4011*20170428*" /stext=" 17:.+((SYSTEM_STATE.+slice.+state.+changed )|(ment ac)|(multiple cpu faults)|(system.+state.+changed )|(\[timeout)|(PRM\|1\|D)|(kpr)|(kdp)|(train.+moving)|(\|lc)|(penalty))"</v>
      </c>
      <c r="AG178" s="1" t="str">
        <f t="shared" si="63"/>
        <v>NW</v>
      </c>
      <c r="AH178" s="81" t="str">
        <f t="shared" si="64"/>
        <v>"%USERPROFILE%\Documents\GitHub\eaglep3\Utilities\RefineRTDCRunTimes.py" --tripid 818-28 --locoid 4011 --swversion DE.1.0.9.0 --startMP 300:58670 --initTime 2017-04-28T11:36:17 --startdatetime 2017-04-28T11:40:16 --delay 1 --endMP 204:699 --enddatetime 2017-04-28T11:55:14 --enforcementcount 0 &gt;&gt;C:\Users\stu\Documents\GitHub\eaglep3-reporting\EC\2017-04-28-refined-times.txt</v>
      </c>
      <c r="AI178" s="99" t="str">
        <f t="shared" si="65"/>
        <v>echo {"issue":{"subject":"","project_id":79,"tracker_id":40,"status_id":1,"priority_id":2,"assigned_to_id":23,"start_date":"2017-04-28","description":"","custom_fields":[{"id":1,"name":"Subdivision","value":"NW"},{"id":4,"name":"Milepost","value":"0.0699"},{"id":17,"name":"Train ID","value":"818-28"},{"id":16,"name":"Locomotive ID","value":"4011"},{"id":130,"name":"Impact","value":""},{"id":150,"name":"Time of Event (Mountain Time)","value":"11:55:14"},{"id":151,"name":"Denver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8" s="47"/>
      <c r="AL178" s="47"/>
      <c r="AM178" s="145" t="str">
        <f t="shared" si="66"/>
        <v>start /low /b %USERPROFILE%\Documents\GitHub\eaglep3\Utilities\DownloadLogsFromS3.py --loco 4011 --day 2017-04-28</v>
      </c>
      <c r="AN178" s="154" t="str">
        <f t="shared" si="67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17:55:14"},{"id":29,"name":"Sharepoint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x14ac:dyDescent="0.25">
      <c r="A179" s="32" t="s">
        <v>735</v>
      </c>
      <c r="B179" s="7">
        <v>4012</v>
      </c>
      <c r="C179" s="21" t="s">
        <v>211</v>
      </c>
      <c r="D179" s="21" t="s">
        <v>985</v>
      </c>
      <c r="E179" s="13">
        <v>42853.504988425928</v>
      </c>
      <c r="F179" s="13">
        <v>42853.514849537038</v>
      </c>
      <c r="G179" s="7">
        <v>1</v>
      </c>
      <c r="H179" s="21" t="s">
        <v>493</v>
      </c>
      <c r="I179" s="13">
        <v>42853.524375000001</v>
      </c>
      <c r="J179" s="7">
        <v>0</v>
      </c>
      <c r="K179" s="92" t="str">
        <f t="shared" si="52"/>
        <v>4011/4012</v>
      </c>
      <c r="L179" s="21" t="str">
        <f>VLOOKUP(A179,'Trips&amp;Operators'!$C$1:$G$99999,5,FALSE)</f>
        <v>DE LA ROSA ALEX</v>
      </c>
      <c r="M179" s="6">
        <f t="shared" si="53"/>
        <v>9.5254629632108845E-3</v>
      </c>
      <c r="N179" s="7">
        <f t="shared" si="69"/>
        <v>13.716666667023674</v>
      </c>
      <c r="O179" s="7"/>
      <c r="P179" s="7"/>
      <c r="Q179" s="22"/>
      <c r="R179" s="190"/>
      <c r="S179" s="196">
        <f t="shared" si="70"/>
        <v>1</v>
      </c>
      <c r="T179" s="190" t="str">
        <f t="shared" si="54"/>
        <v>NorthBound</v>
      </c>
      <c r="U179" s="190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1" t="str">
        <f t="shared" si="55"/>
        <v>https://d0f6bd738d7f1b3e5a7ca70fe4ff75f0.us-east-1.aws.found.io/app/kibana#/discover/Steve-Slow-Train-Analysis-(2080s-and-2083s)?_g=(refreshInterval:(display:Off,pause:!f,section:0,value:0),time:(from:'2017-04-28T11:07:11-0600',mode:absolute,to:'2017-04-28T13:35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79" s="192" t="str">
        <f t="shared" si="56"/>
        <v>N</v>
      </c>
      <c r="X179" s="192">
        <f t="shared" si="68"/>
        <v>1</v>
      </c>
      <c r="Y179" s="192">
        <f t="shared" si="57"/>
        <v>9.6699999999999994E-2</v>
      </c>
      <c r="Z179" s="192">
        <f t="shared" si="58"/>
        <v>5.8940999999999999</v>
      </c>
      <c r="AA179" s="192">
        <f t="shared" si="59"/>
        <v>5.7973999999999997</v>
      </c>
      <c r="AB179" s="57" t="e">
        <f>VLOOKUP(A179,Enforcements!$C$7:$K$13,8,0)</f>
        <v>#N/A</v>
      </c>
      <c r="AC179" s="53" t="e">
        <f>VLOOKUP(A179,Enforcements!$C$7:$E$13,3,0)</f>
        <v>#N/A</v>
      </c>
      <c r="AD179" s="54" t="str">
        <f t="shared" si="60"/>
        <v>0819-28</v>
      </c>
      <c r="AE179" s="80" t="str">
        <f t="shared" si="61"/>
        <v>aws s3 cp s3://rtdc.mdm.uploadarchive.raw/RTDC4012/ "%USERPROFILE%\AppData\Local\Temp\OnboardLogs"\RTDC4012\2017-04-28 --exclude "*" --recursive --include "*20170428*" &amp; "%USERPROFILE%\Documents\GitHub\mrs-test-scripts\Headless Mode &amp; Sideloading\WalkAndUnGZ.bat" "%USERPROFILE%\AppData\Local\Temp\OnboardLogs"\RTDC4012\2017-04-28 &amp; aws s3 cp s3://rtdc.mdm.uploadarchive.raw/RTDC4012/ "%USERPROFILE%\AppData\Local\Temp\OnboardLogs"\RTDC4012\2017-04-29 --exclude "*" --recursive --include "*20170429*" &amp; "%USERPROFILE%\Documents\GitHub\mrs-test-scripts\Headless Mode &amp; Sideloading\WalkAndUnGZ.bat" "%USERPROFILE%\AppData\Local\Temp\OnboardLogs"\RTDC4012\2017-04-29</v>
      </c>
      <c r="AF179" s="77" t="str">
        <f t="shared" si="62"/>
        <v>"C:\Program Files (x86)\AstroGrep\AstroGrep.exe" /e /r /s /spath="%USERPROFILE%\AppData\Local\Temp\OnboardLogs" /stypes="app*4012*20170428*" /stext=" 18:.+((SYSTEM_STATE.+slice.+state.+changed )|(ment ac)|(multiple cpu faults)|(system.+state.+changed )|(\[timeout)|(PRM\|1\|D)|(kpr)|(kdp)|(train.+moving)|(\|lc)|(penalty))"</v>
      </c>
      <c r="AG179" s="1" t="str">
        <f t="shared" si="63"/>
        <v>NW</v>
      </c>
      <c r="AH179" s="81" t="str">
        <f t="shared" si="64"/>
        <v>"%USERPROFILE%\Documents\GitHub\eaglep3\Utilities\RefineRTDCRunTimes.py" --tripid 819-28 --locoid 4012 --swversion DE.1.0.9.0 --startMP 204:967 --initTime 2017-04-28T12:07:11 --startdatetime 2017-04-28T12:21:23 --delay 1 --endMP 300:58941 --enddatetime 2017-04-28T12:35:06 --enforcementcount 0 &gt;&gt;C:\Users\stu\Documents\GitHub\eaglep3-reporting\EC\2017-04-28-refined-times.txt</v>
      </c>
      <c r="AI179" s="99" t="str">
        <f t="shared" si="65"/>
        <v>echo {"issue":{"subject":"","project_id":79,"tracker_id":40,"status_id":1,"priority_id":2,"assigned_to_id":23,"start_date":"2017-04-28","description":"","custom_fields":[{"id":1,"name":"Subdivision","value":"NW"},{"id":4,"name":"Milepost","value":"5.8941"},{"id":17,"name":"Train ID","value":"819-28"},{"id":16,"name":"Locomotive ID","value":"4012"},{"id":130,"name":"Impact","value":""},{"id":150,"name":"Time of Event (Mountain Time)","value":"12:35:06"},{"id":151,"name":"Denver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7"/>
      <c r="AL179" s="47"/>
      <c r="AM179" s="145" t="str">
        <f t="shared" si="66"/>
        <v>start /low /b %USERPROFILE%\Documents\GitHub\eaglep3\Utilities\DownloadLogsFromS3.py --loco 4012 --day 2017-04-28</v>
      </c>
      <c r="AN179" s="154" t="str">
        <f t="shared" si="67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18:35:06"},{"id":29,"name":"Sharepoint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0" spans="1:91" s="20" customFormat="1" x14ac:dyDescent="0.25">
      <c r="A180" s="32" t="s">
        <v>739</v>
      </c>
      <c r="B180" s="7">
        <v>4011</v>
      </c>
      <c r="C180" s="21" t="s">
        <v>211</v>
      </c>
      <c r="D180" s="21" t="s">
        <v>986</v>
      </c>
      <c r="E180" s="13">
        <v>42853.525416666664</v>
      </c>
      <c r="F180" s="13">
        <v>42853.527418981481</v>
      </c>
      <c r="G180" s="7">
        <v>1</v>
      </c>
      <c r="H180" s="21" t="s">
        <v>582</v>
      </c>
      <c r="I180" s="13">
        <v>42853.538449074076</v>
      </c>
      <c r="J180" s="7">
        <v>0</v>
      </c>
      <c r="K180" s="92" t="str">
        <f t="shared" si="52"/>
        <v>4011/4012</v>
      </c>
      <c r="L180" s="21" t="str">
        <f>VLOOKUP(A180,'Trips&amp;Operators'!$C$1:$G$99999,5,FALSE)</f>
        <v>DE LA ROSA ALEX</v>
      </c>
      <c r="M180" s="6">
        <f t="shared" si="53"/>
        <v>1.1030092595319729E-2</v>
      </c>
      <c r="N180" s="7">
        <f t="shared" si="69"/>
        <v>15.88333333726041</v>
      </c>
      <c r="O180" s="7"/>
      <c r="P180" s="7"/>
      <c r="Q180" s="22"/>
      <c r="R180" s="190"/>
      <c r="S180" s="196">
        <f t="shared" si="70"/>
        <v>1</v>
      </c>
      <c r="T180" s="190" t="str">
        <f t="shared" si="54"/>
        <v>Southbound</v>
      </c>
      <c r="U180" s="190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1" t="str">
        <f t="shared" si="55"/>
        <v>https://d0f6bd738d7f1b3e5a7ca70fe4ff75f0.us-east-1.aws.found.io/app/kibana#/discover/Steve-Slow-Train-Analysis-(2080s-and-2083s)?_g=(refreshInterval:(display:Off,pause:!f,section:0,value:0),time:(from:'2017-04-28T11:36:36-0600',mode:absolute,to:'2017-04-28T13:55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80" s="192" t="str">
        <f t="shared" si="56"/>
        <v>N</v>
      </c>
      <c r="X180" s="192">
        <f t="shared" si="68"/>
        <v>1</v>
      </c>
      <c r="Y180" s="192">
        <f t="shared" si="57"/>
        <v>5.8619000000000003</v>
      </c>
      <c r="Z180" s="192">
        <f t="shared" si="58"/>
        <v>6.8900000000000003E-2</v>
      </c>
      <c r="AA180" s="192">
        <f t="shared" si="59"/>
        <v>5.7930000000000001</v>
      </c>
      <c r="AB180" s="57" t="e">
        <f>VLOOKUP(A180,Enforcements!$C$7:$K$13,8,0)</f>
        <v>#N/A</v>
      </c>
      <c r="AC180" s="53" t="e">
        <f>VLOOKUP(A180,Enforcements!$C$7:$E$13,3,0)</f>
        <v>#N/A</v>
      </c>
      <c r="AD180" s="54" t="str">
        <f t="shared" si="60"/>
        <v>0820-28</v>
      </c>
      <c r="AE180" s="80" t="str">
        <f t="shared" si="61"/>
        <v>aws s3 cp s3://rtdc.mdm.uploadarchive.raw/RTDC4011/ "%USERPROFILE%\AppData\Local\Temp\OnboardLogs"\RTDC4011\2017-04-28 --exclude "*" --recursive --include "*20170428*" &amp; "%USERPROFILE%\Documents\GitHub\mrs-test-scripts\Headless Mode &amp; Sideloading\WalkAndUnGZ.bat" "%USERPROFILE%\AppData\Local\Temp\OnboardLogs"\RTDC4011\2017-04-28 &amp; aws s3 cp s3://rtdc.mdm.uploadarchive.raw/RTDC4011/ "%USERPROFILE%\AppData\Local\Temp\OnboardLogs"\RTDC4011\2017-04-29 --exclude "*" --recursive --include "*20170429*" &amp; "%USERPROFILE%\Documents\GitHub\mrs-test-scripts\Headless Mode &amp; Sideloading\WalkAndUnGZ.bat" "%USERPROFILE%\AppData\Local\Temp\OnboardLogs"\RTDC4011\2017-04-29</v>
      </c>
      <c r="AF180" s="77" t="str">
        <f t="shared" si="62"/>
        <v>"C:\Program Files (x86)\AstroGrep\AstroGrep.exe" /e /r /s /spath="%USERPROFILE%\AppData\Local\Temp\OnboardLogs" /stypes="app*4011*20170428*" /stext=" 18:.+((SYSTEM_STATE.+slice.+state.+changed )|(ment ac)|(multiple cpu faults)|(system.+state.+changed )|(\[timeout)|(PRM\|1\|D)|(kpr)|(kdp)|(train.+moving)|(\|lc)|(penalty))"</v>
      </c>
      <c r="AG180" s="1" t="str">
        <f t="shared" si="63"/>
        <v>NW</v>
      </c>
      <c r="AH180" s="81" t="str">
        <f t="shared" si="64"/>
        <v>"%USERPROFILE%\Documents\GitHub\eaglep3\Utilities\RefineRTDCRunTimes.py" --tripid 820-28 --locoid 4011 --swversion DE.1.0.9.0 --startMP 300:58619 --initTime 2017-04-28T12:36:36 --startdatetime 2017-04-28T12:39:29 --delay 1 --endMP 204:689 --enddatetime 2017-04-28T12:55:22 --enforcementcount 0 &gt;&gt;C:\Users\stu\Documents\GitHub\eaglep3-reporting\EC\2017-04-28-refined-times.txt</v>
      </c>
      <c r="AI180" s="99" t="str">
        <f t="shared" si="65"/>
        <v>echo {"issue":{"subject":"","project_id":79,"tracker_id":40,"status_id":1,"priority_id":2,"assigned_to_id":23,"start_date":"2017-04-28","description":"","custom_fields":[{"id":1,"name":"Subdivision","value":"NW"},{"id":4,"name":"Milepost","value":"0.0689"},{"id":17,"name":"Train ID","value":"820-28"},{"id":16,"name":"Locomotive ID","value":"4011"},{"id":130,"name":"Impact","value":""},{"id":150,"name":"Time of Event (Mountain Time)","value":"12:55:22"},{"id":151,"name":"Denver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0" s="47"/>
      <c r="AL180" s="47"/>
      <c r="AM180" s="145" t="str">
        <f t="shared" si="66"/>
        <v>start /low /b %USERPROFILE%\Documents\GitHub\eaglep3\Utilities\DownloadLogsFromS3.py --loco 4011 --day 2017-04-28</v>
      </c>
      <c r="AN180" s="154" t="str">
        <f t="shared" si="67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18:55:22"},{"id":29,"name":"Sharepoint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x14ac:dyDescent="0.25">
      <c r="A181" s="32" t="s">
        <v>615</v>
      </c>
      <c r="B181" s="7">
        <v>4012</v>
      </c>
      <c r="C181" s="21" t="s">
        <v>211</v>
      </c>
      <c r="D181" s="21" t="s">
        <v>987</v>
      </c>
      <c r="E181" s="13">
        <v>42853.55201388889</v>
      </c>
      <c r="F181" s="13">
        <v>42853.556493055556</v>
      </c>
      <c r="G181" s="7">
        <v>2</v>
      </c>
      <c r="H181" s="21" t="s">
        <v>988</v>
      </c>
      <c r="I181" s="13">
        <v>42853.566041666665</v>
      </c>
      <c r="J181" s="7">
        <v>0</v>
      </c>
      <c r="K181" s="92" t="str">
        <f t="shared" si="52"/>
        <v>4011/4012</v>
      </c>
      <c r="L181" s="21" t="str">
        <f>VLOOKUP(A181,'Trips&amp;Operators'!$C$1:$G$99999,5,FALSE)</f>
        <v>THOMPSON LESTER</v>
      </c>
      <c r="M181" s="6">
        <f t="shared" si="53"/>
        <v>9.5486111094942316E-3</v>
      </c>
      <c r="N181" s="7">
        <f t="shared" si="69"/>
        <v>13.749999997671694</v>
      </c>
      <c r="O181" s="7"/>
      <c r="P181" s="7"/>
      <c r="Q181" s="22"/>
      <c r="R181" s="190"/>
      <c r="S181" s="196">
        <f t="shared" si="70"/>
        <v>1</v>
      </c>
      <c r="T181" s="190" t="str">
        <f t="shared" si="54"/>
        <v>NorthBound</v>
      </c>
      <c r="U181" s="190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1" t="str">
        <f t="shared" si="55"/>
        <v>https://d0f6bd738d7f1b3e5a7ca70fe4ff75f0.us-east-1.aws.found.io/app/kibana#/discover/Steve-Slow-Train-Analysis-(2080s-and-2083s)?_g=(refreshInterval:(display:Off,pause:!f,section:0,value:0),time:(from:'2017-04-28T12:14:54-0600',mode:absolute,to:'2017-04-28T14:35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81" s="192" t="str">
        <f t="shared" si="56"/>
        <v>N</v>
      </c>
      <c r="X181" s="192">
        <f t="shared" si="68"/>
        <v>1</v>
      </c>
      <c r="Y181" s="192">
        <f t="shared" si="57"/>
        <v>9.9699999999999997E-2</v>
      </c>
      <c r="Z181" s="192">
        <f t="shared" si="58"/>
        <v>5.8895</v>
      </c>
      <c r="AA181" s="192">
        <f t="shared" si="59"/>
        <v>5.7897999999999996</v>
      </c>
      <c r="AB181" s="57" t="e">
        <f>VLOOKUP(A181,Enforcements!$C$7:$K$13,8,0)</f>
        <v>#N/A</v>
      </c>
      <c r="AC181" s="53" t="e">
        <f>VLOOKUP(A181,Enforcements!$C$7:$E$13,3,0)</f>
        <v>#N/A</v>
      </c>
      <c r="AD181" s="54" t="str">
        <f t="shared" si="60"/>
        <v>0821-28</v>
      </c>
      <c r="AE181" s="80" t="str">
        <f t="shared" si="61"/>
        <v>aws s3 cp s3://rtdc.mdm.uploadarchive.raw/RTDC4012/ "%USERPROFILE%\AppData\Local\Temp\OnboardLogs"\RTDC4012\2017-04-28 --exclude "*" --recursive --include "*20170428*" &amp; "%USERPROFILE%\Documents\GitHub\mrs-test-scripts\Headless Mode &amp; Sideloading\WalkAndUnGZ.bat" "%USERPROFILE%\AppData\Local\Temp\OnboardLogs"\RTDC4012\2017-04-28 &amp; aws s3 cp s3://rtdc.mdm.uploadarchive.raw/RTDC4012/ "%USERPROFILE%\AppData\Local\Temp\OnboardLogs"\RTDC4012\2017-04-29 --exclude "*" --recursive --include "*20170429*" &amp; "%USERPROFILE%\Documents\GitHub\mrs-test-scripts\Headless Mode &amp; Sideloading\WalkAndUnGZ.bat" "%USERPROFILE%\AppData\Local\Temp\OnboardLogs"\RTDC4012\2017-04-29</v>
      </c>
      <c r="AF181" s="77" t="str">
        <f t="shared" si="62"/>
        <v>"C:\Program Files (x86)\AstroGrep\AstroGrep.exe" /e /r /s /spath="%USERPROFILE%\AppData\Local\Temp\OnboardLogs" /stypes="app*4012*20170428*" /stext=" 19:.+((SYSTEM_STATE.+slice.+state.+changed )|(ment ac)|(multiple cpu faults)|(system.+state.+changed )|(\[timeout)|(PRM\|1\|D)|(kpr)|(kdp)|(train.+moving)|(\|lc)|(penalty))"</v>
      </c>
      <c r="AG181" s="1" t="str">
        <f t="shared" si="63"/>
        <v>NW</v>
      </c>
      <c r="AH181" s="81" t="str">
        <f t="shared" si="64"/>
        <v>"%USERPROFILE%\Documents\GitHub\eaglep3\Utilities\RefineRTDCRunTimes.py" --tripid 821-28 --locoid 4012 --swversion DE.1.0.9.0 --startMP 204:997 --initTime 2017-04-28T13:14:54 --startdatetime 2017-04-28T13:21:21 --delay 2 --endMP 300:58895 --enddatetime 2017-04-28T13:35:06 --enforcementcount 0 &gt;&gt;C:\Users\stu\Documents\GitHub\eaglep3-reporting\EC\2017-04-28-refined-times.txt</v>
      </c>
      <c r="AI181" s="99" t="str">
        <f t="shared" si="65"/>
        <v>echo {"issue":{"subject":"","project_id":79,"tracker_id":40,"status_id":1,"priority_id":2,"assigned_to_id":23,"start_date":"2017-04-28","description":"","custom_fields":[{"id":1,"name":"Subdivision","value":"NW"},{"id":4,"name":"Milepost","value":"5.8895"},{"id":17,"name":"Train ID","value":"821-28"},{"id":16,"name":"Locomotive ID","value":"4012"},{"id":130,"name":"Impact","value":""},{"id":150,"name":"Time of Event (Mountain Time)","value":"13:35:06"},{"id":151,"name":"Denver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7"/>
      <c r="AL181" s="47"/>
      <c r="AM181" s="145" t="str">
        <f t="shared" si="66"/>
        <v>start /low /b %USERPROFILE%\Documents\GitHub\eaglep3\Utilities\DownloadLogsFromS3.py --loco 4012 --day 2017-04-28</v>
      </c>
      <c r="AN181" s="154" t="str">
        <f t="shared" si="67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19:35:06"},{"id":29,"name":"Sharepoint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2" spans="1:91" x14ac:dyDescent="0.25">
      <c r="A182" s="32" t="s">
        <v>747</v>
      </c>
      <c r="B182" s="7">
        <v>4011</v>
      </c>
      <c r="C182" s="21" t="s">
        <v>211</v>
      </c>
      <c r="D182" s="21" t="s">
        <v>989</v>
      </c>
      <c r="E182" s="13">
        <v>42853.567094907405</v>
      </c>
      <c r="F182" s="13">
        <v>42853.569108796299</v>
      </c>
      <c r="G182" s="7">
        <v>1</v>
      </c>
      <c r="H182" s="21" t="s">
        <v>581</v>
      </c>
      <c r="I182" s="13">
        <v>42853.580509259256</v>
      </c>
      <c r="J182" s="7">
        <v>0</v>
      </c>
      <c r="K182" s="92" t="str">
        <f t="shared" si="52"/>
        <v>4011/4012</v>
      </c>
      <c r="L182" s="21" t="str">
        <f>VLOOKUP(A182,'Trips&amp;Operators'!$C$1:$G$99999,5,FALSE)</f>
        <v>THOMPSON LESTER</v>
      </c>
      <c r="M182" s="6">
        <f t="shared" si="53"/>
        <v>1.1400462957681157E-2</v>
      </c>
      <c r="N182" s="7">
        <f t="shared" si="69"/>
        <v>16.416666659060866</v>
      </c>
      <c r="O182" s="7"/>
      <c r="P182" s="7"/>
      <c r="Q182" s="22"/>
      <c r="R182" s="190"/>
      <c r="S182" s="196">
        <f t="shared" si="70"/>
        <v>1</v>
      </c>
      <c r="T182" s="190" t="str">
        <f t="shared" si="54"/>
        <v>Southbound</v>
      </c>
      <c r="U182" s="190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1" t="str">
        <f t="shared" si="55"/>
        <v>https://d0f6bd738d7f1b3e5a7ca70fe4ff75f0.us-east-1.aws.found.io/app/kibana#/discover/Steve-Slow-Train-Analysis-(2080s-and-2083s)?_g=(refreshInterval:(display:Off,pause:!f,section:0,value:0),time:(from:'2017-04-28T12:36:37-0600',mode:absolute,to:'2017-04-28T14:55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82" s="192" t="str">
        <f t="shared" si="56"/>
        <v>N</v>
      </c>
      <c r="X182" s="192">
        <f t="shared" si="68"/>
        <v>1</v>
      </c>
      <c r="Y182" s="192">
        <f t="shared" si="57"/>
        <v>5.8586999999999998</v>
      </c>
      <c r="Z182" s="192">
        <f t="shared" si="58"/>
        <v>6.7500000000000004E-2</v>
      </c>
      <c r="AA182" s="192">
        <f t="shared" si="59"/>
        <v>5.7911999999999999</v>
      </c>
      <c r="AB182" s="57" t="e">
        <f>VLOOKUP(A182,Enforcements!$C$7:$K$13,8,0)</f>
        <v>#N/A</v>
      </c>
      <c r="AC182" s="53" t="e">
        <f>VLOOKUP(A182,Enforcements!$C$7:$E$13,3,0)</f>
        <v>#N/A</v>
      </c>
      <c r="AD182" s="54" t="str">
        <f t="shared" si="60"/>
        <v>0822-28</v>
      </c>
      <c r="AE182" s="80" t="str">
        <f t="shared" si="61"/>
        <v>aws s3 cp s3://rtdc.mdm.uploadarchive.raw/RTDC4011/ "%USERPROFILE%\AppData\Local\Temp\OnboardLogs"\RTDC4011\2017-04-28 --exclude "*" --recursive --include "*20170428*" &amp; "%USERPROFILE%\Documents\GitHub\mrs-test-scripts\Headless Mode &amp; Sideloading\WalkAndUnGZ.bat" "%USERPROFILE%\AppData\Local\Temp\OnboardLogs"\RTDC4011\2017-04-28 &amp; aws s3 cp s3://rtdc.mdm.uploadarchive.raw/RTDC4011/ "%USERPROFILE%\AppData\Local\Temp\OnboardLogs"\RTDC4011\2017-04-29 --exclude "*" --recursive --include "*20170429*" &amp; "%USERPROFILE%\Documents\GitHub\mrs-test-scripts\Headless Mode &amp; Sideloading\WalkAndUnGZ.bat" "%USERPROFILE%\AppData\Local\Temp\OnboardLogs"\RTDC4011\2017-04-29</v>
      </c>
      <c r="AF182" s="77" t="str">
        <f t="shared" si="62"/>
        <v>"C:\Program Files (x86)\AstroGrep\AstroGrep.exe" /e /r /s /spath="%USERPROFILE%\AppData\Local\Temp\OnboardLogs" /stypes="app*4011*20170428*" /stext=" 19:.+((SYSTEM_STATE.+slice.+state.+changed )|(ment ac)|(multiple cpu faults)|(system.+state.+changed )|(\[timeout)|(PRM\|1\|D)|(kpr)|(kdp)|(train.+moving)|(\|lc)|(penalty))"</v>
      </c>
      <c r="AG182" s="1" t="str">
        <f t="shared" si="63"/>
        <v>NW</v>
      </c>
      <c r="AH182" s="81" t="str">
        <f t="shared" si="64"/>
        <v>"%USERPROFILE%\Documents\GitHub\eaglep3\Utilities\RefineRTDCRunTimes.py" --tripid 822-28 --locoid 4011 --swversion DE.1.0.9.0 --startMP 300:58587 --initTime 2017-04-28T13:36:37 --startdatetime 2017-04-28T13:39:31 --delay 1 --endMP 204:675 --enddatetime 2017-04-28T13:55:56 --enforcementcount 0 &gt;&gt;C:\Users\stu\Documents\GitHub\eaglep3-reporting\EC\2017-04-28-refined-times.txt</v>
      </c>
      <c r="AI182" s="99" t="str">
        <f t="shared" si="65"/>
        <v>echo {"issue":{"subject":"","project_id":79,"tracker_id":40,"status_id":1,"priority_id":2,"assigned_to_id":23,"start_date":"2017-04-28","description":"","custom_fields":[{"id":1,"name":"Subdivision","value":"NW"},{"id":4,"name":"Milepost","value":"0.0675"},{"id":17,"name":"Train ID","value":"822-28"},{"id":16,"name":"Locomotive ID","value":"4011"},{"id":130,"name":"Impact","value":""},{"id":150,"name":"Time of Event (Mountain Time)","value":"13:55:56"},{"id":151,"name":"Denver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7"/>
      <c r="AL182" s="47"/>
      <c r="AM182" s="145" t="str">
        <f t="shared" si="66"/>
        <v>start /low /b %USERPROFILE%\Documents\GitHub\eaglep3\Utilities\DownloadLogsFromS3.py --loco 4011 --day 2017-04-28</v>
      </c>
      <c r="AN182" s="154" t="str">
        <f t="shared" si="67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19:55:56"},{"id":29,"name":"Sharepoint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3" spans="1:91" s="20" customFormat="1" x14ac:dyDescent="0.25">
      <c r="A183" s="32" t="s">
        <v>752</v>
      </c>
      <c r="B183" s="7">
        <v>4012</v>
      </c>
      <c r="C183" s="21" t="s">
        <v>211</v>
      </c>
      <c r="D183" s="21" t="s">
        <v>492</v>
      </c>
      <c r="E183" s="13">
        <v>42853.593182870369</v>
      </c>
      <c r="F183" s="13">
        <v>42853.598090277781</v>
      </c>
      <c r="G183" s="7">
        <v>1</v>
      </c>
      <c r="H183" s="21" t="s">
        <v>990</v>
      </c>
      <c r="I183" s="13">
        <v>42853.607511574075</v>
      </c>
      <c r="J183" s="7">
        <v>0</v>
      </c>
      <c r="K183" s="92" t="str">
        <f t="shared" si="52"/>
        <v>4011/4012</v>
      </c>
      <c r="L183" s="21" t="str">
        <f>VLOOKUP(A183,'Trips&amp;Operators'!$C$1:$G$99999,5,FALSE)</f>
        <v>THOMPSON LESTER</v>
      </c>
      <c r="M183" s="6">
        <f t="shared" si="53"/>
        <v>9.4212962940218858E-3</v>
      </c>
      <c r="N183" s="7">
        <f t="shared" si="69"/>
        <v>13.566666663391516</v>
      </c>
      <c r="O183" s="7"/>
      <c r="P183" s="7"/>
      <c r="Q183" s="22"/>
      <c r="R183" s="190"/>
      <c r="S183" s="196">
        <f t="shared" si="70"/>
        <v>1</v>
      </c>
      <c r="T183" s="190" t="str">
        <f t="shared" si="54"/>
        <v>NorthBound</v>
      </c>
      <c r="U183" s="190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1" t="str">
        <f t="shared" si="55"/>
        <v>https://d0f6bd738d7f1b3e5a7ca70fe4ff75f0.us-east-1.aws.found.io/app/kibana#/discover/Steve-Slow-Train-Analysis-(2080s-and-2083s)?_g=(refreshInterval:(display:Off,pause:!f,section:0,value:0),time:(from:'2017-04-28T13:14:11-0600',mode:absolute,to:'2017-04-28T15:34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83" s="192" t="str">
        <f t="shared" si="56"/>
        <v>N</v>
      </c>
      <c r="X183" s="192">
        <f t="shared" si="68"/>
        <v>1</v>
      </c>
      <c r="Y183" s="192">
        <f t="shared" si="57"/>
        <v>9.8500000000000004E-2</v>
      </c>
      <c r="Z183" s="192">
        <f t="shared" si="58"/>
        <v>5.8944000000000001</v>
      </c>
      <c r="AA183" s="192">
        <f t="shared" si="59"/>
        <v>5.7959000000000005</v>
      </c>
      <c r="AB183" s="57" t="e">
        <f>VLOOKUP(A183,Enforcements!$C$7:$K$13,8,0)</f>
        <v>#N/A</v>
      </c>
      <c r="AC183" s="53" t="e">
        <f>VLOOKUP(A183,Enforcements!$C$7:$E$13,3,0)</f>
        <v>#N/A</v>
      </c>
      <c r="AD183" s="54" t="str">
        <f t="shared" si="60"/>
        <v>0823-28</v>
      </c>
      <c r="AE183" s="80" t="str">
        <f t="shared" si="61"/>
        <v>aws s3 cp s3://rtdc.mdm.uploadarchive.raw/RTDC4012/ "%USERPROFILE%\AppData\Local\Temp\OnboardLogs"\RTDC4012\2017-04-28 --exclude "*" --recursive --include "*20170428*" &amp; "%USERPROFILE%\Documents\GitHub\mrs-test-scripts\Headless Mode &amp; Sideloading\WalkAndUnGZ.bat" "%USERPROFILE%\AppData\Local\Temp\OnboardLogs"\RTDC4012\2017-04-28 &amp; aws s3 cp s3://rtdc.mdm.uploadarchive.raw/RTDC4012/ "%USERPROFILE%\AppData\Local\Temp\OnboardLogs"\RTDC4012\2017-04-29 --exclude "*" --recursive --include "*20170429*" &amp; "%USERPROFILE%\Documents\GitHub\mrs-test-scripts\Headless Mode &amp; Sideloading\WalkAndUnGZ.bat" "%USERPROFILE%\AppData\Local\Temp\OnboardLogs"\RTDC4012\2017-04-29</v>
      </c>
      <c r="AF183" s="77" t="str">
        <f t="shared" si="62"/>
        <v>"C:\Program Files (x86)\AstroGrep\AstroGrep.exe" /e /r /s /spath="%USERPROFILE%\AppData\Local\Temp\OnboardLogs" /stypes="app*4012*20170428*" /stext=" 20:.+((SYSTEM_STATE.+slice.+state.+changed )|(ment ac)|(multiple cpu faults)|(system.+state.+changed )|(\[timeout)|(PRM\|1\|D)|(kpr)|(kdp)|(train.+moving)|(\|lc)|(penalty))"</v>
      </c>
      <c r="AG183" s="1" t="str">
        <f t="shared" si="63"/>
        <v>NW</v>
      </c>
      <c r="AH183" s="81" t="str">
        <f t="shared" si="64"/>
        <v>"%USERPROFILE%\Documents\GitHub\eaglep3\Utilities\RefineRTDCRunTimes.py" --tripid 823-28 --locoid 4012 --swversion DE.1.0.9.0 --startMP 204:985 --initTime 2017-04-28T14:14:11 --startdatetime 2017-04-28T14:21:15 --delay 1 --endMP 300:58944 --enddatetime 2017-04-28T14:34:49 --enforcementcount 0 &gt;&gt;C:\Users\stu\Documents\GitHub\eaglep3-reporting\EC\2017-04-28-refined-times.txt</v>
      </c>
      <c r="AI183" s="99" t="str">
        <f t="shared" si="65"/>
        <v>echo {"issue":{"subject":"","project_id":79,"tracker_id":40,"status_id":1,"priority_id":2,"assigned_to_id":23,"start_date":"2017-04-28","description":"","custom_fields":[{"id":1,"name":"Subdivision","value":"NW"},{"id":4,"name":"Milepost","value":"5.8944"},{"id":17,"name":"Train ID","value":"823-28"},{"id":16,"name":"Locomotive ID","value":"4012"},{"id":130,"name":"Impact","value":""},{"id":150,"name":"Time of Event (Mountain Time)","value":"14:34:49"},{"id":151,"name":"Denver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3" s="47"/>
      <c r="AL183" s="47"/>
      <c r="AM183" s="145" t="str">
        <f t="shared" si="66"/>
        <v>start /low /b %USERPROFILE%\Documents\GitHub\eaglep3\Utilities\DownloadLogsFromS3.py --loco 4012 --day 2017-04-28</v>
      </c>
      <c r="AN183" s="154" t="str">
        <f t="shared" si="67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20:34:49"},{"id":29,"name":"Sharepoint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x14ac:dyDescent="0.25">
      <c r="A184" s="32" t="s">
        <v>754</v>
      </c>
      <c r="B184" s="7">
        <v>4011</v>
      </c>
      <c r="C184" s="21" t="s">
        <v>211</v>
      </c>
      <c r="D184" s="21" t="s">
        <v>426</v>
      </c>
      <c r="E184" s="13">
        <v>42853.608587962961</v>
      </c>
      <c r="F184" s="13">
        <v>42853.610092592593</v>
      </c>
      <c r="G184" s="7">
        <v>1</v>
      </c>
      <c r="H184" s="21" t="s">
        <v>991</v>
      </c>
      <c r="I184" s="13">
        <v>42853.622071759259</v>
      </c>
      <c r="J184" s="7">
        <v>0</v>
      </c>
      <c r="K184" s="92" t="str">
        <f t="shared" si="52"/>
        <v>4011/4012</v>
      </c>
      <c r="L184" s="21" t="str">
        <f>VLOOKUP(A184,'Trips&amp;Operators'!$C$1:$G$99999,5,FALSE)</f>
        <v>THOMPSON LESTER</v>
      </c>
      <c r="M184" s="6">
        <f t="shared" si="53"/>
        <v>1.1979166665696539E-2</v>
      </c>
      <c r="N184" s="7">
        <f t="shared" si="69"/>
        <v>17.249999998603016</v>
      </c>
      <c r="O184" s="7"/>
      <c r="P184" s="7"/>
      <c r="Q184" s="22"/>
      <c r="R184" s="190"/>
      <c r="S184" s="196">
        <f t="shared" si="70"/>
        <v>1</v>
      </c>
      <c r="T184" s="190" t="str">
        <f t="shared" si="54"/>
        <v>Southbound</v>
      </c>
      <c r="U184" s="190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1" t="str">
        <f t="shared" si="55"/>
        <v>https://d0f6bd738d7f1b3e5a7ca70fe4ff75f0.us-east-1.aws.found.io/app/kibana#/discover/Steve-Slow-Train-Analysis-(2080s-and-2083s)?_g=(refreshInterval:(display:Off,pause:!f,section:0,value:0),time:(from:'2017-04-28T13:36:22-0600',mode:absolute,to:'2017-04-28T15:55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84" s="192" t="str">
        <f t="shared" si="56"/>
        <v>N</v>
      </c>
      <c r="X184" s="192">
        <f t="shared" si="68"/>
        <v>1</v>
      </c>
      <c r="Y184" s="192">
        <f t="shared" si="57"/>
        <v>5.8635999999999999</v>
      </c>
      <c r="Z184" s="192">
        <f t="shared" si="58"/>
        <v>7.1199999999999999E-2</v>
      </c>
      <c r="AA184" s="192">
        <f t="shared" si="59"/>
        <v>5.7923999999999998</v>
      </c>
      <c r="AB184" s="57" t="e">
        <f>VLOOKUP(A184,Enforcements!$C$7:$K$13,8,0)</f>
        <v>#N/A</v>
      </c>
      <c r="AC184" s="53" t="e">
        <f>VLOOKUP(A184,Enforcements!$C$7:$E$13,3,0)</f>
        <v>#N/A</v>
      </c>
      <c r="AD184" s="54" t="str">
        <f t="shared" si="60"/>
        <v>0824-28</v>
      </c>
      <c r="AE184" s="80" t="str">
        <f t="shared" si="61"/>
        <v>aws s3 cp s3://rtdc.mdm.uploadarchive.raw/RTDC4011/ "%USERPROFILE%\AppData\Local\Temp\OnboardLogs"\RTDC4011\2017-04-28 --exclude "*" --recursive --include "*20170428*" &amp; "%USERPROFILE%\Documents\GitHub\mrs-test-scripts\Headless Mode &amp; Sideloading\WalkAndUnGZ.bat" "%USERPROFILE%\AppData\Local\Temp\OnboardLogs"\RTDC4011\2017-04-28 &amp; aws s3 cp s3://rtdc.mdm.uploadarchive.raw/RTDC4011/ "%USERPROFILE%\AppData\Local\Temp\OnboardLogs"\RTDC4011\2017-04-29 --exclude "*" --recursive --include "*20170429*" &amp; "%USERPROFILE%\Documents\GitHub\mrs-test-scripts\Headless Mode &amp; Sideloading\WalkAndUnGZ.bat" "%USERPROFILE%\AppData\Local\Temp\OnboardLogs"\RTDC4011\2017-04-29</v>
      </c>
      <c r="AF184" s="77" t="str">
        <f t="shared" si="62"/>
        <v>"C:\Program Files (x86)\AstroGrep\AstroGrep.exe" /e /r /s /spath="%USERPROFILE%\AppData\Local\Temp\OnboardLogs" /stypes="app*4011*20170428*" /stext=" 20:.+((SYSTEM_STATE.+slice.+state.+changed )|(ment ac)|(multiple cpu faults)|(system.+state.+changed )|(\[timeout)|(PRM\|1\|D)|(kpr)|(kdp)|(train.+moving)|(\|lc)|(penalty))"</v>
      </c>
      <c r="AG184" s="1" t="str">
        <f t="shared" si="63"/>
        <v>NW</v>
      </c>
      <c r="AH184" s="81" t="str">
        <f t="shared" si="64"/>
        <v>"%USERPROFILE%\Documents\GitHub\eaglep3\Utilities\RefineRTDCRunTimes.py" --tripid 824-28 --locoid 4011 --swversion DE.1.0.9.0 --startMP 300:58636 --initTime 2017-04-28T14:36:22 --startdatetime 2017-04-28T14:38:32 --delay 1 --endMP 204:712 --enddatetime 2017-04-28T14:55:47 --enforcementcount 0 &gt;&gt;C:\Users\stu\Documents\GitHub\eaglep3-reporting\EC\2017-04-28-refined-times.txt</v>
      </c>
      <c r="AI184" s="99" t="str">
        <f t="shared" si="65"/>
        <v>echo {"issue":{"subject":"","project_id":79,"tracker_id":40,"status_id":1,"priority_id":2,"assigned_to_id":23,"start_date":"2017-04-28","description":"","custom_fields":[{"id":1,"name":"Subdivision","value":"NW"},{"id":4,"name":"Milepost","value":"0.0712"},{"id":17,"name":"Train ID","value":"824-28"},{"id":16,"name":"Locomotive ID","value":"4011"},{"id":130,"name":"Impact","value":""},{"id":150,"name":"Time of Event (Mountain Time)","value":"14:55:47"},{"id":151,"name":"Denver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20"/>
      <c r="AK184" s="47"/>
      <c r="AL184" s="47"/>
      <c r="AM184" s="145" t="str">
        <f t="shared" si="66"/>
        <v>start /low /b %USERPROFILE%\Documents\GitHub\eaglep3\Utilities\DownloadLogsFromS3.py --loco 4011 --day 2017-04-28</v>
      </c>
      <c r="AN184" s="154" t="str">
        <f t="shared" si="67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20:55:47"},{"id":29,"name":"Sharepoint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5" spans="1:91" x14ac:dyDescent="0.25">
      <c r="A185" s="32" t="s">
        <v>622</v>
      </c>
      <c r="B185" s="7">
        <v>4012</v>
      </c>
      <c r="C185" s="21" t="s">
        <v>211</v>
      </c>
      <c r="D185" s="21" t="s">
        <v>987</v>
      </c>
      <c r="E185" s="13">
        <v>42853.634988425925</v>
      </c>
      <c r="F185" s="13">
        <v>42853.639803240738</v>
      </c>
      <c r="G185" s="7">
        <v>1</v>
      </c>
      <c r="H185" s="21" t="s">
        <v>992</v>
      </c>
      <c r="I185" s="13">
        <v>42853.650370370371</v>
      </c>
      <c r="J185" s="7">
        <v>0</v>
      </c>
      <c r="K185" s="92" t="str">
        <f t="shared" si="52"/>
        <v>4011/4012</v>
      </c>
      <c r="L185" s="21" t="str">
        <f>VLOOKUP(A185,'Trips&amp;Operators'!$C$1:$G$99999,5,FALSE)</f>
        <v>THOMPSON LESTER</v>
      </c>
      <c r="M185" s="6">
        <f t="shared" si="53"/>
        <v>1.0567129633272998E-2</v>
      </c>
      <c r="N185" s="7">
        <f t="shared" si="69"/>
        <v>15.216666671913117</v>
      </c>
      <c r="O185" s="7"/>
      <c r="P185" s="7"/>
      <c r="Q185" s="22"/>
      <c r="R185" s="190"/>
      <c r="S185" s="196">
        <f t="shared" si="70"/>
        <v>1</v>
      </c>
      <c r="T185" s="190" t="str">
        <f t="shared" si="54"/>
        <v>NorthBound</v>
      </c>
      <c r="U185" s="190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1" t="str">
        <f t="shared" si="55"/>
        <v>https://d0f6bd738d7f1b3e5a7ca70fe4ff75f0.us-east-1.aws.found.io/app/kibana#/discover/Steve-Slow-Train-Analysis-(2080s-and-2083s)?_g=(refreshInterval:(display:Off,pause:!f,section:0,value:0),time:(from:'2017-04-28T14:14:23-0600',mode:absolute,to:'2017-04-28T16:36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85" s="192" t="str">
        <f t="shared" si="56"/>
        <v>N</v>
      </c>
      <c r="X185" s="192">
        <f t="shared" si="68"/>
        <v>1</v>
      </c>
      <c r="Y185" s="192">
        <f t="shared" si="57"/>
        <v>9.9699999999999997E-2</v>
      </c>
      <c r="Z185" s="192">
        <f t="shared" si="58"/>
        <v>5.8971</v>
      </c>
      <c r="AA185" s="192">
        <f t="shared" si="59"/>
        <v>5.7973999999999997</v>
      </c>
      <c r="AB185" s="57" t="e">
        <f>VLOOKUP(A185,Enforcements!$C$7:$K$13,8,0)</f>
        <v>#N/A</v>
      </c>
      <c r="AC185" s="53" t="e">
        <f>VLOOKUP(A185,Enforcements!$C$7:$E$13,3,0)</f>
        <v>#N/A</v>
      </c>
      <c r="AD185" s="54" t="str">
        <f t="shared" si="60"/>
        <v>0825-28</v>
      </c>
      <c r="AE185" s="80" t="str">
        <f t="shared" si="61"/>
        <v>aws s3 cp s3://rtdc.mdm.uploadarchive.raw/RTDC4012/ "%USERPROFILE%\AppData\Local\Temp\OnboardLogs"\RTDC4012\2017-04-28 --exclude "*" --recursive --include "*20170428*" &amp; "%USERPROFILE%\Documents\GitHub\mrs-test-scripts\Headless Mode &amp; Sideloading\WalkAndUnGZ.bat" "%USERPROFILE%\AppData\Local\Temp\OnboardLogs"\RTDC4012\2017-04-28 &amp; aws s3 cp s3://rtdc.mdm.uploadarchive.raw/RTDC4012/ "%USERPROFILE%\AppData\Local\Temp\OnboardLogs"\RTDC4012\2017-04-29 --exclude "*" --recursive --include "*20170429*" &amp; "%USERPROFILE%\Documents\GitHub\mrs-test-scripts\Headless Mode &amp; Sideloading\WalkAndUnGZ.bat" "%USERPROFILE%\AppData\Local\Temp\OnboardLogs"\RTDC4012\2017-04-29</v>
      </c>
      <c r="AF185" s="77" t="str">
        <f t="shared" si="62"/>
        <v>"C:\Program Files (x86)\AstroGrep\AstroGrep.exe" /e /r /s /spath="%USERPROFILE%\AppData\Local\Temp\OnboardLogs" /stypes="app*4012*20170428*" /stext=" 21:.+((SYSTEM_STATE.+slice.+state.+changed )|(ment ac)|(multiple cpu faults)|(system.+state.+changed )|(\[timeout)|(PRM\|1\|D)|(kpr)|(kdp)|(train.+moving)|(\|lc)|(penalty))"</v>
      </c>
      <c r="AG185" s="1" t="str">
        <f t="shared" si="63"/>
        <v>NW</v>
      </c>
      <c r="AH185" s="81" t="str">
        <f t="shared" si="64"/>
        <v>"%USERPROFILE%\Documents\GitHub\eaglep3\Utilities\RefineRTDCRunTimes.py" --tripid 825-28 --locoid 4012 --swversion DE.1.0.9.0 --startMP 204:997 --initTime 2017-04-28T15:14:23 --startdatetime 2017-04-28T15:21:19 --delay 1 --endMP 300:58971 --enddatetime 2017-04-28T15:36:32 --enforcementcount 0 &gt;&gt;C:\Users\stu\Documents\GitHub\eaglep3-reporting\EC\2017-04-28-refined-times.txt</v>
      </c>
      <c r="AI185" s="99" t="str">
        <f t="shared" si="65"/>
        <v>echo {"issue":{"subject":"","project_id":79,"tracker_id":40,"status_id":1,"priority_id":2,"assigned_to_id":23,"start_date":"2017-04-28","description":"","custom_fields":[{"id":1,"name":"Subdivision","value":"NW"},{"id":4,"name":"Milepost","value":"5.8971"},{"id":17,"name":"Train ID","value":"825-28"},{"id":16,"name":"Locomotive ID","value":"4012"},{"id":130,"name":"Impact","value":""},{"id":150,"name":"Time of Event (Mountain Time)","value":"15:36:32"},{"id":151,"name":"Denver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20"/>
      <c r="AK185" s="47"/>
      <c r="AL185" s="47"/>
      <c r="AM185" s="145" t="str">
        <f t="shared" si="66"/>
        <v>start /low /b %USERPROFILE%\Documents\GitHub\eaglep3\Utilities\DownloadLogsFromS3.py --loco 4012 --day 2017-04-28</v>
      </c>
      <c r="AN185" s="154" t="str">
        <f t="shared" si="67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21:36:32"},{"id":29,"name":"Sharepoint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6" spans="1:91" x14ac:dyDescent="0.25">
      <c r="A186" s="32" t="s">
        <v>623</v>
      </c>
      <c r="B186" s="7">
        <v>4011</v>
      </c>
      <c r="C186" s="21" t="s">
        <v>211</v>
      </c>
      <c r="D186" s="21" t="s">
        <v>583</v>
      </c>
      <c r="E186" s="13">
        <v>42853.651458333334</v>
      </c>
      <c r="F186" s="13">
        <v>42853.652881944443</v>
      </c>
      <c r="G186" s="7">
        <v>1</v>
      </c>
      <c r="H186" s="21" t="s">
        <v>580</v>
      </c>
      <c r="I186" s="13">
        <v>42853.66443287037</v>
      </c>
      <c r="J186" s="7">
        <v>0</v>
      </c>
      <c r="K186" s="92" t="str">
        <f t="shared" si="52"/>
        <v>4011/4012</v>
      </c>
      <c r="L186" s="21" t="str">
        <f>VLOOKUP(A186,'Trips&amp;Operators'!$C$1:$G$99999,5,FALSE)</f>
        <v>THOMPSON LESTER</v>
      </c>
      <c r="M186" s="6">
        <f t="shared" si="53"/>
        <v>1.1550925926712807E-2</v>
      </c>
      <c r="N186" s="7">
        <f t="shared" si="69"/>
        <v>16.633333334466442</v>
      </c>
      <c r="O186" s="7"/>
      <c r="P186" s="7"/>
      <c r="Q186" s="22"/>
      <c r="R186" s="190"/>
      <c r="S186" s="196">
        <f t="shared" si="70"/>
        <v>1</v>
      </c>
      <c r="T186" s="190" t="str">
        <f t="shared" si="54"/>
        <v>Southbound</v>
      </c>
      <c r="U186" s="190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1" t="str">
        <f t="shared" si="55"/>
        <v>https://d0f6bd738d7f1b3e5a7ca70fe4ff75f0.us-east-1.aws.found.io/app/kibana#/discover/Steve-Slow-Train-Analysis-(2080s-and-2083s)?_g=(refreshInterval:(display:Off,pause:!f,section:0,value:0),time:(from:'2017-04-28T14:38:06-0600',mode:absolute,to:'2017-04-28T16:56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86" s="192" t="str">
        <f t="shared" si="56"/>
        <v>N</v>
      </c>
      <c r="X186" s="192">
        <f t="shared" si="68"/>
        <v>1</v>
      </c>
      <c r="Y186" s="192">
        <f t="shared" si="57"/>
        <v>5.8653000000000004</v>
      </c>
      <c r="Z186" s="192">
        <f t="shared" si="58"/>
        <v>7.1300000000000002E-2</v>
      </c>
      <c r="AA186" s="192">
        <f t="shared" si="59"/>
        <v>5.7940000000000005</v>
      </c>
      <c r="AB186" s="57" t="e">
        <f>VLOOKUP(A186,Enforcements!$C$7:$K$13,8,0)</f>
        <v>#N/A</v>
      </c>
      <c r="AC186" s="53" t="e">
        <f>VLOOKUP(A186,Enforcements!$C$7:$E$13,3,0)</f>
        <v>#N/A</v>
      </c>
      <c r="AD186" s="54" t="str">
        <f t="shared" si="60"/>
        <v>0826-28</v>
      </c>
      <c r="AE186" s="80" t="str">
        <f t="shared" si="61"/>
        <v>aws s3 cp s3://rtdc.mdm.uploadarchive.raw/RTDC4011/ "%USERPROFILE%\AppData\Local\Temp\OnboardLogs"\RTDC4011\2017-04-28 --exclude "*" --recursive --include "*20170428*" &amp; "%USERPROFILE%\Documents\GitHub\mrs-test-scripts\Headless Mode &amp; Sideloading\WalkAndUnGZ.bat" "%USERPROFILE%\AppData\Local\Temp\OnboardLogs"\RTDC4011\2017-04-28 &amp; aws s3 cp s3://rtdc.mdm.uploadarchive.raw/RTDC4011/ "%USERPROFILE%\AppData\Local\Temp\OnboardLogs"\RTDC4011\2017-04-29 --exclude "*" --recursive --include "*20170429*" &amp; "%USERPROFILE%\Documents\GitHub\mrs-test-scripts\Headless Mode &amp; Sideloading\WalkAndUnGZ.bat" "%USERPROFILE%\AppData\Local\Temp\OnboardLogs"\RTDC4011\2017-04-29</v>
      </c>
      <c r="AF186" s="77" t="str">
        <f t="shared" si="62"/>
        <v>"C:\Program Files (x86)\AstroGrep\AstroGrep.exe" /e /r /s /spath="%USERPROFILE%\AppData\Local\Temp\OnboardLogs" /stypes="app*4011*20170428*" /stext=" 21:.+((SYSTEM_STATE.+slice.+state.+changed )|(ment ac)|(multiple cpu faults)|(system.+state.+changed )|(\[timeout)|(PRM\|1\|D)|(kpr)|(kdp)|(train.+moving)|(\|lc)|(penalty))"</v>
      </c>
      <c r="AG186" s="1" t="str">
        <f t="shared" si="63"/>
        <v>NW</v>
      </c>
      <c r="AH186" s="81" t="str">
        <f t="shared" si="64"/>
        <v>"%USERPROFILE%\Documents\GitHub\eaglep3\Utilities\RefineRTDCRunTimes.py" --tripid 826-28 --locoid 4011 --swversion DE.1.0.9.0 --startMP 300:58653 --initTime 2017-04-28T15:38:06 --startdatetime 2017-04-28T15:40:09 --delay 1 --endMP 204:713 --enddatetime 2017-04-28T15:56:47 --enforcementcount 0 &gt;&gt;C:\Users\stu\Documents\GitHub\eaglep3-reporting\EC\2017-04-28-refined-times.txt</v>
      </c>
      <c r="AI186" s="99" t="str">
        <f t="shared" si="65"/>
        <v>echo {"issue":{"subject":"","project_id":79,"tracker_id":40,"status_id":1,"priority_id":2,"assigned_to_id":23,"start_date":"2017-04-28","description":"","custom_fields":[{"id":1,"name":"Subdivision","value":"NW"},{"id":4,"name":"Milepost","value":"0.0713"},{"id":17,"name":"Train ID","value":"826-28"},{"id":16,"name":"Locomotive ID","value":"4011"},{"id":130,"name":"Impact","value":""},{"id":150,"name":"Time of Event (Mountain Time)","value":"15:56:47"},{"id":151,"name":"Denver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20"/>
      <c r="AK186" s="47"/>
      <c r="AL186" s="47"/>
      <c r="AM186" s="145" t="str">
        <f t="shared" si="66"/>
        <v>start /low /b %USERPROFILE%\Documents\GitHub\eaglep3\Utilities\DownloadLogsFromS3.py --loco 4011 --day 2017-04-28</v>
      </c>
      <c r="AN186" s="154" t="str">
        <f t="shared" si="67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21:56:47"},{"id":29,"name":"Sharepoint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7" spans="1:91" x14ac:dyDescent="0.25">
      <c r="A187" s="32" t="s">
        <v>763</v>
      </c>
      <c r="B187" s="7">
        <v>4018</v>
      </c>
      <c r="C187" s="21" t="s">
        <v>211</v>
      </c>
      <c r="D187" s="21" t="s">
        <v>993</v>
      </c>
      <c r="E187" s="13">
        <v>42853.656875000001</v>
      </c>
      <c r="F187" s="13">
        <v>42853.660601851851</v>
      </c>
      <c r="G187" s="7">
        <v>1</v>
      </c>
      <c r="H187" s="21" t="s">
        <v>994</v>
      </c>
      <c r="I187" s="13">
        <v>42853.67046296296</v>
      </c>
      <c r="J187" s="7">
        <v>0</v>
      </c>
      <c r="K187" s="92" t="str">
        <f t="shared" si="52"/>
        <v>4017/4018</v>
      </c>
      <c r="L187" s="21" t="str">
        <f>VLOOKUP(A187,'Trips&amp;Operators'!$C$1:$G$99999,5,FALSE)</f>
        <v>WILLIAMS DONTE</v>
      </c>
      <c r="M187" s="6">
        <f t="shared" si="53"/>
        <v>9.8611111097852699E-3</v>
      </c>
      <c r="N187" s="7">
        <f t="shared" si="69"/>
        <v>14.199999998090789</v>
      </c>
      <c r="O187" s="7"/>
      <c r="P187" s="7"/>
      <c r="Q187" s="22"/>
      <c r="R187" s="190"/>
      <c r="S187" s="196">
        <f t="shared" si="70"/>
        <v>1</v>
      </c>
      <c r="T187" s="190" t="str">
        <f t="shared" si="54"/>
        <v>NorthBound</v>
      </c>
      <c r="U187" s="190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1" t="str">
        <f t="shared" si="55"/>
        <v>https://d0f6bd738d7f1b3e5a7ca70fe4ff75f0.us-east-1.aws.found.io/app/kibana#/discover/Steve-Slow-Train-Analysis-(2080s-and-2083s)?_g=(refreshInterval:(display:Off,pause:!f,section:0,value:0),time:(from:'2017-04-28T14:45:54-0600',mode:absolute,to:'2017-04-28T17:05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87" s="192" t="str">
        <f t="shared" si="56"/>
        <v>N</v>
      </c>
      <c r="X187" s="192">
        <f t="shared" si="68"/>
        <v>1</v>
      </c>
      <c r="Y187" s="192">
        <f t="shared" si="57"/>
        <v>9.3200000000000005E-2</v>
      </c>
      <c r="Z187" s="192">
        <f t="shared" si="58"/>
        <v>5.8933</v>
      </c>
      <c r="AA187" s="192">
        <f t="shared" si="59"/>
        <v>5.8000999999999996</v>
      </c>
      <c r="AB187" s="57" t="e">
        <f>VLOOKUP(A187,Enforcements!$C$7:$K$13,8,0)</f>
        <v>#N/A</v>
      </c>
      <c r="AC187" s="53" t="e">
        <f>VLOOKUP(A187,Enforcements!$C$7:$E$13,3,0)</f>
        <v>#N/A</v>
      </c>
      <c r="AD187" s="54" t="str">
        <f t="shared" si="60"/>
        <v>0827-28</v>
      </c>
      <c r="AE187" s="80" t="str">
        <f t="shared" si="61"/>
        <v>aws s3 cp s3://rtdc.mdm.uploadarchive.raw/RTDC4018/ "%USERPROFILE%\AppData\Local\Temp\OnboardLogs"\RTDC4018\2017-04-28 --exclude "*" --recursive --include "*20170428*" &amp; "%USERPROFILE%\Documents\GitHub\mrs-test-scripts\Headless Mode &amp; Sideloading\WalkAndUnGZ.bat" "%USERPROFILE%\AppData\Local\Temp\OnboardLogs"\RTDC4018\2017-04-28 &amp; aws s3 cp s3://rtdc.mdm.uploadarchive.raw/RTDC4018/ "%USERPROFILE%\AppData\Local\Temp\OnboardLogs"\RTDC4018\2017-04-29 --exclude "*" --recursive --include "*20170429*" &amp; "%USERPROFILE%\Documents\GitHub\mrs-test-scripts\Headless Mode &amp; Sideloading\WalkAndUnGZ.bat" "%USERPROFILE%\AppData\Local\Temp\OnboardLogs"\RTDC4018\2017-04-29</v>
      </c>
      <c r="AF187" s="77" t="str">
        <f t="shared" si="62"/>
        <v>"C:\Program Files (x86)\AstroGrep\AstroGrep.exe" /e /r /s /spath="%USERPROFILE%\AppData\Local\Temp\OnboardLogs" /stypes="app*4018*20170428*" /stext=" 22:.+((SYSTEM_STATE.+slice.+state.+changed )|(ment ac)|(multiple cpu faults)|(system.+state.+changed )|(\[timeout)|(PRM\|1\|D)|(kpr)|(kdp)|(train.+moving)|(\|lc)|(penalty))"</v>
      </c>
      <c r="AG187" s="1" t="str">
        <f t="shared" si="63"/>
        <v>NW</v>
      </c>
      <c r="AH187" s="81" t="str">
        <f t="shared" si="64"/>
        <v>"%USERPROFILE%\Documents\GitHub\eaglep3\Utilities\RefineRTDCRunTimes.py" --tripid 827-28 --locoid 4018 --swversion DE.1.0.9.0 --startMP 204:932 --initTime 2017-04-28T15:45:54 --startdatetime 2017-04-28T15:51:16 --delay 1 --endMP 300:58933 --enddatetime 2017-04-28T16:05:28 --enforcementcount 0 &gt;&gt;C:\Users\stu\Documents\GitHub\eaglep3-reporting\EC\2017-04-28-refined-times.txt</v>
      </c>
      <c r="AI187" s="99" t="str">
        <f t="shared" si="65"/>
        <v>echo {"issue":{"subject":"","project_id":79,"tracker_id":40,"status_id":1,"priority_id":2,"assigned_to_id":23,"start_date":"2017-04-28","description":"","custom_fields":[{"id":1,"name":"Subdivision","value":"NW"},{"id":4,"name":"Milepost","value":"5.8933"},{"id":17,"name":"Train ID","value":"827-28"},{"id":16,"name":"Locomotive ID","value":"4018"},{"id":130,"name":"Impact","value":""},{"id":150,"name":"Time of Event (Mountain Time)","value":"16:05:28"},{"id":151,"name":"Denver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7"/>
      <c r="AL187" s="47"/>
      <c r="AM187" s="145" t="str">
        <f t="shared" si="66"/>
        <v>start /low /b %USERPROFILE%\Documents\GitHub\eaglep3\Utilities\DownloadLogsFromS3.py --loco 4018 --day 2017-04-28</v>
      </c>
      <c r="AN187" s="154" t="str">
        <f t="shared" si="67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22:05:28"},{"id":29,"name":"Sharepoint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8" spans="1:91" x14ac:dyDescent="0.25">
      <c r="A188" s="32" t="s">
        <v>624</v>
      </c>
      <c r="B188" s="7">
        <v>4017</v>
      </c>
      <c r="C188" s="21" t="s">
        <v>211</v>
      </c>
      <c r="D188" s="21" t="s">
        <v>588</v>
      </c>
      <c r="E188" s="13">
        <v>42853.671967592592</v>
      </c>
      <c r="F188" s="13">
        <v>42853.674143518518</v>
      </c>
      <c r="G188" s="7">
        <v>2</v>
      </c>
      <c r="H188" s="21" t="s">
        <v>522</v>
      </c>
      <c r="I188" s="13">
        <v>42853.684618055559</v>
      </c>
      <c r="J188" s="7">
        <v>0</v>
      </c>
      <c r="K188" s="92" t="str">
        <f t="shared" si="52"/>
        <v>4017/4018</v>
      </c>
      <c r="L188" s="21" t="str">
        <f>VLOOKUP(A188,'Trips&amp;Operators'!$C$1:$G$99999,5,FALSE)</f>
        <v>WILLIAMS DONTE</v>
      </c>
      <c r="M188" s="6">
        <f t="shared" si="53"/>
        <v>1.0474537040863652E-2</v>
      </c>
      <c r="N188" s="7">
        <f t="shared" si="69"/>
        <v>15.083333338843659</v>
      </c>
      <c r="O188" s="7"/>
      <c r="P188" s="7"/>
      <c r="Q188" s="22"/>
      <c r="R188" s="190"/>
      <c r="S188" s="196">
        <f t="shared" si="70"/>
        <v>1</v>
      </c>
      <c r="T188" s="190" t="str">
        <f t="shared" si="54"/>
        <v>Southbound</v>
      </c>
      <c r="U188" s="190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1" t="str">
        <f t="shared" si="55"/>
        <v>https://d0f6bd738d7f1b3e5a7ca70fe4ff75f0.us-east-1.aws.found.io/app/kibana#/discover/Steve-Slow-Train-Analysis-(2080s-and-2083s)?_g=(refreshInterval:(display:Off,pause:!f,section:0,value:0),time:(from:'2017-04-28T15:07:38-0600',mode:absolute,to:'2017-04-28T17:25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88" s="192" t="str">
        <f t="shared" si="56"/>
        <v>N</v>
      </c>
      <c r="X188" s="192">
        <f t="shared" si="68"/>
        <v>1</v>
      </c>
      <c r="Y188" s="192">
        <f t="shared" si="57"/>
        <v>5.8613</v>
      </c>
      <c r="Z188" s="192">
        <f t="shared" si="58"/>
        <v>6.8199999999999997E-2</v>
      </c>
      <c r="AA188" s="192">
        <f t="shared" si="59"/>
        <v>5.7930999999999999</v>
      </c>
      <c r="AB188" s="57" t="e">
        <f>VLOOKUP(A188,Enforcements!$C$7:$K$13,8,0)</f>
        <v>#N/A</v>
      </c>
      <c r="AC188" s="53" t="e">
        <f>VLOOKUP(A188,Enforcements!$C$7:$E$13,3,0)</f>
        <v>#N/A</v>
      </c>
      <c r="AD188" s="54" t="str">
        <f t="shared" si="60"/>
        <v>0828-28</v>
      </c>
      <c r="AE188" s="80" t="str">
        <f t="shared" si="61"/>
        <v>aws s3 cp s3://rtdc.mdm.uploadarchive.raw/RTDC4017/ "%USERPROFILE%\AppData\Local\Temp\OnboardLogs"\RTDC4017\2017-04-28 --exclude "*" --recursive --include "*20170428*" &amp; "%USERPROFILE%\Documents\GitHub\mrs-test-scripts\Headless Mode &amp; Sideloading\WalkAndUnGZ.bat" "%USERPROFILE%\AppData\Local\Temp\OnboardLogs"\RTDC4017\2017-04-28 &amp; aws s3 cp s3://rtdc.mdm.uploadarchive.raw/RTDC4017/ "%USERPROFILE%\AppData\Local\Temp\OnboardLogs"\RTDC4017\2017-04-29 --exclude "*" --recursive --include "*20170429*" &amp; "%USERPROFILE%\Documents\GitHub\mrs-test-scripts\Headless Mode &amp; Sideloading\WalkAndUnGZ.bat" "%USERPROFILE%\AppData\Local\Temp\OnboardLogs"\RTDC4017\2017-04-29</v>
      </c>
      <c r="AF188" s="77" t="str">
        <f t="shared" si="62"/>
        <v>"C:\Program Files (x86)\AstroGrep\AstroGrep.exe" /e /r /s /spath="%USERPROFILE%\AppData\Local\Temp\OnboardLogs" /stypes="app*4017*20170428*" /stext=" 22:.+((SYSTEM_STATE.+slice.+state.+changed )|(ment ac)|(multiple cpu faults)|(system.+state.+changed )|(\[timeout)|(PRM\|1\|D)|(kpr)|(kdp)|(train.+moving)|(\|lc)|(penalty))"</v>
      </c>
      <c r="AG188" s="1" t="str">
        <f t="shared" si="63"/>
        <v>NW</v>
      </c>
      <c r="AH188" s="81" t="str">
        <f t="shared" si="64"/>
        <v>"%USERPROFILE%\Documents\GitHub\eaglep3\Utilities\RefineRTDCRunTimes.py" --tripid 828-28 --locoid 4017 --swversion DE.1.0.9.0 --startMP 300:58613 --initTime 2017-04-28T16:07:38 --startdatetime 2017-04-28T16:10:46 --delay 2 --endMP 204:682 --enddatetime 2017-04-28T16:25:51 --enforcementcount 0 &gt;&gt;C:\Users\stu\Documents\GitHub\eaglep3-reporting\EC\2017-04-28-refined-times.txt</v>
      </c>
      <c r="AI188" s="99" t="str">
        <f t="shared" si="65"/>
        <v>echo {"issue":{"subject":"","project_id":79,"tracker_id":40,"status_id":1,"priority_id":2,"assigned_to_id":23,"start_date":"2017-04-28","description":"","custom_fields":[{"id":1,"name":"Subdivision","value":"NW"},{"id":4,"name":"Milepost","value":"0.0682"},{"id":17,"name":"Train ID","value":"828-28"},{"id":16,"name":"Locomotive ID","value":"4017"},{"id":130,"name":"Impact","value":""},{"id":150,"name":"Time of Event (Mountain Time)","value":"16:25:51"},{"id":151,"name":"Denver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7"/>
      <c r="AL188" s="47"/>
      <c r="AM188" s="145" t="str">
        <f t="shared" si="66"/>
        <v>start /low /b %USERPROFILE%\Documents\GitHub\eaglep3\Utilities\DownloadLogsFromS3.py --loco 4017 --day 2017-04-28</v>
      </c>
      <c r="AN188" s="154" t="str">
        <f t="shared" si="67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22:25:51"},{"id":29,"name":"Sharepoint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9" spans="1:91" x14ac:dyDescent="0.25">
      <c r="A189" s="32" t="s">
        <v>768</v>
      </c>
      <c r="B189" s="7">
        <v>4012</v>
      </c>
      <c r="C189" s="21" t="s">
        <v>211</v>
      </c>
      <c r="D189" s="21" t="s">
        <v>963</v>
      </c>
      <c r="E189" s="13">
        <v>42853.675555555557</v>
      </c>
      <c r="F189" s="13">
        <v>42853.681446759256</v>
      </c>
      <c r="G189" s="7">
        <v>1</v>
      </c>
      <c r="H189" s="21" t="s">
        <v>469</v>
      </c>
      <c r="I189" s="13">
        <v>42853.691041666665</v>
      </c>
      <c r="J189" s="7">
        <v>0</v>
      </c>
      <c r="K189" s="92" t="str">
        <f t="shared" si="52"/>
        <v>4011/4012</v>
      </c>
      <c r="L189" s="21" t="str">
        <f>VLOOKUP(A189,'Trips&amp;Operators'!$C$1:$G$99999,5,FALSE)</f>
        <v>THOMPSON LESTER</v>
      </c>
      <c r="M189" s="6">
        <f t="shared" si="53"/>
        <v>9.5949074093368836E-3</v>
      </c>
      <c r="N189" s="7">
        <f t="shared" si="69"/>
        <v>13.816666669445112</v>
      </c>
      <c r="O189" s="7"/>
      <c r="P189" s="7"/>
      <c r="Q189" s="22"/>
      <c r="R189" s="190"/>
      <c r="S189" s="196">
        <f t="shared" si="70"/>
        <v>1</v>
      </c>
      <c r="T189" s="190" t="str">
        <f t="shared" si="54"/>
        <v>NorthBound</v>
      </c>
      <c r="U189" s="190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1" t="str">
        <f t="shared" si="55"/>
        <v>https://d0f6bd738d7f1b3e5a7ca70fe4ff75f0.us-east-1.aws.found.io/app/kibana#/discover/Steve-Slow-Train-Analysis-(2080s-and-2083s)?_g=(refreshInterval:(display:Off,pause:!f,section:0,value:0),time:(from:'2017-04-28T15:12:48-0600',mode:absolute,to:'2017-04-28T17:35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89" s="192" t="str">
        <f t="shared" si="56"/>
        <v>N</v>
      </c>
      <c r="X189" s="192">
        <f t="shared" si="68"/>
        <v>1</v>
      </c>
      <c r="Y189" s="192">
        <f t="shared" si="57"/>
        <v>0.1009</v>
      </c>
      <c r="Z189" s="192">
        <f t="shared" si="58"/>
        <v>5.8958000000000004</v>
      </c>
      <c r="AA189" s="192">
        <f t="shared" si="59"/>
        <v>5.7949000000000002</v>
      </c>
      <c r="AB189" s="57" t="e">
        <f>VLOOKUP(A189,Enforcements!$C$7:$K$13,8,0)</f>
        <v>#N/A</v>
      </c>
      <c r="AC189" s="53" t="e">
        <f>VLOOKUP(A189,Enforcements!$C$7:$E$13,3,0)</f>
        <v>#N/A</v>
      </c>
      <c r="AD189" s="54" t="str">
        <f t="shared" si="60"/>
        <v>0829-28</v>
      </c>
      <c r="AE189" s="80" t="str">
        <f t="shared" si="61"/>
        <v>aws s3 cp s3://rtdc.mdm.uploadarchive.raw/RTDC4012/ "%USERPROFILE%\AppData\Local\Temp\OnboardLogs"\RTDC4012\2017-04-28 --exclude "*" --recursive --include "*20170428*" &amp; "%USERPROFILE%\Documents\GitHub\mrs-test-scripts\Headless Mode &amp; Sideloading\WalkAndUnGZ.bat" "%USERPROFILE%\AppData\Local\Temp\OnboardLogs"\RTDC4012\2017-04-28 &amp; aws s3 cp s3://rtdc.mdm.uploadarchive.raw/RTDC4012/ "%USERPROFILE%\AppData\Local\Temp\OnboardLogs"\RTDC4012\2017-04-29 --exclude "*" --recursive --include "*20170429*" &amp; "%USERPROFILE%\Documents\GitHub\mrs-test-scripts\Headless Mode &amp; Sideloading\WalkAndUnGZ.bat" "%USERPROFILE%\AppData\Local\Temp\OnboardLogs"\RTDC4012\2017-04-29</v>
      </c>
      <c r="AF189" s="77" t="str">
        <f t="shared" si="62"/>
        <v>"C:\Program Files (x86)\AstroGrep\AstroGrep.exe" /e /r /s /spath="%USERPROFILE%\AppData\Local\Temp\OnboardLogs" /stypes="app*4012*20170428*" /stext=" 22:.+((SYSTEM_STATE.+slice.+state.+changed )|(ment ac)|(multiple cpu faults)|(system.+state.+changed )|(\[timeout)|(PRM\|1\|D)|(kpr)|(kdp)|(train.+moving)|(\|lc)|(penalty))"</v>
      </c>
      <c r="AG189" s="1" t="str">
        <f t="shared" si="63"/>
        <v>NW</v>
      </c>
      <c r="AH189" s="81" t="str">
        <f t="shared" si="64"/>
        <v>"%USERPROFILE%\Documents\GitHub\eaglep3\Utilities\RefineRTDCRunTimes.py" --tripid 829-28 --locoid 4012 --swversion DE.1.0.9.0 --startMP 204:1009 --initTime 2017-04-28T16:12:48 --startdatetime 2017-04-28T16:21:17 --delay 1 --endMP 300:58958 --enddatetime 2017-04-28T16:35:06 --enforcementcount 0 &gt;&gt;C:\Users\stu\Documents\GitHub\eaglep3-reporting\EC\2017-04-28-refined-times.txt</v>
      </c>
      <c r="AI189" s="99" t="str">
        <f t="shared" si="65"/>
        <v>echo {"issue":{"subject":"","project_id":79,"tracker_id":40,"status_id":1,"priority_id":2,"assigned_to_id":23,"start_date":"2017-04-28","description":"","custom_fields":[{"id":1,"name":"Subdivision","value":"NW"},{"id":4,"name":"Milepost","value":"5.8958"},{"id":17,"name":"Train ID","value":"829-28"},{"id":16,"name":"Locomotive ID","value":"4012"},{"id":130,"name":"Impact","value":""},{"id":150,"name":"Time of Event (Mountain Time)","value":"16:35:06"},{"id":151,"name":"Denver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5" t="str">
        <f t="shared" si="66"/>
        <v>start /low /b %USERPROFILE%\Documents\GitHub\eaglep3\Utilities\DownloadLogsFromS3.py --loco 4012 --day 2017-04-28</v>
      </c>
      <c r="AN189" s="154" t="str">
        <f t="shared" si="67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22:35:06"},{"id":29,"name":"Sharepoint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0" spans="1:91" x14ac:dyDescent="0.25">
      <c r="A190" s="32" t="s">
        <v>771</v>
      </c>
      <c r="B190" s="7">
        <v>4011</v>
      </c>
      <c r="C190" s="21" t="s">
        <v>211</v>
      </c>
      <c r="D190" s="21" t="s">
        <v>589</v>
      </c>
      <c r="E190" s="13">
        <v>42853.692060185182</v>
      </c>
      <c r="F190" s="13">
        <v>42853.693506944444</v>
      </c>
      <c r="G190" s="7">
        <v>1</v>
      </c>
      <c r="H190" s="21" t="s">
        <v>962</v>
      </c>
      <c r="I190" s="13">
        <v>42853.705370370371</v>
      </c>
      <c r="J190" s="7">
        <v>0</v>
      </c>
      <c r="K190" s="92" t="str">
        <f t="shared" si="52"/>
        <v>4011/4012</v>
      </c>
      <c r="L190" s="21" t="str">
        <f>VLOOKUP(A190,'Trips&amp;Operators'!$C$1:$G$99999,5,FALSE)</f>
        <v>THOMPSON LESTER</v>
      </c>
      <c r="M190" s="6">
        <f t="shared" si="53"/>
        <v>1.1863425927003846E-2</v>
      </c>
      <c r="N190" s="7">
        <f t="shared" si="69"/>
        <v>17.083333334885538</v>
      </c>
      <c r="O190" s="7"/>
      <c r="P190" s="7"/>
      <c r="Q190" s="22"/>
      <c r="R190" s="190"/>
      <c r="S190" s="196">
        <f t="shared" si="70"/>
        <v>1</v>
      </c>
      <c r="T190" s="190" t="str">
        <f t="shared" si="54"/>
        <v>Southbound</v>
      </c>
      <c r="U190" s="190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1" t="str">
        <f t="shared" si="55"/>
        <v>https://d0f6bd738d7f1b3e5a7ca70fe4ff75f0.us-east-1.aws.found.io/app/kibana#/discover/Steve-Slow-Train-Analysis-(2080s-and-2083s)?_g=(refreshInterval:(display:Off,pause:!f,section:0,value:0),time:(from:'2017-04-28T15:36:34-0600',mode:absolute,to:'2017-04-28T17:55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90" s="192" t="str">
        <f t="shared" si="56"/>
        <v>N</v>
      </c>
      <c r="X190" s="192">
        <f t="shared" si="68"/>
        <v>1</v>
      </c>
      <c r="Y190" s="192">
        <f t="shared" si="57"/>
        <v>5.8651</v>
      </c>
      <c r="Z190" s="192">
        <f t="shared" si="58"/>
        <v>6.7799999999999999E-2</v>
      </c>
      <c r="AA190" s="192">
        <f t="shared" si="59"/>
        <v>5.7972999999999999</v>
      </c>
      <c r="AB190" s="57" t="e">
        <f>VLOOKUP(A190,Enforcements!$C$7:$K$13,8,0)</f>
        <v>#N/A</v>
      </c>
      <c r="AC190" s="53" t="e">
        <f>VLOOKUP(A190,Enforcements!$C$7:$E$13,3,0)</f>
        <v>#N/A</v>
      </c>
      <c r="AD190" s="54" t="str">
        <f t="shared" si="60"/>
        <v>0830-28</v>
      </c>
      <c r="AE190" s="80" t="str">
        <f t="shared" si="61"/>
        <v>aws s3 cp s3://rtdc.mdm.uploadarchive.raw/RTDC4011/ "%USERPROFILE%\AppData\Local\Temp\OnboardLogs"\RTDC4011\2017-04-28 --exclude "*" --recursive --include "*20170428*" &amp; "%USERPROFILE%\Documents\GitHub\mrs-test-scripts\Headless Mode &amp; Sideloading\WalkAndUnGZ.bat" "%USERPROFILE%\AppData\Local\Temp\OnboardLogs"\RTDC4011\2017-04-28 &amp; aws s3 cp s3://rtdc.mdm.uploadarchive.raw/RTDC4011/ "%USERPROFILE%\AppData\Local\Temp\OnboardLogs"\RTDC4011\2017-04-29 --exclude "*" --recursive --include "*20170429*" &amp; "%USERPROFILE%\Documents\GitHub\mrs-test-scripts\Headless Mode &amp; Sideloading\WalkAndUnGZ.bat" "%USERPROFILE%\AppData\Local\Temp\OnboardLogs"\RTDC4011\2017-04-29</v>
      </c>
      <c r="AF190" s="77" t="str">
        <f t="shared" si="62"/>
        <v>"C:\Program Files (x86)\AstroGrep\AstroGrep.exe" /e /r /s /spath="%USERPROFILE%\AppData\Local\Temp\OnboardLogs" /stypes="app*4011*20170428*" /stext=" 22:.+((SYSTEM_STATE.+slice.+state.+changed )|(ment ac)|(multiple cpu faults)|(system.+state.+changed )|(\[timeout)|(PRM\|1\|D)|(kpr)|(kdp)|(train.+moving)|(\|lc)|(penalty))"</v>
      </c>
      <c r="AG190" s="1" t="str">
        <f t="shared" si="63"/>
        <v>NW</v>
      </c>
      <c r="AH190" s="81" t="str">
        <f t="shared" si="64"/>
        <v>"%USERPROFILE%\Documents\GitHub\eaglep3\Utilities\RefineRTDCRunTimes.py" --tripid 830-28 --locoid 4011 --swversion DE.1.0.9.0 --startMP 300:58651 --initTime 2017-04-28T16:36:34 --startdatetime 2017-04-28T16:38:39 --delay 1 --endMP 204:678 --enddatetime 2017-04-28T16:55:44 --enforcementcount 0 &gt;&gt;C:\Users\stu\Documents\GitHub\eaglep3-reporting\EC\2017-04-28-refined-times.txt</v>
      </c>
      <c r="AI190" s="99" t="str">
        <f t="shared" si="65"/>
        <v>echo {"issue":{"subject":"","project_id":79,"tracker_id":40,"status_id":1,"priority_id":2,"assigned_to_id":23,"start_date":"2017-04-28","description":"","custom_fields":[{"id":1,"name":"Subdivision","value":"NW"},{"id":4,"name":"Milepost","value":"0.0678"},{"id":17,"name":"Train ID","value":"830-28"},{"id":16,"name":"Locomotive ID","value":"4011"},{"id":130,"name":"Impact","value":""},{"id":150,"name":"Time of Event (Mountain Time)","value":"16:55:44"},{"id":151,"name":"Denver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5" t="str">
        <f t="shared" si="66"/>
        <v>start /low /b %USERPROFILE%\Documents\GitHub\eaglep3\Utilities\DownloadLogsFromS3.py --loco 4011 --day 2017-04-28</v>
      </c>
      <c r="AN190" s="154" t="str">
        <f t="shared" si="67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22:55:44"},{"id":29,"name":"Sharepoint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1" spans="1:91" x14ac:dyDescent="0.25">
      <c r="A191" s="32" t="s">
        <v>774</v>
      </c>
      <c r="B191" s="7">
        <v>4018</v>
      </c>
      <c r="C191" s="21" t="s">
        <v>211</v>
      </c>
      <c r="D191" s="21" t="s">
        <v>995</v>
      </c>
      <c r="E191" s="13">
        <v>42853.697268518517</v>
      </c>
      <c r="F191" s="13">
        <v>42853.702291666668</v>
      </c>
      <c r="G191" s="7">
        <v>1</v>
      </c>
      <c r="H191" s="21" t="s">
        <v>996</v>
      </c>
      <c r="I191" s="13">
        <v>42853.712245370371</v>
      </c>
      <c r="J191" s="7">
        <v>0</v>
      </c>
      <c r="K191" s="92" t="str">
        <f t="shared" si="52"/>
        <v>4017/4018</v>
      </c>
      <c r="L191" s="21" t="str">
        <f>VLOOKUP(A191,'Trips&amp;Operators'!$C$1:$G$99999,5,FALSE)</f>
        <v>WILLIAMS DONTE</v>
      </c>
      <c r="M191" s="6">
        <f t="shared" si="53"/>
        <v>9.9537037021946162E-3</v>
      </c>
      <c r="N191" s="7">
        <f t="shared" si="69"/>
        <v>14.333333331160247</v>
      </c>
      <c r="O191" s="7"/>
      <c r="P191" s="7"/>
      <c r="Q191" s="22"/>
      <c r="R191" s="190"/>
      <c r="S191" s="196">
        <f t="shared" si="70"/>
        <v>1</v>
      </c>
      <c r="T191" s="190" t="str">
        <f t="shared" si="54"/>
        <v>NorthBound</v>
      </c>
      <c r="U191" s="190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1" t="str">
        <f t="shared" si="55"/>
        <v>https://d0f6bd738d7f1b3e5a7ca70fe4ff75f0.us-east-1.aws.found.io/app/kibana#/discover/Steve-Slow-Train-Analysis-(2080s-and-2083s)?_g=(refreshInterval:(display:Off,pause:!f,section:0,value:0),time:(from:'2017-04-28T15:44:04-0600',mode:absolute,to:'2017-04-28T18:05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91" s="192" t="str">
        <f t="shared" si="56"/>
        <v>N</v>
      </c>
      <c r="X191" s="192">
        <f t="shared" si="68"/>
        <v>1</v>
      </c>
      <c r="Y191" s="192">
        <f t="shared" si="57"/>
        <v>9.6199999999999994E-2</v>
      </c>
      <c r="Z191" s="192">
        <f t="shared" si="58"/>
        <v>5.8928000000000003</v>
      </c>
      <c r="AA191" s="192">
        <f t="shared" si="59"/>
        <v>5.7966000000000006</v>
      </c>
      <c r="AB191" s="57" t="e">
        <f>VLOOKUP(A191,Enforcements!$C$7:$K$13,8,0)</f>
        <v>#N/A</v>
      </c>
      <c r="AC191" s="53" t="e">
        <f>VLOOKUP(A191,Enforcements!$C$7:$E$13,3,0)</f>
        <v>#N/A</v>
      </c>
      <c r="AD191" s="54" t="str">
        <f t="shared" si="60"/>
        <v>0831-28</v>
      </c>
      <c r="AE191" s="80" t="str">
        <f t="shared" si="61"/>
        <v>aws s3 cp s3://rtdc.mdm.uploadarchive.raw/RTDC4018/ "%USERPROFILE%\AppData\Local\Temp\OnboardLogs"\RTDC4018\2017-04-28 --exclude "*" --recursive --include "*20170428*" &amp; "%USERPROFILE%\Documents\GitHub\mrs-test-scripts\Headless Mode &amp; Sideloading\WalkAndUnGZ.bat" "%USERPROFILE%\AppData\Local\Temp\OnboardLogs"\RTDC4018\2017-04-28 &amp; aws s3 cp s3://rtdc.mdm.uploadarchive.raw/RTDC4018/ "%USERPROFILE%\AppData\Local\Temp\OnboardLogs"\RTDC4018\2017-04-29 --exclude "*" --recursive --include "*20170429*" &amp; "%USERPROFILE%\Documents\GitHub\mrs-test-scripts\Headless Mode &amp; Sideloading\WalkAndUnGZ.bat" "%USERPROFILE%\AppData\Local\Temp\OnboardLogs"\RTDC4018\2017-04-29</v>
      </c>
      <c r="AF191" s="77" t="str">
        <f t="shared" si="62"/>
        <v>"C:\Program Files (x86)\AstroGrep\AstroGrep.exe" /e /r /s /spath="%USERPROFILE%\AppData\Local\Temp\OnboardLogs" /stypes="app*4018*20170428*" /stext=" 23:.+((SYSTEM_STATE.+slice.+state.+changed )|(ment ac)|(multiple cpu faults)|(system.+state.+changed )|(\[timeout)|(PRM\|1\|D)|(kpr)|(kdp)|(train.+moving)|(\|lc)|(penalty))"</v>
      </c>
      <c r="AG191" s="1" t="str">
        <f t="shared" si="63"/>
        <v>NW</v>
      </c>
      <c r="AH191" s="81" t="str">
        <f t="shared" si="64"/>
        <v>"%USERPROFILE%\Documents\GitHub\eaglep3\Utilities\RefineRTDCRunTimes.py" --tripid 831-28 --locoid 4018 --swversion DE.1.0.9.0 --startMP 204:962 --initTime 2017-04-28T16:44:04 --startdatetime 2017-04-28T16:51:18 --delay 1 --endMP 300:58928 --enddatetime 2017-04-28T17:05:38 --enforcementcount 0 &gt;&gt;C:\Users\stu\Documents\GitHub\eaglep3-reporting\EC\2017-04-28-refined-times.txt</v>
      </c>
      <c r="AI191" s="99" t="str">
        <f t="shared" si="65"/>
        <v>echo {"issue":{"subject":"","project_id":79,"tracker_id":40,"status_id":1,"priority_id":2,"assigned_to_id":23,"start_date":"2017-04-28","description":"","custom_fields":[{"id":1,"name":"Subdivision","value":"NW"},{"id":4,"name":"Milepost","value":"5.8928"},{"id":17,"name":"Train ID","value":"831-28"},{"id":16,"name":"Locomotive ID","value":"4018"},{"id":130,"name":"Impact","value":""},{"id":150,"name":"Time of Event (Mountain Time)","value":"17:05:38"},{"id":151,"name":"Denver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5" t="str">
        <f t="shared" si="66"/>
        <v>start /low /b %USERPROFILE%\Documents\GitHub\eaglep3\Utilities\DownloadLogsFromS3.py --loco 4018 --day 2017-04-28</v>
      </c>
      <c r="AN191" s="154" t="str">
        <f t="shared" si="67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23:05:38"},{"id":29,"name":"Sharepoint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2" spans="1:91" x14ac:dyDescent="0.25">
      <c r="A192" s="32" t="s">
        <v>627</v>
      </c>
      <c r="B192" s="7">
        <v>4017</v>
      </c>
      <c r="C192" s="21" t="s">
        <v>211</v>
      </c>
      <c r="D192" s="21" t="s">
        <v>590</v>
      </c>
      <c r="E192" s="13">
        <v>42853.713414351849</v>
      </c>
      <c r="F192" s="13">
        <v>42853.715567129628</v>
      </c>
      <c r="G192" s="7">
        <v>1</v>
      </c>
      <c r="H192" s="21" t="s">
        <v>577</v>
      </c>
      <c r="I192" s="13">
        <v>42853.726504629631</v>
      </c>
      <c r="J192" s="7">
        <v>0</v>
      </c>
      <c r="K192" s="92" t="str">
        <f t="shared" si="52"/>
        <v>4017/4018</v>
      </c>
      <c r="L192" s="21" t="str">
        <f>VLOOKUP(A192,'Trips&amp;Operators'!$C$1:$G$99999,5,FALSE)</f>
        <v>WILLIAMS DONTE</v>
      </c>
      <c r="M192" s="6">
        <f t="shared" si="53"/>
        <v>1.0937500002910383E-2</v>
      </c>
      <c r="N192" s="7">
        <f t="shared" si="69"/>
        <v>15.750000004190952</v>
      </c>
      <c r="O192" s="7"/>
      <c r="P192" s="7"/>
      <c r="Q192" s="22"/>
      <c r="R192" s="190"/>
      <c r="S192" s="196">
        <f t="shared" si="70"/>
        <v>1</v>
      </c>
      <c r="T192" s="190" t="str">
        <f t="shared" si="54"/>
        <v>Southbound</v>
      </c>
      <c r="U192" s="190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1" t="str">
        <f t="shared" si="55"/>
        <v>https://d0f6bd738d7f1b3e5a7ca70fe4ff75f0.us-east-1.aws.found.io/app/kibana#/discover/Steve-Slow-Train-Analysis-(2080s-and-2083s)?_g=(refreshInterval:(display:Off,pause:!f,section:0,value:0),time:(from:'2017-04-28T16:07:19-0600',mode:absolute,to:'2017-04-28T18:26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92" s="192" t="str">
        <f t="shared" si="56"/>
        <v>N</v>
      </c>
      <c r="X192" s="192">
        <f t="shared" ref="X192:X223" si="71">VALUE(LEFT(AD192,4))-VALUE(LEFT(AD191,4))</f>
        <v>1</v>
      </c>
      <c r="Y192" s="192">
        <f t="shared" si="57"/>
        <v>5.8608000000000002</v>
      </c>
      <c r="Z192" s="192">
        <f t="shared" si="58"/>
        <v>7.1499999999999994E-2</v>
      </c>
      <c r="AA192" s="192">
        <f t="shared" si="59"/>
        <v>5.7892999999999999</v>
      </c>
      <c r="AB192" s="57" t="e">
        <f>VLOOKUP(A192,Enforcements!$C$7:$K$13,8,0)</f>
        <v>#N/A</v>
      </c>
      <c r="AC192" s="53" t="e">
        <f>VLOOKUP(A192,Enforcements!$C$7:$E$13,3,0)</f>
        <v>#N/A</v>
      </c>
      <c r="AD192" s="54" t="str">
        <f t="shared" si="60"/>
        <v>0832-28</v>
      </c>
      <c r="AE192" s="80" t="str">
        <f t="shared" si="61"/>
        <v>aws s3 cp s3://rtdc.mdm.uploadarchive.raw/RTDC4017/ "%USERPROFILE%\AppData\Local\Temp\OnboardLogs"\RTDC4017\2017-04-28 --exclude "*" --recursive --include "*20170428*" &amp; "%USERPROFILE%\Documents\GitHub\mrs-test-scripts\Headless Mode &amp; Sideloading\WalkAndUnGZ.bat" "%USERPROFILE%\AppData\Local\Temp\OnboardLogs"\RTDC4017\2017-04-28 &amp; aws s3 cp s3://rtdc.mdm.uploadarchive.raw/RTDC4017/ "%USERPROFILE%\AppData\Local\Temp\OnboardLogs"\RTDC4017\2017-04-29 --exclude "*" --recursive --include "*20170429*" &amp; "%USERPROFILE%\Documents\GitHub\mrs-test-scripts\Headless Mode &amp; Sideloading\WalkAndUnGZ.bat" "%USERPROFILE%\AppData\Local\Temp\OnboardLogs"\RTDC4017\2017-04-29</v>
      </c>
      <c r="AF192" s="77" t="str">
        <f t="shared" si="62"/>
        <v>"C:\Program Files (x86)\AstroGrep\AstroGrep.exe" /e /r /s /spath="%USERPROFILE%\AppData\Local\Temp\OnboardLogs" /stypes="app*4017*20170428*" /stext=" 23:.+((SYSTEM_STATE.+slice.+state.+changed )|(ment ac)|(multiple cpu faults)|(system.+state.+changed )|(\[timeout)|(PRM\|1\|D)|(kpr)|(kdp)|(train.+moving)|(\|lc)|(penalty))"</v>
      </c>
      <c r="AG192" s="1" t="str">
        <f t="shared" si="63"/>
        <v>NW</v>
      </c>
      <c r="AH192" s="81" t="str">
        <f t="shared" si="64"/>
        <v>"%USERPROFILE%\Documents\GitHub\eaglep3\Utilities\RefineRTDCRunTimes.py" --tripid 832-28 --locoid 4017 --swversion DE.1.0.9.0 --startMP 300:58608 --initTime 2017-04-28T17:07:19 --startdatetime 2017-04-28T17:10:25 --delay 1 --endMP 204:715 --enddatetime 2017-04-28T17:26:10 --enforcementcount 0 &gt;&gt;C:\Users\stu\Documents\GitHub\eaglep3-reporting\EC\2017-04-28-refined-times.txt</v>
      </c>
      <c r="AI192" s="99" t="str">
        <f t="shared" si="65"/>
        <v>echo {"issue":{"subject":"","project_id":79,"tracker_id":40,"status_id":1,"priority_id":2,"assigned_to_id":23,"start_date":"2017-04-28","description":"","custom_fields":[{"id":1,"name":"Subdivision","value":"NW"},{"id":4,"name":"Milepost","value":"0.0715"},{"id":17,"name":"Train ID","value":"832-28"},{"id":16,"name":"Locomotive ID","value":"4017"},{"id":130,"name":"Impact","value":""},{"id":150,"name":"Time of Event (Mountain Time)","value":"17:26:10"},{"id":151,"name":"Denver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7"/>
      <c r="AL192" s="47"/>
      <c r="AM192" s="145" t="str">
        <f t="shared" si="66"/>
        <v>start /low /b %USERPROFILE%\Documents\GitHub\eaglep3\Utilities\DownloadLogsFromS3.py --loco 4017 --day 2017-04-28</v>
      </c>
      <c r="AN192" s="154" t="str">
        <f t="shared" si="67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23:26:10"},{"id":29,"name":"Sharepoint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3" spans="1:91" s="20" customFormat="1" x14ac:dyDescent="0.25">
      <c r="A193" s="32" t="s">
        <v>779</v>
      </c>
      <c r="B193" s="7">
        <v>4012</v>
      </c>
      <c r="C193" s="21" t="s">
        <v>211</v>
      </c>
      <c r="D193" s="21" t="s">
        <v>587</v>
      </c>
      <c r="E193" s="13">
        <v>42853.71770833333</v>
      </c>
      <c r="F193" s="13">
        <v>42853.723530092589</v>
      </c>
      <c r="G193" s="7">
        <v>3</v>
      </c>
      <c r="H193" s="21" t="s">
        <v>992</v>
      </c>
      <c r="I193" s="13">
        <v>42853.733437499999</v>
      </c>
      <c r="J193" s="7">
        <v>0</v>
      </c>
      <c r="K193" s="92" t="str">
        <f t="shared" si="52"/>
        <v>4011/4012</v>
      </c>
      <c r="L193" s="21" t="str">
        <f>VLOOKUP(A193,'Trips&amp;Operators'!$C$1:$G$99999,5,FALSE)</f>
        <v>THOMPSON LESTER</v>
      </c>
      <c r="M193" s="6">
        <f t="shared" si="53"/>
        <v>9.9074074096279219E-3</v>
      </c>
      <c r="N193" s="7">
        <f t="shared" si="69"/>
        <v>14.266666669864208</v>
      </c>
      <c r="O193" s="7"/>
      <c r="P193" s="7"/>
      <c r="Q193" s="22"/>
      <c r="R193" s="190"/>
      <c r="S193" s="196">
        <f t="shared" si="70"/>
        <v>1</v>
      </c>
      <c r="T193" s="190" t="str">
        <f t="shared" si="54"/>
        <v>NorthBound</v>
      </c>
      <c r="U193" s="190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1" t="str">
        <f t="shared" si="55"/>
        <v>https://d0f6bd738d7f1b3e5a7ca70fe4ff75f0.us-east-1.aws.found.io/app/kibana#/discover/Steve-Slow-Train-Analysis-(2080s-and-2083s)?_g=(refreshInterval:(display:Off,pause:!f,section:0,value:0),time:(from:'2017-04-28T16:13:30-0600',mode:absolute,to:'2017-04-28T18:36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93" s="192" t="str">
        <f t="shared" si="56"/>
        <v>N</v>
      </c>
      <c r="X193" s="192">
        <f t="shared" si="71"/>
        <v>1</v>
      </c>
      <c r="Y193" s="192">
        <f t="shared" si="57"/>
        <v>9.5500000000000002E-2</v>
      </c>
      <c r="Z193" s="192">
        <f t="shared" si="58"/>
        <v>5.8971</v>
      </c>
      <c r="AA193" s="192">
        <f t="shared" si="59"/>
        <v>5.8015999999999996</v>
      </c>
      <c r="AB193" s="57" t="e">
        <f>VLOOKUP(A193,Enforcements!$C$7:$K$13,8,0)</f>
        <v>#N/A</v>
      </c>
      <c r="AC193" s="53" t="e">
        <f>VLOOKUP(A193,Enforcements!$C$7:$E$13,3,0)</f>
        <v>#N/A</v>
      </c>
      <c r="AD193" s="54" t="str">
        <f t="shared" si="60"/>
        <v>0833-28</v>
      </c>
      <c r="AE193" s="80" t="str">
        <f t="shared" si="61"/>
        <v>aws s3 cp s3://rtdc.mdm.uploadarchive.raw/RTDC4012/ "%USERPROFILE%\AppData\Local\Temp\OnboardLogs"\RTDC4012\2017-04-28 --exclude "*" --recursive --include "*20170428*" &amp; "%USERPROFILE%\Documents\GitHub\mrs-test-scripts\Headless Mode &amp; Sideloading\WalkAndUnGZ.bat" "%USERPROFILE%\AppData\Local\Temp\OnboardLogs"\RTDC4012\2017-04-28 &amp; aws s3 cp s3://rtdc.mdm.uploadarchive.raw/RTDC4012/ "%USERPROFILE%\AppData\Local\Temp\OnboardLogs"\RTDC4012\2017-04-29 --exclude "*" --recursive --include "*20170429*" &amp; "%USERPROFILE%\Documents\GitHub\mrs-test-scripts\Headless Mode &amp; Sideloading\WalkAndUnGZ.bat" "%USERPROFILE%\AppData\Local\Temp\OnboardLogs"\RTDC4012\2017-04-29</v>
      </c>
      <c r="AF193" s="77" t="str">
        <f t="shared" si="62"/>
        <v>"C:\Program Files (x86)\AstroGrep\AstroGrep.exe" /e /r /s /spath="%USERPROFILE%\AppData\Local\Temp\OnboardLogs" /stypes="app*4012*20170428*" /stext=" 23:.+((SYSTEM_STATE.+slice.+state.+changed )|(ment ac)|(multiple cpu faults)|(system.+state.+changed )|(\[timeout)|(PRM\|1\|D)|(kpr)|(kdp)|(train.+moving)|(\|lc)|(penalty))"</v>
      </c>
      <c r="AG193" s="1" t="str">
        <f t="shared" si="63"/>
        <v>NW</v>
      </c>
      <c r="AH193" s="81" t="str">
        <f t="shared" si="64"/>
        <v>"%USERPROFILE%\Documents\GitHub\eaglep3\Utilities\RefineRTDCRunTimes.py" --tripid 833-28 --locoid 4012 --swversion DE.1.0.9.0 --startMP 204:955 --initTime 2017-04-28T17:13:30 --startdatetime 2017-04-28T17:21:53 --delay 3 --endMP 300:58971 --enddatetime 2017-04-28T17:36:09 --enforcementcount 0 &gt;&gt;C:\Users\stu\Documents\GitHub\eaglep3-reporting\EC\2017-04-28-refined-times.txt</v>
      </c>
      <c r="AI193" s="99" t="str">
        <f t="shared" si="65"/>
        <v>echo {"issue":{"subject":"","project_id":79,"tracker_id":40,"status_id":1,"priority_id":2,"assigned_to_id":23,"start_date":"2017-04-28","description":"","custom_fields":[{"id":1,"name":"Subdivision","value":"NW"},{"id":4,"name":"Milepost","value":"5.8971"},{"id":17,"name":"Train ID","value":"833-28"},{"id":16,"name":"Locomotive ID","value":"4012"},{"id":130,"name":"Impact","value":""},{"id":150,"name":"Time of Event (Mountain Time)","value":"17:36:09"},{"id":151,"name":"Denver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3" s="47"/>
      <c r="AL193" s="47"/>
      <c r="AM193" s="145" t="str">
        <f t="shared" si="66"/>
        <v>start /low /b %USERPROFILE%\Documents\GitHub\eaglep3\Utilities\DownloadLogsFromS3.py --loco 4012 --day 2017-04-28</v>
      </c>
      <c r="AN193" s="154" t="str">
        <f t="shared" si="67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23:36:09"},{"id":29,"name":"Sharepoint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0" customFormat="1" x14ac:dyDescent="0.25">
      <c r="A194" s="32" t="s">
        <v>785</v>
      </c>
      <c r="B194" s="7">
        <v>4011</v>
      </c>
      <c r="C194" s="21" t="s">
        <v>211</v>
      </c>
      <c r="D194" s="21" t="s">
        <v>579</v>
      </c>
      <c r="E194" s="13">
        <v>42853.73474537037</v>
      </c>
      <c r="F194" s="13">
        <v>42853.736307870371</v>
      </c>
      <c r="G194" s="7">
        <v>1</v>
      </c>
      <c r="H194" s="21" t="s">
        <v>525</v>
      </c>
      <c r="I194" s="13">
        <v>42853.747372685182</v>
      </c>
      <c r="J194" s="7">
        <v>0</v>
      </c>
      <c r="K194" s="92" t="str">
        <f t="shared" si="52"/>
        <v>4011/4012</v>
      </c>
      <c r="L194" s="21" t="str">
        <f>VLOOKUP(A194,'Trips&amp;Operators'!$C$1:$G$99999,5,FALSE)</f>
        <v>THOMPSON LESTER</v>
      </c>
      <c r="M194" s="6">
        <f t="shared" si="53"/>
        <v>1.1064814811106771E-2</v>
      </c>
      <c r="N194" s="7">
        <f t="shared" si="69"/>
        <v>15.933333327993751</v>
      </c>
      <c r="O194" s="7"/>
      <c r="P194" s="7"/>
      <c r="Q194" s="22"/>
      <c r="R194" s="190"/>
      <c r="S194" s="196">
        <f t="shared" si="70"/>
        <v>1</v>
      </c>
      <c r="T194" s="190" t="str">
        <f t="shared" si="54"/>
        <v>Southbound</v>
      </c>
      <c r="U194" s="190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1" t="str">
        <f t="shared" si="55"/>
        <v>https://d0f6bd738d7f1b3e5a7ca70fe4ff75f0.us-east-1.aws.found.io/app/kibana#/discover/Steve-Slow-Train-Analysis-(2080s-and-2083s)?_g=(refreshInterval:(display:Off,pause:!f,section:0,value:0),time:(from:'2017-04-28T16:38:02-0600',mode:absolute,to:'2017-04-28T18:56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94" s="192" t="str">
        <f t="shared" si="56"/>
        <v>N</v>
      </c>
      <c r="X194" s="192">
        <f t="shared" si="71"/>
        <v>1</v>
      </c>
      <c r="Y194" s="192">
        <f t="shared" si="57"/>
        <v>5.8648999999999996</v>
      </c>
      <c r="Z194" s="192">
        <f t="shared" si="58"/>
        <v>6.9599999999999995E-2</v>
      </c>
      <c r="AA194" s="192">
        <f t="shared" si="59"/>
        <v>5.7952999999999992</v>
      </c>
      <c r="AB194" s="57" t="e">
        <f>VLOOKUP(A194,Enforcements!$C$7:$K$13,8,0)</f>
        <v>#N/A</v>
      </c>
      <c r="AC194" s="53" t="e">
        <f>VLOOKUP(A194,Enforcements!$C$7:$E$13,3,0)</f>
        <v>#N/A</v>
      </c>
      <c r="AD194" s="54" t="str">
        <f t="shared" si="60"/>
        <v>0834-28</v>
      </c>
      <c r="AE194" s="80" t="str">
        <f t="shared" si="61"/>
        <v>aws s3 cp s3://rtdc.mdm.uploadarchive.raw/RTDC4011/ "%USERPROFILE%\AppData\Local\Temp\OnboardLogs"\RTDC4011\2017-04-28 --exclude "*" --recursive --include "*20170428*" &amp; "%USERPROFILE%\Documents\GitHub\mrs-test-scripts\Headless Mode &amp; Sideloading\WalkAndUnGZ.bat" "%USERPROFILE%\AppData\Local\Temp\OnboardLogs"\RTDC4011\2017-04-28 &amp; aws s3 cp s3://rtdc.mdm.uploadarchive.raw/RTDC4011/ "%USERPROFILE%\AppData\Local\Temp\OnboardLogs"\RTDC4011\2017-04-29 --exclude "*" --recursive --include "*20170429*" &amp; "%USERPROFILE%\Documents\GitHub\mrs-test-scripts\Headless Mode &amp; Sideloading\WalkAndUnGZ.bat" "%USERPROFILE%\AppData\Local\Temp\OnboardLogs"\RTDC4011\2017-04-29</v>
      </c>
      <c r="AF194" s="77" t="str">
        <f t="shared" si="62"/>
        <v>"C:\Program Files (x86)\AstroGrep\AstroGrep.exe" /e /r /s /spath="%USERPROFILE%\AppData\Local\Temp\OnboardLogs" /stypes="app*4011*20170428*" /stext=" 23:.+((SYSTEM_STATE.+slice.+state.+changed )|(ment ac)|(multiple cpu faults)|(system.+state.+changed )|(\[timeout)|(PRM\|1\|D)|(kpr)|(kdp)|(train.+moving)|(\|lc)|(penalty))"</v>
      </c>
      <c r="AG194" s="1" t="str">
        <f t="shared" si="63"/>
        <v>NW</v>
      </c>
      <c r="AH194" s="81" t="str">
        <f t="shared" si="64"/>
        <v>"%USERPROFILE%\Documents\GitHub\eaglep3\Utilities\RefineRTDCRunTimes.py" --tripid 834-28 --locoid 4011 --swversion DE.1.0.9.0 --startMP 300:58649 --initTime 2017-04-28T17:38:02 --startdatetime 2017-04-28T17:40:17 --delay 1 --endMP 204:696 --enddatetime 2017-04-28T17:56:13 --enforcementcount 0 &gt;&gt;C:\Users\stu\Documents\GitHub\eaglep3-reporting\EC\2017-04-28-refined-times.txt</v>
      </c>
      <c r="AI194" s="99" t="str">
        <f t="shared" si="65"/>
        <v>echo {"issue":{"subject":"","project_id":79,"tracker_id":40,"status_id":1,"priority_id":2,"assigned_to_id":23,"start_date":"2017-04-28","description":"","custom_fields":[{"id":1,"name":"Subdivision","value":"NW"},{"id":4,"name":"Milepost","value":"0.0696"},{"id":17,"name":"Train ID","value":"834-28"},{"id":16,"name":"Locomotive ID","value":"4011"},{"id":130,"name":"Impact","value":""},{"id":150,"name":"Time of Event (Mountain Time)","value":"17:56:13"},{"id":151,"name":"Denver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4" s="47"/>
      <c r="AL194" s="47"/>
      <c r="AM194" s="145" t="str">
        <f t="shared" si="66"/>
        <v>start /low /b %USERPROFILE%\Documents\GitHub\eaglep3\Utilities\DownloadLogsFromS3.py --loco 4011 --day 2017-04-28</v>
      </c>
      <c r="AN194" s="154" t="str">
        <f t="shared" si="67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23:56:13"},{"id":29,"name":"Sharepoint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0" customFormat="1" x14ac:dyDescent="0.25">
      <c r="A195" s="32" t="s">
        <v>628</v>
      </c>
      <c r="B195" s="7">
        <v>4018</v>
      </c>
      <c r="C195" s="21" t="s">
        <v>211</v>
      </c>
      <c r="D195" s="21" t="s">
        <v>997</v>
      </c>
      <c r="E195" s="13">
        <v>42853.739675925928</v>
      </c>
      <c r="F195" s="13">
        <v>42853.743946759256</v>
      </c>
      <c r="G195" s="7">
        <v>1</v>
      </c>
      <c r="H195" s="21" t="s">
        <v>584</v>
      </c>
      <c r="I195" s="13">
        <v>42853.753761574073</v>
      </c>
      <c r="J195" s="7">
        <v>0</v>
      </c>
      <c r="K195" s="92" t="str">
        <f t="shared" si="52"/>
        <v>4017/4018</v>
      </c>
      <c r="L195" s="21" t="str">
        <f>VLOOKUP(A195,'Trips&amp;Operators'!$C$1:$G$99999,5,FALSE)</f>
        <v>WILLIAMS DONTE</v>
      </c>
      <c r="M195" s="6">
        <f t="shared" si="53"/>
        <v>9.8148148172185756E-3</v>
      </c>
      <c r="N195" s="7">
        <f t="shared" si="69"/>
        <v>14.133333336794749</v>
      </c>
      <c r="O195" s="7"/>
      <c r="P195" s="7"/>
      <c r="Q195" s="22"/>
      <c r="R195" s="190"/>
      <c r="S195" s="196">
        <f t="shared" si="70"/>
        <v>1</v>
      </c>
      <c r="T195" s="190" t="str">
        <f t="shared" si="54"/>
        <v>NorthBound</v>
      </c>
      <c r="U195" s="190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1" t="str">
        <f t="shared" si="55"/>
        <v>https://d0f6bd738d7f1b3e5a7ca70fe4ff75f0.us-east-1.aws.found.io/app/kibana#/discover/Steve-Slow-Train-Analysis-(2080s-and-2083s)?_g=(refreshInterval:(display:Off,pause:!f,section:0,value:0),time:(from:'2017-04-28T16:45:08-0600',mode:absolute,to:'2017-04-28T19:05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95" s="192" t="str">
        <f t="shared" si="56"/>
        <v>N</v>
      </c>
      <c r="X195" s="192">
        <f t="shared" si="71"/>
        <v>1</v>
      </c>
      <c r="Y195" s="192">
        <f t="shared" si="57"/>
        <v>9.8299999999999998E-2</v>
      </c>
      <c r="Z195" s="192">
        <f t="shared" si="58"/>
        <v>5.8939000000000004</v>
      </c>
      <c r="AA195" s="192">
        <f t="shared" si="59"/>
        <v>5.7956000000000003</v>
      </c>
      <c r="AB195" s="57" t="e">
        <f>VLOOKUP(A195,Enforcements!$C$7:$K$13,8,0)</f>
        <v>#N/A</v>
      </c>
      <c r="AC195" s="53" t="e">
        <f>VLOOKUP(A195,Enforcements!$C$7:$E$13,3,0)</f>
        <v>#N/A</v>
      </c>
      <c r="AD195" s="54" t="str">
        <f t="shared" si="60"/>
        <v>0835-28</v>
      </c>
      <c r="AE195" s="80" t="str">
        <f t="shared" si="61"/>
        <v>aws s3 cp s3://rtdc.mdm.uploadarchive.raw/RTDC4018/ "%USERPROFILE%\AppData\Local\Temp\OnboardLogs"\RTDC4018\2017-04-28 --exclude "*" --recursive --include "*20170428*" &amp; "%USERPROFILE%\Documents\GitHub\mrs-test-scripts\Headless Mode &amp; Sideloading\WalkAndUnGZ.bat" "%USERPROFILE%\AppData\Local\Temp\OnboardLogs"\RTDC4018\2017-04-28 &amp; aws s3 cp s3://rtdc.mdm.uploadarchive.raw/RTDC4018/ "%USERPROFILE%\AppData\Local\Temp\OnboardLogs"\RTDC4018\2017-04-29 --exclude "*" --recursive --include "*20170429*" &amp; "%USERPROFILE%\Documents\GitHub\mrs-test-scripts\Headless Mode &amp; Sideloading\WalkAndUnGZ.bat" "%USERPROFILE%\AppData\Local\Temp\OnboardLogs"\RTDC4018\2017-04-29</v>
      </c>
      <c r="AF195" s="77" t="str">
        <f t="shared" si="62"/>
        <v>"C:\Program Files (x86)\AstroGrep\AstroGrep.exe" /e /r /s /spath="%USERPROFILE%\AppData\Local\Temp\OnboardLogs" /stypes="app*4018*20170429*" /stext=" 00:.+((SYSTEM_STATE.+slice.+state.+changed )|(ment ac)|(multiple cpu faults)|(system.+state.+changed )|(\[timeout)|(PRM\|1\|D)|(kpr)|(kdp)|(train.+moving)|(\|lc)|(penalty))"</v>
      </c>
      <c r="AG195" s="1" t="str">
        <f t="shared" si="63"/>
        <v>NW</v>
      </c>
      <c r="AH195" s="81" t="str">
        <f t="shared" si="64"/>
        <v>"%USERPROFILE%\Documents\GitHub\eaglep3\Utilities\RefineRTDCRunTimes.py" --tripid 835-28 --locoid 4018 --swversion DE.1.0.9.0 --startMP 204:983 --initTime 2017-04-28T17:45:08 --startdatetime 2017-04-28T17:51:17 --delay 1 --endMP 300:58939 --enddatetime 2017-04-28T18:05:25 --enforcementcount 0 &gt;&gt;C:\Users\stu\Documents\GitHub\eaglep3-reporting\EC\2017-04-28-refined-times.txt</v>
      </c>
      <c r="AI195" s="99" t="str">
        <f t="shared" si="65"/>
        <v>echo {"issue":{"subject":"","project_id":79,"tracker_id":40,"status_id":1,"priority_id":2,"assigned_to_id":23,"start_date":"2017-04-28","description":"","custom_fields":[{"id":1,"name":"Subdivision","value":"NW"},{"id":4,"name":"Milepost","value":"5.8939"},{"id":17,"name":"Train ID","value":"835-28"},{"id":16,"name":"Locomotive ID","value":"4018"},{"id":130,"name":"Impact","value":""},{"id":150,"name":"Time of Event (Mountain Time)","value":"18:05:25"},{"id":151,"name":"Denver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5" s="47"/>
      <c r="AL195" s="47"/>
      <c r="AM195" s="145" t="str">
        <f t="shared" si="66"/>
        <v>start /low /b %USERPROFILE%\Documents\GitHub\eaglep3\Utilities\DownloadLogsFromS3.py --loco 4018 --day 2017-04-28</v>
      </c>
      <c r="AN195" s="154" t="str">
        <f t="shared" si="67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00:05:25"},{"id":29,"name":"Sharepoint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x14ac:dyDescent="0.25">
      <c r="A196" s="32" t="s">
        <v>789</v>
      </c>
      <c r="B196" s="7">
        <v>4017</v>
      </c>
      <c r="C196" s="21" t="s">
        <v>211</v>
      </c>
      <c r="D196" s="21" t="s">
        <v>998</v>
      </c>
      <c r="E196" s="13">
        <v>42853.754976851851</v>
      </c>
      <c r="F196" s="13">
        <v>42853.756736111114</v>
      </c>
      <c r="G196" s="7">
        <v>1</v>
      </c>
      <c r="H196" s="21" t="s">
        <v>999</v>
      </c>
      <c r="I196" s="13">
        <v>42853.767905092594</v>
      </c>
      <c r="J196" s="7">
        <v>0</v>
      </c>
      <c r="K196" s="92" t="str">
        <f t="shared" si="52"/>
        <v>4017/4018</v>
      </c>
      <c r="L196" s="21" t="str">
        <f>VLOOKUP(A196,'Trips&amp;Operators'!$C$1:$G$99999,5,FALSE)</f>
        <v>WILLIAMS DONTE</v>
      </c>
      <c r="M196" s="6">
        <f t="shared" si="53"/>
        <v>1.116898148029577E-2</v>
      </c>
      <c r="N196" s="7">
        <f t="shared" si="69"/>
        <v>16.083333331625909</v>
      </c>
      <c r="O196" s="7"/>
      <c r="P196" s="7"/>
      <c r="Q196" s="22"/>
      <c r="R196" s="190"/>
      <c r="S196" s="196">
        <f t="shared" si="70"/>
        <v>1</v>
      </c>
      <c r="T196" s="190" t="str">
        <f t="shared" si="54"/>
        <v>Southbound</v>
      </c>
      <c r="U196" s="190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1" t="str">
        <f t="shared" si="55"/>
        <v>https://d0f6bd738d7f1b3e5a7ca70fe4ff75f0.us-east-1.aws.found.io/app/kibana#/discover/Steve-Slow-Train-Analysis-(2080s-and-2083s)?_g=(refreshInterval:(display:Off,pause:!f,section:0,value:0),time:(from:'2017-04-28T17:07:10-0600',mode:absolute,to:'2017-04-28T19:25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96" s="192" t="str">
        <f t="shared" si="56"/>
        <v>N</v>
      </c>
      <c r="X196" s="192">
        <f t="shared" si="71"/>
        <v>1</v>
      </c>
      <c r="Y196" s="192">
        <f t="shared" si="57"/>
        <v>5.8625999999999996</v>
      </c>
      <c r="Z196" s="192">
        <f t="shared" si="58"/>
        <v>6.5600000000000006E-2</v>
      </c>
      <c r="AA196" s="192">
        <f t="shared" si="59"/>
        <v>5.7969999999999997</v>
      </c>
      <c r="AB196" s="57" t="e">
        <f>VLOOKUP(A196,Enforcements!$C$7:$K$13,8,0)</f>
        <v>#N/A</v>
      </c>
      <c r="AC196" s="53" t="e">
        <f>VLOOKUP(A196,Enforcements!$C$7:$E$13,3,0)</f>
        <v>#N/A</v>
      </c>
      <c r="AD196" s="54" t="str">
        <f t="shared" si="60"/>
        <v>0836-28</v>
      </c>
      <c r="AE196" s="80" t="str">
        <f t="shared" si="61"/>
        <v>aws s3 cp s3://rtdc.mdm.uploadarchive.raw/RTDC4017/ "%USERPROFILE%\AppData\Local\Temp\OnboardLogs"\RTDC4017\2017-04-28 --exclude "*" --recursive --include "*20170428*" &amp; "%USERPROFILE%\Documents\GitHub\mrs-test-scripts\Headless Mode &amp; Sideloading\WalkAndUnGZ.bat" "%USERPROFILE%\AppData\Local\Temp\OnboardLogs"\RTDC4017\2017-04-28 &amp; aws s3 cp s3://rtdc.mdm.uploadarchive.raw/RTDC4017/ "%USERPROFILE%\AppData\Local\Temp\OnboardLogs"\RTDC4017\2017-04-29 --exclude "*" --recursive --include "*20170429*" &amp; "%USERPROFILE%\Documents\GitHub\mrs-test-scripts\Headless Mode &amp; Sideloading\WalkAndUnGZ.bat" "%USERPROFILE%\AppData\Local\Temp\OnboardLogs"\RTDC4017\2017-04-29</v>
      </c>
      <c r="AF196" s="77" t="str">
        <f t="shared" si="62"/>
        <v>"C:\Program Files (x86)\AstroGrep\AstroGrep.exe" /e /r /s /spath="%USERPROFILE%\AppData\Local\Temp\OnboardLogs" /stypes="app*4017*20170429*" /stext=" 00:.+((SYSTEM_STATE.+slice.+state.+changed )|(ment ac)|(multiple cpu faults)|(system.+state.+changed )|(\[timeout)|(PRM\|1\|D)|(kpr)|(kdp)|(train.+moving)|(\|lc)|(penalty))"</v>
      </c>
      <c r="AG196" s="1" t="str">
        <f t="shared" si="63"/>
        <v>NW</v>
      </c>
      <c r="AH196" s="81" t="str">
        <f t="shared" si="64"/>
        <v>"%USERPROFILE%\Documents\GitHub\eaglep3\Utilities\RefineRTDCRunTimes.py" --tripid 836-28 --locoid 4017 --swversion DE.1.0.9.0 --startMP 300:58626 --initTime 2017-04-28T18:07:10 --startdatetime 2017-04-28T18:09:42 --delay 1 --endMP 204:656 --enddatetime 2017-04-28T18:25:47 --enforcementcount 0 &gt;&gt;C:\Users\stu\Documents\GitHub\eaglep3-reporting\EC\2017-04-28-refined-times.txt</v>
      </c>
      <c r="AI196" s="99" t="str">
        <f t="shared" si="65"/>
        <v>echo {"issue":{"subject":"","project_id":79,"tracker_id":40,"status_id":1,"priority_id":2,"assigned_to_id":23,"start_date":"2017-04-28","description":"","custom_fields":[{"id":1,"name":"Subdivision","value":"NW"},{"id":4,"name":"Milepost","value":"0.0656"},{"id":17,"name":"Train ID","value":"836-28"},{"id":16,"name":"Locomotive ID","value":"4017"},{"id":130,"name":"Impact","value":""},{"id":150,"name":"Time of Event (Mountain Time)","value":"18:25:47"},{"id":151,"name":"Denver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7"/>
      <c r="AL196" s="47"/>
      <c r="AM196" s="145" t="str">
        <f t="shared" si="66"/>
        <v>start /low /b %USERPROFILE%\Documents\GitHub\eaglep3\Utilities\DownloadLogsFromS3.py --loco 4017 --day 2017-04-28</v>
      </c>
      <c r="AN196" s="154" t="str">
        <f t="shared" si="67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00:25:47"},{"id":29,"name":"Sharepoint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7" spans="1:91" x14ac:dyDescent="0.25">
      <c r="A197" s="32" t="s">
        <v>632</v>
      </c>
      <c r="B197" s="7">
        <v>4012</v>
      </c>
      <c r="C197" s="21" t="s">
        <v>211</v>
      </c>
      <c r="D197" s="21" t="s">
        <v>987</v>
      </c>
      <c r="E197" s="13">
        <v>42853.75854166667</v>
      </c>
      <c r="F197" s="13">
        <v>42853.764791666668</v>
      </c>
      <c r="G197" s="7">
        <v>1</v>
      </c>
      <c r="H197" s="21" t="s">
        <v>519</v>
      </c>
      <c r="I197" s="13">
        <v>42853.774826388886</v>
      </c>
      <c r="J197" s="7">
        <v>0</v>
      </c>
      <c r="K197" s="92" t="str">
        <f t="shared" si="52"/>
        <v>4011/4012</v>
      </c>
      <c r="L197" s="21" t="str">
        <f>VLOOKUP(A197,'Trips&amp;Operators'!$C$1:$G$99999,5,FALSE)</f>
        <v>THOMPSON LESTER</v>
      </c>
      <c r="M197" s="6">
        <f t="shared" si="53"/>
        <v>1.003472221782431E-2</v>
      </c>
      <c r="N197" s="7">
        <f t="shared" si="69"/>
        <v>14.449999993667006</v>
      </c>
      <c r="O197" s="7"/>
      <c r="P197" s="7"/>
      <c r="Q197" s="22"/>
      <c r="R197" s="190"/>
      <c r="S197" s="196">
        <f t="shared" si="70"/>
        <v>1</v>
      </c>
      <c r="T197" s="190" t="str">
        <f t="shared" si="54"/>
        <v>NorthBound</v>
      </c>
      <c r="U197" s="190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1" t="str">
        <f t="shared" si="55"/>
        <v>https://d0f6bd738d7f1b3e5a7ca70fe4ff75f0.us-east-1.aws.found.io/app/kibana#/discover/Steve-Slow-Train-Analysis-(2080s-and-2083s)?_g=(refreshInterval:(display:Off,pause:!f,section:0,value:0),time:(from:'2017-04-28T17:12:18-0600',mode:absolute,to:'2017-04-28T19:35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97" s="192" t="str">
        <f t="shared" si="56"/>
        <v>N</v>
      </c>
      <c r="X197" s="192">
        <f t="shared" si="71"/>
        <v>1</v>
      </c>
      <c r="Y197" s="192">
        <f t="shared" si="57"/>
        <v>9.9699999999999997E-2</v>
      </c>
      <c r="Z197" s="192">
        <f t="shared" si="58"/>
        <v>5.8952</v>
      </c>
      <c r="AA197" s="192">
        <f t="shared" si="59"/>
        <v>5.7954999999999997</v>
      </c>
      <c r="AB197" s="57" t="e">
        <f>VLOOKUP(A197,Enforcements!$C$7:$K$13,8,0)</f>
        <v>#N/A</v>
      </c>
      <c r="AC197" s="53" t="e">
        <f>VLOOKUP(A197,Enforcements!$C$7:$E$13,3,0)</f>
        <v>#N/A</v>
      </c>
      <c r="AD197" s="54" t="str">
        <f t="shared" si="60"/>
        <v>0837-28</v>
      </c>
      <c r="AE197" s="80" t="str">
        <f t="shared" si="61"/>
        <v>aws s3 cp s3://rtdc.mdm.uploadarchive.raw/RTDC4012/ "%USERPROFILE%\AppData\Local\Temp\OnboardLogs"\RTDC4012\2017-04-28 --exclude "*" --recursive --include "*20170428*" &amp; "%USERPROFILE%\Documents\GitHub\mrs-test-scripts\Headless Mode &amp; Sideloading\WalkAndUnGZ.bat" "%USERPROFILE%\AppData\Local\Temp\OnboardLogs"\RTDC4012\2017-04-28 &amp; aws s3 cp s3://rtdc.mdm.uploadarchive.raw/RTDC4012/ "%USERPROFILE%\AppData\Local\Temp\OnboardLogs"\RTDC4012\2017-04-29 --exclude "*" --recursive --include "*20170429*" &amp; "%USERPROFILE%\Documents\GitHub\mrs-test-scripts\Headless Mode &amp; Sideloading\WalkAndUnGZ.bat" "%USERPROFILE%\AppData\Local\Temp\OnboardLogs"\RTDC4012\2017-04-29</v>
      </c>
      <c r="AF197" s="77" t="str">
        <f t="shared" si="62"/>
        <v>"C:\Program Files (x86)\AstroGrep\AstroGrep.exe" /e /r /s /spath="%USERPROFILE%\AppData\Local\Temp\OnboardLogs" /stypes="app*4012*20170429*" /stext=" 00:.+((SYSTEM_STATE.+slice.+state.+changed )|(ment ac)|(multiple cpu faults)|(system.+state.+changed )|(\[timeout)|(PRM\|1\|D)|(kpr)|(kdp)|(train.+moving)|(\|lc)|(penalty))"</v>
      </c>
      <c r="AG197" s="1" t="str">
        <f t="shared" si="63"/>
        <v>NW</v>
      </c>
      <c r="AH197" s="81" t="str">
        <f t="shared" si="64"/>
        <v>"%USERPROFILE%\Documents\GitHub\eaglep3\Utilities\RefineRTDCRunTimes.py" --tripid 837-28 --locoid 4012 --swversion DE.1.0.9.0 --startMP 204:997 --initTime 2017-04-28T18:12:18 --startdatetime 2017-04-28T18:21:18 --delay 1 --endMP 300:58952 --enddatetime 2017-04-28T18:35:45 --enforcementcount 0 &gt;&gt;C:\Users\stu\Documents\GitHub\eaglep3-reporting\EC\2017-04-28-refined-times.txt</v>
      </c>
      <c r="AI197" s="99" t="str">
        <f t="shared" si="65"/>
        <v>echo {"issue":{"subject":"","project_id":79,"tracker_id":40,"status_id":1,"priority_id":2,"assigned_to_id":23,"start_date":"2017-04-28","description":"","custom_fields":[{"id":1,"name":"Subdivision","value":"NW"},{"id":4,"name":"Milepost","value":"5.8952"},{"id":17,"name":"Train ID","value":"837-28"},{"id":16,"name":"Locomotive ID","value":"4012"},{"id":130,"name":"Impact","value":""},{"id":150,"name":"Time of Event (Mountain Time)","value":"18:35:45"},{"id":151,"name":"Denver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5" t="str">
        <f t="shared" si="66"/>
        <v>start /low /b %USERPROFILE%\Documents\GitHub\eaglep3\Utilities\DownloadLogsFromS3.py --loco 4012 --day 2017-04-28</v>
      </c>
      <c r="AN197" s="154" t="str">
        <f t="shared" si="67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00:35:45"},{"id":29,"name":"Sharepoint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8" spans="1:91" x14ac:dyDescent="0.25">
      <c r="A198" s="32" t="s">
        <v>793</v>
      </c>
      <c r="B198" s="7">
        <v>4011</v>
      </c>
      <c r="C198" s="21" t="s">
        <v>211</v>
      </c>
      <c r="D198" s="21" t="s">
        <v>426</v>
      </c>
      <c r="E198" s="13">
        <v>42853.777071759258</v>
      </c>
      <c r="F198" s="13">
        <v>42853.778923611113</v>
      </c>
      <c r="G198" s="7">
        <v>1</v>
      </c>
      <c r="H198" s="21" t="s">
        <v>966</v>
      </c>
      <c r="I198" s="13">
        <v>42853.79105324074</v>
      </c>
      <c r="J198" s="7">
        <v>0</v>
      </c>
      <c r="K198" s="92" t="str">
        <f t="shared" si="52"/>
        <v>4011/4012</v>
      </c>
      <c r="L198" s="21" t="str">
        <f>VLOOKUP(A198,'Trips&amp;Operators'!$C$1:$G$99999,5,FALSE)</f>
        <v>THOMPSON LESTER</v>
      </c>
      <c r="M198" s="6">
        <f t="shared" si="53"/>
        <v>1.2129629627452232E-2</v>
      </c>
      <c r="N198" s="7">
        <f t="shared" si="69"/>
        <v>17.466666663531214</v>
      </c>
      <c r="O198" s="7"/>
      <c r="P198" s="7"/>
      <c r="Q198" s="22"/>
      <c r="R198" s="190"/>
      <c r="S198" s="196">
        <f t="shared" si="70"/>
        <v>1</v>
      </c>
      <c r="T198" s="190" t="str">
        <f t="shared" si="54"/>
        <v>Southbound</v>
      </c>
      <c r="U198" s="190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1" t="str">
        <f t="shared" si="55"/>
        <v>https://d0f6bd738d7f1b3e5a7ca70fe4ff75f0.us-east-1.aws.found.io/app/kibana#/discover/Steve-Slow-Train-Analysis-(2080s-and-2083s)?_g=(refreshInterval:(display:Off,pause:!f,section:0,value:0),time:(from:'2017-04-28T17:38:59-0600',mode:absolute,to:'2017-04-28T19:59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98" s="192" t="str">
        <f t="shared" si="56"/>
        <v>N</v>
      </c>
      <c r="X198" s="192">
        <f t="shared" si="71"/>
        <v>1</v>
      </c>
      <c r="Y198" s="192">
        <f t="shared" si="57"/>
        <v>5.8635999999999999</v>
      </c>
      <c r="Z198" s="192">
        <f t="shared" si="58"/>
        <v>7.0800000000000002E-2</v>
      </c>
      <c r="AA198" s="192">
        <f t="shared" si="59"/>
        <v>5.7927999999999997</v>
      </c>
      <c r="AB198" s="57" t="e">
        <f>VLOOKUP(A198,Enforcements!$C$7:$K$13,8,0)</f>
        <v>#N/A</v>
      </c>
      <c r="AC198" s="53" t="e">
        <f>VLOOKUP(A198,Enforcements!$C$7:$E$13,3,0)</f>
        <v>#N/A</v>
      </c>
      <c r="AD198" s="54" t="str">
        <f t="shared" si="60"/>
        <v>0838-28</v>
      </c>
      <c r="AE198" s="80" t="str">
        <f t="shared" si="61"/>
        <v>aws s3 cp s3://rtdc.mdm.uploadarchive.raw/RTDC4011/ "%USERPROFILE%\AppData\Local\Temp\OnboardLogs"\RTDC4011\2017-04-28 --exclude "*" --recursive --include "*20170428*" &amp; "%USERPROFILE%\Documents\GitHub\mrs-test-scripts\Headless Mode &amp; Sideloading\WalkAndUnGZ.bat" "%USERPROFILE%\AppData\Local\Temp\OnboardLogs"\RTDC4011\2017-04-28 &amp; aws s3 cp s3://rtdc.mdm.uploadarchive.raw/RTDC4011/ "%USERPROFILE%\AppData\Local\Temp\OnboardLogs"\RTDC4011\2017-04-29 --exclude "*" --recursive --include "*20170429*" &amp; "%USERPROFILE%\Documents\GitHub\mrs-test-scripts\Headless Mode &amp; Sideloading\WalkAndUnGZ.bat" "%USERPROFILE%\AppData\Local\Temp\OnboardLogs"\RTDC4011\2017-04-29</v>
      </c>
      <c r="AF198" s="77" t="str">
        <f t="shared" si="62"/>
        <v>"C:\Program Files (x86)\AstroGrep\AstroGrep.exe" /e /r /s /spath="%USERPROFILE%\AppData\Local\Temp\OnboardLogs" /stypes="app*4011*20170429*" /stext=" 00:.+((SYSTEM_STATE.+slice.+state.+changed )|(ment ac)|(multiple cpu faults)|(system.+state.+changed )|(\[timeout)|(PRM\|1\|D)|(kpr)|(kdp)|(train.+moving)|(\|lc)|(penalty))"</v>
      </c>
      <c r="AG198" s="1" t="str">
        <f t="shared" si="63"/>
        <v>NW</v>
      </c>
      <c r="AH198" s="81" t="str">
        <f t="shared" si="64"/>
        <v>"%USERPROFILE%\Documents\GitHub\eaglep3\Utilities\RefineRTDCRunTimes.py" --tripid 838-28 --locoid 4011 --swversion DE.1.0.9.0 --startMP 300:58636 --initTime 2017-04-28T18:38:59 --startdatetime 2017-04-28T18:41:39 --delay 1 --endMP 204:708 --enddatetime 2017-04-28T18:59:07 --enforcementcount 0 &gt;&gt;C:\Users\stu\Documents\GitHub\eaglep3-reporting\EC\2017-04-28-refined-times.txt</v>
      </c>
      <c r="AI198" s="99" t="str">
        <f t="shared" si="65"/>
        <v>echo {"issue":{"subject":"","project_id":79,"tracker_id":40,"status_id":1,"priority_id":2,"assigned_to_id":23,"start_date":"2017-04-28","description":"","custom_fields":[{"id":1,"name":"Subdivision","value":"NW"},{"id":4,"name":"Milepost","value":"0.0708"},{"id":17,"name":"Train ID","value":"838-28"},{"id":16,"name":"Locomotive ID","value":"4011"},{"id":130,"name":"Impact","value":""},{"id":150,"name":"Time of Event (Mountain Time)","value":"18:59:07"},{"id":151,"name":"Denver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5" t="str">
        <f t="shared" si="66"/>
        <v>start /low /b %USERPROFILE%\Documents\GitHub\eaglep3\Utilities\DownloadLogsFromS3.py --loco 4011 --day 2017-04-28</v>
      </c>
      <c r="AN198" s="154" t="str">
        <f t="shared" si="67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00:59:07"},{"id":29,"name":"Sharepoint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9" spans="1:91" x14ac:dyDescent="0.25">
      <c r="A199" s="32" t="s">
        <v>795</v>
      </c>
      <c r="B199" s="7">
        <v>4018</v>
      </c>
      <c r="C199" s="21" t="s">
        <v>211</v>
      </c>
      <c r="D199" s="21" t="s">
        <v>517</v>
      </c>
      <c r="E199" s="13">
        <v>42853.779444444444</v>
      </c>
      <c r="F199" s="13">
        <v>42853.785601851851</v>
      </c>
      <c r="G199" s="7">
        <v>1</v>
      </c>
      <c r="H199" s="21" t="s">
        <v>1000</v>
      </c>
      <c r="I199" s="13">
        <v>42853.795474537037</v>
      </c>
      <c r="J199" s="7">
        <v>0</v>
      </c>
      <c r="K199" s="92" t="str">
        <f t="shared" si="52"/>
        <v>4017/4018</v>
      </c>
      <c r="L199" s="21" t="str">
        <f>VLOOKUP(A199,'Trips&amp;Operators'!$C$1:$G$99999,5,FALSE)</f>
        <v>WILLIAMS DONTE</v>
      </c>
      <c r="M199" s="6">
        <f t="shared" si="53"/>
        <v>9.8726851865649223E-3</v>
      </c>
      <c r="N199" s="7">
        <f t="shared" si="69"/>
        <v>14.216666668653488</v>
      </c>
      <c r="O199" s="7"/>
      <c r="P199" s="7"/>
      <c r="Q199" s="22"/>
      <c r="R199" s="190"/>
      <c r="S199" s="196">
        <f t="shared" si="70"/>
        <v>1</v>
      </c>
      <c r="T199" s="190" t="str">
        <f t="shared" si="54"/>
        <v>NorthBound</v>
      </c>
      <c r="U199" s="190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1" t="str">
        <f t="shared" si="55"/>
        <v>https://d0f6bd738d7f1b3e5a7ca70fe4ff75f0.us-east-1.aws.found.io/app/kibana#/discover/Steve-Slow-Train-Analysis-(2080s-and-2083s)?_g=(refreshInterval:(display:Off,pause:!f,section:0,value:0),time:(from:'2017-04-28T17:42:24-0600',mode:absolute,to:'2017-04-28T20:05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99" s="192" t="str">
        <f t="shared" si="56"/>
        <v>N</v>
      </c>
      <c r="X199" s="192">
        <f t="shared" si="71"/>
        <v>1</v>
      </c>
      <c r="Y199" s="192">
        <f t="shared" si="57"/>
        <v>9.7799999999999998E-2</v>
      </c>
      <c r="Z199" s="192">
        <f t="shared" si="58"/>
        <v>5.8929</v>
      </c>
      <c r="AA199" s="192">
        <f t="shared" si="59"/>
        <v>5.7950999999999997</v>
      </c>
      <c r="AB199" s="57" t="e">
        <f>VLOOKUP(A199,Enforcements!$C$7:$K$13,8,0)</f>
        <v>#N/A</v>
      </c>
      <c r="AC199" s="53" t="e">
        <f>VLOOKUP(A199,Enforcements!$C$7:$E$13,3,0)</f>
        <v>#N/A</v>
      </c>
      <c r="AD199" s="54" t="str">
        <f t="shared" si="60"/>
        <v>0839-28</v>
      </c>
      <c r="AE199" s="80" t="str">
        <f t="shared" si="61"/>
        <v>aws s3 cp s3://rtdc.mdm.uploadarchive.raw/RTDC4018/ "%USERPROFILE%\AppData\Local\Temp\OnboardLogs"\RTDC4018\2017-04-28 --exclude "*" --recursive --include "*20170428*" &amp; "%USERPROFILE%\Documents\GitHub\mrs-test-scripts\Headless Mode &amp; Sideloading\WalkAndUnGZ.bat" "%USERPROFILE%\AppData\Local\Temp\OnboardLogs"\RTDC4018\2017-04-28 &amp; aws s3 cp s3://rtdc.mdm.uploadarchive.raw/RTDC4018/ "%USERPROFILE%\AppData\Local\Temp\OnboardLogs"\RTDC4018\2017-04-29 --exclude "*" --recursive --include "*20170429*" &amp; "%USERPROFILE%\Documents\GitHub\mrs-test-scripts\Headless Mode &amp; Sideloading\WalkAndUnGZ.bat" "%USERPROFILE%\AppData\Local\Temp\OnboardLogs"\RTDC4018\2017-04-29</v>
      </c>
      <c r="AF199" s="77" t="str">
        <f t="shared" si="62"/>
        <v>"C:\Program Files (x86)\AstroGrep\AstroGrep.exe" /e /r /s /spath="%USERPROFILE%\AppData\Local\Temp\OnboardLogs" /stypes="app*4018*20170429*" /stext=" 01:.+((SYSTEM_STATE.+slice.+state.+changed )|(ment ac)|(multiple cpu faults)|(system.+state.+changed )|(\[timeout)|(PRM\|1\|D)|(kpr)|(kdp)|(train.+moving)|(\|lc)|(penalty))"</v>
      </c>
      <c r="AG199" s="1" t="str">
        <f t="shared" si="63"/>
        <v>NW</v>
      </c>
      <c r="AH199" s="81" t="str">
        <f t="shared" si="64"/>
        <v>"%USERPROFILE%\Documents\GitHub\eaglep3\Utilities\RefineRTDCRunTimes.py" --tripid 839-28 --locoid 4018 --swversion DE.1.0.9.0 --startMP 204:978 --initTime 2017-04-28T18:42:24 --startdatetime 2017-04-28T18:51:16 --delay 1 --endMP 300:58929 --enddatetime 2017-04-28T19:05:29 --enforcementcount 0 &gt;&gt;C:\Users\stu\Documents\GitHub\eaglep3-reporting\EC\2017-04-28-refined-times.txt</v>
      </c>
      <c r="AI199" s="99" t="str">
        <f t="shared" si="65"/>
        <v>echo {"issue":{"subject":"","project_id":79,"tracker_id":40,"status_id":1,"priority_id":2,"assigned_to_id":23,"start_date":"2017-04-28","description":"","custom_fields":[{"id":1,"name":"Subdivision","value":"NW"},{"id":4,"name":"Milepost","value":"5.8929"},{"id":17,"name":"Train ID","value":"839-28"},{"id":16,"name":"Locomotive ID","value":"4018"},{"id":130,"name":"Impact","value":""},{"id":150,"name":"Time of Event (Mountain Time)","value":"19:05:29"},{"id":151,"name":"Denver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7"/>
      <c r="AL199" s="47"/>
      <c r="AM199" s="145" t="str">
        <f t="shared" si="66"/>
        <v>start /low /b %USERPROFILE%\Documents\GitHub\eaglep3\Utilities\DownloadLogsFromS3.py --loco 4018 --day 2017-04-28</v>
      </c>
      <c r="AN199" s="154" t="str">
        <f t="shared" si="67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01:05:29"},{"id":29,"name":"Sharepoint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0" spans="1:91" x14ac:dyDescent="0.25">
      <c r="A200" s="32" t="s">
        <v>807</v>
      </c>
      <c r="B200" s="7">
        <v>4011</v>
      </c>
      <c r="C200" s="21" t="s">
        <v>211</v>
      </c>
      <c r="D200" s="21" t="s">
        <v>576</v>
      </c>
      <c r="E200" s="13">
        <v>42853.818101851852</v>
      </c>
      <c r="F200" s="13">
        <v>42853.820104166669</v>
      </c>
      <c r="G200" s="7">
        <v>1</v>
      </c>
      <c r="H200" s="21" t="s">
        <v>966</v>
      </c>
      <c r="I200" s="13">
        <v>42853.832141203704</v>
      </c>
      <c r="J200" s="7">
        <v>0</v>
      </c>
      <c r="K200" s="92" t="str">
        <f t="shared" si="52"/>
        <v>4011/4012</v>
      </c>
      <c r="L200" s="21" t="str">
        <f>VLOOKUP(A200,'Trips&amp;Operators'!$C$1:$G$99999,5,FALSE)</f>
        <v>THOMPSON LESTER</v>
      </c>
      <c r="M200" s="6">
        <f t="shared" si="53"/>
        <v>1.2037037035042886E-2</v>
      </c>
      <c r="N200" s="7">
        <f t="shared" ref="N200:N231" si="72">24*60*SUM($M200:$M200)</f>
        <v>17.333333330461755</v>
      </c>
      <c r="O200" s="7"/>
      <c r="P200" s="7"/>
      <c r="Q200" s="22"/>
      <c r="R200" s="190"/>
      <c r="S200" s="196">
        <f t="shared" ref="S200:S231" si="73">SUM(U200:U200)/IF(AG200="EC",12,1)</f>
        <v>1</v>
      </c>
      <c r="T200" s="190" t="str">
        <f t="shared" si="54"/>
        <v>Southbound</v>
      </c>
      <c r="U200" s="190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1" t="str">
        <f t="shared" si="55"/>
        <v>https://d0f6bd738d7f1b3e5a7ca70fe4ff75f0.us-east-1.aws.found.io/app/kibana#/discover/Steve-Slow-Train-Analysis-(2080s-and-2083s)?_g=(refreshInterval:(display:Off,pause:!f,section:0,value:0),time:(from:'2017-04-28T18:38:04-0600',mode:absolute,to:'2017-04-28T20:58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00" s="192" t="str">
        <f t="shared" si="56"/>
        <v>N</v>
      </c>
      <c r="X200" s="192">
        <f t="shared" si="71"/>
        <v>1</v>
      </c>
      <c r="Y200" s="192">
        <f t="shared" si="57"/>
        <v>5.8644999999999996</v>
      </c>
      <c r="Z200" s="192">
        <f t="shared" si="58"/>
        <v>7.0800000000000002E-2</v>
      </c>
      <c r="AA200" s="192">
        <f t="shared" si="59"/>
        <v>5.7936999999999994</v>
      </c>
      <c r="AB200" s="57" t="e">
        <f>VLOOKUP(A200,Enforcements!$C$7:$K$13,8,0)</f>
        <v>#N/A</v>
      </c>
      <c r="AC200" s="53" t="e">
        <f>VLOOKUP(A200,Enforcements!$C$7:$E$13,3,0)</f>
        <v>#N/A</v>
      </c>
      <c r="AD200" s="54" t="str">
        <f t="shared" si="60"/>
        <v>0840-28</v>
      </c>
      <c r="AE200" s="80" t="str">
        <f t="shared" si="61"/>
        <v>aws s3 cp s3://rtdc.mdm.uploadarchive.raw/RTDC4011/ "%USERPROFILE%\AppData\Local\Temp\OnboardLogs"\RTDC4011\2017-04-28 --exclude "*" --recursive --include "*20170428*" &amp; "%USERPROFILE%\Documents\GitHub\mrs-test-scripts\Headless Mode &amp; Sideloading\WalkAndUnGZ.bat" "%USERPROFILE%\AppData\Local\Temp\OnboardLogs"\RTDC4011\2017-04-28 &amp; aws s3 cp s3://rtdc.mdm.uploadarchive.raw/RTDC4011/ "%USERPROFILE%\AppData\Local\Temp\OnboardLogs"\RTDC4011\2017-04-29 --exclude "*" --recursive --include "*20170429*" &amp; "%USERPROFILE%\Documents\GitHub\mrs-test-scripts\Headless Mode &amp; Sideloading\WalkAndUnGZ.bat" "%USERPROFILE%\AppData\Local\Temp\OnboardLogs"\RTDC4011\2017-04-29</v>
      </c>
      <c r="AF200" s="77" t="str">
        <f t="shared" si="62"/>
        <v>"C:\Program Files (x86)\AstroGrep\AstroGrep.exe" /e /r /s /spath="%USERPROFILE%\AppData\Local\Temp\OnboardLogs" /stypes="app*4011*20170429*" /stext=" 01:.+((SYSTEM_STATE.+slice.+state.+changed )|(ment ac)|(multiple cpu faults)|(system.+state.+changed )|(\[timeout)|(PRM\|1\|D)|(kpr)|(kdp)|(train.+moving)|(\|lc)|(penalty))"</v>
      </c>
      <c r="AG200" s="1" t="str">
        <f t="shared" si="63"/>
        <v>NW</v>
      </c>
      <c r="AH200" s="81" t="str">
        <f t="shared" si="64"/>
        <v>"%USERPROFILE%\Documents\GitHub\eaglep3\Utilities\RefineRTDCRunTimes.py" --tripid 840-28 --locoid 4011 --swversion DE.1.0.9.0 --startMP 300:58645 --initTime 2017-04-28T19:38:04 --startdatetime 2017-04-28T19:40:57 --delay 1 --endMP 204:708 --enddatetime 2017-04-28T19:58:17 --enforcementcount 0 &gt;&gt;C:\Users\stu\Documents\GitHub\eaglep3-reporting\EC\2017-04-28-refined-times.txt</v>
      </c>
      <c r="AI200" s="99" t="str">
        <f t="shared" si="65"/>
        <v>echo {"issue":{"subject":"","project_id":79,"tracker_id":40,"status_id":1,"priority_id":2,"assigned_to_id":23,"start_date":"2017-04-28","description":"","custom_fields":[{"id":1,"name":"Subdivision","value":"NW"},{"id":4,"name":"Milepost","value":"0.0708"},{"id":17,"name":"Train ID","value":"840-28"},{"id":16,"name":"Locomotive ID","value":"4011"},{"id":130,"name":"Impact","value":""},{"id":150,"name":"Time of Event (Mountain Time)","value":"19:58:17"},{"id":151,"name":"Denver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7"/>
      <c r="AL200" s="47"/>
      <c r="AM200" s="145" t="str">
        <f t="shared" si="66"/>
        <v>start /low /b %USERPROFILE%\Documents\GitHub\eaglep3\Utilities\DownloadLogsFromS3.py --loco 4011 --day 2017-04-28</v>
      </c>
      <c r="AN200" s="154" t="str">
        <f t="shared" si="67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01:58:17"},{"id":29,"name":"Sharepoint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1" spans="1:91" x14ac:dyDescent="0.25">
      <c r="A201" s="32" t="s">
        <v>802</v>
      </c>
      <c r="B201" s="7">
        <v>4012</v>
      </c>
      <c r="C201" s="21" t="s">
        <v>211</v>
      </c>
      <c r="D201" s="21" t="s">
        <v>520</v>
      </c>
      <c r="E201" s="13">
        <v>42853.800555555557</v>
      </c>
      <c r="F201" s="13">
        <v>42853.806423611109</v>
      </c>
      <c r="G201" s="7">
        <v>1</v>
      </c>
      <c r="H201" s="21" t="s">
        <v>1001</v>
      </c>
      <c r="I201" s="13">
        <v>42853.816770833335</v>
      </c>
      <c r="J201" s="7">
        <v>0</v>
      </c>
      <c r="K201" s="92" t="str">
        <f t="shared" si="52"/>
        <v>4011/4012</v>
      </c>
      <c r="L201" s="21" t="str">
        <f>VLOOKUP(A201,'Trips&amp;Operators'!$C$1:$G$99999,5,FALSE)</f>
        <v>THOMPSON LESTER</v>
      </c>
      <c r="M201" s="6">
        <f t="shared" si="53"/>
        <v>1.0347222225391306E-2</v>
      </c>
      <c r="N201" s="7">
        <f t="shared" si="72"/>
        <v>14.900000004563481</v>
      </c>
      <c r="O201" s="7"/>
      <c r="P201" s="7"/>
      <c r="Q201" s="22"/>
      <c r="R201" s="190"/>
      <c r="S201" s="196">
        <f t="shared" si="73"/>
        <v>1</v>
      </c>
      <c r="T201" s="190" t="str">
        <f t="shared" si="54"/>
        <v>NorthBound</v>
      </c>
      <c r="U201" s="190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1" t="str">
        <f t="shared" si="55"/>
        <v>https://d0f6bd738d7f1b3e5a7ca70fe4ff75f0.us-east-1.aws.found.io/app/kibana#/discover/Steve-Slow-Train-Analysis-(2080s-and-2083s)?_g=(refreshInterval:(display:Off,pause:!f,section:0,value:0),time:(from:'2017-04-28T18:12:48-0600',mode:absolute,to:'2017-04-28T20:36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01" s="192" t="str">
        <f t="shared" si="56"/>
        <v>N</v>
      </c>
      <c r="X201" s="192">
        <f t="shared" si="71"/>
        <v>1</v>
      </c>
      <c r="Y201" s="192">
        <f t="shared" si="57"/>
        <v>9.7900000000000001E-2</v>
      </c>
      <c r="Z201" s="192">
        <f t="shared" si="58"/>
        <v>5.8960999999999997</v>
      </c>
      <c r="AA201" s="192">
        <f t="shared" si="59"/>
        <v>5.7981999999999996</v>
      </c>
      <c r="AB201" s="57" t="e">
        <f>VLOOKUP(A201,Enforcements!$C$7:$K$13,8,0)</f>
        <v>#N/A</v>
      </c>
      <c r="AC201" s="53" t="e">
        <f>VLOOKUP(A201,Enforcements!$C$7:$E$13,3,0)</f>
        <v>#N/A</v>
      </c>
      <c r="AD201" s="54" t="str">
        <f t="shared" si="60"/>
        <v>0841-28</v>
      </c>
      <c r="AE201" s="80" t="str">
        <f t="shared" si="61"/>
        <v>aws s3 cp s3://rtdc.mdm.uploadarchive.raw/RTDC4012/ "%USERPROFILE%\AppData\Local\Temp\OnboardLogs"\RTDC4012\2017-04-28 --exclude "*" --recursive --include "*20170428*" &amp; "%USERPROFILE%\Documents\GitHub\mrs-test-scripts\Headless Mode &amp; Sideloading\WalkAndUnGZ.bat" "%USERPROFILE%\AppData\Local\Temp\OnboardLogs"\RTDC4012\2017-04-28 &amp; aws s3 cp s3://rtdc.mdm.uploadarchive.raw/RTDC4012/ "%USERPROFILE%\AppData\Local\Temp\OnboardLogs"\RTDC4012\2017-04-29 --exclude "*" --recursive --include "*20170429*" &amp; "%USERPROFILE%\Documents\GitHub\mrs-test-scripts\Headless Mode &amp; Sideloading\WalkAndUnGZ.bat" "%USERPROFILE%\AppData\Local\Temp\OnboardLogs"\RTDC4012\2017-04-29</v>
      </c>
      <c r="AF201" s="77" t="str">
        <f t="shared" si="62"/>
        <v>"C:\Program Files (x86)\AstroGrep\AstroGrep.exe" /e /r /s /spath="%USERPROFILE%\AppData\Local\Temp\OnboardLogs" /stypes="app*4012*20170429*" /stext=" 01:.+((SYSTEM_STATE.+slice.+state.+changed )|(ment ac)|(multiple cpu faults)|(system.+state.+changed )|(\[timeout)|(PRM\|1\|D)|(kpr)|(kdp)|(train.+moving)|(\|lc)|(penalty))"</v>
      </c>
      <c r="AG201" s="1" t="str">
        <f t="shared" si="63"/>
        <v>NW</v>
      </c>
      <c r="AH201" s="81" t="str">
        <f t="shared" si="64"/>
        <v>"%USERPROFILE%\Documents\GitHub\eaglep3\Utilities\RefineRTDCRunTimes.py" --tripid 841-28 --locoid 4012 --swversion DE.1.0.9.0 --startMP 204:979 --initTime 2017-04-28T19:12:48 --startdatetime 2017-04-28T19:21:15 --delay 1 --endMP 300:58961 --enddatetime 2017-04-28T19:36:09 --enforcementcount 0 &gt;&gt;C:\Users\stu\Documents\GitHub\eaglep3-reporting\EC\2017-04-28-refined-times.txt</v>
      </c>
      <c r="AI201" s="99" t="str">
        <f t="shared" si="65"/>
        <v>echo {"issue":{"subject":"","project_id":79,"tracker_id":40,"status_id":1,"priority_id":2,"assigned_to_id":23,"start_date":"2017-04-28","description":"","custom_fields":[{"id":1,"name":"Subdivision","value":"NW"},{"id":4,"name":"Milepost","value":"5.8961"},{"id":17,"name":"Train ID","value":"841-28"},{"id":16,"name":"Locomotive ID","value":"4012"},{"id":130,"name":"Impact","value":""},{"id":150,"name":"Time of Event (Mountain Time)","value":"19:36:09"},{"id":151,"name":"Denver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5" t="str">
        <f t="shared" si="66"/>
        <v>start /low /b %USERPROFILE%\Documents\GitHub\eaglep3\Utilities\DownloadLogsFromS3.py --loco 4012 --day 2017-04-28</v>
      </c>
      <c r="AN201" s="154" t="str">
        <f t="shared" si="67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01:36:09"},{"id":29,"name":"Sharepoint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2" spans="1:91" x14ac:dyDescent="0.25">
      <c r="A202" s="32" t="s">
        <v>815</v>
      </c>
      <c r="B202" s="7">
        <v>4011</v>
      </c>
      <c r="C202" s="21" t="s">
        <v>211</v>
      </c>
      <c r="D202" s="21" t="s">
        <v>579</v>
      </c>
      <c r="E202" s="13">
        <v>42853.859953703701</v>
      </c>
      <c r="F202" s="13">
        <v>42853.86142361111</v>
      </c>
      <c r="G202" s="7">
        <v>1</v>
      </c>
      <c r="H202" s="21" t="s">
        <v>522</v>
      </c>
      <c r="I202" s="13">
        <v>42853.87195601852</v>
      </c>
      <c r="J202" s="7">
        <v>0</v>
      </c>
      <c r="K202" s="92" t="str">
        <f t="shared" si="52"/>
        <v>4011/4012</v>
      </c>
      <c r="L202" s="21" t="str">
        <f>VLOOKUP(A202,'Trips&amp;Operators'!$C$1:$G$99999,5,FALSE)</f>
        <v>THOMPSON LESTER</v>
      </c>
      <c r="M202" s="6">
        <f t="shared" si="53"/>
        <v>1.0532407410209998E-2</v>
      </c>
      <c r="N202" s="7">
        <f t="shared" si="72"/>
        <v>15.166666670702398</v>
      </c>
      <c r="O202" s="7"/>
      <c r="P202" s="7"/>
      <c r="Q202" s="22"/>
      <c r="R202" s="190"/>
      <c r="S202" s="196">
        <f t="shared" si="73"/>
        <v>1</v>
      </c>
      <c r="T202" s="190" t="str">
        <f t="shared" si="54"/>
        <v>Southbound</v>
      </c>
      <c r="U202" s="190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1" t="str">
        <f t="shared" si="55"/>
        <v>https://d0f6bd738d7f1b3e5a7ca70fe4ff75f0.us-east-1.aws.found.io/app/kibana#/discover/Steve-Slow-Train-Analysis-(2080s-and-2083s)?_g=(refreshInterval:(display:Off,pause:!f,section:0,value:0),time:(from:'2017-04-28T19:38:20-0600',mode:absolute,to:'2017-04-28T21:55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02" s="192" t="str">
        <f t="shared" si="56"/>
        <v>N</v>
      </c>
      <c r="X202" s="192">
        <f t="shared" si="71"/>
        <v>1</v>
      </c>
      <c r="Y202" s="192">
        <f t="shared" si="57"/>
        <v>5.8648999999999996</v>
      </c>
      <c r="Z202" s="192">
        <f t="shared" si="58"/>
        <v>6.8199999999999997E-2</v>
      </c>
      <c r="AA202" s="192">
        <f t="shared" si="59"/>
        <v>5.7966999999999995</v>
      </c>
      <c r="AB202" s="57" t="e">
        <f>VLOOKUP(A202,Enforcements!$C$7:$K$13,8,0)</f>
        <v>#N/A</v>
      </c>
      <c r="AC202" s="53" t="e">
        <f>VLOOKUP(A202,Enforcements!$C$7:$E$13,3,0)</f>
        <v>#N/A</v>
      </c>
      <c r="AD202" s="54" t="str">
        <f t="shared" si="60"/>
        <v>0842-28</v>
      </c>
      <c r="AE202" s="80" t="str">
        <f t="shared" si="61"/>
        <v>aws s3 cp s3://rtdc.mdm.uploadarchive.raw/RTDC4011/ "%USERPROFILE%\AppData\Local\Temp\OnboardLogs"\RTDC4011\2017-04-28 --exclude "*" --recursive --include "*20170428*" &amp; "%USERPROFILE%\Documents\GitHub\mrs-test-scripts\Headless Mode &amp; Sideloading\WalkAndUnGZ.bat" "%USERPROFILE%\AppData\Local\Temp\OnboardLogs"\RTDC4011\2017-04-28 &amp; aws s3 cp s3://rtdc.mdm.uploadarchive.raw/RTDC4011/ "%USERPROFILE%\AppData\Local\Temp\OnboardLogs"\RTDC4011\2017-04-29 --exclude "*" --recursive --include "*20170429*" &amp; "%USERPROFILE%\Documents\GitHub\mrs-test-scripts\Headless Mode &amp; Sideloading\WalkAndUnGZ.bat" "%USERPROFILE%\AppData\Local\Temp\OnboardLogs"\RTDC4011\2017-04-29</v>
      </c>
      <c r="AF202" s="77" t="str">
        <f t="shared" si="62"/>
        <v>"C:\Program Files (x86)\AstroGrep\AstroGrep.exe" /e /r /s /spath="%USERPROFILE%\AppData\Local\Temp\OnboardLogs" /stypes="app*4011*20170429*" /stext=" 02:.+((SYSTEM_STATE.+slice.+state.+changed )|(ment ac)|(multiple cpu faults)|(system.+state.+changed )|(\[timeout)|(PRM\|1\|D)|(kpr)|(kdp)|(train.+moving)|(\|lc)|(penalty))"</v>
      </c>
      <c r="AG202" s="1" t="str">
        <f t="shared" si="63"/>
        <v>NW</v>
      </c>
      <c r="AH202" s="81" t="str">
        <f t="shared" si="64"/>
        <v>"%USERPROFILE%\Documents\GitHub\eaglep3\Utilities\RefineRTDCRunTimes.py" --tripid 842-28 --locoid 4011 --swversion DE.1.0.9.0 --startMP 300:58649 --initTime 2017-04-28T20:38:20 --startdatetime 2017-04-28T20:40:27 --delay 1 --endMP 204:682 --enddatetime 2017-04-28T20:55:37 --enforcementcount 0 &gt;&gt;C:\Users\stu\Documents\GitHub\eaglep3-reporting\EC\2017-04-28-refined-times.txt</v>
      </c>
      <c r="AI202" s="99" t="str">
        <f t="shared" si="65"/>
        <v>echo {"issue":{"subject":"","project_id":79,"tracker_id":40,"status_id":1,"priority_id":2,"assigned_to_id":23,"start_date":"2017-04-28","description":"","custom_fields":[{"id":1,"name":"Subdivision","value":"NW"},{"id":4,"name":"Milepost","value":"0.0682"},{"id":17,"name":"Train ID","value":"842-28"},{"id":16,"name":"Locomotive ID","value":"4011"},{"id":130,"name":"Impact","value":""},{"id":150,"name":"Time of Event (Mountain Time)","value":"20:55:37"},{"id":151,"name":"Denver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7"/>
      <c r="AL202" s="47"/>
      <c r="AM202" s="145" t="str">
        <f t="shared" si="66"/>
        <v>start /low /b %USERPROFILE%\Documents\GitHub\eaglep3\Utilities\DownloadLogsFromS3.py --loco 4011 --day 2017-04-28</v>
      </c>
      <c r="AN202" s="154" t="str">
        <f t="shared" si="67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02:55:37"},{"id":29,"name":"Sharepoint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3" spans="1:91" x14ac:dyDescent="0.25">
      <c r="A203" s="32" t="s">
        <v>813</v>
      </c>
      <c r="B203" s="7">
        <v>4012</v>
      </c>
      <c r="C203" s="21" t="s">
        <v>211</v>
      </c>
      <c r="D203" s="21" t="s">
        <v>997</v>
      </c>
      <c r="E203" s="13">
        <v>42853.844849537039</v>
      </c>
      <c r="F203" s="13">
        <v>42853.848101851851</v>
      </c>
      <c r="G203" s="7">
        <v>1</v>
      </c>
      <c r="H203" s="21" t="s">
        <v>578</v>
      </c>
      <c r="I203" s="13">
        <v>42853.858611111114</v>
      </c>
      <c r="J203" s="7">
        <v>0</v>
      </c>
      <c r="K203" s="92" t="str">
        <f t="shared" si="52"/>
        <v>4011/4012</v>
      </c>
      <c r="L203" s="21" t="str">
        <f>VLOOKUP(A203,'Trips&amp;Operators'!$C$1:$G$99999,5,FALSE)</f>
        <v>THOMPSON LESTER</v>
      </c>
      <c r="M203" s="6">
        <f t="shared" si="53"/>
        <v>1.0509259263926651E-2</v>
      </c>
      <c r="N203" s="7">
        <f t="shared" si="72"/>
        <v>15.133333340054378</v>
      </c>
      <c r="O203" s="7"/>
      <c r="P203" s="7"/>
      <c r="Q203" s="22"/>
      <c r="R203" s="190"/>
      <c r="S203" s="196">
        <f t="shared" si="73"/>
        <v>1</v>
      </c>
      <c r="T203" s="190" t="str">
        <f t="shared" si="54"/>
        <v>NorthBound</v>
      </c>
      <c r="U203" s="190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1" t="str">
        <f t="shared" si="55"/>
        <v>https://d0f6bd738d7f1b3e5a7ca70fe4ff75f0.us-east-1.aws.found.io/app/kibana#/discover/Steve-Slow-Train-Analysis-(2080s-and-2083s)?_g=(refreshInterval:(display:Off,pause:!f,section:0,value:0),time:(from:'2017-04-28T19:16:35-0600',mode:absolute,to:'2017-04-28T21:36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03" s="192" t="str">
        <f t="shared" si="56"/>
        <v>N</v>
      </c>
      <c r="X203" s="192">
        <f t="shared" si="71"/>
        <v>1</v>
      </c>
      <c r="Y203" s="192">
        <f t="shared" si="57"/>
        <v>9.8299999999999998E-2</v>
      </c>
      <c r="Z203" s="192">
        <f t="shared" si="58"/>
        <v>5.8959999999999999</v>
      </c>
      <c r="AA203" s="192">
        <f t="shared" si="59"/>
        <v>5.7976999999999999</v>
      </c>
      <c r="AB203" s="57" t="e">
        <f>VLOOKUP(A203,Enforcements!$C$7:$K$13,8,0)</f>
        <v>#N/A</v>
      </c>
      <c r="AC203" s="53" t="e">
        <f>VLOOKUP(A203,Enforcements!$C$7:$E$13,3,0)</f>
        <v>#N/A</v>
      </c>
      <c r="AD203" s="54" t="str">
        <f t="shared" si="60"/>
        <v>0843-28</v>
      </c>
      <c r="AE203" s="80" t="str">
        <f t="shared" si="61"/>
        <v>aws s3 cp s3://rtdc.mdm.uploadarchive.raw/RTDC4012/ "%USERPROFILE%\AppData\Local\Temp\OnboardLogs"\RTDC4012\2017-04-28 --exclude "*" --recursive --include "*20170428*" &amp; "%USERPROFILE%\Documents\GitHub\mrs-test-scripts\Headless Mode &amp; Sideloading\WalkAndUnGZ.bat" "%USERPROFILE%\AppData\Local\Temp\OnboardLogs"\RTDC4012\2017-04-28 &amp; aws s3 cp s3://rtdc.mdm.uploadarchive.raw/RTDC4012/ "%USERPROFILE%\AppData\Local\Temp\OnboardLogs"\RTDC4012\2017-04-29 --exclude "*" --recursive --include "*20170429*" &amp; "%USERPROFILE%\Documents\GitHub\mrs-test-scripts\Headless Mode &amp; Sideloading\WalkAndUnGZ.bat" "%USERPROFILE%\AppData\Local\Temp\OnboardLogs"\RTDC4012\2017-04-29</v>
      </c>
      <c r="AF203" s="77" t="str">
        <f t="shared" si="62"/>
        <v>"C:\Program Files (x86)\AstroGrep\AstroGrep.exe" /e /r /s /spath="%USERPROFILE%\AppData\Local\Temp\OnboardLogs" /stypes="app*4012*20170429*" /stext=" 02:.+((SYSTEM_STATE.+slice.+state.+changed )|(ment ac)|(multiple cpu faults)|(system.+state.+changed )|(\[timeout)|(PRM\|1\|D)|(kpr)|(kdp)|(train.+moving)|(\|lc)|(penalty))"</v>
      </c>
      <c r="AG203" s="1" t="str">
        <f t="shared" si="63"/>
        <v>NW</v>
      </c>
      <c r="AH203" s="81" t="str">
        <f t="shared" si="64"/>
        <v>"%USERPROFILE%\Documents\GitHub\eaglep3\Utilities\RefineRTDCRunTimes.py" --tripid 843-28 --locoid 4012 --swversion DE.1.0.9.0 --startMP 204:983 --initTime 2017-04-28T20:16:35 --startdatetime 2017-04-28T20:21:16 --delay 1 --endMP 300:58960 --enddatetime 2017-04-28T20:36:24 --enforcementcount 0 &gt;&gt;C:\Users\stu\Documents\GitHub\eaglep3-reporting\EC\2017-04-28-refined-times.txt</v>
      </c>
      <c r="AI203" s="99" t="str">
        <f t="shared" si="65"/>
        <v>echo {"issue":{"subject":"","project_id":79,"tracker_id":40,"status_id":1,"priority_id":2,"assigned_to_id":23,"start_date":"2017-04-28","description":"","custom_fields":[{"id":1,"name":"Subdivision","value":"NW"},{"id":4,"name":"Milepost","value":"5.896"},{"id":17,"name":"Train ID","value":"843-28"},{"id":16,"name":"Locomotive ID","value":"4012"},{"id":130,"name":"Impact","value":""},{"id":150,"name":"Time of Event (Mountain Time)","value":"20:36:24"},{"id":151,"name":"Denver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5" t="str">
        <f t="shared" si="66"/>
        <v>start /low /b %USERPROFILE%\Documents\GitHub\eaglep3\Utilities\DownloadLogsFromS3.py --loco 4012 --day 2017-04-28</v>
      </c>
      <c r="AN203" s="154" t="str">
        <f t="shared" si="67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02:36:24"},{"id":29,"name":"Sharepoint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4" spans="1:91" x14ac:dyDescent="0.25">
      <c r="A204" s="32" t="s">
        <v>821</v>
      </c>
      <c r="B204" s="7">
        <v>4011</v>
      </c>
      <c r="C204" s="21" t="s">
        <v>211</v>
      </c>
      <c r="D204" s="21" t="s">
        <v>588</v>
      </c>
      <c r="E204" s="13">
        <v>42853.900671296295</v>
      </c>
      <c r="F204" s="13">
        <v>42853.902256944442</v>
      </c>
      <c r="G204" s="7">
        <v>2</v>
      </c>
      <c r="H204" s="21" t="s">
        <v>991</v>
      </c>
      <c r="I204" s="13">
        <v>42853.913368055553</v>
      </c>
      <c r="J204" s="7">
        <v>0</v>
      </c>
      <c r="K204" s="92" t="str">
        <f t="shared" si="52"/>
        <v>4011/4012</v>
      </c>
      <c r="L204" s="21" t="str">
        <f>VLOOKUP(A204,'Trips&amp;Operators'!$C$1:$G$99999,5,FALSE)</f>
        <v>WILLIAMS DONTE</v>
      </c>
      <c r="M204" s="6">
        <f t="shared" si="53"/>
        <v>1.1111111110949423E-2</v>
      </c>
      <c r="N204" s="7">
        <f t="shared" si="72"/>
        <v>15.999999999767169</v>
      </c>
      <c r="O204" s="7"/>
      <c r="P204" s="7"/>
      <c r="Q204" s="22"/>
      <c r="R204" s="190"/>
      <c r="S204" s="196">
        <f t="shared" si="73"/>
        <v>1</v>
      </c>
      <c r="T204" s="190" t="str">
        <f t="shared" si="54"/>
        <v>Southbound</v>
      </c>
      <c r="U204" s="190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1" t="str">
        <f t="shared" si="55"/>
        <v>https://d0f6bd738d7f1b3e5a7ca70fe4ff75f0.us-east-1.aws.found.io/app/kibana#/discover/Steve-Slow-Train-Analysis-(2080s-and-2083s)?_g=(refreshInterval:(display:Off,pause:!f,section:0,value:0),time:(from:'2017-04-28T20:36:58-0600',mode:absolute,to:'2017-04-28T22:55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04" s="192" t="str">
        <f t="shared" si="56"/>
        <v>N</v>
      </c>
      <c r="X204" s="192">
        <f t="shared" si="71"/>
        <v>1</v>
      </c>
      <c r="Y204" s="192">
        <f t="shared" si="57"/>
        <v>5.8613</v>
      </c>
      <c r="Z204" s="192">
        <f t="shared" si="58"/>
        <v>7.1199999999999999E-2</v>
      </c>
      <c r="AA204" s="192">
        <f t="shared" si="59"/>
        <v>5.7900999999999998</v>
      </c>
      <c r="AB204" s="57" t="e">
        <f>VLOOKUP(A204,Enforcements!$C$7:$K$13,8,0)</f>
        <v>#N/A</v>
      </c>
      <c r="AC204" s="53" t="e">
        <f>VLOOKUP(A204,Enforcements!$C$7:$E$13,3,0)</f>
        <v>#N/A</v>
      </c>
      <c r="AD204" s="54" t="str">
        <f t="shared" si="60"/>
        <v>0844-28</v>
      </c>
      <c r="AE204" s="80" t="str">
        <f t="shared" si="61"/>
        <v>aws s3 cp s3://rtdc.mdm.uploadarchive.raw/RTDC4011/ "%USERPROFILE%\AppData\Local\Temp\OnboardLogs"\RTDC4011\2017-04-28 --exclude "*" --recursive --include "*20170428*" &amp; "%USERPROFILE%\Documents\GitHub\mrs-test-scripts\Headless Mode &amp; Sideloading\WalkAndUnGZ.bat" "%USERPROFILE%\AppData\Local\Temp\OnboardLogs"\RTDC4011\2017-04-28 &amp; aws s3 cp s3://rtdc.mdm.uploadarchive.raw/RTDC4011/ "%USERPROFILE%\AppData\Local\Temp\OnboardLogs"\RTDC4011\2017-04-29 --exclude "*" --recursive --include "*20170429*" &amp; "%USERPROFILE%\Documents\GitHub\mrs-test-scripts\Headless Mode &amp; Sideloading\WalkAndUnGZ.bat" "%USERPROFILE%\AppData\Local\Temp\OnboardLogs"\RTDC4011\2017-04-29</v>
      </c>
      <c r="AF204" s="77" t="str">
        <f t="shared" si="62"/>
        <v>"C:\Program Files (x86)\AstroGrep\AstroGrep.exe" /e /r /s /spath="%USERPROFILE%\AppData\Local\Temp\OnboardLogs" /stypes="app*4011*20170429*" /stext=" 03:.+((SYSTEM_STATE.+slice.+state.+changed )|(ment ac)|(multiple cpu faults)|(system.+state.+changed )|(\[timeout)|(PRM\|1\|D)|(kpr)|(kdp)|(train.+moving)|(\|lc)|(penalty))"</v>
      </c>
      <c r="AG204" s="1" t="str">
        <f t="shared" si="63"/>
        <v>NW</v>
      </c>
      <c r="AH204" s="81" t="str">
        <f t="shared" si="64"/>
        <v>"%USERPROFILE%\Documents\GitHub\eaglep3\Utilities\RefineRTDCRunTimes.py" --tripid 844-28 --locoid 4011 --swversion DE.1.0.9.0 --startMP 300:58613 --initTime 2017-04-28T21:36:58 --startdatetime 2017-04-28T21:39:15 --delay 2 --endMP 204:712 --enddatetime 2017-04-28T21:55:15 --enforcementcount 0 &gt;&gt;C:\Users\stu\Documents\GitHub\eaglep3-reporting\EC\2017-04-28-refined-times.txt</v>
      </c>
      <c r="AI204" s="99" t="str">
        <f t="shared" si="65"/>
        <v>echo {"issue":{"subject":"","project_id":79,"tracker_id":40,"status_id":1,"priority_id":2,"assigned_to_id":23,"start_date":"2017-04-28","description":"","custom_fields":[{"id":1,"name":"Subdivision","value":"NW"},{"id":4,"name":"Milepost","value":"0.0712"},{"id":17,"name":"Train ID","value":"844-28"},{"id":16,"name":"Locomotive ID","value":"4011"},{"id":130,"name":"Impact","value":""},{"id":150,"name":"Time of Event (Mountain Time)","value":"21:55:15"},{"id":151,"name":"Denver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5" t="str">
        <f t="shared" si="66"/>
        <v>start /low /b %USERPROFILE%\Documents\GitHub\eaglep3\Utilities\DownloadLogsFromS3.py --loco 4011 --day 2017-04-28</v>
      </c>
      <c r="AN204" s="154" t="str">
        <f t="shared" si="67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03:55:15"},{"id":29,"name":"Sharepoint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5" spans="1:91" x14ac:dyDescent="0.25">
      <c r="A205" s="32" t="s">
        <v>819</v>
      </c>
      <c r="B205" s="7">
        <v>4012</v>
      </c>
      <c r="C205" s="21" t="s">
        <v>211</v>
      </c>
      <c r="D205" s="21" t="s">
        <v>518</v>
      </c>
      <c r="E205" s="13">
        <v>42853.886134259257</v>
      </c>
      <c r="F205" s="13">
        <v>42853.889814814815</v>
      </c>
      <c r="G205" s="7">
        <v>1</v>
      </c>
      <c r="H205" s="21" t="s">
        <v>1002</v>
      </c>
      <c r="I205" s="13">
        <v>42853.899143518516</v>
      </c>
      <c r="J205" s="7">
        <v>0</v>
      </c>
      <c r="K205" s="92" t="str">
        <f t="shared" ref="K205:K242" si="74">IF(ISEVEN(B205),(B205-1)&amp;"/"&amp;B205,B205&amp;"/"&amp;(B205+1))</f>
        <v>4011/4012</v>
      </c>
      <c r="L205" s="21" t="str">
        <f>VLOOKUP(A205,'Trips&amp;Operators'!$C$1:$G$99999,5,FALSE)</f>
        <v>WILLIAMS DONTE</v>
      </c>
      <c r="M205" s="6">
        <f t="shared" ref="M205:M242" si="75">I205-F205</f>
        <v>9.3287037016125396E-3</v>
      </c>
      <c r="N205" s="7">
        <f t="shared" si="72"/>
        <v>13.433333330322057</v>
      </c>
      <c r="O205" s="7"/>
      <c r="P205" s="7"/>
      <c r="Q205" s="22"/>
      <c r="R205" s="190"/>
      <c r="S205" s="196">
        <f t="shared" si="73"/>
        <v>1</v>
      </c>
      <c r="T205" s="190" t="str">
        <f t="shared" ref="T205:T242" si="76">IF(ISEVEN(LEFT(AD205,4)),"Southbound","NorthBound")</f>
        <v>NorthBound</v>
      </c>
      <c r="U205" s="190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1" t="str">
        <f t="shared" ref="V205:V242" si="77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-04-28T20:16:02-0600',mode:absolute,to:'2017-04-28T22:34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05" s="192" t="str">
        <f t="shared" ref="W205:W242" si="78">IF(AA205&lt;IF(AG205="EC",23,5.65),"Y","N")</f>
        <v>N</v>
      </c>
      <c r="X205" s="192">
        <f t="shared" si="71"/>
        <v>1</v>
      </c>
      <c r="Y205" s="192">
        <f t="shared" ref="Y205:Y242" si="79">RIGHT(D205,LEN(D205)-4)/10000</f>
        <v>9.8599999999999993E-2</v>
      </c>
      <c r="Z205" s="192">
        <f t="shared" ref="Z205:Z242" si="80">RIGHT(H205,LEN(H205)-4)/10000</f>
        <v>5.8921999999999999</v>
      </c>
      <c r="AA205" s="192">
        <f t="shared" ref="AA205:AA242" si="81">ABS(Z205-Y205)</f>
        <v>5.7935999999999996</v>
      </c>
      <c r="AB205" s="57" t="e">
        <f>VLOOKUP(A205,Enforcements!$C$7:$K$13,8,0)</f>
        <v>#N/A</v>
      </c>
      <c r="AC205" s="53" t="e">
        <f>VLOOKUP(A205,Enforcements!$C$7:$E$13,3,0)</f>
        <v>#N/A</v>
      </c>
      <c r="AD205" s="54" t="str">
        <f t="shared" ref="AD205:AD242" si="82">IF(LEN(A205)=6,"0"&amp;A205,A205)</f>
        <v>0845-28</v>
      </c>
      <c r="AE205" s="80" t="str">
        <f t="shared" ref="AE205:AE242" si="83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s3://rtdc.mdm.uploadarchive.raw/RTDC4012/ "%USERPROFILE%\AppData\Local\Temp\OnboardLogs"\RTDC4012\2017-04-28 --exclude "*" --recursive --include "*20170428*" &amp; "%USERPROFILE%\Documents\GitHub\mrs-test-scripts\Headless Mode &amp; Sideloading\WalkAndUnGZ.bat" "%USERPROFILE%\AppData\Local\Temp\OnboardLogs"\RTDC4012\2017-04-28 &amp; aws s3 cp s3://rtdc.mdm.uploadarchive.raw/RTDC4012/ "%USERPROFILE%\AppData\Local\Temp\OnboardLogs"\RTDC4012\2017-04-29 --exclude "*" --recursive --include "*20170429*" &amp; "%USERPROFILE%\Documents\GitHub\mrs-test-scripts\Headless Mode &amp; Sideloading\WalkAndUnGZ.bat" "%USERPROFILE%\AppData\Local\Temp\OnboardLogs"\RTDC4012\2017-04-29</v>
      </c>
      <c r="AF205" s="77" t="str">
        <f t="shared" ref="AF205:AF242" si="84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/stypes="app*4012*20170429*" /stext=" 03:.+((SYSTEM_STATE.+slice.+state.+changed )|(ment ac)|(multiple cpu faults)|(system.+state.+changed )|(\[timeout)|(PRM\|1\|D)|(kpr)|(kdp)|(train.+moving)|(\|lc)|(penalty))"</v>
      </c>
      <c r="AG205" s="1" t="str">
        <f t="shared" ref="AG205:AG242" si="85">IFERROR(IF(VALUE(LEFT(AD205,2))&lt;=2,"EC",IF(OR(VALUE(LEFT(AD205,2))=8,VALUE(LEFT(AD205,2))=18),"NW","Other")),"Other")</f>
        <v>NW</v>
      </c>
      <c r="AH205" s="81" t="str">
        <f t="shared" ref="AH205:AH242" si="86"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"&amp;J205&amp;IF(outputrefinedruntimes," &gt;&gt;"&amp;RefinedRTDCRunTimesOutputFile,"")</f>
        <v>"%USERPROFILE%\Documents\GitHub\eaglep3\Utilities\RefineRTDCRunTimes.py" --tripid 845-28 --locoid 4012 --swversion DE.1.0.9.0 --startMP 204:986 --initTime 2017-04-28T21:16:02 --startdatetime 2017-04-28T21:21:20 --delay 1 --endMP 300:58922 --enddatetime 2017-04-28T21:34:46 --enforcementcount 0 &gt;&gt;C:\Users\stu\Documents\GitHub\eaglep3-reporting\EC\2017-04-28-refined-times.txt</v>
      </c>
      <c r="AI205" s="99" t="str">
        <f t="shared" ref="AI205:AI242" si="87">"echo {""issue"":{""subject"":"""&amp;R205&amp;""",""project_id"":79,""tracker_id"":40,""status_id"":"&amp;redmine_status&amp;",""priority_id"":"&amp;redmine_priority&amp;",""assigned_to_id"":"&amp;redmine_assignee&amp;",""start_date"":"""&amp;TEXT(I205,"YYYY-mm-dd")&amp;""",""description"":"""&amp;AJ205&amp;""",""custom_fields"":[{""id"":1,""name"":""Subdivision"",""value"":"""&amp;AG205&amp;"""},{""id"":4,""name"":""Milepost"",""value"":"""&amp;Z205&amp;"""},{""id"":17,""name"":""Train ID"",""value"":"""&amp;A205&amp;"""},{""id"":16,""name"":""Locomotive ID"",""value"":"""&amp;B205&amp;"""},{""id"":130,""name"":""Impact"",""value"":"""&amp;AK205&amp;"""},{""id"":150,""name"":""Time of Event (Mountain Time)"",""value"":"""&amp;TEXT(I205,"hh:mm:ss")&amp;"""},{""id"":151,""name"":""Denver Issue ID"",""value"":"""&amp;"""},{""id"":178,""name"":""Operational Impact"",""value"":"""&amp;redmine_op_impact&amp;"""},{""id"":179,""name"":""Denver Segment Assigned"",""value"":"""&amp;AL205&amp;"""}]}}"&amp;"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{"issue":{"subject":"","project_id":79,"tracker_id":40,"status_id":1,"priority_id":2,"assigned_to_id":23,"start_date":"2017-04-28","description":"","custom_fields":[{"id":1,"name":"Subdivision","value":"NW"},{"id":4,"name":"Milepost","value":"5.8922"},{"id":17,"name":"Train ID","value":"845-28"},{"id":16,"name":"Locomotive ID","value":"4012"},{"id":130,"name":"Impact","value":""},{"id":150,"name":"Time of Event (Mountain Time)","value":"21:34:46"},{"id":151,"name":"Denver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5" t="str">
        <f t="shared" ref="AM205:AM242" si="88">"start /low /b "&amp;dls3logs&amp;" --loco "&amp;B205&amp;" --day "&amp;TEXT(F205,"YYYY-MM-DD")</f>
        <v>start /low /b %USERPROFILE%\Documents\GitHub\eaglep3\Utilities\DownloadLogsFromS3.py --loco 4012 --day 2017-04-28</v>
      </c>
      <c r="AN205" s="154" t="str">
        <f t="shared" ref="AN205:AN242" si="89">"echo {""issue"":{""subject"":"""&amp;R205&amp;""",""project_id"":30,""tracker_id"":4,""status_id"":"&amp;redmine_status_wcr&amp;",""priority_id"":"&amp;redmine_priority_wcr&amp;",""assigned_to_id"":"&amp;redmine_assignee_wcr&amp;",""start_date"":"""&amp;TEXT(I205-utc_offset/24,"YYYY-mm-dd")&amp;""",""description"":"""&amp;AJ205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03:34:46"},{"id":29,"name":"Sharepoint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6" spans="1:91" s="20" customFormat="1" x14ac:dyDescent="0.25">
      <c r="A206" s="32" t="s">
        <v>823</v>
      </c>
      <c r="B206" s="7">
        <v>4012</v>
      </c>
      <c r="C206" s="21" t="s">
        <v>211</v>
      </c>
      <c r="D206" s="21" t="s">
        <v>520</v>
      </c>
      <c r="E206" s="13">
        <v>42853.925486111111</v>
      </c>
      <c r="F206" s="13">
        <v>42853.931423611109</v>
      </c>
      <c r="G206" s="7">
        <v>1</v>
      </c>
      <c r="H206" s="21" t="s">
        <v>975</v>
      </c>
      <c r="I206" s="13">
        <v>42853.940960648149</v>
      </c>
      <c r="J206" s="7">
        <v>0</v>
      </c>
      <c r="K206" s="92" t="str">
        <f t="shared" si="74"/>
        <v>4011/4012</v>
      </c>
      <c r="L206" s="21" t="str">
        <f>VLOOKUP(A206,'Trips&amp;Operators'!$C$1:$G$99999,5,FALSE)</f>
        <v>WILLIAMS DONTE</v>
      </c>
      <c r="M206" s="6">
        <f t="shared" si="75"/>
        <v>9.5370370399905369E-3</v>
      </c>
      <c r="N206" s="7">
        <f t="shared" si="72"/>
        <v>13.733333337586373</v>
      </c>
      <c r="O206" s="7"/>
      <c r="P206" s="7"/>
      <c r="Q206" s="22"/>
      <c r="R206" s="190"/>
      <c r="S206" s="196">
        <f t="shared" si="73"/>
        <v>1</v>
      </c>
      <c r="T206" s="190" t="str">
        <f t="shared" si="76"/>
        <v>NorthBound</v>
      </c>
      <c r="U206" s="190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1" t="str">
        <f t="shared" si="77"/>
        <v>https://d0f6bd738d7f1b3e5a7ca70fe4ff75f0.us-east-1.aws.found.io/app/kibana#/discover/Steve-Slow-Train-Analysis-(2080s-and-2083s)?_g=(refreshInterval:(display:Off,pause:!f,section:0,value:0),time:(from:'2017-04-28T21:12:42-0600',mode:absolute,to:'2017-04-28T23:34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06" s="192" t="str">
        <f t="shared" si="78"/>
        <v>N</v>
      </c>
      <c r="X206" s="192">
        <f t="shared" si="71"/>
        <v>2</v>
      </c>
      <c r="Y206" s="192">
        <f t="shared" si="79"/>
        <v>9.7900000000000001E-2</v>
      </c>
      <c r="Z206" s="192">
        <f t="shared" si="80"/>
        <v>5.8982000000000001</v>
      </c>
      <c r="AA206" s="192">
        <f t="shared" si="81"/>
        <v>5.8003</v>
      </c>
      <c r="AB206" s="57" t="e">
        <f>VLOOKUP(A206,Enforcements!$C$7:$K$13,8,0)</f>
        <v>#N/A</v>
      </c>
      <c r="AC206" s="53" t="e">
        <f>VLOOKUP(A206,Enforcements!$C$7:$E$13,3,0)</f>
        <v>#N/A</v>
      </c>
      <c r="AD206" s="54" t="str">
        <f t="shared" si="82"/>
        <v>0847-28</v>
      </c>
      <c r="AE206" s="80" t="str">
        <f t="shared" si="83"/>
        <v>aws s3 cp s3://rtdc.mdm.uploadarchive.raw/RTDC4012/ "%USERPROFILE%\AppData\Local\Temp\OnboardLogs"\RTDC4012\2017-04-28 --exclude "*" --recursive --include "*20170428*" &amp; "%USERPROFILE%\Documents\GitHub\mrs-test-scripts\Headless Mode &amp; Sideloading\WalkAndUnGZ.bat" "%USERPROFILE%\AppData\Local\Temp\OnboardLogs"\RTDC4012\2017-04-28 &amp; aws s3 cp s3://rtdc.mdm.uploadarchive.raw/RTDC4012/ "%USERPROFILE%\AppData\Local\Temp\OnboardLogs"\RTDC4012\2017-04-29 --exclude "*" --recursive --include "*20170429*" &amp; "%USERPROFILE%\Documents\GitHub\mrs-test-scripts\Headless Mode &amp; Sideloading\WalkAndUnGZ.bat" "%USERPROFILE%\AppData\Local\Temp\OnboardLogs"\RTDC4012\2017-04-29</v>
      </c>
      <c r="AF206" s="77" t="str">
        <f t="shared" si="84"/>
        <v>"C:\Program Files (x86)\AstroGrep\AstroGrep.exe" /e /r /s /spath="%USERPROFILE%\AppData\Local\Temp\OnboardLogs" /stypes="app*4012*20170429*" /stext=" 04:.+((SYSTEM_STATE.+slice.+state.+changed )|(ment ac)|(multiple cpu faults)|(system.+state.+changed )|(\[timeout)|(PRM\|1\|D)|(kpr)|(kdp)|(train.+moving)|(\|lc)|(penalty))"</v>
      </c>
      <c r="AG206" s="1" t="str">
        <f t="shared" si="85"/>
        <v>NW</v>
      </c>
      <c r="AH206" s="81" t="str">
        <f t="shared" si="86"/>
        <v>"%USERPROFILE%\Documents\GitHub\eaglep3\Utilities\RefineRTDCRunTimes.py" --tripid 847-28 --locoid 4012 --swversion DE.1.0.9.0 --startMP 204:979 --initTime 2017-04-28T22:12:42 --startdatetime 2017-04-28T22:21:15 --delay 1 --endMP 300:58982 --enddatetime 2017-04-28T22:34:59 --enforcementcount 0 &gt;&gt;C:\Users\stu\Documents\GitHub\eaglep3-reporting\EC\2017-04-28-refined-times.txt</v>
      </c>
      <c r="AI206" s="99" t="str">
        <f t="shared" si="87"/>
        <v>echo {"issue":{"subject":"","project_id":79,"tracker_id":40,"status_id":1,"priority_id":2,"assigned_to_id":23,"start_date":"2017-04-28","description":"","custom_fields":[{"id":1,"name":"Subdivision","value":"NW"},{"id":4,"name":"Milepost","value":"5.8982"},{"id":17,"name":"Train ID","value":"847-28"},{"id":16,"name":"Locomotive ID","value":"4012"},{"id":130,"name":"Impact","value":""},{"id":150,"name":"Time of Event (Mountain Time)","value":"22:34:59"},{"id":151,"name":"Denver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6" s="47"/>
      <c r="AL206" s="47"/>
      <c r="AM206" s="145" t="str">
        <f t="shared" si="88"/>
        <v>start /low /b %USERPROFILE%\Documents\GitHub\eaglep3\Utilities\DownloadLogsFromS3.py --loco 4012 --day 2017-04-28</v>
      </c>
      <c r="AN206" s="154" t="str">
        <f t="shared" si="89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04:34:59"},{"id":29,"name":"Sharepoint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x14ac:dyDescent="0.25">
      <c r="A207" s="32" t="s">
        <v>645</v>
      </c>
      <c r="B207" s="7">
        <v>4015</v>
      </c>
      <c r="C207" s="21" t="s">
        <v>211</v>
      </c>
      <c r="D207" s="21" t="s">
        <v>935</v>
      </c>
      <c r="E207" s="13">
        <v>42853.116481481484</v>
      </c>
      <c r="F207" s="13">
        <v>42853.120671296296</v>
      </c>
      <c r="G207" s="7">
        <v>5</v>
      </c>
      <c r="H207" s="21" t="s">
        <v>504</v>
      </c>
      <c r="I207" s="13">
        <v>42853.126574074071</v>
      </c>
      <c r="J207" s="7">
        <v>0</v>
      </c>
      <c r="K207" s="92" t="str">
        <f t="shared" si="74"/>
        <v>4015/4016</v>
      </c>
      <c r="L207" s="21" t="str">
        <f>VLOOKUP(A207,'Trips&amp;Operators'!$C$1:$G$99999,5,FALSE)</f>
        <v>BADERTSCHER DIANE</v>
      </c>
      <c r="M207" s="6">
        <f t="shared" si="75"/>
        <v>5.9027777751907706E-3</v>
      </c>
      <c r="N207" s="7">
        <f t="shared" si="72"/>
        <v>8.4999999962747097</v>
      </c>
      <c r="O207" s="7"/>
      <c r="P207" s="7"/>
      <c r="Q207" s="22"/>
      <c r="R207" s="190"/>
      <c r="S207" s="196">
        <f t="shared" si="73"/>
        <v>1</v>
      </c>
      <c r="T207" s="190" t="str">
        <f t="shared" si="76"/>
        <v>Southbound</v>
      </c>
      <c r="U207" s="190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1" t="str">
        <f t="shared" si="77"/>
        <v>https://d0f6bd738d7f1b3e5a7ca70fe4ff75f0.us-east-1.aws.found.io/app/kibana#/discover/Steve-Slow-Train-Analysis-(2080s-and-2083s)?_g=(refreshInterval:(display:Off,pause:!f,section:0,value:0),time:(from:'2017-04-28T01:47:44-0600',mode:absolute,to:'2017-04-28T04:02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07" s="192" t="str">
        <f t="shared" si="78"/>
        <v>Y</v>
      </c>
      <c r="X207" s="192">
        <f t="shared" si="71"/>
        <v>-545</v>
      </c>
      <c r="Y207" s="192">
        <f t="shared" si="79"/>
        <v>2.2780999999999998</v>
      </c>
      <c r="Z207" s="192">
        <f t="shared" si="80"/>
        <v>1.32E-2</v>
      </c>
      <c r="AA207" s="192">
        <f t="shared" si="81"/>
        <v>2.2648999999999999</v>
      </c>
      <c r="AB207" s="57" t="e">
        <f>VLOOKUP(A207,Enforcements!$C$7:$K$13,8,0)</f>
        <v>#N/A</v>
      </c>
      <c r="AC207" s="53" t="e">
        <f>VLOOKUP(A207,Enforcements!$C$7:$E$13,3,0)</f>
        <v>#N/A</v>
      </c>
      <c r="AD207" s="54" t="str">
        <f t="shared" si="82"/>
        <v>0302-28</v>
      </c>
      <c r="AE207" s="80" t="str">
        <f t="shared" si="83"/>
        <v>aws s3 cp s3://rtdc.mdm.uploadarchive.raw/RTDC4015/ "%USERPROFILE%\AppData\Local\Temp\OnboardLogs"\RTDC4015\2017-04-28 --exclude "*" --recursive --include "*20170428*" &amp; "%USERPROFILE%\Documents\GitHub\mrs-test-scripts\Headless Mode &amp; Sideloading\WalkAndUnGZ.bat" "%USERPROFILE%\AppData\Local\Temp\OnboardLogs"\RTDC4015\2017-04-28 &amp; aws s3 cp s3://rtdc.mdm.uploadarchive.raw/RTDC4015/ "%USERPROFILE%\AppData\Local\Temp\OnboardLogs"\RTDC4015\2017-04-29 --exclude "*" --recursive --include "*20170429*" &amp; "%USERPROFILE%\Documents\GitHub\mrs-test-scripts\Headless Mode &amp; Sideloading\WalkAndUnGZ.bat" "%USERPROFILE%\AppData\Local\Temp\OnboardLogs"\RTDC4015\2017-04-29</v>
      </c>
      <c r="AF207" s="77" t="str">
        <f t="shared" si="84"/>
        <v>"C:\Program Files (x86)\AstroGrep\AstroGrep.exe" /e /r /s /spath="%USERPROFILE%\AppData\Local\Temp\OnboardLogs" /stypes="app*4015*20170428*" /stext=" 09:.+((SYSTEM_STATE.+slice.+state.+changed )|(ment ac)|(multiple cpu faults)|(system.+state.+changed )|(\[timeout)|(PRM\|1\|D)|(kpr)|(kdp)|(train.+moving)|(\|lc)|(penalty))"</v>
      </c>
      <c r="AG207" s="1" t="str">
        <f t="shared" si="85"/>
        <v>Other</v>
      </c>
      <c r="AH207" s="81" t="str">
        <f t="shared" si="86"/>
        <v>"%USERPROFILE%\Documents\GitHub\eaglep3\Utilities\RefineRTDCRunTimes.py" --tripid 302-28 --locoid 4015 --swversion DE.1.0.9.0 --startMP 300:22781 --initTime 2017-04-28T02:47:44 --startdatetime 2017-04-28T02:53:46 --delay 5 --endMP 204:132 --enddatetime 2017-04-28T03:02:16 --enforcementcount 0 &gt;&gt;C:\Users\stu\Documents\GitHub\eaglep3-reporting\EC\2017-04-28-refined-times.txt</v>
      </c>
      <c r="AI207" s="99" t="str">
        <f t="shared" si="87"/>
        <v>echo {"issue":{"subject":"","project_id":79,"tracker_id":40,"status_id":1,"priority_id":2,"assigned_to_id":23,"start_date":"2017-04-28","description":"","custom_fields":[{"id":1,"name":"Subdivision","value":"Other"},{"id":4,"name":"Milepost","value":"0.0132"},{"id":17,"name":"Train ID","value":"302-28"},{"id":16,"name":"Locomotive ID","value":"4015"},{"id":130,"name":"Impact","value":""},{"id":150,"name":"Time of Event (Mountain Time)","value":"03:02:16"},{"id":151,"name":"Denver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5" t="str">
        <f t="shared" si="88"/>
        <v>start /low /b %USERPROFILE%\Documents\GitHub\eaglep3\Utilities\DownloadLogsFromS3.py --loco 4015 --day 2017-04-28</v>
      </c>
      <c r="AN207" s="154" t="str">
        <f t="shared" si="89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09:02:16"},{"id":29,"name":"Sharepoint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8" spans="1:91" x14ac:dyDescent="0.25">
      <c r="A208" s="32" t="s">
        <v>794</v>
      </c>
      <c r="B208" s="7">
        <v>4022</v>
      </c>
      <c r="C208" s="21" t="s">
        <v>211</v>
      </c>
      <c r="D208" s="21" t="s">
        <v>414</v>
      </c>
      <c r="E208" s="13">
        <v>42853.77752314815</v>
      </c>
      <c r="F208" s="13">
        <v>42853.779629629629</v>
      </c>
      <c r="G208" s="7">
        <v>1</v>
      </c>
      <c r="H208" s="21" t="s">
        <v>936</v>
      </c>
      <c r="I208" s="13">
        <v>42853.785914351851</v>
      </c>
      <c r="J208" s="7">
        <v>0</v>
      </c>
      <c r="K208" s="92" t="str">
        <f t="shared" si="74"/>
        <v>4021/4022</v>
      </c>
      <c r="L208" s="21" t="str">
        <f>VLOOKUP(A208,'Trips&amp;Operators'!$C$1:$G$99999,5,FALSE)</f>
        <v>SULLIVAN BRANDON</v>
      </c>
      <c r="M208" s="6">
        <f t="shared" si="75"/>
        <v>6.284722221607808E-3</v>
      </c>
      <c r="N208" s="7">
        <f t="shared" si="72"/>
        <v>9.0499999991152436</v>
      </c>
      <c r="O208" s="7"/>
      <c r="P208" s="7"/>
      <c r="Q208" s="22"/>
      <c r="R208" s="190"/>
      <c r="S208" s="196">
        <f t="shared" si="73"/>
        <v>1</v>
      </c>
      <c r="T208" s="190" t="str">
        <f t="shared" si="76"/>
        <v>NorthBound</v>
      </c>
      <c r="U208" s="190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91" t="str">
        <f t="shared" si="77"/>
        <v>https://d0f6bd738d7f1b3e5a7ca70fe4ff75f0.us-east-1.aws.found.io/app/kibana#/discover/Steve-Slow-Train-Analysis-(2080s-and-2083s)?_g=(refreshInterval:(display:Off,pause:!f,section:0,value:0),time:(from:'2017-04-28T17:39:38-0600',mode:absolute,to:'2017-04-28T19:51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08" s="192" t="str">
        <f t="shared" si="78"/>
        <v>Y</v>
      </c>
      <c r="X208" s="192">
        <f t="shared" si="71"/>
        <v>1</v>
      </c>
      <c r="Y208" s="192">
        <f t="shared" si="79"/>
        <v>4.6600000000000003E-2</v>
      </c>
      <c r="Z208" s="192">
        <f t="shared" si="80"/>
        <v>2.3313999999999999</v>
      </c>
      <c r="AA208" s="192">
        <f t="shared" si="81"/>
        <v>2.2847999999999997</v>
      </c>
      <c r="AB208" s="57" t="e">
        <f>VLOOKUP(A208,Enforcements!$C$7:$K$13,8,0)</f>
        <v>#N/A</v>
      </c>
      <c r="AC208" s="53" t="e">
        <f>VLOOKUP(A208,Enforcements!$C$7:$E$13,3,0)</f>
        <v>#N/A</v>
      </c>
      <c r="AD208" s="54" t="str">
        <f t="shared" si="82"/>
        <v>0303-28</v>
      </c>
      <c r="AE208" s="80" t="str">
        <f t="shared" si="83"/>
        <v>aws s3 cp s3://rtdc.mdm.uploadarchive.raw/RTDC4022/ "%USERPROFILE%\AppData\Local\Temp\OnboardLogs"\RTDC4022\2017-04-28 --exclude "*" --recursive --include "*20170428*" &amp; "%USERPROFILE%\Documents\GitHub\mrs-test-scripts\Headless Mode &amp; Sideloading\WalkAndUnGZ.bat" "%USERPROFILE%\AppData\Local\Temp\OnboardLogs"\RTDC4022\2017-04-28 &amp; aws s3 cp s3://rtdc.mdm.uploadarchive.raw/RTDC4022/ "%USERPROFILE%\AppData\Local\Temp\OnboardLogs"\RTDC4022\2017-04-29 --exclude "*" --recursive --include "*20170429*" &amp; "%USERPROFILE%\Documents\GitHub\mrs-test-scripts\Headless Mode &amp; Sideloading\WalkAndUnGZ.bat" "%USERPROFILE%\AppData\Local\Temp\OnboardLogs"\RTDC4022\2017-04-29</v>
      </c>
      <c r="AF208" s="77" t="str">
        <f t="shared" si="84"/>
        <v>"C:\Program Files (x86)\AstroGrep\AstroGrep.exe" /e /r /s /spath="%USERPROFILE%\AppData\Local\Temp\OnboardLogs" /stypes="app*4022*20170429*" /stext=" 00:.+((SYSTEM_STATE.+slice.+state.+changed )|(ment ac)|(multiple cpu faults)|(system.+state.+changed )|(\[timeout)|(PRM\|1\|D)|(kpr)|(kdp)|(train.+moving)|(\|lc)|(penalty))"</v>
      </c>
      <c r="AG208" s="1" t="str">
        <f t="shared" si="85"/>
        <v>Other</v>
      </c>
      <c r="AH208" s="81" t="str">
        <f t="shared" si="86"/>
        <v>"%USERPROFILE%\Documents\GitHub\eaglep3\Utilities\RefineRTDCRunTimes.py" --tripid 303-28 --locoid 4022 --swversion DE.1.0.9.0 --startMP 204:466 --initTime 2017-04-28T18:39:38 --startdatetime 2017-04-28T18:42:40 --delay 1 --endMP 300:23314 --enddatetime 2017-04-28T18:51:43 --enforcementcount 0 &gt;&gt;C:\Users\stu\Documents\GitHub\eaglep3-reporting\EC\2017-04-28-refined-times.txt</v>
      </c>
      <c r="AI208" s="99" t="str">
        <f t="shared" si="87"/>
        <v>echo {"issue":{"subject":"","project_id":79,"tracker_id":40,"status_id":1,"priority_id":2,"assigned_to_id":23,"start_date":"2017-04-28","description":"","custom_fields":[{"id":1,"name":"Subdivision","value":"Other"},{"id":4,"name":"Milepost","value":"2.3314"},{"id":17,"name":"Train ID","value":"303-28"},{"id":16,"name":"Locomotive ID","value":"4022"},{"id":130,"name":"Impact","value":""},{"id":150,"name":"Time of Event (Mountain Time)","value":"18:51:43"},{"id":151,"name":"Denver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5" t="str">
        <f t="shared" si="88"/>
        <v>start /low /b %USERPROFILE%\Documents\GitHub\eaglep3\Utilities\DownloadLogsFromS3.py --loco 4022 --day 2017-04-28</v>
      </c>
      <c r="AN208" s="154" t="str">
        <f t="shared" si="89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00:51:43"},{"id":29,"name":"Sharepoint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9" spans="1:91" x14ac:dyDescent="0.25">
      <c r="A209" s="32" t="s">
        <v>647</v>
      </c>
      <c r="B209" s="7">
        <v>4007</v>
      </c>
      <c r="C209" s="21" t="s">
        <v>211</v>
      </c>
      <c r="D209" s="21" t="s">
        <v>937</v>
      </c>
      <c r="E209" s="13">
        <v>42853.13784722222</v>
      </c>
      <c r="F209" s="13">
        <v>42853.141631944447</v>
      </c>
      <c r="G209" s="7">
        <v>5</v>
      </c>
      <c r="H209" s="21" t="s">
        <v>409</v>
      </c>
      <c r="I209" s="13">
        <v>42853.147349537037</v>
      </c>
      <c r="J209" s="7">
        <v>0</v>
      </c>
      <c r="K209" s="92" t="str">
        <f t="shared" si="74"/>
        <v>4007/4008</v>
      </c>
      <c r="L209" s="21" t="str">
        <f>VLOOKUP(A209,'Trips&amp;Operators'!$C$1:$G$99999,5,FALSE)</f>
        <v>DAVIS WENDY</v>
      </c>
      <c r="M209" s="6">
        <f t="shared" si="75"/>
        <v>5.7175925903720781E-3</v>
      </c>
      <c r="N209" s="7">
        <f t="shared" si="72"/>
        <v>8.2333333301357925</v>
      </c>
      <c r="O209" s="7"/>
      <c r="P209" s="7"/>
      <c r="Q209" s="22"/>
      <c r="R209" s="190"/>
      <c r="S209" s="196">
        <f t="shared" si="73"/>
        <v>1</v>
      </c>
      <c r="T209" s="190" t="str">
        <f t="shared" si="76"/>
        <v>Southbound</v>
      </c>
      <c r="U209" s="190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91" t="str">
        <f t="shared" si="77"/>
        <v>https://d0f6bd738d7f1b3e5a7ca70fe4ff75f0.us-east-1.aws.found.io/app/kibana#/discover/Steve-Slow-Train-Analysis-(2080s-and-2083s)?_g=(refreshInterval:(display:Off,pause:!f,section:0,value:0),time:(from:'2017-04-28T02:18:30-0600',mode:absolute,to:'2017-04-28T04:32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09" s="192" t="str">
        <f t="shared" si="78"/>
        <v>Y</v>
      </c>
      <c r="X209" s="192">
        <f t="shared" si="71"/>
        <v>1</v>
      </c>
      <c r="Y209" s="192">
        <f t="shared" si="79"/>
        <v>2.3622000000000001</v>
      </c>
      <c r="Z209" s="192">
        <f t="shared" si="80"/>
        <v>1.4999999999999999E-2</v>
      </c>
      <c r="AA209" s="192">
        <f t="shared" si="81"/>
        <v>2.3472</v>
      </c>
      <c r="AB209" s="57" t="e">
        <f>VLOOKUP(A209,Enforcements!$C$7:$K$13,8,0)</f>
        <v>#N/A</v>
      </c>
      <c r="AC209" s="53" t="e">
        <f>VLOOKUP(A209,Enforcements!$C$7:$E$13,3,0)</f>
        <v>#N/A</v>
      </c>
      <c r="AD209" s="54" t="str">
        <f t="shared" si="82"/>
        <v>0304-28</v>
      </c>
      <c r="AE209" s="80" t="str">
        <f t="shared" si="83"/>
        <v>aws s3 cp s3://rtdc.mdm.uploadarchive.raw/RTDC4007/ "%USERPROFILE%\AppData\Local\Temp\OnboardLogs"\RTDC4007\2017-04-28 --exclude "*" --recursive --include "*20170428*" &amp; "%USERPROFILE%\Documents\GitHub\mrs-test-scripts\Headless Mode &amp; Sideloading\WalkAndUnGZ.bat" "%USERPROFILE%\AppData\Local\Temp\OnboardLogs"\RTDC4007\2017-04-28 &amp; aws s3 cp s3://rtdc.mdm.uploadarchive.raw/RTDC4007/ "%USERPROFILE%\AppData\Local\Temp\OnboardLogs"\RTDC4007\2017-04-29 --exclude "*" --recursive --include "*20170429*" &amp; "%USERPROFILE%\Documents\GitHub\mrs-test-scripts\Headless Mode &amp; Sideloading\WalkAndUnGZ.bat" "%USERPROFILE%\AppData\Local\Temp\OnboardLogs"\RTDC4007\2017-04-29</v>
      </c>
      <c r="AF209" s="77" t="str">
        <f t="shared" si="84"/>
        <v>"C:\Program Files (x86)\AstroGrep\AstroGrep.exe" /e /r /s /spath="%USERPROFILE%\AppData\Local\Temp\OnboardLogs" /stypes="app*4007*20170428*" /stext=" 09:.+((SYSTEM_STATE.+slice.+state.+changed )|(ment ac)|(multiple cpu faults)|(system.+state.+changed )|(\[timeout)|(PRM\|1\|D)|(kpr)|(kdp)|(train.+moving)|(\|lc)|(penalty))"</v>
      </c>
      <c r="AG209" s="1" t="str">
        <f t="shared" si="85"/>
        <v>Other</v>
      </c>
      <c r="AH209" s="81" t="str">
        <f t="shared" si="86"/>
        <v>"%USERPROFILE%\Documents\GitHub\eaglep3\Utilities\RefineRTDCRunTimes.py" --tripid 304-28 --locoid 4007 --swversion DE.1.0.9.0 --startMP 300:23622 --initTime 2017-04-28T03:18:30 --startdatetime 2017-04-28T03:23:57 --delay 5 --endMP 204:150 --enddatetime 2017-04-28T03:32:11 --enforcementcount 0 &gt;&gt;C:\Users\stu\Documents\GitHub\eaglep3-reporting\EC\2017-04-28-refined-times.txt</v>
      </c>
      <c r="AI209" s="99" t="str">
        <f t="shared" si="87"/>
        <v>echo {"issue":{"subject":"","project_id":79,"tracker_id":40,"status_id":1,"priority_id":2,"assigned_to_id":23,"start_date":"2017-04-28","description":"","custom_fields":[{"id":1,"name":"Subdivision","value":"Other"},{"id":4,"name":"Milepost","value":"0.015"},{"id":17,"name":"Train ID","value":"304-28"},{"id":16,"name":"Locomotive ID","value":"4007"},{"id":130,"name":"Impact","value":""},{"id":150,"name":"Time of Event (Mountain Time)","value":"03:32:11"},{"id":151,"name":"Denver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5" t="str">
        <f t="shared" si="88"/>
        <v>start /low /b %USERPROFILE%\Documents\GitHub\eaglep3\Utilities\DownloadLogsFromS3.py --loco 4007 --day 2017-04-28</v>
      </c>
      <c r="AN209" s="154" t="str">
        <f t="shared" si="89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09:32:11"},{"id":29,"name":"Sharepoint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0" spans="1:91" x14ac:dyDescent="0.25">
      <c r="A210" s="32" t="s">
        <v>801</v>
      </c>
      <c r="B210" s="7">
        <v>4016</v>
      </c>
      <c r="C210" s="21" t="s">
        <v>211</v>
      </c>
      <c r="D210" s="21" t="s">
        <v>207</v>
      </c>
      <c r="E210" s="13">
        <v>42853.799340277779</v>
      </c>
      <c r="F210" s="13">
        <v>42853.80195601852</v>
      </c>
      <c r="G210" s="7">
        <v>1</v>
      </c>
      <c r="H210" s="21" t="s">
        <v>938</v>
      </c>
      <c r="I210" s="13">
        <v>42853.80746527778</v>
      </c>
      <c r="J210" s="7">
        <v>0</v>
      </c>
      <c r="K210" s="92" t="str">
        <f t="shared" si="74"/>
        <v>4015/4016</v>
      </c>
      <c r="L210" s="21" t="str">
        <f>VLOOKUP(A210,'Trips&amp;Operators'!$C$1:$G$99999,5,FALSE)</f>
        <v>BRANDNER MELINDA</v>
      </c>
      <c r="M210" s="6">
        <f t="shared" si="75"/>
        <v>5.5092592592700385E-3</v>
      </c>
      <c r="N210" s="7">
        <f t="shared" si="72"/>
        <v>7.9333333333488554</v>
      </c>
      <c r="O210" s="7"/>
      <c r="P210" s="7"/>
      <c r="Q210" s="22"/>
      <c r="R210" s="190"/>
      <c r="S210" s="196">
        <f t="shared" si="73"/>
        <v>1</v>
      </c>
      <c r="T210" s="190" t="str">
        <f t="shared" si="76"/>
        <v>NorthBound</v>
      </c>
      <c r="U210" s="190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91" t="str">
        <f t="shared" si="77"/>
        <v>https://d0f6bd738d7f1b3e5a7ca70fe4ff75f0.us-east-1.aws.found.io/app/kibana#/discover/Steve-Slow-Train-Analysis-(2080s-and-2083s)?_g=(refreshInterval:(display:Off,pause:!f,section:0,value:0),time:(from:'2017-04-28T18:11:03-0600',mode:absolute,to:'2017-04-28T20:22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10" s="192" t="str">
        <f t="shared" si="78"/>
        <v>Y</v>
      </c>
      <c r="X210" s="192">
        <f t="shared" si="71"/>
        <v>1</v>
      </c>
      <c r="Y210" s="192">
        <f t="shared" si="79"/>
        <v>4.5499999999999999E-2</v>
      </c>
      <c r="Z210" s="192">
        <f t="shared" si="80"/>
        <v>2.3007</v>
      </c>
      <c r="AA210" s="192">
        <f t="shared" si="81"/>
        <v>2.2551999999999999</v>
      </c>
      <c r="AB210" s="57" t="e">
        <f>VLOOKUP(A210,Enforcements!$C$7:$K$13,8,0)</f>
        <v>#N/A</v>
      </c>
      <c r="AC210" s="53" t="e">
        <f>VLOOKUP(A210,Enforcements!$C$7:$E$13,3,0)</f>
        <v>#N/A</v>
      </c>
      <c r="AD210" s="54" t="str">
        <f t="shared" si="82"/>
        <v>0305-28</v>
      </c>
      <c r="AE210" s="80" t="str">
        <f t="shared" si="83"/>
        <v>aws s3 cp s3://rtdc.mdm.uploadarchive.raw/RTDC4016/ "%USERPROFILE%\AppData\Local\Temp\OnboardLogs"\RTDC4016\2017-04-28 --exclude "*" --recursive --include "*20170428*" &amp; "%USERPROFILE%\Documents\GitHub\mrs-test-scripts\Headless Mode &amp; Sideloading\WalkAndUnGZ.bat" "%USERPROFILE%\AppData\Local\Temp\OnboardLogs"\RTDC4016\2017-04-28 &amp; aws s3 cp s3://rtdc.mdm.uploadarchive.raw/RTDC4016/ "%USERPROFILE%\AppData\Local\Temp\OnboardLogs"\RTDC4016\2017-04-29 --exclude "*" --recursive --include "*20170429*" &amp; "%USERPROFILE%\Documents\GitHub\mrs-test-scripts\Headless Mode &amp; Sideloading\WalkAndUnGZ.bat" "%USERPROFILE%\AppData\Local\Temp\OnboardLogs"\RTDC4016\2017-04-29</v>
      </c>
      <c r="AF210" s="77" t="str">
        <f t="shared" si="84"/>
        <v>"C:\Program Files (x86)\AstroGrep\AstroGrep.exe" /e /r /s /spath="%USERPROFILE%\AppData\Local\Temp\OnboardLogs" /stypes="app*4016*20170429*" /stext=" 01:.+((SYSTEM_STATE.+slice.+state.+changed )|(ment ac)|(multiple cpu faults)|(system.+state.+changed )|(\[timeout)|(PRM\|1\|D)|(kpr)|(kdp)|(train.+moving)|(\|lc)|(penalty))"</v>
      </c>
      <c r="AG210" s="1" t="str">
        <f t="shared" si="85"/>
        <v>Other</v>
      </c>
      <c r="AH210" s="81" t="str">
        <f t="shared" si="86"/>
        <v>"%USERPROFILE%\Documents\GitHub\eaglep3\Utilities\RefineRTDCRunTimes.py" --tripid 305-28 --locoid 4016 --swversion DE.1.0.9.0 --startMP 204:455 --initTime 2017-04-28T19:11:03 --startdatetime 2017-04-28T19:14:49 --delay 1 --endMP 300:23007 --enddatetime 2017-04-28T19:22:45 --enforcementcount 0 &gt;&gt;C:\Users\stu\Documents\GitHub\eaglep3-reporting\EC\2017-04-28-refined-times.txt</v>
      </c>
      <c r="AI210" s="99" t="str">
        <f t="shared" si="87"/>
        <v>echo {"issue":{"subject":"","project_id":79,"tracker_id":40,"status_id":1,"priority_id":2,"assigned_to_id":23,"start_date":"2017-04-28","description":"","custom_fields":[{"id":1,"name":"Subdivision","value":"Other"},{"id":4,"name":"Milepost","value":"2.3007"},{"id":17,"name":"Train ID","value":"305-28"},{"id":16,"name":"Locomotive ID","value":"4016"},{"id":130,"name":"Impact","value":""},{"id":150,"name":"Time of Event (Mountain Time)","value":"19:22:45"},{"id":151,"name":"Denver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5" t="str">
        <f t="shared" si="88"/>
        <v>start /low /b %USERPROFILE%\Documents\GitHub\eaglep3\Utilities\DownloadLogsFromS3.py --loco 4016 --day 2017-04-28</v>
      </c>
      <c r="AN210" s="154" t="str">
        <f t="shared" si="89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01:22:45"},{"id":29,"name":"Sharepoint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1" spans="1:91" x14ac:dyDescent="0.25">
      <c r="A211" s="32" t="s">
        <v>651</v>
      </c>
      <c r="B211" s="7">
        <v>4029</v>
      </c>
      <c r="C211" s="21" t="s">
        <v>211</v>
      </c>
      <c r="D211" s="21" t="s">
        <v>939</v>
      </c>
      <c r="E211" s="13">
        <v>42853.161631944444</v>
      </c>
      <c r="F211" s="13">
        <v>42853.163958333331</v>
      </c>
      <c r="G211" s="7">
        <v>3</v>
      </c>
      <c r="H211" s="21" t="s">
        <v>409</v>
      </c>
      <c r="I211" s="13">
        <v>42853.170011574075</v>
      </c>
      <c r="J211" s="7">
        <v>0</v>
      </c>
      <c r="K211" s="92" t="str">
        <f t="shared" si="74"/>
        <v>4029/4030</v>
      </c>
      <c r="L211" s="21" t="str">
        <f>VLOOKUP(A211,'Trips&amp;Operators'!$C$1:$G$99999,5,FALSE)</f>
        <v>MENGES BRAD</v>
      </c>
      <c r="M211" s="6">
        <f t="shared" si="75"/>
        <v>6.0532407442224212E-3</v>
      </c>
      <c r="N211" s="7">
        <f t="shared" si="72"/>
        <v>8.7166666716802865</v>
      </c>
      <c r="O211" s="7"/>
      <c r="P211" s="7"/>
      <c r="Q211" s="22"/>
      <c r="R211" s="190"/>
      <c r="S211" s="196">
        <f t="shared" si="73"/>
        <v>1</v>
      </c>
      <c r="T211" s="190" t="str">
        <f t="shared" si="76"/>
        <v>Southbound</v>
      </c>
      <c r="U211" s="190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91" t="str">
        <f t="shared" si="77"/>
        <v>https://d0f6bd738d7f1b3e5a7ca70fe4ff75f0.us-east-1.aws.found.io/app/kibana#/discover/Steve-Slow-Train-Analysis-(2080s-and-2083s)?_g=(refreshInterval:(display:Off,pause:!f,section:0,value:0),time:(from:'2017-04-28T02:52:45-0600',mode:absolute,to:'2017-04-28T05:04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11" s="192" t="str">
        <f t="shared" si="78"/>
        <v>Y</v>
      </c>
      <c r="X211" s="192">
        <f t="shared" si="71"/>
        <v>1</v>
      </c>
      <c r="Y211" s="192">
        <f t="shared" si="79"/>
        <v>2.3601000000000001</v>
      </c>
      <c r="Z211" s="192">
        <f t="shared" si="80"/>
        <v>1.4999999999999999E-2</v>
      </c>
      <c r="AA211" s="192">
        <f t="shared" si="81"/>
        <v>2.3451</v>
      </c>
      <c r="AB211" s="57" t="e">
        <f>VLOOKUP(A211,Enforcements!$C$7:$K$13,8,0)</f>
        <v>#N/A</v>
      </c>
      <c r="AC211" s="53" t="e">
        <f>VLOOKUP(A211,Enforcements!$C$7:$E$13,3,0)</f>
        <v>#N/A</v>
      </c>
      <c r="AD211" s="54" t="str">
        <f t="shared" si="82"/>
        <v>0306-28</v>
      </c>
      <c r="AE211" s="80" t="str">
        <f t="shared" si="83"/>
        <v>aws s3 cp s3://rtdc.mdm.uploadarchive.raw/RTDC4029/ "%USERPROFILE%\AppData\Local\Temp\OnboardLogs"\RTDC4029\2017-04-28 --exclude "*" --recursive --include "*20170428*" &amp; "%USERPROFILE%\Documents\GitHub\mrs-test-scripts\Headless Mode &amp; Sideloading\WalkAndUnGZ.bat" "%USERPROFILE%\AppData\Local\Temp\OnboardLogs"\RTDC4029\2017-04-28 &amp; aws s3 cp s3://rtdc.mdm.uploadarchive.raw/RTDC4029/ "%USERPROFILE%\AppData\Local\Temp\OnboardLogs"\RTDC4029\2017-04-29 --exclude "*" --recursive --include "*20170429*" &amp; "%USERPROFILE%\Documents\GitHub\mrs-test-scripts\Headless Mode &amp; Sideloading\WalkAndUnGZ.bat" "%USERPROFILE%\AppData\Local\Temp\OnboardLogs"\RTDC4029\2017-04-29</v>
      </c>
      <c r="AF211" s="77" t="str">
        <f t="shared" si="84"/>
        <v>"C:\Program Files (x86)\AstroGrep\AstroGrep.exe" /e /r /s /spath="%USERPROFILE%\AppData\Local\Temp\OnboardLogs" /stypes="app*4029*20170428*" /stext=" 10:.+((SYSTEM_STATE.+slice.+state.+changed )|(ment ac)|(multiple cpu faults)|(system.+state.+changed )|(\[timeout)|(PRM\|1\|D)|(kpr)|(kdp)|(train.+moving)|(\|lc)|(penalty))"</v>
      </c>
      <c r="AG211" s="1" t="str">
        <f t="shared" si="85"/>
        <v>Other</v>
      </c>
      <c r="AH211" s="81" t="str">
        <f t="shared" si="86"/>
        <v>"%USERPROFILE%\Documents\GitHub\eaglep3\Utilities\RefineRTDCRunTimes.py" --tripid 306-28 --locoid 4029 --swversion DE.1.0.9.0 --startMP 300:23601 --initTime 2017-04-28T03:52:45 --startdatetime 2017-04-28T03:56:06 --delay 3 --endMP 204:150 --enddatetime 2017-04-28T04:04:49 --enforcementcount 0 &gt;&gt;C:\Users\stu\Documents\GitHub\eaglep3-reporting\EC\2017-04-28-refined-times.txt</v>
      </c>
      <c r="AI211" s="99" t="str">
        <f t="shared" si="87"/>
        <v>echo {"issue":{"subject":"","project_id":79,"tracker_id":40,"status_id":1,"priority_id":2,"assigned_to_id":23,"start_date":"2017-04-28","description":"","custom_fields":[{"id":1,"name":"Subdivision","value":"Other"},{"id":4,"name":"Milepost","value":"0.015"},{"id":17,"name":"Train ID","value":"306-28"},{"id":16,"name":"Locomotive ID","value":"4029"},{"id":130,"name":"Impact","value":""},{"id":150,"name":"Time of Event (Mountain Time)","value":"04:04:49"},{"id":151,"name":"Denver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5" t="str">
        <f t="shared" si="88"/>
        <v>start /low /b %USERPROFILE%\Documents\GitHub\eaglep3\Utilities\DownloadLogsFromS3.py --loco 4029 --day 2017-04-28</v>
      </c>
      <c r="AN211" s="154" t="str">
        <f t="shared" si="89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10:04:49"},{"id":29,"name":"Sharepoint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2" spans="1:91" x14ac:dyDescent="0.25">
      <c r="A212" s="32" t="s">
        <v>806</v>
      </c>
      <c r="B212" s="7">
        <v>4008</v>
      </c>
      <c r="C212" s="21" t="s">
        <v>211</v>
      </c>
      <c r="D212" s="21" t="s">
        <v>557</v>
      </c>
      <c r="E212" s="13">
        <v>42853.817962962959</v>
      </c>
      <c r="F212" s="13">
        <v>42853.820590277777</v>
      </c>
      <c r="G212" s="7">
        <v>1</v>
      </c>
      <c r="H212" s="21" t="s">
        <v>940</v>
      </c>
      <c r="I212" s="13">
        <v>42853.827314814815</v>
      </c>
      <c r="J212" s="7">
        <v>0</v>
      </c>
      <c r="K212" s="92" t="str">
        <f t="shared" si="74"/>
        <v>4007/4008</v>
      </c>
      <c r="L212" s="21" t="str">
        <f>VLOOKUP(A212,'Trips&amp;Operators'!$C$1:$G$99999,5,FALSE)</f>
        <v>WHITED DUSTIN</v>
      </c>
      <c r="M212" s="6">
        <f t="shared" si="75"/>
        <v>6.7245370373711921E-3</v>
      </c>
      <c r="N212" s="7">
        <f t="shared" si="72"/>
        <v>9.6833333338145167</v>
      </c>
      <c r="O212" s="7"/>
      <c r="P212" s="7"/>
      <c r="Q212" s="22"/>
      <c r="R212" s="190"/>
      <c r="S212" s="196">
        <f t="shared" si="73"/>
        <v>1</v>
      </c>
      <c r="T212" s="190" t="str">
        <f t="shared" si="76"/>
        <v>NorthBound</v>
      </c>
      <c r="U212" s="190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91" t="str">
        <f t="shared" si="77"/>
        <v>https://d0f6bd738d7f1b3e5a7ca70fe4ff75f0.us-east-1.aws.found.io/app/kibana#/discover/Steve-Slow-Train-Analysis-(2080s-and-2083s)?_g=(refreshInterval:(display:Off,pause:!f,section:0,value:0),time:(from:'2017-04-28T18:37:52-0600',mode:absolute,to:'2017-04-28T20:51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12" s="192" t="str">
        <f t="shared" si="78"/>
        <v>Y</v>
      </c>
      <c r="X212" s="192">
        <f t="shared" si="71"/>
        <v>1</v>
      </c>
      <c r="Y212" s="192">
        <f t="shared" si="79"/>
        <v>4.4699999999999997E-2</v>
      </c>
      <c r="Z212" s="192">
        <f t="shared" si="80"/>
        <v>2.3308</v>
      </c>
      <c r="AA212" s="192">
        <f t="shared" si="81"/>
        <v>2.2860999999999998</v>
      </c>
      <c r="AB212" s="57" t="e">
        <f>VLOOKUP(A212,Enforcements!$C$7:$K$13,8,0)</f>
        <v>#N/A</v>
      </c>
      <c r="AC212" s="53" t="e">
        <f>VLOOKUP(A212,Enforcements!$C$7:$E$13,3,0)</f>
        <v>#N/A</v>
      </c>
      <c r="AD212" s="54" t="str">
        <f t="shared" si="82"/>
        <v>0307-28</v>
      </c>
      <c r="AE212" s="80" t="str">
        <f t="shared" si="83"/>
        <v>aws s3 cp s3://rtdc.mdm.uploadarchive.raw/RTDC4008/ "%USERPROFILE%\AppData\Local\Temp\OnboardLogs"\RTDC4008\2017-04-28 --exclude "*" --recursive --include "*20170428*" &amp; "%USERPROFILE%\Documents\GitHub\mrs-test-scripts\Headless Mode &amp; Sideloading\WalkAndUnGZ.bat" "%USERPROFILE%\AppData\Local\Temp\OnboardLogs"\RTDC4008\2017-04-28 &amp; aws s3 cp s3://rtdc.mdm.uploadarchive.raw/RTDC4008/ "%USERPROFILE%\AppData\Local\Temp\OnboardLogs"\RTDC4008\2017-04-29 --exclude "*" --recursive --include "*20170429*" &amp; "%USERPROFILE%\Documents\GitHub\mrs-test-scripts\Headless Mode &amp; Sideloading\WalkAndUnGZ.bat" "%USERPROFILE%\AppData\Local\Temp\OnboardLogs"\RTDC4008\2017-04-29</v>
      </c>
      <c r="AF212" s="77" t="str">
        <f t="shared" si="84"/>
        <v>"C:\Program Files (x86)\AstroGrep\AstroGrep.exe" /e /r /s /spath="%USERPROFILE%\AppData\Local\Temp\OnboardLogs" /stypes="app*4008*20170429*" /stext=" 01:.+((SYSTEM_STATE.+slice.+state.+changed )|(ment ac)|(multiple cpu faults)|(system.+state.+changed )|(\[timeout)|(PRM\|1\|D)|(kpr)|(kdp)|(train.+moving)|(\|lc)|(penalty))"</v>
      </c>
      <c r="AG212" s="1" t="str">
        <f t="shared" si="85"/>
        <v>Other</v>
      </c>
      <c r="AH212" s="81" t="str">
        <f t="shared" si="86"/>
        <v>"%USERPROFILE%\Documents\GitHub\eaglep3\Utilities\RefineRTDCRunTimes.py" --tripid 307-28 --locoid 4008 --swversion DE.1.0.9.0 --startMP 204:447 --initTime 2017-04-28T19:37:52 --startdatetime 2017-04-28T19:41:39 --delay 1 --endMP 300:23308 --enddatetime 2017-04-28T19:51:20 --enforcementcount 0 &gt;&gt;C:\Users\stu\Documents\GitHub\eaglep3-reporting\EC\2017-04-28-refined-times.txt</v>
      </c>
      <c r="AI212" s="99" t="str">
        <f t="shared" si="87"/>
        <v>echo {"issue":{"subject":"","project_id":79,"tracker_id":40,"status_id":1,"priority_id":2,"assigned_to_id":23,"start_date":"2017-04-28","description":"","custom_fields":[{"id":1,"name":"Subdivision","value":"Other"},{"id":4,"name":"Milepost","value":"2.3308"},{"id":17,"name":"Train ID","value":"307-28"},{"id":16,"name":"Locomotive ID","value":"4008"},{"id":130,"name":"Impact","value":""},{"id":150,"name":"Time of Event (Mountain Time)","value":"19:51:20"},{"id":151,"name":"Denver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5" t="str">
        <f t="shared" si="88"/>
        <v>start /low /b %USERPROFILE%\Documents\GitHub\eaglep3\Utilities\DownloadLogsFromS3.py --loco 4008 --day 2017-04-28</v>
      </c>
      <c r="AN212" s="154" t="str">
        <f t="shared" si="89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01:51:20"},{"id":29,"name":"Sharepoint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3" spans="1:91" s="20" customFormat="1" x14ac:dyDescent="0.25">
      <c r="A213" s="32" t="s">
        <v>653</v>
      </c>
      <c r="B213" s="7">
        <v>4063</v>
      </c>
      <c r="C213" s="21" t="s">
        <v>211</v>
      </c>
      <c r="D213" s="21" t="s">
        <v>941</v>
      </c>
      <c r="E213" s="13">
        <v>42853.170844907407</v>
      </c>
      <c r="F213" s="13">
        <v>42853.173495370371</v>
      </c>
      <c r="G213" s="7">
        <v>1</v>
      </c>
      <c r="H213" s="21" t="s">
        <v>387</v>
      </c>
      <c r="I213" s="13">
        <v>42853.173657407409</v>
      </c>
      <c r="J213" s="7">
        <v>0</v>
      </c>
      <c r="K213" s="92" t="str">
        <f t="shared" si="74"/>
        <v>4063/4064</v>
      </c>
      <c r="L213" s="21" t="str">
        <f>VLOOKUP(A213,'Trips&amp;Operators'!$C$1:$G$99999,5,FALSE)</f>
        <v>STARKS ANGELINA</v>
      </c>
      <c r="M213" s="6">
        <f t="shared" si="75"/>
        <v>1.6203703853534535E-4</v>
      </c>
      <c r="N213" s="7">
        <f t="shared" si="72"/>
        <v>0.2333333354908973</v>
      </c>
      <c r="O213" s="7"/>
      <c r="P213" s="7"/>
      <c r="Q213" s="22"/>
      <c r="R213" s="190"/>
      <c r="S213" s="196">
        <f t="shared" si="73"/>
        <v>1</v>
      </c>
      <c r="T213" s="190" t="str">
        <f t="shared" si="76"/>
        <v>Southbound</v>
      </c>
      <c r="U213" s="190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91" t="str">
        <f t="shared" si="77"/>
        <v>https://d0f6bd738d7f1b3e5a7ca70fe4ff75f0.us-east-1.aws.found.io/app/kibana#/discover/Steve-Slow-Train-Analysis-(2080s-and-2083s)?_g=(refreshInterval:(display:Off,pause:!f,section:0,value:0),time:(from:'2017-04-28T03:06:01-0600',mode:absolute,to:'2017-04-28T05:10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13" s="192" t="str">
        <f t="shared" si="78"/>
        <v>Y</v>
      </c>
      <c r="X213" s="192">
        <f t="shared" si="71"/>
        <v>1</v>
      </c>
      <c r="Y213" s="192">
        <f t="shared" si="79"/>
        <v>2.5775999999999999</v>
      </c>
      <c r="Z213" s="192">
        <f t="shared" si="80"/>
        <v>1.4500000000000001E-2</v>
      </c>
      <c r="AA213" s="192">
        <f t="shared" si="81"/>
        <v>2.5630999999999999</v>
      </c>
      <c r="AB213" s="57" t="e">
        <f>VLOOKUP(A213,Enforcements!$C$7:$K$13,8,0)</f>
        <v>#N/A</v>
      </c>
      <c r="AC213" s="53" t="e">
        <f>VLOOKUP(A213,Enforcements!$C$7:$E$13,3,0)</f>
        <v>#N/A</v>
      </c>
      <c r="AD213" s="54" t="str">
        <f t="shared" si="82"/>
        <v>0308-28</v>
      </c>
      <c r="AE213" s="80" t="str">
        <f t="shared" si="83"/>
        <v>aws s3 cp s3://rtdc.mdm.uploadarchive.raw/RTDC4063/ "%USERPROFILE%\AppData\Local\Temp\OnboardLogs"\RTDC4063\2017-04-28 --exclude "*" --recursive --include "*20170428*" &amp; "%USERPROFILE%\Documents\GitHub\mrs-test-scripts\Headless Mode &amp; Sideloading\WalkAndUnGZ.bat" "%USERPROFILE%\AppData\Local\Temp\OnboardLogs"\RTDC4063\2017-04-28 &amp; aws s3 cp s3://rtdc.mdm.uploadarchive.raw/RTDC4063/ "%USERPROFILE%\AppData\Local\Temp\OnboardLogs"\RTDC4063\2017-04-29 --exclude "*" --recursive --include "*20170429*" &amp; "%USERPROFILE%\Documents\GitHub\mrs-test-scripts\Headless Mode &amp; Sideloading\WalkAndUnGZ.bat" "%USERPROFILE%\AppData\Local\Temp\OnboardLogs"\RTDC4063\2017-04-29</v>
      </c>
      <c r="AF213" s="77" t="str">
        <f t="shared" si="84"/>
        <v>"C:\Program Files (x86)\AstroGrep\AstroGrep.exe" /e /r /s /spath="%USERPROFILE%\AppData\Local\Temp\OnboardLogs" /stypes="app*4063*20170428*" /stext=" 10:.+((SYSTEM_STATE.+slice.+state.+changed )|(ment ac)|(multiple cpu faults)|(system.+state.+changed )|(\[timeout)|(PRM\|1\|D)|(kpr)|(kdp)|(train.+moving)|(\|lc)|(penalty))"</v>
      </c>
      <c r="AG213" s="1" t="str">
        <f t="shared" si="85"/>
        <v>Other</v>
      </c>
      <c r="AH213" s="81" t="str">
        <f t="shared" si="86"/>
        <v>"%USERPROFILE%\Documents\GitHub\eaglep3\Utilities\RefineRTDCRunTimes.py" --tripid 308-28 --locoid 4063 --swversion DE.1.0.9.0 --startMP 300:25776 --initTime 2017-04-28T04:06:01 --startdatetime 2017-04-28T04:09:50 --delay 1 --endMP 204:145 --enddatetime 2017-04-28T04:10:04 --enforcementcount 0 &gt;&gt;C:\Users\stu\Documents\GitHub\eaglep3-reporting\EC\2017-04-28-refined-times.txt</v>
      </c>
      <c r="AI213" s="99" t="str">
        <f t="shared" si="87"/>
        <v>echo {"issue":{"subject":"","project_id":79,"tracker_id":40,"status_id":1,"priority_id":2,"assigned_to_id":23,"start_date":"2017-04-28","description":"","custom_fields":[{"id":1,"name":"Subdivision","value":"Other"},{"id":4,"name":"Milepost","value":"0.0145"},{"id":17,"name":"Train ID","value":"308-28"},{"id":16,"name":"Locomotive ID","value":"4063"},{"id":130,"name":"Impact","value":""},{"id":150,"name":"Time of Event (Mountain Time)","value":"04:10:04"},{"id":151,"name":"Denver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3" s="47"/>
      <c r="AL213" s="47"/>
      <c r="AM213" s="145" t="str">
        <f t="shared" si="88"/>
        <v>start /low /b %USERPROFILE%\Documents\GitHub\eaglep3\Utilities\DownloadLogsFromS3.py --loco 4063 --day 2017-04-28</v>
      </c>
      <c r="AN213" s="154" t="str">
        <f t="shared" si="89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10:10:04"},{"id":29,"name":"Sharepoint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x14ac:dyDescent="0.25">
      <c r="A214" s="32" t="s">
        <v>644</v>
      </c>
      <c r="B214" s="7">
        <v>4052</v>
      </c>
      <c r="C214" s="21" t="s">
        <v>211</v>
      </c>
      <c r="D214" s="21" t="s">
        <v>368</v>
      </c>
      <c r="E214" s="13">
        <v>42854.048344907409</v>
      </c>
      <c r="F214" s="13">
        <v>42854.04960648148</v>
      </c>
      <c r="G214" s="7">
        <v>1</v>
      </c>
      <c r="H214" s="21" t="s">
        <v>569</v>
      </c>
      <c r="I214" s="13">
        <v>42854.058564814812</v>
      </c>
      <c r="J214" s="7">
        <v>0</v>
      </c>
      <c r="K214" s="92" t="str">
        <f t="shared" si="74"/>
        <v>4051/4052</v>
      </c>
      <c r="L214" s="21" t="str">
        <f>VLOOKUP(A214,'Trips&amp;Operators'!$C$1:$G$99999,5,FALSE)</f>
        <v>STORY SAMANTHA</v>
      </c>
      <c r="M214" s="6">
        <f t="shared" si="75"/>
        <v>8.9583333319751546E-3</v>
      </c>
      <c r="N214" s="7">
        <f t="shared" si="72"/>
        <v>12.899999998044223</v>
      </c>
      <c r="O214" s="7"/>
      <c r="P214" s="7"/>
      <c r="Q214" s="22"/>
      <c r="R214" s="190"/>
      <c r="S214" s="196">
        <f t="shared" si="73"/>
        <v>1</v>
      </c>
      <c r="T214" s="190" t="str">
        <f t="shared" si="76"/>
        <v>NorthBound</v>
      </c>
      <c r="U214" s="190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91" t="str">
        <f t="shared" si="77"/>
        <v>https://d0f6bd738d7f1b3e5a7ca70fe4ff75f0.us-east-1.aws.found.io/app/kibana#/discover/Steve-Slow-Train-Analysis-(2080s-and-2083s)?_g=(refreshInterval:(display:Off,pause:!f,section:0,value:0),time:(from:'2017-04-29T00:09:37-0600',mode:absolute,to:'2017-04-29T02:24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14" s="192" t="str">
        <f t="shared" si="78"/>
        <v>Y</v>
      </c>
      <c r="X214" s="192">
        <f t="shared" si="71"/>
        <v>1</v>
      </c>
      <c r="Y214" s="192">
        <f t="shared" si="79"/>
        <v>4.4900000000000002E-2</v>
      </c>
      <c r="Z214" s="192">
        <f t="shared" si="80"/>
        <v>2.331</v>
      </c>
      <c r="AA214" s="192">
        <f t="shared" si="81"/>
        <v>2.2860999999999998</v>
      </c>
      <c r="AB214" s="57" t="e">
        <f>VLOOKUP(A214,Enforcements!$C$7:$K$13,8,0)</f>
        <v>#N/A</v>
      </c>
      <c r="AC214" s="53" t="e">
        <f>VLOOKUP(A214,Enforcements!$C$7:$E$13,3,0)</f>
        <v>#N/A</v>
      </c>
      <c r="AD214" s="54" t="str">
        <f t="shared" si="82"/>
        <v>0309-28</v>
      </c>
      <c r="AE214" s="80" t="str">
        <f t="shared" si="83"/>
        <v>aws s3 cp s3://rtdc.mdm.uploadarchive.raw/RTDC4052/ "%USERPROFILE%\AppData\Local\Temp\OnboardLogs"\RTDC4052\2017-04-29 --exclude "*" --recursive --include "*20170429*" &amp; "%USERPROFILE%\Documents\GitHub\mrs-test-scripts\Headless Mode &amp; Sideloading\WalkAndUnGZ.bat" "%USERPROFILE%\AppData\Local\Temp\OnboardLogs"\RTDC4052\2017-04-29 &amp; aws s3 cp s3://rtdc.mdm.uploadarchive.raw/RTDC4052/ "%USERPROFILE%\AppData\Local\Temp\OnboardLogs"\RTDC4052\2017-04-30 --exclude "*" --recursive --include "*20170430*" &amp; "%USERPROFILE%\Documents\GitHub\mrs-test-scripts\Headless Mode &amp; Sideloading\WalkAndUnGZ.bat" "%USERPROFILE%\AppData\Local\Temp\OnboardLogs"\RTDC4052\2017-04-30</v>
      </c>
      <c r="AF214" s="77" t="str">
        <f t="shared" si="84"/>
        <v>"C:\Program Files (x86)\AstroGrep\AstroGrep.exe" /e /r /s /spath="%USERPROFILE%\AppData\Local\Temp\OnboardLogs" /stypes="app*4052*20170429*" /stext=" 07:.+((SYSTEM_STATE.+slice.+state.+changed )|(ment ac)|(multiple cpu faults)|(system.+state.+changed )|(\[timeout)|(PRM\|1\|D)|(kpr)|(kdp)|(train.+moving)|(\|lc)|(penalty))"</v>
      </c>
      <c r="AG214" s="1" t="str">
        <f t="shared" si="85"/>
        <v>Other</v>
      </c>
      <c r="AH214" s="81" t="str">
        <f t="shared" si="86"/>
        <v>"%USERPROFILE%\Documents\GitHub\eaglep3\Utilities\RefineRTDCRunTimes.py" --tripid 309-28 --locoid 4052 --swversion DE.1.0.9.0 --startMP 204:449 --initTime 2017-04-29T01:09:37 --startdatetime 2017-04-29T01:11:26 --delay 1 --endMP 300:23310 --enddatetime 2017-04-29T01:24:20 --enforcementcount 0 &gt;&gt;C:\Users\stu\Documents\GitHub\eaglep3-reporting\EC\2017-04-28-refined-times.txt</v>
      </c>
      <c r="AI214" s="99" t="str">
        <f t="shared" si="87"/>
        <v>echo {"issue":{"subject":"","project_id":79,"tracker_id":40,"status_id":1,"priority_id":2,"assigned_to_id":23,"start_date":"2017-04-29","description":"","custom_fields":[{"id":1,"name":"Subdivision","value":"Other"},{"id":4,"name":"Milepost","value":"2.331"},{"id":17,"name":"Train ID","value":"309-28"},{"id":16,"name":"Locomotive ID","value":"4052"},{"id":130,"name":"Impact","value":""},{"id":150,"name":"Time of Event (Mountain Time)","value":"01:24:20"},{"id":151,"name":"Denver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5" t="str">
        <f t="shared" si="88"/>
        <v>start /low /b %USERPROFILE%\Documents\GitHub\eaglep3\Utilities\DownloadLogsFromS3.py --loco 4052 --day 2017-04-29</v>
      </c>
      <c r="AN214" s="154" t="str">
        <f t="shared" si="89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07:24:20"},{"id":29,"name":"Sharepoint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5" spans="1:91" x14ac:dyDescent="0.25">
      <c r="A215" s="32" t="s">
        <v>656</v>
      </c>
      <c r="B215" s="7">
        <v>4021</v>
      </c>
      <c r="C215" s="21" t="s">
        <v>211</v>
      </c>
      <c r="D215" s="21" t="s">
        <v>942</v>
      </c>
      <c r="E215" s="13">
        <v>42853.18546296296</v>
      </c>
      <c r="F215" s="13">
        <v>42853.188877314817</v>
      </c>
      <c r="G215" s="7">
        <v>4</v>
      </c>
      <c r="H215" s="21" t="s">
        <v>387</v>
      </c>
      <c r="I215" s="13">
        <v>42853.193807870368</v>
      </c>
      <c r="J215" s="7">
        <v>0</v>
      </c>
      <c r="K215" s="92" t="str">
        <f t="shared" si="74"/>
        <v>4021/4022</v>
      </c>
      <c r="L215" s="21" t="str">
        <f>VLOOKUP(A215,'Trips&amp;Operators'!$C$1:$G$99999,5,FALSE)</f>
        <v>LOZA FIDEL</v>
      </c>
      <c r="M215" s="6">
        <f t="shared" si="75"/>
        <v>4.9305555512546562E-3</v>
      </c>
      <c r="N215" s="7">
        <f t="shared" si="72"/>
        <v>7.0999999938067049</v>
      </c>
      <c r="O215" s="7"/>
      <c r="P215" s="7"/>
      <c r="Q215" s="22"/>
      <c r="R215" s="190"/>
      <c r="S215" s="196">
        <f t="shared" si="73"/>
        <v>1</v>
      </c>
      <c r="T215" s="190" t="str">
        <f t="shared" si="76"/>
        <v>Southbound</v>
      </c>
      <c r="U215" s="190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91" t="str">
        <f t="shared" si="77"/>
        <v>https://d0f6bd738d7f1b3e5a7ca70fe4ff75f0.us-east-1.aws.found.io/app/kibana#/discover/Steve-Slow-Train-Analysis-(2080s-and-2083s)?_g=(refreshInterval:(display:Off,pause:!f,section:0,value:0),time:(from:'2017-04-28T03:27:04-0600',mode:absolute,to:'2017-04-28T05:39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15" s="192" t="str">
        <f t="shared" si="78"/>
        <v>Y</v>
      </c>
      <c r="X215" s="192">
        <f t="shared" si="71"/>
        <v>1</v>
      </c>
      <c r="Y215" s="192">
        <f t="shared" si="79"/>
        <v>2.3437999999999999</v>
      </c>
      <c r="Z215" s="192">
        <f t="shared" si="80"/>
        <v>1.4500000000000001E-2</v>
      </c>
      <c r="AA215" s="192">
        <f t="shared" si="81"/>
        <v>2.3292999999999999</v>
      </c>
      <c r="AB215" s="57" t="e">
        <f>VLOOKUP(A215,Enforcements!$C$7:$K$13,8,0)</f>
        <v>#N/A</v>
      </c>
      <c r="AC215" s="53" t="e">
        <f>VLOOKUP(A215,Enforcements!$C$7:$E$13,3,0)</f>
        <v>#N/A</v>
      </c>
      <c r="AD215" s="54" t="str">
        <f t="shared" si="82"/>
        <v>0310-28</v>
      </c>
      <c r="AE215" s="80" t="str">
        <f t="shared" si="83"/>
        <v>aws s3 cp s3://rtdc.mdm.uploadarchive.raw/RTDC4021/ "%USERPROFILE%\AppData\Local\Temp\OnboardLogs"\RTDC4021\2017-04-28 --exclude "*" --recursive --include "*20170428*" &amp; "%USERPROFILE%\Documents\GitHub\mrs-test-scripts\Headless Mode &amp; Sideloading\WalkAndUnGZ.bat" "%USERPROFILE%\AppData\Local\Temp\OnboardLogs"\RTDC4021\2017-04-28 &amp; aws s3 cp s3://rtdc.mdm.uploadarchive.raw/RTDC4021/ "%USERPROFILE%\AppData\Local\Temp\OnboardLogs"\RTDC4021\2017-04-29 --exclude "*" --recursive --include "*20170429*" &amp; "%USERPROFILE%\Documents\GitHub\mrs-test-scripts\Headless Mode &amp; Sideloading\WalkAndUnGZ.bat" "%USERPROFILE%\AppData\Local\Temp\OnboardLogs"\RTDC4021\2017-04-29</v>
      </c>
      <c r="AF215" s="77" t="str">
        <f t="shared" si="84"/>
        <v>"C:\Program Files (x86)\AstroGrep\AstroGrep.exe" /e /r /s /spath="%USERPROFILE%\AppData\Local\Temp\OnboardLogs" /stypes="app*4021*20170428*" /stext=" 10:.+((SYSTEM_STATE.+slice.+state.+changed )|(ment ac)|(multiple cpu faults)|(system.+state.+changed )|(\[timeout)|(PRM\|1\|D)|(kpr)|(kdp)|(train.+moving)|(\|lc)|(penalty))"</v>
      </c>
      <c r="AG215" s="1" t="str">
        <f t="shared" si="85"/>
        <v>Other</v>
      </c>
      <c r="AH215" s="81" t="str">
        <f t="shared" si="86"/>
        <v>"%USERPROFILE%\Documents\GitHub\eaglep3\Utilities\RefineRTDCRunTimes.py" --tripid 310-28 --locoid 4021 --swversion DE.1.0.9.0 --startMP 300:23438 --initTime 2017-04-28T04:27:04 --startdatetime 2017-04-28T04:31:59 --delay 4 --endMP 204:145 --enddatetime 2017-04-28T04:39:05 --enforcementcount 0 &gt;&gt;C:\Users\stu\Documents\GitHub\eaglep3-reporting\EC\2017-04-28-refined-times.txt</v>
      </c>
      <c r="AI215" s="99" t="str">
        <f t="shared" si="87"/>
        <v>echo {"issue":{"subject":"","project_id":79,"tracker_id":40,"status_id":1,"priority_id":2,"assigned_to_id":23,"start_date":"2017-04-28","description":"","custom_fields":[{"id":1,"name":"Subdivision","value":"Other"},{"id":4,"name":"Milepost","value":"0.0145"},{"id":17,"name":"Train ID","value":"310-28"},{"id":16,"name":"Locomotive ID","value":"4021"},{"id":130,"name":"Impact","value":""},{"id":150,"name":"Time of Event (Mountain Time)","value":"04:39:05"},{"id":151,"name":"Denver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5" t="str">
        <f t="shared" si="88"/>
        <v>start /low /b %USERPROFILE%\Documents\GitHub\eaglep3\Utilities\DownloadLogsFromS3.py --loco 4021 --day 2017-04-28</v>
      </c>
      <c r="AN215" s="154" t="str">
        <f t="shared" si="89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10:39:05"},{"id":29,"name":"Sharepoint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6" spans="1:91" x14ac:dyDescent="0.25">
      <c r="A216" s="32" t="s">
        <v>546</v>
      </c>
      <c r="B216" s="7">
        <v>4046</v>
      </c>
      <c r="C216" s="21" t="s">
        <v>211</v>
      </c>
      <c r="D216" s="21" t="s">
        <v>570</v>
      </c>
      <c r="E216" s="13">
        <v>42853.089328703703</v>
      </c>
      <c r="F216" s="13">
        <v>42853.092303240737</v>
      </c>
      <c r="G216" s="7">
        <v>1</v>
      </c>
      <c r="H216" s="21" t="s">
        <v>425</v>
      </c>
      <c r="I216" s="13">
        <v>42853.099733796298</v>
      </c>
      <c r="J216" s="7">
        <v>0</v>
      </c>
      <c r="K216" s="92" t="str">
        <f t="shared" si="74"/>
        <v>4045/4046</v>
      </c>
      <c r="L216" s="21" t="str">
        <f>VLOOKUP(A216,'Trips&amp;Operators'!$C$1:$G$99999,5,FALSE)</f>
        <v>SWANSON BRYCE</v>
      </c>
      <c r="M216" s="6">
        <f t="shared" si="75"/>
        <v>7.4305555608589202E-3</v>
      </c>
      <c r="N216" s="7">
        <f t="shared" si="72"/>
        <v>10.700000007636845</v>
      </c>
      <c r="O216" s="7"/>
      <c r="P216" s="7"/>
      <c r="Q216" s="22"/>
      <c r="R216" s="190"/>
      <c r="S216" s="196">
        <f t="shared" si="73"/>
        <v>1</v>
      </c>
      <c r="T216" s="190" t="str">
        <f t="shared" si="76"/>
        <v>NorthBound</v>
      </c>
      <c r="U216" s="190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91" t="str">
        <f t="shared" si="77"/>
        <v>https://d0f6bd738d7f1b3e5a7ca70fe4ff75f0.us-east-1.aws.found.io/app/kibana#/discover/Steve-Slow-Train-Analysis-(2080s-and-2083s)?_g=(refreshInterval:(display:Off,pause:!f,section:0,value:0),time:(from:'2017-04-28T01:08:38-0600',mode:absolute,to:'2017-04-28T03:23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16" s="192" t="str">
        <f t="shared" si="78"/>
        <v>Y</v>
      </c>
      <c r="X216" s="192">
        <f t="shared" si="71"/>
        <v>3</v>
      </c>
      <c r="Y216" s="192">
        <f t="shared" si="79"/>
        <v>5.3100000000000001E-2</v>
      </c>
      <c r="Z216" s="192">
        <f t="shared" si="80"/>
        <v>2.3346</v>
      </c>
      <c r="AA216" s="192">
        <f t="shared" si="81"/>
        <v>2.2814999999999999</v>
      </c>
      <c r="AB216" s="57" t="e">
        <f>VLOOKUP(A216,Enforcements!$C$7:$K$13,8,0)</f>
        <v>#N/A</v>
      </c>
      <c r="AC216" s="53" t="e">
        <f>VLOOKUP(A216,Enforcements!$C$7:$E$13,3,0)</f>
        <v>#N/A</v>
      </c>
      <c r="AD216" s="54" t="str">
        <f t="shared" si="82"/>
        <v>0313-27</v>
      </c>
      <c r="AE216" s="80" t="str">
        <f t="shared" si="83"/>
        <v>aws s3 cp s3://rtdc.mdm.uploadarchive.raw/RTDC4046/ "%USERPROFILE%\AppData\Local\Temp\OnboardLogs"\RTDC4046\2017-04-28 --exclude "*" --recursive --include "*20170428*" &amp; "%USERPROFILE%\Documents\GitHub\mrs-test-scripts\Headless Mode &amp; Sideloading\WalkAndUnGZ.bat" "%USERPROFILE%\AppData\Local\Temp\OnboardLogs"\RTDC4046\2017-04-28 &amp; aws s3 cp s3://rtdc.mdm.uploadarchive.raw/RTDC4046/ "%USERPROFILE%\AppData\Local\Temp\OnboardLogs"\RTDC4046\2017-04-29 --exclude "*" --recursive --include "*20170429*" &amp; "%USERPROFILE%\Documents\GitHub\mrs-test-scripts\Headless Mode &amp; Sideloading\WalkAndUnGZ.bat" "%USERPROFILE%\AppData\Local\Temp\OnboardLogs"\RTDC4046\2017-04-29</v>
      </c>
      <c r="AF216" s="77" t="str">
        <f t="shared" si="84"/>
        <v>"C:\Program Files (x86)\AstroGrep\AstroGrep.exe" /e /r /s /spath="%USERPROFILE%\AppData\Local\Temp\OnboardLogs" /stypes="app*4046*20170428*" /stext=" 08:.+((SYSTEM_STATE.+slice.+state.+changed )|(ment ac)|(multiple cpu faults)|(system.+state.+changed )|(\[timeout)|(PRM\|1\|D)|(kpr)|(kdp)|(train.+moving)|(\|lc)|(penalty))"</v>
      </c>
      <c r="AG216" s="1" t="str">
        <f t="shared" si="85"/>
        <v>Other</v>
      </c>
      <c r="AH216" s="81" t="str">
        <f t="shared" si="86"/>
        <v>"%USERPROFILE%\Documents\GitHub\eaglep3\Utilities\RefineRTDCRunTimes.py" --tripid 313-27 --locoid 4046 --swversion DE.1.0.9.0 --startMP 204:531 --initTime 2017-04-28T02:08:38 --startdatetime 2017-04-28T02:12:55 --delay 1 --endMP 300:23346 --enddatetime 2017-04-28T02:23:37 --enforcementcount 0 &gt;&gt;C:\Users\stu\Documents\GitHub\eaglep3-reporting\EC\2017-04-28-refined-times.txt</v>
      </c>
      <c r="AI216" s="99" t="str">
        <f t="shared" si="87"/>
        <v>echo {"issue":{"subject":"","project_id":79,"tracker_id":40,"status_id":1,"priority_id":2,"assigned_to_id":23,"start_date":"2017-04-28","description":"","custom_fields":[{"id":1,"name":"Subdivision","value":"Other"},{"id":4,"name":"Milepost","value":"2.3346"},{"id":17,"name":"Train ID","value":"313-27"},{"id":16,"name":"Locomotive ID","value":"4046"},{"id":130,"name":"Impact","value":""},{"id":150,"name":"Time of Event (Mountain Time)","value":"02:23:37"},{"id":151,"name":"Denver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5" t="str">
        <f t="shared" si="88"/>
        <v>start /low /b %USERPROFILE%\Documents\GitHub\eaglep3\Utilities\DownloadLogsFromS3.py --loco 4046 --day 2017-04-28</v>
      </c>
      <c r="AN216" s="154" t="str">
        <f t="shared" si="89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08:23:37"},{"id":29,"name":"Sharepoint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7" spans="1:91" x14ac:dyDescent="0.25">
      <c r="A217" s="32" t="s">
        <v>839</v>
      </c>
      <c r="B217" s="7">
        <v>4064</v>
      </c>
      <c r="C217" s="21" t="s">
        <v>211</v>
      </c>
      <c r="D217" s="21" t="s">
        <v>442</v>
      </c>
      <c r="E217" s="13">
        <v>42854.090960648151</v>
      </c>
      <c r="F217" s="13">
        <v>42854.092905092592</v>
      </c>
      <c r="G217" s="7">
        <v>1</v>
      </c>
      <c r="H217" s="21" t="s">
        <v>936</v>
      </c>
      <c r="I217" s="13">
        <v>42854.101226851853</v>
      </c>
      <c r="J217" s="7">
        <v>0</v>
      </c>
      <c r="K217" s="92" t="str">
        <f t="shared" si="74"/>
        <v>4063/4064</v>
      </c>
      <c r="L217" s="21" t="str">
        <f>VLOOKUP(A217,'Trips&amp;Operators'!$C$1:$G$99999,5,FALSE)</f>
        <v>SWANSON BRYCE</v>
      </c>
      <c r="M217" s="6">
        <f t="shared" si="75"/>
        <v>8.3217592618893832E-3</v>
      </c>
      <c r="N217" s="7">
        <f t="shared" si="72"/>
        <v>11.983333337120712</v>
      </c>
      <c r="O217" s="7"/>
      <c r="P217" s="7"/>
      <c r="Q217" s="22"/>
      <c r="R217" s="190"/>
      <c r="S217" s="196">
        <f t="shared" si="73"/>
        <v>1</v>
      </c>
      <c r="T217" s="190" t="str">
        <f t="shared" si="76"/>
        <v>NorthBound</v>
      </c>
      <c r="U217" s="190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91" t="str">
        <f t="shared" si="77"/>
        <v>https://d0f6bd738d7f1b3e5a7ca70fe4ff75f0.us-east-1.aws.found.io/app/kibana#/discover/Steve-Slow-Train-Analysis-(2080s-and-2083s)?_g=(refreshInterval:(display:Off,pause:!f,section:0,value:0),time:(from:'2017-04-29T01:10:59-0600',mode:absolute,to:'2017-04-29T03:25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17" s="192" t="str">
        <f t="shared" si="78"/>
        <v>Y</v>
      </c>
      <c r="X217" s="192">
        <f t="shared" si="71"/>
        <v>0</v>
      </c>
      <c r="Y217" s="192">
        <f t="shared" si="79"/>
        <v>4.3099999999999999E-2</v>
      </c>
      <c r="Z217" s="192">
        <f t="shared" si="80"/>
        <v>2.3313999999999999</v>
      </c>
      <c r="AA217" s="192">
        <f t="shared" si="81"/>
        <v>2.2883</v>
      </c>
      <c r="AB217" s="57" t="e">
        <f>VLOOKUP(A217,Enforcements!$C$7:$K$13,8,0)</f>
        <v>#N/A</v>
      </c>
      <c r="AC217" s="53" t="e">
        <f>VLOOKUP(A217,Enforcements!$C$7:$E$13,3,0)</f>
        <v>#N/A</v>
      </c>
      <c r="AD217" s="54" t="str">
        <f t="shared" si="82"/>
        <v>0313-28</v>
      </c>
      <c r="AE217" s="80" t="str">
        <f t="shared" si="83"/>
        <v>aws s3 cp s3://rtdc.mdm.uploadarchive.raw/RTDC4064/ "%USERPROFILE%\AppData\Local\Temp\OnboardLogs"\RTDC4064\2017-04-29 --exclude "*" --recursive --include "*20170429*" &amp; "%USERPROFILE%\Documents\GitHub\mrs-test-scripts\Headless Mode &amp; Sideloading\WalkAndUnGZ.bat" "%USERPROFILE%\AppData\Local\Temp\OnboardLogs"\RTDC4064\2017-04-29 &amp; aws s3 cp s3://rtdc.mdm.uploadarchive.raw/RTDC4064/ "%USERPROFILE%\AppData\Local\Temp\OnboardLogs"\RTDC4064\2017-04-30 --exclude "*" --recursive --include "*20170430*" &amp; "%USERPROFILE%\Documents\GitHub\mrs-test-scripts\Headless Mode &amp; Sideloading\WalkAndUnGZ.bat" "%USERPROFILE%\AppData\Local\Temp\OnboardLogs"\RTDC4064\2017-04-30</v>
      </c>
      <c r="AF217" s="77" t="str">
        <f t="shared" si="84"/>
        <v>"C:\Program Files (x86)\AstroGrep\AstroGrep.exe" /e /r /s /spath="%USERPROFILE%\AppData\Local\Temp\OnboardLogs" /stypes="app*4064*20170429*" /stext=" 08:.+((SYSTEM_STATE.+slice.+state.+changed )|(ment ac)|(multiple cpu faults)|(system.+state.+changed )|(\[timeout)|(PRM\|1\|D)|(kpr)|(kdp)|(train.+moving)|(\|lc)|(penalty))"</v>
      </c>
      <c r="AG217" s="1" t="str">
        <f t="shared" si="85"/>
        <v>Other</v>
      </c>
      <c r="AH217" s="81" t="str">
        <f t="shared" si="86"/>
        <v>"%USERPROFILE%\Documents\GitHub\eaglep3\Utilities\RefineRTDCRunTimes.py" --tripid 313-28 --locoid 4064 --swversion DE.1.0.9.0 --startMP 204:431 --initTime 2017-04-29T02:10:59 --startdatetime 2017-04-29T02:13:47 --delay 1 --endMP 300:23314 --enddatetime 2017-04-29T02:25:46 --enforcementcount 0 &gt;&gt;C:\Users\stu\Documents\GitHub\eaglep3-reporting\EC\2017-04-28-refined-times.txt</v>
      </c>
      <c r="AI217" s="99" t="str">
        <f t="shared" si="87"/>
        <v>echo {"issue":{"subject":"","project_id":79,"tracker_id":40,"status_id":1,"priority_id":2,"assigned_to_id":23,"start_date":"2017-04-29","description":"","custom_fields":[{"id":1,"name":"Subdivision","value":"Other"},{"id":4,"name":"Milepost","value":"2.3314"},{"id":17,"name":"Train ID","value":"313-28"},{"id":16,"name":"Locomotive ID","value":"4064"},{"id":130,"name":"Impact","value":""},{"id":150,"name":"Time of Event (Mountain Time)","value":"02:25:46"},{"id":151,"name":"Denver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5" t="str">
        <f t="shared" si="88"/>
        <v>start /low /b %USERPROFILE%\Documents\GitHub\eaglep3\Utilities\DownloadLogsFromS3.py --loco 4064 --day 2017-04-29</v>
      </c>
      <c r="AN217" s="154" t="str">
        <f t="shared" si="89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08:25:46"},{"id":29,"name":"Sharepoint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8" spans="1:91" x14ac:dyDescent="0.25">
      <c r="A218" s="32" t="s">
        <v>841</v>
      </c>
      <c r="B218" s="7">
        <v>4042</v>
      </c>
      <c r="C218" s="21" t="s">
        <v>211</v>
      </c>
      <c r="D218" s="21" t="s">
        <v>557</v>
      </c>
      <c r="E218" s="13">
        <v>42854.111678240741</v>
      </c>
      <c r="F218" s="13">
        <v>42854.113506944443</v>
      </c>
      <c r="G218" s="7">
        <v>1</v>
      </c>
      <c r="H218" s="21" t="s">
        <v>943</v>
      </c>
      <c r="I218" s="13">
        <v>42854.119513888887</v>
      </c>
      <c r="J218" s="7">
        <v>0</v>
      </c>
      <c r="K218" s="92" t="str">
        <f t="shared" si="74"/>
        <v>4041/4042</v>
      </c>
      <c r="L218" s="21" t="str">
        <f>VLOOKUP(A218,'Trips&amp;Operators'!$C$1:$G$99999,5,FALSE)</f>
        <v>SAFIEF AEIMEN</v>
      </c>
      <c r="M218" s="6">
        <f t="shared" si="75"/>
        <v>6.0069444443797693E-3</v>
      </c>
      <c r="N218" s="7">
        <f t="shared" si="72"/>
        <v>8.6499999999068677</v>
      </c>
      <c r="O218" s="7"/>
      <c r="P218" s="7"/>
      <c r="Q218" s="22"/>
      <c r="R218" s="190"/>
      <c r="S218" s="196">
        <f t="shared" si="73"/>
        <v>1</v>
      </c>
      <c r="T218" s="190" t="str">
        <f t="shared" si="76"/>
        <v>NorthBound</v>
      </c>
      <c r="U218" s="190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91" t="str">
        <f t="shared" si="77"/>
        <v>https://d0f6bd738d7f1b3e5a7ca70fe4ff75f0.us-east-1.aws.found.io/app/kibana#/discover/Steve-Slow-Train-Analysis-(2080s-and-2083s)?_g=(refreshInterval:(display:Off,pause:!f,section:0,value:0),time:(from:'2017-04-29T01:40:49-0600',mode:absolute,to:'2017-04-29T03:52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8" s="192" t="str">
        <f t="shared" si="78"/>
        <v>Y</v>
      </c>
      <c r="X218" s="192">
        <f t="shared" si="71"/>
        <v>2</v>
      </c>
      <c r="Y218" s="192">
        <f t="shared" si="79"/>
        <v>4.4699999999999997E-2</v>
      </c>
      <c r="Z218" s="192">
        <f t="shared" si="80"/>
        <v>2.3090999999999999</v>
      </c>
      <c r="AA218" s="192">
        <f t="shared" si="81"/>
        <v>2.2643999999999997</v>
      </c>
      <c r="AB218" s="57" t="e">
        <f>VLOOKUP(A218,Enforcements!$C$7:$K$13,8,0)</f>
        <v>#N/A</v>
      </c>
      <c r="AC218" s="53" t="e">
        <f>VLOOKUP(A218,Enforcements!$C$7:$E$13,3,0)</f>
        <v>#N/A</v>
      </c>
      <c r="AD218" s="54" t="str">
        <f t="shared" si="82"/>
        <v>0315-28</v>
      </c>
      <c r="AE218" s="80" t="str">
        <f t="shared" si="83"/>
        <v>aws s3 cp s3://rtdc.mdm.uploadarchive.raw/RTDC4042/ "%USERPROFILE%\AppData\Local\Temp\OnboardLogs"\RTDC4042\2017-04-29 --exclude "*" --recursive --include "*20170429*" &amp; "%USERPROFILE%\Documents\GitHub\mrs-test-scripts\Headless Mode &amp; Sideloading\WalkAndUnGZ.bat" "%USERPROFILE%\AppData\Local\Temp\OnboardLogs"\RTDC4042\2017-04-29 &amp; aws s3 cp s3://rtdc.mdm.uploadarchive.raw/RTDC4042/ "%USERPROFILE%\AppData\Local\Temp\OnboardLogs"\RTDC4042\2017-04-30 --exclude "*" --recursive --include "*20170430*" &amp; "%USERPROFILE%\Documents\GitHub\mrs-test-scripts\Headless Mode &amp; Sideloading\WalkAndUnGZ.bat" "%USERPROFILE%\AppData\Local\Temp\OnboardLogs"\RTDC4042\2017-04-30</v>
      </c>
      <c r="AF218" s="77" t="str">
        <f t="shared" si="84"/>
        <v>"C:\Program Files (x86)\AstroGrep\AstroGrep.exe" /e /r /s /spath="%USERPROFILE%\AppData\Local\Temp\OnboardLogs" /stypes="app*4042*20170429*" /stext=" 08:.+((SYSTEM_STATE.+slice.+state.+changed )|(ment ac)|(multiple cpu faults)|(system.+state.+changed )|(\[timeout)|(PRM\|1\|D)|(kpr)|(kdp)|(train.+moving)|(\|lc)|(penalty))"</v>
      </c>
      <c r="AG218" s="1" t="str">
        <f t="shared" si="85"/>
        <v>Other</v>
      </c>
      <c r="AH218" s="81" t="str">
        <f t="shared" si="86"/>
        <v>"%USERPROFILE%\Documents\GitHub\eaglep3\Utilities\RefineRTDCRunTimes.py" --tripid 315-28 --locoid 4042 --swversion DE.1.0.9.0 --startMP 204:447 --initTime 2017-04-29T02:40:49 --startdatetime 2017-04-29T02:43:27 --delay 1 --endMP 300:23091 --enddatetime 2017-04-29T02:52:06 --enforcementcount 0 &gt;&gt;C:\Users\stu\Documents\GitHub\eaglep3-reporting\EC\2017-04-28-refined-times.txt</v>
      </c>
      <c r="AI218" s="99" t="str">
        <f t="shared" si="87"/>
        <v>echo {"issue":{"subject":"","project_id":79,"tracker_id":40,"status_id":1,"priority_id":2,"assigned_to_id":23,"start_date":"2017-04-29","description":"","custom_fields":[{"id":1,"name":"Subdivision","value":"Other"},{"id":4,"name":"Milepost","value":"2.3091"},{"id":17,"name":"Train ID","value":"315-28"},{"id":16,"name":"Locomotive ID","value":"4042"},{"id":130,"name":"Impact","value":""},{"id":150,"name":"Time of Event (Mountain Time)","value":"02:52:06"},{"id":151,"name":"Denver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5" t="str">
        <f t="shared" si="88"/>
        <v>start /low /b %USERPROFILE%\Documents\GitHub\eaglep3\Utilities\DownloadLogsFromS3.py --loco 4042 --day 2017-04-29</v>
      </c>
      <c r="AN218" s="154" t="str">
        <f t="shared" si="89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08:52:06"},{"id":29,"name":"Sharepoint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9" spans="1:91" x14ac:dyDescent="0.25">
      <c r="A219" s="32" t="s">
        <v>659</v>
      </c>
      <c r="B219" s="7">
        <v>4018</v>
      </c>
      <c r="C219" s="21" t="s">
        <v>211</v>
      </c>
      <c r="D219" s="21" t="s">
        <v>1007</v>
      </c>
      <c r="E219" s="13">
        <v>42853.19809027778</v>
      </c>
      <c r="F219" s="13">
        <v>42853.203530092593</v>
      </c>
      <c r="G219" s="7">
        <v>7</v>
      </c>
      <c r="H219" s="21" t="s">
        <v>1008</v>
      </c>
      <c r="I219" s="13">
        <v>42853.20988425926</v>
      </c>
      <c r="J219" s="7">
        <v>0</v>
      </c>
      <c r="K219" s="92" t="str">
        <f t="shared" si="74"/>
        <v>4017/4018</v>
      </c>
      <c r="L219" s="21" t="str">
        <f>VLOOKUP(A219,'Trips&amp;Operators'!$C$1:$G$99999,5,FALSE)</f>
        <v>ZEWDU DEREJE</v>
      </c>
      <c r="M219" s="6">
        <f t="shared" si="75"/>
        <v>6.3541666677338071E-3</v>
      </c>
      <c r="N219" s="7">
        <f t="shared" si="72"/>
        <v>9.1500000015366822</v>
      </c>
      <c r="O219" s="7"/>
      <c r="P219" s="7"/>
      <c r="Q219" s="22"/>
      <c r="R219" s="190"/>
      <c r="S219" s="196">
        <f t="shared" si="73"/>
        <v>0</v>
      </c>
      <c r="T219" s="190" t="str">
        <f t="shared" si="76"/>
        <v>NorthBound</v>
      </c>
      <c r="U219" s="190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91" t="str">
        <f t="shared" si="77"/>
        <v>https://d0f6bd738d7f1b3e5a7ca70fe4ff75f0.us-east-1.aws.found.io/app/kibana#/discover/Steve-Slow-Train-Analysis-(2080s-and-2083s)?_g=(refreshInterval:(display:Off,pause:!f,section:0,value:0),time:(from:'2017-04-28T03:45:15-0600',mode:absolute,to:'2017-04-28T06:02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19" s="192" t="str">
        <f t="shared" si="78"/>
        <v>Y</v>
      </c>
      <c r="X219" s="192">
        <f t="shared" si="71"/>
        <v>586</v>
      </c>
      <c r="Y219" s="192">
        <f t="shared" si="79"/>
        <v>2.9788000000000001</v>
      </c>
      <c r="Z219" s="192">
        <f t="shared" si="80"/>
        <v>5.8986000000000001</v>
      </c>
      <c r="AA219" s="192">
        <f t="shared" si="81"/>
        <v>2.9198</v>
      </c>
      <c r="AB219" s="57" t="e">
        <f>VLOOKUP(A219,Enforcements!$C$7:$K$13,8,0)</f>
        <v>#N/A</v>
      </c>
      <c r="AC219" s="53" t="e">
        <f>VLOOKUP(A219,Enforcements!$C$7:$E$13,3,0)</f>
        <v>#N/A</v>
      </c>
      <c r="AD219" s="54" t="str">
        <f t="shared" si="82"/>
        <v>0901-28</v>
      </c>
      <c r="AE219" s="80" t="str">
        <f t="shared" si="83"/>
        <v>aws s3 cp s3://rtdc.mdm.uploadarchive.raw/RTDC4018/ "%USERPROFILE%\AppData\Local\Temp\OnboardLogs"\RTDC4018\2017-04-28 --exclude "*" --recursive --include "*20170428*" &amp; "%USERPROFILE%\Documents\GitHub\mrs-test-scripts\Headless Mode &amp; Sideloading\WalkAndUnGZ.bat" "%USERPROFILE%\AppData\Local\Temp\OnboardLogs"\RTDC4018\2017-04-28 &amp; aws s3 cp s3://rtdc.mdm.uploadarchive.raw/RTDC4018/ "%USERPROFILE%\AppData\Local\Temp\OnboardLogs"\RTDC4018\2017-04-29 --exclude "*" --recursive --include "*20170429*" &amp; "%USERPROFILE%\Documents\GitHub\mrs-test-scripts\Headless Mode &amp; Sideloading\WalkAndUnGZ.bat" "%USERPROFILE%\AppData\Local\Temp\OnboardLogs"\RTDC4018\2017-04-29</v>
      </c>
      <c r="AF219" s="77" t="str">
        <f t="shared" si="84"/>
        <v>"C:\Program Files (x86)\AstroGrep\AstroGrep.exe" /e /r /s /spath="%USERPROFILE%\AppData\Local\Temp\OnboardLogs" /stypes="app*4018*20170428*" /stext=" 11:.+((SYSTEM_STATE.+slice.+state.+changed )|(ment ac)|(multiple cpu faults)|(system.+state.+changed )|(\[timeout)|(PRM\|1\|D)|(kpr)|(kdp)|(train.+moving)|(\|lc)|(penalty))"</v>
      </c>
      <c r="AG219" s="1" t="str">
        <f t="shared" si="85"/>
        <v>Other</v>
      </c>
      <c r="AH219" s="81" t="str">
        <f t="shared" si="86"/>
        <v>"%USERPROFILE%\Documents\GitHub\eaglep3\Utilities\RefineRTDCRunTimes.py" --tripid 901-28 --locoid 4018 --swversion DE.1.0.9.0 --startMP 300:29788 --initTime 2017-04-28T04:45:15 --startdatetime 2017-04-28T04:53:05 --delay 7 --endMP 300:58986 --enddatetime 2017-04-28T05:02:14 --enforcementcount 0 &gt;&gt;C:\Users\stu\Documents\GitHub\eaglep3-reporting\EC\2017-04-28-refined-times.txt</v>
      </c>
      <c r="AI219" s="99" t="str">
        <f t="shared" si="87"/>
        <v>echo {"issue":{"subject":"","project_id":79,"tracker_id":40,"status_id":1,"priority_id":2,"assigned_to_id":23,"start_date":"2017-04-28","description":"","custom_fields":[{"id":1,"name":"Subdivision","value":"Other"},{"id":4,"name":"Milepost","value":"5.8986"},{"id":17,"name":"Train ID","value":"901-28"},{"id":16,"name":"Locomotive ID","value":"4018"},{"id":130,"name":"Impact","value":""},{"id":150,"name":"Time of Event (Mountain Time)","value":"05:02:14"},{"id":151,"name":"Denver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5" t="str">
        <f t="shared" si="88"/>
        <v>start /low /b %USERPROFILE%\Documents\GitHub\eaglep3\Utilities\DownloadLogsFromS3.py --loco 4018 --day 2017-04-28</v>
      </c>
      <c r="AN219" s="154" t="str">
        <f t="shared" si="89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11:02:14"},{"id":29,"name":"Sharepoint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0" spans="1:91" x14ac:dyDescent="0.25">
      <c r="A220" s="32" t="s">
        <v>669</v>
      </c>
      <c r="B220" s="7">
        <v>4011</v>
      </c>
      <c r="C220" s="21" t="s">
        <v>211</v>
      </c>
      <c r="D220" s="21" t="s">
        <v>1009</v>
      </c>
      <c r="E220" s="13">
        <v>42853.246180555558</v>
      </c>
      <c r="F220" s="13">
        <v>42853.249155092592</v>
      </c>
      <c r="G220" s="7">
        <v>4</v>
      </c>
      <c r="H220" s="21" t="s">
        <v>1010</v>
      </c>
      <c r="I220" s="13">
        <v>42853.253877314812</v>
      </c>
      <c r="J220" s="7">
        <v>0</v>
      </c>
      <c r="K220" s="92" t="str">
        <f t="shared" si="74"/>
        <v>4011/4012</v>
      </c>
      <c r="L220" s="21" t="str">
        <f>VLOOKUP(A220,'Trips&amp;Operators'!$C$1:$G$99999,5,FALSE)</f>
        <v>BEAM ROSS</v>
      </c>
      <c r="M220" s="6">
        <f t="shared" si="75"/>
        <v>4.7222222201526165E-3</v>
      </c>
      <c r="N220" s="7">
        <f t="shared" si="72"/>
        <v>6.7999999970197678</v>
      </c>
      <c r="O220" s="7"/>
      <c r="P220" s="7"/>
      <c r="Q220" s="22"/>
      <c r="R220" s="190"/>
      <c r="S220" s="196">
        <f t="shared" si="73"/>
        <v>1</v>
      </c>
      <c r="T220" s="190" t="str">
        <f t="shared" si="76"/>
        <v>Southbound</v>
      </c>
      <c r="U220" s="190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191" t="str">
        <f t="shared" si="77"/>
        <v>https://d0f6bd738d7f1b3e5a7ca70fe4ff75f0.us-east-1.aws.found.io/app/kibana#/discover/Steve-Slow-Train-Analysis-(2080s-and-2083s)?_g=(refreshInterval:(display:Off,pause:!f,section:0,value:0),time:(from:'2017-04-28T04:54:30-0600',mode:absolute,to:'2017-04-28T07:05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20" s="192" t="str">
        <f t="shared" si="78"/>
        <v>Y</v>
      </c>
      <c r="X220" s="192">
        <f t="shared" si="71"/>
        <v>1</v>
      </c>
      <c r="Y220" s="192">
        <f t="shared" si="79"/>
        <v>2.2159</v>
      </c>
      <c r="Z220" s="192">
        <f t="shared" si="80"/>
        <v>7.3800000000000004E-2</v>
      </c>
      <c r="AA220" s="192">
        <f t="shared" si="81"/>
        <v>2.1421000000000001</v>
      </c>
      <c r="AB220" s="57" t="e">
        <f>VLOOKUP(A220,Enforcements!$C$7:$K$13,8,0)</f>
        <v>#N/A</v>
      </c>
      <c r="AC220" s="53" t="e">
        <f>VLOOKUP(A220,Enforcements!$C$7:$E$13,3,0)</f>
        <v>#N/A</v>
      </c>
      <c r="AD220" s="54" t="str">
        <f t="shared" si="82"/>
        <v>0902-28</v>
      </c>
      <c r="AE220" s="80" t="str">
        <f t="shared" si="83"/>
        <v>aws s3 cp s3://rtdc.mdm.uploadarchive.raw/RTDC4011/ "%USERPROFILE%\AppData\Local\Temp\OnboardLogs"\RTDC4011\2017-04-28 --exclude "*" --recursive --include "*20170428*" &amp; "%USERPROFILE%\Documents\GitHub\mrs-test-scripts\Headless Mode &amp; Sideloading\WalkAndUnGZ.bat" "%USERPROFILE%\AppData\Local\Temp\OnboardLogs"\RTDC4011\2017-04-28 &amp; aws s3 cp s3://rtdc.mdm.uploadarchive.raw/RTDC4011/ "%USERPROFILE%\AppData\Local\Temp\OnboardLogs"\RTDC4011\2017-04-29 --exclude "*" --recursive --include "*20170429*" &amp; "%USERPROFILE%\Documents\GitHub\mrs-test-scripts\Headless Mode &amp; Sideloading\WalkAndUnGZ.bat" "%USERPROFILE%\AppData\Local\Temp\OnboardLogs"\RTDC4011\2017-04-29</v>
      </c>
      <c r="AF220" s="77" t="str">
        <f t="shared" si="84"/>
        <v>"C:\Program Files (x86)\AstroGrep\AstroGrep.exe" /e /r /s /spath="%USERPROFILE%\AppData\Local\Temp\OnboardLogs" /stypes="app*4011*20170428*" /stext=" 12:.+((SYSTEM_STATE.+slice.+state.+changed )|(ment ac)|(multiple cpu faults)|(system.+state.+changed )|(\[timeout)|(PRM\|1\|D)|(kpr)|(kdp)|(train.+moving)|(\|lc)|(penalty))"</v>
      </c>
      <c r="AG220" s="1" t="str">
        <f t="shared" si="85"/>
        <v>Other</v>
      </c>
      <c r="AH220" s="81" t="str">
        <f t="shared" si="86"/>
        <v>"%USERPROFILE%\Documents\GitHub\eaglep3\Utilities\RefineRTDCRunTimes.py" --tripid 902-28 --locoid 4011 --swversion DE.1.0.9.0 --startMP 300:22159 --initTime 2017-04-28T05:54:30 --startdatetime 2017-04-28T05:58:47 --delay 4 --endMP 204:738 --enddatetime 2017-04-28T06:05:35 --enforcementcount 0 &gt;&gt;C:\Users\stu\Documents\GitHub\eaglep3-reporting\EC\2017-04-28-refined-times.txt</v>
      </c>
      <c r="AI220" s="99" t="str">
        <f t="shared" si="87"/>
        <v>echo {"issue":{"subject":"","project_id":79,"tracker_id":40,"status_id":1,"priority_id":2,"assigned_to_id":23,"start_date":"2017-04-28","description":"","custom_fields":[{"id":1,"name":"Subdivision","value":"Other"},{"id":4,"name":"Milepost","value":"0.0738"},{"id":17,"name":"Train ID","value":"902-28"},{"id":16,"name":"Locomotive ID","value":"4011"},{"id":130,"name":"Impact","value":""},{"id":150,"name":"Time of Event (Mountain Time)","value":"06:05:35"},{"id":151,"name":"Denver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5" t="str">
        <f t="shared" si="88"/>
        <v>start /low /b %USERPROFILE%\Documents\GitHub\eaglep3\Utilities\DownloadLogsFromS3.py --loco 4011 --day 2017-04-28</v>
      </c>
      <c r="AN220" s="154" t="str">
        <f t="shared" si="89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12:05:35"},{"id":29,"name":"Sharepoint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1" spans="1:91" x14ac:dyDescent="0.25">
      <c r="A221" s="32" t="s">
        <v>699</v>
      </c>
      <c r="B221" s="7">
        <v>4018</v>
      </c>
      <c r="C221" s="21" t="s">
        <v>211</v>
      </c>
      <c r="D221" s="21" t="s">
        <v>1011</v>
      </c>
      <c r="E221" s="13">
        <v>42853.353460648148</v>
      </c>
      <c r="F221" s="13">
        <v>42853.355347222219</v>
      </c>
      <c r="G221" s="7">
        <v>1</v>
      </c>
      <c r="H221" s="21" t="s">
        <v>1012</v>
      </c>
      <c r="I221" s="13">
        <v>42853.365023148152</v>
      </c>
      <c r="J221" s="7">
        <v>0</v>
      </c>
      <c r="K221" s="92" t="str">
        <f t="shared" si="74"/>
        <v>4017/4018</v>
      </c>
      <c r="L221" s="21" t="str">
        <f>VLOOKUP(A221,'Trips&amp;Operators'!$C$1:$G$99999,5,FALSE)</f>
        <v>ZEWDU DEREJE</v>
      </c>
      <c r="M221" s="6">
        <f t="shared" si="75"/>
        <v>9.6759259322425351E-3</v>
      </c>
      <c r="N221" s="7">
        <f t="shared" si="72"/>
        <v>13.93333334242925</v>
      </c>
      <c r="O221" s="7"/>
      <c r="P221" s="7"/>
      <c r="Q221" s="22"/>
      <c r="R221" s="190"/>
      <c r="S221" s="196">
        <f t="shared" si="73"/>
        <v>1</v>
      </c>
      <c r="T221" s="190" t="str">
        <f t="shared" si="76"/>
        <v>NorthBound</v>
      </c>
      <c r="U221" s="190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191" t="str">
        <f t="shared" si="77"/>
        <v>https://d0f6bd738d7f1b3e5a7ca70fe4ff75f0.us-east-1.aws.found.io/app/kibana#/discover/Steve-Slow-Train-Analysis-(2080s-and-2083s)?_g=(refreshInterval:(display:Off,pause:!f,section:0,value:0),time:(from:'2017-04-28T07:28:59-0600',mode:absolute,to:'2017-04-28T09:45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21" s="192" t="str">
        <f t="shared" si="78"/>
        <v>Y</v>
      </c>
      <c r="X221" s="192">
        <f t="shared" si="71"/>
        <v>1</v>
      </c>
      <c r="Y221" s="192">
        <f t="shared" si="79"/>
        <v>3.9899999999999998E-2</v>
      </c>
      <c r="Z221" s="192">
        <f t="shared" si="80"/>
        <v>2.4207000000000001</v>
      </c>
      <c r="AA221" s="192">
        <f t="shared" si="81"/>
        <v>2.3808000000000002</v>
      </c>
      <c r="AB221" s="57" t="e">
        <f>VLOOKUP(A221,Enforcements!$C$7:$K$13,8,0)</f>
        <v>#N/A</v>
      </c>
      <c r="AC221" s="53" t="e">
        <f>VLOOKUP(A221,Enforcements!$C$7:$E$13,3,0)</f>
        <v>#N/A</v>
      </c>
      <c r="AD221" s="54" t="str">
        <f t="shared" si="82"/>
        <v>0903-28</v>
      </c>
      <c r="AE221" s="80" t="str">
        <f t="shared" si="83"/>
        <v>aws s3 cp s3://rtdc.mdm.uploadarchive.raw/RTDC4018/ "%USERPROFILE%\AppData\Local\Temp\OnboardLogs"\RTDC4018\2017-04-28 --exclude "*" --recursive --include "*20170428*" &amp; "%USERPROFILE%\Documents\GitHub\mrs-test-scripts\Headless Mode &amp; Sideloading\WalkAndUnGZ.bat" "%USERPROFILE%\AppData\Local\Temp\OnboardLogs"\RTDC4018\2017-04-28 &amp; aws s3 cp s3://rtdc.mdm.uploadarchive.raw/RTDC4018/ "%USERPROFILE%\AppData\Local\Temp\OnboardLogs"\RTDC4018\2017-04-29 --exclude "*" --recursive --include "*20170429*" &amp; "%USERPROFILE%\Documents\GitHub\mrs-test-scripts\Headless Mode &amp; Sideloading\WalkAndUnGZ.bat" "%USERPROFILE%\AppData\Local\Temp\OnboardLogs"\RTDC4018\2017-04-29</v>
      </c>
      <c r="AF221" s="77" t="str">
        <f t="shared" si="84"/>
        <v>"C:\Program Files (x86)\AstroGrep\AstroGrep.exe" /e /r /s /spath="%USERPROFILE%\AppData\Local\Temp\OnboardLogs" /stypes="app*4018*20170428*" /stext=" 14:.+((SYSTEM_STATE.+slice.+state.+changed )|(ment ac)|(multiple cpu faults)|(system.+state.+changed )|(\[timeout)|(PRM\|1\|D)|(kpr)|(kdp)|(train.+moving)|(\|lc)|(penalty))"</v>
      </c>
      <c r="AG221" s="1" t="str">
        <f t="shared" si="85"/>
        <v>Other</v>
      </c>
      <c r="AH221" s="81" t="str">
        <f t="shared" si="86"/>
        <v>"%USERPROFILE%\Documents\GitHub\eaglep3\Utilities\RefineRTDCRunTimes.py" --tripid 903-28 --locoid 4018 --swversion DE.1.0.9.0 --startMP 204:399 --initTime 2017-04-28T08:28:59 --startdatetime 2017-04-28T08:31:42 --delay 1 --endMP 300:24207 --enddatetime 2017-04-28T08:45:38 --enforcementcount 0 &gt;&gt;C:\Users\stu\Documents\GitHub\eaglep3-reporting\EC\2017-04-28-refined-times.txt</v>
      </c>
      <c r="AI221" s="99" t="str">
        <f t="shared" si="87"/>
        <v>echo {"issue":{"subject":"","project_id":79,"tracker_id":40,"status_id":1,"priority_id":2,"assigned_to_id":23,"start_date":"2017-04-28","description":"","custom_fields":[{"id":1,"name":"Subdivision","value":"Other"},{"id":4,"name":"Milepost","value":"2.4207"},{"id":17,"name":"Train ID","value":"903-28"},{"id":16,"name":"Locomotive ID","value":"4018"},{"id":130,"name":"Impact","value":""},{"id":150,"name":"Time of Event (Mountain Time)","value":"08:45:38"},{"id":151,"name":"Denver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7"/>
      <c r="AL221" s="47"/>
      <c r="AM221" s="145" t="str">
        <f t="shared" si="88"/>
        <v>start /low /b %USERPROFILE%\Documents\GitHub\eaglep3\Utilities\DownloadLogsFromS3.py --loco 4018 --day 2017-04-28</v>
      </c>
      <c r="AN221" s="154" t="str">
        <f t="shared" si="89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14:45:38"},{"id":29,"name":"Sharepoint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2" spans="1:91" x14ac:dyDescent="0.25">
      <c r="A222" s="32" t="s">
        <v>621</v>
      </c>
      <c r="B222" s="7">
        <v>4017</v>
      </c>
      <c r="C222" s="21" t="s">
        <v>211</v>
      </c>
      <c r="D222" s="21" t="s">
        <v>1013</v>
      </c>
      <c r="E222" s="13">
        <v>42853.638865740744</v>
      </c>
      <c r="F222" s="13">
        <v>42853.641284722224</v>
      </c>
      <c r="G222" s="7">
        <v>3</v>
      </c>
      <c r="H222" s="21" t="s">
        <v>1014</v>
      </c>
      <c r="I222" s="13">
        <v>42853.646874999999</v>
      </c>
      <c r="J222" s="7">
        <v>0</v>
      </c>
      <c r="K222" s="92" t="str">
        <f t="shared" si="74"/>
        <v>4017/4018</v>
      </c>
      <c r="L222" s="21" t="str">
        <f>VLOOKUP(A222,'Trips&amp;Operators'!$C$1:$G$99999,5,FALSE)</f>
        <v>WILLIAMS DONTE</v>
      </c>
      <c r="M222" s="6">
        <f t="shared" si="75"/>
        <v>5.5902777748997323E-3</v>
      </c>
      <c r="N222" s="7">
        <f t="shared" si="72"/>
        <v>8.0499999958556145</v>
      </c>
      <c r="O222" s="7"/>
      <c r="P222" s="7"/>
      <c r="Q222" s="22"/>
      <c r="R222" s="190"/>
      <c r="S222" s="196">
        <f t="shared" si="73"/>
        <v>1</v>
      </c>
      <c r="T222" s="190" t="str">
        <f t="shared" si="76"/>
        <v>Southbound</v>
      </c>
      <c r="U222" s="190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191" t="str">
        <f t="shared" si="77"/>
        <v>https://d0f6bd738d7f1b3e5a7ca70fe4ff75f0.us-east-1.aws.found.io/app/kibana#/discover/Steve-Slow-Train-Analysis-(2080s-and-2083s)?_g=(refreshInterval:(display:Off,pause:!f,section:0,value:0),time:(from:'2017-04-28T14:19:58-0600',mode:absolute,to:'2017-04-28T16:31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22" s="192" t="str">
        <f t="shared" si="78"/>
        <v>Y</v>
      </c>
      <c r="X222" s="192">
        <f t="shared" si="71"/>
        <v>1</v>
      </c>
      <c r="Y222" s="192">
        <f t="shared" si="79"/>
        <v>2.3380999999999998</v>
      </c>
      <c r="Z222" s="192">
        <f t="shared" si="80"/>
        <v>6.3799999999999996E-2</v>
      </c>
      <c r="AA222" s="192">
        <f t="shared" si="81"/>
        <v>2.2742999999999998</v>
      </c>
      <c r="AB222" s="57" t="e">
        <f>VLOOKUP(A222,Enforcements!$C$7:$K$13,8,0)</f>
        <v>#N/A</v>
      </c>
      <c r="AC222" s="53" t="e">
        <f>VLOOKUP(A222,Enforcements!$C$7:$E$13,3,0)</f>
        <v>#N/A</v>
      </c>
      <c r="AD222" s="54" t="str">
        <f t="shared" si="82"/>
        <v>0904-28</v>
      </c>
      <c r="AE222" s="80" t="str">
        <f t="shared" si="83"/>
        <v>aws s3 cp s3://rtdc.mdm.uploadarchive.raw/RTDC4017/ "%USERPROFILE%\AppData\Local\Temp\OnboardLogs"\RTDC4017\2017-04-28 --exclude "*" --recursive --include "*20170428*" &amp; "%USERPROFILE%\Documents\GitHub\mrs-test-scripts\Headless Mode &amp; Sideloading\WalkAndUnGZ.bat" "%USERPROFILE%\AppData\Local\Temp\OnboardLogs"\RTDC4017\2017-04-28 &amp; aws s3 cp s3://rtdc.mdm.uploadarchive.raw/RTDC4017/ "%USERPROFILE%\AppData\Local\Temp\OnboardLogs"\RTDC4017\2017-04-29 --exclude "*" --recursive --include "*20170429*" &amp; "%USERPROFILE%\Documents\GitHub\mrs-test-scripts\Headless Mode &amp; Sideloading\WalkAndUnGZ.bat" "%USERPROFILE%\AppData\Local\Temp\OnboardLogs"\RTDC4017\2017-04-29</v>
      </c>
      <c r="AF222" s="77" t="str">
        <f t="shared" si="84"/>
        <v>"C:\Program Files (x86)\AstroGrep\AstroGrep.exe" /e /r /s /spath="%USERPROFILE%\AppData\Local\Temp\OnboardLogs" /stypes="app*4017*20170428*" /stext=" 21:.+((SYSTEM_STATE.+slice.+state.+changed )|(ment ac)|(multiple cpu faults)|(system.+state.+changed )|(\[timeout)|(PRM\|1\|D)|(kpr)|(kdp)|(train.+moving)|(\|lc)|(penalty))"</v>
      </c>
      <c r="AG222" s="1" t="str">
        <f t="shared" si="85"/>
        <v>Other</v>
      </c>
      <c r="AH222" s="81" t="str">
        <f t="shared" si="86"/>
        <v>"%USERPROFILE%\Documents\GitHub\eaglep3\Utilities\RefineRTDCRunTimes.py" --tripid 904-28 --locoid 4017 --swversion DE.1.0.9.0 --startMP 300:23381 --initTime 2017-04-28T15:19:58 --startdatetime 2017-04-28T15:23:27 --delay 3 --endMP 204:638 --enddatetime 2017-04-28T15:31:30 --enforcementcount 0 &gt;&gt;C:\Users\stu\Documents\GitHub\eaglep3-reporting\EC\2017-04-28-refined-times.txt</v>
      </c>
      <c r="AI222" s="99" t="str">
        <f t="shared" si="87"/>
        <v>echo {"issue":{"subject":"","project_id":79,"tracker_id":40,"status_id":1,"priority_id":2,"assigned_to_id":23,"start_date":"2017-04-28","description":"","custom_fields":[{"id":1,"name":"Subdivision","value":"Other"},{"id":4,"name":"Milepost","value":"0.0638"},{"id":17,"name":"Train ID","value":"904-28"},{"id":16,"name":"Locomotive ID","value":"4017"},{"id":130,"name":"Impact","value":""},{"id":150,"name":"Time of Event (Mountain Time)","value":"15:31:30"},{"id":151,"name":"Denver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7"/>
      <c r="AL222" s="47"/>
      <c r="AM222" s="145" t="str">
        <f t="shared" si="88"/>
        <v>start /low /b %USERPROFILE%\Documents\GitHub\eaglep3\Utilities\DownloadLogsFromS3.py --loco 4017 --day 2017-04-28</v>
      </c>
      <c r="AN222" s="154" t="str">
        <f t="shared" si="89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21:31:30"},{"id":29,"name":"Sharepoint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3" spans="1:91" x14ac:dyDescent="0.25">
      <c r="A223" s="32" t="s">
        <v>633</v>
      </c>
      <c r="B223" s="7">
        <v>4017</v>
      </c>
      <c r="C223" s="21" t="s">
        <v>211</v>
      </c>
      <c r="D223" s="21" t="s">
        <v>1015</v>
      </c>
      <c r="E223" s="13">
        <v>42853.797337962962</v>
      </c>
      <c r="F223" s="13">
        <v>42853.799143518518</v>
      </c>
      <c r="G223" s="7">
        <v>1</v>
      </c>
      <c r="H223" s="21" t="s">
        <v>1016</v>
      </c>
      <c r="I223" s="13">
        <v>42853.809618055559</v>
      </c>
      <c r="J223" s="7">
        <v>0</v>
      </c>
      <c r="K223" s="92" t="str">
        <f t="shared" si="74"/>
        <v>4017/4018</v>
      </c>
      <c r="L223" s="21" t="str">
        <f>VLOOKUP(A223,'Trips&amp;Operators'!$C$1:$G$99999,5,FALSE)</f>
        <v>WILLIAMS DONTE</v>
      </c>
      <c r="M223" s="6">
        <f t="shared" si="75"/>
        <v>1.0474537040863652E-2</v>
      </c>
      <c r="N223" s="7">
        <f t="shared" si="72"/>
        <v>15.083333338843659</v>
      </c>
      <c r="O223" s="7"/>
      <c r="P223" s="7"/>
      <c r="Q223" s="22"/>
      <c r="R223" s="190"/>
      <c r="S223" s="196">
        <f t="shared" si="73"/>
        <v>0</v>
      </c>
      <c r="T223" s="190" t="str">
        <f t="shared" si="76"/>
        <v>Southbound</v>
      </c>
      <c r="U223" s="190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91" t="str">
        <f t="shared" si="77"/>
        <v>https://d0f6bd738d7f1b3e5a7ca70fe4ff75f0.us-east-1.aws.found.io/app/kibana#/discover/Steve-Slow-Train-Analysis-(2080s-and-2083s)?_g=(refreshInterval:(display:Off,pause:!f,section:0,value:0),time:(from:'2017-04-28T18:08:10-0600',mode:absolute,to:'2017-04-28T20:25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23" s="192" t="str">
        <f t="shared" si="78"/>
        <v>Y</v>
      </c>
      <c r="X223" s="192">
        <f t="shared" si="71"/>
        <v>2</v>
      </c>
      <c r="Y223" s="192">
        <f t="shared" si="79"/>
        <v>5.8628</v>
      </c>
      <c r="Z223" s="192">
        <f t="shared" si="80"/>
        <v>2.8769</v>
      </c>
      <c r="AA223" s="192">
        <f t="shared" si="81"/>
        <v>2.9859</v>
      </c>
      <c r="AB223" s="57" t="e">
        <f>VLOOKUP(A223,Enforcements!$C$7:$K$13,8,0)</f>
        <v>#N/A</v>
      </c>
      <c r="AC223" s="53" t="e">
        <f>VLOOKUP(A223,Enforcements!$C$7:$E$13,3,0)</f>
        <v>#N/A</v>
      </c>
      <c r="AD223" s="54" t="str">
        <f t="shared" si="82"/>
        <v>0906-28</v>
      </c>
      <c r="AE223" s="80" t="str">
        <f t="shared" si="83"/>
        <v>aws s3 cp s3://rtdc.mdm.uploadarchive.raw/RTDC4017/ "%USERPROFILE%\AppData\Local\Temp\OnboardLogs"\RTDC4017\2017-04-28 --exclude "*" --recursive --include "*20170428*" &amp; "%USERPROFILE%\Documents\GitHub\mrs-test-scripts\Headless Mode &amp; Sideloading\WalkAndUnGZ.bat" "%USERPROFILE%\AppData\Local\Temp\OnboardLogs"\RTDC4017\2017-04-28 &amp; aws s3 cp s3://rtdc.mdm.uploadarchive.raw/RTDC4017/ "%USERPROFILE%\AppData\Local\Temp\OnboardLogs"\RTDC4017\2017-04-29 --exclude "*" --recursive --include "*20170429*" &amp; "%USERPROFILE%\Documents\GitHub\mrs-test-scripts\Headless Mode &amp; Sideloading\WalkAndUnGZ.bat" "%USERPROFILE%\AppData\Local\Temp\OnboardLogs"\RTDC4017\2017-04-29</v>
      </c>
      <c r="AF223" s="77" t="str">
        <f t="shared" si="84"/>
        <v>"C:\Program Files (x86)\AstroGrep\AstroGrep.exe" /e /r /s /spath="%USERPROFILE%\AppData\Local\Temp\OnboardLogs" /stypes="app*4017*20170429*" /stext=" 01:.+((SYSTEM_STATE.+slice.+state.+changed )|(ment ac)|(multiple cpu faults)|(system.+state.+changed )|(\[timeout)|(PRM\|1\|D)|(kpr)|(kdp)|(train.+moving)|(\|lc)|(penalty))"</v>
      </c>
      <c r="AG223" s="1" t="str">
        <f t="shared" si="85"/>
        <v>Other</v>
      </c>
      <c r="AH223" s="81" t="str">
        <f t="shared" si="86"/>
        <v>"%USERPROFILE%\Documents\GitHub\eaglep3\Utilities\RefineRTDCRunTimes.py" --tripid 906-28 --locoid 4017 --swversion DE.1.0.9.0 --startMP 300:58628 --initTime 2017-04-28T19:08:10 --startdatetime 2017-04-28T19:10:46 --delay 1 --endMP 300:28769 --enddatetime 2017-04-28T19:25:51 --enforcementcount 0 &gt;&gt;C:\Users\stu\Documents\GitHub\eaglep3-reporting\EC\2017-04-28-refined-times.txt</v>
      </c>
      <c r="AI223" s="99" t="str">
        <f t="shared" si="87"/>
        <v>echo {"issue":{"subject":"","project_id":79,"tracker_id":40,"status_id":1,"priority_id":2,"assigned_to_id":23,"start_date":"2017-04-28","description":"","custom_fields":[{"id":1,"name":"Subdivision","value":"Other"},{"id":4,"name":"Milepost","value":"2.8769"},{"id":17,"name":"Train ID","value":"906-28"},{"id":16,"name":"Locomotive ID","value":"4017"},{"id":130,"name":"Impact","value":""},{"id":150,"name":"Time of Event (Mountain Time)","value":"19:25:51"},{"id":151,"name":"Denver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7"/>
      <c r="AL223" s="47"/>
      <c r="AM223" s="145" t="str">
        <f t="shared" si="88"/>
        <v>start /low /b %USERPROFILE%\Documents\GitHub\eaglep3\Utilities\DownloadLogsFromS3.py --loco 4017 --day 2017-04-28</v>
      </c>
      <c r="AN223" s="154" t="str">
        <f t="shared" si="89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01:25:51"},{"id":29,"name":"Sharepoint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4" spans="1:91" x14ac:dyDescent="0.25">
      <c r="A224" s="32" t="s">
        <v>825</v>
      </c>
      <c r="B224" s="7">
        <v>4011</v>
      </c>
      <c r="C224" s="21" t="s">
        <v>211</v>
      </c>
      <c r="D224" s="21" t="s">
        <v>984</v>
      </c>
      <c r="E224" s="13">
        <v>42853.94258101852</v>
      </c>
      <c r="F224" s="13">
        <v>42853.958344907405</v>
      </c>
      <c r="G224" s="7">
        <v>1</v>
      </c>
      <c r="H224" s="21" t="s">
        <v>1017</v>
      </c>
      <c r="I224" s="13">
        <v>42853.964907407404</v>
      </c>
      <c r="J224" s="7">
        <v>0</v>
      </c>
      <c r="K224" s="92" t="str">
        <f t="shared" si="74"/>
        <v>4011/4012</v>
      </c>
      <c r="L224" s="21" t="str">
        <f>VLOOKUP(A224,'Trips&amp;Operators'!$C$1:$G$99999,5,FALSE)</f>
        <v>WILLIAMS DONTE</v>
      </c>
      <c r="M224" s="6">
        <f t="shared" si="75"/>
        <v>6.5624999988358468E-3</v>
      </c>
      <c r="N224" s="7">
        <f t="shared" si="72"/>
        <v>9.4499999983236194</v>
      </c>
      <c r="O224" s="7"/>
      <c r="P224" s="7"/>
      <c r="Q224" s="22"/>
      <c r="R224" s="190"/>
      <c r="S224" s="196">
        <f t="shared" si="73"/>
        <v>0</v>
      </c>
      <c r="T224" s="190" t="str">
        <f t="shared" si="76"/>
        <v>Southbound</v>
      </c>
      <c r="U224" s="190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91" t="str">
        <f t="shared" si="77"/>
        <v>https://d0f6bd738d7f1b3e5a7ca70fe4ff75f0.us-east-1.aws.found.io/app/kibana#/discover/Steve-Slow-Train-Analysis-(2080s-and-2083s)?_g=(refreshInterval:(display:Off,pause:!f,section:0,value:0),time:(from:'2017-04-28T21:37:19-0600',mode:absolute,to:'2017-04-29T00:09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24" s="192" t="str">
        <f t="shared" si="78"/>
        <v>Y</v>
      </c>
      <c r="X224" s="192">
        <f t="shared" ref="X224:X242" si="90">VALUE(LEFT(AD224,4))-VALUE(LEFT(AD223,4))</f>
        <v>2</v>
      </c>
      <c r="Y224" s="192">
        <f t="shared" si="79"/>
        <v>5.867</v>
      </c>
      <c r="Z224" s="192">
        <f t="shared" si="80"/>
        <v>2.1634000000000002</v>
      </c>
      <c r="AA224" s="192">
        <f t="shared" si="81"/>
        <v>3.7035999999999998</v>
      </c>
      <c r="AB224" s="57" t="e">
        <f>VLOOKUP(A224,Enforcements!$C$7:$K$13,8,0)</f>
        <v>#N/A</v>
      </c>
      <c r="AC224" s="53" t="e">
        <f>VLOOKUP(A224,Enforcements!$C$7:$E$13,3,0)</f>
        <v>#N/A</v>
      </c>
      <c r="AD224" s="54" t="str">
        <f t="shared" si="82"/>
        <v>0908-28</v>
      </c>
      <c r="AE224" s="80" t="str">
        <f t="shared" si="83"/>
        <v>aws s3 cp s3://rtdc.mdm.uploadarchive.raw/RTDC4011/ "%USERPROFILE%\AppData\Local\Temp\OnboardLogs"\RTDC4011\2017-04-28 --exclude "*" --recursive --include "*20170428*" &amp; "%USERPROFILE%\Documents\GitHub\mrs-test-scripts\Headless Mode &amp; Sideloading\WalkAndUnGZ.bat" "%USERPROFILE%\AppData\Local\Temp\OnboardLogs"\RTDC4011\2017-04-28 &amp; aws s3 cp s3://rtdc.mdm.uploadarchive.raw/RTDC4011/ "%USERPROFILE%\AppData\Local\Temp\OnboardLogs"\RTDC4011\2017-04-29 --exclude "*" --recursive --include "*20170429*" &amp; "%USERPROFILE%\Documents\GitHub\mrs-test-scripts\Headless Mode &amp; Sideloading\WalkAndUnGZ.bat" "%USERPROFILE%\AppData\Local\Temp\OnboardLogs"\RTDC4011\2017-04-29</v>
      </c>
      <c r="AF224" s="77" t="str">
        <f t="shared" si="84"/>
        <v>"C:\Program Files (x86)\AstroGrep\AstroGrep.exe" /e /r /s /spath="%USERPROFILE%\AppData\Local\Temp\OnboardLogs" /stypes="app*4011*20170429*" /stext=" 05:.+((SYSTEM_STATE.+slice.+state.+changed )|(ment ac)|(multiple cpu faults)|(system.+state.+changed )|(\[timeout)|(PRM\|1\|D)|(kpr)|(kdp)|(train.+moving)|(\|lc)|(penalty))"</v>
      </c>
      <c r="AG224" s="1" t="str">
        <f t="shared" si="85"/>
        <v>Other</v>
      </c>
      <c r="AH224" s="81" t="str">
        <f t="shared" si="86"/>
        <v>"%USERPROFILE%\Documents\GitHub\eaglep3\Utilities\RefineRTDCRunTimes.py" --tripid 908-28 --locoid 4011 --swversion DE.1.0.9.0 --startMP 300:58670 --initTime 2017-04-28T22:37:19 --startdatetime 2017-04-28T23:00:01 --delay 1 --endMP 300:21634 --enddatetime 2017-04-28T23:09:28 --enforcementcount 0 &gt;&gt;C:\Users\stu\Documents\GitHub\eaglep3-reporting\EC\2017-04-28-refined-times.txt</v>
      </c>
      <c r="AI224" s="99" t="str">
        <f t="shared" si="87"/>
        <v>echo {"issue":{"subject":"","project_id":79,"tracker_id":40,"status_id":1,"priority_id":2,"assigned_to_id":23,"start_date":"2017-04-28","description":"","custom_fields":[{"id":1,"name":"Subdivision","value":"Other"},{"id":4,"name":"Milepost","value":"2.1634"},{"id":17,"name":"Train ID","value":"908-28"},{"id":16,"name":"Locomotive ID","value":"4011"},{"id":130,"name":"Impact","value":""},{"id":150,"name":"Time of Event (Mountain Time)","value":"23:09:28"},{"id":151,"name":"Denver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5" t="str">
        <f t="shared" si="88"/>
        <v>start /low /b %USERPROFILE%\Documents\GitHub\eaglep3\Utilities\DownloadLogsFromS3.py --loco 4011 --day 2017-04-28</v>
      </c>
      <c r="AN224" s="154" t="str">
        <f t="shared" si="89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05:09:28"},{"id":29,"name":"Sharepoint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5" spans="1:40" x14ac:dyDescent="0.25">
      <c r="A225" s="32" t="s">
        <v>838</v>
      </c>
      <c r="B225" s="7">
        <v>4055</v>
      </c>
      <c r="C225" s="21" t="s">
        <v>211</v>
      </c>
      <c r="D225" s="21" t="s">
        <v>944</v>
      </c>
      <c r="E225" s="13">
        <v>42854.085185185184</v>
      </c>
      <c r="F225" s="13">
        <v>42854.08803240741</v>
      </c>
      <c r="G225" s="7">
        <v>4</v>
      </c>
      <c r="H225" s="21" t="s">
        <v>945</v>
      </c>
      <c r="I225" s="13">
        <v>42854.092569444445</v>
      </c>
      <c r="J225" s="7">
        <v>0</v>
      </c>
      <c r="K225" s="92" t="str">
        <f t="shared" si="74"/>
        <v>4055/4056</v>
      </c>
      <c r="L225" s="21" t="str">
        <f>VLOOKUP(A225,'Trips&amp;Operators'!$C$1:$G$99999,5,FALSE)</f>
        <v>BEAM ROSS</v>
      </c>
      <c r="M225" s="6">
        <f t="shared" si="75"/>
        <v>4.537037035333924E-3</v>
      </c>
      <c r="N225" s="7">
        <f t="shared" si="72"/>
        <v>6.5333333308808506</v>
      </c>
      <c r="O225" s="7"/>
      <c r="P225" s="7"/>
      <c r="Q225" s="22"/>
      <c r="R225" s="190"/>
      <c r="S225" s="196">
        <f t="shared" si="73"/>
        <v>0</v>
      </c>
      <c r="T225" s="190" t="str">
        <f t="shared" si="76"/>
        <v>NorthBound</v>
      </c>
      <c r="U225" s="190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91" t="str">
        <f t="shared" si="77"/>
        <v>https://d0f6bd738d7f1b3e5a7ca70fe4ff75f0.us-east-1.aws.found.io/app/kibana#/discover/Steve-Slow-Train-Analysis-(2080s-and-2083s)?_g=(refreshInterval:(display:Off,pause:!f,section:0,value:0),time:(from:'2017-04-29T01:02:40-0600',mode:absolute,to:'2017-04-29T03:13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25" s="192" t="str">
        <f t="shared" si="78"/>
        <v>Y</v>
      </c>
      <c r="X225" s="192">
        <f t="shared" si="90"/>
        <v>3147</v>
      </c>
      <c r="Y225" s="192">
        <f t="shared" si="79"/>
        <v>2.0581</v>
      </c>
      <c r="Z225" s="192">
        <f t="shared" si="80"/>
        <v>9.7299999999999998E-2</v>
      </c>
      <c r="AA225" s="192">
        <f t="shared" si="81"/>
        <v>1.9608000000000001</v>
      </c>
      <c r="AB225" s="57" t="e">
        <f>VLOOKUP(A225,Enforcements!$C$7:$K$13,8,0)</f>
        <v>#N/A</v>
      </c>
      <c r="AC225" s="53" t="e">
        <f>VLOOKUP(A225,Enforcements!$C$7:$E$13,3,0)</f>
        <v>#N/A</v>
      </c>
      <c r="AD225" s="54" t="str">
        <f t="shared" si="82"/>
        <v>4055-29</v>
      </c>
      <c r="AE225" s="80" t="str">
        <f t="shared" si="83"/>
        <v>aws s3 cp s3://rtdc.mdm.uploadarchive.raw/RTDC4055/ "%USERPROFILE%\AppData\Local\Temp\OnboardLogs"\RTDC4055\2017-04-29 --exclude "*" --recursive --include "*20170429*" &amp; "%USERPROFILE%\Documents\GitHub\mrs-test-scripts\Headless Mode &amp; Sideloading\WalkAndUnGZ.bat" "%USERPROFILE%\AppData\Local\Temp\OnboardLogs"\RTDC4055\2017-04-29 &amp; aws s3 cp s3://rtdc.mdm.uploadarchive.raw/RTDC4055/ "%USERPROFILE%\AppData\Local\Temp\OnboardLogs"\RTDC4055\2017-04-30 --exclude "*" --recursive --include "*20170430*" &amp; "%USERPROFILE%\Documents\GitHub\mrs-test-scripts\Headless Mode &amp; Sideloading\WalkAndUnGZ.bat" "%USERPROFILE%\AppData\Local\Temp\OnboardLogs"\RTDC4055\2017-04-30</v>
      </c>
      <c r="AF225" s="77" t="str">
        <f t="shared" si="84"/>
        <v>"C:\Program Files (x86)\AstroGrep\AstroGrep.exe" /e /r /s /spath="%USERPROFILE%\AppData\Local\Temp\OnboardLogs" /stypes="app*4055*20170429*" /stext=" 08:.+((SYSTEM_STATE.+slice.+state.+changed )|(ment ac)|(multiple cpu faults)|(system.+state.+changed )|(\[timeout)|(PRM\|1\|D)|(kpr)|(kdp)|(train.+moving)|(\|lc)|(penalty))"</v>
      </c>
      <c r="AG225" s="1" t="str">
        <f t="shared" si="85"/>
        <v>Other</v>
      </c>
      <c r="AH225" s="81" t="str">
        <f t="shared" si="86"/>
        <v>"%USERPROFILE%\Documents\GitHub\eaglep3\Utilities\RefineRTDCRunTimes.py" --tripid 4055-29 --locoid 4055 --swversion DE.1.0.9.0 --startMP 300:20581 --initTime 2017-04-29T02:02:40 --startdatetime 2017-04-29T02:06:46 --delay 4 --endMP 204:973 --enddatetime 2017-04-29T02:13:18 --enforcementcount 0 &gt;&gt;C:\Users\stu\Documents\GitHub\eaglep3-reporting\EC\2017-04-28-refined-times.txt</v>
      </c>
      <c r="AI225" s="99" t="str">
        <f t="shared" si="87"/>
        <v>echo {"issue":{"subject":"","project_id":79,"tracker_id":40,"status_id":1,"priority_id":2,"assigned_to_id":23,"start_date":"2017-04-29","description":"","custom_fields":[{"id":1,"name":"Subdivision","value":"Other"},{"id":4,"name":"Milepost","value":"0.0973"},{"id":17,"name":"Train ID","value":"4055-29"},{"id":16,"name":"Locomotive ID","value":"4055"},{"id":130,"name":"Impact","value":""},{"id":150,"name":"Time of Event (Mountain Time)","value":"02:13:18"},{"id":151,"name":"Denver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7"/>
      <c r="AL225" s="47"/>
      <c r="AM225" s="145" t="str">
        <f t="shared" si="88"/>
        <v>start /low /b %USERPROFILE%\Documents\GitHub\eaglep3\Utilities\DownloadLogsFromS3.py --loco 4055 --day 2017-04-29</v>
      </c>
      <c r="AN225" s="154" t="str">
        <f t="shared" si="89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08:13:18"},{"id":29,"name":"Sharepoint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6" spans="1:40" x14ac:dyDescent="0.25">
      <c r="A226" s="32" t="s">
        <v>840</v>
      </c>
      <c r="B226" s="7">
        <v>4056</v>
      </c>
      <c r="C226" s="21" t="s">
        <v>211</v>
      </c>
      <c r="D226" s="21" t="s">
        <v>946</v>
      </c>
      <c r="E226" s="13">
        <v>42854.094699074078</v>
      </c>
      <c r="F226" s="13">
        <v>42854.097812499997</v>
      </c>
      <c r="G226" s="7">
        <v>1</v>
      </c>
      <c r="H226" s="21" t="s">
        <v>408</v>
      </c>
      <c r="I226" s="13">
        <v>42854.120520833334</v>
      </c>
      <c r="J226" s="7">
        <v>0</v>
      </c>
      <c r="K226" s="92" t="str">
        <f t="shared" si="74"/>
        <v>4055/4056</v>
      </c>
      <c r="L226" s="21" t="str">
        <f>VLOOKUP(A226,'Trips&amp;Operators'!$C$1:$G$99999,5,FALSE)</f>
        <v>BEAM ROSS</v>
      </c>
      <c r="M226" s="6">
        <f t="shared" si="75"/>
        <v>2.2708333337504882E-2</v>
      </c>
      <c r="N226" s="7">
        <f t="shared" si="72"/>
        <v>32.700000006007031</v>
      </c>
      <c r="O226" s="7"/>
      <c r="P226" s="7"/>
      <c r="Q226" s="22"/>
      <c r="R226" s="190"/>
      <c r="S226" s="196">
        <f t="shared" si="73"/>
        <v>0</v>
      </c>
      <c r="T226" s="190" t="str">
        <f t="shared" si="76"/>
        <v>Southbound</v>
      </c>
      <c r="U226" s="190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91" t="str">
        <f t="shared" si="77"/>
        <v>https://d0f6bd738d7f1b3e5a7ca70fe4ff75f0.us-east-1.aws.found.io/app/kibana#/discover/Steve-Slow-Train-Analysis-(2080s-and-2083s)?_g=(refreshInterval:(display:Off,pause:!f,section:0,value:0),time:(from:'2017-04-29T01:16:22-0600',mode:absolute,to:'2017-04-29T03:53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26" s="192" t="str">
        <f t="shared" si="78"/>
        <v>N</v>
      </c>
      <c r="X226" s="192">
        <f t="shared" si="90"/>
        <v>1</v>
      </c>
      <c r="Y226" s="192">
        <f t="shared" si="79"/>
        <v>0.127</v>
      </c>
      <c r="Z226" s="192">
        <f t="shared" si="80"/>
        <v>23.3291</v>
      </c>
      <c r="AA226" s="192">
        <f t="shared" si="81"/>
        <v>23.202100000000002</v>
      </c>
      <c r="AB226" s="57" t="e">
        <f>VLOOKUP(A226,Enforcements!$C$7:$K$13,8,0)</f>
        <v>#N/A</v>
      </c>
      <c r="AC226" s="53" t="e">
        <f>VLOOKUP(A226,Enforcements!$C$7:$E$13,3,0)</f>
        <v>#N/A</v>
      </c>
      <c r="AD226" s="54" t="str">
        <f t="shared" si="82"/>
        <v>4056-29</v>
      </c>
      <c r="AE226" s="80" t="str">
        <f t="shared" si="83"/>
        <v>aws s3 cp s3://rtdc.mdm.uploadarchive.raw/RTDC4056/ "%USERPROFILE%\AppData\Local\Temp\OnboardLogs"\RTDC4056\2017-04-29 --exclude "*" --recursive --include "*20170429*" &amp; "%USERPROFILE%\Documents\GitHub\mrs-test-scripts\Headless Mode &amp; Sideloading\WalkAndUnGZ.bat" "%USERPROFILE%\AppData\Local\Temp\OnboardLogs"\RTDC4056\2017-04-29 &amp; aws s3 cp s3://rtdc.mdm.uploadarchive.raw/RTDC4056/ "%USERPROFILE%\AppData\Local\Temp\OnboardLogs"\RTDC4056\2017-04-30 --exclude "*" --recursive --include "*20170430*" &amp; "%USERPROFILE%\Documents\GitHub\mrs-test-scripts\Headless Mode &amp; Sideloading\WalkAndUnGZ.bat" "%USERPROFILE%\AppData\Local\Temp\OnboardLogs"\RTDC4056\2017-04-30</v>
      </c>
      <c r="AF226" s="77" t="str">
        <f t="shared" si="84"/>
        <v>"C:\Program Files (x86)\AstroGrep\AstroGrep.exe" /e /r /s /spath="%USERPROFILE%\AppData\Local\Temp\OnboardLogs" /stypes="app*4056*20170429*" /stext=" 08:.+((SYSTEM_STATE.+slice.+state.+changed )|(ment ac)|(multiple cpu faults)|(system.+state.+changed )|(\[timeout)|(PRM\|1\|D)|(kpr)|(kdp)|(train.+moving)|(\|lc)|(penalty))"</v>
      </c>
      <c r="AG226" s="1" t="str">
        <f t="shared" si="85"/>
        <v>Other</v>
      </c>
      <c r="AH226" s="81" t="str">
        <f t="shared" si="86"/>
        <v>"%USERPROFILE%\Documents\GitHub\eaglep3\Utilities\RefineRTDCRunTimes.py" --tripid 4056-29 --locoid 4056 --swversion DE.1.0.9.0 --startMP 204:1270 --initTime 2017-04-29T02:16:22 --startdatetime 2017-04-29T02:20:51 --delay 1 --endMP 204:233291 --enddatetime 2017-04-29T02:53:33 --enforcementcount 0 &gt;&gt;C:\Users\stu\Documents\GitHub\eaglep3-reporting\EC\2017-04-28-refined-times.txt</v>
      </c>
      <c r="AI226" s="99" t="str">
        <f t="shared" si="87"/>
        <v>echo {"issue":{"subject":"","project_id":79,"tracker_id":40,"status_id":1,"priority_id":2,"assigned_to_id":23,"start_date":"2017-04-29","description":"","custom_fields":[{"id":1,"name":"Subdivision","value":"Other"},{"id":4,"name":"Milepost","value":"23.3291"},{"id":17,"name":"Train ID","value":"4056-29"},{"id":16,"name":"Locomotive ID","value":"4056"},{"id":130,"name":"Impact","value":""},{"id":150,"name":"Time of Event (Mountain Time)","value":"02:53:33"},{"id":151,"name":"Denver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7"/>
      <c r="AL226" s="47"/>
      <c r="AM226" s="145" t="str">
        <f t="shared" si="88"/>
        <v>start /low /b %USERPROFILE%\Documents\GitHub\eaglep3\Utilities\DownloadLogsFromS3.py --loco 4056 --day 2017-04-29</v>
      </c>
      <c r="AN226" s="154" t="str">
        <f t="shared" si="89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08:53:33"},{"id":29,"name":"Sharepoint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7" spans="1:40" x14ac:dyDescent="0.25">
      <c r="A227" s="32" t="s">
        <v>540</v>
      </c>
      <c r="B227" s="7">
        <v>4061</v>
      </c>
      <c r="C227" s="21" t="s">
        <v>571</v>
      </c>
      <c r="D227" s="21" t="s">
        <v>572</v>
      </c>
      <c r="E227" s="13">
        <v>42853.10864583333</v>
      </c>
      <c r="F227" s="13">
        <v>42853.110219907408</v>
      </c>
      <c r="G227" s="7">
        <v>1</v>
      </c>
      <c r="H227" s="21" t="s">
        <v>573</v>
      </c>
      <c r="I227" s="13">
        <v>42853.143923611111</v>
      </c>
      <c r="J227" s="7">
        <v>0</v>
      </c>
      <c r="K227" s="92" t="str">
        <f t="shared" si="74"/>
        <v>4061/4062</v>
      </c>
      <c r="L227" s="21" t="str">
        <f>VLOOKUP(A227,'Trips&amp;Operators'!$C$1:$G$99999,5,FALSE)</f>
        <v>PERKINS DARREN</v>
      </c>
      <c r="M227" s="6">
        <f t="shared" si="75"/>
        <v>3.3703703702485655E-2</v>
      </c>
      <c r="N227" s="7">
        <f t="shared" si="72"/>
        <v>48.533333331579342</v>
      </c>
      <c r="O227" s="7"/>
      <c r="P227" s="7"/>
      <c r="Q227" s="22"/>
      <c r="R227" s="190"/>
      <c r="S227" s="196">
        <f t="shared" si="73"/>
        <v>0</v>
      </c>
      <c r="T227" s="190" t="str">
        <f t="shared" si="76"/>
        <v>NorthBound</v>
      </c>
      <c r="U227" s="190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91" t="str">
        <f t="shared" si="77"/>
        <v>https://d0f6bd738d7f1b3e5a7ca70fe4ff75f0.us-east-1.aws.found.io/app/kibana#/discover/Steve-Slow-Train-Analysis-(2080s-and-2083s)?_g=(refreshInterval:(display:Off,pause:!f,section:0,value:0),time:(from:'2017-04-28T01:36:27-0600',mode:absolute,to:'2017-04-28T04:27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27" s="192" t="str">
        <f t="shared" si="78"/>
        <v>N</v>
      </c>
      <c r="X227" s="192">
        <f t="shared" si="90"/>
        <v>5</v>
      </c>
      <c r="Y227" s="192">
        <f t="shared" si="79"/>
        <v>12.8009</v>
      </c>
      <c r="Z227" s="192">
        <f t="shared" si="80"/>
        <v>7.4999999999999997E-3</v>
      </c>
      <c r="AA227" s="192">
        <f t="shared" si="81"/>
        <v>12.7934</v>
      </c>
      <c r="AB227" s="57" t="e">
        <f>VLOOKUP(A227,Enforcements!$C$7:$K$13,8,0)</f>
        <v>#N/A</v>
      </c>
      <c r="AC227" s="53" t="e">
        <f>VLOOKUP(A227,Enforcements!$C$7:$E$13,3,0)</f>
        <v>#N/A</v>
      </c>
      <c r="AD227" s="54" t="str">
        <f t="shared" si="82"/>
        <v>4061-27</v>
      </c>
      <c r="AE227" s="80" t="str">
        <f t="shared" si="83"/>
        <v>aws s3 cp s3://rtdc.mdm.uploadarchive.raw/RTDC4061/ "%USERPROFILE%\AppData\Local\Temp\OnboardLogs"\RTDC4061\2017-04-28 --exclude "*" --recursive --include "*20170428*" &amp; "%USERPROFILE%\Documents\GitHub\mrs-test-scripts\Headless Mode &amp; Sideloading\WalkAndUnGZ.bat" "%USERPROFILE%\AppData\Local\Temp\OnboardLogs"\RTDC4061\2017-04-28 &amp; aws s3 cp s3://rtdc.mdm.uploadarchive.raw/RTDC4061/ "%USERPROFILE%\AppData\Local\Temp\OnboardLogs"\RTDC4061\2017-04-29 --exclude "*" --recursive --include "*20170429*" &amp; "%USERPROFILE%\Documents\GitHub\mrs-test-scripts\Headless Mode &amp; Sideloading\WalkAndUnGZ.bat" "%USERPROFILE%\AppData\Local\Temp\OnboardLogs"\RTDC4061\2017-04-29</v>
      </c>
      <c r="AF227" s="77" t="str">
        <f t="shared" si="84"/>
        <v>"C:\Program Files (x86)\AstroGrep\AstroGrep.exe" /e /r /s /spath="%USERPROFILE%\AppData\Local\Temp\OnboardLogs" /stypes="app*4061*20170428*" /stext=" 09:.+((SYSTEM_STATE.+slice.+state.+changed )|(ment ac)|(multiple cpu faults)|(system.+state.+changed )|(\[timeout)|(PRM\|1\|D)|(kpr)|(kdp)|(train.+moving)|(\|lc)|(penalty))"</v>
      </c>
      <c r="AG227" s="1" t="str">
        <f t="shared" si="85"/>
        <v>Other</v>
      </c>
      <c r="AH227" s="81" t="str">
        <f t="shared" si="86"/>
        <v>"%USERPROFILE%\Documents\GitHub\eaglep3\Utilities\RefineRTDCRunTimes.py" --tripid 4061-27 --locoid 4061 --swversion DE.1.0.8.0 --startMP 204:128009 --initTime 2017-04-28T02:36:27 --startdatetime 2017-04-28T02:38:43 --delay 1 --endMP 204:75 --enddatetime 2017-04-28T03:27:15 --enforcementcount 0 &gt;&gt;C:\Users\stu\Documents\GitHub\eaglep3-reporting\EC\2017-04-28-refined-times.txt</v>
      </c>
      <c r="AI227" s="99" t="str">
        <f t="shared" si="87"/>
        <v>echo {"issue":{"subject":"","project_id":79,"tracker_id":40,"status_id":1,"priority_id":2,"assigned_to_id":23,"start_date":"2017-04-28","description":"","custom_fields":[{"id":1,"name":"Subdivision","value":"Other"},{"id":4,"name":"Milepost","value":"0.0075"},{"id":17,"name":"Train ID","value":"4061-27"},{"id":16,"name":"Locomotive ID","value":"4061"},{"id":130,"name":"Impact","value":""},{"id":150,"name":"Time of Event (Mountain Time)","value":"03:27:15"},{"id":151,"name":"Denver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7"/>
      <c r="AL227" s="47"/>
      <c r="AM227" s="145" t="str">
        <f t="shared" si="88"/>
        <v>start /low /b %USERPROFILE%\Documents\GitHub\eaglep3\Utilities\DownloadLogsFromS3.py --loco 4061 --day 2017-04-28</v>
      </c>
      <c r="AN227" s="154" t="str">
        <f t="shared" si="89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09:27:15"},{"id":29,"name":"Sharepoint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8" spans="1:40" x14ac:dyDescent="0.25">
      <c r="A228" s="32" t="s">
        <v>539</v>
      </c>
      <c r="B228" s="7">
        <v>4062</v>
      </c>
      <c r="C228" s="21" t="s">
        <v>211</v>
      </c>
      <c r="D228" s="21" t="s">
        <v>574</v>
      </c>
      <c r="E228" s="13">
        <v>42853.08829861111</v>
      </c>
      <c r="F228" s="13">
        <v>42853.089270833334</v>
      </c>
      <c r="G228" s="7">
        <v>1</v>
      </c>
      <c r="H228" s="21" t="s">
        <v>575</v>
      </c>
      <c r="I228" s="13">
        <v>42853.106053240743</v>
      </c>
      <c r="J228" s="7">
        <v>0</v>
      </c>
      <c r="K228" s="92" t="str">
        <f t="shared" si="74"/>
        <v>4061/4062</v>
      </c>
      <c r="L228" s="21" t="str">
        <f>VLOOKUP(A228,'Trips&amp;Operators'!$C$1:$G$99999,5,FALSE)</f>
        <v>PERKINS DARREN</v>
      </c>
      <c r="M228" s="6">
        <f t="shared" si="75"/>
        <v>1.6782407408754807E-2</v>
      </c>
      <c r="N228" s="7">
        <f t="shared" si="72"/>
        <v>24.166666668606922</v>
      </c>
      <c r="O228" s="7"/>
      <c r="P228" s="7"/>
      <c r="Q228" s="22"/>
      <c r="R228" s="190"/>
      <c r="S228" s="196">
        <f t="shared" si="73"/>
        <v>0</v>
      </c>
      <c r="T228" s="190" t="str">
        <f t="shared" si="76"/>
        <v>Southbound</v>
      </c>
      <c r="U228" s="190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91" t="str">
        <f t="shared" si="77"/>
        <v>https://d0f6bd738d7f1b3e5a7ca70fe4ff75f0.us-east-1.aws.found.io/app/kibana#/discover/Steve-Slow-Train-Analysis-(2080s-and-2083s)?_g=(refreshInterval:(display:Off,pause:!f,section:0,value:0),time:(from:'2017-04-28T01:07:09-0600',mode:absolute,to:'2017-04-28T03:32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28" s="192" t="str">
        <f t="shared" si="78"/>
        <v>N</v>
      </c>
      <c r="X228" s="192">
        <f t="shared" si="90"/>
        <v>1</v>
      </c>
      <c r="Y228" s="192">
        <f t="shared" si="79"/>
        <v>0.19040000000000001</v>
      </c>
      <c r="Z228" s="192">
        <f t="shared" si="80"/>
        <v>12.826700000000001</v>
      </c>
      <c r="AA228" s="192">
        <f t="shared" si="81"/>
        <v>12.6363</v>
      </c>
      <c r="AB228" s="57" t="e">
        <f>VLOOKUP(A228,Enforcements!$C$7:$K$13,8,0)</f>
        <v>#N/A</v>
      </c>
      <c r="AC228" s="53" t="e">
        <f>VLOOKUP(A228,Enforcements!$C$7:$E$13,3,0)</f>
        <v>#N/A</v>
      </c>
      <c r="AD228" s="54" t="str">
        <f t="shared" si="82"/>
        <v>4062-27</v>
      </c>
      <c r="AE228" s="80" t="str">
        <f t="shared" si="83"/>
        <v>aws s3 cp s3://rtdc.mdm.uploadarchive.raw/RTDC4062/ "%USERPROFILE%\AppData\Local\Temp\OnboardLogs"\RTDC4062\2017-04-28 --exclude "*" --recursive --include "*20170428*" &amp; "%USERPROFILE%\Documents\GitHub\mrs-test-scripts\Headless Mode &amp; Sideloading\WalkAndUnGZ.bat" "%USERPROFILE%\AppData\Local\Temp\OnboardLogs"\RTDC4062\2017-04-28 &amp; aws s3 cp s3://rtdc.mdm.uploadarchive.raw/RTDC4062/ "%USERPROFILE%\AppData\Local\Temp\OnboardLogs"\RTDC4062\2017-04-29 --exclude "*" --recursive --include "*20170429*" &amp; "%USERPROFILE%\Documents\GitHub\mrs-test-scripts\Headless Mode &amp; Sideloading\WalkAndUnGZ.bat" "%USERPROFILE%\AppData\Local\Temp\OnboardLogs"\RTDC4062\2017-04-29</v>
      </c>
      <c r="AF228" s="77" t="str">
        <f t="shared" si="84"/>
        <v>"C:\Program Files (x86)\AstroGrep\AstroGrep.exe" /e /r /s /spath="%USERPROFILE%\AppData\Local\Temp\OnboardLogs" /stypes="app*4062*20170428*" /stext=" 08:.+((SYSTEM_STATE.+slice.+state.+changed )|(ment ac)|(multiple cpu faults)|(system.+state.+changed )|(\[timeout)|(PRM\|1\|D)|(kpr)|(kdp)|(train.+moving)|(\|lc)|(penalty))"</v>
      </c>
      <c r="AG228" s="1" t="str">
        <f t="shared" si="85"/>
        <v>Other</v>
      </c>
      <c r="AH228" s="81" t="str">
        <f t="shared" si="86"/>
        <v>"%USERPROFILE%\Documents\GitHub\eaglep3\Utilities\RefineRTDCRunTimes.py" --tripid 4062-27 --locoid 4062 --swversion DE.1.0.9.0 --startMP 204:1904 --initTime 2017-04-28T02:07:09 --startdatetime 2017-04-28T02:08:33 --delay 1 --endMP 204:128267 --enddatetime 2017-04-28T02:32:43 --enforcementcount 0 &gt;&gt;C:\Users\stu\Documents\GitHub\eaglep3-reporting\EC\2017-04-28-refined-times.txt</v>
      </c>
      <c r="AI228" s="99" t="str">
        <f t="shared" si="87"/>
        <v>echo {"issue":{"subject":"","project_id":79,"tracker_id":40,"status_id":1,"priority_id":2,"assigned_to_id":23,"start_date":"2017-04-28","description":"","custom_fields":[{"id":1,"name":"Subdivision","value":"Other"},{"id":4,"name":"Milepost","value":"12.8267"},{"id":17,"name":"Train ID","value":"4062-27"},{"id":16,"name":"Locomotive ID","value":"4062"},{"id":130,"name":"Impact","value":""},{"id":150,"name":"Time of Event (Mountain Time)","value":"02:32:43"},{"id":151,"name":"Denver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7"/>
      <c r="AL228" s="47"/>
      <c r="AM228" s="145" t="str">
        <f t="shared" si="88"/>
        <v>start /low /b %USERPROFILE%\Documents\GitHub\eaglep3\Utilities\DownloadLogsFromS3.py --loco 4062 --day 2017-04-28</v>
      </c>
      <c r="AN228" s="154" t="str">
        <f t="shared" si="89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08:32:43"},{"id":29,"name":"Sharepoint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9" spans="1:40" x14ac:dyDescent="0.25">
      <c r="A229" s="32" t="s">
        <v>670</v>
      </c>
      <c r="B229" s="7">
        <v>4029</v>
      </c>
      <c r="C229" s="21" t="s">
        <v>211</v>
      </c>
      <c r="D229" s="21" t="s">
        <v>947</v>
      </c>
      <c r="E229" s="13">
        <v>42853.256655092591</v>
      </c>
      <c r="F229" s="13">
        <v>42853.258206018516</v>
      </c>
      <c r="G229" s="7">
        <v>1</v>
      </c>
      <c r="H229" s="21" t="s">
        <v>895</v>
      </c>
      <c r="I229" s="13">
        <v>42853.259166666663</v>
      </c>
      <c r="J229" s="7">
        <v>0</v>
      </c>
      <c r="K229" s="92" t="str">
        <f t="shared" si="74"/>
        <v>4029/4030</v>
      </c>
      <c r="L229" s="21" t="str">
        <f>VLOOKUP(A229,'Trips&amp;Operators'!$C$1:$G$99999,5,FALSE)</f>
        <v>SPECTOR MICHAEL</v>
      </c>
      <c r="M229" s="6">
        <f t="shared" si="75"/>
        <v>9.6064814715646207E-4</v>
      </c>
      <c r="N229" s="7">
        <f t="shared" si="72"/>
        <v>1.3833333319053054</v>
      </c>
      <c r="O229" s="7"/>
      <c r="P229" s="7"/>
      <c r="Q229" s="22"/>
      <c r="R229" s="190"/>
      <c r="S229" s="196">
        <f t="shared" si="73"/>
        <v>0</v>
      </c>
      <c r="T229" s="190" t="e">
        <f t="shared" si="76"/>
        <v>#VALUE!</v>
      </c>
      <c r="U229" s="190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91" t="str">
        <f t="shared" si="77"/>
        <v>https://d0f6bd738d7f1b3e5a7ca70fe4ff75f0.us-east-1.aws.found.io/app/kibana#/discover/Steve-Slow-Train-Analysis-(2080s-and-2083s)?_g=(refreshInterval:(display:Off,pause:!f,section:0,value:0),time:(from:'2017-04-28T05:09:35-0600',mode:absolute,to:'2017-04-28T07:13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29" s="192" t="str">
        <f t="shared" si="78"/>
        <v>Y</v>
      </c>
      <c r="X229" s="192" t="e">
        <f t="shared" si="90"/>
        <v>#VALUE!</v>
      </c>
      <c r="Y229" s="192">
        <f t="shared" si="79"/>
        <v>0.32100000000000001</v>
      </c>
      <c r="Z229" s="192">
        <f t="shared" si="80"/>
        <v>0.11600000000000001</v>
      </c>
      <c r="AA229" s="192">
        <f t="shared" si="81"/>
        <v>0.20500000000000002</v>
      </c>
      <c r="AB229" s="57" t="e">
        <f>VLOOKUP(A229,Enforcements!$C$7:$K$13,8,0)</f>
        <v>#N/A</v>
      </c>
      <c r="AC229" s="53" t="e">
        <f>VLOOKUP(A229,Enforcements!$C$7:$E$13,3,0)</f>
        <v>#N/A</v>
      </c>
      <c r="AD229" s="54" t="str">
        <f t="shared" si="82"/>
        <v>51-28</v>
      </c>
      <c r="AE229" s="80" t="str">
        <f t="shared" si="83"/>
        <v>aws s3 cp s3://rtdc.mdm.uploadarchive.raw/RTDC4029/ "%USERPROFILE%\AppData\Local\Temp\OnboardLogs"\RTDC4029\2017-04-28 --exclude "*" --recursive --include "*20170428*" &amp; "%USERPROFILE%\Documents\GitHub\mrs-test-scripts\Headless Mode &amp; Sideloading\WalkAndUnGZ.bat" "%USERPROFILE%\AppData\Local\Temp\OnboardLogs"\RTDC4029\2017-04-28 &amp; aws s3 cp s3://rtdc.mdm.uploadarchive.raw/RTDC4029/ "%USERPROFILE%\AppData\Local\Temp\OnboardLogs"\RTDC4029\2017-04-29 --exclude "*" --recursive --include "*20170429*" &amp; "%USERPROFILE%\Documents\GitHub\mrs-test-scripts\Headless Mode &amp; Sideloading\WalkAndUnGZ.bat" "%USERPROFILE%\AppData\Local\Temp\OnboardLogs"\RTDC4029\2017-04-29</v>
      </c>
      <c r="AF229" s="77" t="str">
        <f t="shared" si="84"/>
        <v>"C:\Program Files (x86)\AstroGrep\AstroGrep.exe" /e /r /s /spath="%USERPROFILE%\AppData\Local\Temp\OnboardLogs" /stypes="app*4029*20170428*" /stext=" 12:.+((SYSTEM_STATE.+slice.+state.+changed )|(ment ac)|(multiple cpu faults)|(system.+state.+changed )|(\[timeout)|(PRM\|1\|D)|(kpr)|(kdp)|(train.+moving)|(\|lc)|(penalty))"</v>
      </c>
      <c r="AG229" s="1" t="str">
        <f t="shared" si="85"/>
        <v>Other</v>
      </c>
      <c r="AH229" s="81" t="str">
        <f t="shared" si="86"/>
        <v>"%USERPROFILE%\Documents\GitHub\eaglep3\Utilities\RefineRTDCRunTimes.py" --tripid 51-28 --locoid 4029 --swversion DE.1.0.9.0 --startMP 204:3210 --initTime 2017-04-28T06:09:35 --startdatetime 2017-04-28T06:11:49 --delay 1 --endMP 204:1160 --enddatetime 2017-04-28T06:13:12 --enforcementcount 0 &gt;&gt;C:\Users\stu\Documents\GitHub\eaglep3-reporting\EC\2017-04-28-refined-times.txt</v>
      </c>
      <c r="AI229" s="99" t="str">
        <f t="shared" si="87"/>
        <v>echo {"issue":{"subject":"","project_id":79,"tracker_id":40,"status_id":1,"priority_id":2,"assigned_to_id":23,"start_date":"2017-04-28","description":"","custom_fields":[{"id":1,"name":"Subdivision","value":"Other"},{"id":4,"name":"Milepost","value":"0.116"},{"id":17,"name":"Train ID","value":"51-28"},{"id":16,"name":"Locomotive ID","value":"4029"},{"id":130,"name":"Impact","value":""},{"id":150,"name":"Time of Event (Mountain Time)","value":"06:13:12"},{"id":151,"name":"Denver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7"/>
      <c r="AL229" s="47"/>
      <c r="AM229" s="145" t="str">
        <f t="shared" si="88"/>
        <v>start /low /b %USERPROFILE%\Documents\GitHub\eaglep3\Utilities\DownloadLogsFromS3.py --loco 4029 --day 2017-04-28</v>
      </c>
      <c r="AN229" s="154" t="str">
        <f t="shared" si="89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12:13:12"},{"id":29,"name":"Sharepoint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0" spans="1:40" x14ac:dyDescent="0.25">
      <c r="A230" s="32" t="s">
        <v>670</v>
      </c>
      <c r="B230" s="7">
        <v>4030</v>
      </c>
      <c r="C230" s="21" t="s">
        <v>211</v>
      </c>
      <c r="D230" s="21" t="s">
        <v>503</v>
      </c>
      <c r="E230" s="13">
        <v>42853.24790509259</v>
      </c>
      <c r="F230" s="13">
        <v>42853.258206018516</v>
      </c>
      <c r="G230" s="7">
        <v>1</v>
      </c>
      <c r="H230" s="21" t="s">
        <v>948</v>
      </c>
      <c r="I230" s="13">
        <v>42853.259166666663</v>
      </c>
      <c r="J230" s="7">
        <v>0</v>
      </c>
      <c r="K230" s="92" t="str">
        <f t="shared" si="74"/>
        <v>4029/4030</v>
      </c>
      <c r="L230" s="21" t="str">
        <f>VLOOKUP(A230,'Trips&amp;Operators'!$C$1:$G$99999,5,FALSE)</f>
        <v>SPECTOR MICHAEL</v>
      </c>
      <c r="M230" s="6">
        <f t="shared" si="75"/>
        <v>9.6064814715646207E-4</v>
      </c>
      <c r="N230" s="7">
        <f t="shared" si="72"/>
        <v>1.3833333319053054</v>
      </c>
      <c r="O230" s="7"/>
      <c r="P230" s="7"/>
      <c r="Q230" s="22"/>
      <c r="R230" s="190"/>
      <c r="S230" s="196">
        <f t="shared" si="73"/>
        <v>0</v>
      </c>
      <c r="T230" s="190" t="e">
        <f t="shared" si="76"/>
        <v>#VALUE!</v>
      </c>
      <c r="U230" s="190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91" t="str">
        <f t="shared" si="77"/>
        <v>https://d0f6bd738d7f1b3e5a7ca70fe4ff75f0.us-east-1.aws.found.io/app/kibana#/discover/Steve-Slow-Train-Analysis-(2080s-and-2083s)?_g=(refreshInterval:(display:Off,pause:!f,section:0,value:0),time:(from:'2017-04-28T04:56:59-0600',mode:absolute,to:'2017-04-28T07:13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30" s="192" t="str">
        <f t="shared" si="78"/>
        <v>Y</v>
      </c>
      <c r="X230" s="192" t="e">
        <f t="shared" si="90"/>
        <v>#VALUE!</v>
      </c>
      <c r="Y230" s="192">
        <f t="shared" si="79"/>
        <v>4.3999999999999997E-2</v>
      </c>
      <c r="Z230" s="192">
        <f t="shared" si="80"/>
        <v>0.35170000000000001</v>
      </c>
      <c r="AA230" s="192">
        <f t="shared" si="81"/>
        <v>0.30770000000000003</v>
      </c>
      <c r="AB230" s="57" t="e">
        <f>VLOOKUP(A230,Enforcements!$C$7:$K$13,8,0)</f>
        <v>#N/A</v>
      </c>
      <c r="AC230" s="53" t="e">
        <f>VLOOKUP(A230,Enforcements!$C$7:$E$13,3,0)</f>
        <v>#N/A</v>
      </c>
      <c r="AD230" s="54" t="str">
        <f t="shared" si="82"/>
        <v>51-28</v>
      </c>
      <c r="AE230" s="80" t="str">
        <f t="shared" si="83"/>
        <v>aws s3 cp s3://rtdc.mdm.uploadarchive.raw/RTDC4030/ "%USERPROFILE%\AppData\Local\Temp\OnboardLogs"\RTDC4030\2017-04-28 --exclude "*" --recursive --include "*20170428*" &amp; "%USERPROFILE%\Documents\GitHub\mrs-test-scripts\Headless Mode &amp; Sideloading\WalkAndUnGZ.bat" "%USERPROFILE%\AppData\Local\Temp\OnboardLogs"\RTDC4030\2017-04-28 &amp; aws s3 cp s3://rtdc.mdm.uploadarchive.raw/RTDC4030/ "%USERPROFILE%\AppData\Local\Temp\OnboardLogs"\RTDC4030\2017-04-29 --exclude "*" --recursive --include "*20170429*" &amp; "%USERPROFILE%\Documents\GitHub\mrs-test-scripts\Headless Mode &amp; Sideloading\WalkAndUnGZ.bat" "%USERPROFILE%\AppData\Local\Temp\OnboardLogs"\RTDC4030\2017-04-29</v>
      </c>
      <c r="AF230" s="77" t="str">
        <f t="shared" si="84"/>
        <v>"C:\Program Files (x86)\AstroGrep\AstroGrep.exe" /e /r /s /spath="%USERPROFILE%\AppData\Local\Temp\OnboardLogs" /stypes="app*4030*20170428*" /stext=" 12:.+((SYSTEM_STATE.+slice.+state.+changed )|(ment ac)|(multiple cpu faults)|(system.+state.+changed )|(\[timeout)|(PRM\|1\|D)|(kpr)|(kdp)|(train.+moving)|(\|lc)|(penalty))"</v>
      </c>
      <c r="AG230" s="1" t="str">
        <f t="shared" si="85"/>
        <v>Other</v>
      </c>
      <c r="AH230" s="81" t="str">
        <f t="shared" si="86"/>
        <v>"%USERPROFILE%\Documents\GitHub\eaglep3\Utilities\RefineRTDCRunTimes.py" --tripid 51-28 --locoid 4030 --swversion DE.1.0.9.0 --startMP 204:440 --initTime 2017-04-28T05:56:59 --startdatetime 2017-04-28T06:11:49 --delay 1 --endMP 204:3517 --enddatetime 2017-04-28T06:13:12 --enforcementcount 0 &gt;&gt;C:\Users\stu\Documents\GitHub\eaglep3-reporting\EC\2017-04-28-refined-times.txt</v>
      </c>
      <c r="AI230" s="99" t="str">
        <f t="shared" si="87"/>
        <v>echo {"issue":{"subject":"","project_id":79,"tracker_id":40,"status_id":1,"priority_id":2,"assigned_to_id":23,"start_date":"2017-04-28","description":"","custom_fields":[{"id":1,"name":"Subdivision","value":"Other"},{"id":4,"name":"Milepost","value":"0.3517"},{"id":17,"name":"Train ID","value":"51-28"},{"id":16,"name":"Locomotive ID","value":"4030"},{"id":130,"name":"Impact","value":""},{"id":150,"name":"Time of Event (Mountain Time)","value":"06:13:12"},{"id":151,"name":"Denver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7"/>
      <c r="AL230" s="47"/>
      <c r="AM230" s="145" t="str">
        <f t="shared" si="88"/>
        <v>start /low /b %USERPROFILE%\Documents\GitHub\eaglep3\Utilities\DownloadLogsFromS3.py --loco 4030 --day 2017-04-28</v>
      </c>
      <c r="AN230" s="154" t="str">
        <f t="shared" si="89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12:13:12"},{"id":29,"name":"Sharepoint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1" spans="1:40" x14ac:dyDescent="0.25">
      <c r="A231" s="32" t="s">
        <v>781</v>
      </c>
      <c r="B231" s="7">
        <v>4028</v>
      </c>
      <c r="C231" s="21" t="s">
        <v>211</v>
      </c>
      <c r="D231" s="21" t="s">
        <v>949</v>
      </c>
      <c r="E231" s="13">
        <v>42853.724236111113</v>
      </c>
      <c r="F231" s="13">
        <v>42853.747395833336</v>
      </c>
      <c r="G231" s="7">
        <v>1</v>
      </c>
      <c r="H231" s="21" t="s">
        <v>425</v>
      </c>
      <c r="I231" s="13">
        <v>42853.754479166666</v>
      </c>
      <c r="J231" s="7">
        <v>0</v>
      </c>
      <c r="K231" s="92" t="str">
        <f t="shared" si="74"/>
        <v>4027/4028</v>
      </c>
      <c r="L231" s="21" t="str">
        <f>VLOOKUP(A231,'Trips&amp;Operators'!$C$1:$G$99999,5,FALSE)</f>
        <v>ROMERO CHAD</v>
      </c>
      <c r="M231" s="6">
        <f t="shared" si="75"/>
        <v>7.0833333302289248E-3</v>
      </c>
      <c r="N231" s="7">
        <f t="shared" si="72"/>
        <v>10.199999995529652</v>
      </c>
      <c r="O231" s="7"/>
      <c r="P231" s="7"/>
      <c r="Q231" s="22"/>
      <c r="R231" s="190"/>
      <c r="S231" s="196">
        <f t="shared" si="73"/>
        <v>0</v>
      </c>
      <c r="T231" s="190" t="e">
        <f t="shared" si="76"/>
        <v>#VALUE!</v>
      </c>
      <c r="U231" s="190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91" t="str">
        <f t="shared" si="77"/>
        <v>https://d0f6bd738d7f1b3e5a7ca70fe4ff75f0.us-east-1.aws.found.io/app/kibana#/discover/Steve-Slow-Train-Analysis-(2080s-and-2083s)?_g=(refreshInterval:(display:Off,pause:!f,section:0,value:0),time:(from:'2017-04-28T16:22:54-0600',mode:absolute,to:'2017-04-28T19:06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31" s="192" t="str">
        <f t="shared" si="78"/>
        <v>Y</v>
      </c>
      <c r="X231" s="192" t="e">
        <f t="shared" si="90"/>
        <v>#VALUE!</v>
      </c>
      <c r="Y231" s="192">
        <f t="shared" si="79"/>
        <v>0.14660000000000001</v>
      </c>
      <c r="Z231" s="192">
        <f t="shared" si="80"/>
        <v>2.3346</v>
      </c>
      <c r="AA231" s="192">
        <f t="shared" si="81"/>
        <v>2.1880000000000002</v>
      </c>
      <c r="AB231" s="57" t="e">
        <f>VLOOKUP(A231,Enforcements!$C$7:$K$13,8,0)</f>
        <v>#N/A</v>
      </c>
      <c r="AC231" s="53" t="e">
        <f>VLOOKUP(A231,Enforcements!$C$7:$E$13,3,0)</f>
        <v>#N/A</v>
      </c>
      <c r="AD231" s="54" t="str">
        <f t="shared" si="82"/>
        <v>53-28</v>
      </c>
      <c r="AE231" s="80" t="str">
        <f t="shared" si="83"/>
        <v>aws s3 cp s3://rtdc.mdm.uploadarchive.raw/RTDC4028/ "%USERPROFILE%\AppData\Local\Temp\OnboardLogs"\RTDC4028\2017-04-28 --exclude "*" --recursive --include "*20170428*" &amp; "%USERPROFILE%\Documents\GitHub\mrs-test-scripts\Headless Mode &amp; Sideloading\WalkAndUnGZ.bat" "%USERPROFILE%\AppData\Local\Temp\OnboardLogs"\RTDC4028\2017-04-28 &amp; aws s3 cp s3://rtdc.mdm.uploadarchive.raw/RTDC4028/ "%USERPROFILE%\AppData\Local\Temp\OnboardLogs"\RTDC4028\2017-04-29 --exclude "*" --recursive --include "*20170429*" &amp; "%USERPROFILE%\Documents\GitHub\mrs-test-scripts\Headless Mode &amp; Sideloading\WalkAndUnGZ.bat" "%USERPROFILE%\AppData\Local\Temp\OnboardLogs"\RTDC4028\2017-04-29</v>
      </c>
      <c r="AF231" s="77" t="str">
        <f t="shared" si="84"/>
        <v>"C:\Program Files (x86)\AstroGrep\AstroGrep.exe" /e /r /s /spath="%USERPROFILE%\AppData\Local\Temp\OnboardLogs" /stypes="app*4028*20170429*" /stext=" 00:.+((SYSTEM_STATE.+slice.+state.+changed )|(ment ac)|(multiple cpu faults)|(system.+state.+changed )|(\[timeout)|(PRM\|1\|D)|(kpr)|(kdp)|(train.+moving)|(\|lc)|(penalty))"</v>
      </c>
      <c r="AG231" s="1" t="str">
        <f t="shared" si="85"/>
        <v>Other</v>
      </c>
      <c r="AH231" s="81" t="str">
        <f t="shared" si="86"/>
        <v>"%USERPROFILE%\Documents\GitHub\eaglep3\Utilities\RefineRTDCRunTimes.py" --tripid 53-28 --locoid 4028 --swversion DE.1.0.9.0 --startMP 204:1466 --initTime 2017-04-28T17:22:54 --startdatetime 2017-04-28T17:56:15 --delay 1 --endMP 300:23346 --enddatetime 2017-04-28T18:06:27 --enforcementcount 0 &gt;&gt;C:\Users\stu\Documents\GitHub\eaglep3-reporting\EC\2017-04-28-refined-times.txt</v>
      </c>
      <c r="AI231" s="99" t="str">
        <f t="shared" si="87"/>
        <v>echo {"issue":{"subject":"","project_id":79,"tracker_id":40,"status_id":1,"priority_id":2,"assigned_to_id":23,"start_date":"2017-04-28","description":"","custom_fields":[{"id":1,"name":"Subdivision","value":"Other"},{"id":4,"name":"Milepost","value":"2.3346"},{"id":17,"name":"Train ID","value":"53-28"},{"id":16,"name":"Locomotive ID","value":"4028"},{"id":130,"name":"Impact","value":""},{"id":150,"name":"Time of Event (Mountain Time)","value":"18:06:27"},{"id":151,"name":"Denver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20"/>
      <c r="AK231" s="47"/>
      <c r="AL231" s="47"/>
      <c r="AM231" s="145" t="str">
        <f t="shared" si="88"/>
        <v>start /low /b %USERPROFILE%\Documents\GitHub\eaglep3\Utilities\DownloadLogsFromS3.py --loco 4028 --day 2017-04-28</v>
      </c>
      <c r="AN231" s="154" t="str">
        <f t="shared" si="89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00:06:27"},{"id":29,"name":"Sharepoint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2" spans="1:40" x14ac:dyDescent="0.25">
      <c r="A232" s="32" t="s">
        <v>766</v>
      </c>
      <c r="B232" s="7">
        <v>4030</v>
      </c>
      <c r="C232" s="21" t="s">
        <v>211</v>
      </c>
      <c r="D232" s="21" t="s">
        <v>950</v>
      </c>
      <c r="E232" s="13">
        <v>42853.673275462963</v>
      </c>
      <c r="F232" s="13">
        <v>42853.674305555556</v>
      </c>
      <c r="G232" s="7">
        <v>1</v>
      </c>
      <c r="H232" s="21" t="s">
        <v>950</v>
      </c>
      <c r="I232" s="13">
        <v>42853.675000000003</v>
      </c>
      <c r="J232" s="7">
        <v>0</v>
      </c>
      <c r="K232" s="92" t="str">
        <f t="shared" si="74"/>
        <v>4029/4030</v>
      </c>
      <c r="L232" s="21" t="str">
        <f>VLOOKUP(A232,'Trips&amp;Operators'!$C$1:$G$99999,5,FALSE)</f>
        <v>DELGADO DIANAH</v>
      </c>
      <c r="M232" s="6">
        <f t="shared" si="75"/>
        <v>6.944444467080757E-4</v>
      </c>
      <c r="N232" s="7"/>
      <c r="O232" s="7"/>
      <c r="P232" s="7">
        <f>24*60*SUM($M232:$M232)</f>
        <v>1.000000003259629</v>
      </c>
      <c r="Q232" s="22"/>
      <c r="R232" s="190" t="s">
        <v>597</v>
      </c>
      <c r="S232" s="196">
        <f t="shared" ref="S232:S242" si="91">SUM(U232:U232)/IF(AG232="EC",12,1)</f>
        <v>0</v>
      </c>
      <c r="T232" s="190" t="e">
        <f t="shared" si="76"/>
        <v>#VALUE!</v>
      </c>
      <c r="U232" s="190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91" t="str">
        <f t="shared" si="77"/>
        <v>https://d0f6bd738d7f1b3e5a7ca70fe4ff75f0.us-east-1.aws.found.io/app/kibana#/discover/Steve-Slow-Train-Analysis-(2080s-and-2083s)?_g=(refreshInterval:(display:Off,pause:!f,section:0,value:0),time:(from:'2017-04-28T15:09:31-0600',mode:absolute,to:'2017-04-28T17:12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32" s="192" t="str">
        <f t="shared" si="78"/>
        <v>Y</v>
      </c>
      <c r="X232" s="192" t="e">
        <f t="shared" si="90"/>
        <v>#VALUE!</v>
      </c>
      <c r="Y232" s="192">
        <f t="shared" si="79"/>
        <v>0.1479</v>
      </c>
      <c r="Z232" s="192">
        <f t="shared" si="80"/>
        <v>0.1479</v>
      </c>
      <c r="AA232" s="192">
        <f t="shared" si="81"/>
        <v>0</v>
      </c>
      <c r="AB232" s="57" t="e">
        <f>VLOOKUP(A232,Enforcements!$C$7:$K$13,8,0)</f>
        <v>#N/A</v>
      </c>
      <c r="AC232" s="53" t="e">
        <f>VLOOKUP(A232,Enforcements!$C$7:$E$13,3,0)</f>
        <v>#N/A</v>
      </c>
      <c r="AD232" s="54" t="str">
        <f t="shared" si="82"/>
        <v>66-28</v>
      </c>
      <c r="AE232" s="80" t="str">
        <f t="shared" si="83"/>
        <v>aws s3 cp s3://rtdc.mdm.uploadarchive.raw/RTDC4030/ "%USERPROFILE%\AppData\Local\Temp\OnboardLogs"\RTDC4030\2017-04-28 --exclude "*" --recursive --include "*20170428*" &amp; "%USERPROFILE%\Documents\GitHub\mrs-test-scripts\Headless Mode &amp; Sideloading\WalkAndUnGZ.bat" "%USERPROFILE%\AppData\Local\Temp\OnboardLogs"\RTDC4030\2017-04-28 &amp; aws s3 cp s3://rtdc.mdm.uploadarchive.raw/RTDC4030/ "%USERPROFILE%\AppData\Local\Temp\OnboardLogs"\RTDC4030\2017-04-29 --exclude "*" --recursive --include "*20170429*" &amp; "%USERPROFILE%\Documents\GitHub\mrs-test-scripts\Headless Mode &amp; Sideloading\WalkAndUnGZ.bat" "%USERPROFILE%\AppData\Local\Temp\OnboardLogs"\RTDC4030\2017-04-29</v>
      </c>
      <c r="AF232" s="77" t="str">
        <f t="shared" si="84"/>
        <v>"C:\Program Files (x86)\AstroGrep\AstroGrep.exe" /e /r /s /spath="%USERPROFILE%\AppData\Local\Temp\OnboardLogs" /stypes="app*4030*20170428*" /stext=" 22:.+((SYSTEM_STATE.+slice.+state.+changed )|(ment ac)|(multiple cpu faults)|(system.+state.+changed )|(\[timeout)|(PRM\|1\|D)|(kpr)|(kdp)|(train.+moving)|(\|lc)|(penalty))"</v>
      </c>
      <c r="AG232" s="1" t="str">
        <f t="shared" si="85"/>
        <v>Other</v>
      </c>
      <c r="AH232" s="81" t="str">
        <f t="shared" si="86"/>
        <v>"%USERPROFILE%\Documents\GitHub\eaglep3\Utilities\RefineRTDCRunTimes.py" --tripid 66-28 --locoid 4030 --swversion DE.1.0.9.0 --startMP 204:1479 --initTime 2017-04-28T16:09:31 --startdatetime 2017-04-28T16:11:00 --delay 1 --endMP 204:1479 --enddatetime 2017-04-28T16:12:00 --enforcementcount 0 &gt;&gt;C:\Users\stu\Documents\GitHub\eaglep3-reporting\EC\2017-04-28-refined-times.txt</v>
      </c>
      <c r="AI232" s="99" t="str">
        <f t="shared" si="87"/>
        <v>echo {"issue":{"subject":"Onboard in-route failure","project_id":79,"tracker_id":40,"status_id":1,"priority_id":2,"assigned_to_id":23,"start_date":"2017-04-28","description":"","custom_fields":[{"id":1,"name":"Subdivision","value":"Other"},{"id":4,"name":"Milepost","value":"0.1479"},{"id":17,"name":"Train ID","value":"66-28"},{"id":16,"name":"Locomotive ID","value":"4030"},{"id":130,"name":"Impact","value":""},{"id":150,"name":"Time of Event (Mountain Time)","value":"16:12:00"},{"id":151,"name":"Denver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20"/>
      <c r="AK232" s="47"/>
      <c r="AL232" s="47"/>
      <c r="AM232" s="145" t="str">
        <f t="shared" si="88"/>
        <v>start /low /b %USERPROFILE%\Documents\GitHub\eaglep3\Utilities\DownloadLogsFromS3.py --loco 4030 --day 2017-04-28</v>
      </c>
      <c r="AN232" s="154" t="str">
        <f t="shared" si="89"/>
        <v>echo {"issue":{"subject":"Onboard in-route failure","project_id":30,"tracker_id":4,"status_id":1,"priority_id":1,"assigned_to_id":10,"start_date":"2017-04-28","description":"","custom_fields":[{"id":30,"name":"Category","value":"Issue"},{"id":3,"name":"Functional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22:12:00"},{"id":29,"name":"Sharepoint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3" spans="1:40" x14ac:dyDescent="0.25">
      <c r="A233" s="32" t="s">
        <v>629</v>
      </c>
      <c r="B233" s="7">
        <v>4031</v>
      </c>
      <c r="C233" s="21" t="s">
        <v>211</v>
      </c>
      <c r="D233" s="21" t="s">
        <v>951</v>
      </c>
      <c r="E233" s="13">
        <v>42853.746215277781</v>
      </c>
      <c r="F233" s="13">
        <v>42853.748541666668</v>
      </c>
      <c r="G233" s="7">
        <v>1</v>
      </c>
      <c r="H233" s="21" t="s">
        <v>952</v>
      </c>
      <c r="I233" s="13">
        <v>42853.754918981482</v>
      </c>
      <c r="J233" s="7">
        <v>0</v>
      </c>
      <c r="K233" s="92" t="str">
        <f t="shared" si="74"/>
        <v>4031/4032</v>
      </c>
      <c r="L233" s="21" t="str">
        <f>VLOOKUP(A233,'Trips&amp;Operators'!$C$1:$G$99999,5,FALSE)</f>
        <v>PERKINS DARREN</v>
      </c>
      <c r="M233" s="6">
        <f t="shared" si="75"/>
        <v>6.3773148140171543E-3</v>
      </c>
      <c r="N233" s="7">
        <f t="shared" ref="N233:N242" si="92">24*60*SUM($M233:$M233)</f>
        <v>9.1833333321847022</v>
      </c>
      <c r="O233" s="7"/>
      <c r="P233" s="7"/>
      <c r="Q233" s="22"/>
      <c r="R233" s="190"/>
      <c r="S233" s="196">
        <f t="shared" si="91"/>
        <v>0</v>
      </c>
      <c r="T233" s="190" t="e">
        <f t="shared" si="76"/>
        <v>#VALUE!</v>
      </c>
      <c r="U233" s="190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91" t="str">
        <f t="shared" si="77"/>
        <v>https://d0f6bd738d7f1b3e5a7ca70fe4ff75f0.us-east-1.aws.found.io/app/kibana#/discover/Steve-Slow-Train-Analysis-(2080s-and-2083s)?_g=(refreshInterval:(display:Off,pause:!f,section:0,value:0),time:(from:'2017-04-28T16:54:33-0600',mode:absolute,to:'2017-04-28T19:07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33" s="192" t="str">
        <f t="shared" si="78"/>
        <v>Y</v>
      </c>
      <c r="X233" s="192" t="e">
        <f t="shared" si="90"/>
        <v>#VALUE!</v>
      </c>
      <c r="Y233" s="192">
        <f t="shared" si="79"/>
        <v>2.4289999999999998</v>
      </c>
      <c r="Z233" s="192">
        <f t="shared" si="80"/>
        <v>0.14560000000000001</v>
      </c>
      <c r="AA233" s="192">
        <f t="shared" si="81"/>
        <v>2.2833999999999999</v>
      </c>
      <c r="AB233" s="57" t="e">
        <f>VLOOKUP(A233,Enforcements!$C$7:$K$13,8,0)</f>
        <v>#N/A</v>
      </c>
      <c r="AC233" s="53" t="e">
        <f>VLOOKUP(A233,Enforcements!$C$7:$E$13,3,0)</f>
        <v>#N/A</v>
      </c>
      <c r="AD233" s="54" t="str">
        <f t="shared" si="82"/>
        <v>70-28</v>
      </c>
      <c r="AE233" s="80" t="str">
        <f t="shared" si="83"/>
        <v>aws s3 cp s3://rtdc.mdm.uploadarchive.raw/RTDC4031/ "%USERPROFILE%\AppData\Local\Temp\OnboardLogs"\RTDC4031\2017-04-28 --exclude "*" --recursive --include "*20170428*" &amp; "%USERPROFILE%\Documents\GitHub\mrs-test-scripts\Headless Mode &amp; Sideloading\WalkAndUnGZ.bat" "%USERPROFILE%\AppData\Local\Temp\OnboardLogs"\RTDC4031\2017-04-28 &amp; aws s3 cp s3://rtdc.mdm.uploadarchive.raw/RTDC4031/ "%USERPROFILE%\AppData\Local\Temp\OnboardLogs"\RTDC4031\2017-04-29 --exclude "*" --recursive --include "*20170429*" &amp; "%USERPROFILE%\Documents\GitHub\mrs-test-scripts\Headless Mode &amp; Sideloading\WalkAndUnGZ.bat" "%USERPROFILE%\AppData\Local\Temp\OnboardLogs"\RTDC4031\2017-04-29</v>
      </c>
      <c r="AF233" s="77" t="str">
        <f t="shared" si="84"/>
        <v>"C:\Program Files (x86)\AstroGrep\AstroGrep.exe" /e /r /s /spath="%USERPROFILE%\AppData\Local\Temp\OnboardLogs" /stypes="app*4031*20170429*" /stext=" 00:.+((SYSTEM_STATE.+slice.+state.+changed )|(ment ac)|(multiple cpu faults)|(system.+state.+changed )|(\[timeout)|(PRM\|1\|D)|(kpr)|(kdp)|(train.+moving)|(\|lc)|(penalty))"</v>
      </c>
      <c r="AG233" s="1" t="str">
        <f t="shared" si="85"/>
        <v>Other</v>
      </c>
      <c r="AH233" s="81" t="str">
        <f t="shared" si="86"/>
        <v>"%USERPROFILE%\Documents\GitHub\eaglep3\Utilities\RefineRTDCRunTimes.py" --tripid 70-28 --locoid 4031 --swversion DE.1.0.9.0 --startMP 300:24290 --initTime 2017-04-28T17:54:33 --startdatetime 2017-04-28T17:57:54 --delay 1 --endMP 204:1456 --enddatetime 2017-04-28T18:07:05 --enforcementcount 0 &gt;&gt;C:\Users\stu\Documents\GitHub\eaglep3-reporting\EC\2017-04-28-refined-times.txt</v>
      </c>
      <c r="AI233" s="99" t="str">
        <f t="shared" si="87"/>
        <v>echo {"issue":{"subject":"","project_id":79,"tracker_id":40,"status_id":1,"priority_id":2,"assigned_to_id":23,"start_date":"2017-04-28","description":"","custom_fields":[{"id":1,"name":"Subdivision","value":"Other"},{"id":4,"name":"Milepost","value":"0.1456"},{"id":17,"name":"Train ID","value":"70-28"},{"id":16,"name":"Locomotive ID","value":"4031"},{"id":130,"name":"Impact","value":""},{"id":150,"name":"Time of Event (Mountain Time)","value":"18:07:05"},{"id":151,"name":"Denver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20"/>
      <c r="AK233" s="47"/>
      <c r="AL233" s="47"/>
      <c r="AM233" s="145" t="str">
        <f t="shared" si="88"/>
        <v>start /low /b %USERPROFILE%\Documents\GitHub\eaglep3\Utilities\DownloadLogsFromS3.py --loco 4031 --day 2017-04-28</v>
      </c>
      <c r="AN233" s="154" t="str">
        <f t="shared" si="89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00:07:05"},{"id":29,"name":"Sharepoint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4" spans="1:40" s="20" customFormat="1" x14ac:dyDescent="0.25">
      <c r="A234" s="32" t="s">
        <v>828</v>
      </c>
      <c r="B234" s="7">
        <v>4012</v>
      </c>
      <c r="C234" s="21" t="s">
        <v>211</v>
      </c>
      <c r="D234" s="21" t="s">
        <v>953</v>
      </c>
      <c r="E234" s="13">
        <v>42853.956388888888</v>
      </c>
      <c r="F234" s="13">
        <v>42853.958344907405</v>
      </c>
      <c r="G234" s="7">
        <v>1</v>
      </c>
      <c r="H234" s="21" t="s">
        <v>592</v>
      </c>
      <c r="I234" s="13">
        <v>42853.964907407404</v>
      </c>
      <c r="J234" s="7">
        <v>0</v>
      </c>
      <c r="K234" s="92" t="str">
        <f t="shared" si="74"/>
        <v>4011/4012</v>
      </c>
      <c r="L234" s="21" t="str">
        <f>VLOOKUP(A234,'Trips&amp;Operators'!$C$1:$G$99999,5,FALSE)</f>
        <v>WILLIAMS DONTE</v>
      </c>
      <c r="M234" s="6">
        <f t="shared" si="75"/>
        <v>6.5624999988358468E-3</v>
      </c>
      <c r="N234" s="7">
        <f t="shared" si="92"/>
        <v>9.4499999983236194</v>
      </c>
      <c r="O234" s="7"/>
      <c r="P234" s="7"/>
      <c r="Q234" s="22"/>
      <c r="R234" s="190"/>
      <c r="S234" s="196">
        <f t="shared" si="91"/>
        <v>0</v>
      </c>
      <c r="T234" s="190" t="e">
        <f t="shared" si="76"/>
        <v>#VALUE!</v>
      </c>
      <c r="U234" s="190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191" t="str">
        <f t="shared" si="77"/>
        <v>https://d0f6bd738d7f1b3e5a7ca70fe4ff75f0.us-east-1.aws.found.io/app/kibana#/discover/Steve-Slow-Train-Analysis-(2080s-and-2083s)?_g=(refreshInterval:(display:Off,pause:!f,section:0,value:0),time:(from:'2017-04-28T21:57:12-0600',mode:absolute,to:'2017-04-29T00:09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34" s="192" t="str">
        <f t="shared" si="78"/>
        <v>Y</v>
      </c>
      <c r="X234" s="192" t="e">
        <f t="shared" si="90"/>
        <v>#VALUE!</v>
      </c>
      <c r="Y234" s="192">
        <f t="shared" si="79"/>
        <v>2.1892</v>
      </c>
      <c r="Z234" s="192">
        <f t="shared" si="80"/>
        <v>2.3315999999999999</v>
      </c>
      <c r="AA234" s="192">
        <f t="shared" si="81"/>
        <v>0.14239999999999986</v>
      </c>
      <c r="AB234" s="57" t="e">
        <f>VLOOKUP(A234,Enforcements!$C$7:$K$13,8,0)</f>
        <v>#N/A</v>
      </c>
      <c r="AC234" s="53" t="e">
        <f>VLOOKUP(A234,Enforcements!$C$7:$E$13,3,0)</f>
        <v>#N/A</v>
      </c>
      <c r="AD234" s="54" t="str">
        <f t="shared" si="82"/>
        <v>77-28</v>
      </c>
      <c r="AE234" s="80" t="str">
        <f t="shared" si="83"/>
        <v>aws s3 cp s3://rtdc.mdm.uploadarchive.raw/RTDC4012/ "%USERPROFILE%\AppData\Local\Temp\OnboardLogs"\RTDC4012\2017-04-28 --exclude "*" --recursive --include "*20170428*" &amp; "%USERPROFILE%\Documents\GitHub\mrs-test-scripts\Headless Mode &amp; Sideloading\WalkAndUnGZ.bat" "%USERPROFILE%\AppData\Local\Temp\OnboardLogs"\RTDC4012\2017-04-28 &amp; aws s3 cp s3://rtdc.mdm.uploadarchive.raw/RTDC4012/ "%USERPROFILE%\AppData\Local\Temp\OnboardLogs"\RTDC4012\2017-04-29 --exclude "*" --recursive --include "*20170429*" &amp; "%USERPROFILE%\Documents\GitHub\mrs-test-scripts\Headless Mode &amp; Sideloading\WalkAndUnGZ.bat" "%USERPROFILE%\AppData\Local\Temp\OnboardLogs"\RTDC4012\2017-04-29</v>
      </c>
      <c r="AF234" s="77" t="str">
        <f t="shared" si="84"/>
        <v>"C:\Program Files (x86)\AstroGrep\AstroGrep.exe" /e /r /s /spath="%USERPROFILE%\AppData\Local\Temp\OnboardLogs" /stypes="app*4012*20170429*" /stext=" 05:.+((SYSTEM_STATE.+slice.+state.+changed )|(ment ac)|(multiple cpu faults)|(system.+state.+changed )|(\[timeout)|(PRM\|1\|D)|(kpr)|(kdp)|(train.+moving)|(\|lc)|(penalty))"</v>
      </c>
      <c r="AG234" s="1" t="str">
        <f t="shared" si="85"/>
        <v>Other</v>
      </c>
      <c r="AH234" s="81" t="str">
        <f t="shared" si="86"/>
        <v>"%USERPROFILE%\Documents\GitHub\eaglep3\Utilities\RefineRTDCRunTimes.py" --tripid 77-28 --locoid 4012 --swversion DE.1.0.9.0 --startMP 300:21892 --initTime 2017-04-28T22:57:12 --startdatetime 2017-04-28T23:00:01 --delay 1 --endMP 300:23316 --enddatetime 2017-04-28T23:09:28 --enforcementcount 0 &gt;&gt;C:\Users\stu\Documents\GitHub\eaglep3-reporting\EC\2017-04-28-refined-times.txt</v>
      </c>
      <c r="AI234" s="99" t="str">
        <f t="shared" si="87"/>
        <v>echo {"issue":{"subject":"","project_id":79,"tracker_id":40,"status_id":1,"priority_id":2,"assigned_to_id":23,"start_date":"2017-04-28","description":"","custom_fields":[{"id":1,"name":"Subdivision","value":"Other"},{"id":4,"name":"Milepost","value":"2.3316"},{"id":17,"name":"Train ID","value":"77-28"},{"id":16,"name":"Locomotive ID","value":"4012"},{"id":130,"name":"Impact","value":""},{"id":150,"name":"Time of Event (Mountain Time)","value":"23:09:28"},{"id":151,"name":"Denver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34" s="47"/>
      <c r="AL234" s="47"/>
      <c r="AM234" s="145" t="str">
        <f t="shared" si="88"/>
        <v>start /low /b %USERPROFILE%\Documents\GitHub\eaglep3\Utilities\DownloadLogsFromS3.py --loco 4012 --day 2017-04-28</v>
      </c>
      <c r="AN234" s="154" t="str">
        <f t="shared" si="89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05:09:28"},{"id":29,"name":"Sharepoint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5" spans="1:40" x14ac:dyDescent="0.25">
      <c r="A235" s="32" t="s">
        <v>637</v>
      </c>
      <c r="B235" s="7">
        <v>4061</v>
      </c>
      <c r="C235" s="21" t="s">
        <v>211</v>
      </c>
      <c r="D235" s="21" t="s">
        <v>954</v>
      </c>
      <c r="E235" s="13">
        <v>42853.974386574075</v>
      </c>
      <c r="F235" s="13">
        <v>42853.98128472222</v>
      </c>
      <c r="G235" s="7">
        <v>1</v>
      </c>
      <c r="H235" s="21" t="s">
        <v>955</v>
      </c>
      <c r="I235" s="13">
        <v>42854.006076388891</v>
      </c>
      <c r="J235" s="7">
        <v>0</v>
      </c>
      <c r="K235" s="92" t="str">
        <f t="shared" si="74"/>
        <v>4061/4062</v>
      </c>
      <c r="L235" s="21" t="str">
        <f>VLOOKUP(A235,'Trips&amp;Operators'!$C$1:$G$99999,5,FALSE)</f>
        <v>MAGEE KENYA</v>
      </c>
      <c r="M235" s="6">
        <f t="shared" si="75"/>
        <v>2.4791666670353152E-2</v>
      </c>
      <c r="N235" s="7">
        <f t="shared" si="92"/>
        <v>35.700000005308539</v>
      </c>
      <c r="O235" s="7"/>
      <c r="P235" s="7"/>
      <c r="Q235" s="22"/>
      <c r="R235" s="190"/>
      <c r="S235" s="196">
        <f t="shared" si="91"/>
        <v>0</v>
      </c>
      <c r="T235" s="190" t="e">
        <f t="shared" si="76"/>
        <v>#VALUE!</v>
      </c>
      <c r="U235" s="190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191" t="str">
        <f t="shared" si="77"/>
        <v>https://d0f6bd738d7f1b3e5a7ca70fe4ff75f0.us-east-1.aws.found.io/app/kibana#/discover/Steve-Slow-Train-Analysis-(2080s-and-2083s)?_g=(refreshInterval:(display:Off,pause:!f,section:0,value:0),time:(from:'2017-04-28T22:23:07-0600',mode:absolute,to:'2017-04-29T01:08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35" s="192" t="str">
        <f t="shared" si="78"/>
        <v>N</v>
      </c>
      <c r="X235" s="192" t="e">
        <f t="shared" si="90"/>
        <v>#VALUE!</v>
      </c>
      <c r="Y235" s="192">
        <f t="shared" si="79"/>
        <v>23.262899999999998</v>
      </c>
      <c r="Z235" s="192">
        <f t="shared" si="80"/>
        <v>3.7641</v>
      </c>
      <c r="AA235" s="192">
        <f t="shared" si="81"/>
        <v>19.498799999999999</v>
      </c>
      <c r="AB235" s="57" t="e">
        <f>VLOOKUP(A235,Enforcements!$C$7:$K$13,8,0)</f>
        <v>#N/A</v>
      </c>
      <c r="AC235" s="53" t="e">
        <f>VLOOKUP(A235,Enforcements!$C$7:$E$13,3,0)</f>
        <v>#N/A</v>
      </c>
      <c r="AD235" s="54" t="str">
        <f t="shared" si="82"/>
        <v>80-28</v>
      </c>
      <c r="AE235" s="80" t="str">
        <f t="shared" si="83"/>
        <v>aws s3 cp s3://rtdc.mdm.uploadarchive.raw/RTDC4061/ "%USERPROFILE%\AppData\Local\Temp\OnboardLogs"\RTDC4061\2017-04-28 --exclude "*" --recursive --include "*20170428*" &amp; "%USERPROFILE%\Documents\GitHub\mrs-test-scripts\Headless Mode &amp; Sideloading\WalkAndUnGZ.bat" "%USERPROFILE%\AppData\Local\Temp\OnboardLogs"\RTDC4061\2017-04-28 &amp; aws s3 cp s3://rtdc.mdm.uploadarchive.raw/RTDC4061/ "%USERPROFILE%\AppData\Local\Temp\OnboardLogs"\RTDC4061\2017-04-29 --exclude "*" --recursive --include "*20170429*" &amp; "%USERPROFILE%\Documents\GitHub\mrs-test-scripts\Headless Mode &amp; Sideloading\WalkAndUnGZ.bat" "%USERPROFILE%\AppData\Local\Temp\OnboardLogs"\RTDC4061\2017-04-29</v>
      </c>
      <c r="AF235" s="77" t="str">
        <f t="shared" si="84"/>
        <v>"C:\Program Files (x86)\AstroGrep\AstroGrep.exe" /e /r /s /spath="%USERPROFILE%\AppData\Local\Temp\OnboardLogs" /stypes="app*4061*20170429*" /stext=" 06:.+((SYSTEM_STATE.+slice.+state.+changed )|(ment ac)|(multiple cpu faults)|(system.+state.+changed )|(\[timeout)|(PRM\|1\|D)|(kpr)|(kdp)|(train.+moving)|(\|lc)|(penalty))"</v>
      </c>
      <c r="AG235" s="1" t="str">
        <f t="shared" si="85"/>
        <v>Other</v>
      </c>
      <c r="AH235" s="81" t="str">
        <f t="shared" si="86"/>
        <v>"%USERPROFILE%\Documents\GitHub\eaglep3\Utilities\RefineRTDCRunTimes.py" --tripid 80-28 --locoid 4061 --swversion DE.1.0.9.0 --startMP 204:232629 --initTime 2017-04-28T23:23:07 --startdatetime 2017-04-28T23:33:03 --delay 1 --endMP 204:37641 --enddatetime 2017-04-29T00:08:45 --enforcementcount 0 &gt;&gt;C:\Users\stu\Documents\GitHub\eaglep3-reporting\EC\2017-04-28-refined-times.txt</v>
      </c>
      <c r="AI235" s="99" t="str">
        <f t="shared" si="87"/>
        <v>echo {"issue":{"subject":"","project_id":79,"tracker_id":40,"status_id":1,"priority_id":2,"assigned_to_id":23,"start_date":"2017-04-29","description":"","custom_fields":[{"id":1,"name":"Subdivision","value":"Other"},{"id":4,"name":"Milepost","value":"3.7641"},{"id":17,"name":"Train ID","value":"80-28"},{"id":16,"name":"Locomotive ID","value":"4061"},{"id":130,"name":"Impact","value":""},{"id":150,"name":"Time of Event (Mountain Time)","value":"00:08:45"},{"id":151,"name":"Denver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20"/>
      <c r="AK235" s="47"/>
      <c r="AL235" s="47"/>
      <c r="AM235" s="145" t="str">
        <f t="shared" si="88"/>
        <v>start /low /b %USERPROFILE%\Documents\GitHub\eaglep3\Utilities\DownloadLogsFromS3.py --loco 4061 --day 2017-04-28</v>
      </c>
      <c r="AN235" s="154" t="str">
        <f t="shared" si="89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06:08:45"},{"id":29,"name":"Sharepoint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6" spans="1:40" x14ac:dyDescent="0.25">
      <c r="A236" s="32" t="s">
        <v>637</v>
      </c>
      <c r="B236" s="7">
        <v>4061</v>
      </c>
      <c r="C236" s="21" t="s">
        <v>211</v>
      </c>
      <c r="D236" s="21" t="s">
        <v>956</v>
      </c>
      <c r="E236" s="13">
        <v>42853.895844907405</v>
      </c>
      <c r="F236" s="13">
        <v>42853.907743055555</v>
      </c>
      <c r="G236" s="7">
        <v>1</v>
      </c>
      <c r="H236" s="21" t="s">
        <v>486</v>
      </c>
      <c r="I236" s="13">
        <v>42853.936122685183</v>
      </c>
      <c r="J236" s="7">
        <v>0</v>
      </c>
      <c r="K236" s="92" t="str">
        <f t="shared" si="74"/>
        <v>4061/4062</v>
      </c>
      <c r="L236" s="21" t="str">
        <f>VLOOKUP(A236,'Trips&amp;Operators'!$C$1:$G$99999,5,FALSE)</f>
        <v>MAGEE KENYA</v>
      </c>
      <c r="M236" s="6">
        <f t="shared" si="75"/>
        <v>2.8379629628034309E-2</v>
      </c>
      <c r="N236" s="7">
        <f t="shared" si="92"/>
        <v>40.866666664369404</v>
      </c>
      <c r="O236" s="7"/>
      <c r="P236" s="7"/>
      <c r="Q236" s="22"/>
      <c r="R236" s="190"/>
      <c r="S236" s="196">
        <f t="shared" si="91"/>
        <v>0</v>
      </c>
      <c r="T236" s="190" t="e">
        <f t="shared" si="76"/>
        <v>#VALUE!</v>
      </c>
      <c r="U236" s="190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191" t="str">
        <f t="shared" si="77"/>
        <v>https://d0f6bd738d7f1b3e5a7ca70fe4ff75f0.us-east-1.aws.found.io/app/kibana#/discover/Steve-Slow-Train-Analysis-(2080s-and-2083s)?_g=(refreshInterval:(display:Off,pause:!f,section:0,value:0),time:(from:'2017-04-28T20:30:01-0600',mode:absolute,to:'2017-04-28T23:28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36" s="192" t="str">
        <f t="shared" si="78"/>
        <v>N</v>
      </c>
      <c r="X236" s="192" t="e">
        <f t="shared" si="90"/>
        <v>#VALUE!</v>
      </c>
      <c r="Y236" s="192">
        <f t="shared" si="79"/>
        <v>23.2667</v>
      </c>
      <c r="Z236" s="192">
        <f t="shared" si="80"/>
        <v>1.7000000000000001E-2</v>
      </c>
      <c r="AA236" s="192">
        <f t="shared" si="81"/>
        <v>23.249700000000001</v>
      </c>
      <c r="AB236" s="57" t="e">
        <f>VLOOKUP(A236,Enforcements!$C$7:$K$13,8,0)</f>
        <v>#N/A</v>
      </c>
      <c r="AC236" s="53" t="e">
        <f>VLOOKUP(A236,Enforcements!$C$7:$E$13,3,0)</f>
        <v>#N/A</v>
      </c>
      <c r="AD236" s="54" t="str">
        <f t="shared" si="82"/>
        <v>80-28</v>
      </c>
      <c r="AE236" s="80" t="str">
        <f t="shared" si="83"/>
        <v>aws s3 cp s3://rtdc.mdm.uploadarchive.raw/RTDC4061/ "%USERPROFILE%\AppData\Local\Temp\OnboardLogs"\RTDC4061\2017-04-28 --exclude "*" --recursive --include "*20170428*" &amp; "%USERPROFILE%\Documents\GitHub\mrs-test-scripts\Headless Mode &amp; Sideloading\WalkAndUnGZ.bat" "%USERPROFILE%\AppData\Local\Temp\OnboardLogs"\RTDC4061\2017-04-28 &amp; aws s3 cp s3://rtdc.mdm.uploadarchive.raw/RTDC4061/ "%USERPROFILE%\AppData\Local\Temp\OnboardLogs"\RTDC4061\2017-04-29 --exclude "*" --recursive --include "*20170429*" &amp; "%USERPROFILE%\Documents\GitHub\mrs-test-scripts\Headless Mode &amp; Sideloading\WalkAndUnGZ.bat" "%USERPROFILE%\AppData\Local\Temp\OnboardLogs"\RTDC4061\2017-04-29</v>
      </c>
      <c r="AF236" s="77" t="str">
        <f t="shared" si="84"/>
        <v>"C:\Program Files (x86)\AstroGrep\AstroGrep.exe" /e /r /s /spath="%USERPROFILE%\AppData\Local\Temp\OnboardLogs" /stypes="app*4061*20170429*" /stext=" 04:.+((SYSTEM_STATE.+slice.+state.+changed )|(ment ac)|(multiple cpu faults)|(system.+state.+changed )|(\[timeout)|(PRM\|1\|D)|(kpr)|(kdp)|(train.+moving)|(\|lc)|(penalty))"</v>
      </c>
      <c r="AG236" s="1" t="str">
        <f t="shared" si="85"/>
        <v>Other</v>
      </c>
      <c r="AH236" s="81" t="str">
        <f t="shared" si="86"/>
        <v>"%USERPROFILE%\Documents\GitHub\eaglep3\Utilities\RefineRTDCRunTimes.py" --tripid 80-28 --locoid 4061 --swversion DE.1.0.9.0 --startMP 204:232667 --initTime 2017-04-28T21:30:01 --startdatetime 2017-04-28T21:47:09 --delay 1 --endMP 204:170 --enddatetime 2017-04-28T22:28:01 --enforcementcount 0 &gt;&gt;C:\Users\stu\Documents\GitHub\eaglep3-reporting\EC\2017-04-28-refined-times.txt</v>
      </c>
      <c r="AI236" s="99" t="str">
        <f t="shared" si="87"/>
        <v>echo {"issue":{"subject":"","project_id":79,"tracker_id":40,"status_id":1,"priority_id":2,"assigned_to_id":23,"start_date":"2017-04-28","description":"","custom_fields":[{"id":1,"name":"Subdivision","value":"Other"},{"id":4,"name":"Milepost","value":"0.017"},{"id":17,"name":"Train ID","value":"80-28"},{"id":16,"name":"Locomotive ID","value":"4061"},{"id":130,"name":"Impact","value":""},{"id":150,"name":"Time of Event (Mountain Time)","value":"22:28:01"},{"id":151,"name":"Denver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20"/>
      <c r="AK236" s="47"/>
      <c r="AL236" s="47"/>
      <c r="AM236" s="145" t="str">
        <f t="shared" si="88"/>
        <v>start /low /b %USERPROFILE%\Documents\GitHub\eaglep3\Utilities\DownloadLogsFromS3.py --loco 4061 --day 2017-04-28</v>
      </c>
      <c r="AN236" s="154" t="str">
        <f t="shared" si="89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04:28:01"},{"id":29,"name":"Sharepoint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7" spans="1:40" x14ac:dyDescent="0.25">
      <c r="A237" s="32" t="s">
        <v>637</v>
      </c>
      <c r="B237" s="7">
        <v>4061</v>
      </c>
      <c r="C237" s="21" t="s">
        <v>211</v>
      </c>
      <c r="D237" s="21" t="s">
        <v>957</v>
      </c>
      <c r="E237" s="13">
        <v>42853.831099537034</v>
      </c>
      <c r="F237" s="13">
        <v>42853.866365740738</v>
      </c>
      <c r="G237" s="7">
        <v>5</v>
      </c>
      <c r="H237" s="21" t="s">
        <v>560</v>
      </c>
      <c r="I237" s="13">
        <v>42853.893865740742</v>
      </c>
      <c r="J237" s="7">
        <v>0</v>
      </c>
      <c r="K237" s="92" t="str">
        <f t="shared" si="74"/>
        <v>4061/4062</v>
      </c>
      <c r="L237" s="21" t="str">
        <f>VLOOKUP(A237,'Trips&amp;Operators'!$C$1:$G$99999,5,FALSE)</f>
        <v>MAGEE KENYA</v>
      </c>
      <c r="M237" s="6">
        <f t="shared" si="75"/>
        <v>2.7500000003783498E-2</v>
      </c>
      <c r="N237" s="7">
        <f t="shared" si="92"/>
        <v>39.600000005448237</v>
      </c>
      <c r="O237" s="7"/>
      <c r="P237" s="7"/>
      <c r="Q237" s="22"/>
      <c r="R237" s="190"/>
      <c r="S237" s="196">
        <f t="shared" si="91"/>
        <v>0</v>
      </c>
      <c r="T237" s="190" t="e">
        <f t="shared" si="76"/>
        <v>#VALUE!</v>
      </c>
      <c r="U237" s="190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191" t="str">
        <f t="shared" si="77"/>
        <v>https://d0f6bd738d7f1b3e5a7ca70fe4ff75f0.us-east-1.aws.found.io/app/kibana#/discover/Steve-Slow-Train-Analysis-(2080s-and-2083s)?_g=(refreshInterval:(display:Off,pause:!f,section:0,value:0),time:(from:'2017-04-28T18:56:47-0600',mode:absolute,to:'2017-04-28T22:27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37" s="192" t="str">
        <f t="shared" si="78"/>
        <v>Y</v>
      </c>
      <c r="X237" s="192" t="e">
        <f t="shared" si="90"/>
        <v>#VALUE!</v>
      </c>
      <c r="Y237" s="192">
        <f t="shared" si="79"/>
        <v>2.3347000000000002</v>
      </c>
      <c r="Z237" s="192">
        <f t="shared" si="80"/>
        <v>1.6899999999999998E-2</v>
      </c>
      <c r="AA237" s="192">
        <f t="shared" si="81"/>
        <v>2.3178000000000001</v>
      </c>
      <c r="AB237" s="57" t="e">
        <f>VLOOKUP(A237,Enforcements!$C$7:$K$13,8,0)</f>
        <v>#N/A</v>
      </c>
      <c r="AC237" s="53" t="e">
        <f>VLOOKUP(A237,Enforcements!$C$7:$E$13,3,0)</f>
        <v>#N/A</v>
      </c>
      <c r="AD237" s="54" t="str">
        <f t="shared" si="82"/>
        <v>80-28</v>
      </c>
      <c r="AE237" s="80" t="str">
        <f t="shared" si="83"/>
        <v>aws s3 cp s3://rtdc.mdm.uploadarchive.raw/RTDC4061/ "%USERPROFILE%\AppData\Local\Temp\OnboardLogs"\RTDC4061\2017-04-28 --exclude "*" --recursive --include "*20170428*" &amp; "%USERPROFILE%\Documents\GitHub\mrs-test-scripts\Headless Mode &amp; Sideloading\WalkAndUnGZ.bat" "%USERPROFILE%\AppData\Local\Temp\OnboardLogs"\RTDC4061\2017-04-28 &amp; aws s3 cp s3://rtdc.mdm.uploadarchive.raw/RTDC4061/ "%USERPROFILE%\AppData\Local\Temp\OnboardLogs"\RTDC4061\2017-04-29 --exclude "*" --recursive --include "*20170429*" &amp; "%USERPROFILE%\Documents\GitHub\mrs-test-scripts\Headless Mode &amp; Sideloading\WalkAndUnGZ.bat" "%USERPROFILE%\AppData\Local\Temp\OnboardLogs"\RTDC4061\2017-04-29</v>
      </c>
      <c r="AF237" s="77" t="str">
        <f t="shared" si="84"/>
        <v>"C:\Program Files (x86)\AstroGrep\AstroGrep.exe" /e /r /s /spath="%USERPROFILE%\AppData\Local\Temp\OnboardLogs" /stypes="app*4061*20170429*" /stext=" 03:.+((SYSTEM_STATE.+slice.+state.+changed )|(ment ac)|(multiple cpu faults)|(system.+state.+changed )|(\[timeout)|(PRM\|1\|D)|(kpr)|(kdp)|(train.+moving)|(\|lc)|(penalty))"</v>
      </c>
      <c r="AG237" s="1" t="str">
        <f t="shared" si="85"/>
        <v>Other</v>
      </c>
      <c r="AH237" s="81" t="str">
        <f t="shared" si="86"/>
        <v>"%USERPROFILE%\Documents\GitHub\eaglep3\Utilities\RefineRTDCRunTimes.py" --tripid 80-28 --locoid 4061 --swversion DE.1.0.9.0 --startMP 300:23347 --initTime 2017-04-28T19:56:47 --startdatetime 2017-04-28T20:47:34 --delay 5 --endMP 204:169 --enddatetime 2017-04-28T21:27:10 --enforcementcount 0 &gt;&gt;C:\Users\stu\Documents\GitHub\eaglep3-reporting\EC\2017-04-28-refined-times.txt</v>
      </c>
      <c r="AI237" s="99" t="str">
        <f t="shared" si="87"/>
        <v>echo {"issue":{"subject":"","project_id":79,"tracker_id":40,"status_id":1,"priority_id":2,"assigned_to_id":23,"start_date":"2017-04-28","description":"","custom_fields":[{"id":1,"name":"Subdivision","value":"Other"},{"id":4,"name":"Milepost","value":"0.0169"},{"id":17,"name":"Train ID","value":"80-28"},{"id":16,"name":"Locomotive ID","value":"4061"},{"id":130,"name":"Impact","value":""},{"id":150,"name":"Time of Event (Mountain Time)","value":"21:27:10"},{"id":151,"name":"Denver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20"/>
      <c r="AK237" s="47"/>
      <c r="AL237" s="47"/>
      <c r="AM237" s="145" t="str">
        <f t="shared" si="88"/>
        <v>start /low /b %USERPROFILE%\Documents\GitHub\eaglep3\Utilities\DownloadLogsFromS3.py --loco 4061 --day 2017-04-28</v>
      </c>
      <c r="AN237" s="154" t="str">
        <f t="shared" si="89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03:27:10"},{"id":29,"name":"Sharepoint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8" spans="1:40" x14ac:dyDescent="0.25">
      <c r="A238" s="32" t="s">
        <v>814</v>
      </c>
      <c r="B238" s="7">
        <v>4060</v>
      </c>
      <c r="C238" s="21" t="s">
        <v>211</v>
      </c>
      <c r="D238" s="21" t="s">
        <v>976</v>
      </c>
      <c r="E238" s="13">
        <v>42853.856342592589</v>
      </c>
      <c r="F238" s="13">
        <v>42853.866365740738</v>
      </c>
      <c r="G238" s="7">
        <v>1</v>
      </c>
      <c r="H238" s="21" t="s">
        <v>910</v>
      </c>
      <c r="I238" s="13">
        <v>42853.893865740742</v>
      </c>
      <c r="J238" s="7">
        <v>0</v>
      </c>
      <c r="K238" s="92" t="str">
        <f t="shared" si="74"/>
        <v>4059/4060</v>
      </c>
      <c r="L238" s="21" t="str">
        <f>VLOOKUP(A238,'Trips&amp;Operators'!$C$1:$G$99999,5,FALSE)</f>
        <v>MAGEE KENYA</v>
      </c>
      <c r="M238" s="6">
        <f t="shared" si="75"/>
        <v>2.7500000003783498E-2</v>
      </c>
      <c r="N238" s="7">
        <f t="shared" si="92"/>
        <v>39.600000005448237</v>
      </c>
      <c r="O238" s="7"/>
      <c r="P238" s="7"/>
      <c r="Q238" s="22"/>
      <c r="R238" s="190"/>
      <c r="S238" s="196">
        <f t="shared" si="91"/>
        <v>0</v>
      </c>
      <c r="T238" s="190" t="e">
        <f t="shared" si="76"/>
        <v>#VALUE!</v>
      </c>
      <c r="U238" s="190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191" t="str">
        <f t="shared" si="77"/>
        <v>https://d0f6bd738d7f1b3e5a7ca70fe4ff75f0.us-east-1.aws.found.io/app/kibana#/discover/Steve-Slow-Train-Analysis-(2080s-and-2083s)?_g=(refreshInterval:(display:Off,pause:!f,section:0,value:0),time:(from:'2017-04-28T19:33:08-0600',mode:absolute,to:'2017-04-28T22:27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38" s="192" t="str">
        <f t="shared" si="78"/>
        <v>N</v>
      </c>
      <c r="X238" s="192" t="e">
        <f t="shared" si="90"/>
        <v>#VALUE!</v>
      </c>
      <c r="Y238" s="192">
        <f t="shared" si="79"/>
        <v>7.4399999999999994E-2</v>
      </c>
      <c r="Z238" s="192">
        <f t="shared" si="80"/>
        <v>23.334299999999999</v>
      </c>
      <c r="AA238" s="192">
        <f t="shared" si="81"/>
        <v>23.259899999999998</v>
      </c>
      <c r="AB238" s="57" t="e">
        <f>VLOOKUP(A238,Enforcements!$C$7:$K$13,8,0)</f>
        <v>#N/A</v>
      </c>
      <c r="AC238" s="53" t="e">
        <f>VLOOKUP(A238,Enforcements!$C$7:$E$13,3,0)</f>
        <v>#N/A</v>
      </c>
      <c r="AD238" s="54" t="str">
        <f t="shared" si="82"/>
        <v>81-28</v>
      </c>
      <c r="AE238" s="80" t="str">
        <f t="shared" si="83"/>
        <v>aws s3 cp s3://rtdc.mdm.uploadarchive.raw/RTDC4060/ "%USERPROFILE%\AppData\Local\Temp\OnboardLogs"\RTDC4060\2017-04-28 --exclude "*" --recursive --include "*20170428*" &amp; "%USERPROFILE%\Documents\GitHub\mrs-test-scripts\Headless Mode &amp; Sideloading\WalkAndUnGZ.bat" "%USERPROFILE%\AppData\Local\Temp\OnboardLogs"\RTDC4060\2017-04-28 &amp; aws s3 cp s3://rtdc.mdm.uploadarchive.raw/RTDC4060/ "%USERPROFILE%\AppData\Local\Temp\OnboardLogs"\RTDC4060\2017-04-29 --exclude "*" --recursive --include "*20170429*" &amp; "%USERPROFILE%\Documents\GitHub\mrs-test-scripts\Headless Mode &amp; Sideloading\WalkAndUnGZ.bat" "%USERPROFILE%\AppData\Local\Temp\OnboardLogs"\RTDC4060\2017-04-29</v>
      </c>
      <c r="AF238" s="77" t="str">
        <f t="shared" si="84"/>
        <v>"C:\Program Files (x86)\AstroGrep\AstroGrep.exe" /e /r /s /spath="%USERPROFILE%\AppData\Local\Temp\OnboardLogs" /stypes="app*4060*20170429*" /stext=" 03:.+((SYSTEM_STATE.+slice.+state.+changed )|(ment ac)|(multiple cpu faults)|(system.+state.+changed )|(\[timeout)|(PRM\|1\|D)|(kpr)|(kdp)|(train.+moving)|(\|lc)|(penalty))"</v>
      </c>
      <c r="AG238" s="1" t="str">
        <f t="shared" si="85"/>
        <v>Other</v>
      </c>
      <c r="AH238" s="81" t="str">
        <f t="shared" si="86"/>
        <v>"%USERPROFILE%\Documents\GitHub\eaglep3\Utilities\RefineRTDCRunTimes.py" --tripid 81-28 --locoid 4060 --swversion DE.1.0.9.0 --startMP 204:744 --initTime 2017-04-28T20:33:08 --startdatetime 2017-04-28T20:47:34 --delay 1 --endMP 204:233343 --enddatetime 2017-04-28T21:27:10 --enforcementcount 0 &gt;&gt;C:\Users\stu\Documents\GitHub\eaglep3-reporting\EC\2017-04-28-refined-times.txt</v>
      </c>
      <c r="AI238" s="99" t="str">
        <f t="shared" si="87"/>
        <v>echo {"issue":{"subject":"","project_id":79,"tracker_id":40,"status_id":1,"priority_id":2,"assigned_to_id":23,"start_date":"2017-04-28","description":"","custom_fields":[{"id":1,"name":"Subdivision","value":"Other"},{"id":4,"name":"Milepost","value":"23.3343"},{"id":17,"name":"Train ID","value":"81-28"},{"id":16,"name":"Locomotive ID","value":"4060"},{"id":130,"name":"Impact","value":""},{"id":150,"name":"Time of Event (Mountain Time)","value":"21:27:10"},{"id":151,"name":"Denver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20"/>
      <c r="AK238" s="47"/>
      <c r="AL238" s="47"/>
      <c r="AM238" s="145" t="str">
        <f t="shared" si="88"/>
        <v>start /low /b %USERPROFILE%\Documents\GitHub\eaglep3\Utilities\DownloadLogsFromS3.py --loco 4060 --day 2017-04-28</v>
      </c>
      <c r="AN238" s="154" t="str">
        <f t="shared" si="89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03:27:10"},{"id":29,"name":"Sharepoint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9" spans="1:40" x14ac:dyDescent="0.25">
      <c r="A239" s="32" t="s">
        <v>814</v>
      </c>
      <c r="B239" s="7">
        <v>4060</v>
      </c>
      <c r="C239" s="21" t="s">
        <v>211</v>
      </c>
      <c r="D239" s="21" t="s">
        <v>977</v>
      </c>
      <c r="E239" s="13">
        <v>42853.939479166664</v>
      </c>
      <c r="F239" s="13">
        <v>42853.941435185188</v>
      </c>
      <c r="G239" s="7">
        <v>1</v>
      </c>
      <c r="H239" s="21" t="s">
        <v>978</v>
      </c>
      <c r="I239" s="13">
        <v>42853.971319444441</v>
      </c>
      <c r="J239" s="7">
        <v>0</v>
      </c>
      <c r="K239" s="92" t="str">
        <f t="shared" si="74"/>
        <v>4059/4060</v>
      </c>
      <c r="L239" s="21" t="str">
        <f>VLOOKUP(A239,'Trips&amp;Operators'!$C$1:$G$99999,5,FALSE)</f>
        <v>MAGEE KENYA</v>
      </c>
      <c r="M239" s="6">
        <f t="shared" si="75"/>
        <v>2.9884259252867196E-2</v>
      </c>
      <c r="N239" s="7">
        <f t="shared" si="92"/>
        <v>43.033333324128762</v>
      </c>
      <c r="O239" s="7"/>
      <c r="P239" s="7"/>
      <c r="Q239" s="22"/>
      <c r="R239" s="190"/>
      <c r="S239" s="196">
        <f t="shared" si="91"/>
        <v>0</v>
      </c>
      <c r="T239" s="190" t="e">
        <f t="shared" si="76"/>
        <v>#VALUE!</v>
      </c>
      <c r="U239" s="190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191" t="str">
        <f t="shared" si="77"/>
        <v>https://d0f6bd738d7f1b3e5a7ca70fe4ff75f0.us-east-1.aws.found.io/app/kibana#/discover/Steve-Slow-Train-Analysis-(2080s-and-2083s)?_g=(refreshInterval:(display:Off,pause:!f,section:0,value:0),time:(from:'2017-04-28T21:32:51-0600',mode:absolute,to:'2017-04-29T00:18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39" s="192" t="str">
        <f t="shared" si="78"/>
        <v>N</v>
      </c>
      <c r="X239" s="192" t="e">
        <f t="shared" si="90"/>
        <v>#VALUE!</v>
      </c>
      <c r="Y239" s="192">
        <f t="shared" si="79"/>
        <v>7.5200000000000003E-2</v>
      </c>
      <c r="Z239" s="192">
        <f t="shared" si="80"/>
        <v>23.321300000000001</v>
      </c>
      <c r="AA239" s="192">
        <f t="shared" si="81"/>
        <v>23.246100000000002</v>
      </c>
      <c r="AB239" s="57" t="e">
        <f>VLOOKUP(A239,Enforcements!$C$7:$K$13,8,0)</f>
        <v>#N/A</v>
      </c>
      <c r="AC239" s="53" t="e">
        <f>VLOOKUP(A239,Enforcements!$C$7:$E$13,3,0)</f>
        <v>#N/A</v>
      </c>
      <c r="AD239" s="54" t="str">
        <f t="shared" si="82"/>
        <v>81-28</v>
      </c>
      <c r="AE239" s="80" t="str">
        <f t="shared" si="83"/>
        <v>aws s3 cp s3://rtdc.mdm.uploadarchive.raw/RTDC4060/ "%USERPROFILE%\AppData\Local\Temp\OnboardLogs"\RTDC4060\2017-04-28 --exclude "*" --recursive --include "*20170428*" &amp; "%USERPROFILE%\Documents\GitHub\mrs-test-scripts\Headless Mode &amp; Sideloading\WalkAndUnGZ.bat" "%USERPROFILE%\AppData\Local\Temp\OnboardLogs"\RTDC4060\2017-04-28 &amp; aws s3 cp s3://rtdc.mdm.uploadarchive.raw/RTDC4060/ "%USERPROFILE%\AppData\Local\Temp\OnboardLogs"\RTDC4060\2017-04-29 --exclude "*" --recursive --include "*20170429*" &amp; "%USERPROFILE%\Documents\GitHub\mrs-test-scripts\Headless Mode &amp; Sideloading\WalkAndUnGZ.bat" "%USERPROFILE%\AppData\Local\Temp\OnboardLogs"\RTDC4060\2017-04-29</v>
      </c>
      <c r="AF239" s="77" t="str">
        <f t="shared" si="84"/>
        <v>"C:\Program Files (x86)\AstroGrep\AstroGrep.exe" /e /r /s /spath="%USERPROFILE%\AppData\Local\Temp\OnboardLogs" /stypes="app*4060*20170429*" /stext=" 05:.+((SYSTEM_STATE.+slice.+state.+changed )|(ment ac)|(multiple cpu faults)|(system.+state.+changed )|(\[timeout)|(PRM\|1\|D)|(kpr)|(kdp)|(train.+moving)|(\|lc)|(penalty))"</v>
      </c>
      <c r="AG239" s="1" t="str">
        <f t="shared" si="85"/>
        <v>Other</v>
      </c>
      <c r="AH239" s="81" t="str">
        <f t="shared" si="86"/>
        <v>"%USERPROFILE%\Documents\GitHub\eaglep3\Utilities\RefineRTDCRunTimes.py" --tripid 81-28 --locoid 4060 --swversion DE.1.0.9.0 --startMP 204:752 --initTime 2017-04-28T22:32:51 --startdatetime 2017-04-28T22:35:40 --delay 1 --endMP 204:233213 --enddatetime 2017-04-28T23:18:42 --enforcementcount 0 &gt;&gt;C:\Users\stu\Documents\GitHub\eaglep3-reporting\EC\2017-04-28-refined-times.txt</v>
      </c>
      <c r="AI239" s="99" t="str">
        <f t="shared" si="87"/>
        <v>echo {"issue":{"subject":"","project_id":79,"tracker_id":40,"status_id":1,"priority_id":2,"assigned_to_id":23,"start_date":"2017-04-28","description":"","custom_fields":[{"id":1,"name":"Subdivision","value":"Other"},{"id":4,"name":"Milepost","value":"23.3213"},{"id":17,"name":"Train ID","value":"81-28"},{"id":16,"name":"Locomotive ID","value":"4060"},{"id":130,"name":"Impact","value":""},{"id":150,"name":"Time of Event (Mountain Time)","value":"23:18:42"},{"id":151,"name":"Denver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20"/>
      <c r="AK239" s="47"/>
      <c r="AL239" s="47"/>
      <c r="AM239" s="145" t="str">
        <f t="shared" si="88"/>
        <v>start /low /b %USERPROFILE%\Documents\GitHub\eaglep3\Utilities\DownloadLogsFromS3.py --loco 4060 --day 2017-04-28</v>
      </c>
      <c r="AN239" s="154" t="str">
        <f t="shared" si="89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05:18:42"},{"id":29,"name":"Sharepoint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0" spans="1:40" x14ac:dyDescent="0.25">
      <c r="A240" s="32" t="s">
        <v>643</v>
      </c>
      <c r="B240" s="7">
        <v>4060</v>
      </c>
      <c r="C240" s="21" t="s">
        <v>211</v>
      </c>
      <c r="D240" s="21" t="s">
        <v>1003</v>
      </c>
      <c r="E240" s="13">
        <v>42854.020555555559</v>
      </c>
      <c r="F240" s="13">
        <v>42854.07371527778</v>
      </c>
      <c r="G240" s="7">
        <v>1</v>
      </c>
      <c r="H240" s="21" t="s">
        <v>903</v>
      </c>
      <c r="I240" s="13">
        <v>42854.100127314814</v>
      </c>
      <c r="J240" s="7">
        <v>0</v>
      </c>
      <c r="K240" s="92" t="str">
        <f t="shared" si="74"/>
        <v>4059/4060</v>
      </c>
      <c r="L240" s="21" t="str">
        <f>VLOOKUP(A240,'Trips&amp;Operators'!$C$1:$G$99999,5,FALSE)</f>
        <v>MAGEE KENYA</v>
      </c>
      <c r="M240" s="6">
        <f t="shared" si="75"/>
        <v>2.6412037033878732E-2</v>
      </c>
      <c r="N240" s="7">
        <f t="shared" si="92"/>
        <v>38.033333328785375</v>
      </c>
      <c r="O240" s="7"/>
      <c r="P240" s="7"/>
      <c r="Q240" s="22"/>
      <c r="R240" s="190"/>
      <c r="S240" s="196">
        <f t="shared" si="91"/>
        <v>0</v>
      </c>
      <c r="T240" s="190" t="e">
        <f t="shared" si="76"/>
        <v>#VALUE!</v>
      </c>
      <c r="U240" s="190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191" t="str">
        <f t="shared" si="77"/>
        <v>https://d0f6bd738d7f1b3e5a7ca70fe4ff75f0.us-east-1.aws.found.io/app/kibana#/discover/Steve-Slow-Train-Analysis-(2080s-and-2083s)?_g=(refreshInterval:(display:Off,pause:!f,section:0,value:0),time:(from:'2017-04-28T23:29:36-0600',mode:absolute,to:'2017-04-29T03:24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40" s="192" t="str">
        <f t="shared" si="78"/>
        <v>N</v>
      </c>
      <c r="X240" s="192" t="e">
        <f t="shared" si="90"/>
        <v>#VALUE!</v>
      </c>
      <c r="Y240" s="192">
        <f t="shared" si="79"/>
        <v>7.5399999999999995E-2</v>
      </c>
      <c r="Z240" s="192">
        <f t="shared" si="80"/>
        <v>23.3353</v>
      </c>
      <c r="AA240" s="192">
        <f t="shared" si="81"/>
        <v>23.259900000000002</v>
      </c>
      <c r="AB240" s="57" t="e">
        <f>VLOOKUP(A240,Enforcements!$C$7:$K$13,8,0)</f>
        <v>#N/A</v>
      </c>
      <c r="AC240" s="53" t="e">
        <f>VLOOKUP(A240,Enforcements!$C$7:$E$13,3,0)</f>
        <v>#N/A</v>
      </c>
      <c r="AD240" s="54" t="str">
        <f t="shared" si="82"/>
        <v>89-28</v>
      </c>
      <c r="AE240" s="80" t="str">
        <f t="shared" si="83"/>
        <v>aws s3 cp s3://rtdc.mdm.uploadarchive.raw/RTDC4060/ "%USERPROFILE%\AppData\Local\Temp\OnboardLogs"\RTDC4060\2017-04-29 --exclude "*" --recursive --include "*20170429*" &amp; "%USERPROFILE%\Documents\GitHub\mrs-test-scripts\Headless Mode &amp; Sideloading\WalkAndUnGZ.bat" "%USERPROFILE%\AppData\Local\Temp\OnboardLogs"\RTDC4060\2017-04-29 &amp; aws s3 cp s3://rtdc.mdm.uploadarchive.raw/RTDC4060/ "%USERPROFILE%\AppData\Local\Temp\OnboardLogs"\RTDC4060\2017-04-30 --exclude "*" --recursive --include "*20170430*" &amp; "%USERPROFILE%\Documents\GitHub\mrs-test-scripts\Headless Mode &amp; Sideloading\WalkAndUnGZ.bat" "%USERPROFILE%\AppData\Local\Temp\OnboardLogs"\RTDC4060\2017-04-30</v>
      </c>
      <c r="AF240" s="77" t="str">
        <f t="shared" si="84"/>
        <v>"C:\Program Files (x86)\AstroGrep\AstroGrep.exe" /e /r /s /spath="%USERPROFILE%\AppData\Local\Temp\OnboardLogs" /stypes="app*4060*20170429*" /stext=" 08:.+((SYSTEM_STATE.+slice.+state.+changed )|(ment ac)|(multiple cpu faults)|(system.+state.+changed )|(\[timeout)|(PRM\|1\|D)|(kpr)|(kdp)|(train.+moving)|(\|lc)|(penalty))"</v>
      </c>
      <c r="AG240" s="1" t="str">
        <f t="shared" si="85"/>
        <v>Other</v>
      </c>
      <c r="AH240" s="81" t="str">
        <f t="shared" si="86"/>
        <v>"%USERPROFILE%\Documents\GitHub\eaglep3\Utilities\RefineRTDCRunTimes.py" --tripid 89-28 --locoid 4060 --swversion DE.1.0.9.0 --startMP 204:754 --initTime 2017-04-29T00:29:36 --startdatetime 2017-04-29T01:46:09 --delay 1 --endMP 204:233353 --enddatetime 2017-04-29T02:24:11 --enforcementcount 0 &gt;&gt;C:\Users\stu\Documents\GitHub\eaglep3-reporting\EC\2017-04-28-refined-times.txt</v>
      </c>
      <c r="AI240" s="99" t="str">
        <f t="shared" si="87"/>
        <v>echo {"issue":{"subject":"","project_id":79,"tracker_id":40,"status_id":1,"priority_id":2,"assigned_to_id":23,"start_date":"2017-04-29","description":"","custom_fields":[{"id":1,"name":"Subdivision","value":"Other"},{"id":4,"name":"Milepost","value":"23.3353"},{"id":17,"name":"Train ID","value":"89-28"},{"id":16,"name":"Locomotive ID","value":"4060"},{"id":130,"name":"Impact","value":""},{"id":150,"name":"Time of Event (Mountain Time)","value":"02:24:11"},{"id":151,"name":"Denver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20"/>
      <c r="AK240" s="47"/>
      <c r="AL240" s="47"/>
      <c r="AM240" s="145" t="str">
        <f t="shared" si="88"/>
        <v>start /low /b %USERPROFILE%\Documents\GitHub\eaglep3\Utilities\DownloadLogsFromS3.py --loco 4060 --day 2017-04-29</v>
      </c>
      <c r="AN240" s="154" t="str">
        <f t="shared" si="89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08:24:11"},{"id":29,"name":"Sharepoint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1" spans="1:40" x14ac:dyDescent="0.25">
      <c r="A241" s="32" t="s">
        <v>643</v>
      </c>
      <c r="B241" s="7">
        <v>4060</v>
      </c>
      <c r="C241" s="21" t="s">
        <v>211</v>
      </c>
      <c r="D241" s="21" t="s">
        <v>1004</v>
      </c>
      <c r="E241" s="13">
        <v>42854.102673611109</v>
      </c>
      <c r="F241" s="13">
        <v>42854.104560185187</v>
      </c>
      <c r="G241" s="7">
        <v>1</v>
      </c>
      <c r="H241" s="21" t="s">
        <v>425</v>
      </c>
      <c r="I241" s="13">
        <v>42854.112928240742</v>
      </c>
      <c r="J241" s="7">
        <v>0</v>
      </c>
      <c r="K241" s="92" t="str">
        <f t="shared" si="74"/>
        <v>4059/4060</v>
      </c>
      <c r="L241" s="21" t="str">
        <f>VLOOKUP(A241,'Trips&amp;Operators'!$C$1:$G$99999,5,FALSE)</f>
        <v>MAGEE KENYA</v>
      </c>
      <c r="M241" s="6">
        <f t="shared" si="75"/>
        <v>8.3680555544560775E-3</v>
      </c>
      <c r="N241" s="7">
        <f t="shared" si="92"/>
        <v>12.049999998416752</v>
      </c>
      <c r="O241" s="7"/>
      <c r="P241" s="7"/>
      <c r="Q241" s="22"/>
      <c r="R241" s="190"/>
      <c r="S241" s="196">
        <f t="shared" si="91"/>
        <v>0</v>
      </c>
      <c r="T241" s="190" t="e">
        <f t="shared" si="76"/>
        <v>#VALUE!</v>
      </c>
      <c r="U241" s="190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191" t="str">
        <f t="shared" si="77"/>
        <v>https://d0f6bd738d7f1b3e5a7ca70fe4ff75f0.us-east-1.aws.found.io/app/kibana#/discover/Steve-Slow-Train-Analysis-(2080s-and-2083s)?_g=(refreshInterval:(display:Off,pause:!f,section:0,value:0),time:(from:'2017-04-29T01:27:51-0600',mode:absolute,to:'2017-04-29T03:42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41" s="192" t="str">
        <f t="shared" si="78"/>
        <v>Y</v>
      </c>
      <c r="X241" s="192" t="e">
        <f t="shared" si="90"/>
        <v>#VALUE!</v>
      </c>
      <c r="Y241" s="192">
        <f t="shared" si="79"/>
        <v>8.3900000000000002E-2</v>
      </c>
      <c r="Z241" s="192">
        <f t="shared" si="80"/>
        <v>2.3346</v>
      </c>
      <c r="AA241" s="192">
        <f t="shared" si="81"/>
        <v>2.2507000000000001</v>
      </c>
      <c r="AB241" s="57" t="e">
        <f>VLOOKUP(A241,Enforcements!$C$7:$K$13,8,0)</f>
        <v>#N/A</v>
      </c>
      <c r="AC241" s="53" t="e">
        <f>VLOOKUP(A241,Enforcements!$C$7:$E$13,3,0)</f>
        <v>#N/A</v>
      </c>
      <c r="AD241" s="54" t="str">
        <f t="shared" si="82"/>
        <v>89-28</v>
      </c>
      <c r="AE241" s="80" t="str">
        <f t="shared" si="83"/>
        <v>aws s3 cp s3://rtdc.mdm.uploadarchive.raw/RTDC4060/ "%USERPROFILE%\AppData\Local\Temp\OnboardLogs"\RTDC4060\2017-04-29 --exclude "*" --recursive --include "*20170429*" &amp; "%USERPROFILE%\Documents\GitHub\mrs-test-scripts\Headless Mode &amp; Sideloading\WalkAndUnGZ.bat" "%USERPROFILE%\AppData\Local\Temp\OnboardLogs"\RTDC4060\2017-04-29 &amp; aws s3 cp s3://rtdc.mdm.uploadarchive.raw/RTDC4060/ "%USERPROFILE%\AppData\Local\Temp\OnboardLogs"\RTDC4060\2017-04-30 --exclude "*" --recursive --include "*20170430*" &amp; "%USERPROFILE%\Documents\GitHub\mrs-test-scripts\Headless Mode &amp; Sideloading\WalkAndUnGZ.bat" "%USERPROFILE%\AppData\Local\Temp\OnboardLogs"\RTDC4060\2017-04-30</v>
      </c>
      <c r="AF241" s="77" t="str">
        <f t="shared" si="84"/>
        <v>"C:\Program Files (x86)\AstroGrep\AstroGrep.exe" /e /r /s /spath="%USERPROFILE%\AppData\Local\Temp\OnboardLogs" /stypes="app*4060*20170429*" /stext=" 08:.+((SYSTEM_STATE.+slice.+state.+changed )|(ment ac)|(multiple cpu faults)|(system.+state.+changed )|(\[timeout)|(PRM\|1\|D)|(kpr)|(kdp)|(train.+moving)|(\|lc)|(penalty))"</v>
      </c>
      <c r="AG241" s="1" t="str">
        <f t="shared" si="85"/>
        <v>Other</v>
      </c>
      <c r="AH241" s="81" t="str">
        <f t="shared" si="86"/>
        <v>"%USERPROFILE%\Documents\GitHub\eaglep3\Utilities\RefineRTDCRunTimes.py" --tripid 89-28 --locoid 4060 --swversion DE.1.0.9.0 --startMP 204:839 --initTime 2017-04-29T02:27:51 --startdatetime 2017-04-29T02:30:34 --delay 1 --endMP 300:23346 --enddatetime 2017-04-29T02:42:37 --enforcementcount 0 &gt;&gt;C:\Users\stu\Documents\GitHub\eaglep3-reporting\EC\2017-04-28-refined-times.txt</v>
      </c>
      <c r="AI241" s="99" t="str">
        <f t="shared" si="87"/>
        <v>echo {"issue":{"subject":"","project_id":79,"tracker_id":40,"status_id":1,"priority_id":2,"assigned_to_id":23,"start_date":"2017-04-29","description":"","custom_fields":[{"id":1,"name":"Subdivision","value":"Other"},{"id":4,"name":"Milepost","value":"2.3346"},{"id":17,"name":"Train ID","value":"89-28"},{"id":16,"name":"Locomotive ID","value":"4060"},{"id":130,"name":"Impact","value":""},{"id":150,"name":"Time of Event (Mountain Time)","value":"02:42:37"},{"id":151,"name":"Denver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1" s="20"/>
      <c r="AK241" s="47"/>
      <c r="AL241" s="47"/>
      <c r="AM241" s="145" t="str">
        <f t="shared" si="88"/>
        <v>start /low /b %USERPROFILE%\Documents\GitHub\eaglep3\Utilities\DownloadLogsFromS3.py --loco 4060 --day 2017-04-29</v>
      </c>
      <c r="AN241" s="154" t="str">
        <f t="shared" si="89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08:42:37"},{"id":29,"name":"Sharepoint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2" spans="1:40" x14ac:dyDescent="0.25">
      <c r="A242" s="32" t="s">
        <v>643</v>
      </c>
      <c r="B242" s="7">
        <v>4061</v>
      </c>
      <c r="C242" s="21" t="s">
        <v>211</v>
      </c>
      <c r="D242" s="21" t="s">
        <v>1005</v>
      </c>
      <c r="E242" s="13">
        <v>42854.061296296299</v>
      </c>
      <c r="F242" s="13">
        <v>42854.104560185187</v>
      </c>
      <c r="G242" s="7">
        <v>6</v>
      </c>
      <c r="H242" s="21" t="s">
        <v>1006</v>
      </c>
      <c r="I242" s="13">
        <v>42854.112928240742</v>
      </c>
      <c r="J242" s="7">
        <v>0</v>
      </c>
      <c r="K242" s="92" t="str">
        <f t="shared" si="74"/>
        <v>4061/4062</v>
      </c>
      <c r="L242" s="21" t="str">
        <f>VLOOKUP(A242,'Trips&amp;Operators'!$C$1:$G$99999,5,FALSE)</f>
        <v>MAGEE KENYA</v>
      </c>
      <c r="M242" s="6">
        <f t="shared" si="75"/>
        <v>8.3680555544560775E-3</v>
      </c>
      <c r="N242" s="7">
        <f t="shared" si="92"/>
        <v>12.049999998416752</v>
      </c>
      <c r="O242" s="7"/>
      <c r="P242" s="7"/>
      <c r="Q242" s="22"/>
      <c r="R242" s="190"/>
      <c r="S242" s="196">
        <f t="shared" si="91"/>
        <v>0</v>
      </c>
      <c r="T242" s="190" t="e">
        <f t="shared" si="76"/>
        <v>#VALUE!</v>
      </c>
      <c r="U242" s="190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0</v>
      </c>
      <c r="V242" s="191" t="str">
        <f t="shared" si="77"/>
        <v>https://d0f6bd738d7f1b3e5a7ca70fe4ff75f0.us-east-1.aws.found.io/app/kibana#/discover/Steve-Slow-Train-Analysis-(2080s-and-2083s)?_g=(refreshInterval:(display:Off,pause:!f,section:0,value:0),time:(from:'2017-04-29T00:28:16-0600',mode:absolute,to:'2017-04-29T03:42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42" s="192" t="str">
        <f t="shared" si="78"/>
        <v>N</v>
      </c>
      <c r="X242" s="192" t="e">
        <f t="shared" si="90"/>
        <v>#VALUE!</v>
      </c>
      <c r="Y242" s="192">
        <f t="shared" si="79"/>
        <v>23.273399999999999</v>
      </c>
      <c r="Z242" s="192">
        <f t="shared" si="80"/>
        <v>3.5499999999999997E-2</v>
      </c>
      <c r="AA242" s="192">
        <f t="shared" si="81"/>
        <v>23.2379</v>
      </c>
      <c r="AB242" s="57" t="e">
        <f>VLOOKUP(A242,Enforcements!$C$7:$K$13,8,0)</f>
        <v>#N/A</v>
      </c>
      <c r="AC242" s="53" t="e">
        <f>VLOOKUP(A242,Enforcements!$C$7:$E$13,3,0)</f>
        <v>#N/A</v>
      </c>
      <c r="AD242" s="54" t="str">
        <f t="shared" si="82"/>
        <v>89-28</v>
      </c>
      <c r="AE242" s="80" t="str">
        <f t="shared" si="83"/>
        <v>aws s3 cp s3://rtdc.mdm.uploadarchive.raw/RTDC4061/ "%USERPROFILE%\AppData\Local\Temp\OnboardLogs"\RTDC4061\2017-04-29 --exclude "*" --recursive --include "*20170429*" &amp; "%USERPROFILE%\Documents\GitHub\mrs-test-scripts\Headless Mode &amp; Sideloading\WalkAndUnGZ.bat" "%USERPROFILE%\AppData\Local\Temp\OnboardLogs"\RTDC4061\2017-04-29 &amp; aws s3 cp s3://rtdc.mdm.uploadarchive.raw/RTDC4061/ "%USERPROFILE%\AppData\Local\Temp\OnboardLogs"\RTDC4061\2017-04-30 --exclude "*" --recursive --include "*20170430*" &amp; "%USERPROFILE%\Documents\GitHub\mrs-test-scripts\Headless Mode &amp; Sideloading\WalkAndUnGZ.bat" "%USERPROFILE%\AppData\Local\Temp\OnboardLogs"\RTDC4061\2017-04-30</v>
      </c>
      <c r="AF242" s="77" t="str">
        <f t="shared" si="84"/>
        <v>"C:\Program Files (x86)\AstroGrep\AstroGrep.exe" /e /r /s /spath="%USERPROFILE%\AppData\Local\Temp\OnboardLogs" /stypes="app*4061*20170429*" /stext=" 08:.+((SYSTEM_STATE.+slice.+state.+changed )|(ment ac)|(multiple cpu faults)|(system.+state.+changed )|(\[timeout)|(PRM\|1\|D)|(kpr)|(kdp)|(train.+moving)|(\|lc)|(penalty))"</v>
      </c>
      <c r="AG242" s="1" t="str">
        <f t="shared" si="85"/>
        <v>Other</v>
      </c>
      <c r="AH242" s="81" t="str">
        <f t="shared" si="86"/>
        <v>"%USERPROFILE%\Documents\GitHub\eaglep3\Utilities\RefineRTDCRunTimes.py" --tripid 89-28 --locoid 4061 --swversion DE.1.0.9.0 --startMP 204:232734 --initTime 2017-04-29T01:28:16 --startdatetime 2017-04-29T02:30:34 --delay 6 --endMP 204:355 --enddatetime 2017-04-29T02:42:37 --enforcementcount 0 &gt;&gt;C:\Users\stu\Documents\GitHub\eaglep3-reporting\EC\2017-04-28-refined-times.txt</v>
      </c>
      <c r="AI242" s="99" t="str">
        <f t="shared" si="87"/>
        <v>echo {"issue":{"subject":"","project_id":79,"tracker_id":40,"status_id":1,"priority_id":2,"assigned_to_id":23,"start_date":"2017-04-29","description":"","custom_fields":[{"id":1,"name":"Subdivision","value":"Other"},{"id":4,"name":"Milepost","value":"0.0355"},{"id":17,"name":"Train ID","value":"89-28"},{"id":16,"name":"Locomotive ID","value":"4061"},{"id":130,"name":"Impact","value":""},{"id":150,"name":"Time of Event (Mountain Time)","value":"02:42:37"},{"id":151,"name":"Denver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2" s="20"/>
      <c r="AK242" s="47"/>
      <c r="AL242" s="47"/>
      <c r="AM242" s="145" t="str">
        <f t="shared" si="88"/>
        <v>start /low /b %USERPROFILE%\Documents\GitHub\eaglep3\Utilities\DownloadLogsFromS3.py --loco 4061 --day 2017-04-29</v>
      </c>
      <c r="AN242" s="154" t="str">
        <f t="shared" si="89"/>
        <v>echo {"issue":{"subject":"","project_id":30,"tracker_id":4,"status_id":1,"priority_id":1,"assigned_to_id":10,"start_date":"2017-04-29","description":"","custom_fields":[{"id":30,"name":"Category","value":"Issue"},{"id":3,"name":"Functional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UTC","value":"2017-04-29 08:42:37"},{"id":29,"name":"Sharepoint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3" spans="1:40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  <c r="AM243"/>
    </row>
    <row r="244" spans="1:40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40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40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40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40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40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40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40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40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40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40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40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40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  <c r="AM263"/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  <c r="AM264"/>
    </row>
    <row r="265" spans="1:3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  <c r="AM265"/>
    </row>
    <row r="266" spans="1:39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  <c r="AM266"/>
    </row>
    <row r="267" spans="1:39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  <c r="AM267"/>
    </row>
    <row r="268" spans="1:39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H268"/>
      <c r="AI268"/>
      <c r="AM268"/>
    </row>
    <row r="269" spans="1:39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H269"/>
      <c r="AI269"/>
      <c r="AM269"/>
    </row>
    <row r="270" spans="1:39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H270"/>
      <c r="AI270"/>
      <c r="AM270"/>
    </row>
    <row r="271" spans="1:39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H271"/>
      <c r="AI271"/>
      <c r="AM271"/>
    </row>
    <row r="272" spans="1:39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H272"/>
      <c r="AI272"/>
      <c r="AM272"/>
    </row>
    <row r="273" spans="1:39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H273"/>
      <c r="AI273"/>
      <c r="AM273"/>
    </row>
    <row r="274" spans="1:39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H274"/>
      <c r="AI274"/>
      <c r="AM274"/>
    </row>
    <row r="275" spans="1:39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H275"/>
      <c r="AI275"/>
      <c r="AM275"/>
    </row>
  </sheetData>
  <autoFilter ref="A12:AG269">
    <sortState ref="A13:AG270">
      <sortCondition ref="AG13:AG243"/>
      <sortCondition ref="AD13:AD243"/>
    </sortState>
  </autoFilter>
  <sortState ref="A13:AH200">
    <sortCondition ref="AG13:AG200"/>
    <sortCondition ref="AD13:AD200"/>
  </sortState>
  <mergeCells count="1">
    <mergeCell ref="A11:P11"/>
  </mergeCells>
  <conditionalFormatting sqref="W11:W12 W276:X1048576 W13:X242">
    <cfRule type="cellIs" dxfId="10" priority="401" operator="equal">
      <formula>"Y"</formula>
    </cfRule>
  </conditionalFormatting>
  <conditionalFormatting sqref="X276:X1048576 X13:X242">
    <cfRule type="cellIs" dxfId="9" priority="384" operator="greaterThan">
      <formula>1</formula>
    </cfRule>
  </conditionalFormatting>
  <conditionalFormatting sqref="X276:X1048576 X12:X242">
    <cfRule type="cellIs" dxfId="8" priority="381" operator="equal">
      <formula>0</formula>
    </cfRule>
  </conditionalFormatting>
  <conditionalFormatting sqref="A13:S242">
    <cfRule type="expression" dxfId="7" priority="375" stopIfTrue="1">
      <formula>$P13&gt;0</formula>
    </cfRule>
    <cfRule type="expression" dxfId="6" priority="376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77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A13:S242</xm:sqref>
        </x14:conditionalFormatting>
        <x14:conditionalFormatting xmlns:xm="http://schemas.microsoft.com/office/excel/2006/main">
          <x14:cfRule type="expression" priority="60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A13:S242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AK13:AK242</xm:sqref>
        </x14:dataValidation>
        <x14:dataValidation type="list" allowBlank="1" showInputMessage="1" showErrorMessage="1">
          <x14:formula1>
            <xm:f>'Redmine List Values'!$C$2:$C$15</xm:f>
          </x14:formula1>
          <xm:sqref>AL13:AL242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6"/>
  <sheetViews>
    <sheetView tabSelected="1" topLeftCell="A2" zoomScaleNormal="100" workbookViewId="0">
      <selection activeCell="P19" sqref="P19:P24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6" customWidth="1"/>
    <col min="5" max="5" width="13.140625" style="116" customWidth="1"/>
    <col min="6" max="6" width="5.7109375" style="116" customWidth="1"/>
    <col min="7" max="7" width="5.85546875" style="116" customWidth="1"/>
    <col min="8" max="8" width="7.85546875" style="116" customWidth="1"/>
    <col min="9" max="9" width="9" style="116" customWidth="1"/>
    <col min="10" max="10" width="11.5703125" style="116" hidden="1" customWidth="1"/>
    <col min="11" max="11" width="9.140625" style="116" customWidth="1"/>
    <col min="12" max="12" width="4.85546875" style="116" customWidth="1"/>
    <col min="13" max="13" width="7.85546875" style="2" customWidth="1"/>
    <col min="14" max="14" width="14.28515625" style="115" customWidth="1"/>
    <col min="15" max="15" width="4.42578125" style="168" customWidth="1"/>
    <col min="16" max="16" width="30.42578125" style="116" customWidth="1"/>
    <col min="17" max="17" width="5" hidden="1" customWidth="1"/>
    <col min="18" max="18" width="5.5703125" style="78" customWidth="1"/>
    <col min="19" max="19" width="5.5703125" style="85" customWidth="1"/>
    <col min="20" max="20" width="6" style="75" customWidth="1"/>
    <col min="21" max="21" width="5.140625" customWidth="1"/>
    <col min="22" max="22" width="18.5703125" style="43" customWidth="1"/>
    <col min="23" max="23" width="5.28515625" customWidth="1"/>
    <col min="24" max="24" width="6.7109375" hidden="1" customWidth="1"/>
    <col min="25" max="25" width="5" customWidth="1"/>
    <col min="26" max="26" width="5" style="160" customWidth="1"/>
    <col min="27" max="27" width="5.28515625" customWidth="1"/>
    <col min="28" max="28" width="5.5703125" customWidth="1"/>
    <col min="29" max="29" width="5.28515625" style="118" customWidth="1"/>
    <col min="30" max="30" width="6.7109375" customWidth="1"/>
    <col min="31" max="31" width="9.140625" style="145"/>
  </cols>
  <sheetData>
    <row r="1" spans="1:32" s="20" customFormat="1" ht="15.75" hidden="1" thickBot="1" x14ac:dyDescent="0.3">
      <c r="A1" s="8"/>
      <c r="D1" s="116"/>
      <c r="E1" s="116"/>
      <c r="F1" s="116"/>
      <c r="G1" s="116"/>
      <c r="H1" s="116"/>
      <c r="I1" s="116"/>
      <c r="J1" s="116"/>
      <c r="K1" s="116"/>
      <c r="L1" s="116"/>
      <c r="M1" s="2"/>
      <c r="N1" s="115"/>
      <c r="O1" s="168"/>
      <c r="P1" s="116"/>
      <c r="R1" s="78"/>
      <c r="S1" s="85"/>
      <c r="T1" s="75"/>
      <c r="V1" s="43"/>
      <c r="Z1" s="160"/>
      <c r="AC1" s="118"/>
      <c r="AE1" s="145"/>
    </row>
    <row r="2" spans="1:32" s="20" customFormat="1" x14ac:dyDescent="0.25">
      <c r="A2" s="8"/>
      <c r="D2" s="116"/>
      <c r="E2" s="116"/>
      <c r="F2" s="116"/>
      <c r="G2" s="116"/>
      <c r="H2" s="116"/>
      <c r="I2" s="116"/>
      <c r="J2" s="116"/>
      <c r="K2" s="116"/>
      <c r="L2" s="127" t="s">
        <v>80</v>
      </c>
      <c r="M2" s="111"/>
      <c r="N2" s="128"/>
      <c r="O2" s="204">
        <f>COUNTIF($O$7:$O$294,"=Y")</f>
        <v>4</v>
      </c>
      <c r="P2" s="113"/>
      <c r="R2" s="78"/>
      <c r="S2" s="85"/>
      <c r="T2" s="75"/>
      <c r="V2" s="43"/>
      <c r="Z2" s="160"/>
      <c r="AC2" s="119"/>
      <c r="AE2" s="145"/>
    </row>
    <row r="3" spans="1:32" s="20" customFormat="1" ht="15.75" thickBot="1" x14ac:dyDescent="0.3">
      <c r="A3" s="8"/>
      <c r="D3" s="116"/>
      <c r="E3" s="116"/>
      <c r="F3" s="116"/>
      <c r="G3" s="116"/>
      <c r="H3" s="116"/>
      <c r="I3" s="116"/>
      <c r="J3" s="116"/>
      <c r="K3" s="116"/>
      <c r="L3" s="129" t="s">
        <v>81</v>
      </c>
      <c r="M3" s="112"/>
      <c r="N3" s="130"/>
      <c r="O3" s="205">
        <f>COUNTA($O$7:$O$294)-O2</f>
        <v>41</v>
      </c>
      <c r="P3" s="113"/>
      <c r="R3" s="78"/>
      <c r="S3" s="85"/>
      <c r="T3" s="75"/>
      <c r="V3" s="43"/>
      <c r="Z3" s="160"/>
      <c r="AC3" s="119"/>
      <c r="AE3" s="145"/>
    </row>
    <row r="4" spans="1:32" s="20" customFormat="1" x14ac:dyDescent="0.25">
      <c r="A4" s="8"/>
      <c r="D4" s="116"/>
      <c r="E4" s="116"/>
      <c r="F4" s="116"/>
      <c r="G4" s="116"/>
      <c r="H4" s="116"/>
      <c r="I4" s="116"/>
      <c r="J4" s="116"/>
      <c r="K4" s="116"/>
      <c r="L4" s="116"/>
      <c r="M4" s="2"/>
      <c r="N4" s="115"/>
      <c r="O4" s="168"/>
      <c r="P4" s="116"/>
      <c r="R4" s="78"/>
      <c r="S4" s="85"/>
      <c r="T4" s="75"/>
      <c r="V4" s="43"/>
      <c r="Z4" s="160"/>
      <c r="AC4" s="119"/>
      <c r="AE4" s="145"/>
    </row>
    <row r="5" spans="1:32" s="10" customFormat="1" ht="15" customHeight="1" x14ac:dyDescent="0.25">
      <c r="A5" s="208" t="str">
        <f>"Eagle P3 Braking Events - "&amp;TEXT(Variables!$A$2,"YYYY-mm-dd")</f>
        <v>Eagle P3 Braking Events - 2017-04-28</v>
      </c>
      <c r="B5" s="208"/>
      <c r="C5" s="208"/>
      <c r="D5" s="208"/>
      <c r="E5" s="208"/>
      <c r="F5" s="208"/>
      <c r="G5" s="208"/>
      <c r="H5" s="208"/>
      <c r="I5" s="208"/>
      <c r="J5" s="208"/>
      <c r="K5" s="208"/>
      <c r="L5" s="208"/>
      <c r="M5" s="208"/>
      <c r="N5" s="208"/>
      <c r="O5" s="208"/>
      <c r="P5" s="131"/>
      <c r="R5" s="83"/>
      <c r="S5" s="86"/>
      <c r="T5" s="88"/>
      <c r="V5" s="44"/>
      <c r="AC5" s="120"/>
      <c r="AE5" s="147"/>
    </row>
    <row r="6" spans="1:32" s="110" customFormat="1" ht="69.75" customHeight="1" x14ac:dyDescent="0.2">
      <c r="A6" s="100" t="s">
        <v>38</v>
      </c>
      <c r="B6" s="101" t="s">
        <v>37</v>
      </c>
      <c r="C6" s="101" t="s">
        <v>36</v>
      </c>
      <c r="D6" s="117" t="s">
        <v>35</v>
      </c>
      <c r="E6" s="117" t="s">
        <v>34</v>
      </c>
      <c r="F6" s="117" t="s">
        <v>33</v>
      </c>
      <c r="G6" s="117" t="s">
        <v>32</v>
      </c>
      <c r="H6" s="117" t="s">
        <v>31</v>
      </c>
      <c r="I6" s="117" t="s">
        <v>153</v>
      </c>
      <c r="J6" s="117" t="s">
        <v>30</v>
      </c>
      <c r="K6" s="117" t="s">
        <v>29</v>
      </c>
      <c r="L6" s="117" t="s">
        <v>28</v>
      </c>
      <c r="M6" s="102" t="s">
        <v>154</v>
      </c>
      <c r="N6" s="132" t="s">
        <v>47</v>
      </c>
      <c r="O6" s="206" t="s">
        <v>27</v>
      </c>
      <c r="P6" s="117" t="s">
        <v>24</v>
      </c>
      <c r="Q6" s="103"/>
      <c r="R6" s="104" t="s">
        <v>89</v>
      </c>
      <c r="S6" s="105" t="s">
        <v>55</v>
      </c>
      <c r="T6" s="106" t="s">
        <v>88</v>
      </c>
      <c r="U6" s="101" t="s">
        <v>83</v>
      </c>
      <c r="V6" s="107" t="s">
        <v>84</v>
      </c>
      <c r="W6" s="103" t="s">
        <v>96</v>
      </c>
      <c r="X6" s="103" t="s">
        <v>97</v>
      </c>
      <c r="Y6" s="108" t="s">
        <v>147</v>
      </c>
      <c r="Z6" s="161" t="s">
        <v>148</v>
      </c>
      <c r="AA6" s="109" t="s">
        <v>121</v>
      </c>
      <c r="AB6" s="109" t="s">
        <v>149</v>
      </c>
      <c r="AC6" s="121" t="s">
        <v>173</v>
      </c>
      <c r="AD6" s="110" t="s">
        <v>190</v>
      </c>
      <c r="AE6" s="146" t="s">
        <v>200</v>
      </c>
    </row>
    <row r="7" spans="1:32" s="1" customFormat="1" x14ac:dyDescent="0.25">
      <c r="A7" s="31">
        <v>42853.872476851851</v>
      </c>
      <c r="B7" s="30" t="s">
        <v>599</v>
      </c>
      <c r="C7" s="30" t="s">
        <v>634</v>
      </c>
      <c r="D7" s="30" t="s">
        <v>49</v>
      </c>
      <c r="E7" s="30" t="s">
        <v>191</v>
      </c>
      <c r="F7" s="42">
        <v>0</v>
      </c>
      <c r="G7" s="42">
        <v>197</v>
      </c>
      <c r="H7" s="42">
        <v>31076</v>
      </c>
      <c r="I7" s="42">
        <v>30739</v>
      </c>
      <c r="J7" s="30" t="s">
        <v>192</v>
      </c>
      <c r="K7" s="42">
        <v>30970</v>
      </c>
      <c r="L7" s="134" t="s">
        <v>51</v>
      </c>
      <c r="M7" s="135">
        <f t="shared" ref="M7:M51" si="0">CONVERT((I7-K7)/10000,"mi","ft")*IF(L7="Increasing Mileposts (1)",-1,1)</f>
        <v>-121.968</v>
      </c>
      <c r="N7" s="136" t="str">
        <f>VLOOKUP(C7,'Trips&amp;Operators'!$C$1:$G$99999,5,FALSE)</f>
        <v>MACDONALD THOMAS</v>
      </c>
      <c r="O7" s="207" t="s">
        <v>184</v>
      </c>
      <c r="P7" s="137" t="s">
        <v>443</v>
      </c>
      <c r="Q7" s="30"/>
      <c r="R7" s="84" t="str">
        <f>IF(VLOOKUP(C7,'Train Runs'!$A$13:$AE$9945,1,1)=C7,VLOOKUP(C7,'Train Runs'!$A$13:$AE$9945,31,1),NA())</f>
        <v>aws s3 cp s3://rtdc.mdm.uploadarchive.raw/RTDC4051/ "%USERPROFILE%\AppData\Local\Temp\OnboardLogs"\RTDC4051\2017-04-28 --exclude "*" --recursive --include "*20170428*" &amp; "%USERPROFILE%\Documents\GitHub\mrs-test-scripts\Headless Mode &amp; Sideloading\WalkAndUnGZ.bat" "%USERPROFILE%\AppData\Local\Temp\OnboardLogs"\RTDC4051\2017-04-28 &amp; aws s3 cp s3://rtdc.mdm.uploadarchive.raw/RTDC4051/ "%USERPROFILE%\AppData\Local\Temp\OnboardLogs"\RTDC4051\2017-04-29 --exclude "*" --recursive --include "*20170429*" &amp; "%USERPROFILE%\Documents\GitHub\mrs-test-scripts\Headless Mode &amp; Sideloading\WalkAndUnGZ.bat" "%USERPROFILE%\AppData\Local\Temp\OnboardLogs"\RTDC4051\2017-04-29</v>
      </c>
      <c r="S7" s="87" t="str">
        <f>VLOOKUP(C7,'Train Runs'!$A$13:$AE$9945,22,0)</f>
        <v>https://d0f6bd738d7f1b3e5a7ca70fe4ff75f0.us-east-1.aws.found.io/app/kibana#/discover/Steve-Slow-Train-Analysis-(2080s-and-2083s)?_g=(refreshInterval:(display:Off,pause:!f,section:0,value:0),time:(from:'2017-04-28T19:22:04-0600',mode:absolute,to:'2017-04-28T22:07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7" s="89" t="str">
        <f t="shared" ref="T7:T51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/stypes="*4051*201704290*" /stext=" 02:.+((SYSTEM_STATE.+slice.+state.+changed )|(ment ac)|(multiple cpu faults)|(system.+state.+changed )|(\[timeout)|(PRM\|1\|D)|(kpr)|(kdp)|(train.+moving)|(\|lc)|(penalty))"</v>
      </c>
      <c r="U7" s="9" t="str">
        <f t="shared" ref="U7:U51" si="2">MID(B7,13,4)</f>
        <v>4051</v>
      </c>
      <c r="V7" s="31">
        <f t="shared" ref="V7:V51" si="3">A7-utc_offset/24</f>
        <v>42854.122476851851</v>
      </c>
      <c r="W7" s="45" t="str">
        <f t="shared" ref="W7:W51" si="4">IFERROR(IF(VALUE(LEFT(IF(LEN(C7)=6,"0"&amp;C7,C7),2))&lt;=2,"EC",IF(OR(VALUE(LEFT(IF(LEN(C7)=6,"0"&amp;C7,C7),2))=8,VALUE(LEFT(IF(LEN(C7)=6,"0"&amp;C7,C7),2))=18),"NW","Other")),"Other")</f>
        <v>EC</v>
      </c>
      <c r="X7" s="45" t="str">
        <f t="shared" ref="X7:X51" si="5">IF(AND(E7="TRACK WARRANT AUTHORITY",G7&lt;10),"OMIT","KEEP")</f>
        <v>KEEP</v>
      </c>
      <c r="Y7" s="99" t="str">
        <f t="shared" ref="Y7:Y51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arrival","project_id":79,"tracker_id":40,"status_id":1,"priority_id":2,"assigned_to_id":23,"start_date":"2017-04-28","description":"","custom_fields":[{"id":1,"name":"Subdivision","value":"EC"},{"id":4,"name":"Milepost","value":"3.097"},{"id":17,"name":"Train ID","value":"224-28"},{"id":16,"name":"Locomotive ID","value":"4051"},{"id":130,"name":"Impact","value":""},{"id":150,"name":"Time of Event (Mountain Time)","value":"20:56:22"},{"id":151,"name":"Denver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62"/>
      <c r="AA7" s="47"/>
      <c r="AB7" s="47"/>
      <c r="AC7" s="118" t="str">
        <f t="shared" ref="AC7:AC51" si="7">"grep -hSE -A400 ""Enforcement Action"" "&amp;search_path&amp;"\RTDC"&amp;U7&amp;"\*"&amp;U7&amp;"*"&amp;TEXT(A7-utc_offset/24,"YYYYMMDD")&amp;LEFT(TEXT(A7-utc_offset/24,"HH"),1)&amp;"* | grep -SE ""((Enforcement Ac)|(PRM))"" -"</f>
        <v>grep -hSE -A400 "Enforcement Action" "%USERPROFILE%\AppData\Local\Temp\OnboardLogs"\RTDC4051\*4051*201704290*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"%USERPROFILE%\AppData\Local\Temp\OnboardLogs"\RTDC4051\*4051*201704290* &gt;&gt; 2017-04-28-SliceDisagreementCheck.txt</v>
      </c>
      <c r="AE7" s="148" t="str">
        <f t="shared" ref="AE7" si="8">"start /low /b "&amp;dls3logs&amp;" --loco "&amp;U7&amp;" --day "&amp;TEXT(V7,"YYYY-MM-DD")</f>
        <v>start /low /b %USERPROFILE%\Documents\GitHub\eaglep3\Utilities\DownloadLogsFromS3.py --loco 4051 --day 2017-04-29</v>
      </c>
    </row>
    <row r="8" spans="1:32" s="1" customFormat="1" x14ac:dyDescent="0.25">
      <c r="A8" s="31">
        <v>42853.288437499999</v>
      </c>
      <c r="B8" s="30" t="s">
        <v>599</v>
      </c>
      <c r="C8" s="30" t="s">
        <v>600</v>
      </c>
      <c r="D8" s="30" t="s">
        <v>49</v>
      </c>
      <c r="E8" s="30" t="s">
        <v>191</v>
      </c>
      <c r="F8" s="42">
        <v>0</v>
      </c>
      <c r="G8" s="42">
        <v>174</v>
      </c>
      <c r="H8" s="42">
        <v>33341</v>
      </c>
      <c r="I8" s="42">
        <v>33161</v>
      </c>
      <c r="J8" s="30" t="s">
        <v>192</v>
      </c>
      <c r="K8" s="42">
        <v>33257</v>
      </c>
      <c r="L8" s="134" t="s">
        <v>51</v>
      </c>
      <c r="M8" s="135">
        <f t="shared" si="0"/>
        <v>-50.688000000000002</v>
      </c>
      <c r="N8" s="136" t="str">
        <f>VLOOKUP(C8,'Trips&amp;Operators'!$C$1:$G$99999,5,FALSE)</f>
        <v>ROCHA YAOTL</v>
      </c>
      <c r="O8" s="207" t="s">
        <v>184</v>
      </c>
      <c r="P8" s="137" t="s">
        <v>443</v>
      </c>
      <c r="Q8" s="30"/>
      <c r="R8" s="84" t="str">
        <f>IF(VLOOKUP(C8,'Train Runs'!$A$13:$AE$9945,1,1)=C8,VLOOKUP(C8,'Train Runs'!$A$13:$AE$9945,31,1),NA())</f>
        <v>aws s3 cp s3://rtdc.mdm.uploadarchive.raw/RTDC4051/ "%USERPROFILE%\AppData\Local\Temp\OnboardLogs"\RTDC4051\2017-04-28 --exclude "*" --recursive --include "*20170428*" &amp; "%USERPROFILE%\Documents\GitHub\mrs-test-scripts\Headless Mode &amp; Sideloading\WalkAndUnGZ.bat" "%USERPROFILE%\AppData\Local\Temp\OnboardLogs"\RTDC4051\2017-04-28 &amp; aws s3 cp s3://rtdc.mdm.uploadarchive.raw/RTDC4051/ "%USERPROFILE%\AppData\Local\Temp\OnboardLogs"\RTDC4051\2017-04-29 --exclude "*" --recursive --include "*20170429*" &amp; "%USERPROFILE%\Documents\GitHub\mrs-test-scripts\Headless Mode &amp; Sideloading\WalkAndUnGZ.bat" "%USERPROFILE%\AppData\Local\Temp\OnboardLogs"\RTDC4051\2017-04-29</v>
      </c>
      <c r="S8" s="87" t="str">
        <f>VLOOKUP(C8,'Train Runs'!$A$13:$AE$9945,22,0)</f>
        <v>https://d0f6bd738d7f1b3e5a7ca70fe4ff75f0.us-east-1.aws.found.io/app/kibana#/discover/Steve-Slow-Train-Analysis-(2080s-and-2083s)?_g=(refreshInterval:(display:Off,pause:!f,section:0,value:0),time:(from:'2017-04-28T05:24:01-0600',mode:absolute,to:'2017-04-28T08:04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8" s="89" t="str">
        <f t="shared" si="1"/>
        <v>"C:\Program Files (x86)\AstroGrep\AstroGrep.exe" /e /r /s /spath="%USERPROFILE%\AppData\Local\Temp\OnboardLogs" /stypes="*4051*201704281*" /stext=" 12:.+((SYSTEM_STATE.+slice.+state.+changed )|(ment ac)|(multiple cpu faults)|(system.+state.+changed )|(\[timeout)|(PRM\|1\|D)|(kpr)|(kdp)|(train.+moving)|(\|lc)|(penalty))"</v>
      </c>
      <c r="U8" s="9" t="str">
        <f t="shared" si="2"/>
        <v>4051</v>
      </c>
      <c r="V8" s="31">
        <f t="shared" si="3"/>
        <v>42853.538437499999</v>
      </c>
      <c r="W8" s="45" t="str">
        <f t="shared" si="4"/>
        <v>EC</v>
      </c>
      <c r="X8" s="45" t="str">
        <f t="shared" si="5"/>
        <v>KEEP</v>
      </c>
      <c r="Y8" s="99" t="str">
        <f t="shared" si="6"/>
        <v>echo {"issue":{"subject":"Early arrival","project_id":79,"tracker_id":40,"status_id":1,"priority_id":2,"assigned_to_id":23,"start_date":"2017-04-28","description":"","custom_fields":[{"id":1,"name":"Subdivision","value":"EC"},{"id":4,"name":"Milepost","value":"3.3257"},{"id":17,"name":"Train ID","value":"116-28"},{"id":16,"name":"Locomotive ID","value":"4051"},{"id":130,"name":"Impact","value":""},{"id":150,"name":"Time of Event (Mountain Time)","value":"06:55:21"},{"id":151,"name":"Denver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62"/>
      <c r="AA8" s="47"/>
      <c r="AB8" s="47"/>
      <c r="AC8" s="118" t="str">
        <f t="shared" si="7"/>
        <v>grep -hSE -A400 "Enforcement Action" "%USERPROFILE%\AppData\Local\Temp\OnboardLogs"\RTDC4051\*4051*201704281*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"%USERPROFILE%\AppData\Local\Temp\OnboardLogs"\RTDC4051\*4051*201704281* &gt;&gt; 2017-04-28-SliceDisagreementCheck.txt</v>
      </c>
      <c r="AE8" s="148" t="str">
        <f t="shared" ref="AE8:AE51" si="9">"start /low /b "&amp;dls3logs&amp;" --loco "&amp;U8&amp;" --day "&amp;TEXT(V8,"YYYY-MM-DD")</f>
        <v>start /low /b %USERPROFILE%\Documents\GitHub\eaglep3\Utilities\DownloadLogsFromS3.py --loco 4051 --day 2017-04-28</v>
      </c>
    </row>
    <row r="9" spans="1:32" s="1" customFormat="1" x14ac:dyDescent="0.25">
      <c r="A9" s="31">
        <v>42853.319432870368</v>
      </c>
      <c r="B9" s="30" t="s">
        <v>438</v>
      </c>
      <c r="C9" s="30" t="s">
        <v>601</v>
      </c>
      <c r="D9" s="30" t="s">
        <v>49</v>
      </c>
      <c r="E9" s="30" t="s">
        <v>191</v>
      </c>
      <c r="F9" s="42">
        <v>0</v>
      </c>
      <c r="G9" s="42">
        <v>213</v>
      </c>
      <c r="H9" s="42">
        <v>33365</v>
      </c>
      <c r="I9" s="42">
        <v>33192</v>
      </c>
      <c r="J9" s="30" t="s">
        <v>192</v>
      </c>
      <c r="K9" s="42">
        <v>33257</v>
      </c>
      <c r="L9" s="134" t="s">
        <v>51</v>
      </c>
      <c r="M9" s="135">
        <f t="shared" si="0"/>
        <v>-34.32</v>
      </c>
      <c r="N9" s="136" t="str">
        <f>VLOOKUP(C9,'Trips&amp;Operators'!$C$1:$G$99999,5,FALSE)</f>
        <v>STARKS ANGELINA</v>
      </c>
      <c r="O9" s="207" t="s">
        <v>184</v>
      </c>
      <c r="P9" s="137" t="s">
        <v>443</v>
      </c>
      <c r="Q9" s="30"/>
      <c r="R9" s="84" t="str">
        <f>IF(VLOOKUP(C9,'Train Runs'!$A$13:$AE$9945,1,1)=C9,VLOOKUP(C9,'Train Runs'!$A$13:$AE$9945,31,1),NA())</f>
        <v>aws s3 cp s3://rtdc.mdm.uploadarchive.raw/RTDC4063/ "%USERPROFILE%\AppData\Local\Temp\OnboardLogs"\RTDC4063\2017-04-28 --exclude "*" --recursive --include "*20170428*" &amp; "%USERPROFILE%\Documents\GitHub\mrs-test-scripts\Headless Mode &amp; Sideloading\WalkAndUnGZ.bat" "%USERPROFILE%\AppData\Local\Temp\OnboardLogs"\RTDC4063\2017-04-28 &amp; aws s3 cp s3://rtdc.mdm.uploadarchive.raw/RTDC4063/ "%USERPROFILE%\AppData\Local\Temp\OnboardLogs"\RTDC4063\2017-04-29 --exclude "*" --recursive --include "*20170429*" &amp; "%USERPROFILE%\Documents\GitHub\mrs-test-scripts\Headless Mode &amp; Sideloading\WalkAndUnGZ.bat" "%USERPROFILE%\AppData\Local\Temp\OnboardLogs"\RTDC4063\2017-04-29</v>
      </c>
      <c r="S9" s="87" t="str">
        <f>VLOOKUP(C9,'Train Runs'!$A$13:$AE$9945,22,0)</f>
        <v>https://d0f6bd738d7f1b3e5a7ca70fe4ff75f0.us-east-1.aws.found.io/app/kibana#/discover/Steve-Slow-Train-Analysis-(2080s-and-2083s)?_g=(refreshInterval:(display:Off,pause:!f,section:0,value:0),time:(from:'2017-04-28T06:07:47-0600',mode:absolute,to:'2017-04-28T08:50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9" s="89" t="str">
        <f t="shared" si="1"/>
        <v>"C:\Program Files (x86)\AstroGrep\AstroGrep.exe" /e /r /s /spath="%USERPROFILE%\AppData\Local\Temp\OnboardLogs" /stypes="*4063*201704281*" /stext=" 13:.+((SYSTEM_STATE.+slice.+state.+changed )|(ment ac)|(multiple cpu faults)|(system.+state.+changed )|(\[timeout)|(PRM\|1\|D)|(kpr)|(kdp)|(train.+moving)|(\|lc)|(penalty))"</v>
      </c>
      <c r="U9" s="9" t="str">
        <f t="shared" si="2"/>
        <v>4063</v>
      </c>
      <c r="V9" s="31">
        <f t="shared" si="3"/>
        <v>42853.569432870368</v>
      </c>
      <c r="W9" s="45" t="str">
        <f t="shared" si="4"/>
        <v>EC</v>
      </c>
      <c r="X9" s="45" t="str">
        <f t="shared" si="5"/>
        <v>KEEP</v>
      </c>
      <c r="Y9" s="99" t="str">
        <f t="shared" si="6"/>
        <v>echo {"issue":{"subject":"Early arrival","project_id":79,"tracker_id":40,"status_id":1,"priority_id":2,"assigned_to_id":23,"start_date":"2017-04-28","description":"","custom_fields":[{"id":1,"name":"Subdivision","value":"EC"},{"id":4,"name":"Milepost","value":"3.3257"},{"id":17,"name":"Train ID","value":"122-28"},{"id":16,"name":"Locomotive ID","value":"4063"},{"id":130,"name":"Impact","value":""},{"id":150,"name":"Time of Event (Mountain Time)","value":"07:39:59"},{"id":151,"name":"Denver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62"/>
      <c r="AA9" s="47"/>
      <c r="AB9" s="47"/>
      <c r="AC9" s="118" t="str">
        <f t="shared" si="7"/>
        <v>grep -hSE -A400 "Enforcement Action" "%USERPROFILE%\AppData\Local\Temp\OnboardLogs"\RTDC4063\*4063*201704281*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"%USERPROFILE%\AppData\Local\Temp\OnboardLogs"\RTDC4063\*4063*201704281* &gt;&gt; 2017-04-28-SliceDisagreementCheck.txt</v>
      </c>
      <c r="AE9" s="148" t="str">
        <f t="shared" si="9"/>
        <v>start /low /b %USERPROFILE%\Documents\GitHub\eaglep3\Utilities\DownloadLogsFromS3.py --loco 4063 --day 2017-04-28</v>
      </c>
    </row>
    <row r="10" spans="1:32" s="1" customFormat="1" x14ac:dyDescent="0.25">
      <c r="A10" s="31">
        <v>42853.955567129633</v>
      </c>
      <c r="B10" s="30" t="s">
        <v>599</v>
      </c>
      <c r="C10" s="30" t="s">
        <v>636</v>
      </c>
      <c r="D10" s="30" t="s">
        <v>49</v>
      </c>
      <c r="E10" s="30" t="s">
        <v>191</v>
      </c>
      <c r="F10" s="42">
        <v>250</v>
      </c>
      <c r="G10" s="42">
        <v>351</v>
      </c>
      <c r="H10" s="42">
        <v>35783</v>
      </c>
      <c r="I10" s="42">
        <v>34716</v>
      </c>
      <c r="J10" s="30" t="s">
        <v>192</v>
      </c>
      <c r="K10" s="42">
        <v>33257</v>
      </c>
      <c r="L10" s="134" t="s">
        <v>51</v>
      </c>
      <c r="M10" s="135">
        <f t="shared" si="0"/>
        <v>770.35199999999998</v>
      </c>
      <c r="N10" s="136" t="str">
        <f>VLOOKUP(C10,'Trips&amp;Operators'!$C$1:$G$99999,5,FALSE)</f>
        <v>STORY SAMANTHA</v>
      </c>
      <c r="O10" s="207" t="s">
        <v>184</v>
      </c>
      <c r="P10" s="137" t="s">
        <v>443</v>
      </c>
      <c r="Q10" s="30"/>
      <c r="R10" s="84" t="str">
        <f>IF(VLOOKUP(C10,'Train Runs'!$A$13:$AE$9945,1,1)=C10,VLOOKUP(C10,'Train Runs'!$A$13:$AE$9945,31,1),NA())</f>
        <v>aws s3 cp s3://rtdc.mdm.uploadarchive.raw/RTDC4051/ "%USERPROFILE%\AppData\Local\Temp\OnboardLogs"\RTDC4051\2017-04-28 --exclude "*" --recursive --include "*20170428*" &amp; "%USERPROFILE%\Documents\GitHub\mrs-test-scripts\Headless Mode &amp; Sideloading\WalkAndUnGZ.bat" "%USERPROFILE%\AppData\Local\Temp\OnboardLogs"\RTDC4051\2017-04-28 &amp; aws s3 cp s3://rtdc.mdm.uploadarchive.raw/RTDC4051/ "%USERPROFILE%\AppData\Local\Temp\OnboardLogs"\RTDC4051\2017-04-29 --exclude "*" --recursive --include "*20170429*" &amp; "%USERPROFILE%\Documents\GitHub\mrs-test-scripts\Headless Mode &amp; Sideloading\WalkAndUnGZ.bat" "%USERPROFILE%\AppData\Local\Temp\OnboardLogs"\RTDC4051\2017-04-29</v>
      </c>
      <c r="S10" s="87" t="str">
        <f>VLOOKUP(C10,'Train Runs'!$A$13:$AE$9945,22,0)</f>
        <v>https://d0f6bd738d7f1b3e5a7ca70fe4ff75f0.us-east-1.aws.found.io/app/kibana#/discover/Steve-Slow-Train-Analysis-(2080s-and-2083s)?_g=(refreshInterval:(display:Off,pause:!f,section:0,value:0),time:(from:'2017-04-28T21:19:24-0600',mode:absolute,to:'2017-04-29T00:06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10" s="89" t="str">
        <f t="shared" si="1"/>
        <v>"C:\Program Files (x86)\AstroGrep\AstroGrep.exe" /e /r /s /spath="%USERPROFILE%\AppData\Local\Temp\OnboardLogs" /stypes="*4051*201704290*" /stext=" 04:.+((SYSTEM_STATE.+slice.+state.+changed )|(ment ac)|(multiple cpu faults)|(system.+state.+changed )|(\[timeout)|(PRM\|1\|D)|(kpr)|(kdp)|(train.+moving)|(\|lc)|(penalty))"</v>
      </c>
      <c r="U10" s="9" t="str">
        <f t="shared" si="2"/>
        <v>4051</v>
      </c>
      <c r="V10" s="31">
        <f t="shared" si="3"/>
        <v>42854.205567129633</v>
      </c>
      <c r="W10" s="45" t="str">
        <f t="shared" si="4"/>
        <v>EC</v>
      </c>
      <c r="X10" s="45" t="str">
        <f t="shared" si="5"/>
        <v>KEEP</v>
      </c>
      <c r="Y10" s="99" t="str">
        <f t="shared" si="6"/>
        <v>echo {"issue":{"subject":"Early arrival","project_id":79,"tracker_id":40,"status_id":1,"priority_id":2,"assigned_to_id":23,"start_date":"2017-04-28","description":"","custom_fields":[{"id":1,"name":"Subdivision","value":"EC"},{"id":4,"name":"Milepost","value":"3.3257"},{"id":17,"name":"Train ID","value":"232-28"},{"id":16,"name":"Locomotive ID","value":"4051"},{"id":130,"name":"Impact","value":""},{"id":150,"name":"Time of Event (Mountain Time)","value":"22:56:01"},{"id":151,"name":"Denver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62"/>
      <c r="AA10" s="47"/>
      <c r="AB10" s="47"/>
      <c r="AC10" s="118" t="str">
        <f t="shared" si="7"/>
        <v>grep -hSE -A400 "Enforcement Action" "%USERPROFILE%\AppData\Local\Temp\OnboardLogs"\RTDC4051\*4051*201704290*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"%USERPROFILE%\AppData\Local\Temp\OnboardLogs"\RTDC4051\*4051*201704290* &gt;&gt; 2017-04-28-SliceDisagreementCheck.txt</v>
      </c>
      <c r="AE10" s="148" t="str">
        <f t="shared" si="9"/>
        <v>start /low /b %USERPROFILE%\Documents\GitHub\eaglep3\Utilities\DownloadLogsFromS3.py --loco 4051 --day 2017-04-29</v>
      </c>
    </row>
    <row r="11" spans="1:32" s="1" customFormat="1" x14ac:dyDescent="0.25">
      <c r="A11" s="31">
        <v>42854.037372685183</v>
      </c>
      <c r="B11" s="30" t="s">
        <v>599</v>
      </c>
      <c r="C11" s="30" t="s">
        <v>641</v>
      </c>
      <c r="D11" s="30" t="s">
        <v>49</v>
      </c>
      <c r="E11" s="30" t="s">
        <v>191</v>
      </c>
      <c r="F11" s="42">
        <v>0</v>
      </c>
      <c r="G11" s="42">
        <v>267</v>
      </c>
      <c r="H11" s="42">
        <v>43218</v>
      </c>
      <c r="I11" s="42">
        <v>42833</v>
      </c>
      <c r="J11" s="30" t="s">
        <v>192</v>
      </c>
      <c r="K11" s="42">
        <v>42961</v>
      </c>
      <c r="L11" s="134" t="s">
        <v>51</v>
      </c>
      <c r="M11" s="135">
        <f t="shared" si="0"/>
        <v>-67.584000000000003</v>
      </c>
      <c r="N11" s="136" t="str">
        <f>VLOOKUP(C11,'Trips&amp;Operators'!$C$1:$G$99999,5,FALSE)</f>
        <v>STORY SAMANTHA</v>
      </c>
      <c r="O11" s="207" t="s">
        <v>184</v>
      </c>
      <c r="P11" s="137" t="s">
        <v>443</v>
      </c>
      <c r="Q11" s="30"/>
      <c r="R11" s="84" t="str">
        <f>IF(VLOOKUP(C11,'Train Runs'!$A$13:$AE$9945,1,1)=C11,VLOOKUP(C11,'Train Runs'!$A$13:$AE$9945,31,1),NA())</f>
        <v>aws s3 cp s3://rtdc.mdm.uploadarchive.raw/RTDC4051/ "%USERPROFILE%\AppData\Local\Temp\OnboardLogs"\RTDC4051\2017-04-29 --exclude "*" --recursive --include "*20170429*" &amp; "%USERPROFILE%\Documents\GitHub\mrs-test-scripts\Headless Mode &amp; Sideloading\WalkAndUnGZ.bat" "%USERPROFILE%\AppData\Local\Temp\OnboardLogs"\RTDC4051\2017-04-29 &amp; aws s3 cp s3://rtdc.mdm.uploadarchive.raw/RTDC4051/ "%USERPROFILE%\AppData\Local\Temp\OnboardLogs"\RTDC4051\2017-04-30 --exclude "*" --recursive --include "*20170430*" &amp; "%USERPROFILE%\Documents\GitHub\mrs-test-scripts\Headless Mode &amp; Sideloading\WalkAndUnGZ.bat" "%USERPROFILE%\AppData\Local\Temp\OnboardLogs"\RTDC4051\2017-04-30</v>
      </c>
      <c r="S11" s="87" t="str">
        <f>VLOOKUP(C11,'Train Runs'!$A$13:$AE$9945,22,0)</f>
        <v>https://d0f6bd738d7f1b3e5a7ca70fe4ff75f0.us-east-1.aws.found.io/app/kibana#/discover/Steve-Slow-Train-Analysis-(2080s-and-2083s)?_g=(refreshInterval:(display:Off,pause:!f,section:0,value:0),time:(from:'2017-04-28T23:16:35-0600',mode:absolute,to:'2017-04-29T02:06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11" s="89" t="str">
        <f t="shared" si="1"/>
        <v>"C:\Program Files (x86)\AstroGrep\AstroGrep.exe" /e /r /s /spath="%USERPROFILE%\AppData\Local\Temp\OnboardLogs" /stypes="*4051*201704290*" /stext=" 06:.+((SYSTEM_STATE.+slice.+state.+changed )|(ment ac)|(multiple cpu faults)|(system.+state.+changed )|(\[timeout)|(PRM\|1\|D)|(kpr)|(kdp)|(train.+moving)|(\|lc)|(penalty))"</v>
      </c>
      <c r="U11" s="9" t="str">
        <f t="shared" si="2"/>
        <v>4051</v>
      </c>
      <c r="V11" s="31">
        <f t="shared" si="3"/>
        <v>42854.287372685183</v>
      </c>
      <c r="W11" s="45" t="str">
        <f t="shared" si="4"/>
        <v>EC</v>
      </c>
      <c r="X11" s="45" t="str">
        <f t="shared" si="5"/>
        <v>KEEP</v>
      </c>
      <c r="Y11" s="99" t="str">
        <f t="shared" si="6"/>
        <v>echo {"issue":{"subject":"Early arrival","project_id":79,"tracker_id":40,"status_id":1,"priority_id":2,"assigned_to_id":23,"start_date":"2017-04-29","description":"","custom_fields":[{"id":1,"name":"Subdivision","value":"EC"},{"id":4,"name":"Milepost","value":"4.2961"},{"id":17,"name":"Train ID","value":"240-28"},{"id":16,"name":"Locomotive ID","value":"4051"},{"id":130,"name":"Impact","value":""},{"id":150,"name":"Time of Event (Mountain Time)","value":"00:53:49"},{"id":151,"name":"Denver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62"/>
      <c r="AA11" s="47"/>
      <c r="AB11" s="47"/>
      <c r="AC11" s="118" t="str">
        <f t="shared" si="7"/>
        <v>grep -hSE -A400 "Enforcement Action" "%USERPROFILE%\AppData\Local\Temp\OnboardLogs"\RTDC4051\*4051*201704290*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"%USERPROFILE%\AppData\Local\Temp\OnboardLogs"\RTDC4051\*4051*201704290* &gt;&gt; 2017-04-28-SliceDisagreementCheck.txt</v>
      </c>
      <c r="AE11" s="148" t="str">
        <f t="shared" si="9"/>
        <v>start /low /b %USERPROFILE%\Documents\GitHub\eaglep3\Utilities\DownloadLogsFromS3.py --loco 4051 --day 2017-04-29</v>
      </c>
    </row>
    <row r="12" spans="1:32" s="1" customFormat="1" x14ac:dyDescent="0.25">
      <c r="A12" s="31">
        <v>42853.415729166663</v>
      </c>
      <c r="B12" s="30" t="s">
        <v>439</v>
      </c>
      <c r="C12" s="30" t="s">
        <v>608</v>
      </c>
      <c r="D12" s="30" t="s">
        <v>49</v>
      </c>
      <c r="E12" s="30" t="s">
        <v>191</v>
      </c>
      <c r="F12" s="42">
        <v>300</v>
      </c>
      <c r="G12" s="42">
        <v>433</v>
      </c>
      <c r="H12" s="42">
        <v>61990</v>
      </c>
      <c r="I12" s="42">
        <v>63025</v>
      </c>
      <c r="J12" s="30" t="s">
        <v>192</v>
      </c>
      <c r="K12" s="42">
        <v>63069</v>
      </c>
      <c r="L12" s="134" t="s">
        <v>50</v>
      </c>
      <c r="M12" s="135">
        <f t="shared" si="0"/>
        <v>23.231999999999999</v>
      </c>
      <c r="N12" s="136" t="str">
        <f>VLOOKUP(C12,'Trips&amp;Operators'!$C$1:$G$99999,5,FALSE)</f>
        <v>STARKS ANGELINA</v>
      </c>
      <c r="O12" s="207" t="s">
        <v>184</v>
      </c>
      <c r="P12" s="137" t="s">
        <v>443</v>
      </c>
      <c r="Q12" s="30"/>
      <c r="R12" s="84" t="str">
        <f>IF(VLOOKUP(C12,'Train Runs'!$A$13:$AE$9945,1,1)=C12,VLOOKUP(C12,'Train Runs'!$A$13:$AE$9945,31,1),NA())</f>
        <v>aws s3 cp s3://rtdc.mdm.uploadarchive.raw/RTDC4064/ "%USERPROFILE%\AppData\Local\Temp\OnboardLogs"\RTDC4064\2017-04-28 --exclude "*" --recursive --include "*20170428*" &amp; "%USERPROFILE%\Documents\GitHub\mrs-test-scripts\Headless Mode &amp; Sideloading\WalkAndUnGZ.bat" "%USERPROFILE%\AppData\Local\Temp\OnboardLogs"\RTDC4064\2017-04-28 &amp; aws s3 cp s3://rtdc.mdm.uploadarchive.raw/RTDC4064/ "%USERPROFILE%\AppData\Local\Temp\OnboardLogs"\RTDC4064\2017-04-29 --exclude "*" --recursive --include "*20170429*" &amp; "%USERPROFILE%\Documents\GitHub\mrs-test-scripts\Headless Mode &amp; Sideloading\WalkAndUnGZ.bat" "%USERPROFILE%\AppData\Local\Temp\OnboardLogs"\RTDC4064\2017-04-29</v>
      </c>
      <c r="S12" s="87" t="str">
        <f>VLOOKUP(C12,'Train Runs'!$A$13:$AE$9945,22,0)</f>
        <v>https://d0f6bd738d7f1b3e5a7ca70fe4ff75f0.us-east-1.aws.found.io/app/kibana#/discover/Steve-Slow-Train-Analysis-(2080s-and-2083s)?_g=(refreshInterval:(display:Off,pause:!f,section:0,value:0),time:(from:'2017-04-28T08:40:08-0600',mode:absolute,to:'2017-04-28T11:23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12" s="89" t="str">
        <f t="shared" si="1"/>
        <v>"C:\Program Files (x86)\AstroGrep\AstroGrep.exe" /e /r /s /spath="%USERPROFILE%\AppData\Local\Temp\OnboardLogs" /stypes="*4064*201704281*" /stext=" 15:.+((SYSTEM_STATE.+slice.+state.+changed )|(ment ac)|(multiple cpu faults)|(system.+state.+changed )|(\[timeout)|(PRM\|1\|D)|(kpr)|(kdp)|(train.+moving)|(\|lc)|(penalty))"</v>
      </c>
      <c r="U12" s="9" t="str">
        <f t="shared" si="2"/>
        <v>4064</v>
      </c>
      <c r="V12" s="31">
        <f t="shared" si="3"/>
        <v>42853.665729166663</v>
      </c>
      <c r="W12" s="45" t="str">
        <f t="shared" si="4"/>
        <v>EC</v>
      </c>
      <c r="X12" s="45" t="str">
        <f t="shared" si="5"/>
        <v>KEEP</v>
      </c>
      <c r="Y12" s="99" t="str">
        <f t="shared" si="6"/>
        <v>echo {"issue":{"subject":"Early arrival","project_id":79,"tracker_id":40,"status_id":1,"priority_id":2,"assigned_to_id":23,"start_date":"2017-04-28","description":"","custom_fields":[{"id":1,"name":"Subdivision","value":"EC"},{"id":4,"name":"Milepost","value":"6.3069"},{"id":17,"name":"Train ID","value":"149-28"},{"id":16,"name":"Locomotive ID","value":"4064"},{"id":130,"name":"Impact","value":""},{"id":150,"name":"Time of Event (Mountain Time)","value":"09:58:39"},{"id":151,"name":"Denver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62"/>
      <c r="AA12" s="47"/>
      <c r="AB12" s="47"/>
      <c r="AC12" s="118" t="str">
        <f t="shared" si="7"/>
        <v>grep -hSE -A400 "Enforcement Action" "%USERPROFILE%\AppData\Local\Temp\OnboardLogs"\RTDC4064\*4064*201704281*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"%USERPROFILE%\AppData\Local\Temp\OnboardLogs"\RTDC4064\*4064*201704281* &gt;&gt; 2017-04-28-SliceDisagreementCheck.txt</v>
      </c>
      <c r="AE12" s="148" t="str">
        <f t="shared" si="9"/>
        <v>start /low /b %USERPROFILE%\Documents\GitHub\eaglep3\Utilities\DownloadLogsFromS3.py --loco 4064 --day 2017-04-28</v>
      </c>
    </row>
    <row r="13" spans="1:32" s="1" customFormat="1" x14ac:dyDescent="0.25">
      <c r="A13" s="31">
        <v>42853.373888888891</v>
      </c>
      <c r="B13" s="30" t="s">
        <v>604</v>
      </c>
      <c r="C13" s="30" t="s">
        <v>605</v>
      </c>
      <c r="D13" s="30" t="s">
        <v>49</v>
      </c>
      <c r="E13" s="30" t="s">
        <v>191</v>
      </c>
      <c r="F13" s="42">
        <v>380</v>
      </c>
      <c r="G13" s="42">
        <v>520</v>
      </c>
      <c r="H13" s="42">
        <v>61866</v>
      </c>
      <c r="I13" s="42">
        <v>63292</v>
      </c>
      <c r="J13" s="30" t="s">
        <v>192</v>
      </c>
      <c r="K13" s="42">
        <v>63069</v>
      </c>
      <c r="L13" s="134" t="s">
        <v>50</v>
      </c>
      <c r="M13" s="135">
        <f t="shared" si="0"/>
        <v>-117.744</v>
      </c>
      <c r="N13" s="136" t="str">
        <f>VLOOKUP(C13,'Trips&amp;Operators'!$C$1:$G$99999,5,FALSE)</f>
        <v>BADERTSCHER DIANE</v>
      </c>
      <c r="O13" s="207" t="s">
        <v>184</v>
      </c>
      <c r="P13" s="137" t="s">
        <v>443</v>
      </c>
      <c r="Q13" s="30"/>
      <c r="R13" s="84" t="str">
        <f>IF(VLOOKUP(C13,'Train Runs'!$A$13:$AE$9945,1,1)=C13,VLOOKUP(C13,'Train Runs'!$A$13:$AE$9945,31,1),NA())</f>
        <v>aws s3 cp s3://rtdc.mdm.uploadarchive.raw/RTDC4016/ "%USERPROFILE%\AppData\Local\Temp\OnboardLogs"\RTDC4016\2017-04-28 --exclude "*" --recursive --include "*20170428*" &amp; "%USERPROFILE%\Documents\GitHub\mrs-test-scripts\Headless Mode &amp; Sideloading\WalkAndUnGZ.bat" "%USERPROFILE%\AppData\Local\Temp\OnboardLogs"\RTDC4016\2017-04-28 &amp; aws s3 cp s3://rtdc.mdm.uploadarchive.raw/RTDC4016/ "%USERPROFILE%\AppData\Local\Temp\OnboardLogs"\RTDC4016\2017-04-29 --exclude "*" --recursive --include "*20170429*" &amp; "%USERPROFILE%\Documents\GitHub\mrs-test-scripts\Headless Mode &amp; Sideloading\WalkAndUnGZ.bat" "%USERPROFILE%\AppData\Local\Temp\OnboardLogs"\RTDC4016\2017-04-29</v>
      </c>
      <c r="S13" s="87" t="str">
        <f>VLOOKUP(C13,'Train Runs'!$A$13:$AE$9945,22,0)</f>
        <v>https://d0f6bd738d7f1b3e5a7ca70fe4ff75f0.us-east-1.aws.found.io/app/kibana#/discover/Steve-Slow-Train-Analysis-(2080s-and-2083s)?_g=(refreshInterval:(display:Off,pause:!f,section:0,value:0),time:(from:'2017-04-28T07:39:35-0600',mode:absolute,to:'2017-04-28T10:22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13" s="89" t="str">
        <f t="shared" si="1"/>
        <v>"C:\Program Files (x86)\AstroGrep\AstroGrep.exe" /e /r /s /spath="%USERPROFILE%\AppData\Local\Temp\OnboardLogs" /stypes="*4016*201704281*" /stext=" 14:.+((SYSTEM_STATE.+slice.+state.+changed )|(ment ac)|(multiple cpu faults)|(system.+state.+changed )|(\[timeout)|(PRM\|1\|D)|(kpr)|(kdp)|(train.+moving)|(\|lc)|(penalty))"</v>
      </c>
      <c r="U13" s="9" t="str">
        <f t="shared" si="2"/>
        <v>4016</v>
      </c>
      <c r="V13" s="31">
        <f t="shared" si="3"/>
        <v>42853.623888888891</v>
      </c>
      <c r="W13" s="45" t="str">
        <f t="shared" si="4"/>
        <v>EC</v>
      </c>
      <c r="X13" s="45" t="str">
        <f t="shared" si="5"/>
        <v>KEEP</v>
      </c>
      <c r="Y13" s="99" t="str">
        <f t="shared" si="6"/>
        <v>echo {"issue":{"subject":"Early arrival","project_id":79,"tracker_id":40,"status_id":1,"priority_id":2,"assigned_to_id":23,"start_date":"2017-04-28","description":"","custom_fields":[{"id":1,"name":"Subdivision","value":"EC"},{"id":4,"name":"Milepost","value":"6.3069"},{"id":17,"name":"Train ID","value":"141-28"},{"id":16,"name":"Locomotive ID","value":"4016"},{"id":130,"name":"Impact","value":""},{"id":150,"name":"Time of Event (Mountain Time)","value":"08:58:24"},{"id":151,"name":"Denver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62"/>
      <c r="AA13" s="47"/>
      <c r="AB13" s="47"/>
      <c r="AC13" s="118" t="str">
        <f t="shared" si="7"/>
        <v>grep -hSE -A400 "Enforcement Action" "%USERPROFILE%\AppData\Local\Temp\OnboardLogs"\RTDC4016\*4016*201704281*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"%USERPROFILE%\AppData\Local\Temp\OnboardLogs"\RTDC4016\*4016*201704281* &gt;&gt; 2017-04-28-SliceDisagreementCheck.txt</v>
      </c>
      <c r="AE13" s="148" t="str">
        <f t="shared" si="9"/>
        <v>start /low /b %USERPROFILE%\Documents\GitHub\eaglep3\Utilities\DownloadLogsFromS3.py --loco 4016 --day 2017-04-28</v>
      </c>
    </row>
    <row r="14" spans="1:32" x14ac:dyDescent="0.25">
      <c r="A14" s="31">
        <v>42853.615567129629</v>
      </c>
      <c r="B14" s="30" t="s">
        <v>356</v>
      </c>
      <c r="C14" s="30" t="s">
        <v>618</v>
      </c>
      <c r="D14" s="30" t="s">
        <v>49</v>
      </c>
      <c r="E14" s="30" t="s">
        <v>191</v>
      </c>
      <c r="F14" s="42">
        <v>0</v>
      </c>
      <c r="G14" s="42">
        <v>271</v>
      </c>
      <c r="H14" s="42">
        <v>110422</v>
      </c>
      <c r="I14" s="42">
        <v>110044</v>
      </c>
      <c r="J14" s="30" t="s">
        <v>192</v>
      </c>
      <c r="K14" s="42">
        <v>109135</v>
      </c>
      <c r="L14" s="134" t="s">
        <v>51</v>
      </c>
      <c r="M14" s="135">
        <f t="shared" si="0"/>
        <v>479.952</v>
      </c>
      <c r="N14" s="136" t="str">
        <f>VLOOKUP(C14,'Trips&amp;Operators'!$C$1:$G$99999,5,FALSE)</f>
        <v>SULLIVAN BRANDON</v>
      </c>
      <c r="O14" s="207" t="s">
        <v>184</v>
      </c>
      <c r="P14" s="137" t="s">
        <v>1040</v>
      </c>
      <c r="Q14" s="30"/>
      <c r="R14" s="84" t="str">
        <f>IF(VLOOKUP(C14,'Train Runs'!$A$13:$AE$9945,1,1)=C14,VLOOKUP(C14,'Train Runs'!$A$13:$AE$9945,31,1),NA())</f>
        <v>aws s3 cp s3://rtdc.mdm.uploadarchive.raw/RTDC4021/ "%USERPROFILE%\AppData\Local\Temp\OnboardLogs"\RTDC4021\2017-04-28 --exclude "*" --recursive --include "*20170428*" &amp; "%USERPROFILE%\Documents\GitHub\mrs-test-scripts\Headless Mode &amp; Sideloading\WalkAndUnGZ.bat" "%USERPROFILE%\AppData\Local\Temp\OnboardLogs"\RTDC4021\2017-04-28 &amp; aws s3 cp s3://rtdc.mdm.uploadarchive.raw/RTDC4021/ "%USERPROFILE%\AppData\Local\Temp\OnboardLogs"\RTDC4021\2017-04-29 --exclude "*" --recursive --include "*20170429*" &amp; "%USERPROFILE%\Documents\GitHub\mrs-test-scripts\Headless Mode &amp; Sideloading\WalkAndUnGZ.bat" "%USERPROFILE%\AppData\Local\Temp\OnboardLogs"\RTDC4021\2017-04-29</v>
      </c>
      <c r="S14" s="87" t="str">
        <f>VLOOKUP(C14,'Train Runs'!$A$13:$AE$9945,22,0)</f>
        <v>https://d0f6bd738d7f1b3e5a7ca70fe4ff75f0.us-east-1.aws.found.io/app/kibana#/discover/Steve-Slow-Train-Analysis-(2080s-and-2083s)?_g=(refreshInterval:(display:Off,pause:!f,section:0,value:0),time:(from:'2017-04-28T13:19:06-0600',mode:absolute,to:'2017-04-28T16:09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14" s="89" t="str">
        <f t="shared" si="1"/>
        <v>"C:\Program Files (x86)\AstroGrep\AstroGrep.exe" /e /r /s /spath="%USERPROFILE%\AppData\Local\Temp\OnboardLogs" /stypes="*4021*201704282*" /stext=" 20:.+((SYSTEM_STATE.+slice.+state.+changed )|(ment ac)|(multiple cpu faults)|(system.+state.+changed )|(\[timeout)|(PRM\|1\|D)|(kpr)|(kdp)|(train.+moving)|(\|lc)|(penalty))"</v>
      </c>
      <c r="U14" s="9" t="str">
        <f t="shared" si="2"/>
        <v>4021</v>
      </c>
      <c r="V14" s="31">
        <f t="shared" si="3"/>
        <v>42853.865567129629</v>
      </c>
      <c r="W14" s="45" t="str">
        <f t="shared" si="4"/>
        <v>EC</v>
      </c>
      <c r="X14" s="45" t="str">
        <f t="shared" si="5"/>
        <v>KEEP</v>
      </c>
      <c r="Y14" s="99" t="str">
        <f t="shared" si="6"/>
        <v>echo {"issue":{"subject":"Form C","project_id":79,"tracker_id":40,"status_id":1,"priority_id":2,"assigned_to_id":23,"start_date":"2017-04-28","description":"","custom_fields":[{"id":1,"name":"Subdivision","value":"EC"},{"id":4,"name":"Milepost","value":"10.9135"},{"id":17,"name":"Train ID","value":"180-28"},{"id":16,"name":"Locomotive ID","value":"4021"},{"id":130,"name":"Impact","value":""},{"id":150,"name":"Time of Event (Mountain Time)","value":"14:46:25"},{"id":151,"name":"Denver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62"/>
      <c r="AA14" s="47"/>
      <c r="AB14" s="47"/>
      <c r="AC14" s="118" t="str">
        <f t="shared" si="7"/>
        <v>grep -hSE -A400 "Enforcement Action" "%USERPROFILE%\AppData\Local\Temp\OnboardLogs"\RTDC4021\*4021*201704282*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"%USERPROFILE%\AppData\Local\Temp\OnboardLogs"\RTDC4021\*4021*201704282* &gt;&gt; 2017-04-28-SliceDisagreementCheck.txt</v>
      </c>
      <c r="AE14" s="148" t="str">
        <f t="shared" si="9"/>
        <v>start /low /b %USERPROFILE%\Documents\GitHub\eaglep3\Utilities\DownloadLogsFromS3.py --loco 4021 --day 2017-04-28</v>
      </c>
      <c r="AF14" s="1"/>
    </row>
    <row r="15" spans="1:32" x14ac:dyDescent="0.25">
      <c r="A15" s="31">
        <v>42853.616030092591</v>
      </c>
      <c r="B15" s="30" t="s">
        <v>356</v>
      </c>
      <c r="C15" s="30" t="s">
        <v>618</v>
      </c>
      <c r="D15" s="30" t="s">
        <v>49</v>
      </c>
      <c r="E15" s="30" t="s">
        <v>191</v>
      </c>
      <c r="F15" s="42">
        <v>40</v>
      </c>
      <c r="G15" s="42">
        <v>110</v>
      </c>
      <c r="H15" s="42">
        <v>109597</v>
      </c>
      <c r="I15" s="42">
        <v>109459</v>
      </c>
      <c r="J15" s="30" t="s">
        <v>192</v>
      </c>
      <c r="K15" s="42">
        <v>109135</v>
      </c>
      <c r="L15" s="134" t="s">
        <v>51</v>
      </c>
      <c r="M15" s="135">
        <f t="shared" si="0"/>
        <v>171.072</v>
      </c>
      <c r="N15" s="136" t="str">
        <f>VLOOKUP(C15,'Trips&amp;Operators'!$C$1:$G$99999,5,FALSE)</f>
        <v>SULLIVAN BRANDON</v>
      </c>
      <c r="O15" s="207" t="s">
        <v>184</v>
      </c>
      <c r="P15" s="137" t="s">
        <v>1040</v>
      </c>
      <c r="Q15" s="30"/>
      <c r="R15" s="84" t="str">
        <f>IF(VLOOKUP(C15,'Train Runs'!$A$13:$AE$9945,1,1)=C15,VLOOKUP(C15,'Train Runs'!$A$13:$AE$9945,31,1),NA())</f>
        <v>aws s3 cp s3://rtdc.mdm.uploadarchive.raw/RTDC4021/ "%USERPROFILE%\AppData\Local\Temp\OnboardLogs"\RTDC4021\2017-04-28 --exclude "*" --recursive --include "*20170428*" &amp; "%USERPROFILE%\Documents\GitHub\mrs-test-scripts\Headless Mode &amp; Sideloading\WalkAndUnGZ.bat" "%USERPROFILE%\AppData\Local\Temp\OnboardLogs"\RTDC4021\2017-04-28 &amp; aws s3 cp s3://rtdc.mdm.uploadarchive.raw/RTDC4021/ "%USERPROFILE%\AppData\Local\Temp\OnboardLogs"\RTDC4021\2017-04-29 --exclude "*" --recursive --include "*20170429*" &amp; "%USERPROFILE%\Documents\GitHub\mrs-test-scripts\Headless Mode &amp; Sideloading\WalkAndUnGZ.bat" "%USERPROFILE%\AppData\Local\Temp\OnboardLogs"\RTDC4021\2017-04-29</v>
      </c>
      <c r="S15" s="87" t="str">
        <f>VLOOKUP(C15,'Train Runs'!$A$13:$AE$9945,22,0)</f>
        <v>https://d0f6bd738d7f1b3e5a7ca70fe4ff75f0.us-east-1.aws.found.io/app/kibana#/discover/Steve-Slow-Train-Analysis-(2080s-and-2083s)?_g=(refreshInterval:(display:Off,pause:!f,section:0,value:0),time:(from:'2017-04-28T13:19:06-0600',mode:absolute,to:'2017-04-28T16:09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15" s="89" t="str">
        <f t="shared" si="1"/>
        <v>"C:\Program Files (x86)\AstroGrep\AstroGrep.exe" /e /r /s /spath="%USERPROFILE%\AppData\Local\Temp\OnboardLogs" /stypes="*4021*201704282*" /stext=" 20:.+((SYSTEM_STATE.+slice.+state.+changed )|(ment ac)|(multiple cpu faults)|(system.+state.+changed )|(\[timeout)|(PRM\|1\|D)|(kpr)|(kdp)|(train.+moving)|(\|lc)|(penalty))"</v>
      </c>
      <c r="U15" s="9" t="str">
        <f t="shared" si="2"/>
        <v>4021</v>
      </c>
      <c r="V15" s="31">
        <f t="shared" si="3"/>
        <v>42853.866030092591</v>
      </c>
      <c r="W15" s="45" t="str">
        <f t="shared" si="4"/>
        <v>EC</v>
      </c>
      <c r="X15" s="45" t="str">
        <f t="shared" si="5"/>
        <v>KEEP</v>
      </c>
      <c r="Y15" s="99" t="str">
        <f t="shared" si="6"/>
        <v>echo {"issue":{"subject":"Form C","project_id":79,"tracker_id":40,"status_id":1,"priority_id":2,"assigned_to_id":23,"start_date":"2017-04-28","description":"","custom_fields":[{"id":1,"name":"Subdivision","value":"EC"},{"id":4,"name":"Milepost","value":"10.9135"},{"id":17,"name":"Train ID","value":"180-28"},{"id":16,"name":"Locomotive ID","value":"4021"},{"id":130,"name":"Impact","value":""},{"id":150,"name":"Time of Event (Mountain Time)","value":"14:47:05"},{"id":151,"name":"Denver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62"/>
      <c r="AA15" s="47"/>
      <c r="AB15" s="47"/>
      <c r="AC15" s="118" t="str">
        <f t="shared" si="7"/>
        <v>grep -hSE -A400 "Enforcement Action" "%USERPROFILE%\AppData\Local\Temp\OnboardLogs"\RTDC4021\*4021*201704282*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"%USERPROFILE%\AppData\Local\Temp\OnboardLogs"\RTDC4021\*4021*201704282* &gt;&gt; 2017-04-28-SliceDisagreementCheck.txt</v>
      </c>
      <c r="AE15" s="148" t="str">
        <f t="shared" si="9"/>
        <v>start /low /b %USERPROFILE%\Documents\GitHub\eaglep3\Utilities\DownloadLogsFromS3.py --loco 4021 --day 2017-04-28</v>
      </c>
      <c r="AF15" s="1"/>
    </row>
    <row r="16" spans="1:32" x14ac:dyDescent="0.25">
      <c r="A16" s="31">
        <v>42853.239131944443</v>
      </c>
      <c r="B16" s="30" t="s">
        <v>438</v>
      </c>
      <c r="C16" s="30" t="s">
        <v>598</v>
      </c>
      <c r="D16" s="30" t="s">
        <v>98</v>
      </c>
      <c r="E16" s="30" t="s">
        <v>191</v>
      </c>
      <c r="F16" s="42">
        <v>380</v>
      </c>
      <c r="G16" s="42">
        <v>440</v>
      </c>
      <c r="H16" s="42">
        <v>108986</v>
      </c>
      <c r="I16" s="42">
        <v>107557</v>
      </c>
      <c r="J16" s="30" t="s">
        <v>192</v>
      </c>
      <c r="K16" s="42">
        <v>109135</v>
      </c>
      <c r="L16" s="134" t="s">
        <v>51</v>
      </c>
      <c r="M16" s="135">
        <f t="shared" si="0"/>
        <v>-833.18399999999997</v>
      </c>
      <c r="N16" s="136" t="str">
        <f>VLOOKUP(C16,'Trips&amp;Operators'!$C$1:$G$99999,5,FALSE)</f>
        <v>STARKS ANGELINA</v>
      </c>
      <c r="O16" s="207" t="s">
        <v>184</v>
      </c>
      <c r="P16" s="137" t="s">
        <v>443</v>
      </c>
      <c r="Q16" s="30"/>
      <c r="R16" s="84" t="str">
        <f>IF(VLOOKUP(C16,'Train Runs'!$A$13:$AE$9945,1,1)=C16,VLOOKUP(C16,'Train Runs'!$A$13:$AE$9945,31,1),NA())</f>
        <v>aws s3 cp s3://rtdc.mdm.uploadarchive.raw/RTDC4063/ "%USERPROFILE%\AppData\Local\Temp\OnboardLogs"\RTDC4063\2017-04-28 --exclude "*" --recursive --include "*20170428*" &amp; "%USERPROFILE%\Documents\GitHub\mrs-test-scripts\Headless Mode &amp; Sideloading\WalkAndUnGZ.bat" "%USERPROFILE%\AppData\Local\Temp\OnboardLogs"\RTDC4063\2017-04-28 &amp; aws s3 cp s3://rtdc.mdm.uploadarchive.raw/RTDC4063/ "%USERPROFILE%\AppData\Local\Temp\OnboardLogs"\RTDC4063\2017-04-29 --exclude "*" --recursive --include "*20170429*" &amp; "%USERPROFILE%\Documents\GitHub\mrs-test-scripts\Headless Mode &amp; Sideloading\WalkAndUnGZ.bat" "%USERPROFILE%\AppData\Local\Temp\OnboardLogs"\RTDC4063\2017-04-29</v>
      </c>
      <c r="S16" s="87" t="str">
        <f>VLOOKUP(C16,'Train Runs'!$A$13:$AE$9945,22,0)</f>
        <v>https://d0f6bd738d7f1b3e5a7ca70fe4ff75f0.us-east-1.aws.found.io/app/kibana#/discover/Steve-Slow-Train-Analysis-(2080s-and-2083s)?_g=(refreshInterval:(display:Off,pause:!f,section:0,value:0),time:(from:'2017-04-28T04:22:24-0600',mode:absolute,to:'2017-04-28T07:06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16" s="89" t="str">
        <f t="shared" si="1"/>
        <v>"C:\Program Files (x86)\AstroGrep\AstroGrep.exe" /e /r /s /spath="%USERPROFILE%\AppData\Local\Temp\OnboardLogs" /stypes="*4063*201704281*" /stext=" 11:.+((SYSTEM_STATE.+slice.+state.+changed )|(ment ac)|(multiple cpu faults)|(system.+state.+changed )|(\[timeout)|(PRM\|1\|D)|(kpr)|(kdp)|(train.+moving)|(\|lc)|(penalty))"</v>
      </c>
      <c r="U16" s="9" t="str">
        <f t="shared" si="2"/>
        <v>4063</v>
      </c>
      <c r="V16" s="31">
        <f t="shared" si="3"/>
        <v>42853.489131944443</v>
      </c>
      <c r="W16" s="45" t="str">
        <f t="shared" si="4"/>
        <v>EC</v>
      </c>
      <c r="X16" s="45" t="str">
        <f t="shared" si="5"/>
        <v>KEEP</v>
      </c>
      <c r="Y16" s="99" t="str">
        <f t="shared" si="6"/>
        <v>echo {"issue":{"subject":"Early arrival","project_id":79,"tracker_id":40,"status_id":1,"priority_id":2,"assigned_to_id":23,"start_date":"2017-04-28","description":"","custom_fields":[{"id":1,"name":"Subdivision","value":"EC"},{"id":4,"name":"Milepost","value":"10.9135"},{"id":17,"name":"Train ID","value":"108-28"},{"id":16,"name":"Locomotive ID","value":"4063"},{"id":130,"name":"Impact","value":""},{"id":150,"name":"Time of Event (Mountain Time)","value":"05:44:21"},{"id":151,"name":"Denver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62"/>
      <c r="AA16" s="47"/>
      <c r="AB16" s="47"/>
      <c r="AC16" s="118" t="str">
        <f t="shared" si="7"/>
        <v>grep -hSE -A400 "Enforcement Action" "%USERPROFILE%\AppData\Local\Temp\OnboardLogs"\RTDC4063\*4063*201704281*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"%USERPROFILE%\AppData\Local\Temp\OnboardLogs"\RTDC4063\*4063*201704281* &gt;&gt; 2017-04-28-SliceDisagreementCheck.txt</v>
      </c>
      <c r="AE16" s="148" t="str">
        <f t="shared" si="9"/>
        <v>start /low /b %USERPROFILE%\Documents\GitHub\eaglep3\Utilities\DownloadLogsFromS3.py --loco 4063 --day 2017-04-28</v>
      </c>
      <c r="AF16" s="1"/>
    </row>
    <row r="17" spans="1:32" x14ac:dyDescent="0.25">
      <c r="A17" s="31">
        <v>42853.33625</v>
      </c>
      <c r="B17" s="30" t="s">
        <v>439</v>
      </c>
      <c r="C17" s="30" t="s">
        <v>602</v>
      </c>
      <c r="D17" s="30" t="s">
        <v>49</v>
      </c>
      <c r="E17" s="30" t="s">
        <v>209</v>
      </c>
      <c r="F17" s="42">
        <v>400</v>
      </c>
      <c r="G17" s="42">
        <v>452</v>
      </c>
      <c r="H17" s="42">
        <v>17407</v>
      </c>
      <c r="I17" s="42">
        <v>18137</v>
      </c>
      <c r="J17" s="30" t="s">
        <v>210</v>
      </c>
      <c r="K17" s="42">
        <v>17867</v>
      </c>
      <c r="L17" s="134" t="s">
        <v>50</v>
      </c>
      <c r="M17" s="135">
        <f t="shared" si="0"/>
        <v>-142.56</v>
      </c>
      <c r="N17" s="136" t="str">
        <f>VLOOKUP(C17,'Trips&amp;Operators'!$C$1:$G$99999,5,FALSE)</f>
        <v>STARKS ANGELINA</v>
      </c>
      <c r="O17" s="207" t="s">
        <v>184</v>
      </c>
      <c r="P17" s="137"/>
      <c r="Q17" s="30"/>
      <c r="R17" s="84" t="str">
        <f>IF(VLOOKUP(C17,'Train Runs'!$A$13:$AE$9945,1,1)=C17,VLOOKUP(C17,'Train Runs'!$A$13:$AE$9945,31,1),NA())</f>
        <v>aws s3 cp s3://rtdc.mdm.uploadarchive.raw/RTDC4064/ "%USERPROFILE%\AppData\Local\Temp\OnboardLogs"\RTDC4064\2017-04-28 --exclude "*" --recursive --include "*20170428*" &amp; "%USERPROFILE%\Documents\GitHub\mrs-test-scripts\Headless Mode &amp; Sideloading\WalkAndUnGZ.bat" "%USERPROFILE%\AppData\Local\Temp\OnboardLogs"\RTDC4064\2017-04-28 &amp; aws s3 cp s3://rtdc.mdm.uploadarchive.raw/RTDC4064/ "%USERPROFILE%\AppData\Local\Temp\OnboardLogs"\RTDC4064\2017-04-29 --exclude "*" --recursive --include "*20170429*" &amp; "%USERPROFILE%\Documents\GitHub\mrs-test-scripts\Headless Mode &amp; Sideloading\WalkAndUnGZ.bat" "%USERPROFILE%\AppData\Local\Temp\OnboardLogs"\RTDC4064\2017-04-29</v>
      </c>
      <c r="S17" s="87" t="str">
        <f>VLOOKUP(C17,'Train Runs'!$A$13:$AE$9945,22,0)</f>
        <v>https://d0f6bd738d7f1b3e5a7ca70fe4ff75f0.us-east-1.aws.found.io/app/kibana#/discover/Steve-Slow-Train-Analysis-(2080s-and-2083s)?_g=(refreshInterval:(display:Off,pause:!f,section:0,value:0),time:(from:'2017-04-28T06:54:10-0600',mode:absolute,to:'2017-04-28T09:36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17" s="89" t="str">
        <f t="shared" si="1"/>
        <v>"C:\Program Files (x86)\AstroGrep\AstroGrep.exe" /e /r /s /spath="%USERPROFILE%\AppData\Local\Temp\OnboardLogs" /stypes="*4064*201704281*" /stext=" 14:.+((SYSTEM_STATE.+slice.+state.+changed )|(ment ac)|(multiple cpu faults)|(system.+state.+changed )|(\[timeout)|(PRM\|1\|D)|(kpr)|(kdp)|(train.+moving)|(\|lc)|(penalty))"</v>
      </c>
      <c r="U17" s="9" t="str">
        <f t="shared" si="2"/>
        <v>4064</v>
      </c>
      <c r="V17" s="31">
        <f t="shared" si="3"/>
        <v>42853.58625</v>
      </c>
      <c r="W17" s="45" t="str">
        <f t="shared" si="4"/>
        <v>EC</v>
      </c>
      <c r="X17" s="45" t="str">
        <f t="shared" si="5"/>
        <v>KEEP</v>
      </c>
      <c r="Y17" s="99" t="str">
        <f t="shared" si="6"/>
        <v>echo {"issue":{"subject":"","project_id":79,"tracker_id":40,"status_id":1,"priority_id":2,"assigned_to_id":23,"start_date":"2017-04-28","description":"","custom_fields":[{"id":1,"name":"Subdivision","value":"EC"},{"id":4,"name":"Milepost","value":"1.7867"},{"id":17,"name":"Train ID","value":"135-28"},{"id":16,"name":"Locomotive ID","value":"4064"},{"id":130,"name":"Impact","value":""},{"id":150,"name":"Time of Event (Mountain Time)","value":"08:04:12"},{"id":151,"name":"Denver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62"/>
      <c r="AA17" s="47"/>
      <c r="AB17" s="47"/>
      <c r="AC17" s="118" t="str">
        <f t="shared" si="7"/>
        <v>grep -hSE -A400 "Enforcement Action" "%USERPROFILE%\AppData\Local\Temp\OnboardLogs"\RTDC4064\*4064*201704281*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"%USERPROFILE%\AppData\Local\Temp\OnboardLogs"\RTDC4064\*4064*201704281* &gt;&gt; 2017-04-28-SliceDisagreementCheck.txt</v>
      </c>
      <c r="AE17" s="148" t="str">
        <f t="shared" si="9"/>
        <v>start /low /b %USERPROFILE%\Documents\GitHub\eaglep3\Utilities\DownloadLogsFromS3.py --loco 4064 --day 2017-04-28</v>
      </c>
      <c r="AF17" s="1"/>
    </row>
    <row r="18" spans="1:32" x14ac:dyDescent="0.25">
      <c r="A18" s="31">
        <v>42853.639143518521</v>
      </c>
      <c r="B18" s="30" t="s">
        <v>619</v>
      </c>
      <c r="C18" s="30" t="s">
        <v>620</v>
      </c>
      <c r="D18" s="30" t="s">
        <v>49</v>
      </c>
      <c r="E18" s="30" t="s">
        <v>209</v>
      </c>
      <c r="F18" s="42">
        <v>300</v>
      </c>
      <c r="G18" s="42">
        <v>385</v>
      </c>
      <c r="H18" s="42">
        <v>23095</v>
      </c>
      <c r="I18" s="42">
        <v>20079</v>
      </c>
      <c r="J18" s="30" t="s">
        <v>210</v>
      </c>
      <c r="K18" s="42">
        <v>21848</v>
      </c>
      <c r="L18" s="134" t="s">
        <v>51</v>
      </c>
      <c r="M18" s="135">
        <f t="shared" si="0"/>
        <v>-934.03200000000004</v>
      </c>
      <c r="N18" s="136" t="str">
        <f>VLOOKUP(C18,'Trips&amp;Operators'!$C$1:$G$99999,5,FALSE)</f>
        <v>LAMAR NEKESHA</v>
      </c>
      <c r="O18" s="207" t="s">
        <v>184</v>
      </c>
      <c r="P18" s="137"/>
      <c r="Q18" s="30"/>
      <c r="R18" s="84" t="str">
        <f>IF(VLOOKUP(C18,'Train Runs'!$A$13:$AE$9945,1,1)=C18,VLOOKUP(C18,'Train Runs'!$A$13:$AE$9945,31,1),NA())</f>
        <v>aws s3 cp s3://rtdc.mdm.uploadarchive.raw/RTDC4041/ "%USERPROFILE%\AppData\Local\Temp\OnboardLogs"\RTDC4041\2017-04-28 --exclude "*" --recursive --include "*20170428*" &amp; "%USERPROFILE%\Documents\GitHub\mrs-test-scripts\Headless Mode &amp; Sideloading\WalkAndUnGZ.bat" "%USERPROFILE%\AppData\Local\Temp\OnboardLogs"\RTDC4041\2017-04-28 &amp; aws s3 cp s3://rtdc.mdm.uploadarchive.raw/RTDC4041/ "%USERPROFILE%\AppData\Local\Temp\OnboardLogs"\RTDC4041\2017-04-29 --exclude "*" --recursive --include "*20170429*" &amp; "%USERPROFILE%\Documents\GitHub\mrs-test-scripts\Headless Mode &amp; Sideloading\WalkAndUnGZ.bat" "%USERPROFILE%\AppData\Local\Temp\OnboardLogs"\RTDC4041\2017-04-29</v>
      </c>
      <c r="S18" s="87" t="str">
        <f>VLOOKUP(C18,'Train Runs'!$A$13:$AE$9945,22,0)</f>
        <v>https://d0f6bd738d7f1b3e5a7ca70fe4ff75f0.us-east-1.aws.found.io/app/kibana#/discover/Steve-Slow-Train-Analysis-(2080s-and-2083s)?_g=(refreshInterval:(display:Off,pause:!f,section:0,value:0),time:(from:'2017-04-28T13:29:13-0600',mode:absolute,to:'2017-04-28T16:26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8" s="89" t="str">
        <f t="shared" si="1"/>
        <v>"C:\Program Files (x86)\AstroGrep\AstroGrep.exe" /e /r /s /spath="%USERPROFILE%\AppData\Local\Temp\OnboardLogs" /stypes="*4041*201704282*" /stext=" 21:.+((SYSTEM_STATE.+slice.+state.+changed )|(ment ac)|(multiple cpu faults)|(system.+state.+changed )|(\[timeout)|(PRM\|1\|D)|(kpr)|(kdp)|(train.+moving)|(\|lc)|(penalty))"</v>
      </c>
      <c r="U18" s="9" t="str">
        <f t="shared" si="2"/>
        <v>4041</v>
      </c>
      <c r="V18" s="31">
        <f t="shared" si="3"/>
        <v>42853.889143518521</v>
      </c>
      <c r="W18" s="45" t="str">
        <f t="shared" si="4"/>
        <v>EC</v>
      </c>
      <c r="X18" s="45" t="str">
        <f t="shared" si="5"/>
        <v>KEEP</v>
      </c>
      <c r="Y18" s="99" t="str">
        <f t="shared" si="6"/>
        <v>echo {"issue":{"subject":"","project_id":79,"tracker_id":40,"status_id":1,"priority_id":2,"assigned_to_id":23,"start_date":"2017-04-28","description":"","custom_fields":[{"id":1,"name":"Subdivision","value":"EC"},{"id":4,"name":"Milepost","value":"2.1848"},{"id":17,"name":"Train ID","value":"182-28"},{"id":16,"name":"Locomotive ID","value":"4041"},{"id":130,"name":"Impact","value":""},{"id":150,"name":"Time of Event (Mountain Time)","value":"15:20:22"},{"id":151,"name":"Denver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62"/>
      <c r="AA18" s="47"/>
      <c r="AB18" s="47"/>
      <c r="AC18" s="118" t="str">
        <f t="shared" si="7"/>
        <v>grep -hSE -A400 "Enforcement Action" "%USERPROFILE%\AppData\Local\Temp\OnboardLogs"\RTDC4041\*4041*201704282*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"%USERPROFILE%\AppData\Local\Temp\OnboardLogs"\RTDC4041\*4041*201704282* &gt;&gt; 2017-04-28-SliceDisagreementCheck.txt</v>
      </c>
      <c r="AE18" s="148" t="str">
        <f t="shared" si="9"/>
        <v>start /low /b %USERPROFILE%\Documents\GitHub\eaglep3\Utilities\DownloadLogsFromS3.py --loco 4041 --day 2017-04-28</v>
      </c>
      <c r="AF18" s="1"/>
    </row>
    <row r="19" spans="1:32" x14ac:dyDescent="0.25">
      <c r="A19" s="31">
        <v>42853.769502314812</v>
      </c>
      <c r="B19" s="30" t="s">
        <v>630</v>
      </c>
      <c r="C19" s="30" t="s">
        <v>631</v>
      </c>
      <c r="D19" s="30" t="s">
        <v>98</v>
      </c>
      <c r="E19" s="30" t="s">
        <v>209</v>
      </c>
      <c r="F19" s="42">
        <v>350</v>
      </c>
      <c r="G19" s="42">
        <v>402</v>
      </c>
      <c r="H19" s="42">
        <v>228766</v>
      </c>
      <c r="I19" s="42">
        <v>227662</v>
      </c>
      <c r="J19" s="30" t="s">
        <v>210</v>
      </c>
      <c r="K19" s="42">
        <v>232080</v>
      </c>
      <c r="L19" s="134" t="s">
        <v>51</v>
      </c>
      <c r="M19" s="135">
        <f t="shared" si="0"/>
        <v>-2332.7040000000002</v>
      </c>
      <c r="N19" s="136" t="str">
        <f>VLOOKUP(C19,'Trips&amp;Operators'!$C$1:$G$99999,5,FALSE)</f>
        <v>BRANDNER MELINDA</v>
      </c>
      <c r="O19" s="207" t="s">
        <v>184</v>
      </c>
      <c r="P19" s="137"/>
      <c r="Q19" s="30"/>
      <c r="R19" s="84" t="str">
        <f>IF(VLOOKUP(C19,'Train Runs'!$A$13:$AE$9945,1,1)=C19,VLOOKUP(C19,'Train Runs'!$A$13:$AE$9945,31,1),NA())</f>
        <v>aws s3 cp s3://rtdc.mdm.uploadarchive.raw/RTDC4015/ "%USERPROFILE%\AppData\Local\Temp\OnboardLogs"\RTDC4015\2017-04-28 --exclude "*" --recursive --include "*20170428*" &amp; "%USERPROFILE%\Documents\GitHub\mrs-test-scripts\Headless Mode &amp; Sideloading\WalkAndUnGZ.bat" "%USERPROFILE%\AppData\Local\Temp\OnboardLogs"\RTDC4015\2017-04-28 &amp; aws s3 cp s3://rtdc.mdm.uploadarchive.raw/RTDC4015/ "%USERPROFILE%\AppData\Local\Temp\OnboardLogs"\RTDC4015\2017-04-29 --exclude "*" --recursive --include "*20170429*" &amp; "%USERPROFILE%\Documents\GitHub\mrs-test-scripts\Headless Mode &amp; Sideloading\WalkAndUnGZ.bat" "%USERPROFILE%\AppData\Local\Temp\OnboardLogs"\RTDC4015\2017-04-29</v>
      </c>
      <c r="S19" s="87" t="str">
        <f>VLOOKUP(C19,'Train Runs'!$A$13:$AE$9945,22,0)</f>
        <v>https://d0f6bd738d7f1b3e5a7ca70fe4ff75f0.us-east-1.aws.found.io/app/kibana#/discover/Steve-Slow-Train-Analysis-(2080s-and-2083s)?_g=(refreshInterval:(display:Off,pause:!f,section:0,value:0),time:(from:'2017-04-28T17:20:29-0600',mode:absolute,to:'2017-04-28T20:07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19" s="89" t="str">
        <f t="shared" si="1"/>
        <v>"C:\Program Files (x86)\AstroGrep\AstroGrep.exe" /e /r /s /spath="%USERPROFILE%\AppData\Local\Temp\OnboardLogs" /stypes="*4015*201704290*" /stext=" 00:.+((SYSTEM_STATE.+slice.+state.+changed )|(ment ac)|(multiple cpu faults)|(system.+state.+changed )|(\[timeout)|(PRM\|1\|D)|(kpr)|(kdp)|(train.+moving)|(\|lc)|(penalty))"</v>
      </c>
      <c r="U19" s="9" t="str">
        <f t="shared" si="2"/>
        <v>4015</v>
      </c>
      <c r="V19" s="31">
        <f t="shared" si="3"/>
        <v>42854.019502314812</v>
      </c>
      <c r="W19" s="45" t="str">
        <f t="shared" si="4"/>
        <v>EC</v>
      </c>
      <c r="X19" s="45" t="str">
        <f t="shared" si="5"/>
        <v>KEEP</v>
      </c>
      <c r="Y19" s="99" t="str">
        <f t="shared" si="6"/>
        <v>echo {"issue":{"subject":"","project_id":79,"tracker_id":40,"status_id":1,"priority_id":2,"assigned_to_id":23,"start_date":"2017-04-28","description":"","custom_fields":[{"id":1,"name":"Subdivision","value":"EC"},{"id":4,"name":"Milepost","value":"23.208"},{"id":17,"name":"Train ID","value":"212-28"},{"id":16,"name":"Locomotive ID","value":"4015"},{"id":130,"name":"Impact","value":""},{"id":150,"name":"Time of Event (Mountain Time)","value":"18:28:05"},{"id":151,"name":"Denver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62"/>
      <c r="AA19" s="47"/>
      <c r="AB19" s="47"/>
      <c r="AC19" s="118" t="str">
        <f t="shared" si="7"/>
        <v>grep -hSE -A400 "Enforcement Action" "%USERPROFILE%\AppData\Local\Temp\OnboardLogs"\RTDC4015\*4015*201704290*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"%USERPROFILE%\AppData\Local\Temp\OnboardLogs"\RTDC4015\*4015*201704290* &gt;&gt; 2017-04-28-SliceDisagreementCheck.txt</v>
      </c>
      <c r="AE19" s="148" t="str">
        <f t="shared" si="9"/>
        <v>start /low /b %USERPROFILE%\Documents\GitHub\eaglep3\Utilities\DownloadLogsFromS3.py --loco 4015 --day 2017-04-29</v>
      </c>
      <c r="AF19" s="1"/>
    </row>
    <row r="20" spans="1:32" x14ac:dyDescent="0.25">
      <c r="A20" s="31">
        <v>42853.498877314814</v>
      </c>
      <c r="B20" s="30" t="s">
        <v>357</v>
      </c>
      <c r="C20" s="30" t="s">
        <v>610</v>
      </c>
      <c r="D20" s="30" t="s">
        <v>49</v>
      </c>
      <c r="E20" s="30" t="s">
        <v>416</v>
      </c>
      <c r="F20" s="42">
        <v>0</v>
      </c>
      <c r="G20" s="42">
        <v>477</v>
      </c>
      <c r="H20" s="42">
        <v>61481</v>
      </c>
      <c r="I20" s="42">
        <v>63119</v>
      </c>
      <c r="J20" s="30" t="s">
        <v>417</v>
      </c>
      <c r="K20" s="42">
        <v>63995</v>
      </c>
      <c r="L20" s="134" t="s">
        <v>50</v>
      </c>
      <c r="M20" s="135">
        <f t="shared" si="0"/>
        <v>462.52800000000002</v>
      </c>
      <c r="N20" s="136" t="str">
        <f>VLOOKUP(C20,'Trips&amp;Operators'!$C$1:$G$99999,5,FALSE)</f>
        <v>SULLIVAN BRANDON</v>
      </c>
      <c r="O20" s="207" t="s">
        <v>412</v>
      </c>
      <c r="P20" s="137" t="s">
        <v>596</v>
      </c>
      <c r="Q20" s="30"/>
      <c r="R20" s="84" t="str">
        <f>IF(VLOOKUP(C20,'Train Runs'!$A$13:$AE$9945,1,1)=C20,VLOOKUP(C20,'Train Runs'!$A$13:$AE$9945,31,1),NA())</f>
        <v>aws s3 cp s3://rtdc.mdm.uploadarchive.raw/RTDC4022/ "%USERPROFILE%\AppData\Local\Temp\OnboardLogs"\RTDC4022\2017-04-28 --exclude "*" --recursive --include "*20170428*" &amp; "%USERPROFILE%\Documents\GitHub\mrs-test-scripts\Headless Mode &amp; Sideloading\WalkAndUnGZ.bat" "%USERPROFILE%\AppData\Local\Temp\OnboardLogs"\RTDC4022\2017-04-28 &amp; aws s3 cp s3://rtdc.mdm.uploadarchive.raw/RTDC4022/ "%USERPROFILE%\AppData\Local\Temp\OnboardLogs"\RTDC4022\2017-04-29 --exclude "*" --recursive --include "*20170429*" &amp; "%USERPROFILE%\Documents\GitHub\mrs-test-scripts\Headless Mode &amp; Sideloading\WalkAndUnGZ.bat" "%USERPROFILE%\AppData\Local\Temp\OnboardLogs"\RTDC4022\2017-04-29</v>
      </c>
      <c r="S20" s="87" t="str">
        <f>VLOOKUP(C20,'Train Runs'!$A$13:$AE$9945,22,0)</f>
        <v>https://d0f6bd738d7f1b3e5a7ca70fe4ff75f0.us-east-1.aws.found.io/app/kibana#/discover/Steve-Slow-Train-Analysis-(2080s-and-2083s)?_g=(refreshInterval:(display:Off,pause:!f,section:0,value:0),time:(from:'2017-04-28T10:38:38-0600',mode:absolute,to:'2017-04-28T13:20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20" s="89" t="str">
        <f t="shared" si="1"/>
        <v>"C:\Program Files (x86)\AstroGrep\AstroGrep.exe" /e /r /s /spath="%USERPROFILE%\AppData\Local\Temp\OnboardLogs" /stypes="*4022*201704281*" /stext=" 17:.+((SYSTEM_STATE.+slice.+state.+changed )|(ment ac)|(multiple cpu faults)|(system.+state.+changed )|(\[timeout)|(PRM\|1\|D)|(kpr)|(kdp)|(train.+moving)|(\|lc)|(penalty))"</v>
      </c>
      <c r="U20" s="9" t="str">
        <f t="shared" si="2"/>
        <v>4022</v>
      </c>
      <c r="V20" s="31">
        <f t="shared" si="3"/>
        <v>42853.748877314814</v>
      </c>
      <c r="W20" s="45" t="str">
        <f t="shared" si="4"/>
        <v>EC</v>
      </c>
      <c r="X20" s="45" t="str">
        <f t="shared" si="5"/>
        <v>KEEP</v>
      </c>
      <c r="Y20" s="99" t="str">
        <f t="shared" si="6"/>
        <v>echo {"issue":{"subject":"Wi-MAX data drop","project_id":79,"tracker_id":40,"status_id":1,"priority_id":2,"assigned_to_id":23,"start_date":"2017-04-28","description":"http://stevetu21.github.io/eaglep3/load_kml.html?kml=http://rtdc.gmaps-snips.s3.amazonaws.com/38c830ba-c5e1-456a-8c66-a48e205dedc7.kml","custom_fields":[{"id":1,"name":"Subdivision","value":"EC"},{"id":4,"name":"Milepost","value":"6.3995"},{"id":17,"name":"Train ID","value":"165-28"},{"id":16,"name":"Locomotive ID","value":"4022"},{"id":130,"name":"Impact","value":"Enforcement"},{"id":150,"name":"Time of Event (Mountain Time)","value":"11:58:23"},{"id":151,"name":"Denver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20" t="s">
        <v>1037</v>
      </c>
      <c r="AA20" s="47" t="s">
        <v>124</v>
      </c>
      <c r="AB20" s="47" t="s">
        <v>137</v>
      </c>
      <c r="AC20" s="118" t="str">
        <f t="shared" si="7"/>
        <v>grep -hSE -A400 "Enforcement Action" "%USERPROFILE%\AppData\Local\Temp\OnboardLogs"\RTDC4022\*4022*201704281*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"%USERPROFILE%\AppData\Local\Temp\OnboardLogs"\RTDC4022\*4022*201704281* &gt;&gt; 2017-04-28-SliceDisagreementCheck.txt</v>
      </c>
      <c r="AE20" s="148" t="str">
        <f t="shared" si="9"/>
        <v>start /low /b %USERPROFILE%\Documents\GitHub\eaglep3\Utilities\DownloadLogsFromS3.py --loco 4022 --day 2017-04-28</v>
      </c>
      <c r="AF20" s="1"/>
    </row>
    <row r="21" spans="1:32" x14ac:dyDescent="0.25">
      <c r="A21" s="31">
        <v>42853.499490740738</v>
      </c>
      <c r="B21" s="30" t="s">
        <v>357</v>
      </c>
      <c r="C21" s="30" t="s">
        <v>610</v>
      </c>
      <c r="D21" s="30" t="s">
        <v>49</v>
      </c>
      <c r="E21" s="30" t="s">
        <v>416</v>
      </c>
      <c r="F21" s="42">
        <v>0</v>
      </c>
      <c r="G21" s="42">
        <v>90</v>
      </c>
      <c r="H21" s="42">
        <v>63161</v>
      </c>
      <c r="I21" s="42">
        <v>63300</v>
      </c>
      <c r="J21" s="30" t="s">
        <v>417</v>
      </c>
      <c r="K21" s="42">
        <v>63995</v>
      </c>
      <c r="L21" s="134" t="s">
        <v>50</v>
      </c>
      <c r="M21" s="135">
        <f t="shared" si="0"/>
        <v>366.96</v>
      </c>
      <c r="N21" s="136" t="str">
        <f>VLOOKUP(C21,'Trips&amp;Operators'!$C$1:$G$99999,5,FALSE)</f>
        <v>SULLIVAN BRANDON</v>
      </c>
      <c r="O21" s="207" t="s">
        <v>412</v>
      </c>
      <c r="P21" s="137" t="s">
        <v>596</v>
      </c>
      <c r="Q21" s="30"/>
      <c r="R21" s="84" t="str">
        <f>IF(VLOOKUP(C21,'Train Runs'!$A$13:$AE$9945,1,1)=C21,VLOOKUP(C21,'Train Runs'!$A$13:$AE$9945,31,1),NA())</f>
        <v>aws s3 cp s3://rtdc.mdm.uploadarchive.raw/RTDC4022/ "%USERPROFILE%\AppData\Local\Temp\OnboardLogs"\RTDC4022\2017-04-28 --exclude "*" --recursive --include "*20170428*" &amp; "%USERPROFILE%\Documents\GitHub\mrs-test-scripts\Headless Mode &amp; Sideloading\WalkAndUnGZ.bat" "%USERPROFILE%\AppData\Local\Temp\OnboardLogs"\RTDC4022\2017-04-28 &amp; aws s3 cp s3://rtdc.mdm.uploadarchive.raw/RTDC4022/ "%USERPROFILE%\AppData\Local\Temp\OnboardLogs"\RTDC4022\2017-04-29 --exclude "*" --recursive --include "*20170429*" &amp; "%USERPROFILE%\Documents\GitHub\mrs-test-scripts\Headless Mode &amp; Sideloading\WalkAndUnGZ.bat" "%USERPROFILE%\AppData\Local\Temp\OnboardLogs"\RTDC4022\2017-04-29</v>
      </c>
      <c r="S21" s="87" t="str">
        <f>VLOOKUP(C21,'Train Runs'!$A$13:$AE$9945,22,0)</f>
        <v>https://d0f6bd738d7f1b3e5a7ca70fe4ff75f0.us-east-1.aws.found.io/app/kibana#/discover/Steve-Slow-Train-Analysis-(2080s-and-2083s)?_g=(refreshInterval:(display:Off,pause:!f,section:0,value:0),time:(from:'2017-04-28T10:38:38-0600',mode:absolute,to:'2017-04-28T13:20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21" s="89" t="str">
        <f t="shared" si="1"/>
        <v>"C:\Program Files (x86)\AstroGrep\AstroGrep.exe" /e /r /s /spath="%USERPROFILE%\AppData\Local\Temp\OnboardLogs" /stypes="*4022*201704281*" /stext=" 17:.+((SYSTEM_STATE.+slice.+state.+changed )|(ment ac)|(multiple cpu faults)|(system.+state.+changed )|(\[timeout)|(PRM\|1\|D)|(kpr)|(kdp)|(train.+moving)|(\|lc)|(penalty))"</v>
      </c>
      <c r="U21" s="9" t="str">
        <f t="shared" si="2"/>
        <v>4022</v>
      </c>
      <c r="V21" s="31">
        <f t="shared" si="3"/>
        <v>42853.749490740738</v>
      </c>
      <c r="W21" s="45" t="str">
        <f t="shared" si="4"/>
        <v>EC</v>
      </c>
      <c r="X21" s="45" t="str">
        <f t="shared" si="5"/>
        <v>KEEP</v>
      </c>
      <c r="Y21" s="99" t="str">
        <f t="shared" si="6"/>
        <v>echo {"issue":{"subject":"Wi-MAX data drop","project_id":79,"tracker_id":40,"status_id":1,"priority_id":2,"assigned_to_id":23,"start_date":"2017-04-28","description":"http://stevetu21.github.io/eaglep3/load_kml.html?kml=http://rtdc.gmaps-snips.s3.amazonaws.com/5c08a58e-c993-4fe2-abde-9d66f9d61a85.kml","custom_fields":[{"id":1,"name":"Subdivision","value":"EC"},{"id":4,"name":"Milepost","value":"6.3995"},{"id":17,"name":"Train ID","value":"165-28"},{"id":16,"name":"Locomotive ID","value":"4022"},{"id":130,"name":"Impact","value":"Enforcement"},{"id":150,"name":"Time of Event (Mountain Time)","value":"11:59:16"},{"id":151,"name":"Denver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21" s="20" t="s">
        <v>1038</v>
      </c>
      <c r="AA21" s="47" t="s">
        <v>124</v>
      </c>
      <c r="AB21" s="47" t="s">
        <v>137</v>
      </c>
      <c r="AC21" s="118" t="str">
        <f t="shared" si="7"/>
        <v>grep -hSE -A400 "Enforcement Action" "%USERPROFILE%\AppData\Local\Temp\OnboardLogs"\RTDC4022\*4022*201704281*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"%USERPROFILE%\AppData\Local\Temp\OnboardLogs"\RTDC4022\*4022*201704281* &gt;&gt; 2017-04-28-SliceDisagreementCheck.txt</v>
      </c>
      <c r="AE21" s="148" t="str">
        <f t="shared" si="9"/>
        <v>start /low /b %USERPROFILE%\Documents\GitHub\eaglep3\Utilities\DownloadLogsFromS3.py --loco 4022 --day 2017-04-28</v>
      </c>
      <c r="AF21" s="1"/>
    </row>
    <row r="22" spans="1:32" x14ac:dyDescent="0.25">
      <c r="A22" s="31">
        <v>42853.513958333337</v>
      </c>
      <c r="B22" s="30" t="s">
        <v>357</v>
      </c>
      <c r="C22" s="30" t="s">
        <v>610</v>
      </c>
      <c r="D22" s="30" t="s">
        <v>49</v>
      </c>
      <c r="E22" s="30" t="s">
        <v>416</v>
      </c>
      <c r="F22" s="42">
        <v>0</v>
      </c>
      <c r="G22" s="42">
        <v>461</v>
      </c>
      <c r="H22" s="42">
        <v>215839</v>
      </c>
      <c r="I22" s="42">
        <v>217322</v>
      </c>
      <c r="J22" s="30" t="s">
        <v>417</v>
      </c>
      <c r="K22" s="42">
        <v>217106</v>
      </c>
      <c r="L22" s="134" t="s">
        <v>50</v>
      </c>
      <c r="M22" s="135">
        <f t="shared" si="0"/>
        <v>-114.048</v>
      </c>
      <c r="N22" s="136" t="str">
        <f>VLOOKUP(C22,'Trips&amp;Operators'!$C$1:$G$99999,5,FALSE)</f>
        <v>SULLIVAN BRANDON</v>
      </c>
      <c r="O22" s="207" t="s">
        <v>412</v>
      </c>
      <c r="P22" s="137" t="s">
        <v>596</v>
      </c>
      <c r="Q22" s="30"/>
      <c r="R22" s="84" t="str">
        <f>IF(VLOOKUP(C22,'Train Runs'!$A$13:$AE$9945,1,1)=C22,VLOOKUP(C22,'Train Runs'!$A$13:$AE$9945,31,1),NA())</f>
        <v>aws s3 cp s3://rtdc.mdm.uploadarchive.raw/RTDC4022/ "%USERPROFILE%\AppData\Local\Temp\OnboardLogs"\RTDC4022\2017-04-28 --exclude "*" --recursive --include "*20170428*" &amp; "%USERPROFILE%\Documents\GitHub\mrs-test-scripts\Headless Mode &amp; Sideloading\WalkAndUnGZ.bat" "%USERPROFILE%\AppData\Local\Temp\OnboardLogs"\RTDC4022\2017-04-28 &amp; aws s3 cp s3://rtdc.mdm.uploadarchive.raw/RTDC4022/ "%USERPROFILE%\AppData\Local\Temp\OnboardLogs"\RTDC4022\2017-04-29 --exclude "*" --recursive --include "*20170429*" &amp; "%USERPROFILE%\Documents\GitHub\mrs-test-scripts\Headless Mode &amp; Sideloading\WalkAndUnGZ.bat" "%USERPROFILE%\AppData\Local\Temp\OnboardLogs"\RTDC4022\2017-04-29</v>
      </c>
      <c r="S22" s="87" t="str">
        <f>VLOOKUP(C22,'Train Runs'!$A$13:$AE$9945,22,0)</f>
        <v>https://d0f6bd738d7f1b3e5a7ca70fe4ff75f0.us-east-1.aws.found.io/app/kibana#/discover/Steve-Slow-Train-Analysis-(2080s-and-2083s)?_g=(refreshInterval:(display:Off,pause:!f,section:0,value:0),time:(from:'2017-04-28T10:38:38-0600',mode:absolute,to:'2017-04-28T13:20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22" s="89" t="str">
        <f t="shared" si="1"/>
        <v>"C:\Program Files (x86)\AstroGrep\AstroGrep.exe" /e /r /s /spath="%USERPROFILE%\AppData\Local\Temp\OnboardLogs" /stypes="*4022*201704281*" /stext=" 18:.+((SYSTEM_STATE.+slice.+state.+changed )|(ment ac)|(multiple cpu faults)|(system.+state.+changed )|(\[timeout)|(PRM\|1\|D)|(kpr)|(kdp)|(train.+moving)|(\|lc)|(penalty))"</v>
      </c>
      <c r="U22" s="9" t="str">
        <f t="shared" si="2"/>
        <v>4022</v>
      </c>
      <c r="V22" s="31">
        <f t="shared" si="3"/>
        <v>42853.763958333337</v>
      </c>
      <c r="W22" s="45" t="str">
        <f t="shared" si="4"/>
        <v>EC</v>
      </c>
      <c r="X22" s="45" t="str">
        <f t="shared" si="5"/>
        <v>KEEP</v>
      </c>
      <c r="Y22" s="99" t="str">
        <f t="shared" si="6"/>
        <v>echo {"issue":{"subject":"Wi-MAX data drop","project_id":79,"tracker_id":40,"status_id":1,"priority_id":2,"assigned_to_id":23,"start_date":"2017-04-28","description":"","custom_fields":[{"id":1,"name":"Subdivision","value":"EC"},{"id":4,"name":"Milepost","value":"21.7106"},{"id":17,"name":"Train ID","value":"165-28"},{"id":16,"name":"Locomotive ID","value":"4022"},{"id":130,"name":"Impact","value":""},{"id":150,"name":"Time of Event (Mountain Time)","value":"12:20:06"},{"id":151,"name":"Denver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/>
      <c r="AA22" s="47"/>
      <c r="AB22" s="47"/>
      <c r="AC22" s="118" t="str">
        <f t="shared" si="7"/>
        <v>grep -hSE -A400 "Enforcement Action" "%USERPROFILE%\AppData\Local\Temp\OnboardLogs"\RTDC4022\*4022*201704281*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"%USERPROFILE%\AppData\Local\Temp\OnboardLogs"\RTDC4022\*4022*201704281* &gt;&gt; 2017-04-28-SliceDisagreementCheck.txt</v>
      </c>
      <c r="AE22" s="148" t="str">
        <f t="shared" si="9"/>
        <v>start /low /b %USERPROFILE%\Documents\GitHub\eaglep3\Utilities\DownloadLogsFromS3.py --loco 4022 --day 2017-04-28</v>
      </c>
      <c r="AF22" s="1"/>
    </row>
    <row r="23" spans="1:32" x14ac:dyDescent="0.25">
      <c r="A23" s="31">
        <v>42853.563680555555</v>
      </c>
      <c r="B23" s="30" t="s">
        <v>351</v>
      </c>
      <c r="C23" s="30" t="s">
        <v>612</v>
      </c>
      <c r="D23" s="30" t="s">
        <v>49</v>
      </c>
      <c r="E23" s="30" t="s">
        <v>613</v>
      </c>
      <c r="F23" s="42">
        <v>0</v>
      </c>
      <c r="G23" s="42">
        <v>779</v>
      </c>
      <c r="H23" s="42">
        <v>215094</v>
      </c>
      <c r="I23" s="42">
        <v>218774</v>
      </c>
      <c r="J23" s="30" t="s">
        <v>614</v>
      </c>
      <c r="K23" s="42">
        <v>217106</v>
      </c>
      <c r="L23" s="134" t="s">
        <v>50</v>
      </c>
      <c r="M23" s="135">
        <f t="shared" si="0"/>
        <v>-880.70399999999995</v>
      </c>
      <c r="N23" s="136" t="str">
        <f>VLOOKUP(C23,'Trips&amp;Operators'!$C$1:$G$99999,5,FALSE)</f>
        <v>ROMERO CHAD</v>
      </c>
      <c r="O23" s="207" t="s">
        <v>412</v>
      </c>
      <c r="P23" s="137" t="s">
        <v>596</v>
      </c>
      <c r="Q23" s="30"/>
      <c r="R23" s="84" t="str">
        <f>IF(VLOOKUP(C23,'Train Runs'!$A$13:$AE$9945,1,1)=C23,VLOOKUP(C23,'Train Runs'!$A$13:$AE$9945,31,1),NA())</f>
        <v>aws s3 cp s3://rtdc.mdm.uploadarchive.raw/RTDC4028/ "%USERPROFILE%\AppData\Local\Temp\OnboardLogs"\RTDC4028\2017-04-28 --exclude "*" --recursive --include "*20170428*" &amp; "%USERPROFILE%\Documents\GitHub\mrs-test-scripts\Headless Mode &amp; Sideloading\WalkAndUnGZ.bat" "%USERPROFILE%\AppData\Local\Temp\OnboardLogs"\RTDC4028\2017-04-28 &amp; aws s3 cp s3://rtdc.mdm.uploadarchive.raw/RTDC4028/ "%USERPROFILE%\AppData\Local\Temp\OnboardLogs"\RTDC4028\2017-04-29 --exclude "*" --recursive --include "*20170429*" &amp; "%USERPROFILE%\Documents\GitHub\mrs-test-scripts\Headless Mode &amp; Sideloading\WalkAndUnGZ.bat" "%USERPROFILE%\AppData\Local\Temp\OnboardLogs"\RTDC4028\2017-04-29</v>
      </c>
      <c r="S23" s="87" t="str">
        <f>VLOOKUP(C23,'Train Runs'!$A$13:$AE$9945,22,0)</f>
        <v>https://d0f6bd738d7f1b3e5a7ca70fe4ff75f0.us-east-1.aws.found.io/app/kibana#/discover/Steve-Slow-Train-Analysis-(2080s-and-2083s)?_g=(refreshInterval:(display:Off,pause:!f,section:0,value:0),time:(from:'2017-04-28T11:51:34-0600',mode:absolute,to:'2017-04-28T14:31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23" s="89" t="str">
        <f t="shared" si="1"/>
        <v>"C:\Program Files (x86)\AstroGrep\AstroGrep.exe" /e /r /s /spath="%USERPROFILE%\AppData\Local\Temp\OnboardLogs" /stypes="*4028*201704281*" /stext=" 19:.+((SYSTEM_STATE.+slice.+state.+changed )|(ment ac)|(multiple cpu faults)|(system.+state.+changed )|(\[timeout)|(PRM\|1\|D)|(kpr)|(kdp)|(train.+moving)|(\|lc)|(penalty))"</v>
      </c>
      <c r="U23" s="9" t="str">
        <f t="shared" si="2"/>
        <v>4028</v>
      </c>
      <c r="V23" s="31">
        <f t="shared" si="3"/>
        <v>42853.813680555555</v>
      </c>
      <c r="W23" s="45" t="str">
        <f t="shared" si="4"/>
        <v>EC</v>
      </c>
      <c r="X23" s="45" t="str">
        <f t="shared" si="5"/>
        <v>KEEP</v>
      </c>
      <c r="Y23" s="99" t="str">
        <f t="shared" si="6"/>
        <v>echo {"issue":{"subject":"Wi-MAX data drop","project_id":79,"tracker_id":40,"status_id":1,"priority_id":2,"assigned_to_id":23,"start_date":"2017-04-28","description":"http://stevetu21.github.io/eaglep3/load_kml.html?kml=http://rtdc.gmaps-snips.s3.amazonaws.com/24ed2cf0-05cb-4391-a57c-66414436be58.kml","custom_fields":[{"id":1,"name":"Subdivision","value":"EC"},{"id":4,"name":"Milepost","value":"21.7106"},{"id":17,"name":"Train ID","value":"175-28"},{"id":16,"name":"Locomotive ID","value":"4028"},{"id":130,"name":"Impact","value":"Enforcement"},{"id":150,"name":"Time of Event (Mountain Time)","value":"13:31:42"},{"id":151,"name":"Denver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23" t="s">
        <v>1039</v>
      </c>
      <c r="AA23" s="47" t="s">
        <v>124</v>
      </c>
      <c r="AB23" s="47" t="s">
        <v>137</v>
      </c>
      <c r="AC23" s="118" t="str">
        <f t="shared" si="7"/>
        <v>grep -hSE -A400 "Enforcement Action" "%USERPROFILE%\AppData\Local\Temp\OnboardLogs"\RTDC4028\*4028*201704281*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"%USERPROFILE%\AppData\Local\Temp\OnboardLogs"\RTDC4028\*4028*201704281* &gt;&gt; 2017-04-28-SliceDisagreementCheck.txt</v>
      </c>
      <c r="AE23" s="148" t="str">
        <f t="shared" si="9"/>
        <v>start /low /b %USERPROFILE%\Documents\GitHub\eaglep3\Utilities\DownloadLogsFromS3.py --loco 4028 --day 2017-04-28</v>
      </c>
      <c r="AF23" s="1"/>
    </row>
    <row r="24" spans="1:32" x14ac:dyDescent="0.25">
      <c r="A24" s="31">
        <v>42853.379444444443</v>
      </c>
      <c r="B24" s="30" t="s">
        <v>606</v>
      </c>
      <c r="C24" s="30" t="s">
        <v>607</v>
      </c>
      <c r="D24" s="30" t="s">
        <v>49</v>
      </c>
      <c r="E24" s="30" t="s">
        <v>185</v>
      </c>
      <c r="F24" s="42">
        <v>0</v>
      </c>
      <c r="G24" s="42">
        <v>91</v>
      </c>
      <c r="H24" s="42">
        <v>263</v>
      </c>
      <c r="I24" s="42">
        <v>176</v>
      </c>
      <c r="J24" s="30" t="s">
        <v>186</v>
      </c>
      <c r="K24" s="42">
        <v>1</v>
      </c>
      <c r="L24" s="134" t="s">
        <v>51</v>
      </c>
      <c r="M24" s="135">
        <f t="shared" si="0"/>
        <v>92.4</v>
      </c>
      <c r="N24" s="136" t="str">
        <f>VLOOKUP(C24,'Trips&amp;Operators'!$C$1:$G$99999,5,FALSE)</f>
        <v>DAVIS WENDY</v>
      </c>
      <c r="O24" s="207" t="s">
        <v>184</v>
      </c>
      <c r="P24" s="137"/>
      <c r="Q24" s="30"/>
      <c r="R24" s="84" t="str">
        <f>IF(VLOOKUP(C24,'Train Runs'!$A$13:$AE$9945,1,1)=C24,VLOOKUP(C24,'Train Runs'!$A$13:$AE$9945,31,1),NA())</f>
        <v>aws s3 cp s3://rtdc.mdm.uploadarchive.raw/RTDC4007/ "%USERPROFILE%\AppData\Local\Temp\OnboardLogs"\RTDC4007\2017-04-28 --exclude "*" --recursive --include "*20170428*" &amp; "%USERPROFILE%\Documents\GitHub\mrs-test-scripts\Headless Mode &amp; Sideloading\WalkAndUnGZ.bat" "%USERPROFILE%\AppData\Local\Temp\OnboardLogs"\RTDC4007\2017-04-28 &amp; aws s3 cp s3://rtdc.mdm.uploadarchive.raw/RTDC4007/ "%USERPROFILE%\AppData\Local\Temp\OnboardLogs"\RTDC4007\2017-04-29 --exclude "*" --recursive --include "*20170429*" &amp; "%USERPROFILE%\Documents\GitHub\mrs-test-scripts\Headless Mode &amp; Sideloading\WalkAndUnGZ.bat" "%USERPROFILE%\AppData\Local\Temp\OnboardLogs"\RTDC4007\2017-04-29</v>
      </c>
      <c r="S24" s="87" t="str">
        <f>VLOOKUP(C24,'Train Runs'!$A$13:$AE$9945,22,0)</f>
        <v>https://d0f6bd738d7f1b3e5a7ca70fe4ff75f0.us-east-1.aws.found.io/app/kibana#/discover/Steve-Slow-Train-Analysis-(2080s-and-2083s)?_g=(refreshInterval:(display:Off,pause:!f,section:0,value:0),time:(from:'2017-04-28T07:22:48-0600',mode:absolute,to:'2017-04-28T10:06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24" s="89" t="str">
        <f t="shared" si="1"/>
        <v>"C:\Program Files (x86)\AstroGrep\AstroGrep.exe" /e /r /s /spath="%USERPROFILE%\AppData\Local\Temp\OnboardLogs" /stypes="*4007*201704281*" /stext=" 15:.+((SYSTEM_STATE.+slice.+state.+changed )|(ment ac)|(multiple cpu faults)|(system.+state.+changed )|(\[timeout)|(PRM\|1\|D)|(kpr)|(kdp)|(train.+moving)|(\|lc)|(penalty))"</v>
      </c>
      <c r="U24" s="9" t="str">
        <f t="shared" si="2"/>
        <v>4007</v>
      </c>
      <c r="V24" s="31">
        <f t="shared" si="3"/>
        <v>42853.629444444443</v>
      </c>
      <c r="W24" s="45" t="str">
        <f t="shared" si="4"/>
        <v>EC</v>
      </c>
      <c r="X24" s="45" t="str">
        <f t="shared" si="5"/>
        <v>KEEP</v>
      </c>
      <c r="Y24" s="99" t="str">
        <f t="shared" si="6"/>
        <v>echo {"issue":{"subject":"","project_id":79,"tracker_id":40,"status_id":1,"priority_id":2,"assigned_to_id":23,"start_date":"2017-04-28","description":"","custom_fields":[{"id":1,"name":"Subdivision","value":"EC"},{"id":4,"name":"Milepost","value":"0.0001"},{"id":17,"name":"Train ID","value":"132-28"},{"id":16,"name":"Locomotive ID","value":"4007"},{"id":130,"name":"Impact","value":""},{"id":150,"name":"Time of Event (Mountain Time)","value":"09:06:24"},{"id":151,"name":"Denver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62"/>
      <c r="AA24" s="47"/>
      <c r="AB24" s="47"/>
      <c r="AC24" s="118" t="str">
        <f t="shared" si="7"/>
        <v>grep -hSE -A400 "Enforcement Action" "%USERPROFILE%\AppData\Local\Temp\OnboardLogs"\RTDC4007\*4007*201704281*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"%USERPROFILE%\AppData\Local\Temp\OnboardLogs"\RTDC4007\*4007*201704281* &gt;&gt; 2017-04-28-SliceDisagreementCheck.txt</v>
      </c>
      <c r="AE24" s="148" t="str">
        <f t="shared" si="9"/>
        <v>start /low /b %USERPROFILE%\Documents\GitHub\eaglep3\Utilities\DownloadLogsFromS3.py --loco 4007 --day 2017-04-28</v>
      </c>
      <c r="AF24" s="1"/>
    </row>
    <row r="25" spans="1:32" x14ac:dyDescent="0.25">
      <c r="A25" s="31">
        <v>42853.547083333331</v>
      </c>
      <c r="B25" s="30" t="s">
        <v>438</v>
      </c>
      <c r="C25" s="30" t="s">
        <v>611</v>
      </c>
      <c r="D25" s="30" t="s">
        <v>49</v>
      </c>
      <c r="E25" s="30" t="s">
        <v>185</v>
      </c>
      <c r="F25" s="42">
        <v>0</v>
      </c>
      <c r="G25" s="42">
        <v>60</v>
      </c>
      <c r="H25" s="42">
        <v>189</v>
      </c>
      <c r="I25" s="42">
        <v>149</v>
      </c>
      <c r="J25" s="30" t="s">
        <v>186</v>
      </c>
      <c r="K25" s="42">
        <v>1</v>
      </c>
      <c r="L25" s="134" t="s">
        <v>51</v>
      </c>
      <c r="M25" s="135">
        <f t="shared" si="0"/>
        <v>78.144000000000005</v>
      </c>
      <c r="N25" s="136" t="str">
        <f>VLOOKUP(C25,'Trips&amp;Operators'!$C$1:$G$99999,5,FALSE)</f>
        <v>CLARK KATHLEEN</v>
      </c>
      <c r="O25" s="207" t="s">
        <v>184</v>
      </c>
      <c r="P25" s="137"/>
      <c r="Q25" s="30"/>
      <c r="R25" s="84" t="str">
        <f>IF(VLOOKUP(C25,'Train Runs'!$A$13:$AE$9945,1,1)=C25,VLOOKUP(C25,'Train Runs'!$A$13:$AE$9945,31,1),NA())</f>
        <v>aws s3 cp s3://rtdc.mdm.uploadarchive.raw/RTDC4063/ "%USERPROFILE%\AppData\Local\Temp\OnboardLogs"\RTDC4063\2017-04-28 --exclude "*" --recursive --include "*20170428*" &amp; "%USERPROFILE%\Documents\GitHub\mrs-test-scripts\Headless Mode &amp; Sideloading\WalkAndUnGZ.bat" "%USERPROFILE%\AppData\Local\Temp\OnboardLogs"\RTDC4063\2017-04-28 &amp; aws s3 cp s3://rtdc.mdm.uploadarchive.raw/RTDC4063/ "%USERPROFILE%\AppData\Local\Temp\OnboardLogs"\RTDC4063\2017-04-29 --exclude "*" --recursive --include "*20170429*" &amp; "%USERPROFILE%\Documents\GitHub\mrs-test-scripts\Headless Mode &amp; Sideloading\WalkAndUnGZ.bat" "%USERPROFILE%\AppData\Local\Temp\OnboardLogs"\RTDC4063\2017-04-29</v>
      </c>
      <c r="S25" s="87" t="str">
        <f>VLOOKUP(C25,'Train Runs'!$A$13:$AE$9945,22,0)</f>
        <v>https://d0f6bd738d7f1b3e5a7ca70fe4ff75f0.us-east-1.aws.found.io/app/kibana#/discover/Steve-Slow-Train-Analysis-(2080s-and-2083s)?_g=(refreshInterval:(display:Off,pause:!f,section:0,value:0),time:(from:'2017-04-28T11:18:15-0600',mode:absolute,to:'2017-04-28T14:07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25" s="89" t="str">
        <f t="shared" si="1"/>
        <v>"C:\Program Files (x86)\AstroGrep\AstroGrep.exe" /e /r /s /spath="%USERPROFILE%\AppData\Local\Temp\OnboardLogs" /stypes="*4063*201704281*" /stext=" 19:.+((SYSTEM_STATE.+slice.+state.+changed )|(ment ac)|(multiple cpu faults)|(system.+state.+changed )|(\[timeout)|(PRM\|1\|D)|(kpr)|(kdp)|(train.+moving)|(\|lc)|(penalty))"</v>
      </c>
      <c r="U25" s="9" t="str">
        <f t="shared" si="2"/>
        <v>4063</v>
      </c>
      <c r="V25" s="31">
        <f t="shared" si="3"/>
        <v>42853.797083333331</v>
      </c>
      <c r="W25" s="45" t="str">
        <f t="shared" si="4"/>
        <v>EC</v>
      </c>
      <c r="X25" s="45" t="str">
        <f t="shared" si="5"/>
        <v>KEEP</v>
      </c>
      <c r="Y25" s="99" t="str">
        <f t="shared" si="6"/>
        <v>echo {"issue":{"subject":"","project_id":79,"tracker_id":40,"status_id":1,"priority_id":2,"assigned_to_id":23,"start_date":"2017-04-28","description":"","custom_fields":[{"id":1,"name":"Subdivision","value":"EC"},{"id":4,"name":"Milepost","value":"0.0001"},{"id":17,"name":"Train ID","value":"164-28"},{"id":16,"name":"Locomotive ID","value":"4063"},{"id":130,"name":"Impact","value":""},{"id":150,"name":"Time of Event (Mountain Time)","value":"13:07:48"},{"id":151,"name":"Denver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62"/>
      <c r="AA25" s="47"/>
      <c r="AB25" s="47"/>
      <c r="AC25" s="118" t="str">
        <f t="shared" si="7"/>
        <v>grep -hSE -A400 "Enforcement Action" "%USERPROFILE%\AppData\Local\Temp\OnboardLogs"\RTDC4063\*4063*201704281*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"%USERPROFILE%\AppData\Local\Temp\OnboardLogs"\RTDC4063\*4063*201704281* &gt;&gt; 2017-04-28-SliceDisagreementCheck.txt</v>
      </c>
      <c r="AE25" s="148" t="str">
        <f t="shared" si="9"/>
        <v>start /low /b %USERPROFILE%\Documents\GitHub\eaglep3\Utilities\DownloadLogsFromS3.py --loco 4063 --day 2017-04-28</v>
      </c>
      <c r="AF25" s="1"/>
    </row>
    <row r="26" spans="1:32" x14ac:dyDescent="0.25">
      <c r="A26" s="31">
        <v>42853.694456018522</v>
      </c>
      <c r="B26" s="30" t="s">
        <v>438</v>
      </c>
      <c r="C26" s="30" t="s">
        <v>626</v>
      </c>
      <c r="D26" s="30" t="s">
        <v>49</v>
      </c>
      <c r="E26" s="30" t="s">
        <v>185</v>
      </c>
      <c r="F26" s="42">
        <v>0</v>
      </c>
      <c r="G26" s="42">
        <v>60</v>
      </c>
      <c r="H26" s="42">
        <v>221</v>
      </c>
      <c r="I26" s="42">
        <v>154</v>
      </c>
      <c r="J26" s="30" t="s">
        <v>186</v>
      </c>
      <c r="K26" s="42">
        <v>1</v>
      </c>
      <c r="L26" s="134" t="s">
        <v>51</v>
      </c>
      <c r="M26" s="135">
        <f t="shared" si="0"/>
        <v>80.784000000000006</v>
      </c>
      <c r="N26" s="136" t="str">
        <f>VLOOKUP(C26,'Trips&amp;Operators'!$C$1:$G$99999,5,FALSE)</f>
        <v>CLARK KATHLEEN</v>
      </c>
      <c r="O26" s="207" t="s">
        <v>184</v>
      </c>
      <c r="P26" s="137"/>
      <c r="Q26" s="30"/>
      <c r="R26" s="84" t="str">
        <f>IF(VLOOKUP(C26,'Train Runs'!$A$13:$AE$9945,1,1)=C26,VLOOKUP(C26,'Train Runs'!$A$13:$AE$9945,31,1),NA())</f>
        <v>aws s3 cp s3://rtdc.mdm.uploadarchive.raw/RTDC4063/ "%USERPROFILE%\AppData\Local\Temp\OnboardLogs"\RTDC4063\2017-04-28 --exclude "*" --recursive --include "*20170428*" &amp; "%USERPROFILE%\Documents\GitHub\mrs-test-scripts\Headless Mode &amp; Sideloading\WalkAndUnGZ.bat" "%USERPROFILE%\AppData\Local\Temp\OnboardLogs"\RTDC4063\2017-04-28 &amp; aws s3 cp s3://rtdc.mdm.uploadarchive.raw/RTDC4063/ "%USERPROFILE%\AppData\Local\Temp\OnboardLogs"\RTDC4063\2017-04-29 --exclude "*" --recursive --include "*20170429*" &amp; "%USERPROFILE%\Documents\GitHub\mrs-test-scripts\Headless Mode &amp; Sideloading\WalkAndUnGZ.bat" "%USERPROFILE%\AppData\Local\Temp\OnboardLogs"\RTDC4063\2017-04-29</v>
      </c>
      <c r="S26" s="87" t="str">
        <f>VLOOKUP(C26,'Train Runs'!$A$13:$AE$9945,22,0)</f>
        <v>https://d0f6bd738d7f1b3e5a7ca70fe4ff75f0.us-east-1.aws.found.io/app/kibana#/discover/Steve-Slow-Train-Analysis-(2080s-and-2083s)?_g=(refreshInterval:(display:Off,pause:!f,section:0,value:0),time:(from:'2017-04-28T14:52:57-0600',mode:absolute,to:'2017-04-28T17:40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26" s="89" t="str">
        <f t="shared" si="1"/>
        <v>"C:\Program Files (x86)\AstroGrep\AstroGrep.exe" /e /r /s /spath="%USERPROFILE%\AppData\Local\Temp\OnboardLogs" /stypes="*4063*201704282*" /stext=" 22:.+((SYSTEM_STATE.+slice.+state.+changed )|(ment ac)|(multiple cpu faults)|(system.+state.+changed )|(\[timeout)|(PRM\|1\|D)|(kpr)|(kdp)|(train.+moving)|(\|lc)|(penalty))"</v>
      </c>
      <c r="U26" s="9" t="str">
        <f t="shared" si="2"/>
        <v>4063</v>
      </c>
      <c r="V26" s="31">
        <f t="shared" si="3"/>
        <v>42853.944456018522</v>
      </c>
      <c r="W26" s="45" t="str">
        <f t="shared" si="4"/>
        <v>EC</v>
      </c>
      <c r="X26" s="45" t="str">
        <f t="shared" si="5"/>
        <v>KEEP</v>
      </c>
      <c r="Y26" s="99" t="str">
        <f t="shared" si="6"/>
        <v>echo {"issue":{"subject":"","project_id":79,"tracker_id":40,"status_id":1,"priority_id":2,"assigned_to_id":23,"start_date":"2017-04-28","description":"","custom_fields":[{"id":1,"name":"Subdivision","value":"EC"},{"id":4,"name":"Milepost","value":"0.0001"},{"id":17,"name":"Train ID","value":"192-28"},{"id":16,"name":"Locomotive ID","value":"4063"},{"id":130,"name":"Impact","value":""},{"id":150,"name":"Time of Event (Mountain Time)","value":"16:40:01"},{"id":151,"name":"Denver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62"/>
      <c r="AA26" s="47"/>
      <c r="AB26" s="47"/>
      <c r="AC26" s="118" t="str">
        <f t="shared" si="7"/>
        <v>grep -hSE -A400 "Enforcement Action" "%USERPROFILE%\AppData\Local\Temp\OnboardLogs"\RTDC4063\*4063*201704282*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"%USERPROFILE%\AppData\Local\Temp\OnboardLogs"\RTDC4063\*4063*201704282* &gt;&gt; 2017-04-28-SliceDisagreementCheck.txt</v>
      </c>
      <c r="AE26" s="148" t="str">
        <f t="shared" si="9"/>
        <v>start /low /b %USERPROFILE%\Documents\GitHub\eaglep3\Utilities\DownloadLogsFromS3.py --loco 4063 --day 2017-04-28</v>
      </c>
      <c r="AF26" s="1"/>
    </row>
    <row r="27" spans="1:32" x14ac:dyDescent="0.25">
      <c r="A27" s="31">
        <v>42853.962870370371</v>
      </c>
      <c r="B27" s="30" t="s">
        <v>599</v>
      </c>
      <c r="C27" s="30" t="s">
        <v>636</v>
      </c>
      <c r="D27" s="30" t="s">
        <v>49</v>
      </c>
      <c r="E27" s="30" t="s">
        <v>185</v>
      </c>
      <c r="F27" s="42">
        <v>0</v>
      </c>
      <c r="G27" s="42">
        <v>60</v>
      </c>
      <c r="H27" s="42">
        <v>180</v>
      </c>
      <c r="I27" s="42">
        <v>109</v>
      </c>
      <c r="J27" s="30" t="s">
        <v>186</v>
      </c>
      <c r="K27" s="42">
        <v>1</v>
      </c>
      <c r="L27" s="134" t="s">
        <v>51</v>
      </c>
      <c r="M27" s="135">
        <f t="shared" si="0"/>
        <v>57.024000000000001</v>
      </c>
      <c r="N27" s="136" t="str">
        <f>VLOOKUP(C27,'Trips&amp;Operators'!$C$1:$G$99999,5,FALSE)</f>
        <v>STORY SAMANTHA</v>
      </c>
      <c r="O27" s="207" t="s">
        <v>184</v>
      </c>
      <c r="P27" s="137"/>
      <c r="Q27" s="30"/>
      <c r="R27" s="84" t="str">
        <f>IF(VLOOKUP(C27,'Train Runs'!$A$13:$AE$9945,1,1)=C27,VLOOKUP(C27,'Train Runs'!$A$13:$AE$9945,31,1),NA())</f>
        <v>aws s3 cp s3://rtdc.mdm.uploadarchive.raw/RTDC4051/ "%USERPROFILE%\AppData\Local\Temp\OnboardLogs"\RTDC4051\2017-04-28 --exclude "*" --recursive --include "*20170428*" &amp; "%USERPROFILE%\Documents\GitHub\mrs-test-scripts\Headless Mode &amp; Sideloading\WalkAndUnGZ.bat" "%USERPROFILE%\AppData\Local\Temp\OnboardLogs"\RTDC4051\2017-04-28 &amp; aws s3 cp s3://rtdc.mdm.uploadarchive.raw/RTDC4051/ "%USERPROFILE%\AppData\Local\Temp\OnboardLogs"\RTDC4051\2017-04-29 --exclude "*" --recursive --include "*20170429*" &amp; "%USERPROFILE%\Documents\GitHub\mrs-test-scripts\Headless Mode &amp; Sideloading\WalkAndUnGZ.bat" "%USERPROFILE%\AppData\Local\Temp\OnboardLogs"\RTDC4051\2017-04-29</v>
      </c>
      <c r="S27" s="87" t="str">
        <f>VLOOKUP(C27,'Train Runs'!$A$13:$AE$9945,22,0)</f>
        <v>https://d0f6bd738d7f1b3e5a7ca70fe4ff75f0.us-east-1.aws.found.io/app/kibana#/discover/Steve-Slow-Train-Analysis-(2080s-and-2083s)?_g=(refreshInterval:(display:Off,pause:!f,section:0,value:0),time:(from:'2017-04-28T21:19:24-0600',mode:absolute,to:'2017-04-29T00:06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27" s="89" t="str">
        <f t="shared" si="1"/>
        <v>"C:\Program Files (x86)\AstroGrep\AstroGrep.exe" /e /r /s /spath="%USERPROFILE%\AppData\Local\Temp\OnboardLogs" /stypes="*4051*201704290*" /stext=" 05:.+((SYSTEM_STATE.+slice.+state.+changed )|(ment ac)|(multiple cpu faults)|(system.+state.+changed )|(\[timeout)|(PRM\|1\|D)|(kpr)|(kdp)|(train.+moving)|(\|lc)|(penalty))"</v>
      </c>
      <c r="U27" s="9" t="str">
        <f t="shared" si="2"/>
        <v>4051</v>
      </c>
      <c r="V27" s="31">
        <f t="shared" si="3"/>
        <v>42854.212870370371</v>
      </c>
      <c r="W27" s="45" t="str">
        <f t="shared" si="4"/>
        <v>EC</v>
      </c>
      <c r="X27" s="45" t="str">
        <f t="shared" si="5"/>
        <v>KEEP</v>
      </c>
      <c r="Y27" s="99" t="str">
        <f t="shared" si="6"/>
        <v>echo {"issue":{"subject":"","project_id":79,"tracker_id":40,"status_id":1,"priority_id":2,"assigned_to_id":23,"start_date":"2017-04-28","description":"","custom_fields":[{"id":1,"name":"Subdivision","value":"EC"},{"id":4,"name":"Milepost","value":"0.0001"},{"id":17,"name":"Train ID","value":"232-28"},{"id":16,"name":"Locomotive ID","value":"4051"},{"id":130,"name":"Impact","value":""},{"id":150,"name":"Time of Event (Mountain Time)","value":"23:06:32"},{"id":151,"name":"Denver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62"/>
      <c r="AA27" s="47"/>
      <c r="AB27" s="47"/>
      <c r="AC27" s="118" t="str">
        <f t="shared" si="7"/>
        <v>grep -hSE -A400 "Enforcement Action" "%USERPROFILE%\AppData\Local\Temp\OnboardLogs"\RTDC4051\*4051*201704290*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"%USERPROFILE%\AppData\Local\Temp\OnboardLogs"\RTDC4051\*4051*201704290* &gt;&gt; 2017-04-28-SliceDisagreementCheck.txt</v>
      </c>
      <c r="AE27" s="148" t="str">
        <f t="shared" si="9"/>
        <v>start /low /b %USERPROFILE%\Documents\GitHub\eaglep3\Utilities\DownloadLogsFromS3.py --loco 4051 --day 2017-04-29</v>
      </c>
      <c r="AF27" s="1"/>
    </row>
    <row r="28" spans="1:32" x14ac:dyDescent="0.25">
      <c r="A28" s="31">
        <v>42853.338136574072</v>
      </c>
      <c r="B28" s="30" t="s">
        <v>428</v>
      </c>
      <c r="C28" s="30" t="s">
        <v>603</v>
      </c>
      <c r="D28" s="30" t="s">
        <v>49</v>
      </c>
      <c r="E28" s="30" t="s">
        <v>185</v>
      </c>
      <c r="F28" s="42">
        <v>0</v>
      </c>
      <c r="G28" s="42">
        <v>50</v>
      </c>
      <c r="H28" s="42">
        <v>233316</v>
      </c>
      <c r="I28" s="42">
        <v>233349</v>
      </c>
      <c r="J28" s="30" t="s">
        <v>186</v>
      </c>
      <c r="K28" s="42">
        <v>233491</v>
      </c>
      <c r="L28" s="134" t="s">
        <v>50</v>
      </c>
      <c r="M28" s="135">
        <f t="shared" si="0"/>
        <v>74.975999999999999</v>
      </c>
      <c r="N28" s="136" t="str">
        <f>VLOOKUP(C28,'Trips&amp;Operators'!$C$1:$G$99999,5,FALSE)</f>
        <v>DAVIS WENDY</v>
      </c>
      <c r="O28" s="207" t="s">
        <v>184</v>
      </c>
      <c r="P28" s="137"/>
      <c r="Q28" s="30"/>
      <c r="R28" s="84" t="str">
        <f>IF(VLOOKUP(C28,'Train Runs'!$A$13:$AE$9945,1,1)=C28,VLOOKUP(C28,'Train Runs'!$A$13:$AE$9945,31,1),NA())</f>
        <v>aws s3 cp s3://rtdc.mdm.uploadarchive.raw/RTDC4008/ "%USERPROFILE%\AppData\Local\Temp\OnboardLogs"\RTDC4008\2017-04-28 --exclude "*" --recursive --include "*20170428*" &amp; "%USERPROFILE%\Documents\GitHub\mrs-test-scripts\Headless Mode &amp; Sideloading\WalkAndUnGZ.bat" "%USERPROFILE%\AppData\Local\Temp\OnboardLogs"\RTDC4008\2017-04-28 &amp; aws s3 cp s3://rtdc.mdm.uploadarchive.raw/RTDC4008/ "%USERPROFILE%\AppData\Local\Temp\OnboardLogs"\RTDC4008\2017-04-29 --exclude "*" --recursive --include "*20170429*" &amp; "%USERPROFILE%\Documents\GitHub\mrs-test-scripts\Headless Mode &amp; Sideloading\WalkAndUnGZ.bat" "%USERPROFILE%\AppData\Local\Temp\OnboardLogs"\RTDC4008\2017-04-29</v>
      </c>
      <c r="S28" s="87" t="str">
        <f>VLOOKUP(C28,'Train Runs'!$A$13:$AE$9945,22,0)</f>
        <v>https://d0f6bd738d7f1b3e5a7ca70fe4ff75f0.us-east-1.aws.found.io/app/kibana#/discover/Steve-Slow-Train-Analysis-(2080s-and-2083s)?_g=(refreshInterval:(display:Off,pause:!f,section:0,value:0),time:(from:'2017-04-28T06:22:44-0600',mode:absolute,to:'2017-04-28T09:06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28" s="89" t="str">
        <f t="shared" si="1"/>
        <v>"C:\Program Files (x86)\AstroGrep\AstroGrep.exe" /e /r /s /spath="%USERPROFILE%\AppData\Local\Temp\OnboardLogs" /stypes="*4008*201704281*" /stext=" 14:.+((SYSTEM_STATE.+slice.+state.+changed )|(ment ac)|(multiple cpu faults)|(system.+state.+changed )|(\[timeout)|(PRM\|1\|D)|(kpr)|(kdp)|(train.+moving)|(\|lc)|(penalty))"</v>
      </c>
      <c r="U28" s="9" t="str">
        <f t="shared" si="2"/>
        <v>4008</v>
      </c>
      <c r="V28" s="31">
        <f t="shared" si="3"/>
        <v>42853.588136574072</v>
      </c>
      <c r="W28" s="45" t="str">
        <f t="shared" si="4"/>
        <v>EC</v>
      </c>
      <c r="X28" s="45" t="str">
        <f t="shared" si="5"/>
        <v>KEEP</v>
      </c>
      <c r="Y28" s="99" t="str">
        <f t="shared" si="6"/>
        <v>echo {"issue":{"subject":"","project_id":79,"tracker_id":40,"status_id":1,"priority_id":2,"assigned_to_id":23,"start_date":"2017-04-28","description":"","custom_fields":[{"id":1,"name":"Subdivision","value":"EC"},{"id":4,"name":"Milepost","value":"23.3491"},{"id":17,"name":"Train ID","value":"131-28"},{"id":16,"name":"Locomotive ID","value":"4008"},{"id":130,"name":"Impact","value":""},{"id":150,"name":"Time of Event (Mountain Time)","value":"08:06:55"},{"id":151,"name":"Denver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62"/>
      <c r="AA28" s="47"/>
      <c r="AB28" s="47"/>
      <c r="AC28" s="118" t="str">
        <f t="shared" si="7"/>
        <v>grep -hSE -A400 "Enforcement Action" "%USERPROFILE%\AppData\Local\Temp\OnboardLogs"\RTDC4008\*4008*201704281*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"%USERPROFILE%\AppData\Local\Temp\OnboardLogs"\RTDC4008\*4008*201704281* &gt;&gt; 2017-04-28-SliceDisagreementCheck.txt</v>
      </c>
      <c r="AE28" s="148" t="str">
        <f t="shared" si="9"/>
        <v>start /low /b %USERPROFILE%\Documents\GitHub\eaglep3\Utilities\DownloadLogsFromS3.py --loco 4008 --day 2017-04-28</v>
      </c>
      <c r="AF28" s="1"/>
    </row>
    <row r="29" spans="1:32" x14ac:dyDescent="0.25">
      <c r="A29" s="31">
        <v>42853.601921296293</v>
      </c>
      <c r="B29" s="30" t="s">
        <v>616</v>
      </c>
      <c r="C29" s="30" t="s">
        <v>617</v>
      </c>
      <c r="D29" s="30" t="s">
        <v>49</v>
      </c>
      <c r="E29" s="30" t="s">
        <v>185</v>
      </c>
      <c r="F29" s="42">
        <v>0</v>
      </c>
      <c r="G29" s="42">
        <v>75</v>
      </c>
      <c r="H29" s="42">
        <v>233225</v>
      </c>
      <c r="I29" s="42">
        <v>233272</v>
      </c>
      <c r="J29" s="30" t="s">
        <v>186</v>
      </c>
      <c r="K29" s="42">
        <v>233491</v>
      </c>
      <c r="L29" s="134" t="s">
        <v>50</v>
      </c>
      <c r="M29" s="135">
        <f t="shared" si="0"/>
        <v>115.63200000000001</v>
      </c>
      <c r="N29" s="136" t="str">
        <f>VLOOKUP(C29,'Trips&amp;Operators'!$C$1:$G$99999,5,FALSE)</f>
        <v>LAMAR NEKESHA</v>
      </c>
      <c r="O29" s="207" t="s">
        <v>184</v>
      </c>
      <c r="P29" s="137"/>
      <c r="Q29" s="30"/>
      <c r="R29" s="84" t="str">
        <f>IF(VLOOKUP(C29,'Train Runs'!$A$13:$AE$9945,1,1)=C29,VLOOKUP(C29,'Train Runs'!$A$13:$AE$9945,31,1),NA())</f>
        <v>aws s3 cp s3://rtdc.mdm.uploadarchive.raw/RTDC4042/ "%USERPROFILE%\AppData\Local\Temp\OnboardLogs"\RTDC4042\2017-04-28 --exclude "*" --recursive --include "*20170428*" &amp; "%USERPROFILE%\Documents\GitHub\mrs-test-scripts\Headless Mode &amp; Sideloading\WalkAndUnGZ.bat" "%USERPROFILE%\AppData\Local\Temp\OnboardLogs"\RTDC4042\2017-04-28 &amp; aws s3 cp s3://rtdc.mdm.uploadarchive.raw/RTDC4042/ "%USERPROFILE%\AppData\Local\Temp\OnboardLogs"\RTDC4042\2017-04-29 --exclude "*" --recursive --include "*20170429*" &amp; "%USERPROFILE%\Documents\GitHub\mrs-test-scripts\Headless Mode &amp; Sideloading\WalkAndUnGZ.bat" "%USERPROFILE%\AppData\Local\Temp\OnboardLogs"\RTDC4042\2017-04-29</v>
      </c>
      <c r="S29" s="87" t="str">
        <f>VLOOKUP(C29,'Train Runs'!$A$13:$AE$9945,22,0)</f>
        <v>https://d0f6bd738d7f1b3e5a7ca70fe4ff75f0.us-east-1.aws.found.io/app/kibana#/discover/Steve-Slow-Train-Analysis-(2080s-and-2083s)?_g=(refreshInterval:(display:Off,pause:!f,section:0,value:0),time:(from:'2017-04-28T12:40:12-0600',mode:absolute,to:'2017-04-28T15:26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29" s="89" t="str">
        <f t="shared" si="1"/>
        <v>"C:\Program Files (x86)\AstroGrep\AstroGrep.exe" /e /r /s /spath="%USERPROFILE%\AppData\Local\Temp\OnboardLogs" /stypes="*4042*201704282*" /stext=" 20:.+((SYSTEM_STATE.+slice.+state.+changed )|(ment ac)|(multiple cpu faults)|(system.+state.+changed )|(\[timeout)|(PRM\|1\|D)|(kpr)|(kdp)|(train.+moving)|(\|lc)|(penalty))"</v>
      </c>
      <c r="U29" s="9" t="str">
        <f t="shared" si="2"/>
        <v>4042</v>
      </c>
      <c r="V29" s="31">
        <f t="shared" si="3"/>
        <v>42853.851921296293</v>
      </c>
      <c r="W29" s="45" t="str">
        <f t="shared" si="4"/>
        <v>EC</v>
      </c>
      <c r="X29" s="45" t="str">
        <f t="shared" si="5"/>
        <v>KEEP</v>
      </c>
      <c r="Y29" s="99" t="str">
        <f t="shared" si="6"/>
        <v>echo {"issue":{"subject":"","project_id":79,"tracker_id":40,"status_id":1,"priority_id":2,"assigned_to_id":23,"start_date":"2017-04-28","description":"","custom_fields":[{"id":1,"name":"Subdivision","value":"EC"},{"id":4,"name":"Milepost","value":"23.3491"},{"id":17,"name":"Train ID","value":"181-28"},{"id":16,"name":"Locomotive ID","value":"4042"},{"id":130,"name":"Impact","value":""},{"id":150,"name":"Time of Event (Mountain Time)","value":"14:26:46"},{"id":151,"name":"Denver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62"/>
      <c r="AA29" s="47"/>
      <c r="AB29" s="47"/>
      <c r="AC29" s="118" t="str">
        <f t="shared" si="7"/>
        <v>grep -hSE -A400 "Enforcement Action" "%USERPROFILE%\AppData\Local\Temp\OnboardLogs"\RTDC4042\*4042*201704282*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"%USERPROFILE%\AppData\Local\Temp\OnboardLogs"\RTDC4042\*4042*201704282* &gt;&gt; 2017-04-28-SliceDisagreementCheck.txt</v>
      </c>
      <c r="AE29" s="148" t="str">
        <f t="shared" si="9"/>
        <v>start /low /b %USERPROFILE%\Documents\GitHub\eaglep3\Utilities\DownloadLogsFromS3.py --loco 4042 --day 2017-04-28</v>
      </c>
      <c r="AF29" s="1"/>
    </row>
    <row r="30" spans="1:32" x14ac:dyDescent="0.25">
      <c r="A30" s="31">
        <v>42853.688680555555</v>
      </c>
      <c r="B30" s="30" t="s">
        <v>604</v>
      </c>
      <c r="C30" s="30" t="s">
        <v>625</v>
      </c>
      <c r="D30" s="30" t="s">
        <v>49</v>
      </c>
      <c r="E30" s="30" t="s">
        <v>185</v>
      </c>
      <c r="F30" s="42">
        <v>0</v>
      </c>
      <c r="G30" s="42">
        <v>73</v>
      </c>
      <c r="H30" s="42">
        <v>233213</v>
      </c>
      <c r="I30" s="42">
        <v>233306</v>
      </c>
      <c r="J30" s="30" t="s">
        <v>186</v>
      </c>
      <c r="K30" s="42">
        <v>233491</v>
      </c>
      <c r="L30" s="134" t="s">
        <v>50</v>
      </c>
      <c r="M30" s="135">
        <f t="shared" si="0"/>
        <v>97.68</v>
      </c>
      <c r="N30" s="136" t="str">
        <f>VLOOKUP(C30,'Trips&amp;Operators'!$C$1:$G$99999,5,FALSE)</f>
        <v>BRANDNER MELINDA</v>
      </c>
      <c r="O30" s="207" t="s">
        <v>184</v>
      </c>
      <c r="P30" s="137"/>
      <c r="Q30" s="30"/>
      <c r="R30" s="84" t="str">
        <f>IF(VLOOKUP(C30,'Train Runs'!$A$13:$AE$9945,1,1)=C30,VLOOKUP(C30,'Train Runs'!$A$13:$AE$9945,31,1),NA())</f>
        <v>aws s3 cp s3://rtdc.mdm.uploadarchive.raw/RTDC4016/ "%USERPROFILE%\AppData\Local\Temp\OnboardLogs"\RTDC4016\2017-04-28 --exclude "*" --recursive --include "*20170428*" &amp; "%USERPROFILE%\Documents\GitHub\mrs-test-scripts\Headless Mode &amp; Sideloading\WalkAndUnGZ.bat" "%USERPROFILE%\AppData\Local\Temp\OnboardLogs"\RTDC4016\2017-04-28 &amp; aws s3 cp s3://rtdc.mdm.uploadarchive.raw/RTDC4016/ "%USERPROFILE%\AppData\Local\Temp\OnboardLogs"\RTDC4016\2017-04-29 --exclude "*" --recursive --include "*20170429*" &amp; "%USERPROFILE%\Documents\GitHub\mrs-test-scripts\Headless Mode &amp; Sideloading\WalkAndUnGZ.bat" "%USERPROFILE%\AppData\Local\Temp\OnboardLogs"\RTDC4016\2017-04-29</v>
      </c>
      <c r="S30" s="87" t="str">
        <f>VLOOKUP(C30,'Train Runs'!$A$13:$AE$9945,22,0)</f>
        <v>https://d0f6bd738d7f1b3e5a7ca70fe4ff75f0.us-east-1.aws.found.io/app/kibana#/discover/Steve-Slow-Train-Analysis-(2080s-and-2083s)?_g=(refreshInterval:(display:Off,pause:!f,section:0,value:0),time:(from:'2017-04-28T14:45:01-0600',mode:absolute,to:'2017-04-28T17:31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30" s="89" t="str">
        <f t="shared" si="1"/>
        <v>"C:\Program Files (x86)\AstroGrep\AstroGrep.exe" /e /r /s /spath="%USERPROFILE%\AppData\Local\Temp\OnboardLogs" /stypes="*4016*201704282*" /stext=" 22:.+((SYSTEM_STATE.+slice.+state.+changed )|(ment ac)|(multiple cpu faults)|(system.+state.+changed )|(\[timeout)|(PRM\|1\|D)|(kpr)|(kdp)|(train.+moving)|(\|lc)|(penalty))"</v>
      </c>
      <c r="U30" s="9" t="str">
        <f t="shared" si="2"/>
        <v>4016</v>
      </c>
      <c r="V30" s="31">
        <f t="shared" si="3"/>
        <v>42853.938680555555</v>
      </c>
      <c r="W30" s="45" t="str">
        <f t="shared" si="4"/>
        <v>EC</v>
      </c>
      <c r="X30" s="45" t="str">
        <f t="shared" si="5"/>
        <v>KEEP</v>
      </c>
      <c r="Y30" s="99" t="str">
        <f t="shared" si="6"/>
        <v>echo {"issue":{"subject":"","project_id":79,"tracker_id":40,"status_id":1,"priority_id":2,"assigned_to_id":23,"start_date":"2017-04-28","description":"","custom_fields":[{"id":1,"name":"Subdivision","value":"EC"},{"id":4,"name":"Milepost","value":"23.3491"},{"id":17,"name":"Train ID","value":"197-28"},{"id":16,"name":"Locomotive ID","value":"4016"},{"id":130,"name":"Impact","value":""},{"id":150,"name":"Time of Event (Mountain Time)","value":"16:31:42"},{"id":151,"name":"Denver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62"/>
      <c r="AA30" s="47"/>
      <c r="AB30" s="47"/>
      <c r="AC30" s="118" t="str">
        <f t="shared" si="7"/>
        <v>grep -hSE -A400 "Enforcement Action" "%USERPROFILE%\AppData\Local\Temp\OnboardLogs"\RTDC4016\*4016*201704282*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"%USERPROFILE%\AppData\Local\Temp\OnboardLogs"\RTDC4016\*4016*201704282* &gt;&gt; 2017-04-28-SliceDisagreementCheck.txt</v>
      </c>
      <c r="AE30" s="148" t="str">
        <f t="shared" si="9"/>
        <v>start /low /b %USERPROFILE%\Documents\GitHub\eaglep3\Utilities\DownloadLogsFromS3.py --loco 4016 --day 2017-04-28</v>
      </c>
      <c r="AF30" s="1"/>
    </row>
    <row r="31" spans="1:32" x14ac:dyDescent="0.25">
      <c r="A31" s="31">
        <v>42853.941620370373</v>
      </c>
      <c r="B31" s="30" t="s">
        <v>199</v>
      </c>
      <c r="C31" s="30" t="s">
        <v>635</v>
      </c>
      <c r="D31" s="30" t="s">
        <v>49</v>
      </c>
      <c r="E31" s="30" t="s">
        <v>185</v>
      </c>
      <c r="F31" s="42">
        <v>0</v>
      </c>
      <c r="G31" s="42">
        <v>33</v>
      </c>
      <c r="H31" s="42">
        <v>233380</v>
      </c>
      <c r="I31" s="42">
        <v>233410</v>
      </c>
      <c r="J31" s="30" t="s">
        <v>186</v>
      </c>
      <c r="K31" s="42">
        <v>233491</v>
      </c>
      <c r="L31" s="134" t="s">
        <v>50</v>
      </c>
      <c r="M31" s="135">
        <f t="shared" si="0"/>
        <v>42.768000000000001</v>
      </c>
      <c r="N31" s="136" t="str">
        <f>VLOOKUP(C31,'Trips&amp;Operators'!$C$1:$G$99999,5,FALSE)</f>
        <v>STAMBAUGH JAMES</v>
      </c>
      <c r="O31" s="207" t="s">
        <v>184</v>
      </c>
      <c r="P31" s="137"/>
      <c r="Q31" s="30"/>
      <c r="R31" s="84" t="str">
        <f>IF(VLOOKUP(C31,'Train Runs'!$A$13:$AE$9945,1,1)=C31,VLOOKUP(C31,'Train Runs'!$A$13:$AE$9945,31,1),NA())</f>
        <v>aws s3 cp s3://rtdc.mdm.uploadarchive.raw/RTDC4030/ "%USERPROFILE%\AppData\Local\Temp\OnboardLogs"\RTDC4030\2017-04-28 --exclude "*" --recursive --include "*20170428*" &amp; "%USERPROFILE%\Documents\GitHub\mrs-test-scripts\Headless Mode &amp; Sideloading\WalkAndUnGZ.bat" "%USERPROFILE%\AppData\Local\Temp\OnboardLogs"\RTDC4030\2017-04-28 &amp; aws s3 cp s3://rtdc.mdm.uploadarchive.raw/RTDC4030/ "%USERPROFILE%\AppData\Local\Temp\OnboardLogs"\RTDC4030\2017-04-29 --exclude "*" --recursive --include "*20170429*" &amp; "%USERPROFILE%\Documents\GitHub\mrs-test-scripts\Headless Mode &amp; Sideloading\WalkAndUnGZ.bat" "%USERPROFILE%\AppData\Local\Temp\OnboardLogs"\RTDC4030\2017-04-29</v>
      </c>
      <c r="S31" s="87" t="str">
        <f>VLOOKUP(C31,'Train Runs'!$A$13:$AE$9945,22,0)</f>
        <v>https://d0f6bd738d7f1b3e5a7ca70fe4ff75f0.us-east-1.aws.found.io/app/kibana#/discover/Steve-Slow-Train-Analysis-(2080s-and-2083s)?_g=(refreshInterval:(display:Off,pause:!f,section:0,value:0),time:(from:'2017-04-28T20:40:49-0600',mode:absolute,to:'2017-04-28T23:35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31" s="89" t="str">
        <f t="shared" si="1"/>
        <v>"C:\Program Files (x86)\AstroGrep\AstroGrep.exe" /e /r /s /spath="%USERPROFILE%\AppData\Local\Temp\OnboardLogs" /stypes="*4030*201704290*" /stext=" 04:.+((SYSTEM_STATE.+slice.+state.+changed )|(ment ac)|(multiple cpu faults)|(system.+state.+changed )|(\[timeout)|(PRM\|1\|D)|(kpr)|(kdp)|(train.+moving)|(\|lc)|(penalty))"</v>
      </c>
      <c r="U31" s="9" t="str">
        <f t="shared" si="2"/>
        <v>4030</v>
      </c>
      <c r="V31" s="31">
        <f t="shared" si="3"/>
        <v>42854.191620370373</v>
      </c>
      <c r="W31" s="45" t="str">
        <f t="shared" si="4"/>
        <v>EC</v>
      </c>
      <c r="X31" s="45" t="str">
        <f t="shared" si="5"/>
        <v>KEEP</v>
      </c>
      <c r="Y31" s="99" t="str">
        <f t="shared" si="6"/>
        <v>echo {"issue":{"subject":"","project_id":79,"tracker_id":40,"status_id":1,"priority_id":2,"assigned_to_id":23,"start_date":"2017-04-28","description":"","custom_fields":[{"id":1,"name":"Subdivision","value":"EC"},{"id":4,"name":"Milepost","value":"23.3491"},{"id":17,"name":"Train ID","value":"233-28"},{"id":16,"name":"Locomotive ID","value":"4030"},{"id":130,"name":"Impact","value":""},{"id":150,"name":"Time of Event (Mountain Time)","value":"22:35:56"},{"id":151,"name":"Denver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62"/>
      <c r="AA31" s="47"/>
      <c r="AB31" s="47"/>
      <c r="AC31" s="118" t="str">
        <f t="shared" si="7"/>
        <v>grep -hSE -A400 "Enforcement Action" "%USERPROFILE%\AppData\Local\Temp\OnboardLogs"\RTDC4030\*4030*201704290*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"%USERPROFILE%\AppData\Local\Temp\OnboardLogs"\RTDC4030\*4030*201704290* &gt;&gt; 2017-04-28-SliceDisagreementCheck.txt</v>
      </c>
      <c r="AE31" s="148" t="str">
        <f t="shared" si="9"/>
        <v>start /low /b %USERPROFILE%\Documents\GitHub\eaglep3\Utilities\DownloadLogsFromS3.py --loco 4030 --day 2017-04-29</v>
      </c>
      <c r="AF31" s="1"/>
    </row>
    <row r="32" spans="1:32" x14ac:dyDescent="0.25">
      <c r="A32" s="31">
        <v>42854.004756944443</v>
      </c>
      <c r="B32" s="30" t="s">
        <v>638</v>
      </c>
      <c r="C32" s="30" t="s">
        <v>639</v>
      </c>
      <c r="D32" s="30" t="s">
        <v>49</v>
      </c>
      <c r="E32" s="30" t="s">
        <v>185</v>
      </c>
      <c r="F32" s="42">
        <v>0</v>
      </c>
      <c r="G32" s="42">
        <v>51</v>
      </c>
      <c r="H32" s="42">
        <v>233324</v>
      </c>
      <c r="I32" s="42">
        <v>233387</v>
      </c>
      <c r="J32" s="30" t="s">
        <v>186</v>
      </c>
      <c r="K32" s="42">
        <v>233491</v>
      </c>
      <c r="L32" s="134" t="s">
        <v>50</v>
      </c>
      <c r="M32" s="135">
        <f t="shared" si="0"/>
        <v>54.911999999999999</v>
      </c>
      <c r="N32" s="136" t="str">
        <f>VLOOKUP(C32,'Trips&amp;Operators'!$C$1:$G$99999,5,FALSE)</f>
        <v>STORY SAMANTHA</v>
      </c>
      <c r="O32" s="207" t="s">
        <v>184</v>
      </c>
      <c r="P32" s="137"/>
      <c r="Q32" s="30"/>
      <c r="R32" s="84" t="str">
        <f>IF(VLOOKUP(C32,'Train Runs'!$A$13:$AE$9945,1,1)=C32,VLOOKUP(C32,'Train Runs'!$A$13:$AE$9945,31,1),NA())</f>
        <v>aws s3 cp s3://rtdc.mdm.uploadarchive.raw/RTDC4052/ "%USERPROFILE%\AppData\Local\Temp\OnboardLogs"\RTDC4052\2017-04-28 --exclude "*" --recursive --include "*20170428*" &amp; "%USERPROFILE%\Documents\GitHub\mrs-test-scripts\Headless Mode &amp; Sideloading\WalkAndUnGZ.bat" "%USERPROFILE%\AppData\Local\Temp\OnboardLogs"\RTDC4052\2017-04-28 &amp; aws s3 cp s3://rtdc.mdm.uploadarchive.raw/RTDC4052/ "%USERPROFILE%\AppData\Local\Temp\OnboardLogs"\RTDC4052\2017-04-29 --exclude "*" --recursive --include "*20170429*" &amp; "%USERPROFILE%\Documents\GitHub\mrs-test-scripts\Headless Mode &amp; Sideloading\WalkAndUnGZ.bat" "%USERPROFILE%\AppData\Local\Temp\OnboardLogs"\RTDC4052\2017-04-29</v>
      </c>
      <c r="S32" s="87" t="str">
        <f>VLOOKUP(C32,'Train Runs'!$A$13:$AE$9945,22,0)</f>
        <v>https://d0f6bd738d7f1b3e5a7ca70fe4ff75f0.us-east-1.aws.found.io/app/kibana#/discover/Steve-Slow-Train-Analysis-(2080s-and-2083s)?_g=(refreshInterval:(display:Off,pause:!f,section:0,value:0),time:(from:'2017-04-28T22:16:17-0600',mode:absolute,to:'2017-04-29T01:06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32" s="89" t="str">
        <f t="shared" si="1"/>
        <v>"C:\Program Files (x86)\AstroGrep\AstroGrep.exe" /e /r /s /spath="%USERPROFILE%\AppData\Local\Temp\OnboardLogs" /stypes="*4052*201704290*" /stext=" 06:.+((SYSTEM_STATE.+slice.+state.+changed )|(ment ac)|(multiple cpu faults)|(system.+state.+changed )|(\[timeout)|(PRM\|1\|D)|(kpr)|(kdp)|(train.+moving)|(\|lc)|(penalty))"</v>
      </c>
      <c r="U32" s="9" t="str">
        <f t="shared" si="2"/>
        <v>4052</v>
      </c>
      <c r="V32" s="31">
        <f t="shared" si="3"/>
        <v>42854.254756944443</v>
      </c>
      <c r="W32" s="45" t="str">
        <f t="shared" si="4"/>
        <v>EC</v>
      </c>
      <c r="X32" s="45" t="str">
        <f t="shared" si="5"/>
        <v>KEEP</v>
      </c>
      <c r="Y32" s="99" t="str">
        <f t="shared" si="6"/>
        <v>echo {"issue":{"subject":"","project_id":79,"tracker_id":40,"status_id":1,"priority_id":2,"assigned_to_id":23,"start_date":"2017-04-29","description":"","custom_fields":[{"id":1,"name":"Subdivision","value":"EC"},{"id":4,"name":"Milepost","value":"23.3491"},{"id":17,"name":"Train ID","value":"239-28"},{"id":16,"name":"Locomotive ID","value":"4052"},{"id":130,"name":"Impact","value":""},{"id":150,"name":"Time of Event (Mountain Time)","value":"00:06:51"},{"id":151,"name":"Denver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62"/>
      <c r="AA32" s="47"/>
      <c r="AB32" s="47"/>
      <c r="AC32" s="118" t="str">
        <f t="shared" si="7"/>
        <v>grep -hSE -A400 "Enforcement Action" "%USERPROFILE%\AppData\Local\Temp\OnboardLogs"\RTDC4052\*4052*201704290*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"%USERPROFILE%\AppData\Local\Temp\OnboardLogs"\RTDC4052\*4052*201704290* &gt;&gt; 2017-04-28-SliceDisagreementCheck.txt</v>
      </c>
      <c r="AE32" s="148" t="str">
        <f t="shared" si="9"/>
        <v>start /low /b %USERPROFILE%\Documents\GitHub\eaglep3\Utilities\DownloadLogsFromS3.py --loco 4052 --day 2017-04-29</v>
      </c>
      <c r="AF32" s="1"/>
    </row>
    <row r="33" spans="1:32" x14ac:dyDescent="0.25">
      <c r="A33" s="31">
        <v>42854.02516203704</v>
      </c>
      <c r="B33" s="30" t="s">
        <v>199</v>
      </c>
      <c r="C33" s="30" t="s">
        <v>640</v>
      </c>
      <c r="D33" s="30" t="s">
        <v>49</v>
      </c>
      <c r="E33" s="30" t="s">
        <v>185</v>
      </c>
      <c r="F33" s="42">
        <v>0</v>
      </c>
      <c r="G33" s="42">
        <v>44</v>
      </c>
      <c r="H33" s="42">
        <v>233359</v>
      </c>
      <c r="I33" s="42">
        <v>233404</v>
      </c>
      <c r="J33" s="30" t="s">
        <v>186</v>
      </c>
      <c r="K33" s="42">
        <v>233491</v>
      </c>
      <c r="L33" s="134" t="s">
        <v>50</v>
      </c>
      <c r="M33" s="135">
        <f t="shared" si="0"/>
        <v>45.936</v>
      </c>
      <c r="N33" s="136" t="str">
        <f>VLOOKUP(C33,'Trips&amp;Operators'!$C$1:$G$99999,5,FALSE)</f>
        <v>STAMBAUGH JAMES</v>
      </c>
      <c r="O33" s="207" t="s">
        <v>184</v>
      </c>
      <c r="P33" s="137"/>
      <c r="Q33" s="30"/>
      <c r="R33" s="84" t="str">
        <f>IF(VLOOKUP(C33,'Train Runs'!$A$13:$AE$9945,1,1)=C33,VLOOKUP(C33,'Train Runs'!$A$13:$AE$9945,31,1),NA())</f>
        <v>aws s3 cp s3://rtdc.mdm.uploadarchive.raw/RTDC4030/ "%USERPROFILE%\AppData\Local\Temp\OnboardLogs"\RTDC4030\2017-04-29 --exclude "*" --recursive --include "*20170429*" &amp; "%USERPROFILE%\Documents\GitHub\mrs-test-scripts\Headless Mode &amp; Sideloading\WalkAndUnGZ.bat" "%USERPROFILE%\AppData\Local\Temp\OnboardLogs"\RTDC4030\2017-04-29 &amp; aws s3 cp s3://rtdc.mdm.uploadarchive.raw/RTDC4030/ "%USERPROFILE%\AppData\Local\Temp\OnboardLogs"\RTDC4030\2017-04-30 --exclude "*" --recursive --include "*20170430*" &amp; "%USERPROFILE%\Documents\GitHub\mrs-test-scripts\Headless Mode &amp; Sideloading\WalkAndUnGZ.bat" "%USERPROFILE%\AppData\Local\Temp\OnboardLogs"\RTDC4030\2017-04-30</v>
      </c>
      <c r="S33" s="87" t="str">
        <f>VLOOKUP(C33,'Train Runs'!$A$13:$AE$9945,22,0)</f>
        <v>https://d0f6bd738d7f1b3e5a7ca70fe4ff75f0.us-east-1.aws.found.io/app/kibana#/discover/Steve-Slow-Train-Analysis-(2080s-and-2083s)?_g=(refreshInterval:(display:Off,pause:!f,section:0,value:0),time:(from:'2017-04-28T22:37:32-0600',mode:absolute,to:'2017-04-29T01:36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33" s="89" t="str">
        <f t="shared" si="1"/>
        <v>"C:\Program Files (x86)\AstroGrep\AstroGrep.exe" /e /r /s /spath="%USERPROFILE%\AppData\Local\Temp\OnboardLogs" /stypes="*4030*201704290*" /stext=" 06:.+((SYSTEM_STATE.+slice.+state.+changed )|(ment ac)|(multiple cpu faults)|(system.+state.+changed )|(\[timeout)|(PRM\|1\|D)|(kpr)|(kdp)|(train.+moving)|(\|lc)|(penalty))"</v>
      </c>
      <c r="U33" s="9" t="str">
        <f t="shared" si="2"/>
        <v>4030</v>
      </c>
      <c r="V33" s="31">
        <f t="shared" si="3"/>
        <v>42854.27516203704</v>
      </c>
      <c r="W33" s="45" t="str">
        <f t="shared" si="4"/>
        <v>EC</v>
      </c>
      <c r="X33" s="45" t="str">
        <f t="shared" si="5"/>
        <v>KEEP</v>
      </c>
      <c r="Y33" s="99" t="str">
        <f t="shared" si="6"/>
        <v>echo {"issue":{"subject":"","project_id":79,"tracker_id":40,"status_id":1,"priority_id":2,"assigned_to_id":23,"start_date":"2017-04-29","description":"","custom_fields":[{"id":1,"name":"Subdivision","value":"EC"},{"id":4,"name":"Milepost","value":"23.3491"},{"id":17,"name":"Train ID","value":"241-28"},{"id":16,"name":"Locomotive ID","value":"4030"},{"id":130,"name":"Impact","value":""},{"id":150,"name":"Time of Event (Mountain Time)","value":"00:36:14"},{"id":151,"name":"Denver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62"/>
      <c r="AA33" s="47"/>
      <c r="AB33" s="47"/>
      <c r="AC33" s="118" t="str">
        <f t="shared" si="7"/>
        <v>grep -hSE -A400 "Enforcement Action" "%USERPROFILE%\AppData\Local\Temp\OnboardLogs"\RTDC4030\*4030*201704290*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"%USERPROFILE%\AppData\Local\Temp\OnboardLogs"\RTDC4030\*4030*201704290* &gt;&gt; 2017-04-28-SliceDisagreementCheck.txt</v>
      </c>
      <c r="AE33" s="148" t="str">
        <f t="shared" si="9"/>
        <v>start /low /b %USERPROFILE%\Documents\GitHub\eaglep3\Utilities\DownloadLogsFromS3.py --loco 4030 --day 2017-04-29</v>
      </c>
      <c r="AF33" s="1"/>
    </row>
    <row r="34" spans="1:32" x14ac:dyDescent="0.25">
      <c r="A34" s="31">
        <v>42853.747164351851</v>
      </c>
      <c r="B34" s="30" t="s">
        <v>427</v>
      </c>
      <c r="C34" s="30" t="s">
        <v>628</v>
      </c>
      <c r="D34" s="30" t="s">
        <v>49</v>
      </c>
      <c r="E34" s="30" t="s">
        <v>209</v>
      </c>
      <c r="F34" s="42">
        <v>300</v>
      </c>
      <c r="G34" s="42">
        <v>350</v>
      </c>
      <c r="H34" s="42">
        <v>19783</v>
      </c>
      <c r="I34" s="42">
        <v>20968</v>
      </c>
      <c r="J34" s="30" t="s">
        <v>210</v>
      </c>
      <c r="K34" s="42">
        <v>21299</v>
      </c>
      <c r="L34" s="134" t="s">
        <v>50</v>
      </c>
      <c r="M34" s="135">
        <f t="shared" si="0"/>
        <v>174.76799999999997</v>
      </c>
      <c r="N34" s="136" t="str">
        <f>VLOOKUP(C34,'Trips&amp;Operators'!$C$1:$G$99999,5,FALSE)</f>
        <v>WILLIAMS DONTE</v>
      </c>
      <c r="O34" s="207" t="s">
        <v>184</v>
      </c>
      <c r="P34" s="137"/>
      <c r="Q34" s="30"/>
      <c r="R34" s="84" t="str">
        <f>IF(VLOOKUP(C34,'Train Runs'!$A$13:$AE$9945,1,1)=C34,VLOOKUP(C34,'Train Runs'!$A$13:$AE$9945,31,1),NA())</f>
        <v>aws s3 cp s3://rtdc.mdm.uploadarchive.raw/RTDC4018/ "%USERPROFILE%\AppData\Local\Temp\OnboardLogs"\RTDC4018\2017-04-28 --exclude "*" --recursive --include "*20170428*" &amp; "%USERPROFILE%\Documents\GitHub\mrs-test-scripts\Headless Mode &amp; Sideloading\WalkAndUnGZ.bat" "%USERPROFILE%\AppData\Local\Temp\OnboardLogs"\RTDC4018\2017-04-28 &amp; aws s3 cp s3://rtdc.mdm.uploadarchive.raw/RTDC4018/ "%USERPROFILE%\AppData\Local\Temp\OnboardLogs"\RTDC4018\2017-04-29 --exclude "*" --recursive --include "*20170429*" &amp; "%USERPROFILE%\Documents\GitHub\mrs-test-scripts\Headless Mode &amp; Sideloading\WalkAndUnGZ.bat" "%USERPROFILE%\AppData\Local\Temp\OnboardLogs"\RTDC4018\2017-04-29</v>
      </c>
      <c r="S34" s="87" t="str">
        <f>VLOOKUP(C34,'Train Runs'!$A$13:$AE$9945,22,0)</f>
        <v>https://d0f6bd738d7f1b3e5a7ca70fe4ff75f0.us-east-1.aws.found.io/app/kibana#/discover/Steve-Slow-Train-Analysis-(2080s-and-2083s)?_g=(refreshInterval:(display:Off,pause:!f,section:0,value:0),time:(from:'2017-04-28T16:45:08-0600',mode:absolute,to:'2017-04-28T19:05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34" s="89" t="str">
        <f t="shared" si="1"/>
        <v>"C:\Program Files (x86)\AstroGrep\AstroGrep.exe" /e /r /s /spath="%USERPROFILE%\AppData\Local\Temp\OnboardLogs" /stypes="*4018*201704282*" /stext=" 23:.+((SYSTEM_STATE.+slice.+state.+changed )|(ment ac)|(multiple cpu faults)|(system.+state.+changed )|(\[timeout)|(PRM\|1\|D)|(kpr)|(kdp)|(train.+moving)|(\|lc)|(penalty))"</v>
      </c>
      <c r="U34" s="9" t="str">
        <f t="shared" si="2"/>
        <v>4018</v>
      </c>
      <c r="V34" s="31">
        <f t="shared" si="3"/>
        <v>42853.997164351851</v>
      </c>
      <c r="W34" s="45" t="str">
        <f t="shared" si="4"/>
        <v>NW</v>
      </c>
      <c r="X34" s="45" t="str">
        <f t="shared" si="5"/>
        <v>KEEP</v>
      </c>
      <c r="Y34" s="99" t="str">
        <f t="shared" si="6"/>
        <v>echo {"issue":{"subject":"","project_id":79,"tracker_id":40,"status_id":1,"priority_id":2,"assigned_to_id":23,"start_date":"2017-04-28","description":"","custom_fields":[{"id":1,"name":"Subdivision","value":"NW"},{"id":4,"name":"Milepost","value":"2.1299"},{"id":17,"name":"Train ID","value":"835-28"},{"id":16,"name":"Locomotive ID","value":"4018"},{"id":130,"name":"Impact","value":""},{"id":150,"name":"Time of Event (Mountain Time)","value":"17:55:55"},{"id":151,"name":"Denver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62"/>
      <c r="AA34" s="47"/>
      <c r="AB34" s="47"/>
      <c r="AC34" s="118" t="str">
        <f t="shared" si="7"/>
        <v>grep -hSE -A400 "Enforcement Action" "%USERPROFILE%\AppData\Local\Temp\OnboardLogs"\RTDC4018\*4018*201704282*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"%USERPROFILE%\AppData\Local\Temp\OnboardLogs"\RTDC4018\*4018*201704282* &gt;&gt; 2017-04-28-SliceDisagreementCheck.txt</v>
      </c>
      <c r="AE34" s="148" t="str">
        <f t="shared" si="9"/>
        <v>start /low /b %USERPROFILE%\Documents\GitHub\eaglep3\Utilities\DownloadLogsFromS3.py --loco 4018 --day 2017-04-28</v>
      </c>
      <c r="AF34" s="1"/>
    </row>
    <row r="35" spans="1:32" x14ac:dyDescent="0.25">
      <c r="A35" s="31">
        <v>42853.450474537036</v>
      </c>
      <c r="B35" s="30" t="s">
        <v>444</v>
      </c>
      <c r="C35" s="30" t="s">
        <v>609</v>
      </c>
      <c r="D35" s="30" t="s">
        <v>49</v>
      </c>
      <c r="E35" s="30" t="s">
        <v>209</v>
      </c>
      <c r="F35" s="42">
        <v>300</v>
      </c>
      <c r="G35" s="42">
        <v>429</v>
      </c>
      <c r="H35" s="42">
        <v>24528</v>
      </c>
      <c r="I35" s="42">
        <v>23339</v>
      </c>
      <c r="J35" s="30" t="s">
        <v>210</v>
      </c>
      <c r="K35" s="42">
        <v>23491</v>
      </c>
      <c r="L35" s="134" t="s">
        <v>51</v>
      </c>
      <c r="M35" s="135">
        <f t="shared" si="0"/>
        <v>-80.256</v>
      </c>
      <c r="N35" s="136" t="str">
        <f>VLOOKUP(C35,'Trips&amp;Operators'!$C$1:$G$99999,5,FALSE)</f>
        <v>MENGES BRAD</v>
      </c>
      <c r="O35" s="207" t="s">
        <v>184</v>
      </c>
      <c r="P35" s="137"/>
      <c r="Q35" s="30"/>
      <c r="R35" s="84" t="str">
        <f>IF(VLOOKUP(C35,'Train Runs'!$A$13:$AE$9945,1,1)=C35,VLOOKUP(C35,'Train Runs'!$A$13:$AE$9945,31,1),NA())</f>
        <v>aws s3 cp s3://rtdc.mdm.uploadarchive.raw/RTDC4011/ "%USERPROFILE%\AppData\Local\Temp\OnboardLogs"\RTDC4011\2017-04-28 --exclude "*" --recursive --include "*20170428*" &amp; "%USERPROFILE%\Documents\GitHub\mrs-test-scripts\Headless Mode &amp; Sideloading\WalkAndUnGZ.bat" "%USERPROFILE%\AppData\Local\Temp\OnboardLogs"\RTDC4011\2017-04-28 &amp; aws s3 cp s3://rtdc.mdm.uploadarchive.raw/RTDC4011/ "%USERPROFILE%\AppData\Local\Temp\OnboardLogs"\RTDC4011\2017-04-29 --exclude "*" --recursive --include "*20170429*" &amp; "%USERPROFILE%\Documents\GitHub\mrs-test-scripts\Headless Mode &amp; Sideloading\WalkAndUnGZ.bat" "%USERPROFILE%\AppData\Local\Temp\OnboardLogs"\RTDC4011\2017-04-29</v>
      </c>
      <c r="S35" s="87" t="str">
        <f>VLOOKUP(C35,'Train Runs'!$A$13:$AE$9945,22,0)</f>
        <v>https://d0f6bd738d7f1b3e5a7ca70fe4ff75f0.us-east-1.aws.found.io/app/kibana#/discover/Steve-Slow-Train-Analysis-(2080s-and-2083s)?_g=(refreshInterval:(display:Off,pause:!f,section:0,value:0),time:(from:'2017-04-28T09:37:19-0600',mode:absolute,to:'2017-04-28T11:56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35" s="89" t="str">
        <f t="shared" si="1"/>
        <v>"C:\Program Files (x86)\AstroGrep\AstroGrep.exe" /e /r /s /spath="%USERPROFILE%\AppData\Local\Temp\OnboardLogs" /stypes="*4011*201704281*" /stext=" 16:.+((SYSTEM_STATE.+slice.+state.+changed )|(ment ac)|(multiple cpu faults)|(system.+state.+changed )|(\[timeout)|(PRM\|1\|D)|(kpr)|(kdp)|(train.+moving)|(\|lc)|(penalty))"</v>
      </c>
      <c r="U35" s="9" t="str">
        <f t="shared" si="2"/>
        <v>4011</v>
      </c>
      <c r="V35" s="31">
        <f t="shared" si="3"/>
        <v>42853.700474537036</v>
      </c>
      <c r="W35" s="45" t="str">
        <f t="shared" si="4"/>
        <v>NW</v>
      </c>
      <c r="X35" s="45" t="str">
        <f t="shared" si="5"/>
        <v>KEEP</v>
      </c>
      <c r="Y35" s="99" t="str">
        <f t="shared" si="6"/>
        <v>echo {"issue":{"subject":"","project_id":79,"tracker_id":40,"status_id":1,"priority_id":2,"assigned_to_id":23,"start_date":"2017-04-28","description":"","custom_fields":[{"id":1,"name":"Subdivision","value":"NW"},{"id":4,"name":"Milepost","value":"2.3491"},{"id":17,"name":"Train ID","value":"816-28"},{"id":16,"name":"Locomotive ID","value":"4011"},{"id":130,"name":"Impact","value":""},{"id":150,"name":"Time of Event (Mountain Time)","value":"10:48:41"},{"id":151,"name":"Denver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62"/>
      <c r="AA35" s="47"/>
      <c r="AB35" s="47"/>
      <c r="AC35" s="118" t="str">
        <f t="shared" si="7"/>
        <v>grep -hSE -A400 "Enforcement Action" "%USERPROFILE%\AppData\Local\Temp\OnboardLogs"\RTDC4011\*4011*201704281*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"%USERPROFILE%\AppData\Local\Temp\OnboardLogs"\RTDC4011\*4011*201704281* &gt;&gt; 2017-04-28-SliceDisagreementCheck.txt</v>
      </c>
      <c r="AE35" s="148" t="str">
        <f t="shared" si="9"/>
        <v>start /low /b %USERPROFILE%\Documents\GitHub\eaglep3\Utilities\DownloadLogsFromS3.py --loco 4011 --day 2017-04-28</v>
      </c>
      <c r="AF35" s="1"/>
    </row>
    <row r="36" spans="1:32" x14ac:dyDescent="0.25">
      <c r="A36" s="31">
        <v>42853.679594907408</v>
      </c>
      <c r="B36" s="30" t="s">
        <v>471</v>
      </c>
      <c r="C36" s="30" t="s">
        <v>624</v>
      </c>
      <c r="D36" s="30" t="s">
        <v>49</v>
      </c>
      <c r="E36" s="30" t="s">
        <v>209</v>
      </c>
      <c r="F36" s="42">
        <v>300</v>
      </c>
      <c r="G36" s="42">
        <v>405</v>
      </c>
      <c r="H36" s="42">
        <v>24665</v>
      </c>
      <c r="I36" s="42">
        <v>23476</v>
      </c>
      <c r="J36" s="30" t="s">
        <v>210</v>
      </c>
      <c r="K36" s="42">
        <v>23561</v>
      </c>
      <c r="L36" s="134" t="s">
        <v>51</v>
      </c>
      <c r="M36" s="135">
        <f t="shared" si="0"/>
        <v>-44.88</v>
      </c>
      <c r="N36" s="136" t="str">
        <f>VLOOKUP(C36,'Trips&amp;Operators'!$C$1:$G$99999,5,FALSE)</f>
        <v>WILLIAMS DONTE</v>
      </c>
      <c r="O36" s="207" t="s">
        <v>184</v>
      </c>
      <c r="P36" s="137"/>
      <c r="Q36" s="30"/>
      <c r="R36" s="84" t="str">
        <f>IF(VLOOKUP(C36,'Train Runs'!$A$13:$AE$9945,1,1)=C36,VLOOKUP(C36,'Train Runs'!$A$13:$AE$9945,31,1),NA())</f>
        <v>aws s3 cp s3://rtdc.mdm.uploadarchive.raw/RTDC4017/ "%USERPROFILE%\AppData\Local\Temp\OnboardLogs"\RTDC4017\2017-04-28 --exclude "*" --recursive --include "*20170428*" &amp; "%USERPROFILE%\Documents\GitHub\mrs-test-scripts\Headless Mode &amp; Sideloading\WalkAndUnGZ.bat" "%USERPROFILE%\AppData\Local\Temp\OnboardLogs"\RTDC4017\2017-04-28 &amp; aws s3 cp s3://rtdc.mdm.uploadarchive.raw/RTDC4017/ "%USERPROFILE%\AppData\Local\Temp\OnboardLogs"\RTDC4017\2017-04-29 --exclude "*" --recursive --include "*20170429*" &amp; "%USERPROFILE%\Documents\GitHub\mrs-test-scripts\Headless Mode &amp; Sideloading\WalkAndUnGZ.bat" "%USERPROFILE%\AppData\Local\Temp\OnboardLogs"\RTDC4017\2017-04-29</v>
      </c>
      <c r="S36" s="87" t="str">
        <f>VLOOKUP(C36,'Train Runs'!$A$13:$AE$9945,22,0)</f>
        <v>https://d0f6bd738d7f1b3e5a7ca70fe4ff75f0.us-east-1.aws.found.io/app/kibana#/discover/Steve-Slow-Train-Analysis-(2080s-and-2083s)?_g=(refreshInterval:(display:Off,pause:!f,section:0,value:0),time:(from:'2017-04-28T15:07:38-0600',mode:absolute,to:'2017-04-28T17:25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36" s="89" t="str">
        <f t="shared" si="1"/>
        <v>"C:\Program Files (x86)\AstroGrep\AstroGrep.exe" /e /r /s /spath="%USERPROFILE%\AppData\Local\Temp\OnboardLogs" /stypes="*4017*201704282*" /stext=" 22:.+((SYSTEM_STATE.+slice.+state.+changed )|(ment ac)|(multiple cpu faults)|(system.+state.+changed )|(\[timeout)|(PRM\|1\|D)|(kpr)|(kdp)|(train.+moving)|(\|lc)|(penalty))"</v>
      </c>
      <c r="U36" s="9" t="str">
        <f t="shared" si="2"/>
        <v>4017</v>
      </c>
      <c r="V36" s="31">
        <f t="shared" si="3"/>
        <v>42853.929594907408</v>
      </c>
      <c r="W36" s="45" t="str">
        <f t="shared" si="4"/>
        <v>NW</v>
      </c>
      <c r="X36" s="45" t="str">
        <f t="shared" si="5"/>
        <v>KEEP</v>
      </c>
      <c r="Y36" s="99" t="str">
        <f t="shared" si="6"/>
        <v>echo {"issue":{"subject":"","project_id":79,"tracker_id":40,"status_id":1,"priority_id":2,"assigned_to_id":23,"start_date":"2017-04-28","description":"","custom_fields":[{"id":1,"name":"Subdivision","value":"NW"},{"id":4,"name":"Milepost","value":"2.3561"},{"id":17,"name":"Train ID","value":"828-28"},{"id":16,"name":"Locomotive ID","value":"4017"},{"id":130,"name":"Impact","value":""},{"id":150,"name":"Time of Event (Mountain Time)","value":"16:18:37"},{"id":151,"name":"Denver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62"/>
      <c r="AA36" s="47"/>
      <c r="AB36" s="47"/>
      <c r="AC36" s="118" t="str">
        <f t="shared" si="7"/>
        <v>grep -hSE -A400 "Enforcement Action" "%USERPROFILE%\AppData\Local\Temp\OnboardLogs"\RTDC4017\*4017*201704282*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"%USERPROFILE%\AppData\Local\Temp\OnboardLogs"\RTDC4017\*4017*201704282* &gt;&gt; 2017-04-28-SliceDisagreementCheck.txt</v>
      </c>
      <c r="AE36" s="148" t="str">
        <f t="shared" si="9"/>
        <v>start /low /b %USERPROFILE%\Documents\GitHub\eaglep3\Utilities\DownloadLogsFromS3.py --loco 4017 --day 2017-04-28</v>
      </c>
      <c r="AF36" s="1"/>
    </row>
    <row r="37" spans="1:32" x14ac:dyDescent="0.25">
      <c r="A37" s="31">
        <v>42853.721018518518</v>
      </c>
      <c r="B37" s="30" t="s">
        <v>471</v>
      </c>
      <c r="C37" s="30" t="s">
        <v>627</v>
      </c>
      <c r="D37" s="30" t="s">
        <v>98</v>
      </c>
      <c r="E37" s="30" t="s">
        <v>209</v>
      </c>
      <c r="F37" s="42">
        <v>600</v>
      </c>
      <c r="G37" s="42">
        <v>652</v>
      </c>
      <c r="H37" s="42">
        <v>31000</v>
      </c>
      <c r="I37" s="42">
        <v>27928</v>
      </c>
      <c r="J37" s="30" t="s">
        <v>210</v>
      </c>
      <c r="K37" s="42">
        <v>36535</v>
      </c>
      <c r="L37" s="134" t="s">
        <v>51</v>
      </c>
      <c r="M37" s="135">
        <f t="shared" si="0"/>
        <v>-4544.4960000000001</v>
      </c>
      <c r="N37" s="136" t="str">
        <f>VLOOKUP(C37,'Trips&amp;Operators'!$C$1:$G$99999,5,FALSE)</f>
        <v>WILLIAMS DONTE</v>
      </c>
      <c r="O37" s="207" t="s">
        <v>184</v>
      </c>
      <c r="P37" s="137"/>
      <c r="Q37" s="30"/>
      <c r="R37" s="84" t="str">
        <f>IF(VLOOKUP(C37,'Train Runs'!$A$13:$AE$9945,1,1)=C37,VLOOKUP(C37,'Train Runs'!$A$13:$AE$9945,31,1),NA())</f>
        <v>aws s3 cp s3://rtdc.mdm.uploadarchive.raw/RTDC4017/ "%USERPROFILE%\AppData\Local\Temp\OnboardLogs"\RTDC4017\2017-04-28 --exclude "*" --recursive --include "*20170428*" &amp; "%USERPROFILE%\Documents\GitHub\mrs-test-scripts\Headless Mode &amp; Sideloading\WalkAndUnGZ.bat" "%USERPROFILE%\AppData\Local\Temp\OnboardLogs"\RTDC4017\2017-04-28 &amp; aws s3 cp s3://rtdc.mdm.uploadarchive.raw/RTDC4017/ "%USERPROFILE%\AppData\Local\Temp\OnboardLogs"\RTDC4017\2017-04-29 --exclude "*" --recursive --include "*20170429*" &amp; "%USERPROFILE%\Documents\GitHub\mrs-test-scripts\Headless Mode &amp; Sideloading\WalkAndUnGZ.bat" "%USERPROFILE%\AppData\Local\Temp\OnboardLogs"\RTDC4017\2017-04-29</v>
      </c>
      <c r="S37" s="87" t="str">
        <f>VLOOKUP(C37,'Train Runs'!$A$13:$AE$9945,22,0)</f>
        <v>https://d0f6bd738d7f1b3e5a7ca70fe4ff75f0.us-east-1.aws.found.io/app/kibana#/discover/Steve-Slow-Train-Analysis-(2080s-and-2083s)?_g=(refreshInterval:(display:Off,pause:!f,section:0,value:0),time:(from:'2017-04-28T16:07:19-0600',mode:absolute,to:'2017-04-28T18:26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37" s="89" t="str">
        <f t="shared" si="1"/>
        <v>"C:\Program Files (x86)\AstroGrep\AstroGrep.exe" /e /r /s /spath="%USERPROFILE%\AppData\Local\Temp\OnboardLogs" /stypes="*4017*201704282*" /stext=" 23:.+((SYSTEM_STATE.+slice.+state.+changed )|(ment ac)|(multiple cpu faults)|(system.+state.+changed )|(\[timeout)|(PRM\|1\|D)|(kpr)|(kdp)|(train.+moving)|(\|lc)|(penalty))"</v>
      </c>
      <c r="U37" s="9" t="str">
        <f t="shared" si="2"/>
        <v>4017</v>
      </c>
      <c r="V37" s="31">
        <f t="shared" si="3"/>
        <v>42853.971018518518</v>
      </c>
      <c r="W37" s="45" t="str">
        <f t="shared" si="4"/>
        <v>NW</v>
      </c>
      <c r="X37" s="45" t="str">
        <f t="shared" si="5"/>
        <v>KEEP</v>
      </c>
      <c r="Y37" s="99" t="str">
        <f t="shared" si="6"/>
        <v>echo {"issue":{"subject":"","project_id":79,"tracker_id":40,"status_id":1,"priority_id":2,"assigned_to_id":23,"start_date":"2017-04-28","description":"","custom_fields":[{"id":1,"name":"Subdivision","value":"NW"},{"id":4,"name":"Milepost","value":"3.6535"},{"id":17,"name":"Train ID","value":"832-28"},{"id":16,"name":"Locomotive ID","value":"4017"},{"id":130,"name":"Impact","value":""},{"id":150,"name":"Time of Event (Mountain Time)","value":"17:18:16"},{"id":151,"name":"Denver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62"/>
      <c r="AA37" s="47"/>
      <c r="AB37" s="47"/>
      <c r="AC37" s="118" t="str">
        <f t="shared" si="7"/>
        <v>grep -hSE -A400 "Enforcement Action" "%USERPROFILE%\AppData\Local\Temp\OnboardLogs"\RTDC4017\*4017*201704282*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"%USERPROFILE%\AppData\Local\Temp\OnboardLogs"\RTDC4017\*4017*201704282* &gt;&gt; 2017-04-28-SliceDisagreementCheck.txt</v>
      </c>
      <c r="AE37" s="148" t="str">
        <f t="shared" si="9"/>
        <v>start /low /b %USERPROFILE%\Documents\GitHub\eaglep3\Utilities\DownloadLogsFromS3.py --loco 4017 --day 2017-04-28</v>
      </c>
      <c r="AF37" s="1"/>
    </row>
    <row r="38" spans="1:32" x14ac:dyDescent="0.25">
      <c r="A38" s="31">
        <v>42853.66443287037</v>
      </c>
      <c r="B38" s="30" t="s">
        <v>444</v>
      </c>
      <c r="C38" s="30" t="s">
        <v>623</v>
      </c>
      <c r="D38" s="30" t="s">
        <v>49</v>
      </c>
      <c r="E38" s="30" t="s">
        <v>185</v>
      </c>
      <c r="F38" s="42">
        <v>0</v>
      </c>
      <c r="G38" s="42">
        <v>44</v>
      </c>
      <c r="H38" s="42">
        <v>719</v>
      </c>
      <c r="I38" s="42">
        <v>691</v>
      </c>
      <c r="J38" s="30" t="s">
        <v>186</v>
      </c>
      <c r="K38" s="42">
        <v>575</v>
      </c>
      <c r="L38" s="134" t="s">
        <v>51</v>
      </c>
      <c r="M38" s="135">
        <f t="shared" si="0"/>
        <v>61.247999999999998</v>
      </c>
      <c r="N38" s="136" t="str">
        <f>VLOOKUP(C38,'Trips&amp;Operators'!$C$1:$G$99999,5,FALSE)</f>
        <v>THOMPSON LESTER</v>
      </c>
      <c r="O38" s="207" t="s">
        <v>184</v>
      </c>
      <c r="P38" s="137"/>
      <c r="Q38" s="30"/>
      <c r="R38" s="84" t="str">
        <f>IF(VLOOKUP(C38,'Train Runs'!$A$13:$AE$9945,1,1)=C38,VLOOKUP(C38,'Train Runs'!$A$13:$AE$9945,31,1),NA())</f>
        <v>aws s3 cp s3://rtdc.mdm.uploadarchive.raw/RTDC4011/ "%USERPROFILE%\AppData\Local\Temp\OnboardLogs"\RTDC4011\2017-04-28 --exclude "*" --recursive --include "*20170428*" &amp; "%USERPROFILE%\Documents\GitHub\mrs-test-scripts\Headless Mode &amp; Sideloading\WalkAndUnGZ.bat" "%USERPROFILE%\AppData\Local\Temp\OnboardLogs"\RTDC4011\2017-04-28 &amp; aws s3 cp s3://rtdc.mdm.uploadarchive.raw/RTDC4011/ "%USERPROFILE%\AppData\Local\Temp\OnboardLogs"\RTDC4011\2017-04-29 --exclude "*" --recursive --include "*20170429*" &amp; "%USERPROFILE%\Documents\GitHub\mrs-test-scripts\Headless Mode &amp; Sideloading\WalkAndUnGZ.bat" "%USERPROFILE%\AppData\Local\Temp\OnboardLogs"\RTDC4011\2017-04-29</v>
      </c>
      <c r="S38" s="87" t="str">
        <f>VLOOKUP(C38,'Train Runs'!$A$13:$AE$9945,22,0)</f>
        <v>https://d0f6bd738d7f1b3e5a7ca70fe4ff75f0.us-east-1.aws.found.io/app/kibana#/discover/Steve-Slow-Train-Analysis-(2080s-and-2083s)?_g=(refreshInterval:(display:Off,pause:!f,section:0,value:0),time:(from:'2017-04-28T14:38:06-0600',mode:absolute,to:'2017-04-28T16:56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38" s="89" t="str">
        <f t="shared" si="1"/>
        <v>"C:\Program Files (x86)\AstroGrep\AstroGrep.exe" /e /r /s /spath="%USERPROFILE%\AppData\Local\Temp\OnboardLogs" /stypes="*4011*201704282*" /stext=" 21:.+((SYSTEM_STATE.+slice.+state.+changed )|(ment ac)|(multiple cpu faults)|(system.+state.+changed )|(\[timeout)|(PRM\|1\|D)|(kpr)|(kdp)|(train.+moving)|(\|lc)|(penalty))"</v>
      </c>
      <c r="U38" s="9" t="str">
        <f t="shared" si="2"/>
        <v>4011</v>
      </c>
      <c r="V38" s="31">
        <f t="shared" si="3"/>
        <v>42853.91443287037</v>
      </c>
      <c r="W38" s="45" t="str">
        <f t="shared" si="4"/>
        <v>NW</v>
      </c>
      <c r="X38" s="45" t="str">
        <f t="shared" si="5"/>
        <v>KEEP</v>
      </c>
      <c r="Y38" s="99" t="str">
        <f t="shared" si="6"/>
        <v>echo {"issue":{"subject":"","project_id":79,"tracker_id":40,"status_id":1,"priority_id":2,"assigned_to_id":23,"start_date":"2017-04-28","description":"","custom_fields":[{"id":1,"name":"Subdivision","value":"NW"},{"id":4,"name":"Milepost","value":"0.0575"},{"id":17,"name":"Train ID","value":"826-28"},{"id":16,"name":"Locomotive ID","value":"4011"},{"id":130,"name":"Impact","value":""},{"id":150,"name":"Time of Event (Mountain Time)","value":"15:56:47"},{"id":151,"name":"Denver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62"/>
      <c r="AA38" s="47"/>
      <c r="AB38" s="47"/>
      <c r="AC38" s="118" t="str">
        <f t="shared" si="7"/>
        <v>grep -hSE -A400 "Enforcement Action" "%USERPROFILE%\AppData\Local\Temp\OnboardLogs"\RTDC4011\*4011*201704282*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"%USERPROFILE%\AppData\Local\Temp\OnboardLogs"\RTDC4011\*4011*201704282* &gt;&gt; 2017-04-28-SliceDisagreementCheck.txt</v>
      </c>
      <c r="AE38" s="148" t="str">
        <f t="shared" si="9"/>
        <v>start /low /b %USERPROFILE%\Documents\GitHub\eaglep3\Utilities\DownloadLogsFromS3.py --loco 4011 --day 2017-04-28</v>
      </c>
      <c r="AF38" s="1"/>
    </row>
    <row r="39" spans="1:32" x14ac:dyDescent="0.25">
      <c r="A39" s="31">
        <v>42853.684618055559</v>
      </c>
      <c r="B39" s="30" t="s">
        <v>471</v>
      </c>
      <c r="C39" s="30" t="s">
        <v>624</v>
      </c>
      <c r="D39" s="30" t="s">
        <v>49</v>
      </c>
      <c r="E39" s="30" t="s">
        <v>185</v>
      </c>
      <c r="F39" s="42">
        <v>0</v>
      </c>
      <c r="G39" s="42">
        <v>23</v>
      </c>
      <c r="H39" s="42">
        <v>652</v>
      </c>
      <c r="I39" s="42">
        <v>636</v>
      </c>
      <c r="J39" s="30" t="s">
        <v>186</v>
      </c>
      <c r="K39" s="42">
        <v>575</v>
      </c>
      <c r="L39" s="134" t="s">
        <v>51</v>
      </c>
      <c r="M39" s="135">
        <f t="shared" si="0"/>
        <v>32.207999999999998</v>
      </c>
      <c r="N39" s="136" t="str">
        <f>VLOOKUP(C39,'Trips&amp;Operators'!$C$1:$G$99999,5,FALSE)</f>
        <v>WILLIAMS DONTE</v>
      </c>
      <c r="O39" s="207" t="s">
        <v>184</v>
      </c>
      <c r="P39" s="137"/>
      <c r="Q39" s="30"/>
      <c r="R39" s="84" t="str">
        <f>IF(VLOOKUP(C39,'Train Runs'!$A$13:$AE$9945,1,1)=C39,VLOOKUP(C39,'Train Runs'!$A$13:$AE$9945,31,1),NA())</f>
        <v>aws s3 cp s3://rtdc.mdm.uploadarchive.raw/RTDC4017/ "%USERPROFILE%\AppData\Local\Temp\OnboardLogs"\RTDC4017\2017-04-28 --exclude "*" --recursive --include "*20170428*" &amp; "%USERPROFILE%\Documents\GitHub\mrs-test-scripts\Headless Mode &amp; Sideloading\WalkAndUnGZ.bat" "%USERPROFILE%\AppData\Local\Temp\OnboardLogs"\RTDC4017\2017-04-28 &amp; aws s3 cp s3://rtdc.mdm.uploadarchive.raw/RTDC4017/ "%USERPROFILE%\AppData\Local\Temp\OnboardLogs"\RTDC4017\2017-04-29 --exclude "*" --recursive --include "*20170429*" &amp; "%USERPROFILE%\Documents\GitHub\mrs-test-scripts\Headless Mode &amp; Sideloading\WalkAndUnGZ.bat" "%USERPROFILE%\AppData\Local\Temp\OnboardLogs"\RTDC4017\2017-04-29</v>
      </c>
      <c r="S39" s="87" t="str">
        <f>VLOOKUP(C39,'Train Runs'!$A$13:$AE$9945,22,0)</f>
        <v>https://d0f6bd738d7f1b3e5a7ca70fe4ff75f0.us-east-1.aws.found.io/app/kibana#/discover/Steve-Slow-Train-Analysis-(2080s-and-2083s)?_g=(refreshInterval:(display:Off,pause:!f,section:0,value:0),time:(from:'2017-04-28T15:07:38-0600',mode:absolute,to:'2017-04-28T17:25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39" s="89" t="str">
        <f t="shared" si="1"/>
        <v>"C:\Program Files (x86)\AstroGrep\AstroGrep.exe" /e /r /s /spath="%USERPROFILE%\AppData\Local\Temp\OnboardLogs" /stypes="*4017*201704282*" /stext=" 22:.+((SYSTEM_STATE.+slice.+state.+changed )|(ment ac)|(multiple cpu faults)|(system.+state.+changed )|(\[timeout)|(PRM\|1\|D)|(kpr)|(kdp)|(train.+moving)|(\|lc)|(penalty))"</v>
      </c>
      <c r="U39" s="9" t="str">
        <f t="shared" si="2"/>
        <v>4017</v>
      </c>
      <c r="V39" s="31">
        <f t="shared" si="3"/>
        <v>42853.934618055559</v>
      </c>
      <c r="W39" s="45" t="str">
        <f t="shared" si="4"/>
        <v>NW</v>
      </c>
      <c r="X39" s="45" t="str">
        <f t="shared" si="5"/>
        <v>KEEP</v>
      </c>
      <c r="Y39" s="99" t="str">
        <f t="shared" si="6"/>
        <v>echo {"issue":{"subject":"","project_id":79,"tracker_id":40,"status_id":1,"priority_id":2,"assigned_to_id":23,"start_date":"2017-04-28","description":"","custom_fields":[{"id":1,"name":"Subdivision","value":"NW"},{"id":4,"name":"Milepost","value":"0.0575"},{"id":17,"name":"Train ID","value":"828-28"},{"id":16,"name":"Locomotive ID","value":"4017"},{"id":130,"name":"Impact","value":""},{"id":150,"name":"Time of Event (Mountain Time)","value":"16:25:51"},{"id":151,"name":"Denver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162"/>
      <c r="AA39" s="47"/>
      <c r="AB39" s="47"/>
      <c r="AC39" s="118" t="str">
        <f t="shared" si="7"/>
        <v>grep -hSE -A400 "Enforcement Action" "%USERPROFILE%\AppData\Local\Temp\OnboardLogs"\RTDC4017\*4017*201704282* | grep -SE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"%USERPROFILE%\AppData\Local\Temp\OnboardLogs"\RTDC4017\*4017*201704282* &gt;&gt; 2017-04-28-SliceDisagreementCheck.txt</v>
      </c>
      <c r="AE39" s="148" t="str">
        <f t="shared" si="9"/>
        <v>start /low /b %USERPROFILE%\Documents\GitHub\eaglep3\Utilities\DownloadLogsFromS3.py --loco 4017 --day 2017-04-28</v>
      </c>
      <c r="AF39" s="1"/>
    </row>
    <row r="40" spans="1:32" x14ac:dyDescent="0.25">
      <c r="A40" s="31">
        <v>42853.650381944448</v>
      </c>
      <c r="B40" s="30" t="s">
        <v>359</v>
      </c>
      <c r="C40" s="30" t="s">
        <v>622</v>
      </c>
      <c r="D40" s="30" t="s">
        <v>49</v>
      </c>
      <c r="E40" s="30" t="s">
        <v>185</v>
      </c>
      <c r="F40" s="42">
        <v>0</v>
      </c>
      <c r="G40" s="42">
        <v>17</v>
      </c>
      <c r="H40" s="42">
        <v>59001</v>
      </c>
      <c r="I40" s="42">
        <v>59005</v>
      </c>
      <c r="J40" s="30" t="s">
        <v>186</v>
      </c>
      <c r="K40" s="42">
        <v>59048</v>
      </c>
      <c r="L40" s="134" t="s">
        <v>50</v>
      </c>
      <c r="M40" s="135">
        <f t="shared" si="0"/>
        <v>22.704000000000001</v>
      </c>
      <c r="N40" s="136" t="str">
        <f>VLOOKUP(C40,'Trips&amp;Operators'!$C$1:$G$99999,5,FALSE)</f>
        <v>THOMPSON LESTER</v>
      </c>
      <c r="O40" s="207" t="s">
        <v>184</v>
      </c>
      <c r="P40" s="137"/>
      <c r="Q40" s="30"/>
      <c r="R40" s="84" t="str">
        <f>IF(VLOOKUP(C40,'Train Runs'!$A$13:$AE$9945,1,1)=C40,VLOOKUP(C40,'Train Runs'!$A$13:$AE$9945,31,1),NA())</f>
        <v>aws s3 cp s3://rtdc.mdm.uploadarchive.raw/RTDC4012/ "%USERPROFILE%\AppData\Local\Temp\OnboardLogs"\RTDC4012\2017-04-28 --exclude "*" --recursive --include "*20170428*" &amp; "%USERPROFILE%\Documents\GitHub\mrs-test-scripts\Headless Mode &amp; Sideloading\WalkAndUnGZ.bat" "%USERPROFILE%\AppData\Local\Temp\OnboardLogs"\RTDC4012\2017-04-28 &amp; aws s3 cp s3://rtdc.mdm.uploadarchive.raw/RTDC4012/ "%USERPROFILE%\AppData\Local\Temp\OnboardLogs"\RTDC4012\2017-04-29 --exclude "*" --recursive --include "*20170429*" &amp; "%USERPROFILE%\Documents\GitHub\mrs-test-scripts\Headless Mode &amp; Sideloading\WalkAndUnGZ.bat" "%USERPROFILE%\AppData\Local\Temp\OnboardLogs"\RTDC4012\2017-04-29</v>
      </c>
      <c r="S40" s="87" t="str">
        <f>VLOOKUP(C40,'Train Runs'!$A$13:$AE$9945,22,0)</f>
        <v>https://d0f6bd738d7f1b3e5a7ca70fe4ff75f0.us-east-1.aws.found.io/app/kibana#/discover/Steve-Slow-Train-Analysis-(2080s-and-2083s)?_g=(refreshInterval:(display:Off,pause:!f,section:0,value:0),time:(from:'2017-04-28T14:14:23-0600',mode:absolute,to:'2017-04-28T16:36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40" s="89" t="str">
        <f t="shared" si="1"/>
        <v>"C:\Program Files (x86)\AstroGrep\AstroGrep.exe" /e /r /s /spath="%USERPROFILE%\AppData\Local\Temp\OnboardLogs" /stypes="*4012*201704282*" /stext=" 21:.+((SYSTEM_STATE.+slice.+state.+changed )|(ment ac)|(multiple cpu faults)|(system.+state.+changed )|(\[timeout)|(PRM\|1\|D)|(kpr)|(kdp)|(train.+moving)|(\|lc)|(penalty))"</v>
      </c>
      <c r="U40" s="9" t="str">
        <f t="shared" si="2"/>
        <v>4012</v>
      </c>
      <c r="V40" s="31">
        <f t="shared" si="3"/>
        <v>42853.900381944448</v>
      </c>
      <c r="W40" s="45" t="str">
        <f t="shared" si="4"/>
        <v>NW</v>
      </c>
      <c r="X40" s="45" t="str">
        <f t="shared" si="5"/>
        <v>KEEP</v>
      </c>
      <c r="Y40" s="99" t="str">
        <f t="shared" si="6"/>
        <v>echo {"issue":{"subject":"","project_id":79,"tracker_id":40,"status_id":1,"priority_id":2,"assigned_to_id":23,"start_date":"2017-04-28","description":"","custom_fields":[{"id":1,"name":"Subdivision","value":"NW"},{"id":4,"name":"Milepost","value":"5.9048"},{"id":17,"name":"Train ID","value":"825-28"},{"id":16,"name":"Locomotive ID","value":"4012"},{"id":130,"name":"Impact","value":""},{"id":150,"name":"Time of Event (Mountain Time)","value":"15:36:33"},{"id":151,"name":"Denver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162"/>
      <c r="AA40" s="47"/>
      <c r="AB40" s="47"/>
      <c r="AC40" s="118" t="str">
        <f t="shared" si="7"/>
        <v>grep -hSE -A400 "Enforcement Action" "%USERPROFILE%\AppData\Local\Temp\OnboardLogs"\RTDC4012\*4012*201704282* | grep -SE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"%USERPROFILE%\AppData\Local\Temp\OnboardLogs"\RTDC4012\*4012*201704282* &gt;&gt; 2017-04-28-SliceDisagreementCheck.txt</v>
      </c>
      <c r="AE40" s="148" t="str">
        <f t="shared" si="9"/>
        <v>start /low /b %USERPROFILE%\Documents\GitHub\eaglep3\Utilities\DownloadLogsFromS3.py --loco 4012 --day 2017-04-28</v>
      </c>
      <c r="AF40" s="1"/>
    </row>
    <row r="41" spans="1:32" x14ac:dyDescent="0.25">
      <c r="A41" s="31">
        <v>42853.774837962963</v>
      </c>
      <c r="B41" s="30" t="s">
        <v>359</v>
      </c>
      <c r="C41" s="30" t="s">
        <v>632</v>
      </c>
      <c r="D41" s="30" t="s">
        <v>49</v>
      </c>
      <c r="E41" s="30" t="s">
        <v>185</v>
      </c>
      <c r="F41" s="42">
        <v>0</v>
      </c>
      <c r="G41" s="42">
        <v>165</v>
      </c>
      <c r="H41" s="42">
        <v>58081</v>
      </c>
      <c r="I41" s="42">
        <v>58366</v>
      </c>
      <c r="J41" s="30" t="s">
        <v>186</v>
      </c>
      <c r="K41" s="42">
        <v>59048</v>
      </c>
      <c r="L41" s="134" t="s">
        <v>50</v>
      </c>
      <c r="M41" s="135">
        <f t="shared" si="0"/>
        <v>360.096</v>
      </c>
      <c r="N41" s="136" t="str">
        <f>VLOOKUP(C41,'Trips&amp;Operators'!$C$1:$G$99999,5,FALSE)</f>
        <v>THOMPSON LESTER</v>
      </c>
      <c r="O41" s="207" t="s">
        <v>184</v>
      </c>
      <c r="P41" s="137"/>
      <c r="Q41" s="30"/>
      <c r="R41" s="84" t="str">
        <f>IF(VLOOKUP(C41,'Train Runs'!$A$13:$AE$9945,1,1)=C41,VLOOKUP(C41,'Train Runs'!$A$13:$AE$9945,31,1),NA())</f>
        <v>aws s3 cp s3://rtdc.mdm.uploadarchive.raw/RTDC4012/ "%USERPROFILE%\AppData\Local\Temp\OnboardLogs"\RTDC4012\2017-04-28 --exclude "*" --recursive --include "*20170428*" &amp; "%USERPROFILE%\Documents\GitHub\mrs-test-scripts\Headless Mode &amp; Sideloading\WalkAndUnGZ.bat" "%USERPROFILE%\AppData\Local\Temp\OnboardLogs"\RTDC4012\2017-04-28 &amp; aws s3 cp s3://rtdc.mdm.uploadarchive.raw/RTDC4012/ "%USERPROFILE%\AppData\Local\Temp\OnboardLogs"\RTDC4012\2017-04-29 --exclude "*" --recursive --include "*20170429*" &amp; "%USERPROFILE%\Documents\GitHub\mrs-test-scripts\Headless Mode &amp; Sideloading\WalkAndUnGZ.bat" "%USERPROFILE%\AppData\Local\Temp\OnboardLogs"\RTDC4012\2017-04-29</v>
      </c>
      <c r="S41" s="87" t="str">
        <f>VLOOKUP(C41,'Train Runs'!$A$13:$AE$9945,22,0)</f>
        <v>https://d0f6bd738d7f1b3e5a7ca70fe4ff75f0.us-east-1.aws.found.io/app/kibana#/discover/Steve-Slow-Train-Analysis-(2080s-and-2083s)?_g=(refreshInterval:(display:Off,pause:!f,section:0,value:0),time:(from:'2017-04-28T17:12:18-0600',mode:absolute,to:'2017-04-28T19:35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41" s="89" t="str">
        <f t="shared" si="1"/>
        <v>"C:\Program Files (x86)\AstroGrep\AstroGrep.exe" /e /r /s /spath="%USERPROFILE%\AppData\Local\Temp\OnboardLogs" /stypes="*4012*201704290*" /stext=" 00:.+((SYSTEM_STATE.+slice.+state.+changed )|(ment ac)|(multiple cpu faults)|(system.+state.+changed )|(\[timeout)|(PRM\|1\|D)|(kpr)|(kdp)|(train.+moving)|(\|lc)|(penalty))"</v>
      </c>
      <c r="U41" s="9" t="str">
        <f t="shared" si="2"/>
        <v>4012</v>
      </c>
      <c r="V41" s="31">
        <f t="shared" si="3"/>
        <v>42854.024837962963</v>
      </c>
      <c r="W41" s="45" t="str">
        <f t="shared" si="4"/>
        <v>NW</v>
      </c>
      <c r="X41" s="45" t="str">
        <f t="shared" si="5"/>
        <v>KEEP</v>
      </c>
      <c r="Y41" s="99" t="str">
        <f t="shared" si="6"/>
        <v>echo {"issue":{"subject":"","project_id":79,"tracker_id":40,"status_id":1,"priority_id":2,"assigned_to_id":23,"start_date":"2017-04-28","description":"","custom_fields":[{"id":1,"name":"Subdivision","value":"NW"},{"id":4,"name":"Milepost","value":"5.9048"},{"id":17,"name":"Train ID","value":"837-28"},{"id":16,"name":"Locomotive ID","value":"4012"},{"id":130,"name":"Impact","value":""},{"id":150,"name":"Time of Event (Mountain Time)","value":"18:35:46"},{"id":151,"name":"Denver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162"/>
      <c r="AA41" s="47"/>
      <c r="AB41" s="47"/>
      <c r="AC41" s="118" t="str">
        <f t="shared" si="7"/>
        <v>grep -hSE -A400 "Enforcement Action" "%USERPROFILE%\AppData\Local\Temp\OnboardLogs"\RTDC4012\*4012*201704290* | grep -SE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"%USERPROFILE%\AppData\Local\Temp\OnboardLogs"\RTDC4012\*4012*201704290* &gt;&gt; 2017-04-28-SliceDisagreementCheck.txt</v>
      </c>
      <c r="AE41" s="148" t="str">
        <f t="shared" si="9"/>
        <v>start /low /b %USERPROFILE%\Documents\GitHub\eaglep3\Utilities\DownloadLogsFromS3.py --loco 4012 --day 2017-04-29</v>
      </c>
      <c r="AF41" s="1"/>
    </row>
    <row r="42" spans="1:32" x14ac:dyDescent="0.25">
      <c r="A42" s="31">
        <v>42853.566053240742</v>
      </c>
      <c r="B42" s="30" t="s">
        <v>359</v>
      </c>
      <c r="C42" s="30" t="s">
        <v>615</v>
      </c>
      <c r="D42" s="30" t="s">
        <v>49</v>
      </c>
      <c r="E42" s="30" t="s">
        <v>185</v>
      </c>
      <c r="F42" s="42">
        <v>0</v>
      </c>
      <c r="G42" s="42">
        <v>65</v>
      </c>
      <c r="H42" s="42">
        <v>58871</v>
      </c>
      <c r="I42" s="42">
        <v>58929</v>
      </c>
      <c r="J42" s="30" t="s">
        <v>186</v>
      </c>
      <c r="K42" s="42">
        <v>59058</v>
      </c>
      <c r="L42" s="134" t="s">
        <v>50</v>
      </c>
      <c r="M42" s="135">
        <f t="shared" si="0"/>
        <v>68.111999999999995</v>
      </c>
      <c r="N42" s="136" t="str">
        <f>VLOOKUP(C42,'Trips&amp;Operators'!$C$1:$G$99999,5,FALSE)</f>
        <v>THOMPSON LESTER</v>
      </c>
      <c r="O42" s="207" t="s">
        <v>184</v>
      </c>
      <c r="P42" s="137"/>
      <c r="Q42" s="30"/>
      <c r="R42" s="84" t="str">
        <f>IF(VLOOKUP(C42,'Train Runs'!$A$13:$AE$9945,1,1)=C42,VLOOKUP(C42,'Train Runs'!$A$13:$AE$9945,31,1),NA())</f>
        <v>aws s3 cp s3://rtdc.mdm.uploadarchive.raw/RTDC4012/ "%USERPROFILE%\AppData\Local\Temp\OnboardLogs"\RTDC4012\2017-04-28 --exclude "*" --recursive --include "*20170428*" &amp; "%USERPROFILE%\Documents\GitHub\mrs-test-scripts\Headless Mode &amp; Sideloading\WalkAndUnGZ.bat" "%USERPROFILE%\AppData\Local\Temp\OnboardLogs"\RTDC4012\2017-04-28 &amp; aws s3 cp s3://rtdc.mdm.uploadarchive.raw/RTDC4012/ "%USERPROFILE%\AppData\Local\Temp\OnboardLogs"\RTDC4012\2017-04-29 --exclude "*" --recursive --include "*20170429*" &amp; "%USERPROFILE%\Documents\GitHub\mrs-test-scripts\Headless Mode &amp; Sideloading\WalkAndUnGZ.bat" "%USERPROFILE%\AppData\Local\Temp\OnboardLogs"\RTDC4012\2017-04-29</v>
      </c>
      <c r="S42" s="87" t="str">
        <f>VLOOKUP(C42,'Train Runs'!$A$13:$AE$9945,22,0)</f>
        <v>https://d0f6bd738d7f1b3e5a7ca70fe4ff75f0.us-east-1.aws.found.io/app/kibana#/discover/Steve-Slow-Train-Analysis-(2080s-and-2083s)?_g=(refreshInterval:(display:Off,pause:!f,section:0,value:0),time:(from:'2017-04-28T12:14:54-0600',mode:absolute,to:'2017-04-28T14:35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42" s="89" t="str">
        <f t="shared" si="1"/>
        <v>"C:\Program Files (x86)\AstroGrep\AstroGrep.exe" /e /r /s /spath="%USERPROFILE%\AppData\Local\Temp\OnboardLogs" /stypes="*4012*201704281*" /stext=" 19:.+((SYSTEM_STATE.+slice.+state.+changed )|(ment ac)|(multiple cpu faults)|(system.+state.+changed )|(\[timeout)|(PRM\|1\|D)|(kpr)|(kdp)|(train.+moving)|(\|lc)|(penalty))"</v>
      </c>
      <c r="U42" s="9" t="str">
        <f t="shared" si="2"/>
        <v>4012</v>
      </c>
      <c r="V42" s="31">
        <f t="shared" si="3"/>
        <v>42853.816053240742</v>
      </c>
      <c r="W42" s="45" t="str">
        <f t="shared" si="4"/>
        <v>NW</v>
      </c>
      <c r="X42" s="45" t="str">
        <f t="shared" si="5"/>
        <v>KEEP</v>
      </c>
      <c r="Y42" s="99" t="str">
        <f t="shared" si="6"/>
        <v>echo {"issue":{"subject":"","project_id":79,"tracker_id":40,"status_id":1,"priority_id":2,"assigned_to_id":23,"start_date":"2017-04-28","description":"","custom_fields":[{"id":1,"name":"Subdivision","value":"NW"},{"id":4,"name":"Milepost","value":"5.9058"},{"id":17,"name":"Train ID","value":"821-28"},{"id":16,"name":"Locomotive ID","value":"4012"},{"id":130,"name":"Impact","value":""},{"id":150,"name":"Time of Event (Mountain Time)","value":"13:35:07"},{"id":151,"name":"Denver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162"/>
      <c r="AA42" s="47"/>
      <c r="AB42" s="47"/>
      <c r="AC42" s="118" t="str">
        <f t="shared" si="7"/>
        <v>grep -hSE -A400 "Enforcement Action" "%USERPROFILE%\AppData\Local\Temp\OnboardLogs"\RTDC4012\*4012*201704281* | grep -SE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"%USERPROFILE%\AppData\Local\Temp\OnboardLogs"\RTDC4012\*4012*201704281* &gt;&gt; 2017-04-28-SliceDisagreementCheck.txt</v>
      </c>
      <c r="AE42" s="148" t="str">
        <f t="shared" si="9"/>
        <v>start /low /b %USERPROFILE%\Documents\GitHub\eaglep3\Utilities\DownloadLogsFromS3.py --loco 4012 --day 2017-04-28</v>
      </c>
      <c r="AF42" s="1"/>
    </row>
    <row r="43" spans="1:32" x14ac:dyDescent="0.25">
      <c r="A43" s="31">
        <v>42854.052303240744</v>
      </c>
      <c r="B43" s="30" t="s">
        <v>638</v>
      </c>
      <c r="C43" s="30" t="s">
        <v>644</v>
      </c>
      <c r="D43" s="30" t="s">
        <v>49</v>
      </c>
      <c r="E43" s="30" t="s">
        <v>191</v>
      </c>
      <c r="F43" s="42">
        <v>0</v>
      </c>
      <c r="G43" s="42">
        <v>211</v>
      </c>
      <c r="H43" s="42">
        <v>10665</v>
      </c>
      <c r="I43" s="42">
        <v>11067</v>
      </c>
      <c r="J43" s="30" t="s">
        <v>192</v>
      </c>
      <c r="K43" s="42">
        <v>10716</v>
      </c>
      <c r="L43" s="134" t="s">
        <v>50</v>
      </c>
      <c r="M43" s="135">
        <f t="shared" si="0"/>
        <v>-185.328</v>
      </c>
      <c r="N43" s="136" t="str">
        <f>VLOOKUP(C43,'Trips&amp;Operators'!$C$1:$G$99999,5,FALSE)</f>
        <v>STORY SAMANTHA</v>
      </c>
      <c r="O43" s="207" t="s">
        <v>184</v>
      </c>
      <c r="P43" s="137"/>
      <c r="Q43" s="30"/>
      <c r="R43" s="84" t="e">
        <f>IF(VLOOKUP(C43,'Train Runs'!$A$13:$AE$9945,1,1)=C43,VLOOKUP(C43,'Train Runs'!$A$13:$AE$9945,31,1),NA())</f>
        <v>#N/A</v>
      </c>
      <c r="S43" s="87" t="str">
        <f>VLOOKUP(C43,'Train Runs'!$A$13:$AE$9945,22,0)</f>
        <v>https://d0f6bd738d7f1b3e5a7ca70fe4ff75f0.us-east-1.aws.found.io/app/kibana#/discover/Steve-Slow-Train-Analysis-(2080s-and-2083s)?_g=(refreshInterval:(display:Off,pause:!f,section:0,value:0),time:(from:'2017-04-29T00:09:37-0600',mode:absolute,to:'2017-04-29T02:24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43" s="89" t="str">
        <f t="shared" si="1"/>
        <v>"C:\Program Files (x86)\AstroGrep\AstroGrep.exe" /e /r /s /spath="%USERPROFILE%\AppData\Local\Temp\OnboardLogs" /stypes="*4052*201704290*" /stext=" 07:.+((SYSTEM_STATE.+slice.+state.+changed )|(ment ac)|(multiple cpu faults)|(system.+state.+changed )|(\[timeout)|(PRM\|1\|D)|(kpr)|(kdp)|(train.+moving)|(\|lc)|(penalty))"</v>
      </c>
      <c r="U43" s="9" t="str">
        <f t="shared" si="2"/>
        <v>4052</v>
      </c>
      <c r="V43" s="31">
        <f t="shared" si="3"/>
        <v>42854.302303240744</v>
      </c>
      <c r="W43" s="45" t="str">
        <f t="shared" si="4"/>
        <v>Other</v>
      </c>
      <c r="X43" s="45" t="str">
        <f t="shared" si="5"/>
        <v>KEEP</v>
      </c>
      <c r="Y43" s="99" t="str">
        <f t="shared" si="6"/>
        <v>echo {"issue":{"subject":"","project_id":79,"tracker_id":40,"status_id":1,"priority_id":2,"assigned_to_id":23,"start_date":"2017-04-29","description":"","custom_fields":[{"id":1,"name":"Subdivision","value":"Other"},{"id":4,"name":"Milepost","value":"1.0716"},{"id":17,"name":"Train ID","value":"309-28"},{"id":16,"name":"Locomotive ID","value":"4052"},{"id":130,"name":"Impact","value":""},{"id":150,"name":"Time of Event (Mountain Time)","value":"01:15:19"},{"id":151,"name":"Denver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162"/>
      <c r="AA43" s="47"/>
      <c r="AB43" s="47"/>
      <c r="AC43" s="118" t="str">
        <f t="shared" si="7"/>
        <v>grep -hSE -A400 "Enforcement Action" "%USERPROFILE%\AppData\Local\Temp\OnboardLogs"\RTDC4052\*4052*201704290* | grep -SE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"%USERPROFILE%\AppData\Local\Temp\OnboardLogs"\RTDC4052\*4052*201704290* &gt;&gt; 2017-04-28-SliceDisagreementCheck.txt</v>
      </c>
      <c r="AE43" s="148" t="str">
        <f t="shared" si="9"/>
        <v>start /low /b %USERPROFILE%\Documents\GitHub\eaglep3\Utilities\DownloadLogsFromS3.py --loco 4052 --day 2017-04-29</v>
      </c>
      <c r="AF43" s="1"/>
    </row>
    <row r="44" spans="1:32" x14ac:dyDescent="0.25">
      <c r="A44" s="31">
        <v>42853.799409722225</v>
      </c>
      <c r="B44" s="30" t="s">
        <v>471</v>
      </c>
      <c r="C44" s="30" t="s">
        <v>633</v>
      </c>
      <c r="D44" s="30" t="s">
        <v>98</v>
      </c>
      <c r="E44" s="30" t="s">
        <v>209</v>
      </c>
      <c r="F44" s="42">
        <v>150</v>
      </c>
      <c r="G44" s="42">
        <v>205</v>
      </c>
      <c r="H44" s="42">
        <v>57937</v>
      </c>
      <c r="I44" s="42">
        <v>57608</v>
      </c>
      <c r="J44" s="30" t="s">
        <v>210</v>
      </c>
      <c r="K44" s="42">
        <v>59050</v>
      </c>
      <c r="L44" s="134" t="s">
        <v>51</v>
      </c>
      <c r="M44" s="135">
        <f t="shared" si="0"/>
        <v>-761.37599999999998</v>
      </c>
      <c r="N44" s="136" t="str">
        <f>VLOOKUP(C44,'Trips&amp;Operators'!$C$1:$G$99999,5,FALSE)</f>
        <v>WILLIAMS DONTE</v>
      </c>
      <c r="O44" s="207" t="s">
        <v>184</v>
      </c>
      <c r="P44" s="137"/>
      <c r="Q44" s="30"/>
      <c r="R44" s="84" t="str">
        <f>IF(VLOOKUP(C44,'Train Runs'!$A$13:$AE$9945,1,1)=C44,VLOOKUP(C44,'Train Runs'!$A$13:$AE$9945,31,1),NA())</f>
        <v>aws s3 cp s3://rtdc.mdm.uploadarchive.raw/RTDC4017/ "%USERPROFILE%\AppData\Local\Temp\OnboardLogs"\RTDC4017\2017-04-28 --exclude "*" --recursive --include "*20170428*" &amp; "%USERPROFILE%\Documents\GitHub\mrs-test-scripts\Headless Mode &amp; Sideloading\WalkAndUnGZ.bat" "%USERPROFILE%\AppData\Local\Temp\OnboardLogs"\RTDC4017\2017-04-28 &amp; aws s3 cp s3://rtdc.mdm.uploadarchive.raw/RTDC4017/ "%USERPROFILE%\AppData\Local\Temp\OnboardLogs"\RTDC4017\2017-04-29 --exclude "*" --recursive --include "*20170429*" &amp; "%USERPROFILE%\Documents\GitHub\mrs-test-scripts\Headless Mode &amp; Sideloading\WalkAndUnGZ.bat" "%USERPROFILE%\AppData\Local\Temp\OnboardLogs"\RTDC4017\2017-04-29</v>
      </c>
      <c r="S44" s="87" t="str">
        <f>VLOOKUP(C44,'Train Runs'!$A$13:$AE$9945,22,0)</f>
        <v>https://d0f6bd738d7f1b3e5a7ca70fe4ff75f0.us-east-1.aws.found.io/app/kibana#/discover/Steve-Slow-Train-Analysis-(2080s-and-2083s)?_g=(refreshInterval:(display:Off,pause:!f,section:0,value:0),time:(from:'2017-04-28T18:08:10-0600',mode:absolute,to:'2017-04-28T20:25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44" s="89" t="str">
        <f t="shared" si="1"/>
        <v>"C:\Program Files (x86)\AstroGrep\AstroGrep.exe" /e /r /s /spath="%USERPROFILE%\AppData\Local\Temp\OnboardLogs" /stypes="*4017*201704290*" /stext=" 01:.+((SYSTEM_STATE.+slice.+state.+changed )|(ment ac)|(multiple cpu faults)|(system.+state.+changed )|(\[timeout)|(PRM\|1\|D)|(kpr)|(kdp)|(train.+moving)|(\|lc)|(penalty))"</v>
      </c>
      <c r="U44" s="9" t="str">
        <f t="shared" si="2"/>
        <v>4017</v>
      </c>
      <c r="V44" s="31">
        <f t="shared" si="3"/>
        <v>42854.049409722225</v>
      </c>
      <c r="W44" s="45" t="str">
        <f t="shared" si="4"/>
        <v>Other</v>
      </c>
      <c r="X44" s="45" t="str">
        <f t="shared" si="5"/>
        <v>KEEP</v>
      </c>
      <c r="Y44" s="99" t="str">
        <f t="shared" si="6"/>
        <v>echo {"issue":{"subject":"","project_id":79,"tracker_id":40,"status_id":1,"priority_id":2,"assigned_to_id":23,"start_date":"2017-04-28","description":"","custom_fields":[{"id":1,"name":"Subdivision","value":"Other"},{"id":4,"name":"Milepost","value":"5.905"},{"id":17,"name":"Train ID","value":"906-28"},{"id":16,"name":"Locomotive ID","value":"4017"},{"id":130,"name":"Impact","value":""},{"id":150,"name":"Time of Event (Mountain Time)","value":"19:11:09"},{"id":151,"name":"Denver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162"/>
      <c r="AA44" s="47"/>
      <c r="AB44" s="47"/>
      <c r="AC44" s="118" t="str">
        <f t="shared" si="7"/>
        <v>grep -hSE -A400 "Enforcement Action" "%USERPROFILE%\AppData\Local\Temp\OnboardLogs"\RTDC4017\*4017*201704290* | grep -SE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"%USERPROFILE%\AppData\Local\Temp\OnboardLogs"\RTDC4017\*4017*201704290* &gt;&gt; 2017-04-28-SliceDisagreementCheck.txt</v>
      </c>
      <c r="AE44" s="148" t="str">
        <f t="shared" si="9"/>
        <v>start /low /b %USERPROFILE%\Documents\GitHub\eaglep3\Utilities\DownloadLogsFromS3.py --loco 4017 --day 2017-04-29</v>
      </c>
      <c r="AF44" s="1"/>
    </row>
    <row r="45" spans="1:32" x14ac:dyDescent="0.25">
      <c r="A45" s="31">
        <v>42853.983472222222</v>
      </c>
      <c r="B45" s="30" t="s">
        <v>527</v>
      </c>
      <c r="C45" s="30" t="s">
        <v>637</v>
      </c>
      <c r="D45" s="30" t="s">
        <v>98</v>
      </c>
      <c r="E45" s="30" t="s">
        <v>209</v>
      </c>
      <c r="F45" s="42">
        <v>550</v>
      </c>
      <c r="G45" s="42">
        <v>601</v>
      </c>
      <c r="H45" s="42">
        <v>222274</v>
      </c>
      <c r="I45" s="42">
        <v>219704</v>
      </c>
      <c r="J45" s="30" t="s">
        <v>210</v>
      </c>
      <c r="K45" s="42">
        <v>224578</v>
      </c>
      <c r="L45" s="134" t="s">
        <v>51</v>
      </c>
      <c r="M45" s="135">
        <f t="shared" si="0"/>
        <v>-2573.4720000000002</v>
      </c>
      <c r="N45" s="136" t="str">
        <f>VLOOKUP(C45,'Trips&amp;Operators'!$C$1:$G$99999,5,FALSE)</f>
        <v>MAGEE KENYA</v>
      </c>
      <c r="O45" s="207" t="s">
        <v>184</v>
      </c>
      <c r="P45" s="137"/>
      <c r="Q45" s="30"/>
      <c r="R45" s="84" t="e">
        <f>IF(VLOOKUP(C45,'Train Runs'!$A$13:$AE$9945,1,1)=C45,VLOOKUP(C45,'Train Runs'!$A$13:$AE$9945,31,1),NA())</f>
        <v>#N/A</v>
      </c>
      <c r="S45" s="87" t="str">
        <f>VLOOKUP(C45,'Train Runs'!$A$13:$AE$9945,22,0)</f>
        <v>https://d0f6bd738d7f1b3e5a7ca70fe4ff75f0.us-east-1.aws.found.io/app/kibana#/discover/Steve-Slow-Train-Analysis-(2080s-and-2083s)?_g=(refreshInterval:(display:Off,pause:!f,section:0,value:0),time:(from:'2017-04-28T22:23:07-0600',mode:absolute,to:'2017-04-29T01:08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T45" s="89" t="str">
        <f t="shared" si="1"/>
        <v>"C:\Program Files (x86)\AstroGrep\AstroGrep.exe" /e /r /s /spath="%USERPROFILE%\AppData\Local\Temp\OnboardLogs" /stypes="*4061*201704290*" /stext=" 05:.+((SYSTEM_STATE.+slice.+state.+changed )|(ment ac)|(multiple cpu faults)|(system.+state.+changed )|(\[timeout)|(PRM\|1\|D)|(kpr)|(kdp)|(train.+moving)|(\|lc)|(penalty))"</v>
      </c>
      <c r="U45" s="9" t="str">
        <f t="shared" si="2"/>
        <v>4061</v>
      </c>
      <c r="V45" s="31">
        <f t="shared" si="3"/>
        <v>42854.233472222222</v>
      </c>
      <c r="W45" s="45" t="str">
        <f t="shared" si="4"/>
        <v>Other</v>
      </c>
      <c r="X45" s="45" t="str">
        <f t="shared" si="5"/>
        <v>KEEP</v>
      </c>
      <c r="Y45" s="99" t="str">
        <f t="shared" si="6"/>
        <v>echo {"issue":{"subject":"","project_id":79,"tracker_id":40,"status_id":1,"priority_id":2,"assigned_to_id":23,"start_date":"2017-04-28","description":"","custom_fields":[{"id":1,"name":"Subdivision","value":"Other"},{"id":4,"name":"Milepost","value":"22.4578"},{"id":17,"name":"Train ID","value":"80-28"},{"id":16,"name":"Locomotive ID","value":"4061"},{"id":130,"name":"Impact","value":""},{"id":150,"name":"Time of Event (Mountain Time)","value":"23:36:12"},{"id":151,"name":"Denver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162"/>
      <c r="AA45" s="47"/>
      <c r="AB45" s="47"/>
      <c r="AC45" s="118" t="str">
        <f t="shared" si="7"/>
        <v>grep -hSE -A400 "Enforcement Action" "%USERPROFILE%\AppData\Local\Temp\OnboardLogs"\RTDC4061\*4061*201704290* | grep -SE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"%USERPROFILE%\AppData\Local\Temp\OnboardLogs"\RTDC4061\*4061*201704290* &gt;&gt; 2017-04-28-SliceDisagreementCheck.txt</v>
      </c>
      <c r="AE45" s="148" t="str">
        <f t="shared" si="9"/>
        <v>start /low /b %USERPROFILE%\Documents\GitHub\eaglep3\Utilities\DownloadLogsFromS3.py --loco 4061 --day 2017-04-29</v>
      </c>
      <c r="AF45" s="1"/>
    </row>
    <row r="46" spans="1:32" x14ac:dyDescent="0.25">
      <c r="A46" s="31">
        <v>42854.005659722221</v>
      </c>
      <c r="B46" s="30" t="s">
        <v>527</v>
      </c>
      <c r="C46" s="30" t="s">
        <v>637</v>
      </c>
      <c r="D46" s="30" t="s">
        <v>49</v>
      </c>
      <c r="E46" s="30" t="s">
        <v>416</v>
      </c>
      <c r="F46" s="42">
        <v>0</v>
      </c>
      <c r="G46" s="42">
        <v>365</v>
      </c>
      <c r="H46" s="42">
        <v>38759</v>
      </c>
      <c r="I46" s="42">
        <v>37697</v>
      </c>
      <c r="J46" s="30" t="s">
        <v>417</v>
      </c>
      <c r="K46" s="42">
        <v>38656</v>
      </c>
      <c r="L46" s="134" t="s">
        <v>51</v>
      </c>
      <c r="M46" s="135">
        <f t="shared" si="0"/>
        <v>-506.35199999999998</v>
      </c>
      <c r="N46" s="136" t="str">
        <f>VLOOKUP(C46,'Trips&amp;Operators'!$C$1:$G$99999,5,FALSE)</f>
        <v>MAGEE KENYA</v>
      </c>
      <c r="O46" s="207" t="s">
        <v>184</v>
      </c>
      <c r="P46" s="137"/>
      <c r="Q46" s="30"/>
      <c r="R46" s="84" t="e">
        <f>IF(VLOOKUP(C46,'Train Runs'!$A$13:$AE$9945,1,1)=C46,VLOOKUP(C46,'Train Runs'!$A$13:$AE$9945,31,1),NA())</f>
        <v>#N/A</v>
      </c>
      <c r="S46" s="87" t="str">
        <f>VLOOKUP(C46,'Train Runs'!$A$13:$AE$9945,22,0)</f>
        <v>https://d0f6bd738d7f1b3e5a7ca70fe4ff75f0.us-east-1.aws.found.io/app/kibana#/discover/Steve-Slow-Train-Analysis-(2080s-and-2083s)?_g=(refreshInterval:(display:Off,pause:!f,section:0,value:0),time:(from:'2017-04-28T22:23:07-0600',mode:absolute,to:'2017-04-29T01:08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T46" s="89" t="str">
        <f t="shared" si="1"/>
        <v>"C:\Program Files (x86)\AstroGrep\AstroGrep.exe" /e /r /s /spath="%USERPROFILE%\AppData\Local\Temp\OnboardLogs" /stypes="*4061*201704290*" /stext=" 06:.+((SYSTEM_STATE.+slice.+state.+changed )|(ment ac)|(multiple cpu faults)|(system.+state.+changed )|(\[timeout)|(PRM\|1\|D)|(kpr)|(kdp)|(train.+moving)|(\|lc)|(penalty))"</v>
      </c>
      <c r="U46" s="9" t="str">
        <f t="shared" si="2"/>
        <v>4061</v>
      </c>
      <c r="V46" s="31">
        <f t="shared" si="3"/>
        <v>42854.255659722221</v>
      </c>
      <c r="W46" s="45" t="str">
        <f t="shared" si="4"/>
        <v>Other</v>
      </c>
      <c r="X46" s="45" t="str">
        <f t="shared" si="5"/>
        <v>KEEP</v>
      </c>
      <c r="Y46" s="99" t="str">
        <f t="shared" si="6"/>
        <v>echo {"issue":{"subject":"","project_id":79,"tracker_id":40,"status_id":1,"priority_id":2,"assigned_to_id":23,"start_date":"2017-04-29","description":"","custom_fields":[{"id":1,"name":"Subdivision","value":"Other"},{"id":4,"name":"Milepost","value":"3.8656"},{"id":17,"name":"Train ID","value":"80-28"},{"id":16,"name":"Locomotive ID","value":"4061"},{"id":130,"name":"Impact","value":""},{"id":150,"name":"Time of Event (Mountain Time)","value":"00:08:09"},{"id":151,"name":"Denver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162"/>
      <c r="AA46" s="47"/>
      <c r="AB46" s="47"/>
      <c r="AC46" s="118" t="str">
        <f t="shared" si="7"/>
        <v>grep -hSE -A400 "Enforcement Action" "%USERPROFILE%\AppData\Local\Temp\OnboardLogs"\RTDC4061\*4061*201704290* | grep -SE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"%USERPROFILE%\AppData\Local\Temp\OnboardLogs"\RTDC4061\*4061*201704290* &gt;&gt; 2017-04-28-SliceDisagreementCheck.txt</v>
      </c>
      <c r="AE46" s="148" t="str">
        <f t="shared" si="9"/>
        <v>start /low /b %USERPROFILE%\Documents\GitHub\eaglep3\Utilities\DownloadLogsFromS3.py --loco 4061 --day 2017-04-29</v>
      </c>
      <c r="AF46" s="1"/>
    </row>
    <row r="47" spans="1:32" x14ac:dyDescent="0.25">
      <c r="A47" s="31">
        <v>42854.006064814814</v>
      </c>
      <c r="B47" s="30" t="s">
        <v>527</v>
      </c>
      <c r="C47" s="30" t="s">
        <v>637</v>
      </c>
      <c r="D47" s="30" t="s">
        <v>98</v>
      </c>
      <c r="E47" s="30" t="s">
        <v>416</v>
      </c>
      <c r="F47" s="42">
        <v>0</v>
      </c>
      <c r="G47" s="42">
        <v>10</v>
      </c>
      <c r="H47" s="42">
        <v>37697</v>
      </c>
      <c r="I47" s="42">
        <v>37607</v>
      </c>
      <c r="J47" s="30" t="s">
        <v>417</v>
      </c>
      <c r="K47" s="42">
        <v>38656</v>
      </c>
      <c r="L47" s="134" t="s">
        <v>51</v>
      </c>
      <c r="M47" s="135">
        <f t="shared" si="0"/>
        <v>-553.87199999999996</v>
      </c>
      <c r="N47" s="136" t="str">
        <f>VLOOKUP(C47,'Trips&amp;Operators'!$C$1:$G$99999,5,FALSE)</f>
        <v>MAGEE KENYA</v>
      </c>
      <c r="O47" s="207" t="s">
        <v>184</v>
      </c>
      <c r="P47" s="137"/>
      <c r="Q47" s="30"/>
      <c r="R47" s="84" t="e">
        <f>IF(VLOOKUP(C47,'Train Runs'!$A$13:$AE$9945,1,1)=C47,VLOOKUP(C47,'Train Runs'!$A$13:$AE$9945,31,1),NA())</f>
        <v>#N/A</v>
      </c>
      <c r="S47" s="87" t="str">
        <f>VLOOKUP(C47,'Train Runs'!$A$13:$AE$9945,22,0)</f>
        <v>https://d0f6bd738d7f1b3e5a7ca70fe4ff75f0.us-east-1.aws.found.io/app/kibana#/discover/Steve-Slow-Train-Analysis-(2080s-and-2083s)?_g=(refreshInterval:(display:Off,pause:!f,section:0,value:0),time:(from:'2017-04-28T22:23:07-0600',mode:absolute,to:'2017-04-29T01:08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T47" s="89" t="str">
        <f t="shared" si="1"/>
        <v>"C:\Program Files (x86)\AstroGrep\AstroGrep.exe" /e /r /s /spath="%USERPROFILE%\AppData\Local\Temp\OnboardLogs" /stypes="*4061*201704290*" /stext=" 06:.+((SYSTEM_STATE.+slice.+state.+changed )|(ment ac)|(multiple cpu faults)|(system.+state.+changed )|(\[timeout)|(PRM\|1\|D)|(kpr)|(kdp)|(train.+moving)|(\|lc)|(penalty))"</v>
      </c>
      <c r="U47" s="9" t="str">
        <f t="shared" si="2"/>
        <v>4061</v>
      </c>
      <c r="V47" s="31">
        <f t="shared" si="3"/>
        <v>42854.256064814814</v>
      </c>
      <c r="W47" s="45" t="str">
        <f t="shared" si="4"/>
        <v>Other</v>
      </c>
      <c r="X47" s="45" t="str">
        <f t="shared" si="5"/>
        <v>KEEP</v>
      </c>
      <c r="Y47" s="99" t="str">
        <f t="shared" si="6"/>
        <v>echo {"issue":{"subject":"","project_id":79,"tracker_id":40,"status_id":1,"priority_id":2,"assigned_to_id":23,"start_date":"2017-04-29","description":"","custom_fields":[{"id":1,"name":"Subdivision","value":"Other"},{"id":4,"name":"Milepost","value":"3.8656"},{"id":17,"name":"Train ID","value":"80-28"},{"id":16,"name":"Locomotive ID","value":"4061"},{"id":130,"name":"Impact","value":""},{"id":150,"name":"Time of Event (Mountain Time)","value":"00:08:44"},{"id":151,"name":"Denver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162"/>
      <c r="AA47" s="47"/>
      <c r="AB47" s="47"/>
      <c r="AC47" s="118" t="str">
        <f t="shared" si="7"/>
        <v>grep -hSE -A400 "Enforcement Action" "%USERPROFILE%\AppData\Local\Temp\OnboardLogs"\RTDC4061\*4061*201704290* | grep -SE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"%USERPROFILE%\AppData\Local\Temp\OnboardLogs"\RTDC4061\*4061*201704290* &gt;&gt; 2017-04-28-SliceDisagreementCheck.txt</v>
      </c>
      <c r="AE47" s="148" t="str">
        <f t="shared" si="9"/>
        <v>start /low /b %USERPROFILE%\Documents\GitHub\eaglep3\Utilities\DownloadLogsFromS3.py --loco 4061 --day 2017-04-29</v>
      </c>
      <c r="AF47" s="1"/>
    </row>
    <row r="48" spans="1:32" x14ac:dyDescent="0.25">
      <c r="A48" s="31">
        <v>42853.988043981481</v>
      </c>
      <c r="B48" s="30" t="s">
        <v>527</v>
      </c>
      <c r="C48" s="30" t="s">
        <v>637</v>
      </c>
      <c r="D48" s="30" t="s">
        <v>49</v>
      </c>
      <c r="E48" s="30" t="s">
        <v>416</v>
      </c>
      <c r="F48" s="42">
        <v>0</v>
      </c>
      <c r="G48" s="42">
        <v>604</v>
      </c>
      <c r="H48" s="42">
        <v>162778</v>
      </c>
      <c r="I48" s="42">
        <v>159893</v>
      </c>
      <c r="J48" s="30" t="s">
        <v>417</v>
      </c>
      <c r="K48" s="42">
        <v>162262</v>
      </c>
      <c r="L48" s="134" t="s">
        <v>51</v>
      </c>
      <c r="M48" s="135">
        <f t="shared" si="0"/>
        <v>-1250.8320000000001</v>
      </c>
      <c r="N48" s="136" t="str">
        <f>VLOOKUP(C48,'Trips&amp;Operators'!$C$1:$G$99999,5,FALSE)</f>
        <v>MAGEE KENYA</v>
      </c>
      <c r="O48" s="207" t="s">
        <v>184</v>
      </c>
      <c r="P48" s="137"/>
      <c r="Q48" s="30"/>
      <c r="R48" s="84" t="e">
        <f>IF(VLOOKUP(C48,'Train Runs'!$A$13:$AE$9945,1,1)=C48,VLOOKUP(C48,'Train Runs'!$A$13:$AE$9945,31,1),NA())</f>
        <v>#N/A</v>
      </c>
      <c r="S48" s="87" t="str">
        <f>VLOOKUP(C48,'Train Runs'!$A$13:$AE$9945,22,0)</f>
        <v>https://d0f6bd738d7f1b3e5a7ca70fe4ff75f0.us-east-1.aws.found.io/app/kibana#/discover/Steve-Slow-Train-Analysis-(2080s-and-2083s)?_g=(refreshInterval:(display:Off,pause:!f,section:0,value:0),time:(from:'2017-04-28T22:23:07-0600',mode:absolute,to:'2017-04-29T01:08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T48" s="89" t="str">
        <f t="shared" si="1"/>
        <v>"C:\Program Files (x86)\AstroGrep\AstroGrep.exe" /e /r /s /spath="%USERPROFILE%\AppData\Local\Temp\OnboardLogs" /stypes="*4061*201704290*" /stext=" 05:.+((SYSTEM_STATE.+slice.+state.+changed )|(ment ac)|(multiple cpu faults)|(system.+state.+changed )|(\[timeout)|(PRM\|1\|D)|(kpr)|(kdp)|(train.+moving)|(\|lc)|(penalty))"</v>
      </c>
      <c r="U48" s="9" t="str">
        <f t="shared" si="2"/>
        <v>4061</v>
      </c>
      <c r="V48" s="31">
        <f t="shared" si="3"/>
        <v>42854.238043981481</v>
      </c>
      <c r="W48" s="45" t="str">
        <f t="shared" si="4"/>
        <v>Other</v>
      </c>
      <c r="X48" s="45" t="str">
        <f t="shared" si="5"/>
        <v>KEEP</v>
      </c>
      <c r="Y48" s="99" t="str">
        <f t="shared" si="6"/>
        <v>echo {"issue":{"subject":"","project_id":79,"tracker_id":40,"status_id":1,"priority_id":2,"assigned_to_id":23,"start_date":"2017-04-28","description":"","custom_fields":[{"id":1,"name":"Subdivision","value":"Other"},{"id":4,"name":"Milepost","value":"16.2262"},{"id":17,"name":"Train ID","value":"80-28"},{"id":16,"name":"Locomotive ID","value":"4061"},{"id":130,"name":"Impact","value":""},{"id":150,"name":"Time of Event (Mountain Time)","value":"23:42:47"},{"id":151,"name":"Denver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162"/>
      <c r="AA48" s="47"/>
      <c r="AB48" s="47"/>
      <c r="AC48" s="118" t="str">
        <f t="shared" si="7"/>
        <v>grep -hSE -A400 "Enforcement Action" "%USERPROFILE%\AppData\Local\Temp\OnboardLogs"\RTDC4061\*4061*201704290* | grep -SE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"%USERPROFILE%\AppData\Local\Temp\OnboardLogs"\RTDC4061\*4061*201704290* &gt;&gt; 2017-04-28-SliceDisagreementCheck.txt</v>
      </c>
      <c r="AE48" s="148" t="str">
        <f t="shared" si="9"/>
        <v>start /low /b %USERPROFILE%\Documents\GitHub\eaglep3\Utilities\DownloadLogsFromS3.py --loco 4061 --day 2017-04-29</v>
      </c>
      <c r="AF48" s="1"/>
    </row>
    <row r="49" spans="1:32" x14ac:dyDescent="0.25">
      <c r="A49" s="31">
        <v>42854.051423611112</v>
      </c>
      <c r="B49" s="30" t="s">
        <v>642</v>
      </c>
      <c r="C49" s="30" t="s">
        <v>643</v>
      </c>
      <c r="D49" s="30" t="s">
        <v>49</v>
      </c>
      <c r="E49" s="30" t="s">
        <v>613</v>
      </c>
      <c r="F49" s="42">
        <v>0</v>
      </c>
      <c r="G49" s="42">
        <v>723</v>
      </c>
      <c r="H49" s="42">
        <v>212456</v>
      </c>
      <c r="I49" s="42">
        <v>216716</v>
      </c>
      <c r="J49" s="30" t="s">
        <v>614</v>
      </c>
      <c r="K49" s="42">
        <v>217106</v>
      </c>
      <c r="L49" s="134" t="s">
        <v>50</v>
      </c>
      <c r="M49" s="135">
        <f t="shared" si="0"/>
        <v>205.92</v>
      </c>
      <c r="N49" s="136" t="str">
        <f>VLOOKUP(C49,'Trips&amp;Operators'!$C$1:$G$99999,5,FALSE)</f>
        <v>MAGEE KENYA</v>
      </c>
      <c r="O49" s="207" t="s">
        <v>184</v>
      </c>
      <c r="P49" s="137"/>
      <c r="Q49" s="30"/>
      <c r="R49" s="84" t="e">
        <f>IF(VLOOKUP(C49,'Train Runs'!$A$13:$AE$9945,1,1)=C49,VLOOKUP(C49,'Train Runs'!$A$13:$AE$9945,31,1),NA())</f>
        <v>#N/A</v>
      </c>
      <c r="S49" s="87" t="str">
        <f>VLOOKUP(C49,'Train Runs'!$A$13:$AE$9945,22,0)</f>
        <v>https://d0f6bd738d7f1b3e5a7ca70fe4ff75f0.us-east-1.aws.found.io/app/kibana#/discover/Steve-Slow-Train-Analysis-(2080s-and-2083s)?_g=(refreshInterval:(display:Off,pause:!f,section:0,value:0),time:(from:'2017-04-28T23:29:36-0600',mode:absolute,to:'2017-04-29T03:24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49" s="89" t="str">
        <f t="shared" si="1"/>
        <v>"C:\Program Files (x86)\AstroGrep\AstroGrep.exe" /e /r /s /spath="%USERPROFILE%\AppData\Local\Temp\OnboardLogs" /stypes="*4060*201704290*" /stext=" 07:.+((SYSTEM_STATE.+slice.+state.+changed )|(ment ac)|(multiple cpu faults)|(system.+state.+changed )|(\[timeout)|(PRM\|1\|D)|(kpr)|(kdp)|(train.+moving)|(\|lc)|(penalty))"</v>
      </c>
      <c r="U49" s="9" t="str">
        <f t="shared" si="2"/>
        <v>4060</v>
      </c>
      <c r="V49" s="31">
        <f t="shared" si="3"/>
        <v>42854.301423611112</v>
      </c>
      <c r="W49" s="45" t="str">
        <f t="shared" si="4"/>
        <v>Other</v>
      </c>
      <c r="X49" s="45" t="str">
        <f t="shared" si="5"/>
        <v>KEEP</v>
      </c>
      <c r="Y49" s="99" t="str">
        <f t="shared" si="6"/>
        <v>echo {"issue":{"subject":"","project_id":79,"tracker_id":40,"status_id":1,"priority_id":2,"assigned_to_id":23,"start_date":"2017-04-29","description":"","custom_fields":[{"id":1,"name":"Subdivision","value":"Other"},{"id":4,"name":"Milepost","value":"21.7106"},{"id":17,"name":"Train ID","value":"89-28"},{"id":16,"name":"Locomotive ID","value":"4060"},{"id":130,"name":"Impact","value":""},{"id":150,"name":"Time of Event (Mountain Time)","value":"01:14:03"},{"id":151,"name":"Denver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162"/>
      <c r="AA49" s="47"/>
      <c r="AB49" s="47"/>
      <c r="AC49" s="118" t="str">
        <f t="shared" si="7"/>
        <v>grep -hSE -A400 "Enforcement Action" "%USERPROFILE%\AppData\Local\Temp\OnboardLogs"\RTDC4060\*4060*201704290* | grep -SE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"&amp;TEXT(Variables!$A$2,"YYYY-MM-DD")&amp;"-SliceDisagreementCheck.txt"</f>
        <v>grep -hSE "Enforcement Action" "%USERPROFILE%\AppData\Local\Temp\OnboardLogs"\RTDC4060\*4060*201704290* &gt;&gt; 2017-04-28-SliceDisagreementCheck.txt</v>
      </c>
      <c r="AE49" s="148" t="str">
        <f t="shared" si="9"/>
        <v>start /low /b %USERPROFILE%\Documents\GitHub\eaglep3\Utilities\DownloadLogsFromS3.py --loco 4060 --day 2017-04-29</v>
      </c>
      <c r="AF49" s="1"/>
    </row>
    <row r="50" spans="1:32" x14ac:dyDescent="0.25">
      <c r="A50" s="31">
        <v>42853.646874999999</v>
      </c>
      <c r="B50" s="30" t="s">
        <v>471</v>
      </c>
      <c r="C50" s="30" t="s">
        <v>621</v>
      </c>
      <c r="D50" s="30" t="s">
        <v>49</v>
      </c>
      <c r="E50" s="30" t="s">
        <v>185</v>
      </c>
      <c r="F50" s="42">
        <v>0</v>
      </c>
      <c r="G50" s="42">
        <v>21</v>
      </c>
      <c r="H50" s="42">
        <v>624</v>
      </c>
      <c r="I50" s="42">
        <v>612</v>
      </c>
      <c r="J50" s="30" t="s">
        <v>186</v>
      </c>
      <c r="K50" s="42">
        <v>575</v>
      </c>
      <c r="L50" s="134" t="s">
        <v>51</v>
      </c>
      <c r="M50" s="135">
        <f t="shared" si="0"/>
        <v>19.536000000000001</v>
      </c>
      <c r="N50" s="136" t="str">
        <f>VLOOKUP(C50,'Trips&amp;Operators'!$C$1:$G$99999,5,FALSE)</f>
        <v>WILLIAMS DONTE</v>
      </c>
      <c r="O50" s="207" t="s">
        <v>184</v>
      </c>
      <c r="P50" s="137"/>
      <c r="Q50" s="30"/>
      <c r="R50" s="84" t="str">
        <f>IF(VLOOKUP(C50,'Train Runs'!$A$13:$AE$9945,1,1)=C50,VLOOKUP(C50,'Train Runs'!$A$13:$AE$9945,31,1),NA())</f>
        <v>aws s3 cp s3://rtdc.mdm.uploadarchive.raw/RTDC4017/ "%USERPROFILE%\AppData\Local\Temp\OnboardLogs"\RTDC4017\2017-04-28 --exclude "*" --recursive --include "*20170428*" &amp; "%USERPROFILE%\Documents\GitHub\mrs-test-scripts\Headless Mode &amp; Sideloading\WalkAndUnGZ.bat" "%USERPROFILE%\AppData\Local\Temp\OnboardLogs"\RTDC4017\2017-04-28 &amp; aws s3 cp s3://rtdc.mdm.uploadarchive.raw/RTDC4017/ "%USERPROFILE%\AppData\Local\Temp\OnboardLogs"\RTDC4017\2017-04-29 --exclude "*" --recursive --include "*20170429*" &amp; "%USERPROFILE%\Documents\GitHub\mrs-test-scripts\Headless Mode &amp; Sideloading\WalkAndUnGZ.bat" "%USERPROFILE%\AppData\Local\Temp\OnboardLogs"\RTDC4017\2017-04-29</v>
      </c>
      <c r="S50" s="87" t="str">
        <f>VLOOKUP(C50,'Train Runs'!$A$13:$AE$9945,22,0)</f>
        <v>https://d0f6bd738d7f1b3e5a7ca70fe4ff75f0.us-east-1.aws.found.io/app/kibana#/discover/Steve-Slow-Train-Analysis-(2080s-and-2083s)?_g=(refreshInterval:(display:Off,pause:!f,section:0,value:0),time:(from:'2017-04-28T14:19:58-0600',mode:absolute,to:'2017-04-28T16:31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50" s="89" t="str">
        <f t="shared" si="1"/>
        <v>"C:\Program Files (x86)\AstroGrep\AstroGrep.exe" /e /r /s /spath="%USERPROFILE%\AppData\Local\Temp\OnboardLogs" /stypes="*4017*201704282*" /stext=" 21:.+((SYSTEM_STATE.+slice.+state.+changed )|(ment ac)|(multiple cpu faults)|(system.+state.+changed )|(\[timeout)|(PRM\|1\|D)|(kpr)|(kdp)|(train.+moving)|(\|lc)|(penalty))"</v>
      </c>
      <c r="U50" s="9" t="str">
        <f t="shared" si="2"/>
        <v>4017</v>
      </c>
      <c r="V50" s="31">
        <f t="shared" si="3"/>
        <v>42853.896874999999</v>
      </c>
      <c r="W50" s="45" t="str">
        <f t="shared" si="4"/>
        <v>Other</v>
      </c>
      <c r="X50" s="45" t="str">
        <f t="shared" si="5"/>
        <v>KEEP</v>
      </c>
      <c r="Y50" s="99" t="str">
        <f t="shared" si="6"/>
        <v>echo {"issue":{"subject":"","project_id":79,"tracker_id":40,"status_id":1,"priority_id":2,"assigned_to_id":23,"start_date":"2017-04-28","description":"","custom_fields":[{"id":1,"name":"Subdivision","value":"Other"},{"id":4,"name":"Milepost","value":"0.0575"},{"id":17,"name":"Train ID","value":"904-28"},{"id":16,"name":"Locomotive ID","value":"4017"},{"id":130,"name":"Impact","value":""},{"id":150,"name":"Time of Event (Mountain Time)","value":"15:31:30"},{"id":151,"name":"Denver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162"/>
      <c r="AA50" s="47"/>
      <c r="AB50" s="47"/>
      <c r="AC50" s="118" t="str">
        <f t="shared" si="7"/>
        <v>grep -hSE -A400 "Enforcement Action" "%USERPROFILE%\AppData\Local\Temp\OnboardLogs"\RTDC4017\*4017*201704282* | grep -SE "((Enforcement Ac)|(PRM))" -</v>
      </c>
      <c r="AD50" s="1" t="str">
        <f>"grep -hSE ""Enforcement Action"" "&amp;search_path&amp;"\RTDC"&amp;U50&amp;"\*"&amp;U50&amp;"*"&amp;TEXT(A50-utc_offset/24,"YYYYMMDD")&amp;LEFT(TEXT(A50-utc_offset/24,"HH"),1)&amp;"* &gt;&gt; "&amp;TEXT(Variables!$A$2,"YYYY-MM-DD")&amp;"-SliceDisagreementCheck.txt"</f>
        <v>grep -hSE "Enforcement Action" "%USERPROFILE%\AppData\Local\Temp\OnboardLogs"\RTDC4017\*4017*201704282* &gt;&gt; 2017-04-28-SliceDisagreementCheck.txt</v>
      </c>
      <c r="AE50" s="148" t="str">
        <f t="shared" si="9"/>
        <v>start /low /b %USERPROFILE%\Documents\GitHub\eaglep3\Utilities\DownloadLogsFromS3.py --loco 4017 --day 2017-04-28</v>
      </c>
      <c r="AF50" s="1"/>
    </row>
    <row r="51" spans="1:32" x14ac:dyDescent="0.25">
      <c r="A51" s="31">
        <v>42853.755150462966</v>
      </c>
      <c r="B51" s="30" t="s">
        <v>354</v>
      </c>
      <c r="C51" s="30" t="s">
        <v>629</v>
      </c>
      <c r="D51" s="30" t="s">
        <v>49</v>
      </c>
      <c r="E51" s="30" t="s">
        <v>185</v>
      </c>
      <c r="F51" s="42">
        <v>0</v>
      </c>
      <c r="G51" s="42">
        <v>96</v>
      </c>
      <c r="H51" s="42">
        <v>1526</v>
      </c>
      <c r="I51" s="42">
        <v>1426</v>
      </c>
      <c r="J51" s="30" t="s">
        <v>186</v>
      </c>
      <c r="K51" s="42">
        <v>839</v>
      </c>
      <c r="L51" s="134" t="s">
        <v>51</v>
      </c>
      <c r="M51" s="135">
        <f t="shared" si="0"/>
        <v>309.93599999999998</v>
      </c>
      <c r="N51" s="136" t="str">
        <f>VLOOKUP(C51,'Trips&amp;Operators'!$C$1:$G$99999,5,FALSE)</f>
        <v>PERKINS DARREN</v>
      </c>
      <c r="O51" s="207" t="s">
        <v>184</v>
      </c>
      <c r="P51" s="137"/>
      <c r="Q51" s="30"/>
      <c r="R51" s="84" t="e">
        <f>IF(VLOOKUP(C51,'Train Runs'!$A$13:$AE$9945,1,1)=C51,VLOOKUP(C51,'Train Runs'!$A$13:$AE$9945,31,1),NA())</f>
        <v>#N/A</v>
      </c>
      <c r="S51" s="87" t="str">
        <f>VLOOKUP(C51,'Train Runs'!$A$13:$AE$9945,22,0)</f>
        <v>https://d0f6bd738d7f1b3e5a7ca70fe4ff75f0.us-east-1.aws.found.io/app/kibana#/discover/Steve-Slow-Train-Analysis-(2080s-and-2083s)?_g=(refreshInterval:(display:Off,pause:!f,section:0,value:0),time:(from:'2017-04-28T16:54:33-0600',mode:absolute,to:'2017-04-28T19:07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51" s="89" t="str">
        <f t="shared" si="1"/>
        <v>"C:\Program Files (x86)\AstroGrep\AstroGrep.exe" /e /r /s /spath="%USERPROFILE%\AppData\Local\Temp\OnboardLogs" /stypes="*4031*201704290*" /stext=" 00:.+((SYSTEM_STATE.+slice.+state.+changed )|(ment ac)|(multiple cpu faults)|(system.+state.+changed )|(\[timeout)|(PRM\|1\|D)|(kpr)|(kdp)|(train.+moving)|(\|lc)|(penalty))"</v>
      </c>
      <c r="U51" s="9" t="str">
        <f t="shared" si="2"/>
        <v>4031</v>
      </c>
      <c r="V51" s="31">
        <f t="shared" si="3"/>
        <v>42854.005150462966</v>
      </c>
      <c r="W51" s="45" t="str">
        <f t="shared" si="4"/>
        <v>Other</v>
      </c>
      <c r="X51" s="45" t="str">
        <f t="shared" si="5"/>
        <v>KEEP</v>
      </c>
      <c r="Y51" s="99" t="str">
        <f t="shared" si="6"/>
        <v>echo {"issue":{"subject":"","project_id":79,"tracker_id":40,"status_id":1,"priority_id":2,"assigned_to_id":23,"start_date":"2017-04-28","description":"","custom_fields":[{"id":1,"name":"Subdivision","value":"Other"},{"id":4,"name":"Milepost","value":"0.0839"},{"id":17,"name":"Train ID","value":"70-28"},{"id":16,"name":"Locomotive ID","value":"4031"},{"id":130,"name":"Impact","value":""},{"id":150,"name":"Time of Event (Mountain Time)","value":"18:07:25"},{"id":151,"name":"Denver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162"/>
      <c r="AA51" s="47"/>
      <c r="AB51" s="47"/>
      <c r="AC51" s="118" t="str">
        <f t="shared" si="7"/>
        <v>grep -hSE -A400 "Enforcement Action" "%USERPROFILE%\AppData\Local\Temp\OnboardLogs"\RTDC4031\*4031*201704290* | grep -SE "((Enforcement Ac)|(PRM))" -</v>
      </c>
      <c r="AD51" s="1" t="str">
        <f>"grep -hSE ""Enforcement Action"" "&amp;search_path&amp;"\RTDC"&amp;U51&amp;"\*"&amp;U51&amp;"*"&amp;TEXT(A51-utc_offset/24,"YYYYMMDD")&amp;LEFT(TEXT(A51-utc_offset/24,"HH"),1)&amp;"* &gt;&gt; "&amp;TEXT(Variables!$A$2,"YYYY-MM-DD")&amp;"-SliceDisagreementCheck.txt"</f>
        <v>grep -hSE "Enforcement Action" "%USERPROFILE%\AppData\Local\Temp\OnboardLogs"\RTDC4031\*4031*201704290* &gt;&gt; 2017-04-28-SliceDisagreementCheck.txt</v>
      </c>
      <c r="AE51" s="148" t="str">
        <f t="shared" si="9"/>
        <v>start /low /b %USERPROFILE%\Documents\GitHub\eaglep3\Utilities\DownloadLogsFromS3.py --loco 4031 --day 2017-04-29</v>
      </c>
      <c r="AF51" s="1"/>
    </row>
    <row r="52" spans="1:32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Z52"/>
      <c r="AC52"/>
      <c r="AE52"/>
    </row>
    <row r="53" spans="1:32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Z53"/>
      <c r="AC53"/>
      <c r="AE53"/>
    </row>
    <row r="54" spans="1:32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Z54"/>
      <c r="AC54"/>
      <c r="AE54"/>
    </row>
    <row r="55" spans="1:32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Z55"/>
      <c r="AC55"/>
      <c r="AE55"/>
    </row>
    <row r="56" spans="1:32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Z56"/>
      <c r="AC56"/>
      <c r="AE56"/>
    </row>
    <row r="57" spans="1:32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Z57"/>
      <c r="AC57"/>
      <c r="AE57"/>
    </row>
    <row r="58" spans="1:32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Z58"/>
      <c r="AC58"/>
      <c r="AE58"/>
    </row>
    <row r="59" spans="1:32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Z59"/>
      <c r="AC59"/>
      <c r="AE59"/>
    </row>
    <row r="60" spans="1:32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Z60"/>
      <c r="AC60"/>
      <c r="AE60"/>
    </row>
    <row r="61" spans="1:32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Z61"/>
      <c r="AC61"/>
      <c r="AE61"/>
    </row>
    <row r="62" spans="1:32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Z62"/>
      <c r="AC62"/>
      <c r="AE62"/>
    </row>
    <row r="63" spans="1:32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Z63"/>
      <c r="AC63"/>
      <c r="AE63"/>
    </row>
    <row r="64" spans="1:32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Z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Z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Z66"/>
      <c r="AC66"/>
      <c r="AE66"/>
    </row>
  </sheetData>
  <autoFilter ref="A6:AC66">
    <sortState ref="A7:AC66">
      <sortCondition ref="W7:W51"/>
      <sortCondition ref="E7:E51"/>
      <sortCondition ref="K7:K51"/>
      <sortCondition ref="F7:F51"/>
    </sortState>
  </autoFilter>
  <sortState ref="A7:AE54">
    <sortCondition ref="W7:W54"/>
    <sortCondition ref="E7:E54"/>
    <sortCondition ref="K7:K54"/>
    <sortCondition ref="C7:C54"/>
    <sortCondition ref="F7:F54"/>
  </sortState>
  <mergeCells count="1">
    <mergeCell ref="A5:O5"/>
  </mergeCells>
  <conditionalFormatting sqref="O6:P6 R6 O67:O1048576 O7:O51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51">
    <cfRule type="expression" dxfId="1" priority="20">
      <formula>$O7="Y"</formula>
    </cfRule>
  </conditionalFormatting>
  <pageMargins left="0.7" right="0.7" top="0.75" bottom="0.75" header="0.3" footer="0.3"/>
  <pageSetup scale="2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AA7:AA51</xm:sqref>
        </x14:dataValidation>
        <x14:dataValidation type="list" allowBlank="1" showInputMessage="1" showErrorMessage="1">
          <x14:formula1>
            <xm:f>'Redmine List Values'!$C$2:$C$15</xm:f>
          </x14:formula1>
          <xm:sqref>AB7:AB51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3"/>
  <sheetViews>
    <sheetView workbookViewId="0"/>
  </sheetViews>
  <sheetFormatPr defaultRowHeight="15" x14ac:dyDescent="0.25"/>
  <cols>
    <col min="1" max="1" width="9.140625" style="168"/>
    <col min="2" max="2" width="9.140625" style="2" customWidth="1"/>
    <col min="3" max="3" width="8" style="91" bestFit="1" customWidth="1"/>
    <col min="4" max="4" width="9.85546875" style="142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8"/>
      <c r="B1" s="209" t="str">
        <f>"Trips that did not appear in PTC Data "&amp;TEXT(Variables!$A$2,"YYYY-mm-dd")</f>
        <v>Trips that did not appear in PTC Data 2017-04-28</v>
      </c>
      <c r="C1" s="209"/>
      <c r="D1" s="209"/>
      <c r="E1" s="209"/>
      <c r="F1" s="209"/>
    </row>
    <row r="2" spans="1:10" s="23" customFormat="1" ht="45" x14ac:dyDescent="0.25">
      <c r="A2" s="202" t="s">
        <v>152</v>
      </c>
      <c r="B2" s="93" t="s">
        <v>58</v>
      </c>
      <c r="C2" s="90" t="s">
        <v>59</v>
      </c>
      <c r="D2" s="155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90"/>
      <c r="B3" s="42" t="str">
        <f>A3&amp;"-"&amp;IF(DAY(Variables!$A$2)&lt;10,0,"")&amp;DAY(Variables!$A$2)</f>
        <v>-28</v>
      </c>
      <c r="C3" s="138"/>
      <c r="D3" s="156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5" t="str">
        <f t="shared" ref="I3:I12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3" s="30" t="e">
        <f>VLOOKUP(B3,'Train Runs'!$A$13:$A$99942,1,FALSE)</f>
        <v>#N/A</v>
      </c>
    </row>
    <row r="4" spans="1:10" x14ac:dyDescent="0.25">
      <c r="A4" s="190"/>
      <c r="B4" s="42" t="str">
        <f>A4&amp;"-"&amp;IF(DAY(Variables!$A$2)&lt;10,0,"")&amp;DAY(Variables!$A$2)</f>
        <v>-28</v>
      </c>
      <c r="C4" s="138"/>
      <c r="D4" s="156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4" s="30" t="e">
        <f>VLOOKUP(B4,'Train Runs'!$A$13:$A$99942,1,FALSE)</f>
        <v>#N/A</v>
      </c>
    </row>
    <row r="5" spans="1:10" x14ac:dyDescent="0.25">
      <c r="A5" s="190"/>
      <c r="B5" s="42" t="str">
        <f>A5&amp;"-"&amp;IF(DAY(Variables!$A$2)&lt;10,0,"")&amp;DAY(Variables!$A$2)</f>
        <v>-28</v>
      </c>
      <c r="C5" s="138"/>
      <c r="D5" s="156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5" s="30" t="e">
        <f>VLOOKUP(B5,'Train Runs'!$A$13:$A$99942,1,FALSE)</f>
        <v>#N/A</v>
      </c>
    </row>
    <row r="6" spans="1:10" x14ac:dyDescent="0.25">
      <c r="A6" s="190"/>
      <c r="B6" s="42" t="str">
        <f>A6&amp;"-"&amp;IF(DAY(Variables!$A$2)&lt;10,0,"")&amp;DAY(Variables!$A$2)</f>
        <v>-28</v>
      </c>
      <c r="C6" s="138"/>
      <c r="D6" s="156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6" s="30" t="e">
        <f>VLOOKUP(B6,'Train Runs'!$A$13:$A$99942,1,FALSE)</f>
        <v>#N/A</v>
      </c>
    </row>
    <row r="7" spans="1:10" x14ac:dyDescent="0.25">
      <c r="A7" s="190"/>
      <c r="B7" s="42" t="str">
        <f>A7&amp;"-"&amp;IF(DAY(Variables!$A$2)&lt;10,0,"")&amp;DAY(Variables!$A$2)</f>
        <v>-28</v>
      </c>
      <c r="C7" s="138"/>
      <c r="D7" s="156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7" s="30" t="e">
        <f>VLOOKUP(B7,'Train Runs'!$A$13:$A$99942,1,FALSE)</f>
        <v>#N/A</v>
      </c>
    </row>
    <row r="8" spans="1:10" x14ac:dyDescent="0.25">
      <c r="A8" s="190"/>
      <c r="B8" s="42" t="str">
        <f>A8&amp;"-"&amp;IF(DAY(Variables!$A$2)&lt;10,0,"")&amp;DAY(Variables!$A$2)</f>
        <v>-28</v>
      </c>
      <c r="C8" s="138"/>
      <c r="D8" s="156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8" s="30" t="e">
        <f>VLOOKUP(B8,'Train Runs'!$A$13:$A$99942,1,FALSE)</f>
        <v>#N/A</v>
      </c>
    </row>
    <row r="9" spans="1:10" x14ac:dyDescent="0.25">
      <c r="A9" s="190"/>
      <c r="B9" s="42" t="str">
        <f>A9&amp;"-"&amp;IF(DAY(Variables!$A$2)&lt;10,0,"")&amp;DAY(Variables!$A$2)</f>
        <v>-28</v>
      </c>
      <c r="C9" s="138"/>
      <c r="D9" s="156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9" s="30" t="e">
        <f>VLOOKUP(B9,'Train Runs'!$A$13:$A$99942,1,FALSE)</f>
        <v>#N/A</v>
      </c>
    </row>
    <row r="10" spans="1:10" x14ac:dyDescent="0.25">
      <c r="A10" s="190"/>
      <c r="B10" s="42" t="str">
        <f>A10&amp;"-"&amp;IF(DAY(Variables!$A$2)&lt;10,0,"")&amp;DAY(Variables!$A$2)</f>
        <v>-28</v>
      </c>
      <c r="C10" s="138"/>
      <c r="D10" s="156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0" s="30" t="e">
        <f>VLOOKUP(B10,'Train Runs'!$A$13:$A$99942,1,FALSE)</f>
        <v>#N/A</v>
      </c>
    </row>
    <row r="11" spans="1:10" x14ac:dyDescent="0.25">
      <c r="A11" s="190"/>
      <c r="B11" s="42" t="str">
        <f>A11&amp;"-"&amp;IF(DAY(Variables!$A$2)&lt;10,0,"")&amp;DAY(Variables!$A$2)</f>
        <v>-28</v>
      </c>
      <c r="C11" s="138"/>
      <c r="D11" s="156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1" s="30" t="e">
        <f>VLOOKUP(B11,'Train Runs'!$A$13:$A$99942,1,FALSE)</f>
        <v>#N/A</v>
      </c>
    </row>
    <row r="12" spans="1:10" x14ac:dyDescent="0.25">
      <c r="A12" s="190"/>
      <c r="B12" s="42" t="str">
        <f>A12&amp;"-"&amp;IF(DAY(Variables!$A$2)&lt;10,0,"")&amp;DAY(Variables!$A$2)</f>
        <v>-28</v>
      </c>
      <c r="C12" s="138"/>
      <c r="D12" s="156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2" s="30" t="e">
        <f>VLOOKUP(B12,'Train Runs'!$A$13:$A$99942,1,FALSE)</f>
        <v>#N/A</v>
      </c>
    </row>
    <row r="13" spans="1:10" x14ac:dyDescent="0.25">
      <c r="A13" s="190"/>
      <c r="B13" s="42"/>
      <c r="C13" s="138"/>
      <c r="D13" s="156"/>
      <c r="E13" s="30"/>
      <c r="F13" s="21"/>
      <c r="G13" s="21"/>
      <c r="H13" s="29"/>
      <c r="I13" s="45"/>
      <c r="J13" s="30"/>
    </row>
    <row r="14" spans="1:10" x14ac:dyDescent="0.25">
      <c r="A14" s="190"/>
      <c r="B14" s="42"/>
      <c r="C14" s="138"/>
      <c r="D14" s="156"/>
      <c r="E14" s="30"/>
      <c r="F14" s="21"/>
      <c r="G14" s="21"/>
      <c r="H14" s="29"/>
      <c r="I14" s="45"/>
      <c r="J14" s="30"/>
    </row>
    <row r="15" spans="1:10" x14ac:dyDescent="0.25">
      <c r="A15" s="190"/>
      <c r="B15" s="42"/>
      <c r="C15" s="138"/>
      <c r="D15" s="156"/>
      <c r="E15" s="30"/>
      <c r="F15" s="21"/>
      <c r="G15" s="21"/>
      <c r="H15" s="29"/>
      <c r="I15" s="45"/>
      <c r="J15" s="30"/>
    </row>
    <row r="16" spans="1:10" x14ac:dyDescent="0.25">
      <c r="A16" s="190"/>
      <c r="B16" s="42"/>
      <c r="C16" s="138"/>
      <c r="D16" s="156"/>
      <c r="E16" s="30"/>
      <c r="F16" s="21"/>
      <c r="G16" s="21"/>
      <c r="H16" s="29"/>
      <c r="I16" s="45"/>
      <c r="J16" s="30"/>
    </row>
    <row r="17" spans="1:10" x14ac:dyDescent="0.25">
      <c r="A17" s="190"/>
      <c r="B17" s="42"/>
      <c r="C17" s="138"/>
      <c r="D17" s="156"/>
      <c r="E17" s="30"/>
      <c r="F17" s="21"/>
      <c r="G17" s="21"/>
      <c r="H17" s="29"/>
      <c r="I17" s="45"/>
      <c r="J17" s="30"/>
    </row>
    <row r="18" spans="1:10" x14ac:dyDescent="0.25">
      <c r="A18" s="190"/>
      <c r="B18" s="42"/>
      <c r="C18" s="138"/>
      <c r="D18" s="156"/>
      <c r="E18" s="30"/>
      <c r="F18" s="21"/>
      <c r="G18" s="21"/>
      <c r="H18" s="29"/>
      <c r="I18" s="45"/>
      <c r="J18" s="30"/>
    </row>
    <row r="19" spans="1:10" x14ac:dyDescent="0.25">
      <c r="A19" s="190"/>
      <c r="B19" s="42"/>
      <c r="C19" s="138"/>
      <c r="D19" s="156"/>
      <c r="E19" s="30"/>
      <c r="F19" s="21"/>
      <c r="G19" s="21"/>
      <c r="H19" s="29"/>
      <c r="I19" s="45"/>
      <c r="J19" s="30"/>
    </row>
    <row r="20" spans="1:10" x14ac:dyDescent="0.25">
      <c r="A20" s="190"/>
      <c r="B20" s="42"/>
      <c r="C20" s="138"/>
      <c r="D20" s="156"/>
      <c r="E20" s="30"/>
      <c r="F20" s="21"/>
      <c r="G20" s="21"/>
      <c r="H20" s="29"/>
      <c r="I20" s="45"/>
      <c r="J20" s="30"/>
    </row>
    <row r="21" spans="1:10" x14ac:dyDescent="0.25">
      <c r="A21" s="190"/>
      <c r="B21" s="42"/>
      <c r="C21" s="138"/>
      <c r="D21" s="156"/>
      <c r="E21" s="30"/>
      <c r="F21" s="21"/>
      <c r="G21" s="21"/>
      <c r="H21" s="29"/>
      <c r="I21" s="45"/>
      <c r="J21" s="30"/>
    </row>
    <row r="22" spans="1:10" x14ac:dyDescent="0.25">
      <c r="A22" s="190"/>
      <c r="B22" s="42"/>
      <c r="C22" s="138"/>
      <c r="D22" s="156"/>
      <c r="E22" s="30"/>
      <c r="F22" s="21"/>
      <c r="G22" s="21"/>
      <c r="H22" s="29"/>
      <c r="I22" s="45"/>
      <c r="J22" s="30"/>
    </row>
    <row r="23" spans="1:10" x14ac:dyDescent="0.25">
      <c r="A23" s="190"/>
      <c r="B23" s="42"/>
      <c r="C23" s="138"/>
      <c r="D23" s="156"/>
      <c r="E23" s="30"/>
      <c r="F23" s="21"/>
      <c r="G23" s="21"/>
      <c r="H23" s="29"/>
      <c r="I23" s="45"/>
      <c r="J23" s="30"/>
    </row>
    <row r="24" spans="1:10" x14ac:dyDescent="0.25">
      <c r="A24" s="190"/>
      <c r="B24" s="42"/>
      <c r="C24" s="138"/>
      <c r="D24" s="156"/>
      <c r="E24" s="30"/>
      <c r="F24" s="21"/>
      <c r="G24" s="21"/>
      <c r="H24" s="29"/>
      <c r="I24" s="45"/>
      <c r="J24" s="30"/>
    </row>
    <row r="25" spans="1:10" x14ac:dyDescent="0.25">
      <c r="A25" s="190"/>
      <c r="B25" s="42"/>
      <c r="C25" s="138"/>
      <c r="D25" s="156"/>
      <c r="E25" s="30"/>
      <c r="F25" s="21"/>
      <c r="G25" s="21"/>
      <c r="H25" s="29"/>
      <c r="I25" s="45"/>
      <c r="J25" s="30"/>
    </row>
    <row r="26" spans="1:10" x14ac:dyDescent="0.25">
      <c r="A26" s="190"/>
      <c r="B26" s="42"/>
      <c r="C26" s="138"/>
      <c r="D26" s="156"/>
      <c r="E26" s="30"/>
      <c r="F26" s="21"/>
      <c r="G26" s="21"/>
      <c r="H26" s="29"/>
      <c r="I26" s="45"/>
      <c r="J26" s="30"/>
    </row>
    <row r="27" spans="1:10" x14ac:dyDescent="0.25">
      <c r="A27" s="190"/>
      <c r="B27" s="42"/>
      <c r="C27" s="138"/>
      <c r="D27" s="156"/>
      <c r="E27" s="30"/>
      <c r="F27" s="21"/>
      <c r="G27" s="21"/>
      <c r="H27" s="29"/>
      <c r="I27" s="45"/>
      <c r="J27" s="30"/>
    </row>
    <row r="28" spans="1:10" x14ac:dyDescent="0.25">
      <c r="A28" s="190"/>
      <c r="B28" s="42"/>
      <c r="C28" s="138"/>
      <c r="D28" s="156"/>
      <c r="E28" s="30"/>
      <c r="F28" s="21"/>
      <c r="G28" s="21"/>
      <c r="H28" s="29"/>
      <c r="I28" s="45"/>
      <c r="J28" s="30"/>
    </row>
    <row r="29" spans="1:10" x14ac:dyDescent="0.25">
      <c r="A29" s="190"/>
      <c r="B29" s="42"/>
      <c r="C29" s="138"/>
      <c r="D29" s="156"/>
      <c r="E29" s="30"/>
      <c r="F29" s="21"/>
      <c r="G29" s="21"/>
      <c r="H29" s="29"/>
      <c r="I29" s="45"/>
      <c r="J29" s="30"/>
    </row>
    <row r="30" spans="1:10" x14ac:dyDescent="0.25">
      <c r="A30" s="190"/>
      <c r="B30" s="42"/>
      <c r="C30" s="138"/>
      <c r="D30" s="156"/>
      <c r="E30" s="30"/>
      <c r="F30" s="21"/>
      <c r="G30" s="21"/>
      <c r="H30" s="29"/>
      <c r="I30" s="45"/>
      <c r="J30" s="30"/>
    </row>
    <row r="31" spans="1:10" x14ac:dyDescent="0.25">
      <c r="A31" s="190"/>
      <c r="B31" s="42"/>
      <c r="C31" s="138"/>
      <c r="D31" s="156"/>
      <c r="E31" s="30"/>
      <c r="F31" s="21"/>
      <c r="G31" s="21"/>
      <c r="H31" s="29"/>
      <c r="I31" s="45"/>
      <c r="J31" s="30"/>
    </row>
    <row r="32" spans="1:10" x14ac:dyDescent="0.25">
      <c r="A32" s="190"/>
      <c r="B32" s="42"/>
      <c r="C32" s="138"/>
      <c r="D32" s="156"/>
      <c r="E32" s="30"/>
      <c r="F32" s="21"/>
      <c r="G32" s="21"/>
      <c r="H32" s="29"/>
      <c r="I32" s="45"/>
      <c r="J32" s="30"/>
    </row>
    <row r="33" spans="1:10" x14ac:dyDescent="0.25">
      <c r="A33" s="190"/>
      <c r="B33" s="42"/>
      <c r="C33" s="138"/>
      <c r="D33" s="156"/>
      <c r="E33" s="30"/>
      <c r="F33" s="21"/>
      <c r="G33" s="21"/>
      <c r="H33" s="29"/>
      <c r="I33" s="45"/>
      <c r="J33" s="30"/>
    </row>
    <row r="34" spans="1:10" x14ac:dyDescent="0.25">
      <c r="A34" s="190"/>
      <c r="B34" s="42"/>
      <c r="C34" s="138"/>
      <c r="D34" s="156"/>
      <c r="E34" s="30"/>
      <c r="F34" s="21"/>
      <c r="G34" s="21"/>
      <c r="H34" s="29"/>
      <c r="I34" s="45"/>
      <c r="J34" s="30"/>
    </row>
    <row r="35" spans="1:10" x14ac:dyDescent="0.25">
      <c r="A35" s="190"/>
      <c r="B35" s="42"/>
      <c r="C35" s="138"/>
      <c r="D35" s="156"/>
      <c r="E35" s="30"/>
      <c r="F35" s="21"/>
      <c r="G35" s="21"/>
      <c r="H35" s="29"/>
      <c r="I35" s="45"/>
      <c r="J35" s="30"/>
    </row>
    <row r="36" spans="1:10" x14ac:dyDescent="0.25">
      <c r="A36" s="190"/>
      <c r="B36" s="42"/>
      <c r="C36" s="138"/>
      <c r="D36" s="156"/>
      <c r="E36" s="30"/>
      <c r="F36" s="21"/>
      <c r="G36" s="21"/>
      <c r="H36" s="29"/>
      <c r="I36" s="45"/>
      <c r="J36" s="30"/>
    </row>
    <row r="37" spans="1:10" x14ac:dyDescent="0.25">
      <c r="A37" s="190"/>
      <c r="B37" s="42"/>
      <c r="C37" s="138"/>
      <c r="D37" s="156"/>
      <c r="E37" s="30"/>
      <c r="F37" s="21"/>
      <c r="G37" s="21"/>
      <c r="H37" s="29"/>
      <c r="I37" s="45"/>
      <c r="J37" s="30"/>
    </row>
    <row r="38" spans="1:10" x14ac:dyDescent="0.25">
      <c r="A38" s="190"/>
      <c r="B38" s="42"/>
      <c r="C38" s="138"/>
      <c r="D38" s="156"/>
      <c r="E38" s="30"/>
      <c r="F38" s="21"/>
      <c r="G38" s="21"/>
      <c r="H38" s="29"/>
      <c r="I38" s="45"/>
      <c r="J38" s="30"/>
    </row>
    <row r="39" spans="1:10" x14ac:dyDescent="0.25">
      <c r="A39" s="190"/>
      <c r="B39" s="42"/>
      <c r="C39" s="138"/>
      <c r="D39" s="156"/>
      <c r="E39" s="30"/>
      <c r="F39" s="21"/>
      <c r="G39" s="21"/>
      <c r="H39" s="29"/>
      <c r="I39" s="45"/>
      <c r="J39" s="30"/>
    </row>
    <row r="40" spans="1:10" x14ac:dyDescent="0.25">
      <c r="A40" s="190"/>
      <c r="B40" s="42"/>
      <c r="C40" s="138"/>
      <c r="D40" s="156"/>
      <c r="E40" s="30"/>
      <c r="F40" s="21"/>
      <c r="G40" s="21"/>
      <c r="H40" s="29"/>
      <c r="I40" s="45"/>
      <c r="J40" s="30"/>
    </row>
    <row r="41" spans="1:10" x14ac:dyDescent="0.25">
      <c r="A41" s="190"/>
      <c r="B41" s="42"/>
      <c r="C41" s="138"/>
      <c r="D41" s="156"/>
      <c r="E41" s="30"/>
      <c r="F41" s="21"/>
      <c r="G41" s="21"/>
      <c r="H41" s="29"/>
      <c r="I41" s="45"/>
      <c r="J41" s="30"/>
    </row>
    <row r="42" spans="1:10" x14ac:dyDescent="0.25">
      <c r="A42" s="190"/>
      <c r="B42" s="42"/>
      <c r="C42" s="138"/>
      <c r="D42" s="156"/>
      <c r="E42" s="30"/>
      <c r="F42" s="21"/>
      <c r="G42" s="21"/>
      <c r="H42" s="29"/>
      <c r="I42" s="45"/>
      <c r="J42" s="30"/>
    </row>
    <row r="43" spans="1:10" x14ac:dyDescent="0.25">
      <c r="A43" s="190"/>
      <c r="B43" s="42"/>
      <c r="C43" s="138"/>
      <c r="D43" s="156"/>
      <c r="E43" s="30"/>
      <c r="F43" s="21"/>
      <c r="G43" s="21"/>
      <c r="H43" s="29"/>
      <c r="I43" s="45"/>
      <c r="J43" s="30"/>
    </row>
    <row r="44" spans="1:10" x14ac:dyDescent="0.25">
      <c r="A44" s="190"/>
      <c r="B44" s="42"/>
      <c r="C44" s="138"/>
      <c r="D44" s="156"/>
      <c r="E44" s="30"/>
      <c r="F44" s="21"/>
      <c r="G44" s="21"/>
      <c r="H44" s="29"/>
      <c r="I44" s="45"/>
      <c r="J44" s="30"/>
    </row>
    <row r="45" spans="1:10" x14ac:dyDescent="0.25">
      <c r="A45" s="190"/>
      <c r="B45" s="42"/>
      <c r="C45" s="138"/>
      <c r="D45" s="156"/>
      <c r="E45" s="30"/>
      <c r="F45" s="21"/>
      <c r="G45" s="21"/>
      <c r="H45" s="29"/>
      <c r="I45" s="45"/>
      <c r="J45" s="30"/>
    </row>
    <row r="46" spans="1:10" x14ac:dyDescent="0.25">
      <c r="A46" s="190"/>
      <c r="B46" s="42"/>
      <c r="C46" s="138"/>
      <c r="D46" s="156"/>
      <c r="E46" s="30"/>
      <c r="F46" s="21"/>
      <c r="G46" s="21"/>
      <c r="H46" s="29"/>
      <c r="I46" s="45"/>
      <c r="J46" s="30"/>
    </row>
    <row r="47" spans="1:10" x14ac:dyDescent="0.25">
      <c r="A47" s="190"/>
      <c r="B47" s="42"/>
      <c r="C47" s="138"/>
      <c r="D47" s="156"/>
      <c r="E47" s="30"/>
      <c r="F47" s="21"/>
      <c r="G47" s="21"/>
      <c r="H47" s="29"/>
      <c r="I47" s="45"/>
      <c r="J47" s="30"/>
    </row>
    <row r="48" spans="1:10" x14ac:dyDescent="0.25">
      <c r="A48" s="190"/>
      <c r="B48" s="42"/>
      <c r="C48" s="138"/>
      <c r="D48" s="156"/>
      <c r="E48" s="30"/>
      <c r="F48" s="21"/>
      <c r="G48" s="21"/>
      <c r="H48" s="29"/>
      <c r="I48" s="45"/>
      <c r="J48" s="30"/>
    </row>
    <row r="49" spans="1:10" x14ac:dyDescent="0.25">
      <c r="A49" s="190"/>
      <c r="B49" s="42"/>
      <c r="C49" s="138"/>
      <c r="D49" s="156"/>
      <c r="E49" s="30"/>
      <c r="F49" s="21"/>
      <c r="G49" s="21"/>
      <c r="H49" s="29"/>
      <c r="I49" s="45"/>
      <c r="J49" s="30"/>
    </row>
    <row r="50" spans="1:10" x14ac:dyDescent="0.25">
      <c r="A50" s="190"/>
      <c r="B50" s="42"/>
      <c r="C50" s="138"/>
      <c r="D50" s="156"/>
      <c r="E50" s="30"/>
      <c r="F50" s="21"/>
      <c r="G50" s="21"/>
      <c r="H50" s="29"/>
      <c r="I50" s="45"/>
      <c r="J50" s="30"/>
    </row>
    <row r="51" spans="1:10" x14ac:dyDescent="0.25">
      <c r="A51" s="190"/>
      <c r="B51" s="42"/>
      <c r="C51" s="138"/>
      <c r="D51" s="156"/>
      <c r="E51" s="30"/>
      <c r="F51" s="21"/>
      <c r="G51" s="21"/>
      <c r="H51" s="29"/>
      <c r="I51" s="45"/>
      <c r="J51" s="30"/>
    </row>
    <row r="52" spans="1:10" x14ac:dyDescent="0.25">
      <c r="A52" s="190"/>
      <c r="B52" s="42"/>
      <c r="C52" s="138"/>
      <c r="D52" s="156"/>
      <c r="E52" s="30"/>
      <c r="F52" s="21"/>
      <c r="G52" s="21"/>
      <c r="H52" s="29"/>
      <c r="I52" s="45"/>
      <c r="J52" s="30"/>
    </row>
    <row r="53" spans="1:10" x14ac:dyDescent="0.25">
      <c r="A53" s="190"/>
      <c r="B53" s="42"/>
      <c r="C53" s="138"/>
      <c r="D53" s="156"/>
      <c r="E53" s="30"/>
      <c r="F53" s="21"/>
      <c r="G53" s="21"/>
      <c r="H53" s="29"/>
      <c r="I53" s="45"/>
      <c r="J53" s="30"/>
    </row>
    <row r="54" spans="1:10" x14ac:dyDescent="0.25">
      <c r="A54" s="190"/>
      <c r="B54" s="42"/>
      <c r="C54" s="138"/>
      <c r="D54" s="156"/>
      <c r="E54" s="30"/>
      <c r="F54" s="21"/>
      <c r="G54" s="21"/>
      <c r="H54" s="29"/>
      <c r="I54" s="45"/>
      <c r="J54" s="30"/>
    </row>
    <row r="55" spans="1:10" x14ac:dyDescent="0.25">
      <c r="A55" s="190"/>
      <c r="B55" s="42"/>
      <c r="C55" s="138"/>
      <c r="D55" s="156"/>
      <c r="E55" s="30"/>
      <c r="F55" s="21"/>
      <c r="G55" s="21"/>
      <c r="H55" s="29"/>
      <c r="I55" s="45"/>
      <c r="J55" s="30"/>
    </row>
    <row r="56" spans="1:10" x14ac:dyDescent="0.25">
      <c r="A56" s="190"/>
      <c r="B56" s="42"/>
      <c r="C56" s="138"/>
      <c r="D56" s="156"/>
      <c r="E56" s="30"/>
      <c r="F56" s="21"/>
      <c r="G56" s="21"/>
      <c r="H56" s="29"/>
      <c r="I56" s="45"/>
      <c r="J56" s="30"/>
    </row>
    <row r="57" spans="1:10" x14ac:dyDescent="0.25">
      <c r="A57" s="190"/>
      <c r="B57" s="42"/>
      <c r="C57" s="138"/>
      <c r="D57" s="156"/>
      <c r="E57" s="30"/>
      <c r="F57" s="21"/>
      <c r="G57" s="21"/>
      <c r="H57" s="29"/>
      <c r="I57" s="45"/>
      <c r="J57" s="30"/>
    </row>
    <row r="58" spans="1:10" x14ac:dyDescent="0.25">
      <c r="A58" s="190"/>
      <c r="B58" s="42"/>
      <c r="C58" s="138"/>
      <c r="D58" s="156"/>
      <c r="E58" s="30"/>
      <c r="F58" s="21"/>
      <c r="G58" s="21"/>
      <c r="H58" s="29"/>
      <c r="I58" s="45"/>
      <c r="J58" s="30"/>
    </row>
    <row r="59" spans="1:10" x14ac:dyDescent="0.25">
      <c r="A59" s="190"/>
      <c r="B59" s="42"/>
      <c r="C59" s="138"/>
      <c r="D59" s="156"/>
      <c r="E59" s="30"/>
      <c r="F59" s="21"/>
      <c r="G59" s="21"/>
      <c r="H59" s="29"/>
      <c r="I59" s="45"/>
      <c r="J59" s="30"/>
    </row>
    <row r="60" spans="1:10" x14ac:dyDescent="0.25">
      <c r="A60" s="190"/>
      <c r="B60" s="42"/>
      <c r="C60" s="138"/>
      <c r="D60" s="156"/>
      <c r="E60" s="30"/>
      <c r="F60" s="21"/>
      <c r="G60" s="21"/>
      <c r="H60" s="29"/>
      <c r="I60" s="45"/>
      <c r="J60" s="30"/>
    </row>
    <row r="61" spans="1:10" x14ac:dyDescent="0.25">
      <c r="A61" s="190"/>
      <c r="B61" s="42"/>
      <c r="C61" s="138"/>
      <c r="D61" s="156"/>
      <c r="E61" s="30"/>
      <c r="F61" s="21"/>
      <c r="G61" s="21"/>
      <c r="H61" s="29"/>
      <c r="I61" s="45"/>
      <c r="J61" s="30"/>
    </row>
    <row r="62" spans="1:10" x14ac:dyDescent="0.25">
      <c r="A62" s="190"/>
      <c r="B62" s="42"/>
      <c r="C62" s="138"/>
      <c r="D62" s="156"/>
      <c r="E62" s="30"/>
      <c r="F62" s="21"/>
      <c r="G62" s="21"/>
      <c r="H62" s="29"/>
      <c r="I62" s="45"/>
      <c r="J62" s="30"/>
    </row>
    <row r="63" spans="1:10" x14ac:dyDescent="0.25">
      <c r="A63" s="190"/>
      <c r="B63" s="42"/>
      <c r="C63" s="138"/>
      <c r="D63" s="156"/>
      <c r="E63" s="30"/>
      <c r="F63" s="21"/>
      <c r="G63" s="21"/>
      <c r="H63" s="29"/>
      <c r="I63" s="45"/>
      <c r="J63" s="30"/>
    </row>
    <row r="64" spans="1:10" x14ac:dyDescent="0.25">
      <c r="A64" s="190"/>
      <c r="B64" s="42"/>
      <c r="C64" s="138"/>
      <c r="D64" s="156"/>
      <c r="E64" s="30"/>
      <c r="F64" s="21"/>
      <c r="G64" s="21"/>
      <c r="H64" s="29"/>
      <c r="I64" s="45"/>
      <c r="J64" s="30"/>
    </row>
    <row r="65" spans="1:10" x14ac:dyDescent="0.25">
      <c r="A65" s="190"/>
      <c r="B65" s="42"/>
      <c r="C65" s="138"/>
      <c r="D65" s="156"/>
      <c r="E65" s="30"/>
      <c r="F65" s="21"/>
      <c r="G65" s="21"/>
      <c r="H65" s="29"/>
      <c r="I65" s="45"/>
      <c r="J65" s="30"/>
    </row>
    <row r="66" spans="1:10" x14ac:dyDescent="0.25">
      <c r="A66" s="190"/>
      <c r="B66" s="42"/>
      <c r="C66" s="138"/>
      <c r="D66" s="156"/>
      <c r="E66" s="30"/>
      <c r="F66" s="21"/>
      <c r="G66" s="21"/>
      <c r="H66" s="29"/>
      <c r="I66" s="45"/>
      <c r="J66" s="30"/>
    </row>
    <row r="67" spans="1:10" x14ac:dyDescent="0.25">
      <c r="A67" s="190"/>
      <c r="B67" s="42"/>
      <c r="C67" s="138"/>
      <c r="D67" s="156"/>
      <c r="E67" s="30"/>
      <c r="F67" s="21"/>
      <c r="G67" s="21"/>
      <c r="H67" s="29"/>
      <c r="I67" s="45"/>
      <c r="J67" s="30"/>
    </row>
    <row r="68" spans="1:10" x14ac:dyDescent="0.25">
      <c r="A68" s="190"/>
      <c r="B68" s="42"/>
      <c r="C68" s="138"/>
      <c r="D68" s="156"/>
      <c r="E68" s="30"/>
      <c r="F68" s="21"/>
      <c r="G68" s="21"/>
      <c r="H68" s="29"/>
      <c r="I68" s="45"/>
      <c r="J68" s="30"/>
    </row>
    <row r="69" spans="1:10" x14ac:dyDescent="0.25">
      <c r="A69" s="190"/>
      <c r="B69" s="42"/>
      <c r="C69" s="138"/>
      <c r="D69" s="156"/>
      <c r="E69" s="30"/>
      <c r="F69" s="21"/>
      <c r="G69" s="21"/>
      <c r="H69" s="29"/>
      <c r="I69" s="45"/>
      <c r="J69" s="30"/>
    </row>
    <row r="70" spans="1:10" x14ac:dyDescent="0.25">
      <c r="A70" s="190"/>
      <c r="B70" s="42"/>
      <c r="C70" s="138"/>
      <c r="D70" s="156"/>
      <c r="E70" s="30"/>
      <c r="F70" s="21"/>
      <c r="G70" s="21"/>
      <c r="H70" s="29"/>
      <c r="I70" s="45"/>
      <c r="J70" s="30"/>
    </row>
    <row r="71" spans="1:10" x14ac:dyDescent="0.25">
      <c r="A71" s="190"/>
      <c r="B71" s="42"/>
      <c r="C71" s="138"/>
      <c r="D71" s="156"/>
      <c r="E71" s="30"/>
      <c r="F71" s="21"/>
      <c r="G71" s="21"/>
      <c r="H71" s="29"/>
      <c r="I71" s="45"/>
      <c r="J71" s="30"/>
    </row>
    <row r="72" spans="1:10" x14ac:dyDescent="0.25">
      <c r="A72" s="190"/>
      <c r="B72" s="42"/>
      <c r="C72" s="138"/>
      <c r="D72" s="156"/>
      <c r="E72" s="30"/>
      <c r="F72" s="21"/>
      <c r="G72" s="21"/>
      <c r="H72" s="29"/>
      <c r="I72" s="45"/>
      <c r="J72" s="30"/>
    </row>
    <row r="73" spans="1:10" x14ac:dyDescent="0.25">
      <c r="A73" s="190"/>
      <c r="B73" s="42"/>
      <c r="C73" s="138"/>
      <c r="D73" s="156"/>
      <c r="E73" s="30"/>
      <c r="F73" s="21"/>
      <c r="G73" s="21"/>
      <c r="H73" s="29"/>
      <c r="I73" s="45"/>
      <c r="J73" s="30"/>
    </row>
    <row r="74" spans="1:10" x14ac:dyDescent="0.25">
      <c r="A74" s="190"/>
      <c r="B74" s="42" t="str">
        <f>A74&amp;"-"&amp;IF(DAY(Variables!$A$2)&lt;10,0,"")&amp;DAY(Variables!$A$2)</f>
        <v>-28</v>
      </c>
      <c r="C74" s="138"/>
      <c r="D74" s="156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5" t="str">
        <f t="shared" ref="I74:I83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74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74" s="30" t="e">
        <f>VLOOKUP(B74,'Train Runs'!$A$13:$A$99942,1,FALSE)</f>
        <v>#N/A</v>
      </c>
    </row>
    <row r="75" spans="1:10" x14ac:dyDescent="0.25">
      <c r="A75" s="190"/>
      <c r="B75" s="42" t="str">
        <f>A75&amp;"-"&amp;IF(DAY(Variables!$A$2)&lt;10,0,"")&amp;DAY(Variables!$A$2)</f>
        <v>-28</v>
      </c>
      <c r="C75" s="138"/>
      <c r="D75" s="156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75" s="30" t="e">
        <f>VLOOKUP(B75,'Train Runs'!$A$13:$A$99942,1,FALSE)</f>
        <v>#N/A</v>
      </c>
    </row>
    <row r="76" spans="1:10" x14ac:dyDescent="0.25">
      <c r="A76" s="190"/>
      <c r="B76" s="42" t="str">
        <f>A76&amp;"-"&amp;IF(DAY(Variables!$A$2)&lt;10,0,"")&amp;DAY(Variables!$A$2)</f>
        <v>-28</v>
      </c>
      <c r="C76" s="138"/>
      <c r="D76" s="156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76" s="30" t="e">
        <f>VLOOKUP(B76,'Train Runs'!$A$13:$A$99942,1,FALSE)</f>
        <v>#N/A</v>
      </c>
    </row>
    <row r="77" spans="1:10" x14ac:dyDescent="0.25">
      <c r="A77" s="190"/>
      <c r="B77" s="42" t="str">
        <f>A77&amp;"-"&amp;IF(DAY(Variables!$A$2)&lt;10,0,"")&amp;DAY(Variables!$A$2)</f>
        <v>-28</v>
      </c>
      <c r="C77" s="138"/>
      <c r="D77" s="156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77" s="30" t="e">
        <f>VLOOKUP(B77,'Train Runs'!$A$13:$A$99942,1,FALSE)</f>
        <v>#N/A</v>
      </c>
    </row>
    <row r="78" spans="1:10" x14ac:dyDescent="0.25">
      <c r="A78" s="190"/>
      <c r="B78" s="42" t="str">
        <f>A78&amp;"-"&amp;IF(DAY(Variables!$A$2)&lt;10,0,"")&amp;DAY(Variables!$A$2)</f>
        <v>-28</v>
      </c>
      <c r="C78" s="138"/>
      <c r="D78" s="156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78" s="30" t="e">
        <f>VLOOKUP(B78,'Train Runs'!$A$13:$A$99942,1,FALSE)</f>
        <v>#N/A</v>
      </c>
    </row>
    <row r="79" spans="1:10" x14ac:dyDescent="0.25">
      <c r="A79" s="190"/>
      <c r="B79" s="42" t="str">
        <f>A79&amp;"-"&amp;IF(DAY(Variables!$A$2)&lt;10,0,"")&amp;DAY(Variables!$A$2)</f>
        <v>-28</v>
      </c>
      <c r="C79" s="138"/>
      <c r="D79" s="156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79" s="30" t="e">
        <f>VLOOKUP(B79,'Train Runs'!$A$13:$A$99942,1,FALSE)</f>
        <v>#N/A</v>
      </c>
    </row>
    <row r="80" spans="1:10" x14ac:dyDescent="0.25">
      <c r="A80" s="190"/>
      <c r="B80" s="42" t="str">
        <f>A80&amp;"-"&amp;IF(DAY(Variables!$A$2)&lt;10,0,"")&amp;DAY(Variables!$A$2)</f>
        <v>-28</v>
      </c>
      <c r="C80" s="138"/>
      <c r="D80" s="156"/>
      <c r="E80" s="30"/>
      <c r="F80" s="21" t="e">
        <f>VLOOKUP(B80,'Trips&amp;Operators'!$C$2:$E$10000,3,FALSE)</f>
        <v>#N/A</v>
      </c>
      <c r="G80" s="21" t="e">
        <f>VLOOKUP(B80,'Trips&amp;Operators'!$C$1:$F$10000,4,FALSE)</f>
        <v>#N/A</v>
      </c>
      <c r="H80" s="29" t="e">
        <f>VLOOKUP(B80,'Trips&amp;Operators'!$C$1:$H$10000,5,FALSE)</f>
        <v>#N/A</v>
      </c>
      <c r="I8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80" s="30" t="e">
        <f>VLOOKUP(B80,'Train Runs'!$A$13:$A$99942,1,FALSE)</f>
        <v>#N/A</v>
      </c>
    </row>
    <row r="81" spans="1:10" x14ac:dyDescent="0.25">
      <c r="A81" s="190"/>
      <c r="B81" s="42" t="str">
        <f>A81&amp;"-"&amp;IF(DAY(Variables!$A$2)&lt;10,0,"")&amp;DAY(Variables!$A$2)</f>
        <v>-28</v>
      </c>
      <c r="C81" s="138"/>
      <c r="D81" s="156"/>
      <c r="E81" s="30"/>
      <c r="F81" s="21" t="e">
        <f>VLOOKUP(B81,'Trips&amp;Operators'!$C$2:$E$10000,3,FALSE)</f>
        <v>#N/A</v>
      </c>
      <c r="G81" s="21" t="e">
        <f>VLOOKUP(B81,'Trips&amp;Operators'!$C$1:$F$10000,4,FALSE)</f>
        <v>#N/A</v>
      </c>
      <c r="H81" s="29" t="e">
        <f>VLOOKUP(B81,'Trips&amp;Operators'!$C$1:$H$10000,5,FALSE)</f>
        <v>#N/A</v>
      </c>
      <c r="I8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81" s="30" t="e">
        <f>VLOOKUP(B81,'Train Runs'!$A$13:$A$99942,1,FALSE)</f>
        <v>#N/A</v>
      </c>
    </row>
    <row r="82" spans="1:10" x14ac:dyDescent="0.25">
      <c r="A82" s="190"/>
      <c r="B82" s="42" t="str">
        <f>A82&amp;"-"&amp;IF(DAY(Variables!$A$2)&lt;10,0,"")&amp;DAY(Variables!$A$2)</f>
        <v>-28</v>
      </c>
      <c r="C82" s="138"/>
      <c r="D82" s="156"/>
      <c r="E82" s="30"/>
      <c r="F82" s="21" t="e">
        <f>VLOOKUP(B82,'Trips&amp;Operators'!$C$2:$E$10000,3,FALSE)</f>
        <v>#N/A</v>
      </c>
      <c r="G82" s="21" t="e">
        <f>VLOOKUP(B82,'Trips&amp;Operators'!$C$1:$F$10000,4,FALSE)</f>
        <v>#N/A</v>
      </c>
      <c r="H82" s="29" t="e">
        <f>VLOOKUP(B82,'Trips&amp;Operators'!$C$1:$H$10000,5,FALSE)</f>
        <v>#N/A</v>
      </c>
      <c r="I8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82" s="30" t="e">
        <f>VLOOKUP(B82,'Train Runs'!$A$13:$A$99942,1,FALSE)</f>
        <v>#N/A</v>
      </c>
    </row>
    <row r="83" spans="1:10" x14ac:dyDescent="0.25">
      <c r="A83" s="190"/>
      <c r="B83" s="42" t="str">
        <f>A83&amp;"-"&amp;IF(DAY(Variables!$A$2)&lt;10,0,"")&amp;DAY(Variables!$A$2)</f>
        <v>-28</v>
      </c>
      <c r="C83" s="138"/>
      <c r="D83" s="156"/>
      <c r="E83" s="30"/>
      <c r="F83" s="21" t="e">
        <f>VLOOKUP(B83,'Trips&amp;Operators'!$C$2:$E$10000,3,FALSE)</f>
        <v>#N/A</v>
      </c>
      <c r="G83" s="21" t="e">
        <f>VLOOKUP(B83,'Trips&amp;Operators'!$C$1:$F$10000,4,FALSE)</f>
        <v>#N/A</v>
      </c>
      <c r="H83" s="29" t="e">
        <f>VLOOKUP(B83,'Trips&amp;Operators'!$C$1:$H$10000,5,FALSE)</f>
        <v>#N/A</v>
      </c>
      <c r="I8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83" s="30" t="e">
        <f>VLOOKUP(B83,'Train Runs'!$A$13:$A$99942,1,FALSE)</f>
        <v>#N/A</v>
      </c>
    </row>
  </sheetData>
  <autoFilter ref="A2:J83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64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41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41" t="s">
        <v>176</v>
      </c>
      <c r="E1" s="20" t="s">
        <v>177</v>
      </c>
      <c r="F1" s="20" t="s">
        <v>195</v>
      </c>
      <c r="G1" s="8" t="s">
        <v>194</v>
      </c>
    </row>
    <row r="2" spans="1:7" x14ac:dyDescent="0.25">
      <c r="A2" s="8">
        <v>42853.034456018519</v>
      </c>
      <c r="B2" s="20" t="s">
        <v>470</v>
      </c>
      <c r="C2" s="20" t="s">
        <v>541</v>
      </c>
      <c r="D2" s="141">
        <v>1800000</v>
      </c>
      <c r="E2" s="20" t="s">
        <v>369</v>
      </c>
      <c r="F2" s="20" t="s">
        <v>370</v>
      </c>
      <c r="G2" s="8" t="str">
        <f>E2&amp;" "&amp;F2</f>
        <v>CHANDLER KELVIN</v>
      </c>
    </row>
    <row r="3" spans="1:7" x14ac:dyDescent="0.25">
      <c r="A3" s="8">
        <v>42853.035995370374</v>
      </c>
      <c r="B3" s="20" t="s">
        <v>420</v>
      </c>
      <c r="C3" s="20" t="s">
        <v>542</v>
      </c>
      <c r="D3" s="141">
        <v>2540000</v>
      </c>
      <c r="E3" s="20" t="s">
        <v>535</v>
      </c>
      <c r="F3" s="20" t="s">
        <v>536</v>
      </c>
      <c r="G3" s="8" t="str">
        <f t="shared" ref="G3:G66" si="0">E3&amp;" "&amp;F3</f>
        <v>MCREYNOLDS KYLE</v>
      </c>
    </row>
    <row r="4" spans="1:7" x14ac:dyDescent="0.25">
      <c r="A4" s="8">
        <v>42853.056527777779</v>
      </c>
      <c r="B4" s="20" t="s">
        <v>526</v>
      </c>
      <c r="C4" s="20" t="s">
        <v>543</v>
      </c>
      <c r="D4" s="141">
        <v>1810000</v>
      </c>
      <c r="E4" s="20" t="s">
        <v>371</v>
      </c>
      <c r="F4" s="20" t="s">
        <v>193</v>
      </c>
      <c r="G4" s="8" t="str">
        <f t="shared" si="0"/>
        <v>NEWELL JAMES</v>
      </c>
    </row>
    <row r="5" spans="1:7" x14ac:dyDescent="0.25">
      <c r="A5" s="8">
        <v>42853.056747685187</v>
      </c>
      <c r="B5" s="20" t="s">
        <v>386</v>
      </c>
      <c r="C5" s="20" t="s">
        <v>544</v>
      </c>
      <c r="D5" s="141">
        <v>2150000</v>
      </c>
      <c r="E5" s="20" t="s">
        <v>349</v>
      </c>
      <c r="F5" s="20" t="s">
        <v>350</v>
      </c>
      <c r="G5" s="8" t="str">
        <f t="shared" si="0"/>
        <v>SWANSON BRYCE</v>
      </c>
    </row>
    <row r="6" spans="1:7" x14ac:dyDescent="0.25">
      <c r="A6" s="8">
        <v>42853.068171296298</v>
      </c>
      <c r="B6" s="20" t="s">
        <v>421</v>
      </c>
      <c r="C6" s="20" t="s">
        <v>545</v>
      </c>
      <c r="D6" s="141">
        <v>2540000</v>
      </c>
      <c r="E6" s="20" t="s">
        <v>535</v>
      </c>
      <c r="F6" s="20" t="s">
        <v>536</v>
      </c>
      <c r="G6" s="8" t="str">
        <f t="shared" si="0"/>
        <v>MCREYNOLDS KYLE</v>
      </c>
    </row>
    <row r="7" spans="1:7" x14ac:dyDescent="0.25">
      <c r="A7" s="8">
        <v>42853.08861111111</v>
      </c>
      <c r="B7" s="20" t="s">
        <v>528</v>
      </c>
      <c r="C7" s="20" t="s">
        <v>539</v>
      </c>
      <c r="D7" s="141">
        <v>2620000</v>
      </c>
      <c r="E7" s="20" t="s">
        <v>460</v>
      </c>
      <c r="F7" s="20" t="s">
        <v>461</v>
      </c>
      <c r="G7" s="8" t="str">
        <f t="shared" si="0"/>
        <v>PERKINS DARREN</v>
      </c>
    </row>
    <row r="8" spans="1:7" x14ac:dyDescent="0.25">
      <c r="A8" s="8">
        <v>42853.08971064815</v>
      </c>
      <c r="B8" s="20" t="s">
        <v>355</v>
      </c>
      <c r="C8" s="20" t="s">
        <v>546</v>
      </c>
      <c r="D8" s="141">
        <v>2150000</v>
      </c>
      <c r="E8" s="20" t="s">
        <v>349</v>
      </c>
      <c r="F8" s="20" t="s">
        <v>350</v>
      </c>
      <c r="G8" s="8" t="str">
        <f t="shared" si="0"/>
        <v>SWANSON BRYCE</v>
      </c>
    </row>
    <row r="9" spans="1:7" ht="15.75" thickBot="1" x14ac:dyDescent="0.3">
      <c r="A9" s="24">
        <v>42853.107974537037</v>
      </c>
      <c r="B9" s="20" t="s">
        <v>527</v>
      </c>
      <c r="C9" s="20" t="s">
        <v>540</v>
      </c>
      <c r="D9" s="141">
        <v>2620000</v>
      </c>
      <c r="E9" s="20" t="s">
        <v>460</v>
      </c>
      <c r="F9" s="20" t="s">
        <v>461</v>
      </c>
      <c r="G9" s="8" t="str">
        <f t="shared" si="0"/>
        <v>PERKINS DARREN</v>
      </c>
    </row>
    <row r="10" spans="1:7" x14ac:dyDescent="0.25">
      <c r="A10" s="8">
        <v>42853.109027777777</v>
      </c>
      <c r="B10" s="20" t="s">
        <v>527</v>
      </c>
      <c r="C10" s="20" t="s">
        <v>540</v>
      </c>
      <c r="D10" s="141">
        <v>2620000</v>
      </c>
      <c r="E10" s="20" t="s">
        <v>460</v>
      </c>
      <c r="F10" s="20" t="s">
        <v>461</v>
      </c>
      <c r="G10" s="8" t="str">
        <f t="shared" si="0"/>
        <v>PERKINS DARREN</v>
      </c>
    </row>
    <row r="11" spans="1:7" x14ac:dyDescent="0.25">
      <c r="A11" s="8">
        <v>42853.117060185185</v>
      </c>
      <c r="B11" s="20" t="s">
        <v>630</v>
      </c>
      <c r="C11" s="20" t="s">
        <v>645</v>
      </c>
      <c r="D11" s="141">
        <v>2550000</v>
      </c>
      <c r="E11" s="20" t="s">
        <v>494</v>
      </c>
      <c r="F11" s="20" t="s">
        <v>495</v>
      </c>
      <c r="G11" s="8" t="str">
        <f t="shared" si="0"/>
        <v>BADERTSCHER DIANE</v>
      </c>
    </row>
    <row r="12" spans="1:7" x14ac:dyDescent="0.25">
      <c r="A12" s="8">
        <v>42853.130312499998</v>
      </c>
      <c r="B12" s="20" t="s">
        <v>616</v>
      </c>
      <c r="C12" s="20" t="s">
        <v>646</v>
      </c>
      <c r="D12" s="141">
        <v>2550000</v>
      </c>
      <c r="E12" s="20" t="s">
        <v>494</v>
      </c>
      <c r="F12" s="20" t="s">
        <v>495</v>
      </c>
      <c r="G12" s="8" t="str">
        <f t="shared" si="0"/>
        <v>BADERTSCHER DIANE</v>
      </c>
    </row>
    <row r="13" spans="1:7" x14ac:dyDescent="0.25">
      <c r="A13" s="8">
        <v>42853.138645833336</v>
      </c>
      <c r="B13" s="20" t="s">
        <v>606</v>
      </c>
      <c r="C13" s="20" t="s">
        <v>647</v>
      </c>
      <c r="D13" s="141">
        <v>1990000</v>
      </c>
      <c r="E13" s="20" t="s">
        <v>648</v>
      </c>
      <c r="F13" s="20" t="s">
        <v>649</v>
      </c>
      <c r="G13" s="8" t="str">
        <f t="shared" si="0"/>
        <v>DAVIS WENDY</v>
      </c>
    </row>
    <row r="14" spans="1:7" x14ac:dyDescent="0.25">
      <c r="A14" s="8">
        <v>42853.146678240744</v>
      </c>
      <c r="B14" s="20" t="s">
        <v>528</v>
      </c>
      <c r="C14" s="20" t="s">
        <v>539</v>
      </c>
      <c r="D14" s="141">
        <v>2620000</v>
      </c>
      <c r="E14" s="20" t="s">
        <v>460</v>
      </c>
      <c r="F14" s="20" t="s">
        <v>461</v>
      </c>
      <c r="G14" s="8" t="str">
        <f t="shared" si="0"/>
        <v>PERKINS DARREN</v>
      </c>
    </row>
    <row r="15" spans="1:7" x14ac:dyDescent="0.25">
      <c r="A15" s="8">
        <v>42853.149467592593</v>
      </c>
      <c r="B15" s="20" t="s">
        <v>638</v>
      </c>
      <c r="C15" s="20" t="s">
        <v>650</v>
      </c>
      <c r="D15" s="141">
        <v>1990000</v>
      </c>
      <c r="E15" s="20" t="s">
        <v>648</v>
      </c>
      <c r="F15" s="20" t="s">
        <v>649</v>
      </c>
      <c r="G15" s="8" t="str">
        <f t="shared" si="0"/>
        <v>DAVIS WENDY</v>
      </c>
    </row>
    <row r="16" spans="1:7" x14ac:dyDescent="0.25">
      <c r="A16" s="8">
        <v>42853.160914351851</v>
      </c>
      <c r="B16" s="20" t="s">
        <v>360</v>
      </c>
      <c r="C16" s="20" t="s">
        <v>651</v>
      </c>
      <c r="D16" s="141">
        <v>3020000</v>
      </c>
      <c r="E16" s="20" t="s">
        <v>448</v>
      </c>
      <c r="F16" s="20" t="s">
        <v>449</v>
      </c>
      <c r="G16" s="8" t="str">
        <f t="shared" si="0"/>
        <v>MENGES BRAD</v>
      </c>
    </row>
    <row r="17" spans="1:7" x14ac:dyDescent="0.25">
      <c r="A17" s="8">
        <v>42853.162314814814</v>
      </c>
      <c r="B17" s="20" t="s">
        <v>360</v>
      </c>
      <c r="C17" s="20" t="s">
        <v>651</v>
      </c>
      <c r="D17" s="141">
        <v>3020000</v>
      </c>
      <c r="E17" s="20" t="s">
        <v>448</v>
      </c>
      <c r="F17" s="20" t="s">
        <v>449</v>
      </c>
      <c r="G17" s="8" t="str">
        <f t="shared" si="0"/>
        <v>MENGES BRAD</v>
      </c>
    </row>
    <row r="18" spans="1:7" x14ac:dyDescent="0.25">
      <c r="A18" s="8">
        <v>42853.170162037037</v>
      </c>
      <c r="B18" s="20" t="s">
        <v>630</v>
      </c>
      <c r="C18" s="20" t="s">
        <v>652</v>
      </c>
      <c r="D18" s="141">
        <v>2550000</v>
      </c>
      <c r="E18" s="20" t="s">
        <v>494</v>
      </c>
      <c r="F18" s="20" t="s">
        <v>495</v>
      </c>
      <c r="G18" s="8" t="str">
        <f t="shared" si="0"/>
        <v>BADERTSCHER DIANE</v>
      </c>
    </row>
    <row r="19" spans="1:7" x14ac:dyDescent="0.25">
      <c r="A19" s="8">
        <v>42853.171724537038</v>
      </c>
      <c r="B19" s="20" t="s">
        <v>438</v>
      </c>
      <c r="C19" s="20" t="s">
        <v>653</v>
      </c>
      <c r="D19" s="141">
        <v>1110000</v>
      </c>
      <c r="E19" s="20" t="s">
        <v>445</v>
      </c>
      <c r="F19" s="20" t="s">
        <v>446</v>
      </c>
      <c r="G19" s="8" t="str">
        <f t="shared" si="0"/>
        <v>STARKS ANGELINA</v>
      </c>
    </row>
    <row r="20" spans="1:7" x14ac:dyDescent="0.25">
      <c r="A20" s="8">
        <v>42853.173229166663</v>
      </c>
      <c r="B20" s="20" t="s">
        <v>351</v>
      </c>
      <c r="C20" s="20" t="s">
        <v>654</v>
      </c>
      <c r="D20" s="141">
        <v>3020000</v>
      </c>
      <c r="E20" s="20" t="s">
        <v>448</v>
      </c>
      <c r="F20" s="20" t="s">
        <v>449</v>
      </c>
      <c r="G20" s="8" t="str">
        <f t="shared" si="0"/>
        <v>MENGES BRAD</v>
      </c>
    </row>
    <row r="21" spans="1:7" x14ac:dyDescent="0.25">
      <c r="A21" s="8">
        <v>42853.18513888889</v>
      </c>
      <c r="B21" s="20" t="s">
        <v>439</v>
      </c>
      <c r="C21" s="20" t="s">
        <v>655</v>
      </c>
      <c r="D21" s="141">
        <v>1110000</v>
      </c>
      <c r="E21" s="20" t="s">
        <v>445</v>
      </c>
      <c r="F21" s="20" t="s">
        <v>446</v>
      </c>
      <c r="G21" s="8" t="str">
        <f t="shared" si="0"/>
        <v>STARKS ANGELINA</v>
      </c>
    </row>
    <row r="22" spans="1:7" x14ac:dyDescent="0.25">
      <c r="A22" s="26">
        <v>42853.185949074075</v>
      </c>
      <c r="B22" s="20" t="s">
        <v>356</v>
      </c>
      <c r="C22" s="20" t="s">
        <v>656</v>
      </c>
      <c r="D22" s="141">
        <v>890000</v>
      </c>
      <c r="E22" s="20" t="s">
        <v>472</v>
      </c>
      <c r="F22" s="20" t="s">
        <v>473</v>
      </c>
      <c r="G22" s="8" t="str">
        <f t="shared" si="0"/>
        <v>LOZA FIDEL</v>
      </c>
    </row>
    <row r="23" spans="1:7" x14ac:dyDescent="0.25">
      <c r="A23" s="8">
        <v>42853.191319444442</v>
      </c>
      <c r="B23" s="20" t="s">
        <v>606</v>
      </c>
      <c r="C23" s="20" t="s">
        <v>657</v>
      </c>
      <c r="D23" s="141">
        <v>1990000</v>
      </c>
      <c r="E23" s="20" t="s">
        <v>648</v>
      </c>
      <c r="F23" s="20" t="s">
        <v>649</v>
      </c>
      <c r="G23" s="8" t="str">
        <f t="shared" si="0"/>
        <v>DAVIS WENDY</v>
      </c>
    </row>
    <row r="24" spans="1:7" x14ac:dyDescent="0.25">
      <c r="A24" s="8">
        <v>42853.196631944447</v>
      </c>
      <c r="B24" s="20" t="s">
        <v>357</v>
      </c>
      <c r="C24" s="20" t="s">
        <v>658</v>
      </c>
      <c r="D24" s="141">
        <v>890000</v>
      </c>
      <c r="E24" s="20" t="s">
        <v>472</v>
      </c>
      <c r="F24" s="20" t="s">
        <v>473</v>
      </c>
      <c r="G24" s="8" t="str">
        <f t="shared" si="0"/>
        <v>LOZA FIDEL</v>
      </c>
    </row>
    <row r="25" spans="1:7" x14ac:dyDescent="0.25">
      <c r="A25" s="8">
        <v>42853.198761574073</v>
      </c>
      <c r="B25" s="20" t="s">
        <v>427</v>
      </c>
      <c r="C25" s="20" t="s">
        <v>659</v>
      </c>
      <c r="D25" s="141">
        <v>3130000</v>
      </c>
      <c r="E25" s="20" t="s">
        <v>450</v>
      </c>
      <c r="F25" s="20" t="s">
        <v>451</v>
      </c>
      <c r="G25" s="8" t="str">
        <f t="shared" si="0"/>
        <v>ZEWDU DEREJE</v>
      </c>
    </row>
    <row r="26" spans="1:7" x14ac:dyDescent="0.25">
      <c r="A26" s="8">
        <v>42853.205740740741</v>
      </c>
      <c r="B26" s="20" t="s">
        <v>616</v>
      </c>
      <c r="C26" s="20" t="s">
        <v>660</v>
      </c>
      <c r="D26" s="141">
        <v>3030000</v>
      </c>
      <c r="E26" s="20" t="s">
        <v>447</v>
      </c>
      <c r="F26" s="20" t="s">
        <v>432</v>
      </c>
      <c r="G26" s="8" t="str">
        <f t="shared" si="0"/>
        <v>BIRENBAUM THOMAS</v>
      </c>
    </row>
    <row r="27" spans="1:7" x14ac:dyDescent="0.25">
      <c r="A27" s="8">
        <v>42853.207418981481</v>
      </c>
      <c r="B27" s="20" t="s">
        <v>360</v>
      </c>
      <c r="C27" s="20" t="s">
        <v>661</v>
      </c>
      <c r="D27" s="141">
        <v>3020000</v>
      </c>
      <c r="E27" s="20" t="s">
        <v>448</v>
      </c>
      <c r="F27" s="20" t="s">
        <v>449</v>
      </c>
      <c r="G27" s="8" t="str">
        <f t="shared" si="0"/>
        <v>MENGES BRAD</v>
      </c>
    </row>
    <row r="28" spans="1:7" x14ac:dyDescent="0.25">
      <c r="A28" s="8">
        <v>42853.208807870367</v>
      </c>
      <c r="B28" s="20" t="s">
        <v>604</v>
      </c>
      <c r="C28" s="20" t="s">
        <v>662</v>
      </c>
      <c r="D28" s="141">
        <v>2550000</v>
      </c>
      <c r="E28" s="20" t="s">
        <v>494</v>
      </c>
      <c r="F28" s="20" t="s">
        <v>495</v>
      </c>
      <c r="G28" s="8" t="str">
        <f t="shared" si="0"/>
        <v>BADERTSCHER DIANE</v>
      </c>
    </row>
    <row r="29" spans="1:7" x14ac:dyDescent="0.25">
      <c r="A29" s="8">
        <v>42853.212916666664</v>
      </c>
      <c r="B29" s="20" t="s">
        <v>471</v>
      </c>
      <c r="C29" s="20" t="s">
        <v>663</v>
      </c>
      <c r="D29" s="141">
        <v>3130000</v>
      </c>
      <c r="E29" s="20" t="s">
        <v>450</v>
      </c>
      <c r="F29" s="20" t="s">
        <v>451</v>
      </c>
      <c r="G29" s="8" t="str">
        <f t="shared" si="0"/>
        <v>ZEWDU DEREJE</v>
      </c>
    </row>
    <row r="30" spans="1:7" x14ac:dyDescent="0.25">
      <c r="A30" s="8">
        <v>42853.224629629629</v>
      </c>
      <c r="B30" s="20" t="s">
        <v>438</v>
      </c>
      <c r="C30" s="20" t="s">
        <v>598</v>
      </c>
      <c r="D30" s="141">
        <v>1110000</v>
      </c>
      <c r="E30" s="20" t="s">
        <v>445</v>
      </c>
      <c r="F30" s="20" t="s">
        <v>446</v>
      </c>
      <c r="G30" s="8" t="str">
        <f t="shared" si="0"/>
        <v>STARKS ANGELINA</v>
      </c>
    </row>
    <row r="31" spans="1:7" x14ac:dyDescent="0.25">
      <c r="A31" s="8">
        <v>42853.226805555554</v>
      </c>
      <c r="B31" s="20" t="s">
        <v>638</v>
      </c>
      <c r="C31" s="20" t="s">
        <v>664</v>
      </c>
      <c r="D31" s="141">
        <v>900000</v>
      </c>
      <c r="E31" s="20" t="s">
        <v>496</v>
      </c>
      <c r="F31" s="20" t="s">
        <v>497</v>
      </c>
      <c r="G31" s="8" t="str">
        <f t="shared" si="0"/>
        <v>ROCHA YAOTL</v>
      </c>
    </row>
    <row r="32" spans="1:7" x14ac:dyDescent="0.25">
      <c r="A32" s="8">
        <v>42853.228888888887</v>
      </c>
      <c r="B32" s="20" t="s">
        <v>427</v>
      </c>
      <c r="C32" s="20" t="s">
        <v>665</v>
      </c>
      <c r="D32" s="141">
        <v>3130000</v>
      </c>
      <c r="E32" s="20" t="s">
        <v>450</v>
      </c>
      <c r="F32" s="20" t="s">
        <v>451</v>
      </c>
      <c r="G32" s="8" t="str">
        <f t="shared" si="0"/>
        <v>ZEWDU DEREJE</v>
      </c>
    </row>
    <row r="33" spans="1:7" x14ac:dyDescent="0.25">
      <c r="A33" s="8">
        <v>42853.233935185184</v>
      </c>
      <c r="B33" s="20" t="s">
        <v>356</v>
      </c>
      <c r="C33" s="20" t="s">
        <v>666</v>
      </c>
      <c r="D33" s="141">
        <v>890000</v>
      </c>
      <c r="E33" s="20" t="s">
        <v>472</v>
      </c>
      <c r="F33" s="20" t="s">
        <v>473</v>
      </c>
      <c r="G33" s="8" t="str">
        <f t="shared" si="0"/>
        <v>LOZA FIDEL</v>
      </c>
    </row>
    <row r="34" spans="1:7" x14ac:dyDescent="0.25">
      <c r="A34" s="8">
        <v>42853.236354166664</v>
      </c>
      <c r="B34" s="20" t="s">
        <v>428</v>
      </c>
      <c r="C34" s="20" t="s">
        <v>667</v>
      </c>
      <c r="D34" s="141">
        <v>1990000</v>
      </c>
      <c r="E34" s="20" t="s">
        <v>648</v>
      </c>
      <c r="F34" s="20" t="s">
        <v>649</v>
      </c>
      <c r="G34" s="8" t="str">
        <f t="shared" si="0"/>
        <v>DAVIS WENDY</v>
      </c>
    </row>
    <row r="35" spans="1:7" x14ac:dyDescent="0.25">
      <c r="A35" s="8">
        <v>42853.237511574072</v>
      </c>
      <c r="B35" s="20" t="s">
        <v>619</v>
      </c>
      <c r="C35" s="20" t="s">
        <v>668</v>
      </c>
      <c r="D35" s="141">
        <v>3030000</v>
      </c>
      <c r="E35" s="20" t="s">
        <v>447</v>
      </c>
      <c r="F35" s="20" t="s">
        <v>432</v>
      </c>
      <c r="G35" s="8" t="str">
        <f t="shared" si="0"/>
        <v>BIRENBAUM THOMAS</v>
      </c>
    </row>
    <row r="36" spans="1:7" x14ac:dyDescent="0.25">
      <c r="A36" s="8">
        <v>42853.246840277781</v>
      </c>
      <c r="B36" s="20" t="s">
        <v>444</v>
      </c>
      <c r="C36" s="20" t="s">
        <v>669</v>
      </c>
      <c r="D36" s="141">
        <v>1340000</v>
      </c>
      <c r="E36" s="20" t="s">
        <v>533</v>
      </c>
      <c r="F36" s="20" t="s">
        <v>534</v>
      </c>
      <c r="G36" s="8" t="str">
        <f t="shared" si="0"/>
        <v>BEAM ROSS</v>
      </c>
    </row>
    <row r="37" spans="1:7" x14ac:dyDescent="0.25">
      <c r="A37" s="8">
        <v>42853.247210648151</v>
      </c>
      <c r="B37" s="20" t="s">
        <v>199</v>
      </c>
      <c r="C37" s="20" t="s">
        <v>670</v>
      </c>
      <c r="D37" s="141">
        <v>1090000</v>
      </c>
      <c r="E37" s="20" t="s">
        <v>474</v>
      </c>
      <c r="F37" s="20" t="s">
        <v>196</v>
      </c>
      <c r="G37" s="8" t="str">
        <f t="shared" si="0"/>
        <v>SPECTOR MICHAEL</v>
      </c>
    </row>
    <row r="38" spans="1:7" x14ac:dyDescent="0.25">
      <c r="A38" s="8">
        <v>42853.247245370374</v>
      </c>
      <c r="B38" s="20" t="s">
        <v>351</v>
      </c>
      <c r="C38" s="20" t="s">
        <v>671</v>
      </c>
      <c r="D38" s="141">
        <v>3020000</v>
      </c>
      <c r="E38" s="20" t="s">
        <v>448</v>
      </c>
      <c r="F38" s="20" t="s">
        <v>449</v>
      </c>
      <c r="G38" s="8" t="str">
        <f t="shared" si="0"/>
        <v>MENGES BRAD</v>
      </c>
    </row>
    <row r="39" spans="1:7" x14ac:dyDescent="0.25">
      <c r="A39" s="8">
        <v>42853.248194444444</v>
      </c>
      <c r="B39" s="20" t="s">
        <v>199</v>
      </c>
      <c r="C39" s="20" t="s">
        <v>670</v>
      </c>
      <c r="D39" s="141">
        <v>1090000</v>
      </c>
      <c r="E39" s="20" t="s">
        <v>474</v>
      </c>
      <c r="F39" s="20" t="s">
        <v>196</v>
      </c>
      <c r="G39" s="8" t="str">
        <f t="shared" si="0"/>
        <v>SPECTOR MICHAEL</v>
      </c>
    </row>
    <row r="40" spans="1:7" x14ac:dyDescent="0.25">
      <c r="A40" s="8">
        <v>42853.252893518518</v>
      </c>
      <c r="B40" s="25" t="s">
        <v>630</v>
      </c>
      <c r="C40" s="20" t="s">
        <v>672</v>
      </c>
      <c r="D40" s="141">
        <v>2550000</v>
      </c>
      <c r="E40" s="20" t="s">
        <v>494</v>
      </c>
      <c r="F40" s="20" t="s">
        <v>495</v>
      </c>
      <c r="G40" s="8" t="str">
        <f t="shared" si="0"/>
        <v>BADERTSCHER DIANE</v>
      </c>
    </row>
    <row r="41" spans="1:7" x14ac:dyDescent="0.25">
      <c r="A41" s="8">
        <v>42853.25576388889</v>
      </c>
      <c r="B41" s="20" t="s">
        <v>359</v>
      </c>
      <c r="C41" s="20" t="s">
        <v>673</v>
      </c>
      <c r="D41" s="141">
        <v>1340000</v>
      </c>
      <c r="E41" s="20" t="s">
        <v>533</v>
      </c>
      <c r="F41" s="20" t="s">
        <v>534</v>
      </c>
      <c r="G41" s="8" t="str">
        <f t="shared" si="0"/>
        <v>BEAM ROSS</v>
      </c>
    </row>
    <row r="42" spans="1:7" x14ac:dyDescent="0.25">
      <c r="A42" s="8">
        <v>42853.256018518521</v>
      </c>
      <c r="B42" s="20" t="s">
        <v>471</v>
      </c>
      <c r="C42" s="20" t="s">
        <v>674</v>
      </c>
      <c r="D42" s="141">
        <v>3130000</v>
      </c>
      <c r="E42" s="20" t="s">
        <v>450</v>
      </c>
      <c r="F42" s="20" t="s">
        <v>451</v>
      </c>
      <c r="G42" s="8" t="str">
        <f t="shared" si="0"/>
        <v>ZEWDU DEREJE</v>
      </c>
    </row>
    <row r="43" spans="1:7" x14ac:dyDescent="0.25">
      <c r="A43" s="8">
        <v>42853.257071759261</v>
      </c>
      <c r="B43" s="20" t="s">
        <v>360</v>
      </c>
      <c r="C43" s="20" t="s">
        <v>670</v>
      </c>
      <c r="D43" s="141">
        <v>1090000</v>
      </c>
      <c r="E43" s="20" t="s">
        <v>474</v>
      </c>
      <c r="F43" s="20" t="s">
        <v>196</v>
      </c>
      <c r="G43" s="8" t="str">
        <f t="shared" si="0"/>
        <v>SPECTOR MICHAEL</v>
      </c>
    </row>
    <row r="44" spans="1:7" x14ac:dyDescent="0.25">
      <c r="A44" s="8">
        <v>42853.258773148147</v>
      </c>
      <c r="B44" s="20" t="s">
        <v>439</v>
      </c>
      <c r="C44" s="20" t="s">
        <v>675</v>
      </c>
      <c r="D44" s="141">
        <v>1110000</v>
      </c>
      <c r="E44" s="20" t="s">
        <v>445</v>
      </c>
      <c r="F44" s="20" t="s">
        <v>446</v>
      </c>
      <c r="G44" s="8" t="str">
        <f t="shared" si="0"/>
        <v>STARKS ANGELINA</v>
      </c>
    </row>
    <row r="45" spans="1:7" x14ac:dyDescent="0.25">
      <c r="A45" s="8">
        <v>42853.266597222224</v>
      </c>
      <c r="B45" s="20" t="s">
        <v>357</v>
      </c>
      <c r="C45" s="20" t="s">
        <v>676</v>
      </c>
      <c r="D45" s="141">
        <v>890000</v>
      </c>
      <c r="E45" s="20" t="s">
        <v>472</v>
      </c>
      <c r="F45" s="20" t="s">
        <v>473</v>
      </c>
      <c r="G45" s="8" t="str">
        <f t="shared" si="0"/>
        <v>LOZA FIDEL</v>
      </c>
    </row>
    <row r="46" spans="1:7" x14ac:dyDescent="0.25">
      <c r="A46" s="8">
        <v>42853.267094907409</v>
      </c>
      <c r="B46" s="20" t="s">
        <v>599</v>
      </c>
      <c r="C46" s="20" t="s">
        <v>600</v>
      </c>
      <c r="D46" s="141">
        <v>900000</v>
      </c>
      <c r="E46" s="20" t="s">
        <v>496</v>
      </c>
      <c r="F46" s="20" t="s">
        <v>497</v>
      </c>
      <c r="G46" s="8" t="str">
        <f t="shared" si="0"/>
        <v>ROCHA YAOTL</v>
      </c>
    </row>
    <row r="47" spans="1:7" x14ac:dyDescent="0.25">
      <c r="A47" s="8">
        <v>42853.270624999997</v>
      </c>
      <c r="B47" s="20" t="s">
        <v>427</v>
      </c>
      <c r="C47" s="20" t="s">
        <v>677</v>
      </c>
      <c r="D47" s="141">
        <v>3130000</v>
      </c>
      <c r="E47" s="20" t="s">
        <v>450</v>
      </c>
      <c r="F47" s="20" t="s">
        <v>451</v>
      </c>
      <c r="G47" s="8" t="str">
        <f t="shared" si="0"/>
        <v>ZEWDU DEREJE</v>
      </c>
    </row>
    <row r="48" spans="1:7" x14ac:dyDescent="0.25">
      <c r="A48" s="8">
        <v>42853.272997685184</v>
      </c>
      <c r="B48" s="20" t="s">
        <v>606</v>
      </c>
      <c r="C48" s="20" t="s">
        <v>678</v>
      </c>
      <c r="D48" s="141">
        <v>1990000</v>
      </c>
      <c r="E48" s="20" t="s">
        <v>648</v>
      </c>
      <c r="F48" s="20" t="s">
        <v>649</v>
      </c>
      <c r="G48" s="8" t="str">
        <f t="shared" si="0"/>
        <v>DAVIS WENDY</v>
      </c>
    </row>
    <row r="49" spans="1:7" x14ac:dyDescent="0.25">
      <c r="A49" s="8">
        <v>42853.275081018517</v>
      </c>
      <c r="B49" s="20" t="s">
        <v>444</v>
      </c>
      <c r="C49" s="20" t="s">
        <v>679</v>
      </c>
      <c r="D49" s="141">
        <v>1340000</v>
      </c>
      <c r="E49" s="20" t="s">
        <v>533</v>
      </c>
      <c r="F49" s="20" t="s">
        <v>534</v>
      </c>
      <c r="G49" s="8" t="str">
        <f t="shared" si="0"/>
        <v>BEAM ROSS</v>
      </c>
    </row>
    <row r="50" spans="1:7" x14ac:dyDescent="0.25">
      <c r="A50" s="8">
        <v>42853.277789351851</v>
      </c>
      <c r="B50" s="20" t="s">
        <v>616</v>
      </c>
      <c r="C50" s="20" t="s">
        <v>680</v>
      </c>
      <c r="D50" s="141">
        <v>3030000</v>
      </c>
      <c r="E50" s="20" t="s">
        <v>447</v>
      </c>
      <c r="F50" s="20" t="s">
        <v>432</v>
      </c>
      <c r="G50" s="8" t="str">
        <f t="shared" si="0"/>
        <v>BIRENBAUM THOMAS</v>
      </c>
    </row>
    <row r="51" spans="1:7" x14ac:dyDescent="0.25">
      <c r="A51" s="8">
        <v>42853.284849537034</v>
      </c>
      <c r="B51" s="20" t="s">
        <v>352</v>
      </c>
      <c r="C51" s="20" t="s">
        <v>681</v>
      </c>
      <c r="D51" s="141">
        <v>3020000</v>
      </c>
      <c r="E51" s="20" t="s">
        <v>448</v>
      </c>
      <c r="F51" s="20" t="s">
        <v>449</v>
      </c>
      <c r="G51" s="8" t="str">
        <f t="shared" si="0"/>
        <v>MENGES BRAD</v>
      </c>
    </row>
    <row r="52" spans="1:7" x14ac:dyDescent="0.25">
      <c r="A52" s="8">
        <v>42853.287754629629</v>
      </c>
      <c r="B52" s="20" t="s">
        <v>604</v>
      </c>
      <c r="C52" s="20" t="s">
        <v>682</v>
      </c>
      <c r="D52" s="141">
        <v>2550000</v>
      </c>
      <c r="E52" s="20" t="s">
        <v>494</v>
      </c>
      <c r="F52" s="20" t="s">
        <v>495</v>
      </c>
      <c r="G52" s="8" t="str">
        <f t="shared" si="0"/>
        <v>BADERTSCHER DIANE</v>
      </c>
    </row>
    <row r="53" spans="1:7" x14ac:dyDescent="0.25">
      <c r="A53" s="8">
        <v>42853.297650462962</v>
      </c>
      <c r="B53" s="20" t="s">
        <v>471</v>
      </c>
      <c r="C53" s="20" t="s">
        <v>683</v>
      </c>
      <c r="D53" s="141">
        <v>3130000</v>
      </c>
      <c r="E53" s="20" t="s">
        <v>450</v>
      </c>
      <c r="F53" s="20" t="s">
        <v>451</v>
      </c>
      <c r="G53" s="8" t="str">
        <f t="shared" si="0"/>
        <v>ZEWDU DEREJE</v>
      </c>
    </row>
    <row r="54" spans="1:7" x14ac:dyDescent="0.25">
      <c r="A54" s="8">
        <v>42853.297673611109</v>
      </c>
      <c r="B54" s="20" t="s">
        <v>438</v>
      </c>
      <c r="C54" s="20" t="s">
        <v>601</v>
      </c>
      <c r="D54" s="141">
        <v>1110000</v>
      </c>
      <c r="E54" s="20" t="s">
        <v>445</v>
      </c>
      <c r="F54" s="20" t="s">
        <v>446</v>
      </c>
      <c r="G54" s="8" t="str">
        <f t="shared" si="0"/>
        <v>STARKS ANGELINA</v>
      </c>
    </row>
    <row r="55" spans="1:7" x14ac:dyDescent="0.25">
      <c r="A55" s="8">
        <v>42853.297939814816</v>
      </c>
      <c r="B55" s="20" t="s">
        <v>359</v>
      </c>
      <c r="C55" s="20" t="s">
        <v>684</v>
      </c>
      <c r="D55" s="141">
        <v>1230000</v>
      </c>
      <c r="E55" s="20" t="s">
        <v>685</v>
      </c>
      <c r="F55" s="20" t="s">
        <v>686</v>
      </c>
      <c r="G55" s="8" t="str">
        <f t="shared" si="0"/>
        <v>YANAI IAN</v>
      </c>
    </row>
    <row r="56" spans="1:7" x14ac:dyDescent="0.25">
      <c r="A56" s="8">
        <v>42853.300833333335</v>
      </c>
      <c r="B56" s="20" t="s">
        <v>638</v>
      </c>
      <c r="C56" s="20" t="s">
        <v>687</v>
      </c>
      <c r="D56" s="141">
        <v>900000</v>
      </c>
      <c r="E56" s="20" t="s">
        <v>496</v>
      </c>
      <c r="F56" s="20" t="s">
        <v>497</v>
      </c>
      <c r="G56" s="8" t="str">
        <f t="shared" si="0"/>
        <v>ROCHA YAOTL</v>
      </c>
    </row>
    <row r="57" spans="1:7" x14ac:dyDescent="0.25">
      <c r="A57" s="8">
        <v>42853.306180555555</v>
      </c>
      <c r="B57" s="20" t="s">
        <v>356</v>
      </c>
      <c r="C57" s="20" t="s">
        <v>688</v>
      </c>
      <c r="D57" s="141">
        <v>890000</v>
      </c>
      <c r="E57" s="20" t="s">
        <v>472</v>
      </c>
      <c r="F57" s="20" t="s">
        <v>473</v>
      </c>
      <c r="G57" s="8" t="str">
        <f t="shared" si="0"/>
        <v>LOZA FIDEL</v>
      </c>
    </row>
    <row r="58" spans="1:7" x14ac:dyDescent="0.25">
      <c r="A58" s="8">
        <v>42853.307858796295</v>
      </c>
      <c r="B58" s="20" t="s">
        <v>428</v>
      </c>
      <c r="C58" s="20" t="s">
        <v>603</v>
      </c>
      <c r="D58" s="141">
        <v>1990000</v>
      </c>
      <c r="E58" s="20" t="s">
        <v>648</v>
      </c>
      <c r="F58" s="20" t="s">
        <v>649</v>
      </c>
      <c r="G58" s="8" t="str">
        <f t="shared" si="0"/>
        <v>DAVIS WENDY</v>
      </c>
    </row>
    <row r="59" spans="1:7" x14ac:dyDescent="0.25">
      <c r="A59" s="8">
        <v>42853.310717592591</v>
      </c>
      <c r="B59" s="20" t="s">
        <v>619</v>
      </c>
      <c r="C59" s="20" t="s">
        <v>689</v>
      </c>
      <c r="D59" s="141">
        <v>3030000</v>
      </c>
      <c r="E59" s="20" t="s">
        <v>447</v>
      </c>
      <c r="F59" s="20" t="s">
        <v>432</v>
      </c>
      <c r="G59" s="8" t="str">
        <f t="shared" si="0"/>
        <v>BIRENBAUM THOMAS</v>
      </c>
    </row>
    <row r="60" spans="1:7" x14ac:dyDescent="0.25">
      <c r="A60" s="8">
        <v>42853.312662037039</v>
      </c>
      <c r="B60" s="20" t="s">
        <v>427</v>
      </c>
      <c r="C60" s="20" t="s">
        <v>690</v>
      </c>
      <c r="D60" s="141">
        <v>3130000</v>
      </c>
      <c r="E60" s="20" t="s">
        <v>450</v>
      </c>
      <c r="F60" s="20" t="s">
        <v>451</v>
      </c>
      <c r="G60" s="8" t="str">
        <f t="shared" si="0"/>
        <v>ZEWDU DEREJE</v>
      </c>
    </row>
    <row r="61" spans="1:7" x14ac:dyDescent="0.25">
      <c r="A61" s="8">
        <v>42853.316747685189</v>
      </c>
      <c r="B61" s="20" t="s">
        <v>444</v>
      </c>
      <c r="C61" s="20" t="s">
        <v>691</v>
      </c>
      <c r="D61" s="141">
        <v>1230000</v>
      </c>
      <c r="E61" s="20" t="s">
        <v>685</v>
      </c>
      <c r="F61" s="20" t="s">
        <v>686</v>
      </c>
      <c r="G61" s="8" t="str">
        <f t="shared" si="0"/>
        <v>YANAI IAN</v>
      </c>
    </row>
    <row r="62" spans="1:7" x14ac:dyDescent="0.25">
      <c r="A62" s="8">
        <v>42853.319618055553</v>
      </c>
      <c r="B62" s="20" t="s">
        <v>351</v>
      </c>
      <c r="C62" s="20" t="s">
        <v>692</v>
      </c>
      <c r="D62" s="141">
        <v>3020000</v>
      </c>
      <c r="E62" s="20" t="s">
        <v>448</v>
      </c>
      <c r="F62" s="20" t="s">
        <v>449</v>
      </c>
      <c r="G62" s="8" t="str">
        <f t="shared" si="0"/>
        <v>MENGES BRAD</v>
      </c>
    </row>
    <row r="63" spans="1:7" x14ac:dyDescent="0.25">
      <c r="A63" s="8">
        <v>42853.324583333335</v>
      </c>
      <c r="B63" s="20" t="s">
        <v>630</v>
      </c>
      <c r="C63" s="20" t="s">
        <v>693</v>
      </c>
      <c r="D63" s="141">
        <v>2550000</v>
      </c>
      <c r="E63" s="20" t="s">
        <v>494</v>
      </c>
      <c r="F63" s="20" t="s">
        <v>495</v>
      </c>
      <c r="G63" s="8" t="str">
        <f t="shared" si="0"/>
        <v>BADERTSCHER DIANE</v>
      </c>
    </row>
    <row r="64" spans="1:7" x14ac:dyDescent="0.25">
      <c r="A64" s="26">
        <v>42853.329756944448</v>
      </c>
      <c r="B64" s="20" t="s">
        <v>439</v>
      </c>
      <c r="C64" s="20" t="s">
        <v>602</v>
      </c>
      <c r="D64" s="141">
        <v>1110000</v>
      </c>
      <c r="E64" s="20" t="s">
        <v>445</v>
      </c>
      <c r="F64" s="20" t="s">
        <v>446</v>
      </c>
      <c r="G64" s="8" t="str">
        <f t="shared" si="0"/>
        <v>STARKS ANGELINA</v>
      </c>
    </row>
    <row r="65" spans="1:7" x14ac:dyDescent="0.25">
      <c r="A65" s="8">
        <v>42853.339583333334</v>
      </c>
      <c r="B65" s="20" t="s">
        <v>471</v>
      </c>
      <c r="C65" s="20" t="s">
        <v>694</v>
      </c>
      <c r="D65" s="141">
        <v>3130000</v>
      </c>
      <c r="E65" s="20" t="s">
        <v>450</v>
      </c>
      <c r="F65" s="20" t="s">
        <v>451</v>
      </c>
      <c r="G65" s="8" t="str">
        <f t="shared" si="0"/>
        <v>ZEWDU DEREJE</v>
      </c>
    </row>
    <row r="66" spans="1:7" x14ac:dyDescent="0.25">
      <c r="A66" s="8">
        <v>42853.339849537035</v>
      </c>
      <c r="B66" s="20" t="s">
        <v>599</v>
      </c>
      <c r="C66" s="20" t="s">
        <v>695</v>
      </c>
      <c r="D66" s="141">
        <v>900000</v>
      </c>
      <c r="E66" s="20" t="s">
        <v>496</v>
      </c>
      <c r="F66" s="20" t="s">
        <v>497</v>
      </c>
      <c r="G66" s="8" t="str">
        <f t="shared" si="0"/>
        <v>ROCHA YAOTL</v>
      </c>
    </row>
    <row r="67" spans="1:7" x14ac:dyDescent="0.25">
      <c r="A67" s="8">
        <v>42853.339953703704</v>
      </c>
      <c r="B67" s="20" t="s">
        <v>359</v>
      </c>
      <c r="C67" s="20" t="s">
        <v>696</v>
      </c>
      <c r="D67" s="141">
        <v>1230000</v>
      </c>
      <c r="E67" s="20" t="s">
        <v>685</v>
      </c>
      <c r="F67" s="20" t="s">
        <v>686</v>
      </c>
      <c r="G67" s="8" t="str">
        <f t="shared" ref="G67:G130" si="1">E67&amp;" "&amp;F67</f>
        <v>YANAI IAN</v>
      </c>
    </row>
    <row r="68" spans="1:7" x14ac:dyDescent="0.25">
      <c r="A68" s="8">
        <v>42853.339953703704</v>
      </c>
      <c r="B68" s="20" t="s">
        <v>357</v>
      </c>
      <c r="C68" s="20" t="s">
        <v>697</v>
      </c>
      <c r="D68" s="141">
        <v>890000</v>
      </c>
      <c r="E68" s="20" t="s">
        <v>472</v>
      </c>
      <c r="F68" s="20" t="s">
        <v>473</v>
      </c>
      <c r="G68" s="8" t="str">
        <f t="shared" si="1"/>
        <v>LOZA FIDEL</v>
      </c>
    </row>
    <row r="69" spans="1:7" x14ac:dyDescent="0.25">
      <c r="A69" s="8">
        <v>42853.349791666667</v>
      </c>
      <c r="B69" s="20" t="s">
        <v>606</v>
      </c>
      <c r="C69" s="20" t="s">
        <v>607</v>
      </c>
      <c r="D69" s="141">
        <v>1990000</v>
      </c>
      <c r="E69" s="20" t="s">
        <v>648</v>
      </c>
      <c r="F69" s="20" t="s">
        <v>649</v>
      </c>
      <c r="G69" s="8" t="str">
        <f t="shared" si="1"/>
        <v>DAVIS WENDY</v>
      </c>
    </row>
    <row r="70" spans="1:7" x14ac:dyDescent="0.25">
      <c r="A70" s="8">
        <v>42853.349976851852</v>
      </c>
      <c r="B70" s="20" t="s">
        <v>616</v>
      </c>
      <c r="C70" s="20" t="s">
        <v>698</v>
      </c>
      <c r="D70" s="141">
        <v>3030000</v>
      </c>
      <c r="E70" s="20" t="s">
        <v>447</v>
      </c>
      <c r="F70" s="20" t="s">
        <v>432</v>
      </c>
      <c r="G70" s="8" t="str">
        <f t="shared" si="1"/>
        <v>BIRENBAUM THOMAS</v>
      </c>
    </row>
    <row r="71" spans="1:7" x14ac:dyDescent="0.25">
      <c r="A71" s="8">
        <v>42853.353900462964</v>
      </c>
      <c r="B71" s="20" t="s">
        <v>427</v>
      </c>
      <c r="C71" s="20" t="s">
        <v>699</v>
      </c>
      <c r="D71" s="141">
        <v>3130000</v>
      </c>
      <c r="E71" s="20" t="s">
        <v>450</v>
      </c>
      <c r="F71" s="20" t="s">
        <v>451</v>
      </c>
      <c r="G71" s="8" t="str">
        <f t="shared" si="1"/>
        <v>ZEWDU DEREJE</v>
      </c>
    </row>
    <row r="72" spans="1:7" x14ac:dyDescent="0.25">
      <c r="A72" s="8">
        <v>42853.35664351852</v>
      </c>
      <c r="B72" s="20" t="s">
        <v>352</v>
      </c>
      <c r="C72" s="20" t="s">
        <v>700</v>
      </c>
      <c r="D72" s="141">
        <v>3020000</v>
      </c>
      <c r="E72" s="20" t="s">
        <v>448</v>
      </c>
      <c r="F72" s="20" t="s">
        <v>449</v>
      </c>
      <c r="G72" s="8" t="str">
        <f t="shared" si="1"/>
        <v>MENGES BRAD</v>
      </c>
    </row>
    <row r="73" spans="1:7" x14ac:dyDescent="0.25">
      <c r="A73" s="8">
        <v>42853.358206018522</v>
      </c>
      <c r="B73" s="20" t="s">
        <v>444</v>
      </c>
      <c r="C73" s="20" t="s">
        <v>701</v>
      </c>
      <c r="D73" s="141">
        <v>1230000</v>
      </c>
      <c r="E73" s="20" t="s">
        <v>685</v>
      </c>
      <c r="F73" s="20" t="s">
        <v>686</v>
      </c>
      <c r="G73" s="8" t="str">
        <f t="shared" si="1"/>
        <v>YANAI IAN</v>
      </c>
    </row>
    <row r="74" spans="1:7" x14ac:dyDescent="0.25">
      <c r="A74" s="8">
        <v>42853.361296296294</v>
      </c>
      <c r="B74" s="20" t="s">
        <v>604</v>
      </c>
      <c r="C74" s="20" t="s">
        <v>605</v>
      </c>
      <c r="D74" s="141">
        <v>2550000</v>
      </c>
      <c r="E74" s="20" t="s">
        <v>494</v>
      </c>
      <c r="F74" s="20" t="s">
        <v>495</v>
      </c>
      <c r="G74" s="8" t="str">
        <f t="shared" si="1"/>
        <v>BADERTSCHER DIANE</v>
      </c>
    </row>
    <row r="75" spans="1:7" x14ac:dyDescent="0.25">
      <c r="A75" s="8">
        <v>42853.370335648149</v>
      </c>
      <c r="B75" s="20" t="s">
        <v>438</v>
      </c>
      <c r="C75" s="20" t="s">
        <v>702</v>
      </c>
      <c r="D75" s="141">
        <v>1110000</v>
      </c>
      <c r="E75" s="20" t="s">
        <v>445</v>
      </c>
      <c r="F75" s="20" t="s">
        <v>446</v>
      </c>
      <c r="G75" s="8" t="str">
        <f t="shared" si="1"/>
        <v>STARKS ANGELINA</v>
      </c>
    </row>
    <row r="76" spans="1:7" x14ac:dyDescent="0.25">
      <c r="A76" s="8">
        <v>42853.373692129629</v>
      </c>
      <c r="B76" s="20" t="s">
        <v>638</v>
      </c>
      <c r="C76" s="20" t="s">
        <v>703</v>
      </c>
      <c r="D76" s="141">
        <v>900000</v>
      </c>
      <c r="E76" s="20" t="s">
        <v>496</v>
      </c>
      <c r="F76" s="20" t="s">
        <v>497</v>
      </c>
      <c r="G76" s="8" t="str">
        <f t="shared" si="1"/>
        <v>ROCHA YAOTL</v>
      </c>
    </row>
    <row r="77" spans="1:7" x14ac:dyDescent="0.25">
      <c r="A77" s="8">
        <v>42853.376898148148</v>
      </c>
      <c r="B77" s="20" t="s">
        <v>356</v>
      </c>
      <c r="C77" s="20" t="s">
        <v>704</v>
      </c>
      <c r="D77" s="141">
        <v>890000</v>
      </c>
      <c r="E77" s="20" t="s">
        <v>472</v>
      </c>
      <c r="F77" s="20" t="s">
        <v>473</v>
      </c>
      <c r="G77" s="8" t="str">
        <f t="shared" si="1"/>
        <v>LOZA FIDEL</v>
      </c>
    </row>
    <row r="78" spans="1:7" x14ac:dyDescent="0.25">
      <c r="A78" s="8">
        <v>42853.381053240744</v>
      </c>
      <c r="B78" s="20" t="s">
        <v>428</v>
      </c>
      <c r="C78" s="20" t="s">
        <v>705</v>
      </c>
      <c r="D78" s="141">
        <v>1990000</v>
      </c>
      <c r="E78" s="20" t="s">
        <v>648</v>
      </c>
      <c r="F78" s="20" t="s">
        <v>649</v>
      </c>
      <c r="G78" s="8" t="str">
        <f t="shared" si="1"/>
        <v>DAVIS WENDY</v>
      </c>
    </row>
    <row r="79" spans="1:7" x14ac:dyDescent="0.25">
      <c r="A79" s="8">
        <v>42853.387696759259</v>
      </c>
      <c r="B79" s="20" t="s">
        <v>359</v>
      </c>
      <c r="C79" s="20" t="s">
        <v>706</v>
      </c>
      <c r="D79" s="141">
        <v>1340000</v>
      </c>
      <c r="E79" s="20" t="s">
        <v>533</v>
      </c>
      <c r="F79" s="20" t="s">
        <v>534</v>
      </c>
      <c r="G79" s="8" t="str">
        <f t="shared" si="1"/>
        <v>BEAM ROSS</v>
      </c>
    </row>
    <row r="80" spans="1:7" x14ac:dyDescent="0.25">
      <c r="A80" s="8">
        <v>42853.390370370369</v>
      </c>
      <c r="B80" s="20" t="s">
        <v>619</v>
      </c>
      <c r="C80" s="20" t="s">
        <v>707</v>
      </c>
      <c r="D80" s="141">
        <v>3030000</v>
      </c>
      <c r="E80" s="20" t="s">
        <v>447</v>
      </c>
      <c r="F80" s="20" t="s">
        <v>432</v>
      </c>
      <c r="G80" s="8" t="str">
        <f t="shared" si="1"/>
        <v>BIRENBAUM THOMAS</v>
      </c>
    </row>
    <row r="81" spans="1:7" x14ac:dyDescent="0.25">
      <c r="A81" s="8">
        <v>42853.392083333332</v>
      </c>
      <c r="B81" s="20" t="s">
        <v>351</v>
      </c>
      <c r="C81" s="20" t="s">
        <v>708</v>
      </c>
      <c r="D81" s="141">
        <v>3020000</v>
      </c>
      <c r="E81" s="20" t="s">
        <v>448</v>
      </c>
      <c r="F81" s="20" t="s">
        <v>449</v>
      </c>
      <c r="G81" s="8" t="str">
        <f t="shared" si="1"/>
        <v>MENGES BRAD</v>
      </c>
    </row>
    <row r="82" spans="1:7" x14ac:dyDescent="0.25">
      <c r="A82" s="8">
        <v>42853.393483796295</v>
      </c>
      <c r="B82" s="20" t="s">
        <v>351</v>
      </c>
      <c r="C82" s="20" t="s">
        <v>708</v>
      </c>
      <c r="D82" s="141">
        <v>3020000</v>
      </c>
      <c r="E82" s="20" t="s">
        <v>448</v>
      </c>
      <c r="F82" s="20" t="s">
        <v>449</v>
      </c>
      <c r="G82" s="8" t="str">
        <f t="shared" si="1"/>
        <v>MENGES BRAD</v>
      </c>
    </row>
    <row r="83" spans="1:7" x14ac:dyDescent="0.25">
      <c r="A83" s="8">
        <v>42853.397997685184</v>
      </c>
      <c r="B83" s="20" t="s">
        <v>630</v>
      </c>
      <c r="C83" s="20" t="s">
        <v>709</v>
      </c>
      <c r="D83" s="141">
        <v>2550000</v>
      </c>
      <c r="E83" s="20" t="s">
        <v>494</v>
      </c>
      <c r="F83" s="20" t="s">
        <v>495</v>
      </c>
      <c r="G83" s="8" t="str">
        <f t="shared" si="1"/>
        <v>BADERTSCHER DIANE</v>
      </c>
    </row>
    <row r="84" spans="1:7" x14ac:dyDescent="0.25">
      <c r="A84" s="8">
        <v>42853.400231481479</v>
      </c>
      <c r="B84" s="20" t="s">
        <v>444</v>
      </c>
      <c r="C84" s="20" t="s">
        <v>710</v>
      </c>
      <c r="D84" s="141">
        <v>1340000</v>
      </c>
      <c r="E84" s="20" t="s">
        <v>533</v>
      </c>
      <c r="F84" s="20" t="s">
        <v>534</v>
      </c>
      <c r="G84" s="8" t="str">
        <f t="shared" si="1"/>
        <v>BEAM ROSS</v>
      </c>
    </row>
    <row r="85" spans="1:7" x14ac:dyDescent="0.25">
      <c r="A85" s="8">
        <v>42853.403391203705</v>
      </c>
      <c r="B85" s="20" t="s">
        <v>439</v>
      </c>
      <c r="C85" s="20" t="s">
        <v>608</v>
      </c>
      <c r="D85" s="141">
        <v>1110000</v>
      </c>
      <c r="E85" s="20" t="s">
        <v>445</v>
      </c>
      <c r="F85" s="20" t="s">
        <v>446</v>
      </c>
      <c r="G85" s="8" t="str">
        <f t="shared" si="1"/>
        <v>STARKS ANGELINA</v>
      </c>
    </row>
    <row r="86" spans="1:7" x14ac:dyDescent="0.25">
      <c r="A86" s="8">
        <v>42853.411782407406</v>
      </c>
      <c r="B86" s="20" t="s">
        <v>599</v>
      </c>
      <c r="C86" s="20" t="s">
        <v>711</v>
      </c>
      <c r="D86" s="141">
        <v>900000</v>
      </c>
      <c r="E86" s="20" t="s">
        <v>496</v>
      </c>
      <c r="F86" s="20" t="s">
        <v>497</v>
      </c>
      <c r="G86" s="8" t="str">
        <f t="shared" si="1"/>
        <v>ROCHA YAOTL</v>
      </c>
    </row>
    <row r="87" spans="1:7" x14ac:dyDescent="0.25">
      <c r="A87" s="8">
        <v>42853.412268518521</v>
      </c>
      <c r="B87" s="20" t="s">
        <v>357</v>
      </c>
      <c r="C87" s="20" t="s">
        <v>712</v>
      </c>
      <c r="D87" s="141">
        <v>890000</v>
      </c>
      <c r="E87" s="20" t="s">
        <v>472</v>
      </c>
      <c r="F87" s="20" t="s">
        <v>473</v>
      </c>
      <c r="G87" s="8" t="str">
        <f t="shared" si="1"/>
        <v>LOZA FIDEL</v>
      </c>
    </row>
    <row r="88" spans="1:7" x14ac:dyDescent="0.25">
      <c r="A88" s="8">
        <v>42853.419872685183</v>
      </c>
      <c r="B88" s="20" t="s">
        <v>606</v>
      </c>
      <c r="C88" s="20" t="s">
        <v>713</v>
      </c>
      <c r="D88" s="141">
        <v>1990000</v>
      </c>
      <c r="E88" s="20" t="s">
        <v>648</v>
      </c>
      <c r="F88" s="20" t="s">
        <v>649</v>
      </c>
      <c r="G88" s="8" t="str">
        <f t="shared" si="1"/>
        <v>DAVIS WENDY</v>
      </c>
    </row>
    <row r="89" spans="1:7" x14ac:dyDescent="0.25">
      <c r="A89" s="8">
        <v>42853.423182870371</v>
      </c>
      <c r="B89" s="20" t="s">
        <v>616</v>
      </c>
      <c r="C89" s="20" t="s">
        <v>714</v>
      </c>
      <c r="D89" s="141">
        <v>3030000</v>
      </c>
      <c r="E89" s="20" t="s">
        <v>447</v>
      </c>
      <c r="F89" s="20" t="s">
        <v>432</v>
      </c>
      <c r="G89" s="8" t="str">
        <f t="shared" si="1"/>
        <v>BIRENBAUM THOMAS</v>
      </c>
    </row>
    <row r="90" spans="1:7" x14ac:dyDescent="0.25">
      <c r="A90" s="8">
        <v>42853.42396990741</v>
      </c>
      <c r="B90" s="20" t="s">
        <v>359</v>
      </c>
      <c r="C90" s="20" t="s">
        <v>715</v>
      </c>
      <c r="D90" s="141">
        <v>3020000</v>
      </c>
      <c r="E90" s="20" t="s">
        <v>448</v>
      </c>
      <c r="F90" s="20" t="s">
        <v>449</v>
      </c>
      <c r="G90" s="8" t="str">
        <f t="shared" si="1"/>
        <v>MENGES BRAD</v>
      </c>
    </row>
    <row r="91" spans="1:7" x14ac:dyDescent="0.25">
      <c r="A91" s="8">
        <v>42853.425219907411</v>
      </c>
      <c r="B91" s="20" t="s">
        <v>352</v>
      </c>
      <c r="C91" s="20" t="s">
        <v>716</v>
      </c>
      <c r="D91" s="141">
        <v>3020000</v>
      </c>
      <c r="E91" s="20" t="s">
        <v>448</v>
      </c>
      <c r="F91" s="20" t="s">
        <v>449</v>
      </c>
      <c r="G91" s="8" t="str">
        <f t="shared" si="1"/>
        <v>MENGES BRAD</v>
      </c>
    </row>
    <row r="92" spans="1:7" x14ac:dyDescent="0.25">
      <c r="A92" s="8">
        <v>42853.435717592591</v>
      </c>
      <c r="B92" s="20" t="s">
        <v>604</v>
      </c>
      <c r="C92" s="20" t="s">
        <v>717</v>
      </c>
      <c r="D92" s="141">
        <v>3130000</v>
      </c>
      <c r="E92" s="20" t="s">
        <v>450</v>
      </c>
      <c r="F92" s="20" t="s">
        <v>451</v>
      </c>
      <c r="G92" s="8" t="str">
        <f t="shared" si="1"/>
        <v>ZEWDU DEREJE</v>
      </c>
    </row>
    <row r="93" spans="1:7" x14ac:dyDescent="0.25">
      <c r="A93" s="8">
        <v>42853.442824074074</v>
      </c>
      <c r="B93" s="20" t="s">
        <v>438</v>
      </c>
      <c r="C93" s="20" t="s">
        <v>718</v>
      </c>
      <c r="D93" s="141">
        <v>1110000</v>
      </c>
      <c r="E93" s="20" t="s">
        <v>445</v>
      </c>
      <c r="F93" s="20" t="s">
        <v>446</v>
      </c>
      <c r="G93" s="8" t="str">
        <f t="shared" si="1"/>
        <v>STARKS ANGELINA</v>
      </c>
    </row>
    <row r="94" spans="1:7" x14ac:dyDescent="0.25">
      <c r="A94" s="8">
        <v>42853.44327546296</v>
      </c>
      <c r="B94" s="20" t="s">
        <v>444</v>
      </c>
      <c r="C94" s="20" t="s">
        <v>609</v>
      </c>
      <c r="D94" s="141">
        <v>3020000</v>
      </c>
      <c r="E94" s="20" t="s">
        <v>448</v>
      </c>
      <c r="F94" s="20" t="s">
        <v>449</v>
      </c>
      <c r="G94" s="8" t="str">
        <f t="shared" si="1"/>
        <v>MENGES BRAD</v>
      </c>
    </row>
    <row r="95" spans="1:7" x14ac:dyDescent="0.25">
      <c r="A95" s="8">
        <v>42853.44703703704</v>
      </c>
      <c r="B95" s="20" t="s">
        <v>638</v>
      </c>
      <c r="C95" s="20" t="s">
        <v>719</v>
      </c>
      <c r="D95" s="141">
        <v>900000</v>
      </c>
      <c r="E95" s="20" t="s">
        <v>496</v>
      </c>
      <c r="F95" s="20" t="s">
        <v>497</v>
      </c>
      <c r="G95" s="8" t="str">
        <f t="shared" si="1"/>
        <v>ROCHA YAOTL</v>
      </c>
    </row>
    <row r="96" spans="1:7" x14ac:dyDescent="0.25">
      <c r="A96" s="8">
        <v>42853.447465277779</v>
      </c>
      <c r="B96" s="20" t="s">
        <v>356</v>
      </c>
      <c r="C96" s="20" t="s">
        <v>720</v>
      </c>
      <c r="D96" s="141">
        <v>890000</v>
      </c>
      <c r="E96" s="20" t="s">
        <v>472</v>
      </c>
      <c r="F96" s="20" t="s">
        <v>473</v>
      </c>
      <c r="G96" s="8" t="str">
        <f t="shared" si="1"/>
        <v>LOZA FIDEL</v>
      </c>
    </row>
    <row r="97" spans="1:7" x14ac:dyDescent="0.25">
      <c r="A97" s="8">
        <v>42853.455358796295</v>
      </c>
      <c r="B97" s="20" t="s">
        <v>428</v>
      </c>
      <c r="C97" s="20" t="s">
        <v>721</v>
      </c>
      <c r="D97" s="141">
        <v>880000</v>
      </c>
      <c r="E97" s="20" t="s">
        <v>722</v>
      </c>
      <c r="F97" s="20" t="s">
        <v>196</v>
      </c>
      <c r="G97" s="8" t="str">
        <f t="shared" si="1"/>
        <v>STEWART MICHAEL</v>
      </c>
    </row>
    <row r="98" spans="1:7" x14ac:dyDescent="0.25">
      <c r="A98" s="8">
        <v>42853.460011574076</v>
      </c>
      <c r="B98" s="20" t="s">
        <v>619</v>
      </c>
      <c r="C98" s="20" t="s">
        <v>723</v>
      </c>
      <c r="D98" s="141">
        <v>3030000</v>
      </c>
      <c r="E98" s="20" t="s">
        <v>447</v>
      </c>
      <c r="F98" s="20" t="s">
        <v>432</v>
      </c>
      <c r="G98" s="8" t="str">
        <f t="shared" si="1"/>
        <v>BIRENBAUM THOMAS</v>
      </c>
    </row>
    <row r="99" spans="1:7" x14ac:dyDescent="0.25">
      <c r="A99" s="8">
        <v>42853.46497685185</v>
      </c>
      <c r="B99" s="20" t="s">
        <v>351</v>
      </c>
      <c r="C99" s="20" t="s">
        <v>724</v>
      </c>
      <c r="D99" s="141">
        <v>2470000</v>
      </c>
      <c r="E99" s="20" t="s">
        <v>725</v>
      </c>
      <c r="F99" s="20" t="s">
        <v>726</v>
      </c>
      <c r="G99" s="8" t="str">
        <f t="shared" si="1"/>
        <v>ROMERO CHAD</v>
      </c>
    </row>
    <row r="100" spans="1:7" x14ac:dyDescent="0.25">
      <c r="A100" s="8">
        <v>42853.465555555558</v>
      </c>
      <c r="B100" s="20" t="s">
        <v>359</v>
      </c>
      <c r="C100" s="20" t="s">
        <v>727</v>
      </c>
      <c r="D100" s="141">
        <v>2370000</v>
      </c>
      <c r="E100" s="20" t="s">
        <v>498</v>
      </c>
      <c r="F100" s="20" t="s">
        <v>499</v>
      </c>
      <c r="G100" s="8" t="str">
        <f t="shared" si="1"/>
        <v>DELGADO DIANAH</v>
      </c>
    </row>
    <row r="101" spans="1:7" x14ac:dyDescent="0.25">
      <c r="A101" s="8">
        <v>42853.468425925923</v>
      </c>
      <c r="B101" s="20" t="s">
        <v>630</v>
      </c>
      <c r="C101" s="20" t="s">
        <v>728</v>
      </c>
      <c r="D101" s="141">
        <v>3030000</v>
      </c>
      <c r="E101" s="20" t="s">
        <v>447</v>
      </c>
      <c r="F101" s="20" t="s">
        <v>432</v>
      </c>
      <c r="G101" s="8" t="str">
        <f t="shared" si="1"/>
        <v>BIRENBAUM THOMAS</v>
      </c>
    </row>
    <row r="102" spans="1:7" x14ac:dyDescent="0.25">
      <c r="A102" s="8">
        <v>42853.476006944446</v>
      </c>
      <c r="B102" s="20" t="s">
        <v>439</v>
      </c>
      <c r="C102" s="20" t="s">
        <v>729</v>
      </c>
      <c r="D102" s="141">
        <v>930000</v>
      </c>
      <c r="E102" s="20" t="s">
        <v>452</v>
      </c>
      <c r="F102" s="20" t="s">
        <v>453</v>
      </c>
      <c r="G102" s="8" t="str">
        <f t="shared" si="1"/>
        <v>CLARK KATHLEEN</v>
      </c>
    </row>
    <row r="103" spans="1:7" x14ac:dyDescent="0.25">
      <c r="A103" s="8">
        <v>42853.484016203707</v>
      </c>
      <c r="B103" s="20" t="s">
        <v>444</v>
      </c>
      <c r="C103" s="20" t="s">
        <v>730</v>
      </c>
      <c r="D103" s="141">
        <v>2370000</v>
      </c>
      <c r="E103" s="20" t="s">
        <v>498</v>
      </c>
      <c r="F103" s="20" t="s">
        <v>499</v>
      </c>
      <c r="G103" s="8" t="str">
        <f t="shared" si="1"/>
        <v>DELGADO DIANAH</v>
      </c>
    </row>
    <row r="104" spans="1:7" x14ac:dyDescent="0.25">
      <c r="A104" s="8">
        <v>42853.485914351855</v>
      </c>
      <c r="B104" s="20" t="s">
        <v>599</v>
      </c>
      <c r="C104" s="20" t="s">
        <v>731</v>
      </c>
      <c r="D104" s="141">
        <v>900000</v>
      </c>
      <c r="E104" s="20" t="s">
        <v>496</v>
      </c>
      <c r="F104" s="20" t="s">
        <v>497</v>
      </c>
      <c r="G104" s="8" t="str">
        <f t="shared" si="1"/>
        <v>ROCHA YAOTL</v>
      </c>
    </row>
    <row r="105" spans="1:7" x14ac:dyDescent="0.25">
      <c r="A105" s="8">
        <v>42853.485960648148</v>
      </c>
      <c r="B105" s="20" t="s">
        <v>357</v>
      </c>
      <c r="C105" s="20" t="s">
        <v>610</v>
      </c>
      <c r="D105" s="141">
        <v>3010000</v>
      </c>
      <c r="E105" s="20" t="s">
        <v>458</v>
      </c>
      <c r="F105" s="20" t="s">
        <v>459</v>
      </c>
      <c r="G105" s="8" t="str">
        <f t="shared" si="1"/>
        <v>SULLIVAN BRANDON</v>
      </c>
    </row>
    <row r="106" spans="1:7" x14ac:dyDescent="0.25">
      <c r="A106" s="8">
        <v>42853.495127314818</v>
      </c>
      <c r="B106" s="20" t="s">
        <v>606</v>
      </c>
      <c r="C106" s="20" t="s">
        <v>732</v>
      </c>
      <c r="D106" s="141">
        <v>880000</v>
      </c>
      <c r="E106" s="20" t="s">
        <v>722</v>
      </c>
      <c r="F106" s="20" t="s">
        <v>196</v>
      </c>
      <c r="G106" s="8" t="str">
        <f t="shared" si="1"/>
        <v>STEWART MICHAEL</v>
      </c>
    </row>
    <row r="107" spans="1:7" x14ac:dyDescent="0.25">
      <c r="A107" s="8">
        <v>42853.496481481481</v>
      </c>
      <c r="B107" s="20" t="s">
        <v>352</v>
      </c>
      <c r="C107" s="20" t="s">
        <v>733</v>
      </c>
      <c r="D107" s="141">
        <v>2470000</v>
      </c>
      <c r="E107" s="20" t="s">
        <v>725</v>
      </c>
      <c r="F107" s="20" t="s">
        <v>726</v>
      </c>
      <c r="G107" s="8" t="str">
        <f t="shared" si="1"/>
        <v>ROMERO CHAD</v>
      </c>
    </row>
    <row r="108" spans="1:7" x14ac:dyDescent="0.25">
      <c r="A108" s="8">
        <v>42853.496990740743</v>
      </c>
      <c r="B108" s="20" t="s">
        <v>616</v>
      </c>
      <c r="C108" s="20" t="s">
        <v>734</v>
      </c>
      <c r="D108" s="141">
        <v>3090000</v>
      </c>
      <c r="E108" s="20" t="s">
        <v>454</v>
      </c>
      <c r="F108" s="20" t="s">
        <v>455</v>
      </c>
      <c r="G108" s="8" t="str">
        <f t="shared" si="1"/>
        <v>LAMAR NEKESHA</v>
      </c>
    </row>
    <row r="109" spans="1:7" x14ac:dyDescent="0.25">
      <c r="A109" s="8">
        <v>42853.505636574075</v>
      </c>
      <c r="B109" s="20" t="s">
        <v>359</v>
      </c>
      <c r="C109" s="20" t="s">
        <v>735</v>
      </c>
      <c r="D109" s="141">
        <v>1780000</v>
      </c>
      <c r="E109" s="20" t="s">
        <v>537</v>
      </c>
      <c r="F109" s="20" t="s">
        <v>538</v>
      </c>
      <c r="G109" s="8" t="str">
        <f t="shared" si="1"/>
        <v>DE LA ROSA ALEX</v>
      </c>
    </row>
    <row r="110" spans="1:7" x14ac:dyDescent="0.25">
      <c r="A110" s="8">
        <v>42853.508055555554</v>
      </c>
      <c r="B110" s="20" t="s">
        <v>604</v>
      </c>
      <c r="C110" s="20" t="s">
        <v>736</v>
      </c>
      <c r="D110" s="141">
        <v>2360000</v>
      </c>
      <c r="E110" s="20" t="s">
        <v>531</v>
      </c>
      <c r="F110" s="20" t="s">
        <v>532</v>
      </c>
      <c r="G110" s="8" t="str">
        <f t="shared" si="1"/>
        <v>BRANDNER MELINDA</v>
      </c>
    </row>
    <row r="111" spans="1:7" x14ac:dyDescent="0.25">
      <c r="A111" s="8">
        <v>42853.513113425928</v>
      </c>
      <c r="B111" s="20" t="s">
        <v>438</v>
      </c>
      <c r="C111" s="20" t="s">
        <v>611</v>
      </c>
      <c r="D111" s="141">
        <v>930000</v>
      </c>
      <c r="E111" s="20" t="s">
        <v>452</v>
      </c>
      <c r="F111" s="20" t="s">
        <v>453</v>
      </c>
      <c r="G111" s="8" t="str">
        <f t="shared" si="1"/>
        <v>CLARK KATHLEEN</v>
      </c>
    </row>
    <row r="112" spans="1:7" x14ac:dyDescent="0.25">
      <c r="A112" s="8">
        <v>42853.516261574077</v>
      </c>
      <c r="B112" s="20" t="s">
        <v>638</v>
      </c>
      <c r="C112" s="20" t="s">
        <v>737</v>
      </c>
      <c r="D112" s="141">
        <v>2480000</v>
      </c>
      <c r="E112" s="20" t="s">
        <v>500</v>
      </c>
      <c r="F112" s="20" t="s">
        <v>501</v>
      </c>
      <c r="G112" s="8" t="str">
        <f t="shared" si="1"/>
        <v>WHITED DUSTIN</v>
      </c>
    </row>
    <row r="113" spans="1:7" x14ac:dyDescent="0.25">
      <c r="A113" s="8">
        <v>42853.52412037037</v>
      </c>
      <c r="B113" s="20" t="s">
        <v>356</v>
      </c>
      <c r="C113" s="20" t="s">
        <v>738</v>
      </c>
      <c r="D113" s="141">
        <v>3010000</v>
      </c>
      <c r="E113" s="20" t="s">
        <v>458</v>
      </c>
      <c r="F113" s="20" t="s">
        <v>459</v>
      </c>
      <c r="G113" s="8" t="str">
        <f t="shared" si="1"/>
        <v>SULLIVAN BRANDON</v>
      </c>
    </row>
    <row r="114" spans="1:7" x14ac:dyDescent="0.25">
      <c r="A114" s="8">
        <v>42853.525972222225</v>
      </c>
      <c r="B114" s="20" t="s">
        <v>444</v>
      </c>
      <c r="C114" s="20" t="s">
        <v>739</v>
      </c>
      <c r="D114" s="141">
        <v>1780000</v>
      </c>
      <c r="E114" s="20" t="s">
        <v>537</v>
      </c>
      <c r="F114" s="20" t="s">
        <v>538</v>
      </c>
      <c r="G114" s="8" t="str">
        <f t="shared" si="1"/>
        <v>DE LA ROSA ALEX</v>
      </c>
    </row>
    <row r="115" spans="1:7" x14ac:dyDescent="0.25">
      <c r="A115" s="8">
        <v>42853.528402777774</v>
      </c>
      <c r="B115" s="20" t="s">
        <v>428</v>
      </c>
      <c r="C115" s="20" t="s">
        <v>740</v>
      </c>
      <c r="D115" s="141">
        <v>880000</v>
      </c>
      <c r="E115" s="20" t="s">
        <v>722</v>
      </c>
      <c r="F115" s="20" t="s">
        <v>196</v>
      </c>
      <c r="G115" s="8" t="str">
        <f t="shared" si="1"/>
        <v>STEWART MICHAEL</v>
      </c>
    </row>
    <row r="116" spans="1:7" x14ac:dyDescent="0.25">
      <c r="A116" s="8">
        <v>42853.53638888889</v>
      </c>
      <c r="B116" s="20" t="s">
        <v>351</v>
      </c>
      <c r="C116" s="20" t="s">
        <v>612</v>
      </c>
      <c r="D116" s="141">
        <v>2470000</v>
      </c>
      <c r="E116" s="20" t="s">
        <v>725</v>
      </c>
      <c r="F116" s="20" t="s">
        <v>726</v>
      </c>
      <c r="G116" s="8" t="str">
        <f t="shared" si="1"/>
        <v>ROMERO CHAD</v>
      </c>
    </row>
    <row r="117" spans="1:7" x14ac:dyDescent="0.25">
      <c r="A117" s="8">
        <v>42853.536689814813</v>
      </c>
      <c r="B117" s="20" t="s">
        <v>619</v>
      </c>
      <c r="C117" s="20" t="s">
        <v>741</v>
      </c>
      <c r="D117" s="141">
        <v>3090000</v>
      </c>
      <c r="E117" s="20" t="s">
        <v>454</v>
      </c>
      <c r="F117" s="20" t="s">
        <v>455</v>
      </c>
      <c r="G117" s="8" t="str">
        <f t="shared" si="1"/>
        <v>LAMAR NEKESHA</v>
      </c>
    </row>
    <row r="118" spans="1:7" x14ac:dyDescent="0.25">
      <c r="A118" s="8">
        <v>42853.545104166667</v>
      </c>
      <c r="B118" s="20" t="s">
        <v>630</v>
      </c>
      <c r="C118" s="20" t="s">
        <v>742</v>
      </c>
      <c r="D118" s="141">
        <v>2360000</v>
      </c>
      <c r="E118" s="20" t="s">
        <v>531</v>
      </c>
      <c r="F118" s="20" t="s">
        <v>532</v>
      </c>
      <c r="G118" s="8" t="str">
        <f t="shared" si="1"/>
        <v>BRANDNER MELINDA</v>
      </c>
    </row>
    <row r="119" spans="1:7" x14ac:dyDescent="0.25">
      <c r="A119" s="8">
        <v>42853.548703703702</v>
      </c>
      <c r="B119" s="20" t="s">
        <v>439</v>
      </c>
      <c r="C119" s="20" t="s">
        <v>743</v>
      </c>
      <c r="D119" s="141">
        <v>930000</v>
      </c>
      <c r="E119" s="20" t="s">
        <v>452</v>
      </c>
      <c r="F119" s="20" t="s">
        <v>453</v>
      </c>
      <c r="G119" s="8" t="str">
        <f t="shared" si="1"/>
        <v>CLARK KATHLEEN</v>
      </c>
    </row>
    <row r="120" spans="1:7" x14ac:dyDescent="0.25">
      <c r="A120" s="8">
        <v>42853.553287037037</v>
      </c>
      <c r="B120" s="20" t="s">
        <v>359</v>
      </c>
      <c r="C120" s="20" t="s">
        <v>615</v>
      </c>
      <c r="D120" s="141">
        <v>3120000</v>
      </c>
      <c r="E120" s="20" t="s">
        <v>456</v>
      </c>
      <c r="F120" s="20" t="s">
        <v>457</v>
      </c>
      <c r="G120" s="8" t="str">
        <f t="shared" si="1"/>
        <v>THOMPSON LESTER</v>
      </c>
    </row>
    <row r="121" spans="1:7" x14ac:dyDescent="0.25">
      <c r="A121" s="8">
        <v>42853.553993055553</v>
      </c>
      <c r="B121" s="20" t="s">
        <v>599</v>
      </c>
      <c r="C121" s="20" t="s">
        <v>744</v>
      </c>
      <c r="D121" s="141">
        <v>2480000</v>
      </c>
      <c r="E121" s="20" t="s">
        <v>500</v>
      </c>
      <c r="F121" s="20" t="s">
        <v>501</v>
      </c>
      <c r="G121" s="8" t="str">
        <f t="shared" si="1"/>
        <v>WHITED DUSTIN</v>
      </c>
    </row>
    <row r="122" spans="1:7" x14ac:dyDescent="0.25">
      <c r="A122" s="8">
        <v>42853.55736111111</v>
      </c>
      <c r="B122" s="25" t="s">
        <v>357</v>
      </c>
      <c r="C122" s="20" t="s">
        <v>745</v>
      </c>
      <c r="D122" s="141">
        <v>3010000</v>
      </c>
      <c r="E122" s="20" t="s">
        <v>458</v>
      </c>
      <c r="F122" s="20" t="s">
        <v>459</v>
      </c>
      <c r="G122" s="8" t="str">
        <f t="shared" si="1"/>
        <v>SULLIVAN BRANDON</v>
      </c>
    </row>
    <row r="123" spans="1:7" x14ac:dyDescent="0.25">
      <c r="A123" s="8">
        <v>42853.567395833335</v>
      </c>
      <c r="B123" s="20" t="s">
        <v>606</v>
      </c>
      <c r="C123" s="20" t="s">
        <v>746</v>
      </c>
      <c r="D123" s="141">
        <v>880000</v>
      </c>
      <c r="E123" s="20" t="s">
        <v>722</v>
      </c>
      <c r="F123" s="20" t="s">
        <v>196</v>
      </c>
      <c r="G123" s="8" t="str">
        <f t="shared" si="1"/>
        <v>STEWART MICHAEL</v>
      </c>
    </row>
    <row r="124" spans="1:7" x14ac:dyDescent="0.25">
      <c r="A124" s="8">
        <v>42853.567731481482</v>
      </c>
      <c r="B124" s="20" t="s">
        <v>444</v>
      </c>
      <c r="C124" s="20" t="s">
        <v>747</v>
      </c>
      <c r="D124" s="141">
        <v>3120000</v>
      </c>
      <c r="E124" s="20" t="s">
        <v>456</v>
      </c>
      <c r="F124" s="20" t="s">
        <v>457</v>
      </c>
      <c r="G124" s="8" t="str">
        <f t="shared" si="1"/>
        <v>THOMPSON LESTER</v>
      </c>
    </row>
    <row r="125" spans="1:7" x14ac:dyDescent="0.25">
      <c r="A125" s="8">
        <v>42853.570381944446</v>
      </c>
      <c r="B125" s="20" t="s">
        <v>616</v>
      </c>
      <c r="C125" s="20" t="s">
        <v>617</v>
      </c>
      <c r="D125" s="141">
        <v>3090000</v>
      </c>
      <c r="E125" s="20" t="s">
        <v>454</v>
      </c>
      <c r="F125" s="20" t="s">
        <v>455</v>
      </c>
      <c r="G125" s="8" t="str">
        <f t="shared" si="1"/>
        <v>LAMAR NEKESHA</v>
      </c>
    </row>
    <row r="126" spans="1:7" x14ac:dyDescent="0.25">
      <c r="A126" s="8">
        <v>42853.574386574073</v>
      </c>
      <c r="B126" s="20" t="s">
        <v>352</v>
      </c>
      <c r="C126" s="20" t="s">
        <v>748</v>
      </c>
      <c r="D126" s="141">
        <v>2370000</v>
      </c>
      <c r="E126" s="20" t="s">
        <v>498</v>
      </c>
      <c r="F126" s="20" t="s">
        <v>499</v>
      </c>
      <c r="G126" s="8" t="str">
        <f t="shared" si="1"/>
        <v>DELGADO DIANAH</v>
      </c>
    </row>
    <row r="127" spans="1:7" x14ac:dyDescent="0.25">
      <c r="A127" s="8">
        <v>42853.579976851855</v>
      </c>
      <c r="B127" s="20" t="s">
        <v>604</v>
      </c>
      <c r="C127" s="20" t="s">
        <v>749</v>
      </c>
      <c r="D127" s="141">
        <v>2360000</v>
      </c>
      <c r="E127" s="20" t="s">
        <v>531</v>
      </c>
      <c r="F127" s="20" t="s">
        <v>532</v>
      </c>
      <c r="G127" s="8" t="str">
        <f t="shared" si="1"/>
        <v>BRANDNER MELINDA</v>
      </c>
    </row>
    <row r="128" spans="1:7" x14ac:dyDescent="0.25">
      <c r="A128" s="8">
        <v>42853.58662037037</v>
      </c>
      <c r="B128" s="20" t="s">
        <v>438</v>
      </c>
      <c r="C128" s="20" t="s">
        <v>750</v>
      </c>
      <c r="D128" s="141">
        <v>930000</v>
      </c>
      <c r="E128" s="20" t="s">
        <v>452</v>
      </c>
      <c r="F128" s="20" t="s">
        <v>453</v>
      </c>
      <c r="G128" s="8" t="str">
        <f t="shared" si="1"/>
        <v>CLARK KATHLEEN</v>
      </c>
    </row>
    <row r="129" spans="1:7" x14ac:dyDescent="0.25">
      <c r="A129" s="8">
        <v>42853.589826388888</v>
      </c>
      <c r="B129" s="20" t="s">
        <v>638</v>
      </c>
      <c r="C129" s="20" t="s">
        <v>751</v>
      </c>
      <c r="D129" s="141">
        <v>2480000</v>
      </c>
      <c r="E129" s="20" t="s">
        <v>500</v>
      </c>
      <c r="F129" s="20" t="s">
        <v>501</v>
      </c>
      <c r="G129" s="8" t="str">
        <f t="shared" si="1"/>
        <v>WHITED DUSTIN</v>
      </c>
    </row>
    <row r="130" spans="1:7" x14ac:dyDescent="0.25">
      <c r="A130" s="8">
        <v>42853.593634259261</v>
      </c>
      <c r="B130" s="20" t="s">
        <v>359</v>
      </c>
      <c r="C130" s="20" t="s">
        <v>752</v>
      </c>
      <c r="D130" s="141">
        <v>3120000</v>
      </c>
      <c r="E130" s="20" t="s">
        <v>456</v>
      </c>
      <c r="F130" s="20" t="s">
        <v>457</v>
      </c>
      <c r="G130" s="8" t="str">
        <f t="shared" si="1"/>
        <v>THOMPSON LESTER</v>
      </c>
    </row>
    <row r="131" spans="1:7" x14ac:dyDescent="0.25">
      <c r="A131" s="8">
        <v>42853.596944444442</v>
      </c>
      <c r="B131" s="20" t="s">
        <v>356</v>
      </c>
      <c r="C131" s="20" t="s">
        <v>618</v>
      </c>
      <c r="D131" s="141">
        <v>3010000</v>
      </c>
      <c r="E131" s="20" t="s">
        <v>458</v>
      </c>
      <c r="F131" s="20" t="s">
        <v>459</v>
      </c>
      <c r="G131" s="8" t="str">
        <f t="shared" ref="G131:G194" si="2">E131&amp;" "&amp;F131</f>
        <v>SULLIVAN BRANDON</v>
      </c>
    </row>
    <row r="132" spans="1:7" x14ac:dyDescent="0.25">
      <c r="A132" s="8">
        <v>42853.602881944447</v>
      </c>
      <c r="B132" s="20" t="s">
        <v>428</v>
      </c>
      <c r="C132" s="20" t="s">
        <v>753</v>
      </c>
      <c r="D132" s="141">
        <v>880000</v>
      </c>
      <c r="E132" s="20" t="s">
        <v>722</v>
      </c>
      <c r="F132" s="20" t="s">
        <v>196</v>
      </c>
      <c r="G132" s="8" t="str">
        <f t="shared" si="2"/>
        <v>STEWART MICHAEL</v>
      </c>
    </row>
    <row r="133" spans="1:7" x14ac:dyDescent="0.25">
      <c r="A133" s="8">
        <v>42853.604120370372</v>
      </c>
      <c r="B133" s="20" t="s">
        <v>619</v>
      </c>
      <c r="C133" s="20" t="s">
        <v>620</v>
      </c>
      <c r="D133" s="141">
        <v>3090000</v>
      </c>
      <c r="E133" s="20" t="s">
        <v>454</v>
      </c>
      <c r="F133" s="20" t="s">
        <v>455</v>
      </c>
      <c r="G133" s="8" t="str">
        <f t="shared" si="2"/>
        <v>LAMAR NEKESHA</v>
      </c>
    </row>
    <row r="134" spans="1:7" x14ac:dyDescent="0.25">
      <c r="A134" s="8">
        <v>42853.609016203707</v>
      </c>
      <c r="B134" s="20" t="s">
        <v>444</v>
      </c>
      <c r="C134" s="20" t="s">
        <v>754</v>
      </c>
      <c r="D134" s="141">
        <v>3120000</v>
      </c>
      <c r="E134" s="20" t="s">
        <v>456</v>
      </c>
      <c r="F134" s="20" t="s">
        <v>457</v>
      </c>
      <c r="G134" s="8" t="str">
        <f t="shared" si="2"/>
        <v>THOMPSON LESTER</v>
      </c>
    </row>
    <row r="135" spans="1:7" x14ac:dyDescent="0.25">
      <c r="A135" s="8">
        <v>42853.613344907404</v>
      </c>
      <c r="B135" s="20" t="s">
        <v>351</v>
      </c>
      <c r="C135" s="20" t="s">
        <v>755</v>
      </c>
      <c r="D135" s="141">
        <v>2470000</v>
      </c>
      <c r="E135" s="20" t="s">
        <v>725</v>
      </c>
      <c r="F135" s="20" t="s">
        <v>726</v>
      </c>
      <c r="G135" s="8" t="str">
        <f t="shared" si="2"/>
        <v>ROMERO CHAD</v>
      </c>
    </row>
    <row r="136" spans="1:7" x14ac:dyDescent="0.25">
      <c r="A136" s="8">
        <v>42853.619826388887</v>
      </c>
      <c r="B136" s="20" t="s">
        <v>630</v>
      </c>
      <c r="C136" s="20" t="s">
        <v>756</v>
      </c>
      <c r="D136" s="141">
        <v>2360000</v>
      </c>
      <c r="E136" s="20" t="s">
        <v>531</v>
      </c>
      <c r="F136" s="20" t="s">
        <v>532</v>
      </c>
      <c r="G136" s="8" t="str">
        <f t="shared" si="2"/>
        <v>BRANDNER MELINDA</v>
      </c>
    </row>
    <row r="137" spans="1:7" x14ac:dyDescent="0.25">
      <c r="A137" s="8">
        <v>42853.625555555554</v>
      </c>
      <c r="B137" s="20" t="s">
        <v>439</v>
      </c>
      <c r="C137" s="20" t="s">
        <v>757</v>
      </c>
      <c r="D137" s="141">
        <v>930000</v>
      </c>
      <c r="E137" s="20" t="s">
        <v>452</v>
      </c>
      <c r="F137" s="20" t="s">
        <v>453</v>
      </c>
      <c r="G137" s="8" t="str">
        <f t="shared" si="2"/>
        <v>CLARK KATHLEEN</v>
      </c>
    </row>
    <row r="138" spans="1:7" x14ac:dyDescent="0.25">
      <c r="A138" s="8">
        <v>42853.625937500001</v>
      </c>
      <c r="B138" s="20" t="s">
        <v>599</v>
      </c>
      <c r="C138" s="20" t="s">
        <v>758</v>
      </c>
      <c r="D138" s="141">
        <v>2480000</v>
      </c>
      <c r="E138" s="20" t="s">
        <v>500</v>
      </c>
      <c r="F138" s="20" t="s">
        <v>501</v>
      </c>
      <c r="G138" s="8" t="str">
        <f t="shared" si="2"/>
        <v>WHITED DUSTIN</v>
      </c>
    </row>
    <row r="139" spans="1:7" x14ac:dyDescent="0.25">
      <c r="A139" s="8">
        <v>42853.633310185185</v>
      </c>
      <c r="B139" s="20" t="s">
        <v>357</v>
      </c>
      <c r="C139" s="20" t="s">
        <v>759</v>
      </c>
      <c r="D139" s="141">
        <v>3010000</v>
      </c>
      <c r="E139" s="20" t="s">
        <v>458</v>
      </c>
      <c r="F139" s="20" t="s">
        <v>459</v>
      </c>
      <c r="G139" s="8" t="str">
        <f t="shared" si="2"/>
        <v>SULLIVAN BRANDON</v>
      </c>
    </row>
    <row r="140" spans="1:7" x14ac:dyDescent="0.25">
      <c r="A140" s="8">
        <v>42853.63553240741</v>
      </c>
      <c r="B140" s="20" t="s">
        <v>359</v>
      </c>
      <c r="C140" s="20" t="s">
        <v>622</v>
      </c>
      <c r="D140" s="141">
        <v>3120000</v>
      </c>
      <c r="E140" s="20" t="s">
        <v>456</v>
      </c>
      <c r="F140" s="20" t="s">
        <v>457</v>
      </c>
      <c r="G140" s="8" t="str">
        <f t="shared" si="2"/>
        <v>THOMPSON LESTER</v>
      </c>
    </row>
    <row r="141" spans="1:7" x14ac:dyDescent="0.25">
      <c r="A141" s="8">
        <v>42853.639467592591</v>
      </c>
      <c r="B141" s="20" t="s">
        <v>471</v>
      </c>
      <c r="C141" s="20" t="s">
        <v>621</v>
      </c>
      <c r="D141" s="141">
        <v>3040000</v>
      </c>
      <c r="E141" s="20" t="s">
        <v>475</v>
      </c>
      <c r="F141" s="20" t="s">
        <v>476</v>
      </c>
      <c r="G141" s="8" t="str">
        <f t="shared" si="2"/>
        <v>WILLIAMS DONTE</v>
      </c>
    </row>
    <row r="142" spans="1:7" x14ac:dyDescent="0.25">
      <c r="A142" s="8">
        <v>42853.640011574076</v>
      </c>
      <c r="B142" s="20" t="s">
        <v>606</v>
      </c>
      <c r="C142" s="20" t="s">
        <v>760</v>
      </c>
      <c r="D142" s="141">
        <v>880000</v>
      </c>
      <c r="E142" s="20" t="s">
        <v>722</v>
      </c>
      <c r="F142" s="20" t="s">
        <v>196</v>
      </c>
      <c r="G142" s="8" t="str">
        <f t="shared" si="2"/>
        <v>STEWART MICHAEL</v>
      </c>
    </row>
    <row r="143" spans="1:7" x14ac:dyDescent="0.25">
      <c r="A143" s="8">
        <v>42853.642314814817</v>
      </c>
      <c r="B143" s="20" t="s">
        <v>352</v>
      </c>
      <c r="C143" s="20" t="s">
        <v>761</v>
      </c>
      <c r="D143" s="141">
        <v>2470000</v>
      </c>
      <c r="E143" s="20" t="s">
        <v>725</v>
      </c>
      <c r="F143" s="20" t="s">
        <v>726</v>
      </c>
      <c r="G143" s="8" t="str">
        <f t="shared" si="2"/>
        <v>ROMERO CHAD</v>
      </c>
    </row>
    <row r="144" spans="1:7" x14ac:dyDescent="0.25">
      <c r="A144" s="8">
        <v>42853.645567129628</v>
      </c>
      <c r="B144" s="20" t="s">
        <v>616</v>
      </c>
      <c r="C144" s="20" t="s">
        <v>762</v>
      </c>
      <c r="D144" s="141">
        <v>3090000</v>
      </c>
      <c r="E144" s="20" t="s">
        <v>454</v>
      </c>
      <c r="F144" s="20" t="s">
        <v>455</v>
      </c>
      <c r="G144" s="8" t="str">
        <f t="shared" si="2"/>
        <v>LAMAR NEKESHA</v>
      </c>
    </row>
    <row r="145" spans="1:7" x14ac:dyDescent="0.25">
      <c r="A145" s="8">
        <v>42853.651863425926</v>
      </c>
      <c r="B145" s="20" t="s">
        <v>444</v>
      </c>
      <c r="C145" s="20" t="s">
        <v>623</v>
      </c>
      <c r="D145" s="141">
        <v>3120000</v>
      </c>
      <c r="E145" s="20" t="s">
        <v>456</v>
      </c>
      <c r="F145" s="20" t="s">
        <v>457</v>
      </c>
      <c r="G145" s="8" t="str">
        <f t="shared" si="2"/>
        <v>THOMPSON LESTER</v>
      </c>
    </row>
    <row r="146" spans="1:7" x14ac:dyDescent="0.25">
      <c r="A146" s="8">
        <v>42853.656701388885</v>
      </c>
      <c r="B146" s="20" t="s">
        <v>604</v>
      </c>
      <c r="C146" s="20" t="s">
        <v>625</v>
      </c>
      <c r="D146" s="141">
        <v>2360000</v>
      </c>
      <c r="E146" s="20" t="s">
        <v>531</v>
      </c>
      <c r="F146" s="20" t="s">
        <v>532</v>
      </c>
      <c r="G146" s="8" t="str">
        <f t="shared" si="2"/>
        <v>BRANDNER MELINDA</v>
      </c>
    </row>
    <row r="147" spans="1:7" x14ac:dyDescent="0.25">
      <c r="A147" s="8">
        <v>42853.657743055555</v>
      </c>
      <c r="B147" s="20" t="s">
        <v>427</v>
      </c>
      <c r="C147" s="20" t="s">
        <v>763</v>
      </c>
      <c r="D147" s="141">
        <v>3040000</v>
      </c>
      <c r="E147" s="20" t="s">
        <v>475</v>
      </c>
      <c r="F147" s="20" t="s">
        <v>476</v>
      </c>
      <c r="G147" s="8" t="str">
        <f t="shared" si="2"/>
        <v>WILLIAMS DONTE</v>
      </c>
    </row>
    <row r="148" spans="1:7" x14ac:dyDescent="0.25">
      <c r="A148" s="8">
        <v>42853.662187499998</v>
      </c>
      <c r="B148" s="20" t="s">
        <v>438</v>
      </c>
      <c r="C148" s="20" t="s">
        <v>626</v>
      </c>
      <c r="D148" s="141">
        <v>930000</v>
      </c>
      <c r="E148" s="20" t="s">
        <v>452</v>
      </c>
      <c r="F148" s="20" t="s">
        <v>453</v>
      </c>
      <c r="G148" s="8" t="str">
        <f t="shared" si="2"/>
        <v>CLARK KATHLEEN</v>
      </c>
    </row>
    <row r="149" spans="1:7" x14ac:dyDescent="0.25">
      <c r="A149" s="8">
        <v>42853.663344907407</v>
      </c>
      <c r="B149" s="20" t="s">
        <v>638</v>
      </c>
      <c r="C149" s="20" t="s">
        <v>764</v>
      </c>
      <c r="D149" s="141">
        <v>2480000</v>
      </c>
      <c r="E149" s="20" t="s">
        <v>500</v>
      </c>
      <c r="F149" s="20" t="s">
        <v>501</v>
      </c>
      <c r="G149" s="8" t="str">
        <f t="shared" si="2"/>
        <v>WHITED DUSTIN</v>
      </c>
    </row>
    <row r="150" spans="1:7" x14ac:dyDescent="0.25">
      <c r="A150" s="8">
        <v>42853.667939814812</v>
      </c>
      <c r="B150" s="20" t="s">
        <v>352</v>
      </c>
      <c r="C150" s="20" t="s">
        <v>761</v>
      </c>
      <c r="D150" s="141">
        <v>2470000</v>
      </c>
      <c r="E150" s="20" t="s">
        <v>725</v>
      </c>
      <c r="F150" s="20" t="s">
        <v>726</v>
      </c>
      <c r="G150" s="8" t="str">
        <f t="shared" si="2"/>
        <v>ROMERO CHAD</v>
      </c>
    </row>
    <row r="151" spans="1:7" x14ac:dyDescent="0.25">
      <c r="A151" s="8">
        <v>42853.66914351852</v>
      </c>
      <c r="B151" s="20" t="s">
        <v>356</v>
      </c>
      <c r="C151" s="20" t="s">
        <v>765</v>
      </c>
      <c r="D151" s="141">
        <v>3010000</v>
      </c>
      <c r="E151" s="20" t="s">
        <v>458</v>
      </c>
      <c r="F151" s="20" t="s">
        <v>459</v>
      </c>
      <c r="G151" s="8" t="str">
        <f t="shared" si="2"/>
        <v>SULLIVAN BRANDON</v>
      </c>
    </row>
    <row r="152" spans="1:7" x14ac:dyDescent="0.25">
      <c r="A152" s="8">
        <v>42853.672337962962</v>
      </c>
      <c r="B152" s="20" t="s">
        <v>471</v>
      </c>
      <c r="C152" s="20" t="s">
        <v>624</v>
      </c>
      <c r="D152" s="141">
        <v>3040000</v>
      </c>
      <c r="E152" s="20" t="s">
        <v>475</v>
      </c>
      <c r="F152" s="20" t="s">
        <v>476</v>
      </c>
      <c r="G152" s="8" t="str">
        <f t="shared" si="2"/>
        <v>WILLIAMS DONTE</v>
      </c>
    </row>
    <row r="153" spans="1:7" x14ac:dyDescent="0.25">
      <c r="A153" s="8">
        <v>42853.674305555556</v>
      </c>
      <c r="B153" s="20" t="s">
        <v>199</v>
      </c>
      <c r="C153" s="20" t="s">
        <v>766</v>
      </c>
      <c r="D153" s="141">
        <v>2370000</v>
      </c>
      <c r="E153" s="20" t="s">
        <v>498</v>
      </c>
      <c r="F153" s="20" t="s">
        <v>499</v>
      </c>
      <c r="G153" s="8" t="str">
        <f t="shared" si="2"/>
        <v>DELGADO DIANAH</v>
      </c>
    </row>
    <row r="154" spans="1:7" x14ac:dyDescent="0.25">
      <c r="A154" s="8">
        <v>42853.67459490741</v>
      </c>
      <c r="B154" s="20" t="s">
        <v>428</v>
      </c>
      <c r="C154" s="20" t="s">
        <v>767</v>
      </c>
      <c r="D154" s="141">
        <v>880000</v>
      </c>
      <c r="E154" s="20" t="s">
        <v>722</v>
      </c>
      <c r="F154" s="20" t="s">
        <v>196</v>
      </c>
      <c r="G154" s="8" t="str">
        <f t="shared" si="2"/>
        <v>STEWART MICHAEL</v>
      </c>
    </row>
    <row r="155" spans="1:7" x14ac:dyDescent="0.25">
      <c r="A155" s="8">
        <v>42853.676053240742</v>
      </c>
      <c r="B155" s="20" t="s">
        <v>359</v>
      </c>
      <c r="C155" s="20" t="s">
        <v>768</v>
      </c>
      <c r="D155" s="141">
        <v>3120000</v>
      </c>
      <c r="E155" s="20" t="s">
        <v>456</v>
      </c>
      <c r="F155" s="20" t="s">
        <v>457</v>
      </c>
      <c r="G155" s="8" t="str">
        <f t="shared" si="2"/>
        <v>THOMPSON LESTER</v>
      </c>
    </row>
    <row r="156" spans="1:7" x14ac:dyDescent="0.25">
      <c r="A156" s="8">
        <v>42853.678796296299</v>
      </c>
      <c r="B156" s="20" t="s">
        <v>360</v>
      </c>
      <c r="C156" s="20" t="s">
        <v>766</v>
      </c>
      <c r="D156" s="141">
        <v>2370000</v>
      </c>
      <c r="E156" s="20" t="s">
        <v>498</v>
      </c>
      <c r="F156" s="20" t="s">
        <v>499</v>
      </c>
      <c r="G156" s="8" t="str">
        <f t="shared" si="2"/>
        <v>DELGADO DIANAH</v>
      </c>
    </row>
    <row r="157" spans="1:7" x14ac:dyDescent="0.25">
      <c r="A157" s="8">
        <v>42853.679340277777</v>
      </c>
      <c r="B157" s="20" t="s">
        <v>360</v>
      </c>
      <c r="C157" s="20" t="s">
        <v>766</v>
      </c>
      <c r="D157" s="141">
        <v>2370000</v>
      </c>
      <c r="E157" s="20" t="s">
        <v>498</v>
      </c>
      <c r="F157" s="20" t="s">
        <v>499</v>
      </c>
      <c r="G157" s="8" t="str">
        <f t="shared" si="2"/>
        <v>DELGADO DIANAH</v>
      </c>
    </row>
    <row r="158" spans="1:7" x14ac:dyDescent="0.25">
      <c r="A158" s="8">
        <v>42853.680173611108</v>
      </c>
      <c r="B158" s="20" t="s">
        <v>360</v>
      </c>
      <c r="C158" s="20" t="s">
        <v>766</v>
      </c>
      <c r="D158" s="141">
        <v>2370000</v>
      </c>
      <c r="E158" s="20" t="s">
        <v>498</v>
      </c>
      <c r="F158" s="20" t="s">
        <v>499</v>
      </c>
      <c r="G158" s="8" t="str">
        <f t="shared" si="2"/>
        <v>DELGADO DIANAH</v>
      </c>
    </row>
    <row r="159" spans="1:7" x14ac:dyDescent="0.25">
      <c r="A159" s="8">
        <v>42853.682268518518</v>
      </c>
      <c r="B159" s="20" t="s">
        <v>619</v>
      </c>
      <c r="C159" s="20" t="s">
        <v>762</v>
      </c>
      <c r="D159" s="141">
        <v>3090000</v>
      </c>
      <c r="E159" s="20" t="s">
        <v>454</v>
      </c>
      <c r="F159" s="20" t="s">
        <v>455</v>
      </c>
      <c r="G159" s="8" t="str">
        <f t="shared" si="2"/>
        <v>LAMAR NEKESHA</v>
      </c>
    </row>
    <row r="160" spans="1:7" x14ac:dyDescent="0.25">
      <c r="A160" s="8">
        <v>42853.68340277778</v>
      </c>
      <c r="B160" s="20" t="s">
        <v>619</v>
      </c>
      <c r="C160" s="20" t="s">
        <v>769</v>
      </c>
      <c r="D160" s="141">
        <v>3090000</v>
      </c>
      <c r="E160" s="20" t="s">
        <v>454</v>
      </c>
      <c r="F160" s="20" t="s">
        <v>455</v>
      </c>
      <c r="G160" s="8" t="str">
        <f t="shared" si="2"/>
        <v>LAMAR NEKESHA</v>
      </c>
    </row>
    <row r="161" spans="1:7" x14ac:dyDescent="0.25">
      <c r="A161" s="8">
        <v>42853.68476851852</v>
      </c>
      <c r="B161" s="20" t="s">
        <v>199</v>
      </c>
      <c r="C161" s="20" t="s">
        <v>770</v>
      </c>
      <c r="D161" s="141">
        <v>2370000</v>
      </c>
      <c r="E161" s="20" t="s">
        <v>498</v>
      </c>
      <c r="F161" s="20" t="s">
        <v>499</v>
      </c>
      <c r="G161" s="8" t="str">
        <f t="shared" si="2"/>
        <v>DELGADO DIANAH</v>
      </c>
    </row>
    <row r="162" spans="1:7" x14ac:dyDescent="0.25">
      <c r="A162" s="8">
        <v>42853.685798611114</v>
      </c>
      <c r="B162" s="20" t="s">
        <v>199</v>
      </c>
      <c r="C162" s="20" t="s">
        <v>770</v>
      </c>
      <c r="D162" s="141">
        <v>2370000</v>
      </c>
      <c r="E162" s="20" t="s">
        <v>498</v>
      </c>
      <c r="F162" s="20" t="s">
        <v>499</v>
      </c>
      <c r="G162" s="8" t="str">
        <f t="shared" si="2"/>
        <v>DELGADO DIANAH</v>
      </c>
    </row>
    <row r="163" spans="1:7" x14ac:dyDescent="0.25">
      <c r="A163" s="8">
        <v>42853.686689814815</v>
      </c>
      <c r="B163" s="20" t="s">
        <v>199</v>
      </c>
      <c r="C163" s="20" t="s">
        <v>770</v>
      </c>
      <c r="D163" s="141">
        <v>2370000</v>
      </c>
      <c r="E163" s="20" t="s">
        <v>498</v>
      </c>
      <c r="F163" s="20" t="s">
        <v>499</v>
      </c>
      <c r="G163" s="8" t="str">
        <f t="shared" si="2"/>
        <v>DELGADO DIANAH</v>
      </c>
    </row>
    <row r="164" spans="1:7" x14ac:dyDescent="0.25">
      <c r="A164" s="8">
        <v>42853.692418981482</v>
      </c>
      <c r="B164" s="20" t="s">
        <v>444</v>
      </c>
      <c r="C164" s="20" t="s">
        <v>771</v>
      </c>
      <c r="D164" s="141">
        <v>3120000</v>
      </c>
      <c r="E164" s="20" t="s">
        <v>456</v>
      </c>
      <c r="F164" s="20" t="s">
        <v>457</v>
      </c>
      <c r="G164" s="8" t="str">
        <f t="shared" si="2"/>
        <v>THOMPSON LESTER</v>
      </c>
    </row>
    <row r="165" spans="1:7" x14ac:dyDescent="0.25">
      <c r="A165" s="8">
        <v>42853.693518518521</v>
      </c>
      <c r="B165" s="20" t="s">
        <v>630</v>
      </c>
      <c r="C165" s="20" t="s">
        <v>772</v>
      </c>
      <c r="D165" s="141">
        <v>2360000</v>
      </c>
      <c r="E165" s="20" t="s">
        <v>531</v>
      </c>
      <c r="F165" s="20" t="s">
        <v>532</v>
      </c>
      <c r="G165" s="8" t="str">
        <f t="shared" si="2"/>
        <v>BRANDNER MELINDA</v>
      </c>
    </row>
    <row r="166" spans="1:7" x14ac:dyDescent="0.25">
      <c r="A166" s="8">
        <v>42853.696122685185</v>
      </c>
      <c r="B166" s="20" t="s">
        <v>439</v>
      </c>
      <c r="C166" s="20" t="s">
        <v>773</v>
      </c>
      <c r="D166" s="141">
        <v>930000</v>
      </c>
      <c r="E166" s="20" t="s">
        <v>452</v>
      </c>
      <c r="F166" s="20" t="s">
        <v>453</v>
      </c>
      <c r="G166" s="8" t="str">
        <f t="shared" si="2"/>
        <v>CLARK KATHLEEN</v>
      </c>
    </row>
    <row r="167" spans="1:7" x14ac:dyDescent="0.25">
      <c r="A167" s="8">
        <v>42853.697870370372</v>
      </c>
      <c r="B167" s="20" t="s">
        <v>427</v>
      </c>
      <c r="C167" s="20" t="s">
        <v>774</v>
      </c>
      <c r="D167" s="141">
        <v>3040000</v>
      </c>
      <c r="E167" s="20" t="s">
        <v>475</v>
      </c>
      <c r="F167" s="20" t="s">
        <v>476</v>
      </c>
      <c r="G167" s="8" t="str">
        <f t="shared" si="2"/>
        <v>WILLIAMS DONTE</v>
      </c>
    </row>
    <row r="168" spans="1:7" x14ac:dyDescent="0.25">
      <c r="A168" s="8">
        <v>42853.701122685183</v>
      </c>
      <c r="B168" s="20" t="s">
        <v>599</v>
      </c>
      <c r="C168" s="20" t="s">
        <v>775</v>
      </c>
      <c r="D168" s="141">
        <v>2480000</v>
      </c>
      <c r="E168" s="20" t="s">
        <v>500</v>
      </c>
      <c r="F168" s="20" t="s">
        <v>501</v>
      </c>
      <c r="G168" s="8" t="str">
        <f t="shared" si="2"/>
        <v>WHITED DUSTIN</v>
      </c>
    </row>
    <row r="169" spans="1:7" x14ac:dyDescent="0.25">
      <c r="A169" s="8">
        <v>42853.70579861111</v>
      </c>
      <c r="B169" s="20" t="s">
        <v>357</v>
      </c>
      <c r="C169" s="20" t="s">
        <v>776</v>
      </c>
      <c r="D169" s="141">
        <v>3010000</v>
      </c>
      <c r="E169" s="20" t="s">
        <v>458</v>
      </c>
      <c r="F169" s="20" t="s">
        <v>459</v>
      </c>
      <c r="G169" s="8" t="str">
        <f t="shared" si="2"/>
        <v>SULLIVAN BRANDON</v>
      </c>
    </row>
    <row r="170" spans="1:7" x14ac:dyDescent="0.25">
      <c r="A170" s="8">
        <v>42853.713182870371</v>
      </c>
      <c r="B170" s="20" t="s">
        <v>606</v>
      </c>
      <c r="C170" s="20" t="s">
        <v>777</v>
      </c>
      <c r="D170" s="141">
        <v>880000</v>
      </c>
      <c r="E170" s="20" t="s">
        <v>722</v>
      </c>
      <c r="F170" s="20" t="s">
        <v>196</v>
      </c>
      <c r="G170" s="8" t="str">
        <f t="shared" si="2"/>
        <v>STEWART MICHAEL</v>
      </c>
    </row>
    <row r="171" spans="1:7" x14ac:dyDescent="0.25">
      <c r="A171" s="8">
        <v>42853.713842592595</v>
      </c>
      <c r="B171" s="20" t="s">
        <v>471</v>
      </c>
      <c r="C171" s="20" t="s">
        <v>627</v>
      </c>
      <c r="D171" s="141">
        <v>3040000</v>
      </c>
      <c r="E171" s="20" t="s">
        <v>475</v>
      </c>
      <c r="F171" s="20" t="s">
        <v>476</v>
      </c>
      <c r="G171" s="8" t="str">
        <f t="shared" si="2"/>
        <v>WILLIAMS DONTE</v>
      </c>
    </row>
    <row r="172" spans="1:7" x14ac:dyDescent="0.25">
      <c r="A172" s="8">
        <v>42853.714178240742</v>
      </c>
      <c r="B172" s="20" t="s">
        <v>616</v>
      </c>
      <c r="C172" s="20" t="s">
        <v>778</v>
      </c>
      <c r="D172" s="141">
        <v>3090000</v>
      </c>
      <c r="E172" s="20" t="s">
        <v>454</v>
      </c>
      <c r="F172" s="20" t="s">
        <v>455</v>
      </c>
      <c r="G172" s="8" t="str">
        <f t="shared" si="2"/>
        <v>LAMAR NEKESHA</v>
      </c>
    </row>
    <row r="173" spans="1:7" x14ac:dyDescent="0.25">
      <c r="A173" s="8">
        <v>42853.719386574077</v>
      </c>
      <c r="B173" s="20" t="s">
        <v>359</v>
      </c>
      <c r="C173" s="20" t="s">
        <v>779</v>
      </c>
      <c r="D173" s="141">
        <v>3120000</v>
      </c>
      <c r="E173" s="20" t="s">
        <v>456</v>
      </c>
      <c r="F173" s="20" t="s">
        <v>457</v>
      </c>
      <c r="G173" s="8" t="str">
        <f t="shared" si="2"/>
        <v>THOMPSON LESTER</v>
      </c>
    </row>
    <row r="174" spans="1:7" x14ac:dyDescent="0.25">
      <c r="A174" s="8">
        <v>42853.72179398148</v>
      </c>
      <c r="B174" s="20" t="s">
        <v>360</v>
      </c>
      <c r="C174" s="20" t="s">
        <v>780</v>
      </c>
      <c r="D174" s="141">
        <v>2370000</v>
      </c>
      <c r="E174" s="20" t="s">
        <v>498</v>
      </c>
      <c r="F174" s="20" t="s">
        <v>499</v>
      </c>
      <c r="G174" s="8" t="str">
        <f t="shared" si="2"/>
        <v>DELGADO DIANAH</v>
      </c>
    </row>
    <row r="175" spans="1:7" x14ac:dyDescent="0.25">
      <c r="A175" s="8">
        <v>42853.72284722222</v>
      </c>
      <c r="B175" s="20" t="s">
        <v>360</v>
      </c>
      <c r="C175" s="20" t="s">
        <v>780</v>
      </c>
      <c r="D175" s="141">
        <v>2370000</v>
      </c>
      <c r="E175" s="20" t="s">
        <v>498</v>
      </c>
      <c r="F175" s="20" t="s">
        <v>499</v>
      </c>
      <c r="G175" s="8" t="str">
        <f t="shared" si="2"/>
        <v>DELGADO DIANAH</v>
      </c>
    </row>
    <row r="176" spans="1:7" x14ac:dyDescent="0.25">
      <c r="A176" s="8">
        <v>42853.724733796298</v>
      </c>
      <c r="B176" s="20" t="s">
        <v>351</v>
      </c>
      <c r="C176" s="20" t="s">
        <v>781</v>
      </c>
      <c r="D176" s="141">
        <v>2470000</v>
      </c>
      <c r="E176" s="20" t="s">
        <v>725</v>
      </c>
      <c r="F176" s="20" t="s">
        <v>726</v>
      </c>
      <c r="G176" s="8" t="str">
        <f t="shared" si="2"/>
        <v>ROMERO CHAD</v>
      </c>
    </row>
    <row r="177" spans="1:7" x14ac:dyDescent="0.25">
      <c r="A177" s="8">
        <v>42853.726261574076</v>
      </c>
      <c r="B177" s="20" t="s">
        <v>604</v>
      </c>
      <c r="C177" s="20" t="s">
        <v>782</v>
      </c>
      <c r="D177" s="141">
        <v>2360000</v>
      </c>
      <c r="E177" s="20" t="s">
        <v>531</v>
      </c>
      <c r="F177" s="20" t="s">
        <v>532</v>
      </c>
      <c r="G177" s="8" t="str">
        <f t="shared" si="2"/>
        <v>BRANDNER MELINDA</v>
      </c>
    </row>
    <row r="178" spans="1:7" x14ac:dyDescent="0.25">
      <c r="A178" s="8">
        <v>42853.732662037037</v>
      </c>
      <c r="B178" s="20" t="s">
        <v>438</v>
      </c>
      <c r="C178" s="20" t="s">
        <v>783</v>
      </c>
      <c r="D178" s="141">
        <v>930000</v>
      </c>
      <c r="E178" s="20" t="s">
        <v>452</v>
      </c>
      <c r="F178" s="20" t="s">
        <v>453</v>
      </c>
      <c r="G178" s="8" t="str">
        <f t="shared" si="2"/>
        <v>CLARK KATHLEEN</v>
      </c>
    </row>
    <row r="179" spans="1:7" x14ac:dyDescent="0.25">
      <c r="A179" s="8">
        <v>42853.734699074077</v>
      </c>
      <c r="B179" s="20" t="s">
        <v>638</v>
      </c>
      <c r="C179" s="20" t="s">
        <v>784</v>
      </c>
      <c r="D179" s="141">
        <v>1740000</v>
      </c>
      <c r="E179" s="20" t="s">
        <v>372</v>
      </c>
      <c r="F179" s="20" t="s">
        <v>373</v>
      </c>
      <c r="G179" s="8" t="str">
        <f t="shared" si="2"/>
        <v>STORY SAMANTHA</v>
      </c>
    </row>
    <row r="180" spans="1:7" x14ac:dyDescent="0.25">
      <c r="A180" s="8">
        <v>42853.735219907408</v>
      </c>
      <c r="B180" s="20" t="s">
        <v>444</v>
      </c>
      <c r="C180" s="20" t="s">
        <v>785</v>
      </c>
      <c r="D180" s="141">
        <v>3120000</v>
      </c>
      <c r="E180" s="20" t="s">
        <v>456</v>
      </c>
      <c r="F180" s="20" t="s">
        <v>457</v>
      </c>
      <c r="G180" s="8" t="str">
        <f t="shared" si="2"/>
        <v>THOMPSON LESTER</v>
      </c>
    </row>
    <row r="181" spans="1:7" x14ac:dyDescent="0.25">
      <c r="A181" s="8">
        <v>42853.74046296296</v>
      </c>
      <c r="B181" s="20" t="s">
        <v>427</v>
      </c>
      <c r="C181" s="20" t="s">
        <v>628</v>
      </c>
      <c r="D181" s="141">
        <v>3040000</v>
      </c>
      <c r="E181" s="20" t="s">
        <v>475</v>
      </c>
      <c r="F181" s="20" t="s">
        <v>476</v>
      </c>
      <c r="G181" s="8" t="str">
        <f t="shared" si="2"/>
        <v>WILLIAMS DONTE</v>
      </c>
    </row>
    <row r="182" spans="1:7" x14ac:dyDescent="0.25">
      <c r="A182" s="8">
        <v>42853.740636574075</v>
      </c>
      <c r="B182" s="20" t="s">
        <v>356</v>
      </c>
      <c r="C182" s="20" t="s">
        <v>786</v>
      </c>
      <c r="D182" s="141">
        <v>3010000</v>
      </c>
      <c r="E182" s="20" t="s">
        <v>458</v>
      </c>
      <c r="F182" s="20" t="s">
        <v>459</v>
      </c>
      <c r="G182" s="8" t="str">
        <f t="shared" si="2"/>
        <v>SULLIVAN BRANDON</v>
      </c>
    </row>
    <row r="183" spans="1:7" x14ac:dyDescent="0.25">
      <c r="A183" s="8">
        <v>42853.743263888886</v>
      </c>
      <c r="B183" s="20" t="s">
        <v>354</v>
      </c>
      <c r="C183" s="20" t="s">
        <v>629</v>
      </c>
      <c r="D183" s="141">
        <v>2620000</v>
      </c>
      <c r="E183" s="20" t="s">
        <v>460</v>
      </c>
      <c r="F183" s="20" t="s">
        <v>461</v>
      </c>
      <c r="G183" s="8" t="str">
        <f t="shared" si="2"/>
        <v>PERKINS DARREN</v>
      </c>
    </row>
    <row r="184" spans="1:7" x14ac:dyDescent="0.25">
      <c r="A184" s="8">
        <v>42853.744479166664</v>
      </c>
      <c r="B184" s="20" t="s">
        <v>354</v>
      </c>
      <c r="C184" s="20" t="s">
        <v>629</v>
      </c>
      <c r="D184" s="141">
        <v>2620000</v>
      </c>
      <c r="E184" s="20" t="s">
        <v>460</v>
      </c>
      <c r="F184" s="20" t="s">
        <v>461</v>
      </c>
      <c r="G184" s="8" t="str">
        <f t="shared" si="2"/>
        <v>PERKINS DARREN</v>
      </c>
    </row>
    <row r="185" spans="1:7" x14ac:dyDescent="0.25">
      <c r="A185" s="8">
        <v>42853.74659722222</v>
      </c>
      <c r="B185" s="20" t="s">
        <v>354</v>
      </c>
      <c r="C185" s="20" t="s">
        <v>629</v>
      </c>
      <c r="D185" s="141">
        <v>2620000</v>
      </c>
      <c r="E185" s="20" t="s">
        <v>460</v>
      </c>
      <c r="F185" s="20" t="s">
        <v>461</v>
      </c>
      <c r="G185" s="8" t="str">
        <f t="shared" si="2"/>
        <v>PERKINS DARREN</v>
      </c>
    </row>
    <row r="186" spans="1:7" x14ac:dyDescent="0.25">
      <c r="A186" s="8">
        <v>42853.748865740738</v>
      </c>
      <c r="B186" s="20" t="s">
        <v>428</v>
      </c>
      <c r="C186" s="20" t="s">
        <v>787</v>
      </c>
      <c r="D186" s="141">
        <v>2480000</v>
      </c>
      <c r="E186" s="20" t="s">
        <v>500</v>
      </c>
      <c r="F186" s="20" t="s">
        <v>501</v>
      </c>
      <c r="G186" s="8" t="str">
        <f t="shared" si="2"/>
        <v>WHITED DUSTIN</v>
      </c>
    </row>
    <row r="187" spans="1:7" x14ac:dyDescent="0.25">
      <c r="A187" s="8">
        <v>42853.754548611112</v>
      </c>
      <c r="B187" s="20" t="s">
        <v>619</v>
      </c>
      <c r="C187" s="20" t="s">
        <v>788</v>
      </c>
      <c r="D187" s="141">
        <v>3090000</v>
      </c>
      <c r="E187" s="20" t="s">
        <v>454</v>
      </c>
      <c r="F187" s="20" t="s">
        <v>455</v>
      </c>
      <c r="G187" s="8" t="str">
        <f t="shared" si="2"/>
        <v>LAMAR NEKESHA</v>
      </c>
    </row>
    <row r="188" spans="1:7" x14ac:dyDescent="0.25">
      <c r="A188" s="8">
        <v>42853.755358796298</v>
      </c>
      <c r="B188" s="20" t="s">
        <v>471</v>
      </c>
      <c r="C188" s="20" t="s">
        <v>789</v>
      </c>
      <c r="D188" s="141">
        <v>3040000</v>
      </c>
      <c r="E188" s="20" t="s">
        <v>475</v>
      </c>
      <c r="F188" s="20" t="s">
        <v>476</v>
      </c>
      <c r="G188" s="8" t="str">
        <f t="shared" si="2"/>
        <v>WILLIAMS DONTE</v>
      </c>
    </row>
    <row r="189" spans="1:7" x14ac:dyDescent="0.25">
      <c r="A189" s="8">
        <v>42853.755532407406</v>
      </c>
      <c r="B189" s="20" t="s">
        <v>199</v>
      </c>
      <c r="C189" s="20" t="s">
        <v>790</v>
      </c>
      <c r="D189" s="141">
        <v>2000000</v>
      </c>
      <c r="E189" s="20" t="s">
        <v>353</v>
      </c>
      <c r="F189" s="20" t="s">
        <v>193</v>
      </c>
      <c r="G189" s="8" t="str">
        <f t="shared" si="2"/>
        <v>STAMBAUGH JAMES</v>
      </c>
    </row>
    <row r="190" spans="1:7" x14ac:dyDescent="0.25">
      <c r="A190" s="8">
        <v>42853.759155092594</v>
      </c>
      <c r="B190" s="20" t="s">
        <v>359</v>
      </c>
      <c r="C190" s="20" t="s">
        <v>632</v>
      </c>
      <c r="D190" s="141">
        <v>3120000</v>
      </c>
      <c r="E190" s="20" t="s">
        <v>456</v>
      </c>
      <c r="F190" s="20" t="s">
        <v>457</v>
      </c>
      <c r="G190" s="8" t="str">
        <f t="shared" si="2"/>
        <v>THOMPSON LESTER</v>
      </c>
    </row>
    <row r="191" spans="1:7" x14ac:dyDescent="0.25">
      <c r="A191" s="8">
        <v>42853.764699074076</v>
      </c>
      <c r="B191" s="20" t="s">
        <v>630</v>
      </c>
      <c r="C191" s="20" t="s">
        <v>631</v>
      </c>
      <c r="D191" s="141">
        <v>2360000</v>
      </c>
      <c r="E191" s="20" t="s">
        <v>531</v>
      </c>
      <c r="F191" s="20" t="s">
        <v>532</v>
      </c>
      <c r="G191" s="8" t="str">
        <f t="shared" si="2"/>
        <v>BRANDNER MELINDA</v>
      </c>
    </row>
    <row r="192" spans="1:7" x14ac:dyDescent="0.25">
      <c r="A192" s="8">
        <v>42853.768541666665</v>
      </c>
      <c r="B192" s="20" t="s">
        <v>439</v>
      </c>
      <c r="C192" s="20" t="s">
        <v>791</v>
      </c>
      <c r="D192" s="141">
        <v>2150000</v>
      </c>
      <c r="E192" s="20" t="s">
        <v>349</v>
      </c>
      <c r="F192" s="20" t="s">
        <v>350</v>
      </c>
      <c r="G192" s="8" t="str">
        <f t="shared" si="2"/>
        <v>SWANSON BRYCE</v>
      </c>
    </row>
    <row r="193" spans="1:7" x14ac:dyDescent="0.25">
      <c r="A193" s="8">
        <v>42853.774224537039</v>
      </c>
      <c r="B193" s="20" t="s">
        <v>599</v>
      </c>
      <c r="C193" s="20" t="s">
        <v>792</v>
      </c>
      <c r="D193" s="141">
        <v>1740000</v>
      </c>
      <c r="E193" s="20" t="s">
        <v>372</v>
      </c>
      <c r="F193" s="20" t="s">
        <v>373</v>
      </c>
      <c r="G193" s="8" t="str">
        <f t="shared" si="2"/>
        <v>STORY SAMANTHA</v>
      </c>
    </row>
    <row r="194" spans="1:7" x14ac:dyDescent="0.25">
      <c r="A194" s="8">
        <v>42853.77747685185</v>
      </c>
      <c r="B194" s="20" t="s">
        <v>444</v>
      </c>
      <c r="C194" s="20" t="s">
        <v>793</v>
      </c>
      <c r="D194" s="141">
        <v>3120000</v>
      </c>
      <c r="E194" s="20" t="s">
        <v>456</v>
      </c>
      <c r="F194" s="20" t="s">
        <v>457</v>
      </c>
      <c r="G194" s="8" t="str">
        <f t="shared" si="2"/>
        <v>THOMPSON LESTER</v>
      </c>
    </row>
    <row r="195" spans="1:7" x14ac:dyDescent="0.25">
      <c r="A195" s="8">
        <v>42853.778078703705</v>
      </c>
      <c r="B195" s="20" t="s">
        <v>357</v>
      </c>
      <c r="C195" s="20" t="s">
        <v>794</v>
      </c>
      <c r="D195" s="141">
        <v>3010000</v>
      </c>
      <c r="E195" s="20" t="s">
        <v>458</v>
      </c>
      <c r="F195" s="20" t="s">
        <v>459</v>
      </c>
      <c r="G195" s="8" t="str">
        <f t="shared" ref="G195:G258" si="3">E195&amp;" "&amp;F195</f>
        <v>SULLIVAN BRANDON</v>
      </c>
    </row>
    <row r="196" spans="1:7" x14ac:dyDescent="0.25">
      <c r="A196" s="8">
        <v>42853.779803240737</v>
      </c>
      <c r="B196" s="20" t="s">
        <v>427</v>
      </c>
      <c r="C196" s="20" t="s">
        <v>795</v>
      </c>
      <c r="D196" s="141">
        <v>3040000</v>
      </c>
      <c r="E196" s="20" t="s">
        <v>475</v>
      </c>
      <c r="F196" s="20" t="s">
        <v>476</v>
      </c>
      <c r="G196" s="8" t="str">
        <f t="shared" si="3"/>
        <v>WILLIAMS DONTE</v>
      </c>
    </row>
    <row r="197" spans="1:7" x14ac:dyDescent="0.25">
      <c r="A197" s="8">
        <v>42853.785277777781</v>
      </c>
      <c r="B197" s="20" t="s">
        <v>606</v>
      </c>
      <c r="C197" s="20" t="s">
        <v>796</v>
      </c>
      <c r="D197" s="141">
        <v>2480000</v>
      </c>
      <c r="E197" s="20" t="s">
        <v>500</v>
      </c>
      <c r="F197" s="20" t="s">
        <v>501</v>
      </c>
      <c r="G197" s="8" t="str">
        <f t="shared" si="3"/>
        <v>WHITED DUSTIN</v>
      </c>
    </row>
    <row r="198" spans="1:7" x14ac:dyDescent="0.25">
      <c r="A198" s="8">
        <v>42853.788275462961</v>
      </c>
      <c r="B198" s="20" t="s">
        <v>616</v>
      </c>
      <c r="C198" s="20" t="s">
        <v>797</v>
      </c>
      <c r="D198" s="141">
        <v>2630000</v>
      </c>
      <c r="E198" s="20" t="s">
        <v>798</v>
      </c>
      <c r="F198" s="20" t="s">
        <v>799</v>
      </c>
      <c r="G198" s="8" t="str">
        <f t="shared" si="3"/>
        <v>SAFIEF AEIMEN</v>
      </c>
    </row>
    <row r="199" spans="1:7" x14ac:dyDescent="0.25">
      <c r="A199" s="8">
        <v>42853.791770833333</v>
      </c>
      <c r="B199" s="20" t="s">
        <v>360</v>
      </c>
      <c r="C199" s="20" t="s">
        <v>800</v>
      </c>
      <c r="D199" s="141">
        <v>2000000</v>
      </c>
      <c r="E199" s="20" t="s">
        <v>353</v>
      </c>
      <c r="F199" s="20" t="s">
        <v>193</v>
      </c>
      <c r="G199" s="8" t="str">
        <f t="shared" si="3"/>
        <v>STAMBAUGH JAMES</v>
      </c>
    </row>
    <row r="200" spans="1:7" x14ac:dyDescent="0.25">
      <c r="A200" s="8">
        <v>42853.797743055555</v>
      </c>
      <c r="B200" s="20" t="s">
        <v>471</v>
      </c>
      <c r="C200" s="20" t="s">
        <v>633</v>
      </c>
      <c r="D200" s="141">
        <v>3040000</v>
      </c>
      <c r="E200" s="20" t="s">
        <v>475</v>
      </c>
      <c r="F200" s="20" t="s">
        <v>476</v>
      </c>
      <c r="G200" s="8" t="str">
        <f t="shared" si="3"/>
        <v>WILLIAMS DONTE</v>
      </c>
    </row>
    <row r="201" spans="1:7" x14ac:dyDescent="0.25">
      <c r="A201" s="8">
        <v>42853.799872685187</v>
      </c>
      <c r="B201" s="20" t="s">
        <v>604</v>
      </c>
      <c r="C201" s="20" t="s">
        <v>801</v>
      </c>
      <c r="D201" s="141">
        <v>2360000</v>
      </c>
      <c r="E201" s="20" t="s">
        <v>531</v>
      </c>
      <c r="F201" s="20" t="s">
        <v>532</v>
      </c>
      <c r="G201" s="8" t="str">
        <f t="shared" si="3"/>
        <v>BRANDNER MELINDA</v>
      </c>
    </row>
    <row r="202" spans="1:7" x14ac:dyDescent="0.25">
      <c r="A202" s="26">
        <v>42853.801030092596</v>
      </c>
      <c r="B202" s="20" t="s">
        <v>359</v>
      </c>
      <c r="C202" s="20" t="s">
        <v>802</v>
      </c>
      <c r="D202" s="141">
        <v>3120000</v>
      </c>
      <c r="E202" s="20" t="s">
        <v>456</v>
      </c>
      <c r="F202" s="20" t="s">
        <v>457</v>
      </c>
      <c r="G202" s="8" t="str">
        <f t="shared" si="3"/>
        <v>THOMPSON LESTER</v>
      </c>
    </row>
    <row r="203" spans="1:7" x14ac:dyDescent="0.25">
      <c r="A203" s="8">
        <v>42853.801851851851</v>
      </c>
      <c r="B203" s="20" t="s">
        <v>438</v>
      </c>
      <c r="C203" s="20" t="s">
        <v>803</v>
      </c>
      <c r="D203" s="141">
        <v>2150000</v>
      </c>
      <c r="E203" s="20" t="s">
        <v>349</v>
      </c>
      <c r="F203" s="20" t="s">
        <v>350</v>
      </c>
      <c r="G203" s="8" t="str">
        <f t="shared" si="3"/>
        <v>SWANSON BRYCE</v>
      </c>
    </row>
    <row r="204" spans="1:7" x14ac:dyDescent="0.25">
      <c r="A204" s="8">
        <v>42853.811053240737</v>
      </c>
      <c r="B204" s="20" t="s">
        <v>638</v>
      </c>
      <c r="C204" s="20" t="s">
        <v>804</v>
      </c>
      <c r="D204" s="141">
        <v>2560000</v>
      </c>
      <c r="E204" s="20" t="s">
        <v>805</v>
      </c>
      <c r="F204" s="20" t="s">
        <v>432</v>
      </c>
      <c r="G204" s="8" t="str">
        <f t="shared" si="3"/>
        <v>MACDONALD THOMAS</v>
      </c>
    </row>
    <row r="205" spans="1:7" x14ac:dyDescent="0.25">
      <c r="A205" s="8">
        <v>42853.81827546296</v>
      </c>
      <c r="B205" s="20" t="s">
        <v>428</v>
      </c>
      <c r="C205" s="20" t="s">
        <v>806</v>
      </c>
      <c r="D205" s="141">
        <v>2480000</v>
      </c>
      <c r="E205" s="20" t="s">
        <v>500</v>
      </c>
      <c r="F205" s="20" t="s">
        <v>501</v>
      </c>
      <c r="G205" s="8" t="str">
        <f t="shared" si="3"/>
        <v>WHITED DUSTIN</v>
      </c>
    </row>
    <row r="206" spans="1:7" x14ac:dyDescent="0.25">
      <c r="A206" s="8">
        <v>42853.818715277775</v>
      </c>
      <c r="B206" s="20" t="s">
        <v>444</v>
      </c>
      <c r="C206" s="20" t="s">
        <v>807</v>
      </c>
      <c r="D206" s="141">
        <v>3120000</v>
      </c>
      <c r="E206" s="20" t="s">
        <v>456</v>
      </c>
      <c r="F206" s="20" t="s">
        <v>457</v>
      </c>
      <c r="G206" s="8" t="str">
        <f t="shared" si="3"/>
        <v>THOMPSON LESTER</v>
      </c>
    </row>
    <row r="207" spans="1:7" x14ac:dyDescent="0.25">
      <c r="A207" s="8">
        <v>42853.823599537034</v>
      </c>
      <c r="B207" s="20" t="s">
        <v>619</v>
      </c>
      <c r="C207" s="20" t="s">
        <v>808</v>
      </c>
      <c r="D207" s="141">
        <v>2630000</v>
      </c>
      <c r="E207" s="20" t="s">
        <v>798</v>
      </c>
      <c r="F207" s="20" t="s">
        <v>799</v>
      </c>
      <c r="G207" s="8" t="str">
        <f t="shared" si="3"/>
        <v>SAFIEF AEIMEN</v>
      </c>
    </row>
    <row r="208" spans="1:7" x14ac:dyDescent="0.25">
      <c r="A208" s="8">
        <v>42853.828553240739</v>
      </c>
      <c r="B208" s="20" t="s">
        <v>199</v>
      </c>
      <c r="C208" s="20" t="s">
        <v>809</v>
      </c>
      <c r="D208" s="141">
        <v>2000000</v>
      </c>
      <c r="E208" s="20" t="s">
        <v>353</v>
      </c>
      <c r="F208" s="20" t="s">
        <v>193</v>
      </c>
      <c r="G208" s="8" t="str">
        <f t="shared" si="3"/>
        <v>STAMBAUGH JAMES</v>
      </c>
    </row>
    <row r="209" spans="1:7" x14ac:dyDescent="0.25">
      <c r="A209" s="8">
        <v>42853.831655092596</v>
      </c>
      <c r="B209" s="20" t="s">
        <v>527</v>
      </c>
      <c r="C209" s="20" t="s">
        <v>637</v>
      </c>
      <c r="D209" s="141">
        <v>2610000</v>
      </c>
      <c r="E209" s="20" t="s">
        <v>810</v>
      </c>
      <c r="F209" s="20" t="s">
        <v>811</v>
      </c>
      <c r="G209" s="8" t="str">
        <f t="shared" si="3"/>
        <v>MAGEE KENYA</v>
      </c>
    </row>
    <row r="210" spans="1:7" x14ac:dyDescent="0.25">
      <c r="A210" s="8">
        <v>42853.841400462959</v>
      </c>
      <c r="B210" s="20" t="s">
        <v>439</v>
      </c>
      <c r="C210" s="20" t="s">
        <v>812</v>
      </c>
      <c r="D210" s="141">
        <v>2150000</v>
      </c>
      <c r="E210" s="20" t="s">
        <v>349</v>
      </c>
      <c r="F210" s="20" t="s">
        <v>350</v>
      </c>
      <c r="G210" s="8" t="str">
        <f t="shared" si="3"/>
        <v>SWANSON BRYCE</v>
      </c>
    </row>
    <row r="211" spans="1:7" x14ac:dyDescent="0.25">
      <c r="A211" s="8">
        <v>42853.845370370371</v>
      </c>
      <c r="B211" s="20" t="s">
        <v>359</v>
      </c>
      <c r="C211" s="20" t="s">
        <v>813</v>
      </c>
      <c r="D211" s="141">
        <v>3120000</v>
      </c>
      <c r="E211" s="20" t="s">
        <v>456</v>
      </c>
      <c r="F211" s="20" t="s">
        <v>457</v>
      </c>
      <c r="G211" s="8" t="str">
        <f t="shared" si="3"/>
        <v>THOMPSON LESTER</v>
      </c>
    </row>
    <row r="212" spans="1:7" x14ac:dyDescent="0.25">
      <c r="A212" s="8">
        <v>42853.84957175926</v>
      </c>
      <c r="B212" s="20" t="s">
        <v>599</v>
      </c>
      <c r="C212" s="20" t="s">
        <v>634</v>
      </c>
      <c r="D212" s="141">
        <v>2560000</v>
      </c>
      <c r="E212" s="20" t="s">
        <v>805</v>
      </c>
      <c r="F212" s="20" t="s">
        <v>432</v>
      </c>
      <c r="G212" s="8" t="str">
        <f t="shared" si="3"/>
        <v>MACDONALD THOMAS</v>
      </c>
    </row>
    <row r="213" spans="1:7" x14ac:dyDescent="0.25">
      <c r="A213" s="8">
        <v>42853.849942129629</v>
      </c>
      <c r="B213" s="20" t="s">
        <v>642</v>
      </c>
      <c r="C213" s="20" t="s">
        <v>814</v>
      </c>
      <c r="D213" s="141">
        <v>2610000</v>
      </c>
      <c r="E213" s="20" t="s">
        <v>810</v>
      </c>
      <c r="F213" s="20" t="s">
        <v>811</v>
      </c>
      <c r="G213" s="8" t="str">
        <f t="shared" si="3"/>
        <v>MAGEE KENYA</v>
      </c>
    </row>
    <row r="214" spans="1:7" x14ac:dyDescent="0.25">
      <c r="A214" s="8">
        <v>42853.851817129631</v>
      </c>
      <c r="B214" s="20" t="s">
        <v>642</v>
      </c>
      <c r="C214" s="20" t="s">
        <v>814</v>
      </c>
      <c r="D214" s="141">
        <v>2610000</v>
      </c>
      <c r="E214" s="20" t="s">
        <v>810</v>
      </c>
      <c r="F214" s="20" t="s">
        <v>811</v>
      </c>
      <c r="G214" s="8" t="str">
        <f t="shared" si="3"/>
        <v>MAGEE KENYA</v>
      </c>
    </row>
    <row r="215" spans="1:7" x14ac:dyDescent="0.25">
      <c r="A215" s="8">
        <v>42853.852372685185</v>
      </c>
      <c r="B215" s="20" t="s">
        <v>642</v>
      </c>
      <c r="C215" s="20" t="s">
        <v>637</v>
      </c>
      <c r="D215" s="141">
        <v>2610000</v>
      </c>
      <c r="E215" s="20" t="s">
        <v>810</v>
      </c>
      <c r="F215" s="20" t="s">
        <v>811</v>
      </c>
      <c r="G215" s="8" t="str">
        <f t="shared" si="3"/>
        <v>MAGEE KENYA</v>
      </c>
    </row>
    <row r="216" spans="1:7" x14ac:dyDescent="0.25">
      <c r="A216" s="8">
        <v>42853.853252314817</v>
      </c>
      <c r="B216" s="20" t="s">
        <v>642</v>
      </c>
      <c r="C216" s="20" t="s">
        <v>814</v>
      </c>
      <c r="D216" s="141">
        <v>2610000</v>
      </c>
      <c r="E216" s="20" t="s">
        <v>810</v>
      </c>
      <c r="F216" s="20" t="s">
        <v>811</v>
      </c>
      <c r="G216" s="8" t="str">
        <f t="shared" si="3"/>
        <v>MAGEE KENYA</v>
      </c>
    </row>
    <row r="217" spans="1:7" x14ac:dyDescent="0.25">
      <c r="A217" s="8">
        <v>42853.853819444441</v>
      </c>
      <c r="B217" s="20" t="s">
        <v>642</v>
      </c>
      <c r="C217" s="20" t="s">
        <v>814</v>
      </c>
      <c r="D217" s="141">
        <v>2610000</v>
      </c>
      <c r="E217" s="20" t="s">
        <v>810</v>
      </c>
      <c r="F217" s="20" t="s">
        <v>811</v>
      </c>
      <c r="G217" s="8" t="str">
        <f t="shared" si="3"/>
        <v>MAGEE KENYA</v>
      </c>
    </row>
    <row r="218" spans="1:7" x14ac:dyDescent="0.25">
      <c r="A218" s="8">
        <v>42853.854398148149</v>
      </c>
      <c r="B218" s="20" t="s">
        <v>642</v>
      </c>
      <c r="C218" s="20" t="s">
        <v>637</v>
      </c>
      <c r="D218" s="141">
        <v>2610000</v>
      </c>
      <c r="E218" s="20" t="s">
        <v>810</v>
      </c>
      <c r="F218" s="20" t="s">
        <v>811</v>
      </c>
      <c r="G218" s="8" t="str">
        <f t="shared" si="3"/>
        <v>MAGEE KENYA</v>
      </c>
    </row>
    <row r="219" spans="1:7" x14ac:dyDescent="0.25">
      <c r="A219" s="8">
        <v>42853.855578703704</v>
      </c>
      <c r="B219" s="20" t="s">
        <v>642</v>
      </c>
      <c r="C219" s="20" t="s">
        <v>814</v>
      </c>
      <c r="D219" s="141">
        <v>2610000</v>
      </c>
      <c r="E219" s="20" t="s">
        <v>810</v>
      </c>
      <c r="F219" s="20" t="s">
        <v>811</v>
      </c>
      <c r="G219" s="8" t="str">
        <f t="shared" si="3"/>
        <v>MAGEE KENYA</v>
      </c>
    </row>
    <row r="220" spans="1:7" x14ac:dyDescent="0.25">
      <c r="A220" s="8">
        <v>42853.856631944444</v>
      </c>
      <c r="B220" s="20" t="s">
        <v>642</v>
      </c>
      <c r="C220" s="20" t="s">
        <v>814</v>
      </c>
      <c r="D220" s="141">
        <v>2610000</v>
      </c>
      <c r="E220" s="20" t="s">
        <v>810</v>
      </c>
      <c r="F220" s="20" t="s">
        <v>811</v>
      </c>
      <c r="G220" s="8" t="str">
        <f t="shared" si="3"/>
        <v>MAGEE KENYA</v>
      </c>
    </row>
    <row r="221" spans="1:7" x14ac:dyDescent="0.25">
      <c r="A221" s="8">
        <v>42853.86041666667</v>
      </c>
      <c r="B221" s="20" t="s">
        <v>444</v>
      </c>
      <c r="C221" s="20" t="s">
        <v>815</v>
      </c>
      <c r="D221" s="141">
        <v>3120000</v>
      </c>
      <c r="E221" s="20" t="s">
        <v>456</v>
      </c>
      <c r="F221" s="20" t="s">
        <v>457</v>
      </c>
      <c r="G221" s="8" t="str">
        <f t="shared" si="3"/>
        <v>THOMPSON LESTER</v>
      </c>
    </row>
    <row r="222" spans="1:7" x14ac:dyDescent="0.25">
      <c r="A222" s="8">
        <v>42853.86215277778</v>
      </c>
      <c r="B222" s="20" t="s">
        <v>616</v>
      </c>
      <c r="C222" s="20" t="s">
        <v>816</v>
      </c>
      <c r="D222" s="141">
        <v>2630000</v>
      </c>
      <c r="E222" s="20" t="s">
        <v>798</v>
      </c>
      <c r="F222" s="20" t="s">
        <v>799</v>
      </c>
      <c r="G222" s="8" t="str">
        <f t="shared" si="3"/>
        <v>SAFIEF AEIMEN</v>
      </c>
    </row>
    <row r="223" spans="1:7" x14ac:dyDescent="0.25">
      <c r="A223" s="8">
        <v>42853.868159722224</v>
      </c>
      <c r="B223" s="20" t="s">
        <v>360</v>
      </c>
      <c r="C223" s="20" t="s">
        <v>817</v>
      </c>
      <c r="D223" s="141">
        <v>2000000</v>
      </c>
      <c r="E223" s="20" t="s">
        <v>353</v>
      </c>
      <c r="F223" s="20" t="s">
        <v>193</v>
      </c>
      <c r="G223" s="8" t="str">
        <f t="shared" si="3"/>
        <v>STAMBAUGH JAMES</v>
      </c>
    </row>
    <row r="224" spans="1:7" x14ac:dyDescent="0.25">
      <c r="A224" s="8">
        <v>42853.886111111111</v>
      </c>
      <c r="B224" t="s">
        <v>438</v>
      </c>
      <c r="C224" t="s">
        <v>818</v>
      </c>
      <c r="D224" s="141">
        <v>2150000</v>
      </c>
      <c r="E224" t="s">
        <v>349</v>
      </c>
      <c r="F224" s="20" t="s">
        <v>350</v>
      </c>
      <c r="G224" s="8" t="str">
        <f t="shared" si="3"/>
        <v>SWANSON BRYCE</v>
      </c>
    </row>
    <row r="225" spans="1:7" x14ac:dyDescent="0.25">
      <c r="A225" s="8">
        <v>42853.886886574073</v>
      </c>
      <c r="B225" t="s">
        <v>359</v>
      </c>
      <c r="C225" t="s">
        <v>819</v>
      </c>
      <c r="D225" s="141">
        <v>3040000</v>
      </c>
      <c r="E225" t="s">
        <v>475</v>
      </c>
      <c r="F225" s="20" t="s">
        <v>476</v>
      </c>
      <c r="G225" s="8" t="str">
        <f t="shared" si="3"/>
        <v>WILLIAMS DONTE</v>
      </c>
    </row>
    <row r="226" spans="1:7" x14ac:dyDescent="0.25">
      <c r="A226" s="8">
        <v>42853.887569444443</v>
      </c>
      <c r="B226" t="s">
        <v>638</v>
      </c>
      <c r="C226" t="s">
        <v>820</v>
      </c>
      <c r="D226" s="141">
        <v>1740000</v>
      </c>
      <c r="E226" t="s">
        <v>372</v>
      </c>
      <c r="F226" s="20" t="s">
        <v>373</v>
      </c>
      <c r="G226" s="8" t="str">
        <f t="shared" si="3"/>
        <v>STORY SAMANTHA</v>
      </c>
    </row>
    <row r="227" spans="1:7" x14ac:dyDescent="0.25">
      <c r="A227" s="8">
        <v>42853.896192129629</v>
      </c>
      <c r="B227" t="s">
        <v>527</v>
      </c>
      <c r="C227" t="s">
        <v>637</v>
      </c>
      <c r="D227" s="141">
        <v>2610000</v>
      </c>
      <c r="E227" t="s">
        <v>810</v>
      </c>
      <c r="F227" s="20" t="s">
        <v>811</v>
      </c>
      <c r="G227" s="8" t="str">
        <f t="shared" si="3"/>
        <v>MAGEE KENYA</v>
      </c>
    </row>
    <row r="228" spans="1:7" x14ac:dyDescent="0.25">
      <c r="A228" s="8">
        <v>42853.901180555556</v>
      </c>
      <c r="B228" t="s">
        <v>444</v>
      </c>
      <c r="C228" t="s">
        <v>821</v>
      </c>
      <c r="D228" s="141">
        <v>3040000</v>
      </c>
      <c r="E228" t="s">
        <v>475</v>
      </c>
      <c r="F228" s="20" t="s">
        <v>476</v>
      </c>
      <c r="G228" s="8" t="str">
        <f t="shared" si="3"/>
        <v>WILLIAMS DONTE</v>
      </c>
    </row>
    <row r="229" spans="1:7" x14ac:dyDescent="0.25">
      <c r="A229" s="8">
        <v>42853.903831018521</v>
      </c>
      <c r="B229" t="s">
        <v>199</v>
      </c>
      <c r="C229" t="s">
        <v>635</v>
      </c>
      <c r="D229" s="141">
        <v>2000000</v>
      </c>
      <c r="E229" t="s">
        <v>353</v>
      </c>
      <c r="F229" s="20" t="s">
        <v>193</v>
      </c>
      <c r="G229" s="8" t="str">
        <f t="shared" si="3"/>
        <v>STAMBAUGH JAMES</v>
      </c>
    </row>
    <row r="230" spans="1:7" x14ac:dyDescent="0.25">
      <c r="A230" s="8">
        <v>42853.906342592592</v>
      </c>
      <c r="B230" t="s">
        <v>619</v>
      </c>
      <c r="C230" t="s">
        <v>822</v>
      </c>
      <c r="D230" s="141">
        <v>2630000</v>
      </c>
      <c r="E230" t="s">
        <v>798</v>
      </c>
      <c r="F230" s="20" t="s">
        <v>799</v>
      </c>
      <c r="G230" s="8" t="str">
        <f t="shared" si="3"/>
        <v>SAFIEF AEIMEN</v>
      </c>
    </row>
    <row r="231" spans="1:7" x14ac:dyDescent="0.25">
      <c r="A231" s="8">
        <v>42853.92597222222</v>
      </c>
      <c r="B231" t="s">
        <v>359</v>
      </c>
      <c r="C231" t="s">
        <v>823</v>
      </c>
      <c r="D231" s="141">
        <v>3040000</v>
      </c>
      <c r="E231" t="s">
        <v>475</v>
      </c>
      <c r="F231" s="20" t="s">
        <v>476</v>
      </c>
      <c r="G231" s="8" t="str">
        <f t="shared" si="3"/>
        <v>WILLIAMS DONTE</v>
      </c>
    </row>
    <row r="232" spans="1:7" x14ac:dyDescent="0.25">
      <c r="A232" s="8">
        <v>42853.927083333336</v>
      </c>
      <c r="B232" t="s">
        <v>439</v>
      </c>
      <c r="C232" t="s">
        <v>824</v>
      </c>
      <c r="D232" s="141">
        <v>2150000</v>
      </c>
      <c r="E232" t="s">
        <v>349</v>
      </c>
      <c r="F232" s="20" t="s">
        <v>350</v>
      </c>
      <c r="G232" s="8" t="str">
        <f t="shared" si="3"/>
        <v>SWANSON BRYCE</v>
      </c>
    </row>
    <row r="233" spans="1:7" x14ac:dyDescent="0.25">
      <c r="A233" s="8">
        <v>42853.930752314816</v>
      </c>
      <c r="B233" t="s">
        <v>599</v>
      </c>
      <c r="C233" t="s">
        <v>636</v>
      </c>
      <c r="D233" s="141">
        <v>1740000</v>
      </c>
      <c r="E233" t="s">
        <v>372</v>
      </c>
      <c r="F233" s="20" t="s">
        <v>373</v>
      </c>
      <c r="G233" s="8" t="str">
        <f t="shared" si="3"/>
        <v>STORY SAMANTHA</v>
      </c>
    </row>
    <row r="234" spans="1:7" x14ac:dyDescent="0.25">
      <c r="A234" s="8">
        <v>42853.939884259256</v>
      </c>
      <c r="B234" t="s">
        <v>642</v>
      </c>
      <c r="C234" t="s">
        <v>814</v>
      </c>
      <c r="D234" s="141">
        <v>2610000</v>
      </c>
      <c r="E234" t="s">
        <v>810</v>
      </c>
      <c r="F234" s="20" t="s">
        <v>811</v>
      </c>
      <c r="G234" s="8" t="str">
        <f t="shared" si="3"/>
        <v>MAGEE KENYA</v>
      </c>
    </row>
    <row r="235" spans="1:7" x14ac:dyDescent="0.25">
      <c r="A235" s="8">
        <v>42853.943020833336</v>
      </c>
      <c r="B235" t="s">
        <v>444</v>
      </c>
      <c r="C235" t="s">
        <v>825</v>
      </c>
      <c r="D235" s="141">
        <v>3040000</v>
      </c>
      <c r="E235" t="s">
        <v>475</v>
      </c>
      <c r="F235" s="20" t="s">
        <v>476</v>
      </c>
      <c r="G235" s="8" t="str">
        <f t="shared" si="3"/>
        <v>WILLIAMS DONTE</v>
      </c>
    </row>
    <row r="236" spans="1:7" x14ac:dyDescent="0.25">
      <c r="A236" s="8">
        <v>42853.948379629626</v>
      </c>
      <c r="B236" t="s">
        <v>360</v>
      </c>
      <c r="C236" t="s">
        <v>826</v>
      </c>
      <c r="D236" s="141">
        <v>2000000</v>
      </c>
      <c r="E236" t="s">
        <v>353</v>
      </c>
      <c r="F236" s="20" t="s">
        <v>193</v>
      </c>
      <c r="G236" s="8" t="str">
        <f t="shared" si="3"/>
        <v>STAMBAUGH JAMES</v>
      </c>
    </row>
    <row r="237" spans="1:7" x14ac:dyDescent="0.25">
      <c r="A237" s="8">
        <v>42853.950682870367</v>
      </c>
      <c r="B237" t="s">
        <v>616</v>
      </c>
      <c r="C237" t="s">
        <v>827</v>
      </c>
      <c r="D237" s="141">
        <v>2630000</v>
      </c>
      <c r="E237" t="s">
        <v>798</v>
      </c>
      <c r="F237" s="20" t="s">
        <v>799</v>
      </c>
      <c r="G237" s="8" t="str">
        <f t="shared" si="3"/>
        <v>SAFIEF AEIMEN</v>
      </c>
    </row>
    <row r="238" spans="1:7" x14ac:dyDescent="0.25">
      <c r="A238" s="8">
        <v>42853.951168981483</v>
      </c>
      <c r="B238" t="s">
        <v>359</v>
      </c>
      <c r="C238" t="s">
        <v>825</v>
      </c>
      <c r="D238" s="141">
        <v>3040000</v>
      </c>
      <c r="E238" t="s">
        <v>475</v>
      </c>
      <c r="F238" s="20" t="s">
        <v>476</v>
      </c>
      <c r="G238" s="8" t="str">
        <f t="shared" si="3"/>
        <v>WILLIAMS DONTE</v>
      </c>
    </row>
    <row r="239" spans="1:7" x14ac:dyDescent="0.25">
      <c r="A239" s="8">
        <v>42853.953750000001</v>
      </c>
      <c r="B239" t="s">
        <v>359</v>
      </c>
      <c r="C239" t="s">
        <v>825</v>
      </c>
      <c r="D239" s="141">
        <v>3040000</v>
      </c>
      <c r="E239" t="s">
        <v>475</v>
      </c>
      <c r="F239" s="20" t="s">
        <v>476</v>
      </c>
      <c r="G239" s="8" t="str">
        <f t="shared" si="3"/>
        <v>WILLIAMS DONTE</v>
      </c>
    </row>
    <row r="240" spans="1:7" x14ac:dyDescent="0.25">
      <c r="A240" s="8">
        <v>42853.954710648148</v>
      </c>
      <c r="B240" t="s">
        <v>359</v>
      </c>
      <c r="C240" t="s">
        <v>825</v>
      </c>
      <c r="D240" s="141">
        <v>3040000</v>
      </c>
      <c r="E240" t="s">
        <v>475</v>
      </c>
      <c r="F240" s="20" t="s">
        <v>476</v>
      </c>
      <c r="G240" s="8" t="str">
        <f t="shared" si="3"/>
        <v>WILLIAMS DONTE</v>
      </c>
    </row>
    <row r="241" spans="1:7" x14ac:dyDescent="0.25">
      <c r="A241" s="8">
        <v>42853.956701388888</v>
      </c>
      <c r="B241" t="s">
        <v>359</v>
      </c>
      <c r="C241" t="s">
        <v>828</v>
      </c>
      <c r="D241" s="141">
        <v>3040000</v>
      </c>
      <c r="E241" t="s">
        <v>475</v>
      </c>
      <c r="F241" s="20" t="s">
        <v>476</v>
      </c>
      <c r="G241" s="8" t="str">
        <f t="shared" si="3"/>
        <v>WILLIAMS DONTE</v>
      </c>
    </row>
    <row r="242" spans="1:7" x14ac:dyDescent="0.25">
      <c r="A242" s="8">
        <v>42853.96974537037</v>
      </c>
      <c r="B242" t="s">
        <v>438</v>
      </c>
      <c r="C242" t="s">
        <v>829</v>
      </c>
      <c r="D242" s="141">
        <v>2150000</v>
      </c>
      <c r="E242" t="s">
        <v>349</v>
      </c>
      <c r="F242" s="20" t="s">
        <v>350</v>
      </c>
      <c r="G242" s="8" t="str">
        <f t="shared" si="3"/>
        <v>SWANSON BRYCE</v>
      </c>
    </row>
    <row r="243" spans="1:7" x14ac:dyDescent="0.25">
      <c r="A243" s="8">
        <v>42853.970208333332</v>
      </c>
      <c r="B243" t="s">
        <v>638</v>
      </c>
      <c r="C243" t="s">
        <v>639</v>
      </c>
      <c r="D243" s="141">
        <v>1740000</v>
      </c>
      <c r="E243" t="s">
        <v>372</v>
      </c>
      <c r="F243" s="20" t="s">
        <v>373</v>
      </c>
      <c r="G243" s="8" t="str">
        <f t="shared" si="3"/>
        <v>STORY SAMANTHA</v>
      </c>
    </row>
    <row r="244" spans="1:7" x14ac:dyDescent="0.25">
      <c r="A244" s="8">
        <v>42853.974756944444</v>
      </c>
      <c r="B244" t="s">
        <v>527</v>
      </c>
      <c r="C244" t="s">
        <v>637</v>
      </c>
      <c r="D244" s="141">
        <v>2610000</v>
      </c>
      <c r="E244" t="s">
        <v>810</v>
      </c>
      <c r="F244" s="20" t="s">
        <v>811</v>
      </c>
      <c r="G244" s="8" t="str">
        <f t="shared" si="3"/>
        <v>MAGEE KENYA</v>
      </c>
    </row>
    <row r="245" spans="1:7" x14ac:dyDescent="0.25">
      <c r="A245" s="8">
        <v>42853.984791666669</v>
      </c>
      <c r="B245" t="s">
        <v>199</v>
      </c>
      <c r="C245" t="s">
        <v>640</v>
      </c>
      <c r="D245" s="141">
        <v>2000000</v>
      </c>
      <c r="E245" t="s">
        <v>353</v>
      </c>
      <c r="F245" s="20" t="s">
        <v>193</v>
      </c>
      <c r="G245" s="8" t="str">
        <f t="shared" si="3"/>
        <v>STAMBAUGH JAMES</v>
      </c>
    </row>
    <row r="246" spans="1:7" x14ac:dyDescent="0.25">
      <c r="A246" s="8">
        <v>42853.992094907408</v>
      </c>
      <c r="B246" t="s">
        <v>619</v>
      </c>
      <c r="C246" t="s">
        <v>830</v>
      </c>
      <c r="D246" s="141">
        <v>2630000</v>
      </c>
      <c r="E246" t="s">
        <v>798</v>
      </c>
      <c r="F246" s="20" t="s">
        <v>799</v>
      </c>
      <c r="G246" s="8" t="str">
        <f t="shared" si="3"/>
        <v>SAFIEF AEIMEN</v>
      </c>
    </row>
    <row r="247" spans="1:7" x14ac:dyDescent="0.25">
      <c r="A247" s="8">
        <v>42854.008888888886</v>
      </c>
      <c r="B247" t="s">
        <v>439</v>
      </c>
      <c r="C247" t="s">
        <v>831</v>
      </c>
      <c r="D247" s="141">
        <v>2150000</v>
      </c>
      <c r="E247" t="s">
        <v>349</v>
      </c>
      <c r="F247" s="20" t="s">
        <v>350</v>
      </c>
      <c r="G247" s="8" t="str">
        <f t="shared" si="3"/>
        <v>SWANSON BRYCE</v>
      </c>
    </row>
    <row r="248" spans="1:7" x14ac:dyDescent="0.25">
      <c r="A248" s="8">
        <v>42854.012326388889</v>
      </c>
      <c r="B248" t="s">
        <v>599</v>
      </c>
      <c r="C248" t="s">
        <v>641</v>
      </c>
      <c r="D248" s="141">
        <v>1740000</v>
      </c>
      <c r="E248" t="s">
        <v>372</v>
      </c>
      <c r="F248" s="20" t="s">
        <v>373</v>
      </c>
      <c r="G248" s="8" t="str">
        <f t="shared" si="3"/>
        <v>STORY SAMANTHA</v>
      </c>
    </row>
    <row r="249" spans="1:7" x14ac:dyDescent="0.25">
      <c r="A249" s="8">
        <v>42854.019444444442</v>
      </c>
      <c r="B249" t="s">
        <v>642</v>
      </c>
      <c r="C249" t="s">
        <v>643</v>
      </c>
      <c r="D249" s="141">
        <v>2610000</v>
      </c>
      <c r="E249" t="s">
        <v>810</v>
      </c>
      <c r="F249" s="20" t="s">
        <v>811</v>
      </c>
      <c r="G249" s="8" t="str">
        <f t="shared" si="3"/>
        <v>MAGEE KENYA</v>
      </c>
    </row>
    <row r="250" spans="1:7" x14ac:dyDescent="0.25">
      <c r="A250" s="8">
        <v>42854.019988425927</v>
      </c>
      <c r="B250" t="s">
        <v>642</v>
      </c>
      <c r="C250" t="s">
        <v>832</v>
      </c>
      <c r="D250" s="141">
        <v>2610000</v>
      </c>
      <c r="E250" t="s">
        <v>810</v>
      </c>
      <c r="F250" s="20" t="s">
        <v>811</v>
      </c>
      <c r="G250" s="8" t="str">
        <f t="shared" si="3"/>
        <v>MAGEE KENYA</v>
      </c>
    </row>
    <row r="251" spans="1:7" x14ac:dyDescent="0.25">
      <c r="A251" s="8">
        <v>42854.020914351851</v>
      </c>
      <c r="B251" t="s">
        <v>642</v>
      </c>
      <c r="C251" t="s">
        <v>643</v>
      </c>
      <c r="D251" s="141">
        <v>2610000</v>
      </c>
      <c r="E251" t="s">
        <v>810</v>
      </c>
      <c r="F251" s="20" t="s">
        <v>811</v>
      </c>
      <c r="G251" s="8" t="str">
        <f t="shared" si="3"/>
        <v>MAGEE KENYA</v>
      </c>
    </row>
    <row r="252" spans="1:7" x14ac:dyDescent="0.25">
      <c r="A252" s="8">
        <v>42854.02915509259</v>
      </c>
      <c r="B252" t="s">
        <v>616</v>
      </c>
      <c r="C252" t="s">
        <v>833</v>
      </c>
      <c r="D252" s="141">
        <v>2630000</v>
      </c>
      <c r="E252" t="s">
        <v>798</v>
      </c>
      <c r="F252" s="20" t="s">
        <v>799</v>
      </c>
      <c r="G252" s="8" t="str">
        <f t="shared" si="3"/>
        <v>SAFIEF AEIMEN</v>
      </c>
    </row>
    <row r="253" spans="1:7" x14ac:dyDescent="0.25">
      <c r="A253" s="8">
        <v>42854.032083333332</v>
      </c>
      <c r="B253" t="s">
        <v>360</v>
      </c>
      <c r="C253" t="s">
        <v>834</v>
      </c>
      <c r="D253" s="141">
        <v>2000000</v>
      </c>
      <c r="E253" t="s">
        <v>353</v>
      </c>
      <c r="F253" s="20" t="s">
        <v>193</v>
      </c>
      <c r="G253" s="8" t="str">
        <f t="shared" si="3"/>
        <v>STAMBAUGH JAMES</v>
      </c>
    </row>
    <row r="254" spans="1:7" x14ac:dyDescent="0.25">
      <c r="A254" s="8">
        <v>42854.04886574074</v>
      </c>
      <c r="B254" t="s">
        <v>638</v>
      </c>
      <c r="C254" t="s">
        <v>644</v>
      </c>
      <c r="D254" s="141">
        <v>1740000</v>
      </c>
      <c r="E254" t="s">
        <v>372</v>
      </c>
      <c r="F254" s="20" t="s">
        <v>373</v>
      </c>
      <c r="G254" s="8" t="str">
        <f t="shared" si="3"/>
        <v>STORY SAMANTHA</v>
      </c>
    </row>
    <row r="255" spans="1:7" x14ac:dyDescent="0.25">
      <c r="A255" s="8">
        <v>42854.053865740738</v>
      </c>
      <c r="B255" t="s">
        <v>438</v>
      </c>
      <c r="C255" t="s">
        <v>835</v>
      </c>
      <c r="D255" s="141">
        <v>2150000</v>
      </c>
      <c r="E255" t="s">
        <v>349</v>
      </c>
      <c r="F255" s="20" t="s">
        <v>350</v>
      </c>
      <c r="G255" s="8" t="str">
        <f t="shared" si="3"/>
        <v>SWANSON BRYCE</v>
      </c>
    </row>
    <row r="256" spans="1:7" x14ac:dyDescent="0.25">
      <c r="A256" s="8">
        <v>42854.056875000002</v>
      </c>
      <c r="B256" t="s">
        <v>527</v>
      </c>
      <c r="C256" t="s">
        <v>643</v>
      </c>
      <c r="D256" s="141">
        <v>2610000</v>
      </c>
      <c r="E256" t="s">
        <v>810</v>
      </c>
      <c r="F256" s="20" t="s">
        <v>811</v>
      </c>
      <c r="G256" s="8" t="str">
        <f t="shared" si="3"/>
        <v>MAGEE KENYA</v>
      </c>
    </row>
    <row r="257" spans="1:7" x14ac:dyDescent="0.25">
      <c r="A257" s="8">
        <v>42854.063715277778</v>
      </c>
      <c r="B257" t="s">
        <v>527</v>
      </c>
      <c r="C257" t="s">
        <v>643</v>
      </c>
      <c r="D257" s="141">
        <v>2610000</v>
      </c>
      <c r="E257" t="s">
        <v>810</v>
      </c>
      <c r="F257" s="20" t="s">
        <v>811</v>
      </c>
      <c r="G257" s="8" t="str">
        <f t="shared" si="3"/>
        <v>MAGEE KENYA</v>
      </c>
    </row>
    <row r="258" spans="1:7" x14ac:dyDescent="0.25">
      <c r="A258" s="8">
        <v>42854.068784722222</v>
      </c>
      <c r="B258" t="s">
        <v>199</v>
      </c>
      <c r="C258" t="s">
        <v>836</v>
      </c>
      <c r="D258" s="141">
        <v>2000000</v>
      </c>
      <c r="E258" t="s">
        <v>353</v>
      </c>
      <c r="F258" s="20" t="s">
        <v>193</v>
      </c>
      <c r="G258" s="8" t="str">
        <f t="shared" si="3"/>
        <v>STAMBAUGH JAMES</v>
      </c>
    </row>
    <row r="259" spans="1:7" x14ac:dyDescent="0.25">
      <c r="A259" s="8">
        <v>42854.071030092593</v>
      </c>
      <c r="B259" t="s">
        <v>619</v>
      </c>
      <c r="C259" t="s">
        <v>837</v>
      </c>
      <c r="D259" s="141">
        <v>2630000</v>
      </c>
      <c r="E259" t="s">
        <v>798</v>
      </c>
      <c r="F259" s="20" t="s">
        <v>799</v>
      </c>
      <c r="G259" s="8" t="str">
        <f t="shared" ref="G259:G322" si="4">E259&amp;" "&amp;F259</f>
        <v>SAFIEF AEIMEN</v>
      </c>
    </row>
    <row r="260" spans="1:7" x14ac:dyDescent="0.25">
      <c r="A260" s="8">
        <v>42854.085717592592</v>
      </c>
      <c r="B260" t="s">
        <v>529</v>
      </c>
      <c r="C260" t="s">
        <v>838</v>
      </c>
      <c r="D260" s="141">
        <v>1340000</v>
      </c>
      <c r="E260" t="s">
        <v>533</v>
      </c>
      <c r="F260" s="20" t="s">
        <v>534</v>
      </c>
      <c r="G260" s="8" t="str">
        <f t="shared" si="4"/>
        <v>BEAM ROSS</v>
      </c>
    </row>
    <row r="261" spans="1:7" x14ac:dyDescent="0.25">
      <c r="A261" s="8">
        <v>42854.091550925928</v>
      </c>
      <c r="B261" t="s">
        <v>439</v>
      </c>
      <c r="C261" t="s">
        <v>839</v>
      </c>
      <c r="D261" s="141">
        <v>2150000</v>
      </c>
      <c r="E261" t="s">
        <v>349</v>
      </c>
      <c r="F261" s="20" t="s">
        <v>350</v>
      </c>
      <c r="G261" s="8" t="str">
        <f t="shared" si="4"/>
        <v>SWANSON BRYCE</v>
      </c>
    </row>
    <row r="262" spans="1:7" x14ac:dyDescent="0.25">
      <c r="A262" s="8">
        <v>42854.09516203704</v>
      </c>
      <c r="B262" t="s">
        <v>530</v>
      </c>
      <c r="C262" t="s">
        <v>840</v>
      </c>
      <c r="D262" s="141">
        <v>1340000</v>
      </c>
      <c r="E262" t="s">
        <v>533</v>
      </c>
      <c r="F262" s="20" t="s">
        <v>534</v>
      </c>
      <c r="G262" s="8" t="str">
        <f t="shared" si="4"/>
        <v>BEAM ROSS</v>
      </c>
    </row>
    <row r="263" spans="1:7" x14ac:dyDescent="0.25">
      <c r="A263" s="8">
        <v>42854.102939814817</v>
      </c>
      <c r="B263" t="s">
        <v>642</v>
      </c>
      <c r="C263" t="s">
        <v>643</v>
      </c>
      <c r="D263" s="141">
        <v>2610000</v>
      </c>
      <c r="E263" t="s">
        <v>810</v>
      </c>
      <c r="F263" s="20" t="s">
        <v>811</v>
      </c>
      <c r="G263" s="8" t="str">
        <f t="shared" si="4"/>
        <v>MAGEE KENYA</v>
      </c>
    </row>
    <row r="264" spans="1:7" x14ac:dyDescent="0.25">
      <c r="A264" s="8">
        <v>42854.11215277778</v>
      </c>
      <c r="B264" t="s">
        <v>616</v>
      </c>
      <c r="C264" t="s">
        <v>841</v>
      </c>
      <c r="D264" s="141">
        <v>2630000</v>
      </c>
      <c r="E264" t="s">
        <v>798</v>
      </c>
      <c r="F264" s="20" t="s">
        <v>799</v>
      </c>
      <c r="G264" s="8" t="str">
        <f t="shared" si="4"/>
        <v>SAFIEF AEIMEN</v>
      </c>
    </row>
    <row r="265" spans="1:7" x14ac:dyDescent="0.25">
      <c r="A265" s="8">
        <v>42844.094085648147</v>
      </c>
      <c r="B265" t="s">
        <v>355</v>
      </c>
      <c r="C265" t="s">
        <v>366</v>
      </c>
      <c r="D265" s="141">
        <v>2000000</v>
      </c>
      <c r="E265" t="s">
        <v>353</v>
      </c>
      <c r="F265" s="20" t="s">
        <v>193</v>
      </c>
      <c r="G265" s="8" t="str">
        <f t="shared" si="4"/>
        <v>STAMBAUGH JAMES</v>
      </c>
    </row>
    <row r="266" spans="1:7" x14ac:dyDescent="0.25">
      <c r="A266" s="8">
        <v>42829.978796296295</v>
      </c>
      <c r="B266" t="s">
        <v>356</v>
      </c>
      <c r="C266" t="s">
        <v>396</v>
      </c>
      <c r="D266" s="141">
        <v>2680000</v>
      </c>
      <c r="E266" t="s">
        <v>388</v>
      </c>
      <c r="F266" s="20" t="s">
        <v>389</v>
      </c>
      <c r="G266" s="8" t="str">
        <f t="shared" si="4"/>
        <v>DUNCAN SHEILA</v>
      </c>
    </row>
    <row r="267" spans="1:7" x14ac:dyDescent="0.25">
      <c r="A267" s="8">
        <v>42829.986134259256</v>
      </c>
      <c r="B267" t="s">
        <v>357</v>
      </c>
      <c r="C267" t="s">
        <v>395</v>
      </c>
      <c r="D267" s="141">
        <v>2680000</v>
      </c>
      <c r="E267" t="s">
        <v>388</v>
      </c>
      <c r="F267" s="20" t="s">
        <v>389</v>
      </c>
      <c r="G267" s="8" t="str">
        <f t="shared" si="4"/>
        <v>DUNCAN SHEILA</v>
      </c>
    </row>
    <row r="268" spans="1:7" x14ac:dyDescent="0.25">
      <c r="A268" s="8">
        <v>42829.993414351855</v>
      </c>
      <c r="B268" t="s">
        <v>381</v>
      </c>
      <c r="C268" t="s">
        <v>397</v>
      </c>
      <c r="D268" s="141">
        <v>1740000</v>
      </c>
      <c r="E268" t="s">
        <v>372</v>
      </c>
      <c r="F268" s="20" t="s">
        <v>373</v>
      </c>
      <c r="G268" s="8" t="str">
        <f t="shared" si="4"/>
        <v>STORY SAMANTHA</v>
      </c>
    </row>
    <row r="269" spans="1:7" x14ac:dyDescent="0.25">
      <c r="A269" s="8">
        <v>42829.995555555557</v>
      </c>
      <c r="B269" t="s">
        <v>376</v>
      </c>
      <c r="C269" t="s">
        <v>398</v>
      </c>
      <c r="D269" s="141">
        <v>1800000</v>
      </c>
      <c r="E269" t="s">
        <v>369</v>
      </c>
      <c r="F269" s="20" t="s">
        <v>370</v>
      </c>
      <c r="G269" s="8" t="str">
        <f t="shared" si="4"/>
        <v>CHANDLER KELVIN</v>
      </c>
    </row>
    <row r="270" spans="1:7" x14ac:dyDescent="0.25">
      <c r="A270" s="8">
        <v>42829.99732638889</v>
      </c>
      <c r="B270" t="s">
        <v>356</v>
      </c>
      <c r="C270" t="s">
        <v>396</v>
      </c>
      <c r="D270" s="141">
        <v>2680000</v>
      </c>
      <c r="E270" t="s">
        <v>388</v>
      </c>
      <c r="F270" s="20" t="s">
        <v>389</v>
      </c>
      <c r="G270" s="8" t="str">
        <f t="shared" si="4"/>
        <v>DUNCAN SHEILA</v>
      </c>
    </row>
    <row r="271" spans="1:7" x14ac:dyDescent="0.25">
      <c r="A271" s="8">
        <v>42830.005949074075</v>
      </c>
      <c r="B271" t="s">
        <v>357</v>
      </c>
      <c r="C271" t="s">
        <v>395</v>
      </c>
      <c r="D271" s="141">
        <v>2680000</v>
      </c>
      <c r="E271" t="s">
        <v>388</v>
      </c>
      <c r="F271" s="20" t="s">
        <v>389</v>
      </c>
      <c r="G271" s="8" t="str">
        <f t="shared" si="4"/>
        <v>DUNCAN SHEILA</v>
      </c>
    </row>
    <row r="272" spans="1:7" x14ac:dyDescent="0.25">
      <c r="A272" s="8">
        <v>42830.007650462961</v>
      </c>
      <c r="B272" t="s">
        <v>355</v>
      </c>
      <c r="C272" t="s">
        <v>399</v>
      </c>
      <c r="D272" s="141">
        <v>2970000</v>
      </c>
      <c r="E272" t="s">
        <v>393</v>
      </c>
      <c r="F272" s="20" t="s">
        <v>394</v>
      </c>
      <c r="G272" s="8" t="str">
        <f t="shared" si="4"/>
        <v>GUZMAN DANNY</v>
      </c>
    </row>
    <row r="273" spans="1:7" x14ac:dyDescent="0.25">
      <c r="A273" s="8">
        <v>42830.01048611111</v>
      </c>
      <c r="B273" t="s">
        <v>356</v>
      </c>
      <c r="C273" t="s">
        <v>396</v>
      </c>
      <c r="D273" s="141">
        <v>2680000</v>
      </c>
      <c r="E273" t="s">
        <v>388</v>
      </c>
      <c r="F273" s="20" t="s">
        <v>389</v>
      </c>
      <c r="G273" s="8" t="str">
        <f t="shared" si="4"/>
        <v>DUNCAN SHEILA</v>
      </c>
    </row>
    <row r="274" spans="1:7" x14ac:dyDescent="0.25">
      <c r="A274" s="8">
        <v>42830.014768518522</v>
      </c>
      <c r="B274" t="s">
        <v>357</v>
      </c>
      <c r="C274" t="s">
        <v>395</v>
      </c>
      <c r="D274" s="141">
        <v>2680000</v>
      </c>
      <c r="E274" t="s">
        <v>388</v>
      </c>
      <c r="F274" s="20" t="s">
        <v>389</v>
      </c>
      <c r="G274" s="8" t="str">
        <f t="shared" si="4"/>
        <v>DUNCAN SHEILA</v>
      </c>
    </row>
    <row r="275" spans="1:7" x14ac:dyDescent="0.25">
      <c r="A275" s="8">
        <v>42830.015636574077</v>
      </c>
      <c r="B275" t="s">
        <v>392</v>
      </c>
      <c r="C275" t="s">
        <v>400</v>
      </c>
      <c r="D275" s="141">
        <v>1810000</v>
      </c>
      <c r="E275" t="s">
        <v>371</v>
      </c>
      <c r="F275" s="20" t="s">
        <v>193</v>
      </c>
      <c r="G275" s="8" t="str">
        <f t="shared" si="4"/>
        <v>NEWELL JAMES</v>
      </c>
    </row>
    <row r="276" spans="1:7" x14ac:dyDescent="0.25">
      <c r="A276" s="8">
        <v>42830.018819444442</v>
      </c>
      <c r="B276" t="s">
        <v>356</v>
      </c>
      <c r="C276" t="s">
        <v>396</v>
      </c>
      <c r="D276" s="141">
        <v>2680000</v>
      </c>
      <c r="E276" t="s">
        <v>388</v>
      </c>
      <c r="F276" s="20" t="s">
        <v>389</v>
      </c>
      <c r="G276" s="8" t="str">
        <f t="shared" si="4"/>
        <v>DUNCAN SHEILA</v>
      </c>
    </row>
    <row r="277" spans="1:7" x14ac:dyDescent="0.25">
      <c r="A277" s="8">
        <v>42830.023252314815</v>
      </c>
      <c r="B277" t="s">
        <v>357</v>
      </c>
      <c r="C277" t="s">
        <v>395</v>
      </c>
      <c r="D277" s="141">
        <v>2680000</v>
      </c>
      <c r="E277" t="s">
        <v>388</v>
      </c>
      <c r="F277" s="20" t="s">
        <v>389</v>
      </c>
      <c r="G277" s="8" t="str">
        <f t="shared" si="4"/>
        <v>DUNCAN SHEILA</v>
      </c>
    </row>
    <row r="278" spans="1:7" x14ac:dyDescent="0.25">
      <c r="A278" s="8">
        <v>42830.027037037034</v>
      </c>
      <c r="B278" t="s">
        <v>356</v>
      </c>
      <c r="C278" t="s">
        <v>396</v>
      </c>
      <c r="D278" s="141">
        <v>2680000</v>
      </c>
      <c r="E278" t="s">
        <v>388</v>
      </c>
      <c r="F278" s="20" t="s">
        <v>389</v>
      </c>
      <c r="G278" s="8" t="str">
        <f t="shared" si="4"/>
        <v>DUNCAN SHEILA</v>
      </c>
    </row>
    <row r="279" spans="1:7" x14ac:dyDescent="0.25">
      <c r="A279" s="8">
        <v>42830.030289351853</v>
      </c>
      <c r="B279" t="s">
        <v>375</v>
      </c>
      <c r="C279" t="s">
        <v>401</v>
      </c>
      <c r="D279" s="141">
        <v>1800000</v>
      </c>
      <c r="E279" t="s">
        <v>369</v>
      </c>
      <c r="F279" s="20" t="s">
        <v>370</v>
      </c>
      <c r="G279" s="8" t="str">
        <f t="shared" si="4"/>
        <v>CHANDLER KELVIN</v>
      </c>
    </row>
    <row r="280" spans="1:7" x14ac:dyDescent="0.25">
      <c r="A280" s="8">
        <v>42830.037499999999</v>
      </c>
      <c r="B280" t="s">
        <v>385</v>
      </c>
      <c r="C280" t="s">
        <v>402</v>
      </c>
      <c r="D280" s="141">
        <v>1740000</v>
      </c>
      <c r="E280" t="s">
        <v>372</v>
      </c>
      <c r="F280" s="20" t="s">
        <v>373</v>
      </c>
      <c r="G280" s="8" t="str">
        <f t="shared" si="4"/>
        <v>STORY SAMANTHA</v>
      </c>
    </row>
    <row r="281" spans="1:7" x14ac:dyDescent="0.25">
      <c r="A281" s="8">
        <v>42830.048020833332</v>
      </c>
      <c r="B281" t="s">
        <v>386</v>
      </c>
      <c r="C281" t="s">
        <v>403</v>
      </c>
      <c r="D281" s="141">
        <v>2970000</v>
      </c>
      <c r="E281" t="s">
        <v>393</v>
      </c>
      <c r="F281" s="20" t="s">
        <v>394</v>
      </c>
      <c r="G281" s="8" t="str">
        <f t="shared" si="4"/>
        <v>GUZMAN DANNY</v>
      </c>
    </row>
    <row r="282" spans="1:7" x14ac:dyDescent="0.25">
      <c r="A282" s="8">
        <v>42830.049016203702</v>
      </c>
      <c r="B282" t="s">
        <v>391</v>
      </c>
      <c r="C282" t="s">
        <v>404</v>
      </c>
      <c r="D282" s="141">
        <v>1810000</v>
      </c>
      <c r="E282" t="s">
        <v>371</v>
      </c>
      <c r="F282" s="20" t="s">
        <v>193</v>
      </c>
      <c r="G282" s="8" t="str">
        <f t="shared" si="4"/>
        <v>NEWELL JAMES</v>
      </c>
    </row>
    <row r="283" spans="1:7" x14ac:dyDescent="0.25">
      <c r="A283" s="8">
        <v>42830.069097222222</v>
      </c>
      <c r="B283" t="s">
        <v>381</v>
      </c>
      <c r="C283" t="s">
        <v>405</v>
      </c>
      <c r="D283" s="141">
        <v>1740000</v>
      </c>
      <c r="E283" t="s">
        <v>372</v>
      </c>
      <c r="F283" s="20" t="s">
        <v>373</v>
      </c>
      <c r="G283" s="8" t="str">
        <f t="shared" si="4"/>
        <v>STORY SAMANTHA</v>
      </c>
    </row>
    <row r="284" spans="1:7" x14ac:dyDescent="0.25">
      <c r="A284" s="8">
        <v>42830.07236111111</v>
      </c>
      <c r="B284" t="s">
        <v>357</v>
      </c>
      <c r="C284" t="s">
        <v>395</v>
      </c>
      <c r="D284" s="141">
        <v>2680000</v>
      </c>
      <c r="E284" t="s">
        <v>388</v>
      </c>
      <c r="F284" s="20" t="s">
        <v>389</v>
      </c>
      <c r="G284" s="8" t="str">
        <f t="shared" si="4"/>
        <v>DUNCAN SHEILA</v>
      </c>
    </row>
    <row r="285" spans="1:7" x14ac:dyDescent="0.25">
      <c r="A285" s="8">
        <v>42830.073888888888</v>
      </c>
      <c r="B285" t="s">
        <v>357</v>
      </c>
      <c r="C285" t="s">
        <v>395</v>
      </c>
      <c r="D285" s="141">
        <v>2680000</v>
      </c>
      <c r="E285" t="s">
        <v>388</v>
      </c>
      <c r="F285" s="20" t="s">
        <v>389</v>
      </c>
      <c r="G285" s="8" t="str">
        <f t="shared" si="4"/>
        <v>DUNCAN SHEILA</v>
      </c>
    </row>
    <row r="286" spans="1:7" x14ac:dyDescent="0.25">
      <c r="A286" s="8">
        <v>42830.087951388887</v>
      </c>
      <c r="B286" t="s">
        <v>355</v>
      </c>
      <c r="C286" t="s">
        <v>406</v>
      </c>
      <c r="D286" s="141">
        <v>2970000</v>
      </c>
      <c r="E286" t="s">
        <v>393</v>
      </c>
      <c r="F286" s="20" t="s">
        <v>394</v>
      </c>
      <c r="G286" s="8" t="str">
        <f t="shared" si="4"/>
        <v>GUZMAN DANNY</v>
      </c>
    </row>
    <row r="287" spans="1:7" x14ac:dyDescent="0.25">
      <c r="A287" s="8">
        <v>42813.04420138889</v>
      </c>
      <c r="B287" t="s">
        <v>199</v>
      </c>
      <c r="C287" t="s">
        <v>361</v>
      </c>
      <c r="D287" s="141">
        <v>2230000</v>
      </c>
      <c r="E287" t="s">
        <v>358</v>
      </c>
      <c r="F287" s="20" t="s">
        <v>196</v>
      </c>
      <c r="G287" s="8" t="str">
        <f t="shared" si="4"/>
        <v>SMITH MICHAEL</v>
      </c>
    </row>
    <row r="288" spans="1:7" x14ac:dyDescent="0.25">
      <c r="A288" s="8">
        <v>42813.047638888886</v>
      </c>
      <c r="B288" t="s">
        <v>354</v>
      </c>
      <c r="C288" t="s">
        <v>362</v>
      </c>
      <c r="D288" s="141">
        <v>2000000</v>
      </c>
      <c r="E288" t="s">
        <v>353</v>
      </c>
      <c r="F288" s="20" t="s">
        <v>193</v>
      </c>
      <c r="G288" s="8" t="str">
        <f t="shared" si="4"/>
        <v>STAMBAUGH JAMES</v>
      </c>
    </row>
    <row r="289" spans="1:7" x14ac:dyDescent="0.25">
      <c r="A289" s="8">
        <v>42813.055462962962</v>
      </c>
      <c r="B289" t="s">
        <v>359</v>
      </c>
      <c r="C289" t="s">
        <v>363</v>
      </c>
      <c r="D289" s="141">
        <v>2150000</v>
      </c>
      <c r="E289" t="s">
        <v>349</v>
      </c>
      <c r="F289" s="20" t="s">
        <v>350</v>
      </c>
      <c r="G289" s="8" t="str">
        <f t="shared" si="4"/>
        <v>SWANSON BRYCE</v>
      </c>
    </row>
    <row r="290" spans="1:7" x14ac:dyDescent="0.25">
      <c r="A290" s="8">
        <v>42813.056620370371</v>
      </c>
      <c r="B290" t="s">
        <v>359</v>
      </c>
      <c r="C290" t="s">
        <v>363</v>
      </c>
      <c r="D290" s="141">
        <v>2150000</v>
      </c>
      <c r="E290" t="s">
        <v>349</v>
      </c>
      <c r="F290" s="20" t="s">
        <v>350</v>
      </c>
      <c r="G290" s="8" t="str">
        <f t="shared" si="4"/>
        <v>SWANSON BRYCE</v>
      </c>
    </row>
    <row r="291" spans="1:7" x14ac:dyDescent="0.25">
      <c r="A291" s="8">
        <v>42813.057199074072</v>
      </c>
      <c r="B291" t="s">
        <v>359</v>
      </c>
      <c r="C291" t="s">
        <v>363</v>
      </c>
      <c r="D291" s="141">
        <v>2150000</v>
      </c>
      <c r="E291" t="s">
        <v>349</v>
      </c>
      <c r="F291" s="20" t="s">
        <v>350</v>
      </c>
      <c r="G291" s="8" t="str">
        <f t="shared" si="4"/>
        <v>SWANSON BRYCE</v>
      </c>
    </row>
    <row r="292" spans="1:7" x14ac:dyDescent="0.25">
      <c r="A292" s="8">
        <v>42813.078009259261</v>
      </c>
      <c r="B292" t="s">
        <v>360</v>
      </c>
      <c r="C292" t="s">
        <v>364</v>
      </c>
      <c r="D292" s="141">
        <v>2230000</v>
      </c>
      <c r="E292" t="s">
        <v>358</v>
      </c>
      <c r="F292" s="20" t="s">
        <v>196</v>
      </c>
      <c r="G292" s="8" t="str">
        <f t="shared" si="4"/>
        <v>SMITH MICHAEL</v>
      </c>
    </row>
    <row r="293" spans="1:7" x14ac:dyDescent="0.25">
      <c r="A293" s="8">
        <v>42813.079247685186</v>
      </c>
      <c r="B293" t="s">
        <v>351</v>
      </c>
      <c r="C293" t="s">
        <v>365</v>
      </c>
      <c r="D293" s="141">
        <v>2270000</v>
      </c>
      <c r="E293" t="s">
        <v>205</v>
      </c>
      <c r="F293" s="20" t="s">
        <v>206</v>
      </c>
      <c r="G293" s="8" t="str">
        <f t="shared" si="4"/>
        <v>BROWN JACOB</v>
      </c>
    </row>
    <row r="294" spans="1:7" x14ac:dyDescent="0.25">
      <c r="A294" s="8">
        <v>42813.079872685186</v>
      </c>
      <c r="B294" t="s">
        <v>351</v>
      </c>
      <c r="C294" t="s">
        <v>365</v>
      </c>
      <c r="D294" s="141">
        <v>2270000</v>
      </c>
      <c r="E294" t="s">
        <v>205</v>
      </c>
      <c r="F294" s="20" t="s">
        <v>206</v>
      </c>
      <c r="G294" s="8" t="str">
        <f t="shared" si="4"/>
        <v>BROWN JACOB</v>
      </c>
    </row>
    <row r="295" spans="1:7" x14ac:dyDescent="0.25">
      <c r="A295" s="8">
        <v>42813.080451388887</v>
      </c>
      <c r="B295" t="s">
        <v>351</v>
      </c>
      <c r="C295" t="s">
        <v>365</v>
      </c>
      <c r="D295" s="141">
        <v>2270000</v>
      </c>
      <c r="E295" t="s">
        <v>205</v>
      </c>
      <c r="F295" s="20" t="s">
        <v>206</v>
      </c>
      <c r="G295" s="8" t="str">
        <f t="shared" si="4"/>
        <v>BROWN JACOB</v>
      </c>
    </row>
    <row r="296" spans="1:7" x14ac:dyDescent="0.25">
      <c r="A296" s="8">
        <v>42813.093668981484</v>
      </c>
      <c r="B296" t="s">
        <v>357</v>
      </c>
      <c r="C296" t="s">
        <v>366</v>
      </c>
      <c r="D296" s="141">
        <v>2150000</v>
      </c>
      <c r="E296" t="s">
        <v>349</v>
      </c>
      <c r="F296" s="20" t="s">
        <v>350</v>
      </c>
      <c r="G296" s="8" t="str">
        <f t="shared" si="4"/>
        <v>SWANSON BRYCE</v>
      </c>
    </row>
    <row r="297" spans="1:7" x14ac:dyDescent="0.25">
      <c r="A297" s="8">
        <v>42813.112708333334</v>
      </c>
      <c r="B297" t="s">
        <v>352</v>
      </c>
      <c r="C297" t="s">
        <v>367</v>
      </c>
      <c r="D297" s="141">
        <v>2270000</v>
      </c>
      <c r="E297" t="s">
        <v>205</v>
      </c>
      <c r="F297" s="20" t="s">
        <v>206</v>
      </c>
      <c r="G297" s="8" t="str">
        <f t="shared" si="4"/>
        <v>BROWN JACOB</v>
      </c>
    </row>
    <row r="298" spans="1:7" x14ac:dyDescent="0.25">
      <c r="F298" s="20">
        <f t="shared" ref="F298:F345" si="5">B298</f>
        <v>0</v>
      </c>
      <c r="G298" s="8" t="str">
        <f t="shared" si="4"/>
        <v xml:space="preserve"> 0</v>
      </c>
    </row>
    <row r="299" spans="1:7" x14ac:dyDescent="0.25">
      <c r="F299" s="20">
        <f t="shared" si="5"/>
        <v>0</v>
      </c>
      <c r="G299" s="8" t="str">
        <f t="shared" si="4"/>
        <v xml:space="preserve"> 0</v>
      </c>
    </row>
    <row r="300" spans="1:7" x14ac:dyDescent="0.25">
      <c r="F300" s="20">
        <f t="shared" si="5"/>
        <v>0</v>
      </c>
      <c r="G300" s="8" t="str">
        <f t="shared" si="4"/>
        <v xml:space="preserve"> 0</v>
      </c>
    </row>
    <row r="301" spans="1:7" x14ac:dyDescent="0.25">
      <c r="F301" s="20">
        <f t="shared" si="5"/>
        <v>0</v>
      </c>
      <c r="G301" s="8" t="str">
        <f t="shared" si="4"/>
        <v xml:space="preserve"> 0</v>
      </c>
    </row>
    <row r="302" spans="1:7" x14ac:dyDescent="0.25">
      <c r="F302" s="20">
        <f t="shared" si="5"/>
        <v>0</v>
      </c>
      <c r="G302" s="8" t="str">
        <f t="shared" si="4"/>
        <v xml:space="preserve"> 0</v>
      </c>
    </row>
    <row r="303" spans="1:7" x14ac:dyDescent="0.25">
      <c r="F303" s="20">
        <f t="shared" si="5"/>
        <v>0</v>
      </c>
      <c r="G303" s="8" t="str">
        <f t="shared" si="4"/>
        <v xml:space="preserve"> 0</v>
      </c>
    </row>
    <row r="304" spans="1:7" x14ac:dyDescent="0.25">
      <c r="F304" s="20">
        <f t="shared" si="5"/>
        <v>0</v>
      </c>
      <c r="G304" s="8" t="str">
        <f t="shared" si="4"/>
        <v xml:space="preserve"> 0</v>
      </c>
    </row>
    <row r="305" spans="6:7" x14ac:dyDescent="0.25">
      <c r="F305" s="20">
        <f t="shared" si="5"/>
        <v>0</v>
      </c>
      <c r="G305" s="8" t="str">
        <f t="shared" si="4"/>
        <v xml:space="preserve"> 0</v>
      </c>
    </row>
    <row r="306" spans="6:7" x14ac:dyDescent="0.25">
      <c r="F306" s="20">
        <f t="shared" si="5"/>
        <v>0</v>
      </c>
      <c r="G306" s="8" t="str">
        <f t="shared" si="4"/>
        <v xml:space="preserve"> 0</v>
      </c>
    </row>
    <row r="307" spans="6:7" x14ac:dyDescent="0.25">
      <c r="F307" s="20">
        <f t="shared" si="5"/>
        <v>0</v>
      </c>
      <c r="G307" s="8" t="str">
        <f t="shared" si="4"/>
        <v xml:space="preserve"> 0</v>
      </c>
    </row>
    <row r="308" spans="6:7" x14ac:dyDescent="0.25">
      <c r="F308" s="20">
        <f t="shared" si="5"/>
        <v>0</v>
      </c>
      <c r="G308" s="8" t="str">
        <f t="shared" si="4"/>
        <v xml:space="preserve"> 0</v>
      </c>
    </row>
    <row r="309" spans="6:7" x14ac:dyDescent="0.25">
      <c r="F309" s="20">
        <f t="shared" si="5"/>
        <v>0</v>
      </c>
      <c r="G309" s="8" t="str">
        <f t="shared" si="4"/>
        <v xml:space="preserve"> 0</v>
      </c>
    </row>
    <row r="310" spans="6:7" x14ac:dyDescent="0.25">
      <c r="F310" s="20">
        <f t="shared" si="5"/>
        <v>0</v>
      </c>
      <c r="G310" s="8" t="str">
        <f t="shared" si="4"/>
        <v xml:space="preserve"> 0</v>
      </c>
    </row>
    <row r="311" spans="6:7" x14ac:dyDescent="0.25">
      <c r="F311" s="20">
        <f t="shared" si="5"/>
        <v>0</v>
      </c>
      <c r="G311" s="8" t="str">
        <f t="shared" si="4"/>
        <v xml:space="preserve"> 0</v>
      </c>
    </row>
    <row r="312" spans="6:7" x14ac:dyDescent="0.25">
      <c r="F312" s="20">
        <f t="shared" si="5"/>
        <v>0</v>
      </c>
      <c r="G312" s="8" t="str">
        <f t="shared" si="4"/>
        <v xml:space="preserve"> 0</v>
      </c>
    </row>
    <row r="313" spans="6:7" x14ac:dyDescent="0.25">
      <c r="F313" s="20">
        <f t="shared" si="5"/>
        <v>0</v>
      </c>
      <c r="G313" s="8" t="str">
        <f t="shared" si="4"/>
        <v xml:space="preserve"> 0</v>
      </c>
    </row>
    <row r="314" spans="6:7" x14ac:dyDescent="0.25">
      <c r="F314" s="20">
        <f t="shared" si="5"/>
        <v>0</v>
      </c>
      <c r="G314" s="8" t="str">
        <f t="shared" si="4"/>
        <v xml:space="preserve"> 0</v>
      </c>
    </row>
    <row r="315" spans="6:7" x14ac:dyDescent="0.25">
      <c r="F315" s="20">
        <f t="shared" si="5"/>
        <v>0</v>
      </c>
      <c r="G315" s="8" t="str">
        <f t="shared" si="4"/>
        <v xml:space="preserve"> 0</v>
      </c>
    </row>
    <row r="316" spans="6:7" x14ac:dyDescent="0.25">
      <c r="F316" s="20">
        <f t="shared" si="5"/>
        <v>0</v>
      </c>
      <c r="G316" s="8" t="str">
        <f t="shared" si="4"/>
        <v xml:space="preserve"> 0</v>
      </c>
    </row>
    <row r="317" spans="6:7" x14ac:dyDescent="0.25">
      <c r="F317" s="20">
        <f t="shared" si="5"/>
        <v>0</v>
      </c>
      <c r="G317" s="8" t="str">
        <f t="shared" si="4"/>
        <v xml:space="preserve"> 0</v>
      </c>
    </row>
    <row r="318" spans="6:7" x14ac:dyDescent="0.25">
      <c r="F318" s="20">
        <f t="shared" si="5"/>
        <v>0</v>
      </c>
      <c r="G318" s="8" t="str">
        <f t="shared" si="4"/>
        <v xml:space="preserve"> 0</v>
      </c>
    </row>
    <row r="319" spans="6:7" x14ac:dyDescent="0.25">
      <c r="F319" s="20">
        <f t="shared" si="5"/>
        <v>0</v>
      </c>
      <c r="G319" s="8" t="str">
        <f t="shared" si="4"/>
        <v xml:space="preserve"> 0</v>
      </c>
    </row>
    <row r="320" spans="6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R29"/>
    </sheetView>
  </sheetViews>
  <sheetFormatPr defaultRowHeight="15" x14ac:dyDescent="0.25"/>
  <cols>
    <col min="1" max="1" width="22.5703125" style="144" customWidth="1"/>
    <col min="2" max="2" width="8.42578125" style="144" bestFit="1" customWidth="1"/>
    <col min="3" max="3" width="12.5703125" style="144" bestFit="1" customWidth="1"/>
    <col min="4" max="4" width="18.5703125" style="133" bestFit="1" customWidth="1"/>
    <col min="5" max="5" width="9.85546875" style="144" bestFit="1" customWidth="1"/>
    <col min="6" max="6" width="9" style="144" bestFit="1" customWidth="1"/>
    <col min="7" max="7" width="8.85546875" style="144" bestFit="1" customWidth="1"/>
    <col min="8" max="8" width="14" style="144" bestFit="1" customWidth="1"/>
    <col min="9" max="9" width="21.140625" style="144" bestFit="1" customWidth="1"/>
    <col min="10" max="10" width="8.7109375" style="144" bestFit="1" customWidth="1"/>
    <col min="11" max="11" width="11.28515625" style="144" bestFit="1" customWidth="1"/>
    <col min="12" max="12" width="11" style="144" bestFit="1" customWidth="1"/>
    <col min="13" max="13" width="11.28515625" style="144" bestFit="1" customWidth="1"/>
    <col min="14" max="14" width="13.7109375" style="144" bestFit="1" customWidth="1"/>
    <col min="15" max="15" width="14.85546875" style="144" bestFit="1" customWidth="1"/>
    <col min="16" max="16" width="16.7109375" style="144" bestFit="1" customWidth="1"/>
    <col min="17" max="17" width="9.42578125" style="113" bestFit="1" customWidth="1"/>
    <col min="18" max="16384" width="9.140625" style="113"/>
  </cols>
  <sheetData>
    <row r="1" spans="1:18" s="114" customFormat="1" x14ac:dyDescent="0.25">
      <c r="A1" s="201" t="s">
        <v>162</v>
      </c>
      <c r="B1" s="201" t="s">
        <v>165</v>
      </c>
      <c r="C1" s="201" t="s">
        <v>158</v>
      </c>
      <c r="D1" s="139" t="s">
        <v>170</v>
      </c>
      <c r="E1" s="201" t="s">
        <v>159</v>
      </c>
      <c r="F1" s="201" t="s">
        <v>157</v>
      </c>
      <c r="G1" s="201" t="s">
        <v>155</v>
      </c>
      <c r="H1" s="201" t="s">
        <v>842</v>
      </c>
      <c r="I1" s="201" t="s">
        <v>168</v>
      </c>
      <c r="J1" s="201" t="s">
        <v>169</v>
      </c>
      <c r="K1" s="201" t="s">
        <v>429</v>
      </c>
      <c r="L1" s="201" t="s">
        <v>163</v>
      </c>
      <c r="M1" s="201" t="s">
        <v>161</v>
      </c>
      <c r="N1" s="201" t="s">
        <v>156</v>
      </c>
      <c r="O1" s="201" t="s">
        <v>166</v>
      </c>
      <c r="P1" s="201" t="s">
        <v>160</v>
      </c>
      <c r="Q1" s="201" t="s">
        <v>167</v>
      </c>
      <c r="R1" s="201" t="s">
        <v>164</v>
      </c>
    </row>
    <row r="2" spans="1:18" x14ac:dyDescent="0.25">
      <c r="A2" s="168">
        <v>42.71</v>
      </c>
      <c r="B2" s="168">
        <v>0.56999999999999995</v>
      </c>
      <c r="C2" s="168">
        <v>20.78</v>
      </c>
      <c r="D2" s="8">
        <v>42853</v>
      </c>
      <c r="E2" s="168">
        <v>0.41</v>
      </c>
      <c r="F2" s="168" t="s">
        <v>843</v>
      </c>
      <c r="G2" s="168">
        <v>371.37</v>
      </c>
      <c r="H2" s="168"/>
      <c r="I2" s="168">
        <v>0</v>
      </c>
      <c r="J2" s="168">
        <v>0</v>
      </c>
      <c r="K2" s="168"/>
      <c r="L2" s="168">
        <v>1004.9</v>
      </c>
      <c r="M2" s="168" t="s">
        <v>844</v>
      </c>
      <c r="N2" s="168">
        <v>42.71</v>
      </c>
      <c r="O2" s="168">
        <v>1493359200</v>
      </c>
      <c r="P2" s="168">
        <v>1.1000000000000001</v>
      </c>
      <c r="Q2" s="168">
        <v>250</v>
      </c>
      <c r="R2" s="168">
        <v>2.86</v>
      </c>
    </row>
    <row r="3" spans="1:18" x14ac:dyDescent="0.25">
      <c r="A3" s="168">
        <v>41.11</v>
      </c>
      <c r="B3" s="168">
        <v>0.55000000000000004</v>
      </c>
      <c r="C3" s="168">
        <v>19.93</v>
      </c>
      <c r="D3" s="8">
        <v>42853.041666666664</v>
      </c>
      <c r="E3" s="168">
        <v>0.42</v>
      </c>
      <c r="F3" s="168" t="s">
        <v>843</v>
      </c>
      <c r="G3" s="168">
        <v>373.2</v>
      </c>
      <c r="H3" s="168"/>
      <c r="I3" s="168">
        <v>0</v>
      </c>
      <c r="J3" s="168">
        <v>0</v>
      </c>
      <c r="K3" s="168"/>
      <c r="L3" s="168">
        <v>1004.94</v>
      </c>
      <c r="M3" s="168" t="s">
        <v>844</v>
      </c>
      <c r="N3" s="168">
        <v>41.11</v>
      </c>
      <c r="O3" s="168">
        <v>1493362800</v>
      </c>
      <c r="P3" s="168">
        <v>1.1000000000000001</v>
      </c>
      <c r="Q3" s="168">
        <v>244</v>
      </c>
      <c r="R3" s="168">
        <v>2.64</v>
      </c>
    </row>
    <row r="4" spans="1:18" x14ac:dyDescent="0.25">
      <c r="A4" s="168">
        <v>40.869999999999997</v>
      </c>
      <c r="B4" s="168">
        <v>0.53</v>
      </c>
      <c r="C4" s="168">
        <v>19.07</v>
      </c>
      <c r="D4" s="8">
        <v>42853.083333333336</v>
      </c>
      <c r="E4" s="168">
        <v>0.41</v>
      </c>
      <c r="F4" s="168" t="s">
        <v>843</v>
      </c>
      <c r="G4" s="168">
        <v>375.04</v>
      </c>
      <c r="H4" s="168"/>
      <c r="I4" s="168">
        <v>0</v>
      </c>
      <c r="J4" s="168">
        <v>0</v>
      </c>
      <c r="K4" s="168"/>
      <c r="L4" s="168">
        <v>1005.01</v>
      </c>
      <c r="M4" s="168" t="s">
        <v>844</v>
      </c>
      <c r="N4" s="168">
        <v>40.869999999999997</v>
      </c>
      <c r="O4" s="168">
        <v>1493366400</v>
      </c>
      <c r="P4" s="168">
        <v>1.1000000000000001</v>
      </c>
      <c r="Q4" s="168">
        <v>251</v>
      </c>
      <c r="R4" s="168">
        <v>2.65</v>
      </c>
    </row>
    <row r="5" spans="1:18" x14ac:dyDescent="0.25">
      <c r="A5" s="168">
        <v>36.36</v>
      </c>
      <c r="B5" s="168">
        <v>0.52</v>
      </c>
      <c r="C5" s="168">
        <v>17.690000000000001</v>
      </c>
      <c r="D5" s="8">
        <v>42853.125</v>
      </c>
      <c r="E5" s="168">
        <v>0.42</v>
      </c>
      <c r="F5" s="168" t="s">
        <v>843</v>
      </c>
      <c r="G5" s="168">
        <v>376.87</v>
      </c>
      <c r="H5" s="168"/>
      <c r="I5" s="168">
        <v>0</v>
      </c>
      <c r="J5" s="168">
        <v>0</v>
      </c>
      <c r="K5" s="168"/>
      <c r="L5" s="168">
        <v>1005.11</v>
      </c>
      <c r="M5" s="168" t="s">
        <v>844</v>
      </c>
      <c r="N5" s="168">
        <v>38.979999999999997</v>
      </c>
      <c r="O5" s="168">
        <v>1493370000</v>
      </c>
      <c r="P5" s="168">
        <v>1.1000000000000001</v>
      </c>
      <c r="Q5" s="168">
        <v>233</v>
      </c>
      <c r="R5" s="168">
        <v>3.78</v>
      </c>
    </row>
    <row r="6" spans="1:18" x14ac:dyDescent="0.25">
      <c r="A6" s="168">
        <v>35.090000000000003</v>
      </c>
      <c r="B6" s="168">
        <v>0.52</v>
      </c>
      <c r="C6" s="168">
        <v>17.28</v>
      </c>
      <c r="D6" s="8">
        <v>42853.166666666664</v>
      </c>
      <c r="E6" s="168">
        <v>0.43</v>
      </c>
      <c r="F6" s="168" t="s">
        <v>843</v>
      </c>
      <c r="G6" s="168">
        <v>378.98</v>
      </c>
      <c r="H6" s="168"/>
      <c r="I6" s="168">
        <v>0</v>
      </c>
      <c r="J6" s="168">
        <v>0</v>
      </c>
      <c r="K6" s="168"/>
      <c r="L6" s="168">
        <v>1005.33</v>
      </c>
      <c r="M6" s="168" t="s">
        <v>844</v>
      </c>
      <c r="N6" s="168">
        <v>37.950000000000003</v>
      </c>
      <c r="O6" s="168">
        <v>1493373600</v>
      </c>
      <c r="P6" s="168">
        <v>1.1000000000000001</v>
      </c>
      <c r="Q6" s="168">
        <v>248</v>
      </c>
      <c r="R6" s="168">
        <v>3.87</v>
      </c>
    </row>
    <row r="7" spans="1:18" x14ac:dyDescent="0.25">
      <c r="A7" s="168">
        <v>34.42</v>
      </c>
      <c r="B7" s="168">
        <v>0.53</v>
      </c>
      <c r="C7" s="168">
        <v>16.97</v>
      </c>
      <c r="D7" s="8">
        <v>42853.208333333336</v>
      </c>
      <c r="E7" s="168">
        <v>0.43</v>
      </c>
      <c r="F7" s="168" t="s">
        <v>843</v>
      </c>
      <c r="G7" s="168">
        <v>381.16</v>
      </c>
      <c r="H7" s="168"/>
      <c r="I7" s="168">
        <v>0</v>
      </c>
      <c r="J7" s="168">
        <v>0</v>
      </c>
      <c r="K7" s="168"/>
      <c r="L7" s="168">
        <v>1005.46</v>
      </c>
      <c r="M7" s="168" t="s">
        <v>844</v>
      </c>
      <c r="N7" s="168">
        <v>37.380000000000003</v>
      </c>
      <c r="O7" s="168">
        <v>1493377200</v>
      </c>
      <c r="P7" s="168">
        <v>1.1000000000000001</v>
      </c>
      <c r="Q7" s="168">
        <v>242</v>
      </c>
      <c r="R7" s="168">
        <v>3.87</v>
      </c>
    </row>
    <row r="8" spans="1:18" x14ac:dyDescent="0.25">
      <c r="A8" s="168">
        <v>36.549999999999997</v>
      </c>
      <c r="B8" s="168">
        <v>0.53</v>
      </c>
      <c r="C8" s="168">
        <v>17.04</v>
      </c>
      <c r="D8" s="8">
        <v>42853.25</v>
      </c>
      <c r="E8" s="168">
        <v>0.45</v>
      </c>
      <c r="F8" s="168" t="s">
        <v>843</v>
      </c>
      <c r="G8" s="168">
        <v>382.99</v>
      </c>
      <c r="H8" s="168"/>
      <c r="I8" s="168">
        <v>0</v>
      </c>
      <c r="J8" s="168">
        <v>0</v>
      </c>
      <c r="K8" s="168"/>
      <c r="L8" s="168">
        <v>1005.43</v>
      </c>
      <c r="M8" s="168" t="s">
        <v>844</v>
      </c>
      <c r="N8" s="168">
        <v>36.549999999999997</v>
      </c>
      <c r="O8" s="168">
        <v>1493380800</v>
      </c>
      <c r="P8" s="168">
        <v>1.1000000000000001</v>
      </c>
      <c r="Q8" s="168">
        <v>228</v>
      </c>
      <c r="R8" s="168">
        <v>2.67</v>
      </c>
    </row>
    <row r="9" spans="1:18" x14ac:dyDescent="0.25">
      <c r="A9" s="168">
        <v>36.67</v>
      </c>
      <c r="B9" s="168">
        <v>0.53</v>
      </c>
      <c r="C9" s="168">
        <v>18.87</v>
      </c>
      <c r="D9" s="8">
        <v>42853.291666666664</v>
      </c>
      <c r="E9" s="168">
        <v>0.48</v>
      </c>
      <c r="F9" s="168" t="s">
        <v>843</v>
      </c>
      <c r="G9" s="168">
        <v>384.7</v>
      </c>
      <c r="H9" s="168"/>
      <c r="I9" s="168">
        <v>0</v>
      </c>
      <c r="J9" s="168">
        <v>0</v>
      </c>
      <c r="K9" s="168"/>
      <c r="L9" s="168">
        <v>1004.87</v>
      </c>
      <c r="M9" s="168" t="s">
        <v>844</v>
      </c>
      <c r="N9" s="168">
        <v>36.67</v>
      </c>
      <c r="O9" s="168">
        <v>1493384400</v>
      </c>
      <c r="P9" s="168">
        <v>1.1000000000000001</v>
      </c>
      <c r="Q9" s="168">
        <v>202</v>
      </c>
      <c r="R9" s="168">
        <v>2.73</v>
      </c>
    </row>
    <row r="10" spans="1:18" x14ac:dyDescent="0.25">
      <c r="A10" s="168">
        <v>40.82</v>
      </c>
      <c r="B10" s="168">
        <v>0.51</v>
      </c>
      <c r="C10" s="168">
        <v>17.21</v>
      </c>
      <c r="D10" s="8">
        <v>42853.333333333336</v>
      </c>
      <c r="E10" s="168">
        <v>0.35</v>
      </c>
      <c r="F10" s="168" t="s">
        <v>843</v>
      </c>
      <c r="G10" s="168">
        <v>386.05</v>
      </c>
      <c r="H10" s="168"/>
      <c r="I10" s="168">
        <v>0</v>
      </c>
      <c r="J10" s="168">
        <v>0</v>
      </c>
      <c r="K10" s="168"/>
      <c r="L10" s="168">
        <v>1004.03</v>
      </c>
      <c r="M10" s="168" t="s">
        <v>844</v>
      </c>
      <c r="N10" s="168">
        <v>43.05</v>
      </c>
      <c r="O10" s="168">
        <v>1493388000</v>
      </c>
      <c r="P10" s="168">
        <v>1.1000000000000001</v>
      </c>
      <c r="Q10" s="168">
        <v>229</v>
      </c>
      <c r="R10" s="168">
        <v>4.03</v>
      </c>
    </row>
    <row r="11" spans="1:18" x14ac:dyDescent="0.25">
      <c r="A11" s="168">
        <v>46.94</v>
      </c>
      <c r="B11" s="168">
        <v>0.51</v>
      </c>
      <c r="C11" s="168">
        <v>13.9</v>
      </c>
      <c r="D11" s="8">
        <v>42853.375</v>
      </c>
      <c r="E11" s="168">
        <v>0.26</v>
      </c>
      <c r="F11" s="168" t="s">
        <v>843</v>
      </c>
      <c r="G11" s="168">
        <v>385.95</v>
      </c>
      <c r="H11" s="168"/>
      <c r="I11" s="168">
        <v>0</v>
      </c>
      <c r="J11" s="168">
        <v>0</v>
      </c>
      <c r="K11" s="168"/>
      <c r="L11" s="168">
        <v>1003.25</v>
      </c>
      <c r="M11" s="168" t="s">
        <v>844</v>
      </c>
      <c r="N11" s="168">
        <v>46.94</v>
      </c>
      <c r="O11" s="168">
        <v>1493391600</v>
      </c>
      <c r="P11" s="168">
        <v>1.1000000000000001</v>
      </c>
      <c r="Q11" s="168">
        <v>326</v>
      </c>
      <c r="R11" s="168">
        <v>2.71</v>
      </c>
    </row>
    <row r="12" spans="1:18" x14ac:dyDescent="0.25">
      <c r="A12" s="168">
        <v>50.21</v>
      </c>
      <c r="B12" s="168">
        <v>0.52</v>
      </c>
      <c r="C12" s="168">
        <v>14.49</v>
      </c>
      <c r="D12" s="8">
        <v>42853.416666666664</v>
      </c>
      <c r="E12" s="168">
        <v>0.24</v>
      </c>
      <c r="F12" s="168" t="s">
        <v>413</v>
      </c>
      <c r="G12" s="168">
        <v>383.25</v>
      </c>
      <c r="H12" s="168"/>
      <c r="I12" s="168">
        <v>0</v>
      </c>
      <c r="J12" s="168">
        <v>0</v>
      </c>
      <c r="K12" s="168"/>
      <c r="L12" s="168">
        <v>1002.9</v>
      </c>
      <c r="M12" s="168" t="s">
        <v>342</v>
      </c>
      <c r="N12" s="168">
        <v>50.21</v>
      </c>
      <c r="O12" s="168">
        <v>1493395200</v>
      </c>
      <c r="P12" s="168"/>
      <c r="Q12" s="168">
        <v>42</v>
      </c>
      <c r="R12" s="168">
        <v>1</v>
      </c>
    </row>
    <row r="13" spans="1:18" x14ac:dyDescent="0.25">
      <c r="A13" s="168">
        <v>52.04</v>
      </c>
      <c r="B13" s="168">
        <v>0.53</v>
      </c>
      <c r="C13" s="168">
        <v>15.54</v>
      </c>
      <c r="D13" s="8">
        <v>42853.458333333336</v>
      </c>
      <c r="E13" s="168">
        <v>0.23</v>
      </c>
      <c r="F13" s="168" t="s">
        <v>843</v>
      </c>
      <c r="G13" s="168">
        <v>379.11</v>
      </c>
      <c r="H13" s="168"/>
      <c r="I13" s="168">
        <v>0</v>
      </c>
      <c r="J13" s="168">
        <v>0</v>
      </c>
      <c r="K13" s="168"/>
      <c r="L13" s="168">
        <v>1002.82</v>
      </c>
      <c r="M13" s="168" t="s">
        <v>844</v>
      </c>
      <c r="N13" s="168">
        <v>52.04</v>
      </c>
      <c r="O13" s="168">
        <v>1493398800</v>
      </c>
      <c r="P13" s="168">
        <v>1.1000000000000001</v>
      </c>
      <c r="Q13" s="168">
        <v>49</v>
      </c>
      <c r="R13" s="168">
        <v>3.31</v>
      </c>
    </row>
    <row r="14" spans="1:18" x14ac:dyDescent="0.25">
      <c r="A14" s="168">
        <v>51.58</v>
      </c>
      <c r="B14" s="168">
        <v>0.57999999999999996</v>
      </c>
      <c r="C14" s="168">
        <v>16.010000000000002</v>
      </c>
      <c r="D14" s="8">
        <v>42853.5</v>
      </c>
      <c r="E14" s="168">
        <v>0.24</v>
      </c>
      <c r="F14" s="168" t="s">
        <v>843</v>
      </c>
      <c r="G14" s="168">
        <v>375.89</v>
      </c>
      <c r="H14" s="168"/>
      <c r="I14" s="168">
        <v>0</v>
      </c>
      <c r="J14" s="168">
        <v>0</v>
      </c>
      <c r="K14" s="168"/>
      <c r="L14" s="168">
        <v>1002.89</v>
      </c>
      <c r="M14" s="168" t="s">
        <v>844</v>
      </c>
      <c r="N14" s="168">
        <v>51.58</v>
      </c>
      <c r="O14" s="168">
        <v>1493402400</v>
      </c>
      <c r="P14" s="168">
        <v>1.1000000000000001</v>
      </c>
      <c r="Q14" s="168">
        <v>58</v>
      </c>
      <c r="R14" s="168">
        <v>4.7300000000000004</v>
      </c>
    </row>
    <row r="15" spans="1:18" x14ac:dyDescent="0.25">
      <c r="A15" s="168">
        <v>52.58</v>
      </c>
      <c r="B15" s="168">
        <v>0.68</v>
      </c>
      <c r="C15" s="168">
        <v>18.920000000000002</v>
      </c>
      <c r="D15" s="8">
        <v>42853.541666666664</v>
      </c>
      <c r="E15" s="168">
        <v>0.26</v>
      </c>
      <c r="F15" s="168" t="s">
        <v>843</v>
      </c>
      <c r="G15" s="168">
        <v>374.58</v>
      </c>
      <c r="H15" s="168"/>
      <c r="I15" s="168">
        <v>1.5E-3</v>
      </c>
      <c r="J15" s="168">
        <v>0.03</v>
      </c>
      <c r="K15" s="168" t="s">
        <v>430</v>
      </c>
      <c r="L15" s="168">
        <v>1002.82</v>
      </c>
      <c r="M15" s="168" t="s">
        <v>844</v>
      </c>
      <c r="N15" s="168">
        <v>52.58</v>
      </c>
      <c r="O15" s="168">
        <v>1493406000</v>
      </c>
      <c r="P15" s="168">
        <v>1.1000000000000001</v>
      </c>
      <c r="Q15" s="168">
        <v>59</v>
      </c>
      <c r="R15" s="168">
        <v>6.29</v>
      </c>
    </row>
    <row r="16" spans="1:18" x14ac:dyDescent="0.25">
      <c r="A16" s="168">
        <v>51.77</v>
      </c>
      <c r="B16" s="168">
        <v>0.8</v>
      </c>
      <c r="C16" s="168">
        <v>21.85</v>
      </c>
      <c r="D16" s="8">
        <v>42853.583333333336</v>
      </c>
      <c r="E16" s="168">
        <v>0.31</v>
      </c>
      <c r="F16" s="168" t="s">
        <v>843</v>
      </c>
      <c r="G16" s="168">
        <v>374.21</v>
      </c>
      <c r="H16" s="168"/>
      <c r="I16" s="168">
        <v>2.8E-3</v>
      </c>
      <c r="J16" s="168">
        <v>0.09</v>
      </c>
      <c r="K16" s="168" t="s">
        <v>430</v>
      </c>
      <c r="L16" s="168">
        <v>1002.95</v>
      </c>
      <c r="M16" s="168" t="s">
        <v>844</v>
      </c>
      <c r="N16" s="168">
        <v>51.77</v>
      </c>
      <c r="O16" s="168">
        <v>1493409600</v>
      </c>
      <c r="P16" s="168">
        <v>1.1000000000000001</v>
      </c>
      <c r="Q16" s="168">
        <v>35</v>
      </c>
      <c r="R16" s="168">
        <v>7.74</v>
      </c>
    </row>
    <row r="17" spans="1:18" x14ac:dyDescent="0.25">
      <c r="A17" s="168">
        <v>46.58</v>
      </c>
      <c r="B17" s="168">
        <v>0.74</v>
      </c>
      <c r="C17" s="168">
        <v>21.82</v>
      </c>
      <c r="D17" s="8">
        <v>42853.625</v>
      </c>
      <c r="E17" s="168">
        <v>0.33</v>
      </c>
      <c r="F17" s="168" t="s">
        <v>413</v>
      </c>
      <c r="G17" s="168">
        <v>374.22</v>
      </c>
      <c r="H17" s="168"/>
      <c r="I17" s="168">
        <v>4.4000000000000003E-3</v>
      </c>
      <c r="J17" s="168">
        <v>0.17</v>
      </c>
      <c r="K17" s="168" t="s">
        <v>430</v>
      </c>
      <c r="L17" s="168">
        <v>1003.97</v>
      </c>
      <c r="M17" s="168" t="s">
        <v>418</v>
      </c>
      <c r="N17" s="168">
        <v>49.48</v>
      </c>
      <c r="O17" s="168">
        <v>1493413200</v>
      </c>
      <c r="P17" s="168">
        <v>3.01</v>
      </c>
      <c r="Q17" s="168">
        <v>42</v>
      </c>
      <c r="R17" s="168">
        <v>6.97</v>
      </c>
    </row>
    <row r="18" spans="1:18" x14ac:dyDescent="0.25">
      <c r="A18" s="168">
        <v>41.35</v>
      </c>
      <c r="B18" s="168">
        <v>0.81</v>
      </c>
      <c r="C18" s="168">
        <v>29.44</v>
      </c>
      <c r="D18" s="8">
        <v>42853.666666666664</v>
      </c>
      <c r="E18" s="168">
        <v>0.53</v>
      </c>
      <c r="F18" s="168" t="s">
        <v>430</v>
      </c>
      <c r="G18" s="168">
        <v>374.52</v>
      </c>
      <c r="H18" s="168"/>
      <c r="I18" s="168">
        <v>5.8999999999999999E-3</v>
      </c>
      <c r="J18" s="168">
        <v>0.27</v>
      </c>
      <c r="K18" s="168" t="s">
        <v>430</v>
      </c>
      <c r="L18" s="168">
        <v>1006.06</v>
      </c>
      <c r="M18" s="168" t="s">
        <v>547</v>
      </c>
      <c r="N18" s="168">
        <v>45.4</v>
      </c>
      <c r="O18" s="168">
        <v>1493416800</v>
      </c>
      <c r="P18" s="168">
        <v>8.26</v>
      </c>
      <c r="Q18" s="168">
        <v>15</v>
      </c>
      <c r="R18" s="168">
        <v>7.6</v>
      </c>
    </row>
    <row r="19" spans="1:18" x14ac:dyDescent="0.25">
      <c r="A19" s="168">
        <v>36.75</v>
      </c>
      <c r="B19" s="168">
        <v>0.88</v>
      </c>
      <c r="C19" s="168">
        <v>33.619999999999997</v>
      </c>
      <c r="D19" s="8">
        <v>42853.708333333336</v>
      </c>
      <c r="E19" s="168">
        <v>0.71</v>
      </c>
      <c r="F19" s="168" t="s">
        <v>430</v>
      </c>
      <c r="G19" s="168">
        <v>375.2</v>
      </c>
      <c r="H19" s="168"/>
      <c r="I19" s="168">
        <v>2.2800000000000001E-2</v>
      </c>
      <c r="J19" s="168">
        <v>0.62</v>
      </c>
      <c r="K19" s="168" t="s">
        <v>430</v>
      </c>
      <c r="L19" s="168">
        <v>1008.76</v>
      </c>
      <c r="M19" s="168" t="s">
        <v>845</v>
      </c>
      <c r="N19" s="168">
        <v>42.3</v>
      </c>
      <c r="O19" s="168">
        <v>1493420400</v>
      </c>
      <c r="P19" s="168">
        <v>2.8</v>
      </c>
      <c r="Q19" s="168">
        <v>29</v>
      </c>
      <c r="R19" s="168">
        <v>9.4</v>
      </c>
    </row>
    <row r="20" spans="1:18" x14ac:dyDescent="0.25">
      <c r="A20" s="168">
        <v>31.59</v>
      </c>
      <c r="B20" s="168">
        <v>0.95</v>
      </c>
      <c r="C20" s="168">
        <v>33.700000000000003</v>
      </c>
      <c r="D20" s="8">
        <v>42853.75</v>
      </c>
      <c r="E20" s="168">
        <v>0.84</v>
      </c>
      <c r="F20" s="168" t="s">
        <v>430</v>
      </c>
      <c r="G20" s="168">
        <v>376</v>
      </c>
      <c r="H20" s="168"/>
      <c r="I20" s="168">
        <v>2.93E-2</v>
      </c>
      <c r="J20" s="168">
        <v>0.66</v>
      </c>
      <c r="K20" s="168" t="s">
        <v>430</v>
      </c>
      <c r="L20" s="168">
        <v>1011.45</v>
      </c>
      <c r="M20" s="168" t="s">
        <v>845</v>
      </c>
      <c r="N20" s="168">
        <v>38.049999999999997</v>
      </c>
      <c r="O20" s="168">
        <v>1493424000</v>
      </c>
      <c r="P20" s="168">
        <v>2.04</v>
      </c>
      <c r="Q20" s="168">
        <v>32</v>
      </c>
      <c r="R20" s="168">
        <v>9.2100000000000009</v>
      </c>
    </row>
    <row r="21" spans="1:18" x14ac:dyDescent="0.25">
      <c r="A21" s="168">
        <v>29.25</v>
      </c>
      <c r="B21" s="168">
        <v>0.9</v>
      </c>
      <c r="C21" s="168">
        <v>33.32</v>
      </c>
      <c r="D21" s="8">
        <v>42853.791666666664</v>
      </c>
      <c r="E21" s="168">
        <v>0.92</v>
      </c>
      <c r="F21" s="168" t="s">
        <v>846</v>
      </c>
      <c r="G21" s="168">
        <v>376.95</v>
      </c>
      <c r="H21" s="168"/>
      <c r="I21" s="168">
        <v>3.9300000000000002E-2</v>
      </c>
      <c r="J21" s="168">
        <v>0.7</v>
      </c>
      <c r="K21" s="168" t="s">
        <v>846</v>
      </c>
      <c r="L21" s="168">
        <v>1013.72</v>
      </c>
      <c r="M21" s="168" t="s">
        <v>847</v>
      </c>
      <c r="N21" s="168">
        <v>35.46</v>
      </c>
      <c r="O21" s="168">
        <v>1493427600</v>
      </c>
      <c r="P21" s="168">
        <v>1.75</v>
      </c>
      <c r="Q21" s="168">
        <v>36</v>
      </c>
      <c r="R21" s="168">
        <v>7.67</v>
      </c>
    </row>
    <row r="22" spans="1:18" x14ac:dyDescent="0.25">
      <c r="A22" s="168">
        <v>27.18</v>
      </c>
      <c r="B22" s="168">
        <v>0.78</v>
      </c>
      <c r="C22" s="168">
        <v>32.19</v>
      </c>
      <c r="D22" s="8">
        <v>42853.833333333336</v>
      </c>
      <c r="E22" s="168">
        <v>0.94</v>
      </c>
      <c r="F22" s="168" t="s">
        <v>848</v>
      </c>
      <c r="G22" s="168">
        <v>378.02</v>
      </c>
      <c r="H22" s="168">
        <v>0.20100000000000001</v>
      </c>
      <c r="I22" s="168">
        <v>2.64E-2</v>
      </c>
      <c r="J22" s="168">
        <v>0.64</v>
      </c>
      <c r="K22" s="168" t="s">
        <v>848</v>
      </c>
      <c r="L22" s="168">
        <v>1015.78</v>
      </c>
      <c r="M22" s="168" t="s">
        <v>849</v>
      </c>
      <c r="N22" s="168">
        <v>33.86</v>
      </c>
      <c r="O22" s="168">
        <v>1493431200</v>
      </c>
      <c r="P22" s="168">
        <v>1.66</v>
      </c>
      <c r="Q22" s="168">
        <v>36</v>
      </c>
      <c r="R22" s="168">
        <v>7.88</v>
      </c>
    </row>
    <row r="23" spans="1:18" x14ac:dyDescent="0.25">
      <c r="A23" s="168">
        <v>25.6</v>
      </c>
      <c r="B23" s="168">
        <v>0.73</v>
      </c>
      <c r="C23" s="168">
        <v>31.33</v>
      </c>
      <c r="D23" s="8">
        <v>42853.875</v>
      </c>
      <c r="E23" s="168">
        <v>0.95</v>
      </c>
      <c r="F23" s="168" t="s">
        <v>848</v>
      </c>
      <c r="G23" s="168">
        <v>378.89</v>
      </c>
      <c r="H23" s="168">
        <v>0.219</v>
      </c>
      <c r="I23" s="168">
        <v>2.8799999999999999E-2</v>
      </c>
      <c r="J23" s="168">
        <v>0.66</v>
      </c>
      <c r="K23" s="168" t="s">
        <v>848</v>
      </c>
      <c r="L23" s="168">
        <v>1017.67</v>
      </c>
      <c r="M23" s="168" t="s">
        <v>849</v>
      </c>
      <c r="N23" s="168">
        <v>32.72</v>
      </c>
      <c r="O23" s="168">
        <v>1493434800</v>
      </c>
      <c r="P23" s="168">
        <v>1.66</v>
      </c>
      <c r="Q23" s="168">
        <v>30</v>
      </c>
      <c r="R23" s="168">
        <v>8.1999999999999993</v>
      </c>
    </row>
    <row r="24" spans="1:18" x14ac:dyDescent="0.25">
      <c r="A24" s="168">
        <v>24.21</v>
      </c>
      <c r="B24" s="168">
        <v>0.87</v>
      </c>
      <c r="C24" s="168">
        <v>29.61</v>
      </c>
      <c r="D24" s="8">
        <v>42853.916666666664</v>
      </c>
      <c r="E24" s="168">
        <v>0.95</v>
      </c>
      <c r="F24" s="168" t="s">
        <v>848</v>
      </c>
      <c r="G24" s="168">
        <v>379.68</v>
      </c>
      <c r="H24" s="168">
        <v>0.20499999999999999</v>
      </c>
      <c r="I24" s="168">
        <v>2.46E-2</v>
      </c>
      <c r="J24" s="168">
        <v>0.63</v>
      </c>
      <c r="K24" s="168" t="s">
        <v>848</v>
      </c>
      <c r="L24" s="168">
        <v>1019.42</v>
      </c>
      <c r="M24" s="168" t="s">
        <v>849</v>
      </c>
      <c r="N24" s="168">
        <v>30.86</v>
      </c>
      <c r="O24" s="168">
        <v>1493438400</v>
      </c>
      <c r="P24" s="168">
        <v>1.34</v>
      </c>
      <c r="Q24" s="168">
        <v>23</v>
      </c>
      <c r="R24" s="168">
        <v>6.87</v>
      </c>
    </row>
    <row r="25" spans="1:18" x14ac:dyDescent="0.25">
      <c r="A25" s="168">
        <v>24.3</v>
      </c>
      <c r="B25" s="168">
        <v>0.95</v>
      </c>
      <c r="C25" s="168">
        <v>29.52</v>
      </c>
      <c r="D25" s="8">
        <v>42853.958333333336</v>
      </c>
      <c r="E25" s="168">
        <v>0.95</v>
      </c>
      <c r="F25" s="168" t="s">
        <v>848</v>
      </c>
      <c r="G25" s="168">
        <v>380.26</v>
      </c>
      <c r="H25" s="168">
        <v>0.161</v>
      </c>
      <c r="I25" s="168">
        <v>1.9099999999999999E-2</v>
      </c>
      <c r="J25" s="168">
        <v>0.6</v>
      </c>
      <c r="K25" s="168" t="s">
        <v>848</v>
      </c>
      <c r="L25" s="168">
        <v>1020.93</v>
      </c>
      <c r="M25" s="168" t="s">
        <v>849</v>
      </c>
      <c r="N25" s="168">
        <v>30.66</v>
      </c>
      <c r="O25" s="168">
        <v>1493442000</v>
      </c>
      <c r="P25" s="168">
        <v>0.91</v>
      </c>
      <c r="Q25" s="168">
        <v>22</v>
      </c>
      <c r="R25" s="168">
        <v>6.44</v>
      </c>
    </row>
    <row r="26" spans="1:18" x14ac:dyDescent="0.25">
      <c r="A26" s="168">
        <v>23.05</v>
      </c>
      <c r="B26" s="168">
        <v>1</v>
      </c>
      <c r="C26" s="168">
        <v>28.53</v>
      </c>
      <c r="D26" s="8">
        <v>42854</v>
      </c>
      <c r="E26" s="168">
        <v>0.96</v>
      </c>
      <c r="F26" s="168" t="s">
        <v>848</v>
      </c>
      <c r="G26" s="168">
        <v>379.97</v>
      </c>
      <c r="H26" s="168">
        <v>0.124</v>
      </c>
      <c r="I26" s="168">
        <v>1.3599999999999999E-2</v>
      </c>
      <c r="J26" s="168">
        <v>0.55000000000000004</v>
      </c>
      <c r="K26" s="168" t="s">
        <v>848</v>
      </c>
      <c r="L26" s="168">
        <v>1022</v>
      </c>
      <c r="M26" s="168" t="s">
        <v>850</v>
      </c>
      <c r="N26" s="168">
        <v>29.61</v>
      </c>
      <c r="O26" s="168">
        <v>1493445600</v>
      </c>
      <c r="P26" s="168">
        <v>1.5</v>
      </c>
      <c r="Q26" s="168">
        <v>13</v>
      </c>
      <c r="R26" s="168">
        <v>6.42</v>
      </c>
    </row>
    <row r="27" spans="1:18" x14ac:dyDescent="0.25">
      <c r="A27" s="168">
        <v>25.17</v>
      </c>
      <c r="B27" s="168">
        <v>1</v>
      </c>
      <c r="C27" s="168">
        <v>29.64</v>
      </c>
      <c r="D27" s="8">
        <v>42854.041666666664</v>
      </c>
      <c r="E27" s="168">
        <v>0.96</v>
      </c>
      <c r="F27" s="168" t="s">
        <v>848</v>
      </c>
      <c r="G27" s="168">
        <v>377.74</v>
      </c>
      <c r="H27" s="168">
        <v>0.06</v>
      </c>
      <c r="I27" s="168">
        <v>7.1000000000000004E-3</v>
      </c>
      <c r="J27" s="168">
        <v>0.35</v>
      </c>
      <c r="K27" s="168" t="s">
        <v>848</v>
      </c>
      <c r="L27" s="168">
        <v>1021.92</v>
      </c>
      <c r="M27" s="168" t="s">
        <v>850</v>
      </c>
      <c r="N27" s="168">
        <v>30.72</v>
      </c>
      <c r="O27" s="168">
        <v>1493449200</v>
      </c>
      <c r="P27" s="168">
        <v>1.67</v>
      </c>
      <c r="Q27" s="168">
        <v>14</v>
      </c>
      <c r="R27" s="168">
        <v>5.45</v>
      </c>
    </row>
    <row r="28" spans="1:18" x14ac:dyDescent="0.25">
      <c r="A28" s="168">
        <v>26.41</v>
      </c>
      <c r="B28" s="168">
        <v>1</v>
      </c>
      <c r="C28" s="168">
        <v>29.94</v>
      </c>
      <c r="D28" s="8">
        <v>42854.083333333336</v>
      </c>
      <c r="E28" s="168">
        <v>0.96</v>
      </c>
      <c r="F28" s="168" t="s">
        <v>848</v>
      </c>
      <c r="G28" s="168">
        <v>375.5</v>
      </c>
      <c r="H28" s="168">
        <v>5.6000000000000001E-2</v>
      </c>
      <c r="I28" s="168">
        <v>6.7999999999999996E-3</v>
      </c>
      <c r="J28" s="168">
        <v>0.33</v>
      </c>
      <c r="K28" s="168" t="s">
        <v>848</v>
      </c>
      <c r="L28" s="168">
        <v>1021.93</v>
      </c>
      <c r="M28" s="168" t="s">
        <v>850</v>
      </c>
      <c r="N28" s="168">
        <v>30.97</v>
      </c>
      <c r="O28" s="168">
        <v>1493452800</v>
      </c>
      <c r="P28" s="168">
        <v>1.95</v>
      </c>
      <c r="Q28" s="168">
        <v>9</v>
      </c>
      <c r="R28" s="168">
        <v>4.4400000000000004</v>
      </c>
    </row>
    <row r="29" spans="1:18" x14ac:dyDescent="0.25">
      <c r="A29" s="168">
        <v>24.75</v>
      </c>
      <c r="B29" s="168">
        <v>1</v>
      </c>
      <c r="C29" s="168">
        <v>28.18</v>
      </c>
      <c r="D29" s="8">
        <v>42854.125</v>
      </c>
      <c r="E29" s="168">
        <v>0.95</v>
      </c>
      <c r="F29" s="168" t="s">
        <v>848</v>
      </c>
      <c r="G29" s="168">
        <v>373.27</v>
      </c>
      <c r="H29" s="168">
        <v>6.7000000000000004E-2</v>
      </c>
      <c r="I29" s="168">
        <v>7.1999999999999998E-3</v>
      </c>
      <c r="J29" s="168">
        <v>0.35</v>
      </c>
      <c r="K29" s="168" t="s">
        <v>848</v>
      </c>
      <c r="L29" s="168">
        <v>1021.97</v>
      </c>
      <c r="M29" s="168" t="s">
        <v>850</v>
      </c>
      <c r="N29" s="168">
        <v>29.32</v>
      </c>
      <c r="O29" s="168">
        <v>1493456400</v>
      </c>
      <c r="P29" s="168">
        <v>1.5</v>
      </c>
      <c r="Q29" s="168">
        <v>6</v>
      </c>
      <c r="R29" s="168">
        <v>4.21</v>
      </c>
    </row>
    <row r="30" spans="1:18" x14ac:dyDescent="0.25">
      <c r="A30" s="143"/>
      <c r="B30" s="143"/>
      <c r="C30" s="143"/>
      <c r="D30" s="8"/>
      <c r="E30" s="143"/>
      <c r="F30" s="143"/>
      <c r="G30" s="143"/>
      <c r="H30" s="143"/>
      <c r="I30" s="143"/>
      <c r="J30" s="143"/>
      <c r="K30" s="143"/>
      <c r="L30" s="143"/>
      <c r="M30" s="143"/>
      <c r="N30" s="143"/>
      <c r="O30" s="143"/>
      <c r="P30" s="143"/>
    </row>
    <row r="31" spans="1:18" x14ac:dyDescent="0.25">
      <c r="A31" s="144" t="s">
        <v>187</v>
      </c>
    </row>
    <row r="33" spans="1:1" x14ac:dyDescent="0.25">
      <c r="A33" s="144" t="s">
        <v>179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X38"/>
  <sheetViews>
    <sheetView workbookViewId="0">
      <selection activeCell="A3" sqref="A3"/>
    </sheetView>
  </sheetViews>
  <sheetFormatPr defaultRowHeight="15" x14ac:dyDescent="0.25"/>
  <cols>
    <col min="1" max="1" width="32.140625" customWidth="1"/>
    <col min="3" max="3" width="24" customWidth="1"/>
    <col min="4" max="4" width="19.140625" style="59" customWidth="1"/>
    <col min="10" max="10" width="24.28515625" style="143" bestFit="1" customWidth="1"/>
    <col min="11" max="11" width="15.28515625" style="143" hidden="1" customWidth="1"/>
    <col min="12" max="12" width="13.5703125" style="143" hidden="1" customWidth="1"/>
    <col min="13" max="13" width="9" style="157" bestFit="1" customWidth="1"/>
    <col min="14" max="17" width="9.140625" style="143"/>
    <col min="20" max="24" width="9.140625" style="157"/>
  </cols>
  <sheetData>
    <row r="1" spans="1:24" ht="45.75" x14ac:dyDescent="0.3">
      <c r="A1" s="11" t="s">
        <v>25</v>
      </c>
      <c r="C1" s="122" t="s">
        <v>99</v>
      </c>
      <c r="D1" s="123" t="s">
        <v>100</v>
      </c>
      <c r="J1" s="149" t="s">
        <v>101</v>
      </c>
      <c r="K1" s="149" t="s">
        <v>66</v>
      </c>
      <c r="L1" s="149" t="s">
        <v>67</v>
      </c>
      <c r="O1" s="150" t="s">
        <v>102</v>
      </c>
      <c r="T1" s="159" t="s">
        <v>344</v>
      </c>
      <c r="U1" s="159"/>
      <c r="V1" s="159"/>
      <c r="W1" s="159"/>
      <c r="X1" s="159"/>
    </row>
    <row r="2" spans="1:24" ht="15.75" thickBot="1" x14ac:dyDescent="0.3">
      <c r="A2" s="12">
        <v>42853</v>
      </c>
      <c r="B2" s="4"/>
      <c r="C2" s="124">
        <v>50</v>
      </c>
      <c r="D2" s="125">
        <v>25</v>
      </c>
      <c r="F2" t="s">
        <v>113</v>
      </c>
      <c r="J2" s="149"/>
      <c r="K2" s="149" t="s">
        <v>66</v>
      </c>
      <c r="L2" s="149" t="s">
        <v>67</v>
      </c>
      <c r="T2" s="158" t="s">
        <v>345</v>
      </c>
      <c r="U2" s="158">
        <v>167</v>
      </c>
      <c r="V2" s="158">
        <v>168</v>
      </c>
      <c r="W2" s="158">
        <v>199</v>
      </c>
      <c r="X2" s="158">
        <v>200</v>
      </c>
    </row>
    <row r="3" spans="1:24" x14ac:dyDescent="0.25">
      <c r="C3" s="59"/>
      <c r="F3" t="s">
        <v>52</v>
      </c>
      <c r="J3" s="151" t="s">
        <v>68</v>
      </c>
      <c r="K3" s="152">
        <v>2.7052</v>
      </c>
      <c r="L3" s="152">
        <v>2.7349999999999999</v>
      </c>
      <c r="M3" s="157">
        <f t="shared" ref="M3:M14" si="0">AVERAGE(K3:L3)</f>
        <v>2.7201</v>
      </c>
      <c r="O3" s="143" t="s">
        <v>103</v>
      </c>
      <c r="P3" s="143">
        <f>AVERAGE(1.0714,1.1016)</f>
        <v>1.0865</v>
      </c>
      <c r="T3" s="158" t="s">
        <v>346</v>
      </c>
      <c r="U3" s="158">
        <v>174</v>
      </c>
      <c r="V3" s="158">
        <v>176</v>
      </c>
      <c r="W3" s="158">
        <v>207</v>
      </c>
      <c r="X3" s="158">
        <v>210</v>
      </c>
    </row>
    <row r="4" spans="1:24" ht="45" x14ac:dyDescent="0.25">
      <c r="C4" s="122" t="s">
        <v>99</v>
      </c>
      <c r="D4" s="123" t="s">
        <v>100</v>
      </c>
      <c r="F4" t="s">
        <v>53</v>
      </c>
      <c r="J4" s="151" t="s">
        <v>69</v>
      </c>
      <c r="K4" s="152">
        <v>3.0830000000000002</v>
      </c>
      <c r="L4" s="152">
        <v>3.097</v>
      </c>
      <c r="M4" s="157">
        <f t="shared" si="0"/>
        <v>3.09</v>
      </c>
      <c r="T4" s="158" t="s">
        <v>347</v>
      </c>
      <c r="U4" s="158">
        <v>173</v>
      </c>
      <c r="V4" s="158">
        <v>175</v>
      </c>
      <c r="W4" s="158">
        <v>208</v>
      </c>
      <c r="X4" s="158">
        <v>209</v>
      </c>
    </row>
    <row r="5" spans="1:24" x14ac:dyDescent="0.25">
      <c r="C5" s="59">
        <v>30</v>
      </c>
      <c r="D5" s="59">
        <v>9</v>
      </c>
      <c r="J5" s="151" t="s">
        <v>70</v>
      </c>
      <c r="K5" s="152">
        <v>3.3136000000000001</v>
      </c>
      <c r="L5" s="152">
        <v>3.3256999999999999</v>
      </c>
      <c r="M5" s="157">
        <f t="shared" si="0"/>
        <v>3.3196500000000002</v>
      </c>
      <c r="T5" s="158" t="s">
        <v>348</v>
      </c>
      <c r="U5" s="158">
        <v>187</v>
      </c>
      <c r="V5" s="158">
        <v>188</v>
      </c>
      <c r="W5" s="158">
        <v>223</v>
      </c>
      <c r="X5" s="158">
        <v>224</v>
      </c>
    </row>
    <row r="6" spans="1:24" x14ac:dyDescent="0.25">
      <c r="C6" s="59"/>
      <c r="F6" t="s">
        <v>114</v>
      </c>
      <c r="J6" s="151" t="s">
        <v>71</v>
      </c>
      <c r="K6" s="152">
        <v>4.2778999999999998</v>
      </c>
      <c r="L6" s="152">
        <v>4.2961</v>
      </c>
      <c r="M6" s="157">
        <f t="shared" si="0"/>
        <v>4.2869999999999999</v>
      </c>
      <c r="T6" s="158"/>
      <c r="U6" s="158"/>
      <c r="V6" s="158"/>
      <c r="W6" s="158"/>
      <c r="X6" s="158"/>
    </row>
    <row r="7" spans="1:24" x14ac:dyDescent="0.25">
      <c r="C7" s="59"/>
      <c r="F7" t="s">
        <v>115</v>
      </c>
      <c r="J7" s="151" t="s">
        <v>72</v>
      </c>
      <c r="K7" s="152">
        <v>4.7865000000000002</v>
      </c>
      <c r="L7" s="152">
        <v>4.8048000000000002</v>
      </c>
      <c r="M7" s="157">
        <f t="shared" si="0"/>
        <v>4.7956500000000002</v>
      </c>
      <c r="T7" s="158"/>
      <c r="U7" s="158"/>
      <c r="V7" s="158"/>
      <c r="W7" s="158"/>
      <c r="X7" s="158"/>
    </row>
    <row r="8" spans="1:24" x14ac:dyDescent="0.25">
      <c r="C8" s="59"/>
      <c r="F8" t="s">
        <v>116</v>
      </c>
      <c r="J8" s="151" t="s">
        <v>73</v>
      </c>
      <c r="K8" s="152">
        <v>5.3155000000000001</v>
      </c>
      <c r="L8" s="152">
        <v>5.3277000000000001</v>
      </c>
      <c r="M8" s="157">
        <f t="shared" si="0"/>
        <v>5.3216000000000001</v>
      </c>
      <c r="T8" s="158"/>
      <c r="U8" s="158"/>
      <c r="V8" s="158"/>
      <c r="W8" s="158"/>
      <c r="X8" s="158"/>
    </row>
    <row r="9" spans="1:24" x14ac:dyDescent="0.25">
      <c r="C9" s="59"/>
      <c r="J9" s="151" t="s">
        <v>74</v>
      </c>
      <c r="K9" s="152">
        <v>5.8117000000000001</v>
      </c>
      <c r="L9" s="152">
        <v>5.8300999999999998</v>
      </c>
      <c r="M9" s="157">
        <f t="shared" si="0"/>
        <v>5.8209</v>
      </c>
      <c r="T9" s="158"/>
      <c r="U9" s="158"/>
      <c r="V9" s="158"/>
      <c r="W9" s="158"/>
      <c r="X9" s="158"/>
    </row>
    <row r="10" spans="1:24" x14ac:dyDescent="0.25">
      <c r="C10" s="59"/>
      <c r="J10" s="151" t="s">
        <v>75</v>
      </c>
      <c r="K10" s="152">
        <v>5.8783000000000003</v>
      </c>
      <c r="L10" s="152">
        <v>5.8903999999999996</v>
      </c>
      <c r="M10" s="157">
        <f t="shared" si="0"/>
        <v>5.8843499999999995</v>
      </c>
      <c r="T10" s="158"/>
      <c r="U10" s="158"/>
      <c r="V10" s="158"/>
      <c r="W10" s="158"/>
      <c r="X10" s="158"/>
    </row>
    <row r="11" spans="1:24" x14ac:dyDescent="0.25">
      <c r="C11" s="59"/>
      <c r="J11" s="151" t="s">
        <v>76</v>
      </c>
      <c r="K11" s="152">
        <v>6.3068</v>
      </c>
      <c r="L11" s="152">
        <v>6.3308999999999997</v>
      </c>
      <c r="M11" s="157">
        <f t="shared" si="0"/>
        <v>6.3188499999999994</v>
      </c>
      <c r="T11" s="158"/>
      <c r="U11" s="158"/>
      <c r="V11" s="158"/>
      <c r="W11" s="158"/>
      <c r="X11" s="158"/>
    </row>
    <row r="12" spans="1:24" x14ac:dyDescent="0.25">
      <c r="C12" s="59"/>
      <c r="J12" s="151" t="s">
        <v>77</v>
      </c>
      <c r="K12" s="152">
        <v>7.8349000000000002</v>
      </c>
      <c r="L12" s="152">
        <v>7.8468999999999998</v>
      </c>
      <c r="M12" s="157">
        <f t="shared" si="0"/>
        <v>7.8408999999999995</v>
      </c>
      <c r="T12" s="158"/>
      <c r="U12" s="158"/>
      <c r="V12" s="158"/>
      <c r="W12" s="158"/>
      <c r="X12" s="158"/>
    </row>
    <row r="13" spans="1:24" x14ac:dyDescent="0.25">
      <c r="C13" s="59"/>
      <c r="J13" s="151" t="s">
        <v>78</v>
      </c>
      <c r="K13" s="152">
        <v>10.373799999999999</v>
      </c>
      <c r="L13" s="152">
        <v>10.38</v>
      </c>
      <c r="M13" s="157">
        <f t="shared" si="0"/>
        <v>10.376899999999999</v>
      </c>
      <c r="T13" s="158"/>
      <c r="U13" s="158"/>
      <c r="V13" s="158"/>
      <c r="W13" s="158"/>
      <c r="X13" s="158"/>
    </row>
    <row r="14" spans="1:24" x14ac:dyDescent="0.25">
      <c r="C14" s="59"/>
      <c r="J14" s="151" t="s">
        <v>79</v>
      </c>
      <c r="K14" s="152">
        <v>10.8954</v>
      </c>
      <c r="L14" s="152">
        <v>10.913500000000001</v>
      </c>
      <c r="M14" s="157">
        <f t="shared" si="0"/>
        <v>10.904450000000001</v>
      </c>
      <c r="T14" s="158"/>
      <c r="U14" s="158"/>
      <c r="V14" s="158"/>
      <c r="W14" s="158"/>
      <c r="X14" s="158"/>
    </row>
    <row r="15" spans="1:24" x14ac:dyDescent="0.25">
      <c r="C15" s="59"/>
      <c r="J15" s="151"/>
      <c r="K15" s="152"/>
      <c r="L15" s="152"/>
      <c r="T15" s="158"/>
      <c r="U15" s="158"/>
      <c r="V15" s="158"/>
      <c r="W15" s="158"/>
      <c r="X15" s="158"/>
    </row>
    <row r="16" spans="1:24" x14ac:dyDescent="0.25">
      <c r="C16" s="59"/>
      <c r="J16" s="151"/>
      <c r="K16" s="152"/>
      <c r="L16" s="152"/>
      <c r="T16" s="158"/>
      <c r="U16" s="158"/>
      <c r="V16" s="158"/>
      <c r="W16" s="158"/>
      <c r="X16" s="158"/>
    </row>
    <row r="17" spans="3:24" x14ac:dyDescent="0.25">
      <c r="C17" s="140" t="s">
        <v>188</v>
      </c>
      <c r="J17" s="151"/>
      <c r="K17" s="152"/>
      <c r="L17" s="152"/>
      <c r="T17" s="158"/>
      <c r="U17" s="158"/>
      <c r="V17" s="158"/>
      <c r="W17" s="158"/>
      <c r="X17" s="158"/>
    </row>
    <row r="18" spans="3:24" x14ac:dyDescent="0.25">
      <c r="C18" t="s">
        <v>1018</v>
      </c>
      <c r="J18" s="151" t="s">
        <v>85</v>
      </c>
      <c r="K18" s="152"/>
      <c r="L18" s="152"/>
      <c r="M18" s="157" t="str">
        <f>"""C:\Program Files (x86)\AstroGrep\AstroGrep.exe"""</f>
        <v>"C:\Program Files (x86)\AstroGrep\AstroGrep.exe"</v>
      </c>
      <c r="T18" s="158"/>
      <c r="U18" s="158"/>
      <c r="V18" s="158"/>
      <c r="W18" s="158"/>
      <c r="X18" s="158"/>
    </row>
    <row r="19" spans="3:24" x14ac:dyDescent="0.25">
      <c r="C19" t="s">
        <v>1019</v>
      </c>
      <c r="J19" s="151" t="s">
        <v>86</v>
      </c>
      <c r="K19" s="152"/>
      <c r="L19" s="152"/>
      <c r="M19" s="157" t="s">
        <v>112</v>
      </c>
      <c r="T19" s="158"/>
      <c r="U19" s="158"/>
      <c r="V19" s="158"/>
      <c r="W19" s="158"/>
      <c r="X19" s="158"/>
    </row>
    <row r="20" spans="3:24" x14ac:dyDescent="0.25">
      <c r="C20" t="s">
        <v>1020</v>
      </c>
      <c r="J20" s="143" t="s">
        <v>87</v>
      </c>
      <c r="M20" s="157" t="s">
        <v>595</v>
      </c>
      <c r="N20" s="157" t="s">
        <v>343</v>
      </c>
      <c r="T20" s="158"/>
      <c r="U20" s="158"/>
      <c r="V20" s="158"/>
      <c r="W20" s="158"/>
      <c r="X20" s="158"/>
    </row>
    <row r="21" spans="3:24" x14ac:dyDescent="0.25">
      <c r="C21" t="s">
        <v>1021</v>
      </c>
      <c r="J21" s="143" t="s">
        <v>90</v>
      </c>
      <c r="K21" s="143" t="s">
        <v>91</v>
      </c>
      <c r="M21" s="157" t="s">
        <v>178</v>
      </c>
      <c r="T21" s="158"/>
      <c r="U21" s="158"/>
      <c r="V21" s="158"/>
      <c r="W21" s="158"/>
      <c r="X21" s="158"/>
    </row>
    <row r="22" spans="3:24" x14ac:dyDescent="0.25">
      <c r="C22" t="s">
        <v>1022</v>
      </c>
      <c r="J22" s="143" t="s">
        <v>92</v>
      </c>
      <c r="K22" s="143" t="s">
        <v>93</v>
      </c>
      <c r="M22" s="157" t="s">
        <v>111</v>
      </c>
      <c r="T22" s="158"/>
      <c r="U22" s="158"/>
      <c r="V22" s="158"/>
      <c r="W22" s="158"/>
      <c r="X22" s="158"/>
    </row>
    <row r="23" spans="3:24" x14ac:dyDescent="0.25">
      <c r="C23" t="s">
        <v>593</v>
      </c>
      <c r="J23" s="153" t="s">
        <v>95</v>
      </c>
      <c r="M23" s="157" t="str">
        <f>"-06"</f>
        <v>-06</v>
      </c>
      <c r="T23" s="158"/>
      <c r="U23" s="158"/>
      <c r="V23" s="158"/>
      <c r="W23" s="158"/>
      <c r="X23" s="158"/>
    </row>
    <row r="24" spans="3:24" x14ac:dyDescent="0.25">
      <c r="C24" t="s">
        <v>1023</v>
      </c>
      <c r="J24" s="143" t="s">
        <v>108</v>
      </c>
      <c r="M24" s="157" t="s">
        <v>110</v>
      </c>
      <c r="T24" s="158"/>
      <c r="U24" s="158"/>
      <c r="V24" s="158"/>
      <c r="W24" s="158"/>
      <c r="X24" s="158"/>
    </row>
    <row r="25" spans="3:24" x14ac:dyDescent="0.25">
      <c r="C25" t="s">
        <v>1024</v>
      </c>
      <c r="J25" s="143" t="s">
        <v>150</v>
      </c>
      <c r="M25" s="157" t="b">
        <v>1</v>
      </c>
    </row>
    <row r="26" spans="3:24" x14ac:dyDescent="0.25">
      <c r="C26" t="s">
        <v>594</v>
      </c>
      <c r="J26" s="143" t="s">
        <v>151</v>
      </c>
      <c r="M26" s="157" t="str">
        <f>"C:\Users\stu\Documents\GitHub\eaglep3-reporting\EC\"&amp;TEXT(A2,"yyyy-mm-dd")&amp;"-refined-times.txt"</f>
        <v>C:\Users\stu\Documents\GitHub\eaglep3-reporting\EC\2017-04-28-refined-times.txt</v>
      </c>
    </row>
    <row r="27" spans="3:24" x14ac:dyDescent="0.25">
      <c r="C27" t="s">
        <v>1025</v>
      </c>
      <c r="J27" s="143" t="s">
        <v>180</v>
      </c>
      <c r="M27" s="157" t="str">
        <f>"C:\Users\stu\Documents\GitHub\eaglep3-reporting\EC\"&amp;TEXT(A2,"YYYY-MM-DD")&amp;"-Enforcements.txt"</f>
        <v>C:\Users\stu\Documents\GitHub\eaglep3-reporting\EC\2017-04-28-Enforcements.txt</v>
      </c>
    </row>
    <row r="28" spans="3:24" x14ac:dyDescent="0.25">
      <c r="C28" t="s">
        <v>1026</v>
      </c>
      <c r="J28" s="143" t="s">
        <v>181</v>
      </c>
      <c r="M28" s="157" t="str">
        <f>"C:\Users\stu\Documents\GitHub\eaglep3-reporting\EC\"&amp;TEXT(A2,"YYYY-MM-DD")&amp;"-Runs-refined.txt"</f>
        <v>C:\Users\stu\Documents\GitHub\eaglep3-reporting\EC\2017-04-28-Runs-refined.txt</v>
      </c>
    </row>
    <row r="29" spans="3:24" x14ac:dyDescent="0.25">
      <c r="C29" t="s">
        <v>1027</v>
      </c>
      <c r="J29" s="143" t="s">
        <v>182</v>
      </c>
      <c r="M29" s="157" t="str">
        <f>"C:\Users\stu\Documents\GitHub\eaglep3-reporting\EC\"&amp;TEXT(A2,"YYYY-MM-DD")&amp;"-Trips.txt"</f>
        <v>C:\Users\stu\Documents\GitHub\eaglep3-reporting\EC\2017-04-28-Trips.txt</v>
      </c>
    </row>
    <row r="30" spans="3:24" x14ac:dyDescent="0.25">
      <c r="C30" t="s">
        <v>1028</v>
      </c>
      <c r="J30" s="143" t="s">
        <v>183</v>
      </c>
      <c r="M30" s="157" t="str">
        <f>"C:\Users\stu\Documents\GitHub\eaglep3-reporting\EC\"&amp;TEXT(A2,"YYYY-MM-DD")&amp;"-Weather.txt"</f>
        <v>C:\Users\stu\Documents\GitHub\eaglep3-reporting\EC\2017-04-28-Weather.txt</v>
      </c>
    </row>
    <row r="31" spans="3:24" x14ac:dyDescent="0.25">
      <c r="C31" t="s">
        <v>1029</v>
      </c>
      <c r="J31" s="143" t="s">
        <v>201</v>
      </c>
      <c r="M31" s="157" t="s">
        <v>202</v>
      </c>
    </row>
    <row r="32" spans="3:24" x14ac:dyDescent="0.25">
      <c r="C32" t="s">
        <v>1030</v>
      </c>
    </row>
    <row r="33" spans="3:3" x14ac:dyDescent="0.25">
      <c r="C33" t="s">
        <v>1031</v>
      </c>
    </row>
    <row r="34" spans="3:3" x14ac:dyDescent="0.25">
      <c r="C34" t="s">
        <v>1032</v>
      </c>
    </row>
    <row r="35" spans="3:3" x14ac:dyDescent="0.25">
      <c r="C35" t="s">
        <v>1033</v>
      </c>
    </row>
    <row r="36" spans="3:3" x14ac:dyDescent="0.25">
      <c r="C36" t="s">
        <v>1034</v>
      </c>
    </row>
    <row r="37" spans="3:3" x14ac:dyDescent="0.25">
      <c r="C37" t="s">
        <v>1035</v>
      </c>
    </row>
    <row r="38" spans="3:3" x14ac:dyDescent="0.25">
      <c r="C38" t="s">
        <v>1036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J2" sqref="J2"/>
    </sheetView>
  </sheetViews>
  <sheetFormatPr defaultRowHeight="15" x14ac:dyDescent="0.25"/>
  <cols>
    <col min="1" max="1" width="32.85546875" style="96" bestFit="1" customWidth="1"/>
    <col min="2" max="7" width="9.140625" style="96"/>
    <col min="8" max="8" width="17.7109375" style="96" bestFit="1" customWidth="1"/>
    <col min="9" max="10" width="9.140625" style="165"/>
    <col min="11" max="16384" width="9.140625" style="96"/>
  </cols>
  <sheetData>
    <row r="1" spans="1:11" x14ac:dyDescent="0.25">
      <c r="A1" s="95" t="s">
        <v>121</v>
      </c>
      <c r="B1" s="95" t="s">
        <v>122</v>
      </c>
      <c r="C1" s="96" t="s">
        <v>123</v>
      </c>
      <c r="H1" t="s">
        <v>117</v>
      </c>
      <c r="I1" s="163" t="s">
        <v>119</v>
      </c>
      <c r="J1" s="157" t="s">
        <v>379</v>
      </c>
    </row>
    <row r="2" spans="1:11" x14ac:dyDescent="0.25">
      <c r="A2" s="96" t="s">
        <v>124</v>
      </c>
      <c r="B2" s="96" t="s">
        <v>125</v>
      </c>
      <c r="C2" s="96" t="s">
        <v>126</v>
      </c>
      <c r="H2" t="s">
        <v>118</v>
      </c>
      <c r="I2" s="157" t="s">
        <v>120</v>
      </c>
      <c r="J2" s="157" t="s">
        <v>380</v>
      </c>
    </row>
    <row r="3" spans="1:11" x14ac:dyDescent="0.25">
      <c r="A3" s="96" t="s">
        <v>127</v>
      </c>
      <c r="B3" s="96" t="s">
        <v>128</v>
      </c>
      <c r="C3" s="96" t="s">
        <v>129</v>
      </c>
      <c r="H3" t="s">
        <v>143</v>
      </c>
      <c r="I3" s="157">
        <v>1</v>
      </c>
      <c r="J3" s="157">
        <v>1</v>
      </c>
      <c r="K3" s="58"/>
    </row>
    <row r="4" spans="1:11" x14ac:dyDescent="0.25">
      <c r="A4" s="96" t="s">
        <v>130</v>
      </c>
      <c r="C4" s="96" t="s">
        <v>131</v>
      </c>
      <c r="H4" t="s">
        <v>144</v>
      </c>
      <c r="I4" s="157">
        <v>2</v>
      </c>
      <c r="J4" s="157">
        <v>1</v>
      </c>
      <c r="K4" s="58"/>
    </row>
    <row r="5" spans="1:11" x14ac:dyDescent="0.25">
      <c r="A5" s="96" t="s">
        <v>132</v>
      </c>
      <c r="C5" s="96" t="s">
        <v>133</v>
      </c>
      <c r="H5" t="s">
        <v>145</v>
      </c>
      <c r="I5" s="157">
        <v>23</v>
      </c>
      <c r="J5" s="157">
        <v>10</v>
      </c>
      <c r="K5" s="58"/>
    </row>
    <row r="6" spans="1:11" x14ac:dyDescent="0.25">
      <c r="A6" s="96" t="s">
        <v>134</v>
      </c>
      <c r="C6" s="96" t="s">
        <v>135</v>
      </c>
      <c r="H6" s="97" t="s">
        <v>146</v>
      </c>
      <c r="I6" s="164" t="s">
        <v>125</v>
      </c>
    </row>
    <row r="7" spans="1:11" x14ac:dyDescent="0.25">
      <c r="A7" s="96" t="s">
        <v>136</v>
      </c>
      <c r="C7" s="96" t="s">
        <v>137</v>
      </c>
    </row>
    <row r="8" spans="1:11" x14ac:dyDescent="0.25">
      <c r="C8" s="96" t="s">
        <v>138</v>
      </c>
    </row>
    <row r="9" spans="1:11" x14ac:dyDescent="0.25">
      <c r="C9" s="97" t="s">
        <v>171</v>
      </c>
    </row>
    <row r="10" spans="1:11" x14ac:dyDescent="0.25">
      <c r="C10" s="96" t="s">
        <v>139</v>
      </c>
    </row>
    <row r="11" spans="1:11" x14ac:dyDescent="0.25">
      <c r="C11" s="96" t="s">
        <v>140</v>
      </c>
    </row>
    <row r="12" spans="1:11" x14ac:dyDescent="0.25">
      <c r="C12" s="96" t="s">
        <v>141</v>
      </c>
    </row>
    <row r="13" spans="1:11" x14ac:dyDescent="0.25">
      <c r="C13" s="96" t="s">
        <v>142</v>
      </c>
    </row>
    <row r="14" spans="1:11" x14ac:dyDescent="0.25">
      <c r="C14" s="97" t="s">
        <v>172</v>
      </c>
    </row>
    <row r="15" spans="1:11" x14ac:dyDescent="0.25">
      <c r="C15" s="97" t="s">
        <v>189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212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213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214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215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216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217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218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219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220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221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222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223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224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225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226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227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228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229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230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231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232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233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234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235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236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237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238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239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240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241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242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243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244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245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246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247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248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249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250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251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252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253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254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255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256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257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258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259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260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261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262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263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264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265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266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267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268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269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270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271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272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273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274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275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276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277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278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279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280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281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282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283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284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285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286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287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288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289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290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291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292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293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294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295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296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297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298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299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300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301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302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303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304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305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306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307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308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309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310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311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312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313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314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315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316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317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318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319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320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321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322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323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324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325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326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327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328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329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330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331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332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333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334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335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336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337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338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339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340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341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28</vt:i4>
      </vt:variant>
    </vt:vector>
  </HeadingPairs>
  <TitlesOfParts>
    <vt:vector size="36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2017-05-01T15:36:03Z</dcterms:modified>
</cp:coreProperties>
</file>